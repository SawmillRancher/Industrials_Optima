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5505" yWindow="5505" windowWidth="14400" windowHeight="7275" tabRatio="5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Bull-Base-Bear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Charts" sheetId="4" state="visible" r:id="rId4"/>
  </sheets>
  <definedNames/>
  <calcPr calcId="191029" fullCalcOnLoad="1" iterate="1" iterateDelta="0.0001"/>
</workbook>
</file>

<file path=xl/styles.xml><?xml version="1.0" encoding="utf-8"?>
<styleSheet xmlns="http://schemas.openxmlformats.org/spreadsheetml/2006/main">
  <numFmts count="23">
    <numFmt numFmtId="164" formatCode="#,##0.0;\(#,##0.0\);\-"/>
    <numFmt numFmtId="165" formatCode="0%;\(0%\);&quot;n/m&quot;"/>
    <numFmt numFmtId="166" formatCode="0.0%;\(0.0%\);\-"/>
    <numFmt numFmtId="167" formatCode="#,##0;\(#,##0\);\-"/>
    <numFmt numFmtId="168" formatCode="0.00;\(0.00\);\-"/>
    <numFmt numFmtId="169" formatCode="0.000\x;\(0.000&quot;x)&quot;;\-"/>
    <numFmt numFmtId="170" formatCode="0.0\x;\(0.0&quot;x)&quot;;\-"/>
    <numFmt numFmtId="171" formatCode="\+0.0%;\-0.0%"/>
    <numFmt numFmtId="172" formatCode="\+#,##0;\-#,##0"/>
    <numFmt numFmtId="173" formatCode="0.00\x;\(0.00&quot;x)&quot;;\-"/>
    <numFmt numFmtId="174" formatCode="0\d;\(0&quot;)d&quot;;\-"/>
    <numFmt numFmtId="175" formatCode="0%;\(0%\);\-"/>
    <numFmt numFmtId="176" formatCode="0.0\x"/>
    <numFmt numFmtId="177" formatCode="dd\-mmm\-yy"/>
    <numFmt numFmtId="178" formatCode="0.0%"/>
    <numFmt numFmtId="179" formatCode="0.000"/>
    <numFmt numFmtId="180" formatCode="d/mmm/yyyy"/>
    <numFmt numFmtId="181" formatCode="#,##0.0"/>
    <numFmt numFmtId="182" formatCode="0.0%;\(0.0%\)"/>
    <numFmt numFmtId="183" formatCode="0.00\x"/>
    <numFmt numFmtId="184" formatCode="0.0\x;\(0.0\x\)"/>
    <numFmt numFmtId="185" formatCode="&quot;$&quot;#,##0.00;\(&quot;$&quot;#,##0.00\);\-"/>
    <numFmt numFmtId="186" formatCode="#,##0.00;\(#,##0.00\);\-"/>
  </numFmts>
  <fonts count="58">
    <font>
      <name val="Calibri"/>
      <charset val="1"/>
      <family val="2"/>
      <color theme="1"/>
      <sz val="11"/>
    </font>
    <font>
      <name val="Calibri"/>
      <family val="2"/>
      <b val="1"/>
      <color rgb="FFC00000"/>
      <sz val="10"/>
    </font>
    <font>
      <name val="Calibri"/>
      <family val="2"/>
      <b val="1"/>
      <color rgb="FF1F3864"/>
      <sz val="16"/>
    </font>
    <font>
      <name val="Calibri"/>
      <family val="2"/>
      <b val="1"/>
      <color rgb="FF0000FF"/>
      <sz val="12"/>
    </font>
    <font>
      <name val="Calibri"/>
      <family val="2"/>
      <color rgb="FF595959"/>
      <sz val="10"/>
    </font>
    <font>
      <name val="Calibri"/>
      <family val="2"/>
      <color rgb="FFC00000"/>
      <sz val="10"/>
    </font>
    <font>
      <name val="Calibri"/>
      <family val="2"/>
      <b val="1"/>
      <color rgb="FFFFFFFF"/>
      <sz val="12"/>
    </font>
    <font>
      <name val="Calibri"/>
      <family val="2"/>
      <color rgb="FF666666"/>
      <sz val="9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sz val="10"/>
    </font>
    <font>
      <name val="Calibri"/>
      <family val="2"/>
      <b val="1"/>
      <color rgb="FFFFFFFF"/>
      <sz val="11"/>
    </font>
    <font>
      <name val="Calibri"/>
      <family val="2"/>
      <b val="1"/>
      <sz val="12"/>
    </font>
    <font>
      <name val="Calibri"/>
      <family val="2"/>
      <color rgb="FF404040"/>
      <sz val="12"/>
    </font>
    <font>
      <name val="Calibri"/>
      <family val="2"/>
      <color rgb="FFA6A6A6"/>
      <sz val="12"/>
    </font>
    <font>
      <name val="Calibri"/>
      <family val="2"/>
      <color rgb="FF000000"/>
      <sz val="12"/>
    </font>
    <font>
      <name val="Calibri"/>
      <family val="2"/>
      <sz val="12"/>
    </font>
    <font>
      <name val="Calibri"/>
      <family val="2"/>
      <color rgb="FF0000FF"/>
      <sz val="12"/>
    </font>
    <font>
      <name val="Calibri"/>
      <family val="2"/>
      <b val="1"/>
      <color rgb="FF595959"/>
      <sz val="12"/>
    </font>
    <font>
      <name val="Arial"/>
      <family val="2"/>
      <sz val="10"/>
    </font>
    <font>
      <name val="Calibri"/>
      <family val="2"/>
      <b val="1"/>
      <color rgb="FF2F3E46"/>
      <sz val="16"/>
    </font>
    <font>
      <name val="Calibri"/>
      <family val="2"/>
      <b val="1"/>
      <color rgb="FF008000"/>
      <sz val="12"/>
    </font>
    <font>
      <name val="Calibri"/>
      <family val="2"/>
      <b val="1"/>
      <color rgb="FF2F3E46"/>
      <sz val="12"/>
    </font>
    <font>
      <name val="Calibri"/>
      <family val="2"/>
      <b val="1"/>
      <color rgb="FFFFFFFF"/>
      <sz val="9"/>
    </font>
    <font>
      <name val="Calibri"/>
      <family val="2"/>
      <color rgb="FF595959"/>
      <sz val="12"/>
    </font>
    <font>
      <name val="Calibri"/>
      <family val="2"/>
      <color rgb="FF008000"/>
      <sz val="12"/>
    </font>
    <font>
      <name val="Calibri"/>
      <family val="2"/>
      <b val="1"/>
      <sz val="14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4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theme="1"/>
      <sz val="11"/>
    </font>
    <font>
      <name val="Calibri"/>
      <family val="2"/>
      <color rgb="FF0000FF"/>
      <sz val="11"/>
    </font>
    <font>
      <name val="Calibri"/>
      <family val="2"/>
      <sz val="11"/>
    </font>
    <font>
      <name val="Calibri"/>
      <family val="2"/>
      <color rgb="FF595959"/>
      <sz val="11"/>
    </font>
    <font>
      <name val="Calibri"/>
      <family val="2"/>
      <b val="1"/>
      <sz val="11"/>
    </font>
    <font>
      <name val="Calibri"/>
      <family val="2"/>
      <color rgb="FF008000"/>
      <sz val="11"/>
    </font>
    <font>
      <name val="Calibri"/>
      <family val="2"/>
      <b val="1"/>
      <color rgb="FF0000FF"/>
      <sz val="11"/>
    </font>
    <font>
      <name val="Calibri"/>
      <charset val="1"/>
      <family val="2"/>
      <color theme="1"/>
      <sz val="10"/>
    </font>
    <font>
      <name val="Calibri"/>
      <family val="2"/>
      <b val="1"/>
      <color rgb="FF666666"/>
      <sz val="12"/>
    </font>
    <font>
      <name val="Calibri"/>
      <family val="2"/>
      <b val="1"/>
      <color rgb="FFC00000"/>
      <sz val="11"/>
    </font>
    <font>
      <name val="Calibri"/>
      <color rgb="FF000000"/>
      <sz val="11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000000"/>
      <sz val="12"/>
    </font>
    <font>
      <name val="Calibri"/>
      <color rgb="FF0000FF"/>
      <sz val="12"/>
    </font>
    <font>
      <name val="Calibri"/>
      <color rgb="FF595959"/>
      <sz val="9"/>
    </font>
    <font>
      <name val="Calibri"/>
      <b val="1"/>
      <color rgb="FF000000"/>
      <sz val="12"/>
    </font>
    <font>
      <name val="Calibri"/>
      <color rgb="FF008000"/>
      <sz val="12"/>
    </font>
    <font>
      <name val="Calibri"/>
      <b val="1"/>
      <color rgb="FF000000"/>
      <sz val="11"/>
    </font>
    <font>
      <name val="Calibri"/>
      <b val="1"/>
      <color rgb="FF0000FF"/>
      <sz val="12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Calibri"/>
      <family val="2"/>
      <color rgb="FF2F3E46"/>
      <sz val="12"/>
    </font>
    <font>
      <name val="Calibri"/>
      <color rgb="FFA6A6A6"/>
      <sz val="12"/>
    </font>
    <font>
      <name val="Calibri"/>
      <b val="1"/>
      <i val="1"/>
      <color rgb="FFC00000"/>
      <sz val="10"/>
    </font>
    <font>
      <name val="Calibri"/>
      <color rgb="FF0000FF"/>
      <sz val="11"/>
    </font>
  </fonts>
  <fills count="18">
    <fill>
      <patternFill/>
    </fill>
    <fill>
      <patternFill patternType="gray125"/>
    </fill>
    <fill>
      <patternFill patternType="solid">
        <fgColor rgb="FFFFFDE7"/>
        <bgColor rgb="FFFFF8DC"/>
      </patternFill>
    </fill>
    <fill>
      <patternFill patternType="solid">
        <fgColor rgb="FFFFFF00"/>
        <bgColor rgb="FFFFFF00"/>
      </patternFill>
    </fill>
    <fill>
      <patternFill patternType="solid">
        <fgColor rgb="FF84A98C"/>
        <bgColor rgb="FFA6A6A6"/>
      </patternFill>
    </fill>
    <fill>
      <patternFill patternType="solid">
        <fgColor rgb="FF2F3E46"/>
        <bgColor rgb="FF404040"/>
      </patternFill>
    </fill>
    <fill>
      <patternFill patternType="solid">
        <fgColor rgb="FFCAD2C5"/>
        <bgColor rgb="FFD9D9D9"/>
      </patternFill>
    </fill>
    <fill>
      <patternFill patternType="solid">
        <fgColor rgb="FF52796F"/>
        <bgColor rgb="FF666666"/>
      </patternFill>
    </fill>
    <fill>
      <patternFill patternType="solid">
        <fgColor rgb="FFE9ECEC"/>
        <bgColor rgb="FFE8EDE9"/>
      </patternFill>
    </fill>
    <fill>
      <patternFill patternType="solid">
        <fgColor rgb="FFF5F5F5"/>
        <bgColor rgb="FFF0F2F0"/>
      </patternFill>
    </fill>
    <fill>
      <patternFill patternType="solid">
        <fgColor rgb="FFE8EDE9"/>
        <bgColor rgb="FFE9ECEC"/>
      </patternFill>
    </fill>
    <fill>
      <patternFill patternType="solid">
        <fgColor rgb="FFF0F2F0"/>
        <bgColor rgb="FFF5F5F5"/>
      </patternFill>
    </fill>
    <fill>
      <patternFill patternType="solid">
        <fgColor rgb="FFFFF8DC"/>
        <bgColor rgb="FFFFFDE7"/>
      </patternFill>
    </fill>
    <fill>
      <patternFill patternType="solid">
        <fgColor rgb="FFFFFDE7"/>
        <bgColor indexed="64"/>
      </patternFill>
    </fill>
    <fill>
      <patternFill patternType="solid">
        <fgColor rgb="FF2F3E46"/>
        <bgColor indexed="64"/>
      </patternFill>
    </fill>
    <fill>
      <patternFill patternType="solid">
        <fgColor rgb="FF52796F"/>
        <bgColor indexed="64"/>
      </patternFill>
    </fill>
    <fill>
      <patternFill patternType="solid">
        <fgColor rgb="FFCAD2C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2F3E46"/>
      </top>
      <bottom/>
      <diagonal/>
    </border>
    <border>
      <left/>
      <right/>
      <top/>
      <bottom style="thin">
        <color rgb="FF2F3E46"/>
      </bottom>
      <diagonal/>
    </border>
    <border>
      <left style="thin">
        <color rgb="FF2F3E46"/>
      </left>
      <right/>
      <top style="thin">
        <color rgb="FF2F3E46"/>
      </top>
      <bottom/>
      <diagonal/>
    </border>
    <border>
      <left style="thin">
        <color rgb="FF2F3E46"/>
      </left>
      <right/>
      <top/>
      <bottom/>
      <diagonal/>
    </border>
    <border>
      <left style="thin">
        <color rgb="FF2F3E46"/>
      </left>
      <right/>
      <top/>
      <bottom style="thin">
        <color rgb="FF2F3E46"/>
      </bottom>
      <diagonal/>
    </border>
    <border>
      <left/>
      <right style="thin">
        <color rgb="FF2F3E46"/>
      </right>
      <top style="thin">
        <color rgb="FF2F3E46"/>
      </top>
      <bottom/>
      <diagonal/>
    </border>
    <border>
      <left/>
      <right style="thin">
        <color rgb="FF2F3E46"/>
      </right>
      <top/>
      <bottom/>
      <diagonal/>
    </border>
    <border>
      <left/>
      <right style="thin">
        <color rgb="FF2F3E46"/>
      </right>
      <top/>
      <bottom style="thin">
        <color rgb="FF2F3E46"/>
      </bottom>
      <diagonal/>
    </border>
  </borders>
  <cellStyleXfs count="2">
    <xf numFmtId="0" fontId="27" fillId="0" borderId="0"/>
    <xf numFmtId="9" fontId="27" fillId="0" borderId="0"/>
  </cellStyleXfs>
  <cellXfs count="30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left"/>
    </xf>
    <xf numFmtId="0" fontId="6" fillId="5" borderId="0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6" fillId="5" borderId="0" pivotButton="0" quotePrefix="0" xfId="0"/>
    <xf numFmtId="0" fontId="8" fillId="0" borderId="0" pivotButton="0" quotePrefix="0" xfId="0"/>
    <xf numFmtId="0" fontId="9" fillId="6" borderId="0" applyAlignment="1" pivotButton="0" quotePrefix="0" xfId="0">
      <alignment horizontal="center"/>
    </xf>
    <xf numFmtId="0" fontId="10" fillId="0" borderId="0" pivotButton="0" quotePrefix="0" xfId="0"/>
    <xf numFmtId="0" fontId="11" fillId="7" borderId="0" pivotButton="0" quotePrefix="0" xfId="0"/>
    <xf numFmtId="0" fontId="6" fillId="7" borderId="0" pivotButton="0" quotePrefix="0" xfId="0"/>
    <xf numFmtId="0" fontId="12" fillId="0" borderId="2" pivotButton="0" quotePrefix="0" xfId="0"/>
    <xf numFmtId="164" fontId="3" fillId="0" borderId="2" applyAlignment="1" pivotButton="0" quotePrefix="0" xfId="0">
      <alignment horizontal="right"/>
    </xf>
    <xf numFmtId="164" fontId="9" fillId="2" borderId="2" applyAlignment="1" pivotButton="0" quotePrefix="0" xfId="0">
      <alignment horizontal="right"/>
    </xf>
    <xf numFmtId="0" fontId="10" fillId="2" borderId="0" pivotButton="0" quotePrefix="0" xfId="0"/>
    <xf numFmtId="165" fontId="12" fillId="6" borderId="0" pivotButton="0" quotePrefix="0" xfId="0"/>
    <xf numFmtId="0" fontId="6" fillId="7" borderId="0" applyAlignment="1" pivotButton="0" quotePrefix="0" xfId="0">
      <alignment horizontal="center"/>
    </xf>
    <xf numFmtId="0" fontId="13" fillId="0" borderId="0" pivotButton="0" quotePrefix="0" xfId="0"/>
    <xf numFmtId="166" fontId="14" fillId="0" borderId="0" applyAlignment="1" pivotButton="0" quotePrefix="0" xfId="0">
      <alignment horizontal="right"/>
    </xf>
    <xf numFmtId="166" fontId="15" fillId="2" borderId="0" applyAlignment="1" pivotButton="0" quotePrefix="0" xfId="0">
      <alignment horizontal="right"/>
    </xf>
    <xf numFmtId="0" fontId="16" fillId="0" borderId="0" pivotButton="0" quotePrefix="0" xfId="0"/>
    <xf numFmtId="167" fontId="17" fillId="0" borderId="0" pivotButton="0" quotePrefix="0" xfId="0"/>
    <xf numFmtId="168" fontId="17" fillId="0" borderId="0" applyAlignment="1" pivotButton="0" quotePrefix="0" xfId="0">
      <alignment horizontal="right"/>
    </xf>
    <xf numFmtId="168" fontId="15" fillId="2" borderId="0" applyAlignment="1" pivotButton="0" quotePrefix="0" xfId="0">
      <alignment horizontal="right"/>
    </xf>
    <xf numFmtId="169" fontId="15" fillId="0" borderId="0" applyAlignment="1" pivotButton="0" quotePrefix="0" xfId="0">
      <alignment horizontal="right"/>
    </xf>
    <xf numFmtId="169" fontId="15" fillId="2" borderId="0" applyAlignment="1" pivotButton="0" quotePrefix="0" xfId="0">
      <alignment horizontal="right"/>
    </xf>
    <xf numFmtId="167" fontId="3" fillId="0" borderId="2" applyAlignment="1" pivotButton="0" quotePrefix="0" xfId="0">
      <alignment horizontal="right"/>
    </xf>
    <xf numFmtId="167" fontId="9" fillId="2" borderId="2" applyAlignment="1" pivotButton="0" quotePrefix="0" xfId="0">
      <alignment horizontal="right"/>
    </xf>
    <xf numFmtId="166" fontId="15" fillId="0" borderId="0" pivotButton="0" quotePrefix="0" xfId="0"/>
    <xf numFmtId="167" fontId="17" fillId="0" borderId="0" applyAlignment="1" pivotButton="0" quotePrefix="0" xfId="0">
      <alignment horizontal="right"/>
    </xf>
    <xf numFmtId="167" fontId="15" fillId="2" borderId="0" applyAlignment="1" pivotButton="0" quotePrefix="0" xfId="0">
      <alignment horizontal="right"/>
    </xf>
    <xf numFmtId="166" fontId="15" fillId="0" borderId="0" applyAlignment="1" pivotButton="0" quotePrefix="0" xfId="0">
      <alignment horizontal="right"/>
    </xf>
    <xf numFmtId="166" fontId="12" fillId="6" borderId="0" pivotButton="0" quotePrefix="0" xfId="0"/>
    <xf numFmtId="168" fontId="15" fillId="0" borderId="0" applyAlignment="1" pivotButton="0" quotePrefix="0" xfId="0">
      <alignment horizontal="right"/>
    </xf>
    <xf numFmtId="170" fontId="17" fillId="0" borderId="0" pivotButton="0" quotePrefix="0" xfId="0"/>
    <xf numFmtId="166" fontId="17" fillId="0" borderId="0" applyAlignment="1" pivotButton="0" quotePrefix="0" xfId="0">
      <alignment horizontal="right"/>
    </xf>
    <xf numFmtId="171" fontId="3" fillId="8" borderId="0" applyAlignment="1" pivotButton="0" quotePrefix="0" xfId="0">
      <alignment horizontal="center"/>
    </xf>
    <xf numFmtId="166" fontId="17" fillId="0" borderId="0" pivotButton="0" quotePrefix="0" xfId="0"/>
    <xf numFmtId="167" fontId="9" fillId="0" borderId="2" applyAlignment="1" pivotButton="0" quotePrefix="0" xfId="0">
      <alignment horizontal="right"/>
    </xf>
    <xf numFmtId="167" fontId="15" fillId="0" borderId="0" applyAlignment="1" pivotButton="0" quotePrefix="0" xfId="0">
      <alignment horizontal="right"/>
    </xf>
    <xf numFmtId="164" fontId="17" fillId="0" borderId="0" applyAlignment="1" pivotButton="0" quotePrefix="0" xfId="0">
      <alignment horizontal="right"/>
    </xf>
    <xf numFmtId="166" fontId="3" fillId="2" borderId="0" applyAlignment="1" pivotButton="0" quotePrefix="0" xfId="0">
      <alignment horizontal="right"/>
    </xf>
    <xf numFmtId="1" fontId="3" fillId="2" borderId="0" applyAlignment="1" pivotButton="0" quotePrefix="0" xfId="0">
      <alignment horizontal="right"/>
    </xf>
    <xf numFmtId="1" fontId="15" fillId="2" borderId="0" applyAlignment="1" pivotButton="0" quotePrefix="0" xfId="0">
      <alignment horizontal="right"/>
    </xf>
    <xf numFmtId="167" fontId="3" fillId="2" borderId="0" applyAlignment="1" pivotButton="0" quotePrefix="0" xfId="0">
      <alignment horizontal="right"/>
    </xf>
    <xf numFmtId="172" fontId="3" fillId="8" borderId="0" applyAlignment="1" pivotButton="0" quotePrefix="0" xfId="0">
      <alignment horizontal="center"/>
    </xf>
    <xf numFmtId="167" fontId="15" fillId="0" borderId="0" pivotButton="0" quotePrefix="0" xfId="0"/>
    <xf numFmtId="170" fontId="3" fillId="2" borderId="0" applyAlignment="1" pivotButton="0" quotePrefix="0" xfId="0">
      <alignment horizontal="right"/>
    </xf>
    <xf numFmtId="170" fontId="15" fillId="2" borderId="0" applyAlignment="1" pivotButton="0" quotePrefix="0" xfId="0">
      <alignment horizontal="right"/>
    </xf>
    <xf numFmtId="167" fontId="3" fillId="2" borderId="2" applyAlignment="1" pivotButton="0" quotePrefix="0" xfId="0">
      <alignment horizontal="right"/>
    </xf>
    <xf numFmtId="0" fontId="11" fillId="5" borderId="2" pivotButton="0" quotePrefix="0" xfId="0"/>
    <xf numFmtId="167" fontId="9" fillId="6" borderId="2" applyAlignment="1" pivotButton="0" quotePrefix="0" xfId="0">
      <alignment horizontal="right"/>
    </xf>
    <xf numFmtId="0" fontId="18" fillId="0" borderId="0" pivotButton="0" quotePrefix="0" xfId="0"/>
    <xf numFmtId="167" fontId="3" fillId="6" borderId="2" applyAlignment="1" pivotButton="0" quotePrefix="0" xfId="0">
      <alignment horizontal="right"/>
    </xf>
    <xf numFmtId="164" fontId="15" fillId="2" borderId="0" applyAlignment="1" pivotButton="0" quotePrefix="0" xfId="0">
      <alignment horizontal="right"/>
    </xf>
    <xf numFmtId="168" fontId="9" fillId="6" borderId="2" applyAlignment="1" pivotButton="0" quotePrefix="0" xfId="0">
      <alignment horizontal="right"/>
    </xf>
    <xf numFmtId="168" fontId="9" fillId="0" borderId="2" applyAlignment="1" pivotButton="0" quotePrefix="0" xfId="0">
      <alignment horizontal="right"/>
    </xf>
    <xf numFmtId="168" fontId="9" fillId="2" borderId="2" applyAlignment="1" pivotButton="0" quotePrefix="0" xfId="0">
      <alignment horizontal="right"/>
    </xf>
    <xf numFmtId="164" fontId="15" fillId="0" borderId="0" applyAlignment="1" pivotButton="0" quotePrefix="0" xfId="0">
      <alignment horizontal="right"/>
    </xf>
    <xf numFmtId="173" fontId="15" fillId="0" borderId="0" applyAlignment="1" pivotButton="0" quotePrefix="0" xfId="0">
      <alignment horizontal="right"/>
    </xf>
    <xf numFmtId="173" fontId="15" fillId="2" borderId="0" applyAlignment="1" pivotButton="0" quotePrefix="0" xfId="0">
      <alignment horizontal="right"/>
    </xf>
    <xf numFmtId="164" fontId="3" fillId="2" borderId="0" applyAlignment="1" pivotButton="0" quotePrefix="0" xfId="0">
      <alignment horizontal="right"/>
    </xf>
    <xf numFmtId="174" fontId="15" fillId="0" borderId="0" applyAlignment="1" pivotButton="0" quotePrefix="0" xfId="0">
      <alignment horizontal="right"/>
    </xf>
    <xf numFmtId="174" fontId="3" fillId="2" borderId="0" applyAlignment="1" pivotButton="0" quotePrefix="0" xfId="0">
      <alignment horizontal="right"/>
    </xf>
    <xf numFmtId="0" fontId="13" fillId="8" borderId="0" pivotButton="0" quotePrefix="0" xfId="0"/>
    <xf numFmtId="166" fontId="9" fillId="6" borderId="2" applyAlignment="1" pivotButton="0" quotePrefix="0" xfId="0">
      <alignment horizontal="right"/>
    </xf>
    <xf numFmtId="173" fontId="9" fillId="6" borderId="2" applyAlignment="1" pivotButton="0" quotePrefix="0" xfId="0">
      <alignment horizontal="right"/>
    </xf>
    <xf numFmtId="168" fontId="3" fillId="2" borderId="0" applyAlignment="1" pivotButton="0" quotePrefix="0" xfId="0">
      <alignment horizontal="right"/>
    </xf>
    <xf numFmtId="0" fontId="20" fillId="0" borderId="0" pivotButton="0" quotePrefix="0" xfId="0"/>
    <xf numFmtId="4" fontId="21" fillId="2" borderId="0" pivotButton="0" quotePrefix="0" xfId="0"/>
    <xf numFmtId="0" fontId="22" fillId="6" borderId="0" pivotButton="0" quotePrefix="0" xfId="0"/>
    <xf numFmtId="0" fontId="12" fillId="0" borderId="0" pivotButton="0" quotePrefix="0" xfId="0"/>
    <xf numFmtId="0" fontId="21" fillId="3" borderId="0" pivotButton="0" quotePrefix="0" xfId="0"/>
    <xf numFmtId="0" fontId="23" fillId="5" borderId="0" pivotButton="0" quotePrefix="0" xfId="0"/>
    <xf numFmtId="0" fontId="22" fillId="0" borderId="0" pivotButton="0" quotePrefix="0" xfId="0"/>
    <xf numFmtId="167" fontId="21" fillId="9" borderId="0" pivotButton="0" quotePrefix="0" xfId="0"/>
    <xf numFmtId="167" fontId="21" fillId="2" borderId="0" pivotButton="0" quotePrefix="0" xfId="0"/>
    <xf numFmtId="175" fontId="12" fillId="10" borderId="0" pivotButton="0" quotePrefix="0" xfId="0"/>
    <xf numFmtId="0" fontId="24" fillId="0" borderId="0" pivotButton="0" quotePrefix="0" xfId="0"/>
    <xf numFmtId="175" fontId="24" fillId="9" borderId="0" pivotButton="0" quotePrefix="0" xfId="0"/>
    <xf numFmtId="175" fontId="24" fillId="2" borderId="0" pivotButton="0" quotePrefix="0" xfId="0"/>
    <xf numFmtId="166" fontId="21" fillId="9" borderId="0" pivotButton="0" quotePrefix="0" xfId="0"/>
    <xf numFmtId="166" fontId="21" fillId="2" borderId="0" pivotButton="0" quotePrefix="0" xfId="0"/>
    <xf numFmtId="166" fontId="24" fillId="9" borderId="0" pivotButton="0" quotePrefix="0" xfId="0"/>
    <xf numFmtId="166" fontId="24" fillId="2" borderId="0" pivotButton="0" quotePrefix="0" xfId="0"/>
    <xf numFmtId="166" fontId="24" fillId="11" borderId="0" pivotButton="0" quotePrefix="0" xfId="0"/>
    <xf numFmtId="164" fontId="21" fillId="9" borderId="0" pivotButton="0" quotePrefix="0" xfId="0"/>
    <xf numFmtId="164" fontId="21" fillId="2" borderId="0" pivotButton="0" quotePrefix="0" xfId="0"/>
    <xf numFmtId="168" fontId="21" fillId="9" borderId="0" pivotButton="0" quotePrefix="0" xfId="0"/>
    <xf numFmtId="168" fontId="21" fillId="2" borderId="0" pivotButton="0" quotePrefix="0" xfId="0"/>
    <xf numFmtId="176" fontId="3" fillId="12" borderId="0" pivotButton="0" quotePrefix="0" xfId="0"/>
    <xf numFmtId="167" fontId="6" fillId="5" borderId="0" pivotButton="0" quotePrefix="0" xfId="0"/>
    <xf numFmtId="175" fontId="24" fillId="0" borderId="0" pivotButton="0" quotePrefix="0" xfId="0"/>
    <xf numFmtId="175" fontId="22" fillId="6" borderId="0" pivotButton="0" quotePrefix="0" xfId="0"/>
    <xf numFmtId="168" fontId="24" fillId="9" borderId="0" pivotButton="0" quotePrefix="0" xfId="0"/>
    <xf numFmtId="168" fontId="24" fillId="2" borderId="0" pivotButton="0" quotePrefix="0" xfId="0"/>
    <xf numFmtId="166" fontId="24" fillId="0" borderId="0" pivotButton="0" quotePrefix="0" xfId="0"/>
    <xf numFmtId="173" fontId="24" fillId="9" borderId="0" pivotButton="0" quotePrefix="0" xfId="0"/>
    <xf numFmtId="173" fontId="24" fillId="2" borderId="0" pivotButton="0" quotePrefix="0" xfId="0"/>
    <xf numFmtId="167" fontId="24" fillId="0" borderId="0" pivotButton="0" quotePrefix="0" xfId="0"/>
    <xf numFmtId="173" fontId="24" fillId="0" borderId="0" pivotButton="0" quotePrefix="0" xfId="0"/>
    <xf numFmtId="167" fontId="25" fillId="0" borderId="0" pivotButton="0" quotePrefix="0" xfId="0"/>
    <xf numFmtId="0" fontId="26" fillId="0" borderId="0" pivotButton="0" quotePrefix="0" xfId="0"/>
    <xf numFmtId="166" fontId="25" fillId="0" borderId="0" pivotButton="0" quotePrefix="0" xfId="0"/>
    <xf numFmtId="0" fontId="28" fillId="5" borderId="0" pivotButton="0" quotePrefix="0" xfId="0"/>
    <xf numFmtId="0" fontId="29" fillId="0" borderId="0" pivotButton="0" quotePrefix="0" xfId="0"/>
    <xf numFmtId="177" fontId="29" fillId="0" borderId="0" pivotButton="0" quotePrefix="0" xfId="0"/>
    <xf numFmtId="167" fontId="29" fillId="0" borderId="0" pivotButton="0" quotePrefix="0" xfId="0"/>
    <xf numFmtId="166" fontId="30" fillId="0" borderId="0" pivotButton="0" quotePrefix="0" xfId="0"/>
    <xf numFmtId="178" fontId="29" fillId="0" borderId="0" pivotButton="0" quotePrefix="0" xfId="0"/>
    <xf numFmtId="2" fontId="29" fillId="0" borderId="0" pivotButton="0" quotePrefix="0" xfId="0"/>
    <xf numFmtId="179" fontId="29" fillId="0" borderId="0" pivotButton="0" quotePrefix="0" xfId="0"/>
    <xf numFmtId="167" fontId="30" fillId="0" borderId="0" pivotButton="0" quotePrefix="0" xfId="0"/>
    <xf numFmtId="0" fontId="31" fillId="0" borderId="0" pivotButton="0" quotePrefix="0" xfId="0"/>
    <xf numFmtId="166" fontId="31" fillId="0" borderId="0" pivotButton="0" quotePrefix="0" xfId="0"/>
    <xf numFmtId="166" fontId="29" fillId="0" borderId="0" pivotButton="0" quotePrefix="0" xfId="0"/>
    <xf numFmtId="164" fontId="29" fillId="0" borderId="0" pivotButton="0" quotePrefix="0" xfId="0"/>
    <xf numFmtId="4" fontId="29" fillId="0" borderId="0" pivotButton="0" quotePrefix="0" xfId="0"/>
    <xf numFmtId="178" fontId="32" fillId="0" borderId="0" pivotButton="0" quotePrefix="0" xfId="0"/>
    <xf numFmtId="3" fontId="29" fillId="0" borderId="0" pivotButton="0" quotePrefix="0" xfId="0"/>
    <xf numFmtId="3" fontId="29" fillId="3" borderId="0" pivotButton="0" quotePrefix="0" xfId="0"/>
    <xf numFmtId="176" fontId="29" fillId="0" borderId="0" pivotButton="0" quotePrefix="0" xfId="0"/>
    <xf numFmtId="0" fontId="33" fillId="0" borderId="0" pivotButton="0" quotePrefix="0" xfId="0"/>
    <xf numFmtId="10" fontId="32" fillId="2" borderId="0" pivotButton="0" quotePrefix="0" xfId="0"/>
    <xf numFmtId="0" fontId="34" fillId="0" borderId="0" pivotButton="0" quotePrefix="0" xfId="0"/>
    <xf numFmtId="2" fontId="32" fillId="2" borderId="0" pivotButton="0" quotePrefix="0" xfId="0"/>
    <xf numFmtId="10" fontId="33" fillId="0" borderId="0" pivotButton="0" quotePrefix="0" xfId="0"/>
    <xf numFmtId="0" fontId="35" fillId="0" borderId="0" pivotButton="0" quotePrefix="0" xfId="0"/>
    <xf numFmtId="10" fontId="35" fillId="6" borderId="0" pivotButton="0" quotePrefix="0" xfId="0"/>
    <xf numFmtId="167" fontId="36" fillId="0" borderId="0" pivotButton="0" quotePrefix="0" xfId="0"/>
    <xf numFmtId="0" fontId="35" fillId="6" borderId="0" pivotButton="0" quotePrefix="0" xfId="0"/>
    <xf numFmtId="167" fontId="35" fillId="6" borderId="0" pivotButton="0" quotePrefix="0" xfId="0"/>
    <xf numFmtId="178" fontId="32" fillId="2" borderId="0" pivotButton="0" quotePrefix="0" xfId="0"/>
    <xf numFmtId="178" fontId="30" fillId="2" borderId="0" pivotButton="0" quotePrefix="0" xfId="0"/>
    <xf numFmtId="178" fontId="37" fillId="3" borderId="0" pivotButton="0" quotePrefix="0" xfId="0"/>
    <xf numFmtId="10" fontId="30" fillId="0" borderId="0" pivotButton="0" quotePrefix="0" xfId="0"/>
    <xf numFmtId="1" fontId="32" fillId="2" borderId="0" pivotButton="0" quotePrefix="0" xfId="0"/>
    <xf numFmtId="0" fontId="30" fillId="0" borderId="0" applyAlignment="1" pivotButton="0" quotePrefix="0" xfId="0">
      <alignment horizontal="right"/>
    </xf>
    <xf numFmtId="178" fontId="32" fillId="13" borderId="0" pivotButton="0" quotePrefix="0" xfId="0"/>
    <xf numFmtId="1" fontId="32" fillId="13" borderId="0" pivotButton="0" quotePrefix="0" xfId="0"/>
    <xf numFmtId="0" fontId="38" fillId="2" borderId="0" pivotButton="0" quotePrefix="0" xfId="0"/>
    <xf numFmtId="0" fontId="16" fillId="0" borderId="3" pivotButton="0" quotePrefix="0" xfId="0"/>
    <xf numFmtId="168" fontId="15" fillId="0" borderId="3" applyAlignment="1" pivotButton="0" quotePrefix="0" xfId="0">
      <alignment horizontal="right"/>
    </xf>
    <xf numFmtId="168" fontId="15" fillId="2" borderId="3" applyAlignment="1" pivotButton="0" quotePrefix="0" xfId="0">
      <alignment horizontal="right"/>
    </xf>
    <xf numFmtId="9" fontId="30" fillId="0" borderId="0" applyAlignment="1" pivotButton="0" quotePrefix="0" xfId="1">
      <alignment horizontal="left"/>
    </xf>
    <xf numFmtId="0" fontId="11" fillId="5" borderId="0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shrinkToFit="1"/>
    </xf>
    <xf numFmtId="0" fontId="0" fillId="2" borderId="0" pivotButton="0" quotePrefix="0" xfId="0"/>
    <xf numFmtId="0" fontId="0" fillId="0" borderId="2" pivotButton="0" quotePrefix="0" xfId="0"/>
    <xf numFmtId="166" fontId="17" fillId="2" borderId="0" applyAlignment="1" pivotButton="0" quotePrefix="0" xfId="0">
      <alignment horizontal="right"/>
    </xf>
    <xf numFmtId="0" fontId="39" fillId="0" borderId="0" pivotButton="0" quotePrefix="0" xfId="0"/>
    <xf numFmtId="0" fontId="0" fillId="2" borderId="2" pivotButton="0" quotePrefix="0" xfId="0"/>
    <xf numFmtId="0" fontId="40" fillId="0" borderId="0" pivotButton="0" quotePrefix="0" xfId="0"/>
    <xf numFmtId="0" fontId="1" fillId="0" borderId="0" pivotButton="0" quotePrefix="0" xfId="0"/>
    <xf numFmtId="0" fontId="0" fillId="6" borderId="2" pivotButton="0" quotePrefix="0" xfId="0"/>
    <xf numFmtId="177" fontId="0" fillId="0" borderId="0" pivotButton="0" quotePrefix="0" xfId="0"/>
    <xf numFmtId="0" fontId="11" fillId="5" borderId="0" pivotButton="0" quotePrefix="0" xfId="0"/>
    <xf numFmtId="0" fontId="11" fillId="5" borderId="0" applyAlignment="1" pivotButton="0" quotePrefix="0" xfId="0">
      <alignment horizontal="right"/>
    </xf>
    <xf numFmtId="166" fontId="8" fillId="0" borderId="0" pivotButton="0" quotePrefix="0" xfId="0"/>
    <xf numFmtId="4" fontId="11" fillId="5" borderId="0" pivotButton="0" quotePrefix="0" xfId="0"/>
    <xf numFmtId="4" fontId="8" fillId="0" borderId="0" pivotButton="0" quotePrefix="0" xfId="0"/>
    <xf numFmtId="178" fontId="8" fillId="0" borderId="0" pivotButton="0" quotePrefix="0" xfId="0"/>
    <xf numFmtId="176" fontId="11" fillId="5" borderId="0" pivotButton="0" quotePrefix="0" xfId="0"/>
    <xf numFmtId="10" fontId="46" fillId="13" borderId="0" pivotButton="0" quotePrefix="0" xfId="0"/>
    <xf numFmtId="2" fontId="46" fillId="13" borderId="0" pivotButton="0" quotePrefix="0" xfId="0"/>
    <xf numFmtId="10" fontId="45" fillId="0" borderId="0" pivotButton="0" quotePrefix="0" xfId="0"/>
    <xf numFmtId="180" fontId="46" fillId="0" borderId="0" applyAlignment="1" pivotButton="0" quotePrefix="0" xfId="0">
      <alignment horizontal="center"/>
    </xf>
    <xf numFmtId="167" fontId="49" fillId="0" borderId="0" pivotButton="0" quotePrefix="0" xfId="0"/>
    <xf numFmtId="167" fontId="45" fillId="0" borderId="0" pivotButton="0" quotePrefix="0" xfId="0"/>
    <xf numFmtId="166" fontId="45" fillId="0" borderId="0" pivotButton="0" quotePrefix="0" xfId="0"/>
    <xf numFmtId="166" fontId="45" fillId="0" borderId="0" applyAlignment="1" pivotButton="0" quotePrefix="0" xfId="0">
      <alignment horizontal="center"/>
    </xf>
    <xf numFmtId="2" fontId="45" fillId="0" borderId="0" pivotButton="0" quotePrefix="0" xfId="0"/>
    <xf numFmtId="167" fontId="48" fillId="0" borderId="0" pivotButton="0" quotePrefix="0" xfId="0"/>
    <xf numFmtId="167" fontId="48" fillId="16" borderId="0" pivotButton="0" quotePrefix="0" xfId="0"/>
    <xf numFmtId="166" fontId="48" fillId="16" borderId="0" pivotButton="0" quotePrefix="0" xfId="0"/>
    <xf numFmtId="166" fontId="48" fillId="16" borderId="0" applyAlignment="1" pivotButton="0" quotePrefix="0" xfId="0">
      <alignment horizontal="center"/>
    </xf>
    <xf numFmtId="178" fontId="46" fillId="13" borderId="0" pivotButton="0" quotePrefix="0" xfId="0"/>
    <xf numFmtId="178" fontId="45" fillId="13" borderId="0" pivotButton="0" quotePrefix="0" xfId="0"/>
    <xf numFmtId="178" fontId="51" fillId="17" borderId="0" pivotButton="0" quotePrefix="0" xfId="0"/>
    <xf numFmtId="179" fontId="45" fillId="0" borderId="0" pivotButton="0" quotePrefix="0" xfId="0"/>
    <xf numFmtId="181" fontId="49" fillId="0" borderId="0" pivotButton="0" quotePrefix="0" xfId="0"/>
    <xf numFmtId="4" fontId="44" fillId="14" borderId="0" pivotButton="0" quotePrefix="0" xfId="0"/>
    <xf numFmtId="4" fontId="49" fillId="0" borderId="0" pivotButton="0" quotePrefix="0" xfId="0"/>
    <xf numFmtId="182" fontId="48" fillId="16" borderId="0" pivotButton="0" quotePrefix="0" xfId="0"/>
    <xf numFmtId="4" fontId="48" fillId="16" borderId="0" pivotButton="0" quotePrefix="0" xfId="0"/>
    <xf numFmtId="1" fontId="46" fillId="13" borderId="0" pivotButton="0" quotePrefix="0" xfId="0"/>
    <xf numFmtId="0" fontId="41" fillId="0" borderId="0" pivotButton="0" quotePrefix="0" xfId="0"/>
    <xf numFmtId="0" fontId="42" fillId="14" borderId="0" pivotButton="0" quotePrefix="0" xfId="0"/>
    <xf numFmtId="0" fontId="43" fillId="14" borderId="0" pivotButton="0" quotePrefix="0" xfId="0"/>
    <xf numFmtId="0" fontId="44" fillId="15" borderId="0" pivotButton="0" quotePrefix="0" xfId="0"/>
    <xf numFmtId="0" fontId="43" fillId="15" borderId="0" pivotButton="0" quotePrefix="0" xfId="0"/>
    <xf numFmtId="0" fontId="45" fillId="0" borderId="0" pivotButton="0" quotePrefix="0" xfId="0"/>
    <xf numFmtId="0" fontId="47" fillId="0" borderId="0" pivotButton="0" quotePrefix="0" xfId="0"/>
    <xf numFmtId="0" fontId="48" fillId="0" borderId="0" pivotButton="0" quotePrefix="0" xfId="0"/>
    <xf numFmtId="0" fontId="48" fillId="16" borderId="0" pivotButton="0" quotePrefix="0" xfId="0"/>
    <xf numFmtId="0" fontId="41" fillId="15" borderId="0" pivotButton="0" quotePrefix="0" xfId="0"/>
    <xf numFmtId="0" fontId="44" fillId="14" borderId="0" pivotButton="0" quotePrefix="0" xfId="0"/>
    <xf numFmtId="0" fontId="44" fillId="14" borderId="0" applyAlignment="1" pivotButton="0" quotePrefix="0" xfId="0">
      <alignment horizontal="center"/>
    </xf>
    <xf numFmtId="0" fontId="43" fillId="14" borderId="0" applyAlignment="1" pivotButton="0" quotePrefix="0" xfId="0">
      <alignment horizontal="center"/>
    </xf>
    <xf numFmtId="0" fontId="47" fillId="0" borderId="0" applyAlignment="1" pivotButton="0" quotePrefix="0" xfId="0">
      <alignment horizontal="right"/>
    </xf>
    <xf numFmtId="0" fontId="50" fillId="0" borderId="0" applyAlignment="1" pivotButton="0" quotePrefix="0" xfId="0">
      <alignment horizontal="centerContinuous"/>
    </xf>
    <xf numFmtId="0" fontId="44" fillId="15" borderId="0" applyAlignment="1" pivotButton="0" quotePrefix="0" xfId="0">
      <alignment horizontal="right"/>
    </xf>
    <xf numFmtId="1" fontId="46" fillId="13" borderId="0" applyAlignment="1" pivotButton="0" quotePrefix="0" xfId="0">
      <alignment horizontal="center"/>
    </xf>
    <xf numFmtId="167" fontId="49" fillId="0" borderId="0" applyAlignment="1" pivotButton="0" quotePrefix="0" xfId="0">
      <alignment horizontal="right"/>
    </xf>
    <xf numFmtId="178" fontId="49" fillId="0" borderId="0" applyAlignment="1" pivotButton="0" quotePrefix="0" xfId="0">
      <alignment horizontal="right"/>
    </xf>
    <xf numFmtId="167" fontId="45" fillId="0" borderId="0" applyAlignment="1" pivotButton="0" quotePrefix="0" xfId="0">
      <alignment horizontal="right"/>
    </xf>
    <xf numFmtId="181" fontId="49" fillId="0" borderId="0" applyAlignment="1" pivotButton="0" quotePrefix="0" xfId="0">
      <alignment horizontal="right"/>
    </xf>
    <xf numFmtId="4" fontId="44" fillId="14" borderId="0" applyAlignment="1" pivotButton="0" quotePrefix="0" xfId="0">
      <alignment horizontal="right"/>
    </xf>
    <xf numFmtId="4" fontId="45" fillId="0" borderId="0" applyAlignment="1" pivotButton="0" quotePrefix="0" xfId="0">
      <alignment horizontal="right"/>
    </xf>
    <xf numFmtId="166" fontId="45" fillId="0" borderId="0" applyAlignment="1" pivotButton="0" quotePrefix="0" xfId="0">
      <alignment horizontal="right"/>
    </xf>
    <xf numFmtId="10" fontId="48" fillId="16" borderId="4" pivotButton="0" quotePrefix="0" xfId="0"/>
    <xf numFmtId="0" fontId="48" fillId="16" borderId="4" pivotButton="0" quotePrefix="0" xfId="0"/>
    <xf numFmtId="0" fontId="50" fillId="16" borderId="4" pivotButton="0" quotePrefix="0" xfId="0"/>
    <xf numFmtId="167" fontId="48" fillId="16" borderId="4" pivotButton="0" quotePrefix="0" xfId="0"/>
    <xf numFmtId="0" fontId="45" fillId="0" borderId="4" pivotButton="0" quotePrefix="0" xfId="0"/>
    <xf numFmtId="0" fontId="41" fillId="0" borderId="4" pivotButton="0" quotePrefix="0" xfId="0"/>
    <xf numFmtId="167" fontId="45" fillId="0" borderId="4" pivotButton="0" quotePrefix="0" xfId="0"/>
    <xf numFmtId="0" fontId="48" fillId="0" borderId="4" pivotButton="0" quotePrefix="0" xfId="0"/>
    <xf numFmtId="167" fontId="48" fillId="0" borderId="4" pivotButton="0" quotePrefix="0" xfId="0"/>
    <xf numFmtId="3" fontId="45" fillId="0" borderId="0" applyAlignment="1" pivotButton="0" quotePrefix="0" xfId="0">
      <alignment horizontal="center"/>
    </xf>
    <xf numFmtId="3" fontId="48" fillId="17" borderId="0" applyAlignment="1" pivotButton="0" quotePrefix="0" xfId="0">
      <alignment horizontal="center"/>
    </xf>
    <xf numFmtId="0" fontId="43" fillId="14" borderId="4" pivotButton="0" quotePrefix="0" xfId="0"/>
    <xf numFmtId="10" fontId="44" fillId="14" borderId="4" applyAlignment="1" pivotButton="0" quotePrefix="0" xfId="0">
      <alignment horizontal="center"/>
    </xf>
    <xf numFmtId="0" fontId="41" fillId="0" borderId="5" pivotButton="0" quotePrefix="0" xfId="0"/>
    <xf numFmtId="3" fontId="45" fillId="0" borderId="5" applyAlignment="1" pivotButton="0" quotePrefix="0" xfId="0">
      <alignment horizontal="center"/>
    </xf>
    <xf numFmtId="0" fontId="44" fillId="14" borderId="6" pivotButton="0" quotePrefix="0" xfId="0"/>
    <xf numFmtId="10" fontId="48" fillId="0" borderId="7" applyAlignment="1" pivotButton="0" quotePrefix="0" xfId="0">
      <alignment horizontal="right"/>
    </xf>
    <xf numFmtId="10" fontId="48" fillId="0" borderId="8" applyAlignment="1" pivotButton="0" quotePrefix="0" xfId="0">
      <alignment horizontal="right"/>
    </xf>
    <xf numFmtId="10" fontId="44" fillId="14" borderId="9" applyAlignment="1" pivotButton="0" quotePrefix="0" xfId="0">
      <alignment horizontal="center"/>
    </xf>
    <xf numFmtId="3" fontId="45" fillId="0" borderId="10" applyAlignment="1" pivotButton="0" quotePrefix="0" xfId="0">
      <alignment horizontal="center"/>
    </xf>
    <xf numFmtId="3" fontId="45" fillId="0" borderId="11" applyAlignment="1" pivotButton="0" quotePrefix="0" xfId="0">
      <alignment horizontal="center"/>
    </xf>
    <xf numFmtId="0" fontId="45" fillId="0" borderId="0" applyAlignment="1" pivotButton="0" quotePrefix="0" xfId="0">
      <alignment horizontal="left" indent="2"/>
    </xf>
    <xf numFmtId="10" fontId="49" fillId="0" borderId="0" applyAlignment="1" pivotButton="0" quotePrefix="0" xfId="0">
      <alignment horizontal="center"/>
    </xf>
    <xf numFmtId="10" fontId="46" fillId="13" borderId="0" applyAlignment="1" pivotButton="0" quotePrefix="0" xfId="0">
      <alignment horizontal="center"/>
    </xf>
    <xf numFmtId="183" fontId="45" fillId="0" borderId="0" applyAlignment="1" pivotButton="0" quotePrefix="0" xfId="0">
      <alignment horizontal="center"/>
    </xf>
    <xf numFmtId="2" fontId="45" fillId="0" borderId="0" applyAlignment="1" pivotButton="0" quotePrefix="0" xfId="0">
      <alignment horizontal="center"/>
    </xf>
    <xf numFmtId="179" fontId="45" fillId="0" borderId="0" applyAlignment="1" pivotButton="0" quotePrefix="0" xfId="0">
      <alignment horizontal="center"/>
    </xf>
    <xf numFmtId="176" fontId="44" fillId="14" borderId="0" applyAlignment="1" pivotButton="0" quotePrefix="0" xfId="0">
      <alignment horizontal="center"/>
    </xf>
    <xf numFmtId="176" fontId="45" fillId="0" borderId="0" applyAlignment="1" pivotButton="0" quotePrefix="0" xfId="0">
      <alignment horizontal="right"/>
    </xf>
    <xf numFmtId="182" fontId="48" fillId="16" borderId="0" applyAlignment="1" pivotButton="0" quotePrefix="0" xfId="0">
      <alignment horizontal="right"/>
    </xf>
    <xf numFmtId="176" fontId="44" fillId="14" borderId="0" applyAlignment="1" pivotButton="0" quotePrefix="0" xfId="0">
      <alignment horizontal="right"/>
    </xf>
    <xf numFmtId="184" fontId="48" fillId="0" borderId="0" applyAlignment="1" pivotButton="0" quotePrefix="0" xfId="0">
      <alignment horizontal="right"/>
    </xf>
    <xf numFmtId="167" fontId="25" fillId="2" borderId="0" pivotButton="0" quotePrefix="0" xfId="0"/>
    <xf numFmtId="185" fontId="25" fillId="2" borderId="0" pivotButton="0" quotePrefix="0" xfId="0"/>
    <xf numFmtId="168" fontId="25" fillId="2" borderId="0" pivotButton="0" quotePrefix="0" xfId="0"/>
    <xf numFmtId="0" fontId="0" fillId="0" borderId="0" pivotButton="0" quotePrefix="0" xfId="0"/>
    <xf numFmtId="0" fontId="54" fillId="0" borderId="0" pivotButton="0" quotePrefix="0" xfId="0"/>
    <xf numFmtId="164" fontId="51" fillId="0" borderId="2" applyAlignment="1" pivotButton="0" quotePrefix="0" xfId="0">
      <alignment horizontal="right"/>
    </xf>
    <xf numFmtId="164" fontId="48" fillId="2" borderId="2" applyAlignment="1" pivotButton="0" quotePrefix="0" xfId="0">
      <alignment horizontal="right"/>
    </xf>
    <xf numFmtId="166" fontId="55" fillId="0" borderId="0" applyAlignment="1" pivotButton="0" quotePrefix="0" xfId="0">
      <alignment horizontal="right"/>
    </xf>
    <xf numFmtId="166" fontId="45" fillId="2" borderId="0" applyAlignment="1" pivotButton="0" quotePrefix="0" xfId="0">
      <alignment horizontal="right"/>
    </xf>
    <xf numFmtId="164" fontId="46" fillId="0" borderId="0" pivotButton="0" quotePrefix="0" xfId="0"/>
    <xf numFmtId="166" fontId="46" fillId="0" borderId="0" pivotButton="0" quotePrefix="0" xfId="0"/>
    <xf numFmtId="164" fontId="46" fillId="0" borderId="0" applyAlignment="1" pivotButton="0" quotePrefix="0" xfId="0">
      <alignment horizontal="right"/>
    </xf>
    <xf numFmtId="164" fontId="51" fillId="2" borderId="0" applyAlignment="1" pivotButton="0" quotePrefix="0" xfId="0">
      <alignment horizontal="right"/>
    </xf>
    <xf numFmtId="164" fontId="45" fillId="2" borderId="0" applyAlignment="1" pivotButton="0" quotePrefix="0" xfId="0">
      <alignment horizontal="right"/>
    </xf>
    <xf numFmtId="176" fontId="17" fillId="0" borderId="0" pivotButton="0" quotePrefix="0" xfId="0"/>
    <xf numFmtId="173" fontId="51" fillId="2" borderId="0" applyAlignment="1" pivotButton="0" quotePrefix="0" xfId="0">
      <alignment horizontal="right"/>
    </xf>
    <xf numFmtId="164" fontId="45" fillId="0" borderId="0" applyAlignment="1" pivotButton="0" quotePrefix="0" xfId="0">
      <alignment horizontal="right"/>
    </xf>
    <xf numFmtId="167" fontId="51" fillId="2" borderId="0" applyAlignment="1" pivotButton="0" quotePrefix="0" xfId="0">
      <alignment horizontal="right"/>
    </xf>
    <xf numFmtId="167" fontId="45" fillId="2" borderId="0" applyAlignment="1" pivotButton="0" quotePrefix="0" xfId="0">
      <alignment horizontal="right"/>
    </xf>
    <xf numFmtId="166" fontId="51" fillId="2" borderId="0" applyAlignment="1" pivotButton="0" quotePrefix="0" xfId="0">
      <alignment horizontal="right"/>
    </xf>
    <xf numFmtId="167" fontId="51" fillId="2" borderId="2" applyAlignment="1" pivotButton="0" quotePrefix="0" xfId="0">
      <alignment horizontal="right"/>
    </xf>
    <xf numFmtId="167" fontId="48" fillId="2" borderId="2" applyAlignment="1" pivotButton="0" quotePrefix="0" xfId="0">
      <alignment horizontal="right"/>
    </xf>
    <xf numFmtId="0" fontId="51" fillId="2" borderId="0" applyAlignment="1" pivotButton="0" quotePrefix="0" xfId="0">
      <alignment horizontal="right"/>
    </xf>
    <xf numFmtId="164" fontId="48" fillId="6" borderId="2" applyAlignment="1" pivotButton="0" quotePrefix="0" xfId="0">
      <alignment horizontal="right"/>
    </xf>
    <xf numFmtId="164" fontId="41" fillId="2" borderId="0" pivotButton="0" quotePrefix="0" xfId="0"/>
    <xf numFmtId="166" fontId="41" fillId="2" borderId="0" pivotButton="0" quotePrefix="0" xfId="0"/>
    <xf numFmtId="164" fontId="51" fillId="6" borderId="2" applyAlignment="1" pivotButton="0" quotePrefix="0" xfId="0">
      <alignment horizontal="right"/>
    </xf>
    <xf numFmtId="186" fontId="51" fillId="2" borderId="0" applyAlignment="1" pivotButton="0" quotePrefix="0" xfId="0">
      <alignment horizontal="right"/>
    </xf>
    <xf numFmtId="168" fontId="48" fillId="6" borderId="2" applyAlignment="1" pivotButton="0" quotePrefix="0" xfId="0">
      <alignment horizontal="right"/>
    </xf>
    <xf numFmtId="168" fontId="46" fillId="0" borderId="0" applyAlignment="1" pivotButton="0" quotePrefix="0" xfId="0">
      <alignment horizontal="right"/>
    </xf>
    <xf numFmtId="168" fontId="45" fillId="0" borderId="0" applyAlignment="1" pivotButton="0" quotePrefix="0" xfId="0">
      <alignment horizontal="right"/>
    </xf>
    <xf numFmtId="168" fontId="45" fillId="2" borderId="0" applyAlignment="1" pivotButton="0" quotePrefix="0" xfId="0">
      <alignment horizontal="right"/>
    </xf>
    <xf numFmtId="164" fontId="48" fillId="0" borderId="2" applyAlignment="1" pivotButton="0" quotePrefix="0" xfId="0">
      <alignment horizontal="right"/>
    </xf>
    <xf numFmtId="0" fontId="56" fillId="0" borderId="0" pivotButton="0" quotePrefix="0" xfId="0"/>
    <xf numFmtId="0" fontId="57" fillId="0" borderId="0" pivotButton="0" quotePrefix="0" xfId="0"/>
    <xf numFmtId="0" fontId="41" fillId="2" borderId="0" pivotButton="0" quotePrefix="0" xfId="0"/>
    <xf numFmtId="173" fontId="45" fillId="0" borderId="0" applyAlignment="1" pivotButton="0" quotePrefix="0" xfId="0">
      <alignment horizontal="right"/>
    </xf>
    <xf numFmtId="173" fontId="45" fillId="2" borderId="0" applyAlignment="1" pivotButton="0" quotePrefix="0" xfId="0">
      <alignment horizontal="right"/>
    </xf>
    <xf numFmtId="186" fontId="45" fillId="2" borderId="0" applyAlignment="1" pivotButton="0" quotePrefix="0" xfId="0">
      <alignment horizontal="right"/>
    </xf>
    <xf numFmtId="174" fontId="45" fillId="0" borderId="0" applyAlignment="1" pivotButton="0" quotePrefix="0" xfId="0">
      <alignment horizontal="right"/>
    </xf>
    <xf numFmtId="174" fontId="51" fillId="2" borderId="0" applyAlignment="1" pivotButton="0" quotePrefix="0" xfId="0">
      <alignment horizontal="right"/>
    </xf>
    <xf numFmtId="176" fontId="45" fillId="2" borderId="0" applyAlignment="1" pivotButton="0" quotePrefix="0" xfId="0">
      <alignment horizontal="right"/>
    </xf>
    <xf numFmtId="166" fontId="48" fillId="6" borderId="2" applyAlignment="1" pivotButton="0" quotePrefix="0" xfId="0">
      <alignment horizontal="right"/>
    </xf>
    <xf numFmtId="173" fontId="48" fillId="6" borderId="2" applyAlignment="1" pivotButton="0" quotePrefix="0" xfId="0">
      <alignment horizontal="right"/>
    </xf>
    <xf numFmtId="177" fontId="0" fillId="0" borderId="0" pivotButton="0" quotePrefix="0" xfId="0"/>
    <xf numFmtId="175" fontId="12" fillId="10" borderId="0" pivotButton="0" quotePrefix="0" xfId="0"/>
    <xf numFmtId="175" fontId="24" fillId="9" borderId="0" pivotButton="0" quotePrefix="0" xfId="0"/>
    <xf numFmtId="175" fontId="24" fillId="2" borderId="0" pivotButton="0" quotePrefix="0" xfId="0"/>
    <xf numFmtId="176" fontId="3" fillId="12" borderId="0" pivotButton="0" quotePrefix="0" xfId="0"/>
    <xf numFmtId="175" fontId="24" fillId="0" borderId="0" pivotButton="0" quotePrefix="0" xfId="0"/>
    <xf numFmtId="175" fontId="22" fillId="6" borderId="0" pivotButton="0" quotePrefix="0" xfId="0"/>
    <xf numFmtId="176" fontId="44" fillId="14" borderId="0" applyAlignment="1" pivotButton="0" quotePrefix="0" xfId="0">
      <alignment horizontal="center"/>
    </xf>
    <xf numFmtId="176" fontId="45" fillId="0" borderId="0" applyAlignment="1" pivotButton="0" quotePrefix="0" xfId="0">
      <alignment horizontal="right"/>
    </xf>
    <xf numFmtId="176" fontId="44" fillId="14" borderId="0" applyAlignment="1" pivotButton="0" quotePrefix="0" xfId="0">
      <alignment horizontal="right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AD2C5"/>
      <rgbColor rgb="FF878787"/>
      <rgbColor rgb="FF84A98C"/>
      <rgbColor rgb="FF595959"/>
      <rgbColor rgb="FFFFF8DC"/>
      <rgbColor rgb="FFE8ED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CEC"/>
      <rgbColor rgb="FFF0F2F0"/>
      <rgbColor rgb="FFFFFDE7"/>
      <rgbColor rgb="FFA8C5D6"/>
      <rgbColor rgb="FFFF99CC"/>
      <rgbColor rgb="FFCC99FF"/>
      <rgbColor rgb="FFF5F5F5"/>
      <rgbColor rgb="FF3366FF"/>
      <rgbColor rgb="FF33CCCC"/>
      <rgbColor rgb="FF99CC00"/>
      <rgbColor rgb="FFFFCC00"/>
      <rgbColor rgb="FFFF9900"/>
      <rgbColor rgb="FFC8553D"/>
      <rgbColor rgb="FF666666"/>
      <rgbColor rgb="FFA6A6A6"/>
      <rgbColor rgb="FF1F3864"/>
      <rgbColor rgb="FF52796F"/>
      <rgbColor rgb="FF003300"/>
      <rgbColor rgb="FF404040"/>
      <rgbColor rgb="FF993300"/>
      <rgbColor rgb="FF993366"/>
      <rgbColor rgb="FF1F4E79"/>
      <rgbColor rgb="FF2F3E4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Net Sales Growth: Aerospace &amp; Defense vs. Industrial Contribution, pp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Charts!$B$8</c:f>
            </c:strRef>
          </c:tx>
          <c:spPr>
            <a:solidFill>
              <a:srgbClr val="2F3E4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Charts!$C$8:$V$8</c:f>
            </c:numRef>
          </c:val>
          <c:extLst>
            <c:ext xmlns:c16="http://schemas.microsoft.com/office/drawing/2014/chart" uri="{C3380CC4-5D6E-409C-BE32-E72D297353CC}">
              <c16:uniqueId val="{00000000-FF49-44E0-9EFD-670A32200F47}"/>
            </c:ext>
          </c:extLst>
        </c:ser>
        <c:ser>
          <c:idx val="1"/>
          <c:order val="1"/>
          <c:tx>
            <c:strRef>
              <c:f>Charts!$B$9</c:f>
            </c:strRef>
          </c:tx>
          <c:spPr>
            <a:solidFill>
              <a:srgbClr val="84A98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Charts!$C$9:$V$9</c:f>
            </c:numRef>
          </c:val>
          <c:extLst>
            <c:ext xmlns:c16="http://schemas.microsoft.com/office/drawing/2014/chart" uri="{C3380CC4-5D6E-409C-BE32-E72D297353CC}">
              <c16:uniqueId val="{00000001-FF49-44E0-9EFD-670A32200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044735"/>
        <c:axId val="65342648"/>
      </c:barChart>
      <c:catAx>
        <c:axId val="200447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342648"/>
        <c:crosses val="autoZero"/>
        <c:auto val="1"/>
        <c:lblAlgn val="ctr"/>
        <c:lblOffset val="100"/>
        <c:noMultiLvlLbl val="0"/>
      </c:catAx>
      <c:valAx>
        <c:axId val="653426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0447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Adjusted EBITDA &amp; Operating Income (USDm)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Charts!$B$12</c:f>
            </c:strRef>
          </c:tx>
          <c:spPr>
            <a:solidFill>
              <a:srgbClr val="A8C5D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Charts!$C$12:$V$12</c:f>
            </c:numRef>
          </c:val>
          <c:extLst>
            <c:ext xmlns:c16="http://schemas.microsoft.com/office/drawing/2014/chart" uri="{C3380CC4-5D6E-409C-BE32-E72D297353CC}">
              <c16:uniqueId val="{00000000-70F1-4400-9151-F0905619F4D5}"/>
            </c:ext>
          </c:extLst>
        </c:ser>
        <c:ser>
          <c:idx val="1"/>
          <c:order val="1"/>
          <c:tx>
            <c:strRef>
              <c:f>Charts!$B$13</c:f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Charts!$C$13:$V$13</c:f>
            </c:numRef>
          </c:val>
          <c:extLst>
            <c:ext xmlns:c16="http://schemas.microsoft.com/office/drawing/2014/chart" uri="{C3380CC4-5D6E-409C-BE32-E72D297353CC}">
              <c16:uniqueId val="{00000001-70F1-4400-9151-F0905619F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08424"/>
        <c:axId val="81960370"/>
      </c:barChart>
      <c:lineChart>
        <c:grouping val="standard"/>
        <c:varyColors val="0"/>
        <c:ser>
          <c:idx val="2"/>
          <c:order val="2"/>
          <c:tx>
            <c:strRef>
              <c:f>Charts!$B$14</c:f>
            </c:strRef>
          </c:tx>
          <c:spPr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Charts!$C$14:$V$14</c:f>
            </c:numRef>
          </c:val>
          <c:smooth val="1"/>
          <c:extLst>
            <c:ext xmlns:c16="http://schemas.microsoft.com/office/drawing/2014/chart" uri="{C3380CC4-5D6E-409C-BE32-E72D297353CC}">
              <c16:uniqueId val="{00000002-70F1-4400-9151-F0905619F4D5}"/>
            </c:ext>
          </c:extLst>
        </c:ser>
        <c:ser>
          <c:idx val="3"/>
          <c:order val="3"/>
          <c:tx>
            <c:strRef>
              <c:f>Charts!$B$15</c:f>
            </c:strRef>
          </c:tx>
          <c:spPr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Charts!$C$15:$V$15</c:f>
            </c:numRef>
          </c:val>
          <c:smooth val="1"/>
          <c:extLst>
            <c:ext xmlns:c16="http://schemas.microsoft.com/office/drawing/2014/chart" uri="{C3380CC4-5D6E-409C-BE32-E72D297353CC}">
              <c16:uniqueId val="{00000003-70F1-4400-9151-F0905619F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9874911"/>
        <c:axId val="65694817"/>
      </c:lineChart>
      <c:catAx>
        <c:axId val="226084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960370"/>
        <c:crosses val="autoZero"/>
        <c:auto val="1"/>
        <c:lblAlgn val="ctr"/>
        <c:lblOffset val="100"/>
        <c:noMultiLvlLbl val="0"/>
      </c:catAx>
      <c:valAx>
        <c:axId val="819603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608424"/>
        <c:crosses val="autoZero"/>
        <c:crossBetween val="between"/>
      </c:valAx>
      <c:catAx>
        <c:axId val="998749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694817"/>
        <c:crosses val="autoZero"/>
        <c:auto val="1"/>
        <c:lblAlgn val="ctr"/>
        <c:lblOffset val="100"/>
        <c:noMultiLvlLbl val="0"/>
      </c:catAx>
      <c:valAx>
        <c:axId val="65694817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874911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Returns Profile: ROIC, RONTA, Adjusted EBITDA Margin &amp; FCF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Charts!$B$18</c:f>
            </c:strRef>
          </c:tx>
          <c:spPr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Charts!$C$18:$V$18</c:f>
            </c:numRef>
          </c:val>
          <c:smooth val="1"/>
          <c:extLst>
            <c:ext xmlns:c16="http://schemas.microsoft.com/office/drawing/2014/chart" uri="{C3380CC4-5D6E-409C-BE32-E72D297353CC}">
              <c16:uniqueId val="{00000000-D2EB-4AF7-A066-6A1A3BE056BF}"/>
            </c:ext>
          </c:extLst>
        </c:ser>
        <c:ser>
          <c:idx val="1"/>
          <c:order val="1"/>
          <c:tx>
            <c:strRef>
              <c:f>Charts!$B$19</c:f>
            </c:strRef>
          </c:tx>
          <c:spPr>
            <a:ln w="28440">
              <a:solidFill>
                <a:srgbClr val="84A98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Charts!$C$19:$V$19</c:f>
            </c:numRef>
          </c:val>
          <c:smooth val="1"/>
          <c:extLst>
            <c:ext xmlns:c16="http://schemas.microsoft.com/office/drawing/2014/chart" uri="{C3380CC4-5D6E-409C-BE32-E72D297353CC}">
              <c16:uniqueId val="{00000001-D2EB-4AF7-A066-6A1A3BE056BF}"/>
            </c:ext>
          </c:extLst>
        </c:ser>
        <c:ser>
          <c:idx val="2"/>
          <c:order val="2"/>
          <c:tx>
            <c:strRef>
              <c:f>Charts!$B$20</c:f>
            </c:strRef>
          </c:tx>
          <c:spPr>
            <a:ln w="2844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Charts!$C$20:$V$20</c:f>
            </c:numRef>
          </c:val>
          <c:smooth val="1"/>
          <c:extLst>
            <c:ext xmlns:c16="http://schemas.microsoft.com/office/drawing/2014/chart" uri="{C3380CC4-5D6E-409C-BE32-E72D297353CC}">
              <c16:uniqueId val="{00000002-D2EB-4AF7-A066-6A1A3BE056BF}"/>
            </c:ext>
          </c:extLst>
        </c:ser>
        <c:ser>
          <c:idx val="3"/>
          <c:order val="3"/>
          <c:tx>
            <c:strRef>
              <c:f>Charts!$B$21</c:f>
            </c:strRef>
          </c:tx>
          <c:spPr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Charts!$C$21:$V$21</c:f>
            </c:numRef>
          </c:val>
          <c:smooth val="1"/>
          <c:extLst>
            <c:ext xmlns:c16="http://schemas.microsoft.com/office/drawing/2014/chart" uri="{C3380CC4-5D6E-409C-BE32-E72D297353CC}">
              <c16:uniqueId val="{00000003-D2EB-4AF7-A066-6A1A3BE05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7004353"/>
        <c:axId val="61682655"/>
      </c:lineChart>
      <c:catAx>
        <c:axId val="2700435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682655"/>
        <c:crosses val="autoZero"/>
        <c:auto val="1"/>
        <c:lblAlgn val="ctr"/>
        <c:lblOffset val="100"/>
        <c:noMultiLvlLbl val="0"/>
      </c:catAx>
      <c:valAx>
        <c:axId val="616826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0043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omments/comment1.xml><?xml version="1.0" encoding="utf-8"?>
<comments xmlns="http://schemas.openxmlformats.org/spreadsheetml/2006/main">
  <authors>
    <author>RBC model</author>
  </authors>
  <commentList>
    <comment ref="CL2" authorId="0" shapeId="0">
      <text>
        <t>Scenario toggle. Choose Bull / Base / Bear. Drives: Q2 FY27 sales, gross-margin and SG&amp;A guidance end-points (high / mid / low), FY2028E–FY2032E segment sales growth and gross margins, SG&amp;A %, M&amp;A spend and the leverage target for FY2028E+ buybacks (scenario table CT:CX).</t>
      </text>
    </comment>
    <comment ref="B11" authorId="0" shapeId="0">
      <text>
        <t>Source: RBC Bearings earnings releases (Form 8-K Item 2.02, Ex. 99.1) — segment data, net external sales (Aerospace &amp; Defense / Industrial from the Q3 FY22 release; FY2021 and Q3 FY21–Q2 FY22 from the re-presented comparatives in the FY2022–23 releases).</t>
      </text>
    </comment>
    <comment ref="AZ11" authorId="0" shapeId="0">
      <text>
        <t>Re-presented comparative (Q3 FY22 release).</t>
      </text>
    </comment>
    <comment ref="BA11" authorId="0" shapeId="0">
      <text>
        <t>Re-presented comparative (Q4 FY22 release).</t>
      </text>
    </comment>
    <comment ref="BB11" authorId="0" shapeId="0">
      <text>
        <t>FY2021 on the current segment basis, from the FY2022 Q4 release comparative (re-presented).</t>
      </text>
    </comment>
    <comment ref="BC11" authorId="0" shapeId="0">
      <text>
        <t>Re-presented comparative (Q1 FY23 release).</t>
      </text>
    </comment>
    <comment ref="BD11" authorId="0" shapeId="0">
      <text>
        <t>Re-presented comparative (Q2 FY23 release).</t>
      </text>
    </comment>
    <comment ref="CB14" authorId="0" shapeId="0">
      <text>
        <t>8-K 21-Jul-2025 (Items 2.03 / 8.01: $275.0m cash, $200.0m revolver draw); 8-K 20-May-2025 Ex. 99.1 (agreement $310m; LTM revenue ~$118m to 31-Mar-2025); FY2026 10-K Note 21 (final allocation $276.7m; Section 338(h)(10) election); Q1 FY27 release ('$34.4 of net sales this quarter came from VACCO').</t>
      </text>
    </comment>
    <comment ref="B16" authorId="0" shapeId="0">
      <text>
        <t>Source: RBC Bearings Forms 10-Q / 10-K, segment note ("Reportable Segments"; Q4 = fiscal year (10-K) − nine months (Q3 10-Q)). Segment gross margin (the CODM measure). Q1–Q2 FY22 and FY2021 from the re-presented comparatives in the following year's filings.</t>
      </text>
    </comment>
    <comment ref="B20" authorId="0" shapeId="0">
      <text>
        <t>Source: RBC Bearings Forms 10-Q / 10-K, segment note ("Reportable Segments"; Q4 = fiscal year (10-K) − nine months (Q3 10-Q)). Segment operating income was presented FY2022–FY2025 (with SG&amp;A by segment); from FY2026 the note shows gross margin only.</t>
      </text>
    </comment>
    <comment ref="B39" authorId="0" shapeId="0">
      <text>
        <t>Source: RBC Bearings earnings releases (Form 8-K Item 2.02, Ex. 99.1) — segment data, net external sales on the legacy four-segment structure (FY2006: 10-K segment note).</t>
      </text>
    </comment>
    <comment ref="B47" authorId="0" shapeId="0">
      <text>
        <t>Source: RBC Bearings earnings releases (Form 8-K Item 2.02, Ex. 99.1) — selected financial data / text ("Backlog as of ...").</t>
      </text>
    </comment>
    <comment ref="B85" authorId="0" shapeId="0">
      <text>
        <t>Source: 10-Q / 10-K cash-flow statements (year to date; discrete quarters derived, Q4 = FY − 9M).</t>
      </text>
    </comment>
    <comment ref="B86" authorId="0" shapeId="0">
      <text>
        <t>Source: RBC Bearings earnings releases (Form 8-K Item 2.02, Ex. 99.1) — "M&amp;A related amortization" in the adjusted-net-income reconciliation (published from the Q2 FY23 release; re-presented for Q1 FY22–Q1 FY23 in memo only).</t>
      </text>
    </comment>
    <comment ref="C96" authorId="0" shapeId="0">
      <text>
        <t>Company items (2006): Plant consolidation costs 1.0</t>
      </text>
    </comment>
    <comment ref="D96" authorId="0" shapeId="0">
      <text>
        <t>Company items (2007): Nice facility consolidation expense 0.4; Tyson facility consolidation expense 5.1</t>
      </text>
    </comment>
    <comment ref="E96" authorId="0" shapeId="0">
      <text>
        <t>Company items (2008): RBC API facility moving costs 0.7</t>
      </text>
    </comment>
    <comment ref="F96" authorId="0" shapeId="0">
      <text>
        <t>Company items (2009): Facility moving and consolidation expenses 1.2</t>
      </text>
    </comment>
    <comment ref="G96" authorId="0" shapeId="0">
      <text>
        <t>Company items (2010): Restructuring and moving costs 1.2</t>
      </text>
    </comment>
    <comment ref="H96" authorId="0" shapeId="0">
      <text>
        <t>Company items (2011): Restructuring and moving costs 0.2</t>
      </text>
    </comment>
    <comment ref="M96" authorId="0" shapeId="0">
      <text>
        <t>Company items (Q4-13): Consolidation and restructuring of large bearing facilities 6.7</t>
      </text>
    </comment>
    <comment ref="N96" authorId="0" shapeId="0">
      <text>
        <t>Company items (2013): Consolidation and restructuring of large bearing facilities 6.7</t>
      </text>
    </comment>
    <comment ref="O96" authorId="0" shapeId="0">
      <text>
        <t>Company items (Q1-14): Consolidation and restructuring of large bearing facilities 0.6</t>
      </text>
    </comment>
    <comment ref="P96" authorId="0" shapeId="0">
      <text>
        <t>Company items (Q2-14): Consolidation and restructuring of large bearing facilities 0.9</t>
      </text>
    </comment>
    <comment ref="S96" authorId="0" shapeId="0">
      <text>
        <t>Company items (2014): Consolidation and restructuring of large bearing facilities 1.5</t>
      </text>
    </comment>
    <comment ref="U96" authorId="0" shapeId="0">
      <text>
        <t>Company items (Q2-15): Consolidation and restructuring 6.4</t>
      </text>
    </comment>
    <comment ref="V96" authorId="0" shapeId="0">
      <text>
        <t>Company items (Q3-15): Consolidation and restructuring 0.1</t>
      </text>
    </comment>
    <comment ref="X96" authorId="0" shapeId="0">
      <text>
        <t>Company items (2015): Consolidation and restructuring 6.5</t>
      </text>
    </comment>
    <comment ref="Y96" authorId="0" shapeId="0">
      <text>
        <t>Company items (Q1-16): Integration and restructuring 0.8</t>
      </text>
    </comment>
    <comment ref="Z96" authorId="0" shapeId="0">
      <text>
        <t>Company items (Q2-16): Integration and restructuring 0.2</t>
      </text>
    </comment>
    <comment ref="AC96" authorId="0" shapeId="0">
      <text>
        <t>Company items (2016): Integration and restructuring 1.0</t>
      </text>
    </comment>
    <comment ref="AE96" authorId="0" shapeId="0">
      <text>
        <t>Company items (Q2-17): Integration and restructuring 0.2</t>
      </text>
    </comment>
    <comment ref="AF96" authorId="0" shapeId="0">
      <text>
        <t>Company items (Q3-17): Integration and restructuring 7.1</t>
      </text>
    </comment>
    <comment ref="AH96" authorId="0" shapeId="0">
      <text>
        <t>Company items (2017): Integration and restructuring 7.3</t>
      </text>
    </comment>
    <comment ref="AJ96" authorId="0" shapeId="0">
      <text>
        <t>Company items (Q2-18): Restructuring 6.5</t>
      </text>
    </comment>
    <comment ref="AK96" authorId="0" shapeId="0">
      <text>
        <t>Company items (Q3-18): Integration and restructuring 1.1</t>
      </text>
    </comment>
    <comment ref="AL96" authorId="0" shapeId="0">
      <text>
        <t>Company items (Q4-18): Integration and restructuring 0.4</t>
      </text>
    </comment>
    <comment ref="AM96" authorId="0" shapeId="0">
      <text>
        <t>Company items (2018): Integration and restructuring 8.0</t>
      </text>
    </comment>
    <comment ref="AQ96" authorId="0" shapeId="0">
      <text>
        <t>Company items (Q4-19): Integration and restructuring 1.2</t>
      </text>
    </comment>
    <comment ref="AR96" authorId="0" shapeId="0">
      <text>
        <t>Company items (2019): Integration and restructuring 1.2</t>
      </text>
    </comment>
    <comment ref="AT96" authorId="0" shapeId="0">
      <text>
        <t>Company items (Q2-20): Integration and restructuring 0.1</t>
      </text>
    </comment>
    <comment ref="AU96" authorId="0" shapeId="0">
      <text>
        <t>Company items (Q3-20): Integration and restructuring 0.1</t>
      </text>
    </comment>
    <comment ref="AV96" authorId="0" shapeId="0">
      <text>
        <t>Company items (Q4-20): Integration and restructuring 0.8</t>
      </text>
    </comment>
    <comment ref="AW96" authorId="0" shapeId="0">
      <text>
        <t>Company items (2020): Integration and restructuring 1.0</t>
      </text>
    </comment>
    <comment ref="AX96" authorId="0" shapeId="0">
      <text>
        <t>Company items (Q1-21): Restructuring costs and related items 1.1</t>
      </text>
    </comment>
    <comment ref="AY96" authorId="0" shapeId="0">
      <text>
        <t>Company items (Q2-21): Restructuring and consolidation 3.5</t>
      </text>
    </comment>
    <comment ref="AZ96" authorId="0" shapeId="0">
      <text>
        <t>Company items (Q3-21): Restructuring and consolidation 1.3</t>
      </text>
    </comment>
    <comment ref="BA96" authorId="0" shapeId="0">
      <text>
        <t>Company items (Q4-21): Restructuring and consolidation 1.3</t>
      </text>
    </comment>
    <comment ref="BB96" authorId="0" shapeId="0">
      <text>
        <t>Company items (2021): Restructuring and consolidation 7.2</t>
      </text>
    </comment>
    <comment ref="BC96" authorId="0" shapeId="0">
      <text>
        <t>Company items (Q1-22): Restructuring costs and other items 0.6</t>
      </text>
    </comment>
    <comment ref="BD96" authorId="0" shapeId="0">
      <text>
        <t>Company items (Q2-22): Restructuring and consolidation 2.0</t>
      </text>
    </comment>
    <comment ref="BG96" authorId="0" shapeId="0">
      <text>
        <t>Company items (2022): Restructuring and consolidation 2.5</t>
      </text>
    </comment>
    <comment ref="BI96" authorId="0" shapeId="0">
      <text>
        <t>Company items (Q2-23): Restructuring and consolidation 0.0</t>
      </text>
    </comment>
    <comment ref="BK96" authorId="0" shapeId="0">
      <text>
        <t>Company items (Q4-23): Restructuring and consolidation 2.6</t>
      </text>
    </comment>
    <comment ref="BL96" authorId="0" shapeId="0">
      <text>
        <t>Company items (2023): Restructuring and consolidation 2.7</t>
      </text>
    </comment>
    <comment ref="BM96" authorId="0" shapeId="0">
      <text>
        <t>Company items (Q1-24): Restructuring and consolidation 0.3</t>
      </text>
    </comment>
    <comment ref="BN96" authorId="0" shapeId="0">
      <text>
        <t>Company items (Q2-24): Restructuring and consolidation 0.6</t>
      </text>
    </comment>
    <comment ref="BO96" authorId="0" shapeId="0">
      <text>
        <t>Company items (Q3-24): Restructuring and consolidation 0.1</t>
      </text>
    </comment>
    <comment ref="BP96" authorId="0" shapeId="0">
      <text>
        <t>Company items (Q4-24): Restructuring and consolidation 2.0</t>
      </text>
    </comment>
    <comment ref="BQ96" authorId="0" shapeId="0">
      <text>
        <t>Company items (2024): Restructuring and consolidation 3.0</t>
      </text>
    </comment>
    <comment ref="BS96" authorId="0" shapeId="0">
      <text>
        <t>Company items (Q2-25): Restructuring and consolidation 0.5</t>
      </text>
    </comment>
    <comment ref="BT96" authorId="0" shapeId="0">
      <text>
        <t>Company items (Q3-25): Restructuring and consolidation 0.1</t>
      </text>
    </comment>
    <comment ref="BU96" authorId="0" shapeId="0">
      <text>
        <t>Company items (Q4-25): Restructuring and consolidation 0.9</t>
      </text>
    </comment>
    <comment ref="BV96" authorId="0" shapeId="0">
      <text>
        <t>Company items (2025): Restructuring and consolidation 1.5</t>
      </text>
    </comment>
    <comment ref="BW96" authorId="0" shapeId="0">
      <text>
        <t>Company items (Q1-26): Restructuring and consolidation 4.1</t>
      </text>
    </comment>
    <comment ref="BX96" authorId="0" shapeId="0">
      <text>
        <t>Company items (Q2-26): Restructuring and consolidation 3.0</t>
      </text>
    </comment>
    <comment ref="BY96" authorId="0" shapeId="0">
      <text>
        <t>Company items (Q3-26): Restructuring and consolidation -0.2</t>
      </text>
    </comment>
    <comment ref="BZ96" authorId="0" shapeId="0">
      <text>
        <t>Company items (Q4-26): Restructuring and consolidation -0.7</t>
      </text>
    </comment>
    <comment ref="CA96" authorId="0" shapeId="0">
      <text>
        <t>Company items (2026): Restructuring and consolidation 6.2</t>
      </text>
    </comment>
    <comment ref="CB96" authorId="0" shapeId="0">
      <text>
        <t>Company items (Q1-27): Restructuring and consolidation 0.4</t>
      </text>
    </comment>
    <comment ref="P97" authorId="0" shapeId="0">
      <text>
        <t>Company items (Q2-14): Costs associated with acquisitions 0.4</t>
      </text>
    </comment>
    <comment ref="S97" authorId="0" shapeId="0">
      <text>
        <t>Company items (2014): Costs associated with acquisitions 0.5</t>
      </text>
    </comment>
    <comment ref="V97" authorId="0" shapeId="0">
      <text>
        <t>Company items (Q3-15): Costs associated with acquisitions 1.5</t>
      </text>
    </comment>
    <comment ref="W97" authorId="0" shapeId="0">
      <text>
        <t>Company items (Q4-15): Costs associated with acquisitions 0.1</t>
      </text>
    </comment>
    <comment ref="X97" authorId="0" shapeId="0">
      <text>
        <t>Company items (2015): Costs associated with acquisitions 1.6</t>
      </text>
    </comment>
    <comment ref="Y97" authorId="0" shapeId="0">
      <text>
        <t>Company items (Q1-16): Acquisition costs 4.0</t>
      </text>
    </comment>
    <comment ref="Z97" authorId="0" shapeId="0">
      <text>
        <t>Company items (Q2-16): Acquisition costs 1.1</t>
      </text>
    </comment>
    <comment ref="AA97" authorId="0" shapeId="0">
      <text>
        <t>Company items (Q3-16): Acquisition costs 0.0</t>
      </text>
    </comment>
    <comment ref="AC97" authorId="0" shapeId="0">
      <text>
        <t>Company items (2016): Acquisition costs 5.1</t>
      </text>
    </comment>
    <comment ref="AT97" authorId="0" shapeId="0">
      <text>
        <t>Company items (Q2-20): Acquisition costs 0.9</t>
      </text>
    </comment>
    <comment ref="AW97" authorId="0" shapeId="0">
      <text>
        <t>Company items (2020): Acquisition costs 0.9</t>
      </text>
    </comment>
    <comment ref="BD97" authorId="0" shapeId="0">
      <text>
        <t>Company items (Q2-22): Acquisition costs 1.4</t>
      </text>
    </comment>
    <comment ref="BE97" authorId="0" shapeId="0">
      <text>
        <t>Company items (Q3-22): Transaction and related costs 30.4</t>
      </text>
    </comment>
    <comment ref="BF97" authorId="0" shapeId="0">
      <text>
        <t>Company items (Q4-22): Transaction and related costs 7.8; Transition services 4.7</t>
      </text>
    </comment>
    <comment ref="BG97" authorId="0" shapeId="0">
      <text>
        <t>Company items (2022): Transaction and related costs 36.4; Transition services 8.0</t>
      </text>
    </comment>
    <comment ref="BH97" authorId="0" shapeId="0">
      <text>
        <t>Company items (Q1-23): Transaction and related costs 0.1; Transition services 3.7</t>
      </text>
    </comment>
    <comment ref="BI97" authorId="0" shapeId="0">
      <text>
        <t>Company items (Q2-23): Transaction and related costs -0.0; Transition services 4.0</t>
      </text>
    </comment>
    <comment ref="BJ97" authorId="0" shapeId="0">
      <text>
        <t>Company items (Q3-23): Transaction and related costs 0.0; Transition services 1.2</t>
      </text>
    </comment>
    <comment ref="BK97" authorId="0" shapeId="0">
      <text>
        <t>Company items (Q4-23): Transaction and related costs 0.0; Transition services -0.1</t>
      </text>
    </comment>
    <comment ref="BL97" authorId="0" shapeId="0">
      <text>
        <t>Company items (2023): Transaction and related costs 0.1; Transition services 8.8</t>
      </text>
    </comment>
    <comment ref="BN97" authorId="0" shapeId="0">
      <text>
        <t>Company items (Q2-24): Transaction and related costs 0.0</t>
      </text>
    </comment>
    <comment ref="BO97" authorId="0" shapeId="0">
      <text>
        <t>Company items (Q3-24): Transaction and related costs 0.1</t>
      </text>
    </comment>
    <comment ref="BP97" authorId="0" shapeId="0">
      <text>
        <t>Company items (Q4-24): Transaction and related costs 0.1</t>
      </text>
    </comment>
    <comment ref="BQ97" authorId="0" shapeId="0">
      <text>
        <t>Company items (2024): Transaction and related costs 0.3</t>
      </text>
    </comment>
    <comment ref="BW97" authorId="0" shapeId="0">
      <text>
        <t>Company items (Q1-26): Transaction and related costs 0.1</t>
      </text>
    </comment>
    <comment ref="BX97" authorId="0" shapeId="0">
      <text>
        <t>Company items (Q2-26): Transaction and related costs 4.2</t>
      </text>
    </comment>
    <comment ref="BY97" authorId="0" shapeId="0">
      <text>
        <t>Company items (Q3-26): Transaction and related costs 4.6</t>
      </text>
    </comment>
    <comment ref="BZ97" authorId="0" shapeId="0">
      <text>
        <t>Company items (Q4-26): Transaction and related costs 5.9</t>
      </text>
    </comment>
    <comment ref="CA97" authorId="0" shapeId="0">
      <text>
        <t>Company items (2026): Transaction and related costs 14.8</t>
      </text>
    </comment>
    <comment ref="Y99" authorId="0" shapeId="0">
      <text>
        <t>Company items (Q1-16): Inventory purchase accounting adjustment 2.3</t>
      </text>
    </comment>
    <comment ref="Z99" authorId="0" shapeId="0">
      <text>
        <t>Company items (Q2-16): Inventory purchase accounting adjustment 4.3</t>
      </text>
    </comment>
    <comment ref="AA99" authorId="0" shapeId="0">
      <text>
        <t>Company items (Q3-16): Inventory purchase accounting adjustment 0.6</t>
      </text>
    </comment>
    <comment ref="AC99" authorId="0" shapeId="0">
      <text>
        <t>Company items (2016): Inventory purchase accounting adjustment 7.2</t>
      </text>
    </comment>
    <comment ref="AD99" authorId="0" shapeId="0">
      <text>
        <t>Company items (Q1-17): Inventory purchase accounting adjustment 0.4</t>
      </text>
    </comment>
    <comment ref="AH99" authorId="0" shapeId="0">
      <text>
        <t>Company items (2017): Inventory purchase accounting adjustment 0.4</t>
      </text>
    </comment>
    <comment ref="AT99" authorId="0" shapeId="0">
      <text>
        <t>Company items (Q2-20): Inventory purchase accounting adjustment 0.1</t>
      </text>
    </comment>
    <comment ref="AU99" authorId="0" shapeId="0">
      <text>
        <t>Company items (Q3-20): Inventory purchase accounting adjustment 0.2</t>
      </text>
    </comment>
    <comment ref="AV99" authorId="0" shapeId="0">
      <text>
        <t>Company items (Q4-20): Inventory purchase accounting adjustment 0.1</t>
      </text>
    </comment>
    <comment ref="AW99" authorId="0" shapeId="0">
      <text>
        <t>Company items (2020): Inventory purchase accounting adjustment 0.4</t>
      </text>
    </comment>
    <comment ref="AB100" authorId="0" shapeId="0">
      <text>
        <t>Company items (Q4-16): Litigation reserve 1.7</t>
      </text>
    </comment>
    <comment ref="AC100" authorId="0" shapeId="0">
      <text>
        <t>Company items (2016): Litigation reserve 1.7</t>
      </text>
    </comment>
    <comment ref="C101" authorId="0" shapeId="0">
      <text>
        <t>Company items (2006): Disposal of fixed assets 0.0</t>
      </text>
    </comment>
    <comment ref="D101" authorId="0" shapeId="0">
      <text>
        <t>Company items (2007): Gain on sale of Nice building -0.8; Disposal of fixed assets 0.5</t>
      </text>
    </comment>
    <comment ref="E101" authorId="0" shapeId="0">
      <text>
        <t>Company items (2008): Disposal of fixed assets 0.4</t>
      </text>
    </comment>
    <comment ref="F101" authorId="0" shapeId="0">
      <text>
        <t>Company items (2009): Disposal of fixed assets 4.4</t>
      </text>
    </comment>
    <comment ref="G101" authorId="0" shapeId="0">
      <text>
        <t>Company items (2010): Disposal of fixed assets 0.2</t>
      </text>
    </comment>
    <comment ref="H101" authorId="0" shapeId="0">
      <text>
        <t>Company items (2011): (Gain) loss on disposition or sale of assets -1.1</t>
      </text>
    </comment>
    <comment ref="M101" authorId="0" shapeId="0">
      <text>
        <t>Company items (Q4-13): Disposal of other fixed assets 0.2</t>
      </text>
    </comment>
    <comment ref="N101" authorId="0" shapeId="0">
      <text>
        <t>Company items (2013): Disposal of other fixed assets 0.2</t>
      </text>
    </comment>
    <comment ref="P101" authorId="0" shapeId="0">
      <text>
        <t>Company items (Q2-14): Fixed asset disposals 0.0</t>
      </text>
    </comment>
    <comment ref="S101" authorId="0" shapeId="0">
      <text>
        <t>Company items (2014): Fixed asset disposals 0.0</t>
      </text>
    </comment>
    <comment ref="AP101" authorId="0" shapeId="0">
      <text>
        <t>Company items (Q3-19): Net loss on sale of Miami Division 16.8</t>
      </text>
    </comment>
    <comment ref="AQ101" authorId="0" shapeId="0">
      <text>
        <t>Company items (Q4-19): Net loss (gain) on sale of Miami Division -0.3</t>
      </text>
    </comment>
    <comment ref="AR101" authorId="0" shapeId="0">
      <text>
        <t>Company items (2019): Net loss (gain) on sale of Miami Division 16.5</t>
      </text>
    </comment>
    <comment ref="AV101" authorId="0" shapeId="0">
      <text>
        <t>Company items (Q4-20): Net gain on sale of Houston building -1.4</t>
      </text>
    </comment>
    <comment ref="AW101" authorId="0" shapeId="0">
      <text>
        <t>Company items (2020): Net gain on sale of Houston building -1.4</t>
      </text>
    </comment>
    <comment ref="D102" authorId="0" shapeId="0">
      <text>
        <t>Company items (2007): Stock compensation expense 0.8</t>
      </text>
    </comment>
    <comment ref="C103" authorId="0" shapeId="0">
      <text>
        <t>Company items (2006): Stock options compensation expense 0.4; Non-recurring compensation expense 5.2; Management service fees 0.2</t>
      </text>
    </comment>
    <comment ref="F103" authorId="0" shapeId="0">
      <text>
        <t>Company items (2009): Large bearing start-up costs 2.3</t>
      </text>
    </comment>
    <comment ref="G103" authorId="0" shapeId="0">
      <text>
        <t>Company items (2010): Large bearings start-up costs 2.6</t>
      </text>
    </comment>
    <comment ref="H103" authorId="0" shapeId="0">
      <text>
        <t>Company items (2011): Large bearing expansion costs 2.9</t>
      </text>
    </comment>
    <comment ref="BA103" authorId="0" shapeId="0">
      <text>
        <t>Company items (Q4-21): Cyber event 1.5</t>
      </text>
    </comment>
    <comment ref="BB103" authorId="0" shapeId="0">
      <text>
        <t>Company items (2021): Cyber event 1.5</t>
      </text>
    </comment>
    <comment ref="B108" authorId="0" shapeId="0">
      <text>
        <t>Source: quarters — earnings releases (8-K Ex. 99.1) three-month columns; fiscal years — Form 10-K statements of operations; as originally reported (the FY2022 10-K/A restatement of FY2020–22 is shown as memo rows, not recast).</t>
      </text>
    </comment>
    <comment ref="AW116" authorId="0" shapeId="0">
      <text>
        <t>As originally reported ($156.8m); restated to $149.4m in the FY2022 10-K/A.</t>
      </text>
    </comment>
    <comment ref="BB116" authorId="0" shapeId="0">
      <text>
        <t>As originally reported ($111.5m); restated to $114.7m in the FY2022 10-K/A.</t>
      </text>
    </comment>
    <comment ref="BG116" authorId="0" shapeId="0">
      <text>
        <t>As originally reported ($130.1m). Restated to $121.1m in the FY2022 10-K/A (5-Aug-2022) for stock-based compensation timing — memo row below.</t>
      </text>
    </comment>
    <comment ref="B133" authorId="0" shapeId="0">
      <text>
        <t>FY2022 10-K/A (5-Aug-2022), Note 2 'Restatement' and quarterly results of operations: SG&amp;A restated for stock-based compensation that should have been recognized earlier (FY2022 +$8.969m, FY2021 -$3.217m, FY2020 +$7.418m); no cash-flow impact.</t>
      </text>
    </comment>
    <comment ref="B139" authorId="0" shapeId="0">
      <text>
        <t>Source: RBC Bearings earnings releases (Form 8-K Item 2.02, Ex. 99.1) — statements of operations (weighted average shares). No stock splits since the Aug-2005 IPO; the Series A MCPS converted into common stock in Oct-2024.</t>
      </text>
    </comment>
    <comment ref="B160" authorId="0" shapeId="0">
      <text>
        <t>Source: RBC Bearings earnings releases (Form 8-K Item 2.02, Ex. 99.1) — Reconciliation of Reported Operating Income to Adjusted Operating Income (FY2006+; none in FY2012 and Q1 FY15, when nothing was adjusted).</t>
      </text>
    </comment>
    <comment ref="C163" authorId="0" shapeId="0">
      <text>
        <t>Release reconciliations; FY2012 and Q1 FY15 releases adjusted nothing (adjusted = GAAP).</t>
      </text>
    </comment>
    <comment ref="B181" authorId="0" shapeId="0">
      <text>
        <t>Source: RBC Bearings earnings releases (Form 8-K Item 2.02, Ex. 99.1) — "Adjusted operating income plus depreciation/amortization plus incentive stock compensation expense" (selected financial data, Q2 FY16–Q2 FY22) and Adjusted EBITDA (Q3 FY22+).</t>
      </text>
    </comment>
    <comment ref="C192" authorId="0" shapeId="0">
      <text>
        <t>Company items (2006): Loss on early extinguishment of debt 2.46</t>
      </text>
    </comment>
    <comment ref="D192" authorId="0" shapeId="0">
      <text>
        <t>Company items (2007): Loss on early extinguishment of debt 2.31; CDSOA payment -0.79</t>
      </text>
    </comment>
    <comment ref="E192" authorId="0" shapeId="0">
      <text>
        <t>Company items (2008): Loss on early extinguishment of debt 0.02; CDSOA payment -0.17</t>
      </text>
    </comment>
    <comment ref="F192" authorId="0" shapeId="0">
      <text>
        <t>Company items (2009): Loss on early extinguishment of debt 0.21; CDSOA payment -0.25; Foreign exchange loss on inter-company loans 0.69</t>
      </text>
    </comment>
    <comment ref="G192" authorId="0" shapeId="0">
      <text>
        <t>Company items (2010): Large bearing start-up costs 1.74; CDSOA payment -0.12; Foreign exchange loss (gain) on inter-company loans 0.03</t>
      </text>
    </comment>
    <comment ref="H192" authorId="0" shapeId="0">
      <text>
        <t>Company items (2011): CDSOA payment -0.12; Foreign exchange loss (gain) 0.93</t>
      </text>
    </comment>
    <comment ref="W192" authorId="0" shapeId="0">
      <text>
        <t>Company items (Q4-15): Foreign exchange translation loss 2.50</t>
      </text>
    </comment>
    <comment ref="X192" authorId="0" shapeId="0">
      <text>
        <t>Company items (2015): Foreign exchange translation loss 2.50</t>
      </text>
    </comment>
    <comment ref="Y192" authorId="0" shapeId="0">
      <text>
        <t>Company items (Q1-16): Loss on extinguishment of debt 0.13; Foreign exchange translation loss 0.28</t>
      </text>
    </comment>
    <comment ref="Z192" authorId="0" shapeId="0">
      <text>
        <t>Company items (Q2-16): Foreign exchange translation loss (gain) -0.44</t>
      </text>
    </comment>
    <comment ref="AA192" authorId="0" shapeId="0">
      <text>
        <t>Company items (Q3-16): Foreign exchange translation loss (gain) -0.04</t>
      </text>
    </comment>
    <comment ref="AB192" authorId="0" shapeId="0">
      <text>
        <t>Company items (Q4-16): Foreign exchange translation loss (gain) 0.16</t>
      </text>
    </comment>
    <comment ref="AC192" authorId="0" shapeId="0">
      <text>
        <t>Company items (2016): Loss on extinguishment of debt 0.13; Foreign exchange translation loss (gain) -0.03</t>
      </text>
    </comment>
    <comment ref="AF192" authorId="0" shapeId="0">
      <text>
        <t>Company items (Q3-17): Foreign exchange translation loss (gain) -0.20</t>
      </text>
    </comment>
    <comment ref="AH192" authorId="0" shapeId="0">
      <text>
        <t>Company items (2017): Foreign exchange translation loss (gain) -0.20</t>
      </text>
    </comment>
    <comment ref="AI192" authorId="0" shapeId="0">
      <text>
        <t>Company items (Q1-18): Foreign exchange translation loss 0.21</t>
      </text>
    </comment>
    <comment ref="AJ192" authorId="0" shapeId="0">
      <text>
        <t>Company items (Q2-18): Foreign exchange translation loss (gain) -0.01</t>
      </text>
    </comment>
    <comment ref="AK192" authorId="0" shapeId="0">
      <text>
        <t>Company items (Q3-18): Foreign exchange translation loss (gain) -0.05</t>
      </text>
    </comment>
    <comment ref="AL192" authorId="0" shapeId="0">
      <text>
        <t>Company items (Q4-18): Foreign exchange translation loss (gain) 0.26</t>
      </text>
    </comment>
    <comment ref="AM192" authorId="0" shapeId="0">
      <text>
        <t>Company items (2018): Foreign exchange translation loss (gain) 0.41</t>
      </text>
    </comment>
    <comment ref="AN192" authorId="0" shapeId="0">
      <text>
        <t>Company items (Q1-19): Loss on extinguishment of long term debt 0.81; Foreign exchange translation loss (gain) -0.10</t>
      </text>
    </comment>
    <comment ref="AO192" authorId="0" shapeId="0">
      <text>
        <t>Company items (Q2-19): Foreign exchange translation loss (gain) 0.11</t>
      </text>
    </comment>
    <comment ref="AP192" authorId="0" shapeId="0">
      <text>
        <t>Company items (Q3-19): Foreign exchange translation loss (gain) -0.06</t>
      </text>
    </comment>
    <comment ref="AQ192" authorId="0" shapeId="0">
      <text>
        <t>Company items (Q4-19): Foreign exchange translation loss (gain) -0.06</t>
      </text>
    </comment>
    <comment ref="AR192" authorId="0" shapeId="0">
      <text>
        <t>Company items (2019): Foreign exchange translation loss (gain) -0.11; Loss on extinguishment of long-term debt 0.81</t>
      </text>
    </comment>
    <comment ref="AS192" authorId="0" shapeId="0">
      <text>
        <t>Company items (Q1-20): Foreign exchange translation loss (gain) 0.28</t>
      </text>
    </comment>
    <comment ref="AT192" authorId="0" shapeId="0">
      <text>
        <t>Company items (Q2-20): Foreign exchange translation loss (gain) 0.07</t>
      </text>
    </comment>
    <comment ref="AU192" authorId="0" shapeId="0">
      <text>
        <t>Company items (Q3-20): Foreign exchange translation loss (gain) 0.16</t>
      </text>
    </comment>
    <comment ref="AV192" authorId="0" shapeId="0">
      <text>
        <t>Company items (Q4-20): Foreign exchange translation loss (gain) 0.23</t>
      </text>
    </comment>
    <comment ref="AW192" authorId="0" shapeId="0">
      <text>
        <t>Company items (2020): Foreign exchange translation loss (gain) 0.74</t>
      </text>
    </comment>
    <comment ref="AX192" authorId="0" shapeId="0">
      <text>
        <t>Company items (Q1-21): Foreign exchange translation loss 0.06</t>
      </text>
    </comment>
    <comment ref="AY192" authorId="0" shapeId="0">
      <text>
        <t>Company items (Q2-21): Foreign exchange translation loss 0.12</t>
      </text>
    </comment>
    <comment ref="AZ192" authorId="0" shapeId="0">
      <text>
        <t>Company items (Q3-21): Foreign exchange translation loss 0.18</t>
      </text>
    </comment>
    <comment ref="BA192" authorId="0" shapeId="0">
      <text>
        <t>Company items (Q4-21): Foreign exchange translation loss -0.17</t>
      </text>
    </comment>
    <comment ref="BB192" authorId="0" shapeId="0">
      <text>
        <t>Company items (2021): Foreign exchange translation loss 0.19</t>
      </text>
    </comment>
    <comment ref="BC192" authorId="0" shapeId="0">
      <text>
        <t>Company items (Q1-22): Foreign exchange translation loss 0.01</t>
      </text>
    </comment>
    <comment ref="BD192" authorId="0" shapeId="0">
      <text>
        <t>Company items (Q2-22): Foreign exchange translation loss 0.06</t>
      </text>
    </comment>
    <comment ref="BE192" authorId="0" shapeId="0">
      <text>
        <t>Company items (Q3-22): Foreign exchange translation loss 0.00</t>
      </text>
    </comment>
    <comment ref="BF192" authorId="0" shapeId="0">
      <text>
        <t>Company items (Q4-22): Foreign exchange translation loss 0.03</t>
      </text>
    </comment>
    <comment ref="BG192" authorId="0" shapeId="0">
      <text>
        <t>Company items (2022): Foreign exchange translation loss 0.13</t>
      </text>
    </comment>
    <comment ref="BH192" authorId="0" shapeId="0">
      <text>
        <t>Company items (Q1-23): Foreign exchange translation loss/(gain) -0.16</t>
      </text>
    </comment>
    <comment ref="BI192" authorId="0" shapeId="0">
      <text>
        <t>Company items (Q2-23): Foreign exchange translation loss/(gain) -0.25</t>
      </text>
    </comment>
    <comment ref="BL192" authorId="0" shapeId="0">
      <text>
        <t>Company items (2023): Foreign exchange translation loss/(gain) -0.42</t>
      </text>
    </comment>
    <comment ref="BO192" authorId="0" shapeId="0">
      <text>
        <t>Company items (Q3-24): Insurance proceeds received -1.63</t>
      </text>
    </comment>
    <comment ref="BP192" authorId="0" shapeId="0">
      <text>
        <t>Company items (Q4-24): Insurance proceeds paid/(received) 1.11</t>
      </text>
    </comment>
    <comment ref="BQ192" authorId="0" shapeId="0">
      <text>
        <t>Company items (2024): Insurance proceeds paid/(received) -0.52</t>
      </text>
    </comment>
    <comment ref="D197" authorId="0" shapeId="0">
      <text>
        <t>Old definition: items shown net of tax ("Item was tax effected at the effective tax rate"); this row = published adjusted net income − GAAP net income − pre-tax operating items − after-tax non-operating items.</t>
      </text>
    </comment>
    <comment ref="B204" authorId="0" shapeId="0">
      <text>
        <t>Source: RBC Bearings earnings releases (Form 8-K Item 2.02, Ex. 99.1) — Reconciliation of Reported Net Income to Adjusted Net Income and adjusted EPS (definition in force: old to Q1 FY23, current from Q2 FY23).</t>
      </text>
    </comment>
    <comment ref="BE204" authorId="0" shapeId="0">
      <text>
        <t>Loss quarter: GAAP diluted EPS uses basic shares (28.6m); adjusted EPS uses 28.9m diluted shares (company count).</t>
      </text>
    </comment>
    <comment ref="BH204" authorId="0" shapeId="0">
      <text>
        <t>Q1 FY23: headline adjusted EPS on the old definition ($1.19); the release also showed "new adjusted" EPS of $1.79 (current definition — memo row).</t>
      </text>
    </comment>
    <comment ref="BI204" authorId="0" shapeId="0">
      <text>
        <t>Q2 FY23: the adjusted EPS definition changes to add back M&amp;A-related amortization, stock compensation and amortization of deferred finance fees (pre-tax, tax-effected); the Q2 FY22 comparative was re-presented ($1.16 vs $0.89 originally).</t>
      </text>
    </comment>
    <comment ref="BI213" authorId="0" shapeId="0">
      <text>
        <t>Release definition: "exclude non-cash expenses for amortization related to acquired intangible assets other than internal-use software, stock-based compensation, amortization of deferred finance fees, acquisition expenses ... restructuring ... net of their income tax impact and other tax matters". Comparatives re-presented back to Q1 FY22 (memo row).</t>
      </text>
    </comment>
    <comment ref="B233" authorId="0" shapeId="0">
      <text>
        <t>Source: 10-Q / 10-K consolidated statements of cash flows (year to date; discrete quarters derived, Q4 = FY − 9M).</t>
      </text>
    </comment>
    <comment ref="B280" authorId="0" shapeId="0">
      <text>
        <t>Source: 10-Q / 10-K consolidated balance sheets (period ends); shares outstanding = shares issued − treasury shares (XBRL).</t>
      </text>
    </comment>
    <comment ref="B319" authorId="0" shapeId="0">
      <text>
        <t>Source: FY2023 10-K Note (Dodge, final allocation; net assets $2,962.7m less cash $81.9m); FY2026 10-K Note 21 (VACCO, final allocation $276.7m).</t>
      </text>
    </comment>
    <comment ref="B338" authorId="0" shapeId="0">
      <text>
        <t>Source: balance sheets; Q1 FY27 10-Q Note 10 (debt); 8-Ks 21-Jul-2025 (VACCO revolver draw) and 30-Oct-2025 (revolver extended to Oct-2030).</t>
      </text>
    </comment>
  </commentList>
</comments>
</file>

<file path=xl/comments/comment2.xml><?xml version="1.0" encoding="utf-8"?>
<comments xmlns="http://schemas.openxmlformats.org/spreadsheetml/2006/main">
  <authors>
    <author>RBC model</author>
  </authors>
  <commentList>
    <comment ref="N26" authorId="0" shapeId="0">
      <text>
        <t>P/E on adjusted EPS (company current definition: adds back M&amp;A amortization and stock compensation). RBC at $510 (user price, 13-Oct-2026) trades at ~34x FY2027E Base adjusted EPS. Exit multiples are assumptions: Base 32x, Bull 36x, Bear 25x, converging toward aerospace-components peers as growth normalises.</t>
      </text>
    </comment>
    <comment ref="P40" authorId="0" shapeId="0">
      <text>
        <t>Snapshot (values) of Model rows 270, 269 and 271 (Share Buyback Schedule) with Model!CL2 = Bull / Bear. Base panel (D40:H42) is live-linked.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22</row>
      <rowOff>160560</rowOff>
    </from>
    <to>
      <col>12</col>
      <colOff>543600</colOff>
      <row>37</row>
      <rowOff>2160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</col>
      <colOff>0</colOff>
      <row>43</row>
      <rowOff>160560</rowOff>
    </from>
    <to>
      <col>12</col>
      <colOff>543600</colOff>
      <row>58</row>
      <rowOff>1800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</col>
      <colOff>0</colOff>
      <row>64</row>
      <rowOff>160560</rowOff>
    </from>
    <to>
      <col>12</col>
      <colOff>543600</colOff>
      <row>79</row>
      <rowOff>2160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X407"/>
  <sheetViews>
    <sheetView showGridLines="0" tabSelected="1" zoomScale="70" zoomScaleNormal="70"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C1" sqref="C1"/>
      <selection pane="bottomLeft" activeCell="A8" sqref="A8"/>
      <selection pane="bottomRight" activeCell="CA164" sqref="CA164"/>
    </sheetView>
  </sheetViews>
  <sheetFormatPr baseColWidth="8" defaultColWidth="8.5703125" defaultRowHeight="15" outlineLevelRow="2"/>
  <cols>
    <col width="2.42578125" customWidth="1" style="251" min="1" max="1"/>
    <col width="62" customWidth="1" style="251" min="2" max="2"/>
    <col width="13" customWidth="1" style="251" min="3" max="3"/>
    <col width="13" customWidth="1" style="251" min="4" max="4"/>
    <col width="13" customWidth="1" style="251" min="5" max="5"/>
    <col width="13" customWidth="1" style="251" min="6" max="6"/>
    <col width="13" customWidth="1" style="251" min="7" max="7"/>
    <col width="13" customWidth="1" style="251" min="8" max="8"/>
    <col width="13" customWidth="1" style="251" min="9" max="9"/>
    <col hidden="1" outlineLevel="1" width="9.5703125" customWidth="1" style="251" min="10" max="10"/>
    <col hidden="1" outlineLevel="1" width="9.5703125" customWidth="1" style="251" min="11" max="11"/>
    <col hidden="1" outlineLevel="1" width="9.5703125" customWidth="1" style="251" min="12" max="12"/>
    <col hidden="1" outlineLevel="1" width="9.5703125" customWidth="1" style="251" min="13" max="13"/>
    <col width="13" customWidth="1" style="251" min="14" max="14"/>
    <col hidden="1" outlineLevel="1" width="9.5703125" customWidth="1" style="251" min="15" max="15"/>
    <col hidden="1" outlineLevel="1" width="9.5703125" customWidth="1" style="251" min="16" max="16"/>
    <col hidden="1" outlineLevel="1" width="9.5703125" customWidth="1" style="251" min="17" max="17"/>
    <col hidden="1" outlineLevel="1" width="9.5703125" customWidth="1" style="251" min="18" max="18"/>
    <col width="13" customWidth="1" style="251" min="19" max="19"/>
    <col hidden="1" outlineLevel="1" width="9.5703125" customWidth="1" style="251" min="20" max="20"/>
    <col hidden="1" outlineLevel="1" width="9.5703125" customWidth="1" style="251" min="21" max="21"/>
    <col hidden="1" outlineLevel="1" width="9.5703125" customWidth="1" style="251" min="22" max="22"/>
    <col hidden="1" outlineLevel="1" width="9.5703125" customWidth="1" style="251" min="23" max="23"/>
    <col width="13" customWidth="1" style="251" min="24" max="24"/>
    <col hidden="1" outlineLevel="1" width="9.5703125" customWidth="1" style="251" min="25" max="25"/>
    <col hidden="1" outlineLevel="1" width="9.5703125" customWidth="1" style="251" min="26" max="26"/>
    <col hidden="1" outlineLevel="1" width="9.5703125" customWidth="1" style="251" min="27" max="27"/>
    <col hidden="1" outlineLevel="1" width="9.5703125" customWidth="1" style="251" min="28" max="28"/>
    <col width="13" customWidth="1" style="251" min="29" max="29"/>
    <col hidden="1" outlineLevel="1" width="9.5703125" customWidth="1" style="251" min="30" max="30"/>
    <col hidden="1" outlineLevel="1" width="9.5703125" customWidth="1" style="251" min="31" max="31"/>
    <col hidden="1" outlineLevel="1" width="9.5703125" customWidth="1" style="251" min="32" max="32"/>
    <col hidden="1" outlineLevel="1" width="9.5703125" customWidth="1" style="251" min="33" max="33"/>
    <col width="13" customWidth="1" style="251" min="34" max="34"/>
    <col hidden="1" outlineLevel="1" width="9.5703125" customWidth="1" style="251" min="35" max="35"/>
    <col hidden="1" outlineLevel="1" width="9.5703125" customWidth="1" style="251" min="36" max="36"/>
    <col hidden="1" outlineLevel="1" width="9.5703125" customWidth="1" style="251" min="37" max="37"/>
    <col hidden="1" outlineLevel="1" width="9.5703125" customWidth="1" style="251" min="38" max="38"/>
    <col width="13" customWidth="1" style="251" min="39" max="39"/>
    <col hidden="1" outlineLevel="1" width="9.5703125" customWidth="1" style="251" min="40" max="40"/>
    <col hidden="1" outlineLevel="1" width="9.5703125" customWidth="1" style="251" min="41" max="41"/>
    <col hidden="1" outlineLevel="1" width="9.5703125" customWidth="1" style="251" min="42" max="42"/>
    <col hidden="1" outlineLevel="1" width="9.5703125" customWidth="1" style="251" min="43" max="43"/>
    <col width="13" customWidth="1" style="251" min="44" max="44"/>
    <col hidden="1" outlineLevel="1" width="9.5703125" customWidth="1" style="251" min="45" max="45"/>
    <col hidden="1" outlineLevel="1" width="9.5703125" customWidth="1" style="251" min="46" max="46"/>
    <col hidden="1" outlineLevel="1" width="9.5703125" customWidth="1" style="251" min="47" max="47"/>
    <col hidden="1" outlineLevel="1" width="9.5703125" customWidth="1" style="251" min="48" max="48"/>
    <col width="13" customWidth="1" style="251" min="49" max="49"/>
    <col hidden="1" outlineLevel="1" width="9.5703125" customWidth="1" style="251" min="50" max="50"/>
    <col hidden="1" outlineLevel="1" width="9.5703125" customWidth="1" style="251" min="51" max="51"/>
    <col hidden="1" outlineLevel="1" width="9.5703125" customWidth="1" style="251" min="52" max="52"/>
    <col hidden="1" outlineLevel="1" width="9.5703125" customWidth="1" style="251" min="53" max="53"/>
    <col width="13" customWidth="1" style="251" min="54" max="54"/>
    <col hidden="1" outlineLevel="1" width="9.5703125" customWidth="1" style="251" min="55" max="55"/>
    <col hidden="1" outlineLevel="1" width="9.5703125" customWidth="1" style="251" min="56" max="56"/>
    <col hidden="1" outlineLevel="1" width="9.5703125" customWidth="1" style="251" min="57" max="57"/>
    <col hidden="1" outlineLevel="1" width="9.5703125" customWidth="1" style="251" min="58" max="58"/>
    <col width="13" customWidth="1" style="251" min="59" max="59"/>
    <col hidden="1" outlineLevel="1" width="9.5703125" customWidth="1" style="251" min="60" max="60"/>
    <col hidden="1" outlineLevel="1" width="9.5703125" customWidth="1" style="251" min="61" max="61"/>
    <col hidden="1" outlineLevel="1" width="9.5703125" customWidth="1" style="251" min="62" max="62"/>
    <col hidden="1" outlineLevel="1" width="9.5703125" customWidth="1" style="251" min="63" max="63"/>
    <col width="13" customWidth="1" style="251" min="64" max="64"/>
    <col hidden="1" outlineLevel="1" width="9.5703125" customWidth="1" style="251" min="65" max="65"/>
    <col hidden="1" outlineLevel="1" width="9.5703125" customWidth="1" style="251" min="66" max="66"/>
    <col hidden="1" outlineLevel="1" width="9.5703125" customWidth="1" style="251" min="67" max="67"/>
    <col hidden="1" outlineLevel="1" width="9.5703125" customWidth="1" style="251" min="68" max="68"/>
    <col width="13" customWidth="1" style="251" min="69" max="69"/>
    <col hidden="1" outlineLevel="1" width="9.5703125" customWidth="1" style="251" min="70" max="70"/>
    <col hidden="1" outlineLevel="1" width="9.5703125" customWidth="1" style="251" min="71" max="71"/>
    <col hidden="1" outlineLevel="1" width="9.5703125" customWidth="1" style="251" min="72" max="72"/>
    <col hidden="1" outlineLevel="1" width="9.5703125" customWidth="1" style="251" min="73" max="73"/>
    <col width="13" customWidth="1" style="251" min="74" max="74"/>
    <col hidden="1" outlineLevel="1" width="9.5703125" customWidth="1" style="251" min="75" max="75"/>
    <col hidden="1" outlineLevel="1" width="9.5703125" customWidth="1" style="251" min="76" max="76"/>
    <col hidden="1" outlineLevel="1" width="9.5703125" customWidth="1" style="251" min="77" max="77"/>
    <col hidden="1" outlineLevel="1" width="9.5703125" customWidth="1" style="251" min="78" max="78"/>
    <col width="13" customWidth="1" style="251" min="79" max="79"/>
    <col hidden="1" outlineLevel="1" width="9.5703125" customWidth="1" style="251" min="80" max="80"/>
    <col hidden="1" outlineLevel="1" width="11.42578125" customWidth="1" style="251" min="81" max="81"/>
    <col hidden="1" outlineLevel="1" width="11.42578125" customWidth="1" style="251" min="82" max="82"/>
    <col hidden="1" outlineLevel="1" width="11.42578125" customWidth="1" style="251" min="83" max="83"/>
    <col width="14.140625" customWidth="1" style="251" min="84" max="84"/>
    <col width="13" customWidth="1" style="251" min="85" max="85"/>
    <col width="13" customWidth="1" style="251" min="86" max="86"/>
    <col width="13" customWidth="1" style="251" min="87" max="87"/>
    <col width="13" customWidth="1" style="251" min="88" max="88"/>
    <col width="13" customWidth="1" style="251" min="89" max="89"/>
    <col width="86.85546875" customWidth="1" style="251" min="90" max="90"/>
    <col width="2" customWidth="1" style="251" min="91" max="91"/>
    <col width="14.140625" customWidth="1" style="251" min="92" max="92"/>
    <col width="12.42578125" customWidth="1" style="251" min="93" max="93"/>
    <col width="13.42578125" customWidth="1" style="251" min="94" max="94"/>
    <col width="13" customWidth="1" style="251" min="95" max="95"/>
    <col width="2" customWidth="1" style="251" min="96" max="96"/>
    <col width="6" customWidth="1" style="251" min="97" max="97"/>
    <col width="46" customWidth="1" style="251" min="98" max="98"/>
    <col width="11.5703125" customWidth="1" style="251" min="99" max="99"/>
    <col width="13" customWidth="1" style="251" min="100" max="100"/>
    <col width="13" customWidth="1" style="251" min="101" max="101"/>
    <col width="60" customWidth="1" style="251" min="102" max="102"/>
  </cols>
  <sheetData>
    <row r="1" ht="15" customHeight="1" s="251">
      <c r="CL1" s="1" t="inlineStr">
        <is>
          <t>SCENARIO SWITCH ▼ (Bull / Base / Bear) — drives all scenario-linked forecast drivers</t>
        </is>
      </c>
    </row>
    <row r="2" ht="21" customHeight="1" s="251">
      <c r="B2" s="2" t="inlineStr">
        <is>
          <t>RBC Bearings Incorporated (NYSE: RBC) — 3-Statement Financial Model</t>
        </is>
      </c>
      <c r="CL2" s="3" t="inlineStr">
        <is>
          <t>Base</t>
        </is>
      </c>
    </row>
    <row r="3" ht="15" customHeight="1" s="251">
      <c r="B3" s="4" t="inlineStr">
        <is>
          <t>US GAAP as reported · USD millions (per-share data in USD; shares in millions) · Fiscal years end on the Saturday nearest 31 March (FY2027 = 29-Mar-2026 – 3-Apr-2027, 53 weeks) · Source: RBC Bearings Forms 10-K / 10-Q, Form 8-K earnings releases (Ex. 99.1) and deal / financing 8-Ks, SEC EDGAR (CIK 1324948); XBRL company facts; investor-relations releases are the same documents as filed on EDGAR</t>
        </is>
      </c>
    </row>
    <row r="4" ht="15" customHeight="1" s="251">
      <c r="B4" s="5" t="inlineStr">
        <is>
          <t>Basis notes: as originally reported (the FY2022 10-K/A restatement of FY2020–22 stock-based compensation is shown as memo rows). Segments: Roller / Plain / Ball / Other (Engineered Products from FY2016) to Q2 FY22; Aerospace &amp; Defense / Industrial from Q3 FY22 (FY2021 and Q3 FY21–Q2 FY22 re-presented). Acquisitions: Sargent Apr-15, Dodge 1-Nov-21 (MCPS / notes / term loan), VACCO 18-Jul-25, PSC Couplings 10-Aug-26. Q2/27E calibrated to the Q2 FY27 outlook (31-Jul-2026), Δ carried to Q3–Q4/27E; Q4/27E has 14 weeks.</t>
        </is>
      </c>
    </row>
    <row r="5" ht="15" customHeight="1" s="251">
      <c r="CC5" s="153" t="n"/>
      <c r="CD5" s="153" t="n"/>
      <c r="CE5" s="153" t="n"/>
      <c r="CF5" s="153" t="n"/>
      <c r="CG5" s="153" t="n"/>
      <c r="CH5" s="153" t="n"/>
      <c r="CI5" s="153" t="n"/>
      <c r="CJ5" s="153" t="n"/>
      <c r="CK5" s="153" t="n"/>
      <c r="CN5" s="6" t="inlineStr">
        <is>
          <t>Forecast</t>
        </is>
      </c>
      <c r="CO5" s="6" t="inlineStr">
        <is>
          <t>Historical</t>
        </is>
      </c>
      <c r="CP5" s="6" t="inlineStr">
        <is>
          <t>Historical</t>
        </is>
      </c>
      <c r="CQ5" s="6" t="inlineStr">
        <is>
          <t>Historical</t>
        </is>
      </c>
    </row>
    <row r="6" ht="15" customHeight="1" s="251">
      <c r="B6" s="7" t="inlineStr">
        <is>
          <t>(USDm)</t>
        </is>
      </c>
      <c r="C6" s="8" t="n">
        <v>2006</v>
      </c>
      <c r="D6" s="8" t="n">
        <v>2007</v>
      </c>
      <c r="E6" s="8" t="n">
        <v>2008</v>
      </c>
      <c r="F6" s="8" t="n">
        <v>2009</v>
      </c>
      <c r="G6" s="8" t="n">
        <v>2010</v>
      </c>
      <c r="H6" s="8" t="n">
        <v>2011</v>
      </c>
      <c r="I6" s="8" t="n">
        <v>2012</v>
      </c>
      <c r="J6" s="8" t="inlineStr">
        <is>
          <t>Q1/13</t>
        </is>
      </c>
      <c r="K6" s="8" t="inlineStr">
        <is>
          <t>Q2/13</t>
        </is>
      </c>
      <c r="L6" s="8" t="inlineStr">
        <is>
          <t>Q3/13</t>
        </is>
      </c>
      <c r="M6" s="8" t="inlineStr">
        <is>
          <t>Q4/13</t>
        </is>
      </c>
      <c r="N6" s="8" t="n">
        <v>2013</v>
      </c>
      <c r="O6" s="8" t="inlineStr">
        <is>
          <t>Q1/14</t>
        </is>
      </c>
      <c r="P6" s="8" t="inlineStr">
        <is>
          <t>Q2/14</t>
        </is>
      </c>
      <c r="Q6" s="8" t="inlineStr">
        <is>
          <t>Q3/14</t>
        </is>
      </c>
      <c r="R6" s="8" t="inlineStr">
        <is>
          <t>Q4/14</t>
        </is>
      </c>
      <c r="S6" s="8" t="n">
        <v>2014</v>
      </c>
      <c r="T6" s="8" t="inlineStr">
        <is>
          <t>Q1/15</t>
        </is>
      </c>
      <c r="U6" s="8" t="inlineStr">
        <is>
          <t>Q2/15</t>
        </is>
      </c>
      <c r="V6" s="8" t="inlineStr">
        <is>
          <t>Q3/15</t>
        </is>
      </c>
      <c r="W6" s="8" t="inlineStr">
        <is>
          <t>Q4/15</t>
        </is>
      </c>
      <c r="X6" s="8" t="n">
        <v>2015</v>
      </c>
      <c r="Y6" s="8" t="inlineStr">
        <is>
          <t>Q1/16</t>
        </is>
      </c>
      <c r="Z6" s="8" t="inlineStr">
        <is>
          <t>Q2/16</t>
        </is>
      </c>
      <c r="AA6" s="8" t="inlineStr">
        <is>
          <t>Q3/16</t>
        </is>
      </c>
      <c r="AB6" s="8" t="inlineStr">
        <is>
          <t>Q4/16</t>
        </is>
      </c>
      <c r="AC6" s="8" t="n">
        <v>2016</v>
      </c>
      <c r="AD6" s="8" t="inlineStr">
        <is>
          <t>Q1/17</t>
        </is>
      </c>
      <c r="AE6" s="8" t="inlineStr">
        <is>
          <t>Q2/17</t>
        </is>
      </c>
      <c r="AF6" s="8" t="inlineStr">
        <is>
          <t>Q3/17</t>
        </is>
      </c>
      <c r="AG6" s="8" t="inlineStr">
        <is>
          <t>Q4/17</t>
        </is>
      </c>
      <c r="AH6" s="8" t="n">
        <v>2017</v>
      </c>
      <c r="AI6" s="8" t="inlineStr">
        <is>
          <t>Q1/18</t>
        </is>
      </c>
      <c r="AJ6" s="8" t="inlineStr">
        <is>
          <t>Q2/18</t>
        </is>
      </c>
      <c r="AK6" s="8" t="inlineStr">
        <is>
          <t>Q3/18</t>
        </is>
      </c>
      <c r="AL6" s="8" t="inlineStr">
        <is>
          <t>Q4/18</t>
        </is>
      </c>
      <c r="AM6" s="8" t="n">
        <v>2018</v>
      </c>
      <c r="AN6" s="8" t="inlineStr">
        <is>
          <t>Q1/19</t>
        </is>
      </c>
      <c r="AO6" s="8" t="inlineStr">
        <is>
          <t>Q2/19</t>
        </is>
      </c>
      <c r="AP6" s="8" t="inlineStr">
        <is>
          <t>Q3/19</t>
        </is>
      </c>
      <c r="AQ6" s="8" t="inlineStr">
        <is>
          <t>Q4/19</t>
        </is>
      </c>
      <c r="AR6" s="8" t="n">
        <v>2019</v>
      </c>
      <c r="AS6" s="8" t="inlineStr">
        <is>
          <t>Q1/20</t>
        </is>
      </c>
      <c r="AT6" s="8" t="inlineStr">
        <is>
          <t>Q2/20</t>
        </is>
      </c>
      <c r="AU6" s="8" t="inlineStr">
        <is>
          <t>Q3/20</t>
        </is>
      </c>
      <c r="AV6" s="8" t="inlineStr">
        <is>
          <t>Q4/20</t>
        </is>
      </c>
      <c r="AW6" s="8" t="n">
        <v>2020</v>
      </c>
      <c r="AX6" s="8" t="inlineStr">
        <is>
          <t>Q1/21</t>
        </is>
      </c>
      <c r="AY6" s="8" t="inlineStr">
        <is>
          <t>Q2/21</t>
        </is>
      </c>
      <c r="AZ6" s="8" t="inlineStr">
        <is>
          <t>Q3/21</t>
        </is>
      </c>
      <c r="BA6" s="8" t="inlineStr">
        <is>
          <t>Q4/21</t>
        </is>
      </c>
      <c r="BB6" s="8" t="n">
        <v>2021</v>
      </c>
      <c r="BC6" s="8" t="inlineStr">
        <is>
          <t>Q1/22</t>
        </is>
      </c>
      <c r="BD6" s="8" t="inlineStr">
        <is>
          <t>Q2/22</t>
        </is>
      </c>
      <c r="BE6" s="8" t="inlineStr">
        <is>
          <t>Q3/22</t>
        </is>
      </c>
      <c r="BF6" s="8" t="inlineStr">
        <is>
          <t>Q4/22</t>
        </is>
      </c>
      <c r="BG6" s="8" t="n">
        <v>2022</v>
      </c>
      <c r="BH6" s="8" t="inlineStr">
        <is>
          <t>Q1/23</t>
        </is>
      </c>
      <c r="BI6" s="8" t="inlineStr">
        <is>
          <t>Q2/23</t>
        </is>
      </c>
      <c r="BJ6" s="8" t="inlineStr">
        <is>
          <t>Q3/23</t>
        </is>
      </c>
      <c r="BK6" s="8" t="inlineStr">
        <is>
          <t>Q4/23</t>
        </is>
      </c>
      <c r="BL6" s="8" t="n">
        <v>2023</v>
      </c>
      <c r="BM6" s="8" t="inlineStr">
        <is>
          <t>Q1/24</t>
        </is>
      </c>
      <c r="BN6" s="8" t="inlineStr">
        <is>
          <t>Q2/24</t>
        </is>
      </c>
      <c r="BO6" s="8" t="inlineStr">
        <is>
          <t>Q3/24</t>
        </is>
      </c>
      <c r="BP6" s="8" t="inlineStr">
        <is>
          <t>Q4/24</t>
        </is>
      </c>
      <c r="BQ6" s="8" t="n">
        <v>2024</v>
      </c>
      <c r="BR6" s="8" t="inlineStr">
        <is>
          <t>Q1/25</t>
        </is>
      </c>
      <c r="BS6" s="8" t="inlineStr">
        <is>
          <t>Q2/25</t>
        </is>
      </c>
      <c r="BT6" s="8" t="inlineStr">
        <is>
          <t>Q3/25</t>
        </is>
      </c>
      <c r="BU6" s="8" t="inlineStr">
        <is>
          <t>Q4/25</t>
        </is>
      </c>
      <c r="BV6" s="8" t="n">
        <v>2025</v>
      </c>
      <c r="BW6" s="8" t="inlineStr">
        <is>
          <t>Q1/26</t>
        </is>
      </c>
      <c r="BX6" s="8" t="inlineStr">
        <is>
          <t>Q2/26</t>
        </is>
      </c>
      <c r="BY6" s="8" t="inlineStr">
        <is>
          <t>Q3/26</t>
        </is>
      </c>
      <c r="BZ6" s="8" t="inlineStr">
        <is>
          <t>Q4/26</t>
        </is>
      </c>
      <c r="CA6" s="8" t="n">
        <v>2026</v>
      </c>
      <c r="CB6" s="8" t="inlineStr">
        <is>
          <t>Q1/27</t>
        </is>
      </c>
      <c r="CC6" s="8" t="inlineStr">
        <is>
          <t>Q2/27E</t>
        </is>
      </c>
      <c r="CD6" s="8" t="inlineStr">
        <is>
          <t>Q3/27E</t>
        </is>
      </c>
      <c r="CE6" s="8" t="inlineStr">
        <is>
          <t>Q4/27E</t>
        </is>
      </c>
      <c r="CF6" s="8" t="inlineStr">
        <is>
          <t>2027E</t>
        </is>
      </c>
      <c r="CG6" s="8" t="inlineStr">
        <is>
          <t>2028E</t>
        </is>
      </c>
      <c r="CH6" s="8" t="inlineStr">
        <is>
          <t>2029E</t>
        </is>
      </c>
      <c r="CI6" s="8" t="inlineStr">
        <is>
          <t>2030E</t>
        </is>
      </c>
      <c r="CJ6" s="8" t="inlineStr">
        <is>
          <t>2031E</t>
        </is>
      </c>
      <c r="CK6" s="8" t="inlineStr">
        <is>
          <t>2032E</t>
        </is>
      </c>
      <c r="CL6" s="8" t="inlineStr">
        <is>
          <t>Modelling Notes</t>
        </is>
      </c>
      <c r="CN6" s="6" t="inlineStr">
        <is>
          <t>5Y CAGR</t>
        </is>
      </c>
      <c r="CO6" s="6" t="inlineStr">
        <is>
          <t>5Y CAGR</t>
        </is>
      </c>
      <c r="CP6" s="6" t="inlineStr">
        <is>
          <t>10Y CAGR</t>
        </is>
      </c>
      <c r="CQ6" s="6" t="inlineStr">
        <is>
          <t>20Y CAGR</t>
        </is>
      </c>
    </row>
    <row r="7" ht="15" customHeight="1" s="251">
      <c r="CN7" s="9" t="inlineStr">
        <is>
          <t>27-'32</t>
        </is>
      </c>
      <c r="CO7" s="9" t="inlineStr">
        <is>
          <t>21-'26</t>
        </is>
      </c>
      <c r="CP7" s="9" t="inlineStr">
        <is>
          <t>16-'26</t>
        </is>
      </c>
      <c r="CQ7" s="9" t="inlineStr">
        <is>
          <t>06-'26</t>
        </is>
      </c>
    </row>
    <row r="8" ht="15" customHeight="1" s="251">
      <c r="B8" s="10" t="inlineStr">
        <is>
          <t>SEGMENT P&amp;L — AEROSPACE &amp; DEFENSE · INDUSTRIAL (external net sales × segment gross margin)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/>
      <c r="CJ8" s="10" t="n"/>
      <c r="CK8" s="10" t="n"/>
      <c r="CL8" s="10" t="inlineStr">
        <is>
          <t>SEGMENT BUILD — modelling logic (segment net sales → segment gross margin (the CODM measure) → − SG&amp;A − other, net = operating income → GAAP P&amp;L)</t>
        </is>
      </c>
    </row>
    <row r="9" ht="15" customHeight="1" s="251">
      <c r="CT9" s="11" t="inlineStr">
        <is>
          <t>SCENARIO INPUT TABLE — driver assumptions per Bull / Base / Bear</t>
        </is>
      </c>
      <c r="CU9" s="12" t="inlineStr">
        <is>
          <t>Bull</t>
        </is>
      </c>
      <c r="CV9" s="12" t="inlineStr">
        <is>
          <t>Base</t>
        </is>
      </c>
      <c r="CW9" s="12" t="inlineStr">
        <is>
          <t>Bear</t>
        </is>
      </c>
      <c r="CX9" s="13" t="inlineStr">
        <is>
          <t>Bull / Bear = Base + Δ (Δ inputs on each block header). Outlook block = high / mid / low end of the Q2 FY27 guidance ranges.</t>
        </is>
      </c>
    </row>
    <row r="10" ht="15" customHeight="1" s="251">
      <c r="B10" s="14" t="inlineStr">
        <is>
          <t>Aerospace &amp; Defense (bearings, precision components and systems for commercial aerospace, defense aerospace / marine / ground, missiles, space; VACCO from 18-Jul-2025)</t>
        </is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  <c r="AP10" s="14" t="n"/>
      <c r="AQ10" s="14" t="n"/>
      <c r="AR10" s="14" t="n"/>
      <c r="AS10" s="14" t="n"/>
      <c r="AT10" s="14" t="n"/>
      <c r="AU10" s="14" t="n"/>
      <c r="AV10" s="14" t="n"/>
      <c r="AW10" s="14" t="n"/>
      <c r="AX10" s="14" t="n"/>
      <c r="AY10" s="14" t="n"/>
      <c r="AZ10" s="14" t="n"/>
      <c r="BA10" s="14" t="n"/>
      <c r="BB10" s="14" t="n"/>
      <c r="BC10" s="14" t="n"/>
      <c r="BD10" s="14" t="n"/>
      <c r="BE10" s="14" t="n"/>
      <c r="BF10" s="14" t="n"/>
      <c r="BG10" s="14" t="n"/>
      <c r="BH10" s="14" t="n"/>
      <c r="BI10" s="14" t="n"/>
      <c r="BJ10" s="14" t="n"/>
      <c r="BK10" s="14" t="n"/>
      <c r="BL10" s="14" t="n"/>
      <c r="BM10" s="14" t="n"/>
      <c r="BN10" s="14" t="n"/>
      <c r="BO10" s="14" t="n"/>
      <c r="BP10" s="14" t="n"/>
      <c r="BQ10" s="14" t="n"/>
      <c r="BR10" s="14" t="n"/>
      <c r="BS10" s="14" t="n"/>
      <c r="BT10" s="14" t="n"/>
      <c r="BU10" s="14" t="n"/>
      <c r="BV10" s="14" t="n"/>
      <c r="BW10" s="14" t="n"/>
      <c r="BX10" s="14" t="n"/>
      <c r="BY10" s="14" t="n"/>
      <c r="BZ10" s="14" t="n"/>
      <c r="CA10" s="14" t="n"/>
      <c r="CB10" s="14" t="n"/>
      <c r="CC10" s="14" t="n"/>
      <c r="CD10" s="14" t="n"/>
      <c r="CE10" s="14" t="n"/>
      <c r="CF10" s="14" t="n"/>
      <c r="CG10" s="14" t="n"/>
      <c r="CH10" s="14" t="n"/>
      <c r="CI10" s="14" t="n"/>
      <c r="CJ10" s="14" t="n"/>
      <c r="CK10" s="14" t="n"/>
      <c r="CL10" s="15" t="inlineStr">
        <is>
          <t>AEROSPACE &amp; DEFENSE — modelling logic</t>
        </is>
      </c>
    </row>
    <row r="11" ht="15" customHeight="1" s="251">
      <c r="B11" s="16" t="inlineStr">
        <is>
          <t xml:space="preserve">  Aerospace &amp; Defense — segment net external sales</t>
        </is>
      </c>
      <c r="C11" s="43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  <c r="M11" s="43" t="n"/>
      <c r="N11" s="43" t="n"/>
      <c r="O11" s="43" t="n"/>
      <c r="P11" s="43" t="n"/>
      <c r="Q11" s="43" t="n"/>
      <c r="R11" s="43" t="n"/>
      <c r="S11" s="43" t="n"/>
      <c r="T11" s="43" t="n"/>
      <c r="U11" s="43" t="n"/>
      <c r="V11" s="43" t="n"/>
      <c r="W11" s="43" t="n"/>
      <c r="X11" s="43" t="n"/>
      <c r="Y11" s="43" t="n"/>
      <c r="Z11" s="43" t="n"/>
      <c r="AA11" s="43" t="n"/>
      <c r="AB11" s="43" t="n"/>
      <c r="AC11" s="43" t="n"/>
      <c r="AD11" s="43" t="n"/>
      <c r="AE11" s="43" t="n"/>
      <c r="AF11" s="43" t="n"/>
      <c r="AG11" s="43" t="n"/>
      <c r="AH11" s="43" t="n"/>
      <c r="AI11" s="43" t="n"/>
      <c r="AJ11" s="43" t="n"/>
      <c r="AK11" s="43" t="n"/>
      <c r="AL11" s="43" t="n"/>
      <c r="AM11" s="43" t="n"/>
      <c r="AN11" s="43" t="n"/>
      <c r="AO11" s="43" t="n"/>
      <c r="AP11" s="43" t="n"/>
      <c r="AQ11" s="43" t="n"/>
      <c r="AR11" s="43" t="n"/>
      <c r="AS11" s="43" t="n"/>
      <c r="AT11" s="43" t="n"/>
      <c r="AU11" s="43" t="n"/>
      <c r="AV11" s="43" t="n"/>
      <c r="AW11" s="43" t="n"/>
      <c r="AX11" s="43" t="n"/>
      <c r="AY11" s="43" t="n"/>
      <c r="AZ11" s="253" t="n">
        <v>93.267</v>
      </c>
      <c r="BA11" s="253" t="n">
        <v>96.389</v>
      </c>
      <c r="BB11" s="253" t="n">
        <v>396.222</v>
      </c>
      <c r="BC11" s="253" t="n">
        <v>90.36499999999999</v>
      </c>
      <c r="BD11" s="253" t="n">
        <v>92.91500000000001</v>
      </c>
      <c r="BE11" s="253" t="n">
        <v>93.203</v>
      </c>
      <c r="BF11" s="253" t="n">
        <v>104.985</v>
      </c>
      <c r="BG11" s="253" t="n">
        <v>381.468</v>
      </c>
      <c r="BH11" s="253" t="n">
        <v>99.399</v>
      </c>
      <c r="BI11" s="253" t="n">
        <v>103.548</v>
      </c>
      <c r="BJ11" s="253" t="n">
        <v>105.532</v>
      </c>
      <c r="BK11" s="253" t="n">
        <v>121.828</v>
      </c>
      <c r="BL11" s="253" t="n">
        <v>430.307</v>
      </c>
      <c r="BM11" s="253" t="n">
        <v>120.472</v>
      </c>
      <c r="BN11" s="253" t="n">
        <v>127.271</v>
      </c>
      <c r="BO11" s="253" t="n">
        <v>129.293</v>
      </c>
      <c r="BP11" s="253" t="n">
        <v>142.313</v>
      </c>
      <c r="BQ11" s="253" t="n">
        <v>519.349</v>
      </c>
      <c r="BR11" s="253" t="n">
        <v>149.1</v>
      </c>
      <c r="BS11" s="253" t="n">
        <v>143.2</v>
      </c>
      <c r="BT11" s="253" t="n">
        <v>143.2</v>
      </c>
      <c r="BU11" s="253" t="n">
        <v>157.3</v>
      </c>
      <c r="BV11" s="253" t="n">
        <v>592.8</v>
      </c>
      <c r="BW11" s="253" t="n">
        <v>164.6</v>
      </c>
      <c r="BX11" s="253" t="n">
        <v>198.8</v>
      </c>
      <c r="BY11" s="253" t="n">
        <v>202.5</v>
      </c>
      <c r="BZ11" s="253" t="n">
        <v>222.1</v>
      </c>
      <c r="CA11" s="253" t="n">
        <v>788</v>
      </c>
      <c r="CB11" s="253" t="n">
        <v>225.4</v>
      </c>
      <c r="CC11" s="254">
        <f>BX11*(1+CC12)*CC34+CC14</f>
        <v>234.900508916574</v>
      </c>
      <c r="CD11" s="254">
        <f>BY11*(1+CD12)*CD34+CD14</f>
        <v>231.225367482929</v>
      </c>
      <c r="CE11" s="254">
        <f>BZ11*(1+CE12)*CE34+CE14</f>
        <v>273.113830067016</v>
      </c>
      <c r="CF11" s="254">
        <f>SUM(CB11:CE11)</f>
        <v>964.63970646652</v>
      </c>
      <c r="CG11" s="254">
        <f>CF11*(1+CG12)</f>
        <v>1070.75007417784</v>
      </c>
      <c r="CH11" s="254">
        <f>CG11*(1+CH12)</f>
        <v>1177.82508159562</v>
      </c>
      <c r="CI11" s="254">
        <f>CH11*(1+CI12)</f>
        <v>1283.82933893923</v>
      </c>
      <c r="CJ11" s="254">
        <f>CI11*(1+CJ12)</f>
        <v>1386.53568605437</v>
      </c>
      <c r="CK11" s="254">
        <f>CJ11*(1+CK12)</f>
        <v>1483.59318407817</v>
      </c>
      <c r="CL11" s="153" t="inlineStr">
        <is>
          <t>Release segment data (Aerospace &amp; Defense / Industrial from the Q3 FY22 release; FY2021 and Q3 FY21–Q2 FY22 from the re-presented comparatives). Q2–Q4/27E: prior-year quarter × (1 + organic growth) × week factor + acquired sales not in the prior-year base. FY2028E+: prior year × (1 + scenario growth).</t>
        </is>
      </c>
      <c r="CN11" s="20">
        <f>IFERROR((CK11/CF11)^(1/5)-1,"n/m")</f>
        <v>0.089908247612712</v>
      </c>
      <c r="CO11" s="20">
        <f>IFERROR((CA11/BB11)^(1/5)-1,"n/m")</f>
        <v>0.147407082622702</v>
      </c>
      <c r="CP11" s="20" t="str">
        <f>IFERROR((CA11/AC11)^(1/10)-1,"n/m")</f>
        <v>n/m</v>
      </c>
      <c r="CQ11" s="20" t="str">
        <f>IFERROR((CA11/C11)^(1/20)-1,"n/m")</f>
        <v>n/m</v>
      </c>
      <c r="CT11" s="15" t="inlineStr">
        <is>
          <t>Q2 FY27 guidance — Q1 FY27 release (31-Jul-2026)</t>
        </is>
      </c>
      <c r="CU11" s="21" t="inlineStr">
        <is>
          <t>High</t>
        </is>
      </c>
      <c r="CV11" s="21" t="inlineStr">
        <is>
          <t>Mid</t>
        </is>
      </c>
      <c r="CW11" s="21" t="inlineStr">
        <is>
          <t>Low</t>
        </is>
      </c>
      <c r="CX11" s="13" t="inlineStr">
        <is>
          <t>Net sales approximately $505.0 to $515.0 million in Q2 FY27 (vs $455.3 million, +10.9% to 13.1%); gross margin 45.5% to 45.75%; SG&amp;A 16.5% to 16.75% of net sales. RBC guides one quarter ahead; no full-year guidance is published.</t>
        </is>
      </c>
    </row>
    <row r="12" ht="15" customHeight="1" s="251">
      <c r="B12" s="22" t="inlineStr">
        <is>
          <t xml:space="preserve">    y/y % (Q2–Q4/27E: organic, before acquired sales)</t>
        </is>
      </c>
      <c r="C12" s="23" t="n"/>
      <c r="D12" s="255">
        <f>IF(AND(ISNUMBER(D11),ISNUMBER(C11)),IFERROR(D11/C11-1,""),"")</f>
      </c>
      <c r="E12" s="255">
        <f>IF(AND(ISNUMBER(E11),ISNUMBER(D11)),IFERROR(E11/D11-1,""),"")</f>
      </c>
      <c r="F12" s="255">
        <f>IF(AND(ISNUMBER(F11),ISNUMBER(E11)),IFERROR(F11/E11-1,""),"")</f>
      </c>
      <c r="G12" s="255">
        <f>IF(AND(ISNUMBER(G11),ISNUMBER(F11)),IFERROR(G11/F11-1,""),"")</f>
      </c>
      <c r="H12" s="255">
        <f>IF(AND(ISNUMBER(H11),ISNUMBER(G11)),IFERROR(H11/G11-1,""),"")</f>
      </c>
      <c r="I12" s="255">
        <f>IF(AND(ISNUMBER(I11),ISNUMBER(H11)),IFERROR(I11/H11-1,""),"")</f>
      </c>
      <c r="J12" s="23" t="n"/>
      <c r="K12" s="23" t="n"/>
      <c r="L12" s="23" t="n"/>
      <c r="M12" s="23" t="n"/>
      <c r="N12" s="255">
        <f>IF(AND(ISNUMBER(N11),ISNUMBER(I11)),IFERROR(N11/I11-1,""),"")</f>
      </c>
      <c r="O12" s="255">
        <f>IF(AND(ISNUMBER(O11),ISNUMBER(J11)),IFERROR(O11/J11-1,""),"")</f>
      </c>
      <c r="P12" s="255">
        <f>IF(AND(ISNUMBER(P11),ISNUMBER(K11)),IFERROR(P11/K11-1,""),"")</f>
      </c>
      <c r="Q12" s="255">
        <f>IF(AND(ISNUMBER(Q11),ISNUMBER(L11)),IFERROR(Q11/L11-1,""),"")</f>
      </c>
      <c r="R12" s="255">
        <f>IF(AND(ISNUMBER(R11),ISNUMBER(M11)),IFERROR(R11/M11-1,""),"")</f>
      </c>
      <c r="S12" s="255">
        <f>IF(AND(ISNUMBER(S11),ISNUMBER(N11)),IFERROR(S11/N11-1,""),"")</f>
      </c>
      <c r="T12" s="255">
        <f>IF(AND(ISNUMBER(T11),ISNUMBER(O11)),IFERROR(T11/O11-1,""),"")</f>
      </c>
      <c r="U12" s="255">
        <f>IF(AND(ISNUMBER(U11),ISNUMBER(P11)),IFERROR(U11/P11-1,""),"")</f>
      </c>
      <c r="V12" s="255">
        <f>IF(AND(ISNUMBER(V11),ISNUMBER(Q11)),IFERROR(V11/Q11-1,""),"")</f>
      </c>
      <c r="W12" s="255">
        <f>IF(AND(ISNUMBER(W11),ISNUMBER(R11)),IFERROR(W11/R11-1,""),"")</f>
      </c>
      <c r="X12" s="255">
        <f>IF(AND(ISNUMBER(X11),ISNUMBER(S11)),IFERROR(X11/S11-1,""),"")</f>
      </c>
      <c r="Y12" s="255">
        <f>IF(AND(ISNUMBER(Y11),ISNUMBER(T11)),IFERROR(Y11/T11-1,""),"")</f>
      </c>
      <c r="Z12" s="255">
        <f>IF(AND(ISNUMBER(Z11),ISNUMBER(U11)),IFERROR(Z11/U11-1,""),"")</f>
      </c>
      <c r="AA12" s="255">
        <f>IF(AND(ISNUMBER(AA11),ISNUMBER(V11)),IFERROR(AA11/V11-1,""),"")</f>
      </c>
      <c r="AB12" s="255">
        <f>IF(AND(ISNUMBER(AB11),ISNUMBER(W11)),IFERROR(AB11/W11-1,""),"")</f>
      </c>
      <c r="AC12" s="255">
        <f>IF(AND(ISNUMBER(AC11),ISNUMBER(X11)),IFERROR(AC11/X11-1,""),"")</f>
      </c>
      <c r="AD12" s="255">
        <f>IF(AND(ISNUMBER(AD11),ISNUMBER(Y11)),IFERROR(AD11/Y11-1,""),"")</f>
      </c>
      <c r="AE12" s="255">
        <f>IF(AND(ISNUMBER(AE11),ISNUMBER(Z11)),IFERROR(AE11/Z11-1,""),"")</f>
      </c>
      <c r="AF12" s="255">
        <f>IF(AND(ISNUMBER(AF11),ISNUMBER(AA11)),IFERROR(AF11/AA11-1,""),"")</f>
      </c>
      <c r="AG12" s="255">
        <f>IF(AND(ISNUMBER(AG11),ISNUMBER(AB11)),IFERROR(AG11/AB11-1,""),"")</f>
      </c>
      <c r="AH12" s="255">
        <f>IF(AND(ISNUMBER(AH11),ISNUMBER(AC11)),IFERROR(AH11/AC11-1,""),"")</f>
      </c>
      <c r="AI12" s="255">
        <f>IF(AND(ISNUMBER(AI11),ISNUMBER(AD11)),IFERROR(AI11/AD11-1,""),"")</f>
      </c>
      <c r="AJ12" s="255">
        <f>IF(AND(ISNUMBER(AJ11),ISNUMBER(AE11)),IFERROR(AJ11/AE11-1,""),"")</f>
      </c>
      <c r="AK12" s="255">
        <f>IF(AND(ISNUMBER(AK11),ISNUMBER(AF11)),IFERROR(AK11/AF11-1,""),"")</f>
      </c>
      <c r="AL12" s="255">
        <f>IF(AND(ISNUMBER(AL11),ISNUMBER(AG11)),IFERROR(AL11/AG11-1,""),"")</f>
      </c>
      <c r="AM12" s="255">
        <f>IF(AND(ISNUMBER(AM11),ISNUMBER(AH11)),IFERROR(AM11/AH11-1,""),"")</f>
      </c>
      <c r="AN12" s="255">
        <f>IF(AND(ISNUMBER(AN11),ISNUMBER(AI11)),IFERROR(AN11/AI11-1,""),"")</f>
      </c>
      <c r="AO12" s="255">
        <f>IF(AND(ISNUMBER(AO11),ISNUMBER(AJ11)),IFERROR(AO11/AJ11-1,""),"")</f>
      </c>
      <c r="AP12" s="255">
        <f>IF(AND(ISNUMBER(AP11),ISNUMBER(AK11)),IFERROR(AP11/AK11-1,""),"")</f>
      </c>
      <c r="AQ12" s="255">
        <f>IF(AND(ISNUMBER(AQ11),ISNUMBER(AL11)),IFERROR(AQ11/AL11-1,""),"")</f>
      </c>
      <c r="AR12" s="255">
        <f>IF(AND(ISNUMBER(AR11),ISNUMBER(AM11)),IFERROR(AR11/AM11-1,""),"")</f>
      </c>
      <c r="AS12" s="255">
        <f>IF(AND(ISNUMBER(AS11),ISNUMBER(AN11)),IFERROR(AS11/AN11-1,""),"")</f>
      </c>
      <c r="AT12" s="255">
        <f>IF(AND(ISNUMBER(AT11),ISNUMBER(AO11)),IFERROR(AT11/AO11-1,""),"")</f>
      </c>
      <c r="AU12" s="255">
        <f>IF(AND(ISNUMBER(AU11),ISNUMBER(AP11)),IFERROR(AU11/AP11-1,""),"")</f>
      </c>
      <c r="AV12" s="255">
        <f>IF(AND(ISNUMBER(AV11),ISNUMBER(AQ11)),IFERROR(AV11/AQ11-1,""),"")</f>
      </c>
      <c r="AW12" s="255">
        <f>IF(AND(ISNUMBER(AW11),ISNUMBER(AR11)),IFERROR(AW11/AR11-1,""),"")</f>
      </c>
      <c r="AX12" s="255">
        <f>IF(AND(ISNUMBER(AX11),ISNUMBER(AS11)),IFERROR(AX11/AS11-1,""),"")</f>
      </c>
      <c r="AY12" s="255">
        <f>IF(AND(ISNUMBER(AY11),ISNUMBER(AT11)),IFERROR(AY11/AT11-1,""),"")</f>
      </c>
      <c r="AZ12" s="255">
        <f>IF(AND(ISNUMBER(AZ11),ISNUMBER(AU11)),IFERROR(AZ11/AU11-1,""),"")</f>
      </c>
      <c r="BA12" s="255">
        <f>IF(AND(ISNUMBER(BA11),ISNUMBER(AV11)),IFERROR(BA11/AV11-1,""),"")</f>
      </c>
      <c r="BB12" s="255">
        <f>IF(AND(ISNUMBER(BB11),ISNUMBER(AW11)),IFERROR(BB11/AW11-1,""),"")</f>
      </c>
      <c r="BC12" s="255">
        <f>IF(AND(ISNUMBER(BC11),ISNUMBER(AX11)),IFERROR(BC11/AX11-1,""),"")</f>
      </c>
      <c r="BD12" s="255">
        <f>IF(AND(ISNUMBER(BD11),ISNUMBER(AY11)),IFERROR(BD11/AY11-1,""),"")</f>
      </c>
      <c r="BE12" s="255">
        <f>IF(AND(ISNUMBER(BE11),ISNUMBER(AZ11)),IFERROR(BE11/AZ11-1,""),"")</f>
        <v>-0.000686201979263723</v>
      </c>
      <c r="BF12" s="255">
        <f>IF(AND(ISNUMBER(BF11),ISNUMBER(BA11)),IFERROR(BF11/BA11-1,""),"")</f>
        <v>0.089180300656714</v>
      </c>
      <c r="BG12" s="255">
        <f>IF(AND(ISNUMBER(BG11),ISNUMBER(BB11)),IFERROR(BG11/BB11-1,""),"")</f>
        <v>-0.0372367006375213</v>
      </c>
      <c r="BH12" s="255">
        <f>IF(AND(ISNUMBER(BH11),ISNUMBER(BC11)),IFERROR(BH11/BC11-1,""),"")</f>
        <v>0.0999723344215129</v>
      </c>
      <c r="BI12" s="255">
        <f>IF(AND(ISNUMBER(BI11),ISNUMBER(BD11)),IFERROR(BI11/BD11-1,""),"")</f>
        <v>0.114437927137707</v>
      </c>
      <c r="BJ12" s="255">
        <f>IF(AND(ISNUMBER(BJ11),ISNUMBER(BE11)),IFERROR(BJ11/BE11-1,""),"")</f>
        <v>0.132281149748399</v>
      </c>
      <c r="BK12" s="255">
        <f>IF(AND(ISNUMBER(BK11),ISNUMBER(BF11)),IFERROR(BK11/BF11-1,""),"")</f>
        <v>0.160432442729914</v>
      </c>
      <c r="BL12" s="255">
        <f>IF(AND(ISNUMBER(BL11),ISNUMBER(BG11)),IFERROR(BL11/BG11-1,""),"")</f>
        <v>0.128029087629893</v>
      </c>
      <c r="BM12" s="255">
        <f>IF(AND(ISNUMBER(BM11),ISNUMBER(BH11)),IFERROR(BM11/BH11-1,""),"")</f>
        <v>0.212004144910914</v>
      </c>
      <c r="BN12" s="255">
        <f>IF(AND(ISNUMBER(BN11),ISNUMBER(BI11)),IFERROR(BN11/BI11-1,""),"")</f>
        <v>0.229101479507088</v>
      </c>
      <c r="BO12" s="255">
        <f>IF(AND(ISNUMBER(BO11),ISNUMBER(BJ11)),IFERROR(BO11/BJ11-1,""),"")</f>
        <v>0.2251544555206</v>
      </c>
      <c r="BP12" s="255">
        <f>IF(AND(ISNUMBER(BP11),ISNUMBER(BK11)),IFERROR(BP11/BK11-1,""),"")</f>
        <v>0.168146895623338</v>
      </c>
      <c r="BQ12" s="255">
        <f>IF(AND(ISNUMBER(BQ11),ISNUMBER(BL11)),IFERROR(BQ11/BL11-1,""),"")</f>
        <v>0.206926682577788</v>
      </c>
      <c r="BR12" s="255">
        <f>IF(AND(ISNUMBER(BR11),ISNUMBER(BM11)),IFERROR(BR11/BM11-1,""),"")</f>
        <v>0.237631980875224</v>
      </c>
      <c r="BS12" s="255">
        <f>IF(AND(ISNUMBER(BS11),ISNUMBER(BN11)),IFERROR(BS11/BN11-1,""),"")</f>
        <v>0.125158127146011</v>
      </c>
      <c r="BT12" s="255">
        <f>IF(AND(ISNUMBER(BT11),ISNUMBER(BO11)),IFERROR(BT11/BO11-1,""),"")</f>
        <v>0.107561894302089</v>
      </c>
      <c r="BU12" s="255">
        <f>IF(AND(ISNUMBER(BU11),ISNUMBER(BP11)),IFERROR(BU11/BP11-1,""),"")</f>
        <v>0.105310126270966</v>
      </c>
      <c r="BV12" s="255">
        <f>IF(AND(ISNUMBER(BV11),ISNUMBER(BQ11)),IFERROR(BV11/BQ11-1,""),"")</f>
        <v>0.141428981282336</v>
      </c>
      <c r="BW12" s="255">
        <f>IF(AND(ISNUMBER(BW11),ISNUMBER(BR11)),IFERROR(BW11/BR11-1,""),"")</f>
        <v>0.103957075788062</v>
      </c>
      <c r="BX12" s="255">
        <f>IF(AND(ISNUMBER(BX11),ISNUMBER(BS11)),IFERROR(BX11/BS11-1,""),"")</f>
        <v>0.388268156424581</v>
      </c>
      <c r="BY12" s="255">
        <f>IF(AND(ISNUMBER(BY11),ISNUMBER(BT11)),IFERROR(BY11/BT11-1,""),"")</f>
        <v>0.414106145251397</v>
      </c>
      <c r="BZ12" s="255">
        <f>IF(AND(ISNUMBER(BZ11),ISNUMBER(BU11)),IFERROR(BZ11/BU11-1,""),"")</f>
        <v>0.411951684678957</v>
      </c>
      <c r="CA12" s="255">
        <f>IF(AND(ISNUMBER(CA11),ISNUMBER(BV11)),IFERROR(CA11/BV11-1,""),"")</f>
        <v>0.329284750337382</v>
      </c>
      <c r="CB12" s="255">
        <f>IF(AND(ISNUMBER(CB11),ISNUMBER(BW11)),IFERROR(CB11/BW11-1,""),"")</f>
        <v>0.369380315917376</v>
      </c>
      <c r="CC12" s="256">
        <f>CC13+$CC$74</f>
        <v>0.141853666582366</v>
      </c>
      <c r="CD12" s="256">
        <f>CD13+$CC$74</f>
        <v>0.141853666582366</v>
      </c>
      <c r="CE12" s="256">
        <f>CE13+$CC$74</f>
        <v>0.141853666582366</v>
      </c>
      <c r="CF12" s="256">
        <f>IF(AND(ISNUMBER(CF11),ISNUMBER(CA11)),IFERROR(CF11/CA11-1,""),"")</f>
        <v>0.224162064043807</v>
      </c>
      <c r="CG12" s="256">
        <f>CHOOSE(MATCH($CL$2,{"Bull","Base","Bear"},0),$CU$27,$CV$27,$CW$27)</f>
        <v>0.11</v>
      </c>
      <c r="CH12" s="256">
        <f>CHOOSE(MATCH($CL$2,{"Bull","Base","Bear"},0),$CU$28,$CV$28,$CW$28)</f>
        <v>0.1</v>
      </c>
      <c r="CI12" s="256">
        <f>CHOOSE(MATCH($CL$2,{"Bull","Base","Bear"},0),$CU$29,$CV$29,$CW$29)</f>
        <v>0.09</v>
      </c>
      <c r="CJ12" s="256">
        <f>CHOOSE(MATCH($CL$2,{"Bull","Base","Bear"},0),$CU$30,$CV$30,$CW$30)</f>
        <v>0.08</v>
      </c>
      <c r="CK12" s="256">
        <f>CHOOSE(MATCH($CL$2,{"Bull","Base","Bear"},0),$CU$31,$CV$31,$CW$31)</f>
        <v>0.07</v>
      </c>
      <c r="CL12" s="153" t="inlineStr">
        <is>
          <t>Q2–Q4/27E: Q1 FY27 organic y/y + the Q2 sales-guidance calibration Δ (solved in Q2/27E, carried into Q3–Q4). FY2028E+: scenario lever.</t>
        </is>
      </c>
      <c r="CT12" s="25" t="inlineStr">
        <is>
          <t xml:space="preserve">  Q2 FY27 net sales ($m)</t>
        </is>
      </c>
      <c r="CU12" s="257" t="n">
        <v>515</v>
      </c>
      <c r="CV12" s="257" t="n">
        <v>510</v>
      </c>
      <c r="CW12" s="257" t="n">
        <v>505</v>
      </c>
      <c r="CX12" s="13" t="inlineStr">
        <is>
          <t>Guided ~$505–515m. Drives the Q2/27E sales calibration (Δ carried into Q3–Q4).</t>
        </is>
      </c>
    </row>
    <row r="13" ht="15" customHeight="1" s="251">
      <c r="B13" s="25" t="inlineStr">
        <is>
          <t xml:space="preserve">    Q2–Q4/27E organic growth before calibration (Q1 FY27 organic y/y)</t>
        </is>
      </c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  <c r="AP13" s="36" t="n"/>
      <c r="AQ13" s="36" t="n"/>
      <c r="AR13" s="36" t="n"/>
      <c r="AS13" s="36" t="n"/>
      <c r="AT13" s="36" t="n"/>
      <c r="AU13" s="36" t="n"/>
      <c r="AV13" s="36" t="n"/>
      <c r="AW13" s="36" t="n"/>
      <c r="AX13" s="36" t="n"/>
      <c r="AY13" s="36" t="n"/>
      <c r="AZ13" s="36" t="n"/>
      <c r="BA13" s="36" t="n"/>
      <c r="BB13" s="36" t="n"/>
      <c r="BC13" s="36" t="n"/>
      <c r="BD13" s="36" t="n"/>
      <c r="BE13" s="36" t="n"/>
      <c r="BF13" s="36" t="n"/>
      <c r="BG13" s="36" t="n"/>
      <c r="BH13" s="36" t="n"/>
      <c r="BI13" s="36" t="n"/>
      <c r="BJ13" s="36" t="n"/>
      <c r="BK13" s="36" t="n"/>
      <c r="BL13" s="36" t="n"/>
      <c r="BM13" s="36" t="n"/>
      <c r="BN13" s="36" t="n"/>
      <c r="BO13" s="36" t="n"/>
      <c r="BP13" s="36" t="n"/>
      <c r="BQ13" s="36" t="n"/>
      <c r="BR13" s="36" t="n"/>
      <c r="BS13" s="36" t="n"/>
      <c r="BT13" s="36" t="n"/>
      <c r="BU13" s="36" t="n"/>
      <c r="BV13" s="36" t="n"/>
      <c r="BW13" s="36" t="n"/>
      <c r="BX13" s="36" t="n"/>
      <c r="BY13" s="36" t="n"/>
      <c r="BZ13" s="36" t="n"/>
      <c r="CA13" s="36" t="n"/>
      <c r="CB13" s="36" t="n"/>
      <c r="CC13" s="256">
        <f>IFERROR((SUM(CB11:CB11)-SUM(CB14:CB14))/SUM(BW11:BW11)-1,0)</f>
        <v>0.160388821385176</v>
      </c>
      <c r="CD13" s="256">
        <f>IFERROR((SUM(CB11:CB11)-SUM(CB14:CB14))/SUM(BW11:BW11)-1,0)</f>
        <v>0.160388821385176</v>
      </c>
      <c r="CE13" s="256">
        <f>IFERROR((SUM(CB11:CB11)-SUM(CB14:CB14))/SUM(BW11:BW11)-1,0)</f>
        <v>0.160388821385176</v>
      </c>
      <c r="CF13" s="24" t="n"/>
      <c r="CG13" s="46" t="n"/>
      <c r="CH13" s="46" t="n"/>
      <c r="CI13" s="46" t="n"/>
      <c r="CJ13" s="46" t="n"/>
      <c r="CK13" s="46" t="n"/>
      <c r="CL13" s="19" t="n"/>
      <c r="CT13" s="25" t="inlineStr">
        <is>
          <t xml:space="preserve">  Q2 FY27 gross margin %</t>
        </is>
      </c>
      <c r="CU13" s="258" t="n">
        <v>0.4575</v>
      </c>
      <c r="CV13" s="258" t="n">
        <v>0.45625</v>
      </c>
      <c r="CW13" s="258" t="n">
        <v>0.455</v>
      </c>
      <c r="CX13" s="13" t="inlineStr">
        <is>
          <t>Guided 45.5–45.75%. Drives the Q2/27E segment gross-margin calibration (Δ carried).</t>
        </is>
      </c>
    </row>
    <row r="14" ht="15" customHeight="1" s="251">
      <c r="B14" s="25" t="inlineStr">
        <is>
          <t xml:space="preserve">    Acquired sales not in the prior-year base (VACCO / PSC Couplings; input)</t>
        </is>
      </c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  <c r="AH14" s="36" t="n"/>
      <c r="AI14" s="36" t="n"/>
      <c r="AJ14" s="36" t="n"/>
      <c r="AK14" s="36" t="n"/>
      <c r="AL14" s="36" t="n"/>
      <c r="AM14" s="36" t="n"/>
      <c r="AN14" s="36" t="n"/>
      <c r="AO14" s="36" t="n"/>
      <c r="AP14" s="36" t="n"/>
      <c r="AQ14" s="36" t="n"/>
      <c r="AR14" s="36" t="n"/>
      <c r="AS14" s="36" t="n"/>
      <c r="AT14" s="36" t="n"/>
      <c r="AU14" s="36" t="n"/>
      <c r="AV14" s="36" t="n"/>
      <c r="AW14" s="36" t="n"/>
      <c r="AX14" s="36" t="n"/>
      <c r="AY14" s="36" t="n"/>
      <c r="AZ14" s="36" t="n"/>
      <c r="BA14" s="36" t="n"/>
      <c r="BB14" s="36" t="n"/>
      <c r="BC14" s="36" t="n"/>
      <c r="BD14" s="36" t="n"/>
      <c r="BE14" s="36" t="n"/>
      <c r="BF14" s="36" t="n"/>
      <c r="BG14" s="36" t="n"/>
      <c r="BH14" s="36" t="n"/>
      <c r="BI14" s="36" t="n"/>
      <c r="BJ14" s="36" t="n"/>
      <c r="BK14" s="36" t="n"/>
      <c r="BL14" s="36" t="n"/>
      <c r="BM14" s="36" t="n"/>
      <c r="BN14" s="36" t="n"/>
      <c r="BO14" s="36" t="n"/>
      <c r="BP14" s="36" t="n"/>
      <c r="BQ14" s="36" t="n"/>
      <c r="BR14" s="36" t="n"/>
      <c r="BS14" s="36" t="n"/>
      <c r="BT14" s="36" t="n"/>
      <c r="BU14" s="36" t="n"/>
      <c r="BV14" s="36" t="n"/>
      <c r="BW14" s="36" t="n"/>
      <c r="BX14" s="36" t="n"/>
      <c r="BY14" s="36" t="n"/>
      <c r="BZ14" s="36" t="n"/>
      <c r="CA14" s="36" t="n"/>
      <c r="CB14" s="259" t="n">
        <v>34.4</v>
      </c>
      <c r="CC14" s="260" t="n">
        <v>7.9</v>
      </c>
      <c r="CD14" s="260" t="n">
        <v>0</v>
      </c>
      <c r="CE14" s="260" t="n">
        <v>0</v>
      </c>
      <c r="CF14" s="24" t="n"/>
      <c r="CG14" s="46" t="n"/>
      <c r="CH14" s="46" t="n"/>
      <c r="CI14" s="46" t="n"/>
      <c r="CJ14" s="46" t="n"/>
      <c r="CK14" s="46" t="n"/>
      <c r="CL14" s="19" t="inlineStr">
        <is>
          <t>Q1 FY27: VACCO $34.4m (release: "$34.4 of net sales this quarter came from VACCO, which we acquired on July 18, 2025"; not in the Q1 FY26 base). Q2/27E: VACCO sales for the ~3 weeks before the 18-Jul anniversary that are not in the Q2 FY26 base = $34.4m × 3/13 (assumption). Q3–Q4: nil.</t>
        </is>
      </c>
      <c r="CT14" s="25" t="inlineStr">
        <is>
          <t xml:space="preserve">  Q2 FY27 SG&amp;A % of net sales (Bull = low end)</t>
        </is>
      </c>
      <c r="CU14" s="258" t="n">
        <v>0.165</v>
      </c>
      <c r="CV14" s="258" t="n">
        <v>0.16625</v>
      </c>
      <c r="CW14" s="258" t="n">
        <v>0.1675</v>
      </c>
      <c r="CX14" s="13" t="inlineStr">
        <is>
          <t>Guided 16.5–16.75%. Applied directly in Q2/27E.</t>
        </is>
      </c>
    </row>
    <row r="15" ht="15" customHeight="1" s="251">
      <c r="B15" s="25" t="inlineStr">
        <is>
          <t xml:space="preserve">  % of total net sales</t>
        </is>
      </c>
      <c r="C15" s="215">
        <f>IF(AND(ISNUMBER(C11),ISNUMBER(C65)),IFERROR(C11/C65,""),"")</f>
      </c>
      <c r="D15" s="215">
        <f>IF(AND(ISNUMBER(D11),ISNUMBER(D65)),IFERROR(D11/D65,""),"")</f>
      </c>
      <c r="E15" s="215">
        <f>IF(AND(ISNUMBER(E11),ISNUMBER(E65)),IFERROR(E11/E65,""),"")</f>
      </c>
      <c r="F15" s="215">
        <f>IF(AND(ISNUMBER(F11),ISNUMBER(F65)),IFERROR(F11/F65,""),"")</f>
      </c>
      <c r="G15" s="215">
        <f>IF(AND(ISNUMBER(G11),ISNUMBER(G65)),IFERROR(G11/G65,""),"")</f>
      </c>
      <c r="H15" s="215">
        <f>IF(AND(ISNUMBER(H11),ISNUMBER(H65)),IFERROR(H11/H65,""),"")</f>
      </c>
      <c r="I15" s="215">
        <f>IF(AND(ISNUMBER(I11),ISNUMBER(I65)),IFERROR(I11/I65,""),"")</f>
      </c>
      <c r="J15" s="215">
        <f>IF(AND(ISNUMBER(J11),ISNUMBER(J65)),IFERROR(J11/J65,""),"")</f>
      </c>
      <c r="K15" s="215">
        <f>IF(AND(ISNUMBER(K11),ISNUMBER(K65)),IFERROR(K11/K65,""),"")</f>
      </c>
      <c r="L15" s="215">
        <f>IF(AND(ISNUMBER(L11),ISNUMBER(L65)),IFERROR(L11/L65,""),"")</f>
      </c>
      <c r="M15" s="215">
        <f>IF(AND(ISNUMBER(M11),ISNUMBER(M65)),IFERROR(M11/M65,""),"")</f>
      </c>
      <c r="N15" s="215">
        <f>IF(AND(ISNUMBER(N11),ISNUMBER(N65)),IFERROR(N11/N65,""),"")</f>
      </c>
      <c r="O15" s="215">
        <f>IF(AND(ISNUMBER(O11),ISNUMBER(O65)),IFERROR(O11/O65,""),"")</f>
      </c>
      <c r="P15" s="215">
        <f>IF(AND(ISNUMBER(P11),ISNUMBER(P65)),IFERROR(P11/P65,""),"")</f>
      </c>
      <c r="Q15" s="215">
        <f>IF(AND(ISNUMBER(Q11),ISNUMBER(Q65)),IFERROR(Q11/Q65,""),"")</f>
      </c>
      <c r="R15" s="215">
        <f>IF(AND(ISNUMBER(R11),ISNUMBER(R65)),IFERROR(R11/R65,""),"")</f>
      </c>
      <c r="S15" s="215">
        <f>IF(AND(ISNUMBER(S11),ISNUMBER(S65)),IFERROR(S11/S65,""),"")</f>
      </c>
      <c r="T15" s="215">
        <f>IF(AND(ISNUMBER(T11),ISNUMBER(T65)),IFERROR(T11/T65,""),"")</f>
      </c>
      <c r="U15" s="215">
        <f>IF(AND(ISNUMBER(U11),ISNUMBER(U65)),IFERROR(U11/U65,""),"")</f>
      </c>
      <c r="V15" s="215">
        <f>IF(AND(ISNUMBER(V11),ISNUMBER(V65)),IFERROR(V11/V65,""),"")</f>
      </c>
      <c r="W15" s="215">
        <f>IF(AND(ISNUMBER(W11),ISNUMBER(W65)),IFERROR(W11/W65,""),"")</f>
      </c>
      <c r="X15" s="215">
        <f>IF(AND(ISNUMBER(X11),ISNUMBER(X65)),IFERROR(X11/X65,""),"")</f>
      </c>
      <c r="Y15" s="215">
        <f>IF(AND(ISNUMBER(Y11),ISNUMBER(Y65)),IFERROR(Y11/Y65,""),"")</f>
      </c>
      <c r="Z15" s="215">
        <f>IF(AND(ISNUMBER(Z11),ISNUMBER(Z65)),IFERROR(Z11/Z65,""),"")</f>
      </c>
      <c r="AA15" s="215">
        <f>IF(AND(ISNUMBER(AA11),ISNUMBER(AA65)),IFERROR(AA11/AA65,""),"")</f>
      </c>
      <c r="AB15" s="215">
        <f>IF(AND(ISNUMBER(AB11),ISNUMBER(AB65)),IFERROR(AB11/AB65,""),"")</f>
      </c>
      <c r="AC15" s="215">
        <f>IF(AND(ISNUMBER(AC11),ISNUMBER(AC65)),IFERROR(AC11/AC65,""),"")</f>
      </c>
      <c r="AD15" s="215">
        <f>IF(AND(ISNUMBER(AD11),ISNUMBER(AD65)),IFERROR(AD11/AD65,""),"")</f>
      </c>
      <c r="AE15" s="215">
        <f>IF(AND(ISNUMBER(AE11),ISNUMBER(AE65)),IFERROR(AE11/AE65,""),"")</f>
      </c>
      <c r="AF15" s="215">
        <f>IF(AND(ISNUMBER(AF11),ISNUMBER(AF65)),IFERROR(AF11/AF65,""),"")</f>
      </c>
      <c r="AG15" s="215">
        <f>IF(AND(ISNUMBER(AG11),ISNUMBER(AG65)),IFERROR(AG11/AG65,""),"")</f>
      </c>
      <c r="AH15" s="215">
        <f>IF(AND(ISNUMBER(AH11),ISNUMBER(AH65)),IFERROR(AH11/AH65,""),"")</f>
      </c>
      <c r="AI15" s="215">
        <f>IF(AND(ISNUMBER(AI11),ISNUMBER(AI65)),IFERROR(AI11/AI65,""),"")</f>
      </c>
      <c r="AJ15" s="215">
        <f>IF(AND(ISNUMBER(AJ11),ISNUMBER(AJ65)),IFERROR(AJ11/AJ65,""),"")</f>
      </c>
      <c r="AK15" s="215">
        <f>IF(AND(ISNUMBER(AK11),ISNUMBER(AK65)),IFERROR(AK11/AK65,""),"")</f>
      </c>
      <c r="AL15" s="215">
        <f>IF(AND(ISNUMBER(AL11),ISNUMBER(AL65)),IFERROR(AL11/AL65,""),"")</f>
      </c>
      <c r="AM15" s="215">
        <f>IF(AND(ISNUMBER(AM11),ISNUMBER(AM65)),IFERROR(AM11/AM65,""),"")</f>
      </c>
      <c r="AN15" s="215">
        <f>IF(AND(ISNUMBER(AN11),ISNUMBER(AN65)),IFERROR(AN11/AN65,""),"")</f>
      </c>
      <c r="AO15" s="215">
        <f>IF(AND(ISNUMBER(AO11),ISNUMBER(AO65)),IFERROR(AO11/AO65,""),"")</f>
      </c>
      <c r="AP15" s="215">
        <f>IF(AND(ISNUMBER(AP11),ISNUMBER(AP65)),IFERROR(AP11/AP65,""),"")</f>
      </c>
      <c r="AQ15" s="215">
        <f>IF(AND(ISNUMBER(AQ11),ISNUMBER(AQ65)),IFERROR(AQ11/AQ65,""),"")</f>
      </c>
      <c r="AR15" s="215">
        <f>IF(AND(ISNUMBER(AR11),ISNUMBER(AR65)),IFERROR(AR11/AR65,""),"")</f>
      </c>
      <c r="AS15" s="215">
        <f>IF(AND(ISNUMBER(AS11),ISNUMBER(AS65)),IFERROR(AS11/AS65,""),"")</f>
      </c>
      <c r="AT15" s="215">
        <f>IF(AND(ISNUMBER(AT11),ISNUMBER(AT65)),IFERROR(AT11/AT65,""),"")</f>
      </c>
      <c r="AU15" s="215">
        <f>IF(AND(ISNUMBER(AU11),ISNUMBER(AU65)),IFERROR(AU11/AU65,""),"")</f>
      </c>
      <c r="AV15" s="215">
        <f>IF(AND(ISNUMBER(AV11),ISNUMBER(AV65)),IFERROR(AV11/AV65,""),"")</f>
      </c>
      <c r="AW15" s="215">
        <f>IF(AND(ISNUMBER(AW11),ISNUMBER(AW65)),IFERROR(AW11/AW65,""),"")</f>
      </c>
      <c r="AX15" s="215">
        <f>IF(AND(ISNUMBER(AX11),ISNUMBER(AX65)),IFERROR(AX11/AX65,""),"")</f>
      </c>
      <c r="AY15" s="215">
        <f>IF(AND(ISNUMBER(AY11),ISNUMBER(AY65)),IFERROR(AY11/AY65,""),"")</f>
      </c>
      <c r="AZ15" s="215">
        <f>IF(AND(ISNUMBER(AZ11),ISNUMBER(AZ65)),IFERROR(AZ11/AZ65,""),"")</f>
        <v>0.639423835021013</v>
      </c>
      <c r="BA15" s="215">
        <f>IF(AND(ISNUMBER(BA11),ISNUMBER(BA65)),IFERROR(BA11/BA65,""),"")</f>
        <v>0.601322561527184</v>
      </c>
      <c r="BB15" s="215">
        <f>IF(AND(ISNUMBER(BB11),ISNUMBER(BB65)),IFERROR(BB11/BB65,""),"")</f>
        <v>0.650627931111491</v>
      </c>
      <c r="BC15" s="215">
        <f>IF(AND(ISNUMBER(BC11),ISNUMBER(BC65)),IFERROR(BC11/BC65,""),"")</f>
        <v>0.57850260875132</v>
      </c>
      <c r="BD15" s="215">
        <f>IF(AND(ISNUMBER(BD11),ISNUMBER(BD65)),IFERROR(BD11/BD65,""),"")</f>
        <v>0.577470478558111</v>
      </c>
      <c r="BE15" s="215">
        <f>IF(AND(ISNUMBER(BE11),ISNUMBER(BE65)),IFERROR(BE11/BE65,""),"")</f>
        <v>0.349136364828266</v>
      </c>
      <c r="BF15" s="215">
        <f>IF(AND(ISNUMBER(BF11),ISNUMBER(BF65)),IFERROR(BF11/BF65,""),"")</f>
        <v>0.292535924364479</v>
      </c>
      <c r="BG15" s="215">
        <f>IF(AND(ISNUMBER(BG11),ISNUMBER(BG65)),IFERROR(BG11/BG65,""),"")</f>
        <v>0.404553008313387</v>
      </c>
      <c r="BH15" s="215">
        <f>IF(AND(ISNUMBER(BH11),ISNUMBER(BH65)),IFERROR(BH11/BH65,""),"")</f>
        <v>0.280724694984184</v>
      </c>
      <c r="BI15" s="215">
        <f>IF(AND(ISNUMBER(BI11),ISNUMBER(BI65)),IFERROR(BI11/BI65,""),"")</f>
        <v>0.280490943123302</v>
      </c>
      <c r="BJ15" s="215">
        <f>IF(AND(ISNUMBER(BJ11),ISNUMBER(BJ65)),IFERROR(BJ11/BJ65,""),"")</f>
        <v>0.300126555279062</v>
      </c>
      <c r="BK15" s="215">
        <f>IF(AND(ISNUMBER(BK11),ISNUMBER(BK65)),IFERROR(BK11/BK65,""),"")</f>
        <v>0.308877293862918</v>
      </c>
      <c r="BL15" s="215">
        <f>IF(AND(ISNUMBER(BL11),ISNUMBER(BL65)),IFERROR(BL11/BL65,""),"")</f>
        <v>0.292866505954561</v>
      </c>
      <c r="BM15" s="215">
        <f>IF(AND(ISNUMBER(BM11),ISNUMBER(BM65)),IFERROR(BM11/BM65,""),"")</f>
        <v>0.311199053528345</v>
      </c>
      <c r="BN15" s="215">
        <f>IF(AND(ISNUMBER(BN11),ISNUMBER(BN65)),IFERROR(BN11/BN65,""),"")</f>
        <v>0.33008361603021</v>
      </c>
      <c r="BO15" s="215">
        <f>IF(AND(ISNUMBER(BO11),ISNUMBER(BO65)),IFERROR(BO11/BO65,""),"")</f>
        <v>0.345790118371997</v>
      </c>
      <c r="BP15" s="215">
        <f>IF(AND(ISNUMBER(BP11),ISNUMBER(BP65)),IFERROR(BP11/BP65,""),"")</f>
        <v>0.344017114678012</v>
      </c>
      <c r="BQ15" s="215">
        <f>IF(AND(ISNUMBER(BQ11),ISNUMBER(BQ65)),IFERROR(BQ11/BQ65,""),"")</f>
        <v>0.332856282205758</v>
      </c>
      <c r="BR15" s="215">
        <f>IF(AND(ISNUMBER(BR11),ISNUMBER(BR65)),IFERROR(BR11/BR65,""),"")</f>
        <v>0.366970219049963</v>
      </c>
      <c r="BS15" s="215">
        <f>IF(AND(ISNUMBER(BS11),ISNUMBER(BS65)),IFERROR(BS11/BS65,""),"")</f>
        <v>0.359889419452124</v>
      </c>
      <c r="BT15" s="215">
        <f>IF(AND(ISNUMBER(BT11),ISNUMBER(BT65)),IFERROR(BT11/BT65,""),"")</f>
        <v>0.363083164300203</v>
      </c>
      <c r="BU15" s="215">
        <f>IF(AND(ISNUMBER(BU11),ISNUMBER(BU65)),IFERROR(BU11/BU65,""),"")</f>
        <v>0.359378569796664</v>
      </c>
      <c r="BV15" s="215">
        <f>IF(AND(ISNUMBER(BV11),ISNUMBER(BV65)),IFERROR(BV11/BV65,""),"")</f>
        <v>0.362280755362709</v>
      </c>
      <c r="BW15" s="215">
        <f>IF(AND(ISNUMBER(BW11),ISNUMBER(BW65)),IFERROR(BW11/BW65,""),"")</f>
        <v>0.377522935779817</v>
      </c>
      <c r="BX15" s="215">
        <f>IF(AND(ISNUMBER(BX11),ISNUMBER(BX65)),IFERROR(BX11/BX65,""),"")</f>
        <v>0.436635185591917</v>
      </c>
      <c r="BY15" s="215">
        <f>IF(AND(ISNUMBER(BY11),ISNUMBER(BY65)),IFERROR(BY11/BY65,""),"")</f>
        <v>0.43869150779896</v>
      </c>
      <c r="BZ15" s="215">
        <f>IF(AND(ISNUMBER(BZ11),ISNUMBER(BZ65)),IFERROR(BZ11/BZ65,""),"")</f>
        <v>0.428764478764479</v>
      </c>
      <c r="CA15" s="215">
        <f>IF(AND(ISNUMBER(CA11),ISNUMBER(CA65)),IFERROR(CA11/CA65,""),"")</f>
        <v>0.421187663691272</v>
      </c>
      <c r="CB15" s="215">
        <f>IF(AND(ISNUMBER(CB11),ISNUMBER(CB65)),IFERROR(CB11/CB65,""),"")</f>
        <v>0.433878729547642</v>
      </c>
      <c r="CC15" s="256">
        <f>IF(AND(ISNUMBER(CC11),ISNUMBER(CC65)),IFERROR(CC11/CC65,""),"")</f>
        <v>0.460589233169754</v>
      </c>
      <c r="CD15" s="256">
        <f>IF(AND(ISNUMBER(CD11),ISNUMBER(CD65)),IFERROR(CD11/CD65,""),"")</f>
        <v>0.452501022869762</v>
      </c>
      <c r="CE15" s="256">
        <f>IF(AND(ISNUMBER(CE11),ISNUMBER(CE65)),IFERROR(CE11/CE65,""),"")</f>
        <v>0.442919445004397</v>
      </c>
      <c r="CF15" s="256">
        <f>IF(AND(ISNUMBER(CF11),ISNUMBER(CF65)),IFERROR(CF11/CF65,""),"")</f>
        <v>0.447189530716044</v>
      </c>
      <c r="CG15" s="256">
        <f>IF(AND(ISNUMBER(CG11),ISNUMBER(CG65)),IFERROR(CG11/CG65,""),"")</f>
        <v>0.448994174735275</v>
      </c>
      <c r="CH15" s="256">
        <f>IF(AND(ISNUMBER(CH11),ISNUMBER(CH65)),IFERROR(CH11/CH65,""),"")</f>
        <v>0.441733323563886</v>
      </c>
      <c r="CI15" s="256">
        <f>IF(AND(ISNUMBER(CI11),ISNUMBER(CI65)),IFERROR(CI11/CI65,""),"")</f>
        <v>0.43529924528317</v>
      </c>
      <c r="CJ15" s="256">
        <f>IF(AND(ISNUMBER(CJ11),ISNUMBER(CJ65)),IFERROR(CJ11/CJ65,""),"")</f>
        <v>0.428236143444959</v>
      </c>
      <c r="CK15" s="256">
        <f>IF(AND(ISNUMBER(CK11),ISNUMBER(CK65)),IFERROR(CK11/CK65,""),"")</f>
        <v>0.421170030846189</v>
      </c>
      <c r="CL15" s="153" t="n"/>
      <c r="CN15" s="37">
        <f>IFERROR(AVERAGE(CG15,CH15,CI15,CJ15,CK15),"n/m")</f>
        <v>0.435086583574696</v>
      </c>
      <c r="CO15" s="37">
        <f>IFERROR(AVERAGE(BG15,BL15,BQ15,BV15,CA15),"n/m")</f>
        <v>0.362748843105537</v>
      </c>
      <c r="CP15" s="37">
        <f>IFERROR(AVERAGE(AH15,AM15,AR15,AW15,BB15,BG15,BL15,BQ15,BV15,CA15),"n/m")</f>
        <v>0.410728691106529</v>
      </c>
      <c r="CQ15" s="37">
        <f>IFERROR(AVERAGE(C15,D15,E15,F15,G15,H15,I15,N15,S15,X15,AC15,AH15,AM15,AR15,AW15,BB15,BG15,BL15,BQ15,BV15,CA15),"n/m")</f>
        <v>0.410728691106529</v>
      </c>
    </row>
    <row r="16" ht="15" customHeight="1" s="251">
      <c r="B16" s="25" t="inlineStr">
        <is>
          <t xml:space="preserve">  Aerospace &amp; Defense segment gross margin</t>
        </is>
      </c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4" t="n"/>
      <c r="O16" s="34" t="n"/>
      <c r="P16" s="34" t="n"/>
      <c r="Q16" s="34" t="n"/>
      <c r="R16" s="34" t="n"/>
      <c r="S16" s="34" t="n"/>
      <c r="T16" s="34" t="n"/>
      <c r="U16" s="34" t="n"/>
      <c r="V16" s="34" t="n"/>
      <c r="W16" s="34" t="n"/>
      <c r="X16" s="34" t="n"/>
      <c r="Y16" s="34" t="n"/>
      <c r="Z16" s="34" t="n"/>
      <c r="AA16" s="34" t="n"/>
      <c r="AB16" s="34" t="n"/>
      <c r="AC16" s="34" t="n"/>
      <c r="AD16" s="34" t="n"/>
      <c r="AE16" s="34" t="n"/>
      <c r="AF16" s="34" t="n"/>
      <c r="AG16" s="34" t="n"/>
      <c r="AH16" s="34" t="n"/>
      <c r="AI16" s="34" t="n"/>
      <c r="AJ16" s="34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259" t="n">
        <v>38.056</v>
      </c>
      <c r="BA16" s="259" t="n">
        <v>39.23</v>
      </c>
      <c r="BB16" s="259" t="n">
        <v>161.19</v>
      </c>
      <c r="BC16" s="259" t="n">
        <v>38.632</v>
      </c>
      <c r="BD16" s="259" t="n">
        <v>36.58</v>
      </c>
      <c r="BE16" s="259" t="n">
        <v>37.486</v>
      </c>
      <c r="BF16" s="259" t="n">
        <v>42.461</v>
      </c>
      <c r="BG16" s="259" t="n">
        <v>155.127</v>
      </c>
      <c r="BH16" s="259" t="n">
        <v>38.6</v>
      </c>
      <c r="BI16" s="259" t="n">
        <v>41.033</v>
      </c>
      <c r="BJ16" s="259" t="n">
        <v>41.65</v>
      </c>
      <c r="BK16" s="259" t="n">
        <v>49.717</v>
      </c>
      <c r="BL16" s="259" t="n">
        <v>171</v>
      </c>
      <c r="BM16" s="259" t="n">
        <v>47.3</v>
      </c>
      <c r="BN16" s="259" t="n">
        <v>50.6</v>
      </c>
      <c r="BO16" s="259" t="n">
        <v>53.3</v>
      </c>
      <c r="BP16" s="259" t="n">
        <v>57.6</v>
      </c>
      <c r="BQ16" s="259" t="n">
        <v>208.8</v>
      </c>
      <c r="BR16" s="259" t="n">
        <v>63.1</v>
      </c>
      <c r="BS16" s="259" t="n">
        <v>56.8</v>
      </c>
      <c r="BT16" s="259" t="n">
        <v>57.9</v>
      </c>
      <c r="BU16" s="259" t="n">
        <v>65.3</v>
      </c>
      <c r="BV16" s="259" t="n">
        <v>243.1</v>
      </c>
      <c r="BW16" s="259" t="n">
        <v>70.2</v>
      </c>
      <c r="BX16" s="259" t="n">
        <v>76.90000000000001</v>
      </c>
      <c r="BY16" s="259" t="n">
        <v>81.2</v>
      </c>
      <c r="BZ16" s="259" t="n">
        <v>92.40000000000001</v>
      </c>
      <c r="CA16" s="259" t="n">
        <v>320.7</v>
      </c>
      <c r="CB16" s="259" t="n">
        <v>100.2</v>
      </c>
      <c r="CC16" s="261">
        <f>CC11*CC17</f>
        <v>92.1355386757975</v>
      </c>
      <c r="CD16" s="261">
        <f>CD11*CD17</f>
        <v>93.969737005113</v>
      </c>
      <c r="CE16" s="261">
        <f>CE11*CE17</f>
        <v>115.10111171923</v>
      </c>
      <c r="CF16" s="261">
        <f>SUM(CB16:CE16)</f>
        <v>401.406387400141</v>
      </c>
      <c r="CG16" s="261">
        <f>CG11*CG17</f>
        <v>471.130032638248</v>
      </c>
      <c r="CH16" s="261">
        <f>CH11*CH17</f>
        <v>524.132161310051</v>
      </c>
      <c r="CI16" s="261">
        <f>CI11*CI17</f>
        <v>577.723202522652</v>
      </c>
      <c r="CJ16" s="261">
        <f>CJ11*CJ17</f>
        <v>626.714130096573</v>
      </c>
      <c r="CK16" s="261">
        <f>CK11*CK17</f>
        <v>675.034898755568</v>
      </c>
      <c r="CL16" s="19" t="inlineStr">
        <is>
          <t>10-Q / 10-K segment note (segment gross margin is the CODM measure; Q4 = fiscal year − nine months). Forecast = segment sales × gross margin %.</t>
        </is>
      </c>
      <c r="CN16" s="20">
        <f>IFERROR((CK16/CF16)^(1/5)-1,"n/m")</f>
        <v>0.109553862074155</v>
      </c>
      <c r="CO16" s="20">
        <f>IFERROR((CA16/BB16)^(1/5)-1,"n/m")</f>
        <v>0.147498622662877</v>
      </c>
      <c r="CP16" s="20" t="str">
        <f>IFERROR((CA16/AC16)^(1/10)-1,"n/m")</f>
        <v>n/m</v>
      </c>
      <c r="CQ16" s="20" t="str">
        <f>IFERROR((CA16/C16)^(1/20)-1,"n/m")</f>
        <v>n/m</v>
      </c>
      <c r="CT16" s="15" t="inlineStr">
        <is>
          <t>Q2–Q4 FY27E point estimates (all cases)</t>
        </is>
      </c>
      <c r="CU16" s="21" t="n"/>
      <c r="CV16" s="21" t="n"/>
      <c r="CW16" s="21" t="n"/>
    </row>
    <row r="17" ht="15" customHeight="1" s="251">
      <c r="B17" s="25" t="inlineStr">
        <is>
          <t xml:space="preserve">  Segment gross margin %</t>
        </is>
      </c>
      <c r="C17" s="215">
        <f>IF(AND(ISNUMBER(C16),ISNUMBER(C11)),IFERROR(C16/C11,""),"")</f>
      </c>
      <c r="D17" s="215">
        <f>IF(AND(ISNUMBER(D16),ISNUMBER(D11)),IFERROR(D16/D11,""),"")</f>
      </c>
      <c r="E17" s="215">
        <f>IF(AND(ISNUMBER(E16),ISNUMBER(E11)),IFERROR(E16/E11,""),"")</f>
      </c>
      <c r="F17" s="215">
        <f>IF(AND(ISNUMBER(F16),ISNUMBER(F11)),IFERROR(F16/F11,""),"")</f>
      </c>
      <c r="G17" s="215">
        <f>IF(AND(ISNUMBER(G16),ISNUMBER(G11)),IFERROR(G16/G11,""),"")</f>
      </c>
      <c r="H17" s="215">
        <f>IF(AND(ISNUMBER(H16),ISNUMBER(H11)),IFERROR(H16/H11,""),"")</f>
      </c>
      <c r="I17" s="215">
        <f>IF(AND(ISNUMBER(I16),ISNUMBER(I11)),IFERROR(I16/I11,""),"")</f>
      </c>
      <c r="J17" s="215">
        <f>IF(AND(ISNUMBER(J16),ISNUMBER(J11)),IFERROR(J16/J11,""),"")</f>
      </c>
      <c r="K17" s="215">
        <f>IF(AND(ISNUMBER(K16),ISNUMBER(K11)),IFERROR(K16/K11,""),"")</f>
      </c>
      <c r="L17" s="215">
        <f>IF(AND(ISNUMBER(L16),ISNUMBER(L11)),IFERROR(L16/L11,""),"")</f>
      </c>
      <c r="M17" s="215">
        <f>IF(AND(ISNUMBER(M16),ISNUMBER(M11)),IFERROR(M16/M11,""),"")</f>
      </c>
      <c r="N17" s="215">
        <f>IF(AND(ISNUMBER(N16),ISNUMBER(N11)),IFERROR(N16/N11,""),"")</f>
      </c>
      <c r="O17" s="215">
        <f>IF(AND(ISNUMBER(O16),ISNUMBER(O11)),IFERROR(O16/O11,""),"")</f>
      </c>
      <c r="P17" s="215">
        <f>IF(AND(ISNUMBER(P16),ISNUMBER(P11)),IFERROR(P16/P11,""),"")</f>
      </c>
      <c r="Q17" s="215">
        <f>IF(AND(ISNUMBER(Q16),ISNUMBER(Q11)),IFERROR(Q16/Q11,""),"")</f>
      </c>
      <c r="R17" s="215">
        <f>IF(AND(ISNUMBER(R16),ISNUMBER(R11)),IFERROR(R16/R11,""),"")</f>
      </c>
      <c r="S17" s="215">
        <f>IF(AND(ISNUMBER(S16),ISNUMBER(S11)),IFERROR(S16/S11,""),"")</f>
      </c>
      <c r="T17" s="215">
        <f>IF(AND(ISNUMBER(T16),ISNUMBER(T11)),IFERROR(T16/T11,""),"")</f>
      </c>
      <c r="U17" s="215">
        <f>IF(AND(ISNUMBER(U16),ISNUMBER(U11)),IFERROR(U16/U11,""),"")</f>
      </c>
      <c r="V17" s="215">
        <f>IF(AND(ISNUMBER(V16),ISNUMBER(V11)),IFERROR(V16/V11,""),"")</f>
      </c>
      <c r="W17" s="215">
        <f>IF(AND(ISNUMBER(W16),ISNUMBER(W11)),IFERROR(W16/W11,""),"")</f>
      </c>
      <c r="X17" s="215">
        <f>IF(AND(ISNUMBER(X16),ISNUMBER(X11)),IFERROR(X16/X11,""),"")</f>
      </c>
      <c r="Y17" s="215">
        <f>IF(AND(ISNUMBER(Y16),ISNUMBER(Y11)),IFERROR(Y16/Y11,""),"")</f>
      </c>
      <c r="Z17" s="215">
        <f>IF(AND(ISNUMBER(Z16),ISNUMBER(Z11)),IFERROR(Z16/Z11,""),"")</f>
      </c>
      <c r="AA17" s="215">
        <f>IF(AND(ISNUMBER(AA16),ISNUMBER(AA11)),IFERROR(AA16/AA11,""),"")</f>
      </c>
      <c r="AB17" s="215">
        <f>IF(AND(ISNUMBER(AB16),ISNUMBER(AB11)),IFERROR(AB16/AB11,""),"")</f>
      </c>
      <c r="AC17" s="215">
        <f>IF(AND(ISNUMBER(AC16),ISNUMBER(AC11)),IFERROR(AC16/AC11,""),"")</f>
      </c>
      <c r="AD17" s="215">
        <f>IF(AND(ISNUMBER(AD16),ISNUMBER(AD11)),IFERROR(AD16/AD11,""),"")</f>
      </c>
      <c r="AE17" s="215">
        <f>IF(AND(ISNUMBER(AE16),ISNUMBER(AE11)),IFERROR(AE16/AE11,""),"")</f>
      </c>
      <c r="AF17" s="215">
        <f>IF(AND(ISNUMBER(AF16),ISNUMBER(AF11)),IFERROR(AF16/AF11,""),"")</f>
      </c>
      <c r="AG17" s="215">
        <f>IF(AND(ISNUMBER(AG16),ISNUMBER(AG11)),IFERROR(AG16/AG11,""),"")</f>
      </c>
      <c r="AH17" s="215">
        <f>IF(AND(ISNUMBER(AH16),ISNUMBER(AH11)),IFERROR(AH16/AH11,""),"")</f>
      </c>
      <c r="AI17" s="215">
        <f>IF(AND(ISNUMBER(AI16),ISNUMBER(AI11)),IFERROR(AI16/AI11,""),"")</f>
      </c>
      <c r="AJ17" s="215">
        <f>IF(AND(ISNUMBER(AJ16),ISNUMBER(AJ11)),IFERROR(AJ16/AJ11,""),"")</f>
      </c>
      <c r="AK17" s="215">
        <f>IF(AND(ISNUMBER(AK16),ISNUMBER(AK11)),IFERROR(AK16/AK11,""),"")</f>
      </c>
      <c r="AL17" s="215">
        <f>IF(AND(ISNUMBER(AL16),ISNUMBER(AL11)),IFERROR(AL16/AL11,""),"")</f>
      </c>
      <c r="AM17" s="215">
        <f>IF(AND(ISNUMBER(AM16),ISNUMBER(AM11)),IFERROR(AM16/AM11,""),"")</f>
      </c>
      <c r="AN17" s="215">
        <f>IF(AND(ISNUMBER(AN16),ISNUMBER(AN11)),IFERROR(AN16/AN11,""),"")</f>
      </c>
      <c r="AO17" s="215">
        <f>IF(AND(ISNUMBER(AO16),ISNUMBER(AO11)),IFERROR(AO16/AO11,""),"")</f>
      </c>
      <c r="AP17" s="215">
        <f>IF(AND(ISNUMBER(AP16),ISNUMBER(AP11)),IFERROR(AP16/AP11,""),"")</f>
      </c>
      <c r="AQ17" s="215">
        <f>IF(AND(ISNUMBER(AQ16),ISNUMBER(AQ11)),IFERROR(AQ16/AQ11,""),"")</f>
      </c>
      <c r="AR17" s="215">
        <f>IF(AND(ISNUMBER(AR16),ISNUMBER(AR11)),IFERROR(AR16/AR11,""),"")</f>
      </c>
      <c r="AS17" s="215">
        <f>IF(AND(ISNUMBER(AS16),ISNUMBER(AS11)),IFERROR(AS16/AS11,""),"")</f>
      </c>
      <c r="AT17" s="215">
        <f>IF(AND(ISNUMBER(AT16),ISNUMBER(AT11)),IFERROR(AT16/AT11,""),"")</f>
      </c>
      <c r="AU17" s="215">
        <f>IF(AND(ISNUMBER(AU16),ISNUMBER(AU11)),IFERROR(AU16/AU11,""),"")</f>
      </c>
      <c r="AV17" s="215">
        <f>IF(AND(ISNUMBER(AV16),ISNUMBER(AV11)),IFERROR(AV16/AV11,""),"")</f>
      </c>
      <c r="AW17" s="215">
        <f>IF(AND(ISNUMBER(AW16),ISNUMBER(AW11)),IFERROR(AW16/AW11,""),"")</f>
      </c>
      <c r="AX17" s="215">
        <f>IF(AND(ISNUMBER(AX16),ISNUMBER(AX11)),IFERROR(AX16/AX11,""),"")</f>
      </c>
      <c r="AY17" s="215">
        <f>IF(AND(ISNUMBER(AY16),ISNUMBER(AY11)),IFERROR(AY16/AY11,""),"")</f>
      </c>
      <c r="AZ17" s="215">
        <f>IF(AND(ISNUMBER(AZ16),ISNUMBER(AZ11)),IFERROR(AZ16/AZ11,""),"")</f>
        <v>0.408032851919757</v>
      </c>
      <c r="BA17" s="215">
        <f>IF(AND(ISNUMBER(BA16),ISNUMBER(BA11)),IFERROR(BA16/BA11,""),"")</f>
        <v>0.406996648995217</v>
      </c>
      <c r="BB17" s="215">
        <f>IF(AND(ISNUMBER(BB16),ISNUMBER(BB11)),IFERROR(BB16/BB11,""),"")</f>
        <v>0.40681739025092</v>
      </c>
      <c r="BC17" s="215">
        <f>IF(AND(ISNUMBER(BC16),ISNUMBER(BC11)),IFERROR(BC16/BC11,""),"")</f>
        <v>0.427510651247718</v>
      </c>
      <c r="BD17" s="215">
        <f>IF(AND(ISNUMBER(BD16),ISNUMBER(BD11)),IFERROR(BD16/BD11,""),"")</f>
        <v>0.393693160415433</v>
      </c>
      <c r="BE17" s="215">
        <f>IF(AND(ISNUMBER(BE16),ISNUMBER(BE11)),IFERROR(BE16/BE11,""),"")</f>
        <v>0.40219735416242</v>
      </c>
      <c r="BF17" s="215">
        <f>IF(AND(ISNUMBER(BF16),ISNUMBER(BF11)),IFERROR(BF16/BF11,""),"")</f>
        <v>0.404448254512549</v>
      </c>
      <c r="BG17" s="215">
        <f>IF(AND(ISNUMBER(BG16),ISNUMBER(BG11)),IFERROR(BG16/BG11,""),"")</f>
        <v>0.406657963446475</v>
      </c>
      <c r="BH17" s="215">
        <f>IF(AND(ISNUMBER(BH16),ISNUMBER(BH11)),IFERROR(BH16/BH11,""),"")</f>
        <v>0.38833388665882</v>
      </c>
      <c r="BI17" s="215">
        <f>IF(AND(ISNUMBER(BI16),ISNUMBER(BI11)),IFERROR(BI16/BI11,""),"")</f>
        <v>0.396270328736431</v>
      </c>
      <c r="BJ17" s="215">
        <f>IF(AND(ISNUMBER(BJ16),ISNUMBER(BJ11)),IFERROR(BJ16/BJ11,""),"")</f>
        <v>0.394667020429822</v>
      </c>
      <c r="BK17" s="215">
        <f>IF(AND(ISNUMBER(BK16),ISNUMBER(BK11)),IFERROR(BK16/BK11,""),"")</f>
        <v>0.408091735889943</v>
      </c>
      <c r="BL17" s="215">
        <f>IF(AND(ISNUMBER(BL16),ISNUMBER(BL11)),IFERROR(BL16/BL11,""),"")</f>
        <v>0.397390700128048</v>
      </c>
      <c r="BM17" s="215">
        <f>IF(AND(ISNUMBER(BM16),ISNUMBER(BM11)),IFERROR(BM16/BM11,""),"")</f>
        <v>0.392622352081812</v>
      </c>
      <c r="BN17" s="215">
        <f>IF(AND(ISNUMBER(BN16),ISNUMBER(BN11)),IFERROR(BN16/BN11,""),"")</f>
        <v>0.397576824256901</v>
      </c>
      <c r="BO17" s="215">
        <f>IF(AND(ISNUMBER(BO16),ISNUMBER(BO11)),IFERROR(BO16/BO11,""),"")</f>
        <v>0.412241962055177</v>
      </c>
      <c r="BP17" s="215">
        <f>IF(AND(ISNUMBER(BP16),ISNUMBER(BP11)),IFERROR(BP16/BP11,""),"")</f>
        <v>0.404741660986698</v>
      </c>
      <c r="BQ17" s="215">
        <f>IF(AND(ISNUMBER(BQ16),ISNUMBER(BQ11)),IFERROR(BQ16/BQ11,""),"")</f>
        <v>0.402041786929406</v>
      </c>
      <c r="BR17" s="215">
        <f>IF(AND(ISNUMBER(BR16),ISNUMBER(BR11)),IFERROR(BR16/BR11,""),"")</f>
        <v>0.423205902079142</v>
      </c>
      <c r="BS17" s="215">
        <f>IF(AND(ISNUMBER(BS16),ISNUMBER(BS11)),IFERROR(BS16/BS11,""),"")</f>
        <v>0.396648044692737</v>
      </c>
      <c r="BT17" s="215">
        <f>IF(AND(ISNUMBER(BT16),ISNUMBER(BT11)),IFERROR(BT16/BT11,""),"")</f>
        <v>0.404329608938548</v>
      </c>
      <c r="BU17" s="215">
        <f>IF(AND(ISNUMBER(BU16),ISNUMBER(BU11)),IFERROR(BU16/BU11,""),"")</f>
        <v>0.415130324221233</v>
      </c>
      <c r="BV17" s="215">
        <f>IF(AND(ISNUMBER(BV16),ISNUMBER(BV11)),IFERROR(BV16/BV11,""),"")</f>
        <v>0.410087719298246</v>
      </c>
      <c r="BW17" s="215">
        <f>IF(AND(ISNUMBER(BW16),ISNUMBER(BW11)),IFERROR(BW16/BW11,""),"")</f>
        <v>0.426488456865128</v>
      </c>
      <c r="BX17" s="215">
        <f>IF(AND(ISNUMBER(BX16),ISNUMBER(BX11)),IFERROR(BX16/BX11,""),"")</f>
        <v>0.38682092555332</v>
      </c>
      <c r="BY17" s="215">
        <f>IF(AND(ISNUMBER(BY16),ISNUMBER(BY11)),IFERROR(BY16/BY11,""),"")</f>
        <v>0.400987654320988</v>
      </c>
      <c r="BZ17" s="215">
        <f>IF(AND(ISNUMBER(BZ16),ISNUMBER(BZ11)),IFERROR(BZ16/BZ11,""),"")</f>
        <v>0.416028815848717</v>
      </c>
      <c r="CA17" s="215">
        <f>IF(AND(ISNUMBER(CA16),ISNUMBER(CA11)),IFERROR(CA16/CA11,""),"")</f>
        <v>0.406979695431472</v>
      </c>
      <c r="CB17" s="215">
        <f>IF(AND(ISNUMBER(CB16),ISNUMBER(CB11)),IFERROR(CB16/CB11,""),"")</f>
        <v>0.444543034605146</v>
      </c>
      <c r="CC17" s="256">
        <f>CC18+$CC$78</f>
        <v>0.392232179916305</v>
      </c>
      <c r="CD17" s="256">
        <f>CD18+$CC$78</f>
        <v>0.406398908683973</v>
      </c>
      <c r="CE17" s="256">
        <f>CE18+$CC$78</f>
        <v>0.421440070211702</v>
      </c>
      <c r="CF17" s="256">
        <f>IF(AND(ISNUMBER(CF16),ISNUMBER(CF11)),IFERROR(CF16/CF11,""),"")</f>
        <v>0.416120531540729</v>
      </c>
      <c r="CG17" s="256">
        <f>CHOOSE(MATCH($CL$2,{"Bull","Base","Bear"},0),$CU$39,$CV$39,$CW$39)</f>
        <v>0.44</v>
      </c>
      <c r="CH17" s="256">
        <f>CHOOSE(MATCH($CL$2,{"Bull","Base","Bear"},0),$CU$40,$CV$40,$CW$40)</f>
        <v>0.445</v>
      </c>
      <c r="CI17" s="256">
        <f>CHOOSE(MATCH($CL$2,{"Bull","Base","Bear"},0),$CU$41,$CV$41,$CW$41)</f>
        <v>0.45</v>
      </c>
      <c r="CJ17" s="256">
        <f>CHOOSE(MATCH($CL$2,{"Bull","Base","Bear"},0),$CU$42,$CV$42,$CW$42)</f>
        <v>0.452</v>
      </c>
      <c r="CK17" s="256">
        <f>CHOOSE(MATCH($CL$2,{"Bull","Base","Bear"},0),$CU$43,$CV$43,$CW$43)</f>
        <v>0.455</v>
      </c>
      <c r="CL17" s="153" t="inlineStr">
        <is>
          <t>Q2–Q4/27E: margin before calibration + the Q2 gross-margin-guidance Δ (solved in Q2/27E, carried). FY2028E+: scenario lever.</t>
        </is>
      </c>
      <c r="CN17" s="37">
        <f>IFERROR(AVERAGE(CG17,CH17,CI17,CJ17,CK17),"n/m")</f>
        <v>0.4484</v>
      </c>
      <c r="CO17" s="37">
        <f>IFERROR(AVERAGE(BG17,BL17,BQ17,BV17,CA17),"n/m")</f>
        <v>0.404631573046729</v>
      </c>
      <c r="CP17" s="37">
        <f>IFERROR(AVERAGE(AH17,AM17,AR17,AW17,BB17,BG17,BL17,BQ17,BV17,CA17),"n/m")</f>
        <v>0.404995875914094</v>
      </c>
      <c r="CQ17" s="37">
        <f>IFERROR(AVERAGE(C17,D17,E17,F17,G17,H17,I17,N17,S17,X17,AC17,AH17,AM17,AR17,AW17,BB17,BG17,BL17,BQ17,BV17,CA17),"n/m")</f>
        <v>0.404995875914094</v>
      </c>
      <c r="CT17" s="25" t="inlineStr">
        <is>
          <t xml:space="preserve">  Q2–Q4/27E tax rate (GAAP)</t>
        </is>
      </c>
      <c r="CV17" s="258" t="n">
        <v>0.225</v>
      </c>
      <c r="CX17" s="13" t="inlineStr">
        <is>
          <t>Not guided. Q1 FY27 22.1% (23.2% excluding discrete stock-compensation benefits); FY2026 22.1%.</t>
        </is>
      </c>
    </row>
    <row r="18" ht="15" customHeight="1" s="251">
      <c r="B18" s="25" t="inlineStr">
        <is>
          <t xml:space="preserve">  Q2–Q4/27E margin before calibration (prior-year quarter + Q1 FY27 y/y drift)</t>
        </is>
      </c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  <c r="AP18" s="36" t="n"/>
      <c r="AQ18" s="36" t="n"/>
      <c r="AR18" s="36" t="n"/>
      <c r="AS18" s="36" t="n"/>
      <c r="AT18" s="36" t="n"/>
      <c r="AU18" s="36" t="n"/>
      <c r="AV18" s="36" t="n"/>
      <c r="AW18" s="36" t="n"/>
      <c r="AX18" s="36" t="n"/>
      <c r="AY18" s="36" t="n"/>
      <c r="AZ18" s="36" t="n"/>
      <c r="BA18" s="36" t="n"/>
      <c r="BB18" s="36" t="n"/>
      <c r="BC18" s="36" t="n"/>
      <c r="BD18" s="36" t="n"/>
      <c r="BE18" s="36" t="n"/>
      <c r="BF18" s="36" t="n"/>
      <c r="BG18" s="36" t="n"/>
      <c r="BH18" s="36" t="n"/>
      <c r="BI18" s="36" t="n"/>
      <c r="BJ18" s="36" t="n"/>
      <c r="BK18" s="36" t="n"/>
      <c r="BL18" s="36" t="n"/>
      <c r="BM18" s="36" t="n"/>
      <c r="BN18" s="36" t="n"/>
      <c r="BO18" s="36" t="n"/>
      <c r="BP18" s="36" t="n"/>
      <c r="BQ18" s="36" t="n"/>
      <c r="BR18" s="36" t="n"/>
      <c r="BS18" s="36" t="n"/>
      <c r="BT18" s="36" t="n"/>
      <c r="BU18" s="36" t="n"/>
      <c r="BV18" s="36" t="n"/>
      <c r="BW18" s="36" t="n"/>
      <c r="BX18" s="36" t="n"/>
      <c r="BY18" s="36" t="n"/>
      <c r="BZ18" s="36" t="n"/>
      <c r="CA18" s="36" t="n"/>
      <c r="CB18" s="36" t="n"/>
      <c r="CC18" s="256">
        <f>BX17+IFERROR(SUM(CB16:CB16)/SUM(CB11:CB11)-SUM(BW16:BW16)/SUM(BW11:BW11),0)</f>
        <v>0.404875503293339</v>
      </c>
      <c r="CD18" s="256">
        <f>BY17+IFERROR(SUM(CB16:CB16)/SUM(CB11:CB11)-SUM(BW16:BW16)/SUM(BW11:BW11),0)</f>
        <v>0.419042232061006</v>
      </c>
      <c r="CE18" s="256">
        <f>BZ17+IFERROR(SUM(CB16:CB16)/SUM(CB11:CB11)-SUM(BW16:BW16)/SUM(BW11:BW11),0)</f>
        <v>0.434083393588736</v>
      </c>
      <c r="CF18" s="24" t="n"/>
      <c r="CG18" s="46" t="n"/>
      <c r="CH18" s="46" t="n"/>
      <c r="CI18" s="46" t="n"/>
      <c r="CJ18" s="46" t="n"/>
      <c r="CK18" s="46" t="n"/>
      <c r="CL18" s="19" t="n"/>
      <c r="CT18" s="25" t="inlineStr">
        <is>
          <t xml:space="preserve">  Q2–Q4/27E adjusted tax rate</t>
        </is>
      </c>
      <c r="CV18" s="258" t="n">
        <v>0.22</v>
      </c>
      <c r="CX18" s="13" t="inlineStr">
        <is>
          <t>Q1 FY27 "overall tax rate applied to adjusted pre-tax earnings" 22.0% (Q1 FY26 22.5%).</t>
        </is>
      </c>
    </row>
    <row r="19" ht="15" customHeight="1" s="251">
      <c r="B19" s="25" t="inlineStr">
        <is>
          <t xml:space="preserve">  Incremental gross margin (Δ gross margin / Δ sales)</t>
        </is>
      </c>
      <c r="C19" s="36" t="n"/>
      <c r="D19" s="215">
        <f>IFERROR((D16-C16)/(D11-C11),"")</f>
      </c>
      <c r="E19" s="215">
        <f>IFERROR((E16-D16)/(E11-D11),"")</f>
      </c>
      <c r="F19" s="215">
        <f>IFERROR((F16-E16)/(F11-E11),"")</f>
      </c>
      <c r="G19" s="215">
        <f>IFERROR((G16-F16)/(G11-F11),"")</f>
      </c>
      <c r="H19" s="215">
        <f>IFERROR((H16-G16)/(H11-G11),"")</f>
      </c>
      <c r="I19" s="215">
        <f>IFERROR((I16-H16)/(I11-H11),"")</f>
      </c>
      <c r="J19" s="36" t="n"/>
      <c r="K19" s="36" t="n"/>
      <c r="L19" s="36" t="n"/>
      <c r="M19" s="36" t="n"/>
      <c r="N19" s="215">
        <f>IFERROR((N16-I16)/(N11-I11),"")</f>
      </c>
      <c r="O19" s="215">
        <f>IFERROR((O16-J16)/(O11-J11),"")</f>
      </c>
      <c r="P19" s="215">
        <f>IFERROR((P16-K16)/(P11-K11),"")</f>
      </c>
      <c r="Q19" s="215">
        <f>IFERROR((Q16-L16)/(Q11-L11),"")</f>
      </c>
      <c r="R19" s="215">
        <f>IFERROR((R16-M16)/(R11-M11),"")</f>
      </c>
      <c r="S19" s="215">
        <f>IFERROR((S16-N16)/(S11-N11),"")</f>
      </c>
      <c r="T19" s="215">
        <f>IFERROR((T16-O16)/(T11-O11),"")</f>
      </c>
      <c r="U19" s="215">
        <f>IFERROR((U16-P16)/(U11-P11),"")</f>
      </c>
      <c r="V19" s="215">
        <f>IFERROR((V16-Q16)/(V11-Q11),"")</f>
      </c>
      <c r="W19" s="215">
        <f>IFERROR((W16-R16)/(W11-R11),"")</f>
      </c>
      <c r="X19" s="215">
        <f>IFERROR((X16-S16)/(X11-S11),"")</f>
      </c>
      <c r="Y19" s="215">
        <f>IFERROR((Y16-T16)/(Y11-T11),"")</f>
      </c>
      <c r="Z19" s="215">
        <f>IFERROR((Z16-U16)/(Z11-U11),"")</f>
      </c>
      <c r="AA19" s="215">
        <f>IFERROR((AA16-V16)/(AA11-V11),"")</f>
      </c>
      <c r="AB19" s="215">
        <f>IFERROR((AB16-W16)/(AB11-W11),"")</f>
      </c>
      <c r="AC19" s="215">
        <f>IFERROR((AC16-X16)/(AC11-X11),"")</f>
      </c>
      <c r="AD19" s="215">
        <f>IFERROR((AD16-Y16)/(AD11-Y11),"")</f>
      </c>
      <c r="AE19" s="215">
        <f>IFERROR((AE16-Z16)/(AE11-Z11),"")</f>
      </c>
      <c r="AF19" s="215">
        <f>IFERROR((AF16-AA16)/(AF11-AA11),"")</f>
      </c>
      <c r="AG19" s="215">
        <f>IFERROR((AG16-AB16)/(AG11-AB11),"")</f>
      </c>
      <c r="AH19" s="215">
        <f>IFERROR((AH16-AC16)/(AH11-AC11),"")</f>
      </c>
      <c r="AI19" s="215">
        <f>IFERROR((AI16-AD16)/(AI11-AD11),"")</f>
      </c>
      <c r="AJ19" s="215">
        <f>IFERROR((AJ16-AE16)/(AJ11-AE11),"")</f>
      </c>
      <c r="AK19" s="215">
        <f>IFERROR((AK16-AF16)/(AK11-AF11),"")</f>
      </c>
      <c r="AL19" s="215">
        <f>IFERROR((AL16-AG16)/(AL11-AG11),"")</f>
      </c>
      <c r="AM19" s="215">
        <f>IFERROR((AM16-AH16)/(AM11-AH11),"")</f>
      </c>
      <c r="AN19" s="215">
        <f>IFERROR((AN16-AI16)/(AN11-AI11),"")</f>
      </c>
      <c r="AO19" s="215">
        <f>IFERROR((AO16-AJ16)/(AO11-AJ11),"")</f>
      </c>
      <c r="AP19" s="215">
        <f>IFERROR((AP16-AK16)/(AP11-AK11),"")</f>
      </c>
      <c r="AQ19" s="215">
        <f>IFERROR((AQ16-AL16)/(AQ11-AL11),"")</f>
      </c>
      <c r="AR19" s="215">
        <f>IFERROR((AR16-AM16)/(AR11-AM11),"")</f>
      </c>
      <c r="AS19" s="215">
        <f>IFERROR((AS16-AN16)/(AS11-AN11),"")</f>
      </c>
      <c r="AT19" s="215">
        <f>IFERROR((AT16-AO16)/(AT11-AO11),"")</f>
      </c>
      <c r="AU19" s="215">
        <f>IFERROR((AU16-AP16)/(AU11-AP11),"")</f>
      </c>
      <c r="AV19" s="215">
        <f>IFERROR((AV16-AQ16)/(AV11-AQ11),"")</f>
      </c>
      <c r="AW19" s="215">
        <f>IFERROR((AW16-AR16)/(AW11-AR11),"")</f>
      </c>
      <c r="AX19" s="215">
        <f>IFERROR((AX16-AS16)/(AX11-AS11),"")</f>
      </c>
      <c r="AY19" s="215">
        <f>IFERROR((AY16-AT16)/(AY11-AT11),"")</f>
      </c>
      <c r="AZ19" s="215">
        <f>IFERROR((AZ16-AU16)/(AZ11-AU11),"")</f>
        <v>0.408032851919757</v>
      </c>
      <c r="BA19" s="215">
        <f>IFERROR((BA16-AV16)/(BA11-AV11),"")</f>
        <v>0.406996648995217</v>
      </c>
      <c r="BB19" s="215">
        <f>IFERROR((BB16-AW16)/(BB11-AW11),"")</f>
        <v>0.40681739025092</v>
      </c>
      <c r="BC19" s="215">
        <f>IFERROR((BC16-AX16)/(BC11-AX11),"")</f>
        <v>0.427510651247718</v>
      </c>
      <c r="BD19" s="215">
        <f>IFERROR((BD16-AY16)/(BD11-AY11),"")</f>
        <v>0.393693160415433</v>
      </c>
      <c r="BE19" s="215">
        <f>IFERROR((BE16-AZ16)/(BE11-AZ11),"")</f>
        <v>8.90625000000099</v>
      </c>
      <c r="BF19" s="215">
        <f>IFERROR((BF16-BA16)/(BF11-BA11),"")</f>
        <v>0.375872498836668</v>
      </c>
      <c r="BG19" s="215">
        <f>IFERROR((BG16-BB16)/(BG11-BB11),"")</f>
        <v>0.410939406262709</v>
      </c>
      <c r="BH19" s="215">
        <f>IFERROR((BH16-BC16)/(BH11-BC11),"")</f>
        <v>-0.00354217400929781</v>
      </c>
      <c r="BI19" s="215">
        <f>IFERROR((BI16-BD16)/(BI11-BD11),"")</f>
        <v>0.418790557697734</v>
      </c>
      <c r="BJ19" s="215">
        <f>IFERROR((BJ16-BE16)/(BJ11-BE11),"")</f>
        <v>0.33774028712791</v>
      </c>
      <c r="BK19" s="215">
        <f>IFERROR((BK16-BF16)/(BK11-BF11),"")</f>
        <v>0.430802113637713</v>
      </c>
      <c r="BL19" s="215">
        <f>IFERROR((BL16-BG16)/(BL11-BG11),"")</f>
        <v>0.325006654517906</v>
      </c>
      <c r="BM19" s="215">
        <f>IFERROR((BM16-BH16)/(BM11-BH11),"")</f>
        <v>0.412850567076354</v>
      </c>
      <c r="BN19" s="215">
        <f>IFERROR((BN16-BI16)/(BN11-BI11),"")</f>
        <v>0.403279517767567</v>
      </c>
      <c r="BO19" s="215">
        <f>IFERROR((BO16-BJ16)/(BO11-BJ11),"")</f>
        <v>0.490299229830394</v>
      </c>
      <c r="BP19" s="215">
        <f>IFERROR((BP16-BK16)/(BP11-BK11),"")</f>
        <v>0.384818159628997</v>
      </c>
      <c r="BQ19" s="215">
        <f>IFERROR((BQ16-BL16)/(BQ11-BL11),"")</f>
        <v>0.424518766424833</v>
      </c>
      <c r="BR19" s="215">
        <f>IFERROR((BR16-BM16)/(BR11-BM11),"")</f>
        <v>0.55190722369708</v>
      </c>
      <c r="BS19" s="215">
        <f>IFERROR((BS16-BN16)/(BS11-BN11),"")</f>
        <v>0.389227195680834</v>
      </c>
      <c r="BT19" s="215">
        <f>IFERROR((BT16-BO16)/(BT11-BO11),"")</f>
        <v>0.330768677644352</v>
      </c>
      <c r="BU19" s="215">
        <f>IFERROR((BU16-BP16)/(BU11-BP11),"")</f>
        <v>0.513778608127042</v>
      </c>
      <c r="BV19" s="215">
        <f>IFERROR((BV16-BQ16)/(BV11-BQ11),"")</f>
        <v>0.466977985323549</v>
      </c>
      <c r="BW19" s="215">
        <f>IFERROR((BW16-BR16)/(BW11-BR11),"")</f>
        <v>0.458064516129032</v>
      </c>
      <c r="BX19" s="215">
        <f>IFERROR((BX16-BS16)/(BX11-BS11),"")</f>
        <v>0.361510791366907</v>
      </c>
      <c r="BY19" s="215">
        <f>IFERROR((BY16-BT16)/(BY11-BT11),"")</f>
        <v>0.3929173693086</v>
      </c>
      <c r="BZ19" s="215">
        <f>IFERROR((BZ16-BU16)/(BZ11-BU11),"")</f>
        <v>0.41820987654321</v>
      </c>
      <c r="CA19" s="215">
        <f>IFERROR((CA16-BV16)/(CA11-BV11),"")</f>
        <v>0.397540983606557</v>
      </c>
      <c r="CB19" s="215">
        <f>IFERROR((CB16-BW16)/(CB11-BW11),"")</f>
        <v>0.493421052631579</v>
      </c>
      <c r="CC19" s="256">
        <f>IFERROR((CC16-BX16)/(CC11-BX11),"")</f>
        <v>0.422031132885292</v>
      </c>
      <c r="CD19" s="256">
        <f>IFERROR((CD16-BY16)/(CD11-BY11),"")</f>
        <v>0.444545644636289</v>
      </c>
      <c r="CE19" s="256">
        <f>IFERROR((CE16-BZ16)/(CE11-BZ11),"")</f>
        <v>0.444999163744577</v>
      </c>
      <c r="CF19" s="256">
        <f>IFERROR((CF16-CA16)/(CF11-CA11),"")</f>
        <v>0.456898332852686</v>
      </c>
      <c r="CG19" s="256">
        <f>IFERROR((CG16-CF16)/(CG11-CF11),"")</f>
        <v>0.657086076902466</v>
      </c>
      <c r="CH19" s="256">
        <f>IFERROR((CH16-CG16)/(CH11-CG11),"")</f>
        <v>0.495</v>
      </c>
      <c r="CI19" s="256">
        <f>IFERROR((CI16-CH16)/(CI11-CH11),"")</f>
        <v>0.505555555555555</v>
      </c>
      <c r="CJ19" s="256">
        <f>IFERROR((CJ16-CI16)/(CJ11-CI11),"")</f>
        <v>0.477</v>
      </c>
      <c r="CK19" s="256">
        <f>IFERROR((CK16-CJ16)/(CK11-CJ11),"")</f>
        <v>0.497857142857144</v>
      </c>
      <c r="CL19" s="153" t="n"/>
      <c r="CT19" s="25" t="inlineStr">
        <is>
          <t xml:space="preserve">  Q2–Q4/27E restructuring &amp; consolidation per quarter ($m)</t>
        </is>
      </c>
      <c r="CV19" s="257" t="n">
        <v>0.5</v>
      </c>
      <c r="CX19" s="13" t="inlineStr">
        <is>
          <t>Q1 FY27 $0.4m; FY2026 $6.2m (assumption).</t>
        </is>
      </c>
    </row>
    <row r="20" ht="15" customHeight="1" s="251">
      <c r="B20" s="156" t="inlineStr">
        <is>
          <t xml:space="preserve">  Memo: Aerospace &amp; Defense segment operating income as reported (FY2022–FY2025 segment note)</t>
        </is>
      </c>
      <c r="C20" s="34" t="n"/>
      <c r="D20" s="34" t="n"/>
      <c r="E20" s="34" t="n"/>
      <c r="F20" s="34" t="n"/>
      <c r="G20" s="34" t="n"/>
      <c r="H20" s="34" t="n"/>
      <c r="I20" s="34" t="n"/>
      <c r="J20" s="34" t="n"/>
      <c r="K20" s="34" t="n"/>
      <c r="L20" s="34" t="n"/>
      <c r="M20" s="34" t="n"/>
      <c r="N20" s="34" t="n"/>
      <c r="O20" s="34" t="n"/>
      <c r="P20" s="34" t="n"/>
      <c r="Q20" s="34" t="n"/>
      <c r="R20" s="34" t="n"/>
      <c r="S20" s="34" t="n"/>
      <c r="T20" s="34" t="n"/>
      <c r="U20" s="34" t="n"/>
      <c r="V20" s="34" t="n"/>
      <c r="W20" s="34" t="n"/>
      <c r="X20" s="34" t="n"/>
      <c r="Y20" s="34" t="n"/>
      <c r="Z20" s="34" t="n"/>
      <c r="AA20" s="34" t="n"/>
      <c r="AB20" s="34" t="n"/>
      <c r="AC20" s="34" t="n"/>
      <c r="AD20" s="34" t="n"/>
      <c r="AE20" s="34" t="n"/>
      <c r="AF20" s="34" t="n"/>
      <c r="AG20" s="34" t="n"/>
      <c r="AH20" s="34" t="n"/>
      <c r="AI20" s="34" t="n"/>
      <c r="AJ20" s="34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  <c r="BA20" s="259" t="n">
        <v>28.756</v>
      </c>
      <c r="BB20" s="259" t="n">
        <v>122.402</v>
      </c>
      <c r="BC20" s="34" t="n"/>
      <c r="BD20" s="34" t="n"/>
      <c r="BE20" s="259" t="n">
        <v>28.543</v>
      </c>
      <c r="BF20" s="259" t="n">
        <v>33.229</v>
      </c>
      <c r="BG20" s="259" t="n">
        <v>117.858</v>
      </c>
      <c r="BH20" s="259" t="n">
        <v>29.504</v>
      </c>
      <c r="BI20" s="259" t="n">
        <v>31.48</v>
      </c>
      <c r="BJ20" s="259" t="n">
        <v>32.081</v>
      </c>
      <c r="BK20" s="259" t="n">
        <v>39.635</v>
      </c>
      <c r="BL20" s="259" t="n">
        <v>132.7</v>
      </c>
      <c r="BM20" s="259" t="n">
        <v>36.8</v>
      </c>
      <c r="BN20" s="259" t="n">
        <v>39.7</v>
      </c>
      <c r="BO20" s="259" t="n">
        <v>38.6</v>
      </c>
      <c r="BP20" s="259" t="n">
        <v>46.6</v>
      </c>
      <c r="BQ20" s="259" t="n">
        <v>161.7</v>
      </c>
      <c r="BR20" s="259" t="n">
        <v>50.6</v>
      </c>
      <c r="BS20" s="259" t="n">
        <v>46.3</v>
      </c>
      <c r="BT20" s="259" t="n">
        <v>46.8</v>
      </c>
      <c r="BU20" s="34" t="n"/>
      <c r="BV20" s="34" t="n"/>
      <c r="BW20" s="34" t="n"/>
      <c r="BX20" s="34" t="n"/>
      <c r="BY20" s="34" t="n"/>
      <c r="BZ20" s="34" t="n"/>
      <c r="CA20" s="34" t="n"/>
      <c r="CB20" s="34" t="n"/>
      <c r="CC20" s="153" t="n"/>
      <c r="CD20" s="153" t="n"/>
      <c r="CE20" s="153" t="n"/>
      <c r="CF20" s="153" t="n"/>
      <c r="CG20" s="153" t="n"/>
      <c r="CH20" s="153" t="n"/>
      <c r="CI20" s="153" t="n"/>
      <c r="CJ20" s="153" t="n"/>
      <c r="CK20" s="153" t="n"/>
      <c r="CL20" s="153" t="n"/>
      <c r="CT20" s="25" t="inlineStr">
        <is>
          <t xml:space="preserve">  Q2–Q4/27E other, net excl. M&amp;A amortization &amp; items per quarter ($m)</t>
        </is>
      </c>
      <c r="CV20" s="257" t="n">
        <v>1.5</v>
      </c>
      <c r="CX20" s="13" t="inlineStr">
        <is>
          <t>Q1 FY27 $1.3m ($21.0m amortization of intangible assets − $19.5m M&amp;A-related + $0.4m restructuring − $0.2m other items); mostly software amortization.</t>
        </is>
      </c>
    </row>
    <row r="21" ht="15" customHeight="1" s="251">
      <c r="CT21" s="25" t="inlineStr">
        <is>
          <t xml:space="preserve">  Q2–Q4/27E amortization of deferred finance fees per quarter ($m)</t>
        </is>
      </c>
      <c r="CV21" s="257" t="n">
        <v>0.4</v>
      </c>
      <c r="CX21" s="13" t="inlineStr">
        <is>
          <t>Q1 FY27 $0.8m; $0.6m of term-loan fees remain to Nov-2026 and $2.1m of revolver fees amortize to Oct-2030 (10-Q Note 10).</t>
        </is>
      </c>
    </row>
    <row r="22" ht="15" customHeight="1" s="251">
      <c r="B22" s="14" t="inlineStr">
        <is>
          <t>Industrial (bearings, gearing and power-transmission components for construction, mining, food &amp; beverage, warehousing, semicon, energy; Dodge from 1-Nov-2021)</t>
        </is>
      </c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  <c r="AP22" s="14" t="n"/>
      <c r="AQ22" s="14" t="n"/>
      <c r="AR22" s="14" t="n"/>
      <c r="AS22" s="14" t="n"/>
      <c r="AT22" s="14" t="n"/>
      <c r="AU22" s="14" t="n"/>
      <c r="AV22" s="14" t="n"/>
      <c r="AW22" s="14" t="n"/>
      <c r="AX22" s="14" t="n"/>
      <c r="AY22" s="14" t="n"/>
      <c r="AZ22" s="14" t="n"/>
      <c r="BA22" s="14" t="n"/>
      <c r="BB22" s="14" t="n"/>
      <c r="BC22" s="14" t="n"/>
      <c r="BD22" s="14" t="n"/>
      <c r="BE22" s="14" t="n"/>
      <c r="BF22" s="14" t="n"/>
      <c r="BG22" s="14" t="n"/>
      <c r="BH22" s="14" t="n"/>
      <c r="BI22" s="14" t="n"/>
      <c r="BJ22" s="14" t="n"/>
      <c r="BK22" s="14" t="n"/>
      <c r="BL22" s="14" t="n"/>
      <c r="BM22" s="14" t="n"/>
      <c r="BN22" s="14" t="n"/>
      <c r="BO22" s="14" t="n"/>
      <c r="BP22" s="14" t="n"/>
      <c r="BQ22" s="14" t="n"/>
      <c r="BR22" s="14" t="n"/>
      <c r="BS22" s="14" t="n"/>
      <c r="BT22" s="14" t="n"/>
      <c r="BU22" s="14" t="n"/>
      <c r="BV22" s="14" t="n"/>
      <c r="BW22" s="14" t="n"/>
      <c r="BX22" s="14" t="n"/>
      <c r="BY22" s="14" t="n"/>
      <c r="BZ22" s="14" t="n"/>
      <c r="CA22" s="14" t="n"/>
      <c r="CB22" s="14" t="n"/>
      <c r="CC22" s="14" t="n"/>
      <c r="CD22" s="14" t="n"/>
      <c r="CE22" s="14" t="n"/>
      <c r="CF22" s="14" t="n"/>
      <c r="CG22" s="14" t="n"/>
      <c r="CH22" s="14" t="n"/>
      <c r="CI22" s="14" t="n"/>
      <c r="CJ22" s="14" t="n"/>
      <c r="CK22" s="14" t="n"/>
      <c r="CL22" s="15" t="inlineStr">
        <is>
          <t>INDUSTRIAL — modelling logic</t>
        </is>
      </c>
      <c r="CT22" s="25" t="inlineStr">
        <is>
          <t xml:space="preserve">  Q2–Q4/27E other non-operating expense per quarter ($m)</t>
        </is>
      </c>
      <c r="CV22" s="257" t="n">
        <v>0.5</v>
      </c>
      <c r="CX22" s="13" t="inlineStr">
        <is>
          <t>Q1 FY27 $0.5m; FY2026 $1.9m (pension and other).</t>
        </is>
      </c>
    </row>
    <row r="23" ht="15" customHeight="1" s="251">
      <c r="B23" s="16" t="inlineStr">
        <is>
          <t xml:space="preserve">  Industrial — segment net external sales</t>
        </is>
      </c>
      <c r="C23" s="43" t="n"/>
      <c r="D23" s="43" t="n"/>
      <c r="E23" s="43" t="n"/>
      <c r="F23" s="43" t="n"/>
      <c r="G23" s="43" t="n"/>
      <c r="H23" s="43" t="n"/>
      <c r="I23" s="43" t="n"/>
      <c r="J23" s="43" t="n"/>
      <c r="K23" s="43" t="n"/>
      <c r="L23" s="43" t="n"/>
      <c r="M23" s="43" t="n"/>
      <c r="N23" s="43" t="n"/>
      <c r="O23" s="43" t="n"/>
      <c r="P23" s="43" t="n"/>
      <c r="Q23" s="43" t="n"/>
      <c r="R23" s="43" t="n"/>
      <c r="S23" s="43" t="n"/>
      <c r="T23" s="43" t="n"/>
      <c r="U23" s="43" t="n"/>
      <c r="V23" s="43" t="n"/>
      <c r="W23" s="43" t="n"/>
      <c r="X23" s="43" t="n"/>
      <c r="Y23" s="43" t="n"/>
      <c r="Z23" s="43" t="n"/>
      <c r="AA23" s="43" t="n"/>
      <c r="AB23" s="43" t="n"/>
      <c r="AC23" s="43" t="n"/>
      <c r="AD23" s="43" t="n"/>
      <c r="AE23" s="43" t="n"/>
      <c r="AF23" s="43" t="n"/>
      <c r="AG23" s="43" t="n"/>
      <c r="AH23" s="43" t="n"/>
      <c r="AI23" s="43" t="n"/>
      <c r="AJ23" s="43" t="n"/>
      <c r="AK23" s="43" t="n"/>
      <c r="AL23" s="43" t="n"/>
      <c r="AM23" s="43" t="n"/>
      <c r="AN23" s="43" t="n"/>
      <c r="AO23" s="43" t="n"/>
      <c r="AP23" s="43" t="n"/>
      <c r="AQ23" s="43" t="n"/>
      <c r="AR23" s="43" t="n"/>
      <c r="AS23" s="43" t="n"/>
      <c r="AT23" s="43" t="n"/>
      <c r="AU23" s="43" t="n"/>
      <c r="AV23" s="43" t="n"/>
      <c r="AW23" s="43" t="n"/>
      <c r="AX23" s="43" t="n"/>
      <c r="AY23" s="43" t="n"/>
      <c r="AZ23" s="253" t="n">
        <v>52.594</v>
      </c>
      <c r="BA23" s="253" t="n">
        <v>63.906</v>
      </c>
      <c r="BB23" s="253" t="n">
        <v>212.762</v>
      </c>
      <c r="BC23" s="253" t="n">
        <v>65.84</v>
      </c>
      <c r="BD23" s="253" t="n">
        <v>67.985</v>
      </c>
      <c r="BE23" s="253" t="n">
        <v>173.75</v>
      </c>
      <c r="BF23" s="253" t="n">
        <v>253.894</v>
      </c>
      <c r="BG23" s="253" t="n">
        <v>561.4690000000001</v>
      </c>
      <c r="BH23" s="253" t="n">
        <v>254.681</v>
      </c>
      <c r="BI23" s="253" t="n">
        <v>265.619</v>
      </c>
      <c r="BJ23" s="253" t="n">
        <v>246.093</v>
      </c>
      <c r="BK23" s="253" t="n">
        <v>272.594</v>
      </c>
      <c r="BL23" s="253" t="n">
        <v>1038.987</v>
      </c>
      <c r="BM23" s="253" t="n">
        <v>266.65</v>
      </c>
      <c r="BN23" s="253" t="n">
        <v>258.301</v>
      </c>
      <c r="BO23" s="253" t="n">
        <v>244.613</v>
      </c>
      <c r="BP23" s="253" t="n">
        <v>271.367</v>
      </c>
      <c r="BQ23" s="253" t="n">
        <v>1040.931</v>
      </c>
      <c r="BR23" s="253" t="n">
        <v>257.2</v>
      </c>
      <c r="BS23" s="253" t="n">
        <v>254.7</v>
      </c>
      <c r="BT23" s="253" t="n">
        <v>251.2</v>
      </c>
      <c r="BU23" s="253" t="n">
        <v>280.4</v>
      </c>
      <c r="BV23" s="253" t="n">
        <v>1043.5</v>
      </c>
      <c r="BW23" s="253" t="n">
        <v>271.4</v>
      </c>
      <c r="BX23" s="253" t="n">
        <v>256.5</v>
      </c>
      <c r="BY23" s="253" t="n">
        <v>259.1</v>
      </c>
      <c r="BZ23" s="253" t="n">
        <v>295.9</v>
      </c>
      <c r="CA23" s="253" t="n">
        <v>1082.9</v>
      </c>
      <c r="CB23" s="253" t="n">
        <v>294.1</v>
      </c>
      <c r="CC23" s="254">
        <f>BX23*(1+CC24)*CC34+CC26</f>
        <v>275.099491083426</v>
      </c>
      <c r="CD23" s="254">
        <f>BY23*(1+CD24)*CD34+CD26</f>
        <v>279.768764677254</v>
      </c>
      <c r="CE23" s="254">
        <f>BZ23*(1+CE24)*CE34+CE26</f>
        <v>343.508070703913</v>
      </c>
      <c r="CF23" s="254">
        <f>SUM(CB23:CE23)</f>
        <v>1192.47632646459</v>
      </c>
      <c r="CG23" s="254">
        <f>CF23*(1+CG24)</f>
        <v>1264.02490605247</v>
      </c>
      <c r="CH23" s="254">
        <f>CG23*(1+CH24)</f>
        <v>1333.54627588535</v>
      </c>
      <c r="CI23" s="254">
        <f>CH23*(1+CI24)</f>
        <v>1400.22358967962</v>
      </c>
      <c r="CJ23" s="254">
        <f>CI23*(1+CJ24)</f>
        <v>1470.2347691636</v>
      </c>
      <c r="CK23" s="254">
        <f>CJ23*(1+CK24)</f>
        <v>1536.39533377597</v>
      </c>
      <c r="CL23" s="153" t="n"/>
      <c r="CN23" s="20">
        <f>IFERROR((CK23/CF23)^(1/5)-1,"n/m")</f>
        <v>0.0519876532176578</v>
      </c>
      <c r="CO23" s="20">
        <f>IFERROR((CA23/BB23)^(1/5)-1,"n/m")</f>
        <v>0.384646326786113</v>
      </c>
      <c r="CP23" s="20" t="str">
        <f>IFERROR((CA23/AC23)^(1/10)-1,"n/m")</f>
        <v>n/m</v>
      </c>
      <c r="CQ23" s="20" t="str">
        <f>IFERROR((CA23/C23)^(1/20)-1,"n/m")</f>
        <v>n/m</v>
      </c>
    </row>
    <row r="24" ht="15" customHeight="1" s="251">
      <c r="B24" s="22" t="inlineStr">
        <is>
          <t xml:space="preserve">    y/y % (Q2–Q4/27E: organic, before acquired sales)</t>
        </is>
      </c>
      <c r="C24" s="23" t="n"/>
      <c r="D24" s="255">
        <f>IF(AND(ISNUMBER(D23),ISNUMBER(C23)),IFERROR(D23/C23-1,""),"")</f>
      </c>
      <c r="E24" s="255">
        <f>IF(AND(ISNUMBER(E23),ISNUMBER(D23)),IFERROR(E23/D23-1,""),"")</f>
      </c>
      <c r="F24" s="255">
        <f>IF(AND(ISNUMBER(F23),ISNUMBER(E23)),IFERROR(F23/E23-1,""),"")</f>
      </c>
      <c r="G24" s="255">
        <f>IF(AND(ISNUMBER(G23),ISNUMBER(F23)),IFERROR(G23/F23-1,""),"")</f>
      </c>
      <c r="H24" s="255">
        <f>IF(AND(ISNUMBER(H23),ISNUMBER(G23)),IFERROR(H23/G23-1,""),"")</f>
      </c>
      <c r="I24" s="255">
        <f>IF(AND(ISNUMBER(I23),ISNUMBER(H23)),IFERROR(I23/H23-1,""),"")</f>
      </c>
      <c r="J24" s="23" t="n"/>
      <c r="K24" s="23" t="n"/>
      <c r="L24" s="23" t="n"/>
      <c r="M24" s="23" t="n"/>
      <c r="N24" s="255">
        <f>IF(AND(ISNUMBER(N23),ISNUMBER(I23)),IFERROR(N23/I23-1,""),"")</f>
      </c>
      <c r="O24" s="255">
        <f>IF(AND(ISNUMBER(O23),ISNUMBER(J23)),IFERROR(O23/J23-1,""),"")</f>
      </c>
      <c r="P24" s="255">
        <f>IF(AND(ISNUMBER(P23),ISNUMBER(K23)),IFERROR(P23/K23-1,""),"")</f>
      </c>
      <c r="Q24" s="255">
        <f>IF(AND(ISNUMBER(Q23),ISNUMBER(L23)),IFERROR(Q23/L23-1,""),"")</f>
      </c>
      <c r="R24" s="255">
        <f>IF(AND(ISNUMBER(R23),ISNUMBER(M23)),IFERROR(R23/M23-1,""),"")</f>
      </c>
      <c r="S24" s="255">
        <f>IF(AND(ISNUMBER(S23),ISNUMBER(N23)),IFERROR(S23/N23-1,""),"")</f>
      </c>
      <c r="T24" s="255">
        <f>IF(AND(ISNUMBER(T23),ISNUMBER(O23)),IFERROR(T23/O23-1,""),"")</f>
      </c>
      <c r="U24" s="255">
        <f>IF(AND(ISNUMBER(U23),ISNUMBER(P23)),IFERROR(U23/P23-1,""),"")</f>
      </c>
      <c r="V24" s="255">
        <f>IF(AND(ISNUMBER(V23),ISNUMBER(Q23)),IFERROR(V23/Q23-1,""),"")</f>
      </c>
      <c r="W24" s="255">
        <f>IF(AND(ISNUMBER(W23),ISNUMBER(R23)),IFERROR(W23/R23-1,""),"")</f>
      </c>
      <c r="X24" s="255">
        <f>IF(AND(ISNUMBER(X23),ISNUMBER(S23)),IFERROR(X23/S23-1,""),"")</f>
      </c>
      <c r="Y24" s="255">
        <f>IF(AND(ISNUMBER(Y23),ISNUMBER(T23)),IFERROR(Y23/T23-1,""),"")</f>
      </c>
      <c r="Z24" s="255">
        <f>IF(AND(ISNUMBER(Z23),ISNUMBER(U23)),IFERROR(Z23/U23-1,""),"")</f>
      </c>
      <c r="AA24" s="255">
        <f>IF(AND(ISNUMBER(AA23),ISNUMBER(V23)),IFERROR(AA23/V23-1,""),"")</f>
      </c>
      <c r="AB24" s="255">
        <f>IF(AND(ISNUMBER(AB23),ISNUMBER(W23)),IFERROR(AB23/W23-1,""),"")</f>
      </c>
      <c r="AC24" s="255">
        <f>IF(AND(ISNUMBER(AC23),ISNUMBER(X23)),IFERROR(AC23/X23-1,""),"")</f>
      </c>
      <c r="AD24" s="255">
        <f>IF(AND(ISNUMBER(AD23),ISNUMBER(Y23)),IFERROR(AD23/Y23-1,""),"")</f>
      </c>
      <c r="AE24" s="255">
        <f>IF(AND(ISNUMBER(AE23),ISNUMBER(Z23)),IFERROR(AE23/Z23-1,""),"")</f>
      </c>
      <c r="AF24" s="255">
        <f>IF(AND(ISNUMBER(AF23),ISNUMBER(AA23)),IFERROR(AF23/AA23-1,""),"")</f>
      </c>
      <c r="AG24" s="255">
        <f>IF(AND(ISNUMBER(AG23),ISNUMBER(AB23)),IFERROR(AG23/AB23-1,""),"")</f>
      </c>
      <c r="AH24" s="255">
        <f>IF(AND(ISNUMBER(AH23),ISNUMBER(AC23)),IFERROR(AH23/AC23-1,""),"")</f>
      </c>
      <c r="AI24" s="255">
        <f>IF(AND(ISNUMBER(AI23),ISNUMBER(AD23)),IFERROR(AI23/AD23-1,""),"")</f>
      </c>
      <c r="AJ24" s="255">
        <f>IF(AND(ISNUMBER(AJ23),ISNUMBER(AE23)),IFERROR(AJ23/AE23-1,""),"")</f>
      </c>
      <c r="AK24" s="255">
        <f>IF(AND(ISNUMBER(AK23),ISNUMBER(AF23)),IFERROR(AK23/AF23-1,""),"")</f>
      </c>
      <c r="AL24" s="255">
        <f>IF(AND(ISNUMBER(AL23),ISNUMBER(AG23)),IFERROR(AL23/AG23-1,""),"")</f>
      </c>
      <c r="AM24" s="255">
        <f>IF(AND(ISNUMBER(AM23),ISNUMBER(AH23)),IFERROR(AM23/AH23-1,""),"")</f>
      </c>
      <c r="AN24" s="255">
        <f>IF(AND(ISNUMBER(AN23),ISNUMBER(AI23)),IFERROR(AN23/AI23-1,""),"")</f>
      </c>
      <c r="AO24" s="255">
        <f>IF(AND(ISNUMBER(AO23),ISNUMBER(AJ23)),IFERROR(AO23/AJ23-1,""),"")</f>
      </c>
      <c r="AP24" s="255">
        <f>IF(AND(ISNUMBER(AP23),ISNUMBER(AK23)),IFERROR(AP23/AK23-1,""),"")</f>
      </c>
      <c r="AQ24" s="255">
        <f>IF(AND(ISNUMBER(AQ23),ISNUMBER(AL23)),IFERROR(AQ23/AL23-1,""),"")</f>
      </c>
      <c r="AR24" s="255">
        <f>IF(AND(ISNUMBER(AR23),ISNUMBER(AM23)),IFERROR(AR23/AM23-1,""),"")</f>
      </c>
      <c r="AS24" s="255">
        <f>IF(AND(ISNUMBER(AS23),ISNUMBER(AN23)),IFERROR(AS23/AN23-1,""),"")</f>
      </c>
      <c r="AT24" s="255">
        <f>IF(AND(ISNUMBER(AT23),ISNUMBER(AO23)),IFERROR(AT23/AO23-1,""),"")</f>
      </c>
      <c r="AU24" s="255">
        <f>IF(AND(ISNUMBER(AU23),ISNUMBER(AP23)),IFERROR(AU23/AP23-1,""),"")</f>
      </c>
      <c r="AV24" s="255">
        <f>IF(AND(ISNUMBER(AV23),ISNUMBER(AQ23)),IFERROR(AV23/AQ23-1,""),"")</f>
      </c>
      <c r="AW24" s="255">
        <f>IF(AND(ISNUMBER(AW23),ISNUMBER(AR23)),IFERROR(AW23/AR23-1,""),"")</f>
      </c>
      <c r="AX24" s="255">
        <f>IF(AND(ISNUMBER(AX23),ISNUMBER(AS23)),IFERROR(AX23/AS23-1,""),"")</f>
      </c>
      <c r="AY24" s="255">
        <f>IF(AND(ISNUMBER(AY23),ISNUMBER(AT23)),IFERROR(AY23/AT23-1,""),"")</f>
      </c>
      <c r="AZ24" s="255">
        <f>IF(AND(ISNUMBER(AZ23),ISNUMBER(AU23)),IFERROR(AZ23/AU23-1,""),"")</f>
      </c>
      <c r="BA24" s="255">
        <f>IF(AND(ISNUMBER(BA23),ISNUMBER(AV23)),IFERROR(BA23/AV23-1,""),"")</f>
      </c>
      <c r="BB24" s="255">
        <f>IF(AND(ISNUMBER(BB23),ISNUMBER(AW23)),IFERROR(BB23/AW23-1,""),"")</f>
      </c>
      <c r="BC24" s="255">
        <f>IF(AND(ISNUMBER(BC23),ISNUMBER(AX23)),IFERROR(BC23/AX23-1,""),"")</f>
      </c>
      <c r="BD24" s="255">
        <f>IF(AND(ISNUMBER(BD23),ISNUMBER(AY23)),IFERROR(BD23/AY23-1,""),"")</f>
      </c>
      <c r="BE24" s="255">
        <f>IF(AND(ISNUMBER(BE23),ISNUMBER(AZ23)),IFERROR(BE23/AZ23-1,""),"")</f>
        <v>2.30360877666654</v>
      </c>
      <c r="BF24" s="255">
        <f>IF(AND(ISNUMBER(BF23),ISNUMBER(BA23)),IFERROR(BF23/BA23-1,""),"")</f>
        <v>2.97292898945326</v>
      </c>
      <c r="BG24" s="255">
        <f>IF(AND(ISNUMBER(BG23),ISNUMBER(BB23)),IFERROR(BG23/BB23-1,""),"")</f>
        <v>1.63895338453295</v>
      </c>
      <c r="BH24" s="255">
        <f>IF(AND(ISNUMBER(BH23),ISNUMBER(BC23)),IFERROR(BH23/BC23-1,""),"")</f>
        <v>2.86818043742406</v>
      </c>
      <c r="BI24" s="255">
        <f>IF(AND(ISNUMBER(BI23),ISNUMBER(BD23)),IFERROR(BI23/BD23-1,""),"")</f>
        <v>2.90702360814886</v>
      </c>
      <c r="BJ24" s="255">
        <f>IF(AND(ISNUMBER(BJ23),ISNUMBER(BE23)),IFERROR(BJ23/BE23-1,""),"")</f>
        <v>0.416362589928057</v>
      </c>
      <c r="BK24" s="255">
        <f>IF(AND(ISNUMBER(BK23),ISNUMBER(BF23)),IFERROR(BK23/BF23-1,""),"")</f>
        <v>0.0736527842327901</v>
      </c>
      <c r="BL24" s="255">
        <f>IF(AND(ISNUMBER(BL23),ISNUMBER(BG23)),IFERROR(BL23/BG23-1,""),"")</f>
        <v>0.850479723724729</v>
      </c>
      <c r="BM24" s="255">
        <f>IF(AND(ISNUMBER(BM23),ISNUMBER(BH23)),IFERROR(BM23/BH23-1,""),"")</f>
        <v>0.0469960460340582</v>
      </c>
      <c r="BN24" s="255">
        <f>IF(AND(ISNUMBER(BN23),ISNUMBER(BI23)),IFERROR(BN23/BI23-1,""),"")</f>
        <v>-0.027550739969656</v>
      </c>
      <c r="BO24" s="255">
        <f>IF(AND(ISNUMBER(BO23),ISNUMBER(BJ23)),IFERROR(BO23/BJ23-1,""),"")</f>
        <v>-0.00601398658230823</v>
      </c>
      <c r="BP24" s="255">
        <f>IF(AND(ISNUMBER(BP23),ISNUMBER(BK23)),IFERROR(BP23/BK23-1,""),"")</f>
        <v>-0.00450119958619766</v>
      </c>
      <c r="BQ24" s="255">
        <f>IF(AND(ISNUMBER(BQ23),ISNUMBER(BL23)),IFERROR(BQ23/BL23-1,""),"")</f>
        <v>0.00187105324705694</v>
      </c>
      <c r="BR24" s="255">
        <f>IF(AND(ISNUMBER(BR23),ISNUMBER(BM23)),IFERROR(BR23/BM23-1,""),"")</f>
        <v>-0.0354397149821863</v>
      </c>
      <c r="BS24" s="255">
        <f>IF(AND(ISNUMBER(BS23),ISNUMBER(BN23)),IFERROR(BS23/BN23-1,""),"")</f>
        <v>-0.0139410997247398</v>
      </c>
      <c r="BT24" s="255">
        <f>IF(AND(ISNUMBER(BT23),ISNUMBER(BO23)),IFERROR(BT23/BO23-1,""),"")</f>
        <v>0.0269282499294805</v>
      </c>
      <c r="BU24" s="255">
        <f>IF(AND(ISNUMBER(BU23),ISNUMBER(BP23)),IFERROR(BU23/BP23-1,""),"")</f>
        <v>0.0332870245829446</v>
      </c>
      <c r="BV24" s="255">
        <f>IF(AND(ISNUMBER(BV23),ISNUMBER(BQ23)),IFERROR(BV23/BQ23-1,""),"")</f>
        <v>0.00246798298830564</v>
      </c>
      <c r="BW24" s="255">
        <f>IF(AND(ISNUMBER(BW23),ISNUMBER(BR23)),IFERROR(BW23/BR23-1,""),"")</f>
        <v>0.0552099533437014</v>
      </c>
      <c r="BX24" s="255">
        <f>IF(AND(ISNUMBER(BX23),ISNUMBER(BS23)),IFERROR(BX23/BS23-1,""),"")</f>
        <v>0.00706713780918733</v>
      </c>
      <c r="BY24" s="255">
        <f>IF(AND(ISNUMBER(BY23),ISNUMBER(BT23)),IFERROR(BY23/BT23-1,""),"")</f>
        <v>0.0314490445859874</v>
      </c>
      <c r="BZ24" s="255">
        <f>IF(AND(ISNUMBER(BZ23),ISNUMBER(BU23)),IFERROR(BZ23/BU23-1,""),"")</f>
        <v>0.0552781740370898</v>
      </c>
      <c r="CA24" s="255">
        <f>IF(AND(ISNUMBER(CA23),ISNUMBER(BV23)),IFERROR(CA23/BV23-1,""),"")</f>
        <v>0.0377575467177769</v>
      </c>
      <c r="CB24" s="255">
        <f>IF(AND(ISNUMBER(CB23),ISNUMBER(BW23)),IFERROR(CB23/BW23-1,""),"")</f>
        <v>0.0836403831982315</v>
      </c>
      <c r="CC24" s="256">
        <f>CC25+$CC$74</f>
        <v>0.0651052283954214</v>
      </c>
      <c r="CD24" s="256">
        <f>CD25+$CC$74</f>
        <v>0.0651052283954214</v>
      </c>
      <c r="CE24" s="256">
        <f>CE25+$CC$74</f>
        <v>0.0651052283954214</v>
      </c>
      <c r="CF24" s="256">
        <f>IF(AND(ISNUMBER(CF23),ISNUMBER(CA23)),IFERROR(CF23/CA23-1,""),"")</f>
        <v>0.101187853416375</v>
      </c>
      <c r="CG24" s="256">
        <f>CHOOSE(MATCH($CL$2,{"Bull","Base","Bear"},0),$CU$33,$CV$33,$CW$33)</f>
        <v>0.06</v>
      </c>
      <c r="CH24" s="256">
        <f>CHOOSE(MATCH($CL$2,{"Bull","Base","Bear"},0),$CU$34,$CV$34,$CW$34)</f>
        <v>0.055</v>
      </c>
      <c r="CI24" s="256">
        <f>CHOOSE(MATCH($CL$2,{"Bull","Base","Bear"},0),$CU$35,$CV$35,$CW$35)</f>
        <v>0.05</v>
      </c>
      <c r="CJ24" s="256">
        <f>CHOOSE(MATCH($CL$2,{"Bull","Base","Bear"},0),$CU$36,$CV$36,$CW$36)</f>
        <v>0.05</v>
      </c>
      <c r="CK24" s="256">
        <f>CHOOSE(MATCH($CL$2,{"Bull","Base","Bear"},0),$CU$37,$CV$37,$CW$37)</f>
        <v>0.045</v>
      </c>
      <c r="CL24" s="153" t="n"/>
      <c r="CT24" s="25" t="inlineStr">
        <is>
          <t xml:space="preserve">  Maximum net debt / adjusted EBITDA before buybacks (x) — buyback floor FY2028E+</t>
        </is>
      </c>
      <c r="CU24" s="262" t="n">
        <v>1.5</v>
      </c>
      <c r="CV24" s="262" t="n">
        <v>1</v>
      </c>
      <c r="CW24" s="262" t="n">
        <v>0.5</v>
      </c>
      <c r="CX24" s="13" t="inlineStr">
        <is>
          <t>Net debt $682m at 27-Jun-2026 ≈ 1.0x LTM adjusted EBITDA (FY2026 $605m); the credit agreement allows up to 4.5x. RBC has made no open-market buybacks (the $100m 2019 authorization is unused) and has deployed cash to debt reduction and acquisitions. Target = leverage up to which surplus cash after the M&amp;A lever is returned via buybacks (assumption).</t>
        </is>
      </c>
    </row>
    <row r="25" ht="15" customHeight="1" s="251">
      <c r="B25" s="25" t="inlineStr">
        <is>
          <t xml:space="preserve">    Q2–Q4/27E organic growth before calibration (Q1 FY27 organic y/y)</t>
        </is>
      </c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6" t="n"/>
      <c r="AR25" s="36" t="n"/>
      <c r="AS25" s="36" t="n"/>
      <c r="AT25" s="36" t="n"/>
      <c r="AU25" s="36" t="n"/>
      <c r="AV25" s="36" t="n"/>
      <c r="AW25" s="36" t="n"/>
      <c r="AX25" s="36" t="n"/>
      <c r="AY25" s="36" t="n"/>
      <c r="AZ25" s="36" t="n"/>
      <c r="BA25" s="36" t="n"/>
      <c r="BB25" s="36" t="n"/>
      <c r="BC25" s="36" t="n"/>
      <c r="BD25" s="36" t="n"/>
      <c r="BE25" s="36" t="n"/>
      <c r="BF25" s="36" t="n"/>
      <c r="BG25" s="36" t="n"/>
      <c r="BH25" s="36" t="n"/>
      <c r="BI25" s="36" t="n"/>
      <c r="BJ25" s="36" t="n"/>
      <c r="BK25" s="36" t="n"/>
      <c r="BL25" s="36" t="n"/>
      <c r="BM25" s="36" t="n"/>
      <c r="BN25" s="36" t="n"/>
      <c r="BO25" s="36" t="n"/>
      <c r="BP25" s="36" t="n"/>
      <c r="BQ25" s="36" t="n"/>
      <c r="BR25" s="36" t="n"/>
      <c r="BS25" s="36" t="n"/>
      <c r="BT25" s="36" t="n"/>
      <c r="BU25" s="36" t="n"/>
      <c r="BV25" s="36" t="n"/>
      <c r="BW25" s="36" t="n"/>
      <c r="BX25" s="36" t="n"/>
      <c r="BY25" s="36" t="n"/>
      <c r="BZ25" s="36" t="n"/>
      <c r="CA25" s="36" t="n"/>
      <c r="CB25" s="36" t="n"/>
      <c r="CC25" s="256">
        <f>IFERROR((SUM(CB23:CB23)-SUM(CB26:CB26))/SUM(BW23:BW23)-1,0)</f>
        <v>0.0836403831982315</v>
      </c>
      <c r="CD25" s="256">
        <f>IFERROR((SUM(CB23:CB23)-SUM(CB26:CB26))/SUM(BW23:BW23)-1,0)</f>
        <v>0.0836403831982315</v>
      </c>
      <c r="CE25" s="256">
        <f>IFERROR((SUM(CB23:CB23)-SUM(CB26:CB26))/SUM(BW23:BW23)-1,0)</f>
        <v>0.0836403831982315</v>
      </c>
      <c r="CF25" s="24" t="n"/>
      <c r="CG25" s="46" t="n"/>
      <c r="CH25" s="46" t="n"/>
      <c r="CI25" s="46" t="n"/>
      <c r="CJ25" s="46" t="n"/>
      <c r="CK25" s="46" t="n"/>
      <c r="CL25" s="19" t="n"/>
    </row>
    <row r="26" ht="15" customHeight="1" s="251">
      <c r="B26" s="25" t="inlineStr">
        <is>
          <t xml:space="preserve">    Acquired sales not in the prior-year base (VACCO / PSC Couplings; input)</t>
        </is>
      </c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  <c r="AP26" s="36" t="n"/>
      <c r="AQ26" s="36" t="n"/>
      <c r="AR26" s="36" t="n"/>
      <c r="AS26" s="36" t="n"/>
      <c r="AT26" s="36" t="n"/>
      <c r="AU26" s="36" t="n"/>
      <c r="AV26" s="36" t="n"/>
      <c r="AW26" s="36" t="n"/>
      <c r="AX26" s="36" t="n"/>
      <c r="AY26" s="36" t="n"/>
      <c r="AZ26" s="36" t="n"/>
      <c r="BA26" s="36" t="n"/>
      <c r="BB26" s="36" t="n"/>
      <c r="BC26" s="36" t="n"/>
      <c r="BD26" s="36" t="n"/>
      <c r="BE26" s="36" t="n"/>
      <c r="BF26" s="36" t="n"/>
      <c r="BG26" s="36" t="n"/>
      <c r="BH26" s="36" t="n"/>
      <c r="BI26" s="36" t="n"/>
      <c r="BJ26" s="36" t="n"/>
      <c r="BK26" s="36" t="n"/>
      <c r="BL26" s="36" t="n"/>
      <c r="BM26" s="36" t="n"/>
      <c r="BN26" s="36" t="n"/>
      <c r="BO26" s="36" t="n"/>
      <c r="BP26" s="36" t="n"/>
      <c r="BQ26" s="36" t="n"/>
      <c r="BR26" s="36" t="n"/>
      <c r="BS26" s="36" t="n"/>
      <c r="BT26" s="36" t="n"/>
      <c r="BU26" s="36" t="n"/>
      <c r="BV26" s="36" t="n"/>
      <c r="BW26" s="36" t="n"/>
      <c r="BX26" s="36" t="n"/>
      <c r="BY26" s="36" t="n"/>
      <c r="BZ26" s="36" t="n"/>
      <c r="CA26" s="36" t="n"/>
      <c r="CB26" s="36" t="n"/>
      <c r="CC26" s="260" t="n">
        <v>1.9</v>
      </c>
      <c r="CD26" s="260" t="n">
        <v>3.8</v>
      </c>
      <c r="CE26" s="260" t="n">
        <v>4.1</v>
      </c>
      <c r="CF26" s="24" t="n"/>
      <c r="CG26" s="46" t="n"/>
      <c r="CH26" s="46" t="n"/>
      <c r="CI26" s="46" t="n"/>
      <c r="CJ26" s="46" t="n"/>
      <c r="CK26" s="46" t="n"/>
      <c r="CL26" s="19" t="inlineStr">
        <is>
          <t>PSC Couplings (closed 10-Aug-2026; LTM net sales ~$15.1m, 8-K 11-Aug-2026): run-rate × days consolidated (47 days in Q2, 91 in Q3, 98 in the 14-week Q4). Outside the Q2 guidance (issued 31-Jul-2026).</t>
        </is>
      </c>
      <c r="CT26" s="15" t="inlineStr">
        <is>
          <t>AERO_G (Aerospace &amp; Defense sales y/y, organic + future acquisitions excluded)</t>
        </is>
      </c>
      <c r="CU26" s="41" t="n">
        <v>0.03</v>
      </c>
      <c r="CV26" s="21" t="inlineStr">
        <is>
          <t>Δ →</t>
        </is>
      </c>
      <c r="CW26" s="41" t="n">
        <v>-0.05</v>
      </c>
      <c r="CX26" s="13" t="inlineStr">
        <is>
          <t>Q1 FY27 +36.9% (+16.0% organic ex VACCO $34.4m); backlog $2.3bn. Defense (submarines, munitions, space) and commercial aerospace rate increases; FY2023–26 A&amp;D sales CAGR 22% incl. VACCO.</t>
        </is>
      </c>
    </row>
    <row r="27" ht="15" customHeight="1" s="251">
      <c r="B27" s="25" t="inlineStr">
        <is>
          <t xml:space="preserve">  % of total net sales</t>
        </is>
      </c>
      <c r="C27" s="215">
        <f>IF(AND(ISNUMBER(C23),ISNUMBER(C65)),IFERROR(C23/C65,""),"")</f>
      </c>
      <c r="D27" s="215">
        <f>IF(AND(ISNUMBER(D23),ISNUMBER(D65)),IFERROR(D23/D65,""),"")</f>
      </c>
      <c r="E27" s="215">
        <f>IF(AND(ISNUMBER(E23),ISNUMBER(E65)),IFERROR(E23/E65,""),"")</f>
      </c>
      <c r="F27" s="215">
        <f>IF(AND(ISNUMBER(F23),ISNUMBER(F65)),IFERROR(F23/F65,""),"")</f>
      </c>
      <c r="G27" s="215">
        <f>IF(AND(ISNUMBER(G23),ISNUMBER(G65)),IFERROR(G23/G65,""),"")</f>
      </c>
      <c r="H27" s="215">
        <f>IF(AND(ISNUMBER(H23),ISNUMBER(H65)),IFERROR(H23/H65,""),"")</f>
      </c>
      <c r="I27" s="215">
        <f>IF(AND(ISNUMBER(I23),ISNUMBER(I65)),IFERROR(I23/I65,""),"")</f>
      </c>
      <c r="J27" s="215">
        <f>IF(AND(ISNUMBER(J23),ISNUMBER(J65)),IFERROR(J23/J65,""),"")</f>
      </c>
      <c r="K27" s="215">
        <f>IF(AND(ISNUMBER(K23),ISNUMBER(K65)),IFERROR(K23/K65,""),"")</f>
      </c>
      <c r="L27" s="215">
        <f>IF(AND(ISNUMBER(L23),ISNUMBER(L65)),IFERROR(L23/L65,""),"")</f>
      </c>
      <c r="M27" s="215">
        <f>IF(AND(ISNUMBER(M23),ISNUMBER(M65)),IFERROR(M23/M65,""),"")</f>
      </c>
      <c r="N27" s="215">
        <f>IF(AND(ISNUMBER(N23),ISNUMBER(N65)),IFERROR(N23/N65,""),"")</f>
      </c>
      <c r="O27" s="215">
        <f>IF(AND(ISNUMBER(O23),ISNUMBER(O65)),IFERROR(O23/O65,""),"")</f>
      </c>
      <c r="P27" s="215">
        <f>IF(AND(ISNUMBER(P23),ISNUMBER(P65)),IFERROR(P23/P65,""),"")</f>
      </c>
      <c r="Q27" s="215">
        <f>IF(AND(ISNUMBER(Q23),ISNUMBER(Q65)),IFERROR(Q23/Q65,""),"")</f>
      </c>
      <c r="R27" s="215">
        <f>IF(AND(ISNUMBER(R23),ISNUMBER(R65)),IFERROR(R23/R65,""),"")</f>
      </c>
      <c r="S27" s="215">
        <f>IF(AND(ISNUMBER(S23),ISNUMBER(S65)),IFERROR(S23/S65,""),"")</f>
      </c>
      <c r="T27" s="215">
        <f>IF(AND(ISNUMBER(T23),ISNUMBER(T65)),IFERROR(T23/T65,""),"")</f>
      </c>
      <c r="U27" s="215">
        <f>IF(AND(ISNUMBER(U23),ISNUMBER(U65)),IFERROR(U23/U65,""),"")</f>
      </c>
      <c r="V27" s="215">
        <f>IF(AND(ISNUMBER(V23),ISNUMBER(V65)),IFERROR(V23/V65,""),"")</f>
      </c>
      <c r="W27" s="215">
        <f>IF(AND(ISNUMBER(W23),ISNUMBER(W65)),IFERROR(W23/W65,""),"")</f>
      </c>
      <c r="X27" s="215">
        <f>IF(AND(ISNUMBER(X23),ISNUMBER(X65)),IFERROR(X23/X65,""),"")</f>
      </c>
      <c r="Y27" s="215">
        <f>IF(AND(ISNUMBER(Y23),ISNUMBER(Y65)),IFERROR(Y23/Y65,""),"")</f>
      </c>
      <c r="Z27" s="215">
        <f>IF(AND(ISNUMBER(Z23),ISNUMBER(Z65)),IFERROR(Z23/Z65,""),"")</f>
      </c>
      <c r="AA27" s="215">
        <f>IF(AND(ISNUMBER(AA23),ISNUMBER(AA65)),IFERROR(AA23/AA65,""),"")</f>
      </c>
      <c r="AB27" s="215">
        <f>IF(AND(ISNUMBER(AB23),ISNUMBER(AB65)),IFERROR(AB23/AB65,""),"")</f>
      </c>
      <c r="AC27" s="215">
        <f>IF(AND(ISNUMBER(AC23),ISNUMBER(AC65)),IFERROR(AC23/AC65,""),"")</f>
      </c>
      <c r="AD27" s="215">
        <f>IF(AND(ISNUMBER(AD23),ISNUMBER(AD65)),IFERROR(AD23/AD65,""),"")</f>
      </c>
      <c r="AE27" s="215">
        <f>IF(AND(ISNUMBER(AE23),ISNUMBER(AE65)),IFERROR(AE23/AE65,""),"")</f>
      </c>
      <c r="AF27" s="215">
        <f>IF(AND(ISNUMBER(AF23),ISNUMBER(AF65)),IFERROR(AF23/AF65,""),"")</f>
      </c>
      <c r="AG27" s="215">
        <f>IF(AND(ISNUMBER(AG23),ISNUMBER(AG65)),IFERROR(AG23/AG65,""),"")</f>
      </c>
      <c r="AH27" s="215">
        <f>IF(AND(ISNUMBER(AH23),ISNUMBER(AH65)),IFERROR(AH23/AH65,""),"")</f>
      </c>
      <c r="AI27" s="215">
        <f>IF(AND(ISNUMBER(AI23),ISNUMBER(AI65)),IFERROR(AI23/AI65,""),"")</f>
      </c>
      <c r="AJ27" s="215">
        <f>IF(AND(ISNUMBER(AJ23),ISNUMBER(AJ65)),IFERROR(AJ23/AJ65,""),"")</f>
      </c>
      <c r="AK27" s="215">
        <f>IF(AND(ISNUMBER(AK23),ISNUMBER(AK65)),IFERROR(AK23/AK65,""),"")</f>
      </c>
      <c r="AL27" s="215">
        <f>IF(AND(ISNUMBER(AL23),ISNUMBER(AL65)),IFERROR(AL23/AL65,""),"")</f>
      </c>
      <c r="AM27" s="215">
        <f>IF(AND(ISNUMBER(AM23),ISNUMBER(AM65)),IFERROR(AM23/AM65,""),"")</f>
      </c>
      <c r="AN27" s="215">
        <f>IF(AND(ISNUMBER(AN23),ISNUMBER(AN65)),IFERROR(AN23/AN65,""),"")</f>
      </c>
      <c r="AO27" s="215">
        <f>IF(AND(ISNUMBER(AO23),ISNUMBER(AO65)),IFERROR(AO23/AO65,""),"")</f>
      </c>
      <c r="AP27" s="215">
        <f>IF(AND(ISNUMBER(AP23),ISNUMBER(AP65)),IFERROR(AP23/AP65,""),"")</f>
      </c>
      <c r="AQ27" s="215">
        <f>IF(AND(ISNUMBER(AQ23),ISNUMBER(AQ65)),IFERROR(AQ23/AQ65,""),"")</f>
      </c>
      <c r="AR27" s="215">
        <f>IF(AND(ISNUMBER(AR23),ISNUMBER(AR65)),IFERROR(AR23/AR65,""),"")</f>
      </c>
      <c r="AS27" s="215">
        <f>IF(AND(ISNUMBER(AS23),ISNUMBER(AS65)),IFERROR(AS23/AS65,""),"")</f>
      </c>
      <c r="AT27" s="215">
        <f>IF(AND(ISNUMBER(AT23),ISNUMBER(AT65)),IFERROR(AT23/AT65,""),"")</f>
      </c>
      <c r="AU27" s="215">
        <f>IF(AND(ISNUMBER(AU23),ISNUMBER(AU65)),IFERROR(AU23/AU65,""),"")</f>
      </c>
      <c r="AV27" s="215">
        <f>IF(AND(ISNUMBER(AV23),ISNUMBER(AV65)),IFERROR(AV23/AV65,""),"")</f>
      </c>
      <c r="AW27" s="215">
        <f>IF(AND(ISNUMBER(AW23),ISNUMBER(AW65)),IFERROR(AW23/AW65,""),"")</f>
      </c>
      <c r="AX27" s="215">
        <f>IF(AND(ISNUMBER(AX23),ISNUMBER(AX65)),IFERROR(AX23/AX65,""),"")</f>
      </c>
      <c r="AY27" s="215">
        <f>IF(AND(ISNUMBER(AY23),ISNUMBER(AY65)),IFERROR(AY23/AY65,""),"")</f>
      </c>
      <c r="AZ27" s="215">
        <f>IF(AND(ISNUMBER(AZ23),ISNUMBER(AZ65)),IFERROR(AZ23/AZ65,""),"")</f>
        <v>0.360576164978987</v>
      </c>
      <c r="BA27" s="215">
        <f>IF(AND(ISNUMBER(BA23),ISNUMBER(BA65)),IFERROR(BA23/BA65,""),"")</f>
        <v>0.398677438472816</v>
      </c>
      <c r="BB27" s="215">
        <f>IF(AND(ISNUMBER(BB23),ISNUMBER(BB65)),IFERROR(BB23/BB65,""),"")</f>
        <v>0.349372068888509</v>
      </c>
      <c r="BC27" s="215">
        <f>IF(AND(ISNUMBER(BC23),ISNUMBER(BC65)),IFERROR(BC23/BC65,""),"")</f>
        <v>0.42149739124868</v>
      </c>
      <c r="BD27" s="215">
        <f>IF(AND(ISNUMBER(BD23),ISNUMBER(BD65)),IFERROR(BD23/BD65,""),"")</f>
        <v>0.422529521441889</v>
      </c>
      <c r="BE27" s="215">
        <f>IF(AND(ISNUMBER(BE23),ISNUMBER(BE65)),IFERROR(BE23/BE65,""),"")</f>
        <v>0.650863635171734</v>
      </c>
      <c r="BF27" s="215">
        <f>IF(AND(ISNUMBER(BF23),ISNUMBER(BF65)),IFERROR(BF23/BF65,""),"")</f>
        <v>0.707464075635521</v>
      </c>
      <c r="BG27" s="215">
        <f>IF(AND(ISNUMBER(BG23),ISNUMBER(BG65)),IFERROR(BG23/BG65,""),"")</f>
        <v>0.595446991686613</v>
      </c>
      <c r="BH27" s="215">
        <f>IF(AND(ISNUMBER(BH23),ISNUMBER(BH65)),IFERROR(BH23/BH65,""),"")</f>
        <v>0.719275305015816</v>
      </c>
      <c r="BI27" s="215">
        <f>IF(AND(ISNUMBER(BI23),ISNUMBER(BI65)),IFERROR(BI23/BI65,""),"")</f>
        <v>0.719509056876698</v>
      </c>
      <c r="BJ27" s="215">
        <f>IF(AND(ISNUMBER(BJ23),ISNUMBER(BJ65)),IFERROR(BJ23/BJ65,""),"")</f>
        <v>0.699873444720939</v>
      </c>
      <c r="BK27" s="215">
        <f>IF(AND(ISNUMBER(BK23),ISNUMBER(BK65)),IFERROR(BK23/BK65,""),"")</f>
        <v>0.691122706137082</v>
      </c>
      <c r="BL27" s="215">
        <f>IF(AND(ISNUMBER(BL23),ISNUMBER(BL65)),IFERROR(BL23/BL65,""),"")</f>
        <v>0.70713349404544</v>
      </c>
      <c r="BM27" s="215">
        <f>IF(AND(ISNUMBER(BM23),ISNUMBER(BM65)),IFERROR(BM23/BM65,""),"")</f>
        <v>0.688800946471655</v>
      </c>
      <c r="BN27" s="215">
        <f>IF(AND(ISNUMBER(BN23),ISNUMBER(BN65)),IFERROR(BN23/BN65,""),"")</f>
        <v>0.66991638396979</v>
      </c>
      <c r="BO27" s="215">
        <f>IF(AND(ISNUMBER(BO23),ISNUMBER(BO65)),IFERROR(BO23/BO65,""),"")</f>
        <v>0.654209881628003</v>
      </c>
      <c r="BP27" s="215">
        <f>IF(AND(ISNUMBER(BP23),ISNUMBER(BP65)),IFERROR(BP23/BP65,""),"")</f>
        <v>0.655982885321988</v>
      </c>
      <c r="BQ27" s="215">
        <f>IF(AND(ISNUMBER(BQ23),ISNUMBER(BQ65)),IFERROR(BQ23/BQ65,""),"")</f>
        <v>0.667143717794242</v>
      </c>
      <c r="BR27" s="215">
        <f>IF(AND(ISNUMBER(BR23),ISNUMBER(BR65)),IFERROR(BR23/BR65,""),"")</f>
        <v>0.633029780950037</v>
      </c>
      <c r="BS27" s="215">
        <f>IF(AND(ISNUMBER(BS23),ISNUMBER(BS65)),IFERROR(BS23/BS65,""),"")</f>
        <v>0.640110580547876</v>
      </c>
      <c r="BT27" s="215">
        <f>IF(AND(ISNUMBER(BT23),ISNUMBER(BT65)),IFERROR(BT23/BT65,""),"")</f>
        <v>0.636916835699797</v>
      </c>
      <c r="BU27" s="215">
        <f>IF(AND(ISNUMBER(BU23),ISNUMBER(BU65)),IFERROR(BU23/BU65,""),"")</f>
        <v>0.640621430203336</v>
      </c>
      <c r="BV27" s="215">
        <f>IF(AND(ISNUMBER(BV23),ISNUMBER(BV65)),IFERROR(BV23/BV65,""),"")</f>
        <v>0.637719244637292</v>
      </c>
      <c r="BW27" s="215">
        <f>IF(AND(ISNUMBER(BW23),ISNUMBER(BW65)),IFERROR(BW23/BW65,""),"")</f>
        <v>0.622477064220184</v>
      </c>
      <c r="BX27" s="215">
        <f>IF(AND(ISNUMBER(BX23),ISNUMBER(BX65)),IFERROR(BX23/BX65,""),"")</f>
        <v>0.563364814408083</v>
      </c>
      <c r="BY27" s="215">
        <f>IF(AND(ISNUMBER(BY23),ISNUMBER(BY65)),IFERROR(BY23/BY65,""),"")</f>
        <v>0.56130849220104</v>
      </c>
      <c r="BZ27" s="215">
        <f>IF(AND(ISNUMBER(BZ23),ISNUMBER(BZ65)),IFERROR(BZ23/BZ65,""),"")</f>
        <v>0.571235521235521</v>
      </c>
      <c r="CA27" s="215">
        <f>IF(AND(ISNUMBER(CA23),ISNUMBER(CA65)),IFERROR(CA23/CA65,""),"")</f>
        <v>0.578812336308728</v>
      </c>
      <c r="CB27" s="215">
        <f>IF(AND(ISNUMBER(CB23),ISNUMBER(CB65)),IFERROR(CB23/CB65,""),"")</f>
        <v>0.566121270452358</v>
      </c>
      <c r="CC27" s="256">
        <f>IF(AND(ISNUMBER(CC23),ISNUMBER(CC65)),IFERROR(CC23/CC65,""),"")</f>
        <v>0.539410766830246</v>
      </c>
      <c r="CD27" s="256">
        <f>IF(AND(ISNUMBER(CD23),ISNUMBER(CD65)),IFERROR(CD23/CD65,""),"")</f>
        <v>0.547498977130238</v>
      </c>
      <c r="CE27" s="256">
        <f>IF(AND(ISNUMBER(CE23),ISNUMBER(CE65)),IFERROR(CE23/CE65,""),"")</f>
        <v>0.557080554995604</v>
      </c>
      <c r="CF27" s="256">
        <f>IF(AND(ISNUMBER(CF23),ISNUMBER(CF65)),IFERROR(CF23/CF65,""),"")</f>
        <v>0.552810469283956</v>
      </c>
      <c r="CG27" s="256">
        <f>IF(AND(ISNUMBER(CG23),ISNUMBER(CG65)),IFERROR(CG23/CG65,""),"")</f>
        <v>0.530039486547447</v>
      </c>
      <c r="CH27" s="256">
        <f>IF(AND(ISNUMBER(CH23),ISNUMBER(CH65)),IFERROR(CH23/CH65,""),"")</f>
        <v>0.500135238905809</v>
      </c>
      <c r="CI27" s="256">
        <f>IF(AND(ISNUMBER(CI23),ISNUMBER(CI65)),IFERROR(CI23/CI65,""),"")</f>
        <v>0.474764248898414</v>
      </c>
      <c r="CJ27" s="256">
        <f>IF(AND(ISNUMBER(CJ23),ISNUMBER(CJ65)),IFERROR(CJ23/CJ65,""),"")</f>
        <v>0.454086882752345</v>
      </c>
      <c r="CK27" s="256">
        <f>IF(AND(ISNUMBER(CK23),ISNUMBER(CK65)),IFERROR(CK23/CK65,""),"")</f>
        <v>0.436159775511795</v>
      </c>
      <c r="CL27" s="153" t="n"/>
      <c r="CN27" s="37">
        <f>IFERROR(AVERAGE(CG27,CH27,CI27,CJ27,CK27),"n/m")</f>
        <v>0.479037126523162</v>
      </c>
      <c r="CO27" s="37">
        <f>IFERROR(AVERAGE(BG27,BL27,BQ27,BV27,CA27),"n/m")</f>
        <v>0.637251156894463</v>
      </c>
      <c r="CP27" s="37">
        <f>IFERROR(AVERAGE(AH27,AM27,AR27,AW27,BB27,BG27,BL27,BQ27,BV27,CA27),"n/m")</f>
        <v>0.589271308893471</v>
      </c>
      <c r="CQ27" s="37">
        <f>IFERROR(AVERAGE(C27,D27,E27,F27,G27,H27,I27,N27,S27,X27,AC27,AH27,AM27,AR27,AW27,BB27,BG27,BL27,BQ27,BV27,CA27),"n/m")</f>
        <v>0.589271308893471</v>
      </c>
      <c r="CT27" s="25" t="inlineStr">
        <is>
          <t xml:space="preserve">  2028E</t>
        </is>
      </c>
      <c r="CU27" s="33">
        <f>CV27+$CU$26</f>
        <v>0.14</v>
      </c>
      <c r="CV27" s="42" t="n">
        <v>0.11</v>
      </c>
      <c r="CW27" s="33">
        <f>CV27+$CW$26</f>
        <v>0.06</v>
      </c>
    </row>
    <row r="28" ht="15" customHeight="1" s="251">
      <c r="B28" s="25" t="inlineStr">
        <is>
          <t xml:space="preserve">  Industrial segment gross margin</t>
        </is>
      </c>
      <c r="C28" s="34" t="n"/>
      <c r="D28" s="34" t="n"/>
      <c r="E28" s="34" t="n"/>
      <c r="F28" s="34" t="n"/>
      <c r="G28" s="34" t="n"/>
      <c r="H28" s="34" t="n"/>
      <c r="I28" s="34" t="n"/>
      <c r="J28" s="34" t="n"/>
      <c r="K28" s="34" t="n"/>
      <c r="L28" s="34" t="n"/>
      <c r="M28" s="34" t="n"/>
      <c r="N28" s="34" t="n"/>
      <c r="O28" s="34" t="n"/>
      <c r="P28" s="34" t="n"/>
      <c r="Q28" s="34" t="n"/>
      <c r="R28" s="34" t="n"/>
      <c r="S28" s="34" t="n"/>
      <c r="T28" s="34" t="n"/>
      <c r="U28" s="34" t="n"/>
      <c r="V28" s="34" t="n"/>
      <c r="W28" s="34" t="n"/>
      <c r="X28" s="34" t="n"/>
      <c r="Y28" s="34" t="n"/>
      <c r="Z28" s="34" t="n"/>
      <c r="AA28" s="34" t="n"/>
      <c r="AB28" s="34" t="n"/>
      <c r="AC28" s="34" t="n"/>
      <c r="AD28" s="34" t="n"/>
      <c r="AE28" s="34" t="n"/>
      <c r="AF28" s="34" t="n"/>
      <c r="AG28" s="34" t="n"/>
      <c r="AH28" s="34" t="n"/>
      <c r="AI28" s="34" t="n"/>
      <c r="AJ28" s="34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259" t="n">
        <v>17.532</v>
      </c>
      <c r="BA28" s="259" t="n">
        <v>23.239</v>
      </c>
      <c r="BB28" s="259" t="n">
        <v>72.916</v>
      </c>
      <c r="BC28" s="259" t="n">
        <v>25.141</v>
      </c>
      <c r="BD28" s="259" t="n">
        <v>25.884</v>
      </c>
      <c r="BE28" s="259" t="n">
        <v>55.859</v>
      </c>
      <c r="BF28" s="259" t="n">
        <v>95.02500000000001</v>
      </c>
      <c r="BG28" s="259" t="n">
        <v>201.941</v>
      </c>
      <c r="BH28" s="259" t="n">
        <v>102.552</v>
      </c>
      <c r="BI28" s="259" t="n">
        <v>110.114</v>
      </c>
      <c r="BJ28" s="259" t="n">
        <v>104.39</v>
      </c>
      <c r="BK28" s="259" t="n">
        <v>116.744</v>
      </c>
      <c r="BL28" s="259" t="n">
        <v>433.8</v>
      </c>
      <c r="BM28" s="259" t="n">
        <v>120.6</v>
      </c>
      <c r="BN28" s="259" t="n">
        <v>115.7</v>
      </c>
      <c r="BO28" s="259" t="n">
        <v>104.7</v>
      </c>
      <c r="BP28" s="259" t="n">
        <v>120.7</v>
      </c>
      <c r="BQ28" s="259" t="n">
        <v>461.7</v>
      </c>
      <c r="BR28" s="259" t="n">
        <v>120.9</v>
      </c>
      <c r="BS28" s="259" t="n">
        <v>117</v>
      </c>
      <c r="BT28" s="259" t="n">
        <v>117</v>
      </c>
      <c r="BU28" s="259" t="n">
        <v>128.1</v>
      </c>
      <c r="BV28" s="259" t="n">
        <v>483</v>
      </c>
      <c r="BW28" s="259" t="n">
        <v>125</v>
      </c>
      <c r="BX28" s="259" t="n">
        <v>123.7</v>
      </c>
      <c r="BY28" s="259" t="n">
        <v>123.2</v>
      </c>
      <c r="BZ28" s="259" t="n">
        <v>137.6</v>
      </c>
      <c r="CA28" s="259" t="n">
        <v>509.5</v>
      </c>
      <c r="CB28" s="259" t="n">
        <v>147.6</v>
      </c>
      <c r="CC28" s="261">
        <f>CC23*CC29</f>
        <v>140.551961324203</v>
      </c>
      <c r="CD28" s="261">
        <f>CD23*CD29</f>
        <v>141.043766335337</v>
      </c>
      <c r="CE28" s="261">
        <f>CE23*CE29</f>
        <v>169.580988994146</v>
      </c>
      <c r="CF28" s="261">
        <f>SUM(CB28:CE28)</f>
        <v>598.776716653685</v>
      </c>
      <c r="CG28" s="261">
        <f>CG23*CG29</f>
        <v>613.052079435447</v>
      </c>
      <c r="CH28" s="261">
        <f>CH23*CH29</f>
        <v>653.437675183823</v>
      </c>
      <c r="CI28" s="261">
        <f>CI23*CI29</f>
        <v>693.110676891413</v>
      </c>
      <c r="CJ28" s="261">
        <f>CJ23*CJ29</f>
        <v>730.706680274311</v>
      </c>
      <c r="CK28" s="261">
        <f>CK23*CK29</f>
        <v>768.197666887983</v>
      </c>
      <c r="CL28" s="19" t="n"/>
      <c r="CN28" s="20">
        <f>IFERROR((CK28/CF28)^(1/5)-1,"n/m")</f>
        <v>0.0510941424694411</v>
      </c>
      <c r="CO28" s="20">
        <f>IFERROR((CA28/BB28)^(1/5)-1,"n/m")</f>
        <v>0.475245404372207</v>
      </c>
      <c r="CP28" s="20" t="str">
        <f>IFERROR((CA28/AC28)^(1/10)-1,"n/m")</f>
        <v>n/m</v>
      </c>
      <c r="CQ28" s="20" t="str">
        <f>IFERROR((CA28/C28)^(1/20)-1,"n/m")</f>
        <v>n/m</v>
      </c>
      <c r="CT28" s="25" t="inlineStr">
        <is>
          <t xml:space="preserve">  2029E</t>
        </is>
      </c>
      <c r="CU28" s="33">
        <f>CV28+$CU$26</f>
        <v>0.13</v>
      </c>
      <c r="CV28" s="42" t="n">
        <v>0.1</v>
      </c>
      <c r="CW28" s="33">
        <f>CV28+$CW$26</f>
        <v>0.05</v>
      </c>
    </row>
    <row r="29" ht="15" customHeight="1" s="251">
      <c r="B29" s="25" t="inlineStr">
        <is>
          <t xml:space="preserve">  Segment gross margin %</t>
        </is>
      </c>
      <c r="C29" s="215">
        <f>IF(AND(ISNUMBER(C28),ISNUMBER(C23)),IFERROR(C28/C23,""),"")</f>
      </c>
      <c r="D29" s="215">
        <f>IF(AND(ISNUMBER(D28),ISNUMBER(D23)),IFERROR(D28/D23,""),"")</f>
      </c>
      <c r="E29" s="215">
        <f>IF(AND(ISNUMBER(E28),ISNUMBER(E23)),IFERROR(E28/E23,""),"")</f>
      </c>
      <c r="F29" s="215">
        <f>IF(AND(ISNUMBER(F28),ISNUMBER(F23)),IFERROR(F28/F23,""),"")</f>
      </c>
      <c r="G29" s="215">
        <f>IF(AND(ISNUMBER(G28),ISNUMBER(G23)),IFERROR(G28/G23,""),"")</f>
      </c>
      <c r="H29" s="215">
        <f>IF(AND(ISNUMBER(H28),ISNUMBER(H23)),IFERROR(H28/H23,""),"")</f>
      </c>
      <c r="I29" s="215">
        <f>IF(AND(ISNUMBER(I28),ISNUMBER(I23)),IFERROR(I28/I23,""),"")</f>
      </c>
      <c r="J29" s="215">
        <f>IF(AND(ISNUMBER(J28),ISNUMBER(J23)),IFERROR(J28/J23,""),"")</f>
      </c>
      <c r="K29" s="215">
        <f>IF(AND(ISNUMBER(K28),ISNUMBER(K23)),IFERROR(K28/K23,""),"")</f>
      </c>
      <c r="L29" s="215">
        <f>IF(AND(ISNUMBER(L28),ISNUMBER(L23)),IFERROR(L28/L23,""),"")</f>
      </c>
      <c r="M29" s="215">
        <f>IF(AND(ISNUMBER(M28),ISNUMBER(M23)),IFERROR(M28/M23,""),"")</f>
      </c>
      <c r="N29" s="215">
        <f>IF(AND(ISNUMBER(N28),ISNUMBER(N23)),IFERROR(N28/N23,""),"")</f>
      </c>
      <c r="O29" s="215">
        <f>IF(AND(ISNUMBER(O28),ISNUMBER(O23)),IFERROR(O28/O23,""),"")</f>
      </c>
      <c r="P29" s="215">
        <f>IF(AND(ISNUMBER(P28),ISNUMBER(P23)),IFERROR(P28/P23,""),"")</f>
      </c>
      <c r="Q29" s="215">
        <f>IF(AND(ISNUMBER(Q28),ISNUMBER(Q23)),IFERROR(Q28/Q23,""),"")</f>
      </c>
      <c r="R29" s="215">
        <f>IF(AND(ISNUMBER(R28),ISNUMBER(R23)),IFERROR(R28/R23,""),"")</f>
      </c>
      <c r="S29" s="215">
        <f>IF(AND(ISNUMBER(S28),ISNUMBER(S23)),IFERROR(S28/S23,""),"")</f>
      </c>
      <c r="T29" s="215">
        <f>IF(AND(ISNUMBER(T28),ISNUMBER(T23)),IFERROR(T28/T23,""),"")</f>
      </c>
      <c r="U29" s="215">
        <f>IF(AND(ISNUMBER(U28),ISNUMBER(U23)),IFERROR(U28/U23,""),"")</f>
      </c>
      <c r="V29" s="215">
        <f>IF(AND(ISNUMBER(V28),ISNUMBER(V23)),IFERROR(V28/V23,""),"")</f>
      </c>
      <c r="W29" s="215">
        <f>IF(AND(ISNUMBER(W28),ISNUMBER(W23)),IFERROR(W28/W23,""),"")</f>
      </c>
      <c r="X29" s="215">
        <f>IF(AND(ISNUMBER(X28),ISNUMBER(X23)),IFERROR(X28/X23,""),"")</f>
      </c>
      <c r="Y29" s="215">
        <f>IF(AND(ISNUMBER(Y28),ISNUMBER(Y23)),IFERROR(Y28/Y23,""),"")</f>
      </c>
      <c r="Z29" s="215">
        <f>IF(AND(ISNUMBER(Z28),ISNUMBER(Z23)),IFERROR(Z28/Z23,""),"")</f>
      </c>
      <c r="AA29" s="215">
        <f>IF(AND(ISNUMBER(AA28),ISNUMBER(AA23)),IFERROR(AA28/AA23,""),"")</f>
      </c>
      <c r="AB29" s="215">
        <f>IF(AND(ISNUMBER(AB28),ISNUMBER(AB23)),IFERROR(AB28/AB23,""),"")</f>
      </c>
      <c r="AC29" s="215">
        <f>IF(AND(ISNUMBER(AC28),ISNUMBER(AC23)),IFERROR(AC28/AC23,""),"")</f>
      </c>
      <c r="AD29" s="215">
        <f>IF(AND(ISNUMBER(AD28),ISNUMBER(AD23)),IFERROR(AD28/AD23,""),"")</f>
      </c>
      <c r="AE29" s="215">
        <f>IF(AND(ISNUMBER(AE28),ISNUMBER(AE23)),IFERROR(AE28/AE23,""),"")</f>
      </c>
      <c r="AF29" s="215">
        <f>IF(AND(ISNUMBER(AF28),ISNUMBER(AF23)),IFERROR(AF28/AF23,""),"")</f>
      </c>
      <c r="AG29" s="215">
        <f>IF(AND(ISNUMBER(AG28),ISNUMBER(AG23)),IFERROR(AG28/AG23,""),"")</f>
      </c>
      <c r="AH29" s="215">
        <f>IF(AND(ISNUMBER(AH28),ISNUMBER(AH23)),IFERROR(AH28/AH23,""),"")</f>
      </c>
      <c r="AI29" s="215">
        <f>IF(AND(ISNUMBER(AI28),ISNUMBER(AI23)),IFERROR(AI28/AI23,""),"")</f>
      </c>
      <c r="AJ29" s="215">
        <f>IF(AND(ISNUMBER(AJ28),ISNUMBER(AJ23)),IFERROR(AJ28/AJ23,""),"")</f>
      </c>
      <c r="AK29" s="215">
        <f>IF(AND(ISNUMBER(AK28),ISNUMBER(AK23)),IFERROR(AK28/AK23,""),"")</f>
      </c>
      <c r="AL29" s="215">
        <f>IF(AND(ISNUMBER(AL28),ISNUMBER(AL23)),IFERROR(AL28/AL23,""),"")</f>
      </c>
      <c r="AM29" s="215">
        <f>IF(AND(ISNUMBER(AM28),ISNUMBER(AM23)),IFERROR(AM28/AM23,""),"")</f>
      </c>
      <c r="AN29" s="215">
        <f>IF(AND(ISNUMBER(AN28),ISNUMBER(AN23)),IFERROR(AN28/AN23,""),"")</f>
      </c>
      <c r="AO29" s="215">
        <f>IF(AND(ISNUMBER(AO28),ISNUMBER(AO23)),IFERROR(AO28/AO23,""),"")</f>
      </c>
      <c r="AP29" s="215">
        <f>IF(AND(ISNUMBER(AP28),ISNUMBER(AP23)),IFERROR(AP28/AP23,""),"")</f>
      </c>
      <c r="AQ29" s="215">
        <f>IF(AND(ISNUMBER(AQ28),ISNUMBER(AQ23)),IFERROR(AQ28/AQ23,""),"")</f>
      </c>
      <c r="AR29" s="215">
        <f>IF(AND(ISNUMBER(AR28),ISNUMBER(AR23)),IFERROR(AR28/AR23,""),"")</f>
      </c>
      <c r="AS29" s="215">
        <f>IF(AND(ISNUMBER(AS28),ISNUMBER(AS23)),IFERROR(AS28/AS23,""),"")</f>
      </c>
      <c r="AT29" s="215">
        <f>IF(AND(ISNUMBER(AT28),ISNUMBER(AT23)),IFERROR(AT28/AT23,""),"")</f>
      </c>
      <c r="AU29" s="215">
        <f>IF(AND(ISNUMBER(AU28),ISNUMBER(AU23)),IFERROR(AU28/AU23,""),"")</f>
      </c>
      <c r="AV29" s="215">
        <f>IF(AND(ISNUMBER(AV28),ISNUMBER(AV23)),IFERROR(AV28/AV23,""),"")</f>
      </c>
      <c r="AW29" s="215">
        <f>IF(AND(ISNUMBER(AW28),ISNUMBER(AW23)),IFERROR(AW28/AW23,""),"")</f>
      </c>
      <c r="AX29" s="215">
        <f>IF(AND(ISNUMBER(AX28),ISNUMBER(AX23)),IFERROR(AX28/AX23,""),"")</f>
      </c>
      <c r="AY29" s="215">
        <f>IF(AND(ISNUMBER(AY28),ISNUMBER(AY23)),IFERROR(AY28/AY23,""),"")</f>
      </c>
      <c r="AZ29" s="215">
        <f>IF(AND(ISNUMBER(AZ28),ISNUMBER(AZ23)),IFERROR(AZ28/AZ23,""),"")</f>
        <v>0.333346009050462</v>
      </c>
      <c r="BA29" s="215">
        <f>IF(AND(ISNUMBER(BA28),ISNUMBER(BA23)),IFERROR(BA28/BA23,""),"")</f>
        <v>0.363643476355898</v>
      </c>
      <c r="BB29" s="215">
        <f>IF(AND(ISNUMBER(BB28),ISNUMBER(BB23)),IFERROR(BB28/BB23,""),"")</f>
        <v>0.342711574435285</v>
      </c>
      <c r="BC29" s="215">
        <f>IF(AND(ISNUMBER(BC28),ISNUMBER(BC23)),IFERROR(BC28/BC23,""),"")</f>
        <v>0.381849939246659</v>
      </c>
      <c r="BD29" s="215">
        <f>IF(AND(ISNUMBER(BD28),ISNUMBER(BD23)),IFERROR(BD28/BD23,""),"")</f>
        <v>0.380731043612562</v>
      </c>
      <c r="BE29" s="215">
        <f>IF(AND(ISNUMBER(BE28),ISNUMBER(BE23)),IFERROR(BE28/BE23,""),"")</f>
        <v>0.321490647482014</v>
      </c>
      <c r="BF29" s="215">
        <f>IF(AND(ISNUMBER(BF28),ISNUMBER(BF23)),IFERROR(BF28/BF23,""),"")</f>
        <v>0.374270364797908</v>
      </c>
      <c r="BG29" s="215">
        <f>IF(AND(ISNUMBER(BG28),ISNUMBER(BG23)),IFERROR(BG28/BG23,""),"")</f>
        <v>0.359665449027462</v>
      </c>
      <c r="BH29" s="215">
        <f>IF(AND(ISNUMBER(BH28),ISNUMBER(BH23)),IFERROR(BH28/BH23,""),"")</f>
        <v>0.40266843620058</v>
      </c>
      <c r="BI29" s="215">
        <f>IF(AND(ISNUMBER(BI28),ISNUMBER(BI23)),IFERROR(BI28/BI23,""),"")</f>
        <v>0.41455618762212</v>
      </c>
      <c r="BJ29" s="215">
        <f>IF(AND(ISNUMBER(BJ28),ISNUMBER(BJ23)),IFERROR(BJ28/BJ23,""),"")</f>
        <v>0.424189229275111</v>
      </c>
      <c r="BK29" s="215">
        <f>IF(AND(ISNUMBER(BK28),ISNUMBER(BK23)),IFERROR(BK28/BK23,""),"")</f>
        <v>0.428270614907151</v>
      </c>
      <c r="BL29" s="215">
        <f>IF(AND(ISNUMBER(BL28),ISNUMBER(BL23)),IFERROR(BL28/BL23,""),"")</f>
        <v>0.417522067167347</v>
      </c>
      <c r="BM29" s="215">
        <f>IF(AND(ISNUMBER(BM28),ISNUMBER(BM23)),IFERROR(BM28/BM23,""),"")</f>
        <v>0.452278267391712</v>
      </c>
      <c r="BN29" s="215">
        <f>IF(AND(ISNUMBER(BN28),ISNUMBER(BN23)),IFERROR(BN28/BN23,""),"")</f>
        <v>0.447927030867089</v>
      </c>
      <c r="BO29" s="215">
        <f>IF(AND(ISNUMBER(BO28),ISNUMBER(BO23)),IFERROR(BO28/BO23,""),"")</f>
        <v>0.428023040476181</v>
      </c>
      <c r="BP29" s="215">
        <f>IF(AND(ISNUMBER(BP28),ISNUMBER(BP23)),IFERROR(BP28/BP23,""),"")</f>
        <v>0.444785106516268</v>
      </c>
      <c r="BQ29" s="215">
        <f>IF(AND(ISNUMBER(BQ28),ISNUMBER(BQ23)),IFERROR(BQ28/BQ23,""),"")</f>
        <v>0.443545249396934</v>
      </c>
      <c r="BR29" s="215">
        <f>IF(AND(ISNUMBER(BR28),ISNUMBER(BR23)),IFERROR(BR28/BR23,""),"")</f>
        <v>0.470062208398134</v>
      </c>
      <c r="BS29" s="215">
        <f>IF(AND(ISNUMBER(BS28),ISNUMBER(BS23)),IFERROR(BS28/BS23,""),"")</f>
        <v>0.459363957597173</v>
      </c>
      <c r="BT29" s="215">
        <f>IF(AND(ISNUMBER(BT28),ISNUMBER(BT23)),IFERROR(BT28/BT23,""),"")</f>
        <v>0.465764331210191</v>
      </c>
      <c r="BU29" s="215">
        <f>IF(AND(ISNUMBER(BU28),ISNUMBER(BU23)),IFERROR(BU28/BU23,""),"")</f>
        <v>0.456847360912981</v>
      </c>
      <c r="BV29" s="215">
        <f>IF(AND(ISNUMBER(BV28),ISNUMBER(BV23)),IFERROR(BV28/BV23,""),"")</f>
        <v>0.46286535697173</v>
      </c>
      <c r="BW29" s="215">
        <f>IF(AND(ISNUMBER(BW28),ISNUMBER(BW23)),IFERROR(BW28/BW23,""),"")</f>
        <v>0.460574797347089</v>
      </c>
      <c r="BX29" s="215">
        <f>IF(AND(ISNUMBER(BX28),ISNUMBER(BX23)),IFERROR(BX28/BX23,""),"")</f>
        <v>0.482261208576998</v>
      </c>
      <c r="BY29" s="215">
        <f>IF(AND(ISNUMBER(BY28),ISNUMBER(BY23)),IFERROR(BY28/BY23,""),"")</f>
        <v>0.475492087996912</v>
      </c>
      <c r="BZ29" s="215">
        <f>IF(AND(ISNUMBER(BZ28),ISNUMBER(BZ23)),IFERROR(BZ28/BZ23,""),"")</f>
        <v>0.465021966880703</v>
      </c>
      <c r="CA29" s="215">
        <f>IF(AND(ISNUMBER(CA28),ISNUMBER(CA23)),IFERROR(CA28/CA23,""),"")</f>
        <v>0.470495890663958</v>
      </c>
      <c r="CB29" s="215">
        <f>IF(AND(ISNUMBER(CB28),ISNUMBER(CB23)),IFERROR(CB28/CB23,""),"")</f>
        <v>0.501870112206732</v>
      </c>
      <c r="CC29" s="256">
        <f>CC30+$CC$78</f>
        <v>0.510913200059608</v>
      </c>
      <c r="CD29" s="256">
        <f>CD30+$CC$78</f>
        <v>0.504144079479522</v>
      </c>
      <c r="CE29" s="256">
        <f>CE30+$CC$78</f>
        <v>0.493673958363313</v>
      </c>
      <c r="CF29" s="256">
        <f>IF(AND(ISNUMBER(CF28),ISNUMBER(CF23)),IFERROR(CF28/CF23,""),"")</f>
        <v>0.502128808232961</v>
      </c>
      <c r="CG29" s="256">
        <f>CHOOSE(MATCH($CL$2,{"Bull","Base","Bear"},0),$CU$45,$CV$45,$CW$45)</f>
        <v>0.485</v>
      </c>
      <c r="CH29" s="256">
        <f>CHOOSE(MATCH($CL$2,{"Bull","Base","Bear"},0),$CU$46,$CV$46,$CW$46)</f>
        <v>0.49</v>
      </c>
      <c r="CI29" s="256">
        <f>CHOOSE(MATCH($CL$2,{"Bull","Base","Bear"},0),$CU$47,$CV$47,$CW$47)</f>
        <v>0.495</v>
      </c>
      <c r="CJ29" s="256">
        <f>CHOOSE(MATCH($CL$2,{"Bull","Base","Bear"},0),$CU$48,$CV$48,$CW$48)</f>
        <v>0.497</v>
      </c>
      <c r="CK29" s="256">
        <f>CHOOSE(MATCH($CL$2,{"Bull","Base","Bear"},0),$CU$49,$CV$49,$CW$49)</f>
        <v>0.5</v>
      </c>
      <c r="CL29" s="153" t="n"/>
      <c r="CN29" s="37">
        <f>IFERROR(AVERAGE(CG29,CH29,CI29,CJ29,CK29),"n/m")</f>
        <v>0.4934</v>
      </c>
      <c r="CO29" s="37">
        <f>IFERROR(AVERAGE(BG29,BL29,BQ29,BV29,CA29),"n/m")</f>
        <v>0.430818802645486</v>
      </c>
      <c r="CP29" s="37">
        <f>IFERROR(AVERAGE(AH29,AM29,AR29,AW29,BB29,BG29,BL29,BQ29,BV29,CA29),"n/m")</f>
        <v>0.416134264610452</v>
      </c>
      <c r="CQ29" s="37">
        <f>IFERROR(AVERAGE(C29,D29,E29,F29,G29,H29,I29,N29,S29,X29,AC29,AH29,AM29,AR29,AW29,BB29,BG29,BL29,BQ29,BV29,CA29),"n/m")</f>
        <v>0.416134264610452</v>
      </c>
      <c r="CT29" s="25" t="inlineStr">
        <is>
          <t xml:space="preserve">  2030E</t>
        </is>
      </c>
      <c r="CU29" s="33">
        <f>CV29+$CU$26</f>
        <v>0.12</v>
      </c>
      <c r="CV29" s="42" t="n">
        <v>0.09</v>
      </c>
      <c r="CW29" s="33">
        <f>CV29+$CW$26</f>
        <v>0.04</v>
      </c>
    </row>
    <row r="30" ht="15" customHeight="1" s="251">
      <c r="B30" s="25" t="inlineStr">
        <is>
          <t xml:space="preserve">  Q2–Q4/27E margin before calibration (prior-year quarter + Q1 FY27 y/y drift)</t>
        </is>
      </c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  <c r="AP30" s="36" t="n"/>
      <c r="AQ30" s="36" t="n"/>
      <c r="AR30" s="36" t="n"/>
      <c r="AS30" s="36" t="n"/>
      <c r="AT30" s="36" t="n"/>
      <c r="AU30" s="36" t="n"/>
      <c r="AV30" s="36" t="n"/>
      <c r="AW30" s="36" t="n"/>
      <c r="AX30" s="36" t="n"/>
      <c r="AY30" s="36" t="n"/>
      <c r="AZ30" s="36" t="n"/>
      <c r="BA30" s="36" t="n"/>
      <c r="BB30" s="36" t="n"/>
      <c r="BC30" s="36" t="n"/>
      <c r="BD30" s="36" t="n"/>
      <c r="BE30" s="36" t="n"/>
      <c r="BF30" s="36" t="n"/>
      <c r="BG30" s="36" t="n"/>
      <c r="BH30" s="36" t="n"/>
      <c r="BI30" s="36" t="n"/>
      <c r="BJ30" s="36" t="n"/>
      <c r="BK30" s="36" t="n"/>
      <c r="BL30" s="36" t="n"/>
      <c r="BM30" s="36" t="n"/>
      <c r="BN30" s="36" t="n"/>
      <c r="BO30" s="36" t="n"/>
      <c r="BP30" s="36" t="n"/>
      <c r="BQ30" s="36" t="n"/>
      <c r="BR30" s="36" t="n"/>
      <c r="BS30" s="36" t="n"/>
      <c r="BT30" s="36" t="n"/>
      <c r="BU30" s="36" t="n"/>
      <c r="BV30" s="36" t="n"/>
      <c r="BW30" s="36" t="n"/>
      <c r="BX30" s="36" t="n"/>
      <c r="BY30" s="36" t="n"/>
      <c r="BZ30" s="36" t="n"/>
      <c r="CA30" s="36" t="n"/>
      <c r="CB30" s="36" t="n"/>
      <c r="CC30" s="256">
        <f>BX29+IFERROR(SUM(CB28:CB28)/SUM(CB23:CB23)-SUM(BW28:BW28)/SUM(BW23:BW23),0)</f>
        <v>0.523556523436641</v>
      </c>
      <c r="CD30" s="256">
        <f>BY29+IFERROR(SUM(CB28:CB28)/SUM(CB23:CB23)-SUM(BW28:BW28)/SUM(BW23:BW23),0)</f>
        <v>0.516787402856556</v>
      </c>
      <c r="CE30" s="256">
        <f>BZ29+IFERROR(SUM(CB28:CB28)/SUM(CB23:CB23)-SUM(BW28:BW28)/SUM(BW23:BW23),0)</f>
        <v>0.506317281740346</v>
      </c>
      <c r="CF30" s="24" t="n"/>
      <c r="CG30" s="46" t="n"/>
      <c r="CH30" s="46" t="n"/>
      <c r="CI30" s="46" t="n"/>
      <c r="CJ30" s="46" t="n"/>
      <c r="CK30" s="46" t="n"/>
      <c r="CL30" s="19" t="n"/>
      <c r="CT30" s="25" t="inlineStr">
        <is>
          <t xml:space="preserve">  2031E</t>
        </is>
      </c>
      <c r="CU30" s="33">
        <f>CV30+$CU$26</f>
        <v>0.11</v>
      </c>
      <c r="CV30" s="42" t="n">
        <v>0.08</v>
      </c>
      <c r="CW30" s="33">
        <f>CV30+$CW$26</f>
        <v>0.03</v>
      </c>
    </row>
    <row r="31" ht="15" customHeight="1" s="251">
      <c r="B31" s="25" t="inlineStr">
        <is>
          <t xml:space="preserve">  Incremental gross margin (Δ gross margin / Δ sales)</t>
        </is>
      </c>
      <c r="C31" s="36" t="n"/>
      <c r="D31" s="215">
        <f>IFERROR((D28-C28)/(D23-C23),"")</f>
      </c>
      <c r="E31" s="215">
        <f>IFERROR((E28-D28)/(E23-D23),"")</f>
      </c>
      <c r="F31" s="215">
        <f>IFERROR((F28-E28)/(F23-E23),"")</f>
      </c>
      <c r="G31" s="215">
        <f>IFERROR((G28-F28)/(G23-F23),"")</f>
      </c>
      <c r="H31" s="215">
        <f>IFERROR((H28-G28)/(H23-G23),"")</f>
      </c>
      <c r="I31" s="215">
        <f>IFERROR((I28-H28)/(I23-H23),"")</f>
      </c>
      <c r="J31" s="36" t="n"/>
      <c r="K31" s="36" t="n"/>
      <c r="L31" s="36" t="n"/>
      <c r="M31" s="36" t="n"/>
      <c r="N31" s="215">
        <f>IFERROR((N28-I28)/(N23-I23),"")</f>
      </c>
      <c r="O31" s="215">
        <f>IFERROR((O28-J28)/(O23-J23),"")</f>
      </c>
      <c r="P31" s="215">
        <f>IFERROR((P28-K28)/(P23-K23),"")</f>
      </c>
      <c r="Q31" s="215">
        <f>IFERROR((Q28-L28)/(Q23-L23),"")</f>
      </c>
      <c r="R31" s="215">
        <f>IFERROR((R28-M28)/(R23-M23),"")</f>
      </c>
      <c r="S31" s="215">
        <f>IFERROR((S28-N28)/(S23-N23),"")</f>
      </c>
      <c r="T31" s="215">
        <f>IFERROR((T28-O28)/(T23-O23),"")</f>
      </c>
      <c r="U31" s="215">
        <f>IFERROR((U28-P28)/(U23-P23),"")</f>
      </c>
      <c r="V31" s="215">
        <f>IFERROR((V28-Q28)/(V23-Q23),"")</f>
      </c>
      <c r="W31" s="215">
        <f>IFERROR((W28-R28)/(W23-R23),"")</f>
      </c>
      <c r="X31" s="215">
        <f>IFERROR((X28-S28)/(X23-S23),"")</f>
      </c>
      <c r="Y31" s="215">
        <f>IFERROR((Y28-T28)/(Y23-T23),"")</f>
      </c>
      <c r="Z31" s="215">
        <f>IFERROR((Z28-U28)/(Z23-U23),"")</f>
      </c>
      <c r="AA31" s="215">
        <f>IFERROR((AA28-V28)/(AA23-V23),"")</f>
      </c>
      <c r="AB31" s="215">
        <f>IFERROR((AB28-W28)/(AB23-W23),"")</f>
      </c>
      <c r="AC31" s="215">
        <f>IFERROR((AC28-X28)/(AC23-X23),"")</f>
      </c>
      <c r="AD31" s="215">
        <f>IFERROR((AD28-Y28)/(AD23-Y23),"")</f>
      </c>
      <c r="AE31" s="215">
        <f>IFERROR((AE28-Z28)/(AE23-Z23),"")</f>
      </c>
      <c r="AF31" s="215">
        <f>IFERROR((AF28-AA28)/(AF23-AA23),"")</f>
      </c>
      <c r="AG31" s="215">
        <f>IFERROR((AG28-AB28)/(AG23-AB23),"")</f>
      </c>
      <c r="AH31" s="215">
        <f>IFERROR((AH28-AC28)/(AH23-AC23),"")</f>
      </c>
      <c r="AI31" s="215">
        <f>IFERROR((AI28-AD28)/(AI23-AD23),"")</f>
      </c>
      <c r="AJ31" s="215">
        <f>IFERROR((AJ28-AE28)/(AJ23-AE23),"")</f>
      </c>
      <c r="AK31" s="215">
        <f>IFERROR((AK28-AF28)/(AK23-AF23),"")</f>
      </c>
      <c r="AL31" s="215">
        <f>IFERROR((AL28-AG28)/(AL23-AG23),"")</f>
      </c>
      <c r="AM31" s="215">
        <f>IFERROR((AM28-AH28)/(AM23-AH23),"")</f>
      </c>
      <c r="AN31" s="215">
        <f>IFERROR((AN28-AI28)/(AN23-AI23),"")</f>
      </c>
      <c r="AO31" s="215">
        <f>IFERROR((AO28-AJ28)/(AO23-AJ23),"")</f>
      </c>
      <c r="AP31" s="215">
        <f>IFERROR((AP28-AK28)/(AP23-AK23),"")</f>
      </c>
      <c r="AQ31" s="215">
        <f>IFERROR((AQ28-AL28)/(AQ23-AL23),"")</f>
      </c>
      <c r="AR31" s="215">
        <f>IFERROR((AR28-AM28)/(AR23-AM23),"")</f>
      </c>
      <c r="AS31" s="215">
        <f>IFERROR((AS28-AN28)/(AS23-AN23),"")</f>
      </c>
      <c r="AT31" s="215">
        <f>IFERROR((AT28-AO28)/(AT23-AO23),"")</f>
      </c>
      <c r="AU31" s="215">
        <f>IFERROR((AU28-AP28)/(AU23-AP23),"")</f>
      </c>
      <c r="AV31" s="215">
        <f>IFERROR((AV28-AQ28)/(AV23-AQ23),"")</f>
      </c>
      <c r="AW31" s="215">
        <f>IFERROR((AW28-AR28)/(AW23-AR23),"")</f>
      </c>
      <c r="AX31" s="215">
        <f>IFERROR((AX28-AS28)/(AX23-AS23),"")</f>
      </c>
      <c r="AY31" s="215">
        <f>IFERROR((AY28-AT28)/(AY23-AT23),"")</f>
      </c>
      <c r="AZ31" s="215">
        <f>IFERROR((AZ28-AU28)/(AZ23-AU23),"")</f>
        <v>0.333346009050462</v>
      </c>
      <c r="BA31" s="215">
        <f>IFERROR((BA28-AV28)/(BA23-AV23),"")</f>
        <v>0.363643476355898</v>
      </c>
      <c r="BB31" s="215">
        <f>IFERROR((BB28-AW28)/(BB23-AW23),"")</f>
        <v>0.342711574435285</v>
      </c>
      <c r="BC31" s="215">
        <f>IFERROR((BC28-AX28)/(BC23-AX23),"")</f>
        <v>0.381849939246659</v>
      </c>
      <c r="BD31" s="215">
        <f>IFERROR((BD28-AY28)/(BD23-AY23),"")</f>
        <v>0.380731043612562</v>
      </c>
      <c r="BE31" s="215">
        <f>IFERROR((BE28-AZ28)/(BE23-AZ23),"")</f>
        <v>0.316344217372644</v>
      </c>
      <c r="BF31" s="215">
        <f>IFERROR((BF28-BA28)/(BF23-BA23),"")</f>
        <v>0.377844916521043</v>
      </c>
      <c r="BG31" s="215">
        <f>IFERROR((BG28-BB28)/(BG23-BB23),"")</f>
        <v>0.370009778983502</v>
      </c>
      <c r="BH31" s="215">
        <f>IFERROR((BH28-BC28)/(BH23-BC23),"")</f>
        <v>0.409926869694611</v>
      </c>
      <c r="BI31" s="215">
        <f>IFERROR((BI28-BD28)/(BI23-BD23),"")</f>
        <v>0.426191849580538</v>
      </c>
      <c r="BJ31" s="215">
        <f>IFERROR((BJ28-BE28)/(BJ23-BE23),"")</f>
        <v>0.67084583166305</v>
      </c>
      <c r="BK31" s="215">
        <f>IFERROR((BK28-BF28)/(BK23-BF23),"")</f>
        <v>1.16144385026738</v>
      </c>
      <c r="BL31" s="215">
        <f>IFERROR((BL28-BG28)/(BL23-BG23),"")</f>
        <v>0.485550282921272</v>
      </c>
      <c r="BM31" s="215">
        <f>IFERROR((BM28-BH28)/(BM23-BH23),"")</f>
        <v>1.50789539644081</v>
      </c>
      <c r="BN31" s="215">
        <f>IFERROR((BN28-BI28)/(BN23-BI23),"")</f>
        <v>-0.763323312380427</v>
      </c>
      <c r="BO31" s="215">
        <f>IFERROR((BO28-BJ28)/(BO23-BJ23),"")</f>
        <v>-0.209459459459462</v>
      </c>
      <c r="BP31" s="215">
        <f>IFERROR((BP28-BK28)/(BP23-BK23),"")</f>
        <v>-3.22412387938067</v>
      </c>
      <c r="BQ31" s="215">
        <f>IFERROR((BQ28-BL28)/(BQ23-BL23),"")</f>
        <v>14.3518518518521</v>
      </c>
      <c r="BR31" s="215">
        <f>IFERROR((BR28-BM28)/(BR23-BM23),"")</f>
        <v>-0.031746031746033</v>
      </c>
      <c r="BS31" s="215">
        <f>IFERROR((BS28-BN28)/(BS23-BN23),"")</f>
        <v>-0.361010830324909</v>
      </c>
      <c r="BT31" s="215">
        <f>IFERROR((BT28-BO28)/(BT23-BO23),"")</f>
        <v>1.86731440716563</v>
      </c>
      <c r="BU31" s="215">
        <f>IFERROR((BU28-BP28)/(BU23-BP23),"")</f>
        <v>0.819218421343964</v>
      </c>
      <c r="BV31" s="215">
        <f>IFERROR((BV28-BQ28)/(BV23-BQ23),"")</f>
        <v>8.29116387699507</v>
      </c>
      <c r="BW31" s="215">
        <f>IFERROR((BW28-BR28)/(BW23-BR23),"")</f>
        <v>0.288732394366197</v>
      </c>
      <c r="BX31" s="215">
        <f>IFERROR((BX28-BS28)/(BX23-BS23),"")</f>
        <v>3.7222222222222</v>
      </c>
      <c r="BY31" s="215">
        <f>IFERROR((BY28-BT28)/(BY23-BT23),"")</f>
        <v>0.784810126582275</v>
      </c>
      <c r="BZ31" s="215">
        <f>IFERROR((BZ28-BU28)/(BZ23-BU23),"")</f>
        <v>0.612903225806452</v>
      </c>
      <c r="CA31" s="215">
        <f>IFERROR((CA28-BV28)/(CA23-BV23),"")</f>
        <v>0.672588832487308</v>
      </c>
      <c r="CB31" s="215">
        <f>IFERROR((CB28-BW28)/(CB23-BW23),"")</f>
        <v>0.995594713656385</v>
      </c>
      <c r="CC31" s="256">
        <f>IFERROR((CC28-BX28)/(CC23-BX23),"")</f>
        <v>0.906044216404376</v>
      </c>
      <c r="CD31" s="256">
        <f>IFERROR((CD28-BY28)/(CD23-BY23),"")</f>
        <v>0.863320407095953</v>
      </c>
      <c r="CE31" s="256">
        <f>IFERROR((CE28-BZ28)/(CE23-BZ23),"")</f>
        <v>0.671755618769839</v>
      </c>
      <c r="CF31" s="256">
        <f>IFERROR((CF28-CA28)/(CF23-CA23),"")</f>
        <v>0.814744566952911</v>
      </c>
      <c r="CG31" s="256">
        <f>IFERROR((CG28-CF28)/(CG23-CF23),"")</f>
        <v>0.199519862783983</v>
      </c>
      <c r="CH31" s="256">
        <f>IFERROR((CH28-CG28)/(CH23-CG23),"")</f>
        <v>0.580909090909092</v>
      </c>
      <c r="CI31" s="256">
        <f>IFERROR((CI28-CH28)/(CI23-CH23),"")</f>
        <v>0.594999999999999</v>
      </c>
      <c r="CJ31" s="256">
        <f>IFERROR((CJ28-CI28)/(CJ23-CI23),"")</f>
        <v>0.537</v>
      </c>
      <c r="CK31" s="256">
        <f>IFERROR((CK28-CJ28)/(CK23-CJ23),"")</f>
        <v>0.566666666666667</v>
      </c>
      <c r="CL31" s="153" t="n"/>
      <c r="CT31" s="25" t="inlineStr">
        <is>
          <t xml:space="preserve">  2032E</t>
        </is>
      </c>
      <c r="CU31" s="33">
        <f>CV31+$CU$26</f>
        <v>0.1</v>
      </c>
      <c r="CV31" s="42" t="n">
        <v>0.07000000000000001</v>
      </c>
      <c r="CW31" s="33">
        <f>CV31+$CW$26</f>
        <v>0.02</v>
      </c>
    </row>
    <row r="32" ht="15" customHeight="1" s="251">
      <c r="B32" s="156" t="inlineStr">
        <is>
          <t xml:space="preserve">  Memo: Industrial segment operating income as reported (FY2022–FY2025 segment note)</t>
        </is>
      </c>
      <c r="C32" s="34" t="n"/>
      <c r="D32" s="34" t="n"/>
      <c r="E32" s="34" t="n"/>
      <c r="F32" s="34" t="n"/>
      <c r="G32" s="34" t="n"/>
      <c r="H32" s="34" t="n"/>
      <c r="I32" s="34" t="n"/>
      <c r="J32" s="34" t="n"/>
      <c r="K32" s="34" t="n"/>
      <c r="L32" s="34" t="n"/>
      <c r="M32" s="34" t="n"/>
      <c r="N32" s="34" t="n"/>
      <c r="O32" s="34" t="n"/>
      <c r="P32" s="34" t="n"/>
      <c r="Q32" s="34" t="n"/>
      <c r="R32" s="34" t="n"/>
      <c r="S32" s="34" t="n"/>
      <c r="T32" s="34" t="n"/>
      <c r="U32" s="34" t="n"/>
      <c r="V32" s="34" t="n"/>
      <c r="W32" s="34" t="n"/>
      <c r="X32" s="34" t="n"/>
      <c r="Y32" s="34" t="n"/>
      <c r="Z32" s="34" t="n"/>
      <c r="AA32" s="34" t="n"/>
      <c r="AB32" s="34" t="n"/>
      <c r="AC32" s="34" t="n"/>
      <c r="AD32" s="34" t="n"/>
      <c r="AE32" s="34" t="n"/>
      <c r="AF32" s="34" t="n"/>
      <c r="AG32" s="34" t="n"/>
      <c r="AH32" s="34" t="n"/>
      <c r="AI32" s="34" t="n"/>
      <c r="AJ32" s="34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  <c r="BA32" s="259" t="n">
        <v>17.664</v>
      </c>
      <c r="BB32" s="259" t="n">
        <v>52.911</v>
      </c>
      <c r="BC32" s="34" t="n"/>
      <c r="BD32" s="34" t="n"/>
      <c r="BE32" s="259" t="n">
        <v>23.197</v>
      </c>
      <c r="BF32" s="259" t="n">
        <v>45.064</v>
      </c>
      <c r="BG32" s="259" t="n">
        <v>107.478</v>
      </c>
      <c r="BH32" s="259" t="n">
        <v>53.295</v>
      </c>
      <c r="BI32" s="259" t="n">
        <v>60.05</v>
      </c>
      <c r="BJ32" s="259" t="n">
        <v>59.255</v>
      </c>
      <c r="BK32" s="259" t="n">
        <v>63.9</v>
      </c>
      <c r="BL32" s="259" t="n">
        <v>236.5</v>
      </c>
      <c r="BM32" s="259" t="n">
        <v>71.09999999999999</v>
      </c>
      <c r="BN32" s="259" t="n">
        <v>69.5</v>
      </c>
      <c r="BO32" s="259" t="n">
        <v>59.3</v>
      </c>
      <c r="BP32" s="259" t="n">
        <v>72.7</v>
      </c>
      <c r="BQ32" s="259" t="n">
        <v>272.6</v>
      </c>
      <c r="BR32" s="259" t="n">
        <v>72.5</v>
      </c>
      <c r="BS32" s="259" t="n">
        <v>68.5</v>
      </c>
      <c r="BT32" s="259" t="n">
        <v>68.2</v>
      </c>
      <c r="BU32" s="34" t="n"/>
      <c r="BV32" s="34" t="n"/>
      <c r="BW32" s="34" t="n"/>
      <c r="BX32" s="34" t="n"/>
      <c r="BY32" s="34" t="n"/>
      <c r="BZ32" s="34" t="n"/>
      <c r="CA32" s="34" t="n"/>
      <c r="CB32" s="34" t="n"/>
      <c r="CC32" s="153" t="n"/>
      <c r="CD32" s="153" t="n"/>
      <c r="CE32" s="153" t="n"/>
      <c r="CF32" s="153" t="n"/>
      <c r="CG32" s="153" t="n"/>
      <c r="CH32" s="153" t="n"/>
      <c r="CI32" s="153" t="n"/>
      <c r="CJ32" s="153" t="n"/>
      <c r="CK32" s="153" t="n"/>
      <c r="CL32" s="153" t="n"/>
      <c r="CT32" s="15" t="inlineStr">
        <is>
          <t>IND_G (Industrial sales y/y)</t>
        </is>
      </c>
      <c r="CU32" s="41" t="n">
        <v>0.02</v>
      </c>
      <c r="CV32" s="21" t="inlineStr">
        <is>
          <t>Δ →</t>
        </is>
      </c>
      <c r="CW32" s="41" t="n">
        <v>-0.06</v>
      </c>
      <c r="CX32" s="13" t="inlineStr">
        <is>
          <t>Q1 FY27 +8.4% (semicon, grain, food &amp; beverage); FY2023–26 Industrial sales flat to +4% a year after the Dodge-led FY2023 step-up; cyclical downside (FY2021 −12% legacy industrial).</t>
        </is>
      </c>
    </row>
    <row r="33" ht="15" customHeight="1" s="251">
      <c r="CT33" s="25" t="inlineStr">
        <is>
          <t xml:space="preserve">  2028E</t>
        </is>
      </c>
      <c r="CU33" s="33">
        <f>CV33+$CU$32</f>
        <v>0.08</v>
      </c>
      <c r="CV33" s="42" t="n">
        <v>0.06</v>
      </c>
      <c r="CW33" s="33">
        <f>CV33+$CW$32</f>
        <v>0</v>
      </c>
    </row>
    <row r="34" ht="15" customHeight="1" s="251">
      <c r="B34" s="25" t="inlineStr">
        <is>
          <t xml:space="preserve">  Week factor (Q4/27E: 14 of 13 weeks — FY2027 is a 53-week year)</t>
        </is>
      </c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  <c r="AP34" s="36" t="n"/>
      <c r="AQ34" s="36" t="n"/>
      <c r="AR34" s="36" t="n"/>
      <c r="AS34" s="36" t="n"/>
      <c r="AT34" s="36" t="n"/>
      <c r="AU34" s="36" t="n"/>
      <c r="AV34" s="36" t="n"/>
      <c r="AW34" s="36" t="n"/>
      <c r="AX34" s="36" t="n"/>
      <c r="AY34" s="36" t="n"/>
      <c r="AZ34" s="36" t="n"/>
      <c r="BA34" s="36" t="n"/>
      <c r="BB34" s="36" t="n"/>
      <c r="BC34" s="36" t="n"/>
      <c r="BD34" s="36" t="n"/>
      <c r="BE34" s="36" t="n"/>
      <c r="BF34" s="36" t="n"/>
      <c r="BG34" s="36" t="n"/>
      <c r="BH34" s="36" t="n"/>
      <c r="BI34" s="36" t="n"/>
      <c r="BJ34" s="36" t="n"/>
      <c r="BK34" s="36" t="n"/>
      <c r="BL34" s="36" t="n"/>
      <c r="BM34" s="36" t="n"/>
      <c r="BN34" s="36" t="n"/>
      <c r="BO34" s="36" t="n"/>
      <c r="BP34" s="36" t="n"/>
      <c r="BQ34" s="36" t="n"/>
      <c r="BR34" s="36" t="n"/>
      <c r="BS34" s="36" t="n"/>
      <c r="BT34" s="36" t="n"/>
      <c r="BU34" s="36" t="n"/>
      <c r="BV34" s="36" t="n"/>
      <c r="BW34" s="36" t="n"/>
      <c r="BX34" s="36" t="n"/>
      <c r="BY34" s="36" t="n"/>
      <c r="BZ34" s="36" t="n"/>
      <c r="CA34" s="36" t="n"/>
      <c r="CB34" s="36" t="n"/>
      <c r="CC34" s="263" t="n">
        <v>1</v>
      </c>
      <c r="CD34" s="263" t="n">
        <v>1</v>
      </c>
      <c r="CE34" s="263" t="n">
        <v>1.076923076923077</v>
      </c>
      <c r="CF34" s="24" t="n"/>
      <c r="CG34" s="46" t="n"/>
      <c r="CH34" s="46" t="n"/>
      <c r="CI34" s="46" t="n"/>
      <c r="CJ34" s="46" t="n"/>
      <c r="CK34" s="46" t="n"/>
      <c r="CL34" s="19" t="inlineStr">
        <is>
          <t>Q1 FY27 10-Q, MD&amp;A overview: fiscal 2027 has 53 weeks (FY2026 52); Q1 FY27 and Q1 FY26 had 13 weeks. The extra week falls in Q4 (Q1 had 13 weeks); applied to sales only (assumption).</t>
        </is>
      </c>
      <c r="CT34" s="25" t="inlineStr">
        <is>
          <t xml:space="preserve">  2029E</t>
        </is>
      </c>
      <c r="CU34" s="33">
        <f>CV34+$CU$32</f>
        <v>0.075</v>
      </c>
      <c r="CV34" s="42" t="n">
        <v>0.055</v>
      </c>
      <c r="CW34" s="33">
        <f>CV34+$CW$32</f>
        <v>-0.005</v>
      </c>
    </row>
    <row r="35" ht="15" customHeight="1" s="251">
      <c r="B35" s="156" t="inlineStr">
        <is>
          <t xml:space="preserve">  Net sales not on the current segment basis (FY2006–FY2020 and Q1–Q2 FY21: total)</t>
        </is>
      </c>
      <c r="C35" s="264">
        <f>IF(ISNUMBER(C11),"",C108)</f>
        <v>274.509</v>
      </c>
      <c r="D35" s="264">
        <f>IF(ISNUMBER(D11),"",D108)</f>
        <v>306.062</v>
      </c>
      <c r="E35" s="264">
        <f>IF(ISNUMBER(E11),"",E108)</f>
        <v>330.6</v>
      </c>
      <c r="F35" s="264">
        <f>IF(ISNUMBER(F11),"",F108)</f>
        <v>355.796</v>
      </c>
      <c r="G35" s="264">
        <f>IF(ISNUMBER(G11),"",G108)</f>
        <v>274.702</v>
      </c>
      <c r="H35" s="264">
        <f>IF(ISNUMBER(H11),"",H108)</f>
        <v>335.625</v>
      </c>
      <c r="I35" s="264">
        <f>IF(ISNUMBER(I11),"",I108)</f>
        <v>397.511</v>
      </c>
      <c r="J35" s="264">
        <f>IF(ISNUMBER(J11),"",J108)</f>
        <v>103.334</v>
      </c>
      <c r="K35" s="264">
        <f>IF(ISNUMBER(K11),"",K108)</f>
        <v>100.375</v>
      </c>
      <c r="L35" s="264">
        <f>IF(ISNUMBER(L11),"",L108)</f>
        <v>96.336</v>
      </c>
      <c r="M35" s="264">
        <f>IF(ISNUMBER(M11),"",M108)</f>
        <v>103.006</v>
      </c>
      <c r="N35" s="264">
        <f>IF(ISNUMBER(N11),"",N108)</f>
        <v>403.051</v>
      </c>
      <c r="O35" s="264">
        <f>IF(ISNUMBER(O11),"",O108)</f>
        <v>102.668</v>
      </c>
      <c r="P35" s="264">
        <f>IF(ISNUMBER(P11),"",P108)</f>
        <v>101.954</v>
      </c>
      <c r="Q35" s="264">
        <f>IF(ISNUMBER(Q11),"",Q108)</f>
        <v>100.546</v>
      </c>
      <c r="R35" s="264">
        <f>IF(ISNUMBER(R11),"",R108)</f>
        <v>113.718</v>
      </c>
      <c r="S35" s="264">
        <f>IF(ISNUMBER(S11),"",S108)</f>
        <v>418.886</v>
      </c>
      <c r="T35" s="264">
        <f>IF(ISNUMBER(T11),"",T108)</f>
        <v>112.984</v>
      </c>
      <c r="U35" s="264">
        <f>IF(ISNUMBER(U11),"",U108)</f>
        <v>112.555</v>
      </c>
      <c r="V35" s="264">
        <f>IF(ISNUMBER(V11),"",V108)</f>
        <v>106.322</v>
      </c>
      <c r="W35" s="264">
        <f>IF(ISNUMBER(W11),"",W108)</f>
        <v>113.417</v>
      </c>
      <c r="X35" s="264">
        <f>IF(ISNUMBER(X11),"",X108)</f>
        <v>445.278</v>
      </c>
      <c r="Y35" s="264">
        <f>IF(ISNUMBER(Y11),"",Y108)</f>
        <v>142.308</v>
      </c>
      <c r="Z35" s="264">
        <f>IF(ISNUMBER(Z11),"",Z108)</f>
        <v>148.696</v>
      </c>
      <c r="AA35" s="264">
        <f>IF(ISNUMBER(AA11),"",AA108)</f>
        <v>144.216</v>
      </c>
      <c r="AB35" s="264">
        <f>IF(ISNUMBER(AB11),"",AB108)</f>
        <v>162.252</v>
      </c>
      <c r="AC35" s="264">
        <f>IF(ISNUMBER(AC11),"",AC108)</f>
        <v>597.472</v>
      </c>
      <c r="AD35" s="264">
        <f>IF(ISNUMBER(AD11),"",AD108)</f>
        <v>154.579</v>
      </c>
      <c r="AE35" s="264">
        <f>IF(ISNUMBER(AE11),"",AE108)</f>
        <v>153.943</v>
      </c>
      <c r="AF35" s="264">
        <f>IF(ISNUMBER(AF11),"",AF108)</f>
        <v>146.656</v>
      </c>
      <c r="AG35" s="264">
        <f>IF(ISNUMBER(AG11),"",AG108)</f>
        <v>160.21</v>
      </c>
      <c r="AH35" s="264">
        <f>IF(ISNUMBER(AH11),"",AH108)</f>
        <v>615.388</v>
      </c>
      <c r="AI35" s="264">
        <f>IF(ISNUMBER(AI11),"",AI108)</f>
        <v>163.897</v>
      </c>
      <c r="AJ35" s="264">
        <f>IF(ISNUMBER(AJ11),"",AJ108)</f>
        <v>164.317</v>
      </c>
      <c r="AK35" s="264">
        <f>IF(ISNUMBER(AK11),"",AK108)</f>
        <v>166.858</v>
      </c>
      <c r="AL35" s="264">
        <f>IF(ISNUMBER(AL11),"",AL108)</f>
        <v>179.877</v>
      </c>
      <c r="AM35" s="264">
        <f>IF(ISNUMBER(AM11),"",AM108)</f>
        <v>674.949</v>
      </c>
      <c r="AN35" s="264">
        <f>IF(ISNUMBER(AN11),"",AN108)</f>
        <v>175.985</v>
      </c>
      <c r="AO35" s="264">
        <f>IF(ISNUMBER(AO11),"",AO108)</f>
        <v>172.916</v>
      </c>
      <c r="AP35" s="264">
        <f>IF(ISNUMBER(AP11),"",AP108)</f>
        <v>171.453</v>
      </c>
      <c r="AQ35" s="264">
        <f>IF(ISNUMBER(AQ11),"",AQ108)</f>
        <v>182.162</v>
      </c>
      <c r="AR35" s="264">
        <f>IF(ISNUMBER(AR11),"",AR108)</f>
        <v>702.516</v>
      </c>
      <c r="AS35" s="264">
        <f>IF(ISNUMBER(AS11),"",AS108)</f>
        <v>182.69</v>
      </c>
      <c r="AT35" s="264">
        <f>IF(ISNUMBER(AT11),"",AT108)</f>
        <v>181.909</v>
      </c>
      <c r="AU35" s="264">
        <f>IF(ISNUMBER(AU11),"",AU108)</f>
        <v>177.019</v>
      </c>
      <c r="AV35" s="264">
        <f>IF(ISNUMBER(AV11),"",AV108)</f>
        <v>185.843</v>
      </c>
      <c r="AW35" s="264">
        <f>IF(ISNUMBER(AW11),"",AW108)</f>
        <v>727.461</v>
      </c>
      <c r="AX35" s="264">
        <f>IF(ISNUMBER(AX11),"",AX108)</f>
        <v>156.493</v>
      </c>
      <c r="AY35" s="264">
        <f>IF(ISNUMBER(AY11),"",AY108)</f>
        <v>146.335</v>
      </c>
      <c r="AZ35" s="264">
        <f>IF(ISNUMBER(AZ11),"",AZ108)</f>
      </c>
      <c r="BA35" s="264">
        <f>IF(ISNUMBER(BA11),"",BA108)</f>
      </c>
      <c r="BB35" s="264">
        <f>IF(ISNUMBER(BB11),"",BB108)</f>
      </c>
      <c r="BC35" s="264">
        <f>IF(ISNUMBER(BC11),"",BC108)</f>
      </c>
      <c r="BD35" s="264">
        <f>IF(ISNUMBER(BD11),"",BD108)</f>
      </c>
      <c r="BE35" s="264">
        <f>IF(ISNUMBER(BE11),"",BE108)</f>
      </c>
      <c r="BF35" s="264">
        <f>IF(ISNUMBER(BF11),"",BF108)</f>
      </c>
      <c r="BG35" s="264">
        <f>IF(ISNUMBER(BG11),"",BG108)</f>
      </c>
      <c r="BH35" s="264">
        <f>IF(ISNUMBER(BH11),"",BH108)</f>
      </c>
      <c r="BI35" s="264">
        <f>IF(ISNUMBER(BI11),"",BI108)</f>
      </c>
      <c r="BJ35" s="264">
        <f>IF(ISNUMBER(BJ11),"",BJ108)</f>
      </c>
      <c r="BK35" s="264">
        <f>IF(ISNUMBER(BK11),"",BK108)</f>
      </c>
      <c r="BL35" s="264">
        <f>IF(ISNUMBER(BL11),"",BL108)</f>
      </c>
      <c r="BM35" s="264">
        <f>IF(ISNUMBER(BM11),"",BM108)</f>
      </c>
      <c r="BN35" s="264">
        <f>IF(ISNUMBER(BN11),"",BN108)</f>
      </c>
      <c r="BO35" s="264">
        <f>IF(ISNUMBER(BO11),"",BO108)</f>
      </c>
      <c r="BP35" s="264">
        <f>IF(ISNUMBER(BP11),"",BP108)</f>
      </c>
      <c r="BQ35" s="264">
        <f>IF(ISNUMBER(BQ11),"",BQ108)</f>
      </c>
      <c r="BR35" s="264">
        <f>IF(ISNUMBER(BR11),"",BR108)</f>
      </c>
      <c r="BS35" s="264">
        <f>IF(ISNUMBER(BS11),"",BS108)</f>
      </c>
      <c r="BT35" s="264">
        <f>IF(ISNUMBER(BT11),"",BT108)</f>
      </c>
      <c r="BU35" s="264">
        <f>IF(ISNUMBER(BU11),"",BU108)</f>
      </c>
      <c r="BV35" s="264">
        <f>IF(ISNUMBER(BV11),"",BV108)</f>
      </c>
      <c r="BW35" s="264">
        <f>IF(ISNUMBER(BW11),"",BW108)</f>
      </c>
      <c r="BX35" s="264">
        <f>IF(ISNUMBER(BX11),"",BX108)</f>
      </c>
      <c r="BY35" s="264">
        <f>IF(ISNUMBER(BY11),"",BY108)</f>
      </c>
      <c r="BZ35" s="264">
        <f>IF(ISNUMBER(BZ11),"",BZ108)</f>
      </c>
      <c r="CA35" s="264">
        <f>IF(ISNUMBER(CA11),"",CA108)</f>
      </c>
      <c r="CB35" s="264">
        <f>IF(ISNUMBER(CB11),"",CB108)</f>
      </c>
      <c r="CC35" s="153" t="n"/>
      <c r="CD35" s="153" t="n"/>
      <c r="CE35" s="153" t="n"/>
      <c r="CF35" s="153" t="n"/>
      <c r="CG35" s="153" t="n"/>
      <c r="CH35" s="153" t="n"/>
      <c r="CI35" s="153" t="n"/>
      <c r="CJ35" s="153" t="n"/>
      <c r="CK35" s="153" t="n"/>
      <c r="CL35" s="153" t="inlineStr">
        <is>
          <t>Aerospace &amp; Defense / Industrial were introduced after the Dodge acquisition; earlier periods were never re-presented (legacy segments below).</t>
        </is>
      </c>
      <c r="CT35" s="25" t="inlineStr">
        <is>
          <t xml:space="preserve">  2030E</t>
        </is>
      </c>
      <c r="CU35" s="33">
        <f>CV35+$CU$32</f>
        <v>0.07</v>
      </c>
      <c r="CV35" s="42" t="n">
        <v>0.05</v>
      </c>
      <c r="CW35" s="33">
        <f>CV35+$CW$32</f>
        <v>-0.01</v>
      </c>
    </row>
    <row r="36" ht="15" customHeight="1" s="251">
      <c r="B36" s="156" t="inlineStr">
        <is>
          <t xml:space="preserve">  Memo: corporate operating loss as reported (segment note)</t>
        </is>
      </c>
      <c r="C36" s="34" t="n"/>
      <c r="D36" s="34" t="n"/>
      <c r="E36" s="34" t="n"/>
      <c r="F36" s="34" t="n"/>
      <c r="G36" s="34" t="n"/>
      <c r="H36" s="34" t="n"/>
      <c r="I36" s="34" t="n"/>
      <c r="J36" s="34" t="n"/>
      <c r="K36" s="34" t="n"/>
      <c r="L36" s="34" t="n"/>
      <c r="M36" s="34" t="n"/>
      <c r="N36" s="34" t="n"/>
      <c r="O36" s="34" t="n"/>
      <c r="P36" s="34" t="n"/>
      <c r="Q36" s="34" t="n"/>
      <c r="R36" s="34" t="n"/>
      <c r="S36" s="34" t="n"/>
      <c r="T36" s="34" t="n"/>
      <c r="U36" s="34" t="n"/>
      <c r="V36" s="34" t="n"/>
      <c r="W36" s="34" t="n"/>
      <c r="X36" s="34" t="n"/>
      <c r="Y36" s="34" t="n"/>
      <c r="Z36" s="34" t="n"/>
      <c r="AA36" s="34" t="n"/>
      <c r="AB36" s="34" t="n"/>
      <c r="AC36" s="34" t="n"/>
      <c r="AD36" s="34" t="n"/>
      <c r="AE36" s="34" t="n"/>
      <c r="AF36" s="34" t="n"/>
      <c r="AG36" s="34" t="n"/>
      <c r="AH36" s="34" t="n"/>
      <c r="AI36" s="34" t="n"/>
      <c r="AJ36" s="34" t="n"/>
      <c r="AK36" s="34" t="n"/>
      <c r="AL36" s="34" t="n"/>
      <c r="AM36" s="34" t="n"/>
      <c r="AN36" s="34" t="n"/>
      <c r="AO36" s="34" t="n"/>
      <c r="AP36" s="34" t="n"/>
      <c r="AQ36" s="34" t="n"/>
      <c r="AR36" s="34" t="n"/>
      <c r="AS36" s="34" t="n"/>
      <c r="AT36" s="34" t="n"/>
      <c r="AU36" s="34" t="n"/>
      <c r="AV36" s="34" t="n"/>
      <c r="AW36" s="34" t="n"/>
      <c r="AX36" s="34" t="n"/>
      <c r="AY36" s="34" t="n"/>
      <c r="AZ36" s="34" t="n"/>
      <c r="BA36" s="259" t="n">
        <v>-16.68</v>
      </c>
      <c r="BB36" s="259" t="n">
        <v>-63.855</v>
      </c>
      <c r="BC36" s="34" t="n"/>
      <c r="BD36" s="34" t="n"/>
      <c r="BE36" s="259" t="n">
        <v>-37.369</v>
      </c>
      <c r="BF36" s="259" t="n">
        <v>-20.447</v>
      </c>
      <c r="BG36" s="259" t="n">
        <v>-95.273</v>
      </c>
      <c r="BH36" s="259" t="n">
        <v>-18.329</v>
      </c>
      <c r="BI36" s="259" t="n">
        <v>-19.513</v>
      </c>
      <c r="BJ36" s="259" t="n">
        <v>-20.944</v>
      </c>
      <c r="BK36" s="259" t="n">
        <v>-17.414</v>
      </c>
      <c r="BL36" s="259" t="n">
        <v>-76.2</v>
      </c>
      <c r="BM36" s="259" t="n">
        <v>-22.9</v>
      </c>
      <c r="BN36" s="259" t="n">
        <v>-21.4</v>
      </c>
      <c r="BO36" s="259" t="n">
        <v>-22.7</v>
      </c>
      <c r="BP36" s="259" t="n">
        <v>-25.1</v>
      </c>
      <c r="BQ36" s="259" t="n">
        <v>-92.09999999999999</v>
      </c>
      <c r="BR36" s="259" t="n">
        <v>-25.6</v>
      </c>
      <c r="BS36" s="259" t="n">
        <v>-28.7</v>
      </c>
      <c r="BT36" s="259" t="n">
        <v>-29.4</v>
      </c>
      <c r="BU36" s="34" t="n"/>
      <c r="BV36" s="34" t="n"/>
      <c r="BW36" s="34" t="n"/>
      <c r="BX36" s="34" t="n"/>
      <c r="BY36" s="34" t="n"/>
      <c r="BZ36" s="34" t="n"/>
      <c r="CA36" s="34" t="n"/>
      <c r="CB36" s="34" t="n"/>
      <c r="CC36" s="153" t="n"/>
      <c r="CD36" s="153" t="n"/>
      <c r="CE36" s="153" t="n"/>
      <c r="CF36" s="153" t="n"/>
      <c r="CG36" s="153" t="n"/>
      <c r="CH36" s="153" t="n"/>
      <c r="CI36" s="153" t="n"/>
      <c r="CJ36" s="153" t="n"/>
      <c r="CK36" s="153" t="n"/>
      <c r="CL36" s="153" t="n"/>
      <c r="CT36" s="25" t="inlineStr">
        <is>
          <t xml:space="preserve">  2031E</t>
        </is>
      </c>
      <c r="CU36" s="33">
        <f>CV36+$CU$32</f>
        <v>0.07</v>
      </c>
      <c r="CV36" s="42" t="n">
        <v>0.05</v>
      </c>
      <c r="CW36" s="33">
        <f>CV36+$CW$32</f>
        <v>-0.01</v>
      </c>
    </row>
    <row r="37" ht="15" customHeight="1" s="251">
      <c r="B37" s="57" t="inlineStr">
        <is>
          <t xml:space="preserve">  Check: segment operating income + corporate vs operating income (should be 0)</t>
        </is>
      </c>
      <c r="C37" s="264">
        <f>IF(ISNUMBER(C20),IF(ABS(C20+C32+N(C36)-C116)&lt;=0.15,0,ROUND(C20+C32+N(C36)-C116,1)),"")</f>
      </c>
      <c r="D37" s="264">
        <f>IF(ISNUMBER(D20),IF(ABS(D20+D32+N(D36)-D116)&lt;=0.15,0,ROUND(D20+D32+N(D36)-D116,1)),"")</f>
      </c>
      <c r="E37" s="264">
        <f>IF(ISNUMBER(E20),IF(ABS(E20+E32+N(E36)-E116)&lt;=0.15,0,ROUND(E20+E32+N(E36)-E116,1)),"")</f>
      </c>
      <c r="F37" s="264">
        <f>IF(ISNUMBER(F20),IF(ABS(F20+F32+N(F36)-F116)&lt;=0.15,0,ROUND(F20+F32+N(F36)-F116,1)),"")</f>
      </c>
      <c r="G37" s="264">
        <f>IF(ISNUMBER(G20),IF(ABS(G20+G32+N(G36)-G116)&lt;=0.15,0,ROUND(G20+G32+N(G36)-G116,1)),"")</f>
      </c>
      <c r="H37" s="264">
        <f>IF(ISNUMBER(H20),IF(ABS(H20+H32+N(H36)-H116)&lt;=0.15,0,ROUND(H20+H32+N(H36)-H116,1)),"")</f>
      </c>
      <c r="I37" s="264">
        <f>IF(ISNUMBER(I20),IF(ABS(I20+I32+N(I36)-I116)&lt;=0.15,0,ROUND(I20+I32+N(I36)-I116,1)),"")</f>
      </c>
      <c r="J37" s="264">
        <f>IF(ISNUMBER(J20),IF(ABS(J20+J32+N(J36)-J116)&lt;=0.15,0,ROUND(J20+J32+N(J36)-J116,1)),"")</f>
      </c>
      <c r="K37" s="264">
        <f>IF(ISNUMBER(K20),IF(ABS(K20+K32+N(K36)-K116)&lt;=0.15,0,ROUND(K20+K32+N(K36)-K116,1)),"")</f>
      </c>
      <c r="L37" s="264">
        <f>IF(ISNUMBER(L20),IF(ABS(L20+L32+N(L36)-L116)&lt;=0.15,0,ROUND(L20+L32+N(L36)-L116,1)),"")</f>
      </c>
      <c r="M37" s="264">
        <f>IF(ISNUMBER(M20),IF(ABS(M20+M32+N(M36)-M116)&lt;=0.15,0,ROUND(M20+M32+N(M36)-M116,1)),"")</f>
      </c>
      <c r="N37" s="264">
        <f>IF(ISNUMBER(N20),IF(ABS(N20+N32+N(N36)-N116)&lt;=0.15,0,ROUND(N20+N32+N(N36)-N116,1)),"")</f>
      </c>
      <c r="O37" s="264">
        <f>IF(ISNUMBER(O20),IF(ABS(O20+O32+N(O36)-O116)&lt;=0.15,0,ROUND(O20+O32+N(O36)-O116,1)),"")</f>
      </c>
      <c r="P37" s="264">
        <f>IF(ISNUMBER(P20),IF(ABS(P20+P32+N(P36)-P116)&lt;=0.15,0,ROUND(P20+P32+N(P36)-P116,1)),"")</f>
      </c>
      <c r="Q37" s="264">
        <f>IF(ISNUMBER(Q20),IF(ABS(Q20+Q32+N(Q36)-Q116)&lt;=0.15,0,ROUND(Q20+Q32+N(Q36)-Q116,1)),"")</f>
      </c>
      <c r="R37" s="264">
        <f>IF(ISNUMBER(R20),IF(ABS(R20+R32+N(R36)-R116)&lt;=0.15,0,ROUND(R20+R32+N(R36)-R116,1)),"")</f>
      </c>
      <c r="S37" s="264">
        <f>IF(ISNUMBER(S20),IF(ABS(S20+S32+N(S36)-S116)&lt;=0.15,0,ROUND(S20+S32+N(S36)-S116,1)),"")</f>
      </c>
      <c r="T37" s="264">
        <f>IF(ISNUMBER(T20),IF(ABS(T20+T32+N(T36)-T116)&lt;=0.15,0,ROUND(T20+T32+N(T36)-T116,1)),"")</f>
      </c>
      <c r="U37" s="264">
        <f>IF(ISNUMBER(U20),IF(ABS(U20+U32+N(U36)-U116)&lt;=0.15,0,ROUND(U20+U32+N(U36)-U116,1)),"")</f>
      </c>
      <c r="V37" s="264">
        <f>IF(ISNUMBER(V20),IF(ABS(V20+V32+N(V36)-V116)&lt;=0.15,0,ROUND(V20+V32+N(V36)-V116,1)),"")</f>
      </c>
      <c r="W37" s="264">
        <f>IF(ISNUMBER(W20),IF(ABS(W20+W32+N(W36)-W116)&lt;=0.15,0,ROUND(W20+W32+N(W36)-W116,1)),"")</f>
      </c>
      <c r="X37" s="264">
        <f>IF(ISNUMBER(X20),IF(ABS(X20+X32+N(X36)-X116)&lt;=0.15,0,ROUND(X20+X32+N(X36)-X116,1)),"")</f>
      </c>
      <c r="Y37" s="264">
        <f>IF(ISNUMBER(Y20),IF(ABS(Y20+Y32+N(Y36)-Y116)&lt;=0.15,0,ROUND(Y20+Y32+N(Y36)-Y116,1)),"")</f>
      </c>
      <c r="Z37" s="264">
        <f>IF(ISNUMBER(Z20),IF(ABS(Z20+Z32+N(Z36)-Z116)&lt;=0.15,0,ROUND(Z20+Z32+N(Z36)-Z116,1)),"")</f>
      </c>
      <c r="AA37" s="264">
        <f>IF(ISNUMBER(AA20),IF(ABS(AA20+AA32+N(AA36)-AA116)&lt;=0.15,0,ROUND(AA20+AA32+N(AA36)-AA116,1)),"")</f>
      </c>
      <c r="AB37" s="264">
        <f>IF(ISNUMBER(AB20),IF(ABS(AB20+AB32+N(AB36)-AB116)&lt;=0.15,0,ROUND(AB20+AB32+N(AB36)-AB116,1)),"")</f>
      </c>
      <c r="AC37" s="264">
        <f>IF(ISNUMBER(AC20),IF(ABS(AC20+AC32+N(AC36)-AC116)&lt;=0.15,0,ROUND(AC20+AC32+N(AC36)-AC116,1)),"")</f>
      </c>
      <c r="AD37" s="264">
        <f>IF(ISNUMBER(AD20),IF(ABS(AD20+AD32+N(AD36)-AD116)&lt;=0.15,0,ROUND(AD20+AD32+N(AD36)-AD116,1)),"")</f>
      </c>
      <c r="AE37" s="264">
        <f>IF(ISNUMBER(AE20),IF(ABS(AE20+AE32+N(AE36)-AE116)&lt;=0.15,0,ROUND(AE20+AE32+N(AE36)-AE116,1)),"")</f>
      </c>
      <c r="AF37" s="264">
        <f>IF(ISNUMBER(AF20),IF(ABS(AF20+AF32+N(AF36)-AF116)&lt;=0.15,0,ROUND(AF20+AF32+N(AF36)-AF116,1)),"")</f>
      </c>
      <c r="AG37" s="264">
        <f>IF(ISNUMBER(AG20),IF(ABS(AG20+AG32+N(AG36)-AG116)&lt;=0.15,0,ROUND(AG20+AG32+N(AG36)-AG116,1)),"")</f>
      </c>
      <c r="AH37" s="264">
        <f>IF(ISNUMBER(AH20),IF(ABS(AH20+AH32+N(AH36)-AH116)&lt;=0.15,0,ROUND(AH20+AH32+N(AH36)-AH116,1)),"")</f>
      </c>
      <c r="AI37" s="264">
        <f>IF(ISNUMBER(AI20),IF(ABS(AI20+AI32+N(AI36)-AI116)&lt;=0.15,0,ROUND(AI20+AI32+N(AI36)-AI116,1)),"")</f>
      </c>
      <c r="AJ37" s="264">
        <f>IF(ISNUMBER(AJ20),IF(ABS(AJ20+AJ32+N(AJ36)-AJ116)&lt;=0.15,0,ROUND(AJ20+AJ32+N(AJ36)-AJ116,1)),"")</f>
      </c>
      <c r="AK37" s="264">
        <f>IF(ISNUMBER(AK20),IF(ABS(AK20+AK32+N(AK36)-AK116)&lt;=0.15,0,ROUND(AK20+AK32+N(AK36)-AK116,1)),"")</f>
      </c>
      <c r="AL37" s="264">
        <f>IF(ISNUMBER(AL20),IF(ABS(AL20+AL32+N(AL36)-AL116)&lt;=0.15,0,ROUND(AL20+AL32+N(AL36)-AL116,1)),"")</f>
      </c>
      <c r="AM37" s="264">
        <f>IF(ISNUMBER(AM20),IF(ABS(AM20+AM32+N(AM36)-AM116)&lt;=0.15,0,ROUND(AM20+AM32+N(AM36)-AM116,1)),"")</f>
      </c>
      <c r="AN37" s="264">
        <f>IF(ISNUMBER(AN20),IF(ABS(AN20+AN32+N(AN36)-AN116)&lt;=0.15,0,ROUND(AN20+AN32+N(AN36)-AN116,1)),"")</f>
      </c>
      <c r="AO37" s="264">
        <f>IF(ISNUMBER(AO20),IF(ABS(AO20+AO32+N(AO36)-AO116)&lt;=0.15,0,ROUND(AO20+AO32+N(AO36)-AO116,1)),"")</f>
      </c>
      <c r="AP37" s="264">
        <f>IF(ISNUMBER(AP20),IF(ABS(AP20+AP32+N(AP36)-AP116)&lt;=0.15,0,ROUND(AP20+AP32+N(AP36)-AP116,1)),"")</f>
      </c>
      <c r="AQ37" s="264">
        <f>IF(ISNUMBER(AQ20),IF(ABS(AQ20+AQ32+N(AQ36)-AQ116)&lt;=0.15,0,ROUND(AQ20+AQ32+N(AQ36)-AQ116,1)),"")</f>
      </c>
      <c r="AR37" s="264">
        <f>IF(ISNUMBER(AR20),IF(ABS(AR20+AR32+N(AR36)-AR116)&lt;=0.15,0,ROUND(AR20+AR32+N(AR36)-AR116,1)),"")</f>
      </c>
      <c r="AS37" s="264">
        <f>IF(ISNUMBER(AS20),IF(ABS(AS20+AS32+N(AS36)-AS116)&lt;=0.15,0,ROUND(AS20+AS32+N(AS36)-AS116,1)),"")</f>
      </c>
      <c r="AT37" s="264">
        <f>IF(ISNUMBER(AT20),IF(ABS(AT20+AT32+N(AT36)-AT116)&lt;=0.15,0,ROUND(AT20+AT32+N(AT36)-AT116,1)),"")</f>
      </c>
      <c r="AU37" s="264">
        <f>IF(ISNUMBER(AU20),IF(ABS(AU20+AU32+N(AU36)-AU116)&lt;=0.15,0,ROUND(AU20+AU32+N(AU36)-AU116,1)),"")</f>
      </c>
      <c r="AV37" s="264">
        <f>IF(ISNUMBER(AV20),IF(ABS(AV20+AV32+N(AV36)-AV116)&lt;=0.15,0,ROUND(AV20+AV32+N(AV36)-AV116,1)),"")</f>
      </c>
      <c r="AW37" s="264">
        <f>IF(ISNUMBER(AW20),IF(ABS(AW20+AW32+N(AW36)-AW116)&lt;=0.15,0,ROUND(AW20+AW32+N(AW36)-AW116,1)),"")</f>
      </c>
      <c r="AX37" s="264">
        <f>IF(ISNUMBER(AX20),IF(ABS(AX20+AX32+N(AX36)-AX116)&lt;=0.15,0,ROUND(AX20+AX32+N(AX36)-AX116,1)),"")</f>
      </c>
      <c r="AY37" s="264">
        <f>IF(ISNUMBER(AY20),IF(ABS(AY20+AY32+N(AY36)-AY116)&lt;=0.15,0,ROUND(AY20+AY32+N(AY36)-AY116,1)),"")</f>
      </c>
      <c r="AZ37" s="264">
        <f>IF(ISNUMBER(AZ20),IF(ABS(AZ20+AZ32+N(AZ36)-AZ116)&lt;=0.15,0,ROUND(AZ20+AZ32+N(AZ36)-AZ116,1)),"")</f>
      </c>
      <c r="BA37" s="264">
        <f>IF(ISNUMBER(BA20),IF(ABS(BA20+BA32+N(BA36)-BA116)&lt;=0.15,0,ROUND(BA20+BA32+N(BA36)-BA116,1)),"")</f>
        <v>0</v>
      </c>
      <c r="BB37" s="264">
        <f>IF(ISNUMBER(BB20),IF(ABS(BB20+BB32+N(BB36)-BB116)&lt;=0.15,0,ROUND(BB20+BB32+N(BB36)-BB116,1)),"")</f>
        <v>0</v>
      </c>
      <c r="BC37" s="264">
        <f>IF(ISNUMBER(BC20),IF(ABS(BC20+BC32+N(BC36)-BC116)&lt;=0.15,0,ROUND(BC20+BC32+N(BC36)-BC116,1)),"")</f>
      </c>
      <c r="BD37" s="264">
        <f>IF(ISNUMBER(BD20),IF(ABS(BD20+BD32+N(BD36)-BD116)&lt;=0.15,0,ROUND(BD20+BD32+N(BD36)-BD116,1)),"")</f>
      </c>
      <c r="BE37" s="264">
        <f>IF(ISNUMBER(BE20),IF(ABS(BE20+BE32+N(BE36)-BE116)&lt;=0.15,0,ROUND(BE20+BE32+N(BE36)-BE116,1)),"")</f>
        <v>0</v>
      </c>
      <c r="BF37" s="264">
        <f>IF(ISNUMBER(BF20),IF(ABS(BF20+BF32+N(BF36)-BF116)&lt;=0.15,0,ROUND(BF20+BF32+N(BF36)-BF116,1)),"")</f>
        <v>0</v>
      </c>
      <c r="BG37" s="264">
        <f>IF(ISNUMBER(BG20),IF(ABS(BG20+BG32+N(BG36)-BG116)&lt;=0.15,0,ROUND(BG20+BG32+N(BG36)-BG116,1)),"")</f>
        <v>0</v>
      </c>
      <c r="BH37" s="264">
        <f>IF(ISNUMBER(BH20),IF(ABS(BH20+BH32+N(BH36)-BH116)&lt;=0.15,0,ROUND(BH20+BH32+N(BH36)-BH116,1)),"")</f>
        <v>0</v>
      </c>
      <c r="BI37" s="264">
        <f>IF(ISNUMBER(BI20),IF(ABS(BI20+BI32+N(BI36)-BI116)&lt;=0.15,0,ROUND(BI20+BI32+N(BI36)-BI116,1)),"")</f>
        <v>0</v>
      </c>
      <c r="BJ37" s="264">
        <f>IF(ISNUMBER(BJ20),IF(ABS(BJ20+BJ32+N(BJ36)-BJ116)&lt;=0.15,0,ROUND(BJ20+BJ32+N(BJ36)-BJ116,1)),"")</f>
        <v>0</v>
      </c>
      <c r="BK37" s="264">
        <f>IF(ISNUMBER(BK20),IF(ABS(BK20+BK32+N(BK36)-BK116)&lt;=0.15,0,ROUND(BK20+BK32+N(BK36)-BK116,1)),"")</f>
        <v>0</v>
      </c>
      <c r="BL37" s="264">
        <f>IF(ISNUMBER(BL20),IF(ABS(BL20+BL32+N(BL36)-BL116)&lt;=0.15,0,ROUND(BL20+BL32+N(BL36)-BL116,1)),"")</f>
        <v>0</v>
      </c>
      <c r="BM37" s="264">
        <f>IF(ISNUMBER(BM20),IF(ABS(BM20+BM32+N(BM36)-BM116)&lt;=0.15,0,ROUND(BM20+BM32+N(BM36)-BM116,1)),"")</f>
        <v>0</v>
      </c>
      <c r="BN37" s="264">
        <f>IF(ISNUMBER(BN20),IF(ABS(BN20+BN32+N(BN36)-BN116)&lt;=0.15,0,ROUND(BN20+BN32+N(BN36)-BN116,1)),"")</f>
        <v>0</v>
      </c>
      <c r="BO37" s="264">
        <f>IF(ISNUMBER(BO20),IF(ABS(BO20+BO32+N(BO36)-BO116)&lt;=0.15,0,ROUND(BO20+BO32+N(BO36)-BO116,1)),"")</f>
        <v>0</v>
      </c>
      <c r="BP37" s="264">
        <f>IF(ISNUMBER(BP20),IF(ABS(BP20+BP32+N(BP36)-BP116)&lt;=0.15,0,ROUND(BP20+BP32+N(BP36)-BP116,1)),"")</f>
        <v>0</v>
      </c>
      <c r="BQ37" s="264">
        <f>IF(ISNUMBER(BQ20),IF(ABS(BQ20+BQ32+N(BQ36)-BQ116)&lt;=0.15,0,ROUND(BQ20+BQ32+N(BQ36)-BQ116,1)),"")</f>
        <v>0</v>
      </c>
      <c r="BR37" s="264">
        <f>IF(ISNUMBER(BR20),IF(ABS(BR20+BR32+N(BR36)-BR116)&lt;=0.15,0,ROUND(BR20+BR32+N(BR36)-BR116,1)),"")</f>
        <v>0</v>
      </c>
      <c r="BS37" s="264">
        <f>IF(ISNUMBER(BS20),IF(ABS(BS20+BS32+N(BS36)-BS116)&lt;=0.15,0,ROUND(BS20+BS32+N(BS36)-BS116,1)),"")</f>
        <v>0</v>
      </c>
      <c r="BT37" s="264">
        <f>IF(ISNUMBER(BT20),IF(ABS(BT20+BT32+N(BT36)-BT116)&lt;=0.15,0,ROUND(BT20+BT32+N(BT36)-BT116,1)),"")</f>
        <v>0</v>
      </c>
      <c r="BU37" s="264">
        <f>IF(ISNUMBER(BU20),IF(ABS(BU20+BU32+N(BU36)-BU116)&lt;=0.15,0,ROUND(BU20+BU32+N(BU36)-BU116,1)),"")</f>
      </c>
      <c r="BV37" s="264">
        <f>IF(ISNUMBER(BV20),IF(ABS(BV20+BV32+N(BV36)-BV116)&lt;=0.15,0,ROUND(BV20+BV32+N(BV36)-BV116,1)),"")</f>
      </c>
      <c r="BW37" s="264">
        <f>IF(ISNUMBER(BW20),IF(ABS(BW20+BW32+N(BW36)-BW116)&lt;=0.15,0,ROUND(BW20+BW32+N(BW36)-BW116,1)),"")</f>
      </c>
      <c r="BX37" s="264">
        <f>IF(ISNUMBER(BX20),IF(ABS(BX20+BX32+N(BX36)-BX116)&lt;=0.15,0,ROUND(BX20+BX32+N(BX36)-BX116,1)),"")</f>
      </c>
      <c r="BY37" s="264">
        <f>IF(ISNUMBER(BY20),IF(ABS(BY20+BY32+N(BY36)-BY116)&lt;=0.15,0,ROUND(BY20+BY32+N(BY36)-BY116,1)),"")</f>
      </c>
      <c r="BZ37" s="264">
        <f>IF(ISNUMBER(BZ20),IF(ABS(BZ20+BZ32+N(BZ36)-BZ116)&lt;=0.15,0,ROUND(BZ20+BZ32+N(BZ36)-BZ116,1)),"")</f>
      </c>
      <c r="CA37" s="264">
        <f>IF(ISNUMBER(CA20),IF(ABS(CA20+CA32+N(CA36)-CA116)&lt;=0.15,0,ROUND(CA20+CA32+N(CA36)-CA116,1)),"")</f>
      </c>
      <c r="CB37" s="264">
        <f>IF(ISNUMBER(CB20),IF(ABS(CB20+CB32+N(CB36)-CB116)&lt;=0.15,0,ROUND(CB20+CB32+N(CB36)-CB116,1)),"")</f>
      </c>
      <c r="CC37" s="153" t="n"/>
      <c r="CD37" s="153" t="n"/>
      <c r="CE37" s="153" t="n"/>
      <c r="CF37" s="153" t="n"/>
      <c r="CG37" s="153" t="n"/>
      <c r="CH37" s="153" t="n"/>
      <c r="CI37" s="153" t="n"/>
      <c r="CJ37" s="153" t="n"/>
      <c r="CK37" s="153" t="n"/>
      <c r="CL37" s="153" t="n"/>
      <c r="CT37" s="25" t="inlineStr">
        <is>
          <t xml:space="preserve">  2032E</t>
        </is>
      </c>
      <c r="CU37" s="33">
        <f>CV37+$CU$32</f>
        <v>0.065</v>
      </c>
      <c r="CV37" s="42" t="n">
        <v>0.045</v>
      </c>
      <c r="CW37" s="33">
        <f>CV37+$CW$32</f>
        <v>-0.015</v>
      </c>
    </row>
    <row r="38" ht="15" customHeight="1" s="251">
      <c r="B38" s="25" t="inlineStr">
        <is>
          <t>Legacy segments (net external sales as originally reported, FY2006–Q2 FY22):</t>
        </is>
      </c>
      <c r="CL38" s="153" t="n"/>
      <c r="CT38" s="15" t="inlineStr">
        <is>
          <t>AERO_M (Aerospace &amp; Defense segment gross margin %)</t>
        </is>
      </c>
      <c r="CU38" s="41" t="n">
        <v>0.01</v>
      </c>
      <c r="CV38" s="21" t="inlineStr">
        <is>
          <t>Δ →</t>
        </is>
      </c>
      <c r="CW38" s="41" t="n">
        <v>-0.025</v>
      </c>
      <c r="CX38" s="13" t="inlineStr">
        <is>
          <t>Q1 FY27 44.5%; FY2026 40.7% (VACCO integration), FY2023 39.7%; volume leverage and VACCO margin improvement.</t>
        </is>
      </c>
    </row>
    <row r="39" ht="15" customHeight="1" s="251">
      <c r="B39" s="156" t="inlineStr">
        <is>
          <t xml:space="preserve">    Plain bearings</t>
        </is>
      </c>
      <c r="C39" s="259" t="n">
        <v>115.091</v>
      </c>
      <c r="D39" s="259" t="n">
        <v>143.907</v>
      </c>
      <c r="E39" s="259" t="n">
        <v>154.535</v>
      </c>
      <c r="F39" s="259" t="n">
        <v>166.658</v>
      </c>
      <c r="G39" s="259" t="n">
        <v>134.303</v>
      </c>
      <c r="H39" s="259" t="n">
        <v>168.777</v>
      </c>
      <c r="I39" s="259" t="n">
        <v>200.141</v>
      </c>
      <c r="J39" s="259" t="n">
        <v>55.397</v>
      </c>
      <c r="K39" s="259" t="n">
        <v>53.272</v>
      </c>
      <c r="L39" s="259" t="n">
        <v>51.497</v>
      </c>
      <c r="M39" s="259" t="n">
        <v>55.797</v>
      </c>
      <c r="N39" s="259" t="n">
        <v>215.963</v>
      </c>
      <c r="O39" s="259" t="n">
        <v>57.09</v>
      </c>
      <c r="P39" s="259" t="n">
        <v>52.828</v>
      </c>
      <c r="Q39" s="259" t="n">
        <v>52.991</v>
      </c>
      <c r="R39" s="259" t="n">
        <v>60.19</v>
      </c>
      <c r="S39" s="259" t="n">
        <v>223.099</v>
      </c>
      <c r="T39" s="259" t="n">
        <v>59.873</v>
      </c>
      <c r="U39" s="259" t="n">
        <v>57.458</v>
      </c>
      <c r="V39" s="259" t="n">
        <v>53.77</v>
      </c>
      <c r="W39" s="259" t="n">
        <v>59.067</v>
      </c>
      <c r="X39" s="259" t="n">
        <v>230.168</v>
      </c>
      <c r="Y39" s="259" t="n">
        <v>65.67700000000001</v>
      </c>
      <c r="Z39" s="259" t="n">
        <v>67.607</v>
      </c>
      <c r="AA39" s="259" t="n">
        <v>64.17100000000001</v>
      </c>
      <c r="AB39" s="259" t="n">
        <v>73.07899999999999</v>
      </c>
      <c r="AC39" s="259" t="n">
        <v>270.534</v>
      </c>
      <c r="AD39" s="259" t="n">
        <v>70.45</v>
      </c>
      <c r="AE39" s="259" t="n">
        <v>68.83499999999999</v>
      </c>
      <c r="AF39" s="259" t="n">
        <v>65.822</v>
      </c>
      <c r="AG39" s="259" t="n">
        <v>72.593</v>
      </c>
      <c r="AH39" s="259" t="n">
        <v>277.7</v>
      </c>
      <c r="AI39" s="259" t="n">
        <v>72.65300000000001</v>
      </c>
      <c r="AJ39" s="259" t="n">
        <v>72.392</v>
      </c>
      <c r="AK39" s="259" t="n">
        <v>69.764</v>
      </c>
      <c r="AL39" s="259" t="n">
        <v>81.899</v>
      </c>
      <c r="AM39" s="259" t="n">
        <v>296.708</v>
      </c>
      <c r="AN39" s="259" t="n">
        <v>78.52500000000001</v>
      </c>
      <c r="AO39" s="259" t="n">
        <v>77.48</v>
      </c>
      <c r="AP39" s="259" t="n">
        <v>79.306</v>
      </c>
      <c r="AQ39" s="259" t="n">
        <v>87.94</v>
      </c>
      <c r="AR39" s="259" t="n">
        <v>323.251</v>
      </c>
      <c r="AS39" s="259" t="n">
        <v>87.489</v>
      </c>
      <c r="AT39" s="259" t="n">
        <v>90.00700000000001</v>
      </c>
      <c r="AU39" s="259" t="n">
        <v>86.876</v>
      </c>
      <c r="AV39" s="259" t="n">
        <v>93.919</v>
      </c>
      <c r="AW39" s="259" t="n">
        <v>358.291</v>
      </c>
      <c r="AX39" s="259" t="n">
        <v>78.875</v>
      </c>
      <c r="AY39" s="259" t="n">
        <v>71.053</v>
      </c>
      <c r="AZ39" s="259" t="n">
        <v>69.321</v>
      </c>
      <c r="BA39" s="259" t="n">
        <v>74.741</v>
      </c>
      <c r="BB39" s="259" t="n">
        <v>293.99</v>
      </c>
      <c r="BC39" s="259" t="n">
        <v>73.321</v>
      </c>
      <c r="BD39" s="259" t="n">
        <v>74.07899999999999</v>
      </c>
      <c r="BE39" s="34" t="n"/>
      <c r="BF39" s="34" t="n"/>
      <c r="BG39" s="34" t="n"/>
      <c r="BH39" s="34" t="n"/>
      <c r="BI39" s="34" t="n"/>
      <c r="BJ39" s="34" t="n"/>
      <c r="BK39" s="34" t="n"/>
      <c r="BL39" s="34" t="n"/>
      <c r="BM39" s="34" t="n"/>
      <c r="BN39" s="34" t="n"/>
      <c r="BO39" s="34" t="n"/>
      <c r="BP39" s="34" t="n"/>
      <c r="BQ39" s="34" t="n"/>
      <c r="BR39" s="34" t="n"/>
      <c r="BS39" s="34" t="n"/>
      <c r="BT39" s="34" t="n"/>
      <c r="BU39" s="34" t="n"/>
      <c r="BV39" s="34" t="n"/>
      <c r="BW39" s="34" t="n"/>
      <c r="BX39" s="34" t="n"/>
      <c r="BY39" s="34" t="n"/>
      <c r="BZ39" s="34" t="n"/>
      <c r="CA39" s="34" t="n"/>
      <c r="CB39" s="34" t="n"/>
      <c r="CC39" s="153" t="n"/>
      <c r="CD39" s="153" t="n"/>
      <c r="CE39" s="153" t="n"/>
      <c r="CF39" s="153" t="n"/>
      <c r="CG39" s="153" t="n"/>
      <c r="CH39" s="153" t="n"/>
      <c r="CI39" s="153" t="n"/>
      <c r="CJ39" s="153" t="n"/>
      <c r="CK39" s="153" t="n"/>
      <c r="CL39" s="153" t="n"/>
      <c r="CT39" s="25" t="inlineStr">
        <is>
          <t xml:space="preserve">  2028E</t>
        </is>
      </c>
      <c r="CU39" s="33">
        <f>CV39+$CU$38</f>
        <v>0.45</v>
      </c>
      <c r="CV39" s="42" t="n">
        <v>0.44</v>
      </c>
      <c r="CW39" s="33">
        <f>CV39+$CW$38</f>
        <v>0.415</v>
      </c>
    </row>
    <row r="40" ht="15" customHeight="1" s="251">
      <c r="B40" s="156" t="inlineStr">
        <is>
          <t xml:space="preserve">    Roller bearings</t>
        </is>
      </c>
      <c r="C40" s="259" t="n">
        <v>96.46599999999999</v>
      </c>
      <c r="D40" s="259" t="n">
        <v>92.123</v>
      </c>
      <c r="E40" s="259" t="n">
        <v>97.01900000000001</v>
      </c>
      <c r="F40" s="259" t="n">
        <v>94.428</v>
      </c>
      <c r="G40" s="259" t="n">
        <v>73.164</v>
      </c>
      <c r="H40" s="259" t="n">
        <v>98.94199999999999</v>
      </c>
      <c r="I40" s="259" t="n">
        <v>123.803</v>
      </c>
      <c r="J40" s="259" t="n">
        <v>31.397</v>
      </c>
      <c r="K40" s="259" t="n">
        <v>30.052</v>
      </c>
      <c r="L40" s="259" t="n">
        <v>26.115</v>
      </c>
      <c r="M40" s="259" t="n">
        <v>27.457</v>
      </c>
      <c r="N40" s="259" t="n">
        <v>115.021</v>
      </c>
      <c r="O40" s="259" t="n">
        <v>28.35</v>
      </c>
      <c r="P40" s="259" t="n">
        <v>30.277</v>
      </c>
      <c r="Q40" s="259" t="n">
        <v>27.284</v>
      </c>
      <c r="R40" s="259" t="n">
        <v>29.895</v>
      </c>
      <c r="S40" s="259" t="n">
        <v>115.806</v>
      </c>
      <c r="T40" s="259" t="n">
        <v>31.765</v>
      </c>
      <c r="U40" s="259" t="n">
        <v>33.504</v>
      </c>
      <c r="V40" s="259" t="n">
        <v>31.358</v>
      </c>
      <c r="W40" s="259" t="n">
        <v>32.075</v>
      </c>
      <c r="X40" s="259" t="n">
        <v>128.702</v>
      </c>
      <c r="Y40" s="259" t="n">
        <v>30.58</v>
      </c>
      <c r="Z40" s="259" t="n">
        <v>27.151</v>
      </c>
      <c r="AA40" s="259" t="n">
        <v>26.294</v>
      </c>
      <c r="AB40" s="259" t="n">
        <v>28.014</v>
      </c>
      <c r="AC40" s="259" t="n">
        <v>112.039</v>
      </c>
      <c r="AD40" s="259" t="n">
        <v>27.834</v>
      </c>
      <c r="AE40" s="259" t="n">
        <v>26.795</v>
      </c>
      <c r="AF40" s="259" t="n">
        <v>26.157</v>
      </c>
      <c r="AG40" s="259" t="n">
        <v>28.697</v>
      </c>
      <c r="AH40" s="259" t="n">
        <v>109.483</v>
      </c>
      <c r="AI40" s="259" t="n">
        <v>31.413</v>
      </c>
      <c r="AJ40" s="259" t="n">
        <v>32.317</v>
      </c>
      <c r="AK40" s="259" t="n">
        <v>32.485</v>
      </c>
      <c r="AL40" s="259" t="n">
        <v>35.806</v>
      </c>
      <c r="AM40" s="259" t="n">
        <v>132.021</v>
      </c>
      <c r="AN40" s="259" t="n">
        <v>35.87</v>
      </c>
      <c r="AO40" s="259" t="n">
        <v>37</v>
      </c>
      <c r="AP40" s="259" t="n">
        <v>34.841</v>
      </c>
      <c r="AQ40" s="259" t="n">
        <v>36.121</v>
      </c>
      <c r="AR40" s="259" t="n">
        <v>143.832</v>
      </c>
      <c r="AS40" s="259" t="n">
        <v>36.859</v>
      </c>
      <c r="AT40" s="259" t="n">
        <v>32.585</v>
      </c>
      <c r="AU40" s="259" t="n">
        <v>31.829</v>
      </c>
      <c r="AV40" s="259" t="n">
        <v>31.369</v>
      </c>
      <c r="AW40" s="259" t="n">
        <v>132.642</v>
      </c>
      <c r="AX40" s="259" t="n">
        <v>22.9</v>
      </c>
      <c r="AY40" s="259" t="n">
        <v>21.579</v>
      </c>
      <c r="AZ40" s="259" t="n">
        <v>22.408</v>
      </c>
      <c r="BA40" s="259" t="n">
        <v>24.77</v>
      </c>
      <c r="BB40" s="259" t="n">
        <v>91.657</v>
      </c>
      <c r="BC40" s="259" t="n">
        <v>25.247</v>
      </c>
      <c r="BD40" s="259" t="n">
        <v>27.309</v>
      </c>
      <c r="BE40" s="34" t="n"/>
      <c r="BF40" s="34" t="n"/>
      <c r="BG40" s="34" t="n"/>
      <c r="BH40" s="34" t="n"/>
      <c r="BI40" s="34" t="n"/>
      <c r="BJ40" s="34" t="n"/>
      <c r="BK40" s="34" t="n"/>
      <c r="BL40" s="34" t="n"/>
      <c r="BM40" s="34" t="n"/>
      <c r="BN40" s="34" t="n"/>
      <c r="BO40" s="34" t="n"/>
      <c r="BP40" s="34" t="n"/>
      <c r="BQ40" s="34" t="n"/>
      <c r="BR40" s="34" t="n"/>
      <c r="BS40" s="34" t="n"/>
      <c r="BT40" s="34" t="n"/>
      <c r="BU40" s="34" t="n"/>
      <c r="BV40" s="34" t="n"/>
      <c r="BW40" s="34" t="n"/>
      <c r="BX40" s="34" t="n"/>
      <c r="BY40" s="34" t="n"/>
      <c r="BZ40" s="34" t="n"/>
      <c r="CA40" s="34" t="n"/>
      <c r="CB40" s="34" t="n"/>
      <c r="CC40" s="153" t="n"/>
      <c r="CD40" s="153" t="n"/>
      <c r="CE40" s="153" t="n"/>
      <c r="CF40" s="153" t="n"/>
      <c r="CG40" s="153" t="n"/>
      <c r="CH40" s="153" t="n"/>
      <c r="CI40" s="153" t="n"/>
      <c r="CJ40" s="153" t="n"/>
      <c r="CK40" s="153" t="n"/>
      <c r="CL40" s="153" t="n"/>
      <c r="CT40" s="25" t="inlineStr">
        <is>
          <t xml:space="preserve">  2029E</t>
        </is>
      </c>
      <c r="CU40" s="33">
        <f>CV40+$CU$38</f>
        <v>0.455</v>
      </c>
      <c r="CV40" s="42" t="n">
        <v>0.445</v>
      </c>
      <c r="CW40" s="33">
        <f>CV40+$CW$38</f>
        <v>0.42</v>
      </c>
    </row>
    <row r="41" ht="15" customHeight="1" s="251">
      <c r="B41" s="156" t="inlineStr">
        <is>
          <t xml:space="preserve">    Ball bearings</t>
        </is>
      </c>
      <c r="C41" s="259" t="n">
        <v>46.378</v>
      </c>
      <c r="D41" s="259" t="n">
        <v>50.466</v>
      </c>
      <c r="E41" s="259" t="n">
        <v>56.677</v>
      </c>
      <c r="F41" s="259" t="n">
        <v>63.625</v>
      </c>
      <c r="G41" s="259" t="n">
        <v>45.442</v>
      </c>
      <c r="H41" s="259" t="n">
        <v>40.637</v>
      </c>
      <c r="I41" s="259" t="n">
        <v>42.33</v>
      </c>
      <c r="J41" s="259" t="n">
        <v>9.387</v>
      </c>
      <c r="K41" s="259" t="n">
        <v>9.98</v>
      </c>
      <c r="L41" s="259" t="n">
        <v>10.779</v>
      </c>
      <c r="M41" s="259" t="n">
        <v>11.22</v>
      </c>
      <c r="N41" s="259" t="n">
        <v>41.366</v>
      </c>
      <c r="O41" s="259" t="n">
        <v>9.455</v>
      </c>
      <c r="P41" s="259" t="n">
        <v>11.2</v>
      </c>
      <c r="Q41" s="259" t="n">
        <v>13.054</v>
      </c>
      <c r="R41" s="259" t="n">
        <v>15.846</v>
      </c>
      <c r="S41" s="259" t="n">
        <v>49.555</v>
      </c>
      <c r="T41" s="259" t="n">
        <v>13.545</v>
      </c>
      <c r="U41" s="259" t="n">
        <v>14.093</v>
      </c>
      <c r="V41" s="259" t="n">
        <v>14.038</v>
      </c>
      <c r="W41" s="259" t="n">
        <v>14.788</v>
      </c>
      <c r="X41" s="259" t="n">
        <v>56.464</v>
      </c>
      <c r="Y41" s="259" t="n">
        <v>12.819</v>
      </c>
      <c r="Z41" s="259" t="n">
        <v>13.122</v>
      </c>
      <c r="AA41" s="259" t="n">
        <v>12.85</v>
      </c>
      <c r="AB41" s="259" t="n">
        <v>14.859</v>
      </c>
      <c r="AC41" s="259" t="n">
        <v>53.65</v>
      </c>
      <c r="AD41" s="259" t="n">
        <v>13.71</v>
      </c>
      <c r="AE41" s="259" t="n">
        <v>14.569</v>
      </c>
      <c r="AF41" s="259" t="n">
        <v>13.7</v>
      </c>
      <c r="AG41" s="259" t="n">
        <v>16.469</v>
      </c>
      <c r="AH41" s="259" t="n">
        <v>58.448</v>
      </c>
      <c r="AI41" s="259" t="n">
        <v>15.78</v>
      </c>
      <c r="AJ41" s="259" t="n">
        <v>16.48</v>
      </c>
      <c r="AK41" s="259" t="n">
        <v>16.496</v>
      </c>
      <c r="AL41" s="259" t="n">
        <v>19.05</v>
      </c>
      <c r="AM41" s="259" t="n">
        <v>67.806</v>
      </c>
      <c r="AN41" s="259" t="n">
        <v>18.074</v>
      </c>
      <c r="AO41" s="259" t="n">
        <v>18.038</v>
      </c>
      <c r="AP41" s="259" t="n">
        <v>16.72</v>
      </c>
      <c r="AQ41" s="259" t="n">
        <v>19.475</v>
      </c>
      <c r="AR41" s="259" t="n">
        <v>72.307</v>
      </c>
      <c r="AS41" s="259" t="n">
        <v>17.71</v>
      </c>
      <c r="AT41" s="259" t="n">
        <v>17.424</v>
      </c>
      <c r="AU41" s="259" t="n">
        <v>18.475</v>
      </c>
      <c r="AV41" s="259" t="n">
        <v>20.622</v>
      </c>
      <c r="AW41" s="259" t="n">
        <v>74.23099999999999</v>
      </c>
      <c r="AX41" s="259" t="n">
        <v>18.84</v>
      </c>
      <c r="AY41" s="259" t="n">
        <v>21.099</v>
      </c>
      <c r="AZ41" s="259" t="n">
        <v>20.675</v>
      </c>
      <c r="BA41" s="259" t="n">
        <v>23.09</v>
      </c>
      <c r="BB41" s="259" t="n">
        <v>83.70399999999999</v>
      </c>
      <c r="BC41" s="259" t="n">
        <v>23.128</v>
      </c>
      <c r="BD41" s="259" t="n">
        <v>24.431</v>
      </c>
      <c r="BE41" s="34" t="n"/>
      <c r="BF41" s="34" t="n"/>
      <c r="BG41" s="34" t="n"/>
      <c r="BH41" s="34" t="n"/>
      <c r="BI41" s="34" t="n"/>
      <c r="BJ41" s="34" t="n"/>
      <c r="BK41" s="34" t="n"/>
      <c r="BL41" s="34" t="n"/>
      <c r="BM41" s="34" t="n"/>
      <c r="BN41" s="34" t="n"/>
      <c r="BO41" s="34" t="n"/>
      <c r="BP41" s="34" t="n"/>
      <c r="BQ41" s="34" t="n"/>
      <c r="BR41" s="34" t="n"/>
      <c r="BS41" s="34" t="n"/>
      <c r="BT41" s="34" t="n"/>
      <c r="BU41" s="34" t="n"/>
      <c r="BV41" s="34" t="n"/>
      <c r="BW41" s="34" t="n"/>
      <c r="BX41" s="34" t="n"/>
      <c r="BY41" s="34" t="n"/>
      <c r="BZ41" s="34" t="n"/>
      <c r="CA41" s="34" t="n"/>
      <c r="CB41" s="34" t="n"/>
      <c r="CC41" s="153" t="n"/>
      <c r="CD41" s="153" t="n"/>
      <c r="CE41" s="153" t="n"/>
      <c r="CF41" s="153" t="n"/>
      <c r="CG41" s="153" t="n"/>
      <c r="CH41" s="153" t="n"/>
      <c r="CI41" s="153" t="n"/>
      <c r="CJ41" s="153" t="n"/>
      <c r="CK41" s="153" t="n"/>
      <c r="CL41" s="153" t="n"/>
      <c r="CT41" s="25" t="inlineStr">
        <is>
          <t xml:space="preserve">  2030E</t>
        </is>
      </c>
      <c r="CU41" s="33">
        <f>CV41+$CU$38</f>
        <v>0.46</v>
      </c>
      <c r="CV41" s="42" t="n">
        <v>0.45</v>
      </c>
      <c r="CW41" s="33">
        <f>CV41+$CW$38</f>
        <v>0.425</v>
      </c>
    </row>
    <row r="42" ht="15" customHeight="1" s="251">
      <c r="B42" s="156" t="inlineStr">
        <is>
          <t xml:space="preserve">    Other / Engineered products (renamed FY2016, Sargent)</t>
        </is>
      </c>
      <c r="C42" s="259" t="n">
        <v>16.574</v>
      </c>
      <c r="D42" s="259" t="n">
        <v>19.566</v>
      </c>
      <c r="E42" s="259" t="n">
        <v>22.369</v>
      </c>
      <c r="F42" s="259" t="n">
        <v>31.085</v>
      </c>
      <c r="G42" s="259" t="n">
        <v>21.793</v>
      </c>
      <c r="H42" s="259" t="n">
        <v>27.269</v>
      </c>
      <c r="I42" s="259" t="n">
        <v>31.237</v>
      </c>
      <c r="J42" s="259" t="n">
        <v>7.153</v>
      </c>
      <c r="K42" s="259" t="n">
        <v>7.071</v>
      </c>
      <c r="L42" s="259" t="n">
        <v>7.945</v>
      </c>
      <c r="M42" s="259" t="n">
        <v>8.532</v>
      </c>
      <c r="N42" s="259" t="n">
        <v>30.701</v>
      </c>
      <c r="O42" s="259" t="n">
        <v>7.773</v>
      </c>
      <c r="P42" s="259" t="n">
        <v>7.649</v>
      </c>
      <c r="Q42" s="259" t="n">
        <v>7.217</v>
      </c>
      <c r="R42" s="259" t="n">
        <v>7.787</v>
      </c>
      <c r="S42" s="259" t="n">
        <v>30.426</v>
      </c>
      <c r="T42" s="259" t="n">
        <v>7.801</v>
      </c>
      <c r="U42" s="259" t="n">
        <v>7.5</v>
      </c>
      <c r="V42" s="259" t="n">
        <v>7.156</v>
      </c>
      <c r="W42" s="259" t="n">
        <v>7.487</v>
      </c>
      <c r="X42" s="259" t="n">
        <v>29.944</v>
      </c>
      <c r="Y42" s="259" t="n">
        <v>33.232</v>
      </c>
      <c r="Z42" s="259" t="n">
        <v>40.816</v>
      </c>
      <c r="AA42" s="259" t="n">
        <v>40.901</v>
      </c>
      <c r="AB42" s="259" t="n">
        <v>46.3</v>
      </c>
      <c r="AC42" s="259" t="n">
        <v>161.249</v>
      </c>
      <c r="AD42" s="259" t="n">
        <v>42.585</v>
      </c>
      <c r="AE42" s="259" t="n">
        <v>43.744</v>
      </c>
      <c r="AF42" s="259" t="n">
        <v>40.977</v>
      </c>
      <c r="AG42" s="259" t="n">
        <v>42.451</v>
      </c>
      <c r="AH42" s="259" t="n">
        <v>169.757</v>
      </c>
      <c r="AI42" s="259" t="n">
        <v>44.051</v>
      </c>
      <c r="AJ42" s="259" t="n">
        <v>43.128</v>
      </c>
      <c r="AK42" s="259" t="n">
        <v>48.113</v>
      </c>
      <c r="AL42" s="259" t="n">
        <v>43.122</v>
      </c>
      <c r="AM42" s="259" t="n">
        <v>178.414</v>
      </c>
      <c r="AN42" s="259" t="n">
        <v>43.516</v>
      </c>
      <c r="AO42" s="259" t="n">
        <v>40.398</v>
      </c>
      <c r="AP42" s="259" t="n">
        <v>40.586</v>
      </c>
      <c r="AQ42" s="259" t="n">
        <v>38.626</v>
      </c>
      <c r="AR42" s="259" t="n">
        <v>163.126</v>
      </c>
      <c r="AS42" s="259" t="n">
        <v>40.632</v>
      </c>
      <c r="AT42" s="259" t="n">
        <v>41.893</v>
      </c>
      <c r="AU42" s="259" t="n">
        <v>39.839</v>
      </c>
      <c r="AV42" s="259" t="n">
        <v>39.933</v>
      </c>
      <c r="AW42" s="259" t="n">
        <v>162.297</v>
      </c>
      <c r="AX42" s="259" t="n">
        <v>35.878</v>
      </c>
      <c r="AY42" s="259" t="n">
        <v>32.604</v>
      </c>
      <c r="AZ42" s="259" t="n">
        <v>33.457</v>
      </c>
      <c r="BA42" s="259" t="n">
        <v>37.694</v>
      </c>
      <c r="BB42" s="259" t="n">
        <v>139.633</v>
      </c>
      <c r="BC42" s="259" t="n">
        <v>34.509</v>
      </c>
      <c r="BD42" s="259" t="n">
        <v>35.081</v>
      </c>
      <c r="BE42" s="34" t="n"/>
      <c r="BF42" s="34" t="n"/>
      <c r="BG42" s="34" t="n"/>
      <c r="BH42" s="34" t="n"/>
      <c r="BI42" s="34" t="n"/>
      <c r="BJ42" s="34" t="n"/>
      <c r="BK42" s="34" t="n"/>
      <c r="BL42" s="34" t="n"/>
      <c r="BM42" s="34" t="n"/>
      <c r="BN42" s="34" t="n"/>
      <c r="BO42" s="34" t="n"/>
      <c r="BP42" s="34" t="n"/>
      <c r="BQ42" s="34" t="n"/>
      <c r="BR42" s="34" t="n"/>
      <c r="BS42" s="34" t="n"/>
      <c r="BT42" s="34" t="n"/>
      <c r="BU42" s="34" t="n"/>
      <c r="BV42" s="34" t="n"/>
      <c r="BW42" s="34" t="n"/>
      <c r="BX42" s="34" t="n"/>
      <c r="BY42" s="34" t="n"/>
      <c r="BZ42" s="34" t="n"/>
      <c r="CA42" s="34" t="n"/>
      <c r="CB42" s="34" t="n"/>
      <c r="CC42" s="153" t="n"/>
      <c r="CD42" s="153" t="n"/>
      <c r="CE42" s="153" t="n"/>
      <c r="CF42" s="153" t="n"/>
      <c r="CG42" s="153" t="n"/>
      <c r="CH42" s="153" t="n"/>
      <c r="CI42" s="153" t="n"/>
      <c r="CJ42" s="153" t="n"/>
      <c r="CK42" s="153" t="n"/>
      <c r="CL42" s="153" t="n"/>
      <c r="CT42" s="25" t="inlineStr">
        <is>
          <t xml:space="preserve">  2031E</t>
        </is>
      </c>
      <c r="CU42" s="33">
        <f>CV42+$CU$38</f>
        <v>0.462</v>
      </c>
      <c r="CV42" s="42" t="n">
        <v>0.452</v>
      </c>
      <c r="CW42" s="33">
        <f>CV42+$CW$38</f>
        <v>0.427</v>
      </c>
    </row>
    <row r="43" ht="15" customHeight="1" s="251">
      <c r="B43" s="57" t="inlineStr">
        <is>
          <t xml:space="preserve">    Check: legacy segments vs net sales (should be 0)</t>
        </is>
      </c>
      <c r="C43" s="264">
        <f>IF(ISNUMBER(C39),IF(ABS(N(C39)+N(C40)+N(C41)+N(C42)-C108)&lt;=0.15,0,ROUND(N(C39)+N(C40)+N(C41)+N(C42)-C108,1)),"")</f>
        <v>0</v>
      </c>
      <c r="D43" s="264">
        <f>IF(ISNUMBER(D39),IF(ABS(N(D39)+N(D40)+N(D41)+N(D42)-D108)&lt;=0.15,0,ROUND(N(D39)+N(D40)+N(D41)+N(D42)-D108,1)),"")</f>
        <v>0</v>
      </c>
      <c r="E43" s="264">
        <f>IF(ISNUMBER(E39),IF(ABS(N(E39)+N(E40)+N(E41)+N(E42)-E108)&lt;=0.15,0,ROUND(N(E39)+N(E40)+N(E41)+N(E42)-E108,1)),"")</f>
        <v>0</v>
      </c>
      <c r="F43" s="264">
        <f>IF(ISNUMBER(F39),IF(ABS(N(F39)+N(F40)+N(F41)+N(F42)-F108)&lt;=0.15,0,ROUND(N(F39)+N(F40)+N(F41)+N(F42)-F108,1)),"")</f>
        <v>0</v>
      </c>
      <c r="G43" s="264">
        <f>IF(ISNUMBER(G39),IF(ABS(N(G39)+N(G40)+N(G41)+N(G42)-G108)&lt;=0.15,0,ROUND(N(G39)+N(G40)+N(G41)+N(G42)-G108,1)),"")</f>
        <v>0</v>
      </c>
      <c r="H43" s="264">
        <f>IF(ISNUMBER(H39),IF(ABS(N(H39)+N(H40)+N(H41)+N(H42)-H108)&lt;=0.15,0,ROUND(N(H39)+N(H40)+N(H41)+N(H42)-H108,1)),"")</f>
        <v>0</v>
      </c>
      <c r="I43" s="264">
        <f>IF(ISNUMBER(I39),IF(ABS(N(I39)+N(I40)+N(I41)+N(I42)-I108)&lt;=0.15,0,ROUND(N(I39)+N(I40)+N(I41)+N(I42)-I108,1)),"")</f>
        <v>0</v>
      </c>
      <c r="J43" s="264">
        <f>IF(ISNUMBER(J39),IF(ABS(N(J39)+N(J40)+N(J41)+N(J42)-J108)&lt;=0.15,0,ROUND(N(J39)+N(J40)+N(J41)+N(J42)-J108,1)),"")</f>
        <v>0</v>
      </c>
      <c r="K43" s="264">
        <f>IF(ISNUMBER(K39),IF(ABS(N(K39)+N(K40)+N(K41)+N(K42)-K108)&lt;=0.15,0,ROUND(N(K39)+N(K40)+N(K41)+N(K42)-K108,1)),"")</f>
        <v>0</v>
      </c>
      <c r="L43" s="264">
        <f>IF(ISNUMBER(L39),IF(ABS(N(L39)+N(L40)+N(L41)+N(L42)-L108)&lt;=0.15,0,ROUND(N(L39)+N(L40)+N(L41)+N(L42)-L108,1)),"")</f>
        <v>0</v>
      </c>
      <c r="M43" s="264">
        <f>IF(ISNUMBER(M39),IF(ABS(N(M39)+N(M40)+N(M41)+N(M42)-M108)&lt;=0.15,0,ROUND(N(M39)+N(M40)+N(M41)+N(M42)-M108,1)),"")</f>
        <v>0</v>
      </c>
      <c r="N43" s="264">
        <f>IF(ISNUMBER(N39),IF(ABS(N(N39)+N(N40)+N(N41)+N(N42)-N108)&lt;=0.15,0,ROUND(N(N39)+N(N40)+N(N41)+N(N42)-N108,1)),"")</f>
        <v>0</v>
      </c>
      <c r="O43" s="264">
        <f>IF(ISNUMBER(O39),IF(ABS(N(O39)+N(O40)+N(O41)+N(O42)-O108)&lt;=0.15,0,ROUND(N(O39)+N(O40)+N(O41)+N(O42)-O108,1)),"")</f>
        <v>0</v>
      </c>
      <c r="P43" s="264">
        <f>IF(ISNUMBER(P39),IF(ABS(N(P39)+N(P40)+N(P41)+N(P42)-P108)&lt;=0.15,0,ROUND(N(P39)+N(P40)+N(P41)+N(P42)-P108,1)),"")</f>
        <v>0</v>
      </c>
      <c r="Q43" s="264">
        <f>IF(ISNUMBER(Q39),IF(ABS(N(Q39)+N(Q40)+N(Q41)+N(Q42)-Q108)&lt;=0.15,0,ROUND(N(Q39)+N(Q40)+N(Q41)+N(Q42)-Q108,1)),"")</f>
        <v>0</v>
      </c>
      <c r="R43" s="264">
        <f>IF(ISNUMBER(R39),IF(ABS(N(R39)+N(R40)+N(R41)+N(R42)-R108)&lt;=0.15,0,ROUND(N(R39)+N(R40)+N(R41)+N(R42)-R108,1)),"")</f>
        <v>0</v>
      </c>
      <c r="S43" s="264">
        <f>IF(ISNUMBER(S39),IF(ABS(N(S39)+N(S40)+N(S41)+N(S42)-S108)&lt;=0.15,0,ROUND(N(S39)+N(S40)+N(S41)+N(S42)-S108,1)),"")</f>
        <v>0</v>
      </c>
      <c r="T43" s="264">
        <f>IF(ISNUMBER(T39),IF(ABS(N(T39)+N(T40)+N(T41)+N(T42)-T108)&lt;=0.15,0,ROUND(N(T39)+N(T40)+N(T41)+N(T42)-T108,1)),"")</f>
        <v>0</v>
      </c>
      <c r="U43" s="264">
        <f>IF(ISNUMBER(U39),IF(ABS(N(U39)+N(U40)+N(U41)+N(U42)-U108)&lt;=0.15,0,ROUND(N(U39)+N(U40)+N(U41)+N(U42)-U108,1)),"")</f>
        <v>0</v>
      </c>
      <c r="V43" s="264">
        <f>IF(ISNUMBER(V39),IF(ABS(N(V39)+N(V40)+N(V41)+N(V42)-V108)&lt;=0.15,0,ROUND(N(V39)+N(V40)+N(V41)+N(V42)-V108,1)),"")</f>
        <v>0</v>
      </c>
      <c r="W43" s="264">
        <f>IF(ISNUMBER(W39),IF(ABS(N(W39)+N(W40)+N(W41)+N(W42)-W108)&lt;=0.15,0,ROUND(N(W39)+N(W40)+N(W41)+N(W42)-W108,1)),"")</f>
        <v>0</v>
      </c>
      <c r="X43" s="264">
        <f>IF(ISNUMBER(X39),IF(ABS(N(X39)+N(X40)+N(X41)+N(X42)-X108)&lt;=0.15,0,ROUND(N(X39)+N(X40)+N(X41)+N(X42)-X108,1)),"")</f>
        <v>0</v>
      </c>
      <c r="Y43" s="264">
        <f>IF(ISNUMBER(Y39),IF(ABS(N(Y39)+N(Y40)+N(Y41)+N(Y42)-Y108)&lt;=0.15,0,ROUND(N(Y39)+N(Y40)+N(Y41)+N(Y42)-Y108,1)),"")</f>
        <v>0</v>
      </c>
      <c r="Z43" s="264">
        <f>IF(ISNUMBER(Z39),IF(ABS(N(Z39)+N(Z40)+N(Z41)+N(Z42)-Z108)&lt;=0.15,0,ROUND(N(Z39)+N(Z40)+N(Z41)+N(Z42)-Z108,1)),"")</f>
        <v>0</v>
      </c>
      <c r="AA43" s="264">
        <f>IF(ISNUMBER(AA39),IF(ABS(N(AA39)+N(AA40)+N(AA41)+N(AA42)-AA108)&lt;=0.15,0,ROUND(N(AA39)+N(AA40)+N(AA41)+N(AA42)-AA108,1)),"")</f>
        <v>0</v>
      </c>
      <c r="AB43" s="264">
        <f>IF(ISNUMBER(AB39),IF(ABS(N(AB39)+N(AB40)+N(AB41)+N(AB42)-AB108)&lt;=0.15,0,ROUND(N(AB39)+N(AB40)+N(AB41)+N(AB42)-AB108,1)),"")</f>
        <v>0</v>
      </c>
      <c r="AC43" s="264">
        <f>IF(ISNUMBER(AC39),IF(ABS(N(AC39)+N(AC40)+N(AC41)+N(AC42)-AC108)&lt;=0.15,0,ROUND(N(AC39)+N(AC40)+N(AC41)+N(AC42)-AC108,1)),"")</f>
        <v>0</v>
      </c>
      <c r="AD43" s="264">
        <f>IF(ISNUMBER(AD39),IF(ABS(N(AD39)+N(AD40)+N(AD41)+N(AD42)-AD108)&lt;=0.15,0,ROUND(N(AD39)+N(AD40)+N(AD41)+N(AD42)-AD108,1)),"")</f>
        <v>0</v>
      </c>
      <c r="AE43" s="264">
        <f>IF(ISNUMBER(AE39),IF(ABS(N(AE39)+N(AE40)+N(AE41)+N(AE42)-AE108)&lt;=0.15,0,ROUND(N(AE39)+N(AE40)+N(AE41)+N(AE42)-AE108,1)),"")</f>
        <v>0</v>
      </c>
      <c r="AF43" s="264">
        <f>IF(ISNUMBER(AF39),IF(ABS(N(AF39)+N(AF40)+N(AF41)+N(AF42)-AF108)&lt;=0.15,0,ROUND(N(AF39)+N(AF40)+N(AF41)+N(AF42)-AF108,1)),"")</f>
        <v>0</v>
      </c>
      <c r="AG43" s="264">
        <f>IF(ISNUMBER(AG39),IF(ABS(N(AG39)+N(AG40)+N(AG41)+N(AG42)-AG108)&lt;=0.15,0,ROUND(N(AG39)+N(AG40)+N(AG41)+N(AG42)-AG108,1)),"")</f>
        <v>0</v>
      </c>
      <c r="AH43" s="264">
        <f>IF(ISNUMBER(AH39),IF(ABS(N(AH39)+N(AH40)+N(AH41)+N(AH42)-AH108)&lt;=0.15,0,ROUND(N(AH39)+N(AH40)+N(AH41)+N(AH42)-AH108,1)),"")</f>
        <v>0</v>
      </c>
      <c r="AI43" s="264">
        <f>IF(ISNUMBER(AI39),IF(ABS(N(AI39)+N(AI40)+N(AI41)+N(AI42)-AI108)&lt;=0.15,0,ROUND(N(AI39)+N(AI40)+N(AI41)+N(AI42)-AI108,1)),"")</f>
        <v>0</v>
      </c>
      <c r="AJ43" s="264">
        <f>IF(ISNUMBER(AJ39),IF(ABS(N(AJ39)+N(AJ40)+N(AJ41)+N(AJ42)-AJ108)&lt;=0.15,0,ROUND(N(AJ39)+N(AJ40)+N(AJ41)+N(AJ42)-AJ108,1)),"")</f>
        <v>0</v>
      </c>
      <c r="AK43" s="264">
        <f>IF(ISNUMBER(AK39),IF(ABS(N(AK39)+N(AK40)+N(AK41)+N(AK42)-AK108)&lt;=0.15,0,ROUND(N(AK39)+N(AK40)+N(AK41)+N(AK42)-AK108,1)),"")</f>
        <v>0</v>
      </c>
      <c r="AL43" s="264">
        <f>IF(ISNUMBER(AL39),IF(ABS(N(AL39)+N(AL40)+N(AL41)+N(AL42)-AL108)&lt;=0.15,0,ROUND(N(AL39)+N(AL40)+N(AL41)+N(AL42)-AL108,1)),"")</f>
        <v>0</v>
      </c>
      <c r="AM43" s="264">
        <f>IF(ISNUMBER(AM39),IF(ABS(N(AM39)+N(AM40)+N(AM41)+N(AM42)-AM108)&lt;=0.15,0,ROUND(N(AM39)+N(AM40)+N(AM41)+N(AM42)-AM108,1)),"")</f>
        <v>0</v>
      </c>
      <c r="AN43" s="264">
        <f>IF(ISNUMBER(AN39),IF(ABS(N(AN39)+N(AN40)+N(AN41)+N(AN42)-AN108)&lt;=0.15,0,ROUND(N(AN39)+N(AN40)+N(AN41)+N(AN42)-AN108,1)),"")</f>
        <v>0</v>
      </c>
      <c r="AO43" s="264">
        <f>IF(ISNUMBER(AO39),IF(ABS(N(AO39)+N(AO40)+N(AO41)+N(AO42)-AO108)&lt;=0.15,0,ROUND(N(AO39)+N(AO40)+N(AO41)+N(AO42)-AO108,1)),"")</f>
        <v>0</v>
      </c>
      <c r="AP43" s="264">
        <f>IF(ISNUMBER(AP39),IF(ABS(N(AP39)+N(AP40)+N(AP41)+N(AP42)-AP108)&lt;=0.15,0,ROUND(N(AP39)+N(AP40)+N(AP41)+N(AP42)-AP108,1)),"")</f>
        <v>0</v>
      </c>
      <c r="AQ43" s="264">
        <f>IF(ISNUMBER(AQ39),IF(ABS(N(AQ39)+N(AQ40)+N(AQ41)+N(AQ42)-AQ108)&lt;=0.15,0,ROUND(N(AQ39)+N(AQ40)+N(AQ41)+N(AQ42)-AQ108,1)),"")</f>
        <v>0</v>
      </c>
      <c r="AR43" s="264">
        <f>IF(ISNUMBER(AR39),IF(ABS(N(AR39)+N(AR40)+N(AR41)+N(AR42)-AR108)&lt;=0.15,0,ROUND(N(AR39)+N(AR40)+N(AR41)+N(AR42)-AR108,1)),"")</f>
        <v>0</v>
      </c>
      <c r="AS43" s="264">
        <f>IF(ISNUMBER(AS39),IF(ABS(N(AS39)+N(AS40)+N(AS41)+N(AS42)-AS108)&lt;=0.15,0,ROUND(N(AS39)+N(AS40)+N(AS41)+N(AS42)-AS108,1)),"")</f>
        <v>0</v>
      </c>
      <c r="AT43" s="264">
        <f>IF(ISNUMBER(AT39),IF(ABS(N(AT39)+N(AT40)+N(AT41)+N(AT42)-AT108)&lt;=0.15,0,ROUND(N(AT39)+N(AT40)+N(AT41)+N(AT42)-AT108,1)),"")</f>
        <v>0</v>
      </c>
      <c r="AU43" s="264">
        <f>IF(ISNUMBER(AU39),IF(ABS(N(AU39)+N(AU40)+N(AU41)+N(AU42)-AU108)&lt;=0.15,0,ROUND(N(AU39)+N(AU40)+N(AU41)+N(AU42)-AU108,1)),"")</f>
        <v>0</v>
      </c>
      <c r="AV43" s="264">
        <f>IF(ISNUMBER(AV39),IF(ABS(N(AV39)+N(AV40)+N(AV41)+N(AV42)-AV108)&lt;=0.15,0,ROUND(N(AV39)+N(AV40)+N(AV41)+N(AV42)-AV108,1)),"")</f>
        <v>0</v>
      </c>
      <c r="AW43" s="264">
        <f>IF(ISNUMBER(AW39),IF(ABS(N(AW39)+N(AW40)+N(AW41)+N(AW42)-AW108)&lt;=0.15,0,ROUND(N(AW39)+N(AW40)+N(AW41)+N(AW42)-AW108,1)),"")</f>
        <v>0</v>
      </c>
      <c r="AX43" s="264">
        <f>IF(ISNUMBER(AX39),IF(ABS(N(AX39)+N(AX40)+N(AX41)+N(AX42)-AX108)&lt;=0.15,0,ROUND(N(AX39)+N(AX40)+N(AX41)+N(AX42)-AX108,1)),"")</f>
        <v>0</v>
      </c>
      <c r="AY43" s="264">
        <f>IF(ISNUMBER(AY39),IF(ABS(N(AY39)+N(AY40)+N(AY41)+N(AY42)-AY108)&lt;=0.15,0,ROUND(N(AY39)+N(AY40)+N(AY41)+N(AY42)-AY108,1)),"")</f>
        <v>0</v>
      </c>
      <c r="AZ43" s="264">
        <f>IF(ISNUMBER(AZ39),IF(ABS(N(AZ39)+N(AZ40)+N(AZ41)+N(AZ42)-AZ108)&lt;=0.15,0,ROUND(N(AZ39)+N(AZ40)+N(AZ41)+N(AZ42)-AZ108,1)),"")</f>
        <v>0</v>
      </c>
      <c r="BA43" s="264">
        <f>IF(ISNUMBER(BA39),IF(ABS(N(BA39)+N(BA40)+N(BA41)+N(BA42)-BA108)&lt;=0.15,0,ROUND(N(BA39)+N(BA40)+N(BA41)+N(BA42)-BA108,1)),"")</f>
        <v>0</v>
      </c>
      <c r="BB43" s="264">
        <f>IF(ISNUMBER(BB39),IF(ABS(N(BB39)+N(BB40)+N(BB41)+N(BB42)-BB108)&lt;=0.15,0,ROUND(N(BB39)+N(BB40)+N(BB41)+N(BB42)-BB108,1)),"")</f>
        <v>0</v>
      </c>
      <c r="BC43" s="264">
        <f>IF(ISNUMBER(BC39),IF(ABS(N(BC39)+N(BC40)+N(BC41)+N(BC42)-BC108)&lt;=0.15,0,ROUND(N(BC39)+N(BC40)+N(BC41)+N(BC42)-BC108,1)),"")</f>
        <v>0</v>
      </c>
      <c r="BD43" s="264">
        <f>IF(ISNUMBER(BD39),IF(ABS(N(BD39)+N(BD40)+N(BD41)+N(BD42)-BD108)&lt;=0.15,0,ROUND(N(BD39)+N(BD40)+N(BD41)+N(BD42)-BD108,1)),"")</f>
        <v>0</v>
      </c>
      <c r="BE43" s="264">
        <f>IF(ISNUMBER(BE39),IF(ABS(N(BE39)+N(BE40)+N(BE41)+N(BE42)-BE108)&lt;=0.15,0,ROUND(N(BE39)+N(BE40)+N(BE41)+N(BE42)-BE108,1)),"")</f>
      </c>
      <c r="BF43" s="264">
        <f>IF(ISNUMBER(BF39),IF(ABS(N(BF39)+N(BF40)+N(BF41)+N(BF42)-BF108)&lt;=0.15,0,ROUND(N(BF39)+N(BF40)+N(BF41)+N(BF42)-BF108,1)),"")</f>
      </c>
      <c r="BG43" s="264">
        <f>IF(ISNUMBER(BG39),IF(ABS(N(BG39)+N(BG40)+N(BG41)+N(BG42)-BG108)&lt;=0.15,0,ROUND(N(BG39)+N(BG40)+N(BG41)+N(BG42)-BG108,1)),"")</f>
      </c>
      <c r="BH43" s="264">
        <f>IF(ISNUMBER(BH39),IF(ABS(N(BH39)+N(BH40)+N(BH41)+N(BH42)-BH108)&lt;=0.15,0,ROUND(N(BH39)+N(BH40)+N(BH41)+N(BH42)-BH108,1)),"")</f>
      </c>
      <c r="BI43" s="264">
        <f>IF(ISNUMBER(BI39),IF(ABS(N(BI39)+N(BI40)+N(BI41)+N(BI42)-BI108)&lt;=0.15,0,ROUND(N(BI39)+N(BI40)+N(BI41)+N(BI42)-BI108,1)),"")</f>
      </c>
      <c r="BJ43" s="264">
        <f>IF(ISNUMBER(BJ39),IF(ABS(N(BJ39)+N(BJ40)+N(BJ41)+N(BJ42)-BJ108)&lt;=0.15,0,ROUND(N(BJ39)+N(BJ40)+N(BJ41)+N(BJ42)-BJ108,1)),"")</f>
      </c>
      <c r="BK43" s="264">
        <f>IF(ISNUMBER(BK39),IF(ABS(N(BK39)+N(BK40)+N(BK41)+N(BK42)-BK108)&lt;=0.15,0,ROUND(N(BK39)+N(BK40)+N(BK41)+N(BK42)-BK108,1)),"")</f>
      </c>
      <c r="BL43" s="264">
        <f>IF(ISNUMBER(BL39),IF(ABS(N(BL39)+N(BL40)+N(BL41)+N(BL42)-BL108)&lt;=0.15,0,ROUND(N(BL39)+N(BL40)+N(BL41)+N(BL42)-BL108,1)),"")</f>
      </c>
      <c r="BM43" s="264">
        <f>IF(ISNUMBER(BM39),IF(ABS(N(BM39)+N(BM40)+N(BM41)+N(BM42)-BM108)&lt;=0.15,0,ROUND(N(BM39)+N(BM40)+N(BM41)+N(BM42)-BM108,1)),"")</f>
      </c>
      <c r="BN43" s="264">
        <f>IF(ISNUMBER(BN39),IF(ABS(N(BN39)+N(BN40)+N(BN41)+N(BN42)-BN108)&lt;=0.15,0,ROUND(N(BN39)+N(BN40)+N(BN41)+N(BN42)-BN108,1)),"")</f>
      </c>
      <c r="BO43" s="264">
        <f>IF(ISNUMBER(BO39),IF(ABS(N(BO39)+N(BO40)+N(BO41)+N(BO42)-BO108)&lt;=0.15,0,ROUND(N(BO39)+N(BO40)+N(BO41)+N(BO42)-BO108,1)),"")</f>
      </c>
      <c r="BP43" s="264">
        <f>IF(ISNUMBER(BP39),IF(ABS(N(BP39)+N(BP40)+N(BP41)+N(BP42)-BP108)&lt;=0.15,0,ROUND(N(BP39)+N(BP40)+N(BP41)+N(BP42)-BP108,1)),"")</f>
      </c>
      <c r="BQ43" s="264">
        <f>IF(ISNUMBER(BQ39),IF(ABS(N(BQ39)+N(BQ40)+N(BQ41)+N(BQ42)-BQ108)&lt;=0.15,0,ROUND(N(BQ39)+N(BQ40)+N(BQ41)+N(BQ42)-BQ108,1)),"")</f>
      </c>
      <c r="BR43" s="264">
        <f>IF(ISNUMBER(BR39),IF(ABS(N(BR39)+N(BR40)+N(BR41)+N(BR42)-BR108)&lt;=0.15,0,ROUND(N(BR39)+N(BR40)+N(BR41)+N(BR42)-BR108,1)),"")</f>
      </c>
      <c r="BS43" s="264">
        <f>IF(ISNUMBER(BS39),IF(ABS(N(BS39)+N(BS40)+N(BS41)+N(BS42)-BS108)&lt;=0.15,0,ROUND(N(BS39)+N(BS40)+N(BS41)+N(BS42)-BS108,1)),"")</f>
      </c>
      <c r="BT43" s="264">
        <f>IF(ISNUMBER(BT39),IF(ABS(N(BT39)+N(BT40)+N(BT41)+N(BT42)-BT108)&lt;=0.15,0,ROUND(N(BT39)+N(BT40)+N(BT41)+N(BT42)-BT108,1)),"")</f>
      </c>
      <c r="BU43" s="264">
        <f>IF(ISNUMBER(BU39),IF(ABS(N(BU39)+N(BU40)+N(BU41)+N(BU42)-BU108)&lt;=0.15,0,ROUND(N(BU39)+N(BU40)+N(BU41)+N(BU42)-BU108,1)),"")</f>
      </c>
      <c r="BV43" s="264">
        <f>IF(ISNUMBER(BV39),IF(ABS(N(BV39)+N(BV40)+N(BV41)+N(BV42)-BV108)&lt;=0.15,0,ROUND(N(BV39)+N(BV40)+N(BV41)+N(BV42)-BV108,1)),"")</f>
      </c>
      <c r="BW43" s="264">
        <f>IF(ISNUMBER(BW39),IF(ABS(N(BW39)+N(BW40)+N(BW41)+N(BW42)-BW108)&lt;=0.15,0,ROUND(N(BW39)+N(BW40)+N(BW41)+N(BW42)-BW108,1)),"")</f>
      </c>
      <c r="BX43" s="264">
        <f>IF(ISNUMBER(BX39),IF(ABS(N(BX39)+N(BX40)+N(BX41)+N(BX42)-BX108)&lt;=0.15,0,ROUND(N(BX39)+N(BX40)+N(BX41)+N(BX42)-BX108,1)),"")</f>
      </c>
      <c r="BY43" s="264">
        <f>IF(ISNUMBER(BY39),IF(ABS(N(BY39)+N(BY40)+N(BY41)+N(BY42)-BY108)&lt;=0.15,0,ROUND(N(BY39)+N(BY40)+N(BY41)+N(BY42)-BY108,1)),"")</f>
      </c>
      <c r="BZ43" s="264">
        <f>IF(ISNUMBER(BZ39),IF(ABS(N(BZ39)+N(BZ40)+N(BZ41)+N(BZ42)-BZ108)&lt;=0.15,0,ROUND(N(BZ39)+N(BZ40)+N(BZ41)+N(BZ42)-BZ108,1)),"")</f>
      </c>
      <c r="CA43" s="264">
        <f>IF(ISNUMBER(CA39),IF(ABS(N(CA39)+N(CA40)+N(CA41)+N(CA42)-CA108)&lt;=0.15,0,ROUND(N(CA39)+N(CA40)+N(CA41)+N(CA42)-CA108,1)),"")</f>
      </c>
      <c r="CB43" s="264">
        <f>IF(ISNUMBER(CB39),IF(ABS(N(CB39)+N(CB40)+N(CB41)+N(CB42)-CB108)&lt;=0.15,0,ROUND(N(CB39)+N(CB40)+N(CB41)+N(CB42)-CB108,1)),"")</f>
      </c>
      <c r="CC43" s="153" t="n"/>
      <c r="CD43" s="153" t="n"/>
      <c r="CE43" s="153" t="n"/>
      <c r="CF43" s="153" t="n"/>
      <c r="CG43" s="153" t="n"/>
      <c r="CH43" s="153" t="n"/>
      <c r="CI43" s="153" t="n"/>
      <c r="CJ43" s="153" t="n"/>
      <c r="CK43" s="153" t="n"/>
      <c r="CL43" s="153" t="n"/>
      <c r="CT43" s="25" t="inlineStr">
        <is>
          <t xml:space="preserve">  2032E</t>
        </is>
      </c>
      <c r="CU43" s="33">
        <f>CV43+$CU$38</f>
        <v>0.465</v>
      </c>
      <c r="CV43" s="42" t="n">
        <v>0.455</v>
      </c>
      <c r="CW43" s="33">
        <f>CV43+$CW$38</f>
        <v>0.43</v>
      </c>
    </row>
    <row r="44" ht="15" customHeight="1" s="251">
      <c r="B44" s="22" t="inlineStr">
        <is>
          <t xml:space="preserve">  Contribution to total sales growth — Aerospace &amp; Defense (pp)</t>
        </is>
      </c>
      <c r="C44" s="23" t="n"/>
      <c r="D44" s="255">
        <f>IF(AND(ISNUMBER(D11),ISNUMBER(C11)),IFERROR((D11-C11)/C65,""),"")</f>
      </c>
      <c r="E44" s="255">
        <f>IF(AND(ISNUMBER(E11),ISNUMBER(D11)),IFERROR((E11-D11)/D65,""),"")</f>
      </c>
      <c r="F44" s="255">
        <f>IF(AND(ISNUMBER(F11),ISNUMBER(E11)),IFERROR((F11-E11)/E65,""),"")</f>
      </c>
      <c r="G44" s="255">
        <f>IF(AND(ISNUMBER(G11),ISNUMBER(F11)),IFERROR((G11-F11)/F65,""),"")</f>
      </c>
      <c r="H44" s="255">
        <f>IF(AND(ISNUMBER(H11),ISNUMBER(G11)),IFERROR((H11-G11)/G65,""),"")</f>
      </c>
      <c r="I44" s="255">
        <f>IF(AND(ISNUMBER(I11),ISNUMBER(H11)),IFERROR((I11-H11)/H65,""),"")</f>
      </c>
      <c r="J44" s="23" t="n"/>
      <c r="K44" s="23" t="n"/>
      <c r="L44" s="23" t="n"/>
      <c r="M44" s="23" t="n"/>
      <c r="N44" s="255">
        <f>IF(AND(ISNUMBER(N11),ISNUMBER(I11)),IFERROR((N11-I11)/I65,""),"")</f>
      </c>
      <c r="O44" s="255">
        <f>IF(AND(ISNUMBER(O11),ISNUMBER(J11)),IFERROR((O11-J11)/J65,""),"")</f>
      </c>
      <c r="P44" s="255">
        <f>IF(AND(ISNUMBER(P11),ISNUMBER(K11)),IFERROR((P11-K11)/K65,""),"")</f>
      </c>
      <c r="Q44" s="255">
        <f>IF(AND(ISNUMBER(Q11),ISNUMBER(L11)),IFERROR((Q11-L11)/L65,""),"")</f>
      </c>
      <c r="R44" s="255">
        <f>IF(AND(ISNUMBER(R11),ISNUMBER(M11)),IFERROR((R11-M11)/M65,""),"")</f>
      </c>
      <c r="S44" s="255">
        <f>IF(AND(ISNUMBER(S11),ISNUMBER(N11)),IFERROR((S11-N11)/N65,""),"")</f>
      </c>
      <c r="T44" s="255">
        <f>IF(AND(ISNUMBER(T11),ISNUMBER(O11)),IFERROR((T11-O11)/O65,""),"")</f>
      </c>
      <c r="U44" s="255">
        <f>IF(AND(ISNUMBER(U11),ISNUMBER(P11)),IFERROR((U11-P11)/P65,""),"")</f>
      </c>
      <c r="V44" s="255">
        <f>IF(AND(ISNUMBER(V11),ISNUMBER(Q11)),IFERROR((V11-Q11)/Q65,""),"")</f>
      </c>
      <c r="W44" s="255">
        <f>IF(AND(ISNUMBER(W11),ISNUMBER(R11)),IFERROR((W11-R11)/R65,""),"")</f>
      </c>
      <c r="X44" s="255">
        <f>IF(AND(ISNUMBER(X11),ISNUMBER(S11)),IFERROR((X11-S11)/S65,""),"")</f>
      </c>
      <c r="Y44" s="255">
        <f>IF(AND(ISNUMBER(Y11),ISNUMBER(T11)),IFERROR((Y11-T11)/T65,""),"")</f>
      </c>
      <c r="Z44" s="255">
        <f>IF(AND(ISNUMBER(Z11),ISNUMBER(U11)),IFERROR((Z11-U11)/U65,""),"")</f>
      </c>
      <c r="AA44" s="255">
        <f>IF(AND(ISNUMBER(AA11),ISNUMBER(V11)),IFERROR((AA11-V11)/V65,""),"")</f>
      </c>
      <c r="AB44" s="255">
        <f>IF(AND(ISNUMBER(AB11),ISNUMBER(W11)),IFERROR((AB11-W11)/W65,""),"")</f>
      </c>
      <c r="AC44" s="255">
        <f>IF(AND(ISNUMBER(AC11),ISNUMBER(X11)),IFERROR((AC11-X11)/X65,""),"")</f>
      </c>
      <c r="AD44" s="255">
        <f>IF(AND(ISNUMBER(AD11),ISNUMBER(Y11)),IFERROR((AD11-Y11)/Y65,""),"")</f>
      </c>
      <c r="AE44" s="255">
        <f>IF(AND(ISNUMBER(AE11),ISNUMBER(Z11)),IFERROR((AE11-Z11)/Z65,""),"")</f>
      </c>
      <c r="AF44" s="255">
        <f>IF(AND(ISNUMBER(AF11),ISNUMBER(AA11)),IFERROR((AF11-AA11)/AA65,""),"")</f>
      </c>
      <c r="AG44" s="255">
        <f>IF(AND(ISNUMBER(AG11),ISNUMBER(AB11)),IFERROR((AG11-AB11)/AB65,""),"")</f>
      </c>
      <c r="AH44" s="255">
        <f>IF(AND(ISNUMBER(AH11),ISNUMBER(AC11)),IFERROR((AH11-AC11)/AC65,""),"")</f>
      </c>
      <c r="AI44" s="255">
        <f>IF(AND(ISNUMBER(AI11),ISNUMBER(AD11)),IFERROR((AI11-AD11)/AD65,""),"")</f>
      </c>
      <c r="AJ44" s="255">
        <f>IF(AND(ISNUMBER(AJ11),ISNUMBER(AE11)),IFERROR((AJ11-AE11)/AE65,""),"")</f>
      </c>
      <c r="AK44" s="255">
        <f>IF(AND(ISNUMBER(AK11),ISNUMBER(AF11)),IFERROR((AK11-AF11)/AF65,""),"")</f>
      </c>
      <c r="AL44" s="255">
        <f>IF(AND(ISNUMBER(AL11),ISNUMBER(AG11)),IFERROR((AL11-AG11)/AG65,""),"")</f>
      </c>
      <c r="AM44" s="255">
        <f>IF(AND(ISNUMBER(AM11),ISNUMBER(AH11)),IFERROR((AM11-AH11)/AH65,""),"")</f>
      </c>
      <c r="AN44" s="255">
        <f>IF(AND(ISNUMBER(AN11),ISNUMBER(AI11)),IFERROR((AN11-AI11)/AI65,""),"")</f>
      </c>
      <c r="AO44" s="255">
        <f>IF(AND(ISNUMBER(AO11),ISNUMBER(AJ11)),IFERROR((AO11-AJ11)/AJ65,""),"")</f>
      </c>
      <c r="AP44" s="255">
        <f>IF(AND(ISNUMBER(AP11),ISNUMBER(AK11)),IFERROR((AP11-AK11)/AK65,""),"")</f>
      </c>
      <c r="AQ44" s="255">
        <f>IF(AND(ISNUMBER(AQ11),ISNUMBER(AL11)),IFERROR((AQ11-AL11)/AL65,""),"")</f>
      </c>
      <c r="AR44" s="255">
        <f>IF(AND(ISNUMBER(AR11),ISNUMBER(AM11)),IFERROR((AR11-AM11)/AM65,""),"")</f>
      </c>
      <c r="AS44" s="255">
        <f>IF(AND(ISNUMBER(AS11),ISNUMBER(AN11)),IFERROR((AS11-AN11)/AN65,""),"")</f>
      </c>
      <c r="AT44" s="255">
        <f>IF(AND(ISNUMBER(AT11),ISNUMBER(AO11)),IFERROR((AT11-AO11)/AO65,""),"")</f>
      </c>
      <c r="AU44" s="255">
        <f>IF(AND(ISNUMBER(AU11),ISNUMBER(AP11)),IFERROR((AU11-AP11)/AP65,""),"")</f>
      </c>
      <c r="AV44" s="255">
        <f>IF(AND(ISNUMBER(AV11),ISNUMBER(AQ11)),IFERROR((AV11-AQ11)/AQ65,""),"")</f>
      </c>
      <c r="AW44" s="255">
        <f>IF(AND(ISNUMBER(AW11),ISNUMBER(AR11)),IFERROR((AW11-AR11)/AR65,""),"")</f>
      </c>
      <c r="AX44" s="255">
        <f>IF(AND(ISNUMBER(AX11),ISNUMBER(AS11)),IFERROR((AX11-AS11)/AS65,""),"")</f>
      </c>
      <c r="AY44" s="255">
        <f>IF(AND(ISNUMBER(AY11),ISNUMBER(AT11)),IFERROR((AY11-AT11)/AT65,""),"")</f>
      </c>
      <c r="AZ44" s="255">
        <f>IF(AND(ISNUMBER(AZ11),ISNUMBER(AU11)),IFERROR((AZ11-AU11)/AU65,""),"")</f>
      </c>
      <c r="BA44" s="255">
        <f>IF(AND(ISNUMBER(BA11),ISNUMBER(AV11)),IFERROR((BA11-AV11)/AV65,""),"")</f>
      </c>
      <c r="BB44" s="255">
        <f>IF(AND(ISNUMBER(BB11),ISNUMBER(AW11)),IFERROR((BB11-AW11)/AW65,""),"")</f>
      </c>
      <c r="BC44" s="255">
        <f>IF(AND(ISNUMBER(BC11),ISNUMBER(AX11)),IFERROR((BC11-AX11)/AX65,""),"")</f>
      </c>
      <c r="BD44" s="255">
        <f>IF(AND(ISNUMBER(BD11),ISNUMBER(AY11)),IFERROR((BD11-AY11)/AY65,""),"")</f>
      </c>
      <c r="BE44" s="255">
        <f>IF(AND(ISNUMBER(BE11),ISNUMBER(AZ11)),IFERROR((BE11-AZ11)/AZ65,""),"")</f>
        <v>-0.000438773901179842</v>
      </c>
      <c r="BF44" s="255">
        <f>IF(AND(ISNUMBER(BF11),ISNUMBER(BA11)),IFERROR((BF11-BA11)/BA65,""),"")</f>
        <v>0.0536261268286597</v>
      </c>
      <c r="BG44" s="255">
        <f>IF(AND(ISNUMBER(BG11),ISNUMBER(BB11)),IFERROR((BG11-BB11)/BB65,""),"")</f>
        <v>-0.0242272374972084</v>
      </c>
      <c r="BH44" s="255">
        <f>IF(AND(ISNUMBER(BH11),ISNUMBER(BC11)),IFERROR((BH11-BC11)/BC65,""),"")</f>
        <v>0.0578342562658046</v>
      </c>
      <c r="BI44" s="255">
        <f>IF(AND(ISNUMBER(BI11),ISNUMBER(BD11)),IFERROR((BI11-BD11)/BD65,""),"")</f>
        <v>0.0660845245494095</v>
      </c>
      <c r="BJ44" s="255">
        <f>IF(AND(ISNUMBER(BJ11),ISNUMBER(BE11)),IFERROR((BJ11-BE11)/BE65,""),"")</f>
        <v>0.0461841597584593</v>
      </c>
      <c r="BK44" s="255">
        <f>IF(AND(ISNUMBER(BK11),ISNUMBER(BF11)),IFERROR((BK11-BF11)/BF65,""),"")</f>
        <v>0.0469322529320467</v>
      </c>
      <c r="BL44" s="255">
        <f>IF(AND(ISNUMBER(BL11),ISNUMBER(BG11)),IFERROR((BL11-BG11)/BG65,""),"")</f>
        <v>0.0517945525522914</v>
      </c>
      <c r="BM44" s="255">
        <f>IF(AND(ISNUMBER(BM11),ISNUMBER(BH11)),IFERROR((BM11-BH11)/BH65,""),"")</f>
        <v>0.0595147989154993</v>
      </c>
      <c r="BN44" s="255">
        <f>IF(AND(ISNUMBER(BN11),ISNUMBER(BI11)),IFERROR((BN11-BI11)/BI65,""),"")</f>
        <v>0.0642608900578871</v>
      </c>
      <c r="BO44" s="255">
        <f>IF(AND(ISNUMBER(BO11),ISNUMBER(BJ11)),IFERROR((BO11-BJ11)/BJ65,""),"")</f>
        <v>0.0675748311411305</v>
      </c>
      <c r="BP44" s="255">
        <f>IF(AND(ISNUMBER(BP11),ISNUMBER(BK11)),IFERROR((BP11-BK11)/BK65,""),"")</f>
        <v>0.0519367580915871</v>
      </c>
      <c r="BQ44" s="255">
        <f>IF(AND(ISNUMBER(BQ11),ISNUMBER(BL11)),IFERROR((BQ11-BL11)/BL65,""),"")</f>
        <v>0.0606018945153251</v>
      </c>
      <c r="BR44" s="255">
        <f>IF(AND(ISNUMBER(BR11),ISNUMBER(BM11)),IFERROR((BR11-BM11)/BM65,""),"")</f>
        <v>0.0739508475364356</v>
      </c>
      <c r="BS44" s="255">
        <f>IF(AND(ISNUMBER(BS11),ISNUMBER(BN11)),IFERROR((BS11-BN11)/BN65,""),"")</f>
        <v>0.0413126471839241</v>
      </c>
      <c r="BT44" s="255">
        <f>IF(AND(ISNUMBER(BT11),ISNUMBER(BO11)),IFERROR((BT11-BO11)/BO65,""),"")</f>
        <v>0.0371938401630356</v>
      </c>
      <c r="BU44" s="255">
        <f>IF(AND(ISNUMBER(BU11),ISNUMBER(BP11)),IFERROR((BU11-BP11)/BP65,""),"")</f>
        <v>0.0362284857861149</v>
      </c>
      <c r="BV44" s="255">
        <f>IF(AND(ISNUMBER(BV11),ISNUMBER(BQ11)),IFERROR((BV11-BQ11)/BQ65,""),"")</f>
        <v>0.0470755249057861</v>
      </c>
      <c r="BW44" s="255">
        <f>IF(AND(ISNUMBER(BW11),ISNUMBER(BR11)),IFERROR((BW11-BR11)/BR65,""),"")</f>
        <v>0.0381491508737386</v>
      </c>
      <c r="BX44" s="255">
        <f>IF(AND(ISNUMBER(BX11),ISNUMBER(BS11)),IFERROR((BX11-BS11)/BS65,""),"")</f>
        <v>0.139733601407389</v>
      </c>
      <c r="BY44" s="255">
        <f>IF(AND(ISNUMBER(BY11),ISNUMBER(BT11)),IFERROR((BY11-BT11)/BT65,""),"")</f>
        <v>0.150354969574037</v>
      </c>
      <c r="BZ44" s="255">
        <f>IF(AND(ISNUMBER(BZ11),ISNUMBER(BU11)),IFERROR((BZ11-BU11)/BU65,""),"")</f>
        <v>0.14804660726525</v>
      </c>
      <c r="CA44" s="255">
        <f>IF(AND(ISNUMBER(CA11),ISNUMBER(BV11)),IFERROR((CA11-BV11)/BV65,""),"")</f>
        <v>0.119293528081648</v>
      </c>
      <c r="CB44" s="255">
        <f>IF(AND(ISNUMBER(CB11),ISNUMBER(BW11)),IFERROR((CB11-BW11)/BW65,""),"")</f>
        <v>0.139449541284404</v>
      </c>
      <c r="CC44" s="256">
        <f>IF(AND(ISNUMBER(CC11),ISNUMBER(BX11)),IFERROR((CC11-BX11)/BX65,""),"")</f>
        <v>0.0792894990480439</v>
      </c>
      <c r="CD44" s="256">
        <f>IF(AND(ISNUMBER(CD11),ISNUMBER(BY11)),IFERROR((CD11-BY11)/BY65,""),"")</f>
        <v>0.0622299988798292</v>
      </c>
      <c r="CE44" s="256">
        <f>IF(AND(ISNUMBER(CE11),ISNUMBER(BZ11)),IFERROR((CE11-BZ11)/BZ65,""),"")</f>
        <v>0.0984822974266721</v>
      </c>
      <c r="CF44" s="256">
        <f>IF(AND(ISNUMBER(CF11),ISNUMBER(CA11)),IFERROR((CF11-CA11)/CA65,""),"")</f>
        <v>0.0944142960428241</v>
      </c>
      <c r="CG44" s="256">
        <f>IF(AND(ISNUMBER(CG11),ISNUMBER(CF11)),IFERROR((CG11-CF11)/CF65,""),"")</f>
        <v>0.0491908483787649</v>
      </c>
      <c r="CH44" s="256">
        <f>IF(AND(ISNUMBER(CH11),ISNUMBER(CG11)),IFERROR((CH11-CG11)/CG65,""),"")</f>
        <v>0.0448994174735275</v>
      </c>
      <c r="CI44" s="256">
        <f>IF(AND(ISNUMBER(CI11),ISNUMBER(CH11)),IFERROR((CI11-CH11)/CH65,""),"")</f>
        <v>0.0397559991207498</v>
      </c>
      <c r="CJ44" s="256">
        <f>IF(AND(ISNUMBER(CJ11),ISNUMBER(CI11)),IFERROR((CJ11-CI11)/CI65,""),"")</f>
        <v>0.0348239396226536</v>
      </c>
      <c r="CK44" s="256">
        <f>IF(AND(ISNUMBER(CK11),ISNUMBER(CJ11)),IFERROR((CK11-CJ11)/CJ65,""),"")</f>
        <v>0.0299765300411472</v>
      </c>
      <c r="CL44" s="153" t="n"/>
      <c r="CT44" s="15" t="inlineStr">
        <is>
          <t>IND_M (Industrial segment gross margin %)</t>
        </is>
      </c>
      <c r="CU44" s="41" t="n">
        <v>0.01</v>
      </c>
      <c r="CV44" s="21" t="inlineStr">
        <is>
          <t>Δ →</t>
        </is>
      </c>
      <c r="CW44" s="41" t="n">
        <v>-0.025</v>
      </c>
      <c r="CX44" s="13" t="inlineStr">
        <is>
          <t>Q1 FY27 50.2%; FY2026 47.1%, FY2023 41.8%: Dodge pricing and productivity (synergies); cyclical downside.</t>
        </is>
      </c>
    </row>
    <row r="45" ht="15" customHeight="1" s="251">
      <c r="B45" s="22" t="inlineStr">
        <is>
          <t xml:space="preserve">  Contribution to total sales growth — Industrial (pp)</t>
        </is>
      </c>
      <c r="C45" s="23" t="n"/>
      <c r="D45" s="255">
        <f>IF(AND(ISNUMBER(D23),ISNUMBER(C23)),IFERROR((D23-C23)/C65,""),"")</f>
      </c>
      <c r="E45" s="255">
        <f>IF(AND(ISNUMBER(E23),ISNUMBER(D23)),IFERROR((E23-D23)/D65,""),"")</f>
      </c>
      <c r="F45" s="255">
        <f>IF(AND(ISNUMBER(F23),ISNUMBER(E23)),IFERROR((F23-E23)/E65,""),"")</f>
      </c>
      <c r="G45" s="255">
        <f>IF(AND(ISNUMBER(G23),ISNUMBER(F23)),IFERROR((G23-F23)/F65,""),"")</f>
      </c>
      <c r="H45" s="255">
        <f>IF(AND(ISNUMBER(H23),ISNUMBER(G23)),IFERROR((H23-G23)/G65,""),"")</f>
      </c>
      <c r="I45" s="255">
        <f>IF(AND(ISNUMBER(I23),ISNUMBER(H23)),IFERROR((I23-H23)/H65,""),"")</f>
      </c>
      <c r="J45" s="23" t="n"/>
      <c r="K45" s="23" t="n"/>
      <c r="L45" s="23" t="n"/>
      <c r="M45" s="23" t="n"/>
      <c r="N45" s="255">
        <f>IF(AND(ISNUMBER(N23),ISNUMBER(I23)),IFERROR((N23-I23)/I65,""),"")</f>
      </c>
      <c r="O45" s="255">
        <f>IF(AND(ISNUMBER(O23),ISNUMBER(J23)),IFERROR((O23-J23)/J65,""),"")</f>
      </c>
      <c r="P45" s="255">
        <f>IF(AND(ISNUMBER(P23),ISNUMBER(K23)),IFERROR((P23-K23)/K65,""),"")</f>
      </c>
      <c r="Q45" s="255">
        <f>IF(AND(ISNUMBER(Q23),ISNUMBER(L23)),IFERROR((Q23-L23)/L65,""),"")</f>
      </c>
      <c r="R45" s="255">
        <f>IF(AND(ISNUMBER(R23),ISNUMBER(M23)),IFERROR((R23-M23)/M65,""),"")</f>
      </c>
      <c r="S45" s="255">
        <f>IF(AND(ISNUMBER(S23),ISNUMBER(N23)),IFERROR((S23-N23)/N65,""),"")</f>
      </c>
      <c r="T45" s="255">
        <f>IF(AND(ISNUMBER(T23),ISNUMBER(O23)),IFERROR((T23-O23)/O65,""),"")</f>
      </c>
      <c r="U45" s="255">
        <f>IF(AND(ISNUMBER(U23),ISNUMBER(P23)),IFERROR((U23-P23)/P65,""),"")</f>
      </c>
      <c r="V45" s="255">
        <f>IF(AND(ISNUMBER(V23),ISNUMBER(Q23)),IFERROR((V23-Q23)/Q65,""),"")</f>
      </c>
      <c r="W45" s="255">
        <f>IF(AND(ISNUMBER(W23),ISNUMBER(R23)),IFERROR((W23-R23)/R65,""),"")</f>
      </c>
      <c r="X45" s="255">
        <f>IF(AND(ISNUMBER(X23),ISNUMBER(S23)),IFERROR((X23-S23)/S65,""),"")</f>
      </c>
      <c r="Y45" s="255">
        <f>IF(AND(ISNUMBER(Y23),ISNUMBER(T23)),IFERROR((Y23-T23)/T65,""),"")</f>
      </c>
      <c r="Z45" s="255">
        <f>IF(AND(ISNUMBER(Z23),ISNUMBER(U23)),IFERROR((Z23-U23)/U65,""),"")</f>
      </c>
      <c r="AA45" s="255">
        <f>IF(AND(ISNUMBER(AA23),ISNUMBER(V23)),IFERROR((AA23-V23)/V65,""),"")</f>
      </c>
      <c r="AB45" s="255">
        <f>IF(AND(ISNUMBER(AB23),ISNUMBER(W23)),IFERROR((AB23-W23)/W65,""),"")</f>
      </c>
      <c r="AC45" s="255">
        <f>IF(AND(ISNUMBER(AC23),ISNUMBER(X23)),IFERROR((AC23-X23)/X65,""),"")</f>
      </c>
      <c r="AD45" s="255">
        <f>IF(AND(ISNUMBER(AD23),ISNUMBER(Y23)),IFERROR((AD23-Y23)/Y65,""),"")</f>
      </c>
      <c r="AE45" s="255">
        <f>IF(AND(ISNUMBER(AE23),ISNUMBER(Z23)),IFERROR((AE23-Z23)/Z65,""),"")</f>
      </c>
      <c r="AF45" s="255">
        <f>IF(AND(ISNUMBER(AF23),ISNUMBER(AA23)),IFERROR((AF23-AA23)/AA65,""),"")</f>
      </c>
      <c r="AG45" s="255">
        <f>IF(AND(ISNUMBER(AG23),ISNUMBER(AB23)),IFERROR((AG23-AB23)/AB65,""),"")</f>
      </c>
      <c r="AH45" s="255">
        <f>IF(AND(ISNUMBER(AH23),ISNUMBER(AC23)),IFERROR((AH23-AC23)/AC65,""),"")</f>
      </c>
      <c r="AI45" s="255">
        <f>IF(AND(ISNUMBER(AI23),ISNUMBER(AD23)),IFERROR((AI23-AD23)/AD65,""),"")</f>
      </c>
      <c r="AJ45" s="255">
        <f>IF(AND(ISNUMBER(AJ23),ISNUMBER(AE23)),IFERROR((AJ23-AE23)/AE65,""),"")</f>
      </c>
      <c r="AK45" s="255">
        <f>IF(AND(ISNUMBER(AK23),ISNUMBER(AF23)),IFERROR((AK23-AF23)/AF65,""),"")</f>
      </c>
      <c r="AL45" s="255">
        <f>IF(AND(ISNUMBER(AL23),ISNUMBER(AG23)),IFERROR((AL23-AG23)/AG65,""),"")</f>
      </c>
      <c r="AM45" s="255">
        <f>IF(AND(ISNUMBER(AM23),ISNUMBER(AH23)),IFERROR((AM23-AH23)/AH65,""),"")</f>
      </c>
      <c r="AN45" s="255">
        <f>IF(AND(ISNUMBER(AN23),ISNUMBER(AI23)),IFERROR((AN23-AI23)/AI65,""),"")</f>
      </c>
      <c r="AO45" s="255">
        <f>IF(AND(ISNUMBER(AO23),ISNUMBER(AJ23)),IFERROR((AO23-AJ23)/AJ65,""),"")</f>
      </c>
      <c r="AP45" s="255">
        <f>IF(AND(ISNUMBER(AP23),ISNUMBER(AK23)),IFERROR((AP23-AK23)/AK65,""),"")</f>
      </c>
      <c r="AQ45" s="255">
        <f>IF(AND(ISNUMBER(AQ23),ISNUMBER(AL23)),IFERROR((AQ23-AL23)/AL65,""),"")</f>
      </c>
      <c r="AR45" s="255">
        <f>IF(AND(ISNUMBER(AR23),ISNUMBER(AM23)),IFERROR((AR23-AM23)/AM65,""),"")</f>
      </c>
      <c r="AS45" s="255">
        <f>IF(AND(ISNUMBER(AS23),ISNUMBER(AN23)),IFERROR((AS23-AN23)/AN65,""),"")</f>
      </c>
      <c r="AT45" s="255">
        <f>IF(AND(ISNUMBER(AT23),ISNUMBER(AO23)),IFERROR((AT23-AO23)/AO65,""),"")</f>
      </c>
      <c r="AU45" s="255">
        <f>IF(AND(ISNUMBER(AU23),ISNUMBER(AP23)),IFERROR((AU23-AP23)/AP65,""),"")</f>
      </c>
      <c r="AV45" s="255">
        <f>IF(AND(ISNUMBER(AV23),ISNUMBER(AQ23)),IFERROR((AV23-AQ23)/AQ65,""),"")</f>
      </c>
      <c r="AW45" s="255">
        <f>IF(AND(ISNUMBER(AW23),ISNUMBER(AR23)),IFERROR((AW23-AR23)/AR65,""),"")</f>
      </c>
      <c r="AX45" s="255">
        <f>IF(AND(ISNUMBER(AX23),ISNUMBER(AS23)),IFERROR((AX23-AS23)/AS65,""),"")</f>
      </c>
      <c r="AY45" s="255">
        <f>IF(AND(ISNUMBER(AY23),ISNUMBER(AT23)),IFERROR((AY23-AT23)/AT65,""),"")</f>
      </c>
      <c r="AZ45" s="255">
        <f>IF(AND(ISNUMBER(AZ23),ISNUMBER(AU23)),IFERROR((AZ23-AU23)/AU65,""),"")</f>
      </c>
      <c r="BA45" s="255">
        <f>IF(AND(ISNUMBER(BA23),ISNUMBER(AV23)),IFERROR((BA23-AV23)/AV65,""),"")</f>
      </c>
      <c r="BB45" s="255">
        <f>IF(AND(ISNUMBER(BB23),ISNUMBER(AW23)),IFERROR((BB23-AW23)/AW65,""),"")</f>
      </c>
      <c r="BC45" s="255">
        <f>IF(AND(ISNUMBER(BC23),ISNUMBER(AX23)),IFERROR((BC23-AX23)/AX65,""),"")</f>
      </c>
      <c r="BD45" s="255">
        <f>IF(AND(ISNUMBER(BD23),ISNUMBER(AY23)),IFERROR((BD23-AY23)/AY65,""),"")</f>
      </c>
      <c r="BE45" s="255">
        <f>IF(AND(ISNUMBER(BE23),ISNUMBER(AZ23)),IFERROR((BE23-AZ23)/AZ65,""),"")</f>
        <v>0.830626418302356</v>
      </c>
      <c r="BF45" s="255">
        <f>IF(AND(ISNUMBER(BF23),ISNUMBER(BA23)),IFERROR((BF23-BA23)/BA65,""),"")</f>
        <v>1.1852397142768</v>
      </c>
      <c r="BG45" s="255">
        <f>IF(AND(ISNUMBER(BG23),ISNUMBER(BB23)),IFERROR((BG23-BB23)/BB65,""),"")</f>
        <v>0.572604534766102</v>
      </c>
      <c r="BH45" s="255">
        <f>IF(AND(ISNUMBER(BH23),ISNUMBER(BC23)),IFERROR((BH23-BC23)/BC65,""),"")</f>
        <v>1.20893057200474</v>
      </c>
      <c r="BI45" s="255">
        <f>IF(AND(ISNUMBER(BI23),ISNUMBER(BD23)),IFERROR((BI23-BD23)/BD65,""),"")</f>
        <v>1.22830329397141</v>
      </c>
      <c r="BJ45" s="255">
        <f>IF(AND(ISNUMBER(BJ23),ISNUMBER(BE23)),IFERROR((BJ23-BE23)/BE65,""),"")</f>
        <v>0.270995268830094</v>
      </c>
      <c r="BK45" s="255">
        <f>IF(AND(ISNUMBER(BK23),ISNUMBER(BF23)),IFERROR((BK23-BF23)/BF65,""),"")</f>
        <v>0.0521066989152332</v>
      </c>
      <c r="BL45" s="255">
        <f>IF(AND(ISNUMBER(BL23),ISNUMBER(BG23)),IFERROR((BL23-BG23)/BG65,""),"")</f>
        <v>0.506415592982352</v>
      </c>
      <c r="BM45" s="255">
        <f>IF(AND(ISNUMBER(BM23),ISNUMBER(BH23)),IFERROR((BM23-BH23)/BH65,""),"")</f>
        <v>0.0338030953456845</v>
      </c>
      <c r="BN45" s="255">
        <f>IF(AND(ISNUMBER(BN23),ISNUMBER(BI23)),IFERROR((BN23-BI23)/BI65,""),"")</f>
        <v>-0.0198230069318223</v>
      </c>
      <c r="BO45" s="255">
        <f>IF(AND(ISNUMBER(BO23),ISNUMBER(BJ23)),IFERROR((BO23-BJ23)/BJ65,""),"")</f>
        <v>-0.0042090295058656</v>
      </c>
      <c r="BP45" s="255">
        <f>IF(AND(ISNUMBER(BP23),ISNUMBER(BK23)),IFERROR((BP23-BK23)/BK65,""),"")</f>
        <v>-0.00311088123887607</v>
      </c>
      <c r="BQ45" s="255">
        <f>IF(AND(ISNUMBER(BQ23),ISNUMBER(BL23)),IFERROR((BQ23-BL23)/BL65,""),"")</f>
        <v>0.00132308442013645</v>
      </c>
      <c r="BR45" s="255">
        <f>IF(AND(ISNUMBER(BR23),ISNUMBER(BM23)),IFERROR((BR23-BM23)/BM65,""),"")</f>
        <v>-0.0244109092224156</v>
      </c>
      <c r="BS45" s="255">
        <f>IF(AND(ISNUMBER(BS23),ISNUMBER(BN23)),IFERROR((BS23-BN23)/BN65,""),"")</f>
        <v>-0.00933937111615989</v>
      </c>
      <c r="BT45" s="255">
        <f>IF(AND(ISNUMBER(BT23),ISNUMBER(BO23)),IFERROR((BT23-BO23)/BO65,""),"")</f>
        <v>0.0176167271988146</v>
      </c>
      <c r="BU45" s="255">
        <f>IF(AND(ISNUMBER(BU23),ISNUMBER(BP23)),IFERROR((BU23-BP23)/BP65,""),"")</f>
        <v>0.021835718429704</v>
      </c>
      <c r="BV45" s="255">
        <f>IF(AND(ISNUMBER(BV23),ISNUMBER(BQ23)),IFERROR((BV23-BQ23)/BQ65,""),"")</f>
        <v>0.00164649934627116</v>
      </c>
      <c r="BW45" s="255">
        <f>IF(AND(ISNUMBER(BW23),ISNUMBER(BR23)),IFERROR((BW23-BR23)/BR65,""),"")</f>
        <v>0.034949544671425</v>
      </c>
      <c r="BX45" s="255">
        <f>IF(AND(ISNUMBER(BX23),ISNUMBER(BS23)),IFERROR((BX23-BS23)/BS65,""),"")</f>
        <v>0.00452374968585075</v>
      </c>
      <c r="BY45" s="255">
        <f>IF(AND(ISNUMBER(BY23),ISNUMBER(BT23)),IFERROR((BY23-BT23)/BT65,""),"")</f>
        <v>0.0200304259634889</v>
      </c>
      <c r="BZ45" s="255">
        <f>IF(AND(ISNUMBER(BZ23),ISNUMBER(BU23)),IFERROR((BZ23-BU23)/BU65,""),"")</f>
        <v>0.0354123829106694</v>
      </c>
      <c r="CA45" s="255">
        <f>IF(AND(ISNUMBER(CA23),ISNUMBER(BV23)),IFERROR((CA23-BV23)/BV65,""),"")</f>
        <v>0.0240787141722179</v>
      </c>
      <c r="CB45" s="255">
        <f>IF(AND(ISNUMBER(CB23),ISNUMBER(BW23)),IFERROR((CB23-BW23)/BW65,""),"")</f>
        <v>0.0520642201834863</v>
      </c>
      <c r="CC45" s="256">
        <f>IF(AND(ISNUMBER(CC23),ISNUMBER(BX23)),IFERROR((CC23-BX23)/BX65,""),"")</f>
        <v>0.0408510676113015</v>
      </c>
      <c r="CD45" s="256">
        <f>IF(AND(ISNUMBER(CD23),ISNUMBER(BY23)),IFERROR((CD23-BY23)/BY65,""),"")</f>
        <v>0.0447763532869448</v>
      </c>
      <c r="CE45" s="256">
        <f>IF(AND(ISNUMBER(CE23),ISNUMBER(BZ23)),IFERROR((CE23-BZ23)/BZ65,""),"")</f>
        <v>0.0919074724013772</v>
      </c>
      <c r="CF45" s="256">
        <f>IF(AND(ISNUMBER(CF23),ISNUMBER(CA23)),IFERROR((CF23-CA23)/CA65,""),"")</f>
        <v>0.0585687778419972</v>
      </c>
      <c r="CG45" s="256">
        <f>IF(AND(ISNUMBER(CG23),ISNUMBER(CF23)),IFERROR((CG23-CF23)/CF65,""),"")</f>
        <v>0.0331686281570373</v>
      </c>
      <c r="CH45" s="256">
        <f>IF(AND(ISNUMBER(CH23),ISNUMBER(CG23)),IFERROR((CH23-CG23)/CG65,""),"")</f>
        <v>0.0291521717601096</v>
      </c>
      <c r="CI45" s="256">
        <f>IF(AND(ISNUMBER(CI23),ISNUMBER(CH23)),IFERROR((CI23-CH23)/CH65,""),"")</f>
        <v>0.0250067619452905</v>
      </c>
      <c r="CJ45" s="256">
        <f>IF(AND(ISNUMBER(CJ23),ISNUMBER(CI23)),IFERROR((CJ23-CI23)/CI65,""),"")</f>
        <v>0.0237382124449207</v>
      </c>
      <c r="CK45" s="256">
        <f>IF(AND(ISNUMBER(CK23),ISNUMBER(CJ23)),IFERROR((CK23-CJ23)/CJ65,""),"")</f>
        <v>0.0204339097238555</v>
      </c>
      <c r="CL45" s="153" t="n"/>
      <c r="CT45" s="25" t="inlineStr">
        <is>
          <t xml:space="preserve">  2028E</t>
        </is>
      </c>
      <c r="CU45" s="33">
        <f>CV45+$CU$44</f>
        <v>0.495</v>
      </c>
      <c r="CV45" s="42" t="n">
        <v>0.485</v>
      </c>
      <c r="CW45" s="33">
        <f>CV45+$CW$44</f>
        <v>0.46</v>
      </c>
    </row>
    <row r="46" ht="15" customHeight="1" s="251">
      <c r="B46" s="22" t="inlineStr">
        <is>
          <t xml:space="preserve">  Total net sales growth where the segment split is not available (pp)</t>
        </is>
      </c>
      <c r="C46" s="23" t="n"/>
      <c r="D46" s="255">
        <f>IF(ISNUMBER(D11),"",IFERROR(D108/C108-1,""))</f>
        <v>0.114943408048552</v>
      </c>
      <c r="E46" s="255">
        <f>IF(ISNUMBER(E11),"",IFERROR(E108/D108-1,""))</f>
        <v>0.080173298220622</v>
      </c>
      <c r="F46" s="255">
        <f>IF(ISNUMBER(F11),"",IFERROR(F108/E108-1,""))</f>
        <v>0.0762129461584995</v>
      </c>
      <c r="G46" s="255">
        <f>IF(ISNUMBER(G11),"",IFERROR(G108/F108-1,""))</f>
        <v>-0.227922742245556</v>
      </c>
      <c r="H46" s="255">
        <f>IF(ISNUMBER(H11),"",IFERROR(H108/G108-1,""))</f>
        <v>0.221778509075289</v>
      </c>
      <c r="I46" s="255">
        <f>IF(ISNUMBER(I11),"",IFERROR(I108/H108-1,""))</f>
        <v>0.184390316573557</v>
      </c>
      <c r="J46" s="23" t="n"/>
      <c r="K46" s="23" t="n"/>
      <c r="L46" s="23" t="n"/>
      <c r="M46" s="23" t="n"/>
      <c r="N46" s="255">
        <f>IF(ISNUMBER(N11),"",IFERROR(N108/I108-1,""))</f>
        <v>0.0139367212479653</v>
      </c>
      <c r="O46" s="255">
        <f>IF(ISNUMBER(O11),"",IFERROR(O108/J108-1,""))</f>
        <v>-0.00644511970890505</v>
      </c>
      <c r="P46" s="255">
        <f>IF(ISNUMBER(P11),"",IFERROR(P108/K108-1,""))</f>
        <v>0.0157310087173099</v>
      </c>
      <c r="Q46" s="255">
        <f>IF(ISNUMBER(Q11),"",IFERROR(Q108/L108-1,""))</f>
        <v>0.0437012124231857</v>
      </c>
      <c r="R46" s="255">
        <f>IF(ISNUMBER(R11),"",IFERROR(R108/M108-1,""))</f>
        <v>0.10399394210046</v>
      </c>
      <c r="S46" s="255">
        <f>IF(ISNUMBER(S11),"",IFERROR(S108/N108-1,""))</f>
        <v>0.0392878320609551</v>
      </c>
      <c r="T46" s="255">
        <f>IF(ISNUMBER(T11),"",IFERROR(T108/O108-1,""))</f>
        <v>0.100479214555655</v>
      </c>
      <c r="U46" s="255">
        <f>IF(ISNUMBER(U11),"",IFERROR(U108/P108-1,""))</f>
        <v>0.103978264707613</v>
      </c>
      <c r="V46" s="255">
        <f>IF(ISNUMBER(V11),"",IFERROR(V108/Q108-1,""))</f>
        <v>0.0574463429673979</v>
      </c>
      <c r="W46" s="255">
        <f>IF(ISNUMBER(W11),"",IFERROR(W108/R108-1,""))</f>
        <v>-0.00264689846814048</v>
      </c>
      <c r="X46" s="255">
        <f>IF(ISNUMBER(X11),"",IFERROR(X108/S108-1,""))</f>
        <v>0.0630052090544921</v>
      </c>
      <c r="Y46" s="255">
        <f>IF(ISNUMBER(Y11),"",IFERROR(Y108/T108-1,""))</f>
        <v>0.259541173971536</v>
      </c>
      <c r="Z46" s="255">
        <f>IF(ISNUMBER(Z11),"",IFERROR(Z108/U108-1,""))</f>
        <v>0.321096352894141</v>
      </c>
      <c r="AA46" s="255">
        <f>IF(ISNUMBER(AA11),"",IFERROR(AA108/V108-1,""))</f>
        <v>0.35640789300427</v>
      </c>
      <c r="AB46" s="255">
        <f>IF(ISNUMBER(AB11),"",IFERROR(AB108/W108-1,""))</f>
        <v>0.430579190068508</v>
      </c>
      <c r="AC46" s="255">
        <f>IF(ISNUMBER(AC11),"",IFERROR(AC108/X108-1,""))</f>
        <v>0.341795462609875</v>
      </c>
      <c r="AD46" s="255">
        <f>IF(ISNUMBER(AD11),"",IFERROR(AD108/Y108-1,""))</f>
        <v>0.0862284622087304</v>
      </c>
      <c r="AE46" s="255">
        <f>IF(ISNUMBER(AE11),"",IFERROR(AE108/Z108-1,""))</f>
        <v>0.0352867595631357</v>
      </c>
      <c r="AF46" s="255">
        <f>IF(ISNUMBER(AF11),"",IFERROR(AF108/AA108-1,""))</f>
        <v>0.0169190658456759</v>
      </c>
      <c r="AG46" s="255">
        <f>IF(ISNUMBER(AG11),"",IFERROR(AG108/AB108-1,""))</f>
        <v>-0.0125853610433153</v>
      </c>
      <c r="AH46" s="255">
        <f>IF(ISNUMBER(AH11),"",IFERROR(AH108/AC108-1,""))</f>
        <v>0.0299863424562157</v>
      </c>
      <c r="AI46" s="255">
        <f>IF(ISNUMBER(AI11),"",IFERROR(AI108/AD108-1,""))</f>
        <v>0.0602798569016489</v>
      </c>
      <c r="AJ46" s="255">
        <f>IF(ISNUMBER(AJ11),"",IFERROR(AJ108/AE108-1,""))</f>
        <v>0.0673885788895889</v>
      </c>
      <c r="AK46" s="255">
        <f>IF(ISNUMBER(AK11),"",IFERROR(AK108/AF108-1,""))</f>
        <v>0.13775092734017</v>
      </c>
      <c r="AL46" s="255">
        <f>IF(ISNUMBER(AL11),"",IFERROR(AL108/AG108-1,""))</f>
        <v>0.122757630609825</v>
      </c>
      <c r="AM46" s="255">
        <f>IF(ISNUMBER(AM11),"",IFERROR(AM108/AH108-1,""))</f>
        <v>0.0967860926764901</v>
      </c>
      <c r="AN46" s="255">
        <f>IF(ISNUMBER(AN11),"",IFERROR(AN108/AI108-1,""))</f>
        <v>0.0737536379555455</v>
      </c>
      <c r="AO46" s="255">
        <f>IF(ISNUMBER(AO11),"",IFERROR(AO108/AJ108-1,""))</f>
        <v>0.0523317733405551</v>
      </c>
      <c r="AP46" s="255">
        <f>IF(ISNUMBER(AP11),"",IFERROR(AP108/AK108-1,""))</f>
        <v>0.027538385932949</v>
      </c>
      <c r="AQ46" s="255">
        <f>IF(ISNUMBER(AQ11),"",IFERROR(AQ108/AL108-1,""))</f>
        <v>0.0127031249131351</v>
      </c>
      <c r="AR46" s="255">
        <f>IF(ISNUMBER(AR11),"",IFERROR(AR108/AM108-1,""))</f>
        <v>0.0408430859220474</v>
      </c>
      <c r="AS46" s="255">
        <f>IF(ISNUMBER(AS11),"",IFERROR(AS108/AN108-1,""))</f>
        <v>0.0380998380543796</v>
      </c>
      <c r="AT46" s="255">
        <f>IF(ISNUMBER(AT11),"",IFERROR(AT108/AO108-1,""))</f>
        <v>0.0520079113558027</v>
      </c>
      <c r="AU46" s="255">
        <f>IF(ISNUMBER(AU11),"",IFERROR(AU108/AP108-1,""))</f>
        <v>0.0324637072550495</v>
      </c>
      <c r="AV46" s="255">
        <f>IF(ISNUMBER(AV11),"",IFERROR(AV108/AQ108-1,""))</f>
        <v>0.0202072880183573</v>
      </c>
      <c r="AW46" s="255">
        <f>IF(ISNUMBER(AW11),"",IFERROR(AW108/AR108-1,""))</f>
        <v>0.0355080880720156</v>
      </c>
      <c r="AX46" s="255">
        <f>IF(ISNUMBER(AX11),"",IFERROR(AX108/AS108-1,""))</f>
        <v>-0.143395916579999</v>
      </c>
      <c r="AY46" s="255">
        <f>IF(ISNUMBER(AY11),"",IFERROR(AY108/AT108-1,""))</f>
        <v>-0.195559318120599</v>
      </c>
      <c r="AZ46" s="255">
        <f>IF(ISNUMBER(AZ11),"",IFERROR(AZ108/AU108-1,""))</f>
      </c>
      <c r="BA46" s="255">
        <f>IF(ISNUMBER(BA11),"",IFERROR(BA108/AV108-1,""))</f>
      </c>
      <c r="BB46" s="255">
        <f>IF(ISNUMBER(BB11),"",IFERROR(BB108/AW108-1,""))</f>
      </c>
      <c r="BC46" s="255">
        <f>IF(ISNUMBER(BC11),"",IFERROR(BC108/AX108-1,""))</f>
      </c>
      <c r="BD46" s="255">
        <f>IF(ISNUMBER(BD11),"",IFERROR(BD108/AY108-1,""))</f>
      </c>
      <c r="BE46" s="255">
        <f>IF(ISNUMBER(BE11),"",IFERROR(BE108/AZ108-1,""))</f>
      </c>
      <c r="BF46" s="255">
        <f>IF(ISNUMBER(BF11),"",IFERROR(BF108/BA108-1,""))</f>
      </c>
      <c r="BG46" s="255">
        <f>IF(ISNUMBER(BG11),"",IFERROR(BG108/BB108-1,""))</f>
      </c>
      <c r="BH46" s="255">
        <f>IF(ISNUMBER(BH11),"",IFERROR(BH108/BC108-1,""))</f>
      </c>
      <c r="BI46" s="255">
        <f>IF(ISNUMBER(BI11),"",IFERROR(BI108/BD108-1,""))</f>
      </c>
      <c r="BJ46" s="255">
        <f>IF(ISNUMBER(BJ11),"",IFERROR(BJ108/BE108-1,""))</f>
      </c>
      <c r="BK46" s="255">
        <f>IF(ISNUMBER(BK11),"",IFERROR(BK108/BF108-1,""))</f>
      </c>
      <c r="BL46" s="255">
        <f>IF(ISNUMBER(BL11),"",IFERROR(BL108/BG108-1,""))</f>
      </c>
      <c r="BM46" s="255">
        <f>IF(ISNUMBER(BM11),"",IFERROR(BM108/BH108-1,""))</f>
      </c>
      <c r="BN46" s="255">
        <f>IF(ISNUMBER(BN11),"",IFERROR(BN108/BI108-1,""))</f>
      </c>
      <c r="BO46" s="255">
        <f>IF(ISNUMBER(BO11),"",IFERROR(BO108/BJ108-1,""))</f>
      </c>
      <c r="BP46" s="255">
        <f>IF(ISNUMBER(BP11),"",IFERROR(BP108/BK108-1,""))</f>
      </c>
      <c r="BQ46" s="255">
        <f>IF(ISNUMBER(BQ11),"",IFERROR(BQ108/BL108-1,""))</f>
      </c>
      <c r="BR46" s="255">
        <f>IF(ISNUMBER(BR11),"",IFERROR(BR108/BM108-1,""))</f>
      </c>
      <c r="BS46" s="255">
        <f>IF(ISNUMBER(BS11),"",IFERROR(BS108/BN108-1,""))</f>
      </c>
      <c r="BT46" s="255">
        <f>IF(ISNUMBER(BT11),"",IFERROR(BT108/BO108-1,""))</f>
      </c>
      <c r="BU46" s="255">
        <f>IF(ISNUMBER(BU11),"",IFERROR(BU108/BP108-1,""))</f>
      </c>
      <c r="BV46" s="255">
        <f>IF(ISNUMBER(BV11),"",IFERROR(BV108/BQ108-1,""))</f>
      </c>
      <c r="BW46" s="255">
        <f>IF(ISNUMBER(BW11),"",IFERROR(BW108/BR108-1,""))</f>
      </c>
      <c r="BX46" s="255">
        <f>IF(ISNUMBER(BX11),"",IFERROR(BX108/BS108-1,""))</f>
      </c>
      <c r="BY46" s="255">
        <f>IF(ISNUMBER(BY11),"",IFERROR(BY108/BT108-1,""))</f>
      </c>
      <c r="BZ46" s="255">
        <f>IF(ISNUMBER(BZ11),"",IFERROR(BZ108/BU108-1,""))</f>
      </c>
      <c r="CA46" s="255">
        <f>IF(ISNUMBER(CA11),"",IFERROR(CA108/BV108-1,""))</f>
      </c>
      <c r="CB46" s="255">
        <f>IF(ISNUMBER(CB11),"",IFERROR(CB108/BW108-1,""))</f>
      </c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  <c r="CL46" s="153" t="n"/>
      <c r="CT46" s="25" t="inlineStr">
        <is>
          <t xml:space="preserve">  2029E</t>
        </is>
      </c>
      <c r="CU46" s="33">
        <f>CV46+$CU$44</f>
        <v>0.5</v>
      </c>
      <c r="CV46" s="42" t="n">
        <v>0.49</v>
      </c>
      <c r="CW46" s="33">
        <f>CV46+$CW$44</f>
        <v>0.465</v>
      </c>
    </row>
    <row r="47" ht="15" customHeight="1" s="251">
      <c r="B47" s="156" t="inlineStr">
        <is>
          <t xml:space="preserve">  Memo: backlog at period end (release)</t>
        </is>
      </c>
      <c r="C47" s="259" t="n">
        <v>160.761</v>
      </c>
      <c r="D47" s="259" t="n">
        <v>176.578</v>
      </c>
      <c r="E47" s="259" t="n">
        <v>217.709</v>
      </c>
      <c r="F47" s="259" t="n">
        <v>179.316</v>
      </c>
      <c r="G47" s="259" t="n">
        <v>157.918</v>
      </c>
      <c r="H47" s="259" t="n">
        <v>196.697</v>
      </c>
      <c r="I47" s="259" t="n">
        <v>215.873</v>
      </c>
      <c r="J47" s="259" t="n">
        <v>211.532</v>
      </c>
      <c r="K47" s="259" t="n">
        <v>216.086</v>
      </c>
      <c r="L47" s="259" t="n">
        <v>211.286</v>
      </c>
      <c r="M47" s="259" t="n">
        <v>216.51</v>
      </c>
      <c r="N47" s="259" t="n">
        <v>216.51</v>
      </c>
      <c r="O47" s="259" t="n">
        <v>218.876</v>
      </c>
      <c r="P47" s="259" t="n">
        <v>222.321</v>
      </c>
      <c r="Q47" s="259" t="n">
        <v>218.567</v>
      </c>
      <c r="R47" s="259" t="n">
        <v>218.388</v>
      </c>
      <c r="S47" s="259" t="n">
        <v>218.388</v>
      </c>
      <c r="T47" s="259" t="n">
        <v>219.776</v>
      </c>
      <c r="U47" s="259" t="n">
        <v>217.955</v>
      </c>
      <c r="V47" s="259" t="n">
        <v>217.525</v>
      </c>
      <c r="W47" s="259" t="n">
        <v>209.55</v>
      </c>
      <c r="X47" s="259" t="n">
        <v>209.55</v>
      </c>
      <c r="Y47" s="259" t="n">
        <v>340.804</v>
      </c>
      <c r="Z47" s="259" t="n">
        <v>347.792</v>
      </c>
      <c r="AA47" s="259" t="n">
        <v>351.297</v>
      </c>
      <c r="AB47" s="259" t="n">
        <v>346.442</v>
      </c>
      <c r="AC47" s="259" t="n">
        <v>346.442</v>
      </c>
      <c r="AD47" s="259" t="n">
        <v>352.556</v>
      </c>
      <c r="AE47" s="259" t="n">
        <v>341.812</v>
      </c>
      <c r="AF47" s="259" t="n">
        <v>349.123</v>
      </c>
      <c r="AG47" s="259" t="n">
        <v>354.068</v>
      </c>
      <c r="AH47" s="259" t="n">
        <v>354.068</v>
      </c>
      <c r="AI47" s="259" t="n">
        <v>380.45</v>
      </c>
      <c r="AJ47" s="259" t="n">
        <v>390.185</v>
      </c>
      <c r="AK47" s="259" t="n">
        <v>392.462</v>
      </c>
      <c r="AL47" s="259" t="n">
        <v>392.085</v>
      </c>
      <c r="AM47" s="259" t="n">
        <v>392.085</v>
      </c>
      <c r="AN47" s="259" t="n">
        <v>419.249</v>
      </c>
      <c r="AO47" s="259" t="n">
        <v>429.904</v>
      </c>
      <c r="AP47" s="259" t="n">
        <v>428.231</v>
      </c>
      <c r="AQ47" s="259" t="n">
        <v>445.099</v>
      </c>
      <c r="AR47" s="259" t="n">
        <v>445.099</v>
      </c>
      <c r="AS47" s="259" t="n">
        <v>459.413</v>
      </c>
      <c r="AT47" s="259" t="n">
        <v>473.233</v>
      </c>
      <c r="AU47" s="259" t="n">
        <v>477.702</v>
      </c>
      <c r="AV47" s="259" t="n">
        <v>478.582</v>
      </c>
      <c r="AW47" s="259" t="n">
        <v>478.582</v>
      </c>
      <c r="AX47" s="259" t="n">
        <v>431.948</v>
      </c>
      <c r="AY47" s="259" t="n">
        <v>402.958</v>
      </c>
      <c r="AZ47" s="259" t="n">
        <v>393.934</v>
      </c>
      <c r="BA47" s="259" t="n">
        <v>394.773</v>
      </c>
      <c r="BB47" s="259" t="n">
        <v>394.773</v>
      </c>
      <c r="BC47" s="259" t="n">
        <v>420.218</v>
      </c>
      <c r="BD47" s="259" t="n">
        <v>456.741</v>
      </c>
      <c r="BE47" s="259" t="n">
        <v>552.712</v>
      </c>
      <c r="BF47" s="259" t="n">
        <v>603.09</v>
      </c>
      <c r="BG47" s="259" t="n">
        <v>603.09</v>
      </c>
      <c r="BH47" s="259" t="n">
        <v>635.741</v>
      </c>
      <c r="BI47" s="259" t="n">
        <v>653.2380000000001</v>
      </c>
      <c r="BJ47" s="259" t="n">
        <v>613.582</v>
      </c>
      <c r="BK47" s="259" t="n">
        <v>663.83</v>
      </c>
      <c r="BL47" s="259" t="n">
        <v>663.83</v>
      </c>
      <c r="BM47" s="259" t="n">
        <v>641.124</v>
      </c>
      <c r="BN47" s="259" t="n">
        <v>641.282</v>
      </c>
      <c r="BO47" s="259" t="n">
        <v>652.138</v>
      </c>
      <c r="BP47" s="259" t="n">
        <v>726.1</v>
      </c>
      <c r="BQ47" s="259" t="n">
        <v>726.1</v>
      </c>
      <c r="BR47" s="259" t="n">
        <v>825.8</v>
      </c>
      <c r="BS47" s="259" t="n">
        <v>864</v>
      </c>
      <c r="BT47" s="259" t="n">
        <v>896.5</v>
      </c>
      <c r="BU47" s="259" t="n">
        <v>940.7</v>
      </c>
      <c r="BV47" s="259" t="n">
        <v>940.7</v>
      </c>
      <c r="BW47" s="259" t="n">
        <v>1017.3</v>
      </c>
      <c r="BX47" s="259" t="n">
        <v>1600</v>
      </c>
      <c r="BY47" s="259" t="n">
        <v>2100</v>
      </c>
      <c r="BZ47" s="259" t="n">
        <v>2300</v>
      </c>
      <c r="CA47" s="259" t="n">
        <v>2300</v>
      </c>
      <c r="CB47" s="259" t="n">
        <v>2300</v>
      </c>
      <c r="CC47" s="153" t="n"/>
      <c r="CD47" s="153" t="n"/>
      <c r="CE47" s="153" t="n"/>
      <c r="CF47" s="153" t="n"/>
      <c r="CG47" s="153" t="n"/>
      <c r="CH47" s="153" t="n"/>
      <c r="CI47" s="153" t="n"/>
      <c r="CJ47" s="153" t="n"/>
      <c r="CK47" s="153" t="n"/>
      <c r="CL47" s="153" t="n"/>
      <c r="CT47" s="25" t="inlineStr">
        <is>
          <t xml:space="preserve">  2030E</t>
        </is>
      </c>
      <c r="CU47" s="33">
        <f>CV47+$CU$44</f>
        <v>0.505</v>
      </c>
      <c r="CV47" s="42" t="n">
        <v>0.495</v>
      </c>
      <c r="CW47" s="33">
        <f>CV47+$CW$44</f>
        <v>0.47</v>
      </c>
    </row>
    <row r="48" ht="15" customHeight="1" s="251">
      <c r="CT48" s="25" t="inlineStr">
        <is>
          <t xml:space="preserve">  2031E</t>
        </is>
      </c>
      <c r="CU48" s="33">
        <f>CV48+$CU$44</f>
        <v>0.507</v>
      </c>
      <c r="CV48" s="42" t="n">
        <v>0.497</v>
      </c>
      <c r="CW48" s="33">
        <f>CV48+$CW$44</f>
        <v>0.472</v>
      </c>
    </row>
    <row r="49" ht="15" customHeight="1" s="251">
      <c r="B49" s="14" t="inlineStr">
        <is>
          <t>Future acquisitions (M&amp;A lever — bolt-ons from FY2028E, unallocated)</t>
        </is>
      </c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  <c r="AP49" s="14" t="n"/>
      <c r="AQ49" s="14" t="n"/>
      <c r="AR49" s="14" t="n"/>
      <c r="AS49" s="14" t="n"/>
      <c r="AT49" s="14" t="n"/>
      <c r="AU49" s="14" t="n"/>
      <c r="AV49" s="14" t="n"/>
      <c r="AW49" s="14" t="n"/>
      <c r="AX49" s="14" t="n"/>
      <c r="AY49" s="14" t="n"/>
      <c r="AZ49" s="14" t="n"/>
      <c r="BA49" s="14" t="n"/>
      <c r="BB49" s="14" t="n"/>
      <c r="BC49" s="14" t="n"/>
      <c r="BD49" s="14" t="n"/>
      <c r="BE49" s="14" t="n"/>
      <c r="BF49" s="14" t="n"/>
      <c r="BG49" s="14" t="n"/>
      <c r="BH49" s="14" t="n"/>
      <c r="BI49" s="14" t="n"/>
      <c r="BJ49" s="14" t="n"/>
      <c r="BK49" s="14" t="n"/>
      <c r="BL49" s="14" t="n"/>
      <c r="BM49" s="14" t="n"/>
      <c r="BN49" s="14" t="n"/>
      <c r="BO49" s="14" t="n"/>
      <c r="BP49" s="14" t="n"/>
      <c r="BQ49" s="14" t="n"/>
      <c r="BR49" s="14" t="n"/>
      <c r="BS49" s="14" t="n"/>
      <c r="BT49" s="14" t="n"/>
      <c r="BU49" s="14" t="n"/>
      <c r="BV49" s="14" t="n"/>
      <c r="BW49" s="14" t="n"/>
      <c r="BX49" s="14" t="n"/>
      <c r="BY49" s="14" t="n"/>
      <c r="BZ49" s="14" t="n"/>
      <c r="CA49" s="14" t="n"/>
      <c r="CB49" s="14" t="n"/>
      <c r="CC49" s="14" t="n"/>
      <c r="CD49" s="14" t="n"/>
      <c r="CE49" s="14" t="n"/>
      <c r="CF49" s="14" t="n"/>
      <c r="CG49" s="14" t="n"/>
      <c r="CH49" s="14" t="n"/>
      <c r="CI49" s="14" t="n"/>
      <c r="CJ49" s="14" t="n"/>
      <c r="CK49" s="14" t="n"/>
      <c r="CL49" s="15" t="inlineStr">
        <is>
          <t>M&amp;A LEVER — acquired revenue = spend ÷ EV/sales; mid-year convention</t>
        </is>
      </c>
      <c r="CT49" s="25" t="inlineStr">
        <is>
          <t xml:space="preserve">  2032E</t>
        </is>
      </c>
      <c r="CU49" s="33">
        <f>CV49+$CU$44</f>
        <v>0.51</v>
      </c>
      <c r="CV49" s="42" t="n">
        <v>0.5</v>
      </c>
      <c r="CW49" s="33">
        <f>CV49+$CW$44</f>
        <v>0.475</v>
      </c>
    </row>
    <row r="50" ht="15" customHeight="1" s="251">
      <c r="B50" s="25" t="inlineStr">
        <is>
          <t xml:space="preserve">  Acquisition spend (USDm, scenario)</t>
        </is>
      </c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/>
      <c r="S50" s="34" t="n"/>
      <c r="T50" s="34" t="n"/>
      <c r="U50" s="34" t="n"/>
      <c r="V50" s="34" t="n"/>
      <c r="W50" s="34" t="n"/>
      <c r="X50" s="34" t="n"/>
      <c r="Y50" s="34" t="n"/>
      <c r="Z50" s="34" t="n"/>
      <c r="AA50" s="34" t="n"/>
      <c r="AB50" s="34" t="n"/>
      <c r="AC50" s="34" t="n"/>
      <c r="AD50" s="34" t="n"/>
      <c r="AE50" s="34" t="n"/>
      <c r="AF50" s="34" t="n"/>
      <c r="AG50" s="34" t="n"/>
      <c r="AH50" s="34" t="n"/>
      <c r="AI50" s="34" t="n"/>
      <c r="AJ50" s="34" t="n"/>
      <c r="AK50" s="34" t="n"/>
      <c r="AL50" s="34" t="n"/>
      <c r="AM50" s="34" t="n"/>
      <c r="AN50" s="34" t="n"/>
      <c r="AO50" s="34" t="n"/>
      <c r="AP50" s="34" t="n"/>
      <c r="AQ50" s="34" t="n"/>
      <c r="AR50" s="34" t="n"/>
      <c r="AS50" s="34" t="n"/>
      <c r="AT50" s="34" t="n"/>
      <c r="AU50" s="34" t="n"/>
      <c r="AV50" s="34" t="n"/>
      <c r="AW50" s="34" t="n"/>
      <c r="AX50" s="34" t="n"/>
      <c r="AY50" s="34" t="n"/>
      <c r="AZ50" s="34" t="n"/>
      <c r="BA50" s="34" t="n"/>
      <c r="BB50" s="34" t="n"/>
      <c r="BC50" s="34" t="n"/>
      <c r="BD50" s="34" t="n"/>
      <c r="BE50" s="34" t="n"/>
      <c r="BF50" s="34" t="n"/>
      <c r="BG50" s="34" t="n"/>
      <c r="BH50" s="34" t="n"/>
      <c r="BI50" s="34" t="n"/>
      <c r="BJ50" s="34" t="n"/>
      <c r="BK50" s="34" t="n"/>
      <c r="BL50" s="34" t="n"/>
      <c r="BM50" s="34" t="n"/>
      <c r="BN50" s="34" t="n"/>
      <c r="BO50" s="34" t="n"/>
      <c r="BP50" s="34" t="n"/>
      <c r="BQ50" s="34" t="n"/>
      <c r="BR50" s="34" t="n"/>
      <c r="BS50" s="34" t="n"/>
      <c r="BT50" s="34" t="n"/>
      <c r="BU50" s="34" t="n"/>
      <c r="BV50" s="34" t="n"/>
      <c r="BW50" s="34" t="n"/>
      <c r="BX50" s="34" t="n"/>
      <c r="BY50" s="34" t="n"/>
      <c r="BZ50" s="34" t="n"/>
      <c r="CA50" s="34" t="n"/>
      <c r="CB50" s="34" t="n"/>
      <c r="CC50" s="35" t="n"/>
      <c r="CD50" s="35" t="n"/>
      <c r="CE50" s="35" t="n"/>
      <c r="CF50" s="265" t="n">
        <v>0</v>
      </c>
      <c r="CG50" s="266">
        <f>MAX(0,CHOOSE(MATCH($CL$2,{"Bull","Base","Bear"},0),$CU$57,$CV$57,$CW$57))</f>
        <v>250</v>
      </c>
      <c r="CH50" s="266">
        <f>MAX(0,CHOOSE(MATCH($CL$2,{"Bull","Base","Bear"},0),$CU$58,$CV$58,$CW$58))</f>
        <v>250</v>
      </c>
      <c r="CI50" s="266">
        <f>MAX(0,CHOOSE(MATCH($CL$2,{"Bull","Base","Bear"},0),$CU$59,$CV$59,$CW$59))</f>
        <v>250</v>
      </c>
      <c r="CJ50" s="266">
        <f>MAX(0,CHOOSE(MATCH($CL$2,{"Bull","Base","Bear"},0),$CU$60,$CV$60,$CW$60))</f>
        <v>250</v>
      </c>
      <c r="CK50" s="266">
        <f>MAX(0,CHOOSE(MATCH($CL$2,{"Bull","Base","Bear"},0),$CU$61,$CV$61,$CW$61))</f>
        <v>250</v>
      </c>
      <c r="CL50" s="19" t="inlineStr">
        <is>
          <t>Scenario lever M&amp;A_spend (Base $250m p.a. of acquisitions from FY2028E). Funded from cash / revolver (debt schedule).</t>
        </is>
      </c>
      <c r="CT50" s="15" t="inlineStr">
        <is>
          <t>SGA (SG&amp;A % of net sales)</t>
        </is>
      </c>
      <c r="CU50" s="41" t="n">
        <v>-0.003</v>
      </c>
      <c r="CV50" s="21" t="inlineStr">
        <is>
          <t>Δ →</t>
        </is>
      </c>
      <c r="CW50" s="41" t="n">
        <v>0.005</v>
      </c>
      <c r="CX50" s="13" t="inlineStr">
        <is>
          <t>Q1 FY27 16.5%; FY2026 16.9%, FY2025 17.1%; operating leverage on fixed corporate costs. Bull = lower ratio.</t>
        </is>
      </c>
    </row>
    <row r="51" ht="15" customHeight="1" s="251">
      <c r="B51" s="25" t="inlineStr">
        <is>
          <t xml:space="preserve">  Purchase multiple — EV / sales (x)</t>
        </is>
      </c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  <c r="AP51" s="36" t="n"/>
      <c r="AQ51" s="36" t="n"/>
      <c r="AR51" s="36" t="n"/>
      <c r="AS51" s="36" t="n"/>
      <c r="AT51" s="36" t="n"/>
      <c r="AU51" s="36" t="n"/>
      <c r="AV51" s="36" t="n"/>
      <c r="AW51" s="36" t="n"/>
      <c r="AX51" s="36" t="n"/>
      <c r="AY51" s="36" t="n"/>
      <c r="AZ51" s="36" t="n"/>
      <c r="BA51" s="36" t="n"/>
      <c r="BB51" s="36" t="n"/>
      <c r="BC51" s="36" t="n"/>
      <c r="BD51" s="36" t="n"/>
      <c r="BE51" s="36" t="n"/>
      <c r="BF51" s="36" t="n"/>
      <c r="BG51" s="36" t="n"/>
      <c r="BH51" s="36" t="n"/>
      <c r="BI51" s="36" t="n"/>
      <c r="BJ51" s="36" t="n"/>
      <c r="BK51" s="36" t="n"/>
      <c r="BL51" s="36" t="n"/>
      <c r="BM51" s="36" t="n"/>
      <c r="BN51" s="36" t="n"/>
      <c r="BO51" s="36" t="n"/>
      <c r="BP51" s="36" t="n"/>
      <c r="BQ51" s="36" t="n"/>
      <c r="BR51" s="36" t="n"/>
      <c r="BS51" s="36" t="n"/>
      <c r="BT51" s="36" t="n"/>
      <c r="BU51" s="36" t="n"/>
      <c r="BV51" s="36" t="n"/>
      <c r="BW51" s="36" t="n"/>
      <c r="BX51" s="36" t="n"/>
      <c r="BY51" s="36" t="n"/>
      <c r="BZ51" s="36" t="n"/>
      <c r="CA51" s="36" t="n"/>
      <c r="CB51" s="36" t="n"/>
      <c r="CC51" s="24" t="n"/>
      <c r="CD51" s="24" t="n"/>
      <c r="CE51" s="24" t="n"/>
      <c r="CF51" s="263" t="n">
        <v>0</v>
      </c>
      <c r="CG51" s="263" t="n">
        <v>2.5</v>
      </c>
      <c r="CH51" s="263" t="n">
        <v>2.5</v>
      </c>
      <c r="CI51" s="263" t="n">
        <v>2.5</v>
      </c>
      <c r="CJ51" s="263" t="n">
        <v>2.5</v>
      </c>
      <c r="CK51" s="263" t="n">
        <v>2.5</v>
      </c>
      <c r="CL51" s="19" t="inlineStr">
        <is>
          <t>VACCO $276.7m on ~$118m LTM revenue (2.3x); PSC Couplings $24.2m on ~$15.1m (1.6x); Sargent (FY2016) $500m. 2.5x input (assumption).</t>
        </is>
      </c>
      <c r="CT51" s="25" t="inlineStr">
        <is>
          <t xml:space="preserve">  2028E</t>
        </is>
      </c>
      <c r="CU51" s="33">
        <f>CV51+$CU$50</f>
        <v>0.16</v>
      </c>
      <c r="CV51" s="42" t="n">
        <v>0.163</v>
      </c>
      <c r="CW51" s="33">
        <f>CV51+$CW$50</f>
        <v>0.168</v>
      </c>
    </row>
    <row r="52" ht="15" customHeight="1" s="251">
      <c r="B52" s="25" t="inlineStr">
        <is>
          <t xml:space="preserve">  Annualised revenue acquired in the year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n"/>
      <c r="P52" s="34" t="n"/>
      <c r="Q52" s="34" t="n"/>
      <c r="R52" s="34" t="n"/>
      <c r="S52" s="34" t="n"/>
      <c r="T52" s="34" t="n"/>
      <c r="U52" s="34" t="n"/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n"/>
      <c r="AI52" s="34" t="n"/>
      <c r="AJ52" s="34" t="n"/>
      <c r="AK52" s="34" t="n"/>
      <c r="AL52" s="34" t="n"/>
      <c r="AM52" s="34" t="n"/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n"/>
      <c r="BA52" s="34" t="n"/>
      <c r="BB52" s="34" t="n"/>
      <c r="BC52" s="34" t="n"/>
      <c r="BD52" s="34" t="n"/>
      <c r="BE52" s="34" t="n"/>
      <c r="BF52" s="34" t="n"/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n"/>
      <c r="BT52" s="34" t="n"/>
      <c r="BU52" s="34" t="n"/>
      <c r="BV52" s="34" t="n"/>
      <c r="BW52" s="34" t="n"/>
      <c r="BX52" s="34" t="n"/>
      <c r="BY52" s="34" t="n"/>
      <c r="BZ52" s="34" t="n"/>
      <c r="CA52" s="34" t="n"/>
      <c r="CB52" s="34" t="n"/>
      <c r="CC52" s="35" t="n"/>
      <c r="CD52" s="35" t="n"/>
      <c r="CE52" s="35" t="n"/>
      <c r="CF52" s="265" t="n">
        <v>0</v>
      </c>
      <c r="CG52" s="266">
        <f>IFERROR(CG50/CG51,0)</f>
        <v>100</v>
      </c>
      <c r="CH52" s="266">
        <f>IFERROR(CH50/CH51,0)</f>
        <v>100</v>
      </c>
      <c r="CI52" s="266">
        <f>IFERROR(CI50/CI51,0)</f>
        <v>100</v>
      </c>
      <c r="CJ52" s="266">
        <f>IFERROR(CJ50/CJ51,0)</f>
        <v>100</v>
      </c>
      <c r="CK52" s="266">
        <f>IFERROR(CK50/CK51,0)</f>
        <v>100</v>
      </c>
      <c r="CL52" s="19" t="n"/>
      <c r="CT52" s="25" t="inlineStr">
        <is>
          <t xml:space="preserve">  2029E</t>
        </is>
      </c>
      <c r="CU52" s="33">
        <f>CV52+$CU$50</f>
        <v>0.159</v>
      </c>
      <c r="CV52" s="42" t="n">
        <v>0.162</v>
      </c>
      <c r="CW52" s="33">
        <f>CV52+$CW$50</f>
        <v>0.167</v>
      </c>
    </row>
    <row r="53" ht="15" customHeight="1" s="251">
      <c r="B53" s="25" t="inlineStr">
        <is>
          <t xml:space="preserve">  Growth of acquired businesses after acquisition %</t>
        </is>
      </c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  <c r="AP53" s="36" t="n"/>
      <c r="AQ53" s="36" t="n"/>
      <c r="AR53" s="36" t="n"/>
      <c r="AS53" s="36" t="n"/>
      <c r="AT53" s="36" t="n"/>
      <c r="AU53" s="36" t="n"/>
      <c r="AV53" s="36" t="n"/>
      <c r="AW53" s="36" t="n"/>
      <c r="AX53" s="36" t="n"/>
      <c r="AY53" s="36" t="n"/>
      <c r="AZ53" s="36" t="n"/>
      <c r="BA53" s="36" t="n"/>
      <c r="BB53" s="36" t="n"/>
      <c r="BC53" s="36" t="n"/>
      <c r="BD53" s="36" t="n"/>
      <c r="BE53" s="36" t="n"/>
      <c r="BF53" s="36" t="n"/>
      <c r="BG53" s="36" t="n"/>
      <c r="BH53" s="36" t="n"/>
      <c r="BI53" s="36" t="n"/>
      <c r="BJ53" s="36" t="n"/>
      <c r="BK53" s="36" t="n"/>
      <c r="BL53" s="36" t="n"/>
      <c r="BM53" s="36" t="n"/>
      <c r="BN53" s="36" t="n"/>
      <c r="BO53" s="36" t="n"/>
      <c r="BP53" s="36" t="n"/>
      <c r="BQ53" s="36" t="n"/>
      <c r="BR53" s="36" t="n"/>
      <c r="BS53" s="36" t="n"/>
      <c r="BT53" s="36" t="n"/>
      <c r="BU53" s="36" t="n"/>
      <c r="BV53" s="36" t="n"/>
      <c r="BW53" s="36" t="n"/>
      <c r="BX53" s="36" t="n"/>
      <c r="BY53" s="36" t="n"/>
      <c r="BZ53" s="36" t="n"/>
      <c r="CA53" s="36" t="n"/>
      <c r="CB53" s="36" t="n"/>
      <c r="CC53" s="24" t="n"/>
      <c r="CD53" s="24" t="n"/>
      <c r="CE53" s="24" t="n"/>
      <c r="CF53" s="267" t="n">
        <v>0</v>
      </c>
      <c r="CG53" s="267" t="n">
        <v>0.05</v>
      </c>
      <c r="CH53" s="267" t="n">
        <v>0.05</v>
      </c>
      <c r="CI53" s="267" t="n">
        <v>0.05</v>
      </c>
      <c r="CJ53" s="267" t="n">
        <v>0.05</v>
      </c>
      <c r="CK53" s="267" t="n">
        <v>0.05</v>
      </c>
      <c r="CL53" s="19" t="n"/>
      <c r="CT53" s="25" t="inlineStr">
        <is>
          <t xml:space="preserve">  2030E</t>
        </is>
      </c>
      <c r="CU53" s="33">
        <f>CV53+$CU$50</f>
        <v>0.158</v>
      </c>
      <c r="CV53" s="42" t="n">
        <v>0.161</v>
      </c>
      <c r="CW53" s="33">
        <f>CV53+$CW$50</f>
        <v>0.166</v>
      </c>
    </row>
    <row r="54" collapsed="1" ht="15" customHeight="1" s="251">
      <c r="B54" s="25" t="inlineStr">
        <is>
          <t xml:space="preserve">  Run-rate revenue of businesses acquired (year end)</t>
        </is>
      </c>
      <c r="C54" s="34" t="n"/>
      <c r="D54" s="34" t="n"/>
      <c r="E54" s="34" t="n"/>
      <c r="F54" s="34" t="n"/>
      <c r="G54" s="34" t="n"/>
      <c r="H54" s="34" t="n"/>
      <c r="I54" s="34" t="n"/>
      <c r="J54" s="34" t="n"/>
      <c r="K54" s="34" t="n"/>
      <c r="L54" s="34" t="n"/>
      <c r="M54" s="34" t="n"/>
      <c r="N54" s="34" t="n"/>
      <c r="O54" s="34" t="n"/>
      <c r="P54" s="34" t="n"/>
      <c r="Q54" s="34" t="n"/>
      <c r="R54" s="34" t="n"/>
      <c r="S54" s="34" t="n"/>
      <c r="T54" s="34" t="n"/>
      <c r="U54" s="34" t="n"/>
      <c r="V54" s="34" t="n"/>
      <c r="W54" s="34" t="n"/>
      <c r="X54" s="34" t="n"/>
      <c r="Y54" s="34" t="n"/>
      <c r="Z54" s="34" t="n"/>
      <c r="AA54" s="34" t="n"/>
      <c r="AB54" s="34" t="n"/>
      <c r="AC54" s="34" t="n"/>
      <c r="AD54" s="34" t="n"/>
      <c r="AE54" s="34" t="n"/>
      <c r="AF54" s="34" t="n"/>
      <c r="AG54" s="34" t="n"/>
      <c r="AH54" s="34" t="n"/>
      <c r="AI54" s="34" t="n"/>
      <c r="AJ54" s="34" t="n"/>
      <c r="AK54" s="34" t="n"/>
      <c r="AL54" s="34" t="n"/>
      <c r="AM54" s="34" t="n"/>
      <c r="AN54" s="34" t="n"/>
      <c r="AO54" s="34" t="n"/>
      <c r="AP54" s="34" t="n"/>
      <c r="AQ54" s="34" t="n"/>
      <c r="AR54" s="34" t="n"/>
      <c r="AS54" s="34" t="n"/>
      <c r="AT54" s="34" t="n"/>
      <c r="AU54" s="34" t="n"/>
      <c r="AV54" s="34" t="n"/>
      <c r="AW54" s="34" t="n"/>
      <c r="AX54" s="34" t="n"/>
      <c r="AY54" s="34" t="n"/>
      <c r="AZ54" s="34" t="n"/>
      <c r="BA54" s="34" t="n"/>
      <c r="BB54" s="34" t="n"/>
      <c r="BC54" s="34" t="n"/>
      <c r="BD54" s="34" t="n"/>
      <c r="BE54" s="34" t="n"/>
      <c r="BF54" s="34" t="n"/>
      <c r="BG54" s="34" t="n"/>
      <c r="BH54" s="34" t="n"/>
      <c r="BI54" s="34" t="n"/>
      <c r="BJ54" s="34" t="n"/>
      <c r="BK54" s="34" t="n"/>
      <c r="BL54" s="34" t="n"/>
      <c r="BM54" s="34" t="n"/>
      <c r="BN54" s="34" t="n"/>
      <c r="BO54" s="34" t="n"/>
      <c r="BP54" s="34" t="n"/>
      <c r="BQ54" s="34" t="n"/>
      <c r="BR54" s="34" t="n"/>
      <c r="BS54" s="34" t="n"/>
      <c r="BT54" s="34" t="n"/>
      <c r="BU54" s="34" t="n"/>
      <c r="BV54" s="34" t="n"/>
      <c r="BW54" s="34" t="n"/>
      <c r="BX54" s="34" t="n"/>
      <c r="BY54" s="34" t="n"/>
      <c r="BZ54" s="34" t="n"/>
      <c r="CA54" s="34" t="n"/>
      <c r="CB54" s="34" t="n"/>
      <c r="CC54" s="35" t="n"/>
      <c r="CD54" s="35" t="n"/>
      <c r="CE54" s="35" t="n"/>
      <c r="CF54" s="265" t="n">
        <v>0</v>
      </c>
      <c r="CG54" s="266">
        <f>CF54*(1+CG53)+CG52</f>
        <v>100</v>
      </c>
      <c r="CH54" s="266">
        <f>CG54*(1+CH53)+CH52</f>
        <v>205</v>
      </c>
      <c r="CI54" s="266">
        <f>CH54*(1+CI53)+CI52</f>
        <v>315.25</v>
      </c>
      <c r="CJ54" s="266">
        <f>CI54*(1+CJ53)+CJ52</f>
        <v>431.0125</v>
      </c>
      <c r="CK54" s="266">
        <f>CJ54*(1+CK53)+CK52</f>
        <v>552.563125</v>
      </c>
      <c r="CL54" s="19" t="n"/>
      <c r="CT54" s="25" t="inlineStr">
        <is>
          <t xml:space="preserve">  2031E</t>
        </is>
      </c>
      <c r="CU54" s="33">
        <f>CV54+$CU$50</f>
        <v>0.157</v>
      </c>
      <c r="CV54" s="42" t="n">
        <v>0.16</v>
      </c>
      <c r="CW54" s="33">
        <f>CV54+$CW$50</f>
        <v>0.165</v>
      </c>
    </row>
    <row r="55" ht="15" customHeight="1" s="251">
      <c r="B55" s="16" t="inlineStr">
        <is>
          <t xml:space="preserve">  Revenue from future acquisitions</t>
        </is>
      </c>
      <c r="C55" s="43" t="n"/>
      <c r="D55" s="43" t="n"/>
      <c r="E55" s="43" t="n"/>
      <c r="F55" s="43" t="n"/>
      <c r="G55" s="43" t="n"/>
      <c r="H55" s="43" t="n"/>
      <c r="I55" s="43" t="n"/>
      <c r="J55" s="43" t="n"/>
      <c r="K55" s="43" t="n"/>
      <c r="L55" s="43" t="n"/>
      <c r="M55" s="43" t="n"/>
      <c r="N55" s="43" t="n"/>
      <c r="O55" s="43" t="n"/>
      <c r="P55" s="43" t="n"/>
      <c r="Q55" s="43" t="n"/>
      <c r="R55" s="43" t="n"/>
      <c r="S55" s="43" t="n"/>
      <c r="T55" s="43" t="n"/>
      <c r="U55" s="43" t="n"/>
      <c r="V55" s="43" t="n"/>
      <c r="W55" s="43" t="n"/>
      <c r="X55" s="43" t="n"/>
      <c r="Y55" s="43" t="n"/>
      <c r="Z55" s="43" t="n"/>
      <c r="AA55" s="43" t="n"/>
      <c r="AB55" s="43" t="n"/>
      <c r="AC55" s="43" t="n"/>
      <c r="AD55" s="43" t="n"/>
      <c r="AE55" s="43" t="n"/>
      <c r="AF55" s="43" t="n"/>
      <c r="AG55" s="43" t="n"/>
      <c r="AH55" s="43" t="n"/>
      <c r="AI55" s="43" t="n"/>
      <c r="AJ55" s="43" t="n"/>
      <c r="AK55" s="43" t="n"/>
      <c r="AL55" s="43" t="n"/>
      <c r="AM55" s="43" t="n"/>
      <c r="AN55" s="43" t="n"/>
      <c r="AO55" s="43" t="n"/>
      <c r="AP55" s="43" t="n"/>
      <c r="AQ55" s="43" t="n"/>
      <c r="AR55" s="43" t="n"/>
      <c r="AS55" s="43" t="n"/>
      <c r="AT55" s="43" t="n"/>
      <c r="AU55" s="43" t="n"/>
      <c r="AV55" s="43" t="n"/>
      <c r="AW55" s="43" t="n"/>
      <c r="AX55" s="43" t="n"/>
      <c r="AY55" s="43" t="n"/>
      <c r="AZ55" s="43" t="n"/>
      <c r="BA55" s="43" t="n"/>
      <c r="BB55" s="43" t="n"/>
      <c r="BC55" s="43" t="n"/>
      <c r="BD55" s="43" t="n"/>
      <c r="BE55" s="43" t="n"/>
      <c r="BF55" s="43" t="n"/>
      <c r="BG55" s="43" t="n"/>
      <c r="BH55" s="43" t="n"/>
      <c r="BI55" s="43" t="n"/>
      <c r="BJ55" s="43" t="n"/>
      <c r="BK55" s="43" t="n"/>
      <c r="BL55" s="43" t="n"/>
      <c r="BM55" s="43" t="n"/>
      <c r="BN55" s="43" t="n"/>
      <c r="BO55" s="43" t="n"/>
      <c r="BP55" s="43" t="n"/>
      <c r="BQ55" s="43" t="n"/>
      <c r="BR55" s="43" t="n"/>
      <c r="BS55" s="43" t="n"/>
      <c r="BT55" s="43" t="n"/>
      <c r="BU55" s="43" t="n"/>
      <c r="BV55" s="43" t="n"/>
      <c r="BW55" s="43" t="n"/>
      <c r="BX55" s="43" t="n"/>
      <c r="BY55" s="43" t="n"/>
      <c r="BZ55" s="43" t="n"/>
      <c r="CA55" s="43" t="n"/>
      <c r="CB55" s="43" t="n"/>
      <c r="CC55" s="32" t="n"/>
      <c r="CD55" s="32" t="n"/>
      <c r="CE55" s="32" t="n"/>
      <c r="CF55" s="268" t="n">
        <v>0</v>
      </c>
      <c r="CG55" s="269">
        <f>CF54*(1+CG53)+0.5*CG52</f>
        <v>50</v>
      </c>
      <c r="CH55" s="269">
        <f>CG54*(1+CH53)+0.5*CH52</f>
        <v>155</v>
      </c>
      <c r="CI55" s="269">
        <f>CH54*(1+CI53)+0.5*CI52</f>
        <v>265.25</v>
      </c>
      <c r="CJ55" s="269">
        <f>CI54*(1+CJ53)+0.5*CJ52</f>
        <v>381.0125</v>
      </c>
      <c r="CK55" s="269">
        <f>CJ54*(1+CK53)+0.5*CK52</f>
        <v>502.563125</v>
      </c>
      <c r="CL55" s="153" t="inlineStr">
        <is>
          <t>Mid-year convention.</t>
        </is>
      </c>
      <c r="CT55" s="25" t="inlineStr">
        <is>
          <t xml:space="preserve">  2032E</t>
        </is>
      </c>
      <c r="CU55" s="33">
        <f>CV55+$CU$50</f>
        <v>0.157</v>
      </c>
      <c r="CV55" s="42" t="n">
        <v>0.16</v>
      </c>
      <c r="CW55" s="33">
        <f>CV55+$CW$50</f>
        <v>0.165</v>
      </c>
    </row>
    <row r="56" ht="15" customHeight="1" s="251">
      <c r="B56" s="25" t="inlineStr">
        <is>
          <t xml:space="preserve">  Gross margin of acquired businesses %</t>
        </is>
      </c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  <c r="AP56" s="36" t="n"/>
      <c r="AQ56" s="36" t="n"/>
      <c r="AR56" s="36" t="n"/>
      <c r="AS56" s="36" t="n"/>
      <c r="AT56" s="36" t="n"/>
      <c r="AU56" s="36" t="n"/>
      <c r="AV56" s="36" t="n"/>
      <c r="AW56" s="36" t="n"/>
      <c r="AX56" s="36" t="n"/>
      <c r="AY56" s="36" t="n"/>
      <c r="AZ56" s="36" t="n"/>
      <c r="BA56" s="36" t="n"/>
      <c r="BB56" s="36" t="n"/>
      <c r="BC56" s="36" t="n"/>
      <c r="BD56" s="36" t="n"/>
      <c r="BE56" s="36" t="n"/>
      <c r="BF56" s="36" t="n"/>
      <c r="BG56" s="36" t="n"/>
      <c r="BH56" s="36" t="n"/>
      <c r="BI56" s="36" t="n"/>
      <c r="BJ56" s="36" t="n"/>
      <c r="BK56" s="36" t="n"/>
      <c r="BL56" s="36" t="n"/>
      <c r="BM56" s="36" t="n"/>
      <c r="BN56" s="36" t="n"/>
      <c r="BO56" s="36" t="n"/>
      <c r="BP56" s="36" t="n"/>
      <c r="BQ56" s="36" t="n"/>
      <c r="BR56" s="36" t="n"/>
      <c r="BS56" s="36" t="n"/>
      <c r="BT56" s="36" t="n"/>
      <c r="BU56" s="36" t="n"/>
      <c r="BV56" s="36" t="n"/>
      <c r="BW56" s="36" t="n"/>
      <c r="BX56" s="36" t="n"/>
      <c r="BY56" s="36" t="n"/>
      <c r="BZ56" s="36" t="n"/>
      <c r="CA56" s="36" t="n"/>
      <c r="CB56" s="36" t="n"/>
      <c r="CC56" s="24" t="n"/>
      <c r="CD56" s="24" t="n"/>
      <c r="CE56" s="24" t="n"/>
      <c r="CF56" s="267" t="n">
        <v>0</v>
      </c>
      <c r="CG56" s="267" t="n">
        <v>0.38</v>
      </c>
      <c r="CH56" s="267" t="n">
        <v>0.38</v>
      </c>
      <c r="CI56" s="267" t="n">
        <v>0.38</v>
      </c>
      <c r="CJ56" s="267" t="n">
        <v>0.38</v>
      </c>
      <c r="CK56" s="267" t="n">
        <v>0.38</v>
      </c>
      <c r="CL56" s="19" t="inlineStr">
        <is>
          <t>Assumption: below the group (~45%) before integration (VACCO and Dodge were acquired below RBC margins).</t>
        </is>
      </c>
      <c r="CT56" s="15" t="inlineStr">
        <is>
          <t>M&amp;A_spend (acquisitions, $m)</t>
        </is>
      </c>
      <c r="CU56" s="50" t="n">
        <v>150</v>
      </c>
      <c r="CV56" s="21" t="inlineStr">
        <is>
          <t>Δ →</t>
        </is>
      </c>
      <c r="CW56" s="50" t="n">
        <v>-250</v>
      </c>
      <c r="CX56" s="13" t="inlineStr">
        <is>
          <t>RBC spent $276.7m on VACCO (FY2026), $24.2m on PSC (FY2027), $2.9bn on Dodge (FY2022), $500m on Sargent (FY2016). Base $250m p.a. (assumption).</t>
        </is>
      </c>
    </row>
    <row r="57" ht="15" customHeight="1" s="251">
      <c r="B57" s="25" t="inlineStr">
        <is>
          <t xml:space="preserve">  Gross margin from future acquisitions</t>
        </is>
      </c>
      <c r="C57" s="34" t="n"/>
      <c r="D57" s="34" t="n"/>
      <c r="E57" s="34" t="n"/>
      <c r="F57" s="34" t="n"/>
      <c r="G57" s="34" t="n"/>
      <c r="H57" s="34" t="n"/>
      <c r="I57" s="34" t="n"/>
      <c r="J57" s="34" t="n"/>
      <c r="K57" s="34" t="n"/>
      <c r="L57" s="34" t="n"/>
      <c r="M57" s="34" t="n"/>
      <c r="N57" s="34" t="n"/>
      <c r="O57" s="34" t="n"/>
      <c r="P57" s="34" t="n"/>
      <c r="Q57" s="34" t="n"/>
      <c r="R57" s="34" t="n"/>
      <c r="S57" s="34" t="n"/>
      <c r="T57" s="34" t="n"/>
      <c r="U57" s="34" t="n"/>
      <c r="V57" s="34" t="n"/>
      <c r="W57" s="34" t="n"/>
      <c r="X57" s="34" t="n"/>
      <c r="Y57" s="34" t="n"/>
      <c r="Z57" s="34" t="n"/>
      <c r="AA57" s="34" t="n"/>
      <c r="AB57" s="34" t="n"/>
      <c r="AC57" s="34" t="n"/>
      <c r="AD57" s="34" t="n"/>
      <c r="AE57" s="34" t="n"/>
      <c r="AF57" s="34" t="n"/>
      <c r="AG57" s="34" t="n"/>
      <c r="AH57" s="34" t="n"/>
      <c r="AI57" s="34" t="n"/>
      <c r="AJ57" s="34" t="n"/>
      <c r="AK57" s="34" t="n"/>
      <c r="AL57" s="34" t="n"/>
      <c r="AM57" s="34" t="n"/>
      <c r="AN57" s="34" t="n"/>
      <c r="AO57" s="34" t="n"/>
      <c r="AP57" s="34" t="n"/>
      <c r="AQ57" s="34" t="n"/>
      <c r="AR57" s="34" t="n"/>
      <c r="AS57" s="34" t="n"/>
      <c r="AT57" s="34" t="n"/>
      <c r="AU57" s="34" t="n"/>
      <c r="AV57" s="34" t="n"/>
      <c r="AW57" s="34" t="n"/>
      <c r="AX57" s="34" t="n"/>
      <c r="AY57" s="34" t="n"/>
      <c r="AZ57" s="34" t="n"/>
      <c r="BA57" s="34" t="n"/>
      <c r="BB57" s="34" t="n"/>
      <c r="BC57" s="34" t="n"/>
      <c r="BD57" s="34" t="n"/>
      <c r="BE57" s="34" t="n"/>
      <c r="BF57" s="34" t="n"/>
      <c r="BG57" s="34" t="n"/>
      <c r="BH57" s="34" t="n"/>
      <c r="BI57" s="34" t="n"/>
      <c r="BJ57" s="34" t="n"/>
      <c r="BK57" s="34" t="n"/>
      <c r="BL57" s="34" t="n"/>
      <c r="BM57" s="34" t="n"/>
      <c r="BN57" s="34" t="n"/>
      <c r="BO57" s="34" t="n"/>
      <c r="BP57" s="34" t="n"/>
      <c r="BQ57" s="34" t="n"/>
      <c r="BR57" s="34" t="n"/>
      <c r="BS57" s="34" t="n"/>
      <c r="BT57" s="34" t="n"/>
      <c r="BU57" s="34" t="n"/>
      <c r="BV57" s="34" t="n"/>
      <c r="BW57" s="34" t="n"/>
      <c r="BX57" s="34" t="n"/>
      <c r="BY57" s="34" t="n"/>
      <c r="BZ57" s="34" t="n"/>
      <c r="CA57" s="34" t="n"/>
      <c r="CB57" s="34" t="n"/>
      <c r="CC57" s="35" t="n"/>
      <c r="CD57" s="35" t="n"/>
      <c r="CE57" s="35" t="n"/>
      <c r="CF57" s="265" t="n">
        <v>0</v>
      </c>
      <c r="CG57" s="266">
        <f>CG55*CG56</f>
        <v>19</v>
      </c>
      <c r="CH57" s="266">
        <f>CH55*CH56</f>
        <v>58.9</v>
      </c>
      <c r="CI57" s="266">
        <f>CI55*CI56</f>
        <v>100.795</v>
      </c>
      <c r="CJ57" s="266">
        <f>CJ55*CJ56</f>
        <v>144.78475</v>
      </c>
      <c r="CK57" s="266">
        <f>CK55*CK56</f>
        <v>190.9739875</v>
      </c>
      <c r="CL57" s="19" t="n"/>
      <c r="CT57" s="25" t="inlineStr">
        <is>
          <t xml:space="preserve">  2028E</t>
        </is>
      </c>
      <c r="CU57" s="51">
        <f>MAX(0,CV57+$CU$56)</f>
        <v>400</v>
      </c>
      <c r="CV57" s="26" t="n">
        <v>250</v>
      </c>
      <c r="CW57" s="51">
        <f>MAX(0,CV57+$CW$56)</f>
        <v>0</v>
      </c>
    </row>
    <row r="58" ht="15" customHeight="1" s="251">
      <c r="B58" s="25" t="inlineStr">
        <is>
          <t xml:space="preserve">  PP&amp;E % of spend</t>
        </is>
      </c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  <c r="AP58" s="36" t="n"/>
      <c r="AQ58" s="36" t="n"/>
      <c r="AR58" s="36" t="n"/>
      <c r="AS58" s="36" t="n"/>
      <c r="AT58" s="36" t="n"/>
      <c r="AU58" s="36" t="n"/>
      <c r="AV58" s="36" t="n"/>
      <c r="AW58" s="36" t="n"/>
      <c r="AX58" s="36" t="n"/>
      <c r="AY58" s="36" t="n"/>
      <c r="AZ58" s="36" t="n"/>
      <c r="BA58" s="36" t="n"/>
      <c r="BB58" s="36" t="n"/>
      <c r="BC58" s="36" t="n"/>
      <c r="BD58" s="36" t="n"/>
      <c r="BE58" s="36" t="n"/>
      <c r="BF58" s="36" t="n"/>
      <c r="BG58" s="36" t="n"/>
      <c r="BH58" s="36" t="n"/>
      <c r="BI58" s="36" t="n"/>
      <c r="BJ58" s="36" t="n"/>
      <c r="BK58" s="36" t="n"/>
      <c r="BL58" s="36" t="n"/>
      <c r="BM58" s="36" t="n"/>
      <c r="BN58" s="36" t="n"/>
      <c r="BO58" s="36" t="n"/>
      <c r="BP58" s="36" t="n"/>
      <c r="BQ58" s="36" t="n"/>
      <c r="BR58" s="36" t="n"/>
      <c r="BS58" s="36" t="n"/>
      <c r="BT58" s="36" t="n"/>
      <c r="BU58" s="36" t="n"/>
      <c r="BV58" s="36" t="n"/>
      <c r="BW58" s="36" t="n"/>
      <c r="BX58" s="36" t="n"/>
      <c r="BY58" s="36" t="n"/>
      <c r="BZ58" s="36" t="n"/>
      <c r="CA58" s="36" t="n"/>
      <c r="CB58" s="36" t="n"/>
      <c r="CC58" s="24" t="n"/>
      <c r="CD58" s="24" t="n"/>
      <c r="CE58" s="24" t="n"/>
      <c r="CF58" s="267" t="n">
        <v>0</v>
      </c>
      <c r="CG58" s="267" t="n">
        <v>0.12</v>
      </c>
      <c r="CH58" s="267" t="n">
        <v>0.12</v>
      </c>
      <c r="CI58" s="267" t="n">
        <v>0.12</v>
      </c>
      <c r="CJ58" s="267" t="n">
        <v>0.12</v>
      </c>
      <c r="CK58" s="267" t="n">
        <v>0.12</v>
      </c>
      <c r="CL58" s="19" t="inlineStr">
        <is>
          <t>VACCO: PP&amp;E $40.6m of $276.7m (15%); Dodge $165.1m of $2,880.8m (6%).</t>
        </is>
      </c>
      <c r="CT58" s="25" t="inlineStr">
        <is>
          <t xml:space="preserve">  2029E</t>
        </is>
      </c>
      <c r="CU58" s="51">
        <f>MAX(0,CV58+$CU$56)</f>
        <v>400</v>
      </c>
      <c r="CV58" s="26" t="n">
        <v>250</v>
      </c>
      <c r="CW58" s="51">
        <f>MAX(0,CV58+$CW$56)</f>
        <v>0</v>
      </c>
    </row>
    <row r="59" ht="15" customHeight="1" s="251">
      <c r="B59" s="25" t="inlineStr">
        <is>
          <t xml:space="preserve">  Acquired intangibles % of spend</t>
        </is>
      </c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  <c r="AP59" s="36" t="n"/>
      <c r="AQ59" s="36" t="n"/>
      <c r="AR59" s="36" t="n"/>
      <c r="AS59" s="36" t="n"/>
      <c r="AT59" s="36" t="n"/>
      <c r="AU59" s="36" t="n"/>
      <c r="AV59" s="36" t="n"/>
      <c r="AW59" s="36" t="n"/>
      <c r="AX59" s="36" t="n"/>
      <c r="AY59" s="36" t="n"/>
      <c r="AZ59" s="36" t="n"/>
      <c r="BA59" s="36" t="n"/>
      <c r="BB59" s="36" t="n"/>
      <c r="BC59" s="36" t="n"/>
      <c r="BD59" s="36" t="n"/>
      <c r="BE59" s="36" t="n"/>
      <c r="BF59" s="36" t="n"/>
      <c r="BG59" s="36" t="n"/>
      <c r="BH59" s="36" t="n"/>
      <c r="BI59" s="36" t="n"/>
      <c r="BJ59" s="36" t="n"/>
      <c r="BK59" s="36" t="n"/>
      <c r="BL59" s="36" t="n"/>
      <c r="BM59" s="36" t="n"/>
      <c r="BN59" s="36" t="n"/>
      <c r="BO59" s="36" t="n"/>
      <c r="BP59" s="36" t="n"/>
      <c r="BQ59" s="36" t="n"/>
      <c r="BR59" s="36" t="n"/>
      <c r="BS59" s="36" t="n"/>
      <c r="BT59" s="36" t="n"/>
      <c r="BU59" s="36" t="n"/>
      <c r="BV59" s="36" t="n"/>
      <c r="BW59" s="36" t="n"/>
      <c r="BX59" s="36" t="n"/>
      <c r="BY59" s="36" t="n"/>
      <c r="BZ59" s="36" t="n"/>
      <c r="CA59" s="36" t="n"/>
      <c r="CB59" s="36" t="n"/>
      <c r="CC59" s="24" t="n"/>
      <c r="CD59" s="24" t="n"/>
      <c r="CE59" s="24" t="n"/>
      <c r="CF59" s="267" t="n">
        <v>0</v>
      </c>
      <c r="CG59" s="267" t="n">
        <v>0.45</v>
      </c>
      <c r="CH59" s="267" t="n">
        <v>0.45</v>
      </c>
      <c r="CI59" s="267" t="n">
        <v>0.45</v>
      </c>
      <c r="CJ59" s="267" t="n">
        <v>0.45</v>
      </c>
      <c r="CK59" s="267" t="n">
        <v>0.45</v>
      </c>
      <c r="CL59" s="19" t="inlineStr">
        <is>
          <t>PPAs: VACCO 45% of consideration in intangibles ($123.8m), Dodge 48% ($1,385.1m).</t>
        </is>
      </c>
      <c r="CT59" s="25" t="inlineStr">
        <is>
          <t xml:space="preserve">  2030E</t>
        </is>
      </c>
      <c r="CU59" s="51">
        <f>MAX(0,CV59+$CU$56)</f>
        <v>400</v>
      </c>
      <c r="CV59" s="26" t="n">
        <v>250</v>
      </c>
      <c r="CW59" s="51">
        <f>MAX(0,CV59+$CW$56)</f>
        <v>0</v>
      </c>
    </row>
    <row r="60" ht="15" customHeight="1" s="251">
      <c r="B60" s="25" t="inlineStr">
        <is>
          <t xml:space="preserve">  Intangible amortization life (years)</t>
        </is>
      </c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  <c r="AP60" s="36" t="n"/>
      <c r="AQ60" s="36" t="n"/>
      <c r="AR60" s="36" t="n"/>
      <c r="AS60" s="36" t="n"/>
      <c r="AT60" s="36" t="n"/>
      <c r="AU60" s="36" t="n"/>
      <c r="AV60" s="36" t="n"/>
      <c r="AW60" s="36" t="n"/>
      <c r="AX60" s="36" t="n"/>
      <c r="AY60" s="36" t="n"/>
      <c r="AZ60" s="36" t="n"/>
      <c r="BA60" s="36" t="n"/>
      <c r="BB60" s="36" t="n"/>
      <c r="BC60" s="36" t="n"/>
      <c r="BD60" s="36" t="n"/>
      <c r="BE60" s="36" t="n"/>
      <c r="BF60" s="36" t="n"/>
      <c r="BG60" s="36" t="n"/>
      <c r="BH60" s="36" t="n"/>
      <c r="BI60" s="36" t="n"/>
      <c r="BJ60" s="36" t="n"/>
      <c r="BK60" s="36" t="n"/>
      <c r="BL60" s="36" t="n"/>
      <c r="BM60" s="36" t="n"/>
      <c r="BN60" s="36" t="n"/>
      <c r="BO60" s="36" t="n"/>
      <c r="BP60" s="36" t="n"/>
      <c r="BQ60" s="36" t="n"/>
      <c r="BR60" s="36" t="n"/>
      <c r="BS60" s="36" t="n"/>
      <c r="BT60" s="36" t="n"/>
      <c r="BU60" s="36" t="n"/>
      <c r="BV60" s="36" t="n"/>
      <c r="BW60" s="36" t="n"/>
      <c r="BX60" s="36" t="n"/>
      <c r="BY60" s="36" t="n"/>
      <c r="BZ60" s="36" t="n"/>
      <c r="CA60" s="36" t="n"/>
      <c r="CB60" s="36" t="n"/>
      <c r="CC60" s="24" t="n"/>
      <c r="CD60" s="24" t="n"/>
      <c r="CE60" s="24" t="n"/>
      <c r="CF60" s="270" t="n">
        <v>0</v>
      </c>
      <c r="CG60" s="270" t="n">
        <v>15</v>
      </c>
      <c r="CH60" s="270" t="n">
        <v>15</v>
      </c>
      <c r="CI60" s="270" t="n">
        <v>15</v>
      </c>
      <c r="CJ60" s="270" t="n">
        <v>15</v>
      </c>
      <c r="CK60" s="270" t="n">
        <v>15</v>
      </c>
      <c r="CL60" s="19" t="n"/>
      <c r="CT60" s="25" t="inlineStr">
        <is>
          <t xml:space="preserve">  2031E</t>
        </is>
      </c>
      <c r="CU60" s="51">
        <f>MAX(0,CV60+$CU$56)</f>
        <v>400</v>
      </c>
      <c r="CV60" s="26" t="n">
        <v>250</v>
      </c>
      <c r="CW60" s="51">
        <f>MAX(0,CV60+$CW$56)</f>
        <v>0</v>
      </c>
    </row>
    <row r="61" ht="15" customHeight="1" s="251">
      <c r="B61" s="25" t="inlineStr">
        <is>
          <t xml:space="preserve">  Cumulative acquired intangibles (gross)</t>
        </is>
      </c>
      <c r="C61" s="34" t="n"/>
      <c r="D61" s="34" t="n"/>
      <c r="E61" s="34" t="n"/>
      <c r="F61" s="34" t="n"/>
      <c r="G61" s="34" t="n"/>
      <c r="H61" s="34" t="n"/>
      <c r="I61" s="34" t="n"/>
      <c r="J61" s="34" t="n"/>
      <c r="K61" s="34" t="n"/>
      <c r="L61" s="34" t="n"/>
      <c r="M61" s="34" t="n"/>
      <c r="N61" s="34" t="n"/>
      <c r="O61" s="34" t="n"/>
      <c r="P61" s="34" t="n"/>
      <c r="Q61" s="34" t="n"/>
      <c r="R61" s="34" t="n"/>
      <c r="S61" s="34" t="n"/>
      <c r="T61" s="34" t="n"/>
      <c r="U61" s="34" t="n"/>
      <c r="V61" s="34" t="n"/>
      <c r="W61" s="34" t="n"/>
      <c r="X61" s="34" t="n"/>
      <c r="Y61" s="34" t="n"/>
      <c r="Z61" s="34" t="n"/>
      <c r="AA61" s="34" t="n"/>
      <c r="AB61" s="34" t="n"/>
      <c r="AC61" s="34" t="n"/>
      <c r="AD61" s="34" t="n"/>
      <c r="AE61" s="34" t="n"/>
      <c r="AF61" s="34" t="n"/>
      <c r="AG61" s="34" t="n"/>
      <c r="AH61" s="34" t="n"/>
      <c r="AI61" s="34" t="n"/>
      <c r="AJ61" s="34" t="n"/>
      <c r="AK61" s="34" t="n"/>
      <c r="AL61" s="34" t="n"/>
      <c r="AM61" s="34" t="n"/>
      <c r="AN61" s="34" t="n"/>
      <c r="AO61" s="34" t="n"/>
      <c r="AP61" s="34" t="n"/>
      <c r="AQ61" s="34" t="n"/>
      <c r="AR61" s="34" t="n"/>
      <c r="AS61" s="34" t="n"/>
      <c r="AT61" s="34" t="n"/>
      <c r="AU61" s="34" t="n"/>
      <c r="AV61" s="34" t="n"/>
      <c r="AW61" s="34" t="n"/>
      <c r="AX61" s="34" t="n"/>
      <c r="AY61" s="34" t="n"/>
      <c r="AZ61" s="34" t="n"/>
      <c r="BA61" s="34" t="n"/>
      <c r="BB61" s="34" t="n"/>
      <c r="BC61" s="34" t="n"/>
      <c r="BD61" s="34" t="n"/>
      <c r="BE61" s="34" t="n"/>
      <c r="BF61" s="34" t="n"/>
      <c r="BG61" s="34" t="n"/>
      <c r="BH61" s="34" t="n"/>
      <c r="BI61" s="34" t="n"/>
      <c r="BJ61" s="34" t="n"/>
      <c r="BK61" s="34" t="n"/>
      <c r="BL61" s="34" t="n"/>
      <c r="BM61" s="34" t="n"/>
      <c r="BN61" s="34" t="n"/>
      <c r="BO61" s="34" t="n"/>
      <c r="BP61" s="34" t="n"/>
      <c r="BQ61" s="34" t="n"/>
      <c r="BR61" s="34" t="n"/>
      <c r="BS61" s="34" t="n"/>
      <c r="BT61" s="34" t="n"/>
      <c r="BU61" s="34" t="n"/>
      <c r="BV61" s="34" t="n"/>
      <c r="BW61" s="34" t="n"/>
      <c r="BX61" s="34" t="n"/>
      <c r="BY61" s="34" t="n"/>
      <c r="BZ61" s="34" t="n"/>
      <c r="CA61" s="34" t="n"/>
      <c r="CB61" s="34" t="n"/>
      <c r="CC61" s="35" t="n"/>
      <c r="CD61" s="35" t="n"/>
      <c r="CE61" s="35" t="n"/>
      <c r="CF61" s="265" t="n">
        <v>0</v>
      </c>
      <c r="CG61" s="266">
        <f>CF61+CG50*CG59</f>
        <v>112.5</v>
      </c>
      <c r="CH61" s="266">
        <f>CG61+CH50*CH59</f>
        <v>225</v>
      </c>
      <c r="CI61" s="266">
        <f>CH61+CI50*CI59</f>
        <v>337.5</v>
      </c>
      <c r="CJ61" s="266">
        <f>CI61+CJ50*CJ59</f>
        <v>450</v>
      </c>
      <c r="CK61" s="266">
        <f>CJ61+CK50*CK59</f>
        <v>562.5</v>
      </c>
      <c r="CL61" s="19" t="n"/>
      <c r="CT61" s="25" t="inlineStr">
        <is>
          <t xml:space="preserve">  2032E</t>
        </is>
      </c>
      <c r="CU61" s="51">
        <f>MAX(0,CV61+$CU$56)</f>
        <v>400</v>
      </c>
      <c r="CV61" s="26" t="n">
        <v>250</v>
      </c>
      <c r="CW61" s="51">
        <f>MAX(0,CV61+$CW$56)</f>
        <v>0</v>
      </c>
    </row>
    <row r="62" ht="15" customHeight="1" s="251">
      <c r="B62" s="25" t="inlineStr">
        <is>
          <t xml:space="preserve">  Amortization of future-acquisition intangibles (M&amp;A-related; added back in adjusted EPS)</t>
        </is>
      </c>
      <c r="C62" s="34" t="n"/>
      <c r="D62" s="34" t="n"/>
      <c r="E62" s="34" t="n"/>
      <c r="F62" s="34" t="n"/>
      <c r="G62" s="34" t="n"/>
      <c r="H62" s="34" t="n"/>
      <c r="I62" s="34" t="n"/>
      <c r="J62" s="34" t="n"/>
      <c r="K62" s="34" t="n"/>
      <c r="L62" s="34" t="n"/>
      <c r="M62" s="34" t="n"/>
      <c r="N62" s="34" t="n"/>
      <c r="O62" s="34" t="n"/>
      <c r="P62" s="34" t="n"/>
      <c r="Q62" s="34" t="n"/>
      <c r="R62" s="34" t="n"/>
      <c r="S62" s="34" t="n"/>
      <c r="T62" s="34" t="n"/>
      <c r="U62" s="34" t="n"/>
      <c r="V62" s="34" t="n"/>
      <c r="W62" s="34" t="n"/>
      <c r="X62" s="34" t="n"/>
      <c r="Y62" s="34" t="n"/>
      <c r="Z62" s="34" t="n"/>
      <c r="AA62" s="34" t="n"/>
      <c r="AB62" s="34" t="n"/>
      <c r="AC62" s="34" t="n"/>
      <c r="AD62" s="34" t="n"/>
      <c r="AE62" s="34" t="n"/>
      <c r="AF62" s="34" t="n"/>
      <c r="AG62" s="34" t="n"/>
      <c r="AH62" s="34" t="n"/>
      <c r="AI62" s="34" t="n"/>
      <c r="AJ62" s="34" t="n"/>
      <c r="AK62" s="34" t="n"/>
      <c r="AL62" s="34" t="n"/>
      <c r="AM62" s="34" t="n"/>
      <c r="AN62" s="34" t="n"/>
      <c r="AO62" s="34" t="n"/>
      <c r="AP62" s="34" t="n"/>
      <c r="AQ62" s="34" t="n"/>
      <c r="AR62" s="34" t="n"/>
      <c r="AS62" s="34" t="n"/>
      <c r="AT62" s="34" t="n"/>
      <c r="AU62" s="34" t="n"/>
      <c r="AV62" s="34" t="n"/>
      <c r="AW62" s="34" t="n"/>
      <c r="AX62" s="34" t="n"/>
      <c r="AY62" s="34" t="n"/>
      <c r="AZ62" s="34" t="n"/>
      <c r="BA62" s="34" t="n"/>
      <c r="BB62" s="34" t="n"/>
      <c r="BC62" s="34" t="n"/>
      <c r="BD62" s="34" t="n"/>
      <c r="BE62" s="34" t="n"/>
      <c r="BF62" s="34" t="n"/>
      <c r="BG62" s="34" t="n"/>
      <c r="BH62" s="34" t="n"/>
      <c r="BI62" s="34" t="n"/>
      <c r="BJ62" s="34" t="n"/>
      <c r="BK62" s="34" t="n"/>
      <c r="BL62" s="34" t="n"/>
      <c r="BM62" s="34" t="n"/>
      <c r="BN62" s="34" t="n"/>
      <c r="BO62" s="34" t="n"/>
      <c r="BP62" s="34" t="n"/>
      <c r="BQ62" s="34" t="n"/>
      <c r="BR62" s="34" t="n"/>
      <c r="BS62" s="34" t="n"/>
      <c r="BT62" s="34" t="n"/>
      <c r="BU62" s="34" t="n"/>
      <c r="BV62" s="34" t="n"/>
      <c r="BW62" s="34" t="n"/>
      <c r="BX62" s="34" t="n"/>
      <c r="BY62" s="34" t="n"/>
      <c r="BZ62" s="34" t="n"/>
      <c r="CA62" s="34" t="n"/>
      <c r="CB62" s="34" t="n"/>
      <c r="CC62" s="35" t="n"/>
      <c r="CD62" s="35" t="n"/>
      <c r="CE62" s="35" t="n"/>
      <c r="CF62" s="265" t="n">
        <v>0</v>
      </c>
      <c r="CG62" s="266">
        <f>IFERROR((CF61+0.5*CG50*CG59)/CG60,0)</f>
        <v>3.75</v>
      </c>
      <c r="CH62" s="266">
        <f>IFERROR((CG61+0.5*CH50*CH59)/CH60,0)</f>
        <v>11.25</v>
      </c>
      <c r="CI62" s="266">
        <f>IFERROR((CH61+0.5*CI50*CI59)/CI60,0)</f>
        <v>18.75</v>
      </c>
      <c r="CJ62" s="266">
        <f>IFERROR((CI61+0.5*CJ50*CJ59)/CJ60,0)</f>
        <v>26.25</v>
      </c>
      <c r="CK62" s="266">
        <f>IFERROR((CJ61+0.5*CK50*CK59)/CK60,0)</f>
        <v>33.75</v>
      </c>
      <c r="CL62" s="19" t="n"/>
    </row>
    <row r="63" ht="15" customHeight="1" s="251">
      <c r="CT63" s="11" t="n"/>
      <c r="CU63" s="12" t="n"/>
      <c r="CV63" s="12" t="n"/>
      <c r="CW63" s="12" t="n"/>
      <c r="CX63" s="13" t="n"/>
    </row>
    <row r="64" ht="15" customHeight="1" s="251">
      <c r="B64" s="14" t="inlineStr">
        <is>
          <t>Group Total — net sales &amp; gross margin (segment build) → Q2 FY27 guidance calibration</t>
        </is>
      </c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  <c r="AH64" s="14" t="n"/>
      <c r="AI64" s="14" t="n"/>
      <c r="AJ64" s="14" t="n"/>
      <c r="AK64" s="14" t="n"/>
      <c r="AL64" s="14" t="n"/>
      <c r="AM64" s="14" t="n"/>
      <c r="AN64" s="14" t="n"/>
      <c r="AO64" s="14" t="n"/>
      <c r="AP64" s="14" t="n"/>
      <c r="AQ64" s="14" t="n"/>
      <c r="AR64" s="14" t="n"/>
      <c r="AS64" s="14" t="n"/>
      <c r="AT64" s="14" t="n"/>
      <c r="AU64" s="14" t="n"/>
      <c r="AV64" s="14" t="n"/>
      <c r="AW64" s="14" t="n"/>
      <c r="AX64" s="14" t="n"/>
      <c r="AY64" s="14" t="n"/>
      <c r="AZ64" s="14" t="n"/>
      <c r="BA64" s="14" t="n"/>
      <c r="BB64" s="14" t="n"/>
      <c r="BC64" s="14" t="n"/>
      <c r="BD64" s="14" t="n"/>
      <c r="BE64" s="14" t="n"/>
      <c r="BF64" s="14" t="n"/>
      <c r="BG64" s="14" t="n"/>
      <c r="BH64" s="14" t="n"/>
      <c r="BI64" s="14" t="n"/>
      <c r="BJ64" s="14" t="n"/>
      <c r="BK64" s="14" t="n"/>
      <c r="BL64" s="14" t="n"/>
      <c r="BM64" s="14" t="n"/>
      <c r="BN64" s="14" t="n"/>
      <c r="BO64" s="14" t="n"/>
      <c r="BP64" s="14" t="n"/>
      <c r="BQ64" s="14" t="n"/>
      <c r="BR64" s="14" t="n"/>
      <c r="BS64" s="14" t="n"/>
      <c r="BT64" s="14" t="n"/>
      <c r="BU64" s="14" t="n"/>
      <c r="BV64" s="14" t="n"/>
      <c r="BW64" s="14" t="n"/>
      <c r="BX64" s="14" t="n"/>
      <c r="BY64" s="14" t="n"/>
      <c r="BZ64" s="14" t="n"/>
      <c r="CA64" s="14" t="n"/>
      <c r="CB64" s="14" t="n"/>
      <c r="CC64" s="14" t="n"/>
      <c r="CD64" s="14" t="n"/>
      <c r="CE64" s="14" t="n"/>
      <c r="CF64" s="14" t="n"/>
      <c r="CG64" s="14" t="n"/>
      <c r="CH64" s="14" t="n"/>
      <c r="CI64" s="14" t="n"/>
      <c r="CJ64" s="14" t="n"/>
      <c r="CK64" s="14" t="n"/>
      <c r="CL64" s="15" t="inlineStr">
        <is>
          <t>GROUP TOTAL (CONSOLIDATED) — modelling logic</t>
        </is>
      </c>
    </row>
    <row r="65" ht="15" customHeight="1" s="251">
      <c r="B65" s="55" t="inlineStr">
        <is>
          <t>Net sales (segment build)</t>
        </is>
      </c>
      <c r="C65" s="271">
        <f>IF(ISNUMBER(C11),C11+C23,C108)</f>
        <v>274.509</v>
      </c>
      <c r="D65" s="271">
        <f>IF(ISNUMBER(D11),D11+D23,D108)</f>
        <v>306.062</v>
      </c>
      <c r="E65" s="271">
        <f>IF(ISNUMBER(E11),E11+E23,E108)</f>
        <v>330.6</v>
      </c>
      <c r="F65" s="271">
        <f>IF(ISNUMBER(F11),F11+F23,F108)</f>
        <v>355.796</v>
      </c>
      <c r="G65" s="271">
        <f>IF(ISNUMBER(G11),G11+G23,G108)</f>
        <v>274.702</v>
      </c>
      <c r="H65" s="271">
        <f>IF(ISNUMBER(H11),H11+H23,H108)</f>
        <v>335.625</v>
      </c>
      <c r="I65" s="271">
        <f>IF(ISNUMBER(I11),I11+I23,I108)</f>
        <v>397.511</v>
      </c>
      <c r="J65" s="271">
        <f>IF(ISNUMBER(J11),J11+J23,J108)</f>
        <v>103.334</v>
      </c>
      <c r="K65" s="271">
        <f>IF(ISNUMBER(K11),K11+K23,K108)</f>
        <v>100.375</v>
      </c>
      <c r="L65" s="271">
        <f>IF(ISNUMBER(L11),L11+L23,L108)</f>
        <v>96.336</v>
      </c>
      <c r="M65" s="271">
        <f>IF(ISNUMBER(M11),M11+M23,M108)</f>
        <v>103.006</v>
      </c>
      <c r="N65" s="271">
        <f>IF(ISNUMBER(N11),N11+N23,N108)</f>
        <v>403.051</v>
      </c>
      <c r="O65" s="271">
        <f>IF(ISNUMBER(O11),O11+O23,O108)</f>
        <v>102.668</v>
      </c>
      <c r="P65" s="271">
        <f>IF(ISNUMBER(P11),P11+P23,P108)</f>
        <v>101.954</v>
      </c>
      <c r="Q65" s="271">
        <f>IF(ISNUMBER(Q11),Q11+Q23,Q108)</f>
        <v>100.546</v>
      </c>
      <c r="R65" s="271">
        <f>IF(ISNUMBER(R11),R11+R23,R108)</f>
        <v>113.718</v>
      </c>
      <c r="S65" s="271">
        <f>IF(ISNUMBER(S11),S11+S23,S108)</f>
        <v>418.886</v>
      </c>
      <c r="T65" s="271">
        <f>IF(ISNUMBER(T11),T11+T23,T108)</f>
        <v>112.984</v>
      </c>
      <c r="U65" s="271">
        <f>IF(ISNUMBER(U11),U11+U23,U108)</f>
        <v>112.555</v>
      </c>
      <c r="V65" s="271">
        <f>IF(ISNUMBER(V11),V11+V23,V108)</f>
        <v>106.322</v>
      </c>
      <c r="W65" s="271">
        <f>IF(ISNUMBER(W11),W11+W23,W108)</f>
        <v>113.417</v>
      </c>
      <c r="X65" s="271">
        <f>IF(ISNUMBER(X11),X11+X23,X108)</f>
        <v>445.278</v>
      </c>
      <c r="Y65" s="271">
        <f>IF(ISNUMBER(Y11),Y11+Y23,Y108)</f>
        <v>142.308</v>
      </c>
      <c r="Z65" s="271">
        <f>IF(ISNUMBER(Z11),Z11+Z23,Z108)</f>
        <v>148.696</v>
      </c>
      <c r="AA65" s="271">
        <f>IF(ISNUMBER(AA11),AA11+AA23,AA108)</f>
        <v>144.216</v>
      </c>
      <c r="AB65" s="271">
        <f>IF(ISNUMBER(AB11),AB11+AB23,AB108)</f>
        <v>162.252</v>
      </c>
      <c r="AC65" s="271">
        <f>IF(ISNUMBER(AC11),AC11+AC23,AC108)</f>
        <v>597.472</v>
      </c>
      <c r="AD65" s="271">
        <f>IF(ISNUMBER(AD11),AD11+AD23,AD108)</f>
        <v>154.579</v>
      </c>
      <c r="AE65" s="271">
        <f>IF(ISNUMBER(AE11),AE11+AE23,AE108)</f>
        <v>153.943</v>
      </c>
      <c r="AF65" s="271">
        <f>IF(ISNUMBER(AF11),AF11+AF23,AF108)</f>
        <v>146.656</v>
      </c>
      <c r="AG65" s="271">
        <f>IF(ISNUMBER(AG11),AG11+AG23,AG108)</f>
        <v>160.21</v>
      </c>
      <c r="AH65" s="271">
        <f>IF(ISNUMBER(AH11),AH11+AH23,AH108)</f>
        <v>615.388</v>
      </c>
      <c r="AI65" s="271">
        <f>IF(ISNUMBER(AI11),AI11+AI23,AI108)</f>
        <v>163.897</v>
      </c>
      <c r="AJ65" s="271">
        <f>IF(ISNUMBER(AJ11),AJ11+AJ23,AJ108)</f>
        <v>164.317</v>
      </c>
      <c r="AK65" s="271">
        <f>IF(ISNUMBER(AK11),AK11+AK23,AK108)</f>
        <v>166.858</v>
      </c>
      <c r="AL65" s="271">
        <f>IF(ISNUMBER(AL11),AL11+AL23,AL108)</f>
        <v>179.877</v>
      </c>
      <c r="AM65" s="271">
        <f>IF(ISNUMBER(AM11),AM11+AM23,AM108)</f>
        <v>674.949</v>
      </c>
      <c r="AN65" s="271">
        <f>IF(ISNUMBER(AN11),AN11+AN23,AN108)</f>
        <v>175.985</v>
      </c>
      <c r="AO65" s="271">
        <f>IF(ISNUMBER(AO11),AO11+AO23,AO108)</f>
        <v>172.916</v>
      </c>
      <c r="AP65" s="271">
        <f>IF(ISNUMBER(AP11),AP11+AP23,AP108)</f>
        <v>171.453</v>
      </c>
      <c r="AQ65" s="271">
        <f>IF(ISNUMBER(AQ11),AQ11+AQ23,AQ108)</f>
        <v>182.162</v>
      </c>
      <c r="AR65" s="271">
        <f>IF(ISNUMBER(AR11),AR11+AR23,AR108)</f>
        <v>702.516</v>
      </c>
      <c r="AS65" s="271">
        <f>IF(ISNUMBER(AS11),AS11+AS23,AS108)</f>
        <v>182.69</v>
      </c>
      <c r="AT65" s="271">
        <f>IF(ISNUMBER(AT11),AT11+AT23,AT108)</f>
        <v>181.909</v>
      </c>
      <c r="AU65" s="271">
        <f>IF(ISNUMBER(AU11),AU11+AU23,AU108)</f>
        <v>177.019</v>
      </c>
      <c r="AV65" s="271">
        <f>IF(ISNUMBER(AV11),AV11+AV23,AV108)</f>
        <v>185.843</v>
      </c>
      <c r="AW65" s="271">
        <f>IF(ISNUMBER(AW11),AW11+AW23,AW108)</f>
        <v>727.461</v>
      </c>
      <c r="AX65" s="271">
        <f>IF(ISNUMBER(AX11),AX11+AX23,AX108)</f>
        <v>156.493</v>
      </c>
      <c r="AY65" s="271">
        <f>IF(ISNUMBER(AY11),AY11+AY23,AY108)</f>
        <v>146.335</v>
      </c>
      <c r="AZ65" s="271">
        <f>IF(ISNUMBER(AZ11),AZ11+AZ23,AZ108)</f>
        <v>145.861</v>
      </c>
      <c r="BA65" s="271">
        <f>IF(ISNUMBER(BA11),BA11+BA23,BA108)</f>
        <v>160.295</v>
      </c>
      <c r="BB65" s="271">
        <f>IF(ISNUMBER(BB11),BB11+BB23,BB108)</f>
        <v>608.984</v>
      </c>
      <c r="BC65" s="271">
        <f>IF(ISNUMBER(BC11),BC11+BC23,BC108)</f>
        <v>156.205</v>
      </c>
      <c r="BD65" s="271">
        <f>IF(ISNUMBER(BD11),BD11+BD23,BD108)</f>
        <v>160.9</v>
      </c>
      <c r="BE65" s="271">
        <f>IF(ISNUMBER(BE11),BE11+BE23,BE108)</f>
        <v>266.953</v>
      </c>
      <c r="BF65" s="271">
        <f>IF(ISNUMBER(BF11),BF11+BF23,BF108)</f>
        <v>358.879</v>
      </c>
      <c r="BG65" s="271">
        <f>IF(ISNUMBER(BG11),BG11+BG23,BG108)</f>
        <v>942.937</v>
      </c>
      <c r="BH65" s="271">
        <f>IF(ISNUMBER(BH11),BH11+BH23,BH108)</f>
        <v>354.08</v>
      </c>
      <c r="BI65" s="271">
        <f>IF(ISNUMBER(BI11),BI11+BI23,BI108)</f>
        <v>369.167</v>
      </c>
      <c r="BJ65" s="271">
        <f>IF(ISNUMBER(BJ11),BJ11+BJ23,BJ108)</f>
        <v>351.625</v>
      </c>
      <c r="BK65" s="271">
        <f>IF(ISNUMBER(BK11),BK11+BK23,BK108)</f>
        <v>394.422</v>
      </c>
      <c r="BL65" s="271">
        <f>IF(ISNUMBER(BL11),BL11+BL23,BL108)</f>
        <v>1469.294</v>
      </c>
      <c r="BM65" s="271">
        <f>IF(ISNUMBER(BM11),BM11+BM23,BM108)</f>
        <v>387.122</v>
      </c>
      <c r="BN65" s="271">
        <f>IF(ISNUMBER(BN11),BN11+BN23,BN108)</f>
        <v>385.572</v>
      </c>
      <c r="BO65" s="271">
        <f>IF(ISNUMBER(BO11),BO11+BO23,BO108)</f>
        <v>373.906</v>
      </c>
      <c r="BP65" s="271">
        <f>IF(ISNUMBER(BP11),BP11+BP23,BP108)</f>
        <v>413.68</v>
      </c>
      <c r="BQ65" s="271">
        <f>IF(ISNUMBER(BQ11),BQ11+BQ23,BQ108)</f>
        <v>1560.28</v>
      </c>
      <c r="BR65" s="271">
        <f>IF(ISNUMBER(BR11),BR11+BR23,BR108)</f>
        <v>406.3</v>
      </c>
      <c r="BS65" s="271">
        <f>IF(ISNUMBER(BS11),BS11+BS23,BS108)</f>
        <v>397.9</v>
      </c>
      <c r="BT65" s="271">
        <f>IF(ISNUMBER(BT11),BT11+BT23,BT108)</f>
        <v>394.4</v>
      </c>
      <c r="BU65" s="271">
        <f>IF(ISNUMBER(BU11),BU11+BU23,BU108)</f>
        <v>437.7</v>
      </c>
      <c r="BV65" s="271">
        <f>IF(ISNUMBER(BV11),BV11+BV23,BV108)</f>
        <v>1636.3</v>
      </c>
      <c r="BW65" s="271">
        <f>IF(ISNUMBER(BW11),BW11+BW23,BW108)</f>
        <v>436</v>
      </c>
      <c r="BX65" s="271">
        <f>IF(ISNUMBER(BX11),BX11+BX23,BX108)</f>
        <v>455.3</v>
      </c>
      <c r="BY65" s="271">
        <f>IF(ISNUMBER(BY11),BY11+BY23,BY108)</f>
        <v>461.6</v>
      </c>
      <c r="BZ65" s="271">
        <f>IF(ISNUMBER(BZ11),BZ11+BZ23,BZ108)</f>
        <v>518</v>
      </c>
      <c r="CA65" s="271">
        <f>IF(ISNUMBER(CA11),CA11+CA23,CA108)</f>
        <v>1870.9</v>
      </c>
      <c r="CB65" s="271">
        <f>IF(ISNUMBER(CB11),CB11+CB23,CB108)</f>
        <v>519.5</v>
      </c>
      <c r="CC65" s="271">
        <f>CC11+CC23+N(CC55)</f>
        <v>510</v>
      </c>
      <c r="CD65" s="271">
        <f>CD11+CD23+N(CD55)</f>
        <v>510.994132160183</v>
      </c>
      <c r="CE65" s="271">
        <f>CE11+CE23+N(CE55)</f>
        <v>616.621900770929</v>
      </c>
      <c r="CF65" s="271">
        <f>CF11+CF23+N(CF55)</f>
        <v>2157.11603293111</v>
      </c>
      <c r="CG65" s="271">
        <f>CG11+CG23+N(CG55)</f>
        <v>2384.77498023031</v>
      </c>
      <c r="CH65" s="271">
        <f>CH11+CH23+N(CH55)</f>
        <v>2666.37135748097</v>
      </c>
      <c r="CI65" s="271">
        <f>CI11+CI23+N(CI55)</f>
        <v>2949.30292861885</v>
      </c>
      <c r="CJ65" s="271">
        <f>CJ11+CJ23+N(CJ55)</f>
        <v>3237.78295521797</v>
      </c>
      <c r="CK65" s="271">
        <f>CK11+CK23+N(CK55)</f>
        <v>3522.55164285414</v>
      </c>
      <c r="CL65" s="153" t="inlineStr">
        <is>
          <t>Σ segment sales (+ future acquisitions from FY2028E); history before the segment split = reported net sales.</t>
        </is>
      </c>
      <c r="CN65" s="20">
        <f>IFERROR((CK65/CF65)^(1/5)-1,"n/m")</f>
        <v>0.103053996382692</v>
      </c>
      <c r="CO65" s="20">
        <f>IFERROR((CA65/BB65)^(1/5)-1,"n/m")</f>
        <v>0.251667392624697</v>
      </c>
      <c r="CP65" s="20">
        <f>IFERROR((CA65/AC65)^(1/10)-1,"n/m")</f>
        <v>0.120916602474462</v>
      </c>
      <c r="CQ65" s="20">
        <f>IFERROR((CA65/C65)^(1/20)-1,"n/m")</f>
        <v>0.100714529844965</v>
      </c>
    </row>
    <row r="66" ht="15" customHeight="1" s="251">
      <c r="B66" s="22" t="inlineStr">
        <is>
          <t xml:space="preserve">  Net sales y/y %</t>
        </is>
      </c>
      <c r="C66" s="23" t="n"/>
      <c r="D66" s="255">
        <f>IF(AND(ISNUMBER(D65),ISNUMBER(C65)),IFERROR(D65/C65-1,""),"")</f>
        <v>0.114943408048552</v>
      </c>
      <c r="E66" s="255">
        <f>IF(AND(ISNUMBER(E65),ISNUMBER(D65)),IFERROR(E65/D65-1,""),"")</f>
        <v>0.080173298220622</v>
      </c>
      <c r="F66" s="255">
        <f>IF(AND(ISNUMBER(F65),ISNUMBER(E65)),IFERROR(F65/E65-1,""),"")</f>
        <v>0.0762129461584995</v>
      </c>
      <c r="G66" s="255">
        <f>IF(AND(ISNUMBER(G65),ISNUMBER(F65)),IFERROR(G65/F65-1,""),"")</f>
        <v>-0.227922742245556</v>
      </c>
      <c r="H66" s="255">
        <f>IF(AND(ISNUMBER(H65),ISNUMBER(G65)),IFERROR(H65/G65-1,""),"")</f>
        <v>0.221778509075289</v>
      </c>
      <c r="I66" s="255">
        <f>IF(AND(ISNUMBER(I65),ISNUMBER(H65)),IFERROR(I65/H65-1,""),"")</f>
        <v>0.184390316573557</v>
      </c>
      <c r="J66" s="23" t="n"/>
      <c r="K66" s="23" t="n"/>
      <c r="L66" s="23" t="n"/>
      <c r="M66" s="23" t="n"/>
      <c r="N66" s="255">
        <f>IF(AND(ISNUMBER(N65),ISNUMBER(I65)),IFERROR(N65/I65-1,""),"")</f>
        <v>0.0139367212479653</v>
      </c>
      <c r="O66" s="255">
        <f>IF(AND(ISNUMBER(O65),ISNUMBER(J65)),IFERROR(O65/J65-1,""),"")</f>
        <v>-0.00644511970890505</v>
      </c>
      <c r="P66" s="255">
        <f>IF(AND(ISNUMBER(P65),ISNUMBER(K65)),IFERROR(P65/K65-1,""),"")</f>
        <v>0.0157310087173099</v>
      </c>
      <c r="Q66" s="255">
        <f>IF(AND(ISNUMBER(Q65),ISNUMBER(L65)),IFERROR(Q65/L65-1,""),"")</f>
        <v>0.0437012124231857</v>
      </c>
      <c r="R66" s="255">
        <f>IF(AND(ISNUMBER(R65),ISNUMBER(M65)),IFERROR(R65/M65-1,""),"")</f>
        <v>0.10399394210046</v>
      </c>
      <c r="S66" s="255">
        <f>IF(AND(ISNUMBER(S65),ISNUMBER(N65)),IFERROR(S65/N65-1,""),"")</f>
        <v>0.0392878320609551</v>
      </c>
      <c r="T66" s="255">
        <f>IF(AND(ISNUMBER(T65),ISNUMBER(O65)),IFERROR(T65/O65-1,""),"")</f>
        <v>0.100479214555655</v>
      </c>
      <c r="U66" s="255">
        <f>IF(AND(ISNUMBER(U65),ISNUMBER(P65)),IFERROR(U65/P65-1,""),"")</f>
        <v>0.103978264707613</v>
      </c>
      <c r="V66" s="255">
        <f>IF(AND(ISNUMBER(V65),ISNUMBER(Q65)),IFERROR(V65/Q65-1,""),"")</f>
        <v>0.0574463429673979</v>
      </c>
      <c r="W66" s="255">
        <f>IF(AND(ISNUMBER(W65),ISNUMBER(R65)),IFERROR(W65/R65-1,""),"")</f>
        <v>-0.00264689846814048</v>
      </c>
      <c r="X66" s="255">
        <f>IF(AND(ISNUMBER(X65),ISNUMBER(S65)),IFERROR(X65/S65-1,""),"")</f>
        <v>0.0630052090544921</v>
      </c>
      <c r="Y66" s="255">
        <f>IF(AND(ISNUMBER(Y65),ISNUMBER(T65)),IFERROR(Y65/T65-1,""),"")</f>
        <v>0.259541173971536</v>
      </c>
      <c r="Z66" s="255">
        <f>IF(AND(ISNUMBER(Z65),ISNUMBER(U65)),IFERROR(Z65/U65-1,""),"")</f>
        <v>0.321096352894141</v>
      </c>
      <c r="AA66" s="255">
        <f>IF(AND(ISNUMBER(AA65),ISNUMBER(V65)),IFERROR(AA65/V65-1,""),"")</f>
        <v>0.35640789300427</v>
      </c>
      <c r="AB66" s="255">
        <f>IF(AND(ISNUMBER(AB65),ISNUMBER(W65)),IFERROR(AB65/W65-1,""),"")</f>
        <v>0.430579190068508</v>
      </c>
      <c r="AC66" s="255">
        <f>IF(AND(ISNUMBER(AC65),ISNUMBER(X65)),IFERROR(AC65/X65-1,""),"")</f>
        <v>0.341795462609875</v>
      </c>
      <c r="AD66" s="255">
        <f>IF(AND(ISNUMBER(AD65),ISNUMBER(Y65)),IFERROR(AD65/Y65-1,""),"")</f>
        <v>0.0862284622087304</v>
      </c>
      <c r="AE66" s="255">
        <f>IF(AND(ISNUMBER(AE65),ISNUMBER(Z65)),IFERROR(AE65/Z65-1,""),"")</f>
        <v>0.0352867595631357</v>
      </c>
      <c r="AF66" s="255">
        <f>IF(AND(ISNUMBER(AF65),ISNUMBER(AA65)),IFERROR(AF65/AA65-1,""),"")</f>
        <v>0.0169190658456759</v>
      </c>
      <c r="AG66" s="255">
        <f>IF(AND(ISNUMBER(AG65),ISNUMBER(AB65)),IFERROR(AG65/AB65-1,""),"")</f>
        <v>-0.0125853610433153</v>
      </c>
      <c r="AH66" s="255">
        <f>IF(AND(ISNUMBER(AH65),ISNUMBER(AC65)),IFERROR(AH65/AC65-1,""),"")</f>
        <v>0.0299863424562157</v>
      </c>
      <c r="AI66" s="255">
        <f>IF(AND(ISNUMBER(AI65),ISNUMBER(AD65)),IFERROR(AI65/AD65-1,""),"")</f>
        <v>0.0602798569016489</v>
      </c>
      <c r="AJ66" s="255">
        <f>IF(AND(ISNUMBER(AJ65),ISNUMBER(AE65)),IFERROR(AJ65/AE65-1,""),"")</f>
        <v>0.0673885788895889</v>
      </c>
      <c r="AK66" s="255">
        <f>IF(AND(ISNUMBER(AK65),ISNUMBER(AF65)),IFERROR(AK65/AF65-1,""),"")</f>
        <v>0.13775092734017</v>
      </c>
      <c r="AL66" s="255">
        <f>IF(AND(ISNUMBER(AL65),ISNUMBER(AG65)),IFERROR(AL65/AG65-1,""),"")</f>
        <v>0.122757630609825</v>
      </c>
      <c r="AM66" s="255">
        <f>IF(AND(ISNUMBER(AM65),ISNUMBER(AH65)),IFERROR(AM65/AH65-1,""),"")</f>
        <v>0.0967860926764901</v>
      </c>
      <c r="AN66" s="255">
        <f>IF(AND(ISNUMBER(AN65),ISNUMBER(AI65)),IFERROR(AN65/AI65-1,""),"")</f>
        <v>0.0737536379555455</v>
      </c>
      <c r="AO66" s="255">
        <f>IF(AND(ISNUMBER(AO65),ISNUMBER(AJ65)),IFERROR(AO65/AJ65-1,""),"")</f>
        <v>0.0523317733405551</v>
      </c>
      <c r="AP66" s="255">
        <f>IF(AND(ISNUMBER(AP65),ISNUMBER(AK65)),IFERROR(AP65/AK65-1,""),"")</f>
        <v>0.027538385932949</v>
      </c>
      <c r="AQ66" s="255">
        <f>IF(AND(ISNUMBER(AQ65),ISNUMBER(AL65)),IFERROR(AQ65/AL65-1,""),"")</f>
        <v>0.0127031249131351</v>
      </c>
      <c r="AR66" s="255">
        <f>IF(AND(ISNUMBER(AR65),ISNUMBER(AM65)),IFERROR(AR65/AM65-1,""),"")</f>
        <v>0.0408430859220474</v>
      </c>
      <c r="AS66" s="255">
        <f>IF(AND(ISNUMBER(AS65),ISNUMBER(AN65)),IFERROR(AS65/AN65-1,""),"")</f>
        <v>0.0380998380543796</v>
      </c>
      <c r="AT66" s="255">
        <f>IF(AND(ISNUMBER(AT65),ISNUMBER(AO65)),IFERROR(AT65/AO65-1,""),"")</f>
        <v>0.0520079113558027</v>
      </c>
      <c r="AU66" s="255">
        <f>IF(AND(ISNUMBER(AU65),ISNUMBER(AP65)),IFERROR(AU65/AP65-1,""),"")</f>
        <v>0.0324637072550495</v>
      </c>
      <c r="AV66" s="255">
        <f>IF(AND(ISNUMBER(AV65),ISNUMBER(AQ65)),IFERROR(AV65/AQ65-1,""),"")</f>
        <v>0.0202072880183573</v>
      </c>
      <c r="AW66" s="255">
        <f>IF(AND(ISNUMBER(AW65),ISNUMBER(AR65)),IFERROR(AW65/AR65-1,""),"")</f>
        <v>0.0355080880720156</v>
      </c>
      <c r="AX66" s="255">
        <f>IF(AND(ISNUMBER(AX65),ISNUMBER(AS65)),IFERROR(AX65/AS65-1,""),"")</f>
        <v>-0.143395916579999</v>
      </c>
      <c r="AY66" s="255">
        <f>IF(AND(ISNUMBER(AY65),ISNUMBER(AT65)),IFERROR(AY65/AT65-1,""),"")</f>
        <v>-0.195559318120599</v>
      </c>
      <c r="AZ66" s="255">
        <f>IF(AND(ISNUMBER(AZ65),ISNUMBER(AU65)),IFERROR(AZ65/AU65-1,""),"")</f>
        <v>-0.176015004039115</v>
      </c>
      <c r="BA66" s="255">
        <f>IF(AND(ISNUMBER(BA65),ISNUMBER(AV65)),IFERROR(BA65/AV65-1,""),"")</f>
        <v>-0.137470875954435</v>
      </c>
      <c r="BB66" s="255">
        <f>IF(AND(ISNUMBER(BB65),ISNUMBER(AW65)),IFERROR(BB65/AW65-1,""),"")</f>
        <v>-0.162863713656127</v>
      </c>
      <c r="BC66" s="255">
        <f>IF(AND(ISNUMBER(BC65),ISNUMBER(AX65)),IFERROR(BC65/AX65-1,""),"")</f>
        <v>-0.00184033790648785</v>
      </c>
      <c r="BD66" s="255">
        <f>IF(AND(ISNUMBER(BD65),ISNUMBER(AY65)),IFERROR(BD65/AY65-1,""),"")</f>
        <v>0.099531895992073</v>
      </c>
      <c r="BE66" s="255">
        <f>IF(AND(ISNUMBER(BE65),ISNUMBER(AZ65)),IFERROR(BE65/AZ65-1,""),"")</f>
        <v>0.830187644401176</v>
      </c>
      <c r="BF66" s="255">
        <f>IF(AND(ISNUMBER(BF65),ISNUMBER(BA65)),IFERROR(BF65/BA65-1,""),"")</f>
        <v>1.23886584110546</v>
      </c>
      <c r="BG66" s="255">
        <f>IF(AND(ISNUMBER(BG65),ISNUMBER(BB65)),IFERROR(BG65/BB65-1,""),"")</f>
        <v>0.548377297268894</v>
      </c>
      <c r="BH66" s="255">
        <f>IF(AND(ISNUMBER(BH65),ISNUMBER(BC65)),IFERROR(BH65/BC65-1,""),"")</f>
        <v>1.26676482827054</v>
      </c>
      <c r="BI66" s="255">
        <f>IF(AND(ISNUMBER(BI65),ISNUMBER(BD65)),IFERROR(BI65/BD65-1,""),"")</f>
        <v>1.29438781852082</v>
      </c>
      <c r="BJ66" s="255">
        <f>IF(AND(ISNUMBER(BJ65),ISNUMBER(BE65)),IFERROR(BJ65/BE65-1,""),"")</f>
        <v>0.317179428588553</v>
      </c>
      <c r="BK66" s="255">
        <f>IF(AND(ISNUMBER(BK65),ISNUMBER(BF65)),IFERROR(BK65/BF65-1,""),"")</f>
        <v>0.0990389518472801</v>
      </c>
      <c r="BL66" s="255">
        <f>IF(AND(ISNUMBER(BL65),ISNUMBER(BG65)),IFERROR(BL65/BG65-1,""),"")</f>
        <v>0.558210145534643</v>
      </c>
      <c r="BM66" s="255">
        <f>IF(AND(ISNUMBER(BM65),ISNUMBER(BH65)),IFERROR(BM65/BH65-1,""),"")</f>
        <v>0.0933178942611836</v>
      </c>
      <c r="BN66" s="255">
        <f>IF(AND(ISNUMBER(BN65),ISNUMBER(BI65)),IFERROR(BN65/BI65-1,""),"")</f>
        <v>0.0444378831260648</v>
      </c>
      <c r="BO66" s="255">
        <f>IF(AND(ISNUMBER(BO65),ISNUMBER(BJ65)),IFERROR(BO65/BJ65-1,""),"")</f>
        <v>0.063365801635265</v>
      </c>
      <c r="BP66" s="255">
        <f>IF(AND(ISNUMBER(BP65),ISNUMBER(BK65)),IFERROR(BP65/BK65-1,""),"")</f>
        <v>0.048825876852711</v>
      </c>
      <c r="BQ66" s="255">
        <f>IF(AND(ISNUMBER(BQ65),ISNUMBER(BL65)),IFERROR(BQ65/BL65-1,""),"")</f>
        <v>0.0619249789354617</v>
      </c>
      <c r="BR66" s="255">
        <f>IF(AND(ISNUMBER(BR65),ISNUMBER(BM65)),IFERROR(BR65/BM65-1,""),"")</f>
        <v>0.0495399383140198</v>
      </c>
      <c r="BS66" s="255">
        <f>IF(AND(ISNUMBER(BS65),ISNUMBER(BN65)),IFERROR(BS65/BN65-1,""),"")</f>
        <v>0.0319732760677642</v>
      </c>
      <c r="BT66" s="255">
        <f>IF(AND(ISNUMBER(BT65),ISNUMBER(BO65)),IFERROR(BT65/BO65-1,""),"")</f>
        <v>0.0548105673618502</v>
      </c>
      <c r="BU66" s="255">
        <f>IF(AND(ISNUMBER(BU65),ISNUMBER(BP65)),IFERROR(BU65/BP65-1,""),"")</f>
        <v>0.058064204215819</v>
      </c>
      <c r="BV66" s="255">
        <f>IF(AND(ISNUMBER(BV65),ISNUMBER(BQ65)),IFERROR(BV65/BQ65-1,""),"")</f>
        <v>0.0487220242520572</v>
      </c>
      <c r="BW66" s="255">
        <f>IF(AND(ISNUMBER(BW65),ISNUMBER(BR65)),IFERROR(BW65/BR65-1,""),"")</f>
        <v>0.0730986955451638</v>
      </c>
      <c r="BX66" s="255">
        <f>IF(AND(ISNUMBER(BX65),ISNUMBER(BS65)),IFERROR(BX65/BS65-1,""),"")</f>
        <v>0.14425735109324</v>
      </c>
      <c r="BY66" s="255">
        <f>IF(AND(ISNUMBER(BY65),ISNUMBER(BT65)),IFERROR(BY65/BT65-1,""),"")</f>
        <v>0.170385395537525</v>
      </c>
      <c r="BZ66" s="255">
        <f>IF(AND(ISNUMBER(BZ65),ISNUMBER(BU65)),IFERROR(BZ65/BU65-1,""),"")</f>
        <v>0.18345899017592</v>
      </c>
      <c r="CA66" s="255">
        <f>IF(AND(ISNUMBER(CA65),ISNUMBER(BV65)),IFERROR(CA65/BV65-1,""),"")</f>
        <v>0.143372242253865</v>
      </c>
      <c r="CB66" s="255">
        <f>IF(AND(ISNUMBER(CB65),ISNUMBER(BW65)),IFERROR(CB65/BW65-1,""),"")</f>
        <v>0.19151376146789</v>
      </c>
      <c r="CC66" s="256">
        <f>IF(AND(ISNUMBER(CC65),ISNUMBER(BX65)),IFERROR(CC65/BX65-1,""),"")</f>
        <v>0.120140566659345</v>
      </c>
      <c r="CD66" s="256">
        <f>IF(AND(ISNUMBER(CD65),ISNUMBER(BY65)),IFERROR(CD65/BY65-1,""),"")</f>
        <v>0.107006352166774</v>
      </c>
      <c r="CE66" s="256">
        <f>IF(AND(ISNUMBER(CE65),ISNUMBER(BZ65)),IFERROR(CE65/BZ65-1,""),"")</f>
        <v>0.190389769828049</v>
      </c>
      <c r="CF66" s="256">
        <f>IF(AND(ISNUMBER(CF65),ISNUMBER(CA65)),IFERROR(CF65/CA65-1,""),"")</f>
        <v>0.152983073884821</v>
      </c>
      <c r="CG66" s="256">
        <f>IF(AND(ISNUMBER(CG65),ISNUMBER(CF65)),IFERROR(CG65/CF65-1,""),"")</f>
        <v>0.105538572716391</v>
      </c>
      <c r="CH66" s="256">
        <f>IF(AND(ISNUMBER(CH65),ISNUMBER(CG65)),IFERROR(CH65/CG65-1,""),"")</f>
        <v>0.118080900539922</v>
      </c>
      <c r="CI66" s="256">
        <f>IF(AND(ISNUMBER(CI65),ISNUMBER(CH65)),IFERROR(CI65/CH65-1,""),"")</f>
        <v>0.106111090019048</v>
      </c>
      <c r="CJ66" s="256">
        <f>IF(AND(ISNUMBER(CJ65),ISNUMBER(CI65)),IFERROR(CJ65/CI65-1,""),"")</f>
        <v>0.0978129522741882</v>
      </c>
      <c r="CK66" s="256">
        <f>IF(AND(ISNUMBER(CK65),ISNUMBER(CJ65)),IFERROR(CK65/CJ65-1,""),"")</f>
        <v>0.0879517532752585</v>
      </c>
      <c r="CL66" s="153" t="n"/>
    </row>
    <row r="67" ht="15" customHeight="1" s="251">
      <c r="B67" s="57" t="inlineStr">
        <is>
          <t xml:space="preserve">  Check: segment build vs consolidated net sales (should be 0)</t>
        </is>
      </c>
      <c r="C67" s="264">
        <f>IF(ISNUMBER(C65),IF(ABS(C65-C108)&lt;=0.15,0,ROUND(C65-C108,1)),"")</f>
        <v>0</v>
      </c>
      <c r="D67" s="264">
        <f>IF(ISNUMBER(D65),IF(ABS(D65-D108)&lt;=0.15,0,ROUND(D65-D108,1)),"")</f>
        <v>0</v>
      </c>
      <c r="E67" s="264">
        <f>IF(ISNUMBER(E65),IF(ABS(E65-E108)&lt;=0.15,0,ROUND(E65-E108,1)),"")</f>
        <v>0</v>
      </c>
      <c r="F67" s="264">
        <f>IF(ISNUMBER(F65),IF(ABS(F65-F108)&lt;=0.15,0,ROUND(F65-F108,1)),"")</f>
        <v>0</v>
      </c>
      <c r="G67" s="264">
        <f>IF(ISNUMBER(G65),IF(ABS(G65-G108)&lt;=0.15,0,ROUND(G65-G108,1)),"")</f>
        <v>0</v>
      </c>
      <c r="H67" s="264">
        <f>IF(ISNUMBER(H65),IF(ABS(H65-H108)&lt;=0.15,0,ROUND(H65-H108,1)),"")</f>
        <v>0</v>
      </c>
      <c r="I67" s="264">
        <f>IF(ISNUMBER(I65),IF(ABS(I65-I108)&lt;=0.15,0,ROUND(I65-I108,1)),"")</f>
        <v>0</v>
      </c>
      <c r="J67" s="264">
        <f>IF(ISNUMBER(J65),IF(ABS(J65-J108)&lt;=0.15,0,ROUND(J65-J108,1)),"")</f>
        <v>0</v>
      </c>
      <c r="K67" s="264">
        <f>IF(ISNUMBER(K65),IF(ABS(K65-K108)&lt;=0.15,0,ROUND(K65-K108,1)),"")</f>
        <v>0</v>
      </c>
      <c r="L67" s="264">
        <f>IF(ISNUMBER(L65),IF(ABS(L65-L108)&lt;=0.15,0,ROUND(L65-L108,1)),"")</f>
        <v>0</v>
      </c>
      <c r="M67" s="264">
        <f>IF(ISNUMBER(M65),IF(ABS(M65-M108)&lt;=0.15,0,ROUND(M65-M108,1)),"")</f>
        <v>0</v>
      </c>
      <c r="N67" s="264">
        <f>IF(ISNUMBER(N65),IF(ABS(N65-N108)&lt;=0.15,0,ROUND(N65-N108,1)),"")</f>
        <v>0</v>
      </c>
      <c r="O67" s="264">
        <f>IF(ISNUMBER(O65),IF(ABS(O65-O108)&lt;=0.15,0,ROUND(O65-O108,1)),"")</f>
        <v>0</v>
      </c>
      <c r="P67" s="264">
        <f>IF(ISNUMBER(P65),IF(ABS(P65-P108)&lt;=0.15,0,ROUND(P65-P108,1)),"")</f>
        <v>0</v>
      </c>
      <c r="Q67" s="264">
        <f>IF(ISNUMBER(Q65),IF(ABS(Q65-Q108)&lt;=0.15,0,ROUND(Q65-Q108,1)),"")</f>
        <v>0</v>
      </c>
      <c r="R67" s="264">
        <f>IF(ISNUMBER(R65),IF(ABS(R65-R108)&lt;=0.15,0,ROUND(R65-R108,1)),"")</f>
        <v>0</v>
      </c>
      <c r="S67" s="264">
        <f>IF(ISNUMBER(S65),IF(ABS(S65-S108)&lt;=0.15,0,ROUND(S65-S108,1)),"")</f>
        <v>0</v>
      </c>
      <c r="T67" s="264">
        <f>IF(ISNUMBER(T65),IF(ABS(T65-T108)&lt;=0.15,0,ROUND(T65-T108,1)),"")</f>
        <v>0</v>
      </c>
      <c r="U67" s="264">
        <f>IF(ISNUMBER(U65),IF(ABS(U65-U108)&lt;=0.15,0,ROUND(U65-U108,1)),"")</f>
        <v>0</v>
      </c>
      <c r="V67" s="264">
        <f>IF(ISNUMBER(V65),IF(ABS(V65-V108)&lt;=0.15,0,ROUND(V65-V108,1)),"")</f>
        <v>0</v>
      </c>
      <c r="W67" s="264">
        <f>IF(ISNUMBER(W65),IF(ABS(W65-W108)&lt;=0.15,0,ROUND(W65-W108,1)),"")</f>
        <v>0</v>
      </c>
      <c r="X67" s="264">
        <f>IF(ISNUMBER(X65),IF(ABS(X65-X108)&lt;=0.15,0,ROUND(X65-X108,1)),"")</f>
        <v>0</v>
      </c>
      <c r="Y67" s="264">
        <f>IF(ISNUMBER(Y65),IF(ABS(Y65-Y108)&lt;=0.15,0,ROUND(Y65-Y108,1)),"")</f>
        <v>0</v>
      </c>
      <c r="Z67" s="264">
        <f>IF(ISNUMBER(Z65),IF(ABS(Z65-Z108)&lt;=0.15,0,ROUND(Z65-Z108,1)),"")</f>
        <v>0</v>
      </c>
      <c r="AA67" s="264">
        <f>IF(ISNUMBER(AA65),IF(ABS(AA65-AA108)&lt;=0.15,0,ROUND(AA65-AA108,1)),"")</f>
        <v>0</v>
      </c>
      <c r="AB67" s="264">
        <f>IF(ISNUMBER(AB65),IF(ABS(AB65-AB108)&lt;=0.15,0,ROUND(AB65-AB108,1)),"")</f>
        <v>0</v>
      </c>
      <c r="AC67" s="264">
        <f>IF(ISNUMBER(AC65),IF(ABS(AC65-AC108)&lt;=0.15,0,ROUND(AC65-AC108,1)),"")</f>
        <v>0</v>
      </c>
      <c r="AD67" s="264">
        <f>IF(ISNUMBER(AD65),IF(ABS(AD65-AD108)&lt;=0.15,0,ROUND(AD65-AD108,1)),"")</f>
        <v>0</v>
      </c>
      <c r="AE67" s="264">
        <f>IF(ISNUMBER(AE65),IF(ABS(AE65-AE108)&lt;=0.15,0,ROUND(AE65-AE108,1)),"")</f>
        <v>0</v>
      </c>
      <c r="AF67" s="264">
        <f>IF(ISNUMBER(AF65),IF(ABS(AF65-AF108)&lt;=0.15,0,ROUND(AF65-AF108,1)),"")</f>
        <v>0</v>
      </c>
      <c r="AG67" s="264">
        <f>IF(ISNUMBER(AG65),IF(ABS(AG65-AG108)&lt;=0.15,0,ROUND(AG65-AG108,1)),"")</f>
        <v>0</v>
      </c>
      <c r="AH67" s="264">
        <f>IF(ISNUMBER(AH65),IF(ABS(AH65-AH108)&lt;=0.15,0,ROUND(AH65-AH108,1)),"")</f>
        <v>0</v>
      </c>
      <c r="AI67" s="264">
        <f>IF(ISNUMBER(AI65),IF(ABS(AI65-AI108)&lt;=0.15,0,ROUND(AI65-AI108,1)),"")</f>
        <v>0</v>
      </c>
      <c r="AJ67" s="264">
        <f>IF(ISNUMBER(AJ65),IF(ABS(AJ65-AJ108)&lt;=0.15,0,ROUND(AJ65-AJ108,1)),"")</f>
        <v>0</v>
      </c>
      <c r="AK67" s="264">
        <f>IF(ISNUMBER(AK65),IF(ABS(AK65-AK108)&lt;=0.15,0,ROUND(AK65-AK108,1)),"")</f>
        <v>0</v>
      </c>
      <c r="AL67" s="264">
        <f>IF(ISNUMBER(AL65),IF(ABS(AL65-AL108)&lt;=0.15,0,ROUND(AL65-AL108,1)),"")</f>
        <v>0</v>
      </c>
      <c r="AM67" s="264">
        <f>IF(ISNUMBER(AM65),IF(ABS(AM65-AM108)&lt;=0.15,0,ROUND(AM65-AM108,1)),"")</f>
        <v>0</v>
      </c>
      <c r="AN67" s="264">
        <f>IF(ISNUMBER(AN65),IF(ABS(AN65-AN108)&lt;=0.15,0,ROUND(AN65-AN108,1)),"")</f>
        <v>0</v>
      </c>
      <c r="AO67" s="264">
        <f>IF(ISNUMBER(AO65),IF(ABS(AO65-AO108)&lt;=0.15,0,ROUND(AO65-AO108,1)),"")</f>
        <v>0</v>
      </c>
      <c r="AP67" s="264">
        <f>IF(ISNUMBER(AP65),IF(ABS(AP65-AP108)&lt;=0.15,0,ROUND(AP65-AP108,1)),"")</f>
        <v>0</v>
      </c>
      <c r="AQ67" s="264">
        <f>IF(ISNUMBER(AQ65),IF(ABS(AQ65-AQ108)&lt;=0.15,0,ROUND(AQ65-AQ108,1)),"")</f>
        <v>0</v>
      </c>
      <c r="AR67" s="264">
        <f>IF(ISNUMBER(AR65),IF(ABS(AR65-AR108)&lt;=0.15,0,ROUND(AR65-AR108,1)),"")</f>
        <v>0</v>
      </c>
      <c r="AS67" s="264">
        <f>IF(ISNUMBER(AS65),IF(ABS(AS65-AS108)&lt;=0.15,0,ROUND(AS65-AS108,1)),"")</f>
        <v>0</v>
      </c>
      <c r="AT67" s="264">
        <f>IF(ISNUMBER(AT65),IF(ABS(AT65-AT108)&lt;=0.15,0,ROUND(AT65-AT108,1)),"")</f>
        <v>0</v>
      </c>
      <c r="AU67" s="264">
        <f>IF(ISNUMBER(AU65),IF(ABS(AU65-AU108)&lt;=0.15,0,ROUND(AU65-AU108,1)),"")</f>
        <v>0</v>
      </c>
      <c r="AV67" s="264">
        <f>IF(ISNUMBER(AV65),IF(ABS(AV65-AV108)&lt;=0.15,0,ROUND(AV65-AV108,1)),"")</f>
        <v>0</v>
      </c>
      <c r="AW67" s="264">
        <f>IF(ISNUMBER(AW65),IF(ABS(AW65-AW108)&lt;=0.15,0,ROUND(AW65-AW108,1)),"")</f>
        <v>0</v>
      </c>
      <c r="AX67" s="264">
        <f>IF(ISNUMBER(AX65),IF(ABS(AX65-AX108)&lt;=0.15,0,ROUND(AX65-AX108,1)),"")</f>
        <v>0</v>
      </c>
      <c r="AY67" s="264">
        <f>IF(ISNUMBER(AY65),IF(ABS(AY65-AY108)&lt;=0.15,0,ROUND(AY65-AY108,1)),"")</f>
        <v>0</v>
      </c>
      <c r="AZ67" s="264">
        <f>IF(ISNUMBER(AZ65),IF(ABS(AZ65-AZ108)&lt;=0.15,0,ROUND(AZ65-AZ108,1)),"")</f>
        <v>0</v>
      </c>
      <c r="BA67" s="264">
        <f>IF(ISNUMBER(BA65),IF(ABS(BA65-BA108)&lt;=0.15,0,ROUND(BA65-BA108,1)),"")</f>
        <v>0</v>
      </c>
      <c r="BB67" s="264">
        <f>IF(ISNUMBER(BB65),IF(ABS(BB65-BB108)&lt;=0.15,0,ROUND(BB65-BB108,1)),"")</f>
        <v>0</v>
      </c>
      <c r="BC67" s="264">
        <f>IF(ISNUMBER(BC65),IF(ABS(BC65-BC108)&lt;=0.15,0,ROUND(BC65-BC108,1)),"")</f>
        <v>0</v>
      </c>
      <c r="BD67" s="264">
        <f>IF(ISNUMBER(BD65),IF(ABS(BD65-BD108)&lt;=0.15,0,ROUND(BD65-BD108,1)),"")</f>
        <v>0</v>
      </c>
      <c r="BE67" s="264">
        <f>IF(ISNUMBER(BE65),IF(ABS(BE65-BE108)&lt;=0.15,0,ROUND(BE65-BE108,1)),"")</f>
        <v>0</v>
      </c>
      <c r="BF67" s="264">
        <f>IF(ISNUMBER(BF65),IF(ABS(BF65-BF108)&lt;=0.15,0,ROUND(BF65-BF108,1)),"")</f>
        <v>0</v>
      </c>
      <c r="BG67" s="264">
        <f>IF(ISNUMBER(BG65),IF(ABS(BG65-BG108)&lt;=0.15,0,ROUND(BG65-BG108,1)),"")</f>
        <v>0</v>
      </c>
      <c r="BH67" s="264">
        <f>IF(ISNUMBER(BH65),IF(ABS(BH65-BH108)&lt;=0.15,0,ROUND(BH65-BH108,1)),"")</f>
        <v>0</v>
      </c>
      <c r="BI67" s="264">
        <f>IF(ISNUMBER(BI65),IF(ABS(BI65-BI108)&lt;=0.15,0,ROUND(BI65-BI108,1)),"")</f>
        <v>0</v>
      </c>
      <c r="BJ67" s="264">
        <f>IF(ISNUMBER(BJ65),IF(ABS(BJ65-BJ108)&lt;=0.15,0,ROUND(BJ65-BJ108,1)),"")</f>
        <v>0</v>
      </c>
      <c r="BK67" s="264">
        <f>IF(ISNUMBER(BK65),IF(ABS(BK65-BK108)&lt;=0.15,0,ROUND(BK65-BK108,1)),"")</f>
        <v>0</v>
      </c>
      <c r="BL67" s="264">
        <f>IF(ISNUMBER(BL65),IF(ABS(BL65-BL108)&lt;=0.15,0,ROUND(BL65-BL108,1)),"")</f>
        <v>0</v>
      </c>
      <c r="BM67" s="264">
        <f>IF(ISNUMBER(BM65),IF(ABS(BM65-BM108)&lt;=0.15,0,ROUND(BM65-BM108,1)),"")</f>
        <v>0</v>
      </c>
      <c r="BN67" s="264">
        <f>IF(ISNUMBER(BN65),IF(ABS(BN65-BN108)&lt;=0.15,0,ROUND(BN65-BN108,1)),"")</f>
        <v>0</v>
      </c>
      <c r="BO67" s="264">
        <f>IF(ISNUMBER(BO65),IF(ABS(BO65-BO108)&lt;=0.15,0,ROUND(BO65-BO108,1)),"")</f>
        <v>0</v>
      </c>
      <c r="BP67" s="264">
        <f>IF(ISNUMBER(BP65),IF(ABS(BP65-BP108)&lt;=0.15,0,ROUND(BP65-BP108,1)),"")</f>
        <v>0</v>
      </c>
      <c r="BQ67" s="264">
        <f>IF(ISNUMBER(BQ65),IF(ABS(BQ65-BQ108)&lt;=0.15,0,ROUND(BQ65-BQ108,1)),"")</f>
        <v>0</v>
      </c>
      <c r="BR67" s="264">
        <f>IF(ISNUMBER(BR65),IF(ABS(BR65-BR108)&lt;=0.15,0,ROUND(BR65-BR108,1)),"")</f>
        <v>0</v>
      </c>
      <c r="BS67" s="264">
        <f>IF(ISNUMBER(BS65),IF(ABS(BS65-BS108)&lt;=0.15,0,ROUND(BS65-BS108,1)),"")</f>
        <v>0</v>
      </c>
      <c r="BT67" s="264">
        <f>IF(ISNUMBER(BT65),IF(ABS(BT65-BT108)&lt;=0.15,0,ROUND(BT65-BT108,1)),"")</f>
        <v>0</v>
      </c>
      <c r="BU67" s="264">
        <f>IF(ISNUMBER(BU65),IF(ABS(BU65-BU108)&lt;=0.15,0,ROUND(BU65-BU108,1)),"")</f>
        <v>0</v>
      </c>
      <c r="BV67" s="264">
        <f>IF(ISNUMBER(BV65),IF(ABS(BV65-BV108)&lt;=0.15,0,ROUND(BV65-BV108,1)),"")</f>
        <v>0</v>
      </c>
      <c r="BW67" s="264">
        <f>IF(ISNUMBER(BW65),IF(ABS(BW65-BW108)&lt;=0.15,0,ROUND(BW65-BW108,1)),"")</f>
        <v>0</v>
      </c>
      <c r="BX67" s="264">
        <f>IF(ISNUMBER(BX65),IF(ABS(BX65-BX108)&lt;=0.15,0,ROUND(BX65-BX108,1)),"")</f>
        <v>0</v>
      </c>
      <c r="BY67" s="264">
        <f>IF(ISNUMBER(BY65),IF(ABS(BY65-BY108)&lt;=0.15,0,ROUND(BY65-BY108,1)),"")</f>
        <v>0</v>
      </c>
      <c r="BZ67" s="264">
        <f>IF(ISNUMBER(BZ65),IF(ABS(BZ65-BZ108)&lt;=0.15,0,ROUND(BZ65-BZ108,1)),"")</f>
        <v>0</v>
      </c>
      <c r="CA67" s="264">
        <f>IF(ISNUMBER(CA65),IF(ABS(CA65-CA108)&lt;=0.15,0,ROUND(CA65-CA108,1)),"")</f>
        <v>0</v>
      </c>
      <c r="CB67" s="264">
        <f>IF(ISNUMBER(CB65),IF(ABS(CB65-CB108)&lt;=0.15,0,ROUND(CB65-CB108,1)),"")</f>
        <v>0</v>
      </c>
      <c r="CC67" s="272">
        <f>IF(ISNUMBER(CC65),IF(ABS(CC65-CC108)&lt;=0.15,0,ROUND(CC65-CC108,1)),"")</f>
        <v>0</v>
      </c>
      <c r="CD67" s="272">
        <f>IF(ISNUMBER(CD65),IF(ABS(CD65-CD108)&lt;=0.15,0,ROUND(CD65-CD108,1)),"")</f>
        <v>0</v>
      </c>
      <c r="CE67" s="272">
        <f>IF(ISNUMBER(CE65),IF(ABS(CE65-CE108)&lt;=0.15,0,ROUND(CE65-CE108,1)),"")</f>
        <v>0</v>
      </c>
      <c r="CF67" s="272">
        <f>IF(ISNUMBER(CF65),IF(ABS(CF65-CF108)&lt;=0.15,0,ROUND(CF65-CF108,1)),"")</f>
        <v>0</v>
      </c>
      <c r="CG67" s="272">
        <f>IF(ISNUMBER(CG65),IF(ABS(CG65-CG108)&lt;=0.15,0,ROUND(CG65-CG108,1)),"")</f>
        <v>0</v>
      </c>
      <c r="CH67" s="272">
        <f>IF(ISNUMBER(CH65),IF(ABS(CH65-CH108)&lt;=0.15,0,ROUND(CH65-CH108,1)),"")</f>
        <v>0</v>
      </c>
      <c r="CI67" s="272">
        <f>IF(ISNUMBER(CI65),IF(ABS(CI65-CI108)&lt;=0.15,0,ROUND(CI65-CI108,1)),"")</f>
        <v>0</v>
      </c>
      <c r="CJ67" s="272">
        <f>IF(ISNUMBER(CJ65),IF(ABS(CJ65-CJ108)&lt;=0.15,0,ROUND(CJ65-CJ108,1)),"")</f>
        <v>0</v>
      </c>
      <c r="CK67" s="272">
        <f>IF(ISNUMBER(CK65),IF(ABS(CK65-CK108)&lt;=0.15,0,ROUND(CK65-CK108,1)),"")</f>
        <v>0</v>
      </c>
      <c r="CL67" s="153" t="n"/>
    </row>
    <row r="68" ht="15" customHeight="1" s="251">
      <c r="B68" s="55" t="inlineStr">
        <is>
          <t>Adjusted gross margin (segment build)</t>
        </is>
      </c>
      <c r="C68" s="271">
        <f>IF(ISNUMBER(C16),C16+C28+C104,"")</f>
      </c>
      <c r="D68" s="271">
        <f>IF(ISNUMBER(D16),D16+D28+D104,"")</f>
      </c>
      <c r="E68" s="271">
        <f>IF(ISNUMBER(E16),E16+E28+E104,"")</f>
      </c>
      <c r="F68" s="271">
        <f>IF(ISNUMBER(F16),F16+F28+F104,"")</f>
      </c>
      <c r="G68" s="271">
        <f>IF(ISNUMBER(G16),G16+G28+G104,"")</f>
      </c>
      <c r="H68" s="271">
        <f>IF(ISNUMBER(H16),H16+H28+H104,"")</f>
      </c>
      <c r="I68" s="271">
        <f>IF(ISNUMBER(I16),I16+I28+I104,"")</f>
      </c>
      <c r="J68" s="271">
        <f>IF(ISNUMBER(J16),J16+J28+J104,"")</f>
      </c>
      <c r="K68" s="271">
        <f>IF(ISNUMBER(K16),K16+K28+K104,"")</f>
      </c>
      <c r="L68" s="271">
        <f>IF(ISNUMBER(L16),L16+L28+L104,"")</f>
      </c>
      <c r="M68" s="271">
        <f>IF(ISNUMBER(M16),M16+M28+M104,"")</f>
      </c>
      <c r="N68" s="271">
        <f>IF(ISNUMBER(N16),N16+N28+N104,"")</f>
      </c>
      <c r="O68" s="271">
        <f>IF(ISNUMBER(O16),O16+O28+O104,"")</f>
      </c>
      <c r="P68" s="271">
        <f>IF(ISNUMBER(P16),P16+P28+P104,"")</f>
      </c>
      <c r="Q68" s="271">
        <f>IF(ISNUMBER(Q16),Q16+Q28+Q104,"")</f>
      </c>
      <c r="R68" s="271">
        <f>IF(ISNUMBER(R16),R16+R28+R104,"")</f>
      </c>
      <c r="S68" s="271">
        <f>IF(ISNUMBER(S16),S16+S28+S104,"")</f>
      </c>
      <c r="T68" s="271">
        <f>IF(ISNUMBER(T16),T16+T28+T104,"")</f>
      </c>
      <c r="U68" s="271">
        <f>IF(ISNUMBER(U16),U16+U28+U104,"")</f>
      </c>
      <c r="V68" s="271">
        <f>IF(ISNUMBER(V16),V16+V28+V104,"")</f>
      </c>
      <c r="W68" s="271">
        <f>IF(ISNUMBER(W16),W16+W28+W104,"")</f>
      </c>
      <c r="X68" s="271">
        <f>IF(ISNUMBER(X16),X16+X28+X104,"")</f>
      </c>
      <c r="Y68" s="271">
        <f>IF(ISNUMBER(Y16),Y16+Y28+Y104,"")</f>
      </c>
      <c r="Z68" s="271">
        <f>IF(ISNUMBER(Z16),Z16+Z28+Z104,"")</f>
      </c>
      <c r="AA68" s="271">
        <f>IF(ISNUMBER(AA16),AA16+AA28+AA104,"")</f>
      </c>
      <c r="AB68" s="271">
        <f>IF(ISNUMBER(AB16),AB16+AB28+AB104,"")</f>
      </c>
      <c r="AC68" s="271">
        <f>IF(ISNUMBER(AC16),AC16+AC28+AC104,"")</f>
      </c>
      <c r="AD68" s="271">
        <f>IF(ISNUMBER(AD16),AD16+AD28+AD104,"")</f>
      </c>
      <c r="AE68" s="271">
        <f>IF(ISNUMBER(AE16),AE16+AE28+AE104,"")</f>
      </c>
      <c r="AF68" s="271">
        <f>IF(ISNUMBER(AF16),AF16+AF28+AF104,"")</f>
      </c>
      <c r="AG68" s="271">
        <f>IF(ISNUMBER(AG16),AG16+AG28+AG104,"")</f>
      </c>
      <c r="AH68" s="271">
        <f>IF(ISNUMBER(AH16),AH16+AH28+AH104,"")</f>
      </c>
      <c r="AI68" s="271">
        <f>IF(ISNUMBER(AI16),AI16+AI28+AI104,"")</f>
      </c>
      <c r="AJ68" s="271">
        <f>IF(ISNUMBER(AJ16),AJ16+AJ28+AJ104,"")</f>
      </c>
      <c r="AK68" s="271">
        <f>IF(ISNUMBER(AK16),AK16+AK28+AK104,"")</f>
      </c>
      <c r="AL68" s="271">
        <f>IF(ISNUMBER(AL16),AL16+AL28+AL104,"")</f>
      </c>
      <c r="AM68" s="271">
        <f>IF(ISNUMBER(AM16),AM16+AM28+AM104,"")</f>
      </c>
      <c r="AN68" s="271">
        <f>IF(ISNUMBER(AN16),AN16+AN28+AN104,"")</f>
      </c>
      <c r="AO68" s="271">
        <f>IF(ISNUMBER(AO16),AO16+AO28+AO104,"")</f>
      </c>
      <c r="AP68" s="271">
        <f>IF(ISNUMBER(AP16),AP16+AP28+AP104,"")</f>
      </c>
      <c r="AQ68" s="271">
        <f>IF(ISNUMBER(AQ16),AQ16+AQ28+AQ104,"")</f>
      </c>
      <c r="AR68" s="271">
        <f>IF(ISNUMBER(AR16),AR16+AR28+AR104,"")</f>
      </c>
      <c r="AS68" s="271">
        <f>IF(ISNUMBER(AS16),AS16+AS28+AS104,"")</f>
      </c>
      <c r="AT68" s="271">
        <f>IF(ISNUMBER(AT16),AT16+AT28+AT104,"")</f>
      </c>
      <c r="AU68" s="271">
        <f>IF(ISNUMBER(AU16),AU16+AU28+AU104,"")</f>
      </c>
      <c r="AV68" s="271">
        <f>IF(ISNUMBER(AV16),AV16+AV28+AV104,"")</f>
      </c>
      <c r="AW68" s="271">
        <f>IF(ISNUMBER(AW16),AW16+AW28+AW104,"")</f>
      </c>
      <c r="AX68" s="271">
        <f>IF(ISNUMBER(AX16),AX16+AX28+AX104,"")</f>
      </c>
      <c r="AY68" s="271">
        <f>IF(ISNUMBER(AY16),AY16+AY28+AY104,"")</f>
      </c>
      <c r="AZ68" s="271">
        <f>IF(ISNUMBER(AZ16),AZ16+AZ28+AZ104,"")</f>
        <v>56.423</v>
      </c>
      <c r="BA68" s="271">
        <f>IF(ISNUMBER(BA16),BA16+BA28+BA104,"")</f>
        <v>62.711</v>
      </c>
      <c r="BB68" s="271">
        <f>IF(ISNUMBER(BB16),BB16+BB28+BB104,"")</f>
        <v>237.177</v>
      </c>
      <c r="BC68" s="271">
        <f>IF(ISNUMBER(BC16),BC16+BC28+BC104,"")</f>
        <v>63.773</v>
      </c>
      <c r="BD68" s="271">
        <f>IF(ISNUMBER(BD16),BD16+BD28+BD104,"")</f>
        <v>63.393</v>
      </c>
      <c r="BE68" s="271">
        <f>IF(ISNUMBER(BE16),BE16+BE28+BE104,"")</f>
        <v>100.322</v>
      </c>
      <c r="BF68" s="271">
        <f>IF(ISNUMBER(BF16),BF16+BF28+BF104,"")</f>
        <v>144.312</v>
      </c>
      <c r="BG68" s="271">
        <f>IF(ISNUMBER(BG16),BG16+BG28+BG104,"")</f>
        <v>371.8</v>
      </c>
      <c r="BH68" s="271">
        <f>IF(ISNUMBER(BH16),BH16+BH28+BH104,"")</f>
        <v>141.152</v>
      </c>
      <c r="BI68" s="271">
        <f>IF(ISNUMBER(BI16),BI16+BI28+BI104,"")</f>
        <v>151.147</v>
      </c>
      <c r="BJ68" s="271">
        <f>IF(ISNUMBER(BJ16),BJ16+BJ28+BJ104,"")</f>
        <v>146.04</v>
      </c>
      <c r="BK68" s="271">
        <f>IF(ISNUMBER(BK16),BK16+BK28+BK104,"")</f>
        <v>166.651</v>
      </c>
      <c r="BL68" s="271">
        <f>IF(ISNUMBER(BL16),BL16+BL28+BL104,"")</f>
        <v>604.99</v>
      </c>
      <c r="BM68" s="271">
        <f>IF(ISNUMBER(BM16),BM16+BM28+BM104,"")</f>
        <v>167.9</v>
      </c>
      <c r="BN68" s="271">
        <f>IF(ISNUMBER(BN16),BN16+BN28+BN104,"")</f>
        <v>166.589</v>
      </c>
      <c r="BO68" s="271">
        <f>IF(ISNUMBER(BO16),BO16+BO28+BO104,"")</f>
        <v>158</v>
      </c>
      <c r="BP68" s="271">
        <f>IF(ISNUMBER(BP16),BP16+BP28+BP104,"")</f>
        <v>178.3</v>
      </c>
      <c r="BQ68" s="271">
        <f>IF(ISNUMBER(BQ16),BQ16+BQ28+BQ104,"")</f>
        <v>670.789</v>
      </c>
      <c r="BR68" s="271">
        <f>IF(ISNUMBER(BR16),BR16+BR28+BR104,"")</f>
        <v>184</v>
      </c>
      <c r="BS68" s="271">
        <f>IF(ISNUMBER(BS16),BS16+BS28+BS104,"")</f>
        <v>173.8</v>
      </c>
      <c r="BT68" s="271">
        <f>IF(ISNUMBER(BT16),BT16+BT28+BT104,"")</f>
        <v>174.9</v>
      </c>
      <c r="BU68" s="271">
        <f>IF(ISNUMBER(BU16),BU16+BU28+BU104,"")</f>
        <v>193.4</v>
      </c>
      <c r="BV68" s="271">
        <f>IF(ISNUMBER(BV16),BV16+BV28+BV104,"")</f>
        <v>726.1</v>
      </c>
      <c r="BW68" s="271">
        <f>IF(ISNUMBER(BW16),BW16+BW28+BW104,"")</f>
        <v>198.1</v>
      </c>
      <c r="BX68" s="271">
        <f>IF(ISNUMBER(BX16),BX16+BX28+BX104,"")</f>
        <v>204.3</v>
      </c>
      <c r="BY68" s="271">
        <f>IF(ISNUMBER(BY16),BY16+BY28+BY104,"")</f>
        <v>208.2</v>
      </c>
      <c r="BZ68" s="271">
        <f>IF(ISNUMBER(BZ16),BZ16+BZ28+BZ104,"")</f>
        <v>234.9</v>
      </c>
      <c r="CA68" s="271">
        <f>IF(ISNUMBER(CA16),CA16+CA28+CA104,"")</f>
        <v>845.5</v>
      </c>
      <c r="CB68" s="271">
        <f>IF(ISNUMBER(CB16),CB16+CB28+CB104,"")</f>
        <v>247.8</v>
      </c>
      <c r="CC68" s="271">
        <f>CC16+CC28+N(CC57)</f>
        <v>232.6875</v>
      </c>
      <c r="CD68" s="271">
        <f>CD16+CD28+N(CD57)</f>
        <v>235.01350334045</v>
      </c>
      <c r="CE68" s="271">
        <f>CE16+CE28+N(CE57)</f>
        <v>284.682100713376</v>
      </c>
      <c r="CF68" s="271">
        <f>CF16+CF28+N(CF57)</f>
        <v>1000.18310405383</v>
      </c>
      <c r="CG68" s="271">
        <f>CG16+CG28+N(CG57)</f>
        <v>1103.1821120737</v>
      </c>
      <c r="CH68" s="271">
        <f>CH16+CH28+N(CH57)</f>
        <v>1236.46983649388</v>
      </c>
      <c r="CI68" s="271">
        <f>CI16+CI28+N(CI57)</f>
        <v>1371.62887941406</v>
      </c>
      <c r="CJ68" s="271">
        <f>CJ16+CJ28+N(CJ57)</f>
        <v>1502.20556037088</v>
      </c>
      <c r="CK68" s="271">
        <f>CK16+CK28+N(CK57)</f>
        <v>1634.20655314355</v>
      </c>
      <c r="CL68" s="153" t="inlineStr">
        <is>
          <t>Σ segment gross margin (+ future acquisitions) + items adjusted out of cost of sales (history) = company adjusted gross margin; drives the GAAP P&amp;L below.</t>
        </is>
      </c>
      <c r="CN68" s="20">
        <f>IFERROR((CK68/CF68)^(1/5)-1,"n/m")</f>
        <v>0.103177731732127</v>
      </c>
      <c r="CO68" s="20">
        <f>IFERROR((CA68/BB68)^(1/5)-1,"n/m")</f>
        <v>0.289460990328385</v>
      </c>
      <c r="CP68" s="20" t="str">
        <f>IFERROR((CA68/AC68)^(1/10)-1,"n/m")</f>
        <v>n/m</v>
      </c>
      <c r="CQ68" s="20" t="str">
        <f>IFERROR((CA68/C68)^(1/20)-1,"n/m")</f>
        <v>n/m</v>
      </c>
    </row>
    <row r="69" ht="15" customHeight="1" s="251">
      <c r="B69" s="25" t="inlineStr">
        <is>
          <t xml:space="preserve">  Adjusted gross margin %</t>
        </is>
      </c>
      <c r="C69" s="215">
        <f>IF(AND(ISNUMBER(C68),ISNUMBER(C108)),IFERROR(C68/C108,""),"")</f>
      </c>
      <c r="D69" s="215">
        <f>IF(AND(ISNUMBER(D68),ISNUMBER(D108)),IFERROR(D68/D108,""),"")</f>
      </c>
      <c r="E69" s="215">
        <f>IF(AND(ISNUMBER(E68),ISNUMBER(E108)),IFERROR(E68/E108,""),"")</f>
      </c>
      <c r="F69" s="215">
        <f>IF(AND(ISNUMBER(F68),ISNUMBER(F108)),IFERROR(F68/F108,""),"")</f>
      </c>
      <c r="G69" s="215">
        <f>IF(AND(ISNUMBER(G68),ISNUMBER(G108)),IFERROR(G68/G108,""),"")</f>
      </c>
      <c r="H69" s="215">
        <f>IF(AND(ISNUMBER(H68),ISNUMBER(H108)),IFERROR(H68/H108,""),"")</f>
      </c>
      <c r="I69" s="215">
        <f>IF(AND(ISNUMBER(I68),ISNUMBER(I108)),IFERROR(I68/I108,""),"")</f>
      </c>
      <c r="J69" s="215">
        <f>IF(AND(ISNUMBER(J68),ISNUMBER(J108)),IFERROR(J68/J108,""),"")</f>
      </c>
      <c r="K69" s="215">
        <f>IF(AND(ISNUMBER(K68),ISNUMBER(K108)),IFERROR(K68/K108,""),"")</f>
      </c>
      <c r="L69" s="215">
        <f>IF(AND(ISNUMBER(L68),ISNUMBER(L108)),IFERROR(L68/L108,""),"")</f>
      </c>
      <c r="M69" s="215">
        <f>IF(AND(ISNUMBER(M68),ISNUMBER(M108)),IFERROR(M68/M108,""),"")</f>
      </c>
      <c r="N69" s="215">
        <f>IF(AND(ISNUMBER(N68),ISNUMBER(N108)),IFERROR(N68/N108,""),"")</f>
      </c>
      <c r="O69" s="215">
        <f>IF(AND(ISNUMBER(O68),ISNUMBER(O108)),IFERROR(O68/O108,""),"")</f>
      </c>
      <c r="P69" s="215">
        <f>IF(AND(ISNUMBER(P68),ISNUMBER(P108)),IFERROR(P68/P108,""),"")</f>
      </c>
      <c r="Q69" s="215">
        <f>IF(AND(ISNUMBER(Q68),ISNUMBER(Q108)),IFERROR(Q68/Q108,""),"")</f>
      </c>
      <c r="R69" s="215">
        <f>IF(AND(ISNUMBER(R68),ISNUMBER(R108)),IFERROR(R68/R108,""),"")</f>
      </c>
      <c r="S69" s="215">
        <f>IF(AND(ISNUMBER(S68),ISNUMBER(S108)),IFERROR(S68/S108,""),"")</f>
      </c>
      <c r="T69" s="215">
        <f>IF(AND(ISNUMBER(T68),ISNUMBER(T108)),IFERROR(T68/T108,""),"")</f>
      </c>
      <c r="U69" s="215">
        <f>IF(AND(ISNUMBER(U68),ISNUMBER(U108)),IFERROR(U68/U108,""),"")</f>
      </c>
      <c r="V69" s="215">
        <f>IF(AND(ISNUMBER(V68),ISNUMBER(V108)),IFERROR(V68/V108,""),"")</f>
      </c>
      <c r="W69" s="215">
        <f>IF(AND(ISNUMBER(W68),ISNUMBER(W108)),IFERROR(W68/W108,""),"")</f>
      </c>
      <c r="X69" s="215">
        <f>IF(AND(ISNUMBER(X68),ISNUMBER(X108)),IFERROR(X68/X108,""),"")</f>
      </c>
      <c r="Y69" s="215">
        <f>IF(AND(ISNUMBER(Y68),ISNUMBER(Y108)),IFERROR(Y68/Y108,""),"")</f>
      </c>
      <c r="Z69" s="215">
        <f>IF(AND(ISNUMBER(Z68),ISNUMBER(Z108)),IFERROR(Z68/Z108,""),"")</f>
      </c>
      <c r="AA69" s="215">
        <f>IF(AND(ISNUMBER(AA68),ISNUMBER(AA108)),IFERROR(AA68/AA108,""),"")</f>
      </c>
      <c r="AB69" s="215">
        <f>IF(AND(ISNUMBER(AB68),ISNUMBER(AB108)),IFERROR(AB68/AB108,""),"")</f>
      </c>
      <c r="AC69" s="215">
        <f>IF(AND(ISNUMBER(AC68),ISNUMBER(AC108)),IFERROR(AC68/AC108,""),"")</f>
      </c>
      <c r="AD69" s="215">
        <f>IF(AND(ISNUMBER(AD68),ISNUMBER(AD108)),IFERROR(AD68/AD108,""),"")</f>
      </c>
      <c r="AE69" s="215">
        <f>IF(AND(ISNUMBER(AE68),ISNUMBER(AE108)),IFERROR(AE68/AE108,""),"")</f>
      </c>
      <c r="AF69" s="215">
        <f>IF(AND(ISNUMBER(AF68),ISNUMBER(AF108)),IFERROR(AF68/AF108,""),"")</f>
      </c>
      <c r="AG69" s="215">
        <f>IF(AND(ISNUMBER(AG68),ISNUMBER(AG108)),IFERROR(AG68/AG108,""),"")</f>
      </c>
      <c r="AH69" s="215">
        <f>IF(AND(ISNUMBER(AH68),ISNUMBER(AH108)),IFERROR(AH68/AH108,""),"")</f>
      </c>
      <c r="AI69" s="215">
        <f>IF(AND(ISNUMBER(AI68),ISNUMBER(AI108)),IFERROR(AI68/AI108,""),"")</f>
      </c>
      <c r="AJ69" s="215">
        <f>IF(AND(ISNUMBER(AJ68),ISNUMBER(AJ108)),IFERROR(AJ68/AJ108,""),"")</f>
      </c>
      <c r="AK69" s="215">
        <f>IF(AND(ISNUMBER(AK68),ISNUMBER(AK108)),IFERROR(AK68/AK108,""),"")</f>
      </c>
      <c r="AL69" s="215">
        <f>IF(AND(ISNUMBER(AL68),ISNUMBER(AL108)),IFERROR(AL68/AL108,""),"")</f>
      </c>
      <c r="AM69" s="215">
        <f>IF(AND(ISNUMBER(AM68),ISNUMBER(AM108)),IFERROR(AM68/AM108,""),"")</f>
      </c>
      <c r="AN69" s="215">
        <f>IF(AND(ISNUMBER(AN68),ISNUMBER(AN108)),IFERROR(AN68/AN108,""),"")</f>
      </c>
      <c r="AO69" s="215">
        <f>IF(AND(ISNUMBER(AO68),ISNUMBER(AO108)),IFERROR(AO68/AO108,""),"")</f>
      </c>
      <c r="AP69" s="215">
        <f>IF(AND(ISNUMBER(AP68),ISNUMBER(AP108)),IFERROR(AP68/AP108,""),"")</f>
      </c>
      <c r="AQ69" s="215">
        <f>IF(AND(ISNUMBER(AQ68),ISNUMBER(AQ108)),IFERROR(AQ68/AQ108,""),"")</f>
      </c>
      <c r="AR69" s="215">
        <f>IF(AND(ISNUMBER(AR68),ISNUMBER(AR108)),IFERROR(AR68/AR108,""),"")</f>
      </c>
      <c r="AS69" s="215">
        <f>IF(AND(ISNUMBER(AS68),ISNUMBER(AS108)),IFERROR(AS68/AS108,""),"")</f>
      </c>
      <c r="AT69" s="215">
        <f>IF(AND(ISNUMBER(AT68),ISNUMBER(AT108)),IFERROR(AT68/AT108,""),"")</f>
      </c>
      <c r="AU69" s="215">
        <f>IF(AND(ISNUMBER(AU68),ISNUMBER(AU108)),IFERROR(AU68/AU108,""),"")</f>
      </c>
      <c r="AV69" s="215">
        <f>IF(AND(ISNUMBER(AV68),ISNUMBER(AV108)),IFERROR(AV68/AV108,""),"")</f>
      </c>
      <c r="AW69" s="215">
        <f>IF(AND(ISNUMBER(AW68),ISNUMBER(AW108)),IFERROR(AW68/AW108,""),"")</f>
      </c>
      <c r="AX69" s="215">
        <f>IF(AND(ISNUMBER(AX68),ISNUMBER(AX108)),IFERROR(AX68/AX108,""),"")</f>
      </c>
      <c r="AY69" s="215">
        <f>IF(AND(ISNUMBER(AY68),ISNUMBER(AY108)),IFERROR(AY68/AY108,""),"")</f>
      </c>
      <c r="AZ69" s="215">
        <f>IF(AND(ISNUMBER(AZ68),ISNUMBER(AZ108)),IFERROR(AZ68/AZ108,""),"")</f>
        <v>0.386827184785515</v>
      </c>
      <c r="BA69" s="215">
        <f>IF(AND(ISNUMBER(BA68),ISNUMBER(BA108)),IFERROR(BA68/BA108,""),"")</f>
        <v>0.39122243363798</v>
      </c>
      <c r="BB69" s="215">
        <f>IF(AND(ISNUMBER(BB68),ISNUMBER(BB108)),IFERROR(BB68/BB108,""),"")</f>
        <v>0.389463434178895</v>
      </c>
      <c r="BC69" s="215">
        <f>IF(AND(ISNUMBER(BC68),ISNUMBER(BC108)),IFERROR(BC68/BC108,""),"")</f>
        <v>0.408264780256714</v>
      </c>
      <c r="BD69" s="215">
        <f>IF(AND(ISNUMBER(BD68),ISNUMBER(BD108)),IFERROR(BD68/BD108,""),"")</f>
        <v>0.393990055935364</v>
      </c>
      <c r="BE69" s="215">
        <f>IF(AND(ISNUMBER(BE68),ISNUMBER(BE108)),IFERROR(BE68/BE108,""),"")</f>
        <v>0.375803980475964</v>
      </c>
      <c r="BF69" s="215">
        <f>IF(AND(ISNUMBER(BF68),ISNUMBER(BF108)),IFERROR(BF68/BF108,""),"")</f>
        <v>0.402118819992254</v>
      </c>
      <c r="BG69" s="215">
        <f>IF(AND(ISNUMBER(BG68),ISNUMBER(BG108)),IFERROR(BG68/BG108,""),"")</f>
        <v>0.39429993732349</v>
      </c>
      <c r="BH69" s="215">
        <f>IF(AND(ISNUMBER(BH68),ISNUMBER(BH108)),IFERROR(BH68/BH108,""),"")</f>
        <v>0.398644374152734</v>
      </c>
      <c r="BI69" s="215">
        <f>IF(AND(ISNUMBER(BI68),ISNUMBER(BI108)),IFERROR(BI68/BI108,""),"")</f>
        <v>0.409427169817454</v>
      </c>
      <c r="BJ69" s="215">
        <f>IF(AND(ISNUMBER(BJ68),ISNUMBER(BJ108)),IFERROR(BJ68/BJ108,""),"")</f>
        <v>0.415328830430146</v>
      </c>
      <c r="BK69" s="215">
        <f>IF(AND(ISNUMBER(BK68),ISNUMBER(BK108)),IFERROR(BK68/BK108,""),"")</f>
        <v>0.422519534914381</v>
      </c>
      <c r="BL69" s="215">
        <f>IF(AND(ISNUMBER(BL68),ISNUMBER(BL108)),IFERROR(BL68/BL108,""),"")</f>
        <v>0.411753896413258</v>
      </c>
      <c r="BM69" s="215">
        <f>IF(AND(ISNUMBER(BM68),ISNUMBER(BM108)),IFERROR(BM68/BM108,""),"")</f>
        <v>0.433713403009904</v>
      </c>
      <c r="BN69" s="215">
        <f>IF(AND(ISNUMBER(BN68),ISNUMBER(BN108)),IFERROR(BN68/BN108,""),"")</f>
        <v>0.432056788356001</v>
      </c>
      <c r="BO69" s="215">
        <f>IF(AND(ISNUMBER(BO68),ISNUMBER(BO108)),IFERROR(BO68/BO108,""),"")</f>
        <v>0.422566099500944</v>
      </c>
      <c r="BP69" s="215">
        <f>IF(AND(ISNUMBER(BP68),ISNUMBER(BP108)),IFERROR(BP68/BP108,""),"")</f>
        <v>0.431009475923419</v>
      </c>
      <c r="BQ69" s="215">
        <f>IF(AND(ISNUMBER(BQ68),ISNUMBER(BQ108)),IFERROR(BQ68/BQ108,""),"")</f>
        <v>0.429910273665321</v>
      </c>
      <c r="BR69" s="215">
        <f>IF(AND(ISNUMBER(BR68),ISNUMBER(BR108)),IFERROR(BR68/BR108,""),"")</f>
        <v>0.452867339404381</v>
      </c>
      <c r="BS69" s="215">
        <f>IF(AND(ISNUMBER(BS68),ISNUMBER(BS108)),IFERROR(BS68/BS108,""),"")</f>
        <v>0.436793164111586</v>
      </c>
      <c r="BT69" s="215">
        <f>IF(AND(ISNUMBER(BT68),ISNUMBER(BT108)),IFERROR(BT68/BT108,""),"")</f>
        <v>0.443458417849899</v>
      </c>
      <c r="BU69" s="215">
        <f>IF(AND(ISNUMBER(BU68),ISNUMBER(BU108)),IFERROR(BU68/BU108,""),"")</f>
        <v>0.441855151930546</v>
      </c>
      <c r="BV69" s="215">
        <f>IF(AND(ISNUMBER(BV68),ISNUMBER(BV108)),IFERROR(BV68/BV108,""),"")</f>
        <v>0.443745034529121</v>
      </c>
      <c r="BW69" s="215">
        <f>IF(AND(ISNUMBER(BW68),ISNUMBER(BW108)),IFERROR(BW68/BW108,""),"")</f>
        <v>0.454357798165138</v>
      </c>
      <c r="BX69" s="215">
        <f>IF(AND(ISNUMBER(BX68),ISNUMBER(BX108)),IFERROR(BX68/BX108,""),"")</f>
        <v>0.44871513287942</v>
      </c>
      <c r="BY69" s="215">
        <f>IF(AND(ISNUMBER(BY68),ISNUMBER(BY108)),IFERROR(BY68/BY108,""),"")</f>
        <v>0.45103986135182</v>
      </c>
      <c r="BZ69" s="215">
        <f>IF(AND(ISNUMBER(BZ68),ISNUMBER(BZ108)),IFERROR(BZ68/BZ108,""),"")</f>
        <v>0.453474903474904</v>
      </c>
      <c r="CA69" s="215">
        <f>IF(AND(ISNUMBER(CA68),ISNUMBER(CA108)),IFERROR(CA68/CA108,""),"")</f>
        <v>0.451921535090064</v>
      </c>
      <c r="CB69" s="215">
        <f>IF(AND(ISNUMBER(CB68),ISNUMBER(CB108)),IFERROR(CB68/CB108,""),"")</f>
        <v>0.476997112608277</v>
      </c>
      <c r="CC69" s="256">
        <f>IF(AND(ISNUMBER(CC68),ISNUMBER(CC108)),IFERROR(CC68/CC108,""),"")</f>
        <v>0.45625</v>
      </c>
      <c r="CD69" s="256">
        <f>IF(AND(ISNUMBER(CD68),ISNUMBER(CD108)),IFERROR(CD68/CD108,""),"")</f>
        <v>0.459914289713957</v>
      </c>
      <c r="CE69" s="256">
        <f>IF(AND(ISNUMBER(CE68),ISNUMBER(CE108)),IFERROR(CE68/CE108,""),"")</f>
        <v>0.461680164712692</v>
      </c>
      <c r="CF69" s="256">
        <f>IF(AND(ISNUMBER(CF68),ISNUMBER(CF108)),IFERROR(CF68/CF108,""),"")</f>
        <v>0.463666807341266</v>
      </c>
      <c r="CG69" s="256">
        <f>IF(AND(ISNUMBER(CG68),ISNUMBER(CG108)),IFERROR(CG68/CG108,""),"")</f>
        <v>0.462593796571598</v>
      </c>
      <c r="CH69" s="256">
        <f>IF(AND(ISNUMBER(CH68),ISNUMBER(CH108)),IFERROR(CH68/CH108,""),"")</f>
        <v>0.463727542311292</v>
      </c>
      <c r="CI69" s="256">
        <f>IF(AND(ISNUMBER(CI68),ISNUMBER(CI108)),IFERROR(CI68/CI108,""),"")</f>
        <v>0.46506883579314</v>
      </c>
      <c r="CJ69" s="256">
        <f>IF(AND(ISNUMBER(CJ68),ISNUMBER(CJ108)),IFERROR(CJ68/CJ108,""),"")</f>
        <v>0.463961167610061</v>
      </c>
      <c r="CK69" s="256">
        <f>IF(AND(ISNUMBER(CK68),ISNUMBER(CK108)),IFERROR(CK68/CK108,""),"")</f>
        <v>0.46392692537488</v>
      </c>
      <c r="CL69" s="153" t="n"/>
      <c r="CN69" s="37">
        <f>IFERROR(AVERAGE(CG69,CH69,CI69,CJ69,CK69),"n/m")</f>
        <v>0.463855653532194</v>
      </c>
      <c r="CO69" s="37">
        <f>IFERROR(AVERAGE(BG69,BL69,BQ69,BV69,CA69),"n/m")</f>
        <v>0.426326135404251</v>
      </c>
      <c r="CP69" s="37">
        <f>IFERROR(AVERAGE(AH69,AM69,AR69,AW69,BB69,BG69,BL69,BQ69,BV69,CA69),"n/m")</f>
        <v>0.420182351866691</v>
      </c>
      <c r="CQ69" s="37">
        <f>IFERROR(AVERAGE(C69,D69,E69,F69,G69,H69,I69,N69,S69,X69,AC69,AH69,AM69,AR69,AW69,BB69,BG69,BL69,BQ69,BV69,CA69),"n/m")</f>
        <v>0.420182351866691</v>
      </c>
    </row>
    <row r="70" ht="15" customHeight="1" s="251">
      <c r="B70" s="57" t="inlineStr">
        <is>
          <t xml:space="preserve">  Check: segment build vs adjusted gross margin (should be 0)</t>
        </is>
      </c>
      <c r="C70" s="264">
        <f>IF(AND(ISNUMBER(C68),ISNUMBER(C112)),IF(ABS(C68-C112)&lt;=0.15,0,ROUND(C68-C112,1)),"")</f>
      </c>
      <c r="D70" s="264">
        <f>IF(AND(ISNUMBER(D68),ISNUMBER(D112)),IF(ABS(D68-D112)&lt;=0.15,0,ROUND(D68-D112,1)),"")</f>
      </c>
      <c r="E70" s="264">
        <f>IF(AND(ISNUMBER(E68),ISNUMBER(E112)),IF(ABS(E68-E112)&lt;=0.15,0,ROUND(E68-E112,1)),"")</f>
      </c>
      <c r="F70" s="264">
        <f>IF(AND(ISNUMBER(F68),ISNUMBER(F112)),IF(ABS(F68-F112)&lt;=0.15,0,ROUND(F68-F112,1)),"")</f>
      </c>
      <c r="G70" s="264">
        <f>IF(AND(ISNUMBER(G68),ISNUMBER(G112)),IF(ABS(G68-G112)&lt;=0.15,0,ROUND(G68-G112,1)),"")</f>
      </c>
      <c r="H70" s="264">
        <f>IF(AND(ISNUMBER(H68),ISNUMBER(H112)),IF(ABS(H68-H112)&lt;=0.15,0,ROUND(H68-H112,1)),"")</f>
      </c>
      <c r="I70" s="264">
        <f>IF(AND(ISNUMBER(I68),ISNUMBER(I112)),IF(ABS(I68-I112)&lt;=0.15,0,ROUND(I68-I112,1)),"")</f>
      </c>
      <c r="J70" s="264">
        <f>IF(AND(ISNUMBER(J68),ISNUMBER(J112)),IF(ABS(J68-J112)&lt;=0.15,0,ROUND(J68-J112,1)),"")</f>
      </c>
      <c r="K70" s="264">
        <f>IF(AND(ISNUMBER(K68),ISNUMBER(K112)),IF(ABS(K68-K112)&lt;=0.15,0,ROUND(K68-K112,1)),"")</f>
      </c>
      <c r="L70" s="264">
        <f>IF(AND(ISNUMBER(L68),ISNUMBER(L112)),IF(ABS(L68-L112)&lt;=0.15,0,ROUND(L68-L112,1)),"")</f>
      </c>
      <c r="M70" s="264">
        <f>IF(AND(ISNUMBER(M68),ISNUMBER(M112)),IF(ABS(M68-M112)&lt;=0.15,0,ROUND(M68-M112,1)),"")</f>
      </c>
      <c r="N70" s="264">
        <f>IF(AND(ISNUMBER(N68),ISNUMBER(N112)),IF(ABS(N68-N112)&lt;=0.15,0,ROUND(N68-N112,1)),"")</f>
      </c>
      <c r="O70" s="264">
        <f>IF(AND(ISNUMBER(O68),ISNUMBER(O112)),IF(ABS(O68-O112)&lt;=0.15,0,ROUND(O68-O112,1)),"")</f>
      </c>
      <c r="P70" s="264">
        <f>IF(AND(ISNUMBER(P68),ISNUMBER(P112)),IF(ABS(P68-P112)&lt;=0.15,0,ROUND(P68-P112,1)),"")</f>
      </c>
      <c r="Q70" s="264">
        <f>IF(AND(ISNUMBER(Q68),ISNUMBER(Q112)),IF(ABS(Q68-Q112)&lt;=0.15,0,ROUND(Q68-Q112,1)),"")</f>
      </c>
      <c r="R70" s="264">
        <f>IF(AND(ISNUMBER(R68),ISNUMBER(R112)),IF(ABS(R68-R112)&lt;=0.15,0,ROUND(R68-R112,1)),"")</f>
      </c>
      <c r="S70" s="264">
        <f>IF(AND(ISNUMBER(S68),ISNUMBER(S112)),IF(ABS(S68-S112)&lt;=0.15,0,ROUND(S68-S112,1)),"")</f>
      </c>
      <c r="T70" s="264">
        <f>IF(AND(ISNUMBER(T68),ISNUMBER(T112)),IF(ABS(T68-T112)&lt;=0.15,0,ROUND(T68-T112,1)),"")</f>
      </c>
      <c r="U70" s="264">
        <f>IF(AND(ISNUMBER(U68),ISNUMBER(U112)),IF(ABS(U68-U112)&lt;=0.15,0,ROUND(U68-U112,1)),"")</f>
      </c>
      <c r="V70" s="264">
        <f>IF(AND(ISNUMBER(V68),ISNUMBER(V112)),IF(ABS(V68-V112)&lt;=0.15,0,ROUND(V68-V112,1)),"")</f>
      </c>
      <c r="W70" s="264">
        <f>IF(AND(ISNUMBER(W68),ISNUMBER(W112)),IF(ABS(W68-W112)&lt;=0.15,0,ROUND(W68-W112,1)),"")</f>
      </c>
      <c r="X70" s="264">
        <f>IF(AND(ISNUMBER(X68),ISNUMBER(X112)),IF(ABS(X68-X112)&lt;=0.15,0,ROUND(X68-X112,1)),"")</f>
      </c>
      <c r="Y70" s="264">
        <f>IF(AND(ISNUMBER(Y68),ISNUMBER(Y112)),IF(ABS(Y68-Y112)&lt;=0.15,0,ROUND(Y68-Y112,1)),"")</f>
      </c>
      <c r="Z70" s="264">
        <f>IF(AND(ISNUMBER(Z68),ISNUMBER(Z112)),IF(ABS(Z68-Z112)&lt;=0.15,0,ROUND(Z68-Z112,1)),"")</f>
      </c>
      <c r="AA70" s="264">
        <f>IF(AND(ISNUMBER(AA68),ISNUMBER(AA112)),IF(ABS(AA68-AA112)&lt;=0.15,0,ROUND(AA68-AA112,1)),"")</f>
      </c>
      <c r="AB70" s="264">
        <f>IF(AND(ISNUMBER(AB68),ISNUMBER(AB112)),IF(ABS(AB68-AB112)&lt;=0.15,0,ROUND(AB68-AB112,1)),"")</f>
      </c>
      <c r="AC70" s="264">
        <f>IF(AND(ISNUMBER(AC68),ISNUMBER(AC112)),IF(ABS(AC68-AC112)&lt;=0.15,0,ROUND(AC68-AC112,1)),"")</f>
      </c>
      <c r="AD70" s="264">
        <f>IF(AND(ISNUMBER(AD68),ISNUMBER(AD112)),IF(ABS(AD68-AD112)&lt;=0.15,0,ROUND(AD68-AD112,1)),"")</f>
      </c>
      <c r="AE70" s="264">
        <f>IF(AND(ISNUMBER(AE68),ISNUMBER(AE112)),IF(ABS(AE68-AE112)&lt;=0.15,0,ROUND(AE68-AE112,1)),"")</f>
      </c>
      <c r="AF70" s="264">
        <f>IF(AND(ISNUMBER(AF68),ISNUMBER(AF112)),IF(ABS(AF68-AF112)&lt;=0.15,0,ROUND(AF68-AF112,1)),"")</f>
      </c>
      <c r="AG70" s="264">
        <f>IF(AND(ISNUMBER(AG68),ISNUMBER(AG112)),IF(ABS(AG68-AG112)&lt;=0.15,0,ROUND(AG68-AG112,1)),"")</f>
      </c>
      <c r="AH70" s="264">
        <f>IF(AND(ISNUMBER(AH68),ISNUMBER(AH112)),IF(ABS(AH68-AH112)&lt;=0.15,0,ROUND(AH68-AH112,1)),"")</f>
      </c>
      <c r="AI70" s="264">
        <f>IF(AND(ISNUMBER(AI68),ISNUMBER(AI112)),IF(ABS(AI68-AI112)&lt;=0.15,0,ROUND(AI68-AI112,1)),"")</f>
      </c>
      <c r="AJ70" s="264">
        <f>IF(AND(ISNUMBER(AJ68),ISNUMBER(AJ112)),IF(ABS(AJ68-AJ112)&lt;=0.15,0,ROUND(AJ68-AJ112,1)),"")</f>
      </c>
      <c r="AK70" s="264">
        <f>IF(AND(ISNUMBER(AK68),ISNUMBER(AK112)),IF(ABS(AK68-AK112)&lt;=0.15,0,ROUND(AK68-AK112,1)),"")</f>
      </c>
      <c r="AL70" s="264">
        <f>IF(AND(ISNUMBER(AL68),ISNUMBER(AL112)),IF(ABS(AL68-AL112)&lt;=0.15,0,ROUND(AL68-AL112,1)),"")</f>
      </c>
      <c r="AM70" s="264">
        <f>IF(AND(ISNUMBER(AM68),ISNUMBER(AM112)),IF(ABS(AM68-AM112)&lt;=0.15,0,ROUND(AM68-AM112,1)),"")</f>
      </c>
      <c r="AN70" s="264">
        <f>IF(AND(ISNUMBER(AN68),ISNUMBER(AN112)),IF(ABS(AN68-AN112)&lt;=0.15,0,ROUND(AN68-AN112,1)),"")</f>
      </c>
      <c r="AO70" s="264">
        <f>IF(AND(ISNUMBER(AO68),ISNUMBER(AO112)),IF(ABS(AO68-AO112)&lt;=0.15,0,ROUND(AO68-AO112,1)),"")</f>
      </c>
      <c r="AP70" s="264">
        <f>IF(AND(ISNUMBER(AP68),ISNUMBER(AP112)),IF(ABS(AP68-AP112)&lt;=0.15,0,ROUND(AP68-AP112,1)),"")</f>
      </c>
      <c r="AQ70" s="264">
        <f>IF(AND(ISNUMBER(AQ68),ISNUMBER(AQ112)),IF(ABS(AQ68-AQ112)&lt;=0.15,0,ROUND(AQ68-AQ112,1)),"")</f>
      </c>
      <c r="AR70" s="264">
        <f>IF(AND(ISNUMBER(AR68),ISNUMBER(AR112)),IF(ABS(AR68-AR112)&lt;=0.15,0,ROUND(AR68-AR112,1)),"")</f>
      </c>
      <c r="AS70" s="264">
        <f>IF(AND(ISNUMBER(AS68),ISNUMBER(AS112)),IF(ABS(AS68-AS112)&lt;=0.15,0,ROUND(AS68-AS112,1)),"")</f>
      </c>
      <c r="AT70" s="264">
        <f>IF(AND(ISNUMBER(AT68),ISNUMBER(AT112)),IF(ABS(AT68-AT112)&lt;=0.15,0,ROUND(AT68-AT112,1)),"")</f>
      </c>
      <c r="AU70" s="264">
        <f>IF(AND(ISNUMBER(AU68),ISNUMBER(AU112)),IF(ABS(AU68-AU112)&lt;=0.15,0,ROUND(AU68-AU112,1)),"")</f>
      </c>
      <c r="AV70" s="264">
        <f>IF(AND(ISNUMBER(AV68),ISNUMBER(AV112)),IF(ABS(AV68-AV112)&lt;=0.15,0,ROUND(AV68-AV112,1)),"")</f>
      </c>
      <c r="AW70" s="264">
        <f>IF(AND(ISNUMBER(AW68),ISNUMBER(AW112)),IF(ABS(AW68-AW112)&lt;=0.15,0,ROUND(AW68-AW112,1)),"")</f>
      </c>
      <c r="AX70" s="264">
        <f>IF(AND(ISNUMBER(AX68),ISNUMBER(AX112)),IF(ABS(AX68-AX112)&lt;=0.15,0,ROUND(AX68-AX112,1)),"")</f>
      </c>
      <c r="AY70" s="264">
        <f>IF(AND(ISNUMBER(AY68),ISNUMBER(AY112)),IF(ABS(AY68-AY112)&lt;=0.15,0,ROUND(AY68-AY112,1)),"")</f>
      </c>
      <c r="AZ70" s="264">
        <f>IF(AND(ISNUMBER(AZ68),ISNUMBER(AZ112)),IF(ABS(AZ68-AZ112)&lt;=0.15,0,ROUND(AZ68-AZ112,1)),"")</f>
        <v>0</v>
      </c>
      <c r="BA70" s="264">
        <f>IF(AND(ISNUMBER(BA68),ISNUMBER(BA112)),IF(ABS(BA68-BA112)&lt;=0.15,0,ROUND(BA68-BA112,1)),"")</f>
        <v>0</v>
      </c>
      <c r="BB70" s="264">
        <f>IF(AND(ISNUMBER(BB68),ISNUMBER(BB112)),IF(ABS(BB68-BB112)&lt;=0.15,0,ROUND(BB68-BB112,1)),"")</f>
        <v>0</v>
      </c>
      <c r="BC70" s="264">
        <f>IF(AND(ISNUMBER(BC68),ISNUMBER(BC112)),IF(ABS(BC68-BC112)&lt;=0.15,0,ROUND(BC68-BC112,1)),"")</f>
        <v>0</v>
      </c>
      <c r="BD70" s="264">
        <f>IF(AND(ISNUMBER(BD68),ISNUMBER(BD112)),IF(ABS(BD68-BD112)&lt;=0.15,0,ROUND(BD68-BD112,1)),"")</f>
        <v>0</v>
      </c>
      <c r="BE70" s="264">
        <f>IF(AND(ISNUMBER(BE68),ISNUMBER(BE112)),IF(ABS(BE68-BE112)&lt;=0.15,0,ROUND(BE68-BE112,1)),"")</f>
        <v>0</v>
      </c>
      <c r="BF70" s="264">
        <f>IF(AND(ISNUMBER(BF68),ISNUMBER(BF112)),IF(ABS(BF68-BF112)&lt;=0.15,0,ROUND(BF68-BF112,1)),"")</f>
        <v>0</v>
      </c>
      <c r="BG70" s="264">
        <f>IF(AND(ISNUMBER(BG68),ISNUMBER(BG112)),IF(ABS(BG68-BG112)&lt;=0.15,0,ROUND(BG68-BG112,1)),"")</f>
        <v>0</v>
      </c>
      <c r="BH70" s="264">
        <f>IF(AND(ISNUMBER(BH68),ISNUMBER(BH112)),IF(ABS(BH68-BH112)&lt;=0.15,0,ROUND(BH68-BH112,1)),"")</f>
        <v>0</v>
      </c>
      <c r="BI70" s="264">
        <f>IF(AND(ISNUMBER(BI68),ISNUMBER(BI112)),IF(ABS(BI68-BI112)&lt;=0.15,0,ROUND(BI68-BI112,1)),"")</f>
        <v>0</v>
      </c>
      <c r="BJ70" s="264">
        <f>IF(AND(ISNUMBER(BJ68),ISNUMBER(BJ112)),IF(ABS(BJ68-BJ112)&lt;=0.15,0,ROUND(BJ68-BJ112,1)),"")</f>
        <v>0</v>
      </c>
      <c r="BK70" s="264">
        <f>IF(AND(ISNUMBER(BK68),ISNUMBER(BK112)),IF(ABS(BK68-BK112)&lt;=0.15,0,ROUND(BK68-BK112,1)),"")</f>
        <v>0</v>
      </c>
      <c r="BL70" s="264">
        <f>IF(AND(ISNUMBER(BL68),ISNUMBER(BL112)),IF(ABS(BL68-BL112)&lt;=0.15,0,ROUND(BL68-BL112,1)),"")</f>
        <v>0</v>
      </c>
      <c r="BM70" s="264">
        <f>IF(AND(ISNUMBER(BM68),ISNUMBER(BM112)),IF(ABS(BM68-BM112)&lt;=0.15,0,ROUND(BM68-BM112,1)),"")</f>
        <v>0</v>
      </c>
      <c r="BN70" s="264">
        <f>IF(AND(ISNUMBER(BN68),ISNUMBER(BN112)),IF(ABS(BN68-BN112)&lt;=0.15,0,ROUND(BN68-BN112,1)),"")</f>
        <v>0</v>
      </c>
      <c r="BO70" s="264">
        <f>IF(AND(ISNUMBER(BO68),ISNUMBER(BO112)),IF(ABS(BO68-BO112)&lt;=0.15,0,ROUND(BO68-BO112,1)),"")</f>
        <v>0</v>
      </c>
      <c r="BP70" s="264">
        <f>IF(AND(ISNUMBER(BP68),ISNUMBER(BP112)),IF(ABS(BP68-BP112)&lt;=0.15,0,ROUND(BP68-BP112,1)),"")</f>
        <v>0</v>
      </c>
      <c r="BQ70" s="264">
        <f>IF(AND(ISNUMBER(BQ68),ISNUMBER(BQ112)),IF(ABS(BQ68-BQ112)&lt;=0.15,0,ROUND(BQ68-BQ112,1)),"")</f>
        <v>0</v>
      </c>
      <c r="BR70" s="264">
        <f>IF(AND(ISNUMBER(BR68),ISNUMBER(BR112)),IF(ABS(BR68-BR112)&lt;=0.15,0,ROUND(BR68-BR112,1)),"")</f>
        <v>0</v>
      </c>
      <c r="BS70" s="264">
        <f>IF(AND(ISNUMBER(BS68),ISNUMBER(BS112)),IF(ABS(BS68-BS112)&lt;=0.15,0,ROUND(BS68-BS112,1)),"")</f>
        <v>0</v>
      </c>
      <c r="BT70" s="264">
        <f>IF(AND(ISNUMBER(BT68),ISNUMBER(BT112)),IF(ABS(BT68-BT112)&lt;=0.15,0,ROUND(BT68-BT112,1)),"")</f>
        <v>0</v>
      </c>
      <c r="BU70" s="264">
        <f>IF(AND(ISNUMBER(BU68),ISNUMBER(BU112)),IF(ABS(BU68-BU112)&lt;=0.15,0,ROUND(BU68-BU112,1)),"")</f>
        <v>0</v>
      </c>
      <c r="BV70" s="264">
        <f>IF(AND(ISNUMBER(BV68),ISNUMBER(BV112)),IF(ABS(BV68-BV112)&lt;=0.15,0,ROUND(BV68-BV112,1)),"")</f>
        <v>0</v>
      </c>
      <c r="BW70" s="264">
        <f>IF(AND(ISNUMBER(BW68),ISNUMBER(BW112)),IF(ABS(BW68-BW112)&lt;=0.15,0,ROUND(BW68-BW112,1)),"")</f>
        <v>0</v>
      </c>
      <c r="BX70" s="264">
        <f>IF(AND(ISNUMBER(BX68),ISNUMBER(BX112)),IF(ABS(BX68-BX112)&lt;=0.15,0,ROUND(BX68-BX112,1)),"")</f>
        <v>0</v>
      </c>
      <c r="BY70" s="264">
        <f>IF(AND(ISNUMBER(BY68),ISNUMBER(BY112)),IF(ABS(BY68-BY112)&lt;=0.15,0,ROUND(BY68-BY112,1)),"")</f>
        <v>0</v>
      </c>
      <c r="BZ70" s="264">
        <f>IF(AND(ISNUMBER(BZ68),ISNUMBER(BZ112)),IF(ABS(BZ68-BZ112)&lt;=0.15,0,ROUND(BZ68-BZ112,1)),"")</f>
        <v>0</v>
      </c>
      <c r="CA70" s="264">
        <f>IF(AND(ISNUMBER(CA68),ISNUMBER(CA112)),IF(ABS(CA68-CA112)&lt;=0.15,0,ROUND(CA68-CA112,1)),"")</f>
        <v>0</v>
      </c>
      <c r="CB70" s="264">
        <f>IF(AND(ISNUMBER(CB68),ISNUMBER(CB112)),IF(ABS(CB68-CB112)&lt;=0.15,0,ROUND(CB68-CB112,1)),"")</f>
        <v>0</v>
      </c>
      <c r="CC70" s="272">
        <f>IF(AND(ISNUMBER(CC68),ISNUMBER(CC112)),IF(ABS(CC68-CC112)&lt;=0.15,0,ROUND(CC68-CC112,1)),"")</f>
        <v>0</v>
      </c>
      <c r="CD70" s="272">
        <f>IF(AND(ISNUMBER(CD68),ISNUMBER(CD112)),IF(ABS(CD68-CD112)&lt;=0.15,0,ROUND(CD68-CD112,1)),"")</f>
        <v>0</v>
      </c>
      <c r="CE70" s="272">
        <f>IF(AND(ISNUMBER(CE68),ISNUMBER(CE112)),IF(ABS(CE68-CE112)&lt;=0.15,0,ROUND(CE68-CE112,1)),"")</f>
        <v>0</v>
      </c>
      <c r="CF70" s="272">
        <f>IF(AND(ISNUMBER(CF68),ISNUMBER(CF112)),IF(ABS(CF68-CF112)&lt;=0.15,0,ROUND(CF68-CF112,1)),"")</f>
        <v>0</v>
      </c>
      <c r="CG70" s="272">
        <f>IF(AND(ISNUMBER(CG68),ISNUMBER(CG112)),IF(ABS(CG68-CG112)&lt;=0.15,0,ROUND(CG68-CG112,1)),"")</f>
        <v>0</v>
      </c>
      <c r="CH70" s="272">
        <f>IF(AND(ISNUMBER(CH68),ISNUMBER(CH112)),IF(ABS(CH68-CH112)&lt;=0.15,0,ROUND(CH68-CH112,1)),"")</f>
        <v>0</v>
      </c>
      <c r="CI70" s="272">
        <f>IF(AND(ISNUMBER(CI68),ISNUMBER(CI112)),IF(ABS(CI68-CI112)&lt;=0.15,0,ROUND(CI68-CI112,1)),"")</f>
        <v>0</v>
      </c>
      <c r="CJ70" s="272">
        <f>IF(AND(ISNUMBER(CJ68),ISNUMBER(CJ112)),IF(ABS(CJ68-CJ112)&lt;=0.15,0,ROUND(CJ68-CJ112,1)),"")</f>
        <v>0</v>
      </c>
      <c r="CK70" s="272">
        <f>IF(AND(ISNUMBER(CK68),ISNUMBER(CK112)),IF(ABS(CK68-CK112)&lt;=0.15,0,ROUND(CK68-CK112,1)),"")</f>
        <v>0</v>
      </c>
      <c r="CL70" s="153" t="n"/>
    </row>
    <row r="71" ht="15" customHeight="1" s="251">
      <c r="B71" s="156" t="inlineStr">
        <is>
          <t xml:space="preserve">  Memo: Q2 FY27 net sales guidance (scenario end-point)</t>
        </is>
      </c>
      <c r="C71" s="34" t="n"/>
      <c r="D71" s="34" t="n"/>
      <c r="E71" s="34" t="n"/>
      <c r="F71" s="34" t="n"/>
      <c r="G71" s="34" t="n"/>
      <c r="H71" s="34" t="n"/>
      <c r="I71" s="34" t="n"/>
      <c r="J71" s="34" t="n"/>
      <c r="K71" s="34" t="n"/>
      <c r="L71" s="34" t="n"/>
      <c r="M71" s="34" t="n"/>
      <c r="N71" s="34" t="n"/>
      <c r="O71" s="34" t="n"/>
      <c r="P71" s="34" t="n"/>
      <c r="Q71" s="34" t="n"/>
      <c r="R71" s="34" t="n"/>
      <c r="S71" s="34" t="n"/>
      <c r="T71" s="34" t="n"/>
      <c r="U71" s="34" t="n"/>
      <c r="V71" s="34" t="n"/>
      <c r="W71" s="34" t="n"/>
      <c r="X71" s="34" t="n"/>
      <c r="Y71" s="34" t="n"/>
      <c r="Z71" s="34" t="n"/>
      <c r="AA71" s="34" t="n"/>
      <c r="AB71" s="34" t="n"/>
      <c r="AC71" s="34" t="n"/>
      <c r="AD71" s="34" t="n"/>
      <c r="AE71" s="34" t="n"/>
      <c r="AF71" s="34" t="n"/>
      <c r="AG71" s="34" t="n"/>
      <c r="AH71" s="34" t="n"/>
      <c r="AI71" s="34" t="n"/>
      <c r="AJ71" s="34" t="n"/>
      <c r="AK71" s="34" t="n"/>
      <c r="AL71" s="34" t="n"/>
      <c r="AM71" s="34" t="n"/>
      <c r="AN71" s="34" t="n"/>
      <c r="AO71" s="34" t="n"/>
      <c r="AP71" s="34" t="n"/>
      <c r="AQ71" s="34" t="n"/>
      <c r="AR71" s="34" t="n"/>
      <c r="AS71" s="34" t="n"/>
      <c r="AT71" s="34" t="n"/>
      <c r="AU71" s="34" t="n"/>
      <c r="AV71" s="34" t="n"/>
      <c r="AW71" s="34" t="n"/>
      <c r="AX71" s="34" t="n"/>
      <c r="AY71" s="34" t="n"/>
      <c r="AZ71" s="34" t="n"/>
      <c r="BA71" s="34" t="n"/>
      <c r="BB71" s="34" t="n"/>
      <c r="BC71" s="34" t="n"/>
      <c r="BD71" s="34" t="n"/>
      <c r="BE71" s="34" t="n"/>
      <c r="BF71" s="34" t="n"/>
      <c r="BG71" s="34" t="n"/>
      <c r="BH71" s="34" t="n"/>
      <c r="BI71" s="34" t="n"/>
      <c r="BJ71" s="34" t="n"/>
      <c r="BK71" s="34" t="n"/>
      <c r="BL71" s="34" t="n"/>
      <c r="BM71" s="34" t="n"/>
      <c r="BN71" s="34" t="n"/>
      <c r="BO71" s="34" t="n"/>
      <c r="BP71" s="34" t="n"/>
      <c r="BQ71" s="34" t="n"/>
      <c r="BR71" s="34" t="n"/>
      <c r="BS71" s="34" t="n"/>
      <c r="BT71" s="34" t="n"/>
      <c r="BU71" s="34" t="n"/>
      <c r="BV71" s="34" t="n"/>
      <c r="BW71" s="34" t="n"/>
      <c r="BX71" s="34" t="n"/>
      <c r="BY71" s="34" t="n"/>
      <c r="BZ71" s="34" t="n"/>
      <c r="CA71" s="34" t="n"/>
      <c r="CB71" s="34" t="n"/>
      <c r="CC71" s="272">
        <f>CHOOSE(MATCH($CL$2,{"Bull","Base","Bear"},0),$CU$12,$CV$12,$CW$12)</f>
        <v>510</v>
      </c>
      <c r="CD71" s="153" t="n"/>
      <c r="CE71" s="153" t="n"/>
      <c r="CF71" s="153" t="n"/>
      <c r="CG71" s="153" t="n"/>
      <c r="CH71" s="153" t="n"/>
      <c r="CI71" s="153" t="n"/>
      <c r="CJ71" s="153" t="n"/>
      <c r="CK71" s="153" t="n"/>
      <c r="CL71" s="153" t="inlineStr">
        <is>
          <t>Company Q2 FY27 net sales outlook $505.0–515.0m (Q1 FY27 release, 31-Jul-2026). Drives the sales calibration.</t>
        </is>
      </c>
    </row>
    <row r="72" collapsed="1" ht="15" customHeight="1" s="251">
      <c r="B72" s="25" t="inlineStr">
        <is>
          <t xml:space="preserve">  Net sales before calibration (Q2/27E helper)</t>
        </is>
      </c>
      <c r="C72" s="34" t="n"/>
      <c r="D72" s="34" t="n"/>
      <c r="E72" s="34" t="n"/>
      <c r="F72" s="34" t="n"/>
      <c r="G72" s="34" t="n"/>
      <c r="H72" s="34" t="n"/>
      <c r="I72" s="34" t="n"/>
      <c r="J72" s="34" t="n"/>
      <c r="K72" s="34" t="n"/>
      <c r="L72" s="34" t="n"/>
      <c r="M72" s="34" t="n"/>
      <c r="N72" s="34" t="n"/>
      <c r="O72" s="34" t="n"/>
      <c r="P72" s="34" t="n"/>
      <c r="Q72" s="34" t="n"/>
      <c r="R72" s="34" t="n"/>
      <c r="S72" s="34" t="n"/>
      <c r="T72" s="34" t="n"/>
      <c r="U72" s="34" t="n"/>
      <c r="V72" s="34" t="n"/>
      <c r="W72" s="34" t="n"/>
      <c r="X72" s="34" t="n"/>
      <c r="Y72" s="34" t="n"/>
      <c r="Z72" s="34" t="n"/>
      <c r="AA72" s="34" t="n"/>
      <c r="AB72" s="34" t="n"/>
      <c r="AC72" s="34" t="n"/>
      <c r="AD72" s="34" t="n"/>
      <c r="AE72" s="34" t="n"/>
      <c r="AF72" s="34" t="n"/>
      <c r="AG72" s="34" t="n"/>
      <c r="AH72" s="34" t="n"/>
      <c r="AI72" s="34" t="n"/>
      <c r="AJ72" s="34" t="n"/>
      <c r="AK72" s="34" t="n"/>
      <c r="AL72" s="34" t="n"/>
      <c r="AM72" s="34" t="n"/>
      <c r="AN72" s="34" t="n"/>
      <c r="AO72" s="34" t="n"/>
      <c r="AP72" s="34" t="n"/>
      <c r="AQ72" s="34" t="n"/>
      <c r="AR72" s="34" t="n"/>
      <c r="AS72" s="34" t="n"/>
      <c r="AT72" s="34" t="n"/>
      <c r="AU72" s="34" t="n"/>
      <c r="AV72" s="34" t="n"/>
      <c r="AW72" s="34" t="n"/>
      <c r="AX72" s="34" t="n"/>
      <c r="AY72" s="34" t="n"/>
      <c r="AZ72" s="34" t="n"/>
      <c r="BA72" s="34" t="n"/>
      <c r="BB72" s="34" t="n"/>
      <c r="BC72" s="34" t="n"/>
      <c r="BD72" s="34" t="n"/>
      <c r="BE72" s="34" t="n"/>
      <c r="BF72" s="34" t="n"/>
      <c r="BG72" s="34" t="n"/>
      <c r="BH72" s="34" t="n"/>
      <c r="BI72" s="34" t="n"/>
      <c r="BJ72" s="34" t="n"/>
      <c r="BK72" s="34" t="n"/>
      <c r="BL72" s="34" t="n"/>
      <c r="BM72" s="34" t="n"/>
      <c r="BN72" s="34" t="n"/>
      <c r="BO72" s="34" t="n"/>
      <c r="BP72" s="34" t="n"/>
      <c r="BQ72" s="34" t="n"/>
      <c r="BR72" s="34" t="n"/>
      <c r="BS72" s="34" t="n"/>
      <c r="BT72" s="34" t="n"/>
      <c r="BU72" s="34" t="n"/>
      <c r="BV72" s="34" t="n"/>
      <c r="BW72" s="34" t="n"/>
      <c r="BX72" s="34" t="n"/>
      <c r="BY72" s="34" t="n"/>
      <c r="BZ72" s="34" t="n"/>
      <c r="CA72" s="34" t="n"/>
      <c r="CB72" s="34" t="n"/>
      <c r="CC72" s="261">
        <f>BX11*(1+CC13)*CC34+CC14+BX23*(1+CC25)*CC34+CC26</f>
        <v>518.439055981719</v>
      </c>
      <c r="CD72" s="35" t="n"/>
      <c r="CE72" s="35" t="n"/>
      <c r="CF72" s="35" t="n"/>
      <c r="CG72" s="35" t="n"/>
      <c r="CH72" s="35" t="n"/>
      <c r="CI72" s="35" t="n"/>
      <c r="CJ72" s="35" t="n"/>
      <c r="CK72" s="35" t="n"/>
      <c r="CL72" s="19" t="n"/>
    </row>
    <row r="73" ht="15" customHeight="1" s="251">
      <c r="B73" s="25" t="inlineStr">
        <is>
          <t xml:space="preserve">  Net sales sensitivity to +1.00 of growth (Q2/27E helper)</t>
        </is>
      </c>
      <c r="C73" s="34" t="n"/>
      <c r="D73" s="34" t="n"/>
      <c r="E73" s="34" t="n"/>
      <c r="F73" s="34" t="n"/>
      <c r="G73" s="34" t="n"/>
      <c r="H73" s="34" t="n"/>
      <c r="I73" s="34" t="n"/>
      <c r="J73" s="34" t="n"/>
      <c r="K73" s="34" t="n"/>
      <c r="L73" s="34" t="n"/>
      <c r="M73" s="34" t="n"/>
      <c r="N73" s="34" t="n"/>
      <c r="O73" s="34" t="n"/>
      <c r="P73" s="34" t="n"/>
      <c r="Q73" s="34" t="n"/>
      <c r="R73" s="34" t="n"/>
      <c r="S73" s="34" t="n"/>
      <c r="T73" s="34" t="n"/>
      <c r="U73" s="34" t="n"/>
      <c r="V73" s="34" t="n"/>
      <c r="W73" s="34" t="n"/>
      <c r="X73" s="34" t="n"/>
      <c r="Y73" s="34" t="n"/>
      <c r="Z73" s="34" t="n"/>
      <c r="AA73" s="34" t="n"/>
      <c r="AB73" s="34" t="n"/>
      <c r="AC73" s="34" t="n"/>
      <c r="AD73" s="34" t="n"/>
      <c r="AE73" s="34" t="n"/>
      <c r="AF73" s="34" t="n"/>
      <c r="AG73" s="34" t="n"/>
      <c r="AH73" s="34" t="n"/>
      <c r="AI73" s="34" t="n"/>
      <c r="AJ73" s="34" t="n"/>
      <c r="AK73" s="34" t="n"/>
      <c r="AL73" s="34" t="n"/>
      <c r="AM73" s="34" t="n"/>
      <c r="AN73" s="34" t="n"/>
      <c r="AO73" s="34" t="n"/>
      <c r="AP73" s="34" t="n"/>
      <c r="AQ73" s="34" t="n"/>
      <c r="AR73" s="34" t="n"/>
      <c r="AS73" s="34" t="n"/>
      <c r="AT73" s="34" t="n"/>
      <c r="AU73" s="34" t="n"/>
      <c r="AV73" s="34" t="n"/>
      <c r="AW73" s="34" t="n"/>
      <c r="AX73" s="34" t="n"/>
      <c r="AY73" s="34" t="n"/>
      <c r="AZ73" s="34" t="n"/>
      <c r="BA73" s="34" t="n"/>
      <c r="BB73" s="34" t="n"/>
      <c r="BC73" s="34" t="n"/>
      <c r="BD73" s="34" t="n"/>
      <c r="BE73" s="34" t="n"/>
      <c r="BF73" s="34" t="n"/>
      <c r="BG73" s="34" t="n"/>
      <c r="BH73" s="34" t="n"/>
      <c r="BI73" s="34" t="n"/>
      <c r="BJ73" s="34" t="n"/>
      <c r="BK73" s="34" t="n"/>
      <c r="BL73" s="34" t="n"/>
      <c r="BM73" s="34" t="n"/>
      <c r="BN73" s="34" t="n"/>
      <c r="BO73" s="34" t="n"/>
      <c r="BP73" s="34" t="n"/>
      <c r="BQ73" s="34" t="n"/>
      <c r="BR73" s="34" t="n"/>
      <c r="BS73" s="34" t="n"/>
      <c r="BT73" s="34" t="n"/>
      <c r="BU73" s="34" t="n"/>
      <c r="BV73" s="34" t="n"/>
      <c r="BW73" s="34" t="n"/>
      <c r="BX73" s="34" t="n"/>
      <c r="BY73" s="34" t="n"/>
      <c r="BZ73" s="34" t="n"/>
      <c r="CA73" s="34" t="n"/>
      <c r="CB73" s="34" t="n"/>
      <c r="CC73" s="261">
        <f>BX11*CC34+BX23*CC34</f>
        <v>455.3</v>
      </c>
      <c r="CD73" s="35" t="n"/>
      <c r="CE73" s="35" t="n"/>
      <c r="CF73" s="35" t="n"/>
      <c r="CG73" s="35" t="n"/>
      <c r="CH73" s="35" t="n"/>
      <c r="CI73" s="35" t="n"/>
      <c r="CJ73" s="35" t="n"/>
      <c r="CK73" s="35" t="n"/>
      <c r="CL73" s="19" t="n"/>
    </row>
    <row r="74" ht="15" customHeight="1" s="251">
      <c r="B74" s="25" t="inlineStr">
        <is>
          <t xml:space="preserve">  Guidance calibration: Δ y/y growth applied to both segments (solved in Q2/27E, carried to Q3–Q4/27E)</t>
        </is>
      </c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  <c r="AP74" s="36" t="n"/>
      <c r="AQ74" s="36" t="n"/>
      <c r="AR74" s="36" t="n"/>
      <c r="AS74" s="36" t="n"/>
      <c r="AT74" s="36" t="n"/>
      <c r="AU74" s="36" t="n"/>
      <c r="AV74" s="36" t="n"/>
      <c r="AW74" s="36" t="n"/>
      <c r="AX74" s="36" t="n"/>
      <c r="AY74" s="36" t="n"/>
      <c r="AZ74" s="36" t="n"/>
      <c r="BA74" s="36" t="n"/>
      <c r="BB74" s="36" t="n"/>
      <c r="BC74" s="36" t="n"/>
      <c r="BD74" s="36" t="n"/>
      <c r="BE74" s="36" t="n"/>
      <c r="BF74" s="36" t="n"/>
      <c r="BG74" s="36" t="n"/>
      <c r="BH74" s="36" t="n"/>
      <c r="BI74" s="36" t="n"/>
      <c r="BJ74" s="36" t="n"/>
      <c r="BK74" s="36" t="n"/>
      <c r="BL74" s="36" t="n"/>
      <c r="BM74" s="36" t="n"/>
      <c r="BN74" s="36" t="n"/>
      <c r="BO74" s="36" t="n"/>
      <c r="BP74" s="36" t="n"/>
      <c r="BQ74" s="36" t="n"/>
      <c r="BR74" s="36" t="n"/>
      <c r="BS74" s="36" t="n"/>
      <c r="BT74" s="36" t="n"/>
      <c r="BU74" s="36" t="n"/>
      <c r="BV74" s="36" t="n"/>
      <c r="BW74" s="36" t="n"/>
      <c r="BX74" s="36" t="n"/>
      <c r="BY74" s="36" t="n"/>
      <c r="BZ74" s="36" t="n"/>
      <c r="CA74" s="36" t="n"/>
      <c r="CB74" s="36" t="n"/>
      <c r="CC74" s="256">
        <f>(CC71-CC72)/CC73</f>
        <v>-0.0185351548028101</v>
      </c>
      <c r="CD74" s="256">
        <f>$CC$74</f>
        <v>-0.0185351548028101</v>
      </c>
      <c r="CE74" s="256">
        <f>$CC$74</f>
        <v>-0.0185351548028101</v>
      </c>
      <c r="CF74" s="24" t="n"/>
      <c r="CG74" s="46" t="n"/>
      <c r="CH74" s="46" t="n"/>
      <c r="CI74" s="46" t="n"/>
      <c r="CJ74" s="46" t="n"/>
      <c r="CK74" s="46" t="n"/>
      <c r="CL74" s="19" t="inlineStr">
        <is>
          <t>Solves the uniform growth shift (vs Q1 FY27 organic rates) so that Q2 FY27 net sales = the guidance end-point for the active scenario; RBC guides one quarter ahead, so the same Δ is carried into Q3–Q4 (UBER precedent).</t>
        </is>
      </c>
    </row>
    <row r="75" ht="15" customHeight="1" s="251">
      <c r="B75" s="57" t="inlineStr">
        <is>
          <t xml:space="preserve">  Check: Q2 FY27 net sales vs guidance end-point (should be 0)</t>
        </is>
      </c>
      <c r="C75" s="44" t="n"/>
      <c r="D75" s="44" t="n"/>
      <c r="E75" s="44" t="n"/>
      <c r="F75" s="44" t="n"/>
      <c r="G75" s="44" t="n"/>
      <c r="H75" s="44" t="n"/>
      <c r="I75" s="44" t="n"/>
      <c r="J75" s="44" t="n"/>
      <c r="K75" s="44" t="n"/>
      <c r="L75" s="44" t="n"/>
      <c r="M75" s="44" t="n"/>
      <c r="N75" s="44" t="n"/>
      <c r="O75" s="44" t="n"/>
      <c r="P75" s="44" t="n"/>
      <c r="Q75" s="44" t="n"/>
      <c r="R75" s="44" t="n"/>
      <c r="S75" s="44" t="n"/>
      <c r="T75" s="44" t="n"/>
      <c r="U75" s="44" t="n"/>
      <c r="V75" s="44" t="n"/>
      <c r="W75" s="44" t="n"/>
      <c r="X75" s="44" t="n"/>
      <c r="Y75" s="44" t="n"/>
      <c r="Z75" s="44" t="n"/>
      <c r="AA75" s="44" t="n"/>
      <c r="AB75" s="44" t="n"/>
      <c r="AC75" s="44" t="n"/>
      <c r="AD75" s="44" t="n"/>
      <c r="AE75" s="44" t="n"/>
      <c r="AF75" s="44" t="n"/>
      <c r="AG75" s="44" t="n"/>
      <c r="AH75" s="44" t="n"/>
      <c r="AI75" s="44" t="n"/>
      <c r="AJ75" s="44" t="n"/>
      <c r="AK75" s="44" t="n"/>
      <c r="AL75" s="44" t="n"/>
      <c r="AM75" s="44" t="n"/>
      <c r="AN75" s="44" t="n"/>
      <c r="AO75" s="44" t="n"/>
      <c r="AP75" s="44" t="n"/>
      <c r="AQ75" s="44" t="n"/>
      <c r="AR75" s="44" t="n"/>
      <c r="AS75" s="44" t="n"/>
      <c r="AT75" s="44" t="n"/>
      <c r="AU75" s="44" t="n"/>
      <c r="AV75" s="44" t="n"/>
      <c r="AW75" s="44" t="n"/>
      <c r="AX75" s="44" t="n"/>
      <c r="AY75" s="44" t="n"/>
      <c r="AZ75" s="44" t="n"/>
      <c r="BA75" s="44" t="n"/>
      <c r="BB75" s="44" t="n"/>
      <c r="BC75" s="44" t="n"/>
      <c r="BD75" s="44" t="n"/>
      <c r="BE75" s="44" t="n"/>
      <c r="BF75" s="44" t="n"/>
      <c r="BG75" s="44" t="n"/>
      <c r="BH75" s="44" t="n"/>
      <c r="BI75" s="44" t="n"/>
      <c r="BJ75" s="44" t="n"/>
      <c r="BK75" s="44" t="n"/>
      <c r="BL75" s="44" t="n"/>
      <c r="BM75" s="44" t="n"/>
      <c r="BN75" s="44" t="n"/>
      <c r="BO75" s="44" t="n"/>
      <c r="BP75" s="44" t="n"/>
      <c r="BQ75" s="44" t="n"/>
      <c r="BR75" s="44" t="n"/>
      <c r="BS75" s="44" t="n"/>
      <c r="BT75" s="44" t="n"/>
      <c r="BU75" s="44" t="n"/>
      <c r="BV75" s="44" t="n"/>
      <c r="BW75" s="44" t="n"/>
      <c r="BX75" s="44" t="n"/>
      <c r="BY75" s="44" t="n"/>
      <c r="BZ75" s="44" t="n"/>
      <c r="CA75" s="44" t="n"/>
      <c r="CB75" s="44" t="n"/>
      <c r="CC75" s="272">
        <f>ROUND(CC65-CC71,1)</f>
        <v>0</v>
      </c>
      <c r="CD75" s="153" t="n"/>
      <c r="CE75" s="153" t="n"/>
      <c r="CF75" s="153" t="n"/>
      <c r="CG75" s="153" t="n"/>
      <c r="CH75" s="153" t="n"/>
      <c r="CI75" s="153" t="n"/>
      <c r="CJ75" s="153" t="n"/>
      <c r="CK75" s="153" t="n"/>
      <c r="CL75" s="153" t="n"/>
    </row>
    <row r="76" ht="15" customHeight="1" s="251">
      <c r="B76" s="156" t="inlineStr">
        <is>
          <t xml:space="preserve">  Memo: Q2 FY27 gross margin guidance (scenario end-point, %)</t>
        </is>
      </c>
      <c r="C76" s="34" t="n"/>
      <c r="D76" s="34" t="n"/>
      <c r="E76" s="34" t="n"/>
      <c r="F76" s="34" t="n"/>
      <c r="G76" s="34" t="n"/>
      <c r="H76" s="34" t="n"/>
      <c r="I76" s="34" t="n"/>
      <c r="J76" s="34" t="n"/>
      <c r="K76" s="34" t="n"/>
      <c r="L76" s="34" t="n"/>
      <c r="M76" s="34" t="n"/>
      <c r="N76" s="34" t="n"/>
      <c r="O76" s="34" t="n"/>
      <c r="P76" s="34" t="n"/>
      <c r="Q76" s="34" t="n"/>
      <c r="R76" s="34" t="n"/>
      <c r="S76" s="34" t="n"/>
      <c r="T76" s="34" t="n"/>
      <c r="U76" s="34" t="n"/>
      <c r="V76" s="34" t="n"/>
      <c r="W76" s="34" t="n"/>
      <c r="X76" s="34" t="n"/>
      <c r="Y76" s="34" t="n"/>
      <c r="Z76" s="34" t="n"/>
      <c r="AA76" s="34" t="n"/>
      <c r="AB76" s="34" t="n"/>
      <c r="AC76" s="34" t="n"/>
      <c r="AD76" s="34" t="n"/>
      <c r="AE76" s="34" t="n"/>
      <c r="AF76" s="34" t="n"/>
      <c r="AG76" s="34" t="n"/>
      <c r="AH76" s="34" t="n"/>
      <c r="AI76" s="34" t="n"/>
      <c r="AJ76" s="34" t="n"/>
      <c r="AK76" s="34" t="n"/>
      <c r="AL76" s="34" t="n"/>
      <c r="AM76" s="34" t="n"/>
      <c r="AN76" s="34" t="n"/>
      <c r="AO76" s="34" t="n"/>
      <c r="AP76" s="34" t="n"/>
      <c r="AQ76" s="34" t="n"/>
      <c r="AR76" s="34" t="n"/>
      <c r="AS76" s="34" t="n"/>
      <c r="AT76" s="34" t="n"/>
      <c r="AU76" s="34" t="n"/>
      <c r="AV76" s="34" t="n"/>
      <c r="AW76" s="34" t="n"/>
      <c r="AX76" s="34" t="n"/>
      <c r="AY76" s="34" t="n"/>
      <c r="AZ76" s="34" t="n"/>
      <c r="BA76" s="34" t="n"/>
      <c r="BB76" s="34" t="n"/>
      <c r="BC76" s="34" t="n"/>
      <c r="BD76" s="34" t="n"/>
      <c r="BE76" s="34" t="n"/>
      <c r="BF76" s="34" t="n"/>
      <c r="BG76" s="34" t="n"/>
      <c r="BH76" s="34" t="n"/>
      <c r="BI76" s="34" t="n"/>
      <c r="BJ76" s="34" t="n"/>
      <c r="BK76" s="34" t="n"/>
      <c r="BL76" s="34" t="n"/>
      <c r="BM76" s="34" t="n"/>
      <c r="BN76" s="34" t="n"/>
      <c r="BO76" s="34" t="n"/>
      <c r="BP76" s="34" t="n"/>
      <c r="BQ76" s="34" t="n"/>
      <c r="BR76" s="34" t="n"/>
      <c r="BS76" s="34" t="n"/>
      <c r="BT76" s="34" t="n"/>
      <c r="BU76" s="34" t="n"/>
      <c r="BV76" s="34" t="n"/>
      <c r="BW76" s="34" t="n"/>
      <c r="BX76" s="34" t="n"/>
      <c r="BY76" s="34" t="n"/>
      <c r="BZ76" s="34" t="n"/>
      <c r="CA76" s="34" t="n"/>
      <c r="CB76" s="34" t="n"/>
      <c r="CC76" s="273">
        <f>CHOOSE(MATCH($CL$2,{"Bull","Base","Bear"},0),$CU$13,$CV$13,$CW$13)</f>
        <v>0.45625</v>
      </c>
      <c r="CD76" s="153" t="n"/>
      <c r="CE76" s="153" t="n"/>
      <c r="CF76" s="153" t="n"/>
      <c r="CG76" s="153" t="n"/>
      <c r="CH76" s="153" t="n"/>
      <c r="CI76" s="153" t="n"/>
      <c r="CJ76" s="153" t="n"/>
      <c r="CK76" s="153" t="n"/>
      <c r="CL76" s="153" t="inlineStr">
        <is>
          <t>Company Q2 FY27 gross margin outlook 45.5–45.75% (Q1 FY27 release). Drives the segment gross-margin calibration.</t>
        </is>
      </c>
    </row>
    <row r="77" ht="15" customHeight="1" s="251">
      <c r="B77" s="25" t="inlineStr">
        <is>
          <t xml:space="preserve">  Gross margin before calibration (Q2/27E helper)</t>
        </is>
      </c>
      <c r="C77" s="34" t="n"/>
      <c r="D77" s="34" t="n"/>
      <c r="E77" s="34" t="n"/>
      <c r="F77" s="34" t="n"/>
      <c r="G77" s="34" t="n"/>
      <c r="H77" s="34" t="n"/>
      <c r="I77" s="34" t="n"/>
      <c r="J77" s="34" t="n"/>
      <c r="K77" s="34" t="n"/>
      <c r="L77" s="34" t="n"/>
      <c r="M77" s="34" t="n"/>
      <c r="N77" s="34" t="n"/>
      <c r="O77" s="34" t="n"/>
      <c r="P77" s="34" t="n"/>
      <c r="Q77" s="34" t="n"/>
      <c r="R77" s="34" t="n"/>
      <c r="S77" s="34" t="n"/>
      <c r="T77" s="34" t="n"/>
      <c r="U77" s="34" t="n"/>
      <c r="V77" s="34" t="n"/>
      <c r="W77" s="34" t="n"/>
      <c r="X77" s="34" t="n"/>
      <c r="Y77" s="34" t="n"/>
      <c r="Z77" s="34" t="n"/>
      <c r="AA77" s="34" t="n"/>
      <c r="AB77" s="34" t="n"/>
      <c r="AC77" s="34" t="n"/>
      <c r="AD77" s="34" t="n"/>
      <c r="AE77" s="34" t="n"/>
      <c r="AF77" s="34" t="n"/>
      <c r="AG77" s="34" t="n"/>
      <c r="AH77" s="34" t="n"/>
      <c r="AI77" s="34" t="n"/>
      <c r="AJ77" s="34" t="n"/>
      <c r="AK77" s="34" t="n"/>
      <c r="AL77" s="34" t="n"/>
      <c r="AM77" s="34" t="n"/>
      <c r="AN77" s="34" t="n"/>
      <c r="AO77" s="34" t="n"/>
      <c r="AP77" s="34" t="n"/>
      <c r="AQ77" s="34" t="n"/>
      <c r="AR77" s="34" t="n"/>
      <c r="AS77" s="34" t="n"/>
      <c r="AT77" s="34" t="n"/>
      <c r="AU77" s="34" t="n"/>
      <c r="AV77" s="34" t="n"/>
      <c r="AW77" s="34" t="n"/>
      <c r="AX77" s="34" t="n"/>
      <c r="AY77" s="34" t="n"/>
      <c r="AZ77" s="34" t="n"/>
      <c r="BA77" s="34" t="n"/>
      <c r="BB77" s="34" t="n"/>
      <c r="BC77" s="34" t="n"/>
      <c r="BD77" s="34" t="n"/>
      <c r="BE77" s="34" t="n"/>
      <c r="BF77" s="34" t="n"/>
      <c r="BG77" s="34" t="n"/>
      <c r="BH77" s="34" t="n"/>
      <c r="BI77" s="34" t="n"/>
      <c r="BJ77" s="34" t="n"/>
      <c r="BK77" s="34" t="n"/>
      <c r="BL77" s="34" t="n"/>
      <c r="BM77" s="34" t="n"/>
      <c r="BN77" s="34" t="n"/>
      <c r="BO77" s="34" t="n"/>
      <c r="BP77" s="34" t="n"/>
      <c r="BQ77" s="34" t="n"/>
      <c r="BR77" s="34" t="n"/>
      <c r="BS77" s="34" t="n"/>
      <c r="BT77" s="34" t="n"/>
      <c r="BU77" s="34" t="n"/>
      <c r="BV77" s="34" t="n"/>
      <c r="BW77" s="34" t="n"/>
      <c r="BX77" s="34" t="n"/>
      <c r="BY77" s="34" t="n"/>
      <c r="BZ77" s="34" t="n"/>
      <c r="CA77" s="34" t="n"/>
      <c r="CB77" s="34" t="n"/>
      <c r="CC77" s="261">
        <f>CC11*CC18+CC23*CC30</f>
        <v>239.135594922287</v>
      </c>
      <c r="CD77" s="35" t="n"/>
      <c r="CE77" s="35" t="n"/>
      <c r="CF77" s="35" t="n"/>
      <c r="CG77" s="35" t="n"/>
      <c r="CH77" s="35" t="n"/>
      <c r="CI77" s="35" t="n"/>
      <c r="CJ77" s="35" t="n"/>
      <c r="CK77" s="35" t="n"/>
      <c r="CL77" s="19" t="n"/>
    </row>
    <row r="78" ht="15" customHeight="1" s="251">
      <c r="B78" s="25" t="inlineStr">
        <is>
          <t xml:space="preserve">  Guidance calibration: Δ segment gross margin (solved in Q2/27E, carried to Q3–Q4/27E)</t>
        </is>
      </c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  <c r="AP78" s="36" t="n"/>
      <c r="AQ78" s="36" t="n"/>
      <c r="AR78" s="36" t="n"/>
      <c r="AS78" s="36" t="n"/>
      <c r="AT78" s="36" t="n"/>
      <c r="AU78" s="36" t="n"/>
      <c r="AV78" s="36" t="n"/>
      <c r="AW78" s="36" t="n"/>
      <c r="AX78" s="36" t="n"/>
      <c r="AY78" s="36" t="n"/>
      <c r="AZ78" s="36" t="n"/>
      <c r="BA78" s="36" t="n"/>
      <c r="BB78" s="36" t="n"/>
      <c r="BC78" s="36" t="n"/>
      <c r="BD78" s="36" t="n"/>
      <c r="BE78" s="36" t="n"/>
      <c r="BF78" s="36" t="n"/>
      <c r="BG78" s="36" t="n"/>
      <c r="BH78" s="36" t="n"/>
      <c r="BI78" s="36" t="n"/>
      <c r="BJ78" s="36" t="n"/>
      <c r="BK78" s="36" t="n"/>
      <c r="BL78" s="36" t="n"/>
      <c r="BM78" s="36" t="n"/>
      <c r="BN78" s="36" t="n"/>
      <c r="BO78" s="36" t="n"/>
      <c r="BP78" s="36" t="n"/>
      <c r="BQ78" s="36" t="n"/>
      <c r="BR78" s="36" t="n"/>
      <c r="BS78" s="36" t="n"/>
      <c r="BT78" s="36" t="n"/>
      <c r="BU78" s="36" t="n"/>
      <c r="BV78" s="36" t="n"/>
      <c r="BW78" s="36" t="n"/>
      <c r="BX78" s="36" t="n"/>
      <c r="BY78" s="36" t="n"/>
      <c r="BZ78" s="36" t="n"/>
      <c r="CA78" s="36" t="n"/>
      <c r="CB78" s="36" t="n"/>
      <c r="CC78" s="256">
        <f>(CC76*CC65-CC77)/(CC11+CC23)</f>
        <v>-0.0126433233770334</v>
      </c>
      <c r="CD78" s="256">
        <f>$CC$78</f>
        <v>-0.0126433233770334</v>
      </c>
      <c r="CE78" s="256">
        <f>$CC$78</f>
        <v>-0.0126433233770334</v>
      </c>
      <c r="CF78" s="24" t="n"/>
      <c r="CG78" s="46" t="n"/>
      <c r="CH78" s="46" t="n"/>
      <c r="CI78" s="46" t="n"/>
      <c r="CJ78" s="46" t="n"/>
      <c r="CK78" s="46" t="n"/>
      <c r="CL78" s="19" t="inlineStr">
        <is>
          <t>Solves the uniform segment gross-margin shift so that Q2 FY27 gross margin = the guidance end-point; carried into Q3–Q4.</t>
        </is>
      </c>
    </row>
    <row r="79" ht="15" customHeight="1" s="251">
      <c r="B79" s="57" t="inlineStr">
        <is>
          <t xml:space="preserve">  Check: Q2 FY27 gross margin % vs guidance end-point (should be 0.0%)</t>
        </is>
      </c>
      <c r="C79" s="44" t="n"/>
      <c r="D79" s="44" t="n"/>
      <c r="E79" s="44" t="n"/>
      <c r="F79" s="44" t="n"/>
      <c r="G79" s="44" t="n"/>
      <c r="H79" s="44" t="n"/>
      <c r="I79" s="44" t="n"/>
      <c r="J79" s="44" t="n"/>
      <c r="K79" s="44" t="n"/>
      <c r="L79" s="44" t="n"/>
      <c r="M79" s="44" t="n"/>
      <c r="N79" s="44" t="n"/>
      <c r="O79" s="44" t="n"/>
      <c r="P79" s="44" t="n"/>
      <c r="Q79" s="44" t="n"/>
      <c r="R79" s="44" t="n"/>
      <c r="S79" s="44" t="n"/>
      <c r="T79" s="44" t="n"/>
      <c r="U79" s="44" t="n"/>
      <c r="V79" s="44" t="n"/>
      <c r="W79" s="44" t="n"/>
      <c r="X79" s="44" t="n"/>
      <c r="Y79" s="44" t="n"/>
      <c r="Z79" s="44" t="n"/>
      <c r="AA79" s="44" t="n"/>
      <c r="AB79" s="44" t="n"/>
      <c r="AC79" s="44" t="n"/>
      <c r="AD79" s="44" t="n"/>
      <c r="AE79" s="44" t="n"/>
      <c r="AF79" s="44" t="n"/>
      <c r="AG79" s="44" t="n"/>
      <c r="AH79" s="44" t="n"/>
      <c r="AI79" s="44" t="n"/>
      <c r="AJ79" s="44" t="n"/>
      <c r="AK79" s="44" t="n"/>
      <c r="AL79" s="44" t="n"/>
      <c r="AM79" s="44" t="n"/>
      <c r="AN79" s="44" t="n"/>
      <c r="AO79" s="44" t="n"/>
      <c r="AP79" s="44" t="n"/>
      <c r="AQ79" s="44" t="n"/>
      <c r="AR79" s="44" t="n"/>
      <c r="AS79" s="44" t="n"/>
      <c r="AT79" s="44" t="n"/>
      <c r="AU79" s="44" t="n"/>
      <c r="AV79" s="44" t="n"/>
      <c r="AW79" s="44" t="n"/>
      <c r="AX79" s="44" t="n"/>
      <c r="AY79" s="44" t="n"/>
      <c r="AZ79" s="44" t="n"/>
      <c r="BA79" s="44" t="n"/>
      <c r="BB79" s="44" t="n"/>
      <c r="BC79" s="44" t="n"/>
      <c r="BD79" s="44" t="n"/>
      <c r="BE79" s="44" t="n"/>
      <c r="BF79" s="44" t="n"/>
      <c r="BG79" s="44" t="n"/>
      <c r="BH79" s="44" t="n"/>
      <c r="BI79" s="44" t="n"/>
      <c r="BJ79" s="44" t="n"/>
      <c r="BK79" s="44" t="n"/>
      <c r="BL79" s="44" t="n"/>
      <c r="BM79" s="44" t="n"/>
      <c r="BN79" s="44" t="n"/>
      <c r="BO79" s="44" t="n"/>
      <c r="BP79" s="44" t="n"/>
      <c r="BQ79" s="44" t="n"/>
      <c r="BR79" s="44" t="n"/>
      <c r="BS79" s="44" t="n"/>
      <c r="BT79" s="44" t="n"/>
      <c r="BU79" s="44" t="n"/>
      <c r="BV79" s="44" t="n"/>
      <c r="BW79" s="44" t="n"/>
      <c r="BX79" s="44" t="n"/>
      <c r="BY79" s="44" t="n"/>
      <c r="BZ79" s="44" t="n"/>
      <c r="CA79" s="44" t="n"/>
      <c r="CB79" s="44" t="n"/>
      <c r="CC79" s="273">
        <f>ROUND(CC69-CC76,4)</f>
        <v>0</v>
      </c>
      <c r="CD79" s="153" t="n"/>
      <c r="CE79" s="153" t="n"/>
      <c r="CF79" s="153" t="n"/>
      <c r="CG79" s="153" t="n"/>
      <c r="CH79" s="153" t="n"/>
      <c r="CI79" s="153" t="n"/>
      <c r="CJ79" s="153" t="n"/>
      <c r="CK79" s="153" t="n"/>
      <c r="CL79" s="153" t="n"/>
    </row>
    <row r="80" collapsed="1" ht="15" customHeight="1" s="251">
      <c r="B80" s="156" t="inlineStr">
        <is>
          <t xml:space="preserve">  Memo: Q2 FY27 SG&amp;A % of net sales guidance (scenario end-point; applied directly)</t>
        </is>
      </c>
      <c r="C80" s="34" t="n"/>
      <c r="D80" s="34" t="n"/>
      <c r="E80" s="34" t="n"/>
      <c r="F80" s="34" t="n"/>
      <c r="G80" s="34" t="n"/>
      <c r="H80" s="34" t="n"/>
      <c r="I80" s="34" t="n"/>
      <c r="J80" s="34" t="n"/>
      <c r="K80" s="34" t="n"/>
      <c r="L80" s="34" t="n"/>
      <c r="M80" s="34" t="n"/>
      <c r="N80" s="34" t="n"/>
      <c r="O80" s="34" t="n"/>
      <c r="P80" s="34" t="n"/>
      <c r="Q80" s="34" t="n"/>
      <c r="R80" s="34" t="n"/>
      <c r="S80" s="34" t="n"/>
      <c r="T80" s="34" t="n"/>
      <c r="U80" s="34" t="n"/>
      <c r="V80" s="34" t="n"/>
      <c r="W80" s="34" t="n"/>
      <c r="X80" s="34" t="n"/>
      <c r="Y80" s="34" t="n"/>
      <c r="Z80" s="34" t="n"/>
      <c r="AA80" s="34" t="n"/>
      <c r="AB80" s="34" t="n"/>
      <c r="AC80" s="34" t="n"/>
      <c r="AD80" s="34" t="n"/>
      <c r="AE80" s="34" t="n"/>
      <c r="AF80" s="34" t="n"/>
      <c r="AG80" s="34" t="n"/>
      <c r="AH80" s="34" t="n"/>
      <c r="AI80" s="34" t="n"/>
      <c r="AJ80" s="34" t="n"/>
      <c r="AK80" s="34" t="n"/>
      <c r="AL80" s="34" t="n"/>
      <c r="AM80" s="34" t="n"/>
      <c r="AN80" s="34" t="n"/>
      <c r="AO80" s="34" t="n"/>
      <c r="AP80" s="34" t="n"/>
      <c r="AQ80" s="34" t="n"/>
      <c r="AR80" s="34" t="n"/>
      <c r="AS80" s="34" t="n"/>
      <c r="AT80" s="34" t="n"/>
      <c r="AU80" s="34" t="n"/>
      <c r="AV80" s="34" t="n"/>
      <c r="AW80" s="34" t="n"/>
      <c r="AX80" s="34" t="n"/>
      <c r="AY80" s="34" t="n"/>
      <c r="AZ80" s="34" t="n"/>
      <c r="BA80" s="34" t="n"/>
      <c r="BB80" s="34" t="n"/>
      <c r="BC80" s="34" t="n"/>
      <c r="BD80" s="34" t="n"/>
      <c r="BE80" s="34" t="n"/>
      <c r="BF80" s="34" t="n"/>
      <c r="BG80" s="34" t="n"/>
      <c r="BH80" s="34" t="n"/>
      <c r="BI80" s="34" t="n"/>
      <c r="BJ80" s="34" t="n"/>
      <c r="BK80" s="34" t="n"/>
      <c r="BL80" s="34" t="n"/>
      <c r="BM80" s="34" t="n"/>
      <c r="BN80" s="34" t="n"/>
      <c r="BO80" s="34" t="n"/>
      <c r="BP80" s="34" t="n"/>
      <c r="BQ80" s="34" t="n"/>
      <c r="BR80" s="34" t="n"/>
      <c r="BS80" s="34" t="n"/>
      <c r="BT80" s="34" t="n"/>
      <c r="BU80" s="34" t="n"/>
      <c r="BV80" s="34" t="n"/>
      <c r="BW80" s="34" t="n"/>
      <c r="BX80" s="34" t="n"/>
      <c r="BY80" s="34" t="n"/>
      <c r="BZ80" s="34" t="n"/>
      <c r="CA80" s="34" t="n"/>
      <c r="CB80" s="34" t="n"/>
      <c r="CC80" s="273">
        <f>CHOOSE(MATCH($CL$2,{"Bull","Base","Bear"},0),$CU$14,$CV$14,$CW$14)</f>
        <v>0.16625</v>
      </c>
      <c r="CD80" s="153" t="n"/>
      <c r="CE80" s="153" t="n"/>
      <c r="CF80" s="153" t="n"/>
      <c r="CG80" s="153" t="n"/>
      <c r="CH80" s="153" t="n"/>
      <c r="CI80" s="153" t="n"/>
      <c r="CJ80" s="153" t="n"/>
      <c r="CK80" s="153" t="n"/>
      <c r="CL80" s="153" t="n"/>
    </row>
    <row r="81" ht="15" customHeight="1" s="251">
      <c r="B81" s="156" t="inlineStr">
        <is>
          <t xml:space="preserve">  Memo: FY2027E net sales y/y (output; RBC publishes no full-year guidance)</t>
        </is>
      </c>
      <c r="C81" s="44" t="n"/>
      <c r="D81" s="44" t="n"/>
      <c r="E81" s="44" t="n"/>
      <c r="F81" s="44" t="n"/>
      <c r="G81" s="44" t="n"/>
      <c r="H81" s="44" t="n"/>
      <c r="I81" s="44" t="n"/>
      <c r="J81" s="44" t="n"/>
      <c r="K81" s="44" t="n"/>
      <c r="L81" s="44" t="n"/>
      <c r="M81" s="44" t="n"/>
      <c r="N81" s="44" t="n"/>
      <c r="O81" s="44" t="n"/>
      <c r="P81" s="44" t="n"/>
      <c r="Q81" s="44" t="n"/>
      <c r="R81" s="44" t="n"/>
      <c r="S81" s="44" t="n"/>
      <c r="T81" s="44" t="n"/>
      <c r="U81" s="44" t="n"/>
      <c r="V81" s="44" t="n"/>
      <c r="W81" s="44" t="n"/>
      <c r="X81" s="44" t="n"/>
      <c r="Y81" s="44" t="n"/>
      <c r="Z81" s="44" t="n"/>
      <c r="AA81" s="44" t="n"/>
      <c r="AB81" s="44" t="n"/>
      <c r="AC81" s="44" t="n"/>
      <c r="AD81" s="44" t="n"/>
      <c r="AE81" s="44" t="n"/>
      <c r="AF81" s="44" t="n"/>
      <c r="AG81" s="44" t="n"/>
      <c r="AH81" s="44" t="n"/>
      <c r="AI81" s="44" t="n"/>
      <c r="AJ81" s="44" t="n"/>
      <c r="AK81" s="44" t="n"/>
      <c r="AL81" s="44" t="n"/>
      <c r="AM81" s="44" t="n"/>
      <c r="AN81" s="44" t="n"/>
      <c r="AO81" s="44" t="n"/>
      <c r="AP81" s="44" t="n"/>
      <c r="AQ81" s="44" t="n"/>
      <c r="AR81" s="44" t="n"/>
      <c r="AS81" s="44" t="n"/>
      <c r="AT81" s="44" t="n"/>
      <c r="AU81" s="44" t="n"/>
      <c r="AV81" s="44" t="n"/>
      <c r="AW81" s="44" t="n"/>
      <c r="AX81" s="44" t="n"/>
      <c r="AY81" s="44" t="n"/>
      <c r="AZ81" s="44" t="n"/>
      <c r="BA81" s="44" t="n"/>
      <c r="BB81" s="44" t="n"/>
      <c r="BC81" s="44" t="n"/>
      <c r="BD81" s="44" t="n"/>
      <c r="BE81" s="44" t="n"/>
      <c r="BF81" s="44" t="n"/>
      <c r="BG81" s="44" t="n"/>
      <c r="BH81" s="44" t="n"/>
      <c r="BI81" s="44" t="n"/>
      <c r="BJ81" s="44" t="n"/>
      <c r="BK81" s="44" t="n"/>
      <c r="BL81" s="44" t="n"/>
      <c r="BM81" s="44" t="n"/>
      <c r="BN81" s="44" t="n"/>
      <c r="BO81" s="44" t="n"/>
      <c r="BP81" s="44" t="n"/>
      <c r="BQ81" s="44" t="n"/>
      <c r="BR81" s="44" t="n"/>
      <c r="BS81" s="44" t="n"/>
      <c r="BT81" s="44" t="n"/>
      <c r="BU81" s="44" t="n"/>
      <c r="BV81" s="44" t="n"/>
      <c r="BW81" s="44" t="n"/>
      <c r="BX81" s="44" t="n"/>
      <c r="BY81" s="44" t="n"/>
      <c r="BZ81" s="44" t="n"/>
      <c r="CA81" s="44" t="n"/>
      <c r="CB81" s="44" t="n"/>
      <c r="CC81" s="35" t="n"/>
      <c r="CD81" s="35" t="n"/>
      <c r="CE81" s="35" t="n"/>
      <c r="CF81" s="256">
        <f>CF65/CA65-1</f>
        <v>0.152983073884821</v>
      </c>
      <c r="CG81" s="35" t="n"/>
      <c r="CH81" s="35" t="n"/>
      <c r="CI81" s="35" t="n"/>
      <c r="CJ81" s="35" t="n"/>
      <c r="CK81" s="35" t="n"/>
      <c r="CL81" s="153" t="n"/>
    </row>
    <row r="82" ht="15" customHeight="1" s="251">
      <c r="CT82" s="11" t="n"/>
      <c r="CU82" s="12" t="n"/>
      <c r="CV82" s="12" t="n"/>
      <c r="CW82" s="12" t="n"/>
      <c r="CX82" s="13" t="n"/>
    </row>
    <row r="83" ht="15" customHeight="1" s="251">
      <c r="B83" s="14" t="inlineStr">
        <is>
          <t>Cost drivers, D&amp;A &amp; adjusting items</t>
        </is>
      </c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  <c r="AH83" s="14" t="n"/>
      <c r="AI83" s="14" t="n"/>
      <c r="AJ83" s="14" t="n"/>
      <c r="AK83" s="14" t="n"/>
      <c r="AL83" s="14" t="n"/>
      <c r="AM83" s="14" t="n"/>
      <c r="AN83" s="14" t="n"/>
      <c r="AO83" s="14" t="n"/>
      <c r="AP83" s="14" t="n"/>
      <c r="AQ83" s="14" t="n"/>
      <c r="AR83" s="14" t="n"/>
      <c r="AS83" s="14" t="n"/>
      <c r="AT83" s="14" t="n"/>
      <c r="AU83" s="14" t="n"/>
      <c r="AV83" s="14" t="n"/>
      <c r="AW83" s="14" t="n"/>
      <c r="AX83" s="14" t="n"/>
      <c r="AY83" s="14" t="n"/>
      <c r="AZ83" s="14" t="n"/>
      <c r="BA83" s="14" t="n"/>
      <c r="BB83" s="14" t="n"/>
      <c r="BC83" s="14" t="n"/>
      <c r="BD83" s="14" t="n"/>
      <c r="BE83" s="14" t="n"/>
      <c r="BF83" s="14" t="n"/>
      <c r="BG83" s="14" t="n"/>
      <c r="BH83" s="14" t="n"/>
      <c r="BI83" s="14" t="n"/>
      <c r="BJ83" s="14" t="n"/>
      <c r="BK83" s="14" t="n"/>
      <c r="BL83" s="14" t="n"/>
      <c r="BM83" s="14" t="n"/>
      <c r="BN83" s="14" t="n"/>
      <c r="BO83" s="14" t="n"/>
      <c r="BP83" s="14" t="n"/>
      <c r="BQ83" s="14" t="n"/>
      <c r="BR83" s="14" t="n"/>
      <c r="BS83" s="14" t="n"/>
      <c r="BT83" s="14" t="n"/>
      <c r="BU83" s="14" t="n"/>
      <c r="BV83" s="14" t="n"/>
      <c r="BW83" s="14" t="n"/>
      <c r="BX83" s="14" t="n"/>
      <c r="BY83" s="14" t="n"/>
      <c r="BZ83" s="14" t="n"/>
      <c r="CA83" s="14" t="n"/>
      <c r="CB83" s="14" t="n"/>
      <c r="CC83" s="14" t="n"/>
      <c r="CD83" s="14" t="n"/>
      <c r="CE83" s="14" t="n"/>
      <c r="CF83" s="14" t="n"/>
      <c r="CG83" s="14" t="n"/>
      <c r="CH83" s="14" t="n"/>
      <c r="CI83" s="14" t="n"/>
      <c r="CJ83" s="14" t="n"/>
      <c r="CK83" s="14" t="n"/>
      <c r="CL83" s="15" t="inlineStr">
        <is>
          <t>COST DRIVERS — inputs that drive forecast cost lines (Q2–Q4/27E: guidance / point estimates; FY2028E+: % of sales or schedules)</t>
        </is>
      </c>
    </row>
    <row r="84" ht="15" customHeight="1" s="251">
      <c r="B84" s="25" t="inlineStr">
        <is>
          <t xml:space="preserve">  SG&amp;A % of net sales</t>
        </is>
      </c>
      <c r="C84" s="215">
        <f>IF(AND(ISNUMBER(C114),ISNUMBER(C108)),IFERROR(C114/C108,""),"")</f>
        <v>0.152800090343122</v>
      </c>
      <c r="D84" s="215">
        <f>IF(AND(ISNUMBER(D114),ISNUMBER(D108)),IFERROR(D114/D108,""),"")</f>
        <v>0.138063529611647</v>
      </c>
      <c r="E84" s="215">
        <f>IF(AND(ISNUMBER(E114),ISNUMBER(E108)),IFERROR(E114/E108,""),"")</f>
        <v>0.147924984875983</v>
      </c>
      <c r="F84" s="215">
        <f>IF(AND(ISNUMBER(F114),ISNUMBER(F108)),IFERROR(F114/F108,""),"")</f>
        <v>0.156772420150873</v>
      </c>
      <c r="G84" s="215">
        <f>IF(AND(ISNUMBER(G114),ISNUMBER(G108)),IFERROR(G114/G108,""),"")</f>
        <v>0.17243048831097</v>
      </c>
      <c r="H84" s="215">
        <f>IF(AND(ISNUMBER(H114),ISNUMBER(H108)),IFERROR(H114/H108,""),"")</f>
        <v>0.157038361266294</v>
      </c>
      <c r="I84" s="215">
        <f>IF(AND(ISNUMBER(I114),ISNUMBER(I108)),IFERROR(I114/I108,""),"")</f>
        <v>0.154217116004337</v>
      </c>
      <c r="J84" s="215">
        <f>IF(AND(ISNUMBER(J114),ISNUMBER(J108)),IFERROR(J114/J108,""),"")</f>
        <v>0.155776414345714</v>
      </c>
      <c r="K84" s="215">
        <f>IF(AND(ISNUMBER(K114),ISNUMBER(K108)),IFERROR(K114/K108,""),"")</f>
        <v>0.157130759651308</v>
      </c>
      <c r="L84" s="215">
        <f>IF(AND(ISNUMBER(L114),ISNUMBER(L108)),IFERROR(L114/L108,""),"")</f>
        <v>0.171971018103305</v>
      </c>
      <c r="M84" s="215">
        <f>IF(AND(ISNUMBER(M114),ISNUMBER(M108)),IFERROR(M114/M108,""),"")</f>
        <v>0.168097004058016</v>
      </c>
      <c r="N84" s="215">
        <f>IF(AND(ISNUMBER(N114),ISNUMBER(N108)),IFERROR(N114/N108,""),"")</f>
        <v>0.163133201505517</v>
      </c>
      <c r="O84" s="215">
        <f>IF(AND(ISNUMBER(O114),ISNUMBER(O108)),IFERROR(O114/O108,""),"")</f>
        <v>0.165426423033467</v>
      </c>
      <c r="P84" s="215">
        <f>IF(AND(ISNUMBER(P114),ISNUMBER(P108)),IFERROR(P114/P108,""),"")</f>
        <v>0.168115032269455</v>
      </c>
      <c r="Q84" s="215">
        <f>IF(AND(ISNUMBER(Q114),ISNUMBER(Q108)),IFERROR(Q114/Q108,""),"")</f>
        <v>0.181737712091978</v>
      </c>
      <c r="R84" s="215">
        <f>IF(AND(ISNUMBER(R114),ISNUMBER(R108)),IFERROR(R114/R108,""),"")</f>
        <v>0.172109956207461</v>
      </c>
      <c r="S84" s="215">
        <f>IF(AND(ISNUMBER(S114),ISNUMBER(S108)),IFERROR(S114/S108,""),"")</f>
        <v>0.171810468719413</v>
      </c>
      <c r="T84" s="215">
        <f>IF(AND(ISNUMBER(T114),ISNUMBER(T108)),IFERROR(T114/T108,""),"")</f>
        <v>0.168130000708065</v>
      </c>
      <c r="U84" s="215">
        <f>IF(AND(ISNUMBER(U114),ISNUMBER(U108)),IFERROR(U114/U108,""),"")</f>
        <v>0.16451512593843</v>
      </c>
      <c r="V84" s="215">
        <f>IF(AND(ISNUMBER(V114),ISNUMBER(V108)),IFERROR(V114/V108,""),"")</f>
        <v>0.181204266285435</v>
      </c>
      <c r="W84" s="215">
        <f>IF(AND(ISNUMBER(W114),ISNUMBER(W108)),IFERROR(W114/W108,""),"")</f>
        <v>0.168660782775069</v>
      </c>
      <c r="X84" s="215">
        <f>IF(AND(ISNUMBER(X114),ISNUMBER(X108)),IFERROR(X114/X108,""),"")</f>
        <v>0.170473277368296</v>
      </c>
      <c r="Y84" s="215">
        <f>IF(AND(ISNUMBER(Y114),ISNUMBER(Y108)),IFERROR(Y114/Y108,""),"")</f>
        <v>0.166715855749501</v>
      </c>
      <c r="Z84" s="215">
        <f>IF(AND(ISNUMBER(Z114),ISNUMBER(Z108)),IFERROR(Z114/Z108,""),"")</f>
        <v>0.167751654382095</v>
      </c>
      <c r="AA84" s="215">
        <f>IF(AND(ISNUMBER(AA114),ISNUMBER(AA108)),IFERROR(AA114/AA108,""),"")</f>
        <v>0.165376934598103</v>
      </c>
      <c r="AB84" s="215">
        <f>IF(AND(ISNUMBER(AB114),ISNUMBER(AB108)),IFERROR(AB114/AB108,""),"")</f>
        <v>0.161489534797722</v>
      </c>
      <c r="AC84" s="215">
        <f>IF(AND(ISNUMBER(AC114),ISNUMBER(AC108)),IFERROR(AC114/AC108,""),"")</f>
        <v>0.165231174013176</v>
      </c>
      <c r="AD84" s="215">
        <f>IF(AND(ISNUMBER(AD114),ISNUMBER(AD108)),IFERROR(AD114/AD108,""),"")</f>
        <v>0.166879071542706</v>
      </c>
      <c r="AE84" s="215">
        <f>IF(AND(ISNUMBER(AE114),ISNUMBER(AE108)),IFERROR(AE114/AE108,""),"")</f>
        <v>0.163619001838343</v>
      </c>
      <c r="AF84" s="215">
        <f>IF(AND(ISNUMBER(AF114),ISNUMBER(AF108)),IFERROR(AF114/AF108,""),"")</f>
        <v>0.175321841588479</v>
      </c>
      <c r="AG84" s="215">
        <f>IF(AND(ISNUMBER(AG114),ISNUMBER(AG108)),IFERROR(AG114/AG108,""),"")</f>
        <v>0.163697646838524</v>
      </c>
      <c r="AH84" s="215">
        <f>IF(AND(ISNUMBER(AH114),ISNUMBER(AH108)),IFERROR(AH114/AH108,""),"")</f>
        <v>0.167247330139684</v>
      </c>
      <c r="AI84" s="215">
        <f>IF(AND(ISNUMBER(AI114),ISNUMBER(AI108)),IFERROR(AI114/AI108,""),"")</f>
        <v>0.169484493309823</v>
      </c>
      <c r="AJ84" s="215">
        <f>IF(AND(ISNUMBER(AJ114),ISNUMBER(AJ108)),IFERROR(AJ114/AJ108,""),"")</f>
        <v>0.167937584060079</v>
      </c>
      <c r="AK84" s="215">
        <f>IF(AND(ISNUMBER(AK114),ISNUMBER(AK108)),IFERROR(AK114/AK108,""),"")</f>
        <v>0.168778242577521</v>
      </c>
      <c r="AL84" s="215">
        <f>IF(AND(ISNUMBER(AL114),ISNUMBER(AL108)),IFERROR(AL114/AL108,""),"")</f>
        <v>0.164495738754816</v>
      </c>
      <c r="AM84" s="215">
        <f>IF(AND(ISNUMBER(AM114),ISNUMBER(AM108)),IFERROR(AM114/AM108,""),"")</f>
        <v>0.167603774507407</v>
      </c>
      <c r="AN84" s="215">
        <f>IF(AND(ISNUMBER(AN114),ISNUMBER(AN108)),IFERROR(AN114/AN108,""),"")</f>
        <v>0.168054095519504</v>
      </c>
      <c r="AO84" s="215">
        <f>IF(AND(ISNUMBER(AO114),ISNUMBER(AO108)),IFERROR(AO114/AO108,""),"")</f>
        <v>0.169596798445488</v>
      </c>
      <c r="AP84" s="215">
        <f>IF(AND(ISNUMBER(AP114),ISNUMBER(AP108)),IFERROR(AP114/AP108,""),"")</f>
        <v>0.169970779163969</v>
      </c>
      <c r="AQ84" s="215">
        <f>IF(AND(ISNUMBER(AQ114),ISNUMBER(AQ108)),IFERROR(AQ114/AQ108,""),"")</f>
        <v>0.161729669195551</v>
      </c>
      <c r="AR84" s="215">
        <f>IF(AND(ISNUMBER(AR114),ISNUMBER(AR108)),IFERROR(AR114/AR108,""),"")</f>
        <v>0.167261670908563</v>
      </c>
      <c r="AS84" s="215">
        <f>IF(AND(ISNUMBER(AS114),ISNUMBER(AS108)),IFERROR(AS114/AS108,""),"")</f>
        <v>0.1646888171219</v>
      </c>
      <c r="AT84" s="215">
        <f>IF(AND(ISNUMBER(AT114),ISNUMBER(AT108)),IFERROR(AT114/AT108,""),"")</f>
        <v>0.169172498337081</v>
      </c>
      <c r="AU84" s="215">
        <f>IF(AND(ISNUMBER(AU114),ISNUMBER(AU108)),IFERROR(AU114/AU108,""),"")</f>
        <v>0.173535044260786</v>
      </c>
      <c r="AV84" s="215">
        <f>IF(AND(ISNUMBER(AV114),ISNUMBER(AV108)),IFERROR(AV114/AV108,""),"")</f>
        <v>0.166726753227186</v>
      </c>
      <c r="AW84" s="215">
        <f>IF(AND(ISNUMBER(AW114),ISNUMBER(AW108)),IFERROR(AW114/AW108,""),"")</f>
        <v>0.168483258896353</v>
      </c>
      <c r="AX84" s="215">
        <f>IF(AND(ISNUMBER(AX114),ISNUMBER(AX108)),IFERROR(AX114/AX108,""),"")</f>
        <v>0.171438978101257</v>
      </c>
      <c r="AY84" s="215">
        <f>IF(AND(ISNUMBER(AY114),ISNUMBER(AY108)),IFERROR(AY114/AY108,""),"")</f>
        <v>0.177831687566201</v>
      </c>
      <c r="AZ84" s="215">
        <f>IF(AND(ISNUMBER(AZ114),ISNUMBER(AZ108)),IFERROR(AZ114/AZ108,""),"")</f>
        <v>0.176462522538581</v>
      </c>
      <c r="BA84" s="215">
        <f>IF(AND(ISNUMBER(BA114),ISNUMBER(BA108)),IFERROR(BA114/BA108,""),"")</f>
        <v>0.170990985370723</v>
      </c>
      <c r="BB84" s="215">
        <f>IF(AND(ISNUMBER(BB114),ISNUMBER(BB108)),IFERROR(BB114/BB108,""),"")</f>
        <v>0.174060402243737</v>
      </c>
      <c r="BC84" s="215">
        <f>IF(AND(ISNUMBER(BC114),ISNUMBER(BC108)),IFERROR(BC114/BC108,""),"")</f>
        <v>0.190787746871099</v>
      </c>
      <c r="BD84" s="215">
        <f>IF(AND(ISNUMBER(BD114),ISNUMBER(BD108)),IFERROR(BD114/BD108,""),"")</f>
        <v>0.184425108763207</v>
      </c>
      <c r="BE84" s="215">
        <f>IF(AND(ISNUMBER(BE114),ISNUMBER(BE108)),IFERROR(BE114/BE108,""),"")</f>
        <v>0.161811255164767</v>
      </c>
      <c r="BF84" s="215">
        <f>IF(AND(ISNUMBER(BF114),ISNUMBER(BF108)),IFERROR(BF114/BF108,""),"")</f>
        <v>0.155935566026432</v>
      </c>
      <c r="BG84" s="215">
        <f>IF(AND(ISNUMBER(BG114),ISNUMBER(BG108)),IFERROR(BG114/BG108,""),"")</f>
        <v>0.168233932913864</v>
      </c>
      <c r="BH84" s="215">
        <f>IF(AND(ISNUMBER(BH114),ISNUMBER(BH108)),IFERROR(BH114/BH108,""),"")</f>
        <v>0.157670582919114</v>
      </c>
      <c r="BI84" s="215">
        <f>IF(AND(ISNUMBER(BI114),ISNUMBER(BI108)),IFERROR(BI114/BI108,""),"")</f>
        <v>0.155807534259563</v>
      </c>
      <c r="BJ84" s="215">
        <f>IF(AND(ISNUMBER(BJ114),ISNUMBER(BJ108)),IFERROR(BJ114/BJ108,""),"")</f>
        <v>0.161484536082474</v>
      </c>
      <c r="BK84" s="215">
        <f>IF(AND(ISNUMBER(BK114),ISNUMBER(BK108)),IFERROR(BK114/BK108,""),"")</f>
        <v>0.151008310895437</v>
      </c>
      <c r="BL84" s="215">
        <f>IF(AND(ISNUMBER(BL114),ISNUMBER(BL108)),IFERROR(BL114/BL108,""),"")</f>
        <v>0.156332947662152</v>
      </c>
      <c r="BM84" s="215">
        <f>IF(AND(ISNUMBER(BM114),ISNUMBER(BM108)),IFERROR(BM114/BM108,""),"")</f>
        <v>0.167061029856221</v>
      </c>
      <c r="BN84" s="215">
        <f>IF(AND(ISNUMBER(BN114),ISNUMBER(BN108)),IFERROR(BN114/BN108,""),"")</f>
        <v>0.157065347068771</v>
      </c>
      <c r="BO84" s="215">
        <f>IF(AND(ISNUMBER(BO114),ISNUMBER(BO108)),IFERROR(BO114/BO108,""),"")</f>
        <v>0.170885195744385</v>
      </c>
      <c r="BP84" s="215">
        <f>IF(AND(ISNUMBER(BP114),ISNUMBER(BP108)),IFERROR(BP114/BP108,""),"")</f>
        <v>0.155697640688455</v>
      </c>
      <c r="BQ84" s="215">
        <f>IF(AND(ISNUMBER(BQ114),ISNUMBER(BQ108)),IFERROR(BQ114/BQ108,""),"")</f>
        <v>0.16246875600846</v>
      </c>
      <c r="BR84" s="215">
        <f>IF(AND(ISNUMBER(BR114),ISNUMBER(BR108)),IFERROR(BR114/BR108,""),"")</f>
        <v>0.166379522520305</v>
      </c>
      <c r="BS84" s="215">
        <f>IF(AND(ISNUMBER(BS114),ISNUMBER(BS108)),IFERROR(BS114/BS108,""),"")</f>
        <v>0.174667001759236</v>
      </c>
      <c r="BT84" s="215">
        <f>IF(AND(ISNUMBER(BT114),ISNUMBER(BT108)),IFERROR(BT114/BT108,""),"")</f>
        <v>0.177738336713996</v>
      </c>
      <c r="BU84" s="215">
        <f>IF(AND(ISNUMBER(BU114),ISNUMBER(BU108)),IFERROR(BU114/BU108,""),"")</f>
        <v>0.164724697281243</v>
      </c>
      <c r="BV84" s="215">
        <f>IF(AND(ISNUMBER(BV114),ISNUMBER(BV108)),IFERROR(BV114/BV108,""),"")</f>
        <v>0.170689971276661</v>
      </c>
      <c r="BW84" s="215">
        <f>IF(AND(ISNUMBER(BW114),ISNUMBER(BW108)),IFERROR(BW114/BW108,""),"")</f>
        <v>0.169495412844037</v>
      </c>
      <c r="BX84" s="215">
        <f>IF(AND(ISNUMBER(BX114),ISNUMBER(BX108)),IFERROR(BX114/BX108,""),"")</f>
        <v>0.169997803645948</v>
      </c>
      <c r="BY84" s="215">
        <f>IF(AND(ISNUMBER(BY114),ISNUMBER(BY108)),IFERROR(BY114/BY108,""),"")</f>
        <v>0.168760831889081</v>
      </c>
      <c r="BZ84" s="215">
        <f>IF(AND(ISNUMBER(BZ114),ISNUMBER(BZ108)),IFERROR(BZ114/BZ108,""),"")</f>
        <v>0.167760617760618</v>
      </c>
      <c r="CA84" s="215">
        <f>IF(AND(ISNUMBER(CA114),ISNUMBER(CA108)),IFERROR(CA114/CA108,""),"")</f>
        <v>0.168956117376664</v>
      </c>
      <c r="CB84" s="215">
        <f>IF(AND(ISNUMBER(CB114),ISNUMBER(CB108)),IFERROR(CB114/CB108,""),"")</f>
        <v>0.165158806544755</v>
      </c>
      <c r="CC84" s="256">
        <f>CC80</f>
        <v>0.16625</v>
      </c>
      <c r="CD84" s="256">
        <f>BY84+(CC84-BX84)</f>
        <v>0.165013028243134</v>
      </c>
      <c r="CE84" s="256">
        <f>BZ84+(CC84-BX84)</f>
        <v>0.16401281411467</v>
      </c>
      <c r="CF84" s="256">
        <f>IF(AND(ISNUMBER(CF114),ISNUMBER(CF108)),IFERROR(CF114/CF108,""),"")</f>
        <v>0.165054673423667</v>
      </c>
      <c r="CG84" s="256">
        <f>CHOOSE(MATCH($CL$2,{"Bull","Base","Bear"},0),$CU$51,$CV$51,$CW$51)</f>
        <v>0.163</v>
      </c>
      <c r="CH84" s="256">
        <f>CHOOSE(MATCH($CL$2,{"Bull","Base","Bear"},0),$CU$52,$CV$52,$CW$52)</f>
        <v>0.162</v>
      </c>
      <c r="CI84" s="256">
        <f>CHOOSE(MATCH($CL$2,{"Bull","Base","Bear"},0),$CU$53,$CV$53,$CW$53)</f>
        <v>0.161</v>
      </c>
      <c r="CJ84" s="256">
        <f>CHOOSE(MATCH($CL$2,{"Bull","Base","Bear"},0),$CU$54,$CV$54,$CW$54)</f>
        <v>0.16</v>
      </c>
      <c r="CK84" s="256">
        <f>CHOOSE(MATCH($CL$2,{"Bull","Base","Bear"},0),$CU$55,$CV$55,$CW$55)</f>
        <v>0.16</v>
      </c>
      <c r="CL84" s="153" t="inlineStr">
        <is>
          <t>Q2/27E: guided ratio (scenario end-point). Q3–Q4/27E: prior-year quarter ratio + the Q2 guided change vs Q2 FY26. FY2028E+: scenario lever.</t>
        </is>
      </c>
      <c r="CN84" s="37">
        <f>IFERROR(AVERAGE(CG84,CH84,CI84,CJ84,CK84),"n/m")</f>
        <v>0.1612</v>
      </c>
      <c r="CO84" s="37">
        <f>IFERROR(AVERAGE(BG84,BL84,BQ84,BV84,CA84),"n/m")</f>
        <v>0.16533634504756</v>
      </c>
      <c r="CP84" s="37">
        <f>IFERROR(AVERAGE(AH84,AM84,AR84,AW84,BB84,BG84,BL84,BQ84,BV84,CA84),"n/m")</f>
        <v>0.167133816193355</v>
      </c>
      <c r="CQ84" s="37">
        <f>IFERROR(AVERAGE(C84,D84,E84,F84,G84,H84,I84,N84,S84,X84,AC84,AH84,AM84,AR84,AW84,BB84,BG84,BL84,BQ84,BV84,CA84),"n/m")</f>
        <v>0.162915870195389</v>
      </c>
    </row>
    <row r="85" ht="15" customHeight="1" s="251">
      <c r="B85" s="25" t="inlineStr">
        <is>
          <t xml:space="preserve">  Depreciation &amp; amortization (total; cash-flow statement)</t>
        </is>
      </c>
      <c r="C85" s="259" t="n">
        <v>9.331</v>
      </c>
      <c r="D85" s="259" t="n">
        <v>9.646000000000001</v>
      </c>
      <c r="E85" s="259" t="n">
        <v>10.465</v>
      </c>
      <c r="F85" s="259" t="n">
        <v>12.16</v>
      </c>
      <c r="G85" s="259" t="n">
        <v>11.83</v>
      </c>
      <c r="H85" s="259" t="n">
        <v>12.971</v>
      </c>
      <c r="I85" s="259" t="n">
        <v>14.19</v>
      </c>
      <c r="J85" s="259" t="n">
        <v>3.683</v>
      </c>
      <c r="K85" s="259" t="n">
        <v>3.693</v>
      </c>
      <c r="L85" s="259" t="n">
        <v>3.698</v>
      </c>
      <c r="M85" s="259" t="n">
        <v>3.645</v>
      </c>
      <c r="N85" s="259" t="n">
        <v>14.719</v>
      </c>
      <c r="O85" s="259" t="n">
        <v>3.735</v>
      </c>
      <c r="P85" s="259" t="n">
        <v>3.855</v>
      </c>
      <c r="Q85" s="259" t="n">
        <v>3.718</v>
      </c>
      <c r="R85" s="259" t="n">
        <v>3.679</v>
      </c>
      <c r="S85" s="259" t="n">
        <v>14.987</v>
      </c>
      <c r="T85" s="259" t="n">
        <v>4.058</v>
      </c>
      <c r="U85" s="259" t="n">
        <v>4.009</v>
      </c>
      <c r="V85" s="259" t="n">
        <v>3.778</v>
      </c>
      <c r="W85" s="259" t="n">
        <v>3.2</v>
      </c>
      <c r="X85" s="259" t="n">
        <v>15.045</v>
      </c>
      <c r="Y85" s="259" t="n">
        <v>5.663</v>
      </c>
      <c r="Z85" s="259" t="n">
        <v>6.809</v>
      </c>
      <c r="AA85" s="259" t="n">
        <v>6.698</v>
      </c>
      <c r="AB85" s="259" t="n">
        <v>6.637</v>
      </c>
      <c r="AC85" s="259" t="n">
        <v>25.807</v>
      </c>
      <c r="AD85" s="259" t="n">
        <v>6.74</v>
      </c>
      <c r="AE85" s="259" t="n">
        <v>6.959</v>
      </c>
      <c r="AF85" s="259" t="n">
        <v>6.779</v>
      </c>
      <c r="AG85" s="259" t="n">
        <v>6.894</v>
      </c>
      <c r="AH85" s="259" t="n">
        <v>27.372</v>
      </c>
      <c r="AI85" s="259" t="n">
        <v>7.098</v>
      </c>
      <c r="AJ85" s="259" t="n">
        <v>7.14</v>
      </c>
      <c r="AK85" s="259" t="n">
        <v>6.958</v>
      </c>
      <c r="AL85" s="259" t="n">
        <v>7.164</v>
      </c>
      <c r="AM85" s="259" t="n">
        <v>28.36</v>
      </c>
      <c r="AN85" s="259" t="n">
        <v>7.313</v>
      </c>
      <c r="AO85" s="259" t="n">
        <v>7.639</v>
      </c>
      <c r="AP85" s="259" t="n">
        <v>7.31</v>
      </c>
      <c r="AQ85" s="259" t="n">
        <v>7.396</v>
      </c>
      <c r="AR85" s="259" t="n">
        <v>29.658</v>
      </c>
      <c r="AS85" s="259" t="n">
        <v>7.52</v>
      </c>
      <c r="AT85" s="259" t="n">
        <v>7.802</v>
      </c>
      <c r="AU85" s="259" t="n">
        <v>7.953</v>
      </c>
      <c r="AV85" s="259" t="n">
        <v>8.145</v>
      </c>
      <c r="AW85" s="259" t="n">
        <v>31.42</v>
      </c>
      <c r="AX85" s="259" t="n">
        <v>8.396000000000001</v>
      </c>
      <c r="AY85" s="259" t="n">
        <v>8.436999999999999</v>
      </c>
      <c r="AZ85" s="259" t="n">
        <v>7.979</v>
      </c>
      <c r="BA85" s="259" t="n">
        <v>7.932</v>
      </c>
      <c r="BB85" s="259" t="n">
        <v>32.744</v>
      </c>
      <c r="BC85" s="259" t="n">
        <v>8.212</v>
      </c>
      <c r="BD85" s="259" t="n">
        <v>8.645</v>
      </c>
      <c r="BE85" s="259" t="n">
        <v>20.498</v>
      </c>
      <c r="BF85" s="259" t="n">
        <v>28.177</v>
      </c>
      <c r="BG85" s="259" t="n">
        <v>65.532</v>
      </c>
      <c r="BH85" s="259" t="n">
        <v>28.642</v>
      </c>
      <c r="BI85" s="259" t="n">
        <v>28.426</v>
      </c>
      <c r="BJ85" s="259" t="n">
        <v>28.743</v>
      </c>
      <c r="BK85" s="259" t="n">
        <v>29.589</v>
      </c>
      <c r="BL85" s="259" t="n">
        <v>115.4</v>
      </c>
      <c r="BM85" s="259" t="n">
        <v>29.7</v>
      </c>
      <c r="BN85" s="259" t="n">
        <v>30</v>
      </c>
      <c r="BO85" s="259" t="n">
        <v>29.9</v>
      </c>
      <c r="BP85" s="259" t="n">
        <v>29.7</v>
      </c>
      <c r="BQ85" s="259" t="n">
        <v>119.3</v>
      </c>
      <c r="BR85" s="259" t="n">
        <v>30</v>
      </c>
      <c r="BS85" s="259" t="n">
        <v>30.2</v>
      </c>
      <c r="BT85" s="259" t="n">
        <v>29.7</v>
      </c>
      <c r="BU85" s="259" t="n">
        <v>30.1</v>
      </c>
      <c r="BV85" s="259" t="n">
        <v>120</v>
      </c>
      <c r="BW85" s="259" t="n">
        <v>29.6</v>
      </c>
      <c r="BX85" s="259" t="n">
        <v>32.9</v>
      </c>
      <c r="BY85" s="259" t="n">
        <v>32.9</v>
      </c>
      <c r="BZ85" s="259" t="n">
        <v>33.4</v>
      </c>
      <c r="CA85" s="259" t="n">
        <v>128.8</v>
      </c>
      <c r="CB85" s="259" t="n">
        <v>33.3</v>
      </c>
      <c r="CC85" s="261">
        <f>CC89+CC86</f>
        <v>32.8916419634264</v>
      </c>
      <c r="CD85" s="261">
        <f>CD89+CD86</f>
        <v>32.9180500939567</v>
      </c>
      <c r="CE85" s="261">
        <f>CE89+CE86</f>
        <v>35.9099465459843</v>
      </c>
      <c r="CF85" s="261">
        <f>SUM(CB85:CE85)</f>
        <v>135.019638603367</v>
      </c>
      <c r="CG85" s="261">
        <f>CG89+CG86</f>
        <v>146.132699446449</v>
      </c>
      <c r="CH85" s="261">
        <f>CH89+CH86</f>
        <v>159.192398009467</v>
      </c>
      <c r="CI85" s="261">
        <f>CI89+CI86</f>
        <v>169.220482001328</v>
      </c>
      <c r="CJ85" s="261">
        <f>CJ89+CJ86</f>
        <v>181.356922746103</v>
      </c>
      <c r="CK85" s="261">
        <f>CK89+CK86</f>
        <v>196.830445999916</v>
      </c>
      <c r="CL85" s="19" t="inlineStr">
        <is>
          <t>History: cash-flow statement (discrete quarters derived from year to date).</t>
        </is>
      </c>
      <c r="CN85" s="20">
        <f>IFERROR((CK85/CF85)^(1/5)-1,"n/m")</f>
        <v>0.0782986638604528</v>
      </c>
      <c r="CO85" s="20">
        <f>IFERROR((CA85/BB85)^(1/5)-1,"n/m")</f>
        <v>0.315094090651206</v>
      </c>
      <c r="CP85" s="20">
        <f>IFERROR((CA85/AC85)^(1/10)-1,"n/m")</f>
        <v>0.1744048446369</v>
      </c>
      <c r="CQ85" s="20">
        <f>IFERROR((CA85/C85)^(1/20)-1,"n/m")</f>
        <v>0.14024816939993</v>
      </c>
    </row>
    <row r="86" ht="15" customHeight="1" s="251">
      <c r="B86" s="25" t="inlineStr">
        <is>
          <t xml:space="preserve">  M&amp;A-related amortization of intangibles (adjusted EPS add-back; FY2023+ as published)</t>
        </is>
      </c>
      <c r="C86" s="34" t="n"/>
      <c r="D86" s="34" t="n"/>
      <c r="E86" s="34" t="n"/>
      <c r="F86" s="34" t="n"/>
      <c r="G86" s="34" t="n"/>
      <c r="H86" s="34" t="n"/>
      <c r="I86" s="34" t="n"/>
      <c r="J86" s="34" t="n"/>
      <c r="K86" s="34" t="n"/>
      <c r="L86" s="34" t="n"/>
      <c r="M86" s="34" t="n"/>
      <c r="N86" s="34" t="n"/>
      <c r="O86" s="34" t="n"/>
      <c r="P86" s="34" t="n"/>
      <c r="Q86" s="34" t="n"/>
      <c r="R86" s="34" t="n"/>
      <c r="S86" s="34" t="n"/>
      <c r="T86" s="34" t="n"/>
      <c r="U86" s="34" t="n"/>
      <c r="V86" s="34" t="n"/>
      <c r="W86" s="34" t="n"/>
      <c r="X86" s="34" t="n"/>
      <c r="Y86" s="34" t="n"/>
      <c r="Z86" s="34" t="n"/>
      <c r="AA86" s="34" t="n"/>
      <c r="AB86" s="34" t="n"/>
      <c r="AC86" s="34" t="n"/>
      <c r="AD86" s="34" t="n"/>
      <c r="AE86" s="34" t="n"/>
      <c r="AF86" s="34" t="n"/>
      <c r="AG86" s="34" t="n"/>
      <c r="AH86" s="34" t="n"/>
      <c r="AI86" s="34" t="n"/>
      <c r="AJ86" s="34" t="n"/>
      <c r="AK86" s="34" t="n"/>
      <c r="AL86" s="34" t="n"/>
      <c r="AM86" s="34" t="n"/>
      <c r="AN86" s="34" t="n"/>
      <c r="AO86" s="34" t="n"/>
      <c r="AP86" s="34" t="n"/>
      <c r="AQ86" s="34" t="n"/>
      <c r="AR86" s="34" t="n"/>
      <c r="AS86" s="34" t="n"/>
      <c r="AT86" s="34" t="n"/>
      <c r="AU86" s="34" t="n"/>
      <c r="AV86" s="34" t="n"/>
      <c r="AW86" s="34" t="n"/>
      <c r="AX86" s="34" t="n"/>
      <c r="AY86" s="34" t="n"/>
      <c r="AZ86" s="34" t="n"/>
      <c r="BA86" s="34" t="n"/>
      <c r="BB86" s="34" t="n"/>
      <c r="BC86" s="34" t="n"/>
      <c r="BD86" s="34" t="n"/>
      <c r="BE86" s="34" t="n"/>
      <c r="BF86" s="34" t="n"/>
      <c r="BG86" s="34" t="n"/>
      <c r="BH86" s="34" t="n"/>
      <c r="BI86" s="259" t="n">
        <v>16.145</v>
      </c>
      <c r="BJ86" s="259" t="n">
        <v>16.276</v>
      </c>
      <c r="BK86" s="259" t="n">
        <v>16.278</v>
      </c>
      <c r="BL86" s="259" t="n">
        <v>65.11</v>
      </c>
      <c r="BM86" s="259" t="n">
        <v>16.258</v>
      </c>
      <c r="BN86" s="259" t="n">
        <v>16.347</v>
      </c>
      <c r="BO86" s="259" t="n">
        <v>16.463</v>
      </c>
      <c r="BP86" s="259" t="n">
        <v>16.409</v>
      </c>
      <c r="BQ86" s="259" t="n">
        <v>65.477</v>
      </c>
      <c r="BR86" s="259" t="n">
        <v>16.4</v>
      </c>
      <c r="BS86" s="259" t="n">
        <v>16.4</v>
      </c>
      <c r="BT86" s="259" t="n">
        <v>16.4</v>
      </c>
      <c r="BU86" s="259" t="n">
        <v>16.4</v>
      </c>
      <c r="BV86" s="259" t="n">
        <v>65.59999999999999</v>
      </c>
      <c r="BW86" s="259" t="n">
        <v>16.2</v>
      </c>
      <c r="BX86" s="259" t="n">
        <v>18.3</v>
      </c>
      <c r="BY86" s="259" t="n">
        <v>19.7</v>
      </c>
      <c r="BZ86" s="259" t="n">
        <v>19.5</v>
      </c>
      <c r="CA86" s="259" t="n">
        <v>73.7</v>
      </c>
      <c r="CB86" s="259" t="n">
        <v>19.5</v>
      </c>
      <c r="CC86" s="261">
        <f>CC87*CC88</f>
        <v>19.344</v>
      </c>
      <c r="CD86" s="261">
        <f>CD87*CD88</f>
        <v>19.344</v>
      </c>
      <c r="CE86" s="261">
        <f>CE87*CE88</f>
        <v>19.53</v>
      </c>
      <c r="CF86" s="261">
        <f>SUM(CB86:CE86)</f>
        <v>77.718</v>
      </c>
      <c r="CG86" s="261">
        <f>CG87*CG88+N(CG62)</f>
        <v>79.359</v>
      </c>
      <c r="CH86" s="261">
        <f>CH87*CH88+N(CH62)</f>
        <v>84.534</v>
      </c>
      <c r="CI86" s="261">
        <f>CI87*CI88+N(CI62)</f>
        <v>86.64</v>
      </c>
      <c r="CJ86" s="261">
        <f>CJ87*CJ88+N(CJ62)</f>
        <v>90.699</v>
      </c>
      <c r="CK86" s="261">
        <f>CK87*CK88+N(CK62)</f>
        <v>98.199</v>
      </c>
      <c r="CL86" s="19" t="inlineStr">
        <is>
          <t>Forecast: intangible-amortization schedule (10-Q) × M&amp;A-related share + future-acquisition amortization.</t>
        </is>
      </c>
      <c r="CN86" s="20">
        <f>IFERROR((CK86/CF86)^(1/5)-1,"n/m")</f>
        <v>0.0478933634060799</v>
      </c>
      <c r="CO86" s="20" t="str">
        <f>IFERROR((CA86/BB86)^(1/5)-1,"n/m")</f>
        <v>n/m</v>
      </c>
      <c r="CP86" s="20" t="str">
        <f>IFERROR((CA86/AC86)^(1/10)-1,"n/m")</f>
        <v>n/m</v>
      </c>
      <c r="CQ86" s="20" t="str">
        <f>IFERROR((CA86/C86)^(1/20)-1,"n/m")</f>
        <v>n/m</v>
      </c>
    </row>
    <row r="87" ht="15" customHeight="1" s="251">
      <c r="B87" s="25" t="inlineStr">
        <is>
          <t xml:space="preserve">  Amortization schedule — intangibles held at 27-Jun-2026 (10-Q, input)</t>
        </is>
      </c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  <c r="AP87" s="36" t="n"/>
      <c r="AQ87" s="36" t="n"/>
      <c r="AR87" s="36" t="n"/>
      <c r="AS87" s="36" t="n"/>
      <c r="AT87" s="36" t="n"/>
      <c r="AU87" s="36" t="n"/>
      <c r="AV87" s="36" t="n"/>
      <c r="AW87" s="36" t="n"/>
      <c r="AX87" s="36" t="n"/>
      <c r="AY87" s="36" t="n"/>
      <c r="AZ87" s="36" t="n"/>
      <c r="BA87" s="36" t="n"/>
      <c r="BB87" s="36" t="n"/>
      <c r="BC87" s="36" t="n"/>
      <c r="BD87" s="36" t="n"/>
      <c r="BE87" s="36" t="n"/>
      <c r="BF87" s="36" t="n"/>
      <c r="BG87" s="36" t="n"/>
      <c r="BH87" s="36" t="n"/>
      <c r="BI87" s="36" t="n"/>
      <c r="BJ87" s="36" t="n"/>
      <c r="BK87" s="36" t="n"/>
      <c r="BL87" s="36" t="n"/>
      <c r="BM87" s="36" t="n"/>
      <c r="BN87" s="36" t="n"/>
      <c r="BO87" s="36" t="n"/>
      <c r="BP87" s="36" t="n"/>
      <c r="BQ87" s="36" t="n"/>
      <c r="BR87" s="36" t="n"/>
      <c r="BS87" s="36" t="n"/>
      <c r="BT87" s="36" t="n"/>
      <c r="BU87" s="36" t="n"/>
      <c r="BV87" s="36" t="n"/>
      <c r="BW87" s="36" t="n"/>
      <c r="BX87" s="36" t="n"/>
      <c r="BY87" s="36" t="n"/>
      <c r="BZ87" s="36" t="n"/>
      <c r="CA87" s="36" t="n"/>
      <c r="CB87" s="36" t="n"/>
      <c r="CC87" s="260" t="n">
        <v>20.8</v>
      </c>
      <c r="CD87" s="260" t="n">
        <v>20.8</v>
      </c>
      <c r="CE87" s="260" t="n">
        <v>21</v>
      </c>
      <c r="CF87" s="24" t="n"/>
      <c r="CG87" s="260" t="n">
        <v>81.3</v>
      </c>
      <c r="CH87" s="260" t="n">
        <v>78.8</v>
      </c>
      <c r="CI87" s="260" t="n">
        <v>73</v>
      </c>
      <c r="CJ87" s="260" t="n">
        <v>69.3</v>
      </c>
      <c r="CK87" s="260" t="n">
        <v>69.3</v>
      </c>
      <c r="CL87" s="19" t="inlineStr">
        <is>
          <t>Q1 FY27 10-Q Note 8 (estimated amortization expense of intangible assets held at 27-Jun-2026): remainder of FY2027 $62.6m (split $20.8m / $20.8m / $21.0m), FY2028 $81.3m, FY2029 $78.8m, FY2030 $73.0m, FY2031 $69.3m, FY2032 $69.3m.</t>
        </is>
      </c>
    </row>
    <row r="88" collapsed="1" ht="15" customHeight="1" s="251">
      <c r="B88" s="25" t="inlineStr">
        <is>
          <t xml:space="preserve">  M&amp;A-related share of the amortization schedule %</t>
        </is>
      </c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  <c r="AP88" s="36" t="n"/>
      <c r="AQ88" s="36" t="n"/>
      <c r="AR88" s="36" t="n"/>
      <c r="AS88" s="36" t="n"/>
      <c r="AT88" s="36" t="n"/>
      <c r="AU88" s="36" t="n"/>
      <c r="AV88" s="36" t="n"/>
      <c r="AW88" s="36" t="n"/>
      <c r="AX88" s="36" t="n"/>
      <c r="AY88" s="36" t="n"/>
      <c r="AZ88" s="36" t="n"/>
      <c r="BA88" s="36" t="n"/>
      <c r="BB88" s="36" t="n"/>
      <c r="BC88" s="36" t="n"/>
      <c r="BD88" s="36" t="n"/>
      <c r="BE88" s="36" t="n"/>
      <c r="BF88" s="36" t="n"/>
      <c r="BG88" s="36" t="n"/>
      <c r="BH88" s="36" t="n"/>
      <c r="BI88" s="36" t="n"/>
      <c r="BJ88" s="36" t="n"/>
      <c r="BK88" s="36" t="n"/>
      <c r="BL88" s="36" t="n"/>
      <c r="BM88" s="36" t="n"/>
      <c r="BN88" s="36" t="n"/>
      <c r="BO88" s="36" t="n"/>
      <c r="BP88" s="36" t="n"/>
      <c r="BQ88" s="36" t="n"/>
      <c r="BR88" s="36" t="n"/>
      <c r="BS88" s="36" t="n"/>
      <c r="BT88" s="36" t="n"/>
      <c r="BU88" s="36" t="n"/>
      <c r="BV88" s="36" t="n"/>
      <c r="BW88" s="36" t="n"/>
      <c r="BX88" s="36" t="n"/>
      <c r="BY88" s="36" t="n"/>
      <c r="BZ88" s="36" t="n"/>
      <c r="CA88" s="36" t="n"/>
      <c r="CB88" s="36" t="n"/>
      <c r="CC88" s="267" t="n">
        <v>0.93</v>
      </c>
      <c r="CD88" s="267" t="n">
        <v>0.93</v>
      </c>
      <c r="CE88" s="267" t="n">
        <v>0.93</v>
      </c>
      <c r="CF88" s="24" t="n"/>
      <c r="CG88" s="267" t="n">
        <v>0.93</v>
      </c>
      <c r="CH88" s="267" t="n">
        <v>0.93</v>
      </c>
      <c r="CI88" s="267" t="n">
        <v>0.93</v>
      </c>
      <c r="CJ88" s="267" t="n">
        <v>0.93</v>
      </c>
      <c r="CK88" s="267" t="n">
        <v>0.93</v>
      </c>
      <c r="CL88" s="19" t="inlineStr">
        <is>
          <t>Q1 FY27: M&amp;A-related amortization $19.5m of $21.0m total amortization of intangible assets (release text); the rest is mainly software.</t>
        </is>
      </c>
    </row>
    <row r="89" ht="15" customHeight="1" s="251">
      <c r="B89" s="25" t="inlineStr">
        <is>
          <t xml:space="preserve">  D&amp;A excluding M&amp;A-related amortization (depreciation + other amortization)</t>
        </is>
      </c>
      <c r="C89" s="264">
        <f>IF(AND(ISNUMBER(C86),ISNUMBER(C85)),C85-C86,"")</f>
      </c>
      <c r="D89" s="264">
        <f>IF(AND(ISNUMBER(D86),ISNUMBER(D85)),D85-D86,"")</f>
      </c>
      <c r="E89" s="264">
        <f>IF(AND(ISNUMBER(E86),ISNUMBER(E85)),E85-E86,"")</f>
      </c>
      <c r="F89" s="264">
        <f>IF(AND(ISNUMBER(F86),ISNUMBER(F85)),F85-F86,"")</f>
      </c>
      <c r="G89" s="264">
        <f>IF(AND(ISNUMBER(G86),ISNUMBER(G85)),G85-G86,"")</f>
      </c>
      <c r="H89" s="264">
        <f>IF(AND(ISNUMBER(H86),ISNUMBER(H85)),H85-H86,"")</f>
      </c>
      <c r="I89" s="264">
        <f>IF(AND(ISNUMBER(I86),ISNUMBER(I85)),I85-I86,"")</f>
      </c>
      <c r="J89" s="264">
        <f>IF(AND(ISNUMBER(J86),ISNUMBER(J85)),J85-J86,"")</f>
      </c>
      <c r="K89" s="264">
        <f>IF(AND(ISNUMBER(K86),ISNUMBER(K85)),K85-K86,"")</f>
      </c>
      <c r="L89" s="264">
        <f>IF(AND(ISNUMBER(L86),ISNUMBER(L85)),L85-L86,"")</f>
      </c>
      <c r="M89" s="264">
        <f>IF(AND(ISNUMBER(M86),ISNUMBER(M85)),M85-M86,"")</f>
      </c>
      <c r="N89" s="264">
        <f>IF(AND(ISNUMBER(N86),ISNUMBER(N85)),N85-N86,"")</f>
      </c>
      <c r="O89" s="264">
        <f>IF(AND(ISNUMBER(O86),ISNUMBER(O85)),O85-O86,"")</f>
      </c>
      <c r="P89" s="264">
        <f>IF(AND(ISNUMBER(P86),ISNUMBER(P85)),P85-P86,"")</f>
      </c>
      <c r="Q89" s="264">
        <f>IF(AND(ISNUMBER(Q86),ISNUMBER(Q85)),Q85-Q86,"")</f>
      </c>
      <c r="R89" s="264">
        <f>IF(AND(ISNUMBER(R86),ISNUMBER(R85)),R85-R86,"")</f>
      </c>
      <c r="S89" s="264">
        <f>IF(AND(ISNUMBER(S86),ISNUMBER(S85)),S85-S86,"")</f>
      </c>
      <c r="T89" s="264">
        <f>IF(AND(ISNUMBER(T86),ISNUMBER(T85)),T85-T86,"")</f>
      </c>
      <c r="U89" s="264">
        <f>IF(AND(ISNUMBER(U86),ISNUMBER(U85)),U85-U86,"")</f>
      </c>
      <c r="V89" s="264">
        <f>IF(AND(ISNUMBER(V86),ISNUMBER(V85)),V85-V86,"")</f>
      </c>
      <c r="W89" s="264">
        <f>IF(AND(ISNUMBER(W86),ISNUMBER(W85)),W85-W86,"")</f>
      </c>
      <c r="X89" s="264">
        <f>IF(AND(ISNUMBER(X86),ISNUMBER(X85)),X85-X86,"")</f>
      </c>
      <c r="Y89" s="264">
        <f>IF(AND(ISNUMBER(Y86),ISNUMBER(Y85)),Y85-Y86,"")</f>
      </c>
      <c r="Z89" s="264">
        <f>IF(AND(ISNUMBER(Z86),ISNUMBER(Z85)),Z85-Z86,"")</f>
      </c>
      <c r="AA89" s="264">
        <f>IF(AND(ISNUMBER(AA86),ISNUMBER(AA85)),AA85-AA86,"")</f>
      </c>
      <c r="AB89" s="264">
        <f>IF(AND(ISNUMBER(AB86),ISNUMBER(AB85)),AB85-AB86,"")</f>
      </c>
      <c r="AC89" s="264">
        <f>IF(AND(ISNUMBER(AC86),ISNUMBER(AC85)),AC85-AC86,"")</f>
      </c>
      <c r="AD89" s="264">
        <f>IF(AND(ISNUMBER(AD86),ISNUMBER(AD85)),AD85-AD86,"")</f>
      </c>
      <c r="AE89" s="264">
        <f>IF(AND(ISNUMBER(AE86),ISNUMBER(AE85)),AE85-AE86,"")</f>
      </c>
      <c r="AF89" s="264">
        <f>IF(AND(ISNUMBER(AF86),ISNUMBER(AF85)),AF85-AF86,"")</f>
      </c>
      <c r="AG89" s="264">
        <f>IF(AND(ISNUMBER(AG86),ISNUMBER(AG85)),AG85-AG86,"")</f>
      </c>
      <c r="AH89" s="264">
        <f>IF(AND(ISNUMBER(AH86),ISNUMBER(AH85)),AH85-AH86,"")</f>
      </c>
      <c r="AI89" s="264">
        <f>IF(AND(ISNUMBER(AI86),ISNUMBER(AI85)),AI85-AI86,"")</f>
      </c>
      <c r="AJ89" s="264">
        <f>IF(AND(ISNUMBER(AJ86),ISNUMBER(AJ85)),AJ85-AJ86,"")</f>
      </c>
      <c r="AK89" s="264">
        <f>IF(AND(ISNUMBER(AK86),ISNUMBER(AK85)),AK85-AK86,"")</f>
      </c>
      <c r="AL89" s="264">
        <f>IF(AND(ISNUMBER(AL86),ISNUMBER(AL85)),AL85-AL86,"")</f>
      </c>
      <c r="AM89" s="264">
        <f>IF(AND(ISNUMBER(AM86),ISNUMBER(AM85)),AM85-AM86,"")</f>
      </c>
      <c r="AN89" s="264">
        <f>IF(AND(ISNUMBER(AN86),ISNUMBER(AN85)),AN85-AN86,"")</f>
      </c>
      <c r="AO89" s="264">
        <f>IF(AND(ISNUMBER(AO86),ISNUMBER(AO85)),AO85-AO86,"")</f>
      </c>
      <c r="AP89" s="264">
        <f>IF(AND(ISNUMBER(AP86),ISNUMBER(AP85)),AP85-AP86,"")</f>
      </c>
      <c r="AQ89" s="264">
        <f>IF(AND(ISNUMBER(AQ86),ISNUMBER(AQ85)),AQ85-AQ86,"")</f>
      </c>
      <c r="AR89" s="264">
        <f>IF(AND(ISNUMBER(AR86),ISNUMBER(AR85)),AR85-AR86,"")</f>
      </c>
      <c r="AS89" s="264">
        <f>IF(AND(ISNUMBER(AS86),ISNUMBER(AS85)),AS85-AS86,"")</f>
      </c>
      <c r="AT89" s="264">
        <f>IF(AND(ISNUMBER(AT86),ISNUMBER(AT85)),AT85-AT86,"")</f>
      </c>
      <c r="AU89" s="264">
        <f>IF(AND(ISNUMBER(AU86),ISNUMBER(AU85)),AU85-AU86,"")</f>
      </c>
      <c r="AV89" s="264">
        <f>IF(AND(ISNUMBER(AV86),ISNUMBER(AV85)),AV85-AV86,"")</f>
      </c>
      <c r="AW89" s="264">
        <f>IF(AND(ISNUMBER(AW86),ISNUMBER(AW85)),AW85-AW86,"")</f>
      </c>
      <c r="AX89" s="264">
        <f>IF(AND(ISNUMBER(AX86),ISNUMBER(AX85)),AX85-AX86,"")</f>
      </c>
      <c r="AY89" s="264">
        <f>IF(AND(ISNUMBER(AY86),ISNUMBER(AY85)),AY85-AY86,"")</f>
      </c>
      <c r="AZ89" s="264">
        <f>IF(AND(ISNUMBER(AZ86),ISNUMBER(AZ85)),AZ85-AZ86,"")</f>
      </c>
      <c r="BA89" s="264">
        <f>IF(AND(ISNUMBER(BA86),ISNUMBER(BA85)),BA85-BA86,"")</f>
      </c>
      <c r="BB89" s="264">
        <f>IF(AND(ISNUMBER(BB86),ISNUMBER(BB85)),BB85-BB86,"")</f>
      </c>
      <c r="BC89" s="264">
        <f>IF(AND(ISNUMBER(BC86),ISNUMBER(BC85)),BC85-BC86,"")</f>
      </c>
      <c r="BD89" s="264">
        <f>IF(AND(ISNUMBER(BD86),ISNUMBER(BD85)),BD85-BD86,"")</f>
      </c>
      <c r="BE89" s="264">
        <f>IF(AND(ISNUMBER(BE86),ISNUMBER(BE85)),BE85-BE86,"")</f>
      </c>
      <c r="BF89" s="264">
        <f>IF(AND(ISNUMBER(BF86),ISNUMBER(BF85)),BF85-BF86,"")</f>
      </c>
      <c r="BG89" s="264">
        <f>IF(AND(ISNUMBER(BG86),ISNUMBER(BG85)),BG85-BG86,"")</f>
      </c>
      <c r="BH89" s="264">
        <f>IF(AND(ISNUMBER(BH86),ISNUMBER(BH85)),BH85-BH86,"")</f>
      </c>
      <c r="BI89" s="264">
        <f>IF(AND(ISNUMBER(BI86),ISNUMBER(BI85)),BI85-BI86,"")</f>
        <v>12.281</v>
      </c>
      <c r="BJ89" s="264">
        <f>IF(AND(ISNUMBER(BJ86),ISNUMBER(BJ85)),BJ85-BJ86,"")</f>
        <v>12.467</v>
      </c>
      <c r="BK89" s="264">
        <f>IF(AND(ISNUMBER(BK86),ISNUMBER(BK85)),BK85-BK86,"")</f>
        <v>13.311</v>
      </c>
      <c r="BL89" s="264">
        <f>IF(AND(ISNUMBER(BL86),ISNUMBER(BL85)),BL85-BL86,"")</f>
        <v>50.29</v>
      </c>
      <c r="BM89" s="264">
        <f>IF(AND(ISNUMBER(BM86),ISNUMBER(BM85)),BM85-BM86,"")</f>
        <v>13.442</v>
      </c>
      <c r="BN89" s="264">
        <f>IF(AND(ISNUMBER(BN86),ISNUMBER(BN85)),BN85-BN86,"")</f>
        <v>13.653</v>
      </c>
      <c r="BO89" s="264">
        <f>IF(AND(ISNUMBER(BO86),ISNUMBER(BO85)),BO85-BO86,"")</f>
        <v>13.437</v>
      </c>
      <c r="BP89" s="264">
        <f>IF(AND(ISNUMBER(BP86),ISNUMBER(BP85)),BP85-BP86,"")</f>
        <v>13.291</v>
      </c>
      <c r="BQ89" s="264">
        <f>IF(AND(ISNUMBER(BQ86),ISNUMBER(BQ85)),BQ85-BQ86,"")</f>
        <v>53.823</v>
      </c>
      <c r="BR89" s="264">
        <f>IF(AND(ISNUMBER(BR86),ISNUMBER(BR85)),BR85-BR86,"")</f>
        <v>13.6</v>
      </c>
      <c r="BS89" s="264">
        <f>IF(AND(ISNUMBER(BS86),ISNUMBER(BS85)),BS85-BS86,"")</f>
        <v>13.8</v>
      </c>
      <c r="BT89" s="264">
        <f>IF(AND(ISNUMBER(BT86),ISNUMBER(BT85)),BT85-BT86,"")</f>
        <v>13.3</v>
      </c>
      <c r="BU89" s="264">
        <f>IF(AND(ISNUMBER(BU86),ISNUMBER(BU85)),BU85-BU86,"")</f>
        <v>13.7</v>
      </c>
      <c r="BV89" s="264">
        <f>IF(AND(ISNUMBER(BV86),ISNUMBER(BV85)),BV85-BV86,"")</f>
        <v>54.4</v>
      </c>
      <c r="BW89" s="264">
        <f>IF(AND(ISNUMBER(BW86),ISNUMBER(BW85)),BW85-BW86,"")</f>
        <v>13.4</v>
      </c>
      <c r="BX89" s="264">
        <f>IF(AND(ISNUMBER(BX86),ISNUMBER(BX85)),BX85-BX86,"")</f>
        <v>14.6</v>
      </c>
      <c r="BY89" s="264">
        <f>IF(AND(ISNUMBER(BY86),ISNUMBER(BY85)),BY85-BY86,"")</f>
        <v>13.2</v>
      </c>
      <c r="BZ89" s="264">
        <f>IF(AND(ISNUMBER(BZ86),ISNUMBER(BZ85)),BZ85-BZ86,"")</f>
        <v>13.9</v>
      </c>
      <c r="CA89" s="264">
        <f>IF(AND(ISNUMBER(CA86),ISNUMBER(CA85)),CA85-CA86,"")</f>
        <v>55.1</v>
      </c>
      <c r="CB89" s="264">
        <f>IF(AND(ISNUMBER(CB86),ISNUMBER(CB85)),CB85-CB86,"")</f>
        <v>13.8</v>
      </c>
      <c r="CC89" s="261">
        <f>CC108*CC90</f>
        <v>13.5476419634264</v>
      </c>
      <c r="CD89" s="261">
        <f>CD108*CD90</f>
        <v>13.5740500939567</v>
      </c>
      <c r="CE89" s="261">
        <f>CE108*CE90</f>
        <v>16.3799465459843</v>
      </c>
      <c r="CF89" s="261">
        <f>SUM(CB89:CE89)</f>
        <v>57.3016386033674</v>
      </c>
      <c r="CG89" s="261">
        <f>CG108*CG90</f>
        <v>66.7736994464486</v>
      </c>
      <c r="CH89" s="261">
        <f>CH108*CH90</f>
        <v>74.6583980094673</v>
      </c>
      <c r="CI89" s="261">
        <f>CI108*CI90</f>
        <v>82.5804820013278</v>
      </c>
      <c r="CJ89" s="261">
        <f>CJ108*CJ90</f>
        <v>90.6579227461031</v>
      </c>
      <c r="CK89" s="261">
        <f>CK108*CK90</f>
        <v>98.6314459999158</v>
      </c>
      <c r="CL89" s="19" t="n"/>
    </row>
    <row r="90" ht="15" customHeight="1" s="251">
      <c r="B90" s="25" t="inlineStr">
        <is>
          <t xml:space="preserve">  D&amp;A excl. M&amp;A amortization % of net sales</t>
        </is>
      </c>
      <c r="C90" s="215">
        <f>IF(AND(ISNUMBER(C89),ISNUMBER(C108)),IFERROR(C89/C108,""),"")</f>
      </c>
      <c r="D90" s="215">
        <f>IF(AND(ISNUMBER(D89),ISNUMBER(D108)),IFERROR(D89/D108,""),"")</f>
      </c>
      <c r="E90" s="215">
        <f>IF(AND(ISNUMBER(E89),ISNUMBER(E108)),IFERROR(E89/E108,""),"")</f>
      </c>
      <c r="F90" s="215">
        <f>IF(AND(ISNUMBER(F89),ISNUMBER(F108)),IFERROR(F89/F108,""),"")</f>
      </c>
      <c r="G90" s="215">
        <f>IF(AND(ISNUMBER(G89),ISNUMBER(G108)),IFERROR(G89/G108,""),"")</f>
      </c>
      <c r="H90" s="215">
        <f>IF(AND(ISNUMBER(H89),ISNUMBER(H108)),IFERROR(H89/H108,""),"")</f>
      </c>
      <c r="I90" s="215">
        <f>IF(AND(ISNUMBER(I89),ISNUMBER(I108)),IFERROR(I89/I108,""),"")</f>
      </c>
      <c r="J90" s="215">
        <f>IF(AND(ISNUMBER(J89),ISNUMBER(J108)),IFERROR(J89/J108,""),"")</f>
      </c>
      <c r="K90" s="215">
        <f>IF(AND(ISNUMBER(K89),ISNUMBER(K108)),IFERROR(K89/K108,""),"")</f>
      </c>
      <c r="L90" s="215">
        <f>IF(AND(ISNUMBER(L89),ISNUMBER(L108)),IFERROR(L89/L108,""),"")</f>
      </c>
      <c r="M90" s="215">
        <f>IF(AND(ISNUMBER(M89),ISNUMBER(M108)),IFERROR(M89/M108,""),"")</f>
      </c>
      <c r="N90" s="215">
        <f>IF(AND(ISNUMBER(N89),ISNUMBER(N108)),IFERROR(N89/N108,""),"")</f>
      </c>
      <c r="O90" s="215">
        <f>IF(AND(ISNUMBER(O89),ISNUMBER(O108)),IFERROR(O89/O108,""),"")</f>
      </c>
      <c r="P90" s="215">
        <f>IF(AND(ISNUMBER(P89),ISNUMBER(P108)),IFERROR(P89/P108,""),"")</f>
      </c>
      <c r="Q90" s="215">
        <f>IF(AND(ISNUMBER(Q89),ISNUMBER(Q108)),IFERROR(Q89/Q108,""),"")</f>
      </c>
      <c r="R90" s="215">
        <f>IF(AND(ISNUMBER(R89),ISNUMBER(R108)),IFERROR(R89/R108,""),"")</f>
      </c>
      <c r="S90" s="215">
        <f>IF(AND(ISNUMBER(S89),ISNUMBER(S108)),IFERROR(S89/S108,""),"")</f>
      </c>
      <c r="T90" s="215">
        <f>IF(AND(ISNUMBER(T89),ISNUMBER(T108)),IFERROR(T89/T108,""),"")</f>
      </c>
      <c r="U90" s="215">
        <f>IF(AND(ISNUMBER(U89),ISNUMBER(U108)),IFERROR(U89/U108,""),"")</f>
      </c>
      <c r="V90" s="215">
        <f>IF(AND(ISNUMBER(V89),ISNUMBER(V108)),IFERROR(V89/V108,""),"")</f>
      </c>
      <c r="W90" s="215">
        <f>IF(AND(ISNUMBER(W89),ISNUMBER(W108)),IFERROR(W89/W108,""),"")</f>
      </c>
      <c r="X90" s="215">
        <f>IF(AND(ISNUMBER(X89),ISNUMBER(X108)),IFERROR(X89/X108,""),"")</f>
      </c>
      <c r="Y90" s="215">
        <f>IF(AND(ISNUMBER(Y89),ISNUMBER(Y108)),IFERROR(Y89/Y108,""),"")</f>
      </c>
      <c r="Z90" s="215">
        <f>IF(AND(ISNUMBER(Z89),ISNUMBER(Z108)),IFERROR(Z89/Z108,""),"")</f>
      </c>
      <c r="AA90" s="215">
        <f>IF(AND(ISNUMBER(AA89),ISNUMBER(AA108)),IFERROR(AA89/AA108,""),"")</f>
      </c>
      <c r="AB90" s="215">
        <f>IF(AND(ISNUMBER(AB89),ISNUMBER(AB108)),IFERROR(AB89/AB108,""),"")</f>
      </c>
      <c r="AC90" s="215">
        <f>IF(AND(ISNUMBER(AC89),ISNUMBER(AC108)),IFERROR(AC89/AC108,""),"")</f>
      </c>
      <c r="AD90" s="215">
        <f>IF(AND(ISNUMBER(AD89),ISNUMBER(AD108)),IFERROR(AD89/AD108,""),"")</f>
      </c>
      <c r="AE90" s="215">
        <f>IF(AND(ISNUMBER(AE89),ISNUMBER(AE108)),IFERROR(AE89/AE108,""),"")</f>
      </c>
      <c r="AF90" s="215">
        <f>IF(AND(ISNUMBER(AF89),ISNUMBER(AF108)),IFERROR(AF89/AF108,""),"")</f>
      </c>
      <c r="AG90" s="215">
        <f>IF(AND(ISNUMBER(AG89),ISNUMBER(AG108)),IFERROR(AG89/AG108,""),"")</f>
      </c>
      <c r="AH90" s="215">
        <f>IF(AND(ISNUMBER(AH89),ISNUMBER(AH108)),IFERROR(AH89/AH108,""),"")</f>
      </c>
      <c r="AI90" s="215">
        <f>IF(AND(ISNUMBER(AI89),ISNUMBER(AI108)),IFERROR(AI89/AI108,""),"")</f>
      </c>
      <c r="AJ90" s="215">
        <f>IF(AND(ISNUMBER(AJ89),ISNUMBER(AJ108)),IFERROR(AJ89/AJ108,""),"")</f>
      </c>
      <c r="AK90" s="215">
        <f>IF(AND(ISNUMBER(AK89),ISNUMBER(AK108)),IFERROR(AK89/AK108,""),"")</f>
      </c>
      <c r="AL90" s="215">
        <f>IF(AND(ISNUMBER(AL89),ISNUMBER(AL108)),IFERROR(AL89/AL108,""),"")</f>
      </c>
      <c r="AM90" s="215">
        <f>IF(AND(ISNUMBER(AM89),ISNUMBER(AM108)),IFERROR(AM89/AM108,""),"")</f>
      </c>
      <c r="AN90" s="215">
        <f>IF(AND(ISNUMBER(AN89),ISNUMBER(AN108)),IFERROR(AN89/AN108,""),"")</f>
      </c>
      <c r="AO90" s="215">
        <f>IF(AND(ISNUMBER(AO89),ISNUMBER(AO108)),IFERROR(AO89/AO108,""),"")</f>
      </c>
      <c r="AP90" s="215">
        <f>IF(AND(ISNUMBER(AP89),ISNUMBER(AP108)),IFERROR(AP89/AP108,""),"")</f>
      </c>
      <c r="AQ90" s="215">
        <f>IF(AND(ISNUMBER(AQ89),ISNUMBER(AQ108)),IFERROR(AQ89/AQ108,""),"")</f>
      </c>
      <c r="AR90" s="215">
        <f>IF(AND(ISNUMBER(AR89),ISNUMBER(AR108)),IFERROR(AR89/AR108,""),"")</f>
      </c>
      <c r="AS90" s="215">
        <f>IF(AND(ISNUMBER(AS89),ISNUMBER(AS108)),IFERROR(AS89/AS108,""),"")</f>
      </c>
      <c r="AT90" s="215">
        <f>IF(AND(ISNUMBER(AT89),ISNUMBER(AT108)),IFERROR(AT89/AT108,""),"")</f>
      </c>
      <c r="AU90" s="215">
        <f>IF(AND(ISNUMBER(AU89),ISNUMBER(AU108)),IFERROR(AU89/AU108,""),"")</f>
      </c>
      <c r="AV90" s="215">
        <f>IF(AND(ISNUMBER(AV89),ISNUMBER(AV108)),IFERROR(AV89/AV108,""),"")</f>
      </c>
      <c r="AW90" s="215">
        <f>IF(AND(ISNUMBER(AW89),ISNUMBER(AW108)),IFERROR(AW89/AW108,""),"")</f>
      </c>
      <c r="AX90" s="215">
        <f>IF(AND(ISNUMBER(AX89),ISNUMBER(AX108)),IFERROR(AX89/AX108,""),"")</f>
      </c>
      <c r="AY90" s="215">
        <f>IF(AND(ISNUMBER(AY89),ISNUMBER(AY108)),IFERROR(AY89/AY108,""),"")</f>
      </c>
      <c r="AZ90" s="215">
        <f>IF(AND(ISNUMBER(AZ89),ISNUMBER(AZ108)),IFERROR(AZ89/AZ108,""),"")</f>
      </c>
      <c r="BA90" s="215">
        <f>IF(AND(ISNUMBER(BA89),ISNUMBER(BA108)),IFERROR(BA89/BA108,""),"")</f>
      </c>
      <c r="BB90" s="215">
        <f>IF(AND(ISNUMBER(BB89),ISNUMBER(BB108)),IFERROR(BB89/BB108,""),"")</f>
      </c>
      <c r="BC90" s="215">
        <f>IF(AND(ISNUMBER(BC89),ISNUMBER(BC108)),IFERROR(BC89/BC108,""),"")</f>
      </c>
      <c r="BD90" s="215">
        <f>IF(AND(ISNUMBER(BD89),ISNUMBER(BD108)),IFERROR(BD89/BD108,""),"")</f>
      </c>
      <c r="BE90" s="215">
        <f>IF(AND(ISNUMBER(BE89),ISNUMBER(BE108)),IFERROR(BE89/BE108,""),"")</f>
      </c>
      <c r="BF90" s="215">
        <f>IF(AND(ISNUMBER(BF89),ISNUMBER(BF108)),IFERROR(BF89/BF108,""),"")</f>
      </c>
      <c r="BG90" s="215">
        <f>IF(AND(ISNUMBER(BG89),ISNUMBER(BG108)),IFERROR(BG89/BG108,""),"")</f>
      </c>
      <c r="BH90" s="215">
        <f>IF(AND(ISNUMBER(BH89),ISNUMBER(BH108)),IFERROR(BH89/BH108,""),"")</f>
      </c>
      <c r="BI90" s="215">
        <f>IF(AND(ISNUMBER(BI89),ISNUMBER(BI108)),IFERROR(BI89/BI108,""),"")</f>
        <v>0.0332667871180252</v>
      </c>
      <c r="BJ90" s="215">
        <f>IF(AND(ISNUMBER(BJ89),ISNUMBER(BJ108)),IFERROR(BJ89/BJ108,""),"")</f>
        <v>0.0354553857092073</v>
      </c>
      <c r="BK90" s="215">
        <f>IF(AND(ISNUMBER(BK89),ISNUMBER(BK108)),IFERROR(BK89/BK108,""),"")</f>
        <v>0.0337481174985168</v>
      </c>
      <c r="BL90" s="215">
        <f>IF(AND(ISNUMBER(BL89),ISNUMBER(BL108)),IFERROR(BL89/BL108,""),"")</f>
        <v>0.0342271830123188</v>
      </c>
      <c r="BM90" s="215">
        <f>IF(AND(ISNUMBER(BM89),ISNUMBER(BM108)),IFERROR(BM89/BM108,""),"")</f>
        <v>0.0347229038907631</v>
      </c>
      <c r="BN90" s="215">
        <f>IF(AND(ISNUMBER(BN89),ISNUMBER(BN108)),IFERROR(BN89/BN108,""),"")</f>
        <v>0.0354097289222246</v>
      </c>
      <c r="BO90" s="215">
        <f>IF(AND(ISNUMBER(BO89),ISNUMBER(BO108)),IFERROR(BO89/BO108,""),"")</f>
        <v>0.0359368397404695</v>
      </c>
      <c r="BP90" s="215">
        <f>IF(AND(ISNUMBER(BP89),ISNUMBER(BP108)),IFERROR(BP89/BP108,""),"")</f>
        <v>0.0321286985109263</v>
      </c>
      <c r="BQ90" s="215">
        <f>IF(AND(ISNUMBER(BQ89),ISNUMBER(BQ108)),IFERROR(BQ89/BQ108,""),"")</f>
        <v>0.0344952893674293</v>
      </c>
      <c r="BR90" s="215">
        <f>IF(AND(ISNUMBER(BR89),ISNUMBER(BR108)),IFERROR(BR89/BR108,""),"")</f>
        <v>0.0334728033472803</v>
      </c>
      <c r="BS90" s="215">
        <f>IF(AND(ISNUMBER(BS89),ISNUMBER(BS108)),IFERROR(BS89/BS108,""),"")</f>
        <v>0.0346820809248555</v>
      </c>
      <c r="BT90" s="215">
        <f>IF(AND(ISNUMBER(BT89),ISNUMBER(BT108)),IFERROR(BT89/BT108,""),"")</f>
        <v>0.0337221095334686</v>
      </c>
      <c r="BU90" s="215">
        <f>IF(AND(ISNUMBER(BU89),ISNUMBER(BU108)),IFERROR(BU89/BU108,""),"")</f>
        <v>0.0312999771533014</v>
      </c>
      <c r="BV90" s="215">
        <f>IF(AND(ISNUMBER(BV89),ISNUMBER(BV108)),IFERROR(BV89/BV108,""),"")</f>
        <v>0.0332457373342297</v>
      </c>
      <c r="BW90" s="215">
        <f>IF(AND(ISNUMBER(BW89),ISNUMBER(BW108)),IFERROR(BW89/BW108,""),"")</f>
        <v>0.0307339449541284</v>
      </c>
      <c r="BX90" s="215">
        <f>IF(AND(ISNUMBER(BX89),ISNUMBER(BX108)),IFERROR(BX89/BX108,""),"")</f>
        <v>0.0320667691631891</v>
      </c>
      <c r="BY90" s="215">
        <f>IF(AND(ISNUMBER(BY89),ISNUMBER(BY108)),IFERROR(BY89/BY108,""),"")</f>
        <v>0.0285961871750433</v>
      </c>
      <c r="BZ90" s="215">
        <f>IF(AND(ISNUMBER(BZ89),ISNUMBER(BZ108)),IFERROR(BZ89/BZ108,""),"")</f>
        <v>0.0268339768339768</v>
      </c>
      <c r="CA90" s="215">
        <f>IF(AND(ISNUMBER(CA89),ISNUMBER(CA108)),IFERROR(CA89/CA108,""),"")</f>
        <v>0.029451066331712</v>
      </c>
      <c r="CB90" s="215">
        <f>IF(AND(ISNUMBER(CB89),ISNUMBER(CB108)),IFERROR(CB89/CB108,""),"")</f>
        <v>0.0265640038498556</v>
      </c>
      <c r="CC90" s="256">
        <f>IFERROR(SUM(CB89:CB89)/SUM(CB108:CB108),0)</f>
        <v>0.0265640038498556</v>
      </c>
      <c r="CD90" s="256">
        <f>IFERROR(SUM(CB89:CB89)/SUM(CB108:CB108),0)</f>
        <v>0.0265640038498556</v>
      </c>
      <c r="CE90" s="256">
        <f>IFERROR(SUM(CB89:CB89)/SUM(CB108:CB108),0)</f>
        <v>0.0265640038498556</v>
      </c>
      <c r="CF90" s="256">
        <f>IF(AND(ISNUMBER(CF89),ISNUMBER(CF108)),IFERROR(CF89/CF108,""),"")</f>
        <v>0.0265640038498556</v>
      </c>
      <c r="CG90" s="267" t="n">
        <v>0.028</v>
      </c>
      <c r="CH90" s="267" t="n">
        <v>0.028</v>
      </c>
      <c r="CI90" s="267" t="n">
        <v>0.028</v>
      </c>
      <c r="CJ90" s="267" t="n">
        <v>0.028</v>
      </c>
      <c r="CK90" s="267" t="n">
        <v>0.028</v>
      </c>
      <c r="CL90" s="153" t="n"/>
      <c r="CN90" s="37">
        <f>IFERROR(AVERAGE(CG90,CH90,CI90,CJ90,CK90),"n/m")</f>
        <v>0.028</v>
      </c>
      <c r="CO90" s="37">
        <f>IFERROR(AVERAGE(BG90,BL90,BQ90,BV90,CA90),"n/m")</f>
        <v>0.0328548190114225</v>
      </c>
      <c r="CP90" s="37">
        <f>IFERROR(AVERAGE(AH90,AM90,AR90,AW90,BB90,BG90,BL90,BQ90,BV90,CA90),"n/m")</f>
        <v>0.0328548190114225</v>
      </c>
      <c r="CQ90" s="37">
        <f>IFERROR(AVERAGE(C90,D90,E90,F90,G90,H90,I90,N90,S90,X90,AC90,AH90,AM90,AR90,AW90,BB90,BG90,BL90,BQ90,BV90,CA90),"n/m")</f>
        <v>0.0328548190114225</v>
      </c>
    </row>
    <row r="91" ht="15" customHeight="1" s="251">
      <c r="B91" s="25" t="inlineStr">
        <is>
          <t xml:space="preserve">  Stock-based compensation (cash-flow statement)</t>
        </is>
      </c>
      <c r="C91" s="259" t="n">
        <v>0.365</v>
      </c>
      <c r="D91" s="259" t="n">
        <v>0.767</v>
      </c>
      <c r="E91" s="259" t="n">
        <v>1.255</v>
      </c>
      <c r="F91" s="259" t="n">
        <v>2.502</v>
      </c>
      <c r="G91" s="259" t="n">
        <v>3.182</v>
      </c>
      <c r="H91" s="259" t="n">
        <v>4.057</v>
      </c>
      <c r="I91" s="259" t="n">
        <v>4.121</v>
      </c>
      <c r="J91" s="259" t="n">
        <v>1.127</v>
      </c>
      <c r="K91" s="259" t="n">
        <v>1.313</v>
      </c>
      <c r="L91" s="259" t="n">
        <v>1.573</v>
      </c>
      <c r="M91" s="259" t="n">
        <v>1.275</v>
      </c>
      <c r="N91" s="259" t="n">
        <v>5.288</v>
      </c>
      <c r="O91" s="259" t="n">
        <v>1.22</v>
      </c>
      <c r="P91" s="259" t="n">
        <v>1.519</v>
      </c>
      <c r="Q91" s="259" t="n">
        <v>1.561</v>
      </c>
      <c r="R91" s="259" t="n">
        <v>1.533</v>
      </c>
      <c r="S91" s="259" t="n">
        <v>5.833</v>
      </c>
      <c r="T91" s="259" t="n">
        <v>1.767</v>
      </c>
      <c r="U91" s="259" t="n">
        <v>2.268</v>
      </c>
      <c r="V91" s="259" t="n">
        <v>2.196</v>
      </c>
      <c r="W91" s="259" t="n">
        <v>2.108</v>
      </c>
      <c r="X91" s="259" t="n">
        <v>8.339</v>
      </c>
      <c r="Y91" s="259" t="n">
        <v>2.132</v>
      </c>
      <c r="Z91" s="259" t="n">
        <v>2.496</v>
      </c>
      <c r="AA91" s="259" t="n">
        <v>2.565</v>
      </c>
      <c r="AB91" s="259" t="n">
        <v>3.007</v>
      </c>
      <c r="AC91" s="259" t="n">
        <v>10.2</v>
      </c>
      <c r="AD91" s="259" t="n">
        <v>2.774</v>
      </c>
      <c r="AE91" s="259" t="n">
        <v>3.178</v>
      </c>
      <c r="AF91" s="259" t="n">
        <v>2.962</v>
      </c>
      <c r="AG91" s="259" t="n">
        <v>3.197</v>
      </c>
      <c r="AH91" s="259" t="n">
        <v>12.111</v>
      </c>
      <c r="AI91" s="259" t="n">
        <v>3.228</v>
      </c>
      <c r="AJ91" s="259" t="n">
        <v>3.402</v>
      </c>
      <c r="AK91" s="259" t="n">
        <v>3.267</v>
      </c>
      <c r="AL91" s="259" t="n">
        <v>3.506</v>
      </c>
      <c r="AM91" s="259" t="n">
        <v>13.403</v>
      </c>
      <c r="AN91" s="259" t="n">
        <v>3.766</v>
      </c>
      <c r="AO91" s="259" t="n">
        <v>4.039</v>
      </c>
      <c r="AP91" s="259" t="n">
        <v>3.904</v>
      </c>
      <c r="AQ91" s="259" t="n">
        <v>4.378</v>
      </c>
      <c r="AR91" s="259" t="n">
        <v>16.087</v>
      </c>
      <c r="AS91" s="259" t="n">
        <v>4.802</v>
      </c>
      <c r="AT91" s="259" t="n">
        <v>5.059</v>
      </c>
      <c r="AU91" s="259" t="n">
        <v>5.135</v>
      </c>
      <c r="AV91" s="259" t="n">
        <v>5.154</v>
      </c>
      <c r="AW91" s="259" t="n">
        <v>20.15</v>
      </c>
      <c r="AX91" s="259" t="n">
        <v>5.438</v>
      </c>
      <c r="AY91" s="259" t="n">
        <v>5.231</v>
      </c>
      <c r="AZ91" s="259" t="n">
        <v>5.173</v>
      </c>
      <c r="BA91" s="259" t="n">
        <v>5.457</v>
      </c>
      <c r="BB91" s="259" t="n">
        <v>21.299</v>
      </c>
      <c r="BC91" s="259" t="n">
        <v>5.772</v>
      </c>
      <c r="BD91" s="259" t="n">
        <v>6.224</v>
      </c>
      <c r="BE91" s="259" t="n">
        <v>6.038</v>
      </c>
      <c r="BF91" s="259" t="n">
        <v>5.891</v>
      </c>
      <c r="BG91" s="259" t="n">
        <v>23.925</v>
      </c>
      <c r="BH91" s="259" t="n">
        <v>3.819</v>
      </c>
      <c r="BI91" s="259" t="n">
        <v>4.354</v>
      </c>
      <c r="BJ91" s="259" t="n">
        <v>2.874</v>
      </c>
      <c r="BK91" s="259" t="n">
        <v>2.953</v>
      </c>
      <c r="BL91" s="259" t="n">
        <v>14</v>
      </c>
      <c r="BM91" s="259" t="n">
        <v>5.4</v>
      </c>
      <c r="BN91" s="259" t="n">
        <v>3.7</v>
      </c>
      <c r="BO91" s="259" t="n">
        <v>4.2</v>
      </c>
      <c r="BP91" s="259" t="n">
        <v>4.1</v>
      </c>
      <c r="BQ91" s="259" t="n">
        <v>17.4</v>
      </c>
      <c r="BR91" s="259" t="n">
        <v>6.5</v>
      </c>
      <c r="BS91" s="259" t="n">
        <v>6.6</v>
      </c>
      <c r="BT91" s="259" t="n">
        <v>7.2</v>
      </c>
      <c r="BU91" s="259" t="n">
        <v>8.1</v>
      </c>
      <c r="BV91" s="259" t="n">
        <v>28.4</v>
      </c>
      <c r="BW91" s="259" t="n">
        <v>6.6</v>
      </c>
      <c r="BX91" s="259" t="n">
        <v>7.4</v>
      </c>
      <c r="BY91" s="259" t="n">
        <v>9.300000000000001</v>
      </c>
      <c r="BZ91" s="259" t="n">
        <v>11.2</v>
      </c>
      <c r="CA91" s="259" t="n">
        <v>34.5</v>
      </c>
      <c r="CB91" s="259" t="n">
        <v>6.7</v>
      </c>
      <c r="CC91" s="261">
        <f>CC108*CC92</f>
        <v>6.57747834456208</v>
      </c>
      <c r="CD91" s="261">
        <f>CD108*CD92</f>
        <v>6.59029968329784</v>
      </c>
      <c r="CE91" s="261">
        <f>CE108*CE92</f>
        <v>7.95258274334019</v>
      </c>
      <c r="CF91" s="261">
        <f>SUM(CB91:CE91)</f>
        <v>27.8203607712001</v>
      </c>
      <c r="CG91" s="261">
        <f>CG108*CG92</f>
        <v>42.9259496441455</v>
      </c>
      <c r="CH91" s="261">
        <f>CH108*CH92</f>
        <v>47.9946844346575</v>
      </c>
      <c r="CI91" s="261">
        <f>CI108*CI92</f>
        <v>53.0874527151393</v>
      </c>
      <c r="CJ91" s="261">
        <f>CJ108*CJ92</f>
        <v>58.2800931939234</v>
      </c>
      <c r="CK91" s="261">
        <f>CK108*CK92</f>
        <v>63.4059295713744</v>
      </c>
      <c r="CL91" s="19" t="inlineStr">
        <is>
          <t>RBC adds stock compensation back in adjusted EPS (from Q2 FY23) and adjusted EBITDA; the DCF deducts it.</t>
        </is>
      </c>
    </row>
    <row r="92" ht="15" customHeight="1" s="251">
      <c r="B92" s="25" t="inlineStr">
        <is>
          <t xml:space="preserve">  Stock-based compensation % of net sales</t>
        </is>
      </c>
      <c r="C92" s="215">
        <f>IF(AND(ISNUMBER(C91),ISNUMBER(C108)),IFERROR(C91/C108,""),"")</f>
        <v>0.00132964675110834</v>
      </c>
      <c r="D92" s="215">
        <f>IF(AND(ISNUMBER(D91),ISNUMBER(D108)),IFERROR(D91/D108,""),"")</f>
        <v>0.00250602819036666</v>
      </c>
      <c r="E92" s="215">
        <f>IF(AND(ISNUMBER(E91),ISNUMBER(E108)),IFERROR(E91/E108,""),"")</f>
        <v>0.00379612825166364</v>
      </c>
      <c r="F92" s="215">
        <f>IF(AND(ISNUMBER(F91),ISNUMBER(F108)),IFERROR(F91/F108,""),"")</f>
        <v>0.0070321195291684</v>
      </c>
      <c r="G92" s="215">
        <f>IF(AND(ISNUMBER(G91),ISNUMBER(G108)),IFERROR(G91/G108,""),"")</f>
        <v>0.0115834613508456</v>
      </c>
      <c r="H92" s="215">
        <f>IF(AND(ISNUMBER(H91),ISNUMBER(H108)),IFERROR(H91/H108,""),"")</f>
        <v>0.012087895716946</v>
      </c>
      <c r="I92" s="215">
        <f>IF(AND(ISNUMBER(I91),ISNUMBER(I108)),IFERROR(I91/I108,""),"")</f>
        <v>0.0103670087117086</v>
      </c>
      <c r="J92" s="215">
        <f>IF(AND(ISNUMBER(J91),ISNUMBER(J108)),IFERROR(J91/J108,""),"")</f>
        <v>0.0109063812491532</v>
      </c>
      <c r="K92" s="215">
        <f>IF(AND(ISNUMBER(K91),ISNUMBER(K108)),IFERROR(K91/K108,""),"")</f>
        <v>0.0130809464508095</v>
      </c>
      <c r="L92" s="215">
        <f>IF(AND(ISNUMBER(L91),ISNUMBER(L108)),IFERROR(L91/L108,""),"")</f>
        <v>0.016328267729613</v>
      </c>
      <c r="M92" s="215">
        <f>IF(AND(ISNUMBER(M91),ISNUMBER(M108)),IFERROR(M91/M108,""),"")</f>
        <v>0.0123779197328311</v>
      </c>
      <c r="N92" s="215">
        <f>IF(AND(ISNUMBER(N91),ISNUMBER(N108)),IFERROR(N91/N108,""),"")</f>
        <v>0.0131199277510786</v>
      </c>
      <c r="O92" s="215">
        <f>IF(AND(ISNUMBER(O91),ISNUMBER(O108)),IFERROR(O91/O108,""),"")</f>
        <v>0.0118829625589278</v>
      </c>
      <c r="P92" s="215">
        <f>IF(AND(ISNUMBER(P91),ISNUMBER(P108)),IFERROR(P91/P108,""),"")</f>
        <v>0.0148988759636699</v>
      </c>
      <c r="Q92" s="215">
        <f>IF(AND(ISNUMBER(Q91),ISNUMBER(Q108)),IFERROR(Q91/Q108,""),"")</f>
        <v>0.0155252322320132</v>
      </c>
      <c r="R92" s="215">
        <f>IF(AND(ISNUMBER(R91),ISNUMBER(R108)),IFERROR(R91/R108,""),"")</f>
        <v>0.0134807154540178</v>
      </c>
      <c r="S92" s="215">
        <f>IF(AND(ISNUMBER(S91),ISNUMBER(S108)),IFERROR(S91/S108,""),"")</f>
        <v>0.0139250297216904</v>
      </c>
      <c r="T92" s="215">
        <f>IF(AND(ISNUMBER(T91),ISNUMBER(T108)),IFERROR(T91/T108,""),"")</f>
        <v>0.0156393825674432</v>
      </c>
      <c r="U92" s="215">
        <f>IF(AND(ISNUMBER(U91),ISNUMBER(U108)),IFERROR(U91/U108,""),"")</f>
        <v>0.0201501488161343</v>
      </c>
      <c r="V92" s="215">
        <f>IF(AND(ISNUMBER(V91),ISNUMBER(V108)),IFERROR(V91/V108,""),"")</f>
        <v>0.0206542390098004</v>
      </c>
      <c r="W92" s="215">
        <f>IF(AND(ISNUMBER(W91),ISNUMBER(W108)),IFERROR(W91/W108,""),"")</f>
        <v>0.0185862789528907</v>
      </c>
      <c r="X92" s="215">
        <f>IF(AND(ISNUMBER(X91),ISNUMBER(X108)),IFERROR(X91/X108,""),"")</f>
        <v>0.0187276263368053</v>
      </c>
      <c r="Y92" s="215">
        <f>IF(AND(ISNUMBER(Y91),ISNUMBER(Y108)),IFERROR(Y91/Y108,""),"")</f>
        <v>0.0149815892289963</v>
      </c>
      <c r="Z92" s="215">
        <f>IF(AND(ISNUMBER(Z91),ISNUMBER(Z108)),IFERROR(Z91/Z108,""),"")</f>
        <v>0.0167859256469576</v>
      </c>
      <c r="AA92" s="215">
        <f>IF(AND(ISNUMBER(AA91),ISNUMBER(AA108)),IFERROR(AA91/AA108,""),"")</f>
        <v>0.0177858212680979</v>
      </c>
      <c r="AB92" s="215">
        <f>IF(AND(ISNUMBER(AB91),ISNUMBER(AB108)),IFERROR(AB91/AB108,""),"")</f>
        <v>0.0185328994403767</v>
      </c>
      <c r="AC92" s="215">
        <f>IF(AND(ISNUMBER(AC91),ISNUMBER(AC108)),IFERROR(AC91/AC108,""),"")</f>
        <v>0.0170719297305983</v>
      </c>
      <c r="AD92" s="215">
        <f>IF(AND(ISNUMBER(AD91),ISNUMBER(AD108)),IFERROR(AD91/AD108,""),"")</f>
        <v>0.0179455165319998</v>
      </c>
      <c r="AE92" s="215">
        <f>IF(AND(ISNUMBER(AE91),ISNUMBER(AE108)),IFERROR(AE91/AE108,""),"")</f>
        <v>0.0206440045991049</v>
      </c>
      <c r="AF92" s="215">
        <f>IF(AND(ISNUMBER(AF91),ISNUMBER(AF108)),IFERROR(AF91/AF108,""),"")</f>
        <v>0.0201969234126118</v>
      </c>
      <c r="AG92" s="215">
        <f>IF(AND(ISNUMBER(AG91),ISNUMBER(AG108)),IFERROR(AG91/AG108,""),"")</f>
        <v>0.0199550589850821</v>
      </c>
      <c r="AH92" s="215">
        <f>IF(AND(ISNUMBER(AH91),ISNUMBER(AH108)),IFERROR(AH91/AH108,""),"")</f>
        <v>0.0196802667585328</v>
      </c>
      <c r="AI92" s="215">
        <f>IF(AND(ISNUMBER(AI91),ISNUMBER(AI108)),IFERROR(AI91/AI108,""),"")</f>
        <v>0.0196952964361764</v>
      </c>
      <c r="AJ92" s="215">
        <f>IF(AND(ISNUMBER(AJ91),ISNUMBER(AJ108)),IFERROR(AJ91/AJ108,""),"")</f>
        <v>0.0207038833474321</v>
      </c>
      <c r="AK92" s="215">
        <f>IF(AND(ISNUMBER(AK91),ISNUMBER(AK108)),IFERROR(AK91/AK108,""),"")</f>
        <v>0.0195795227079313</v>
      </c>
      <c r="AL92" s="215">
        <f>IF(AND(ISNUMBER(AL91),ISNUMBER(AL108)),IFERROR(AL91/AL108,""),"")</f>
        <v>0.0194910966938519</v>
      </c>
      <c r="AM92" s="215">
        <f>IF(AND(ISNUMBER(AM91),ISNUMBER(AM108)),IFERROR(AM91/AM108,""),"")</f>
        <v>0.0198577966631553</v>
      </c>
      <c r="AN92" s="215">
        <f>IF(AND(ISNUMBER(AN91),ISNUMBER(AN108)),IFERROR(AN91/AN108,""),"")</f>
        <v>0.021399551098105</v>
      </c>
      <c r="AO92" s="215">
        <f>IF(AND(ISNUMBER(AO91),ISNUMBER(AO108)),IFERROR(AO91/AO108,""),"")</f>
        <v>0.0233581623447223</v>
      </c>
      <c r="AP92" s="215">
        <f>IF(AND(ISNUMBER(AP91),ISNUMBER(AP108)),IFERROR(AP91/AP108,""),"")</f>
        <v>0.0227700885957084</v>
      </c>
      <c r="AQ92" s="215">
        <f>IF(AND(ISNUMBER(AQ91),ISNUMBER(AQ108)),IFERROR(AQ91/AQ108,""),"")</f>
        <v>0.0240335525521239</v>
      </c>
      <c r="AR92" s="215">
        <f>IF(AND(ISNUMBER(AR91),ISNUMBER(AR108)),IFERROR(AR91/AR108,""),"")</f>
        <v>0.0228991225822615</v>
      </c>
      <c r="AS92" s="215">
        <f>IF(AND(ISNUMBER(AS91),ISNUMBER(AS108)),IFERROR(AS91/AS108,""),"")</f>
        <v>0.0262849635995402</v>
      </c>
      <c r="AT92" s="215">
        <f>IF(AND(ISNUMBER(AT91),ISNUMBER(AT108)),IFERROR(AT91/AT108,""),"")</f>
        <v>0.0278106086010038</v>
      </c>
      <c r="AU92" s="215">
        <f>IF(AND(ISNUMBER(AU91),ISNUMBER(AU108)),IFERROR(AU91/AU108,""),"")</f>
        <v>0.0290081855620018</v>
      </c>
      <c r="AV92" s="215">
        <f>IF(AND(ISNUMBER(AV91),ISNUMBER(AV108)),IFERROR(AV91/AV108,""),"")</f>
        <v>0.027733086530028</v>
      </c>
      <c r="AW92" s="215">
        <f>IF(AND(ISNUMBER(AW91),ISNUMBER(AW108)),IFERROR(AW91/AW108,""),"")</f>
        <v>0.0276990794008201</v>
      </c>
      <c r="AX92" s="215">
        <f>IF(AND(ISNUMBER(AX91),ISNUMBER(AX108)),IFERROR(AX91/AX108,""),"")</f>
        <v>0.0347491581093084</v>
      </c>
      <c r="AY92" s="215">
        <f>IF(AND(ISNUMBER(AY91),ISNUMBER(AY108)),IFERROR(AY91/AY108,""),"")</f>
        <v>0.0357467454812588</v>
      </c>
      <c r="AZ92" s="215">
        <f>IF(AND(ISNUMBER(AZ91),ISNUMBER(AZ108)),IFERROR(AZ91/AZ108,""),"")</f>
        <v>0.0354652717313058</v>
      </c>
      <c r="BA92" s="215">
        <f>IF(AND(ISNUMBER(BA91),ISNUMBER(BA108)),IFERROR(BA91/BA108,""),"")</f>
        <v>0.0340434823294551</v>
      </c>
      <c r="BB92" s="215">
        <f>IF(AND(ISNUMBER(BB91),ISNUMBER(BB108)),IFERROR(BB91/BB108,""),"")</f>
        <v>0.034974646296126</v>
      </c>
      <c r="BC92" s="215">
        <f>IF(AND(ISNUMBER(BC91),ISNUMBER(BC108)),IFERROR(BC91/BC108,""),"")</f>
        <v>0.0369514420153004</v>
      </c>
      <c r="BD92" s="215">
        <f>IF(AND(ISNUMBER(BD91),ISNUMBER(BD108)),IFERROR(BD91/BD108,""),"")</f>
        <v>0.0386824114356743</v>
      </c>
      <c r="BE92" s="215">
        <f>IF(AND(ISNUMBER(BE91),ISNUMBER(BE108)),IFERROR(BE91/BE108,""),"")</f>
        <v>0.0226182136930471</v>
      </c>
      <c r="BF92" s="215">
        <f>IF(AND(ISNUMBER(BF91),ISNUMBER(BF108)),IFERROR(BF91/BF108,""),"")</f>
        <v>0.0164150033855422</v>
      </c>
      <c r="BG92" s="215">
        <f>IF(AND(ISNUMBER(BG91),ISNUMBER(BG108)),IFERROR(BG91/BG108,""),"")</f>
        <v>0.025372850996408</v>
      </c>
      <c r="BH92" s="215">
        <f>IF(AND(ISNUMBER(BH91),ISNUMBER(BH108)),IFERROR(BH91/BH108,""),"")</f>
        <v>0.0107856981473113</v>
      </c>
      <c r="BI92" s="215">
        <f>IF(AND(ISNUMBER(BI91),ISNUMBER(BI108)),IFERROR(BI91/BI108,""),"")</f>
        <v>0.0117941202761894</v>
      </c>
      <c r="BJ92" s="215">
        <f>IF(AND(ISNUMBER(BJ91),ISNUMBER(BJ108)),IFERROR(BJ91/BJ108,""),"")</f>
        <v>0.00817348027017419</v>
      </c>
      <c r="BK92" s="215">
        <f>IF(AND(ISNUMBER(BK91),ISNUMBER(BK108)),IFERROR(BK91/BK108,""),"")</f>
        <v>0.00748690488867254</v>
      </c>
      <c r="BL92" s="215">
        <f>IF(AND(ISNUMBER(BL91),ISNUMBER(BL108)),IFERROR(BL91/BL108,""),"")</f>
        <v>0.00952834683182468</v>
      </c>
      <c r="BM92" s="215">
        <f>IF(AND(ISNUMBER(BM91),ISNUMBER(BM108)),IFERROR(BM91/BM108,""),"")</f>
        <v>0.0139490909842375</v>
      </c>
      <c r="BN92" s="215">
        <f>IF(AND(ISNUMBER(BN91),ISNUMBER(BN108)),IFERROR(BN91/BN108,""),"")</f>
        <v>0.00959613249924787</v>
      </c>
      <c r="BO92" s="215">
        <f>IF(AND(ISNUMBER(BO91),ISNUMBER(BO108)),IFERROR(BO91/BO108,""),"")</f>
        <v>0.0112327697335694</v>
      </c>
      <c r="BP92" s="215">
        <f>IF(AND(ISNUMBER(BP91),ISNUMBER(BP108)),IFERROR(BP91/BP108,""),"")</f>
        <v>0.0099110423515761</v>
      </c>
      <c r="BQ92" s="215">
        <f>IF(AND(ISNUMBER(BQ91),ISNUMBER(BQ108)),IFERROR(BQ91/BQ108,""),"")</f>
        <v>0.011151701595847</v>
      </c>
      <c r="BR92" s="215">
        <f>IF(AND(ISNUMBER(BR91),ISNUMBER(BR108)),IFERROR(BR91/BR108,""),"")</f>
        <v>0.0159980310115678</v>
      </c>
      <c r="BS92" s="215">
        <f>IF(AND(ISNUMBER(BS91),ISNUMBER(BS108)),IFERROR(BS91/BS108,""),"")</f>
        <v>0.0165870821814526</v>
      </c>
      <c r="BT92" s="215">
        <f>IF(AND(ISNUMBER(BT91),ISNUMBER(BT108)),IFERROR(BT91/BT108,""),"")</f>
        <v>0.0182555780933063</v>
      </c>
      <c r="BU92" s="215">
        <f>IF(AND(ISNUMBER(BU91),ISNUMBER(BU108)),IFERROR(BU91/BU108,""),"")</f>
        <v>0.0185058259081563</v>
      </c>
      <c r="BV92" s="215">
        <f>IF(AND(ISNUMBER(BV91),ISNUMBER(BV108)),IFERROR(BV91/BV108,""),"")</f>
        <v>0.0173562305200758</v>
      </c>
      <c r="BW92" s="215">
        <f>IF(AND(ISNUMBER(BW91),ISNUMBER(BW108)),IFERROR(BW91/BW108,""),"")</f>
        <v>0.0151376146788991</v>
      </c>
      <c r="BX92" s="215">
        <f>IF(AND(ISNUMBER(BX91),ISNUMBER(BX108)),IFERROR(BX91/BX108,""),"")</f>
        <v>0.0162530199868219</v>
      </c>
      <c r="BY92" s="215">
        <f>IF(AND(ISNUMBER(BY91),ISNUMBER(BY108)),IFERROR(BY91/BY108,""),"")</f>
        <v>0.0201473136915078</v>
      </c>
      <c r="BZ92" s="215">
        <f>IF(AND(ISNUMBER(BZ91),ISNUMBER(BZ108)),IFERROR(BZ91/BZ108,""),"")</f>
        <v>0.0216216216216216</v>
      </c>
      <c r="CA92" s="215">
        <f>IF(AND(ISNUMBER(CA91),ISNUMBER(CA108)),IFERROR(CA91/CA108,""),"")</f>
        <v>0.0184403228392752</v>
      </c>
      <c r="CB92" s="215">
        <f>IF(AND(ISNUMBER(CB91),ISNUMBER(CB108)),IFERROR(CB91/CB108,""),"")</f>
        <v>0.0128970163618864</v>
      </c>
      <c r="CC92" s="256">
        <f>IFERROR(SUM(CB91:CB91)/SUM(CB108:CB108),0)</f>
        <v>0.0128970163618864</v>
      </c>
      <c r="CD92" s="256">
        <f>IFERROR(SUM(CB91:CB91)/SUM(CB108:CB108),0)</f>
        <v>0.0128970163618864</v>
      </c>
      <c r="CE92" s="256">
        <f>IFERROR(SUM(CB91:CB91)/SUM(CB108:CB108),0)</f>
        <v>0.0128970163618864</v>
      </c>
      <c r="CF92" s="256">
        <f>IF(AND(ISNUMBER(CF91),ISNUMBER(CF108)),IFERROR(CF91/CF108,""),"")</f>
        <v>0.0128970163618864</v>
      </c>
      <c r="CG92" s="267" t="n">
        <v>0.018</v>
      </c>
      <c r="CH92" s="267" t="n">
        <v>0.018</v>
      </c>
      <c r="CI92" s="267" t="n">
        <v>0.018</v>
      </c>
      <c r="CJ92" s="267" t="n">
        <v>0.018</v>
      </c>
      <c r="CK92" s="267" t="n">
        <v>0.018</v>
      </c>
      <c r="CL92" s="153" t="n"/>
      <c r="CN92" s="37">
        <f>IFERROR(AVERAGE(CG92,CH92,CI92,CJ92,CK92),"n/m")</f>
        <v>0.018</v>
      </c>
      <c r="CO92" s="37">
        <f>IFERROR(AVERAGE(BG92,BL92,BQ92,BV92,CA92),"n/m")</f>
        <v>0.0163698905566861</v>
      </c>
      <c r="CP92" s="37">
        <f>IFERROR(AVERAGE(AH92,AM92,AR92,AW92,BB92,BG92,BL92,BQ92,BV92,CA92),"n/m")</f>
        <v>0.0206960364484326</v>
      </c>
      <c r="CQ92" s="37">
        <f>IFERROR(AVERAGE(C92,D92,E92,F92,G92,H92,I92,N92,S92,X92,AC92,AH92,AM92,AR92,AW92,BB92,BG92,BL92,BQ92,BV92,CA92),"n/m")</f>
        <v>0.0151670079298241</v>
      </c>
    </row>
    <row r="93" ht="15" customHeight="1" s="251">
      <c r="B93" s="25" t="inlineStr">
        <is>
          <t xml:space="preserve">  Other, net excl. M&amp;A amortization and adjusting items (other amortization, FX, other)</t>
        </is>
      </c>
      <c r="C93" s="264">
        <f>IF(ISNUMBER(C115),C115-N(C86)-(C157-C104),"")</f>
        <v>-4.362</v>
      </c>
      <c r="D93" s="264">
        <f>IF(ISNUMBER(D115),D115-N(D86)-(D157-D104),"")</f>
        <v>0.00699999999999967</v>
      </c>
      <c r="E93" s="264">
        <f>IF(ISNUMBER(E115),E115-N(E86)-(E157-E104),"")</f>
        <v>0.724</v>
      </c>
      <c r="F93" s="264">
        <f>IF(ISNUMBER(F115),F115-N(F86)-(F157-F104),"")</f>
        <v>-0.505</v>
      </c>
      <c r="G93" s="264">
        <f>IF(ISNUMBER(G115),G115-N(G86)-(G157-G104),"")</f>
        <v>-1.523</v>
      </c>
      <c r="H93" s="264">
        <f>IF(ISNUMBER(H115),H115-N(H86)-(H157-H104),"")</f>
        <v>1.732</v>
      </c>
      <c r="I93" s="264">
        <f>IF(ISNUMBER(I115),I115-N(I86)-(I157-I104),"")</f>
        <v>1.629</v>
      </c>
      <c r="J93" s="264">
        <f>IF(ISNUMBER(J115),J115-N(J86)-(J157-J104),"")</f>
        <v>0.352</v>
      </c>
      <c r="K93" s="264">
        <f>IF(ISNUMBER(K115),K115-N(K86)-(K157-K104),"")</f>
        <v>0.563</v>
      </c>
      <c r="L93" s="264">
        <f>IF(ISNUMBER(L115),L115-N(L86)-(L157-L104),"")</f>
        <v>0.55</v>
      </c>
      <c r="M93" s="264">
        <f>IF(ISNUMBER(M115),M115-N(M86)-(M157-M104),"")</f>
        <v>0.694</v>
      </c>
      <c r="N93" s="264">
        <f>IF(ISNUMBER(N115),N115-N(N86)-(N157-N104),"")</f>
        <v>2.159</v>
      </c>
      <c r="O93" s="264">
        <f>IF(ISNUMBER(O115),O115-N(O86)-(O157-O104),"")</f>
        <v>0.559</v>
      </c>
      <c r="P93" s="264">
        <f>IF(ISNUMBER(P115),P115-N(P86)-(P157-P104),"")</f>
        <v>0.648</v>
      </c>
      <c r="Q93" s="264">
        <f>IF(ISNUMBER(Q115),Q115-N(Q86)-(Q157-Q104),"")</f>
        <v>0.566</v>
      </c>
      <c r="R93" s="264">
        <f>IF(ISNUMBER(R115),R115-N(R86)-(R157-R104),"")</f>
        <v>0.49</v>
      </c>
      <c r="S93" s="264">
        <f>IF(ISNUMBER(S115),S115-N(S86)-(S157-S104),"")</f>
        <v>2.136</v>
      </c>
      <c r="T93" s="264">
        <f>IF(ISNUMBER(T115),T115-N(T86)-(T157-T104),"")</f>
        <v>0.614</v>
      </c>
      <c r="U93" s="264">
        <f>IF(ISNUMBER(U115),U115-N(U86)-(U157-U104),"")</f>
        <v>0.262</v>
      </c>
      <c r="V93" s="264">
        <f>IF(ISNUMBER(V115),V115-N(V86)-(V157-V104),"")</f>
        <v>0.183</v>
      </c>
      <c r="W93" s="264">
        <f>IF(ISNUMBER(W115),W115-N(W86)-(W157-W104),"")</f>
        <v>0.393</v>
      </c>
      <c r="X93" s="264">
        <f>IF(ISNUMBER(X115),X115-N(X86)-(X157-X104),"")</f>
        <v>1.452</v>
      </c>
      <c r="Y93" s="264">
        <f>IF(ISNUMBER(Y115),Y115-N(Y86)-(Y157-Y104),"")</f>
        <v>1.89</v>
      </c>
      <c r="Z93" s="264">
        <f>IF(ISNUMBER(Z115),Z115-N(Z86)-(Z157-Z104),"")</f>
        <v>2.292</v>
      </c>
      <c r="AA93" s="264">
        <f>IF(ISNUMBER(AA115),AA115-N(AA86)-(AA157-AA104),"")</f>
        <v>2.594</v>
      </c>
      <c r="AB93" s="264">
        <f>IF(ISNUMBER(AB115),AB115-N(AB86)-(AB157-AB104),"")</f>
        <v>1.648</v>
      </c>
      <c r="AC93" s="264">
        <f>IF(ISNUMBER(AC115),AC115-N(AC86)-(AC157-AC104),"")</f>
        <v>8.424</v>
      </c>
      <c r="AD93" s="264">
        <f>IF(ISNUMBER(AD115),AD115-N(AD86)-(AD157-AD104),"")</f>
        <v>2.234</v>
      </c>
      <c r="AE93" s="264">
        <f>IF(ISNUMBER(AE115),AE115-N(AE86)-(AE157-AE104),"")</f>
        <v>1.767</v>
      </c>
      <c r="AF93" s="264">
        <f>IF(ISNUMBER(AF115),AF115-N(AF86)-(AF157-AF104),"")</f>
        <v>2.299</v>
      </c>
      <c r="AG93" s="264">
        <f>IF(ISNUMBER(AG115),AG115-N(AG86)-(AG157-AG104),"")</f>
        <v>2.614</v>
      </c>
      <c r="AH93" s="264">
        <f>IF(ISNUMBER(AH115),AH115-N(AH86)-(AH157-AH104),"")</f>
        <v>8.914</v>
      </c>
      <c r="AI93" s="264">
        <f>IF(ISNUMBER(AI115),AI115-N(AI86)-(AI157-AI104),"")</f>
        <v>2.331</v>
      </c>
      <c r="AJ93" s="264">
        <f>IF(ISNUMBER(AJ115),AJ115-N(AJ86)-(AJ157-AJ104),"")</f>
        <v>2.444</v>
      </c>
      <c r="AK93" s="264">
        <f>IF(ISNUMBER(AK115),AK115-N(AK86)-(AK157-AK104),"")</f>
        <v>2.289</v>
      </c>
      <c r="AL93" s="264">
        <f>IF(ISNUMBER(AL115),AL115-N(AL86)-(AL157-AL104),"")</f>
        <v>1.8</v>
      </c>
      <c r="AM93" s="264">
        <f>IF(ISNUMBER(AM115),AM115-N(AM86)-(AM157-AM104),"")</f>
        <v>8.864</v>
      </c>
      <c r="AN93" s="264">
        <f>IF(ISNUMBER(AN115),AN115-N(AN86)-(AN157-AN104),"")</f>
        <v>2.166</v>
      </c>
      <c r="AO93" s="264">
        <f>IF(ISNUMBER(AO115),AO115-N(AO86)-(AO157-AO104),"")</f>
        <v>2.609</v>
      </c>
      <c r="AP93" s="264">
        <f>IF(ISNUMBER(AP115),AP115-N(AP86)-(AP157-AP104),"")</f>
        <v>2.345</v>
      </c>
      <c r="AQ93" s="264">
        <f>IF(ISNUMBER(AQ115),AQ115-N(AQ86)-(AQ157-AQ104),"")</f>
        <v>2.27</v>
      </c>
      <c r="AR93" s="264">
        <f>IF(ISNUMBER(AR115),AR115-N(AR86)-(AR157-AR104),"")</f>
        <v>9.39</v>
      </c>
      <c r="AS93" s="264">
        <f>IF(ISNUMBER(AS115),AS115-N(AS86)-(AS157-AS104),"")</f>
        <v>2.117</v>
      </c>
      <c r="AT93" s="264">
        <f>IF(ISNUMBER(AT115),AT115-N(AT86)-(AT157-AT104),"")</f>
        <v>2.046</v>
      </c>
      <c r="AU93" s="264">
        <f>IF(ISNUMBER(AU115),AU115-N(AU86)-(AU157-AU104),"")</f>
        <v>2.379</v>
      </c>
      <c r="AV93" s="264">
        <f>IF(ISNUMBER(AV115),AV115-N(AV86)-(AV157-AV104),"")</f>
        <v>2.714</v>
      </c>
      <c r="AW93" s="264">
        <f>IF(ISNUMBER(AW115),AW115-N(AW86)-(AW157-AW104),"")</f>
        <v>9.256</v>
      </c>
      <c r="AX93" s="264">
        <f>IF(ISNUMBER(AX115),AX115-N(AX86)-(AX157-AX104),"")</f>
        <v>2.691</v>
      </c>
      <c r="AY93" s="264">
        <f>IF(ISNUMBER(AY115),AY115-N(AY86)-(AY157-AY104),"")</f>
        <v>2.69</v>
      </c>
      <c r="AZ93" s="264">
        <f>IF(ISNUMBER(AZ115),AZ115-N(AZ86)-(AZ157-AZ104),"")</f>
        <v>2.802</v>
      </c>
      <c r="BA93" s="264">
        <f>IF(ISNUMBER(BA115),BA115-N(BA86)-(BA157-BA104),"")</f>
        <v>2.782</v>
      </c>
      <c r="BB93" s="264">
        <f>IF(ISNUMBER(BB115),BB115-N(BB86)-(BB157-BB104),"")</f>
        <v>10.965</v>
      </c>
      <c r="BC93" s="264">
        <f>IF(ISNUMBER(BC115),BC115-N(BC86)-(BC157-BC104),"")</f>
        <v>2.691</v>
      </c>
      <c r="BD93" s="264">
        <f>IF(ISNUMBER(BD115),BD115-N(BD86)-(BD157-BD104),"")</f>
        <v>3.176</v>
      </c>
      <c r="BE93" s="264">
        <f>IF(ISNUMBER(BE115),BE115-N(BE86)-(BE157-BE104),"")</f>
        <v>12.312</v>
      </c>
      <c r="BF93" s="264">
        <f>IF(ISNUMBER(BF115),BF115-N(BF86)-(BF157-BF104),"")</f>
        <v>17.976</v>
      </c>
      <c r="BG93" s="264">
        <f>IF(ISNUMBER(BG115),BG115-N(BG86)-(BG157-BG104),"")</f>
        <v>36.155</v>
      </c>
      <c r="BH93" s="264">
        <f>IF(ISNUMBER(BH115),BH115-N(BH86)-(BH157-BH104),"")</f>
        <v>17.067</v>
      </c>
      <c r="BI93" s="264">
        <f>IF(ISNUMBER(BI115),BI115-N(BI86)-(BI157-BI104),"")</f>
        <v>1.465</v>
      </c>
      <c r="BJ93" s="264">
        <f>IF(ISNUMBER(BJ115),BJ115-N(BJ86)-(BJ157-BJ104),"")</f>
        <v>1.343</v>
      </c>
      <c r="BK93" s="264">
        <f>IF(ISNUMBER(BK115),BK115-N(BK86)-(BK157-BK104),"")</f>
        <v>2.124</v>
      </c>
      <c r="BL93" s="264">
        <f>IF(ISNUMBER(BL115),BL115-N(BL86)-(BL157-BL104),"")</f>
        <v>5.60999999999999</v>
      </c>
      <c r="BM93" s="264">
        <f>IF(ISNUMBER(BM115),BM115-N(BM86)-(BM157-BM104),"")</f>
        <v>1.616</v>
      </c>
      <c r="BN93" s="264">
        <f>IF(ISNUMBER(BN115),BN115-N(BN86)-(BN157-BN104),"")</f>
        <v>1.318</v>
      </c>
      <c r="BO93" s="264">
        <f>IF(ISNUMBER(BO115),BO115-N(BO86)-(BO157-BO104),"")</f>
        <v>2.218</v>
      </c>
      <c r="BP93" s="264">
        <f>IF(ISNUMBER(BP115),BP115-N(BP86)-(BP157-BP104),"")</f>
        <v>1.168</v>
      </c>
      <c r="BQ93" s="264">
        <f>IF(ISNUMBER(BQ115),BQ115-N(BQ86)-(BQ157-BQ104),"")</f>
        <v>6.34499999999999</v>
      </c>
      <c r="BR93" s="264">
        <f>IF(ISNUMBER(BR115),BR115-N(BR86)-(BR157-BR104),"")</f>
        <v>2.5</v>
      </c>
      <c r="BS93" s="264">
        <f>IF(ISNUMBER(BS115),BS115-N(BS86)-(BS157-BS104),"")</f>
        <v>1.3</v>
      </c>
      <c r="BT93" s="264">
        <f>IF(ISNUMBER(BT115),BT115-N(BT86)-(BT157-BT104),"")</f>
        <v>2.7</v>
      </c>
      <c r="BU93" s="264">
        <f>IF(ISNUMBER(BU115),BU115-N(BU86)-(BU157-BU104),"")</f>
        <v>3.3</v>
      </c>
      <c r="BV93" s="264">
        <f>IF(ISNUMBER(BV115),BV115-N(BV86)-(BV157-BV104),"")</f>
        <v>9.80000000000001</v>
      </c>
      <c r="BW93" s="264">
        <f>IF(ISNUMBER(BW115),BW115-N(BW86)-(BW157-BW104),"")</f>
        <v>2.7</v>
      </c>
      <c r="BX93" s="264">
        <f>IF(ISNUMBER(BX115),BX115-N(BX86)-(BX157-BX104),"")</f>
        <v>3.6</v>
      </c>
      <c r="BY93" s="264">
        <f>IF(ISNUMBER(BY115),BY115-N(BY86)-(BY157-BY104),"")</f>
        <v>3.2</v>
      </c>
      <c r="BZ93" s="264">
        <f>IF(ISNUMBER(BZ115),BZ115-N(BZ86)-(BZ157-BZ104),"")</f>
        <v>4.2</v>
      </c>
      <c r="CA93" s="264">
        <f>IF(ISNUMBER(CA115),CA115-N(CA86)-(CA157-CA104),"")</f>
        <v>13.7</v>
      </c>
      <c r="CB93" s="264">
        <f>IF(ISNUMBER(CB115),CB115-N(CB86)-(CB157-CB104),"")</f>
        <v>1.3</v>
      </c>
      <c r="CC93" s="261">
        <f>$CV$20</f>
        <v>1.5</v>
      </c>
      <c r="CD93" s="261">
        <f>$CV$20</f>
        <v>1.5</v>
      </c>
      <c r="CE93" s="261">
        <f>$CV$20</f>
        <v>1.5</v>
      </c>
      <c r="CF93" s="261">
        <f>SUM(CB93:CE93)</f>
        <v>5.8</v>
      </c>
      <c r="CG93" s="261">
        <f>CG108*CG94</f>
        <v>7.15432494069092</v>
      </c>
      <c r="CH93" s="261">
        <f>CH108*CH94</f>
        <v>7.99911407244292</v>
      </c>
      <c r="CI93" s="261">
        <f>CI108*CI94</f>
        <v>8.84790878585655</v>
      </c>
      <c r="CJ93" s="261">
        <f>CJ108*CJ94</f>
        <v>9.7133488656539</v>
      </c>
      <c r="CK93" s="261">
        <f>CK108*CK94</f>
        <v>10.5676549285624</v>
      </c>
      <c r="CL93" s="19" t="inlineStr">
        <is>
          <t>History before FY2023 includes all amortization of intangibles (M&amp;A-related amortization not published separately).</t>
        </is>
      </c>
    </row>
    <row r="94" ht="15" customHeight="1" s="251">
      <c r="B94" s="25" t="inlineStr">
        <is>
          <t xml:space="preserve">  Other, net excl. M&amp;A amortization and items % of net sales</t>
        </is>
      </c>
      <c r="C94" s="215">
        <f>IF(AND(ISNUMBER(C93),ISNUMBER(C108)),IFERROR(C93/C108,""),"")</f>
        <v>-0.0158901893926975</v>
      </c>
      <c r="D94" s="215">
        <f>IF(AND(ISNUMBER(D93),ISNUMBER(D108)),IFERROR(D93/D108,""),"")</f>
        <v>2.2871182962928e-05</v>
      </c>
      <c r="E94" s="215">
        <f>IF(AND(ISNUMBER(E93),ISNUMBER(E108)),IFERROR(E93/E108,""),"")</f>
        <v>0.00218995765275257</v>
      </c>
      <c r="F94" s="215">
        <f>IF(AND(ISNUMBER(F93),ISNUMBER(F108)),IFERROR(F93/F108,""),"")</f>
        <v>-0.00141935266276181</v>
      </c>
      <c r="G94" s="215">
        <f>IF(AND(ISNUMBER(G93),ISNUMBER(G108)),IFERROR(G93/G108,""),"")</f>
        <v>-0.0055441897037517</v>
      </c>
      <c r="H94" s="215">
        <f>IF(AND(ISNUMBER(H93),ISNUMBER(H108)),IFERROR(H93/H108,""),"")</f>
        <v>0.00516052141527002</v>
      </c>
      <c r="I94" s="215">
        <f>IF(AND(ISNUMBER(I93),ISNUMBER(I108)),IFERROR(I93/I108,""),"")</f>
        <v>0.00409799980377901</v>
      </c>
      <c r="J94" s="215">
        <f>IF(AND(ISNUMBER(J93),ISNUMBER(J108)),IFERROR(J93/J108,""),"")</f>
        <v>0.00340642963593783</v>
      </c>
      <c r="K94" s="215">
        <f>IF(AND(ISNUMBER(K93),ISNUMBER(K108)),IFERROR(K93/K108,""),"")</f>
        <v>0.00560896637608966</v>
      </c>
      <c r="L94" s="215">
        <f>IF(AND(ISNUMBER(L93),ISNUMBER(L108)),IFERROR(L93/L108,""),"")</f>
        <v>0.00570918452084371</v>
      </c>
      <c r="M94" s="215">
        <f>IF(AND(ISNUMBER(M93),ISNUMBER(M108)),IFERROR(M93/M108,""),"")</f>
        <v>0.00673747160359591</v>
      </c>
      <c r="N94" s="215">
        <f>IF(AND(ISNUMBER(N93),ISNUMBER(N108)),IFERROR(N93/N108,""),"")</f>
        <v>0.00535664221153154</v>
      </c>
      <c r="O94" s="215">
        <f>IF(AND(ISNUMBER(O93),ISNUMBER(O108)),IFERROR(O93/O108,""),"")</f>
        <v>0.00544473448396774</v>
      </c>
      <c r="P94" s="215">
        <f>IF(AND(ISNUMBER(P93),ISNUMBER(P108)),IFERROR(P93/P108,""),"")</f>
        <v>0.0063558075210389</v>
      </c>
      <c r="Q94" s="215">
        <f>IF(AND(ISNUMBER(Q93),ISNUMBER(Q108)),IFERROR(Q93/Q108,""),"")</f>
        <v>0.00562926421737314</v>
      </c>
      <c r="R94" s="215">
        <f>IF(AND(ISNUMBER(R93),ISNUMBER(R108)),IFERROR(R93/R108,""),"")</f>
        <v>0.0043089044830194</v>
      </c>
      <c r="S94" s="215">
        <f>IF(AND(ISNUMBER(S93),ISNUMBER(S108)),IFERROR(S93/S108,""),"")</f>
        <v>0.00509923941120018</v>
      </c>
      <c r="T94" s="215">
        <f>IF(AND(ISNUMBER(T93),ISNUMBER(T108)),IFERROR(T93/T108,""),"")</f>
        <v>0.00543439779083764</v>
      </c>
      <c r="U94" s="215">
        <f>IF(AND(ISNUMBER(U93),ISNUMBER(U108)),IFERROR(U93/U108,""),"")</f>
        <v>0.00232775087734885</v>
      </c>
      <c r="V94" s="215">
        <f>IF(AND(ISNUMBER(V93),ISNUMBER(V108)),IFERROR(V93/V108,""),"")</f>
        <v>0.00172118658415004</v>
      </c>
      <c r="W94" s="215">
        <f>IF(AND(ISNUMBER(W93),ISNUMBER(W108)),IFERROR(W93/W108,""),"")</f>
        <v>0.0034650890078207</v>
      </c>
      <c r="X94" s="215">
        <f>IF(AND(ISNUMBER(X93),ISNUMBER(X108)),IFERROR(X93/X108,""),"")</f>
        <v>0.00326088421166103</v>
      </c>
      <c r="Y94" s="215">
        <f>IF(AND(ISNUMBER(Y93),ISNUMBER(Y108)),IFERROR(Y93/Y108,""),"")</f>
        <v>0.0132810523652922</v>
      </c>
      <c r="Z94" s="215">
        <f>IF(AND(ISNUMBER(Z93),ISNUMBER(Z108)),IFERROR(Z93/Z108,""),"")</f>
        <v>0.0154139990315812</v>
      </c>
      <c r="AA94" s="215">
        <f>IF(AND(ISNUMBER(AA93),ISNUMBER(AA108)),IFERROR(AA93/AA108,""),"")</f>
        <v>0.0179869085260997</v>
      </c>
      <c r="AB94" s="215">
        <f>IF(AND(ISNUMBER(AB93),ISNUMBER(AB108)),IFERROR(AB93/AB108,""),"")</f>
        <v>0.0101570396666913</v>
      </c>
      <c r="AC94" s="215">
        <f>IF(AND(ISNUMBER(AC93),ISNUMBER(AC108)),IFERROR(AC93/AC108,""),"")</f>
        <v>0.0140994054951529</v>
      </c>
      <c r="AD94" s="215">
        <f>IF(AND(ISNUMBER(AD93),ISNUMBER(AD108)),IFERROR(AD93/AD108,""),"")</f>
        <v>0.0144521571494187</v>
      </c>
      <c r="AE94" s="215">
        <f>IF(AND(ISNUMBER(AE93),ISNUMBER(AE108)),IFERROR(AE93/AE108,""),"")</f>
        <v>0.0114782744262487</v>
      </c>
      <c r="AF94" s="215">
        <f>IF(AND(ISNUMBER(AF93),ISNUMBER(AF108)),IFERROR(AF93/AF108,""),"")</f>
        <v>0.0156761400829151</v>
      </c>
      <c r="AG94" s="215">
        <f>IF(AND(ISNUMBER(AG93),ISNUMBER(AG108)),IFERROR(AG93/AG108,""),"")</f>
        <v>0.016316085138256</v>
      </c>
      <c r="AH94" s="215">
        <f>IF(AND(ISNUMBER(AH93),ISNUMBER(AH108)),IFERROR(AH93/AH108,""),"")</f>
        <v>0.0144851703315632</v>
      </c>
      <c r="AI94" s="215">
        <f>IF(AND(ISNUMBER(AI93),ISNUMBER(AI108)),IFERROR(AI93/AI108,""),"")</f>
        <v>0.0142223469618114</v>
      </c>
      <c r="AJ94" s="215">
        <f>IF(AND(ISNUMBER(AJ93),ISNUMBER(AJ108)),IFERROR(AJ93/AJ108,""),"")</f>
        <v>0.0148736892713475</v>
      </c>
      <c r="AK94" s="215">
        <f>IF(AND(ISNUMBER(AK93),ISNUMBER(AK108)),IFERROR(AK93/AK108,""),"")</f>
        <v>0.0137182514473385</v>
      </c>
      <c r="AL94" s="215">
        <f>IF(AND(ISNUMBER(AL93),ISNUMBER(AL108)),IFERROR(AL93/AL108,""),"")</f>
        <v>0.0100068380059707</v>
      </c>
      <c r="AM94" s="215">
        <f>IF(AND(ISNUMBER(AM93),ISNUMBER(AM108)),IFERROR(AM93/AM108,""),"")</f>
        <v>0.0131328441111847</v>
      </c>
      <c r="AN94" s="215">
        <f>IF(AND(ISNUMBER(AN93),ISNUMBER(AN108)),IFERROR(AN93/AN108,""),"")</f>
        <v>0.0123078671477683</v>
      </c>
      <c r="AO94" s="215">
        <f>IF(AND(ISNUMBER(AO93),ISNUMBER(AO108)),IFERROR(AO93/AO108,""),"")</f>
        <v>0.0150882509426542</v>
      </c>
      <c r="AP94" s="215">
        <f>IF(AND(ISNUMBER(AP93),ISNUMBER(AP108)),IFERROR(AP93/AP108,""),"")</f>
        <v>0.0136772176631497</v>
      </c>
      <c r="AQ94" s="215">
        <f>IF(AND(ISNUMBER(AQ93),ISNUMBER(AQ108)),IFERROR(AQ93/AQ108,""),"")</f>
        <v>0.0124614354256102</v>
      </c>
      <c r="AR94" s="215">
        <f>IF(AND(ISNUMBER(AR93),ISNUMBER(AR108)),IFERROR(AR93/AR108,""),"")</f>
        <v>0.0133662436158038</v>
      </c>
      <c r="AS94" s="215">
        <f>IF(AND(ISNUMBER(AS93),ISNUMBER(AS108)),IFERROR(AS93/AS108,""),"")</f>
        <v>0.0115879358476107</v>
      </c>
      <c r="AT94" s="215">
        <f>IF(AND(ISNUMBER(AT93),ISNUMBER(AT108)),IFERROR(AT93/AT108,""),"")</f>
        <v>0.0112473819327246</v>
      </c>
      <c r="AU94" s="215">
        <f>IF(AND(ISNUMBER(AU93),ISNUMBER(AU108)),IFERROR(AU93/AU108,""),"")</f>
        <v>0.0134392353363198</v>
      </c>
      <c r="AV94" s="215">
        <f>IF(AND(ISNUMBER(AV93),ISNUMBER(AV108)),IFERROR(AV93/AV108,""),"")</f>
        <v>0.0146037246493008</v>
      </c>
      <c r="AW94" s="215">
        <f>IF(AND(ISNUMBER(AW93),ISNUMBER(AW108)),IFERROR(AW93/AW108,""),"")</f>
        <v>0.0127237061505703</v>
      </c>
      <c r="AX94" s="215">
        <f>IF(AND(ISNUMBER(AX93),ISNUMBER(AX108)),IFERROR(AX93/AX108,""),"")</f>
        <v>0.0171956573137457</v>
      </c>
      <c r="AY94" s="215">
        <f>IF(AND(ISNUMBER(AY93),ISNUMBER(AY108)),IFERROR(AY93/AY108,""),"")</f>
        <v>0.0183824785594697</v>
      </c>
      <c r="AZ94" s="215">
        <f>IF(AND(ISNUMBER(AZ93),ISNUMBER(AZ108)),IFERROR(AZ93/AZ108,""),"")</f>
        <v>0.0192100698610321</v>
      </c>
      <c r="BA94" s="215">
        <f>IF(AND(ISNUMBER(BA93),ISNUMBER(BA108)),IFERROR(BA93/BA108,""),"")</f>
        <v>0.0173555007954085</v>
      </c>
      <c r="BB94" s="215">
        <f>IF(AND(ISNUMBER(BB93),ISNUMBER(BB108)),IFERROR(BB93/BB108,""),"")</f>
        <v>0.0180053991566281</v>
      </c>
      <c r="BC94" s="215">
        <f>IF(AND(ISNUMBER(BC93),ISNUMBER(BC108)),IFERROR(BC93/BC108,""),"")</f>
        <v>0.0172273614801063</v>
      </c>
      <c r="BD94" s="215">
        <f>IF(AND(ISNUMBER(BD93),ISNUMBER(BD108)),IFERROR(BD93/BD108,""),"")</f>
        <v>0.019738968303294</v>
      </c>
      <c r="BE94" s="215">
        <f>IF(AND(ISNUMBER(BE93),ISNUMBER(BE108)),IFERROR(BE93/BE108,""),"")</f>
        <v>0.0461204781366008</v>
      </c>
      <c r="BF94" s="215">
        <f>IF(AND(ISNUMBER(BF93),ISNUMBER(BF108)),IFERROR(BF93/BF108,""),"")</f>
        <v>0.0500893058663226</v>
      </c>
      <c r="BG94" s="215">
        <f>IF(AND(ISNUMBER(BG93),ISNUMBER(BG108)),IFERROR(BG93/BG108,""),"")</f>
        <v>0.0383429645883023</v>
      </c>
      <c r="BH94" s="215">
        <f>IF(AND(ISNUMBER(BH93),ISNUMBER(BH108)),IFERROR(BH93/BH108,""),"")</f>
        <v>0.0482009715318572</v>
      </c>
      <c r="BI94" s="215">
        <f>IF(AND(ISNUMBER(BI93),ISNUMBER(BI108)),IFERROR(BI93/BI108,""),"")</f>
        <v>0.00396839370799665</v>
      </c>
      <c r="BJ94" s="215">
        <f>IF(AND(ISNUMBER(BJ93),ISNUMBER(BJ108)),IFERROR(BJ93/BJ108,""),"")</f>
        <v>0.00381940988268752</v>
      </c>
      <c r="BK94" s="215">
        <f>IF(AND(ISNUMBER(BK93),ISNUMBER(BK108)),IFERROR(BK93/BK108,""),"")</f>
        <v>0.00538509515189315</v>
      </c>
      <c r="BL94" s="215">
        <f>IF(AND(ISNUMBER(BL93),ISNUMBER(BL108)),IFERROR(BL93/BL108,""),"")</f>
        <v>0.0038181446947526</v>
      </c>
      <c r="BM94" s="215">
        <f>IF(AND(ISNUMBER(BM93),ISNUMBER(BM108)),IFERROR(BM93/BM108,""),"")</f>
        <v>0.00417439463528294</v>
      </c>
      <c r="BN94" s="215">
        <f>IF(AND(ISNUMBER(BN93),ISNUMBER(BN108)),IFERROR(BN93/BN108,""),"")</f>
        <v>0.00341829800919154</v>
      </c>
      <c r="BO94" s="215">
        <f>IF(AND(ISNUMBER(BO93),ISNUMBER(BO108)),IFERROR(BO93/BO108,""),"")</f>
        <v>0.00593197220691832</v>
      </c>
      <c r="BP94" s="215">
        <f>IF(AND(ISNUMBER(BP93),ISNUMBER(BP108)),IFERROR(BP93/BP108,""),"")</f>
        <v>0.00282343840649778</v>
      </c>
      <c r="BQ94" s="215">
        <f>IF(AND(ISNUMBER(BQ93),ISNUMBER(BQ108)),IFERROR(BQ93/BQ108,""),"")</f>
        <v>0.00406652566814074</v>
      </c>
      <c r="BR94" s="215">
        <f>IF(AND(ISNUMBER(BR93),ISNUMBER(BR108)),IFERROR(BR93/BR108,""),"")</f>
        <v>0.006153088850603</v>
      </c>
      <c r="BS94" s="215">
        <f>IF(AND(ISNUMBER(BS93),ISNUMBER(BS108)),IFERROR(BS93/BS108,""),"")</f>
        <v>0.00326715255089219</v>
      </c>
      <c r="BT94" s="215">
        <f>IF(AND(ISNUMBER(BT93),ISNUMBER(BT108)),IFERROR(BT93/BT108,""),"")</f>
        <v>0.00684584178498986</v>
      </c>
      <c r="BU94" s="215">
        <f>IF(AND(ISNUMBER(BU93),ISNUMBER(BU108)),IFERROR(BU93/BU108,""),"")</f>
        <v>0.00753941055517478</v>
      </c>
      <c r="BV94" s="215">
        <f>IF(AND(ISNUMBER(BV93),ISNUMBER(BV108)),IFERROR(BV93/BV108,""),"")</f>
        <v>0.00598912179918109</v>
      </c>
      <c r="BW94" s="215">
        <f>IF(AND(ISNUMBER(BW93),ISNUMBER(BW108)),IFERROR(BW93/BW108,""),"")</f>
        <v>0.00619266055045872</v>
      </c>
      <c r="BX94" s="215">
        <f>IF(AND(ISNUMBER(BX93),ISNUMBER(BX108)),IFERROR(BX93/BX108,""),"")</f>
        <v>0.00790687458818361</v>
      </c>
      <c r="BY94" s="215">
        <f>IF(AND(ISNUMBER(BY93),ISNUMBER(BY108)),IFERROR(BY93/BY108,""),"")</f>
        <v>0.00693240901213172</v>
      </c>
      <c r="BZ94" s="215">
        <f>IF(AND(ISNUMBER(BZ93),ISNUMBER(BZ108)),IFERROR(BZ93/BZ108,""),"")</f>
        <v>0.00810810810810811</v>
      </c>
      <c r="CA94" s="215">
        <f>IF(AND(ISNUMBER(CA93),ISNUMBER(CA108)),IFERROR(CA93/CA108,""),"")</f>
        <v>0.00732267892458175</v>
      </c>
      <c r="CB94" s="215">
        <f>IF(AND(ISNUMBER(CB93),ISNUMBER(CB108)),IFERROR(CB93/CB108,""),"")</f>
        <v>0.00250240615976901</v>
      </c>
      <c r="CC94" s="256">
        <f>IF(AND(ISNUMBER(CC93),ISNUMBER(CC108)),IFERROR(CC93/CC108,""),"")</f>
        <v>0.00294117647058824</v>
      </c>
      <c r="CD94" s="256">
        <f>IF(AND(ISNUMBER(CD93),ISNUMBER(CD108)),IFERROR(CD93/CD108,""),"")</f>
        <v>0.00293545445161744</v>
      </c>
      <c r="CE94" s="256">
        <f>IF(AND(ISNUMBER(CE93),ISNUMBER(CE108)),IFERROR(CE93/CE108,""),"")</f>
        <v>0.00243260902365717</v>
      </c>
      <c r="CF94" s="256">
        <f>IF(AND(ISNUMBER(CF93),ISNUMBER(CF108)),IFERROR(CF93/CF108,""),"")</f>
        <v>0.00268877515694828</v>
      </c>
      <c r="CG94" s="267" t="n">
        <v>0.003</v>
      </c>
      <c r="CH94" s="267" t="n">
        <v>0.003</v>
      </c>
      <c r="CI94" s="267" t="n">
        <v>0.003</v>
      </c>
      <c r="CJ94" s="267" t="n">
        <v>0.003</v>
      </c>
      <c r="CK94" s="267" t="n">
        <v>0.003</v>
      </c>
      <c r="CL94" s="153" t="n"/>
    </row>
    <row r="95" ht="15" customHeight="1" s="251">
      <c r="B95" s="25" t="inlineStr">
        <is>
          <t xml:space="preserve">  Adjusting items (pre-tax, adjusted out by the company; forecast inputs):</t>
        </is>
      </c>
      <c r="CL95" s="153" t="n"/>
    </row>
    <row r="96" ht="15" customHeight="1" s="251">
      <c r="B96" s="25" t="inlineStr">
        <is>
          <t xml:space="preserve">  Restructuring &amp; consolidation (plant moves, integration)</t>
        </is>
      </c>
      <c r="C96" s="259" t="n">
        <v>1.024</v>
      </c>
      <c r="D96" s="259" t="n">
        <v>5.455</v>
      </c>
      <c r="E96" s="259" t="n">
        <v>0.734</v>
      </c>
      <c r="F96" s="259" t="n">
        <v>1.231</v>
      </c>
      <c r="G96" s="259" t="n">
        <v>1.197</v>
      </c>
      <c r="H96" s="259" t="n">
        <v>0.219</v>
      </c>
      <c r="I96" s="259" t="n">
        <v>0</v>
      </c>
      <c r="J96" s="259" t="n">
        <v>0</v>
      </c>
      <c r="K96" s="259" t="n">
        <v>0</v>
      </c>
      <c r="L96" s="259" t="n">
        <v>0</v>
      </c>
      <c r="M96" s="259" t="n">
        <v>6.738</v>
      </c>
      <c r="N96" s="259" t="n">
        <v>6.738</v>
      </c>
      <c r="O96" s="259" t="n">
        <v>0.628</v>
      </c>
      <c r="P96" s="259" t="n">
        <v>0.87</v>
      </c>
      <c r="Q96" s="259" t="n">
        <v>0</v>
      </c>
      <c r="R96" s="259" t="n">
        <v>0</v>
      </c>
      <c r="S96" s="259" t="n">
        <v>1.498</v>
      </c>
      <c r="T96" s="259" t="n">
        <v>0</v>
      </c>
      <c r="U96" s="259" t="n">
        <v>6.382</v>
      </c>
      <c r="V96" s="259" t="n">
        <v>0.08799999999999999</v>
      </c>
      <c r="W96" s="259" t="n">
        <v>0</v>
      </c>
      <c r="X96" s="259" t="n">
        <v>6.47</v>
      </c>
      <c r="Y96" s="259" t="n">
        <v>0.79</v>
      </c>
      <c r="Z96" s="259" t="n">
        <v>0.209</v>
      </c>
      <c r="AA96" s="259" t="n">
        <v>0</v>
      </c>
      <c r="AB96" s="259" t="n">
        <v>0</v>
      </c>
      <c r="AC96" s="259" t="n">
        <v>0.999</v>
      </c>
      <c r="AD96" s="259" t="n">
        <v>0</v>
      </c>
      <c r="AE96" s="259" t="n">
        <v>0.222</v>
      </c>
      <c r="AF96" s="259" t="n">
        <v>7.06</v>
      </c>
      <c r="AG96" s="259" t="n">
        <v>0</v>
      </c>
      <c r="AH96" s="259" t="n">
        <v>7.282</v>
      </c>
      <c r="AI96" s="259" t="n">
        <v>0</v>
      </c>
      <c r="AJ96" s="259" t="n">
        <v>6.494</v>
      </c>
      <c r="AK96" s="259" t="n">
        <v>1.091</v>
      </c>
      <c r="AL96" s="259" t="n">
        <v>0.397</v>
      </c>
      <c r="AM96" s="259" t="n">
        <v>7.982</v>
      </c>
      <c r="AN96" s="259" t="n">
        <v>0</v>
      </c>
      <c r="AO96" s="259" t="n">
        <v>0</v>
      </c>
      <c r="AP96" s="259" t="n">
        <v>0</v>
      </c>
      <c r="AQ96" s="259" t="n">
        <v>1.18</v>
      </c>
      <c r="AR96" s="259" t="n">
        <v>1.18</v>
      </c>
      <c r="AS96" s="259" t="n">
        <v>0</v>
      </c>
      <c r="AT96" s="259" t="n">
        <v>0.08400000000000001</v>
      </c>
      <c r="AU96" s="259" t="n">
        <v>0.147</v>
      </c>
      <c r="AV96" s="259" t="n">
        <v>0.805</v>
      </c>
      <c r="AW96" s="259" t="n">
        <v>1.036</v>
      </c>
      <c r="AX96" s="259" t="n">
        <v>1.119</v>
      </c>
      <c r="AY96" s="259" t="n">
        <v>3.514</v>
      </c>
      <c r="AZ96" s="259" t="n">
        <v>1.341</v>
      </c>
      <c r="BA96" s="259" t="n">
        <v>1.273</v>
      </c>
      <c r="BB96" s="259" t="n">
        <v>7.247</v>
      </c>
      <c r="BC96" s="259" t="n">
        <v>0.5570000000000001</v>
      </c>
      <c r="BD96" s="259" t="n">
        <v>1.987</v>
      </c>
      <c r="BE96" s="259" t="n">
        <v>0</v>
      </c>
      <c r="BF96" s="259" t="n">
        <v>0</v>
      </c>
      <c r="BG96" s="259" t="n">
        <v>2.544</v>
      </c>
      <c r="BH96" s="259" t="n">
        <v>0</v>
      </c>
      <c r="BI96" s="259" t="n">
        <v>0.017</v>
      </c>
      <c r="BJ96" s="259" t="n">
        <v>0</v>
      </c>
      <c r="BK96" s="259" t="n">
        <v>2.643</v>
      </c>
      <c r="BL96" s="259" t="n">
        <v>2.66</v>
      </c>
      <c r="BM96" s="259" t="n">
        <v>0.29</v>
      </c>
      <c r="BN96" s="259" t="n">
        <v>0.631</v>
      </c>
      <c r="BO96" s="259" t="n">
        <v>0.065</v>
      </c>
      <c r="BP96" s="259" t="n">
        <v>1.998</v>
      </c>
      <c r="BQ96" s="259" t="n">
        <v>2.984</v>
      </c>
      <c r="BR96" s="259" t="n">
        <v>0</v>
      </c>
      <c r="BS96" s="259" t="n">
        <v>0.5</v>
      </c>
      <c r="BT96" s="259" t="n">
        <v>0.1</v>
      </c>
      <c r="BU96" s="259" t="n">
        <v>0.9</v>
      </c>
      <c r="BV96" s="259" t="n">
        <v>1.5</v>
      </c>
      <c r="BW96" s="259" t="n">
        <v>4.1</v>
      </c>
      <c r="BX96" s="259" t="n">
        <v>3</v>
      </c>
      <c r="BY96" s="259" t="n">
        <v>-0.2</v>
      </c>
      <c r="BZ96" s="259" t="n">
        <v>-0.7</v>
      </c>
      <c r="CA96" s="259" t="n">
        <v>6.2</v>
      </c>
      <c r="CB96" s="259" t="n">
        <v>0.4</v>
      </c>
      <c r="CC96" s="261">
        <f>$CV$19</f>
        <v>0.5</v>
      </c>
      <c r="CD96" s="261">
        <f>$CV$19</f>
        <v>0.5</v>
      </c>
      <c r="CE96" s="261">
        <f>$CV$19</f>
        <v>0.5</v>
      </c>
      <c r="CF96" s="261">
        <f>SUM(CB96:CE96)</f>
        <v>1.9</v>
      </c>
      <c r="CG96" s="260" t="n">
        <v>2</v>
      </c>
      <c r="CH96" s="260" t="n">
        <v>2</v>
      </c>
      <c r="CI96" s="260" t="n">
        <v>2</v>
      </c>
      <c r="CJ96" s="260" t="n">
        <v>2</v>
      </c>
      <c r="CK96" s="260" t="n">
        <v>2</v>
      </c>
      <c r="CL96" s="19" t="n"/>
    </row>
    <row r="97" ht="15" customHeight="1" s="251">
      <c r="B97" s="25" t="inlineStr">
        <is>
          <t xml:space="preserve">  Transaction &amp; related costs, transition services (acquisitions)</t>
        </is>
      </c>
      <c r="C97" s="259" t="n">
        <v>0</v>
      </c>
      <c r="D97" s="259" t="n">
        <v>0</v>
      </c>
      <c r="E97" s="259" t="n">
        <v>0</v>
      </c>
      <c r="F97" s="259" t="n">
        <v>0</v>
      </c>
      <c r="G97" s="259" t="n">
        <v>0</v>
      </c>
      <c r="H97" s="259" t="n">
        <v>0</v>
      </c>
      <c r="I97" s="259" t="n">
        <v>0</v>
      </c>
      <c r="J97" s="259" t="n">
        <v>0</v>
      </c>
      <c r="K97" s="259" t="n">
        <v>0</v>
      </c>
      <c r="L97" s="259" t="n">
        <v>0</v>
      </c>
      <c r="M97" s="259" t="n">
        <v>0</v>
      </c>
      <c r="N97" s="259" t="n">
        <v>0</v>
      </c>
      <c r="O97" s="259" t="n">
        <v>0</v>
      </c>
      <c r="P97" s="259" t="n">
        <v>0.374</v>
      </c>
      <c r="Q97" s="259" t="n">
        <v>0</v>
      </c>
      <c r="R97" s="259" t="n">
        <v>0</v>
      </c>
      <c r="S97" s="259" t="n">
        <v>0.501</v>
      </c>
      <c r="T97" s="259" t="n">
        <v>0</v>
      </c>
      <c r="U97" s="259" t="n">
        <v>0</v>
      </c>
      <c r="V97" s="259" t="n">
        <v>1.527</v>
      </c>
      <c r="W97" s="259" t="n">
        <v>0.06</v>
      </c>
      <c r="X97" s="259" t="n">
        <v>1.587</v>
      </c>
      <c r="Y97" s="259" t="n">
        <v>3.998</v>
      </c>
      <c r="Z97" s="259" t="n">
        <v>1.074</v>
      </c>
      <c r="AA97" s="259" t="n">
        <v>0.025</v>
      </c>
      <c r="AB97" s="259" t="n">
        <v>0</v>
      </c>
      <c r="AC97" s="259" t="n">
        <v>5.097</v>
      </c>
      <c r="AD97" s="259" t="n">
        <v>0</v>
      </c>
      <c r="AE97" s="259" t="n">
        <v>0</v>
      </c>
      <c r="AF97" s="259" t="n">
        <v>0</v>
      </c>
      <c r="AG97" s="259" t="n">
        <v>0</v>
      </c>
      <c r="AH97" s="259" t="n">
        <v>0</v>
      </c>
      <c r="AI97" s="259" t="n">
        <v>0</v>
      </c>
      <c r="AJ97" s="259" t="n">
        <v>0</v>
      </c>
      <c r="AK97" s="259" t="n">
        <v>0</v>
      </c>
      <c r="AL97" s="259" t="n">
        <v>0</v>
      </c>
      <c r="AM97" s="259" t="n">
        <v>0</v>
      </c>
      <c r="AN97" s="259" t="n">
        <v>0</v>
      </c>
      <c r="AO97" s="259" t="n">
        <v>0</v>
      </c>
      <c r="AP97" s="259" t="n">
        <v>0</v>
      </c>
      <c r="AQ97" s="259" t="n">
        <v>0</v>
      </c>
      <c r="AR97" s="259" t="n">
        <v>0</v>
      </c>
      <c r="AS97" s="259" t="n">
        <v>0</v>
      </c>
      <c r="AT97" s="259" t="n">
        <v>0.901</v>
      </c>
      <c r="AU97" s="259" t="n">
        <v>0</v>
      </c>
      <c r="AV97" s="259" t="n">
        <v>0</v>
      </c>
      <c r="AW97" s="259" t="n">
        <v>0.901</v>
      </c>
      <c r="AX97" s="259" t="n">
        <v>0</v>
      </c>
      <c r="AY97" s="259" t="n">
        <v>0</v>
      </c>
      <c r="AZ97" s="259" t="n">
        <v>0</v>
      </c>
      <c r="BA97" s="259" t="n">
        <v>0</v>
      </c>
      <c r="BB97" s="259" t="n">
        <v>0</v>
      </c>
      <c r="BC97" s="259" t="n">
        <v>0</v>
      </c>
      <c r="BD97" s="259" t="n">
        <v>1.433</v>
      </c>
      <c r="BE97" s="259" t="n">
        <v>30.443</v>
      </c>
      <c r="BF97" s="259" t="n">
        <v>12.528</v>
      </c>
      <c r="BG97" s="259" t="n">
        <v>44.404</v>
      </c>
      <c r="BH97" s="259" t="n">
        <v>3.787</v>
      </c>
      <c r="BI97" s="259" t="n">
        <v>3.984</v>
      </c>
      <c r="BJ97" s="259" t="n">
        <v>1.247</v>
      </c>
      <c r="BK97" s="259" t="n">
        <v>-0.108</v>
      </c>
      <c r="BL97" s="259" t="n">
        <v>8.91</v>
      </c>
      <c r="BM97" s="259" t="n">
        <v>0</v>
      </c>
      <c r="BN97" s="259" t="n">
        <v>0.025</v>
      </c>
      <c r="BO97" s="259" t="n">
        <v>0.113</v>
      </c>
      <c r="BP97" s="259" t="n">
        <v>0.145</v>
      </c>
      <c r="BQ97" s="259" t="n">
        <v>0.283</v>
      </c>
      <c r="BR97" s="259" t="n">
        <v>0</v>
      </c>
      <c r="BS97" s="259" t="n">
        <v>0</v>
      </c>
      <c r="BT97" s="259" t="n">
        <v>0</v>
      </c>
      <c r="BU97" s="259" t="n">
        <v>0</v>
      </c>
      <c r="BV97" s="259" t="n">
        <v>0</v>
      </c>
      <c r="BW97" s="259" t="n">
        <v>0.1</v>
      </c>
      <c r="BX97" s="259" t="n">
        <v>4.2</v>
      </c>
      <c r="BY97" s="259" t="n">
        <v>4.6</v>
      </c>
      <c r="BZ97" s="259" t="n">
        <v>5.9</v>
      </c>
      <c r="CA97" s="259" t="n">
        <v>14.8</v>
      </c>
      <c r="CB97" s="259" t="n">
        <v>0</v>
      </c>
      <c r="CC97" s="260" t="n">
        <v>0.3</v>
      </c>
      <c r="CD97" s="260" t="n">
        <v>0</v>
      </c>
      <c r="CE97" s="260" t="n">
        <v>0</v>
      </c>
      <c r="CF97" s="261">
        <f>SUM(CB97:CE97)</f>
        <v>0.3</v>
      </c>
      <c r="CG97" s="261">
        <f>CG50*CG98</f>
        <v>5</v>
      </c>
      <c r="CH97" s="261">
        <f>CH50*CH98</f>
        <v>5</v>
      </c>
      <c r="CI97" s="261">
        <f>CI50*CI98</f>
        <v>5</v>
      </c>
      <c r="CJ97" s="261">
        <f>CJ50*CJ98</f>
        <v>5</v>
      </c>
      <c r="CK97" s="261">
        <f>CK50*CK98</f>
        <v>5</v>
      </c>
      <c r="CL97" s="19" t="inlineStr">
        <is>
          <t>Q2/27E: PSC Couplings deal costs (assumption).</t>
        </is>
      </c>
    </row>
    <row r="98" ht="15" customHeight="1" s="251">
      <c r="B98" s="25" t="inlineStr">
        <is>
          <t xml:space="preserve">  Transaction costs % of acquisition spend</t>
        </is>
      </c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  <c r="AP98" s="36" t="n"/>
      <c r="AQ98" s="36" t="n"/>
      <c r="AR98" s="36" t="n"/>
      <c r="AS98" s="36" t="n"/>
      <c r="AT98" s="36" t="n"/>
      <c r="AU98" s="36" t="n"/>
      <c r="AV98" s="36" t="n"/>
      <c r="AW98" s="36" t="n"/>
      <c r="AX98" s="36" t="n"/>
      <c r="AY98" s="36" t="n"/>
      <c r="AZ98" s="36" t="n"/>
      <c r="BA98" s="36" t="n"/>
      <c r="BB98" s="36" t="n"/>
      <c r="BC98" s="36" t="n"/>
      <c r="BD98" s="36" t="n"/>
      <c r="BE98" s="36" t="n"/>
      <c r="BF98" s="36" t="n"/>
      <c r="BG98" s="36" t="n"/>
      <c r="BH98" s="36" t="n"/>
      <c r="BI98" s="36" t="n"/>
      <c r="BJ98" s="36" t="n"/>
      <c r="BK98" s="36" t="n"/>
      <c r="BL98" s="36" t="n"/>
      <c r="BM98" s="36" t="n"/>
      <c r="BN98" s="36" t="n"/>
      <c r="BO98" s="36" t="n"/>
      <c r="BP98" s="36" t="n"/>
      <c r="BQ98" s="36" t="n"/>
      <c r="BR98" s="36" t="n"/>
      <c r="BS98" s="36" t="n"/>
      <c r="BT98" s="36" t="n"/>
      <c r="BU98" s="36" t="n"/>
      <c r="BV98" s="36" t="n"/>
      <c r="BW98" s="36" t="n"/>
      <c r="BX98" s="36" t="n"/>
      <c r="BY98" s="36" t="n"/>
      <c r="BZ98" s="36" t="n"/>
      <c r="CA98" s="36" t="n"/>
      <c r="CB98" s="36" t="n"/>
      <c r="CC98" s="24" t="n"/>
      <c r="CD98" s="24" t="n"/>
      <c r="CE98" s="24" t="n"/>
      <c r="CF98" s="24" t="n"/>
      <c r="CG98" s="267" t="n">
        <v>0.02</v>
      </c>
      <c r="CH98" s="267" t="n">
        <v>0.02</v>
      </c>
      <c r="CI98" s="267" t="n">
        <v>0.02</v>
      </c>
      <c r="CJ98" s="267" t="n">
        <v>0.02</v>
      </c>
      <c r="CK98" s="267" t="n">
        <v>0.02</v>
      </c>
      <c r="CL98" s="153" t="n"/>
    </row>
    <row r="99" ht="15" customHeight="1" s="251">
      <c r="B99" s="25" t="inlineStr">
        <is>
          <t xml:space="preserve">  Inventory purchase-accounting (fair-value step-up)</t>
        </is>
      </c>
      <c r="C99" s="259" t="n">
        <v>0</v>
      </c>
      <c r="D99" s="259" t="n">
        <v>0</v>
      </c>
      <c r="E99" s="259" t="n">
        <v>0</v>
      </c>
      <c r="F99" s="259" t="n">
        <v>0</v>
      </c>
      <c r="G99" s="259" t="n">
        <v>0</v>
      </c>
      <c r="H99" s="259" t="n">
        <v>0</v>
      </c>
      <c r="I99" s="259" t="n">
        <v>0</v>
      </c>
      <c r="J99" s="259" t="n">
        <v>0</v>
      </c>
      <c r="K99" s="259" t="n">
        <v>0</v>
      </c>
      <c r="L99" s="259" t="n">
        <v>0</v>
      </c>
      <c r="M99" s="259" t="n">
        <v>0</v>
      </c>
      <c r="N99" s="259" t="n">
        <v>0</v>
      </c>
      <c r="O99" s="259" t="n">
        <v>0</v>
      </c>
      <c r="P99" s="259" t="n">
        <v>0</v>
      </c>
      <c r="Q99" s="259" t="n">
        <v>0</v>
      </c>
      <c r="R99" s="259" t="n">
        <v>0</v>
      </c>
      <c r="S99" s="259" t="n">
        <v>0</v>
      </c>
      <c r="T99" s="259" t="n">
        <v>0</v>
      </c>
      <c r="U99" s="259" t="n">
        <v>0</v>
      </c>
      <c r="V99" s="259" t="n">
        <v>0</v>
      </c>
      <c r="W99" s="259" t="n">
        <v>0</v>
      </c>
      <c r="X99" s="259" t="n">
        <v>0</v>
      </c>
      <c r="Y99" s="259" t="n">
        <v>2.331</v>
      </c>
      <c r="Z99" s="259" t="n">
        <v>4.295</v>
      </c>
      <c r="AA99" s="259" t="n">
        <v>0.5620000000000001</v>
      </c>
      <c r="AB99" s="259" t="n">
        <v>0</v>
      </c>
      <c r="AC99" s="259" t="n">
        <v>7.188</v>
      </c>
      <c r="AD99" s="259" t="n">
        <v>0.382</v>
      </c>
      <c r="AE99" s="259" t="n">
        <v>0</v>
      </c>
      <c r="AF99" s="259" t="n">
        <v>0</v>
      </c>
      <c r="AG99" s="259" t="n">
        <v>0</v>
      </c>
      <c r="AH99" s="259" t="n">
        <v>0.382</v>
      </c>
      <c r="AI99" s="259" t="n">
        <v>0</v>
      </c>
      <c r="AJ99" s="259" t="n">
        <v>0</v>
      </c>
      <c r="AK99" s="259" t="n">
        <v>0</v>
      </c>
      <c r="AL99" s="259" t="n">
        <v>0</v>
      </c>
      <c r="AM99" s="259" t="n">
        <v>0</v>
      </c>
      <c r="AN99" s="259" t="n">
        <v>0</v>
      </c>
      <c r="AO99" s="259" t="n">
        <v>0</v>
      </c>
      <c r="AP99" s="259" t="n">
        <v>0</v>
      </c>
      <c r="AQ99" s="259" t="n">
        <v>0</v>
      </c>
      <c r="AR99" s="259" t="n">
        <v>0</v>
      </c>
      <c r="AS99" s="259" t="n">
        <v>0</v>
      </c>
      <c r="AT99" s="259" t="n">
        <v>0.08400000000000001</v>
      </c>
      <c r="AU99" s="259" t="n">
        <v>0.187</v>
      </c>
      <c r="AV99" s="259" t="n">
        <v>0.097</v>
      </c>
      <c r="AW99" s="259" t="n">
        <v>0.368</v>
      </c>
      <c r="AX99" s="259" t="n">
        <v>0</v>
      </c>
      <c r="AY99" s="259" t="n">
        <v>0</v>
      </c>
      <c r="AZ99" s="259" t="n">
        <v>0</v>
      </c>
      <c r="BA99" s="259" t="n">
        <v>0</v>
      </c>
      <c r="BB99" s="259" t="n">
        <v>0</v>
      </c>
      <c r="BC99" s="259" t="n">
        <v>0</v>
      </c>
      <c r="BD99" s="259" t="n">
        <v>0</v>
      </c>
      <c r="BE99" s="259" t="n">
        <v>0</v>
      </c>
      <c r="BF99" s="259" t="n">
        <v>0</v>
      </c>
      <c r="BG99" s="259" t="n">
        <v>0</v>
      </c>
      <c r="BH99" s="259" t="n">
        <v>0</v>
      </c>
      <c r="BI99" s="259" t="n">
        <v>0</v>
      </c>
      <c r="BJ99" s="259" t="n">
        <v>0</v>
      </c>
      <c r="BK99" s="259" t="n">
        <v>0</v>
      </c>
      <c r="BL99" s="259" t="n">
        <v>0</v>
      </c>
      <c r="BM99" s="259" t="n">
        <v>0</v>
      </c>
      <c r="BN99" s="259" t="n">
        <v>0</v>
      </c>
      <c r="BO99" s="259" t="n">
        <v>0</v>
      </c>
      <c r="BP99" s="259" t="n">
        <v>0</v>
      </c>
      <c r="BQ99" s="259" t="n">
        <v>0</v>
      </c>
      <c r="BR99" s="259" t="n">
        <v>0</v>
      </c>
      <c r="BS99" s="259" t="n">
        <v>0</v>
      </c>
      <c r="BT99" s="259" t="n">
        <v>0</v>
      </c>
      <c r="BU99" s="259" t="n">
        <v>0</v>
      </c>
      <c r="BV99" s="259" t="n">
        <v>0</v>
      </c>
      <c r="BW99" s="259" t="n">
        <v>0</v>
      </c>
      <c r="BX99" s="259" t="n">
        <v>0</v>
      </c>
      <c r="BY99" s="259" t="n">
        <v>0</v>
      </c>
      <c r="BZ99" s="259" t="n">
        <v>0</v>
      </c>
      <c r="CA99" s="259" t="n">
        <v>0</v>
      </c>
      <c r="CB99" s="259" t="n">
        <v>0</v>
      </c>
      <c r="CC99" s="261">
        <f>0</f>
        <v>0</v>
      </c>
      <c r="CD99" s="261">
        <f>0</f>
        <v>0</v>
      </c>
      <c r="CE99" s="261">
        <f>0</f>
        <v>0</v>
      </c>
      <c r="CF99" s="261">
        <f>SUM(CB99:CE99)</f>
        <v>0</v>
      </c>
      <c r="CG99" s="261">
        <f>0</f>
        <v>0</v>
      </c>
      <c r="CH99" s="261">
        <f>0</f>
        <v>0</v>
      </c>
      <c r="CI99" s="261">
        <f>0</f>
        <v>0</v>
      </c>
      <c r="CJ99" s="261">
        <f>0</f>
        <v>0</v>
      </c>
      <c r="CK99" s="261">
        <f>0</f>
        <v>0</v>
      </c>
      <c r="CL99" s="19" t="n"/>
    </row>
    <row r="100" ht="15" customHeight="1" s="251">
      <c r="B100" s="25" t="inlineStr">
        <is>
          <t xml:space="preserve">  Litigation / legal reserves</t>
        </is>
      </c>
      <c r="C100" s="259" t="n">
        <v>0</v>
      </c>
      <c r="D100" s="259" t="n">
        <v>0</v>
      </c>
      <c r="E100" s="259" t="n">
        <v>0</v>
      </c>
      <c r="F100" s="259" t="n">
        <v>0</v>
      </c>
      <c r="G100" s="259" t="n">
        <v>0</v>
      </c>
      <c r="H100" s="259" t="n">
        <v>0</v>
      </c>
      <c r="I100" s="259" t="n">
        <v>0</v>
      </c>
      <c r="J100" s="259" t="n">
        <v>0</v>
      </c>
      <c r="K100" s="259" t="n">
        <v>0</v>
      </c>
      <c r="L100" s="259" t="n">
        <v>0</v>
      </c>
      <c r="M100" s="259" t="n">
        <v>0</v>
      </c>
      <c r="N100" s="259" t="n">
        <v>0</v>
      </c>
      <c r="O100" s="259" t="n">
        <v>0</v>
      </c>
      <c r="P100" s="259" t="n">
        <v>0</v>
      </c>
      <c r="Q100" s="259" t="n">
        <v>0</v>
      </c>
      <c r="R100" s="259" t="n">
        <v>0</v>
      </c>
      <c r="S100" s="259" t="n">
        <v>0</v>
      </c>
      <c r="T100" s="259" t="n">
        <v>0</v>
      </c>
      <c r="U100" s="259" t="n">
        <v>0</v>
      </c>
      <c r="V100" s="259" t="n">
        <v>0</v>
      </c>
      <c r="W100" s="259" t="n">
        <v>0</v>
      </c>
      <c r="X100" s="259" t="n">
        <v>0</v>
      </c>
      <c r="Y100" s="259" t="n">
        <v>0</v>
      </c>
      <c r="Z100" s="259" t="n">
        <v>0</v>
      </c>
      <c r="AA100" s="259" t="n">
        <v>0</v>
      </c>
      <c r="AB100" s="259" t="n">
        <v>1.696</v>
      </c>
      <c r="AC100" s="259" t="n">
        <v>1.696</v>
      </c>
      <c r="AD100" s="259" t="n">
        <v>0</v>
      </c>
      <c r="AE100" s="259" t="n">
        <v>0</v>
      </c>
      <c r="AF100" s="259" t="n">
        <v>0</v>
      </c>
      <c r="AG100" s="259" t="n">
        <v>0</v>
      </c>
      <c r="AH100" s="259" t="n">
        <v>0</v>
      </c>
      <c r="AI100" s="259" t="n">
        <v>0</v>
      </c>
      <c r="AJ100" s="259" t="n">
        <v>0</v>
      </c>
      <c r="AK100" s="259" t="n">
        <v>0</v>
      </c>
      <c r="AL100" s="259" t="n">
        <v>0</v>
      </c>
      <c r="AM100" s="259" t="n">
        <v>0</v>
      </c>
      <c r="AN100" s="259" t="n">
        <v>0</v>
      </c>
      <c r="AO100" s="259" t="n">
        <v>0</v>
      </c>
      <c r="AP100" s="259" t="n">
        <v>0</v>
      </c>
      <c r="AQ100" s="259" t="n">
        <v>0</v>
      </c>
      <c r="AR100" s="259" t="n">
        <v>0</v>
      </c>
      <c r="AS100" s="259" t="n">
        <v>0</v>
      </c>
      <c r="AT100" s="259" t="n">
        <v>0</v>
      </c>
      <c r="AU100" s="259" t="n">
        <v>0</v>
      </c>
      <c r="AV100" s="259" t="n">
        <v>0</v>
      </c>
      <c r="AW100" s="259" t="n">
        <v>0</v>
      </c>
      <c r="AX100" s="259" t="n">
        <v>0</v>
      </c>
      <c r="AY100" s="259" t="n">
        <v>0</v>
      </c>
      <c r="AZ100" s="259" t="n">
        <v>0</v>
      </c>
      <c r="BA100" s="259" t="n">
        <v>0</v>
      </c>
      <c r="BB100" s="259" t="n">
        <v>0</v>
      </c>
      <c r="BC100" s="259" t="n">
        <v>0</v>
      </c>
      <c r="BD100" s="259" t="n">
        <v>0</v>
      </c>
      <c r="BE100" s="259" t="n">
        <v>0</v>
      </c>
      <c r="BF100" s="259" t="n">
        <v>0</v>
      </c>
      <c r="BG100" s="259" t="n">
        <v>0</v>
      </c>
      <c r="BH100" s="259" t="n">
        <v>0</v>
      </c>
      <c r="BI100" s="259" t="n">
        <v>0</v>
      </c>
      <c r="BJ100" s="259" t="n">
        <v>0</v>
      </c>
      <c r="BK100" s="259" t="n">
        <v>0</v>
      </c>
      <c r="BL100" s="259" t="n">
        <v>0</v>
      </c>
      <c r="BM100" s="259" t="n">
        <v>0</v>
      </c>
      <c r="BN100" s="259" t="n">
        <v>0</v>
      </c>
      <c r="BO100" s="259" t="n">
        <v>0</v>
      </c>
      <c r="BP100" s="259" t="n">
        <v>0</v>
      </c>
      <c r="BQ100" s="259" t="n">
        <v>0</v>
      </c>
      <c r="BR100" s="259" t="n">
        <v>0</v>
      </c>
      <c r="BS100" s="259" t="n">
        <v>0</v>
      </c>
      <c r="BT100" s="259" t="n">
        <v>0</v>
      </c>
      <c r="BU100" s="259" t="n">
        <v>0</v>
      </c>
      <c r="BV100" s="259" t="n">
        <v>0</v>
      </c>
      <c r="BW100" s="259" t="n">
        <v>0</v>
      </c>
      <c r="BX100" s="259" t="n">
        <v>0</v>
      </c>
      <c r="BY100" s="259" t="n">
        <v>0</v>
      </c>
      <c r="BZ100" s="259" t="n">
        <v>0</v>
      </c>
      <c r="CA100" s="259" t="n">
        <v>0</v>
      </c>
      <c r="CB100" s="259" t="n">
        <v>0</v>
      </c>
      <c r="CC100" s="261">
        <f>0</f>
        <v>0</v>
      </c>
      <c r="CD100" s="261">
        <f>0</f>
        <v>0</v>
      </c>
      <c r="CE100" s="261">
        <f>0</f>
        <v>0</v>
      </c>
      <c r="CF100" s="261">
        <f>SUM(CB100:CE100)</f>
        <v>0</v>
      </c>
      <c r="CG100" s="261">
        <f>0</f>
        <v>0</v>
      </c>
      <c r="CH100" s="261">
        <f>0</f>
        <v>0</v>
      </c>
      <c r="CI100" s="261">
        <f>0</f>
        <v>0</v>
      </c>
      <c r="CJ100" s="261">
        <f>0</f>
        <v>0</v>
      </c>
      <c r="CK100" s="261">
        <f>0</f>
        <v>0</v>
      </c>
      <c r="CL100" s="19" t="n"/>
    </row>
    <row r="101" ht="15" customHeight="1" s="251">
      <c r="B101" s="25" t="inlineStr">
        <is>
          <t xml:space="preserve">  (Gains) / losses on disposals</t>
        </is>
      </c>
      <c r="C101" s="259" t="n">
        <v>0.024</v>
      </c>
      <c r="D101" s="259" t="n">
        <v>-0.294</v>
      </c>
      <c r="E101" s="259" t="n">
        <v>0.366</v>
      </c>
      <c r="F101" s="259" t="n">
        <v>4.445</v>
      </c>
      <c r="G101" s="259" t="n">
        <v>0.215</v>
      </c>
      <c r="H101" s="259" t="n">
        <v>-1.076</v>
      </c>
      <c r="I101" s="259" t="n">
        <v>0</v>
      </c>
      <c r="J101" s="259" t="n">
        <v>0</v>
      </c>
      <c r="K101" s="259" t="n">
        <v>0</v>
      </c>
      <c r="L101" s="259" t="n">
        <v>0</v>
      </c>
      <c r="M101" s="259" t="n">
        <v>0.18</v>
      </c>
      <c r="N101" s="259" t="n">
        <v>0.18</v>
      </c>
      <c r="O101" s="259" t="n">
        <v>0</v>
      </c>
      <c r="P101" s="259" t="n">
        <v>0.043</v>
      </c>
      <c r="Q101" s="259" t="n">
        <v>0</v>
      </c>
      <c r="R101" s="259" t="n">
        <v>0</v>
      </c>
      <c r="S101" s="259" t="n">
        <v>0.043</v>
      </c>
      <c r="T101" s="259" t="n">
        <v>0</v>
      </c>
      <c r="U101" s="259" t="n">
        <v>0</v>
      </c>
      <c r="V101" s="259" t="n">
        <v>0</v>
      </c>
      <c r="W101" s="259" t="n">
        <v>0</v>
      </c>
      <c r="X101" s="259" t="n">
        <v>0</v>
      </c>
      <c r="Y101" s="259" t="n">
        <v>0</v>
      </c>
      <c r="Z101" s="259" t="n">
        <v>0</v>
      </c>
      <c r="AA101" s="259" t="n">
        <v>0</v>
      </c>
      <c r="AB101" s="259" t="n">
        <v>0</v>
      </c>
      <c r="AC101" s="259" t="n">
        <v>0</v>
      </c>
      <c r="AD101" s="259" t="n">
        <v>0</v>
      </c>
      <c r="AE101" s="259" t="n">
        <v>0</v>
      </c>
      <c r="AF101" s="259" t="n">
        <v>0</v>
      </c>
      <c r="AG101" s="259" t="n">
        <v>0</v>
      </c>
      <c r="AH101" s="259" t="n">
        <v>0</v>
      </c>
      <c r="AI101" s="259" t="n">
        <v>0</v>
      </c>
      <c r="AJ101" s="259" t="n">
        <v>0</v>
      </c>
      <c r="AK101" s="259" t="n">
        <v>0</v>
      </c>
      <c r="AL101" s="259" t="n">
        <v>0</v>
      </c>
      <c r="AM101" s="259" t="n">
        <v>0</v>
      </c>
      <c r="AN101" s="259" t="n">
        <v>0</v>
      </c>
      <c r="AO101" s="259" t="n">
        <v>0</v>
      </c>
      <c r="AP101" s="259" t="n">
        <v>16.802</v>
      </c>
      <c r="AQ101" s="259" t="n">
        <v>-0.258</v>
      </c>
      <c r="AR101" s="259" t="n">
        <v>16.544</v>
      </c>
      <c r="AS101" s="259" t="n">
        <v>0</v>
      </c>
      <c r="AT101" s="259" t="n">
        <v>0</v>
      </c>
      <c r="AU101" s="259" t="n">
        <v>0</v>
      </c>
      <c r="AV101" s="259" t="n">
        <v>-1.44</v>
      </c>
      <c r="AW101" s="259" t="n">
        <v>-1.44</v>
      </c>
      <c r="AX101" s="259" t="n">
        <v>0</v>
      </c>
      <c r="AY101" s="259" t="n">
        <v>0</v>
      </c>
      <c r="AZ101" s="259" t="n">
        <v>0</v>
      </c>
      <c r="BA101" s="259" t="n">
        <v>0</v>
      </c>
      <c r="BB101" s="259" t="n">
        <v>0</v>
      </c>
      <c r="BC101" s="259" t="n">
        <v>0</v>
      </c>
      <c r="BD101" s="259" t="n">
        <v>0</v>
      </c>
      <c r="BE101" s="259" t="n">
        <v>0</v>
      </c>
      <c r="BF101" s="259" t="n">
        <v>0</v>
      </c>
      <c r="BG101" s="259" t="n">
        <v>0</v>
      </c>
      <c r="BH101" s="259" t="n">
        <v>0</v>
      </c>
      <c r="BI101" s="259" t="n">
        <v>0</v>
      </c>
      <c r="BJ101" s="259" t="n">
        <v>0</v>
      </c>
      <c r="BK101" s="259" t="n">
        <v>0</v>
      </c>
      <c r="BL101" s="259" t="n">
        <v>0</v>
      </c>
      <c r="BM101" s="259" t="n">
        <v>0</v>
      </c>
      <c r="BN101" s="259" t="n">
        <v>0</v>
      </c>
      <c r="BO101" s="259" t="n">
        <v>0</v>
      </c>
      <c r="BP101" s="259" t="n">
        <v>0</v>
      </c>
      <c r="BQ101" s="259" t="n">
        <v>0</v>
      </c>
      <c r="BR101" s="259" t="n">
        <v>0</v>
      </c>
      <c r="BS101" s="259" t="n">
        <v>0</v>
      </c>
      <c r="BT101" s="259" t="n">
        <v>0</v>
      </c>
      <c r="BU101" s="259" t="n">
        <v>0</v>
      </c>
      <c r="BV101" s="259" t="n">
        <v>0</v>
      </c>
      <c r="BW101" s="259" t="n">
        <v>0</v>
      </c>
      <c r="BX101" s="259" t="n">
        <v>0</v>
      </c>
      <c r="BY101" s="259" t="n">
        <v>0</v>
      </c>
      <c r="BZ101" s="259" t="n">
        <v>0</v>
      </c>
      <c r="CA101" s="259" t="n">
        <v>0</v>
      </c>
      <c r="CB101" s="259" t="n">
        <v>0</v>
      </c>
      <c r="CC101" s="261">
        <f>0</f>
        <v>0</v>
      </c>
      <c r="CD101" s="261">
        <f>0</f>
        <v>0</v>
      </c>
      <c r="CE101" s="261">
        <f>0</f>
        <v>0</v>
      </c>
      <c r="CF101" s="261">
        <f>SUM(CB101:CE101)</f>
        <v>0</v>
      </c>
      <c r="CG101" s="261">
        <f>0</f>
        <v>0</v>
      </c>
      <c r="CH101" s="261">
        <f>0</f>
        <v>0</v>
      </c>
      <c r="CI101" s="261">
        <f>0</f>
        <v>0</v>
      </c>
      <c r="CJ101" s="261">
        <f>0</f>
        <v>0</v>
      </c>
      <c r="CK101" s="261">
        <f>0</f>
        <v>0</v>
      </c>
      <c r="CL101" s="19" t="n"/>
    </row>
    <row r="102" ht="15" customHeight="1" s="251">
      <c r="B102" s="25" t="inlineStr">
        <is>
          <t xml:space="preserve">  Stock-option compensation (adjusted out of operating income FY2006–07 only)</t>
        </is>
      </c>
      <c r="C102" s="259" t="n">
        <v>0</v>
      </c>
      <c r="D102" s="259" t="n">
        <v>0.766</v>
      </c>
      <c r="E102" s="259" t="n">
        <v>0</v>
      </c>
      <c r="F102" s="259" t="n">
        <v>0</v>
      </c>
      <c r="G102" s="259" t="n">
        <v>0</v>
      </c>
      <c r="H102" s="259" t="n">
        <v>0</v>
      </c>
      <c r="I102" s="259" t="n">
        <v>0</v>
      </c>
      <c r="J102" s="259" t="n">
        <v>0</v>
      </c>
      <c r="K102" s="259" t="n">
        <v>0</v>
      </c>
      <c r="L102" s="259" t="n">
        <v>0</v>
      </c>
      <c r="M102" s="259" t="n">
        <v>0</v>
      </c>
      <c r="N102" s="259" t="n">
        <v>0</v>
      </c>
      <c r="O102" s="259" t="n">
        <v>0</v>
      </c>
      <c r="P102" s="259" t="n">
        <v>0</v>
      </c>
      <c r="Q102" s="259" t="n">
        <v>0</v>
      </c>
      <c r="R102" s="259" t="n">
        <v>0</v>
      </c>
      <c r="S102" s="259" t="n">
        <v>0</v>
      </c>
      <c r="T102" s="259" t="n">
        <v>0</v>
      </c>
      <c r="U102" s="259" t="n">
        <v>0</v>
      </c>
      <c r="V102" s="259" t="n">
        <v>0</v>
      </c>
      <c r="W102" s="259" t="n">
        <v>0</v>
      </c>
      <c r="X102" s="259" t="n">
        <v>0</v>
      </c>
      <c r="Y102" s="259" t="n">
        <v>0</v>
      </c>
      <c r="Z102" s="259" t="n">
        <v>0</v>
      </c>
      <c r="AA102" s="259" t="n">
        <v>0</v>
      </c>
      <c r="AB102" s="259" t="n">
        <v>0</v>
      </c>
      <c r="AC102" s="259" t="n">
        <v>0</v>
      </c>
      <c r="AD102" s="259" t="n">
        <v>0</v>
      </c>
      <c r="AE102" s="259" t="n">
        <v>0</v>
      </c>
      <c r="AF102" s="259" t="n">
        <v>0</v>
      </c>
      <c r="AG102" s="259" t="n">
        <v>0</v>
      </c>
      <c r="AH102" s="259" t="n">
        <v>0</v>
      </c>
      <c r="AI102" s="259" t="n">
        <v>0</v>
      </c>
      <c r="AJ102" s="259" t="n">
        <v>0</v>
      </c>
      <c r="AK102" s="259" t="n">
        <v>0</v>
      </c>
      <c r="AL102" s="259" t="n">
        <v>0</v>
      </c>
      <c r="AM102" s="259" t="n">
        <v>0</v>
      </c>
      <c r="AN102" s="259" t="n">
        <v>0</v>
      </c>
      <c r="AO102" s="259" t="n">
        <v>0</v>
      </c>
      <c r="AP102" s="259" t="n">
        <v>0</v>
      </c>
      <c r="AQ102" s="259" t="n">
        <v>0</v>
      </c>
      <c r="AR102" s="259" t="n">
        <v>0</v>
      </c>
      <c r="AS102" s="259" t="n">
        <v>0</v>
      </c>
      <c r="AT102" s="259" t="n">
        <v>0</v>
      </c>
      <c r="AU102" s="259" t="n">
        <v>0</v>
      </c>
      <c r="AV102" s="259" t="n">
        <v>0</v>
      </c>
      <c r="AW102" s="259" t="n">
        <v>0</v>
      </c>
      <c r="AX102" s="259" t="n">
        <v>0</v>
      </c>
      <c r="AY102" s="259" t="n">
        <v>0</v>
      </c>
      <c r="AZ102" s="259" t="n">
        <v>0</v>
      </c>
      <c r="BA102" s="259" t="n">
        <v>0</v>
      </c>
      <c r="BB102" s="259" t="n">
        <v>0</v>
      </c>
      <c r="BC102" s="259" t="n">
        <v>0</v>
      </c>
      <c r="BD102" s="259" t="n">
        <v>0</v>
      </c>
      <c r="BE102" s="259" t="n">
        <v>0</v>
      </c>
      <c r="BF102" s="259" t="n">
        <v>0</v>
      </c>
      <c r="BG102" s="259" t="n">
        <v>0</v>
      </c>
      <c r="BH102" s="259" t="n">
        <v>0</v>
      </c>
      <c r="BI102" s="259" t="n">
        <v>0</v>
      </c>
      <c r="BJ102" s="259" t="n">
        <v>0</v>
      </c>
      <c r="BK102" s="259" t="n">
        <v>0</v>
      </c>
      <c r="BL102" s="259" t="n">
        <v>0</v>
      </c>
      <c r="BM102" s="259" t="n">
        <v>0</v>
      </c>
      <c r="BN102" s="259" t="n">
        <v>0</v>
      </c>
      <c r="BO102" s="259" t="n">
        <v>0</v>
      </c>
      <c r="BP102" s="259" t="n">
        <v>0</v>
      </c>
      <c r="BQ102" s="259" t="n">
        <v>0</v>
      </c>
      <c r="BR102" s="259" t="n">
        <v>0</v>
      </c>
      <c r="BS102" s="259" t="n">
        <v>0</v>
      </c>
      <c r="BT102" s="259" t="n">
        <v>0</v>
      </c>
      <c r="BU102" s="259" t="n">
        <v>0</v>
      </c>
      <c r="BV102" s="259" t="n">
        <v>0</v>
      </c>
      <c r="BW102" s="259" t="n">
        <v>0</v>
      </c>
      <c r="BX102" s="259" t="n">
        <v>0</v>
      </c>
      <c r="BY102" s="259" t="n">
        <v>0</v>
      </c>
      <c r="BZ102" s="259" t="n">
        <v>0</v>
      </c>
      <c r="CA102" s="259" t="n">
        <v>0</v>
      </c>
      <c r="CB102" s="259" t="n">
        <v>0</v>
      </c>
      <c r="CC102" s="261">
        <f>0</f>
        <v>0</v>
      </c>
      <c r="CD102" s="261">
        <f>0</f>
        <v>0</v>
      </c>
      <c r="CE102" s="261">
        <f>0</f>
        <v>0</v>
      </c>
      <c r="CF102" s="261">
        <f>SUM(CB102:CE102)</f>
        <v>0</v>
      </c>
      <c r="CG102" s="261">
        <f>0</f>
        <v>0</v>
      </c>
      <c r="CH102" s="261">
        <f>0</f>
        <v>0</v>
      </c>
      <c r="CI102" s="261">
        <f>0</f>
        <v>0</v>
      </c>
      <c r="CJ102" s="261">
        <f>0</f>
        <v>0</v>
      </c>
      <c r="CK102" s="261">
        <f>0</f>
        <v>0</v>
      </c>
      <c r="CL102" s="19" t="n"/>
    </row>
    <row r="103" ht="15" customHeight="1" s="251">
      <c r="B103" s="25" t="inlineStr">
        <is>
          <t xml:space="preserve">  Other items (FY2006 IPO compensation and management fees, other)</t>
        </is>
      </c>
      <c r="C103" s="259" t="n">
        <v>5.738</v>
      </c>
      <c r="D103" s="259" t="n">
        <v>0</v>
      </c>
      <c r="E103" s="259" t="n">
        <v>0</v>
      </c>
      <c r="F103" s="259" t="n">
        <v>2.3</v>
      </c>
      <c r="G103" s="259" t="n">
        <v>2.64</v>
      </c>
      <c r="H103" s="259" t="n">
        <v>2.879</v>
      </c>
      <c r="I103" s="259" t="n">
        <v>0</v>
      </c>
      <c r="J103" s="259" t="n">
        <v>0</v>
      </c>
      <c r="K103" s="259" t="n">
        <v>0</v>
      </c>
      <c r="L103" s="259" t="n">
        <v>0</v>
      </c>
      <c r="M103" s="259" t="n">
        <v>0</v>
      </c>
      <c r="N103" s="259" t="n">
        <v>0</v>
      </c>
      <c r="O103" s="259" t="n">
        <v>0</v>
      </c>
      <c r="P103" s="259" t="n">
        <v>0</v>
      </c>
      <c r="Q103" s="259" t="n">
        <v>0</v>
      </c>
      <c r="R103" s="259" t="n">
        <v>0</v>
      </c>
      <c r="S103" s="259" t="n">
        <v>0</v>
      </c>
      <c r="T103" s="259" t="n">
        <v>0</v>
      </c>
      <c r="U103" s="259" t="n">
        <v>0</v>
      </c>
      <c r="V103" s="259" t="n">
        <v>0</v>
      </c>
      <c r="W103" s="259" t="n">
        <v>0</v>
      </c>
      <c r="X103" s="259" t="n">
        <v>0</v>
      </c>
      <c r="Y103" s="259" t="n">
        <v>0</v>
      </c>
      <c r="Z103" s="259" t="n">
        <v>0</v>
      </c>
      <c r="AA103" s="259" t="n">
        <v>0</v>
      </c>
      <c r="AB103" s="259" t="n">
        <v>0</v>
      </c>
      <c r="AC103" s="259" t="n">
        <v>0</v>
      </c>
      <c r="AD103" s="259" t="n">
        <v>0</v>
      </c>
      <c r="AE103" s="259" t="n">
        <v>0</v>
      </c>
      <c r="AF103" s="259" t="n">
        <v>0</v>
      </c>
      <c r="AG103" s="259" t="n">
        <v>0</v>
      </c>
      <c r="AH103" s="259" t="n">
        <v>0</v>
      </c>
      <c r="AI103" s="259" t="n">
        <v>0</v>
      </c>
      <c r="AJ103" s="259" t="n">
        <v>0</v>
      </c>
      <c r="AK103" s="259" t="n">
        <v>0</v>
      </c>
      <c r="AL103" s="259" t="n">
        <v>0</v>
      </c>
      <c r="AM103" s="259" t="n">
        <v>0</v>
      </c>
      <c r="AN103" s="259" t="n">
        <v>0</v>
      </c>
      <c r="AO103" s="259" t="n">
        <v>0</v>
      </c>
      <c r="AP103" s="259" t="n">
        <v>0</v>
      </c>
      <c r="AQ103" s="259" t="n">
        <v>0</v>
      </c>
      <c r="AR103" s="259" t="n">
        <v>0</v>
      </c>
      <c r="AS103" s="259" t="n">
        <v>0</v>
      </c>
      <c r="AT103" s="259" t="n">
        <v>0</v>
      </c>
      <c r="AU103" s="259" t="n">
        <v>0</v>
      </c>
      <c r="AV103" s="259" t="n">
        <v>0</v>
      </c>
      <c r="AW103" s="259" t="n">
        <v>0</v>
      </c>
      <c r="AX103" s="259" t="n">
        <v>0</v>
      </c>
      <c r="AY103" s="259" t="n">
        <v>0</v>
      </c>
      <c r="AZ103" s="259" t="n">
        <v>0</v>
      </c>
      <c r="BA103" s="259" t="n">
        <v>1.507</v>
      </c>
      <c r="BB103" s="259" t="n">
        <v>1.507</v>
      </c>
      <c r="BC103" s="259" t="n">
        <v>0</v>
      </c>
      <c r="BD103" s="259" t="n">
        <v>0</v>
      </c>
      <c r="BE103" s="259" t="n">
        <v>0</v>
      </c>
      <c r="BF103" s="259" t="n">
        <v>0</v>
      </c>
      <c r="BG103" s="259" t="n">
        <v>0</v>
      </c>
      <c r="BH103" s="259" t="n">
        <v>0</v>
      </c>
      <c r="BI103" s="259" t="n">
        <v>0</v>
      </c>
      <c r="BJ103" s="259" t="n">
        <v>0</v>
      </c>
      <c r="BK103" s="259" t="n">
        <v>0</v>
      </c>
      <c r="BL103" s="259" t="n">
        <v>0</v>
      </c>
      <c r="BM103" s="259" t="n">
        <v>0</v>
      </c>
      <c r="BN103" s="259" t="n">
        <v>0</v>
      </c>
      <c r="BO103" s="259" t="n">
        <v>0</v>
      </c>
      <c r="BP103" s="259" t="n">
        <v>0</v>
      </c>
      <c r="BQ103" s="259" t="n">
        <v>0</v>
      </c>
      <c r="BR103" s="259" t="n">
        <v>0</v>
      </c>
      <c r="BS103" s="259" t="n">
        <v>0</v>
      </c>
      <c r="BT103" s="259" t="n">
        <v>0</v>
      </c>
      <c r="BU103" s="259" t="n">
        <v>0</v>
      </c>
      <c r="BV103" s="259" t="n">
        <v>0</v>
      </c>
      <c r="BW103" s="259" t="n">
        <v>0</v>
      </c>
      <c r="BX103" s="259" t="n">
        <v>0</v>
      </c>
      <c r="BY103" s="259" t="n">
        <v>0</v>
      </c>
      <c r="BZ103" s="259" t="n">
        <v>0</v>
      </c>
      <c r="CA103" s="259" t="n">
        <v>0</v>
      </c>
      <c r="CB103" s="259" t="n">
        <v>0</v>
      </c>
      <c r="CC103" s="261">
        <f>0</f>
        <v>0</v>
      </c>
      <c r="CD103" s="261">
        <f>0</f>
        <v>0</v>
      </c>
      <c r="CE103" s="261">
        <f>0</f>
        <v>0</v>
      </c>
      <c r="CF103" s="261">
        <f>SUM(CB103:CE103)</f>
        <v>0</v>
      </c>
      <c r="CG103" s="261">
        <f>0</f>
        <v>0</v>
      </c>
      <c r="CH103" s="261">
        <f>0</f>
        <v>0</v>
      </c>
      <c r="CI103" s="261">
        <f>0</f>
        <v>0</v>
      </c>
      <c r="CJ103" s="261">
        <f>0</f>
        <v>0</v>
      </c>
      <c r="CK103" s="261">
        <f>0</f>
        <v>0</v>
      </c>
      <c r="CL103" s="19" t="n"/>
    </row>
    <row r="104" ht="15" customHeight="1" s="251">
      <c r="B104" s="156" t="inlineStr">
        <is>
          <t xml:space="preserve">  Memo: adjusting items recorded in cost of sales (adjusted gross margin reconciliation)</t>
        </is>
      </c>
      <c r="C104" s="259" t="n">
        <v>0</v>
      </c>
      <c r="D104" s="259" t="n">
        <v>0</v>
      </c>
      <c r="E104" s="259" t="n">
        <v>0</v>
      </c>
      <c r="F104" s="259" t="n">
        <v>0</v>
      </c>
      <c r="G104" s="259" t="n">
        <v>0</v>
      </c>
      <c r="H104" s="259" t="n">
        <v>2.879</v>
      </c>
      <c r="I104" s="259" t="n">
        <v>0</v>
      </c>
      <c r="J104" s="259" t="n">
        <v>0</v>
      </c>
      <c r="K104" s="259" t="n">
        <v>0</v>
      </c>
      <c r="L104" s="259" t="n">
        <v>0</v>
      </c>
      <c r="M104" s="259" t="n">
        <v>0</v>
      </c>
      <c r="N104" s="259" t="n">
        <v>0</v>
      </c>
      <c r="O104" s="259" t="n">
        <v>0</v>
      </c>
      <c r="P104" s="259" t="n">
        <v>0</v>
      </c>
      <c r="Q104" s="259" t="n">
        <v>0</v>
      </c>
      <c r="R104" s="259" t="n">
        <v>0</v>
      </c>
      <c r="S104" s="259" t="n">
        <v>0</v>
      </c>
      <c r="T104" s="259" t="n">
        <v>0</v>
      </c>
      <c r="U104" s="259" t="n">
        <v>3.707</v>
      </c>
      <c r="V104" s="259" t="n">
        <v>0</v>
      </c>
      <c r="W104" s="259" t="n">
        <v>0</v>
      </c>
      <c r="X104" s="259" t="n">
        <v>3.707</v>
      </c>
      <c r="Y104" s="259" t="n">
        <v>2.331</v>
      </c>
      <c r="Z104" s="259" t="n">
        <v>4.295</v>
      </c>
      <c r="AA104" s="259" t="n">
        <v>0.5620000000000001</v>
      </c>
      <c r="AB104" s="259" t="n">
        <v>0</v>
      </c>
      <c r="AC104" s="259" t="n">
        <v>7.188</v>
      </c>
      <c r="AD104" s="259" t="n">
        <v>0.382</v>
      </c>
      <c r="AE104" s="259" t="n">
        <v>0</v>
      </c>
      <c r="AF104" s="259" t="n">
        <v>3.215</v>
      </c>
      <c r="AG104" s="259" t="n">
        <v>0</v>
      </c>
      <c r="AH104" s="259" t="n">
        <v>3.597</v>
      </c>
      <c r="AI104" s="259" t="n">
        <v>0</v>
      </c>
      <c r="AJ104" s="259" t="n">
        <v>0</v>
      </c>
      <c r="AK104" s="259" t="n">
        <v>0</v>
      </c>
      <c r="AL104" s="259" t="n">
        <v>0</v>
      </c>
      <c r="AM104" s="259" t="n">
        <v>0</v>
      </c>
      <c r="AN104" s="259" t="n">
        <v>0</v>
      </c>
      <c r="AO104" s="259" t="n">
        <v>0</v>
      </c>
      <c r="AP104" s="259" t="n">
        <v>0</v>
      </c>
      <c r="AQ104" s="259" t="n">
        <v>0</v>
      </c>
      <c r="AR104" s="259" t="n">
        <v>0</v>
      </c>
      <c r="AS104" s="259" t="n">
        <v>0</v>
      </c>
      <c r="AT104" s="259" t="n">
        <v>0.08400000000000001</v>
      </c>
      <c r="AU104" s="259" t="n">
        <v>0.187</v>
      </c>
      <c r="AV104" s="259" t="n">
        <v>0.097</v>
      </c>
      <c r="AW104" s="259" t="n">
        <v>0.368</v>
      </c>
      <c r="AX104" s="259" t="n">
        <v>0</v>
      </c>
      <c r="AY104" s="259" t="n">
        <v>1.994</v>
      </c>
      <c r="AZ104" s="259" t="n">
        <v>0.835</v>
      </c>
      <c r="BA104" s="259" t="n">
        <v>0.242</v>
      </c>
      <c r="BB104" s="259" t="n">
        <v>3.071</v>
      </c>
      <c r="BC104" s="259" t="n">
        <v>0</v>
      </c>
      <c r="BD104" s="259" t="n">
        <v>0.929</v>
      </c>
      <c r="BE104" s="259" t="n">
        <v>6.977</v>
      </c>
      <c r="BF104" s="259" t="n">
        <v>6.826</v>
      </c>
      <c r="BG104" s="259" t="n">
        <v>14.732</v>
      </c>
      <c r="BH104" s="259" t="n">
        <v>0</v>
      </c>
      <c r="BI104" s="259" t="n">
        <v>0</v>
      </c>
      <c r="BJ104" s="259" t="n">
        <v>0</v>
      </c>
      <c r="BK104" s="259" t="n">
        <v>0.19</v>
      </c>
      <c r="BL104" s="259" t="n">
        <v>0.19</v>
      </c>
      <c r="BM104" s="259" t="n">
        <v>0</v>
      </c>
      <c r="BN104" s="259" t="n">
        <v>0.289</v>
      </c>
      <c r="BO104" s="259" t="n">
        <v>0</v>
      </c>
      <c r="BP104" s="259" t="n">
        <v>0</v>
      </c>
      <c r="BQ104" s="259" t="n">
        <v>0.289</v>
      </c>
      <c r="BR104" s="259" t="n">
        <v>0</v>
      </c>
      <c r="BS104" s="259" t="n">
        <v>0</v>
      </c>
      <c r="BT104" s="259" t="n">
        <v>0</v>
      </c>
      <c r="BU104" s="259" t="n">
        <v>0</v>
      </c>
      <c r="BV104" s="259" t="n">
        <v>0</v>
      </c>
      <c r="BW104" s="259" t="n">
        <v>2.9</v>
      </c>
      <c r="BX104" s="259" t="n">
        <v>3.7</v>
      </c>
      <c r="BY104" s="259" t="n">
        <v>3.8</v>
      </c>
      <c r="BZ104" s="259" t="n">
        <v>4.9</v>
      </c>
      <c r="CA104" s="259" t="n">
        <v>15.3</v>
      </c>
      <c r="CB104" s="259" t="n">
        <v>0</v>
      </c>
      <c r="CC104" s="272">
        <f>0</f>
        <v>0</v>
      </c>
      <c r="CD104" s="272">
        <f>0</f>
        <v>0</v>
      </c>
      <c r="CE104" s="272">
        <f>0</f>
        <v>0</v>
      </c>
      <c r="CF104" s="272">
        <f>SUM(CB104:CE104)</f>
        <v>0</v>
      </c>
      <c r="CG104" s="272">
        <f>0</f>
        <v>0</v>
      </c>
      <c r="CH104" s="272">
        <f>0</f>
        <v>0</v>
      </c>
      <c r="CI104" s="272">
        <f>0</f>
        <v>0</v>
      </c>
      <c r="CJ104" s="272">
        <f>0</f>
        <v>0</v>
      </c>
      <c r="CK104" s="272">
        <f>0</f>
        <v>0</v>
      </c>
      <c r="CL104" s="153" t="n"/>
    </row>
    <row r="105" ht="15" customHeight="1" s="251">
      <c r="B105" s="25" t="inlineStr">
        <is>
          <t xml:space="preserve">  Amortization of deferred finance fees (in interest; adjusted EPS add-back)</t>
        </is>
      </c>
      <c r="C105" s="34" t="n"/>
      <c r="D105" s="34" t="n"/>
      <c r="E105" s="34" t="n"/>
      <c r="F105" s="34" t="n"/>
      <c r="G105" s="34" t="n"/>
      <c r="H105" s="34" t="n"/>
      <c r="I105" s="34" t="n"/>
      <c r="J105" s="34" t="n"/>
      <c r="K105" s="34" t="n"/>
      <c r="L105" s="34" t="n"/>
      <c r="M105" s="34" t="n"/>
      <c r="N105" s="34" t="n"/>
      <c r="O105" s="34" t="n"/>
      <c r="P105" s="34" t="n"/>
      <c r="Q105" s="34" t="n"/>
      <c r="R105" s="34" t="n"/>
      <c r="S105" s="34" t="n"/>
      <c r="T105" s="34" t="n"/>
      <c r="U105" s="34" t="n"/>
      <c r="V105" s="34" t="n"/>
      <c r="W105" s="34" t="n"/>
      <c r="X105" s="34" t="n"/>
      <c r="Y105" s="34" t="n"/>
      <c r="Z105" s="34" t="n"/>
      <c r="AA105" s="34" t="n"/>
      <c r="AB105" s="34" t="n"/>
      <c r="AC105" s="34" t="n"/>
      <c r="AD105" s="34" t="n"/>
      <c r="AE105" s="34" t="n"/>
      <c r="AF105" s="34" t="n"/>
      <c r="AG105" s="34" t="n"/>
      <c r="AH105" s="34" t="n"/>
      <c r="AI105" s="34" t="n"/>
      <c r="AJ105" s="34" t="n"/>
      <c r="AK105" s="34" t="n"/>
      <c r="AL105" s="34" t="n"/>
      <c r="AM105" s="34" t="n"/>
      <c r="AN105" s="34" t="n"/>
      <c r="AO105" s="34" t="n"/>
      <c r="AP105" s="34" t="n"/>
      <c r="AQ105" s="34" t="n"/>
      <c r="AR105" s="34" t="n"/>
      <c r="AS105" s="34" t="n"/>
      <c r="AT105" s="34" t="n"/>
      <c r="AU105" s="34" t="n"/>
      <c r="AV105" s="34" t="n"/>
      <c r="AW105" s="34" t="n"/>
      <c r="AX105" s="34" t="n"/>
      <c r="AY105" s="34" t="n"/>
      <c r="AZ105" s="34" t="n"/>
      <c r="BA105" s="34" t="n"/>
      <c r="BB105" s="34" t="n"/>
      <c r="BC105" s="34" t="n"/>
      <c r="BD105" s="34" t="n"/>
      <c r="BE105" s="34" t="n"/>
      <c r="BF105" s="34" t="n"/>
      <c r="BG105" s="34" t="n"/>
      <c r="BH105" s="34" t="n"/>
      <c r="BI105" s="259" t="n">
        <v>2.04</v>
      </c>
      <c r="BJ105" s="259" t="n">
        <v>1.826</v>
      </c>
      <c r="BK105" s="259" t="n">
        <v>1.044</v>
      </c>
      <c r="BL105" s="259" t="n">
        <v>7.208</v>
      </c>
      <c r="BM105" s="259" t="n">
        <v>0.856</v>
      </c>
      <c r="BN105" s="259" t="n">
        <v>0.791</v>
      </c>
      <c r="BO105" s="259" t="n">
        <v>0.649</v>
      </c>
      <c r="BP105" s="259" t="n">
        <v>0.748</v>
      </c>
      <c r="BQ105" s="259" t="n">
        <v>3.044</v>
      </c>
      <c r="BR105" s="259" t="n">
        <v>0.6</v>
      </c>
      <c r="BS105" s="259" t="n">
        <v>0.4</v>
      </c>
      <c r="BT105" s="259" t="n">
        <v>0.7</v>
      </c>
      <c r="BU105" s="259" t="n">
        <v>0.7</v>
      </c>
      <c r="BV105" s="259" t="n">
        <v>2.4</v>
      </c>
      <c r="BW105" s="259" t="n">
        <v>0.8</v>
      </c>
      <c r="BX105" s="259" t="n">
        <v>0.7</v>
      </c>
      <c r="BY105" s="259" t="n">
        <v>0.9</v>
      </c>
      <c r="BZ105" s="259" t="n">
        <v>0.6</v>
      </c>
      <c r="CA105" s="259" t="n">
        <v>3</v>
      </c>
      <c r="CB105" s="259" t="n">
        <v>0.8</v>
      </c>
      <c r="CC105" s="261">
        <f>$CV$21</f>
        <v>0.4</v>
      </c>
      <c r="CD105" s="261">
        <f>$CV$21</f>
        <v>0.4</v>
      </c>
      <c r="CE105" s="261">
        <f>$CV$21</f>
        <v>0.4</v>
      </c>
      <c r="CF105" s="261">
        <f>SUM(CB105:CE105)</f>
        <v>2</v>
      </c>
      <c r="CG105" s="260" t="n">
        <v>0.6</v>
      </c>
      <c r="CH105" s="260" t="n">
        <v>0.6</v>
      </c>
      <c r="CI105" s="260" t="n">
        <v>0.6</v>
      </c>
      <c r="CJ105" s="260" t="n">
        <v>0.6</v>
      </c>
      <c r="CK105" s="260" t="n">
        <v>0.6</v>
      </c>
      <c r="CL105" s="19" t="n"/>
    </row>
    <row r="106" ht="15" customHeight="1" s="251">
      <c r="CT106" s="11" t="n"/>
      <c r="CU106" s="12" t="n"/>
      <c r="CV106" s="12" t="n"/>
      <c r="CW106" s="12" t="n"/>
      <c r="CX106" s="13" t="n"/>
    </row>
    <row r="107" ht="15" customHeight="1" s="251">
      <c r="B107" s="10" t="inlineStr">
        <is>
          <t>CONSOLIDATED STATEMENT OF OPERATIONS (US GAAP)</t>
        </is>
      </c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0" t="n"/>
      <c r="AL107" s="10" t="n"/>
      <c r="AM107" s="10" t="n"/>
      <c r="AN107" s="10" t="n"/>
      <c r="AO107" s="10" t="n"/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0" t="n"/>
      <c r="BC107" s="10" t="n"/>
      <c r="BD107" s="10" t="n"/>
      <c r="BE107" s="10" t="n"/>
      <c r="BF107" s="10" t="n"/>
      <c r="BG107" s="10" t="n"/>
      <c r="BH107" s="10" t="n"/>
      <c r="BI107" s="10" t="n"/>
      <c r="BJ107" s="10" t="n"/>
      <c r="BK107" s="10" t="n"/>
      <c r="BL107" s="10" t="n"/>
      <c r="BM107" s="10" t="n"/>
      <c r="BN107" s="10" t="n"/>
      <c r="BO107" s="10" t="n"/>
      <c r="BP107" s="10" t="n"/>
      <c r="BQ107" s="10" t="n"/>
      <c r="BR107" s="10" t="n"/>
      <c r="BS107" s="10" t="n"/>
      <c r="BT107" s="10" t="n"/>
      <c r="BU107" s="10" t="n"/>
      <c r="BV107" s="10" t="n"/>
      <c r="BW107" s="10" t="n"/>
      <c r="BX107" s="10" t="n"/>
      <c r="BY107" s="10" t="n"/>
      <c r="BZ107" s="10" t="n"/>
      <c r="CA107" s="10" t="n"/>
      <c r="CB107" s="10" t="n"/>
      <c r="CC107" s="10" t="n"/>
      <c r="CD107" s="10" t="n"/>
      <c r="CE107" s="10" t="n"/>
      <c r="CF107" s="10" t="n"/>
      <c r="CG107" s="10" t="n"/>
      <c r="CH107" s="10" t="n"/>
      <c r="CI107" s="10" t="n"/>
      <c r="CJ107" s="10" t="n"/>
      <c r="CK107" s="10" t="n"/>
      <c r="CL107" s="10" t="inlineStr">
        <is>
          <t>CONSOLIDATED IS — forecast logic (gross margin from the segment build; SG&amp;A % of sales; other, net = M&amp;A amortization + other + adjusting items)</t>
        </is>
      </c>
    </row>
    <row r="108" ht="15" customHeight="1" s="251">
      <c r="B108" s="55" t="inlineStr">
        <is>
          <t>Net sales</t>
        </is>
      </c>
      <c r="C108" s="274" t="n">
        <v>274.509</v>
      </c>
      <c r="D108" s="274" t="n">
        <v>306.062</v>
      </c>
      <c r="E108" s="274" t="n">
        <v>330.6</v>
      </c>
      <c r="F108" s="274" t="n">
        <v>355.796</v>
      </c>
      <c r="G108" s="274" t="n">
        <v>274.702</v>
      </c>
      <c r="H108" s="274" t="n">
        <v>335.625</v>
      </c>
      <c r="I108" s="274" t="n">
        <v>397.511</v>
      </c>
      <c r="J108" s="274" t="n">
        <v>103.334</v>
      </c>
      <c r="K108" s="274" t="n">
        <v>100.375</v>
      </c>
      <c r="L108" s="274" t="n">
        <v>96.336</v>
      </c>
      <c r="M108" s="274" t="n">
        <v>103.006</v>
      </c>
      <c r="N108" s="274" t="n">
        <v>403.051</v>
      </c>
      <c r="O108" s="274" t="n">
        <v>102.668</v>
      </c>
      <c r="P108" s="274" t="n">
        <v>101.954</v>
      </c>
      <c r="Q108" s="274" t="n">
        <v>100.546</v>
      </c>
      <c r="R108" s="274" t="n">
        <v>113.718</v>
      </c>
      <c r="S108" s="274" t="n">
        <v>418.886</v>
      </c>
      <c r="T108" s="274" t="n">
        <v>112.984</v>
      </c>
      <c r="U108" s="274" t="n">
        <v>112.555</v>
      </c>
      <c r="V108" s="274" t="n">
        <v>106.322</v>
      </c>
      <c r="W108" s="274" t="n">
        <v>113.417</v>
      </c>
      <c r="X108" s="274" t="n">
        <v>445.278</v>
      </c>
      <c r="Y108" s="274" t="n">
        <v>142.308</v>
      </c>
      <c r="Z108" s="274" t="n">
        <v>148.696</v>
      </c>
      <c r="AA108" s="274" t="n">
        <v>144.216</v>
      </c>
      <c r="AB108" s="274" t="n">
        <v>162.252</v>
      </c>
      <c r="AC108" s="274" t="n">
        <v>597.472</v>
      </c>
      <c r="AD108" s="274" t="n">
        <v>154.579</v>
      </c>
      <c r="AE108" s="274" t="n">
        <v>153.943</v>
      </c>
      <c r="AF108" s="274" t="n">
        <v>146.656</v>
      </c>
      <c r="AG108" s="274" t="n">
        <v>160.21</v>
      </c>
      <c r="AH108" s="274" t="n">
        <v>615.388</v>
      </c>
      <c r="AI108" s="274" t="n">
        <v>163.897</v>
      </c>
      <c r="AJ108" s="274" t="n">
        <v>164.317</v>
      </c>
      <c r="AK108" s="274" t="n">
        <v>166.858</v>
      </c>
      <c r="AL108" s="274" t="n">
        <v>179.877</v>
      </c>
      <c r="AM108" s="274" t="n">
        <v>674.949</v>
      </c>
      <c r="AN108" s="274" t="n">
        <v>175.985</v>
      </c>
      <c r="AO108" s="274" t="n">
        <v>172.916</v>
      </c>
      <c r="AP108" s="274" t="n">
        <v>171.453</v>
      </c>
      <c r="AQ108" s="274" t="n">
        <v>182.162</v>
      </c>
      <c r="AR108" s="274" t="n">
        <v>702.516</v>
      </c>
      <c r="AS108" s="274" t="n">
        <v>182.69</v>
      </c>
      <c r="AT108" s="274" t="n">
        <v>181.909</v>
      </c>
      <c r="AU108" s="274" t="n">
        <v>177.019</v>
      </c>
      <c r="AV108" s="274" t="n">
        <v>185.843</v>
      </c>
      <c r="AW108" s="274" t="n">
        <v>727.461</v>
      </c>
      <c r="AX108" s="274" t="n">
        <v>156.493</v>
      </c>
      <c r="AY108" s="274" t="n">
        <v>146.335</v>
      </c>
      <c r="AZ108" s="274" t="n">
        <v>145.861</v>
      </c>
      <c r="BA108" s="274" t="n">
        <v>160.295</v>
      </c>
      <c r="BB108" s="274" t="n">
        <v>608.984</v>
      </c>
      <c r="BC108" s="274" t="n">
        <v>156.205</v>
      </c>
      <c r="BD108" s="274" t="n">
        <v>160.9</v>
      </c>
      <c r="BE108" s="274" t="n">
        <v>266.953</v>
      </c>
      <c r="BF108" s="274" t="n">
        <v>358.879</v>
      </c>
      <c r="BG108" s="274" t="n">
        <v>942.937</v>
      </c>
      <c r="BH108" s="274" t="n">
        <v>354.08</v>
      </c>
      <c r="BI108" s="274" t="n">
        <v>369.167</v>
      </c>
      <c r="BJ108" s="274" t="n">
        <v>351.625</v>
      </c>
      <c r="BK108" s="274" t="n">
        <v>394.422</v>
      </c>
      <c r="BL108" s="274" t="n">
        <v>1469.3</v>
      </c>
      <c r="BM108" s="274" t="n">
        <v>387.122</v>
      </c>
      <c r="BN108" s="274" t="n">
        <v>385.572</v>
      </c>
      <c r="BO108" s="274" t="n">
        <v>373.906</v>
      </c>
      <c r="BP108" s="274" t="n">
        <v>413.68</v>
      </c>
      <c r="BQ108" s="274" t="n">
        <v>1560.3</v>
      </c>
      <c r="BR108" s="274" t="n">
        <v>406.3</v>
      </c>
      <c r="BS108" s="274" t="n">
        <v>397.9</v>
      </c>
      <c r="BT108" s="274" t="n">
        <v>394.4</v>
      </c>
      <c r="BU108" s="274" t="n">
        <v>437.7</v>
      </c>
      <c r="BV108" s="274" t="n">
        <v>1636.3</v>
      </c>
      <c r="BW108" s="274" t="n">
        <v>436</v>
      </c>
      <c r="BX108" s="274" t="n">
        <v>455.3</v>
      </c>
      <c r="BY108" s="274" t="n">
        <v>461.6</v>
      </c>
      <c r="BZ108" s="274" t="n">
        <v>518</v>
      </c>
      <c r="CA108" s="274" t="n">
        <v>1870.9</v>
      </c>
      <c r="CB108" s="274" t="n">
        <v>519.5</v>
      </c>
      <c r="CC108" s="271">
        <f>CC65</f>
        <v>510</v>
      </c>
      <c r="CD108" s="271">
        <f>CD65</f>
        <v>510.994132160183</v>
      </c>
      <c r="CE108" s="271">
        <f>CE65</f>
        <v>616.621900770929</v>
      </c>
      <c r="CF108" s="271">
        <f>SUM(CB108:CE108)</f>
        <v>2157.11603293111</v>
      </c>
      <c r="CG108" s="271">
        <f>CG65</f>
        <v>2384.77498023031</v>
      </c>
      <c r="CH108" s="271">
        <f>CH65</f>
        <v>2666.37135748097</v>
      </c>
      <c r="CI108" s="271">
        <f>CI65</f>
        <v>2949.30292861885</v>
      </c>
      <c r="CJ108" s="271">
        <f>CJ65</f>
        <v>3237.78295521797</v>
      </c>
      <c r="CK108" s="271">
        <f>CK65</f>
        <v>3522.55164285414</v>
      </c>
      <c r="CL108" s="153" t="inlineStr">
        <is>
          <t>Forecast linked to the segment build.</t>
        </is>
      </c>
      <c r="CN108" s="20">
        <f>IFERROR((CK108/CF108)^(1/5)-1,"n/m")</f>
        <v>0.103053996382692</v>
      </c>
      <c r="CO108" s="20">
        <f>IFERROR((CA108/BB108)^(1/5)-1,"n/m")</f>
        <v>0.251667392624697</v>
      </c>
      <c r="CP108" s="20">
        <f>IFERROR((CA108/AC108)^(1/10)-1,"n/m")</f>
        <v>0.120916602474462</v>
      </c>
      <c r="CQ108" s="20">
        <f>IFERROR((CA108/C108)^(1/20)-1,"n/m")</f>
        <v>0.100714529844965</v>
      </c>
    </row>
    <row r="109" ht="15" customHeight="1" s="251">
      <c r="B109" s="25" t="inlineStr">
        <is>
          <t>Cost of sales</t>
        </is>
      </c>
      <c r="C109" s="259" t="n">
        <v>191.561</v>
      </c>
      <c r="D109" s="259" t="n">
        <v>205.953</v>
      </c>
      <c r="E109" s="259" t="n">
        <v>217.022</v>
      </c>
      <c r="F109" s="259" t="n">
        <v>237.576</v>
      </c>
      <c r="G109" s="259" t="n">
        <v>190.136</v>
      </c>
      <c r="H109" s="259" t="n">
        <v>225.851</v>
      </c>
      <c r="I109" s="259" t="n">
        <v>256.931</v>
      </c>
      <c r="J109" s="259" t="n">
        <v>64.89100000000001</v>
      </c>
      <c r="K109" s="259" t="n">
        <v>62.845</v>
      </c>
      <c r="L109" s="259" t="n">
        <v>60.06</v>
      </c>
      <c r="M109" s="259" t="n">
        <v>62.326</v>
      </c>
      <c r="N109" s="259" t="n">
        <v>250.122</v>
      </c>
      <c r="O109" s="259" t="n">
        <v>62.199</v>
      </c>
      <c r="P109" s="259" t="n">
        <v>61.363</v>
      </c>
      <c r="Q109" s="259" t="n">
        <v>62.05</v>
      </c>
      <c r="R109" s="259" t="n">
        <v>68.477</v>
      </c>
      <c r="S109" s="259" t="n">
        <v>254.089</v>
      </c>
      <c r="T109" s="259" t="n">
        <v>69.163</v>
      </c>
      <c r="U109" s="259" t="n">
        <v>72.804</v>
      </c>
      <c r="V109" s="259" t="n">
        <v>64.669</v>
      </c>
      <c r="W109" s="259" t="n">
        <v>68.502</v>
      </c>
      <c r="X109" s="259" t="n">
        <v>275.138</v>
      </c>
      <c r="Y109" s="259" t="n">
        <v>89.544</v>
      </c>
      <c r="Z109" s="259" t="n">
        <v>96.578</v>
      </c>
      <c r="AA109" s="259" t="n">
        <v>90.69499999999999</v>
      </c>
      <c r="AB109" s="259" t="n">
        <v>101.877</v>
      </c>
      <c r="AC109" s="259" t="n">
        <v>378.694</v>
      </c>
      <c r="AD109" s="259" t="n">
        <v>97.328</v>
      </c>
      <c r="AE109" s="259" t="n">
        <v>97.212</v>
      </c>
      <c r="AF109" s="259" t="n">
        <v>94.271</v>
      </c>
      <c r="AG109" s="259" t="n">
        <v>96.98099999999999</v>
      </c>
      <c r="AH109" s="259" t="n">
        <v>385.792</v>
      </c>
      <c r="AI109" s="259" t="n">
        <v>101.988</v>
      </c>
      <c r="AJ109" s="259" t="n">
        <v>102.506</v>
      </c>
      <c r="AK109" s="259" t="n">
        <v>102.193</v>
      </c>
      <c r="AL109" s="259" t="n">
        <v>110.151</v>
      </c>
      <c r="AM109" s="259" t="n">
        <v>416.838</v>
      </c>
      <c r="AN109" s="259" t="n">
        <v>108.246</v>
      </c>
      <c r="AO109" s="259" t="n">
        <v>105.097</v>
      </c>
      <c r="AP109" s="259" t="n">
        <v>103.326</v>
      </c>
      <c r="AQ109" s="259" t="n">
        <v>109.194</v>
      </c>
      <c r="AR109" s="259" t="n">
        <v>425.863</v>
      </c>
      <c r="AS109" s="259" t="n">
        <v>111.996</v>
      </c>
      <c r="AT109" s="259" t="n">
        <v>110.795</v>
      </c>
      <c r="AU109" s="259" t="n">
        <v>106.308</v>
      </c>
      <c r="AV109" s="259" t="n">
        <v>109.259</v>
      </c>
      <c r="AW109" s="259" t="n">
        <v>438.358</v>
      </c>
      <c r="AX109" s="259" t="n">
        <v>97.04000000000001</v>
      </c>
      <c r="AY109" s="259" t="n">
        <v>89.739</v>
      </c>
      <c r="AZ109" s="259" t="n">
        <v>90.273</v>
      </c>
      <c r="BA109" s="259" t="n">
        <v>97.82599999999999</v>
      </c>
      <c r="BB109" s="259" t="n">
        <v>374.878</v>
      </c>
      <c r="BC109" s="259" t="n">
        <v>92.432</v>
      </c>
      <c r="BD109" s="259" t="n">
        <v>98.43600000000001</v>
      </c>
      <c r="BE109" s="259" t="n">
        <v>173.608</v>
      </c>
      <c r="BF109" s="259" t="n">
        <v>221.393</v>
      </c>
      <c r="BG109" s="259" t="n">
        <v>585.869</v>
      </c>
      <c r="BH109" s="259" t="n">
        <v>212.928</v>
      </c>
      <c r="BI109" s="259" t="n">
        <v>218.02</v>
      </c>
      <c r="BJ109" s="259" t="n">
        <v>205.585</v>
      </c>
      <c r="BK109" s="259" t="n">
        <v>228.01</v>
      </c>
      <c r="BL109" s="259" t="n">
        <v>864.5</v>
      </c>
      <c r="BM109" s="259" t="n">
        <v>219.271</v>
      </c>
      <c r="BN109" s="259" t="n">
        <v>219.247</v>
      </c>
      <c r="BO109" s="259" t="n">
        <v>215.861</v>
      </c>
      <c r="BP109" s="259" t="n">
        <v>235.399</v>
      </c>
      <c r="BQ109" s="259" t="n">
        <v>889.8</v>
      </c>
      <c r="BR109" s="259" t="n">
        <v>222.3</v>
      </c>
      <c r="BS109" s="259" t="n">
        <v>224.1</v>
      </c>
      <c r="BT109" s="259" t="n">
        <v>219.5</v>
      </c>
      <c r="BU109" s="259" t="n">
        <v>244.3</v>
      </c>
      <c r="BV109" s="259" t="n">
        <v>910.2</v>
      </c>
      <c r="BW109" s="259" t="n">
        <v>240.8</v>
      </c>
      <c r="BX109" s="259" t="n">
        <v>254.7</v>
      </c>
      <c r="BY109" s="259" t="n">
        <v>257.2</v>
      </c>
      <c r="BZ109" s="259" t="n">
        <v>288</v>
      </c>
      <c r="CA109" s="259" t="n">
        <v>1040.7</v>
      </c>
      <c r="CB109" s="259" t="n">
        <v>271.7</v>
      </c>
      <c r="CC109" s="261">
        <f>CC108-CC110</f>
        <v>277.3125</v>
      </c>
      <c r="CD109" s="261">
        <f>CD108-CD110</f>
        <v>275.980628819733</v>
      </c>
      <c r="CE109" s="261">
        <f>CE108-CE110</f>
        <v>331.939800057554</v>
      </c>
      <c r="CF109" s="261">
        <f>SUM(CB109:CE109)</f>
        <v>1156.93292887729</v>
      </c>
      <c r="CG109" s="261">
        <f>CG108-CG110</f>
        <v>1281.59286815661</v>
      </c>
      <c r="CH109" s="261">
        <f>CH108-CH110</f>
        <v>1429.9015209871</v>
      </c>
      <c r="CI109" s="261">
        <f>CI108-CI110</f>
        <v>1577.67404920478</v>
      </c>
      <c r="CJ109" s="261">
        <f>CJ108-CJ110</f>
        <v>1735.57739484708</v>
      </c>
      <c r="CK109" s="261">
        <f>CK108-CK110</f>
        <v>1888.34508971059</v>
      </c>
      <c r="CL109" s="19" t="n"/>
    </row>
    <row r="110" ht="15" customHeight="1" s="251">
      <c r="B110" s="16" t="inlineStr">
        <is>
          <t>Gross margin</t>
        </is>
      </c>
      <c r="C110" s="253" t="n">
        <v>82.94799999999999</v>
      </c>
      <c r="D110" s="253" t="n">
        <v>100.109</v>
      </c>
      <c r="E110" s="253" t="n">
        <v>113.578</v>
      </c>
      <c r="F110" s="253" t="n">
        <v>118.22</v>
      </c>
      <c r="G110" s="253" t="n">
        <v>84.566</v>
      </c>
      <c r="H110" s="253" t="n">
        <v>109.774</v>
      </c>
      <c r="I110" s="253" t="n">
        <v>140.58</v>
      </c>
      <c r="J110" s="253" t="n">
        <v>38.443</v>
      </c>
      <c r="K110" s="253" t="n">
        <v>37.53</v>
      </c>
      <c r="L110" s="253" t="n">
        <v>36.276</v>
      </c>
      <c r="M110" s="253" t="n">
        <v>40.68</v>
      </c>
      <c r="N110" s="253" t="n">
        <v>152.929</v>
      </c>
      <c r="O110" s="253" t="n">
        <v>40.469</v>
      </c>
      <c r="P110" s="253" t="n">
        <v>40.591</v>
      </c>
      <c r="Q110" s="253" t="n">
        <v>38.496</v>
      </c>
      <c r="R110" s="253" t="n">
        <v>45.241</v>
      </c>
      <c r="S110" s="253" t="n">
        <v>164.797</v>
      </c>
      <c r="T110" s="253" t="n">
        <v>43.821</v>
      </c>
      <c r="U110" s="253" t="n">
        <v>39.751</v>
      </c>
      <c r="V110" s="253" t="n">
        <v>41.653</v>
      </c>
      <c r="W110" s="253" t="n">
        <v>44.915</v>
      </c>
      <c r="X110" s="253" t="n">
        <v>170.14</v>
      </c>
      <c r="Y110" s="253" t="n">
        <v>52.764</v>
      </c>
      <c r="Z110" s="253" t="n">
        <v>52.118</v>
      </c>
      <c r="AA110" s="253" t="n">
        <v>53.521</v>
      </c>
      <c r="AB110" s="253" t="n">
        <v>60.375</v>
      </c>
      <c r="AC110" s="253" t="n">
        <v>218.778</v>
      </c>
      <c r="AD110" s="253" t="n">
        <v>57.251</v>
      </c>
      <c r="AE110" s="253" t="n">
        <v>56.731</v>
      </c>
      <c r="AF110" s="253" t="n">
        <v>52.385</v>
      </c>
      <c r="AG110" s="253" t="n">
        <v>63.229</v>
      </c>
      <c r="AH110" s="253" t="n">
        <v>229.596</v>
      </c>
      <c r="AI110" s="253" t="n">
        <v>61.909</v>
      </c>
      <c r="AJ110" s="253" t="n">
        <v>61.811</v>
      </c>
      <c r="AK110" s="253" t="n">
        <v>64.66500000000001</v>
      </c>
      <c r="AL110" s="253" t="n">
        <v>69.726</v>
      </c>
      <c r="AM110" s="253" t="n">
        <v>258.111</v>
      </c>
      <c r="AN110" s="253" t="n">
        <v>67.739</v>
      </c>
      <c r="AO110" s="253" t="n">
        <v>67.819</v>
      </c>
      <c r="AP110" s="253" t="n">
        <v>68.127</v>
      </c>
      <c r="AQ110" s="253" t="n">
        <v>72.968</v>
      </c>
      <c r="AR110" s="253" t="n">
        <v>276.653</v>
      </c>
      <c r="AS110" s="253" t="n">
        <v>70.694</v>
      </c>
      <c r="AT110" s="253" t="n">
        <v>71.114</v>
      </c>
      <c r="AU110" s="253" t="n">
        <v>70.711</v>
      </c>
      <c r="AV110" s="253" t="n">
        <v>76.584</v>
      </c>
      <c r="AW110" s="253" t="n">
        <v>289.103</v>
      </c>
      <c r="AX110" s="253" t="n">
        <v>59.453</v>
      </c>
      <c r="AY110" s="253" t="n">
        <v>56.596</v>
      </c>
      <c r="AZ110" s="253" t="n">
        <v>55.588</v>
      </c>
      <c r="BA110" s="253" t="n">
        <v>62.469</v>
      </c>
      <c r="BB110" s="253" t="n">
        <v>234.106</v>
      </c>
      <c r="BC110" s="253" t="n">
        <v>63.773</v>
      </c>
      <c r="BD110" s="253" t="n">
        <v>62.464</v>
      </c>
      <c r="BE110" s="253" t="n">
        <v>93.345</v>
      </c>
      <c r="BF110" s="253" t="n">
        <v>137.486</v>
      </c>
      <c r="BG110" s="253" t="n">
        <v>357.068</v>
      </c>
      <c r="BH110" s="253" t="n">
        <v>141.152</v>
      </c>
      <c r="BI110" s="253" t="n">
        <v>151.147</v>
      </c>
      <c r="BJ110" s="253" t="n">
        <v>146.04</v>
      </c>
      <c r="BK110" s="253" t="n">
        <v>166.412</v>
      </c>
      <c r="BL110" s="253" t="n">
        <v>604.8</v>
      </c>
      <c r="BM110" s="253" t="n">
        <v>167.851</v>
      </c>
      <c r="BN110" s="253" t="n">
        <v>166.325</v>
      </c>
      <c r="BO110" s="253" t="n">
        <v>158.045</v>
      </c>
      <c r="BP110" s="253" t="n">
        <v>178.281</v>
      </c>
      <c r="BQ110" s="253" t="n">
        <v>670.5</v>
      </c>
      <c r="BR110" s="253" t="n">
        <v>184</v>
      </c>
      <c r="BS110" s="253" t="n">
        <v>173.8</v>
      </c>
      <c r="BT110" s="253" t="n">
        <v>174.9</v>
      </c>
      <c r="BU110" s="253" t="n">
        <v>193.4</v>
      </c>
      <c r="BV110" s="253" t="n">
        <v>726.1</v>
      </c>
      <c r="BW110" s="253" t="n">
        <v>195.2</v>
      </c>
      <c r="BX110" s="253" t="n">
        <v>200.6</v>
      </c>
      <c r="BY110" s="253" t="n">
        <v>204.4</v>
      </c>
      <c r="BZ110" s="253" t="n">
        <v>230</v>
      </c>
      <c r="CA110" s="253" t="n">
        <v>830.2</v>
      </c>
      <c r="CB110" s="253" t="n">
        <v>247.8</v>
      </c>
      <c r="CC110" s="254">
        <f>CC68-CC104</f>
        <v>232.6875</v>
      </c>
      <c r="CD110" s="254">
        <f>CD68-CD104</f>
        <v>235.01350334045</v>
      </c>
      <c r="CE110" s="254">
        <f>CE68-CE104</f>
        <v>284.682100713376</v>
      </c>
      <c r="CF110" s="254">
        <f>SUM(CB110:CE110)</f>
        <v>1000.18310405383</v>
      </c>
      <c r="CG110" s="254">
        <f>CG68-CG104</f>
        <v>1103.1821120737</v>
      </c>
      <c r="CH110" s="254">
        <f>CH68-CH104</f>
        <v>1236.46983649388</v>
      </c>
      <c r="CI110" s="254">
        <f>CI68-CI104</f>
        <v>1371.62887941406</v>
      </c>
      <c r="CJ110" s="254">
        <f>CJ68-CJ104</f>
        <v>1502.20556037088</v>
      </c>
      <c r="CK110" s="254">
        <f>CK68-CK104</f>
        <v>1634.20655314355</v>
      </c>
      <c r="CL110" s="153" t="inlineStr">
        <is>
          <t>Forecast = adjusted gross margin (segment build) − items in cost of sales.</t>
        </is>
      </c>
      <c r="CN110" s="20">
        <f>IFERROR((CK110/CF110)^(1/5)-1,"n/m")</f>
        <v>0.103177731732127</v>
      </c>
      <c r="CO110" s="20">
        <f>IFERROR((CA110/BB110)^(1/5)-1,"n/m")</f>
        <v>0.288113218364117</v>
      </c>
      <c r="CP110" s="20">
        <f>IFERROR((CA110/AC110)^(1/10)-1,"n/m")</f>
        <v>0.142662324301428</v>
      </c>
      <c r="CQ110" s="20">
        <f>IFERROR((CA110/C110)^(1/20)-1,"n/m")</f>
        <v>0.122067130604692</v>
      </c>
    </row>
    <row r="111" ht="15" customHeight="1" s="251">
      <c r="B111" s="25" t="inlineStr">
        <is>
          <t xml:space="preserve">  Gross margin %</t>
        </is>
      </c>
      <c r="C111" s="215">
        <f>IF(AND(ISNUMBER(C110),ISNUMBER(C108)),IFERROR(C110/C108,""),"")</f>
        <v>0.302168599208041</v>
      </c>
      <c r="D111" s="215">
        <f>IF(AND(ISNUMBER(D110),ISNUMBER(D108)),IFERROR(D110/D108,""),"")</f>
        <v>0.327087322176552</v>
      </c>
      <c r="E111" s="215">
        <f>IF(AND(ISNUMBER(E110),ISNUMBER(E108)),IFERROR(E110/E108,""),"")</f>
        <v>0.343551119177253</v>
      </c>
      <c r="F111" s="215">
        <f>IF(AND(ISNUMBER(F110),ISNUMBER(F108)),IFERROR(F110/F108,""),"")</f>
        <v>0.332269053052873</v>
      </c>
      <c r="G111" s="215">
        <f>IF(AND(ISNUMBER(G110),ISNUMBER(G108)),IFERROR(G110/G108,""),"")</f>
        <v>0.307846320740293</v>
      </c>
      <c r="H111" s="215">
        <f>IF(AND(ISNUMBER(H110),ISNUMBER(H108)),IFERROR(H110/H108,""),"")</f>
        <v>0.327073370577281</v>
      </c>
      <c r="I111" s="215">
        <f>IF(AND(ISNUMBER(I110),ISNUMBER(I108)),IFERROR(I110/I108,""),"")</f>
        <v>0.353650590801261</v>
      </c>
      <c r="J111" s="215">
        <f>IF(AND(ISNUMBER(J110),ISNUMBER(J108)),IFERROR(J110/J108,""),"")</f>
        <v>0.372026632086245</v>
      </c>
      <c r="K111" s="215">
        <f>IF(AND(ISNUMBER(K110),ISNUMBER(K108)),IFERROR(K110/K108,""),"")</f>
        <v>0.373897882938979</v>
      </c>
      <c r="L111" s="215">
        <f>IF(AND(ISNUMBER(L110),ISNUMBER(L108)),IFERROR(L110/L108,""),"")</f>
        <v>0.376557050323867</v>
      </c>
      <c r="M111" s="215">
        <f>IF(AND(ISNUMBER(M110),ISNUMBER(M108)),IFERROR(M110/M108,""),"")</f>
        <v>0.394928450769858</v>
      </c>
      <c r="N111" s="215">
        <f>IF(AND(ISNUMBER(N110),ISNUMBER(N108)),IFERROR(N110/N108,""),"")</f>
        <v>0.379428409804218</v>
      </c>
      <c r="O111" s="215">
        <f>IF(AND(ISNUMBER(O110),ISNUMBER(O108)),IFERROR(O110/O108,""),"")</f>
        <v>0.394173452292827</v>
      </c>
      <c r="P111" s="215">
        <f>IF(AND(ISNUMBER(P110),ISNUMBER(P108)),IFERROR(P110/P108,""),"")</f>
        <v>0.39813052945446</v>
      </c>
      <c r="Q111" s="215">
        <f>IF(AND(ISNUMBER(Q110),ISNUMBER(Q108)),IFERROR(Q110/Q108,""),"")</f>
        <v>0.382869532353351</v>
      </c>
      <c r="R111" s="215">
        <f>IF(AND(ISNUMBER(R110),ISNUMBER(R108)),IFERROR(R110/R108,""),"")</f>
        <v>0.397834995339348</v>
      </c>
      <c r="S111" s="215">
        <f>IF(AND(ISNUMBER(S110),ISNUMBER(S108)),IFERROR(S110/S108,""),"")</f>
        <v>0.393417302082189</v>
      </c>
      <c r="T111" s="215">
        <f>IF(AND(ISNUMBER(T110),ISNUMBER(T108)),IFERROR(T110/T108,""),"")</f>
        <v>0.38785137718615</v>
      </c>
      <c r="U111" s="215">
        <f>IF(AND(ISNUMBER(U110),ISNUMBER(U108)),IFERROR(U110/U108,""),"")</f>
        <v>0.353169561547688</v>
      </c>
      <c r="V111" s="215">
        <f>IF(AND(ISNUMBER(V110),ISNUMBER(V108)),IFERROR(V110/V108,""),"")</f>
        <v>0.391762758413122</v>
      </c>
      <c r="W111" s="215">
        <f>IF(AND(ISNUMBER(W110),ISNUMBER(W108)),IFERROR(W110/W108,""),"")</f>
        <v>0.396016470194063</v>
      </c>
      <c r="X111" s="215">
        <f>IF(AND(ISNUMBER(X110),ISNUMBER(X108)),IFERROR(X110/X108,""),"")</f>
        <v>0.382098374498628</v>
      </c>
      <c r="Y111" s="215">
        <f>IF(AND(ISNUMBER(Y110),ISNUMBER(Y108)),IFERROR(Y110/Y108,""),"")</f>
        <v>0.370773252382157</v>
      </c>
      <c r="Z111" s="215">
        <f>IF(AND(ISNUMBER(Z110),ISNUMBER(Z108)),IFERROR(Z110/Z108,""),"")</f>
        <v>0.350500349706784</v>
      </c>
      <c r="AA111" s="215">
        <f>IF(AND(ISNUMBER(AA110),ISNUMBER(AA108)),IFERROR(AA110/AA108,""),"")</f>
        <v>0.37111693570755</v>
      </c>
      <c r="AB111" s="215">
        <f>IF(AND(ISNUMBER(AB110),ISNUMBER(AB108)),IFERROR(AB110/AB108,""),"")</f>
        <v>0.372106353080393</v>
      </c>
      <c r="AC111" s="215">
        <f>IF(AND(ISNUMBER(AC110),ISNUMBER(AC108)),IFERROR(AC110/AC108,""),"")</f>
        <v>0.36617280809812</v>
      </c>
      <c r="AD111" s="215">
        <f>IF(AND(ISNUMBER(AD110),ISNUMBER(AD108)),IFERROR(AD110/AD108,""),"")</f>
        <v>0.370367255578054</v>
      </c>
      <c r="AE111" s="215">
        <f>IF(AND(ISNUMBER(AE110),ISNUMBER(AE108)),IFERROR(AE110/AE108,""),"")</f>
        <v>0.368519516964071</v>
      </c>
      <c r="AF111" s="215">
        <f>IF(AND(ISNUMBER(AF110),ISNUMBER(AF108)),IFERROR(AF110/AF108,""),"")</f>
        <v>0.357196432467816</v>
      </c>
      <c r="AG111" s="215">
        <f>IF(AND(ISNUMBER(AG110),ISNUMBER(AG108)),IFERROR(AG110/AG108,""),"")</f>
        <v>0.394663254478497</v>
      </c>
      <c r="AH111" s="215">
        <f>IF(AND(ISNUMBER(AH110),ISNUMBER(AH108)),IFERROR(AH110/AH108,""),"")</f>
        <v>0.373091447997036</v>
      </c>
      <c r="AI111" s="215">
        <f>IF(AND(ISNUMBER(AI110),ISNUMBER(AI108)),IFERROR(AI110/AI108,""),"")</f>
        <v>0.377731136018353</v>
      </c>
      <c r="AJ111" s="215">
        <f>IF(AND(ISNUMBER(AJ110),ISNUMBER(AJ108)),IFERROR(AJ110/AJ108,""),"")</f>
        <v>0.376169233858943</v>
      </c>
      <c r="AK111" s="215">
        <f>IF(AND(ISNUMBER(AK110),ISNUMBER(AK108)),IFERROR(AK110/AK108,""),"")</f>
        <v>0.387545098227235</v>
      </c>
      <c r="AL111" s="215">
        <f>IF(AND(ISNUMBER(AL110),ISNUMBER(AL108)),IFERROR(AL110/AL108,""),"")</f>
        <v>0.38763154822462</v>
      </c>
      <c r="AM111" s="215">
        <f>IF(AND(ISNUMBER(AM110),ISNUMBER(AM108)),IFERROR(AM110/AM108,""),"")</f>
        <v>0.382415560286777</v>
      </c>
      <c r="AN111" s="215">
        <f>IF(AND(ISNUMBER(AN110),ISNUMBER(AN108)),IFERROR(AN110/AN108,""),"")</f>
        <v>0.38491348694491</v>
      </c>
      <c r="AO111" s="215">
        <f>IF(AND(ISNUMBER(AO110),ISNUMBER(AO108)),IFERROR(AO110/AO108,""),"")</f>
        <v>0.392207777186611</v>
      </c>
      <c r="AP111" s="215">
        <f>IF(AND(ISNUMBER(AP110),ISNUMBER(AP108)),IFERROR(AP110/AP108,""),"")</f>
        <v>0.397350877499956</v>
      </c>
      <c r="AQ111" s="215">
        <f>IF(AND(ISNUMBER(AQ110),ISNUMBER(AQ108)),IFERROR(AQ110/AQ108,""),"")</f>
        <v>0.400566528694239</v>
      </c>
      <c r="AR111" s="215">
        <f>IF(AND(ISNUMBER(AR110),ISNUMBER(AR108)),IFERROR(AR110/AR108,""),"")</f>
        <v>0.393803130462509</v>
      </c>
      <c r="AS111" s="215">
        <f>IF(AND(ISNUMBER(AS110),ISNUMBER(AS108)),IFERROR(AS110/AS108,""),"")</f>
        <v>0.386961519513931</v>
      </c>
      <c r="AT111" s="215">
        <f>IF(AND(ISNUMBER(AT110),ISNUMBER(AT108)),IFERROR(AT110/AT108,""),"")</f>
        <v>0.390931729601064</v>
      </c>
      <c r="AU111" s="215">
        <f>IF(AND(ISNUMBER(AU110),ISNUMBER(AU108)),IFERROR(AU110/AU108,""),"")</f>
        <v>0.399454295866545</v>
      </c>
      <c r="AV111" s="215">
        <f>IF(AND(ISNUMBER(AV110),ISNUMBER(AV108)),IFERROR(AV110/AV108,""),"")</f>
        <v>0.412089774702303</v>
      </c>
      <c r="AW111" s="215">
        <f>IF(AND(ISNUMBER(AW110),ISNUMBER(AW108)),IFERROR(AW110/AW108,""),"")</f>
        <v>0.397413744516888</v>
      </c>
      <c r="AX111" s="215">
        <f>IF(AND(ISNUMBER(AX110),ISNUMBER(AX108)),IFERROR(AX110/AX108,""),"")</f>
        <v>0.379908366508406</v>
      </c>
      <c r="AY111" s="215">
        <f>IF(AND(ISNUMBER(AY110),ISNUMBER(AY108)),IFERROR(AY110/AY108,""),"")</f>
        <v>0.386756415074999</v>
      </c>
      <c r="AZ111" s="215">
        <f>IF(AND(ISNUMBER(AZ110),ISNUMBER(AZ108)),IFERROR(AZ110/AZ108,""),"")</f>
        <v>0.381102556543559</v>
      </c>
      <c r="BA111" s="215">
        <f>IF(AND(ISNUMBER(BA110),ISNUMBER(BA108)),IFERROR(BA110/BA108,""),"")</f>
        <v>0.389712717177704</v>
      </c>
      <c r="BB111" s="215">
        <f>IF(AND(ISNUMBER(BB110),ISNUMBER(BB108)),IFERROR(BB110/BB108,""),"")</f>
        <v>0.384420608751626</v>
      </c>
      <c r="BC111" s="215">
        <f>IF(AND(ISNUMBER(BC110),ISNUMBER(BC108)),IFERROR(BC110/BC108,""),"")</f>
        <v>0.408264780256714</v>
      </c>
      <c r="BD111" s="215">
        <f>IF(AND(ISNUMBER(BD110),ISNUMBER(BD108)),IFERROR(BD110/BD108,""),"")</f>
        <v>0.388216283405842</v>
      </c>
      <c r="BE111" s="215">
        <f>IF(AND(ISNUMBER(BE110),ISNUMBER(BE108)),IFERROR(BE110/BE108,""),"")</f>
        <v>0.349668293669672</v>
      </c>
      <c r="BF111" s="215">
        <f>IF(AND(ISNUMBER(BF110),ISNUMBER(BF108)),IFERROR(BF110/BF108,""),"")</f>
        <v>0.38309848166095</v>
      </c>
      <c r="BG111" s="215">
        <f>IF(AND(ISNUMBER(BG110),ISNUMBER(BG108)),IFERROR(BG110/BG108,""),"")</f>
        <v>0.378676412103884</v>
      </c>
      <c r="BH111" s="215">
        <f>IF(AND(ISNUMBER(BH110),ISNUMBER(BH108)),IFERROR(BH110/BH108,""),"")</f>
        <v>0.398644374152734</v>
      </c>
      <c r="BI111" s="215">
        <f>IF(AND(ISNUMBER(BI110),ISNUMBER(BI108)),IFERROR(BI110/BI108,""),"")</f>
        <v>0.409427169817454</v>
      </c>
      <c r="BJ111" s="215">
        <f>IF(AND(ISNUMBER(BJ110),ISNUMBER(BJ108)),IFERROR(BJ110/BJ108,""),"")</f>
        <v>0.415328830430146</v>
      </c>
      <c r="BK111" s="215">
        <f>IF(AND(ISNUMBER(BK110),ISNUMBER(BK108)),IFERROR(BK110/BK108,""),"")</f>
        <v>0.421913584942016</v>
      </c>
      <c r="BL111" s="215">
        <f>IF(AND(ISNUMBER(BL110),ISNUMBER(BL108)),IFERROR(BL110/BL108,""),"")</f>
        <v>0.411624583134826</v>
      </c>
      <c r="BM111" s="215">
        <f>IF(AND(ISNUMBER(BM110),ISNUMBER(BM108)),IFERROR(BM110/BM108,""),"")</f>
        <v>0.433586827925047</v>
      </c>
      <c r="BN111" s="215">
        <f>IF(AND(ISNUMBER(BN110),ISNUMBER(BN108)),IFERROR(BN110/BN108,""),"")</f>
        <v>0.431372091334433</v>
      </c>
      <c r="BO111" s="215">
        <f>IF(AND(ISNUMBER(BO110),ISNUMBER(BO108)),IFERROR(BO110/BO108,""),"")</f>
        <v>0.422686450605232</v>
      </c>
      <c r="BP111" s="215">
        <f>IF(AND(ISNUMBER(BP110),ISNUMBER(BP108)),IFERROR(BP110/BP108,""),"")</f>
        <v>0.430963546702765</v>
      </c>
      <c r="BQ111" s="215">
        <f>IF(AND(ISNUMBER(BQ110),ISNUMBER(BQ108)),IFERROR(BQ110/BQ108,""),"")</f>
        <v>0.429725052874447</v>
      </c>
      <c r="BR111" s="215">
        <f>IF(AND(ISNUMBER(BR110),ISNUMBER(BR108)),IFERROR(BR110/BR108,""),"")</f>
        <v>0.452867339404381</v>
      </c>
      <c r="BS111" s="215">
        <f>IF(AND(ISNUMBER(BS110),ISNUMBER(BS108)),IFERROR(BS110/BS108,""),"")</f>
        <v>0.436793164111586</v>
      </c>
      <c r="BT111" s="215">
        <f>IF(AND(ISNUMBER(BT110),ISNUMBER(BT108)),IFERROR(BT110/BT108,""),"")</f>
        <v>0.443458417849899</v>
      </c>
      <c r="BU111" s="215">
        <f>IF(AND(ISNUMBER(BU110),ISNUMBER(BU108)),IFERROR(BU110/BU108,""),"")</f>
        <v>0.441855151930546</v>
      </c>
      <c r="BV111" s="215">
        <f>IF(AND(ISNUMBER(BV110),ISNUMBER(BV108)),IFERROR(BV110/BV108,""),"")</f>
        <v>0.443745034529121</v>
      </c>
      <c r="BW111" s="215">
        <f>IF(AND(ISNUMBER(BW110),ISNUMBER(BW108)),IFERROR(BW110/BW108,""),"")</f>
        <v>0.447706422018349</v>
      </c>
      <c r="BX111" s="215">
        <f>IF(AND(ISNUMBER(BX110),ISNUMBER(BX108)),IFERROR(BX110/BX108,""),"")</f>
        <v>0.440588622886009</v>
      </c>
      <c r="BY111" s="215">
        <f>IF(AND(ISNUMBER(BY110),ISNUMBER(BY108)),IFERROR(BY110/BY108,""),"")</f>
        <v>0.442807625649913</v>
      </c>
      <c r="BZ111" s="215">
        <f>IF(AND(ISNUMBER(BZ110),ISNUMBER(BZ108)),IFERROR(BZ110/BZ108,""),"")</f>
        <v>0.444015444015444</v>
      </c>
      <c r="CA111" s="215">
        <f>IF(AND(ISNUMBER(CA110),ISNUMBER(CA108)),IFERROR(CA110/CA108,""),"")</f>
        <v>0.443743652787429</v>
      </c>
      <c r="CB111" s="215">
        <f>IF(AND(ISNUMBER(CB110),ISNUMBER(CB108)),IFERROR(CB110/CB108,""),"")</f>
        <v>0.476997112608277</v>
      </c>
      <c r="CC111" s="256">
        <f>IF(AND(ISNUMBER(CC110),ISNUMBER(CC108)),IFERROR(CC110/CC108,""),"")</f>
        <v>0.45625</v>
      </c>
      <c r="CD111" s="256">
        <f>IF(AND(ISNUMBER(CD110),ISNUMBER(CD108)),IFERROR(CD110/CD108,""),"")</f>
        <v>0.459914289713957</v>
      </c>
      <c r="CE111" s="256">
        <f>IF(AND(ISNUMBER(CE110),ISNUMBER(CE108)),IFERROR(CE110/CE108,""),"")</f>
        <v>0.461680164712692</v>
      </c>
      <c r="CF111" s="256">
        <f>IF(AND(ISNUMBER(CF110),ISNUMBER(CF108)),IFERROR(CF110/CF108,""),"")</f>
        <v>0.463666807341266</v>
      </c>
      <c r="CG111" s="256">
        <f>IF(AND(ISNUMBER(CG110),ISNUMBER(CG108)),IFERROR(CG110/CG108,""),"")</f>
        <v>0.462593796571598</v>
      </c>
      <c r="CH111" s="256">
        <f>IF(AND(ISNUMBER(CH110),ISNUMBER(CH108)),IFERROR(CH110/CH108,""),"")</f>
        <v>0.463727542311292</v>
      </c>
      <c r="CI111" s="256">
        <f>IF(AND(ISNUMBER(CI110),ISNUMBER(CI108)),IFERROR(CI110/CI108,""),"")</f>
        <v>0.46506883579314</v>
      </c>
      <c r="CJ111" s="256">
        <f>IF(AND(ISNUMBER(CJ110),ISNUMBER(CJ108)),IFERROR(CJ110/CJ108,""),"")</f>
        <v>0.463961167610061</v>
      </c>
      <c r="CK111" s="256">
        <f>IF(AND(ISNUMBER(CK110),ISNUMBER(CK108)),IFERROR(CK110/CK108,""),"")</f>
        <v>0.46392692537488</v>
      </c>
      <c r="CL111" s="153" t="n"/>
      <c r="CN111" s="37">
        <f>IFERROR(AVERAGE(CG111,CH111,CI111,CJ111,CK111),"n/m")</f>
        <v>0.463855653532194</v>
      </c>
      <c r="CO111" s="37">
        <f>IFERROR(AVERAGE(BG111,BL111,BQ111,BV111,CA111),"n/m")</f>
        <v>0.421502947085941</v>
      </c>
      <c r="CP111" s="37">
        <f>IFERROR(AVERAGE(AH111,AM111,AR111,AW111,BB111,BG111,BL111,BQ111,BV111,CA111),"n/m")</f>
        <v>0.403865922744454</v>
      </c>
      <c r="CQ111" s="37">
        <f>IFERROR(AVERAGE(C111,D111,E111,F111,G111,H111,I111,N111,S111,X111,AC111,AH111,AM111,AR111,AW111,BB111,BG111,BL111,BQ111,BV111,CA111),"n/m")</f>
        <v>0.373972499888631</v>
      </c>
    </row>
    <row r="112" ht="15" customHeight="1" s="251">
      <c r="B112" s="156" t="inlineStr">
        <is>
          <t xml:space="preserve">  Memo: adjusted gross margin (company; = gross margin where nothing is adjusted)</t>
        </is>
      </c>
      <c r="C112" s="264">
        <f>IF(ISNUMBER(C113),C113,C110+C104)</f>
        <v>82.948</v>
      </c>
      <c r="D112" s="264">
        <f>IF(ISNUMBER(D113),D113,D110+D104)</f>
        <v>100.109</v>
      </c>
      <c r="E112" s="264">
        <f>IF(ISNUMBER(E113),E113,E110+E104)</f>
        <v>113.578</v>
      </c>
      <c r="F112" s="264">
        <f>IF(ISNUMBER(F113),F113,F110+F104)</f>
        <v>118.22</v>
      </c>
      <c r="G112" s="264">
        <f>IF(ISNUMBER(G113),G113,G110+G104)</f>
        <v>84.566</v>
      </c>
      <c r="H112" s="264">
        <f>IF(ISNUMBER(H113),H113,H110+H104)</f>
        <v>112.653</v>
      </c>
      <c r="I112" s="264">
        <f>IF(ISNUMBER(I113),I113,I110+I104)</f>
        <v>140.58</v>
      </c>
      <c r="J112" s="264">
        <f>IF(ISNUMBER(J113),J113,J110+J104)</f>
        <v>38.443</v>
      </c>
      <c r="K112" s="264">
        <f>IF(ISNUMBER(K113),K113,K110+K104)</f>
        <v>37.53</v>
      </c>
      <c r="L112" s="264">
        <f>IF(ISNUMBER(L113),L113,L110+L104)</f>
        <v>36.276</v>
      </c>
      <c r="M112" s="264">
        <f>IF(ISNUMBER(M113),M113,M110+M104)</f>
        <v>40.68</v>
      </c>
      <c r="N112" s="264">
        <f>IF(ISNUMBER(N113),N113,N110+N104)</f>
        <v>152.929</v>
      </c>
      <c r="O112" s="264">
        <f>IF(ISNUMBER(O113),O113,O110+O104)</f>
        <v>40.469</v>
      </c>
      <c r="P112" s="264">
        <f>IF(ISNUMBER(P113),P113,P110+P104)</f>
        <v>40.591</v>
      </c>
      <c r="Q112" s="264">
        <f>IF(ISNUMBER(Q113),Q113,Q110+Q104)</f>
        <v>38.496</v>
      </c>
      <c r="R112" s="264">
        <f>IF(ISNUMBER(R113),R113,R110+R104)</f>
        <v>45.241</v>
      </c>
      <c r="S112" s="264">
        <f>IF(ISNUMBER(S113),S113,S110+S104)</f>
        <v>164.797</v>
      </c>
      <c r="T112" s="264">
        <f>IF(ISNUMBER(T113),T113,T110+T104)</f>
        <v>43.821</v>
      </c>
      <c r="U112" s="264">
        <f>IF(ISNUMBER(U113),U113,U110+U104)</f>
        <v>43.458</v>
      </c>
      <c r="V112" s="264">
        <f>IF(ISNUMBER(V113),V113,V110+V104)</f>
        <v>41.653</v>
      </c>
      <c r="W112" s="264">
        <f>IF(ISNUMBER(W113),W113,W110+W104)</f>
        <v>44.915</v>
      </c>
      <c r="X112" s="264">
        <f>IF(ISNUMBER(X113),X113,X110+X104)</f>
        <v>173.847</v>
      </c>
      <c r="Y112" s="264">
        <f>IF(ISNUMBER(Y113),Y113,Y110+Y104)</f>
        <v>55.095</v>
      </c>
      <c r="Z112" s="264">
        <f>IF(ISNUMBER(Z113),Z113,Z110+Z104)</f>
        <v>56.413</v>
      </c>
      <c r="AA112" s="264">
        <f>IF(ISNUMBER(AA113),AA113,AA110+AA104)</f>
        <v>54.083</v>
      </c>
      <c r="AB112" s="264">
        <f>IF(ISNUMBER(AB113),AB113,AB110+AB104)</f>
        <v>60.375</v>
      </c>
      <c r="AC112" s="264">
        <f>IF(ISNUMBER(AC113),AC113,AC110+AC104)</f>
        <v>225.966</v>
      </c>
      <c r="AD112" s="264">
        <f>IF(ISNUMBER(AD113),AD113,AD110+AD104)</f>
        <v>57.633</v>
      </c>
      <c r="AE112" s="264">
        <f>IF(ISNUMBER(AE113),AE113,AE110+AE104)</f>
        <v>56.731</v>
      </c>
      <c r="AF112" s="264">
        <f>IF(ISNUMBER(AF113),AF113,AF110+AF104)</f>
        <v>55.6</v>
      </c>
      <c r="AG112" s="264">
        <f>IF(ISNUMBER(AG113),AG113,AG110+AG104)</f>
        <v>63.229</v>
      </c>
      <c r="AH112" s="264">
        <f>IF(ISNUMBER(AH113),AH113,AH110+AH104)</f>
        <v>233.193</v>
      </c>
      <c r="AI112" s="264">
        <f>IF(ISNUMBER(AI113),AI113,AI110+AI104)</f>
        <v>61.909</v>
      </c>
      <c r="AJ112" s="264">
        <f>IF(ISNUMBER(AJ113),AJ113,AJ110+AJ104)</f>
        <v>61.811</v>
      </c>
      <c r="AK112" s="264">
        <f>IF(ISNUMBER(AK113),AK113,AK110+AK104)</f>
        <v>64.665</v>
      </c>
      <c r="AL112" s="264">
        <f>IF(ISNUMBER(AL113),AL113,AL110+AL104)</f>
        <v>69.726</v>
      </c>
      <c r="AM112" s="264">
        <f>IF(ISNUMBER(AM113),AM113,AM110+AM104)</f>
        <v>258.111</v>
      </c>
      <c r="AN112" s="264">
        <f>IF(ISNUMBER(AN113),AN113,AN110+AN104)</f>
        <v>67.739</v>
      </c>
      <c r="AO112" s="264">
        <f>IF(ISNUMBER(AO113),AO113,AO110+AO104)</f>
        <v>67.819</v>
      </c>
      <c r="AP112" s="264">
        <f>IF(ISNUMBER(AP113),AP113,AP110+AP104)</f>
        <v>68.127</v>
      </c>
      <c r="AQ112" s="264">
        <f>IF(ISNUMBER(AQ113),AQ113,AQ110+AQ104)</f>
        <v>72.968</v>
      </c>
      <c r="AR112" s="264">
        <f>IF(ISNUMBER(AR113),AR113,AR110+AR104)</f>
        <v>276.653</v>
      </c>
      <c r="AS112" s="264">
        <f>IF(ISNUMBER(AS113),AS113,AS110+AS104)</f>
        <v>70.694</v>
      </c>
      <c r="AT112" s="264">
        <f>IF(ISNUMBER(AT113),AT113,AT110+AT104)</f>
        <v>71.198</v>
      </c>
      <c r="AU112" s="264">
        <f>IF(ISNUMBER(AU113),AU113,AU110+AU104)</f>
        <v>70.898</v>
      </c>
      <c r="AV112" s="264">
        <f>IF(ISNUMBER(AV113),AV113,AV110+AV104)</f>
        <v>76.681</v>
      </c>
      <c r="AW112" s="264">
        <f>IF(ISNUMBER(AW113),AW113,AW110+AW104)</f>
        <v>289.471</v>
      </c>
      <c r="AX112" s="264">
        <f>IF(ISNUMBER(AX113),AX113,AX110+AX104)</f>
        <v>59.453</v>
      </c>
      <c r="AY112" s="264">
        <f>IF(ISNUMBER(AY113),AY113,AY110+AY104)</f>
        <v>58.59</v>
      </c>
      <c r="AZ112" s="264">
        <f>IF(ISNUMBER(AZ113),AZ113,AZ110+AZ104)</f>
        <v>56.423</v>
      </c>
      <c r="BA112" s="264">
        <f>IF(ISNUMBER(BA113),BA113,BA110+BA104)</f>
        <v>62.711</v>
      </c>
      <c r="BB112" s="264">
        <f>IF(ISNUMBER(BB113),BB113,BB110+BB104)</f>
        <v>237.177</v>
      </c>
      <c r="BC112" s="264">
        <f>IF(ISNUMBER(BC113),BC113,BC110+BC104)</f>
        <v>63.773</v>
      </c>
      <c r="BD112" s="264">
        <f>IF(ISNUMBER(BD113),BD113,BD110+BD104)</f>
        <v>63.393</v>
      </c>
      <c r="BE112" s="264">
        <f>IF(ISNUMBER(BE113),BE113,BE110+BE104)</f>
        <v>100.322</v>
      </c>
      <c r="BF112" s="264">
        <f>IF(ISNUMBER(BF113),BF113,BF110+BF104)</f>
        <v>144.312</v>
      </c>
      <c r="BG112" s="264">
        <f>IF(ISNUMBER(BG113),BG113,BG110+BG104)</f>
        <v>371.8</v>
      </c>
      <c r="BH112" s="264">
        <f>IF(ISNUMBER(BH113),BH113,BH110+BH104)</f>
        <v>141.152</v>
      </c>
      <c r="BI112" s="264">
        <f>IF(ISNUMBER(BI113),BI113,BI110+BI104)</f>
        <v>151.147</v>
      </c>
      <c r="BJ112" s="264">
        <f>IF(ISNUMBER(BJ113),BJ113,BJ110+BJ104)</f>
        <v>146.04</v>
      </c>
      <c r="BK112" s="264">
        <f>IF(ISNUMBER(BK113),BK113,BK110+BK104)</f>
        <v>166.602</v>
      </c>
      <c r="BL112" s="264">
        <f>IF(ISNUMBER(BL113),BL113,BL110+BL104)</f>
        <v>604.941</v>
      </c>
      <c r="BM112" s="264">
        <f>IF(ISNUMBER(BM113),BM113,BM110+BM104)</f>
        <v>167.851</v>
      </c>
      <c r="BN112" s="264">
        <f>IF(ISNUMBER(BN113),BN113,BN110+BN104)</f>
        <v>166.614</v>
      </c>
      <c r="BO112" s="264">
        <f>IF(ISNUMBER(BO113),BO113,BO110+BO104)</f>
        <v>158.045</v>
      </c>
      <c r="BP112" s="264">
        <f>IF(ISNUMBER(BP113),BP113,BP110+BP104)</f>
        <v>178.281</v>
      </c>
      <c r="BQ112" s="264">
        <f>IF(ISNUMBER(BQ113),BQ113,BQ110+BQ104)</f>
        <v>670.791</v>
      </c>
      <c r="BR112" s="264">
        <f>IF(ISNUMBER(BR113),BR113,BR110+BR104)</f>
        <v>184</v>
      </c>
      <c r="BS112" s="264">
        <f>IF(ISNUMBER(BS113),BS113,BS110+BS104)</f>
        <v>173.8</v>
      </c>
      <c r="BT112" s="264">
        <f>IF(ISNUMBER(BT113),BT113,BT110+BT104)</f>
        <v>174.9</v>
      </c>
      <c r="BU112" s="264">
        <f>IF(ISNUMBER(BU113),BU113,BU110+BU104)</f>
        <v>193.4</v>
      </c>
      <c r="BV112" s="264">
        <f>IF(ISNUMBER(BV113),BV113,BV110+BV104)</f>
        <v>726.1</v>
      </c>
      <c r="BW112" s="264">
        <f>IF(ISNUMBER(BW113),BW113,BW110+BW104)</f>
        <v>198.1</v>
      </c>
      <c r="BX112" s="264">
        <f>IF(ISNUMBER(BX113),BX113,BX110+BX104)</f>
        <v>204.3</v>
      </c>
      <c r="BY112" s="264">
        <f>IF(ISNUMBER(BY113),BY113,BY110+BY104)</f>
        <v>208.2</v>
      </c>
      <c r="BZ112" s="264">
        <f>IF(ISNUMBER(BZ113),BZ113,BZ110+BZ104)</f>
        <v>234.9</v>
      </c>
      <c r="CA112" s="264">
        <f>IF(ISNUMBER(CA113),CA113,CA110+CA104)</f>
        <v>845.5</v>
      </c>
      <c r="CB112" s="264">
        <f>IF(ISNUMBER(CB113),CB113,CB110+CB104)</f>
        <v>247.8</v>
      </c>
      <c r="CC112" s="272">
        <f>CC110+CC104</f>
        <v>232.6875</v>
      </c>
      <c r="CD112" s="272">
        <f>CD110+CD104</f>
        <v>235.01350334045</v>
      </c>
      <c r="CE112" s="272">
        <f>CE110+CE104</f>
        <v>284.682100713376</v>
      </c>
      <c r="CF112" s="272">
        <f>SUM(CB112:CE112)</f>
        <v>1000.18310405383</v>
      </c>
      <c r="CG112" s="272">
        <f>CG110+CG104</f>
        <v>1103.1821120737</v>
      </c>
      <c r="CH112" s="272">
        <f>CH110+CH104</f>
        <v>1236.46983649388</v>
      </c>
      <c r="CI112" s="272">
        <f>CI110+CI104</f>
        <v>1371.62887941406</v>
      </c>
      <c r="CJ112" s="272">
        <f>CJ110+CJ104</f>
        <v>1502.20556037088</v>
      </c>
      <c r="CK112" s="272">
        <f>CK110+CK104</f>
        <v>1634.20655314355</v>
      </c>
      <c r="CL112" s="153" t="n"/>
    </row>
    <row r="113" ht="15" customHeight="1" s="251">
      <c r="B113" s="156" t="inlineStr">
        <is>
          <t xml:space="preserve">  Memo: company-published adjusted gross margin</t>
        </is>
      </c>
      <c r="C113" s="34" t="n"/>
      <c r="D113" s="34" t="n"/>
      <c r="E113" s="34" t="n"/>
      <c r="F113" s="34" t="n"/>
      <c r="G113" s="34" t="n"/>
      <c r="H113" s="259" t="n">
        <v>112.653</v>
      </c>
      <c r="I113" s="34" t="n"/>
      <c r="J113" s="34" t="n"/>
      <c r="K113" s="34" t="n"/>
      <c r="L113" s="34" t="n"/>
      <c r="M113" s="34" t="n"/>
      <c r="N113" s="34" t="n"/>
      <c r="O113" s="34" t="n"/>
      <c r="P113" s="34" t="n"/>
      <c r="Q113" s="34" t="n"/>
      <c r="R113" s="34" t="n"/>
      <c r="S113" s="34" t="n"/>
      <c r="T113" s="34" t="n"/>
      <c r="U113" s="259" t="n">
        <v>43.458</v>
      </c>
      <c r="V113" s="259" t="n">
        <v>41.653</v>
      </c>
      <c r="W113" s="259" t="n">
        <v>44.915</v>
      </c>
      <c r="X113" s="259" t="n">
        <v>173.847</v>
      </c>
      <c r="Y113" s="259" t="n">
        <v>55.095</v>
      </c>
      <c r="Z113" s="259" t="n">
        <v>56.413</v>
      </c>
      <c r="AA113" s="259" t="n">
        <v>54.083</v>
      </c>
      <c r="AB113" s="259" t="n">
        <v>60.375</v>
      </c>
      <c r="AC113" s="259" t="n">
        <v>225.966</v>
      </c>
      <c r="AD113" s="259" t="n">
        <v>57.633</v>
      </c>
      <c r="AE113" s="259" t="n">
        <v>56.731</v>
      </c>
      <c r="AF113" s="259" t="n">
        <v>55.6</v>
      </c>
      <c r="AG113" s="259" t="n">
        <v>63.229</v>
      </c>
      <c r="AH113" s="259" t="n">
        <v>233.193</v>
      </c>
      <c r="AI113" s="259" t="n">
        <v>61.909</v>
      </c>
      <c r="AJ113" s="259" t="n">
        <v>61.811</v>
      </c>
      <c r="AK113" s="259" t="n">
        <v>64.66500000000001</v>
      </c>
      <c r="AL113" s="259" t="n">
        <v>69.726</v>
      </c>
      <c r="AM113" s="259" t="n">
        <v>258.111</v>
      </c>
      <c r="AN113" s="34" t="n"/>
      <c r="AO113" s="34" t="n"/>
      <c r="AP113" s="34" t="n"/>
      <c r="AQ113" s="34" t="n"/>
      <c r="AR113" s="34" t="n"/>
      <c r="AS113" s="34" t="n"/>
      <c r="AT113" s="259" t="n">
        <v>71.19799999999999</v>
      </c>
      <c r="AU113" s="259" t="n">
        <v>70.898</v>
      </c>
      <c r="AV113" s="259" t="n">
        <v>76.681</v>
      </c>
      <c r="AW113" s="259" t="n">
        <v>289.471</v>
      </c>
      <c r="AX113" s="34" t="n"/>
      <c r="AY113" s="259" t="n">
        <v>58.59</v>
      </c>
      <c r="AZ113" s="259" t="n">
        <v>56.423</v>
      </c>
      <c r="BA113" s="259" t="n">
        <v>62.711</v>
      </c>
      <c r="BB113" s="259" t="n">
        <v>237.177</v>
      </c>
      <c r="BC113" s="34" t="n"/>
      <c r="BD113" s="259" t="n">
        <v>63.393</v>
      </c>
      <c r="BE113" s="259" t="n">
        <v>100.322</v>
      </c>
      <c r="BF113" s="259" t="n">
        <v>144.312</v>
      </c>
      <c r="BG113" s="259" t="n">
        <v>371.8</v>
      </c>
      <c r="BH113" s="34" t="n"/>
      <c r="BI113" s="259" t="n">
        <v>151.147</v>
      </c>
      <c r="BJ113" s="259" t="n">
        <v>146.04</v>
      </c>
      <c r="BK113" s="259" t="n">
        <v>166.602</v>
      </c>
      <c r="BL113" s="259" t="n">
        <v>604.941</v>
      </c>
      <c r="BM113" s="34" t="n"/>
      <c r="BN113" s="259" t="n">
        <v>166.614</v>
      </c>
      <c r="BO113" s="259" t="n">
        <v>158.045</v>
      </c>
      <c r="BP113" s="259" t="n">
        <v>178.281</v>
      </c>
      <c r="BQ113" s="259" t="n">
        <v>670.7910000000001</v>
      </c>
      <c r="BR113" s="34" t="n"/>
      <c r="BS113" s="259" t="n">
        <v>173.8</v>
      </c>
      <c r="BT113" s="259" t="n">
        <v>174.9</v>
      </c>
      <c r="BU113" s="259" t="n">
        <v>193.4</v>
      </c>
      <c r="BV113" s="259" t="n">
        <v>726.1</v>
      </c>
      <c r="BW113" s="259" t="n">
        <v>198.1</v>
      </c>
      <c r="BX113" s="259" t="n">
        <v>204.3</v>
      </c>
      <c r="BY113" s="259" t="n">
        <v>208.2</v>
      </c>
      <c r="BZ113" s="259" t="n">
        <v>234.9</v>
      </c>
      <c r="CA113" s="259" t="n">
        <v>845.5</v>
      </c>
      <c r="CB113" s="259" t="n">
        <v>247.8</v>
      </c>
      <c r="CC113" s="153" t="n"/>
      <c r="CD113" s="153" t="n"/>
      <c r="CE113" s="153" t="n"/>
      <c r="CF113" s="153" t="n"/>
      <c r="CG113" s="153" t="n"/>
      <c r="CH113" s="153" t="n"/>
      <c r="CI113" s="153" t="n"/>
      <c r="CJ113" s="153" t="n"/>
      <c r="CK113" s="153" t="n"/>
      <c r="CL113" s="153" t="n"/>
    </row>
    <row r="114" ht="15" customHeight="1" s="251">
      <c r="B114" s="25" t="inlineStr">
        <is>
          <t>Selling, general &amp; administrative</t>
        </is>
      </c>
      <c r="C114" s="259" t="n">
        <v>41.945</v>
      </c>
      <c r="D114" s="259" t="n">
        <v>42.256</v>
      </c>
      <c r="E114" s="259" t="n">
        <v>48.904</v>
      </c>
      <c r="F114" s="259" t="n">
        <v>55.779</v>
      </c>
      <c r="G114" s="259" t="n">
        <v>47.367</v>
      </c>
      <c r="H114" s="259" t="n">
        <v>52.706</v>
      </c>
      <c r="I114" s="259" t="n">
        <v>61.303</v>
      </c>
      <c r="J114" s="259" t="n">
        <v>16.097</v>
      </c>
      <c r="K114" s="259" t="n">
        <v>15.772</v>
      </c>
      <c r="L114" s="259" t="n">
        <v>16.567</v>
      </c>
      <c r="M114" s="259" t="n">
        <v>17.315</v>
      </c>
      <c r="N114" s="259" t="n">
        <v>65.751</v>
      </c>
      <c r="O114" s="259" t="n">
        <v>16.984</v>
      </c>
      <c r="P114" s="259" t="n">
        <v>17.14</v>
      </c>
      <c r="Q114" s="259" t="n">
        <v>18.273</v>
      </c>
      <c r="R114" s="259" t="n">
        <v>19.572</v>
      </c>
      <c r="S114" s="259" t="n">
        <v>71.96899999999999</v>
      </c>
      <c r="T114" s="259" t="n">
        <v>18.996</v>
      </c>
      <c r="U114" s="259" t="n">
        <v>18.517</v>
      </c>
      <c r="V114" s="259" t="n">
        <v>19.266</v>
      </c>
      <c r="W114" s="259" t="n">
        <v>19.129</v>
      </c>
      <c r="X114" s="259" t="n">
        <v>75.908</v>
      </c>
      <c r="Y114" s="259" t="n">
        <v>23.725</v>
      </c>
      <c r="Z114" s="259" t="n">
        <v>24.944</v>
      </c>
      <c r="AA114" s="259" t="n">
        <v>23.85</v>
      </c>
      <c r="AB114" s="259" t="n">
        <v>26.202</v>
      </c>
      <c r="AC114" s="259" t="n">
        <v>98.721</v>
      </c>
      <c r="AD114" s="259" t="n">
        <v>25.796</v>
      </c>
      <c r="AE114" s="259" t="n">
        <v>25.188</v>
      </c>
      <c r="AF114" s="259" t="n">
        <v>25.712</v>
      </c>
      <c r="AG114" s="259" t="n">
        <v>26.226</v>
      </c>
      <c r="AH114" s="259" t="n">
        <v>102.922</v>
      </c>
      <c r="AI114" s="259" t="n">
        <v>27.778</v>
      </c>
      <c r="AJ114" s="259" t="n">
        <v>27.595</v>
      </c>
      <c r="AK114" s="259" t="n">
        <v>28.162</v>
      </c>
      <c r="AL114" s="259" t="n">
        <v>29.589</v>
      </c>
      <c r="AM114" s="259" t="n">
        <v>113.124</v>
      </c>
      <c r="AN114" s="259" t="n">
        <v>29.575</v>
      </c>
      <c r="AO114" s="259" t="n">
        <v>29.326</v>
      </c>
      <c r="AP114" s="259" t="n">
        <v>29.142</v>
      </c>
      <c r="AQ114" s="259" t="n">
        <v>29.461</v>
      </c>
      <c r="AR114" s="259" t="n">
        <v>117.504</v>
      </c>
      <c r="AS114" s="259" t="n">
        <v>30.087</v>
      </c>
      <c r="AT114" s="259" t="n">
        <v>30.774</v>
      </c>
      <c r="AU114" s="259" t="n">
        <v>30.719</v>
      </c>
      <c r="AV114" s="259" t="n">
        <v>30.985</v>
      </c>
      <c r="AW114" s="259" t="n">
        <v>122.565</v>
      </c>
      <c r="AX114" s="259" t="n">
        <v>26.829</v>
      </c>
      <c r="AY114" s="259" t="n">
        <v>26.023</v>
      </c>
      <c r="AZ114" s="259" t="n">
        <v>25.739</v>
      </c>
      <c r="BA114" s="259" t="n">
        <v>27.409</v>
      </c>
      <c r="BB114" s="259" t="n">
        <v>106</v>
      </c>
      <c r="BC114" s="259" t="n">
        <v>29.802</v>
      </c>
      <c r="BD114" s="259" t="n">
        <v>29.674</v>
      </c>
      <c r="BE114" s="259" t="n">
        <v>43.196</v>
      </c>
      <c r="BF114" s="259" t="n">
        <v>55.962</v>
      </c>
      <c r="BG114" s="259" t="n">
        <v>158.634</v>
      </c>
      <c r="BH114" s="259" t="n">
        <v>55.828</v>
      </c>
      <c r="BI114" s="259" t="n">
        <v>57.519</v>
      </c>
      <c r="BJ114" s="259" t="n">
        <v>56.782</v>
      </c>
      <c r="BK114" s="259" t="n">
        <v>59.561</v>
      </c>
      <c r="BL114" s="259" t="n">
        <v>229.7</v>
      </c>
      <c r="BM114" s="259" t="n">
        <v>64.673</v>
      </c>
      <c r="BN114" s="259" t="n">
        <v>60.56</v>
      </c>
      <c r="BO114" s="259" t="n">
        <v>63.895</v>
      </c>
      <c r="BP114" s="259" t="n">
        <v>64.40900000000001</v>
      </c>
      <c r="BQ114" s="259" t="n">
        <v>253.5</v>
      </c>
      <c r="BR114" s="259" t="n">
        <v>67.59999999999999</v>
      </c>
      <c r="BS114" s="259" t="n">
        <v>69.5</v>
      </c>
      <c r="BT114" s="259" t="n">
        <v>70.09999999999999</v>
      </c>
      <c r="BU114" s="259" t="n">
        <v>72.09999999999999</v>
      </c>
      <c r="BV114" s="259" t="n">
        <v>279.3</v>
      </c>
      <c r="BW114" s="259" t="n">
        <v>73.90000000000001</v>
      </c>
      <c r="BX114" s="259" t="n">
        <v>77.40000000000001</v>
      </c>
      <c r="BY114" s="259" t="n">
        <v>77.90000000000001</v>
      </c>
      <c r="BZ114" s="259" t="n">
        <v>86.90000000000001</v>
      </c>
      <c r="CA114" s="259" t="n">
        <v>316.1</v>
      </c>
      <c r="CB114" s="259" t="n">
        <v>85.8</v>
      </c>
      <c r="CC114" s="261">
        <f>CC108*CC84</f>
        <v>84.7875</v>
      </c>
      <c r="CD114" s="261">
        <f>CD108*CD84</f>
        <v>84.3206891622239</v>
      </c>
      <c r="CE114" s="261">
        <f>CE108*CE84</f>
        <v>101.133893190177</v>
      </c>
      <c r="CF114" s="261">
        <f>SUM(CB114:CE114)</f>
        <v>356.042082352401</v>
      </c>
      <c r="CG114" s="261">
        <f>CG108*CG84</f>
        <v>388.71832177754</v>
      </c>
      <c r="CH114" s="261">
        <f>CH108*CH84</f>
        <v>431.952159911918</v>
      </c>
      <c r="CI114" s="261">
        <f>CI108*CI84</f>
        <v>474.837771507635</v>
      </c>
      <c r="CJ114" s="261">
        <f>CJ108*CJ84</f>
        <v>518.045272834875</v>
      </c>
      <c r="CK114" s="261">
        <f>CK108*CK84</f>
        <v>563.608262856662</v>
      </c>
      <c r="CL114" s="19" t="n"/>
      <c r="CN114" s="20">
        <f>IFERROR((CK114/CF114)^(1/5)-1,"n/m")</f>
        <v>0.0962136455605027</v>
      </c>
      <c r="CO114" s="20">
        <f>IFERROR((CA114/BB114)^(1/5)-1,"n/m")</f>
        <v>0.244238759826463</v>
      </c>
      <c r="CP114" s="20">
        <f>IFERROR((CA114/AC114)^(1/10)-1,"n/m")</f>
        <v>0.12341830239026</v>
      </c>
      <c r="CQ114" s="20">
        <f>IFERROR((CA114/C114)^(1/20)-1,"n/m")</f>
        <v>0.106260013605889</v>
      </c>
    </row>
    <row r="115" ht="15" customHeight="1" s="251">
      <c r="B115" s="25" t="inlineStr">
        <is>
          <t>Other, net (amortization of intangibles, restructuring, transaction costs, other)</t>
        </is>
      </c>
      <c r="C115" s="259" t="n">
        <v>2.424</v>
      </c>
      <c r="D115" s="259" t="n">
        <v>5.934</v>
      </c>
      <c r="E115" s="259" t="n">
        <v>1.824</v>
      </c>
      <c r="F115" s="259" t="n">
        <v>7.471</v>
      </c>
      <c r="G115" s="259" t="n">
        <v>2.529</v>
      </c>
      <c r="H115" s="259" t="n">
        <v>0.875</v>
      </c>
      <c r="I115" s="259" t="n">
        <v>1.629</v>
      </c>
      <c r="J115" s="259" t="n">
        <v>0.352</v>
      </c>
      <c r="K115" s="259" t="n">
        <v>0.5629999999999999</v>
      </c>
      <c r="L115" s="259" t="n">
        <v>0.55</v>
      </c>
      <c r="M115" s="259" t="n">
        <v>7.612</v>
      </c>
      <c r="N115" s="259" t="n">
        <v>9.077</v>
      </c>
      <c r="O115" s="259" t="n">
        <v>1.187</v>
      </c>
      <c r="P115" s="259" t="n">
        <v>1.935</v>
      </c>
      <c r="Q115" s="259" t="n">
        <v>0.5659999999999999</v>
      </c>
      <c r="R115" s="259" t="n">
        <v>0.49</v>
      </c>
      <c r="S115" s="259" t="n">
        <v>4.178</v>
      </c>
      <c r="T115" s="259" t="n">
        <v>0.614</v>
      </c>
      <c r="U115" s="259" t="n">
        <v>2.937</v>
      </c>
      <c r="V115" s="259" t="n">
        <v>1.798</v>
      </c>
      <c r="W115" s="259" t="n">
        <v>0.453</v>
      </c>
      <c r="X115" s="259" t="n">
        <v>5.802</v>
      </c>
      <c r="Y115" s="259" t="n">
        <v>6.678</v>
      </c>
      <c r="Z115" s="259" t="n">
        <v>3.575</v>
      </c>
      <c r="AA115" s="259" t="n">
        <v>2.619</v>
      </c>
      <c r="AB115" s="259" t="n">
        <v>3.344</v>
      </c>
      <c r="AC115" s="259" t="n">
        <v>16.216</v>
      </c>
      <c r="AD115" s="259" t="n">
        <v>2.234</v>
      </c>
      <c r="AE115" s="259" t="n">
        <v>1.989</v>
      </c>
      <c r="AF115" s="259" t="n">
        <v>6.144</v>
      </c>
      <c r="AG115" s="259" t="n">
        <v>2.614</v>
      </c>
      <c r="AH115" s="259" t="n">
        <v>12.981</v>
      </c>
      <c r="AI115" s="259" t="n">
        <v>2.331</v>
      </c>
      <c r="AJ115" s="259" t="n">
        <v>8.938000000000001</v>
      </c>
      <c r="AK115" s="259" t="n">
        <v>3.38</v>
      </c>
      <c r="AL115" s="259" t="n">
        <v>2.197</v>
      </c>
      <c r="AM115" s="259" t="n">
        <v>16.846</v>
      </c>
      <c r="AN115" s="259" t="n">
        <v>2.166</v>
      </c>
      <c r="AO115" s="259" t="n">
        <v>2.609</v>
      </c>
      <c r="AP115" s="259" t="n">
        <v>19.147</v>
      </c>
      <c r="AQ115" s="259" t="n">
        <v>3.192</v>
      </c>
      <c r="AR115" s="259" t="n">
        <v>27.114</v>
      </c>
      <c r="AS115" s="259" t="n">
        <v>2.117</v>
      </c>
      <c r="AT115" s="259" t="n">
        <v>3.031</v>
      </c>
      <c r="AU115" s="259" t="n">
        <v>2.526</v>
      </c>
      <c r="AV115" s="259" t="n">
        <v>2.079</v>
      </c>
      <c r="AW115" s="259" t="n">
        <v>9.753</v>
      </c>
      <c r="AX115" s="259" t="n">
        <v>3.81</v>
      </c>
      <c r="AY115" s="259" t="n">
        <v>4.21</v>
      </c>
      <c r="AZ115" s="259" t="n">
        <v>3.308</v>
      </c>
      <c r="BA115" s="259" t="n">
        <v>5.32</v>
      </c>
      <c r="BB115" s="259" t="n">
        <v>16.648</v>
      </c>
      <c r="BC115" s="259" t="n">
        <v>3.248</v>
      </c>
      <c r="BD115" s="259" t="n">
        <v>5.667</v>
      </c>
      <c r="BE115" s="259" t="n">
        <v>35.778</v>
      </c>
      <c r="BF115" s="259" t="n">
        <v>23.678</v>
      </c>
      <c r="BG115" s="259" t="n">
        <v>68.371</v>
      </c>
      <c r="BH115" s="259" t="n">
        <v>20.854</v>
      </c>
      <c r="BI115" s="259" t="n">
        <v>21.611</v>
      </c>
      <c r="BJ115" s="259" t="n">
        <v>18.866</v>
      </c>
      <c r="BK115" s="259" t="n">
        <v>20.747</v>
      </c>
      <c r="BL115" s="259" t="n">
        <v>82.09999999999999</v>
      </c>
      <c r="BM115" s="259" t="n">
        <v>18.164</v>
      </c>
      <c r="BN115" s="259" t="n">
        <v>18.032</v>
      </c>
      <c r="BO115" s="259" t="n">
        <v>18.859</v>
      </c>
      <c r="BP115" s="259" t="n">
        <v>19.72</v>
      </c>
      <c r="BQ115" s="259" t="n">
        <v>74.8</v>
      </c>
      <c r="BR115" s="259" t="n">
        <v>18.9</v>
      </c>
      <c r="BS115" s="259" t="n">
        <v>18.2</v>
      </c>
      <c r="BT115" s="259" t="n">
        <v>19.2</v>
      </c>
      <c r="BU115" s="259" t="n">
        <v>20.6</v>
      </c>
      <c r="BV115" s="259" t="n">
        <v>76.90000000000001</v>
      </c>
      <c r="BW115" s="259" t="n">
        <v>20.2</v>
      </c>
      <c r="BX115" s="259" t="n">
        <v>25.4</v>
      </c>
      <c r="BY115" s="259" t="n">
        <v>23.5</v>
      </c>
      <c r="BZ115" s="259" t="n">
        <v>24</v>
      </c>
      <c r="CA115" s="259" t="n">
        <v>93.09999999999999</v>
      </c>
      <c r="CB115" s="259" t="n">
        <v>21.2</v>
      </c>
      <c r="CC115" s="261">
        <f>CC86+CC93+CC157-CC104</f>
        <v>21.644</v>
      </c>
      <c r="CD115" s="261">
        <f>CD86+CD93+CD157-CD104</f>
        <v>21.344</v>
      </c>
      <c r="CE115" s="261">
        <f>CE86+CE93+CE157-CE104</f>
        <v>21.53</v>
      </c>
      <c r="CF115" s="261">
        <f>SUM(CB115:CE115)</f>
        <v>85.718</v>
      </c>
      <c r="CG115" s="261">
        <f>CG86+CG93+CG157-CG104</f>
        <v>93.5133249406909</v>
      </c>
      <c r="CH115" s="261">
        <f>CH86+CH93+CH157-CH104</f>
        <v>99.5331140724429</v>
      </c>
      <c r="CI115" s="261">
        <f>CI86+CI93+CI157-CI104</f>
        <v>102.487908785857</v>
      </c>
      <c r="CJ115" s="261">
        <f>CJ86+CJ93+CJ157-CJ104</f>
        <v>107.412348865654</v>
      </c>
      <c r="CK115" s="261">
        <f>CK86+CK93+CK157-CK104</f>
        <v>115.766654928562</v>
      </c>
      <c r="CL115" s="19" t="n"/>
    </row>
    <row r="116" ht="15" customHeight="1" s="251">
      <c r="B116" s="55" t="inlineStr">
        <is>
          <t>Operating income</t>
        </is>
      </c>
      <c r="C116" s="274" t="n">
        <v>38.579</v>
      </c>
      <c r="D116" s="274" t="n">
        <v>51.919</v>
      </c>
      <c r="E116" s="274" t="n">
        <v>62.85</v>
      </c>
      <c r="F116" s="274" t="n">
        <v>54.97</v>
      </c>
      <c r="G116" s="274" t="n">
        <v>34.67</v>
      </c>
      <c r="H116" s="274" t="n">
        <v>56.193</v>
      </c>
      <c r="I116" s="274" t="n">
        <v>77.648</v>
      </c>
      <c r="J116" s="274" t="n">
        <v>21.994</v>
      </c>
      <c r="K116" s="274" t="n">
        <v>21.195</v>
      </c>
      <c r="L116" s="274" t="n">
        <v>19.159</v>
      </c>
      <c r="M116" s="274" t="n">
        <v>15.753</v>
      </c>
      <c r="N116" s="274" t="n">
        <v>78.101</v>
      </c>
      <c r="O116" s="274" t="n">
        <v>22.298</v>
      </c>
      <c r="P116" s="274" t="n">
        <v>21.516</v>
      </c>
      <c r="Q116" s="274" t="n">
        <v>19.657</v>
      </c>
      <c r="R116" s="274" t="n">
        <v>25.179</v>
      </c>
      <c r="S116" s="274" t="n">
        <v>88.65000000000001</v>
      </c>
      <c r="T116" s="274" t="n">
        <v>24.211</v>
      </c>
      <c r="U116" s="274" t="n">
        <v>18.297</v>
      </c>
      <c r="V116" s="274" t="n">
        <v>20.589</v>
      </c>
      <c r="W116" s="274" t="n">
        <v>25.333</v>
      </c>
      <c r="X116" s="274" t="n">
        <v>88.43000000000001</v>
      </c>
      <c r="Y116" s="274" t="n">
        <v>22.361</v>
      </c>
      <c r="Z116" s="274" t="n">
        <v>23.599</v>
      </c>
      <c r="AA116" s="274" t="n">
        <v>27.052</v>
      </c>
      <c r="AB116" s="274" t="n">
        <v>30.829</v>
      </c>
      <c r="AC116" s="274" t="n">
        <v>103.841</v>
      </c>
      <c r="AD116" s="274" t="n">
        <v>29.221</v>
      </c>
      <c r="AE116" s="274" t="n">
        <v>29.554</v>
      </c>
      <c r="AF116" s="274" t="n">
        <v>20.529</v>
      </c>
      <c r="AG116" s="274" t="n">
        <v>34.389</v>
      </c>
      <c r="AH116" s="274" t="n">
        <v>113.693</v>
      </c>
      <c r="AI116" s="274" t="n">
        <v>31.8</v>
      </c>
      <c r="AJ116" s="274" t="n">
        <v>25.278</v>
      </c>
      <c r="AK116" s="274" t="n">
        <v>33.123</v>
      </c>
      <c r="AL116" s="274" t="n">
        <v>37.94</v>
      </c>
      <c r="AM116" s="274" t="n">
        <v>128.141</v>
      </c>
      <c r="AN116" s="274" t="n">
        <v>35.998</v>
      </c>
      <c r="AO116" s="274" t="n">
        <v>35.884</v>
      </c>
      <c r="AP116" s="274" t="n">
        <v>19.838</v>
      </c>
      <c r="AQ116" s="274" t="n">
        <v>40.315</v>
      </c>
      <c r="AR116" s="274" t="n">
        <v>132.035</v>
      </c>
      <c r="AS116" s="274" t="n">
        <v>38.49</v>
      </c>
      <c r="AT116" s="274" t="n">
        <v>37.309</v>
      </c>
      <c r="AU116" s="274" t="n">
        <v>37.466</v>
      </c>
      <c r="AV116" s="274" t="n">
        <v>43.52</v>
      </c>
      <c r="AW116" s="274" t="n">
        <v>156.785</v>
      </c>
      <c r="AX116" s="274" t="n">
        <v>28.814</v>
      </c>
      <c r="AY116" s="274" t="n">
        <v>26.363</v>
      </c>
      <c r="AZ116" s="274" t="n">
        <v>26.541</v>
      </c>
      <c r="BA116" s="274" t="n">
        <v>29.74</v>
      </c>
      <c r="BB116" s="274" t="n">
        <v>111.458</v>
      </c>
      <c r="BC116" s="274" t="n">
        <v>30.723</v>
      </c>
      <c r="BD116" s="274" t="n">
        <v>27.123</v>
      </c>
      <c r="BE116" s="274" t="n">
        <v>14.371</v>
      </c>
      <c r="BF116" s="274" t="n">
        <v>57.846</v>
      </c>
      <c r="BG116" s="274" t="n">
        <v>130.063</v>
      </c>
      <c r="BH116" s="274" t="n">
        <v>64.47</v>
      </c>
      <c r="BI116" s="274" t="n">
        <v>72.017</v>
      </c>
      <c r="BJ116" s="274" t="n">
        <v>70.392</v>
      </c>
      <c r="BK116" s="274" t="n">
        <v>86.104</v>
      </c>
      <c r="BL116" s="274" t="n">
        <v>293</v>
      </c>
      <c r="BM116" s="274" t="n">
        <v>85.014</v>
      </c>
      <c r="BN116" s="274" t="n">
        <v>87.733</v>
      </c>
      <c r="BO116" s="274" t="n">
        <v>75.291</v>
      </c>
      <c r="BP116" s="274" t="n">
        <v>94.152</v>
      </c>
      <c r="BQ116" s="274" t="n">
        <v>342.2</v>
      </c>
      <c r="BR116" s="274" t="n">
        <v>97.5</v>
      </c>
      <c r="BS116" s="274" t="n">
        <v>86.09999999999999</v>
      </c>
      <c r="BT116" s="274" t="n">
        <v>85.59999999999999</v>
      </c>
      <c r="BU116" s="274" t="n">
        <v>100.7</v>
      </c>
      <c r="BV116" s="274" t="n">
        <v>369.9</v>
      </c>
      <c r="BW116" s="274" t="n">
        <v>101.1</v>
      </c>
      <c r="BX116" s="274" t="n">
        <v>97.8</v>
      </c>
      <c r="BY116" s="274" t="n">
        <v>103</v>
      </c>
      <c r="BZ116" s="274" t="n">
        <v>119.1</v>
      </c>
      <c r="CA116" s="274" t="n">
        <v>421</v>
      </c>
      <c r="CB116" s="274" t="n">
        <v>140.8</v>
      </c>
      <c r="CC116" s="271">
        <f>CC110-CC114-CC115</f>
        <v>126.256</v>
      </c>
      <c r="CD116" s="271">
        <f>CD110-CD114-CD115</f>
        <v>129.348814178226</v>
      </c>
      <c r="CE116" s="271">
        <f>CE110-CE114-CE115</f>
        <v>162.018207523199</v>
      </c>
      <c r="CF116" s="271">
        <f>SUM(CB116:CE116)</f>
        <v>558.423021701425</v>
      </c>
      <c r="CG116" s="271">
        <f>CG110-CG114-CG115</f>
        <v>620.950465355465</v>
      </c>
      <c r="CH116" s="271">
        <f>CH110-CH114-CH115</f>
        <v>704.984562509514</v>
      </c>
      <c r="CI116" s="271">
        <f>CI110-CI114-CI115</f>
        <v>794.303199120574</v>
      </c>
      <c r="CJ116" s="271">
        <f>CJ110-CJ114-CJ115</f>
        <v>876.747938670355</v>
      </c>
      <c r="CK116" s="271">
        <f>CK110-CK114-CK115</f>
        <v>954.831635358326</v>
      </c>
      <c r="CL116" s="153" t="n"/>
      <c r="CN116" s="20">
        <f>IFERROR((CK116/CF116)^(1/5)-1,"n/m")</f>
        <v>0.113249982680563</v>
      </c>
      <c r="CO116" s="20">
        <f>IFERROR((CA116/BB116)^(1/5)-1,"n/m")</f>
        <v>0.304470223140773</v>
      </c>
      <c r="CP116" s="20">
        <f>IFERROR((CA116/AC116)^(1/10)-1,"n/m")</f>
        <v>0.150247567228223</v>
      </c>
      <c r="CQ116" s="20">
        <f>IFERROR((CA116/C116)^(1/20)-1,"n/m")</f>
        <v>0.126929003803282</v>
      </c>
    </row>
    <row r="117" ht="15" customHeight="1" s="251">
      <c r="B117" s="57" t="inlineStr">
        <is>
          <t xml:space="preserve">  Check: gross margin − SG&amp;A − other, net vs operating income (should be 0)</t>
        </is>
      </c>
      <c r="C117" s="264">
        <f>IF(ISNUMBER(C116),IF(ABS(C110-C114-C115-C116)&lt;=0.15,0,ROUND(C110-C114-C115-C116,1)),"")</f>
        <v>0</v>
      </c>
      <c r="D117" s="264">
        <f>IF(ISNUMBER(D116),IF(ABS(D110-D114-D115-D116)&lt;=0.15,0,ROUND(D110-D114-D115-D116,1)),"")</f>
        <v>0</v>
      </c>
      <c r="E117" s="264">
        <f>IF(ISNUMBER(E116),IF(ABS(E110-E114-E115-E116)&lt;=0.15,0,ROUND(E110-E114-E115-E116,1)),"")</f>
        <v>0</v>
      </c>
      <c r="F117" s="264">
        <f>IF(ISNUMBER(F116),IF(ABS(F110-F114-F115-F116)&lt;=0.15,0,ROUND(F110-F114-F115-F116,1)),"")</f>
        <v>0</v>
      </c>
      <c r="G117" s="264">
        <f>IF(ISNUMBER(G116),IF(ABS(G110-G114-G115-G116)&lt;=0.15,0,ROUND(G110-G114-G115-G116,1)),"")</f>
        <v>0</v>
      </c>
      <c r="H117" s="264">
        <f>IF(ISNUMBER(H116),IF(ABS(H110-H114-H115-H116)&lt;=0.15,0,ROUND(H110-H114-H115-H116,1)),"")</f>
        <v>0</v>
      </c>
      <c r="I117" s="264">
        <f>IF(ISNUMBER(I116),IF(ABS(I110-I114-I115-I116)&lt;=0.15,0,ROUND(I110-I114-I115-I116,1)),"")</f>
        <v>0</v>
      </c>
      <c r="J117" s="264">
        <f>IF(ISNUMBER(J116),IF(ABS(J110-J114-J115-J116)&lt;=0.15,0,ROUND(J110-J114-J115-J116,1)),"")</f>
        <v>0</v>
      </c>
      <c r="K117" s="264">
        <f>IF(ISNUMBER(K116),IF(ABS(K110-K114-K115-K116)&lt;=0.15,0,ROUND(K110-K114-K115-K116,1)),"")</f>
        <v>0</v>
      </c>
      <c r="L117" s="264">
        <f>IF(ISNUMBER(L116),IF(ABS(L110-L114-L115-L116)&lt;=0.15,0,ROUND(L110-L114-L115-L116,1)),"")</f>
        <v>0</v>
      </c>
      <c r="M117" s="264">
        <f>IF(ISNUMBER(M116),IF(ABS(M110-M114-M115-M116)&lt;=0.15,0,ROUND(M110-M114-M115-M116,1)),"")</f>
        <v>0</v>
      </c>
      <c r="N117" s="264">
        <f>IF(ISNUMBER(N116),IF(ABS(N110-N114-N115-N116)&lt;=0.15,0,ROUND(N110-N114-N115-N116,1)),"")</f>
        <v>0</v>
      </c>
      <c r="O117" s="264">
        <f>IF(ISNUMBER(O116),IF(ABS(O110-O114-O115-O116)&lt;=0.15,0,ROUND(O110-O114-O115-O116,1)),"")</f>
        <v>0</v>
      </c>
      <c r="P117" s="264">
        <f>IF(ISNUMBER(P116),IF(ABS(P110-P114-P115-P116)&lt;=0.15,0,ROUND(P110-P114-P115-P116,1)),"")</f>
        <v>0</v>
      </c>
      <c r="Q117" s="264">
        <f>IF(ISNUMBER(Q116),IF(ABS(Q110-Q114-Q115-Q116)&lt;=0.15,0,ROUND(Q110-Q114-Q115-Q116,1)),"")</f>
        <v>0</v>
      </c>
      <c r="R117" s="264">
        <f>IF(ISNUMBER(R116),IF(ABS(R110-R114-R115-R116)&lt;=0.15,0,ROUND(R110-R114-R115-R116,1)),"")</f>
        <v>0</v>
      </c>
      <c r="S117" s="264">
        <f>IF(ISNUMBER(S116),IF(ABS(S110-S114-S115-S116)&lt;=0.15,0,ROUND(S110-S114-S115-S116,1)),"")</f>
        <v>0</v>
      </c>
      <c r="T117" s="264">
        <f>IF(ISNUMBER(T116),IF(ABS(T110-T114-T115-T116)&lt;=0.15,0,ROUND(T110-T114-T115-T116,1)),"")</f>
        <v>0</v>
      </c>
      <c r="U117" s="264">
        <f>IF(ISNUMBER(U116),IF(ABS(U110-U114-U115-U116)&lt;=0.15,0,ROUND(U110-U114-U115-U116,1)),"")</f>
        <v>0</v>
      </c>
      <c r="V117" s="264">
        <f>IF(ISNUMBER(V116),IF(ABS(V110-V114-V115-V116)&lt;=0.15,0,ROUND(V110-V114-V115-V116,1)),"")</f>
        <v>0</v>
      </c>
      <c r="W117" s="264">
        <f>IF(ISNUMBER(W116),IF(ABS(W110-W114-W115-W116)&lt;=0.15,0,ROUND(W110-W114-W115-W116,1)),"")</f>
        <v>0</v>
      </c>
      <c r="X117" s="264">
        <f>IF(ISNUMBER(X116),IF(ABS(X110-X114-X115-X116)&lt;=0.15,0,ROUND(X110-X114-X115-X116,1)),"")</f>
        <v>0</v>
      </c>
      <c r="Y117" s="264">
        <f>IF(ISNUMBER(Y116),IF(ABS(Y110-Y114-Y115-Y116)&lt;=0.15,0,ROUND(Y110-Y114-Y115-Y116,1)),"")</f>
        <v>0</v>
      </c>
      <c r="Z117" s="264">
        <f>IF(ISNUMBER(Z116),IF(ABS(Z110-Z114-Z115-Z116)&lt;=0.15,0,ROUND(Z110-Z114-Z115-Z116,1)),"")</f>
        <v>0</v>
      </c>
      <c r="AA117" s="264">
        <f>IF(ISNUMBER(AA116),IF(ABS(AA110-AA114-AA115-AA116)&lt;=0.15,0,ROUND(AA110-AA114-AA115-AA116,1)),"")</f>
        <v>0</v>
      </c>
      <c r="AB117" s="264">
        <f>IF(ISNUMBER(AB116),IF(ABS(AB110-AB114-AB115-AB116)&lt;=0.15,0,ROUND(AB110-AB114-AB115-AB116,1)),"")</f>
        <v>0</v>
      </c>
      <c r="AC117" s="264">
        <f>IF(ISNUMBER(AC116),IF(ABS(AC110-AC114-AC115-AC116)&lt;=0.15,0,ROUND(AC110-AC114-AC115-AC116,1)),"")</f>
        <v>0</v>
      </c>
      <c r="AD117" s="264">
        <f>IF(ISNUMBER(AD116),IF(ABS(AD110-AD114-AD115-AD116)&lt;=0.15,0,ROUND(AD110-AD114-AD115-AD116,1)),"")</f>
        <v>0</v>
      </c>
      <c r="AE117" s="264">
        <f>IF(ISNUMBER(AE116),IF(ABS(AE110-AE114-AE115-AE116)&lt;=0.15,0,ROUND(AE110-AE114-AE115-AE116,1)),"")</f>
        <v>0</v>
      </c>
      <c r="AF117" s="264">
        <f>IF(ISNUMBER(AF116),IF(ABS(AF110-AF114-AF115-AF116)&lt;=0.15,0,ROUND(AF110-AF114-AF115-AF116,1)),"")</f>
        <v>0</v>
      </c>
      <c r="AG117" s="264">
        <f>IF(ISNUMBER(AG116),IF(ABS(AG110-AG114-AG115-AG116)&lt;=0.15,0,ROUND(AG110-AG114-AG115-AG116,1)),"")</f>
        <v>0</v>
      </c>
      <c r="AH117" s="264">
        <f>IF(ISNUMBER(AH116),IF(ABS(AH110-AH114-AH115-AH116)&lt;=0.15,0,ROUND(AH110-AH114-AH115-AH116,1)),"")</f>
        <v>0</v>
      </c>
      <c r="AI117" s="264">
        <f>IF(ISNUMBER(AI116),IF(ABS(AI110-AI114-AI115-AI116)&lt;=0.15,0,ROUND(AI110-AI114-AI115-AI116,1)),"")</f>
        <v>0</v>
      </c>
      <c r="AJ117" s="264">
        <f>IF(ISNUMBER(AJ116),IF(ABS(AJ110-AJ114-AJ115-AJ116)&lt;=0.15,0,ROUND(AJ110-AJ114-AJ115-AJ116,1)),"")</f>
        <v>0</v>
      </c>
      <c r="AK117" s="264">
        <f>IF(ISNUMBER(AK116),IF(ABS(AK110-AK114-AK115-AK116)&lt;=0.15,0,ROUND(AK110-AK114-AK115-AK116,1)),"")</f>
        <v>0</v>
      </c>
      <c r="AL117" s="264">
        <f>IF(ISNUMBER(AL116),IF(ABS(AL110-AL114-AL115-AL116)&lt;=0.15,0,ROUND(AL110-AL114-AL115-AL116,1)),"")</f>
        <v>0</v>
      </c>
      <c r="AM117" s="264">
        <f>IF(ISNUMBER(AM116),IF(ABS(AM110-AM114-AM115-AM116)&lt;=0.15,0,ROUND(AM110-AM114-AM115-AM116,1)),"")</f>
        <v>0</v>
      </c>
      <c r="AN117" s="264">
        <f>IF(ISNUMBER(AN116),IF(ABS(AN110-AN114-AN115-AN116)&lt;=0.15,0,ROUND(AN110-AN114-AN115-AN116,1)),"")</f>
        <v>0</v>
      </c>
      <c r="AO117" s="264">
        <f>IF(ISNUMBER(AO116),IF(ABS(AO110-AO114-AO115-AO116)&lt;=0.15,0,ROUND(AO110-AO114-AO115-AO116,1)),"")</f>
        <v>0</v>
      </c>
      <c r="AP117" s="264">
        <f>IF(ISNUMBER(AP116),IF(ABS(AP110-AP114-AP115-AP116)&lt;=0.15,0,ROUND(AP110-AP114-AP115-AP116,1)),"")</f>
        <v>0</v>
      </c>
      <c r="AQ117" s="264">
        <f>IF(ISNUMBER(AQ116),IF(ABS(AQ110-AQ114-AQ115-AQ116)&lt;=0.15,0,ROUND(AQ110-AQ114-AQ115-AQ116,1)),"")</f>
        <v>0</v>
      </c>
      <c r="AR117" s="264">
        <f>IF(ISNUMBER(AR116),IF(ABS(AR110-AR114-AR115-AR116)&lt;=0.15,0,ROUND(AR110-AR114-AR115-AR116,1)),"")</f>
        <v>0</v>
      </c>
      <c r="AS117" s="264">
        <f>IF(ISNUMBER(AS116),IF(ABS(AS110-AS114-AS115-AS116)&lt;=0.15,0,ROUND(AS110-AS114-AS115-AS116,1)),"")</f>
        <v>0</v>
      </c>
      <c r="AT117" s="264">
        <f>IF(ISNUMBER(AT116),IF(ABS(AT110-AT114-AT115-AT116)&lt;=0.15,0,ROUND(AT110-AT114-AT115-AT116,1)),"")</f>
        <v>0</v>
      </c>
      <c r="AU117" s="264">
        <f>IF(ISNUMBER(AU116),IF(ABS(AU110-AU114-AU115-AU116)&lt;=0.15,0,ROUND(AU110-AU114-AU115-AU116,1)),"")</f>
        <v>0</v>
      </c>
      <c r="AV117" s="264">
        <f>IF(ISNUMBER(AV116),IF(ABS(AV110-AV114-AV115-AV116)&lt;=0.15,0,ROUND(AV110-AV114-AV115-AV116,1)),"")</f>
        <v>0</v>
      </c>
      <c r="AW117" s="264">
        <f>IF(ISNUMBER(AW116),IF(ABS(AW110-AW114-AW115-AW116)&lt;=0.15,0,ROUND(AW110-AW114-AW115-AW116,1)),"")</f>
        <v>0</v>
      </c>
      <c r="AX117" s="264">
        <f>IF(ISNUMBER(AX116),IF(ABS(AX110-AX114-AX115-AX116)&lt;=0.15,0,ROUND(AX110-AX114-AX115-AX116,1)),"")</f>
        <v>0</v>
      </c>
      <c r="AY117" s="264">
        <f>IF(ISNUMBER(AY116),IF(ABS(AY110-AY114-AY115-AY116)&lt;=0.15,0,ROUND(AY110-AY114-AY115-AY116,1)),"")</f>
        <v>0</v>
      </c>
      <c r="AZ117" s="264">
        <f>IF(ISNUMBER(AZ116),IF(ABS(AZ110-AZ114-AZ115-AZ116)&lt;=0.15,0,ROUND(AZ110-AZ114-AZ115-AZ116,1)),"")</f>
        <v>0</v>
      </c>
      <c r="BA117" s="264">
        <f>IF(ISNUMBER(BA116),IF(ABS(BA110-BA114-BA115-BA116)&lt;=0.15,0,ROUND(BA110-BA114-BA115-BA116,1)),"")</f>
        <v>0</v>
      </c>
      <c r="BB117" s="264">
        <f>IF(ISNUMBER(BB116),IF(ABS(BB110-BB114-BB115-BB116)&lt;=0.15,0,ROUND(BB110-BB114-BB115-BB116,1)),"")</f>
        <v>0</v>
      </c>
      <c r="BC117" s="264">
        <f>IF(ISNUMBER(BC116),IF(ABS(BC110-BC114-BC115-BC116)&lt;=0.15,0,ROUND(BC110-BC114-BC115-BC116,1)),"")</f>
        <v>0</v>
      </c>
      <c r="BD117" s="264">
        <f>IF(ISNUMBER(BD116),IF(ABS(BD110-BD114-BD115-BD116)&lt;=0.15,0,ROUND(BD110-BD114-BD115-BD116,1)),"")</f>
        <v>0</v>
      </c>
      <c r="BE117" s="264">
        <f>IF(ISNUMBER(BE116),IF(ABS(BE110-BE114-BE115-BE116)&lt;=0.15,0,ROUND(BE110-BE114-BE115-BE116,1)),"")</f>
        <v>0</v>
      </c>
      <c r="BF117" s="264">
        <f>IF(ISNUMBER(BF116),IF(ABS(BF110-BF114-BF115-BF116)&lt;=0.15,0,ROUND(BF110-BF114-BF115-BF116,1)),"")</f>
        <v>0</v>
      </c>
      <c r="BG117" s="264">
        <f>IF(ISNUMBER(BG116),IF(ABS(BG110-BG114-BG115-BG116)&lt;=0.15,0,ROUND(BG110-BG114-BG115-BG116,1)),"")</f>
        <v>0</v>
      </c>
      <c r="BH117" s="264">
        <f>IF(ISNUMBER(BH116),IF(ABS(BH110-BH114-BH115-BH116)&lt;=0.15,0,ROUND(BH110-BH114-BH115-BH116,1)),"")</f>
        <v>0</v>
      </c>
      <c r="BI117" s="264">
        <f>IF(ISNUMBER(BI116),IF(ABS(BI110-BI114-BI115-BI116)&lt;=0.15,0,ROUND(BI110-BI114-BI115-BI116,1)),"")</f>
        <v>0</v>
      </c>
      <c r="BJ117" s="264">
        <f>IF(ISNUMBER(BJ116),IF(ABS(BJ110-BJ114-BJ115-BJ116)&lt;=0.15,0,ROUND(BJ110-BJ114-BJ115-BJ116,1)),"")</f>
        <v>0</v>
      </c>
      <c r="BK117" s="264">
        <f>IF(ISNUMBER(BK116),IF(ABS(BK110-BK114-BK115-BK116)&lt;=0.15,0,ROUND(BK110-BK114-BK115-BK116,1)),"")</f>
        <v>0</v>
      </c>
      <c r="BL117" s="264">
        <f>IF(ISNUMBER(BL116),IF(ABS(BL110-BL114-BL115-BL116)&lt;=0.15,0,ROUND(BL110-BL114-BL115-BL116,1)),"")</f>
        <v>0</v>
      </c>
      <c r="BM117" s="264">
        <f>IF(ISNUMBER(BM116),IF(ABS(BM110-BM114-BM115-BM116)&lt;=0.15,0,ROUND(BM110-BM114-BM115-BM116,1)),"")</f>
        <v>0</v>
      </c>
      <c r="BN117" s="264">
        <f>IF(ISNUMBER(BN116),IF(ABS(BN110-BN114-BN115-BN116)&lt;=0.15,0,ROUND(BN110-BN114-BN115-BN116,1)),"")</f>
        <v>0</v>
      </c>
      <c r="BO117" s="264">
        <f>IF(ISNUMBER(BO116),IF(ABS(BO110-BO114-BO115-BO116)&lt;=0.15,0,ROUND(BO110-BO114-BO115-BO116,1)),"")</f>
        <v>0</v>
      </c>
      <c r="BP117" s="264">
        <f>IF(ISNUMBER(BP116),IF(ABS(BP110-BP114-BP115-BP116)&lt;=0.15,0,ROUND(BP110-BP114-BP115-BP116,1)),"")</f>
        <v>0</v>
      </c>
      <c r="BQ117" s="264">
        <f>IF(ISNUMBER(BQ116),IF(ABS(BQ110-BQ114-BQ115-BQ116)&lt;=0.15,0,ROUND(BQ110-BQ114-BQ115-BQ116,1)),"")</f>
        <v>0</v>
      </c>
      <c r="BR117" s="264">
        <f>IF(ISNUMBER(BR116),IF(ABS(BR110-BR114-BR115-BR116)&lt;=0.15,0,ROUND(BR110-BR114-BR115-BR116,1)),"")</f>
        <v>0</v>
      </c>
      <c r="BS117" s="264">
        <f>IF(ISNUMBER(BS116),IF(ABS(BS110-BS114-BS115-BS116)&lt;=0.15,0,ROUND(BS110-BS114-BS115-BS116,1)),"")</f>
        <v>0</v>
      </c>
      <c r="BT117" s="264">
        <f>IF(ISNUMBER(BT116),IF(ABS(BT110-BT114-BT115-BT116)&lt;=0.15,0,ROUND(BT110-BT114-BT115-BT116,1)),"")</f>
        <v>0</v>
      </c>
      <c r="BU117" s="264">
        <f>IF(ISNUMBER(BU116),IF(ABS(BU110-BU114-BU115-BU116)&lt;=0.15,0,ROUND(BU110-BU114-BU115-BU116,1)),"")</f>
        <v>0</v>
      </c>
      <c r="BV117" s="264">
        <f>IF(ISNUMBER(BV116),IF(ABS(BV110-BV114-BV115-BV116)&lt;=0.15,0,ROUND(BV110-BV114-BV115-BV116,1)),"")</f>
        <v>0</v>
      </c>
      <c r="BW117" s="264">
        <f>IF(ISNUMBER(BW116),IF(ABS(BW110-BW114-BW115-BW116)&lt;=0.15,0,ROUND(BW110-BW114-BW115-BW116,1)),"")</f>
        <v>0</v>
      </c>
      <c r="BX117" s="264">
        <f>IF(ISNUMBER(BX116),IF(ABS(BX110-BX114-BX115-BX116)&lt;=0.15,0,ROUND(BX110-BX114-BX115-BX116,1)),"")</f>
        <v>0</v>
      </c>
      <c r="BY117" s="264">
        <f>IF(ISNUMBER(BY116),IF(ABS(BY110-BY114-BY115-BY116)&lt;=0.15,0,ROUND(BY110-BY114-BY115-BY116,1)),"")</f>
        <v>0</v>
      </c>
      <c r="BZ117" s="264">
        <f>IF(ISNUMBER(BZ116),IF(ABS(BZ110-BZ114-BZ115-BZ116)&lt;=0.15,0,ROUND(BZ110-BZ114-BZ115-BZ116,1)),"")</f>
        <v>0</v>
      </c>
      <c r="CA117" s="264">
        <f>IF(ISNUMBER(CA116),IF(ABS(CA110-CA114-CA115-CA116)&lt;=0.15,0,ROUND(CA110-CA114-CA115-CA116,1)),"")</f>
        <v>0</v>
      </c>
      <c r="CB117" s="264">
        <f>IF(ISNUMBER(CB116),IF(ABS(CB110-CB114-CB115-CB116)&lt;=0.15,0,ROUND(CB110-CB114-CB115-CB116,1)),"")</f>
        <v>0</v>
      </c>
      <c r="CC117" s="153" t="n"/>
      <c r="CD117" s="153" t="n"/>
      <c r="CE117" s="153" t="n"/>
      <c r="CF117" s="153" t="n"/>
      <c r="CG117" s="153" t="n"/>
      <c r="CH117" s="153" t="n"/>
      <c r="CI117" s="153" t="n"/>
      <c r="CJ117" s="153" t="n"/>
      <c r="CK117" s="153" t="n"/>
      <c r="CL117" s="153" t="n"/>
    </row>
    <row r="118" ht="15" customHeight="1" s="251">
      <c r="B118" s="25" t="inlineStr">
        <is>
          <t xml:space="preserve">  Operating margin %</t>
        </is>
      </c>
      <c r="C118" s="215">
        <f>IF(AND(ISNUMBER(C116),ISNUMBER(C108)),IFERROR(C116/C108,""),"")</f>
        <v>0.140538197290435</v>
      </c>
      <c r="D118" s="215">
        <f>IF(AND(ISNUMBER(D116),ISNUMBER(D108)),IFERROR(D116/D108,""),"")</f>
        <v>0.169635564036045</v>
      </c>
      <c r="E118" s="215">
        <f>IF(AND(ISNUMBER(E116),ISNUMBER(E108)),IFERROR(E116/E108,""),"")</f>
        <v>0.19010889292196</v>
      </c>
      <c r="F118" s="215">
        <f>IF(AND(ISNUMBER(F116),ISNUMBER(F108)),IFERROR(F116/F108,""),"")</f>
        <v>0.154498645291122</v>
      </c>
      <c r="G118" s="215">
        <f>IF(AND(ISNUMBER(G116),ISNUMBER(G108)),IFERROR(G116/G108,""),"")</f>
        <v>0.126209492468202</v>
      </c>
      <c r="H118" s="215">
        <f>IF(AND(ISNUMBER(H116),ISNUMBER(H108)),IFERROR(H116/H108,""),"")</f>
        <v>0.167427932960894</v>
      </c>
      <c r="I118" s="215">
        <f>IF(AND(ISNUMBER(I116),ISNUMBER(I108)),IFERROR(I116/I108,""),"")</f>
        <v>0.195335474993145</v>
      </c>
      <c r="J118" s="215">
        <f>IF(AND(ISNUMBER(J116),ISNUMBER(J108)),IFERROR(J116/J108,""),"")</f>
        <v>0.212843788104593</v>
      </c>
      <c r="K118" s="215">
        <f>IF(AND(ISNUMBER(K116),ISNUMBER(K108)),IFERROR(K116/K108,""),"")</f>
        <v>0.211158156911582</v>
      </c>
      <c r="L118" s="215">
        <f>IF(AND(ISNUMBER(L116),ISNUMBER(L108)),IFERROR(L116/L108,""),"")</f>
        <v>0.198876847699718</v>
      </c>
      <c r="M118" s="215">
        <f>IF(AND(ISNUMBER(M116),ISNUMBER(M108)),IFERROR(M116/M108,""),"")</f>
        <v>0.152932838863756</v>
      </c>
      <c r="N118" s="215">
        <f>IF(AND(ISNUMBER(N116),ISNUMBER(N108)),IFERROR(N116/N108,""),"")</f>
        <v>0.193774485114787</v>
      </c>
      <c r="O118" s="215">
        <f>IF(AND(ISNUMBER(O116),ISNUMBER(O108)),IFERROR(O116/O108,""),"")</f>
        <v>0.217185491097518</v>
      </c>
      <c r="P118" s="215">
        <f>IF(AND(ISNUMBER(P116),ISNUMBER(P108)),IFERROR(P116/P108,""),"")</f>
        <v>0.211036349726347</v>
      </c>
      <c r="Q118" s="215">
        <f>IF(AND(ISNUMBER(Q116),ISNUMBER(Q108)),IFERROR(Q116/Q108,""),"")</f>
        <v>0.195502556044</v>
      </c>
      <c r="R118" s="215">
        <f>IF(AND(ISNUMBER(R116),ISNUMBER(R108)),IFERROR(R116/R108,""),"")</f>
        <v>0.221416134648868</v>
      </c>
      <c r="S118" s="215">
        <f>IF(AND(ISNUMBER(S116),ISNUMBER(S108)),IFERROR(S116/S108,""),"")</f>
        <v>0.211632759271019</v>
      </c>
      <c r="T118" s="215">
        <f>IF(AND(ISNUMBER(T116),ISNUMBER(T108)),IFERROR(T116/T108,""),"")</f>
        <v>0.214286978687248</v>
      </c>
      <c r="U118" s="215">
        <f>IF(AND(ISNUMBER(U116),ISNUMBER(U108)),IFERROR(U116/U108,""),"")</f>
        <v>0.162560525965084</v>
      </c>
      <c r="V118" s="215">
        <f>IF(AND(ISNUMBER(V116),ISNUMBER(V108)),IFERROR(V116/V108,""),"")</f>
        <v>0.193647598803634</v>
      </c>
      <c r="W118" s="215">
        <f>IF(AND(ISNUMBER(W116),ISNUMBER(W108)),IFERROR(W116/W108,""),"")</f>
        <v>0.223361577188605</v>
      </c>
      <c r="X118" s="215">
        <f>IF(AND(ISNUMBER(X116),ISNUMBER(X108)),IFERROR(X116/X108,""),"")</f>
        <v>0.198595035011835</v>
      </c>
      <c r="Y118" s="215">
        <f>IF(AND(ISNUMBER(Y116),ISNUMBER(Y108)),IFERROR(Y116/Y108,""),"")</f>
        <v>0.157131011608624</v>
      </c>
      <c r="Z118" s="215">
        <f>IF(AND(ISNUMBER(Z116),ISNUMBER(Z108)),IFERROR(Z116/Z108,""),"")</f>
        <v>0.158706353903266</v>
      </c>
      <c r="AA118" s="215">
        <f>IF(AND(ISNUMBER(AA116),ISNUMBER(AA108)),IFERROR(AA116/AA108,""),"")</f>
        <v>0.187579741498863</v>
      </c>
      <c r="AB118" s="215">
        <f>IF(AND(ISNUMBER(AB116),ISNUMBER(AB108)),IFERROR(AB116/AB108,""),"")</f>
        <v>0.190006902842492</v>
      </c>
      <c r="AC118" s="215">
        <f>IF(AND(ISNUMBER(AC116),ISNUMBER(AC108)),IFERROR(AC116/AC108,""),"")</f>
        <v>0.173800613250495</v>
      </c>
      <c r="AD118" s="215">
        <f>IF(AND(ISNUMBER(AD116),ISNUMBER(AD108)),IFERROR(AD116/AD108,""),"")</f>
        <v>0.189036026885929</v>
      </c>
      <c r="AE118" s="215">
        <f>IF(AND(ISNUMBER(AE116),ISNUMBER(AE108)),IFERROR(AE116/AE108,""),"")</f>
        <v>0.191980148496521</v>
      </c>
      <c r="AF118" s="215">
        <f>IF(AND(ISNUMBER(AF116),ISNUMBER(AF108)),IFERROR(AF116/AF108,""),"")</f>
        <v>0.139980634955269</v>
      </c>
      <c r="AG118" s="215">
        <f>IF(AND(ISNUMBER(AG116),ISNUMBER(AG108)),IFERROR(AG116/AG108,""),"")</f>
        <v>0.214649522501717</v>
      </c>
      <c r="AH118" s="215">
        <f>IF(AND(ISNUMBER(AH116),ISNUMBER(AH108)),IFERROR(AH116/AH108,""),"")</f>
        <v>0.184750108874401</v>
      </c>
      <c r="AI118" s="215">
        <f>IF(AND(ISNUMBER(AI116),ISNUMBER(AI108)),IFERROR(AI116/AI108,""),"")</f>
        <v>0.194024295746719</v>
      </c>
      <c r="AJ118" s="215">
        <f>IF(AND(ISNUMBER(AJ116),ISNUMBER(AJ108)),IFERROR(AJ116/AJ108,""),"")</f>
        <v>0.153836791080655</v>
      </c>
      <c r="AK118" s="215">
        <f>IF(AND(ISNUMBER(AK116),ISNUMBER(AK108)),IFERROR(AK116/AK108,""),"")</f>
        <v>0.198510110393269</v>
      </c>
      <c r="AL118" s="215">
        <f>IF(AND(ISNUMBER(AL116),ISNUMBER(AL108)),IFERROR(AL116/AL108,""),"")</f>
        <v>0.210921907748072</v>
      </c>
      <c r="AM118" s="215">
        <f>IF(AND(ISNUMBER(AM116),ISNUMBER(AM108)),IFERROR(AM116/AM108,""),"")</f>
        <v>0.189852862957053</v>
      </c>
      <c r="AN118" s="215">
        <f>IF(AND(ISNUMBER(AN116),ISNUMBER(AN108)),IFERROR(AN116/AN108,""),"")</f>
        <v>0.204551524277637</v>
      </c>
      <c r="AO118" s="215">
        <f>IF(AND(ISNUMBER(AO116),ISNUMBER(AO108)),IFERROR(AO116/AO108,""),"")</f>
        <v>0.207522727798469</v>
      </c>
      <c r="AP118" s="215">
        <f>IF(AND(ISNUMBER(AP116),ISNUMBER(AP108)),IFERROR(AP116/AP108,""),"")</f>
        <v>0.115705178678705</v>
      </c>
      <c r="AQ118" s="215">
        <f>IF(AND(ISNUMBER(AQ116),ISNUMBER(AQ108)),IFERROR(AQ116/AQ108,""),"")</f>
        <v>0.221313995235011</v>
      </c>
      <c r="AR118" s="215">
        <f>IF(AND(ISNUMBER(AR116),ISNUMBER(AR108)),IFERROR(AR116/AR108,""),"")</f>
        <v>0.187945897317641</v>
      </c>
      <c r="AS118" s="215">
        <f>IF(AND(ISNUMBER(AS116),ISNUMBER(AS108)),IFERROR(AS116/AS108,""),"")</f>
        <v>0.21068476654442</v>
      </c>
      <c r="AT118" s="215">
        <f>IF(AND(ISNUMBER(AT116),ISNUMBER(AT108)),IFERROR(AT116/AT108,""),"")</f>
        <v>0.205097054021516</v>
      </c>
      <c r="AU118" s="215">
        <f>IF(AND(ISNUMBER(AU116),ISNUMBER(AU108)),IFERROR(AU116/AU108,""),"")</f>
        <v>0.211649596935922</v>
      </c>
      <c r="AV118" s="215">
        <f>IF(AND(ISNUMBER(AV116),ISNUMBER(AV108)),IFERROR(AV116/AV108,""),"")</f>
        <v>0.234176159446414</v>
      </c>
      <c r="AW118" s="215">
        <f>IF(AND(ISNUMBER(AW116),ISNUMBER(AW108)),IFERROR(AW116/AW108,""),"")</f>
        <v>0.215523581332882</v>
      </c>
      <c r="AX118" s="215">
        <f>IF(AND(ISNUMBER(AX116),ISNUMBER(AX108)),IFERROR(AX116/AX108,""),"")</f>
        <v>0.184123251519237</v>
      </c>
      <c r="AY118" s="215">
        <f>IF(AND(ISNUMBER(AY116),ISNUMBER(AY108)),IFERROR(AY116/AY108,""),"")</f>
        <v>0.180155123517955</v>
      </c>
      <c r="AZ118" s="215">
        <f>IF(AND(ISNUMBER(AZ116),ISNUMBER(AZ108)),IFERROR(AZ116/AZ108,""),"")</f>
        <v>0.181960907987742</v>
      </c>
      <c r="BA118" s="215">
        <f>IF(AND(ISNUMBER(BA116),ISNUMBER(BA108)),IFERROR(BA116/BA108,""),"")</f>
        <v>0.18553292367198</v>
      </c>
      <c r="BB118" s="215">
        <f>IF(AND(ISNUMBER(BB116),ISNUMBER(BB108)),IFERROR(BB116/BB108,""),"")</f>
        <v>0.183022870880023</v>
      </c>
      <c r="BC118" s="215">
        <f>IF(AND(ISNUMBER(BC116),ISNUMBER(BC108)),IFERROR(BC116/BC108,""),"")</f>
        <v>0.196683844947345</v>
      </c>
      <c r="BD118" s="215">
        <f>IF(AND(ISNUMBER(BD116),ISNUMBER(BD108)),IFERROR(BD116/BD108,""),"")</f>
        <v>0.168570540708515</v>
      </c>
      <c r="BE118" s="215">
        <f>IF(AND(ISNUMBER(BE116),ISNUMBER(BE108)),IFERROR(BE116/BE108,""),"")</f>
        <v>0.0538334463369957</v>
      </c>
      <c r="BF118" s="215">
        <f>IF(AND(ISNUMBER(BF116),ISNUMBER(BF108)),IFERROR(BF116/BF108,""),"")</f>
        <v>0.16118524628078</v>
      </c>
      <c r="BG118" s="215">
        <f>IF(AND(ISNUMBER(BG116),ISNUMBER(BG108)),IFERROR(BG116/BG108,""),"")</f>
        <v>0.137933923475269</v>
      </c>
      <c r="BH118" s="215">
        <f>IF(AND(ISNUMBER(BH116),ISNUMBER(BH108)),IFERROR(BH116/BH108,""),"")</f>
        <v>0.182077496610935</v>
      </c>
      <c r="BI118" s="215">
        <f>IF(AND(ISNUMBER(BI116),ISNUMBER(BI108)),IFERROR(BI116/BI108,""),"")</f>
        <v>0.195079733562317</v>
      </c>
      <c r="BJ118" s="215">
        <f>IF(AND(ISNUMBER(BJ116),ISNUMBER(BJ108)),IFERROR(BJ116/BJ108,""),"")</f>
        <v>0.200190543903306</v>
      </c>
      <c r="BK118" s="215">
        <f>IF(AND(ISNUMBER(BK116),ISNUMBER(BK108)),IFERROR(BK116/BK108,""),"")</f>
        <v>0.218304252805371</v>
      </c>
      <c r="BL118" s="215">
        <f>IF(AND(ISNUMBER(BL116),ISNUMBER(BL108)),IFERROR(BL116/BL108,""),"")</f>
        <v>0.199414687266045</v>
      </c>
      <c r="BM118" s="215">
        <f>IF(AND(ISNUMBER(BM116),ISNUMBER(BM108)),IFERROR(BM116/BM108,""),"")</f>
        <v>0.219605189061846</v>
      </c>
      <c r="BN118" s="215">
        <f>IF(AND(ISNUMBER(BN116),ISNUMBER(BN108)),IFERROR(BN116/BN108,""),"")</f>
        <v>0.227539862853112</v>
      </c>
      <c r="BO118" s="215">
        <f>IF(AND(ISNUMBER(BO116),ISNUMBER(BO108)),IFERROR(BO116/BO108,""),"")</f>
        <v>0.201363444288137</v>
      </c>
      <c r="BP118" s="215">
        <f>IF(AND(ISNUMBER(BP116),ISNUMBER(BP108)),IFERROR(BP116/BP108,""),"")</f>
        <v>0.227596209630632</v>
      </c>
      <c r="BQ118" s="215">
        <f>IF(AND(ISNUMBER(BQ116),ISNUMBER(BQ108)),IFERROR(BQ116/BQ108,""),"")</f>
        <v>0.219316798051657</v>
      </c>
      <c r="BR118" s="215">
        <f>IF(AND(ISNUMBER(BR116),ISNUMBER(BR108)),IFERROR(BR116/BR108,""),"")</f>
        <v>0.239970465173517</v>
      </c>
      <c r="BS118" s="215">
        <f>IF(AND(ISNUMBER(BS116),ISNUMBER(BS108)),IFERROR(BS116/BS108,""),"")</f>
        <v>0.216386026639859</v>
      </c>
      <c r="BT118" s="215">
        <f>IF(AND(ISNUMBER(BT116),ISNUMBER(BT108)),IFERROR(BT116/BT108,""),"")</f>
        <v>0.217038539553753</v>
      </c>
      <c r="BU118" s="215">
        <f>IF(AND(ISNUMBER(BU116),ISNUMBER(BU108)),IFERROR(BU116/BU108,""),"")</f>
        <v>0.230066255426091</v>
      </c>
      <c r="BV118" s="215">
        <f>IF(AND(ISNUMBER(BV116),ISNUMBER(BV108)),IFERROR(BV116/BV108,""),"")</f>
        <v>0.226058791175212</v>
      </c>
      <c r="BW118" s="215">
        <f>IF(AND(ISNUMBER(BW116),ISNUMBER(BW108)),IFERROR(BW116/BW108,""),"")</f>
        <v>0.231880733944954</v>
      </c>
      <c r="BX118" s="215">
        <f>IF(AND(ISNUMBER(BX116),ISNUMBER(BX108)),IFERROR(BX116/BX108,""),"")</f>
        <v>0.214803426312322</v>
      </c>
      <c r="BY118" s="215">
        <f>IF(AND(ISNUMBER(BY116),ISNUMBER(BY108)),IFERROR(BY116/BY108,""),"")</f>
        <v>0.22313691507799</v>
      </c>
      <c r="BZ118" s="215">
        <f>IF(AND(ISNUMBER(BZ116),ISNUMBER(BZ108)),IFERROR(BZ116/BZ108,""),"")</f>
        <v>0.22992277992278</v>
      </c>
      <c r="CA118" s="215">
        <f>IF(AND(ISNUMBER(CA116),ISNUMBER(CA108)),IFERROR(CA116/CA108,""),"")</f>
        <v>0.225025388850286</v>
      </c>
      <c r="CB118" s="215">
        <f>IF(AND(ISNUMBER(CB116),ISNUMBER(CB108)),IFERROR(CB116/CB108,""),"")</f>
        <v>0.271029836381136</v>
      </c>
      <c r="CC118" s="256">
        <f>IF(AND(ISNUMBER(CC116),ISNUMBER(CC108)),IFERROR(CC116/CC108,""),"")</f>
        <v>0.247560784313725</v>
      </c>
      <c r="CD118" s="256">
        <f>IF(AND(ISNUMBER(CD116),ISNUMBER(CD108)),IFERROR(CD116/CD108,""),"")</f>
        <v>0.253131701593941</v>
      </c>
      <c r="CE118" s="256">
        <f>IF(AND(ISNUMBER(CE116),ISNUMBER(CE108)),IFERROR(CE116/CE108,""),"")</f>
        <v>0.262751302411796</v>
      </c>
      <c r="CF118" s="256">
        <f>IF(AND(ISNUMBER(CF116),ISNUMBER(CF108)),IFERROR(CF116/CF108,""),"")</f>
        <v>0.258874818589445</v>
      </c>
      <c r="CG118" s="256">
        <f>IF(AND(ISNUMBER(CG116),ISNUMBER(CG108)),IFERROR(CG116/CG108,""),"")</f>
        <v>0.260381155665889</v>
      </c>
      <c r="CH118" s="256">
        <f>IF(AND(ISNUMBER(CH116),ISNUMBER(CH108)),IFERROR(CH116/CH108,""),"")</f>
        <v>0.264398490679686</v>
      </c>
      <c r="CI118" s="256">
        <f>IF(AND(ISNUMBER(CI116),ISNUMBER(CI108)),IFERROR(CI116/CI108,""),"")</f>
        <v>0.269318960562842</v>
      </c>
      <c r="CJ118" s="256">
        <f>IF(AND(ISNUMBER(CJ116),ISNUMBER(CJ108)),IFERROR(CJ116/CJ108,""),"")</f>
        <v>0.270786507556783</v>
      </c>
      <c r="CK118" s="256">
        <f>IF(AND(ISNUMBER(CK116),ISNUMBER(CK108)),IFERROR(CK116/CK108,""),"")</f>
        <v>0.271062494511699</v>
      </c>
      <c r="CL118" s="153" t="n"/>
      <c r="CN118" s="37">
        <f>IFERROR(AVERAGE(CG118,CH118,CI118,CJ118,CK118),"n/m")</f>
        <v>0.26718952179538</v>
      </c>
      <c r="CO118" s="37">
        <f>IFERROR(AVERAGE(BG118,BL118,BQ118,BV118,CA118),"n/m")</f>
        <v>0.201549917763694</v>
      </c>
      <c r="CP118" s="37">
        <f>IFERROR(AVERAGE(AH118,AM118,AR118,AW118,BB118,BG118,BL118,BQ118,BV118,CA118),"n/m")</f>
        <v>0.196884491018047</v>
      </c>
      <c r="CQ118" s="37">
        <f>IFERROR(AVERAGE(C118,D118,E118,F118,G118,H118,I118,N118,S118,X118,AC118,AH118,AM118,AR118,AW118,BB118,BG118,BL118,BQ118,BV118,CA118),"n/m")</f>
        <v>0.185257238228115</v>
      </c>
    </row>
    <row r="119" ht="15" customHeight="1" s="251">
      <c r="B119" s="25" t="inlineStr">
        <is>
          <t>Interest expense, net</t>
        </is>
      </c>
      <c r="C119" s="259" t="n">
        <v>15.735</v>
      </c>
      <c r="D119" s="259" t="n">
        <v>5.505</v>
      </c>
      <c r="E119" s="259" t="n">
        <v>3.407</v>
      </c>
      <c r="F119" s="259" t="n">
        <v>2.605</v>
      </c>
      <c r="G119" s="259" t="n">
        <v>1.807</v>
      </c>
      <c r="H119" s="259" t="n">
        <v>1.791</v>
      </c>
      <c r="I119" s="259" t="n">
        <v>1.045</v>
      </c>
      <c r="J119" s="259" t="n">
        <v>0.215</v>
      </c>
      <c r="K119" s="259" t="n">
        <v>0.183</v>
      </c>
      <c r="L119" s="259" t="n">
        <v>0.281</v>
      </c>
      <c r="M119" s="259" t="n">
        <v>0.189</v>
      </c>
      <c r="N119" s="259" t="n">
        <v>0.868</v>
      </c>
      <c r="O119" s="259" t="n">
        <v>0.241</v>
      </c>
      <c r="P119" s="259" t="n">
        <v>0.253</v>
      </c>
      <c r="Q119" s="259" t="n">
        <v>0.276</v>
      </c>
      <c r="R119" s="259" t="n">
        <v>0.249</v>
      </c>
      <c r="S119" s="259" t="n">
        <v>1.019</v>
      </c>
      <c r="T119" s="259" t="n">
        <v>0.224</v>
      </c>
      <c r="U119" s="259" t="n">
        <v>0.308</v>
      </c>
      <c r="V119" s="259" t="n">
        <v>0.288</v>
      </c>
      <c r="W119" s="259" t="n">
        <v>0.235</v>
      </c>
      <c r="X119" s="259" t="n">
        <v>1.055</v>
      </c>
      <c r="Y119" s="259" t="n">
        <v>1.711</v>
      </c>
      <c r="Z119" s="259" t="n">
        <v>2.273</v>
      </c>
      <c r="AA119" s="259" t="n">
        <v>2.238</v>
      </c>
      <c r="AB119" s="259" t="n">
        <v>2.5</v>
      </c>
      <c r="AC119" s="259" t="n">
        <v>8.722</v>
      </c>
      <c r="AD119" s="259" t="n">
        <v>2.293</v>
      </c>
      <c r="AE119" s="259" t="n">
        <v>2.255</v>
      </c>
      <c r="AF119" s="259" t="n">
        <v>2.111</v>
      </c>
      <c r="AG119" s="259" t="n">
        <v>2.047</v>
      </c>
      <c r="AH119" s="259" t="n">
        <v>8.706</v>
      </c>
      <c r="AI119" s="259" t="n">
        <v>2.029</v>
      </c>
      <c r="AJ119" s="259" t="n">
        <v>1.914</v>
      </c>
      <c r="AK119" s="259" t="n">
        <v>1.761</v>
      </c>
      <c r="AL119" s="259" t="n">
        <v>1.803</v>
      </c>
      <c r="AM119" s="259" t="n">
        <v>7.507</v>
      </c>
      <c r="AN119" s="259" t="n">
        <v>1.711</v>
      </c>
      <c r="AO119" s="259" t="n">
        <v>1.446</v>
      </c>
      <c r="AP119" s="259" t="n">
        <v>1.197</v>
      </c>
      <c r="AQ119" s="259" t="n">
        <v>0.819</v>
      </c>
      <c r="AR119" s="259" t="n">
        <v>5.173</v>
      </c>
      <c r="AS119" s="259" t="n">
        <v>0.547</v>
      </c>
      <c r="AT119" s="259" t="n">
        <v>0.473</v>
      </c>
      <c r="AU119" s="259" t="n">
        <v>0.466</v>
      </c>
      <c r="AV119" s="259" t="n">
        <v>0.399</v>
      </c>
      <c r="AW119" s="259" t="n">
        <v>1.885</v>
      </c>
      <c r="AX119" s="259" t="n">
        <v>0.425</v>
      </c>
      <c r="AY119" s="259" t="n">
        <v>0.343</v>
      </c>
      <c r="AZ119" s="259" t="n">
        <v>0.327</v>
      </c>
      <c r="BA119" s="259" t="n">
        <v>0.335</v>
      </c>
      <c r="BB119" s="259" t="n">
        <v>1.43</v>
      </c>
      <c r="BC119" s="259" t="n">
        <v>0.319</v>
      </c>
      <c r="BD119" s="259" t="n">
        <v>15.77</v>
      </c>
      <c r="BE119" s="259" t="n">
        <v>11.848</v>
      </c>
      <c r="BF119" s="259" t="n">
        <v>13.573</v>
      </c>
      <c r="BG119" s="259" t="n">
        <v>41.51</v>
      </c>
      <c r="BH119" s="259" t="n">
        <v>15.799</v>
      </c>
      <c r="BI119" s="259" t="n">
        <v>18.332</v>
      </c>
      <c r="BJ119" s="259" t="n">
        <v>20.901</v>
      </c>
      <c r="BK119" s="259" t="n">
        <v>21.663</v>
      </c>
      <c r="BL119" s="259" t="n">
        <v>76.7</v>
      </c>
      <c r="BM119" s="259" t="n">
        <v>20.474</v>
      </c>
      <c r="BN119" s="259" t="n">
        <v>20.134</v>
      </c>
      <c r="BO119" s="259" t="n">
        <v>19.303</v>
      </c>
      <c r="BP119" s="259" t="n">
        <v>18.768</v>
      </c>
      <c r="BQ119" s="259" t="n">
        <v>78.7</v>
      </c>
      <c r="BR119" s="259" t="n">
        <v>17.2</v>
      </c>
      <c r="BS119" s="259" t="n">
        <v>15.6</v>
      </c>
      <c r="BT119" s="259" t="n">
        <v>14.2</v>
      </c>
      <c r="BU119" s="259" t="n">
        <v>12.8</v>
      </c>
      <c r="BV119" s="259" t="n">
        <v>59.8</v>
      </c>
      <c r="BW119" s="259" t="n">
        <v>12.2</v>
      </c>
      <c r="BX119" s="259" t="n">
        <v>13.4</v>
      </c>
      <c r="BY119" s="259" t="n">
        <v>13</v>
      </c>
      <c r="BZ119" s="259" t="n">
        <v>11.2</v>
      </c>
      <c r="CA119" s="259" t="n">
        <v>49.8</v>
      </c>
      <c r="CB119" s="259" t="n">
        <v>10.1</v>
      </c>
      <c r="CC119" s="261">
        <f>CC120</f>
        <v>9.3</v>
      </c>
      <c r="CD119" s="261">
        <f>CD120</f>
        <v>8.6</v>
      </c>
      <c r="CE119" s="261">
        <f>CE120</f>
        <v>8.6</v>
      </c>
      <c r="CF119" s="261">
        <f>SUM(CB119:CE119)</f>
        <v>36.6</v>
      </c>
      <c r="CG119" s="261">
        <f>CF339*CG348+CF345*CG349+CG350-CF253*CG351</f>
        <v>25.7262766950617</v>
      </c>
      <c r="CH119" s="261">
        <f>CG339*CH348+CG345*CH349+CH350-CG253*CH351</f>
        <v>43.0494557223029</v>
      </c>
      <c r="CI119" s="261">
        <f>CH339*CI348+CH345*CI349+CI350-CH253*CI351</f>
        <v>50.7085822476819</v>
      </c>
      <c r="CJ119" s="261">
        <f>CI339*CJ348+CI345*CJ349+CJ350-CI253*CJ351</f>
        <v>58.481556691852</v>
      </c>
      <c r="CK119" s="261">
        <f>CJ339*CK348+CJ345*CK349+CK350-CJ253*CK351</f>
        <v>63.4702477305191</v>
      </c>
      <c r="CL119" s="19" t="inlineStr">
        <is>
          <t>Q2–Q4/27E point estimates (see the row below). FY2028E+ = rate × opening notes &amp; term debt + rate × opening revolver + fees &amp; deferred-fee amortization − yield on opening cash (no circularity).</t>
        </is>
      </c>
    </row>
    <row r="120" ht="15" customHeight="1" s="251">
      <c r="B120" s="25" t="inlineStr">
        <is>
          <t xml:space="preserve">  Q2–Q4/27E interest expense, net (point estimates, input)</t>
        </is>
      </c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  <c r="AP120" s="36" t="n"/>
      <c r="AQ120" s="36" t="n"/>
      <c r="AR120" s="36" t="n"/>
      <c r="AS120" s="36" t="n"/>
      <c r="AT120" s="36" t="n"/>
      <c r="AU120" s="36" t="n"/>
      <c r="AV120" s="36" t="n"/>
      <c r="AW120" s="36" t="n"/>
      <c r="AX120" s="36" t="n"/>
      <c r="AY120" s="36" t="n"/>
      <c r="AZ120" s="36" t="n"/>
      <c r="BA120" s="36" t="n"/>
      <c r="BB120" s="36" t="n"/>
      <c r="BC120" s="36" t="n"/>
      <c r="BD120" s="36" t="n"/>
      <c r="BE120" s="36" t="n"/>
      <c r="BF120" s="36" t="n"/>
      <c r="BG120" s="36" t="n"/>
      <c r="BH120" s="36" t="n"/>
      <c r="BI120" s="36" t="n"/>
      <c r="BJ120" s="36" t="n"/>
      <c r="BK120" s="36" t="n"/>
      <c r="BL120" s="36" t="n"/>
      <c r="BM120" s="36" t="n"/>
      <c r="BN120" s="36" t="n"/>
      <c r="BO120" s="36" t="n"/>
      <c r="BP120" s="36" t="n"/>
      <c r="BQ120" s="36" t="n"/>
      <c r="BR120" s="36" t="n"/>
      <c r="BS120" s="36" t="n"/>
      <c r="BT120" s="36" t="n"/>
      <c r="BU120" s="36" t="n"/>
      <c r="BV120" s="36" t="n"/>
      <c r="BW120" s="36" t="n"/>
      <c r="BX120" s="36" t="n"/>
      <c r="BY120" s="36" t="n"/>
      <c r="BZ120" s="36" t="n"/>
      <c r="CA120" s="36" t="n"/>
      <c r="CB120" s="36" t="n"/>
      <c r="CC120" s="260" t="n">
        <v>9.300000000000001</v>
      </c>
      <c r="CD120" s="260" t="n">
        <v>8.6</v>
      </c>
      <c r="CE120" s="260" t="n">
        <v>8.6</v>
      </c>
      <c r="CF120" s="24" t="n"/>
      <c r="CG120" s="46" t="n"/>
      <c r="CH120" s="46" t="n"/>
      <c r="CI120" s="46" t="n"/>
      <c r="CJ120" s="46" t="n"/>
      <c r="CK120" s="46" t="n"/>
      <c r="CL120" s="19" t="inlineStr">
        <is>
          <t>Point estimates (not guided): Q1 FY27 $10.1m. Notes $500m × 4.375% ($5.5m a quarter) + term loan / revolver (~$250m → ~$220m after the Nov-2026 term-loan maturity) at ~5.0% + fees and deferred-fee amortization; Q4 has 14 weeks (assumption).</t>
        </is>
      </c>
    </row>
    <row r="121" ht="15" customHeight="1" s="251">
      <c r="B121" s="25" t="inlineStr">
        <is>
          <t>Loss on early extinguishment of debt (shown separately FY2006–FY2008)</t>
        </is>
      </c>
      <c r="C121" s="259" t="n">
        <v>3.771</v>
      </c>
      <c r="D121" s="259" t="n">
        <v>3.576</v>
      </c>
      <c r="E121" s="259" t="n">
        <v>0.027</v>
      </c>
      <c r="F121" s="259" t="n">
        <v>0.319</v>
      </c>
      <c r="G121" s="259" t="n">
        <v>0</v>
      </c>
      <c r="H121" s="259" t="n">
        <v>0</v>
      </c>
      <c r="I121" s="259" t="n">
        <v>0</v>
      </c>
      <c r="J121" s="259" t="n">
        <v>0</v>
      </c>
      <c r="K121" s="259" t="n">
        <v>0</v>
      </c>
      <c r="L121" s="259" t="n">
        <v>0</v>
      </c>
      <c r="M121" s="259" t="n">
        <v>0</v>
      </c>
      <c r="N121" s="259" t="n">
        <v>0</v>
      </c>
      <c r="O121" s="259" t="n">
        <v>0</v>
      </c>
      <c r="P121" s="259" t="n">
        <v>0</v>
      </c>
      <c r="Q121" s="259" t="n">
        <v>0</v>
      </c>
      <c r="R121" s="259" t="n">
        <v>0</v>
      </c>
      <c r="S121" s="259" t="n">
        <v>0</v>
      </c>
      <c r="T121" s="259" t="n">
        <v>0</v>
      </c>
      <c r="U121" s="259" t="n">
        <v>0</v>
      </c>
      <c r="V121" s="259" t="n">
        <v>0</v>
      </c>
      <c r="W121" s="259" t="n">
        <v>0</v>
      </c>
      <c r="X121" s="259" t="n">
        <v>0</v>
      </c>
      <c r="Y121" s="259" t="n">
        <v>0</v>
      </c>
      <c r="Z121" s="259" t="n">
        <v>0</v>
      </c>
      <c r="AA121" s="259" t="n">
        <v>0</v>
      </c>
      <c r="AB121" s="259" t="n">
        <v>0</v>
      </c>
      <c r="AC121" s="259" t="n">
        <v>0</v>
      </c>
      <c r="AD121" s="259" t="n">
        <v>0</v>
      </c>
      <c r="AE121" s="259" t="n">
        <v>0</v>
      </c>
      <c r="AF121" s="259" t="n">
        <v>0</v>
      </c>
      <c r="AG121" s="259" t="n">
        <v>0</v>
      </c>
      <c r="AH121" s="259" t="n">
        <v>0</v>
      </c>
      <c r="AI121" s="259" t="n">
        <v>0</v>
      </c>
      <c r="AJ121" s="259" t="n">
        <v>0</v>
      </c>
      <c r="AK121" s="259" t="n">
        <v>0</v>
      </c>
      <c r="AL121" s="259" t="n">
        <v>0</v>
      </c>
      <c r="AM121" s="259" t="n">
        <v>0</v>
      </c>
      <c r="AN121" s="259" t="n">
        <v>0</v>
      </c>
      <c r="AO121" s="259" t="n">
        <v>0</v>
      </c>
      <c r="AP121" s="259" t="n">
        <v>0</v>
      </c>
      <c r="AQ121" s="259" t="n">
        <v>0</v>
      </c>
      <c r="AR121" s="259" t="n">
        <v>0</v>
      </c>
      <c r="AS121" s="259" t="n">
        <v>0</v>
      </c>
      <c r="AT121" s="259" t="n">
        <v>0</v>
      </c>
      <c r="AU121" s="259" t="n">
        <v>0</v>
      </c>
      <c r="AV121" s="259" t="n">
        <v>0</v>
      </c>
      <c r="AW121" s="259" t="n">
        <v>0</v>
      </c>
      <c r="AX121" s="259" t="n">
        <v>0</v>
      </c>
      <c r="AY121" s="259" t="n">
        <v>0</v>
      </c>
      <c r="AZ121" s="259" t="n">
        <v>0</v>
      </c>
      <c r="BA121" s="259" t="n">
        <v>0</v>
      </c>
      <c r="BB121" s="259" t="n">
        <v>0</v>
      </c>
      <c r="BC121" s="259" t="n">
        <v>0</v>
      </c>
      <c r="BD121" s="259" t="n">
        <v>0</v>
      </c>
      <c r="BE121" s="259" t="n">
        <v>0</v>
      </c>
      <c r="BF121" s="259" t="n">
        <v>0</v>
      </c>
      <c r="BG121" s="259" t="n">
        <v>0</v>
      </c>
      <c r="BH121" s="259" t="n">
        <v>0</v>
      </c>
      <c r="BI121" s="259" t="n">
        <v>0</v>
      </c>
      <c r="BJ121" s="259" t="n">
        <v>0</v>
      </c>
      <c r="BK121" s="259" t="n">
        <v>0</v>
      </c>
      <c r="BL121" s="259" t="n">
        <v>0</v>
      </c>
      <c r="BM121" s="259" t="n">
        <v>0</v>
      </c>
      <c r="BN121" s="259" t="n">
        <v>0</v>
      </c>
      <c r="BO121" s="259" t="n">
        <v>0</v>
      </c>
      <c r="BP121" s="259" t="n">
        <v>0</v>
      </c>
      <c r="BQ121" s="259" t="n">
        <v>0</v>
      </c>
      <c r="BR121" s="259" t="n">
        <v>0</v>
      </c>
      <c r="BS121" s="259" t="n">
        <v>0</v>
      </c>
      <c r="BT121" s="259" t="n">
        <v>0</v>
      </c>
      <c r="BU121" s="259" t="n">
        <v>0</v>
      </c>
      <c r="BV121" s="259" t="n">
        <v>0</v>
      </c>
      <c r="BW121" s="259" t="n">
        <v>0</v>
      </c>
      <c r="BX121" s="259" t="n">
        <v>0</v>
      </c>
      <c r="BY121" s="259" t="n">
        <v>0</v>
      </c>
      <c r="BZ121" s="259" t="n">
        <v>0</v>
      </c>
      <c r="CA121" s="259" t="n">
        <v>0</v>
      </c>
      <c r="CB121" s="259" t="n">
        <v>0</v>
      </c>
      <c r="CC121" s="261">
        <f>0</f>
        <v>0</v>
      </c>
      <c r="CD121" s="261">
        <f>0</f>
        <v>0</v>
      </c>
      <c r="CE121" s="261">
        <f>0</f>
        <v>0</v>
      </c>
      <c r="CF121" s="261">
        <f>SUM(CB121:CE121)</f>
        <v>0</v>
      </c>
      <c r="CG121" s="261">
        <f>0</f>
        <v>0</v>
      </c>
      <c r="CH121" s="261">
        <f>0</f>
        <v>0</v>
      </c>
      <c r="CI121" s="261">
        <f>0</f>
        <v>0</v>
      </c>
      <c r="CJ121" s="261">
        <f>0</f>
        <v>0</v>
      </c>
      <c r="CK121" s="261">
        <f>0</f>
        <v>0</v>
      </c>
      <c r="CL121" s="19" t="n"/>
    </row>
    <row r="122" ht="15" customHeight="1" s="251">
      <c r="B122" s="25" t="inlineStr">
        <is>
          <t>Other non-operating expense / (income)</t>
        </is>
      </c>
      <c r="C122" s="259" t="n">
        <v>0</v>
      </c>
      <c r="D122" s="259" t="n">
        <v>-1.229</v>
      </c>
      <c r="E122" s="259" t="n">
        <v>-0.463</v>
      </c>
      <c r="F122" s="259" t="n">
        <v>0.645</v>
      </c>
      <c r="G122" s="259" t="n">
        <v>-0.147</v>
      </c>
      <c r="H122" s="259" t="n">
        <v>1.525</v>
      </c>
      <c r="I122" s="259" t="n">
        <v>0.624</v>
      </c>
      <c r="J122" s="259" t="n">
        <v>-3.301</v>
      </c>
      <c r="K122" s="259" t="n">
        <v>0.111</v>
      </c>
      <c r="L122" s="259" t="n">
        <v>0.229</v>
      </c>
      <c r="M122" s="259" t="n">
        <v>0.006</v>
      </c>
      <c r="N122" s="259" t="n">
        <v>-2.955</v>
      </c>
      <c r="O122" s="259" t="n">
        <v>-0.192</v>
      </c>
      <c r="P122" s="259" t="n">
        <v>-0.015</v>
      </c>
      <c r="Q122" s="259" t="n">
        <v>0.043</v>
      </c>
      <c r="R122" s="259" t="n">
        <v>0.042</v>
      </c>
      <c r="S122" s="259" t="n">
        <v>-0.122</v>
      </c>
      <c r="T122" s="259" t="n">
        <v>-0.267</v>
      </c>
      <c r="U122" s="259" t="n">
        <v>-0.235</v>
      </c>
      <c r="V122" s="259" t="n">
        <v>0.146</v>
      </c>
      <c r="W122" s="259" t="n">
        <v>3.176</v>
      </c>
      <c r="X122" s="259" t="n">
        <v>2.82</v>
      </c>
      <c r="Y122" s="259" t="n">
        <v>0.606</v>
      </c>
      <c r="Z122" s="259" t="n">
        <v>-0.596</v>
      </c>
      <c r="AA122" s="259" t="n">
        <v>-0.054</v>
      </c>
      <c r="AB122" s="259" t="n">
        <v>0.378</v>
      </c>
      <c r="AC122" s="259" t="n">
        <v>0.334</v>
      </c>
      <c r="AD122" s="259" t="n">
        <v>0.118</v>
      </c>
      <c r="AE122" s="259" t="n">
        <v>0.149</v>
      </c>
      <c r="AF122" s="259" t="n">
        <v>-0.216</v>
      </c>
      <c r="AG122" s="259" t="n">
        <v>0.052</v>
      </c>
      <c r="AH122" s="259" t="n">
        <v>0.103</v>
      </c>
      <c r="AI122" s="259" t="n">
        <v>0.372</v>
      </c>
      <c r="AJ122" s="259" t="n">
        <v>0.064</v>
      </c>
      <c r="AK122" s="259" t="n">
        <v>0.026</v>
      </c>
      <c r="AL122" s="259" t="n">
        <v>0.321</v>
      </c>
      <c r="AM122" s="259" t="n">
        <v>0.783</v>
      </c>
      <c r="AN122" s="259" t="n">
        <v>1.034</v>
      </c>
      <c r="AO122" s="259" t="n">
        <v>0.336</v>
      </c>
      <c r="AP122" s="259" t="n">
        <v>-0.386</v>
      </c>
      <c r="AQ122" s="259" t="n">
        <v>-0.212</v>
      </c>
      <c r="AR122" s="259" t="n">
        <v>0.772</v>
      </c>
      <c r="AS122" s="259" t="n">
        <v>0.169</v>
      </c>
      <c r="AT122" s="259" t="n">
        <v>0.195</v>
      </c>
      <c r="AU122" s="259" t="n">
        <v>0.217</v>
      </c>
      <c r="AV122" s="259" t="n">
        <v>0.18</v>
      </c>
      <c r="AW122" s="259" t="n">
        <v>0.761</v>
      </c>
      <c r="AX122" s="259" t="n">
        <v>0.042</v>
      </c>
      <c r="AY122" s="259" t="n">
        <v>0.211</v>
      </c>
      <c r="AZ122" s="259" t="n">
        <v>-0.05</v>
      </c>
      <c r="BA122" s="259" t="n">
        <v>-0.234</v>
      </c>
      <c r="BB122" s="259" t="n">
        <v>-0.031</v>
      </c>
      <c r="BC122" s="259" t="n">
        <v>-0.465</v>
      </c>
      <c r="BD122" s="259" t="n">
        <v>-0.291</v>
      </c>
      <c r="BE122" s="259" t="n">
        <v>1.395</v>
      </c>
      <c r="BF122" s="259" t="n">
        <v>0.195</v>
      </c>
      <c r="BG122" s="259" t="n">
        <v>0.834</v>
      </c>
      <c r="BH122" s="259" t="n">
        <v>0.767</v>
      </c>
      <c r="BI122" s="259" t="n">
        <v>0.184</v>
      </c>
      <c r="BJ122" s="259" t="n">
        <v>1.539</v>
      </c>
      <c r="BK122" s="259" t="n">
        <v>4.12</v>
      </c>
      <c r="BL122" s="259" t="n">
        <v>6.6</v>
      </c>
      <c r="BM122" s="259" t="n">
        <v>0.527</v>
      </c>
      <c r="BN122" s="259" t="n">
        <v>0.775</v>
      </c>
      <c r="BO122" s="259" t="n">
        <v>-0.879</v>
      </c>
      <c r="BP122" s="259" t="n">
        <v>1.295</v>
      </c>
      <c r="BQ122" s="259" t="n">
        <v>1.7</v>
      </c>
      <c r="BR122" s="259" t="n">
        <v>0.4</v>
      </c>
      <c r="BS122" s="259" t="n">
        <v>1.1</v>
      </c>
      <c r="BT122" s="259" t="n">
        <v>-3.3</v>
      </c>
      <c r="BU122" s="259" t="n">
        <v>0</v>
      </c>
      <c r="BV122" s="259" t="n">
        <v>-1.8</v>
      </c>
      <c r="BW122" s="259" t="n">
        <v>1.2</v>
      </c>
      <c r="BX122" s="259" t="n">
        <v>1</v>
      </c>
      <c r="BY122" s="259" t="n">
        <v>0.7</v>
      </c>
      <c r="BZ122" s="259" t="n">
        <v>-1</v>
      </c>
      <c r="CA122" s="259" t="n">
        <v>1.9</v>
      </c>
      <c r="CB122" s="259" t="n">
        <v>0.5</v>
      </c>
      <c r="CC122" s="261">
        <f>$CV$22</f>
        <v>0.5</v>
      </c>
      <c r="CD122" s="261">
        <f>$CV$22</f>
        <v>0.5</v>
      </c>
      <c r="CE122" s="261">
        <f>$CV$22</f>
        <v>0.5</v>
      </c>
      <c r="CF122" s="261">
        <f>SUM(CB122:CE122)</f>
        <v>2</v>
      </c>
      <c r="CG122" s="260" t="n">
        <v>2</v>
      </c>
      <c r="CH122" s="260" t="n">
        <v>2</v>
      </c>
      <c r="CI122" s="260" t="n">
        <v>2</v>
      </c>
      <c r="CJ122" s="260" t="n">
        <v>2</v>
      </c>
      <c r="CK122" s="260" t="n">
        <v>2</v>
      </c>
      <c r="CL122" s="19" t="n"/>
    </row>
    <row r="123" ht="15" customHeight="1" s="251">
      <c r="B123" s="16" t="inlineStr">
        <is>
          <t>Income before income taxes</t>
        </is>
      </c>
      <c r="C123" s="253" t="n">
        <v>19.073</v>
      </c>
      <c r="D123" s="253" t="n">
        <v>44.067</v>
      </c>
      <c r="E123" s="253" t="n">
        <v>59.879</v>
      </c>
      <c r="F123" s="253" t="n">
        <v>51.401</v>
      </c>
      <c r="G123" s="253" t="n">
        <v>33.01</v>
      </c>
      <c r="H123" s="253" t="n">
        <v>52.877</v>
      </c>
      <c r="I123" s="253" t="n">
        <v>75.979</v>
      </c>
      <c r="J123" s="253" t="n">
        <v>25.08</v>
      </c>
      <c r="K123" s="253" t="n">
        <v>20.901</v>
      </c>
      <c r="L123" s="253" t="n">
        <v>18.649</v>
      </c>
      <c r="M123" s="253" t="n">
        <v>15.558</v>
      </c>
      <c r="N123" s="253" t="n">
        <v>80.188</v>
      </c>
      <c r="O123" s="253" t="n">
        <v>22.249</v>
      </c>
      <c r="P123" s="253" t="n">
        <v>21.278</v>
      </c>
      <c r="Q123" s="253" t="n">
        <v>19.338</v>
      </c>
      <c r="R123" s="253" t="n">
        <v>24.888</v>
      </c>
      <c r="S123" s="253" t="n">
        <v>87.753</v>
      </c>
      <c r="T123" s="253" t="n">
        <v>24.254</v>
      </c>
      <c r="U123" s="253" t="n">
        <v>18.224</v>
      </c>
      <c r="V123" s="253" t="n">
        <v>20.155</v>
      </c>
      <c r="W123" s="253" t="n">
        <v>21.922</v>
      </c>
      <c r="X123" s="253" t="n">
        <v>84.55500000000001</v>
      </c>
      <c r="Y123" s="253" t="n">
        <v>20.044</v>
      </c>
      <c r="Z123" s="253" t="n">
        <v>21.922</v>
      </c>
      <c r="AA123" s="253" t="n">
        <v>24.868</v>
      </c>
      <c r="AB123" s="253" t="n">
        <v>27.951</v>
      </c>
      <c r="AC123" s="253" t="n">
        <v>94.785</v>
      </c>
      <c r="AD123" s="253" t="n">
        <v>26.81</v>
      </c>
      <c r="AE123" s="253" t="n">
        <v>27.15</v>
      </c>
      <c r="AF123" s="253" t="n">
        <v>18.634</v>
      </c>
      <c r="AG123" s="253" t="n">
        <v>32.29</v>
      </c>
      <c r="AH123" s="253" t="n">
        <v>104.884</v>
      </c>
      <c r="AI123" s="253" t="n">
        <v>29.399</v>
      </c>
      <c r="AJ123" s="253" t="n">
        <v>23.3</v>
      </c>
      <c r="AK123" s="253" t="n">
        <v>31.336</v>
      </c>
      <c r="AL123" s="253" t="n">
        <v>35.816</v>
      </c>
      <c r="AM123" s="253" t="n">
        <v>119.851</v>
      </c>
      <c r="AN123" s="253" t="n">
        <v>33.253</v>
      </c>
      <c r="AO123" s="253" t="n">
        <v>34.102</v>
      </c>
      <c r="AP123" s="253" t="n">
        <v>19.027</v>
      </c>
      <c r="AQ123" s="253" t="n">
        <v>39.708</v>
      </c>
      <c r="AR123" s="253" t="n">
        <v>126.09</v>
      </c>
      <c r="AS123" s="253" t="n">
        <v>37.774</v>
      </c>
      <c r="AT123" s="253" t="n">
        <v>36.641</v>
      </c>
      <c r="AU123" s="253" t="n">
        <v>36.783</v>
      </c>
      <c r="AV123" s="253" t="n">
        <v>42.941</v>
      </c>
      <c r="AW123" s="253" t="n">
        <v>154.139</v>
      </c>
      <c r="AX123" s="253" t="n">
        <v>28.347</v>
      </c>
      <c r="AY123" s="253" t="n">
        <v>25.809</v>
      </c>
      <c r="AZ123" s="253" t="n">
        <v>26.264</v>
      </c>
      <c r="BA123" s="253" t="n">
        <v>29.639</v>
      </c>
      <c r="BB123" s="253" t="n">
        <v>110.059</v>
      </c>
      <c r="BC123" s="253" t="n">
        <v>30.869</v>
      </c>
      <c r="BD123" s="253" t="n">
        <v>11.644</v>
      </c>
      <c r="BE123" s="253" t="n">
        <v>1.128</v>
      </c>
      <c r="BF123" s="253" t="n">
        <v>44.078</v>
      </c>
      <c r="BG123" s="253" t="n">
        <v>87.71899999999999</v>
      </c>
      <c r="BH123" s="253" t="n">
        <v>47.904</v>
      </c>
      <c r="BI123" s="253" t="n">
        <v>53.501</v>
      </c>
      <c r="BJ123" s="253" t="n">
        <v>47.952</v>
      </c>
      <c r="BK123" s="253" t="n">
        <v>60.321</v>
      </c>
      <c r="BL123" s="253" t="n">
        <v>209.7</v>
      </c>
      <c r="BM123" s="253" t="n">
        <v>64.01300000000001</v>
      </c>
      <c r="BN123" s="253" t="n">
        <v>66.824</v>
      </c>
      <c r="BO123" s="253" t="n">
        <v>56.867</v>
      </c>
      <c r="BP123" s="253" t="n">
        <v>74.089</v>
      </c>
      <c r="BQ123" s="253" t="n">
        <v>261.8</v>
      </c>
      <c r="BR123" s="253" t="n">
        <v>79.90000000000001</v>
      </c>
      <c r="BS123" s="253" t="n">
        <v>69.40000000000001</v>
      </c>
      <c r="BT123" s="253" t="n">
        <v>74.7</v>
      </c>
      <c r="BU123" s="253" t="n">
        <v>87.90000000000001</v>
      </c>
      <c r="BV123" s="253" t="n">
        <v>311.9</v>
      </c>
      <c r="BW123" s="253" t="n">
        <v>87.7</v>
      </c>
      <c r="BX123" s="253" t="n">
        <v>83.40000000000001</v>
      </c>
      <c r="BY123" s="253" t="n">
        <v>89.3</v>
      </c>
      <c r="BZ123" s="253" t="n">
        <v>108.9</v>
      </c>
      <c r="CA123" s="253" t="n">
        <v>369.3</v>
      </c>
      <c r="CB123" s="253" t="n">
        <v>130.2</v>
      </c>
      <c r="CC123" s="254">
        <f>CC116-CC119-CC121-CC122</f>
        <v>116.456</v>
      </c>
      <c r="CD123" s="254">
        <f>CD116-CD119-CD121-CD122</f>
        <v>120.248814178226</v>
      </c>
      <c r="CE123" s="254">
        <f>CE116-CE119-CE121-CE122</f>
        <v>152.918207523199</v>
      </c>
      <c r="CF123" s="254">
        <f>SUM(CB123:CE123)</f>
        <v>519.823021701425</v>
      </c>
      <c r="CG123" s="254">
        <f>CG116-CG119-CG121-CG122</f>
        <v>593.224188660403</v>
      </c>
      <c r="CH123" s="254">
        <f>CH116-CH119-CH121-CH122</f>
        <v>659.935106787211</v>
      </c>
      <c r="CI123" s="254">
        <f>CI116-CI119-CI121-CI122</f>
        <v>741.594616872892</v>
      </c>
      <c r="CJ123" s="254">
        <f>CJ116-CJ119-CJ121-CJ122</f>
        <v>816.266381978503</v>
      </c>
      <c r="CK123" s="254">
        <f>CK116-CK119-CK121-CK122</f>
        <v>889.361387627807</v>
      </c>
      <c r="CL123" s="153" t="n"/>
    </row>
    <row r="124" ht="15" customHeight="1" s="251">
      <c r="B124" s="57" t="inlineStr">
        <is>
          <t xml:space="preserve">  Check: operating income − interest − other vs income before taxes (should be 0)</t>
        </is>
      </c>
      <c r="C124" s="264">
        <f>IF(ISNUMBER(C123),IF(ABS(C116-C119-C121-C122-C123)&lt;=0.15,0,ROUND(C116-C119-C121-C122-C123,1)),"")</f>
        <v>0</v>
      </c>
      <c r="D124" s="264">
        <f>IF(ISNUMBER(D123),IF(ABS(D116-D119-D121-D122-D123)&lt;=0.15,0,ROUND(D116-D119-D121-D122-D123,1)),"")</f>
        <v>0</v>
      </c>
      <c r="E124" s="264">
        <f>IF(ISNUMBER(E123),IF(ABS(E116-E119-E121-E122-E123)&lt;=0.15,0,ROUND(E116-E119-E121-E122-E123,1)),"")</f>
        <v>0</v>
      </c>
      <c r="F124" s="264">
        <f>IF(ISNUMBER(F123),IF(ABS(F116-F119-F121-F122-F123)&lt;=0.15,0,ROUND(F116-F119-F121-F122-F123,1)),"")</f>
        <v>0</v>
      </c>
      <c r="G124" s="264">
        <f>IF(ISNUMBER(G123),IF(ABS(G116-G119-G121-G122-G123)&lt;=0.15,0,ROUND(G116-G119-G121-G122-G123,1)),"")</f>
        <v>0</v>
      </c>
      <c r="H124" s="264">
        <f>IF(ISNUMBER(H123),IF(ABS(H116-H119-H121-H122-H123)&lt;=0.15,0,ROUND(H116-H119-H121-H122-H123,1)),"")</f>
        <v>0</v>
      </c>
      <c r="I124" s="264">
        <f>IF(ISNUMBER(I123),IF(ABS(I116-I119-I121-I122-I123)&lt;=0.15,0,ROUND(I116-I119-I121-I122-I123,1)),"")</f>
        <v>0</v>
      </c>
      <c r="J124" s="264">
        <f>IF(ISNUMBER(J123),IF(ABS(J116-J119-J121-J122-J123)&lt;=0.15,0,ROUND(J116-J119-J121-J122-J123,1)),"")</f>
        <v>0</v>
      </c>
      <c r="K124" s="264">
        <f>IF(ISNUMBER(K123),IF(ABS(K116-K119-K121-K122-K123)&lt;=0.15,0,ROUND(K116-K119-K121-K122-K123,1)),"")</f>
        <v>0</v>
      </c>
      <c r="L124" s="264">
        <f>IF(ISNUMBER(L123),IF(ABS(L116-L119-L121-L122-L123)&lt;=0.15,0,ROUND(L116-L119-L121-L122-L123,1)),"")</f>
        <v>0</v>
      </c>
      <c r="M124" s="264">
        <f>IF(ISNUMBER(M123),IF(ABS(M116-M119-M121-M122-M123)&lt;=0.15,0,ROUND(M116-M119-M121-M122-M123,1)),"")</f>
        <v>0</v>
      </c>
      <c r="N124" s="264">
        <f>IF(ISNUMBER(N123),IF(ABS(N116-N119-N121-N122-N123)&lt;=0.15,0,ROUND(N116-N119-N121-N122-N123,1)),"")</f>
        <v>0</v>
      </c>
      <c r="O124" s="264">
        <f>IF(ISNUMBER(O123),IF(ABS(O116-O119-O121-O122-O123)&lt;=0.15,0,ROUND(O116-O119-O121-O122-O123,1)),"")</f>
        <v>0</v>
      </c>
      <c r="P124" s="264">
        <f>IF(ISNUMBER(P123),IF(ABS(P116-P119-P121-P122-P123)&lt;=0.15,0,ROUND(P116-P119-P121-P122-P123,1)),"")</f>
        <v>0</v>
      </c>
      <c r="Q124" s="264">
        <f>IF(ISNUMBER(Q123),IF(ABS(Q116-Q119-Q121-Q122-Q123)&lt;=0.15,0,ROUND(Q116-Q119-Q121-Q122-Q123,1)),"")</f>
        <v>0</v>
      </c>
      <c r="R124" s="264">
        <f>IF(ISNUMBER(R123),IF(ABS(R116-R119-R121-R122-R123)&lt;=0.15,0,ROUND(R116-R119-R121-R122-R123,1)),"")</f>
        <v>0</v>
      </c>
      <c r="S124" s="264">
        <f>IF(ISNUMBER(S123),IF(ABS(S116-S119-S121-S122-S123)&lt;=0.15,0,ROUND(S116-S119-S121-S122-S123,1)),"")</f>
        <v>0</v>
      </c>
      <c r="T124" s="264">
        <f>IF(ISNUMBER(T123),IF(ABS(T116-T119-T121-T122-T123)&lt;=0.15,0,ROUND(T116-T119-T121-T122-T123,1)),"")</f>
        <v>0</v>
      </c>
      <c r="U124" s="264">
        <f>IF(ISNUMBER(U123),IF(ABS(U116-U119-U121-U122-U123)&lt;=0.15,0,ROUND(U116-U119-U121-U122-U123,1)),"")</f>
        <v>0</v>
      </c>
      <c r="V124" s="264">
        <f>IF(ISNUMBER(V123),IF(ABS(V116-V119-V121-V122-V123)&lt;=0.15,0,ROUND(V116-V119-V121-V122-V123,1)),"")</f>
        <v>0</v>
      </c>
      <c r="W124" s="264">
        <f>IF(ISNUMBER(W123),IF(ABS(W116-W119-W121-W122-W123)&lt;=0.15,0,ROUND(W116-W119-W121-W122-W123,1)),"")</f>
        <v>0</v>
      </c>
      <c r="X124" s="264">
        <f>IF(ISNUMBER(X123),IF(ABS(X116-X119-X121-X122-X123)&lt;=0.15,0,ROUND(X116-X119-X121-X122-X123,1)),"")</f>
        <v>0</v>
      </c>
      <c r="Y124" s="264">
        <f>IF(ISNUMBER(Y123),IF(ABS(Y116-Y119-Y121-Y122-Y123)&lt;=0.15,0,ROUND(Y116-Y119-Y121-Y122-Y123,1)),"")</f>
        <v>0</v>
      </c>
      <c r="Z124" s="264">
        <f>IF(ISNUMBER(Z123),IF(ABS(Z116-Z119-Z121-Z122-Z123)&lt;=0.15,0,ROUND(Z116-Z119-Z121-Z122-Z123,1)),"")</f>
        <v>0</v>
      </c>
      <c r="AA124" s="264">
        <f>IF(ISNUMBER(AA123),IF(ABS(AA116-AA119-AA121-AA122-AA123)&lt;=0.15,0,ROUND(AA116-AA119-AA121-AA122-AA123,1)),"")</f>
        <v>0</v>
      </c>
      <c r="AB124" s="264">
        <f>IF(ISNUMBER(AB123),IF(ABS(AB116-AB119-AB121-AB122-AB123)&lt;=0.15,0,ROUND(AB116-AB119-AB121-AB122-AB123,1)),"")</f>
        <v>0</v>
      </c>
      <c r="AC124" s="264">
        <f>IF(ISNUMBER(AC123),IF(ABS(AC116-AC119-AC121-AC122-AC123)&lt;=0.15,0,ROUND(AC116-AC119-AC121-AC122-AC123,1)),"")</f>
        <v>0</v>
      </c>
      <c r="AD124" s="264">
        <f>IF(ISNUMBER(AD123),IF(ABS(AD116-AD119-AD121-AD122-AD123)&lt;=0.15,0,ROUND(AD116-AD119-AD121-AD122-AD123,1)),"")</f>
        <v>0</v>
      </c>
      <c r="AE124" s="264">
        <f>IF(ISNUMBER(AE123),IF(ABS(AE116-AE119-AE121-AE122-AE123)&lt;=0.15,0,ROUND(AE116-AE119-AE121-AE122-AE123,1)),"")</f>
        <v>0</v>
      </c>
      <c r="AF124" s="264">
        <f>IF(ISNUMBER(AF123),IF(ABS(AF116-AF119-AF121-AF122-AF123)&lt;=0.15,0,ROUND(AF116-AF119-AF121-AF122-AF123,1)),"")</f>
        <v>0</v>
      </c>
      <c r="AG124" s="264">
        <f>IF(ISNUMBER(AG123),IF(ABS(AG116-AG119-AG121-AG122-AG123)&lt;=0.15,0,ROUND(AG116-AG119-AG121-AG122-AG123,1)),"")</f>
        <v>0</v>
      </c>
      <c r="AH124" s="264">
        <f>IF(ISNUMBER(AH123),IF(ABS(AH116-AH119-AH121-AH122-AH123)&lt;=0.15,0,ROUND(AH116-AH119-AH121-AH122-AH123,1)),"")</f>
        <v>0</v>
      </c>
      <c r="AI124" s="264">
        <f>IF(ISNUMBER(AI123),IF(ABS(AI116-AI119-AI121-AI122-AI123)&lt;=0.15,0,ROUND(AI116-AI119-AI121-AI122-AI123,1)),"")</f>
        <v>0</v>
      </c>
      <c r="AJ124" s="264">
        <f>IF(ISNUMBER(AJ123),IF(ABS(AJ116-AJ119-AJ121-AJ122-AJ123)&lt;=0.15,0,ROUND(AJ116-AJ119-AJ121-AJ122-AJ123,1)),"")</f>
        <v>0</v>
      </c>
      <c r="AK124" s="264">
        <f>IF(ISNUMBER(AK123),IF(ABS(AK116-AK119-AK121-AK122-AK123)&lt;=0.15,0,ROUND(AK116-AK119-AK121-AK122-AK123,1)),"")</f>
        <v>0</v>
      </c>
      <c r="AL124" s="264">
        <f>IF(ISNUMBER(AL123),IF(ABS(AL116-AL119-AL121-AL122-AL123)&lt;=0.15,0,ROUND(AL116-AL119-AL121-AL122-AL123,1)),"")</f>
        <v>0</v>
      </c>
      <c r="AM124" s="264">
        <f>IF(ISNUMBER(AM123),IF(ABS(AM116-AM119-AM121-AM122-AM123)&lt;=0.15,0,ROUND(AM116-AM119-AM121-AM122-AM123,1)),"")</f>
        <v>0</v>
      </c>
      <c r="AN124" s="264">
        <f>IF(ISNUMBER(AN123),IF(ABS(AN116-AN119-AN121-AN122-AN123)&lt;=0.15,0,ROUND(AN116-AN119-AN121-AN122-AN123,1)),"")</f>
        <v>0</v>
      </c>
      <c r="AO124" s="264">
        <f>IF(ISNUMBER(AO123),IF(ABS(AO116-AO119-AO121-AO122-AO123)&lt;=0.15,0,ROUND(AO116-AO119-AO121-AO122-AO123,1)),"")</f>
        <v>0</v>
      </c>
      <c r="AP124" s="264">
        <f>IF(ISNUMBER(AP123),IF(ABS(AP116-AP119-AP121-AP122-AP123)&lt;=0.15,0,ROUND(AP116-AP119-AP121-AP122-AP123,1)),"")</f>
        <v>0</v>
      </c>
      <c r="AQ124" s="264">
        <f>IF(ISNUMBER(AQ123),IF(ABS(AQ116-AQ119-AQ121-AQ122-AQ123)&lt;=0.15,0,ROUND(AQ116-AQ119-AQ121-AQ122-AQ123,1)),"")</f>
        <v>0</v>
      </c>
      <c r="AR124" s="264">
        <f>IF(ISNUMBER(AR123),IF(ABS(AR116-AR119-AR121-AR122-AR123)&lt;=0.15,0,ROUND(AR116-AR119-AR121-AR122-AR123,1)),"")</f>
        <v>0</v>
      </c>
      <c r="AS124" s="264">
        <f>IF(ISNUMBER(AS123),IF(ABS(AS116-AS119-AS121-AS122-AS123)&lt;=0.15,0,ROUND(AS116-AS119-AS121-AS122-AS123,1)),"")</f>
        <v>0</v>
      </c>
      <c r="AT124" s="264">
        <f>IF(ISNUMBER(AT123),IF(ABS(AT116-AT119-AT121-AT122-AT123)&lt;=0.15,0,ROUND(AT116-AT119-AT121-AT122-AT123,1)),"")</f>
        <v>0</v>
      </c>
      <c r="AU124" s="264">
        <f>IF(ISNUMBER(AU123),IF(ABS(AU116-AU119-AU121-AU122-AU123)&lt;=0.15,0,ROUND(AU116-AU119-AU121-AU122-AU123,1)),"")</f>
        <v>0</v>
      </c>
      <c r="AV124" s="264">
        <f>IF(ISNUMBER(AV123),IF(ABS(AV116-AV119-AV121-AV122-AV123)&lt;=0.15,0,ROUND(AV116-AV119-AV121-AV122-AV123,1)),"")</f>
        <v>0</v>
      </c>
      <c r="AW124" s="264">
        <f>IF(ISNUMBER(AW123),IF(ABS(AW116-AW119-AW121-AW122-AW123)&lt;=0.15,0,ROUND(AW116-AW119-AW121-AW122-AW123,1)),"")</f>
        <v>0</v>
      </c>
      <c r="AX124" s="264">
        <f>IF(ISNUMBER(AX123),IF(ABS(AX116-AX119-AX121-AX122-AX123)&lt;=0.15,0,ROUND(AX116-AX119-AX121-AX122-AX123,1)),"")</f>
        <v>0</v>
      </c>
      <c r="AY124" s="264">
        <f>IF(ISNUMBER(AY123),IF(ABS(AY116-AY119-AY121-AY122-AY123)&lt;=0.15,0,ROUND(AY116-AY119-AY121-AY122-AY123,1)),"")</f>
        <v>0</v>
      </c>
      <c r="AZ124" s="264">
        <f>IF(ISNUMBER(AZ123),IF(ABS(AZ116-AZ119-AZ121-AZ122-AZ123)&lt;=0.15,0,ROUND(AZ116-AZ119-AZ121-AZ122-AZ123,1)),"")</f>
        <v>0</v>
      </c>
      <c r="BA124" s="264">
        <f>IF(ISNUMBER(BA123),IF(ABS(BA116-BA119-BA121-BA122-BA123)&lt;=0.15,0,ROUND(BA116-BA119-BA121-BA122-BA123,1)),"")</f>
        <v>0</v>
      </c>
      <c r="BB124" s="264">
        <f>IF(ISNUMBER(BB123),IF(ABS(BB116-BB119-BB121-BB122-BB123)&lt;=0.15,0,ROUND(BB116-BB119-BB121-BB122-BB123,1)),"")</f>
        <v>0</v>
      </c>
      <c r="BC124" s="264">
        <f>IF(ISNUMBER(BC123),IF(ABS(BC116-BC119-BC121-BC122-BC123)&lt;=0.15,0,ROUND(BC116-BC119-BC121-BC122-BC123,1)),"")</f>
        <v>0</v>
      </c>
      <c r="BD124" s="264">
        <f>IF(ISNUMBER(BD123),IF(ABS(BD116-BD119-BD121-BD122-BD123)&lt;=0.15,0,ROUND(BD116-BD119-BD121-BD122-BD123,1)),"")</f>
        <v>0</v>
      </c>
      <c r="BE124" s="264">
        <f>IF(ISNUMBER(BE123),IF(ABS(BE116-BE119-BE121-BE122-BE123)&lt;=0.15,0,ROUND(BE116-BE119-BE121-BE122-BE123,1)),"")</f>
        <v>0</v>
      </c>
      <c r="BF124" s="264">
        <f>IF(ISNUMBER(BF123),IF(ABS(BF116-BF119-BF121-BF122-BF123)&lt;=0.15,0,ROUND(BF116-BF119-BF121-BF122-BF123,1)),"")</f>
        <v>0</v>
      </c>
      <c r="BG124" s="264">
        <f>IF(ISNUMBER(BG123),IF(ABS(BG116-BG119-BG121-BG122-BG123)&lt;=0.15,0,ROUND(BG116-BG119-BG121-BG122-BG123,1)),"")</f>
        <v>0</v>
      </c>
      <c r="BH124" s="264">
        <f>IF(ISNUMBER(BH123),IF(ABS(BH116-BH119-BH121-BH122-BH123)&lt;=0.15,0,ROUND(BH116-BH119-BH121-BH122-BH123,1)),"")</f>
        <v>0</v>
      </c>
      <c r="BI124" s="264">
        <f>IF(ISNUMBER(BI123),IF(ABS(BI116-BI119-BI121-BI122-BI123)&lt;=0.15,0,ROUND(BI116-BI119-BI121-BI122-BI123,1)),"")</f>
        <v>0</v>
      </c>
      <c r="BJ124" s="264">
        <f>IF(ISNUMBER(BJ123),IF(ABS(BJ116-BJ119-BJ121-BJ122-BJ123)&lt;=0.15,0,ROUND(BJ116-BJ119-BJ121-BJ122-BJ123,1)),"")</f>
        <v>0</v>
      </c>
      <c r="BK124" s="264">
        <f>IF(ISNUMBER(BK123),IF(ABS(BK116-BK119-BK121-BK122-BK123)&lt;=0.15,0,ROUND(BK116-BK119-BK121-BK122-BK123,1)),"")</f>
        <v>0</v>
      </c>
      <c r="BL124" s="264">
        <f>IF(ISNUMBER(BL123),IF(ABS(BL116-BL119-BL121-BL122-BL123)&lt;=0.15,0,ROUND(BL116-BL119-BL121-BL122-BL123,1)),"")</f>
        <v>0</v>
      </c>
      <c r="BM124" s="264">
        <f>IF(ISNUMBER(BM123),IF(ABS(BM116-BM119-BM121-BM122-BM123)&lt;=0.15,0,ROUND(BM116-BM119-BM121-BM122-BM123,1)),"")</f>
        <v>0</v>
      </c>
      <c r="BN124" s="264">
        <f>IF(ISNUMBER(BN123),IF(ABS(BN116-BN119-BN121-BN122-BN123)&lt;=0.15,0,ROUND(BN116-BN119-BN121-BN122-BN123,1)),"")</f>
        <v>0</v>
      </c>
      <c r="BO124" s="264">
        <f>IF(ISNUMBER(BO123),IF(ABS(BO116-BO119-BO121-BO122-BO123)&lt;=0.15,0,ROUND(BO116-BO119-BO121-BO122-BO123,1)),"")</f>
        <v>0</v>
      </c>
      <c r="BP124" s="264">
        <f>IF(ISNUMBER(BP123),IF(ABS(BP116-BP119-BP121-BP122-BP123)&lt;=0.15,0,ROUND(BP116-BP119-BP121-BP122-BP123,1)),"")</f>
        <v>0</v>
      </c>
      <c r="BQ124" s="264">
        <f>IF(ISNUMBER(BQ123),IF(ABS(BQ116-BQ119-BQ121-BQ122-BQ123)&lt;=0.15,0,ROUND(BQ116-BQ119-BQ121-BQ122-BQ123,1)),"")</f>
        <v>0</v>
      </c>
      <c r="BR124" s="264">
        <f>IF(ISNUMBER(BR123),IF(ABS(BR116-BR119-BR121-BR122-BR123)&lt;=0.15,0,ROUND(BR116-BR119-BR121-BR122-BR123,1)),"")</f>
        <v>0</v>
      </c>
      <c r="BS124" s="264">
        <f>IF(ISNUMBER(BS123),IF(ABS(BS116-BS119-BS121-BS122-BS123)&lt;=0.15,0,ROUND(BS116-BS119-BS121-BS122-BS123,1)),"")</f>
        <v>0</v>
      </c>
      <c r="BT124" s="264">
        <f>IF(ISNUMBER(BT123),IF(ABS(BT116-BT119-BT121-BT122-BT123)&lt;=0.15,0,ROUND(BT116-BT119-BT121-BT122-BT123,1)),"")</f>
        <v>0</v>
      </c>
      <c r="BU124" s="264">
        <f>IF(ISNUMBER(BU123),IF(ABS(BU116-BU119-BU121-BU122-BU123)&lt;=0.15,0,ROUND(BU116-BU119-BU121-BU122-BU123,1)),"")</f>
        <v>0</v>
      </c>
      <c r="BV124" s="264">
        <f>IF(ISNUMBER(BV123),IF(ABS(BV116-BV119-BV121-BV122-BV123)&lt;=0.15,0,ROUND(BV116-BV119-BV121-BV122-BV123,1)),"")</f>
        <v>0</v>
      </c>
      <c r="BW124" s="264">
        <f>IF(ISNUMBER(BW123),IF(ABS(BW116-BW119-BW121-BW122-BW123)&lt;=0.15,0,ROUND(BW116-BW119-BW121-BW122-BW123,1)),"")</f>
        <v>0</v>
      </c>
      <c r="BX124" s="264">
        <f>IF(ISNUMBER(BX123),IF(ABS(BX116-BX119-BX121-BX122-BX123)&lt;=0.15,0,ROUND(BX116-BX119-BX121-BX122-BX123,1)),"")</f>
        <v>0</v>
      </c>
      <c r="BY124" s="264">
        <f>IF(ISNUMBER(BY123),IF(ABS(BY116-BY119-BY121-BY122-BY123)&lt;=0.15,0,ROUND(BY116-BY119-BY121-BY122-BY123,1)),"")</f>
        <v>0</v>
      </c>
      <c r="BZ124" s="264">
        <f>IF(ISNUMBER(BZ123),IF(ABS(BZ116-BZ119-BZ121-BZ122-BZ123)&lt;=0.15,0,ROUND(BZ116-BZ119-BZ121-BZ122-BZ123,1)),"")</f>
        <v>0</v>
      </c>
      <c r="CA124" s="264">
        <f>IF(ISNUMBER(CA123),IF(ABS(CA116-CA119-CA121-CA122-CA123)&lt;=0.15,0,ROUND(CA116-CA119-CA121-CA122-CA123,1)),"")</f>
        <v>0</v>
      </c>
      <c r="CB124" s="264">
        <f>IF(ISNUMBER(CB123),IF(ABS(CB116-CB119-CB121-CB122-CB123)&lt;=0.15,0,ROUND(CB116-CB119-CB121-CB122-CB123,1)),"")</f>
        <v>0</v>
      </c>
      <c r="CC124" s="153" t="n"/>
      <c r="CD124" s="153" t="n"/>
      <c r="CE124" s="153" t="n"/>
      <c r="CF124" s="153" t="n"/>
      <c r="CG124" s="153" t="n"/>
      <c r="CH124" s="153" t="n"/>
      <c r="CI124" s="153" t="n"/>
      <c r="CJ124" s="153" t="n"/>
      <c r="CK124" s="153" t="n"/>
      <c r="CL124" s="153" t="n"/>
    </row>
    <row r="125" ht="15" customHeight="1" s="251">
      <c r="B125" s="25" t="inlineStr">
        <is>
          <t>Provision for income taxes</t>
        </is>
      </c>
      <c r="C125" s="259" t="n">
        <v>6.634</v>
      </c>
      <c r="D125" s="259" t="n">
        <v>15.588</v>
      </c>
      <c r="E125" s="259" t="n">
        <v>19.685</v>
      </c>
      <c r="F125" s="259" t="n">
        <v>16.947</v>
      </c>
      <c r="G125" s="259" t="n">
        <v>8.625</v>
      </c>
      <c r="H125" s="259" t="n">
        <v>18.009</v>
      </c>
      <c r="I125" s="259" t="n">
        <v>25.982</v>
      </c>
      <c r="J125" s="259" t="n">
        <v>7.916</v>
      </c>
      <c r="K125" s="259" t="n">
        <v>4.407</v>
      </c>
      <c r="L125" s="259" t="n">
        <v>6.54</v>
      </c>
      <c r="M125" s="259" t="n">
        <v>4.983</v>
      </c>
      <c r="N125" s="259" t="n">
        <v>23.846</v>
      </c>
      <c r="O125" s="259" t="n">
        <v>7.133</v>
      </c>
      <c r="P125" s="259" t="n">
        <v>7.153</v>
      </c>
      <c r="Q125" s="259" t="n">
        <v>6.574</v>
      </c>
      <c r="R125" s="259" t="n">
        <v>6.685</v>
      </c>
      <c r="S125" s="259" t="n">
        <v>27.545</v>
      </c>
      <c r="T125" s="259" t="n">
        <v>8.234</v>
      </c>
      <c r="U125" s="259" t="n">
        <v>4.976</v>
      </c>
      <c r="V125" s="259" t="n">
        <v>6.104</v>
      </c>
      <c r="W125" s="259" t="n">
        <v>6.993</v>
      </c>
      <c r="X125" s="259" t="n">
        <v>26.307</v>
      </c>
      <c r="Y125" s="259" t="n">
        <v>6.64</v>
      </c>
      <c r="Z125" s="259" t="n">
        <v>7.403</v>
      </c>
      <c r="AA125" s="259" t="n">
        <v>7.821</v>
      </c>
      <c r="AB125" s="259" t="n">
        <v>9.026999999999999</v>
      </c>
      <c r="AC125" s="259" t="n">
        <v>30.891</v>
      </c>
      <c r="AD125" s="259" t="n">
        <v>8.77</v>
      </c>
      <c r="AE125" s="259" t="n">
        <v>8.922000000000001</v>
      </c>
      <c r="AF125" s="259" t="n">
        <v>5.864</v>
      </c>
      <c r="AG125" s="259" t="n">
        <v>10.705</v>
      </c>
      <c r="AH125" s="259" t="n">
        <v>34.261</v>
      </c>
      <c r="AI125" s="259" t="n">
        <v>7.59</v>
      </c>
      <c r="AJ125" s="259" t="n">
        <v>8.477</v>
      </c>
      <c r="AK125" s="259" t="n">
        <v>7.504</v>
      </c>
      <c r="AL125" s="259" t="n">
        <v>9.138999999999999</v>
      </c>
      <c r="AM125" s="259" t="n">
        <v>32.71</v>
      </c>
      <c r="AN125" s="259" t="n">
        <v>5.786</v>
      </c>
      <c r="AO125" s="259" t="n">
        <v>3.991</v>
      </c>
      <c r="AP125" s="259" t="n">
        <v>2.849</v>
      </c>
      <c r="AQ125" s="259" t="n">
        <v>8.271000000000001</v>
      </c>
      <c r="AR125" s="259" t="n">
        <v>20.897</v>
      </c>
      <c r="AS125" s="259" t="n">
        <v>7.275</v>
      </c>
      <c r="AT125" s="259" t="n">
        <v>5.371</v>
      </c>
      <c r="AU125" s="259" t="n">
        <v>6.268</v>
      </c>
      <c r="AV125" s="259" t="n">
        <v>9.189</v>
      </c>
      <c r="AW125" s="259" t="n">
        <v>28.103</v>
      </c>
      <c r="AX125" s="259" t="n">
        <v>5.658</v>
      </c>
      <c r="AY125" s="259" t="n">
        <v>5.388</v>
      </c>
      <c r="AZ125" s="259" t="n">
        <v>4.695</v>
      </c>
      <c r="BA125" s="259" t="n">
        <v>4.685</v>
      </c>
      <c r="BB125" s="259" t="n">
        <v>20.426</v>
      </c>
      <c r="BC125" s="259" t="n">
        <v>4.87</v>
      </c>
      <c r="BD125" s="259" t="n">
        <v>4.715</v>
      </c>
      <c r="BE125" s="259" t="n">
        <v>1.191</v>
      </c>
      <c r="BF125" s="259" t="n">
        <v>11.878</v>
      </c>
      <c r="BG125" s="259" t="n">
        <v>22.654</v>
      </c>
      <c r="BH125" s="259" t="n">
        <v>10.466</v>
      </c>
      <c r="BI125" s="259" t="n">
        <v>9.699</v>
      </c>
      <c r="BJ125" s="259" t="n">
        <v>11.688</v>
      </c>
      <c r="BK125" s="259" t="n">
        <v>11.166</v>
      </c>
      <c r="BL125" s="259" t="n">
        <v>43</v>
      </c>
      <c r="BM125" s="259" t="n">
        <v>13.986</v>
      </c>
      <c r="BN125" s="259" t="n">
        <v>15.171</v>
      </c>
      <c r="BO125" s="259" t="n">
        <v>10.313</v>
      </c>
      <c r="BP125" s="259" t="n">
        <v>12.419</v>
      </c>
      <c r="BQ125" s="259" t="n">
        <v>51.9</v>
      </c>
      <c r="BR125" s="259" t="n">
        <v>18.5</v>
      </c>
      <c r="BS125" s="259" t="n">
        <v>15.2</v>
      </c>
      <c r="BT125" s="259" t="n">
        <v>16.8</v>
      </c>
      <c r="BU125" s="259" t="n">
        <v>15.2</v>
      </c>
      <c r="BV125" s="259" t="n">
        <v>65.7</v>
      </c>
      <c r="BW125" s="259" t="n">
        <v>19.2</v>
      </c>
      <c r="BX125" s="259" t="n">
        <v>23.4</v>
      </c>
      <c r="BY125" s="259" t="n">
        <v>21.9</v>
      </c>
      <c r="BZ125" s="259" t="n">
        <v>17.2</v>
      </c>
      <c r="CA125" s="259" t="n">
        <v>81.7</v>
      </c>
      <c r="CB125" s="259" t="n">
        <v>28.7</v>
      </c>
      <c r="CC125" s="261">
        <f>CC123*CC126</f>
        <v>26.2026</v>
      </c>
      <c r="CD125" s="261">
        <f>CD123*CD126</f>
        <v>27.0559831901009</v>
      </c>
      <c r="CE125" s="261">
        <f>CE123*CE126</f>
        <v>34.4065966927197</v>
      </c>
      <c r="CF125" s="261">
        <f>SUM(CB125:CE125)</f>
        <v>116.365179882821</v>
      </c>
      <c r="CG125" s="261">
        <f>CG123*CG126</f>
        <v>136.441563391893</v>
      </c>
      <c r="CH125" s="261">
        <f>CH123*CH126</f>
        <v>151.785074561059</v>
      </c>
      <c r="CI125" s="261">
        <f>CI123*CI126</f>
        <v>170.566761880765</v>
      </c>
      <c r="CJ125" s="261">
        <f>CJ123*CJ126</f>
        <v>187.741267855056</v>
      </c>
      <c r="CK125" s="261">
        <f>CK123*CK126</f>
        <v>204.553119154396</v>
      </c>
      <c r="CL125" s="19" t="n"/>
    </row>
    <row r="126" ht="15" customHeight="1" s="251">
      <c r="B126" s="25" t="inlineStr">
        <is>
          <t xml:space="preserve">  Effective tax rate</t>
        </is>
      </c>
      <c r="C126" s="215">
        <f>IF(AND(ISNUMBER(C125),ISNUMBER(C123)),IFERROR(C125/C123,""),"")</f>
        <v>0.347821527814188</v>
      </c>
      <c r="D126" s="215">
        <f>IF(AND(ISNUMBER(D125),ISNUMBER(D123)),IFERROR(D125/D123,""),"")</f>
        <v>0.353734086731568</v>
      </c>
      <c r="E126" s="215">
        <f>IF(AND(ISNUMBER(E125),ISNUMBER(E123)),IFERROR(E125/E123,""),"")</f>
        <v>0.328746305048515</v>
      </c>
      <c r="F126" s="215">
        <f>IF(AND(ISNUMBER(F125),ISNUMBER(F123)),IFERROR(F125/F123,""),"")</f>
        <v>0.32970175677516</v>
      </c>
      <c r="G126" s="215">
        <f>IF(AND(ISNUMBER(G125),ISNUMBER(G123)),IFERROR(G125/G123,""),"")</f>
        <v>0.261284459254771</v>
      </c>
      <c r="H126" s="215">
        <f>IF(AND(ISNUMBER(H125),ISNUMBER(H123)),IFERROR(H125/H123,""),"")</f>
        <v>0.340582862113963</v>
      </c>
      <c r="I126" s="215">
        <f>IF(AND(ISNUMBER(I125),ISNUMBER(I123)),IFERROR(I125/I123,""),"")</f>
        <v>0.341962910804301</v>
      </c>
      <c r="J126" s="215">
        <f>IF(AND(ISNUMBER(J125),ISNUMBER(J123)),IFERROR(J125/J123,""),"")</f>
        <v>0.315629984051037</v>
      </c>
      <c r="K126" s="215">
        <f>IF(AND(ISNUMBER(K125),ISNUMBER(K123)),IFERROR(K125/K123,""),"")</f>
        <v>0.210851155447108</v>
      </c>
      <c r="L126" s="215">
        <f>IF(AND(ISNUMBER(L125),ISNUMBER(L123)),IFERROR(L125/L123,""),"")</f>
        <v>0.350689044989007</v>
      </c>
      <c r="M126" s="215">
        <f>IF(AND(ISNUMBER(M125),ISNUMBER(M123)),IFERROR(M125/M123,""),"")</f>
        <v>0.320285383725415</v>
      </c>
      <c r="N126" s="215">
        <f>IF(AND(ISNUMBER(N125),ISNUMBER(N123)),IFERROR(N125/N123,""),"")</f>
        <v>0.297376166009877</v>
      </c>
      <c r="O126" s="215">
        <f>IF(AND(ISNUMBER(O125),ISNUMBER(O123)),IFERROR(O125/O123,""),"")</f>
        <v>0.320598678592296</v>
      </c>
      <c r="P126" s="215">
        <f>IF(AND(ISNUMBER(P125),ISNUMBER(P123)),IFERROR(P125/P123,""),"")</f>
        <v>0.336168812858351</v>
      </c>
      <c r="Q126" s="215">
        <f>IF(AND(ISNUMBER(Q125),ISNUMBER(Q123)),IFERROR(Q125/Q123,""),"")</f>
        <v>0.339952425276657</v>
      </c>
      <c r="R126" s="215">
        <f>IF(AND(ISNUMBER(R125),ISNUMBER(R123)),IFERROR(R125/R123,""),"")</f>
        <v>0.268603342976535</v>
      </c>
      <c r="S126" s="215">
        <f>IF(AND(ISNUMBER(S125),ISNUMBER(S123)),IFERROR(S125/S123,""),"")</f>
        <v>0.313892402538945</v>
      </c>
      <c r="T126" s="215">
        <f>IF(AND(ISNUMBER(T125),ISNUMBER(T123)),IFERROR(T125/T123,""),"")</f>
        <v>0.339490393337181</v>
      </c>
      <c r="U126" s="215">
        <f>IF(AND(ISNUMBER(U125),ISNUMBER(U123)),IFERROR(U125/U123,""),"")</f>
        <v>0.273046532045654</v>
      </c>
      <c r="V126" s="215">
        <f>IF(AND(ISNUMBER(V125),ISNUMBER(V123)),IFERROR(V125/V123,""),"")</f>
        <v>0.302852890101712</v>
      </c>
      <c r="W126" s="215">
        <f>IF(AND(ISNUMBER(W125),ISNUMBER(W123)),IFERROR(W125/W123,""),"")</f>
        <v>0.318994617279445</v>
      </c>
      <c r="X126" s="215">
        <f>IF(AND(ISNUMBER(X125),ISNUMBER(X123)),IFERROR(X125/X123,""),"")</f>
        <v>0.311122937732837</v>
      </c>
      <c r="Y126" s="215">
        <f>IF(AND(ISNUMBER(Y125),ISNUMBER(Y123)),IFERROR(Y125/Y123,""),"")</f>
        <v>0.331271203352624</v>
      </c>
      <c r="Z126" s="215">
        <f>IF(AND(ISNUMBER(Z125),ISNUMBER(Z123)),IFERROR(Z125/Z123,""),"")</f>
        <v>0.337697290393212</v>
      </c>
      <c r="AA126" s="215">
        <f>IF(AND(ISNUMBER(AA125),ISNUMBER(AA123)),IFERROR(AA125/AA123,""),"")</f>
        <v>0.314500562972495</v>
      </c>
      <c r="AB126" s="215">
        <f>IF(AND(ISNUMBER(AB125),ISNUMBER(AB123)),IFERROR(AB125/AB123,""),"")</f>
        <v>0.322958033701835</v>
      </c>
      <c r="AC126" s="215">
        <f>IF(AND(ISNUMBER(AC125),ISNUMBER(AC123)),IFERROR(AC125/AC123,""),"")</f>
        <v>0.32590599778446</v>
      </c>
      <c r="AD126" s="215">
        <f>IF(AND(ISNUMBER(AD125),ISNUMBER(AD123)),IFERROR(AD125/AD123,""),"")</f>
        <v>0.327116747482283</v>
      </c>
      <c r="AE126" s="215">
        <f>IF(AND(ISNUMBER(AE125),ISNUMBER(AE123)),IFERROR(AE125/AE123,""),"")</f>
        <v>0.328618784530387</v>
      </c>
      <c r="AF126" s="215">
        <f>IF(AND(ISNUMBER(AF125),ISNUMBER(AF123)),IFERROR(AF125/AF123,""),"")</f>
        <v>0.314693570891918</v>
      </c>
      <c r="AG126" s="215">
        <f>IF(AND(ISNUMBER(AG125),ISNUMBER(AG123)),IFERROR(AG125/AG123,""),"")</f>
        <v>0.331526788479405</v>
      </c>
      <c r="AH126" s="215">
        <f>IF(AND(ISNUMBER(AH125),ISNUMBER(AH123)),IFERROR(AH125/AH123,""),"")</f>
        <v>0.326656115327409</v>
      </c>
      <c r="AI126" s="215">
        <f>IF(AND(ISNUMBER(AI125),ISNUMBER(AI123)),IFERROR(AI125/AI123,""),"")</f>
        <v>0.258172046668254</v>
      </c>
      <c r="AJ126" s="215">
        <f>IF(AND(ISNUMBER(AJ125),ISNUMBER(AJ123)),IFERROR(AJ125/AJ123,""),"")</f>
        <v>0.36381974248927</v>
      </c>
      <c r="AK126" s="215">
        <f>IF(AND(ISNUMBER(AK125),ISNUMBER(AK123)),IFERROR(AK125/AK123,""),"")</f>
        <v>0.239468981363288</v>
      </c>
      <c r="AL126" s="215">
        <f>IF(AND(ISNUMBER(AL125),ISNUMBER(AL123)),IFERROR(AL125/AL123,""),"")</f>
        <v>0.255165289256198</v>
      </c>
      <c r="AM126" s="215">
        <f>IF(AND(ISNUMBER(AM125),ISNUMBER(AM123)),IFERROR(AM125/AM123,""),"")</f>
        <v>0.272922211746252</v>
      </c>
      <c r="AN126" s="215">
        <f>IF(AND(ISNUMBER(AN125),ISNUMBER(AN123)),IFERROR(AN125/AN123,""),"")</f>
        <v>0.173999338405557</v>
      </c>
      <c r="AO126" s="215">
        <f>IF(AND(ISNUMBER(AO125),ISNUMBER(AO123)),IFERROR(AO125/AO123,""),"")</f>
        <v>0.117031259163685</v>
      </c>
      <c r="AP126" s="215">
        <f>IF(AND(ISNUMBER(AP125),ISNUMBER(AP123)),IFERROR(AP125/AP123,""),"")</f>
        <v>0.149734587691176</v>
      </c>
      <c r="AQ126" s="215">
        <f>IF(AND(ISNUMBER(AQ125),ISNUMBER(AQ123)),IFERROR(AQ125/AQ123,""),"")</f>
        <v>0.208295557570263</v>
      </c>
      <c r="AR126" s="215">
        <f>IF(AND(ISNUMBER(AR125),ISNUMBER(AR123)),IFERROR(AR125/AR123,""),"")</f>
        <v>0.16573082718693</v>
      </c>
      <c r="AS126" s="215">
        <f>IF(AND(ISNUMBER(AS125),ISNUMBER(AS123)),IFERROR(AS125/AS123,""),"")</f>
        <v>0.192592788690634</v>
      </c>
      <c r="AT126" s="215">
        <f>IF(AND(ISNUMBER(AT125),ISNUMBER(AT123)),IFERROR(AT125/AT123,""),"")</f>
        <v>0.146584427280915</v>
      </c>
      <c r="AU126" s="215">
        <f>IF(AND(ISNUMBER(AU125),ISNUMBER(AU123)),IFERROR(AU125/AU123,""),"")</f>
        <v>0.170404806568252</v>
      </c>
      <c r="AV126" s="215">
        <f>IF(AND(ISNUMBER(AV125),ISNUMBER(AV123)),IFERROR(AV125/AV123,""),"")</f>
        <v>0.213991290375166</v>
      </c>
      <c r="AW126" s="215">
        <f>IF(AND(ISNUMBER(AW125),ISNUMBER(AW123)),IFERROR(AW125/AW123,""),"")</f>
        <v>0.182322449217914</v>
      </c>
      <c r="AX126" s="215">
        <f>IF(AND(ISNUMBER(AX125),ISNUMBER(AX123)),IFERROR(AX125/AX123,""),"")</f>
        <v>0.19959784104138</v>
      </c>
      <c r="AY126" s="215">
        <f>IF(AND(ISNUMBER(AY125),ISNUMBER(AY123)),IFERROR(AY125/AY123,""),"")</f>
        <v>0.208764384517029</v>
      </c>
      <c r="AZ126" s="215">
        <f>IF(AND(ISNUMBER(AZ125),ISNUMBER(AZ123)),IFERROR(AZ125/AZ123,""),"")</f>
        <v>0.178761803228754</v>
      </c>
      <c r="BA126" s="215">
        <f>IF(AND(ISNUMBER(BA125),ISNUMBER(BA123)),IFERROR(BA125/BA123,""),"")</f>
        <v>0.158068760754411</v>
      </c>
      <c r="BB126" s="215">
        <f>IF(AND(ISNUMBER(BB125),ISNUMBER(BB123)),IFERROR(BB125/BB123,""),"")</f>
        <v>0.185591364631698</v>
      </c>
      <c r="BC126" s="215">
        <f>IF(AND(ISNUMBER(BC125),ISNUMBER(BC123)),IFERROR(BC125/BC123,""),"")</f>
        <v>0.157763452006868</v>
      </c>
      <c r="BD126" s="215">
        <f>IF(AND(ISNUMBER(BD125),ISNUMBER(BD123)),IFERROR(BD125/BD123,""),"")</f>
        <v>0.404929577464789</v>
      </c>
      <c r="BE126" s="215">
        <f>IF(AND(ISNUMBER(BE125),ISNUMBER(BE123)),IFERROR(BE125/BE123,""),"")</f>
        <v>1.05585106382979</v>
      </c>
      <c r="BF126" s="215">
        <f>IF(AND(ISNUMBER(BF125),ISNUMBER(BF123)),IFERROR(BF125/BF123,""),"")</f>
        <v>0.269476836517083</v>
      </c>
      <c r="BG126" s="215">
        <f>IF(AND(ISNUMBER(BG125),ISNUMBER(BG123)),IFERROR(BG125/BG123,""),"")</f>
        <v>0.258256478072025</v>
      </c>
      <c r="BH126" s="215">
        <f>IF(AND(ISNUMBER(BH125),ISNUMBER(BH123)),IFERROR(BH125/BH123,""),"")</f>
        <v>0.218478623914496</v>
      </c>
      <c r="BI126" s="215">
        <f>IF(AND(ISNUMBER(BI125),ISNUMBER(BI123)),IFERROR(BI125/BI123,""),"")</f>
        <v>0.181286331096615</v>
      </c>
      <c r="BJ126" s="215">
        <f>IF(AND(ISNUMBER(BJ125),ISNUMBER(BJ123)),IFERROR(BJ125/BJ123,""),"")</f>
        <v>0.243743743743744</v>
      </c>
      <c r="BK126" s="215">
        <f>IF(AND(ISNUMBER(BK125),ISNUMBER(BK123)),IFERROR(BK125/BK123,""),"")</f>
        <v>0.185109663301338</v>
      </c>
      <c r="BL126" s="215">
        <f>IF(AND(ISNUMBER(BL125),ISNUMBER(BL123)),IFERROR(BL125/BL123,""),"")</f>
        <v>0.205054840247973</v>
      </c>
      <c r="BM126" s="215">
        <f>IF(AND(ISNUMBER(BM125),ISNUMBER(BM123)),IFERROR(BM125/BM123,""),"")</f>
        <v>0.218486869854561</v>
      </c>
      <c r="BN126" s="215">
        <f>IF(AND(ISNUMBER(BN125),ISNUMBER(BN123)),IFERROR(BN125/BN123,""),"")</f>
        <v>0.227029211061894</v>
      </c>
      <c r="BO126" s="215">
        <f>IF(AND(ISNUMBER(BO125),ISNUMBER(BO123)),IFERROR(BO125/BO123,""),"")</f>
        <v>0.18135298151828</v>
      </c>
      <c r="BP126" s="215">
        <f>IF(AND(ISNUMBER(BP125),ISNUMBER(BP123)),IFERROR(BP125/BP123,""),"")</f>
        <v>0.16762272402111</v>
      </c>
      <c r="BQ126" s="215">
        <f>IF(AND(ISNUMBER(BQ125),ISNUMBER(BQ123)),IFERROR(BQ125/BQ123,""),"")</f>
        <v>0.198242933537051</v>
      </c>
      <c r="BR126" s="215">
        <f>IF(AND(ISNUMBER(BR125),ISNUMBER(BR123)),IFERROR(BR125/BR123,""),"")</f>
        <v>0.23153942428035</v>
      </c>
      <c r="BS126" s="215">
        <f>IF(AND(ISNUMBER(BS125),ISNUMBER(BS123)),IFERROR(BS125/BS123,""),"")</f>
        <v>0.219020172910663</v>
      </c>
      <c r="BT126" s="215">
        <f>IF(AND(ISNUMBER(BT125),ISNUMBER(BT123)),IFERROR(BT125/BT123,""),"")</f>
        <v>0.224899598393574</v>
      </c>
      <c r="BU126" s="215">
        <f>IF(AND(ISNUMBER(BU125),ISNUMBER(BU123)),IFERROR(BU125/BU123,""),"")</f>
        <v>0.17292377701934</v>
      </c>
      <c r="BV126" s="215">
        <f>IF(AND(ISNUMBER(BV125),ISNUMBER(BV123)),IFERROR(BV125/BV123,""),"")</f>
        <v>0.210644437319654</v>
      </c>
      <c r="BW126" s="215">
        <f>IF(AND(ISNUMBER(BW125),ISNUMBER(BW123)),IFERROR(BW125/BW123,""),"")</f>
        <v>0.218928164196123</v>
      </c>
      <c r="BX126" s="215">
        <f>IF(AND(ISNUMBER(BX125),ISNUMBER(BX123)),IFERROR(BX125/BX123,""),"")</f>
        <v>0.280575539568345</v>
      </c>
      <c r="BY126" s="215">
        <f>IF(AND(ISNUMBER(BY125),ISNUMBER(BY123)),IFERROR(BY125/BY123,""),"")</f>
        <v>0.245240761478163</v>
      </c>
      <c r="BZ126" s="215">
        <f>IF(AND(ISNUMBER(BZ125),ISNUMBER(BZ123)),IFERROR(BZ125/BZ123,""),"")</f>
        <v>0.157943067033976</v>
      </c>
      <c r="CA126" s="215">
        <f>IF(AND(ISNUMBER(CA125),ISNUMBER(CA123)),IFERROR(CA125/CA123,""),"")</f>
        <v>0.221229352829678</v>
      </c>
      <c r="CB126" s="215">
        <f>IF(AND(ISNUMBER(CB125),ISNUMBER(CB123)),IFERROR(CB125/CB123,""),"")</f>
        <v>0.220430107526882</v>
      </c>
      <c r="CC126" s="256">
        <f>$CV$17</f>
        <v>0.225</v>
      </c>
      <c r="CD126" s="256">
        <f>$CV$17</f>
        <v>0.225</v>
      </c>
      <c r="CE126" s="256">
        <f>$CV$17</f>
        <v>0.225</v>
      </c>
      <c r="CF126" s="256">
        <f>IF(AND(ISNUMBER(CF125),ISNUMBER(CF123)),IFERROR(CF125/CF123,""),"")</f>
        <v>0.223855379667387</v>
      </c>
      <c r="CG126" s="267" t="n">
        <v>0.23</v>
      </c>
      <c r="CH126" s="267" t="n">
        <v>0.23</v>
      </c>
      <c r="CI126" s="267" t="n">
        <v>0.23</v>
      </c>
      <c r="CJ126" s="267" t="n">
        <v>0.23</v>
      </c>
      <c r="CK126" s="267" t="n">
        <v>0.23</v>
      </c>
      <c r="CL126" s="153" t="inlineStr">
        <is>
          <t>Q2–Q4/27E: point estimate (Q1 FY27 22.1%, 23.2% excluding discrete items). FY2028E+: input.</t>
        </is>
      </c>
      <c r="CN126" s="37">
        <f>IFERROR(AVERAGE(CG126,CH126,CI126,CJ126,CK126),"n/m")</f>
        <v>0.23</v>
      </c>
      <c r="CO126" s="37">
        <f>IFERROR(AVERAGE(BG126,BL126,BQ126,BV126,CA126),"n/m")</f>
        <v>0.218685608401276</v>
      </c>
      <c r="CP126" s="37">
        <f>IFERROR(AVERAGE(AH126,AM126,AR126,AW126,BB126,BG126,BL126,BQ126,BV126,CA126),"n/m")</f>
        <v>0.222665101011658</v>
      </c>
      <c r="CQ126" s="37">
        <f>IFERROR(AVERAGE(C126,D126,E126,F126,G126,H126,I126,N126,S126,X126,AC126,AH126,AM126,AR126,AW126,BB126,BG126,BL126,BQ126,BV126,CA126),"n/m")</f>
        <v>0.275180115367865</v>
      </c>
    </row>
    <row r="127" ht="15" customHeight="1" s="251">
      <c r="B127" s="55" t="inlineStr">
        <is>
          <t>Net income</t>
        </is>
      </c>
      <c r="C127" s="271">
        <f>IF(ISNUMBER(C123),C123-C125,"")</f>
        <v>12.439</v>
      </c>
      <c r="D127" s="271">
        <f>IF(ISNUMBER(D123),D123-D125,"")</f>
        <v>28.479</v>
      </c>
      <c r="E127" s="271">
        <f>IF(ISNUMBER(E123),E123-E125,"")</f>
        <v>40.194</v>
      </c>
      <c r="F127" s="271">
        <f>IF(ISNUMBER(F123),F123-F125,"")</f>
        <v>34.454</v>
      </c>
      <c r="G127" s="271">
        <f>IF(ISNUMBER(G123),G123-G125,"")</f>
        <v>24.385</v>
      </c>
      <c r="H127" s="271">
        <f>IF(ISNUMBER(H123),H123-H125,"")</f>
        <v>34.868</v>
      </c>
      <c r="I127" s="271">
        <f>IF(ISNUMBER(I123),I123-I125,"")</f>
        <v>49.997</v>
      </c>
      <c r="J127" s="271">
        <f>IF(ISNUMBER(J123),J123-J125,"")</f>
        <v>17.164</v>
      </c>
      <c r="K127" s="271">
        <f>IF(ISNUMBER(K123),K123-K125,"")</f>
        <v>16.494</v>
      </c>
      <c r="L127" s="271">
        <f>IF(ISNUMBER(L123),L123-L125,"")</f>
        <v>12.109</v>
      </c>
      <c r="M127" s="271">
        <f>IF(ISNUMBER(M123),M123-M125,"")</f>
        <v>10.575</v>
      </c>
      <c r="N127" s="271">
        <f>IF(ISNUMBER(N123),N123-N125,"")</f>
        <v>56.342</v>
      </c>
      <c r="O127" s="271">
        <f>IF(ISNUMBER(O123),O123-O125,"")</f>
        <v>15.116</v>
      </c>
      <c r="P127" s="271">
        <f>IF(ISNUMBER(P123),P123-P125,"")</f>
        <v>14.125</v>
      </c>
      <c r="Q127" s="271">
        <f>IF(ISNUMBER(Q123),Q123-Q125,"")</f>
        <v>12.764</v>
      </c>
      <c r="R127" s="271">
        <f>IF(ISNUMBER(R123),R123-R125,"")</f>
        <v>18.203</v>
      </c>
      <c r="S127" s="271">
        <f>IF(ISNUMBER(S123),S123-S125,"")</f>
        <v>60.208</v>
      </c>
      <c r="T127" s="271">
        <f>IF(ISNUMBER(T123),T123-T125,"")</f>
        <v>16.02</v>
      </c>
      <c r="U127" s="271">
        <f>IF(ISNUMBER(U123),U123-U125,"")</f>
        <v>13.248</v>
      </c>
      <c r="V127" s="271">
        <f>IF(ISNUMBER(V123),V123-V125,"")</f>
        <v>14.051</v>
      </c>
      <c r="W127" s="271">
        <f>IF(ISNUMBER(W123),W123-W125,"")</f>
        <v>14.929</v>
      </c>
      <c r="X127" s="271">
        <f>IF(ISNUMBER(X123),X123-X125,"")</f>
        <v>58.248</v>
      </c>
      <c r="Y127" s="271">
        <f>IF(ISNUMBER(Y123),Y123-Y125,"")</f>
        <v>13.404</v>
      </c>
      <c r="Z127" s="271">
        <f>IF(ISNUMBER(Z123),Z123-Z125,"")</f>
        <v>14.519</v>
      </c>
      <c r="AA127" s="271">
        <f>IF(ISNUMBER(AA123),AA123-AA125,"")</f>
        <v>17.047</v>
      </c>
      <c r="AB127" s="271">
        <f>IF(ISNUMBER(AB123),AB123-AB125,"")</f>
        <v>18.924</v>
      </c>
      <c r="AC127" s="271">
        <f>IF(ISNUMBER(AC123),AC123-AC125,"")</f>
        <v>63.894</v>
      </c>
      <c r="AD127" s="271">
        <f>IF(ISNUMBER(AD123),AD123-AD125,"")</f>
        <v>18.04</v>
      </c>
      <c r="AE127" s="271">
        <f>IF(ISNUMBER(AE123),AE123-AE125,"")</f>
        <v>18.228</v>
      </c>
      <c r="AF127" s="271">
        <f>IF(ISNUMBER(AF123),AF123-AF125,"")</f>
        <v>12.77</v>
      </c>
      <c r="AG127" s="271">
        <f>IF(ISNUMBER(AG123),AG123-AG125,"")</f>
        <v>21.585</v>
      </c>
      <c r="AH127" s="271">
        <f>IF(ISNUMBER(AH123),AH123-AH125,"")</f>
        <v>70.623</v>
      </c>
      <c r="AI127" s="271">
        <f>IF(ISNUMBER(AI123),AI123-AI125,"")</f>
        <v>21.809</v>
      </c>
      <c r="AJ127" s="271">
        <f>IF(ISNUMBER(AJ123),AJ123-AJ125,"")</f>
        <v>14.823</v>
      </c>
      <c r="AK127" s="271">
        <f>IF(ISNUMBER(AK123),AK123-AK125,"")</f>
        <v>23.832</v>
      </c>
      <c r="AL127" s="271">
        <f>IF(ISNUMBER(AL123),AL123-AL125,"")</f>
        <v>26.677</v>
      </c>
      <c r="AM127" s="271">
        <f>IF(ISNUMBER(AM123),AM123-AM125,"")</f>
        <v>87.141</v>
      </c>
      <c r="AN127" s="271">
        <f>IF(ISNUMBER(AN123),AN123-AN125,"")</f>
        <v>27.467</v>
      </c>
      <c r="AO127" s="271">
        <f>IF(ISNUMBER(AO123),AO123-AO125,"")</f>
        <v>30.111</v>
      </c>
      <c r="AP127" s="271">
        <f>IF(ISNUMBER(AP123),AP123-AP125,"")</f>
        <v>16.178</v>
      </c>
      <c r="AQ127" s="271">
        <f>IF(ISNUMBER(AQ123),AQ123-AQ125,"")</f>
        <v>31.437</v>
      </c>
      <c r="AR127" s="271">
        <f>IF(ISNUMBER(AR123),AR123-AR125,"")</f>
        <v>105.193</v>
      </c>
      <c r="AS127" s="271">
        <f>IF(ISNUMBER(AS123),AS123-AS125,"")</f>
        <v>30.499</v>
      </c>
      <c r="AT127" s="271">
        <f>IF(ISNUMBER(AT123),AT123-AT125,"")</f>
        <v>31.27</v>
      </c>
      <c r="AU127" s="271">
        <f>IF(ISNUMBER(AU123),AU123-AU125,"")</f>
        <v>30.515</v>
      </c>
      <c r="AV127" s="271">
        <f>IF(ISNUMBER(AV123),AV123-AV125,"")</f>
        <v>33.752</v>
      </c>
      <c r="AW127" s="271">
        <f>IF(ISNUMBER(AW123),AW123-AW125,"")</f>
        <v>126.036</v>
      </c>
      <c r="AX127" s="271">
        <f>IF(ISNUMBER(AX123),AX123-AX125,"")</f>
        <v>22.689</v>
      </c>
      <c r="AY127" s="271">
        <f>IF(ISNUMBER(AY123),AY123-AY125,"")</f>
        <v>20.421</v>
      </c>
      <c r="AZ127" s="271">
        <f>IF(ISNUMBER(AZ123),AZ123-AZ125,"")</f>
        <v>21.569</v>
      </c>
      <c r="BA127" s="271">
        <f>IF(ISNUMBER(BA123),BA123-BA125,"")</f>
        <v>24.954</v>
      </c>
      <c r="BB127" s="271">
        <f>IF(ISNUMBER(BB123),BB123-BB125,"")</f>
        <v>89.633</v>
      </c>
      <c r="BC127" s="271">
        <f>IF(ISNUMBER(BC123),BC123-BC125,"")</f>
        <v>25.999</v>
      </c>
      <c r="BD127" s="271">
        <f>IF(ISNUMBER(BD123),BD123-BD125,"")</f>
        <v>6.929</v>
      </c>
      <c r="BE127" s="271">
        <f>IF(ISNUMBER(BE123),BE123-BE125,"")</f>
        <v>-0.0630000000000002</v>
      </c>
      <c r="BF127" s="271">
        <f>IF(ISNUMBER(BF123),BF123-BF125,"")</f>
        <v>32.2</v>
      </c>
      <c r="BG127" s="271">
        <f>IF(ISNUMBER(BG123),BG123-BG125,"")</f>
        <v>65.065</v>
      </c>
      <c r="BH127" s="271">
        <f>IF(ISNUMBER(BH123),BH123-BH125,"")</f>
        <v>37.438</v>
      </c>
      <c r="BI127" s="271">
        <f>IF(ISNUMBER(BI123),BI123-BI125,"")</f>
        <v>43.802</v>
      </c>
      <c r="BJ127" s="271">
        <f>IF(ISNUMBER(BJ123),BJ123-BJ125,"")</f>
        <v>36.264</v>
      </c>
      <c r="BK127" s="271">
        <f>IF(ISNUMBER(BK123),BK123-BK125,"")</f>
        <v>49.155</v>
      </c>
      <c r="BL127" s="271">
        <f>IF(ISNUMBER(BL123),BL123-BL125,"")</f>
        <v>166.7</v>
      </c>
      <c r="BM127" s="271">
        <f>IF(ISNUMBER(BM123),BM123-BM125,"")</f>
        <v>50.027</v>
      </c>
      <c r="BN127" s="271">
        <f>IF(ISNUMBER(BN123),BN123-BN125,"")</f>
        <v>51.653</v>
      </c>
      <c r="BO127" s="271">
        <f>IF(ISNUMBER(BO123),BO123-BO125,"")</f>
        <v>46.554</v>
      </c>
      <c r="BP127" s="271">
        <f>IF(ISNUMBER(BP123),BP123-BP125,"")</f>
        <v>61.67</v>
      </c>
      <c r="BQ127" s="271">
        <f>IF(ISNUMBER(BQ123),BQ123-BQ125,"")</f>
        <v>209.9</v>
      </c>
      <c r="BR127" s="271">
        <f>IF(ISNUMBER(BR123),BR123-BR125,"")</f>
        <v>61.4</v>
      </c>
      <c r="BS127" s="271">
        <f>IF(ISNUMBER(BS123),BS123-BS125,"")</f>
        <v>54.2</v>
      </c>
      <c r="BT127" s="271">
        <f>IF(ISNUMBER(BT123),BT123-BT125,"")</f>
        <v>57.9</v>
      </c>
      <c r="BU127" s="271">
        <f>IF(ISNUMBER(BU123),BU123-BU125,"")</f>
        <v>72.7</v>
      </c>
      <c r="BV127" s="271">
        <f>IF(ISNUMBER(BV123),BV123-BV125,"")</f>
        <v>246.2</v>
      </c>
      <c r="BW127" s="271">
        <f>IF(ISNUMBER(BW123),BW123-BW125,"")</f>
        <v>68.5</v>
      </c>
      <c r="BX127" s="271">
        <f>IF(ISNUMBER(BX123),BX123-BX125,"")</f>
        <v>60</v>
      </c>
      <c r="BY127" s="271">
        <f>IF(ISNUMBER(BY123),BY123-BY125,"")</f>
        <v>67.4</v>
      </c>
      <c r="BZ127" s="271">
        <f>IF(ISNUMBER(BZ123),BZ123-BZ125,"")</f>
        <v>91.7</v>
      </c>
      <c r="CA127" s="271">
        <f>IF(ISNUMBER(CA123),CA123-CA125,"")</f>
        <v>287.6</v>
      </c>
      <c r="CB127" s="271">
        <f>IF(ISNUMBER(CB123),CB123-CB125,"")</f>
        <v>101.5</v>
      </c>
      <c r="CC127" s="271">
        <f>IF(ISNUMBER(CC123),CC123-CC125,"")</f>
        <v>90.2534</v>
      </c>
      <c r="CD127" s="271">
        <f>IF(ISNUMBER(CD123),CD123-CD125,"")</f>
        <v>93.1928309881254</v>
      </c>
      <c r="CE127" s="271">
        <f>IF(ISNUMBER(CE123),CE123-CE125,"")</f>
        <v>118.511610830479</v>
      </c>
      <c r="CF127" s="271">
        <f>IF(ISNUMBER(CF123),CF123-CF125,"")</f>
        <v>403.457841818604</v>
      </c>
      <c r="CG127" s="271">
        <f>IF(ISNUMBER(CG123),CG123-CG125,"")</f>
        <v>456.78262526851</v>
      </c>
      <c r="CH127" s="271">
        <f>IF(ISNUMBER(CH123),CH123-CH125,"")</f>
        <v>508.150032226153</v>
      </c>
      <c r="CI127" s="271">
        <f>IF(ISNUMBER(CI123),CI123-CI125,"")</f>
        <v>571.027854992127</v>
      </c>
      <c r="CJ127" s="271">
        <f>IF(ISNUMBER(CJ123),CJ123-CJ125,"")</f>
        <v>628.525114123447</v>
      </c>
      <c r="CK127" s="271">
        <f>IF(ISNUMBER(CK123),CK123-CK125,"")</f>
        <v>684.808268473411</v>
      </c>
      <c r="CL127" s="153" t="n"/>
      <c r="CN127" s="20">
        <f>IFERROR((CK127/CF127)^(1/5)-1,"n/m")</f>
        <v>0.111614407230646</v>
      </c>
      <c r="CO127" s="20">
        <f>IFERROR((CA127/BB127)^(1/5)-1,"n/m")</f>
        <v>0.262595362565773</v>
      </c>
      <c r="CP127" s="20">
        <f>IFERROR((CA127/AC127)^(1/10)-1,"n/m")</f>
        <v>0.162339188640785</v>
      </c>
      <c r="CQ127" s="20">
        <f>IFERROR((CA127/C127)^(1/20)-1,"n/m")</f>
        <v>0.170038549293457</v>
      </c>
    </row>
    <row r="128" ht="15" customHeight="1" s="251">
      <c r="B128" s="57" t="inlineStr">
        <is>
          <t xml:space="preserve">  Check: net income vs reported (should be 0; ±0.1 rounding)</t>
        </is>
      </c>
      <c r="C128" s="264">
        <f>IF(ISNUMBER(C129),IF(ABS(C127-C129)&lt;=0.15,0,ROUND(C127-C129,1)),"")</f>
        <v>0</v>
      </c>
      <c r="D128" s="264">
        <f>IF(ISNUMBER(D129),IF(ABS(D127-D129)&lt;=0.15,0,ROUND(D127-D129,1)),"")</f>
        <v>0</v>
      </c>
      <c r="E128" s="264">
        <f>IF(ISNUMBER(E129),IF(ABS(E127-E129)&lt;=0.15,0,ROUND(E127-E129,1)),"")</f>
        <v>0</v>
      </c>
      <c r="F128" s="264">
        <f>IF(ISNUMBER(F129),IF(ABS(F127-F129)&lt;=0.15,0,ROUND(F127-F129,1)),"")</f>
        <v>0</v>
      </c>
      <c r="G128" s="264">
        <f>IF(ISNUMBER(G129),IF(ABS(G127-G129)&lt;=0.15,0,ROUND(G127-G129,1)),"")</f>
        <v>0</v>
      </c>
      <c r="H128" s="264">
        <f>IF(ISNUMBER(H129),IF(ABS(H127-H129)&lt;=0.15,0,ROUND(H127-H129,1)),"")</f>
        <v>0</v>
      </c>
      <c r="I128" s="264">
        <f>IF(ISNUMBER(I129),IF(ABS(I127-I129)&lt;=0.15,0,ROUND(I127-I129,1)),"")</f>
        <v>0</v>
      </c>
      <c r="J128" s="264">
        <f>IF(ISNUMBER(J129),IF(ABS(J127-J129)&lt;=0.15,0,ROUND(J127-J129,1)),"")</f>
        <v>0</v>
      </c>
      <c r="K128" s="264">
        <f>IF(ISNUMBER(K129),IF(ABS(K127-K129)&lt;=0.15,0,ROUND(K127-K129,1)),"")</f>
        <v>0</v>
      </c>
      <c r="L128" s="264">
        <f>IF(ISNUMBER(L129),IF(ABS(L127-L129)&lt;=0.15,0,ROUND(L127-L129,1)),"")</f>
        <v>0</v>
      </c>
      <c r="M128" s="264">
        <f>IF(ISNUMBER(M129),IF(ABS(M127-M129)&lt;=0.15,0,ROUND(M127-M129,1)),"")</f>
        <v>0</v>
      </c>
      <c r="N128" s="264">
        <f>IF(ISNUMBER(N129),IF(ABS(N127-N129)&lt;=0.15,0,ROUND(N127-N129,1)),"")</f>
        <v>0</v>
      </c>
      <c r="O128" s="264">
        <f>IF(ISNUMBER(O129),IF(ABS(O127-O129)&lt;=0.15,0,ROUND(O127-O129,1)),"")</f>
        <v>0</v>
      </c>
      <c r="P128" s="264">
        <f>IF(ISNUMBER(P129),IF(ABS(P127-P129)&lt;=0.15,0,ROUND(P127-P129,1)),"")</f>
        <v>0</v>
      </c>
      <c r="Q128" s="264">
        <f>IF(ISNUMBER(Q129),IF(ABS(Q127-Q129)&lt;=0.15,0,ROUND(Q127-Q129,1)),"")</f>
        <v>0</v>
      </c>
      <c r="R128" s="264">
        <f>IF(ISNUMBER(R129),IF(ABS(R127-R129)&lt;=0.15,0,ROUND(R127-R129,1)),"")</f>
        <v>0</v>
      </c>
      <c r="S128" s="264">
        <f>IF(ISNUMBER(S129),IF(ABS(S127-S129)&lt;=0.15,0,ROUND(S127-S129,1)),"")</f>
        <v>0</v>
      </c>
      <c r="T128" s="264">
        <f>IF(ISNUMBER(T129),IF(ABS(T127-T129)&lt;=0.15,0,ROUND(T127-T129,1)),"")</f>
        <v>0</v>
      </c>
      <c r="U128" s="264">
        <f>IF(ISNUMBER(U129),IF(ABS(U127-U129)&lt;=0.15,0,ROUND(U127-U129,1)),"")</f>
        <v>0</v>
      </c>
      <c r="V128" s="264">
        <f>IF(ISNUMBER(V129),IF(ABS(V127-V129)&lt;=0.15,0,ROUND(V127-V129,1)),"")</f>
        <v>0</v>
      </c>
      <c r="W128" s="264">
        <f>IF(ISNUMBER(W129),IF(ABS(W127-W129)&lt;=0.15,0,ROUND(W127-W129,1)),"")</f>
        <v>0</v>
      </c>
      <c r="X128" s="264">
        <f>IF(ISNUMBER(X129),IF(ABS(X127-X129)&lt;=0.15,0,ROUND(X127-X129,1)),"")</f>
        <v>0</v>
      </c>
      <c r="Y128" s="264">
        <f>IF(ISNUMBER(Y129),IF(ABS(Y127-Y129)&lt;=0.15,0,ROUND(Y127-Y129,1)),"")</f>
        <v>0</v>
      </c>
      <c r="Z128" s="264">
        <f>IF(ISNUMBER(Z129),IF(ABS(Z127-Z129)&lt;=0.15,0,ROUND(Z127-Z129,1)),"")</f>
        <v>0</v>
      </c>
      <c r="AA128" s="264">
        <f>IF(ISNUMBER(AA129),IF(ABS(AA127-AA129)&lt;=0.15,0,ROUND(AA127-AA129,1)),"")</f>
        <v>0</v>
      </c>
      <c r="AB128" s="264">
        <f>IF(ISNUMBER(AB129),IF(ABS(AB127-AB129)&lt;=0.15,0,ROUND(AB127-AB129,1)),"")</f>
        <v>0</v>
      </c>
      <c r="AC128" s="264">
        <f>IF(ISNUMBER(AC129),IF(ABS(AC127-AC129)&lt;=0.15,0,ROUND(AC127-AC129,1)),"")</f>
        <v>0</v>
      </c>
      <c r="AD128" s="264">
        <f>IF(ISNUMBER(AD129),IF(ABS(AD127-AD129)&lt;=0.15,0,ROUND(AD127-AD129,1)),"")</f>
        <v>0</v>
      </c>
      <c r="AE128" s="264">
        <f>IF(ISNUMBER(AE129),IF(ABS(AE127-AE129)&lt;=0.15,0,ROUND(AE127-AE129,1)),"")</f>
        <v>0</v>
      </c>
      <c r="AF128" s="264">
        <f>IF(ISNUMBER(AF129),IF(ABS(AF127-AF129)&lt;=0.15,0,ROUND(AF127-AF129,1)),"")</f>
        <v>0</v>
      </c>
      <c r="AG128" s="264">
        <f>IF(ISNUMBER(AG129),IF(ABS(AG127-AG129)&lt;=0.15,0,ROUND(AG127-AG129,1)),"")</f>
        <v>0</v>
      </c>
      <c r="AH128" s="264">
        <f>IF(ISNUMBER(AH129),IF(ABS(AH127-AH129)&lt;=0.15,0,ROUND(AH127-AH129,1)),"")</f>
        <v>0</v>
      </c>
      <c r="AI128" s="264">
        <f>IF(ISNUMBER(AI129),IF(ABS(AI127-AI129)&lt;=0.15,0,ROUND(AI127-AI129,1)),"")</f>
        <v>0</v>
      </c>
      <c r="AJ128" s="264">
        <f>IF(ISNUMBER(AJ129),IF(ABS(AJ127-AJ129)&lt;=0.15,0,ROUND(AJ127-AJ129,1)),"")</f>
        <v>0</v>
      </c>
      <c r="AK128" s="264">
        <f>IF(ISNUMBER(AK129),IF(ABS(AK127-AK129)&lt;=0.15,0,ROUND(AK127-AK129,1)),"")</f>
        <v>0</v>
      </c>
      <c r="AL128" s="264">
        <f>IF(ISNUMBER(AL129),IF(ABS(AL127-AL129)&lt;=0.15,0,ROUND(AL127-AL129,1)),"")</f>
        <v>0</v>
      </c>
      <c r="AM128" s="264">
        <f>IF(ISNUMBER(AM129),IF(ABS(AM127-AM129)&lt;=0.15,0,ROUND(AM127-AM129,1)),"")</f>
        <v>0</v>
      </c>
      <c r="AN128" s="264">
        <f>IF(ISNUMBER(AN129),IF(ABS(AN127-AN129)&lt;=0.15,0,ROUND(AN127-AN129,1)),"")</f>
        <v>0</v>
      </c>
      <c r="AO128" s="264">
        <f>IF(ISNUMBER(AO129),IF(ABS(AO127-AO129)&lt;=0.15,0,ROUND(AO127-AO129,1)),"")</f>
        <v>0</v>
      </c>
      <c r="AP128" s="264">
        <f>IF(ISNUMBER(AP129),IF(ABS(AP127-AP129)&lt;=0.15,0,ROUND(AP127-AP129,1)),"")</f>
        <v>0</v>
      </c>
      <c r="AQ128" s="264">
        <f>IF(ISNUMBER(AQ129),IF(ABS(AQ127-AQ129)&lt;=0.15,0,ROUND(AQ127-AQ129,1)),"")</f>
        <v>0</v>
      </c>
      <c r="AR128" s="264">
        <f>IF(ISNUMBER(AR129),IF(ABS(AR127-AR129)&lt;=0.15,0,ROUND(AR127-AR129,1)),"")</f>
        <v>0</v>
      </c>
      <c r="AS128" s="264">
        <f>IF(ISNUMBER(AS129),IF(ABS(AS127-AS129)&lt;=0.15,0,ROUND(AS127-AS129,1)),"")</f>
        <v>0</v>
      </c>
      <c r="AT128" s="264">
        <f>IF(ISNUMBER(AT129),IF(ABS(AT127-AT129)&lt;=0.15,0,ROUND(AT127-AT129,1)),"")</f>
        <v>0</v>
      </c>
      <c r="AU128" s="264">
        <f>IF(ISNUMBER(AU129),IF(ABS(AU127-AU129)&lt;=0.15,0,ROUND(AU127-AU129,1)),"")</f>
        <v>0</v>
      </c>
      <c r="AV128" s="264">
        <f>IF(ISNUMBER(AV129),IF(ABS(AV127-AV129)&lt;=0.15,0,ROUND(AV127-AV129,1)),"")</f>
        <v>0</v>
      </c>
      <c r="AW128" s="264">
        <f>IF(ISNUMBER(AW129),IF(ABS(AW127-AW129)&lt;=0.15,0,ROUND(AW127-AW129,1)),"")</f>
        <v>0</v>
      </c>
      <c r="AX128" s="264">
        <f>IF(ISNUMBER(AX129),IF(ABS(AX127-AX129)&lt;=0.15,0,ROUND(AX127-AX129,1)),"")</f>
        <v>0</v>
      </c>
      <c r="AY128" s="264">
        <f>IF(ISNUMBER(AY129),IF(ABS(AY127-AY129)&lt;=0.15,0,ROUND(AY127-AY129,1)),"")</f>
        <v>0</v>
      </c>
      <c r="AZ128" s="264">
        <f>IF(ISNUMBER(AZ129),IF(ABS(AZ127-AZ129)&lt;=0.15,0,ROUND(AZ127-AZ129,1)),"")</f>
        <v>0</v>
      </c>
      <c r="BA128" s="264">
        <f>IF(ISNUMBER(BA129),IF(ABS(BA127-BA129)&lt;=0.15,0,ROUND(BA127-BA129,1)),"")</f>
        <v>0</v>
      </c>
      <c r="BB128" s="264">
        <f>IF(ISNUMBER(BB129),IF(ABS(BB127-BB129)&lt;=0.15,0,ROUND(BB127-BB129,1)),"")</f>
        <v>0</v>
      </c>
      <c r="BC128" s="264">
        <f>IF(ISNUMBER(BC129),IF(ABS(BC127-BC129)&lt;=0.15,0,ROUND(BC127-BC129,1)),"")</f>
        <v>0</v>
      </c>
      <c r="BD128" s="264">
        <f>IF(ISNUMBER(BD129),IF(ABS(BD127-BD129)&lt;=0.15,0,ROUND(BD127-BD129,1)),"")</f>
        <v>0</v>
      </c>
      <c r="BE128" s="264">
        <f>IF(ISNUMBER(BE129),IF(ABS(BE127-BE129)&lt;=0.15,0,ROUND(BE127-BE129,1)),"")</f>
        <v>0</v>
      </c>
      <c r="BF128" s="264">
        <f>IF(ISNUMBER(BF129),IF(ABS(BF127-BF129)&lt;=0.15,0,ROUND(BF127-BF129,1)),"")</f>
        <v>0</v>
      </c>
      <c r="BG128" s="264">
        <f>IF(ISNUMBER(BG129),IF(ABS(BG127-BG129)&lt;=0.15,0,ROUND(BG127-BG129,1)),"")</f>
        <v>0</v>
      </c>
      <c r="BH128" s="264">
        <f>IF(ISNUMBER(BH129),IF(ABS(BH127-BH129)&lt;=0.15,0,ROUND(BH127-BH129,1)),"")</f>
        <v>0</v>
      </c>
      <c r="BI128" s="264">
        <f>IF(ISNUMBER(BI129),IF(ABS(BI127-BI129)&lt;=0.15,0,ROUND(BI127-BI129,1)),"")</f>
        <v>0</v>
      </c>
      <c r="BJ128" s="264">
        <f>IF(ISNUMBER(BJ129),IF(ABS(BJ127-BJ129)&lt;=0.15,0,ROUND(BJ127-BJ129,1)),"")</f>
        <v>0</v>
      </c>
      <c r="BK128" s="264">
        <f>IF(ISNUMBER(BK129),IF(ABS(BK127-BK129)&lt;=0.15,0,ROUND(BK127-BK129,1)),"")</f>
        <v>0</v>
      </c>
      <c r="BL128" s="264">
        <f>IF(ISNUMBER(BL129),IF(ABS(BL127-BL129)&lt;=0.15,0,ROUND(BL127-BL129,1)),"")</f>
        <v>0</v>
      </c>
      <c r="BM128" s="264">
        <f>IF(ISNUMBER(BM129),IF(ABS(BM127-BM129)&lt;=0.15,0,ROUND(BM127-BM129,1)),"")</f>
        <v>0</v>
      </c>
      <c r="BN128" s="264">
        <f>IF(ISNUMBER(BN129),IF(ABS(BN127-BN129)&lt;=0.15,0,ROUND(BN127-BN129,1)),"")</f>
        <v>0</v>
      </c>
      <c r="BO128" s="264">
        <f>IF(ISNUMBER(BO129),IF(ABS(BO127-BO129)&lt;=0.15,0,ROUND(BO127-BO129,1)),"")</f>
        <v>0</v>
      </c>
      <c r="BP128" s="264">
        <f>IF(ISNUMBER(BP129),IF(ABS(BP127-BP129)&lt;=0.15,0,ROUND(BP127-BP129,1)),"")</f>
        <v>0</v>
      </c>
      <c r="BQ128" s="264">
        <f>IF(ISNUMBER(BQ129),IF(ABS(BQ127-BQ129)&lt;=0.15,0,ROUND(BQ127-BQ129,1)),"")</f>
        <v>0</v>
      </c>
      <c r="BR128" s="264">
        <f>IF(ISNUMBER(BR129),IF(ABS(BR127-BR129)&lt;=0.15,0,ROUND(BR127-BR129,1)),"")</f>
        <v>0</v>
      </c>
      <c r="BS128" s="264">
        <f>IF(ISNUMBER(BS129),IF(ABS(BS127-BS129)&lt;=0.15,0,ROUND(BS127-BS129,1)),"")</f>
        <v>0</v>
      </c>
      <c r="BT128" s="264">
        <f>IF(ISNUMBER(BT129),IF(ABS(BT127-BT129)&lt;=0.15,0,ROUND(BT127-BT129,1)),"")</f>
        <v>0</v>
      </c>
      <c r="BU128" s="264">
        <f>IF(ISNUMBER(BU129),IF(ABS(BU127-BU129)&lt;=0.15,0,ROUND(BU127-BU129,1)),"")</f>
        <v>0</v>
      </c>
      <c r="BV128" s="264">
        <f>IF(ISNUMBER(BV129),IF(ABS(BV127-BV129)&lt;=0.15,0,ROUND(BV127-BV129,1)),"")</f>
        <v>0</v>
      </c>
      <c r="BW128" s="264">
        <f>IF(ISNUMBER(BW129),IF(ABS(BW127-BW129)&lt;=0.15,0,ROUND(BW127-BW129,1)),"")</f>
        <v>0</v>
      </c>
      <c r="BX128" s="264">
        <f>IF(ISNUMBER(BX129),IF(ABS(BX127-BX129)&lt;=0.15,0,ROUND(BX127-BX129,1)),"")</f>
        <v>0</v>
      </c>
      <c r="BY128" s="264">
        <f>IF(ISNUMBER(BY129),IF(ABS(BY127-BY129)&lt;=0.15,0,ROUND(BY127-BY129,1)),"")</f>
        <v>0</v>
      </c>
      <c r="BZ128" s="264">
        <f>IF(ISNUMBER(BZ129),IF(ABS(BZ127-BZ129)&lt;=0.15,0,ROUND(BZ127-BZ129,1)),"")</f>
        <v>0</v>
      </c>
      <c r="CA128" s="264">
        <f>IF(ISNUMBER(CA129),IF(ABS(CA127-CA129)&lt;=0.15,0,ROUND(CA127-CA129,1)),"")</f>
        <v>0</v>
      </c>
      <c r="CB128" s="264">
        <f>IF(ISNUMBER(CB129),IF(ABS(CB127-CB129)&lt;=0.15,0,ROUND(CB127-CB129,1)),"")</f>
        <v>0</v>
      </c>
      <c r="CC128" s="153" t="n"/>
      <c r="CD128" s="153" t="n"/>
      <c r="CE128" s="153" t="n"/>
      <c r="CF128" s="153" t="n"/>
      <c r="CG128" s="153" t="n"/>
      <c r="CH128" s="153" t="n"/>
      <c r="CI128" s="153" t="n"/>
      <c r="CJ128" s="153" t="n"/>
      <c r="CK128" s="153" t="n"/>
      <c r="CL128" s="153" t="n"/>
    </row>
    <row r="129" ht="15" customHeight="1" s="251">
      <c r="B129" s="156" t="inlineStr">
        <is>
          <t xml:space="preserve">  Memo: net income as reported</t>
        </is>
      </c>
      <c r="C129" s="259" t="n">
        <v>12.439</v>
      </c>
      <c r="D129" s="259" t="n">
        <v>28.479</v>
      </c>
      <c r="E129" s="259" t="n">
        <v>40.194</v>
      </c>
      <c r="F129" s="259" t="n">
        <v>34.454</v>
      </c>
      <c r="G129" s="259" t="n">
        <v>24.385</v>
      </c>
      <c r="H129" s="259" t="n">
        <v>34.868</v>
      </c>
      <c r="I129" s="259" t="n">
        <v>49.997</v>
      </c>
      <c r="J129" s="259" t="n">
        <v>17.164</v>
      </c>
      <c r="K129" s="259" t="n">
        <v>16.494</v>
      </c>
      <c r="L129" s="259" t="n">
        <v>12.109</v>
      </c>
      <c r="M129" s="259" t="n">
        <v>10.575</v>
      </c>
      <c r="N129" s="259" t="n">
        <v>56.342</v>
      </c>
      <c r="O129" s="259" t="n">
        <v>15.116</v>
      </c>
      <c r="P129" s="259" t="n">
        <v>14.125</v>
      </c>
      <c r="Q129" s="259" t="n">
        <v>12.764</v>
      </c>
      <c r="R129" s="259" t="n">
        <v>18.203</v>
      </c>
      <c r="S129" s="259" t="n">
        <v>60.208</v>
      </c>
      <c r="T129" s="259" t="n">
        <v>16.02</v>
      </c>
      <c r="U129" s="259" t="n">
        <v>13.248</v>
      </c>
      <c r="V129" s="259" t="n">
        <v>14.051</v>
      </c>
      <c r="W129" s="259" t="n">
        <v>14.929</v>
      </c>
      <c r="X129" s="259" t="n">
        <v>58.248</v>
      </c>
      <c r="Y129" s="259" t="n">
        <v>13.404</v>
      </c>
      <c r="Z129" s="259" t="n">
        <v>14.519</v>
      </c>
      <c r="AA129" s="259" t="n">
        <v>17.047</v>
      </c>
      <c r="AB129" s="259" t="n">
        <v>18.924</v>
      </c>
      <c r="AC129" s="259" t="n">
        <v>63.894</v>
      </c>
      <c r="AD129" s="259" t="n">
        <v>18.04</v>
      </c>
      <c r="AE129" s="259" t="n">
        <v>18.228</v>
      </c>
      <c r="AF129" s="259" t="n">
        <v>12.77</v>
      </c>
      <c r="AG129" s="259" t="n">
        <v>21.585</v>
      </c>
      <c r="AH129" s="259" t="n">
        <v>70.623</v>
      </c>
      <c r="AI129" s="259" t="n">
        <v>21.809</v>
      </c>
      <c r="AJ129" s="259" t="n">
        <v>14.823</v>
      </c>
      <c r="AK129" s="259" t="n">
        <v>23.832</v>
      </c>
      <c r="AL129" s="259" t="n">
        <v>26.677</v>
      </c>
      <c r="AM129" s="259" t="n">
        <v>87.14100000000001</v>
      </c>
      <c r="AN129" s="259" t="n">
        <v>27.467</v>
      </c>
      <c r="AO129" s="259" t="n">
        <v>30.111</v>
      </c>
      <c r="AP129" s="259" t="n">
        <v>16.178</v>
      </c>
      <c r="AQ129" s="259" t="n">
        <v>31.437</v>
      </c>
      <c r="AR129" s="259" t="n">
        <v>105.193</v>
      </c>
      <c r="AS129" s="259" t="n">
        <v>30.499</v>
      </c>
      <c r="AT129" s="259" t="n">
        <v>31.27</v>
      </c>
      <c r="AU129" s="259" t="n">
        <v>30.515</v>
      </c>
      <c r="AV129" s="259" t="n">
        <v>33.752</v>
      </c>
      <c r="AW129" s="259" t="n">
        <v>126.036</v>
      </c>
      <c r="AX129" s="259" t="n">
        <v>22.689</v>
      </c>
      <c r="AY129" s="259" t="n">
        <v>20.421</v>
      </c>
      <c r="AZ129" s="259" t="n">
        <v>21.569</v>
      </c>
      <c r="BA129" s="259" t="n">
        <v>24.954</v>
      </c>
      <c r="BB129" s="259" t="n">
        <v>89.633</v>
      </c>
      <c r="BC129" s="259" t="n">
        <v>25.999</v>
      </c>
      <c r="BD129" s="259" t="n">
        <v>6.929</v>
      </c>
      <c r="BE129" s="259" t="n">
        <v>-0.063</v>
      </c>
      <c r="BF129" s="259" t="n">
        <v>32.2</v>
      </c>
      <c r="BG129" s="259" t="n">
        <v>65.065</v>
      </c>
      <c r="BH129" s="259" t="n">
        <v>37.438</v>
      </c>
      <c r="BI129" s="259" t="n">
        <v>43.802</v>
      </c>
      <c r="BJ129" s="259" t="n">
        <v>36.264</v>
      </c>
      <c r="BK129" s="259" t="n">
        <v>49.155</v>
      </c>
      <c r="BL129" s="259" t="n">
        <v>166.7</v>
      </c>
      <c r="BM129" s="259" t="n">
        <v>50.027</v>
      </c>
      <c r="BN129" s="259" t="n">
        <v>51.653</v>
      </c>
      <c r="BO129" s="259" t="n">
        <v>46.554</v>
      </c>
      <c r="BP129" s="259" t="n">
        <v>61.67</v>
      </c>
      <c r="BQ129" s="259" t="n">
        <v>209.9</v>
      </c>
      <c r="BR129" s="259" t="n">
        <v>61.4</v>
      </c>
      <c r="BS129" s="259" t="n">
        <v>54.2</v>
      </c>
      <c r="BT129" s="259" t="n">
        <v>57.9</v>
      </c>
      <c r="BU129" s="259" t="n">
        <v>72.7</v>
      </c>
      <c r="BV129" s="259" t="n">
        <v>246.2</v>
      </c>
      <c r="BW129" s="259" t="n">
        <v>68.5</v>
      </c>
      <c r="BX129" s="259" t="n">
        <v>60</v>
      </c>
      <c r="BY129" s="259" t="n">
        <v>67.40000000000001</v>
      </c>
      <c r="BZ129" s="259" t="n">
        <v>91.7</v>
      </c>
      <c r="CA129" s="259" t="n">
        <v>287.6</v>
      </c>
      <c r="CB129" s="259" t="n">
        <v>101.5</v>
      </c>
      <c r="CC129" s="153" t="n"/>
      <c r="CD129" s="153" t="n"/>
      <c r="CE129" s="153" t="n"/>
      <c r="CF129" s="153" t="n"/>
      <c r="CG129" s="153" t="n"/>
      <c r="CH129" s="153" t="n"/>
      <c r="CI129" s="153" t="n"/>
      <c r="CJ129" s="153" t="n"/>
      <c r="CK129" s="153" t="n"/>
      <c r="CL129" s="153" t="n"/>
    </row>
    <row r="130" ht="15" customHeight="1" s="251">
      <c r="B130" s="25" t="inlineStr">
        <is>
          <t>Preferred stock dividends (5.00% Series A MCPS, FY2022–FY2025; FY2006 Class B/C/D preferred)</t>
        </is>
      </c>
      <c r="C130" s="259" t="n">
        <v>1.523</v>
      </c>
      <c r="D130" s="259" t="n">
        <v>0</v>
      </c>
      <c r="E130" s="259" t="n">
        <v>0</v>
      </c>
      <c r="F130" s="259" t="n">
        <v>0</v>
      </c>
      <c r="G130" s="259" t="n">
        <v>0</v>
      </c>
      <c r="H130" s="259" t="n">
        <v>0</v>
      </c>
      <c r="I130" s="259" t="n">
        <v>0</v>
      </c>
      <c r="J130" s="259" t="n">
        <v>0</v>
      </c>
      <c r="K130" s="259" t="n">
        <v>0</v>
      </c>
      <c r="L130" s="259" t="n">
        <v>0</v>
      </c>
      <c r="M130" s="259" t="n">
        <v>0</v>
      </c>
      <c r="N130" s="259" t="n">
        <v>0</v>
      </c>
      <c r="O130" s="259" t="n">
        <v>0</v>
      </c>
      <c r="P130" s="259" t="n">
        <v>0</v>
      </c>
      <c r="Q130" s="259" t="n">
        <v>0</v>
      </c>
      <c r="R130" s="259" t="n">
        <v>0</v>
      </c>
      <c r="S130" s="259" t="n">
        <v>0</v>
      </c>
      <c r="T130" s="259" t="n">
        <v>0</v>
      </c>
      <c r="U130" s="259" t="n">
        <v>0</v>
      </c>
      <c r="V130" s="259" t="n">
        <v>0</v>
      </c>
      <c r="W130" s="259" t="n">
        <v>0</v>
      </c>
      <c r="X130" s="259" t="n">
        <v>0</v>
      </c>
      <c r="Y130" s="259" t="n">
        <v>0</v>
      </c>
      <c r="Z130" s="259" t="n">
        <v>0</v>
      </c>
      <c r="AA130" s="259" t="n">
        <v>0</v>
      </c>
      <c r="AB130" s="259" t="n">
        <v>0</v>
      </c>
      <c r="AC130" s="259" t="n">
        <v>0</v>
      </c>
      <c r="AD130" s="259" t="n">
        <v>0</v>
      </c>
      <c r="AE130" s="259" t="n">
        <v>0</v>
      </c>
      <c r="AF130" s="259" t="n">
        <v>0</v>
      </c>
      <c r="AG130" s="259" t="n">
        <v>0</v>
      </c>
      <c r="AH130" s="259" t="n">
        <v>0</v>
      </c>
      <c r="AI130" s="259" t="n">
        <v>0</v>
      </c>
      <c r="AJ130" s="259" t="n">
        <v>0</v>
      </c>
      <c r="AK130" s="259" t="n">
        <v>0</v>
      </c>
      <c r="AL130" s="259" t="n">
        <v>0</v>
      </c>
      <c r="AM130" s="259" t="n">
        <v>0</v>
      </c>
      <c r="AN130" s="259" t="n">
        <v>0</v>
      </c>
      <c r="AO130" s="259" t="n">
        <v>0</v>
      </c>
      <c r="AP130" s="259" t="n">
        <v>0</v>
      </c>
      <c r="AQ130" s="259" t="n">
        <v>0</v>
      </c>
      <c r="AR130" s="259" t="n">
        <v>0</v>
      </c>
      <c r="AS130" s="259" t="n">
        <v>0</v>
      </c>
      <c r="AT130" s="259" t="n">
        <v>0</v>
      </c>
      <c r="AU130" s="259" t="n">
        <v>0</v>
      </c>
      <c r="AV130" s="259" t="n">
        <v>0</v>
      </c>
      <c r="AW130" s="259" t="n">
        <v>0</v>
      </c>
      <c r="AX130" s="259" t="n">
        <v>0</v>
      </c>
      <c r="AY130" s="259" t="n">
        <v>0</v>
      </c>
      <c r="AZ130" s="259" t="n">
        <v>0</v>
      </c>
      <c r="BA130" s="259" t="n">
        <v>0</v>
      </c>
      <c r="BB130" s="259" t="n">
        <v>0</v>
      </c>
      <c r="BC130" s="259" t="n">
        <v>0</v>
      </c>
      <c r="BD130" s="259" t="n">
        <v>0.51</v>
      </c>
      <c r="BE130" s="259" t="n">
        <v>5.751</v>
      </c>
      <c r="BF130" s="259" t="n">
        <v>5.75</v>
      </c>
      <c r="BG130" s="259" t="n">
        <v>12.011</v>
      </c>
      <c r="BH130" s="259" t="n">
        <v>5.75</v>
      </c>
      <c r="BI130" s="259" t="n">
        <v>5.75</v>
      </c>
      <c r="BJ130" s="259" t="n">
        <v>5.686</v>
      </c>
      <c r="BK130" s="259" t="n">
        <v>5.75</v>
      </c>
      <c r="BL130" s="259" t="n">
        <v>22.9</v>
      </c>
      <c r="BM130" s="259" t="n">
        <v>5.75</v>
      </c>
      <c r="BN130" s="259" t="n">
        <v>5.686</v>
      </c>
      <c r="BO130" s="259" t="n">
        <v>5.814</v>
      </c>
      <c r="BP130" s="259" t="n">
        <v>5.686</v>
      </c>
      <c r="BQ130" s="259" t="n">
        <v>23</v>
      </c>
      <c r="BR130" s="259" t="n">
        <v>5.7</v>
      </c>
      <c r="BS130" s="259" t="n">
        <v>5.7</v>
      </c>
      <c r="BT130" s="259" t="n">
        <v>1</v>
      </c>
      <c r="BU130" s="259" t="n">
        <v>0</v>
      </c>
      <c r="BV130" s="259" t="n">
        <v>12.4</v>
      </c>
      <c r="BW130" s="259" t="n">
        <v>0</v>
      </c>
      <c r="BX130" s="259" t="n">
        <v>0</v>
      </c>
      <c r="BY130" s="259" t="n">
        <v>0</v>
      </c>
      <c r="BZ130" s="259" t="n">
        <v>0</v>
      </c>
      <c r="CA130" s="259" t="n">
        <v>0</v>
      </c>
      <c r="CB130" s="259" t="n">
        <v>0</v>
      </c>
      <c r="CC130" s="261">
        <f>0</f>
        <v>0</v>
      </c>
      <c r="CD130" s="261">
        <f>0</f>
        <v>0</v>
      </c>
      <c r="CE130" s="261">
        <f>0</f>
        <v>0</v>
      </c>
      <c r="CF130" s="261">
        <f>SUM(CB130:CE130)</f>
        <v>0</v>
      </c>
      <c r="CG130" s="261">
        <f>0</f>
        <v>0</v>
      </c>
      <c r="CH130" s="261">
        <f>0</f>
        <v>0</v>
      </c>
      <c r="CI130" s="261">
        <f>0</f>
        <v>0</v>
      </c>
      <c r="CJ130" s="261">
        <f>0</f>
        <v>0</v>
      </c>
      <c r="CK130" s="261">
        <f>0</f>
        <v>0</v>
      </c>
      <c r="CL130" s="19" t="inlineStr">
        <is>
          <t>5.00% Series A Mandatory Convertible Preferred Stock: 4,600,000 shares issued in fiscal 2022 (Dodge financing; dividends ~$5.75m a quarter); converted into common stock in October 2024 (FY2026 10-K Item 1A).</t>
        </is>
      </c>
    </row>
    <row r="131" ht="15" customHeight="1" s="251">
      <c r="B131" s="55" t="inlineStr">
        <is>
          <t>Net income available to common stockholders</t>
        </is>
      </c>
      <c r="C131" s="271">
        <f>IF(ISNUMBER(C127),C127-N(C130),"")</f>
        <v>10.916</v>
      </c>
      <c r="D131" s="271">
        <f>IF(ISNUMBER(D127),D127-N(D130),"")</f>
        <v>28.479</v>
      </c>
      <c r="E131" s="271">
        <f>IF(ISNUMBER(E127),E127-N(E130),"")</f>
        <v>40.194</v>
      </c>
      <c r="F131" s="271">
        <f>IF(ISNUMBER(F127),F127-N(F130),"")</f>
        <v>34.454</v>
      </c>
      <c r="G131" s="271">
        <f>IF(ISNUMBER(G127),G127-N(G130),"")</f>
        <v>24.385</v>
      </c>
      <c r="H131" s="271">
        <f>IF(ISNUMBER(H127),H127-N(H130),"")</f>
        <v>34.868</v>
      </c>
      <c r="I131" s="271">
        <f>IF(ISNUMBER(I127),I127-N(I130),"")</f>
        <v>49.997</v>
      </c>
      <c r="J131" s="271">
        <f>IF(ISNUMBER(J127),J127-N(J130),"")</f>
        <v>17.164</v>
      </c>
      <c r="K131" s="271">
        <f>IF(ISNUMBER(K127),K127-N(K130),"")</f>
        <v>16.494</v>
      </c>
      <c r="L131" s="271">
        <f>IF(ISNUMBER(L127),L127-N(L130),"")</f>
        <v>12.109</v>
      </c>
      <c r="M131" s="271">
        <f>IF(ISNUMBER(M127),M127-N(M130),"")</f>
        <v>10.575</v>
      </c>
      <c r="N131" s="271">
        <f>IF(ISNUMBER(N127),N127-N(N130),"")</f>
        <v>56.342</v>
      </c>
      <c r="O131" s="271">
        <f>IF(ISNUMBER(O127),O127-N(O130),"")</f>
        <v>15.116</v>
      </c>
      <c r="P131" s="271">
        <f>IF(ISNUMBER(P127),P127-N(P130),"")</f>
        <v>14.125</v>
      </c>
      <c r="Q131" s="271">
        <f>IF(ISNUMBER(Q127),Q127-N(Q130),"")</f>
        <v>12.764</v>
      </c>
      <c r="R131" s="271">
        <f>IF(ISNUMBER(R127),R127-N(R130),"")</f>
        <v>18.203</v>
      </c>
      <c r="S131" s="271">
        <f>IF(ISNUMBER(S127),S127-N(S130),"")</f>
        <v>60.208</v>
      </c>
      <c r="T131" s="271">
        <f>IF(ISNUMBER(T127),T127-N(T130),"")</f>
        <v>16.02</v>
      </c>
      <c r="U131" s="271">
        <f>IF(ISNUMBER(U127),U127-N(U130),"")</f>
        <v>13.248</v>
      </c>
      <c r="V131" s="271">
        <f>IF(ISNUMBER(V127),V127-N(V130),"")</f>
        <v>14.051</v>
      </c>
      <c r="W131" s="271">
        <f>IF(ISNUMBER(W127),W127-N(W130),"")</f>
        <v>14.929</v>
      </c>
      <c r="X131" s="271">
        <f>IF(ISNUMBER(X127),X127-N(X130),"")</f>
        <v>58.248</v>
      </c>
      <c r="Y131" s="271">
        <f>IF(ISNUMBER(Y127),Y127-N(Y130),"")</f>
        <v>13.404</v>
      </c>
      <c r="Z131" s="271">
        <f>IF(ISNUMBER(Z127),Z127-N(Z130),"")</f>
        <v>14.519</v>
      </c>
      <c r="AA131" s="271">
        <f>IF(ISNUMBER(AA127),AA127-N(AA130),"")</f>
        <v>17.047</v>
      </c>
      <c r="AB131" s="271">
        <f>IF(ISNUMBER(AB127),AB127-N(AB130),"")</f>
        <v>18.924</v>
      </c>
      <c r="AC131" s="271">
        <f>IF(ISNUMBER(AC127),AC127-N(AC130),"")</f>
        <v>63.894</v>
      </c>
      <c r="AD131" s="271">
        <f>IF(ISNUMBER(AD127),AD127-N(AD130),"")</f>
        <v>18.04</v>
      </c>
      <c r="AE131" s="271">
        <f>IF(ISNUMBER(AE127),AE127-N(AE130),"")</f>
        <v>18.228</v>
      </c>
      <c r="AF131" s="271">
        <f>IF(ISNUMBER(AF127),AF127-N(AF130),"")</f>
        <v>12.77</v>
      </c>
      <c r="AG131" s="271">
        <f>IF(ISNUMBER(AG127),AG127-N(AG130),"")</f>
        <v>21.585</v>
      </c>
      <c r="AH131" s="271">
        <f>IF(ISNUMBER(AH127),AH127-N(AH130),"")</f>
        <v>70.623</v>
      </c>
      <c r="AI131" s="271">
        <f>IF(ISNUMBER(AI127),AI127-N(AI130),"")</f>
        <v>21.809</v>
      </c>
      <c r="AJ131" s="271">
        <f>IF(ISNUMBER(AJ127),AJ127-N(AJ130),"")</f>
        <v>14.823</v>
      </c>
      <c r="AK131" s="271">
        <f>IF(ISNUMBER(AK127),AK127-N(AK130),"")</f>
        <v>23.832</v>
      </c>
      <c r="AL131" s="271">
        <f>IF(ISNUMBER(AL127),AL127-N(AL130),"")</f>
        <v>26.677</v>
      </c>
      <c r="AM131" s="271">
        <f>IF(ISNUMBER(AM127),AM127-N(AM130),"")</f>
        <v>87.141</v>
      </c>
      <c r="AN131" s="271">
        <f>IF(ISNUMBER(AN127),AN127-N(AN130),"")</f>
        <v>27.467</v>
      </c>
      <c r="AO131" s="271">
        <f>IF(ISNUMBER(AO127),AO127-N(AO130),"")</f>
        <v>30.111</v>
      </c>
      <c r="AP131" s="271">
        <f>IF(ISNUMBER(AP127),AP127-N(AP130),"")</f>
        <v>16.178</v>
      </c>
      <c r="AQ131" s="271">
        <f>IF(ISNUMBER(AQ127),AQ127-N(AQ130),"")</f>
        <v>31.437</v>
      </c>
      <c r="AR131" s="271">
        <f>IF(ISNUMBER(AR127),AR127-N(AR130),"")</f>
        <v>105.193</v>
      </c>
      <c r="AS131" s="271">
        <f>IF(ISNUMBER(AS127),AS127-N(AS130),"")</f>
        <v>30.499</v>
      </c>
      <c r="AT131" s="271">
        <f>IF(ISNUMBER(AT127),AT127-N(AT130),"")</f>
        <v>31.27</v>
      </c>
      <c r="AU131" s="271">
        <f>IF(ISNUMBER(AU127),AU127-N(AU130),"")</f>
        <v>30.515</v>
      </c>
      <c r="AV131" s="271">
        <f>IF(ISNUMBER(AV127),AV127-N(AV130),"")</f>
        <v>33.752</v>
      </c>
      <c r="AW131" s="271">
        <f>IF(ISNUMBER(AW127),AW127-N(AW130),"")</f>
        <v>126.036</v>
      </c>
      <c r="AX131" s="271">
        <f>IF(ISNUMBER(AX127),AX127-N(AX130),"")</f>
        <v>22.689</v>
      </c>
      <c r="AY131" s="271">
        <f>IF(ISNUMBER(AY127),AY127-N(AY130),"")</f>
        <v>20.421</v>
      </c>
      <c r="AZ131" s="271">
        <f>IF(ISNUMBER(AZ127),AZ127-N(AZ130),"")</f>
        <v>21.569</v>
      </c>
      <c r="BA131" s="271">
        <f>IF(ISNUMBER(BA127),BA127-N(BA130),"")</f>
        <v>24.954</v>
      </c>
      <c r="BB131" s="271">
        <f>IF(ISNUMBER(BB127),BB127-N(BB130),"")</f>
        <v>89.633</v>
      </c>
      <c r="BC131" s="271">
        <f>IF(ISNUMBER(BC127),BC127-N(BC130),"")</f>
        <v>25.999</v>
      </c>
      <c r="BD131" s="271">
        <f>IF(ISNUMBER(BD127),BD127-N(BD130),"")</f>
        <v>6.419</v>
      </c>
      <c r="BE131" s="271">
        <f>IF(ISNUMBER(BE127),BE127-N(BE130),"")</f>
        <v>-5.814</v>
      </c>
      <c r="BF131" s="271">
        <f>IF(ISNUMBER(BF127),BF127-N(BF130),"")</f>
        <v>26.45</v>
      </c>
      <c r="BG131" s="271">
        <f>IF(ISNUMBER(BG127),BG127-N(BG130),"")</f>
        <v>53.054</v>
      </c>
      <c r="BH131" s="271">
        <f>IF(ISNUMBER(BH127),BH127-N(BH130),"")</f>
        <v>31.688</v>
      </c>
      <c r="BI131" s="271">
        <f>IF(ISNUMBER(BI127),BI127-N(BI130),"")</f>
        <v>38.052</v>
      </c>
      <c r="BJ131" s="271">
        <f>IF(ISNUMBER(BJ127),BJ127-N(BJ130),"")</f>
        <v>30.578</v>
      </c>
      <c r="BK131" s="271">
        <f>IF(ISNUMBER(BK127),BK127-N(BK130),"")</f>
        <v>43.405</v>
      </c>
      <c r="BL131" s="271">
        <f>IF(ISNUMBER(BL127),BL127-N(BL130),"")</f>
        <v>143.8</v>
      </c>
      <c r="BM131" s="271">
        <f>IF(ISNUMBER(BM127),BM127-N(BM130),"")</f>
        <v>44.277</v>
      </c>
      <c r="BN131" s="271">
        <f>IF(ISNUMBER(BN127),BN127-N(BN130),"")</f>
        <v>45.967</v>
      </c>
      <c r="BO131" s="271">
        <f>IF(ISNUMBER(BO127),BO127-N(BO130),"")</f>
        <v>40.74</v>
      </c>
      <c r="BP131" s="271">
        <f>IF(ISNUMBER(BP127),BP127-N(BP130),"")</f>
        <v>55.984</v>
      </c>
      <c r="BQ131" s="271">
        <f>IF(ISNUMBER(BQ127),BQ127-N(BQ130),"")</f>
        <v>186.9</v>
      </c>
      <c r="BR131" s="271">
        <f>IF(ISNUMBER(BR127),BR127-N(BR130),"")</f>
        <v>55.7</v>
      </c>
      <c r="BS131" s="271">
        <f>IF(ISNUMBER(BS127),BS127-N(BS130),"")</f>
        <v>48.5</v>
      </c>
      <c r="BT131" s="271">
        <f>IF(ISNUMBER(BT127),BT127-N(BT130),"")</f>
        <v>56.9</v>
      </c>
      <c r="BU131" s="271">
        <f>IF(ISNUMBER(BU127),BU127-N(BU130),"")</f>
        <v>72.7</v>
      </c>
      <c r="BV131" s="271">
        <f>IF(ISNUMBER(BV127),BV127-N(BV130),"")</f>
        <v>233.8</v>
      </c>
      <c r="BW131" s="271">
        <f>IF(ISNUMBER(BW127),BW127-N(BW130),"")</f>
        <v>68.5</v>
      </c>
      <c r="BX131" s="271">
        <f>IF(ISNUMBER(BX127),BX127-N(BX130),"")</f>
        <v>60</v>
      </c>
      <c r="BY131" s="271">
        <f>IF(ISNUMBER(BY127),BY127-N(BY130),"")</f>
        <v>67.4</v>
      </c>
      <c r="BZ131" s="271">
        <f>IF(ISNUMBER(BZ127),BZ127-N(BZ130),"")</f>
        <v>91.7</v>
      </c>
      <c r="CA131" s="271">
        <f>IF(ISNUMBER(CA127),CA127-N(CA130),"")</f>
        <v>287.6</v>
      </c>
      <c r="CB131" s="271">
        <f>IF(ISNUMBER(CB127),CB127-N(CB130),"")</f>
        <v>101.5</v>
      </c>
      <c r="CC131" s="271">
        <f>IF(ISNUMBER(CC127),CC127-N(CC130),"")</f>
        <v>90.2534</v>
      </c>
      <c r="CD131" s="271">
        <f>IF(ISNUMBER(CD127),CD127-N(CD130),"")</f>
        <v>93.1928309881254</v>
      </c>
      <c r="CE131" s="271">
        <f>IF(ISNUMBER(CE127),CE127-N(CE130),"")</f>
        <v>118.511610830479</v>
      </c>
      <c r="CF131" s="271">
        <f>IF(ISNUMBER(CF127),CF127-N(CF130),"")</f>
        <v>403.457841818604</v>
      </c>
      <c r="CG131" s="271">
        <f>IF(ISNUMBER(CG127),CG127-N(CG130),"")</f>
        <v>456.78262526851</v>
      </c>
      <c r="CH131" s="271">
        <f>IF(ISNUMBER(CH127),CH127-N(CH130),"")</f>
        <v>508.150032226153</v>
      </c>
      <c r="CI131" s="271">
        <f>IF(ISNUMBER(CI127),CI127-N(CI130),"")</f>
        <v>571.027854992127</v>
      </c>
      <c r="CJ131" s="271">
        <f>IF(ISNUMBER(CJ127),CJ127-N(CJ130),"")</f>
        <v>628.525114123447</v>
      </c>
      <c r="CK131" s="271">
        <f>IF(ISNUMBER(CK127),CK127-N(CK130),"")</f>
        <v>684.808268473411</v>
      </c>
      <c r="CL131" s="153" t="n"/>
    </row>
    <row r="132" ht="15" customHeight="1" s="251">
      <c r="B132" s="25" t="inlineStr">
        <is>
          <t xml:space="preserve">  Restated per the FY2022 10-K/A (stock-based compensation timing; memo, not recast):</t>
        </is>
      </c>
      <c r="CL132" s="153" t="n"/>
    </row>
    <row r="133" ht="15" customHeight="1" s="251">
      <c r="B133" s="156" t="inlineStr">
        <is>
          <t xml:space="preserve">    Operating income as restated</t>
        </is>
      </c>
      <c r="C133" s="34" t="n"/>
      <c r="D133" s="34" t="n"/>
      <c r="E133" s="34" t="n"/>
      <c r="F133" s="34" t="n"/>
      <c r="G133" s="34" t="n"/>
      <c r="H133" s="34" t="n"/>
      <c r="I133" s="34" t="n"/>
      <c r="J133" s="34" t="n"/>
      <c r="K133" s="34" t="n"/>
      <c r="L133" s="34" t="n"/>
      <c r="M133" s="34" t="n"/>
      <c r="N133" s="34" t="n"/>
      <c r="O133" s="34" t="n"/>
      <c r="P133" s="34" t="n"/>
      <c r="Q133" s="34" t="n"/>
      <c r="R133" s="34" t="n"/>
      <c r="S133" s="34" t="n"/>
      <c r="T133" s="34" t="n"/>
      <c r="U133" s="34" t="n"/>
      <c r="V133" s="34" t="n"/>
      <c r="W133" s="34" t="n"/>
      <c r="X133" s="34" t="n"/>
      <c r="Y133" s="34" t="n"/>
      <c r="Z133" s="34" t="n"/>
      <c r="AA133" s="34" t="n"/>
      <c r="AB133" s="34" t="n"/>
      <c r="AC133" s="34" t="n"/>
      <c r="AD133" s="34" t="n"/>
      <c r="AE133" s="34" t="n"/>
      <c r="AF133" s="34" t="n"/>
      <c r="AG133" s="34" t="n"/>
      <c r="AH133" s="34" t="n"/>
      <c r="AI133" s="34" t="n"/>
      <c r="AJ133" s="34" t="n"/>
      <c r="AK133" s="34" t="n"/>
      <c r="AL133" s="34" t="n"/>
      <c r="AM133" s="34" t="n"/>
      <c r="AN133" s="34" t="n"/>
      <c r="AO133" s="34" t="n"/>
      <c r="AP133" s="34" t="n"/>
      <c r="AQ133" s="34" t="n"/>
      <c r="AR133" s="34" t="n"/>
      <c r="AS133" s="34" t="n"/>
      <c r="AT133" s="34" t="n"/>
      <c r="AU133" s="34" t="n"/>
      <c r="AV133" s="34" t="n"/>
      <c r="AW133" s="259" t="n">
        <v>149.367</v>
      </c>
      <c r="AX133" s="259" t="n">
        <v>30.273</v>
      </c>
      <c r="AY133" s="259" t="n">
        <v>23.635</v>
      </c>
      <c r="AZ133" s="259" t="n">
        <v>28.579</v>
      </c>
      <c r="BA133" s="259" t="n">
        <v>32.188</v>
      </c>
      <c r="BB133" s="259" t="n">
        <v>114.675</v>
      </c>
      <c r="BC133" s="259" t="n">
        <v>29.313</v>
      </c>
      <c r="BD133" s="259" t="n">
        <v>16.574</v>
      </c>
      <c r="BE133" s="259" t="n">
        <v>15.865</v>
      </c>
      <c r="BF133" s="259" t="n">
        <v>59.342</v>
      </c>
      <c r="BG133" s="259" t="n">
        <v>121.094</v>
      </c>
      <c r="BH133" s="34" t="n"/>
      <c r="BI133" s="34" t="n"/>
      <c r="BJ133" s="34" t="n"/>
      <c r="BK133" s="34" t="n"/>
      <c r="BL133" s="34" t="n"/>
      <c r="BM133" s="34" t="n"/>
      <c r="BN133" s="34" t="n"/>
      <c r="BO133" s="34" t="n"/>
      <c r="BP133" s="34" t="n"/>
      <c r="BQ133" s="34" t="n"/>
      <c r="BR133" s="34" t="n"/>
      <c r="BS133" s="34" t="n"/>
      <c r="BT133" s="34" t="n"/>
      <c r="BU133" s="34" t="n"/>
      <c r="BV133" s="34" t="n"/>
      <c r="BW133" s="34" t="n"/>
      <c r="BX133" s="34" t="n"/>
      <c r="BY133" s="34" t="n"/>
      <c r="BZ133" s="34" t="n"/>
      <c r="CA133" s="34" t="n"/>
      <c r="CB133" s="34" t="n"/>
      <c r="CC133" s="153" t="n"/>
      <c r="CD133" s="153" t="n"/>
      <c r="CE133" s="153" t="n"/>
      <c r="CF133" s="153" t="n"/>
      <c r="CG133" s="153" t="n"/>
      <c r="CH133" s="153" t="n"/>
      <c r="CI133" s="153" t="n"/>
      <c r="CJ133" s="153" t="n"/>
      <c r="CK133" s="153" t="n"/>
      <c r="CL133" s="153" t="inlineStr">
        <is>
          <t>FY2022 10-K/A (5-Aug-2022), Note 2 'Restatement' and quarterly results of operations: SG&amp;A restated for stock-based compensation that should have been recognized earlier (FY2022 +$8.969m, FY2021 -$3.217m, FY2020 +$7.418m); no cash-flow impact.</t>
        </is>
      </c>
    </row>
    <row r="134" ht="15" customHeight="1" s="251">
      <c r="B134" s="156" t="inlineStr">
        <is>
          <t xml:space="preserve">    Net income as restated (fiscal years)</t>
        </is>
      </c>
      <c r="C134" s="34" t="n"/>
      <c r="D134" s="34" t="n"/>
      <c r="E134" s="34" t="n"/>
      <c r="F134" s="34" t="n"/>
      <c r="G134" s="34" t="n"/>
      <c r="H134" s="34" t="n"/>
      <c r="I134" s="34" t="n"/>
      <c r="J134" s="34" t="n"/>
      <c r="K134" s="34" t="n"/>
      <c r="L134" s="34" t="n"/>
      <c r="M134" s="34" t="n"/>
      <c r="N134" s="34" t="n"/>
      <c r="O134" s="34" t="n"/>
      <c r="P134" s="34" t="n"/>
      <c r="Q134" s="34" t="n"/>
      <c r="R134" s="34" t="n"/>
      <c r="S134" s="34" t="n"/>
      <c r="T134" s="34" t="n"/>
      <c r="U134" s="34" t="n"/>
      <c r="V134" s="34" t="n"/>
      <c r="W134" s="34" t="n"/>
      <c r="X134" s="34" t="n"/>
      <c r="Y134" s="34" t="n"/>
      <c r="Z134" s="34" t="n"/>
      <c r="AA134" s="34" t="n"/>
      <c r="AB134" s="34" t="n"/>
      <c r="AC134" s="34" t="n"/>
      <c r="AD134" s="34" t="n"/>
      <c r="AE134" s="34" t="n"/>
      <c r="AF134" s="34" t="n"/>
      <c r="AG134" s="34" t="n"/>
      <c r="AH134" s="34" t="n"/>
      <c r="AI134" s="34" t="n"/>
      <c r="AJ134" s="34" t="n"/>
      <c r="AK134" s="34" t="n"/>
      <c r="AL134" s="34" t="n"/>
      <c r="AM134" s="34" t="n"/>
      <c r="AN134" s="34" t="n"/>
      <c r="AO134" s="34" t="n"/>
      <c r="AP134" s="34" t="n"/>
      <c r="AQ134" s="34" t="n"/>
      <c r="AR134" s="34" t="n"/>
      <c r="AS134" s="34" t="n"/>
      <c r="AT134" s="34" t="n"/>
      <c r="AU134" s="34" t="n"/>
      <c r="AV134" s="34" t="n"/>
      <c r="AW134" s="259" t="n">
        <v>120.35</v>
      </c>
      <c r="AX134" s="34" t="n"/>
      <c r="AY134" s="34" t="n"/>
      <c r="AZ134" s="34" t="n"/>
      <c r="BA134" s="34" t="n"/>
      <c r="BB134" s="259" t="n">
        <v>90.143</v>
      </c>
      <c r="BC134" s="34" t="n"/>
      <c r="BD134" s="34" t="n"/>
      <c r="BE134" s="34" t="n"/>
      <c r="BF134" s="34" t="n"/>
      <c r="BG134" s="259" t="n">
        <v>54.71</v>
      </c>
      <c r="BH134" s="34" t="n"/>
      <c r="BI134" s="34" t="n"/>
      <c r="BJ134" s="34" t="n"/>
      <c r="BK134" s="34" t="n"/>
      <c r="BL134" s="34" t="n"/>
      <c r="BM134" s="34" t="n"/>
      <c r="BN134" s="34" t="n"/>
      <c r="BO134" s="34" t="n"/>
      <c r="BP134" s="34" t="n"/>
      <c r="BQ134" s="34" t="n"/>
      <c r="BR134" s="34" t="n"/>
      <c r="BS134" s="34" t="n"/>
      <c r="BT134" s="34" t="n"/>
      <c r="BU134" s="34" t="n"/>
      <c r="BV134" s="34" t="n"/>
      <c r="BW134" s="34" t="n"/>
      <c r="BX134" s="34" t="n"/>
      <c r="BY134" s="34" t="n"/>
      <c r="BZ134" s="34" t="n"/>
      <c r="CA134" s="34" t="n"/>
      <c r="CB134" s="34" t="n"/>
      <c r="CC134" s="153" t="n"/>
      <c r="CD134" s="153" t="n"/>
      <c r="CE134" s="153" t="n"/>
      <c r="CF134" s="153" t="n"/>
      <c r="CG134" s="153" t="n"/>
      <c r="CH134" s="153" t="n"/>
      <c r="CI134" s="153" t="n"/>
      <c r="CJ134" s="153" t="n"/>
      <c r="CK134" s="153" t="n"/>
      <c r="CL134" s="153" t="n"/>
    </row>
    <row r="135" ht="15" customHeight="1" s="251">
      <c r="B135" s="156" t="inlineStr">
        <is>
          <t xml:space="preserve">    Net income available to common stockholders as restated (quarters)</t>
        </is>
      </c>
      <c r="C135" s="34" t="n"/>
      <c r="D135" s="34" t="n"/>
      <c r="E135" s="34" t="n"/>
      <c r="F135" s="34" t="n"/>
      <c r="G135" s="34" t="n"/>
      <c r="H135" s="34" t="n"/>
      <c r="I135" s="34" t="n"/>
      <c r="J135" s="34" t="n"/>
      <c r="K135" s="34" t="n"/>
      <c r="L135" s="34" t="n"/>
      <c r="M135" s="34" t="n"/>
      <c r="N135" s="34" t="n"/>
      <c r="O135" s="34" t="n"/>
      <c r="P135" s="34" t="n"/>
      <c r="Q135" s="34" t="n"/>
      <c r="R135" s="34" t="n"/>
      <c r="S135" s="34" t="n"/>
      <c r="T135" s="34" t="n"/>
      <c r="U135" s="34" t="n"/>
      <c r="V135" s="34" t="n"/>
      <c r="W135" s="34" t="n"/>
      <c r="X135" s="34" t="n"/>
      <c r="Y135" s="34" t="n"/>
      <c r="Z135" s="34" t="n"/>
      <c r="AA135" s="34" t="n"/>
      <c r="AB135" s="34" t="n"/>
      <c r="AC135" s="34" t="n"/>
      <c r="AD135" s="34" t="n"/>
      <c r="AE135" s="34" t="n"/>
      <c r="AF135" s="34" t="n"/>
      <c r="AG135" s="34" t="n"/>
      <c r="AH135" s="34" t="n"/>
      <c r="AI135" s="34" t="n"/>
      <c r="AJ135" s="34" t="n"/>
      <c r="AK135" s="34" t="n"/>
      <c r="AL135" s="34" t="n"/>
      <c r="AM135" s="34" t="n"/>
      <c r="AN135" s="34" t="n"/>
      <c r="AO135" s="34" t="n"/>
      <c r="AP135" s="34" t="n"/>
      <c r="AQ135" s="34" t="n"/>
      <c r="AR135" s="34" t="n"/>
      <c r="AS135" s="34" t="n"/>
      <c r="AT135" s="34" t="n"/>
      <c r="AU135" s="34" t="n"/>
      <c r="AV135" s="34" t="n"/>
      <c r="AW135" s="34" t="n"/>
      <c r="AX135" s="259" t="n">
        <v>23.265</v>
      </c>
      <c r="AY135" s="259" t="n">
        <v>17.932</v>
      </c>
      <c r="AZ135" s="259" t="n">
        <v>22.69</v>
      </c>
      <c r="BA135" s="259" t="n">
        <v>26.256</v>
      </c>
      <c r="BB135" s="34" t="n"/>
      <c r="BC135" s="259" t="n">
        <v>24.038</v>
      </c>
      <c r="BD135" s="259" t="n">
        <v>-1.862</v>
      </c>
      <c r="BE135" s="259" t="n">
        <v>-5.205</v>
      </c>
      <c r="BF135" s="259" t="n">
        <v>25.728</v>
      </c>
      <c r="BG135" s="34" t="n"/>
      <c r="BH135" s="34" t="n"/>
      <c r="BI135" s="34" t="n"/>
      <c r="BJ135" s="34" t="n"/>
      <c r="BK135" s="34" t="n"/>
      <c r="BL135" s="34" t="n"/>
      <c r="BM135" s="34" t="n"/>
      <c r="BN135" s="34" t="n"/>
      <c r="BO135" s="34" t="n"/>
      <c r="BP135" s="34" t="n"/>
      <c r="BQ135" s="34" t="n"/>
      <c r="BR135" s="34" t="n"/>
      <c r="BS135" s="34" t="n"/>
      <c r="BT135" s="34" t="n"/>
      <c r="BU135" s="34" t="n"/>
      <c r="BV135" s="34" t="n"/>
      <c r="BW135" s="34" t="n"/>
      <c r="BX135" s="34" t="n"/>
      <c r="BY135" s="34" t="n"/>
      <c r="BZ135" s="34" t="n"/>
      <c r="CA135" s="34" t="n"/>
      <c r="CB135" s="34" t="n"/>
      <c r="CC135" s="153" t="n"/>
      <c r="CD135" s="153" t="n"/>
      <c r="CE135" s="153" t="n"/>
      <c r="CF135" s="153" t="n"/>
      <c r="CG135" s="153" t="n"/>
      <c r="CH135" s="153" t="n"/>
      <c r="CI135" s="153" t="n"/>
      <c r="CJ135" s="153" t="n"/>
      <c r="CK135" s="153" t="n"/>
      <c r="CL135" s="153" t="n"/>
    </row>
    <row r="136" ht="15" customHeight="1" s="251">
      <c r="B136" s="156" t="inlineStr">
        <is>
          <t xml:space="preserve">  Memo: depreciation &amp; amortization (total)</t>
        </is>
      </c>
      <c r="C136" s="264">
        <f>C85</f>
        <v>9.331</v>
      </c>
      <c r="D136" s="264">
        <f>D85</f>
        <v>9.646</v>
      </c>
      <c r="E136" s="264">
        <f>E85</f>
        <v>10.465</v>
      </c>
      <c r="F136" s="264">
        <f>F85</f>
        <v>12.16</v>
      </c>
      <c r="G136" s="264">
        <f>G85</f>
        <v>11.83</v>
      </c>
      <c r="H136" s="264">
        <f>H85</f>
        <v>12.971</v>
      </c>
      <c r="I136" s="264">
        <f>I85</f>
        <v>14.19</v>
      </c>
      <c r="J136" s="264">
        <f>J85</f>
        <v>3.683</v>
      </c>
      <c r="K136" s="264">
        <f>K85</f>
        <v>3.693</v>
      </c>
      <c r="L136" s="264">
        <f>L85</f>
        <v>3.698</v>
      </c>
      <c r="M136" s="264">
        <f>M85</f>
        <v>3.645</v>
      </c>
      <c r="N136" s="264">
        <f>N85</f>
        <v>14.719</v>
      </c>
      <c r="O136" s="264">
        <f>O85</f>
        <v>3.735</v>
      </c>
      <c r="P136" s="264">
        <f>P85</f>
        <v>3.855</v>
      </c>
      <c r="Q136" s="264">
        <f>Q85</f>
        <v>3.718</v>
      </c>
      <c r="R136" s="264">
        <f>R85</f>
        <v>3.679</v>
      </c>
      <c r="S136" s="264">
        <f>S85</f>
        <v>14.987</v>
      </c>
      <c r="T136" s="264">
        <f>T85</f>
        <v>4.058</v>
      </c>
      <c r="U136" s="264">
        <f>U85</f>
        <v>4.009</v>
      </c>
      <c r="V136" s="264">
        <f>V85</f>
        <v>3.778</v>
      </c>
      <c r="W136" s="264">
        <f>W85</f>
        <v>3.2</v>
      </c>
      <c r="X136" s="264">
        <f>X85</f>
        <v>15.045</v>
      </c>
      <c r="Y136" s="264">
        <f>Y85</f>
        <v>5.663</v>
      </c>
      <c r="Z136" s="264">
        <f>Z85</f>
        <v>6.809</v>
      </c>
      <c r="AA136" s="264">
        <f>AA85</f>
        <v>6.698</v>
      </c>
      <c r="AB136" s="264">
        <f>AB85</f>
        <v>6.637</v>
      </c>
      <c r="AC136" s="264">
        <f>AC85</f>
        <v>25.807</v>
      </c>
      <c r="AD136" s="264">
        <f>AD85</f>
        <v>6.74</v>
      </c>
      <c r="AE136" s="264">
        <f>AE85</f>
        <v>6.959</v>
      </c>
      <c r="AF136" s="264">
        <f>AF85</f>
        <v>6.779</v>
      </c>
      <c r="AG136" s="264">
        <f>AG85</f>
        <v>6.894</v>
      </c>
      <c r="AH136" s="264">
        <f>AH85</f>
        <v>27.372</v>
      </c>
      <c r="AI136" s="264">
        <f>AI85</f>
        <v>7.098</v>
      </c>
      <c r="AJ136" s="264">
        <f>AJ85</f>
        <v>7.14</v>
      </c>
      <c r="AK136" s="264">
        <f>AK85</f>
        <v>6.958</v>
      </c>
      <c r="AL136" s="264">
        <f>AL85</f>
        <v>7.164</v>
      </c>
      <c r="AM136" s="264">
        <f>AM85</f>
        <v>28.36</v>
      </c>
      <c r="AN136" s="264">
        <f>AN85</f>
        <v>7.313</v>
      </c>
      <c r="AO136" s="264">
        <f>AO85</f>
        <v>7.639</v>
      </c>
      <c r="AP136" s="264">
        <f>AP85</f>
        <v>7.31</v>
      </c>
      <c r="AQ136" s="264">
        <f>AQ85</f>
        <v>7.396</v>
      </c>
      <c r="AR136" s="264">
        <f>AR85</f>
        <v>29.658</v>
      </c>
      <c r="AS136" s="264">
        <f>AS85</f>
        <v>7.52</v>
      </c>
      <c r="AT136" s="264">
        <f>AT85</f>
        <v>7.802</v>
      </c>
      <c r="AU136" s="264">
        <f>AU85</f>
        <v>7.953</v>
      </c>
      <c r="AV136" s="264">
        <f>AV85</f>
        <v>8.145</v>
      </c>
      <c r="AW136" s="264">
        <f>AW85</f>
        <v>31.42</v>
      </c>
      <c r="AX136" s="264">
        <f>AX85</f>
        <v>8.396</v>
      </c>
      <c r="AY136" s="264">
        <f>AY85</f>
        <v>8.437</v>
      </c>
      <c r="AZ136" s="264">
        <f>AZ85</f>
        <v>7.979</v>
      </c>
      <c r="BA136" s="264">
        <f>BA85</f>
        <v>7.932</v>
      </c>
      <c r="BB136" s="264">
        <f>BB85</f>
        <v>32.744</v>
      </c>
      <c r="BC136" s="264">
        <f>BC85</f>
        <v>8.212</v>
      </c>
      <c r="BD136" s="264">
        <f>BD85</f>
        <v>8.645</v>
      </c>
      <c r="BE136" s="264">
        <f>BE85</f>
        <v>20.498</v>
      </c>
      <c r="BF136" s="264">
        <f>BF85</f>
        <v>28.177</v>
      </c>
      <c r="BG136" s="264">
        <f>BG85</f>
        <v>65.532</v>
      </c>
      <c r="BH136" s="264">
        <f>BH85</f>
        <v>28.642</v>
      </c>
      <c r="BI136" s="264">
        <f>BI85</f>
        <v>28.426</v>
      </c>
      <c r="BJ136" s="264">
        <f>BJ85</f>
        <v>28.743</v>
      </c>
      <c r="BK136" s="264">
        <f>BK85</f>
        <v>29.589</v>
      </c>
      <c r="BL136" s="264">
        <f>BL85</f>
        <v>115.4</v>
      </c>
      <c r="BM136" s="264">
        <f>BM85</f>
        <v>29.7</v>
      </c>
      <c r="BN136" s="264">
        <f>BN85</f>
        <v>30</v>
      </c>
      <c r="BO136" s="264">
        <f>BO85</f>
        <v>29.9</v>
      </c>
      <c r="BP136" s="264">
        <f>BP85</f>
        <v>29.7</v>
      </c>
      <c r="BQ136" s="264">
        <f>BQ85</f>
        <v>119.3</v>
      </c>
      <c r="BR136" s="264">
        <f>BR85</f>
        <v>30</v>
      </c>
      <c r="BS136" s="264">
        <f>BS85</f>
        <v>30.2</v>
      </c>
      <c r="BT136" s="264">
        <f>BT85</f>
        <v>29.7</v>
      </c>
      <c r="BU136" s="264">
        <f>BU85</f>
        <v>30.1</v>
      </c>
      <c r="BV136" s="264">
        <f>BV85</f>
        <v>120</v>
      </c>
      <c r="BW136" s="264">
        <f>BW85</f>
        <v>29.6</v>
      </c>
      <c r="BX136" s="264">
        <f>BX85</f>
        <v>32.9</v>
      </c>
      <c r="BY136" s="264">
        <f>BY85</f>
        <v>32.9</v>
      </c>
      <c r="BZ136" s="264">
        <f>BZ85</f>
        <v>33.4</v>
      </c>
      <c r="CA136" s="264">
        <f>CA85</f>
        <v>128.8</v>
      </c>
      <c r="CB136" s="264">
        <f>CB85</f>
        <v>33.3</v>
      </c>
      <c r="CC136" s="261">
        <f>CC85</f>
        <v>32.8916419634264</v>
      </c>
      <c r="CD136" s="261">
        <f>CD85</f>
        <v>32.9180500939567</v>
      </c>
      <c r="CE136" s="261">
        <f>CE85</f>
        <v>35.9099465459843</v>
      </c>
      <c r="CF136" s="261">
        <f>CF85</f>
        <v>135.019638603367</v>
      </c>
      <c r="CG136" s="261">
        <f>CG85</f>
        <v>146.132699446449</v>
      </c>
      <c r="CH136" s="261">
        <f>CH85</f>
        <v>159.192398009467</v>
      </c>
      <c r="CI136" s="261">
        <f>CI85</f>
        <v>169.220482001328</v>
      </c>
      <c r="CJ136" s="261">
        <f>CJ85</f>
        <v>181.356922746103</v>
      </c>
      <c r="CK136" s="261">
        <f>CK85</f>
        <v>196.830445999916</v>
      </c>
      <c r="CL136" s="153" t="n"/>
    </row>
    <row r="137" ht="15" customHeight="1" s="251">
      <c r="B137" s="156" t="inlineStr">
        <is>
          <t xml:space="preserve">  Memo: stock-based compensation</t>
        </is>
      </c>
      <c r="C137" s="264">
        <f>C91</f>
        <v>0.365</v>
      </c>
      <c r="D137" s="264">
        <f>D91</f>
        <v>0.767</v>
      </c>
      <c r="E137" s="264">
        <f>E91</f>
        <v>1.255</v>
      </c>
      <c r="F137" s="264">
        <f>F91</f>
        <v>2.502</v>
      </c>
      <c r="G137" s="264">
        <f>G91</f>
        <v>3.182</v>
      </c>
      <c r="H137" s="264">
        <f>H91</f>
        <v>4.057</v>
      </c>
      <c r="I137" s="264">
        <f>I91</f>
        <v>4.121</v>
      </c>
      <c r="J137" s="264">
        <f>J91</f>
        <v>1.127</v>
      </c>
      <c r="K137" s="264">
        <f>K91</f>
        <v>1.313</v>
      </c>
      <c r="L137" s="264">
        <f>L91</f>
        <v>1.573</v>
      </c>
      <c r="M137" s="264">
        <f>M91</f>
        <v>1.275</v>
      </c>
      <c r="N137" s="264">
        <f>N91</f>
        <v>5.288</v>
      </c>
      <c r="O137" s="264">
        <f>O91</f>
        <v>1.22</v>
      </c>
      <c r="P137" s="264">
        <f>P91</f>
        <v>1.519</v>
      </c>
      <c r="Q137" s="264">
        <f>Q91</f>
        <v>1.561</v>
      </c>
      <c r="R137" s="264">
        <f>R91</f>
        <v>1.533</v>
      </c>
      <c r="S137" s="264">
        <f>S91</f>
        <v>5.833</v>
      </c>
      <c r="T137" s="264">
        <f>T91</f>
        <v>1.767</v>
      </c>
      <c r="U137" s="264">
        <f>U91</f>
        <v>2.268</v>
      </c>
      <c r="V137" s="264">
        <f>V91</f>
        <v>2.196</v>
      </c>
      <c r="W137" s="264">
        <f>W91</f>
        <v>2.108</v>
      </c>
      <c r="X137" s="264">
        <f>X91</f>
        <v>8.339</v>
      </c>
      <c r="Y137" s="264">
        <f>Y91</f>
        <v>2.132</v>
      </c>
      <c r="Z137" s="264">
        <f>Z91</f>
        <v>2.496</v>
      </c>
      <c r="AA137" s="264">
        <f>AA91</f>
        <v>2.565</v>
      </c>
      <c r="AB137" s="264">
        <f>AB91</f>
        <v>3.007</v>
      </c>
      <c r="AC137" s="264">
        <f>AC91</f>
        <v>10.2</v>
      </c>
      <c r="AD137" s="264">
        <f>AD91</f>
        <v>2.774</v>
      </c>
      <c r="AE137" s="264">
        <f>AE91</f>
        <v>3.178</v>
      </c>
      <c r="AF137" s="264">
        <f>AF91</f>
        <v>2.962</v>
      </c>
      <c r="AG137" s="264">
        <f>AG91</f>
        <v>3.197</v>
      </c>
      <c r="AH137" s="264">
        <f>AH91</f>
        <v>12.111</v>
      </c>
      <c r="AI137" s="264">
        <f>AI91</f>
        <v>3.228</v>
      </c>
      <c r="AJ137" s="264">
        <f>AJ91</f>
        <v>3.402</v>
      </c>
      <c r="AK137" s="264">
        <f>AK91</f>
        <v>3.267</v>
      </c>
      <c r="AL137" s="264">
        <f>AL91</f>
        <v>3.506</v>
      </c>
      <c r="AM137" s="264">
        <f>AM91</f>
        <v>13.403</v>
      </c>
      <c r="AN137" s="264">
        <f>AN91</f>
        <v>3.766</v>
      </c>
      <c r="AO137" s="264">
        <f>AO91</f>
        <v>4.039</v>
      </c>
      <c r="AP137" s="264">
        <f>AP91</f>
        <v>3.904</v>
      </c>
      <c r="AQ137" s="264">
        <f>AQ91</f>
        <v>4.378</v>
      </c>
      <c r="AR137" s="264">
        <f>AR91</f>
        <v>16.087</v>
      </c>
      <c r="AS137" s="264">
        <f>AS91</f>
        <v>4.802</v>
      </c>
      <c r="AT137" s="264">
        <f>AT91</f>
        <v>5.059</v>
      </c>
      <c r="AU137" s="264">
        <f>AU91</f>
        <v>5.135</v>
      </c>
      <c r="AV137" s="264">
        <f>AV91</f>
        <v>5.154</v>
      </c>
      <c r="AW137" s="264">
        <f>AW91</f>
        <v>20.15</v>
      </c>
      <c r="AX137" s="264">
        <f>AX91</f>
        <v>5.438</v>
      </c>
      <c r="AY137" s="264">
        <f>AY91</f>
        <v>5.231</v>
      </c>
      <c r="AZ137" s="264">
        <f>AZ91</f>
        <v>5.173</v>
      </c>
      <c r="BA137" s="264">
        <f>BA91</f>
        <v>5.457</v>
      </c>
      <c r="BB137" s="264">
        <f>BB91</f>
        <v>21.299</v>
      </c>
      <c r="BC137" s="264">
        <f>BC91</f>
        <v>5.772</v>
      </c>
      <c r="BD137" s="264">
        <f>BD91</f>
        <v>6.224</v>
      </c>
      <c r="BE137" s="264">
        <f>BE91</f>
        <v>6.038</v>
      </c>
      <c r="BF137" s="264">
        <f>BF91</f>
        <v>5.891</v>
      </c>
      <c r="BG137" s="264">
        <f>BG91</f>
        <v>23.925</v>
      </c>
      <c r="BH137" s="264">
        <f>BH91</f>
        <v>3.819</v>
      </c>
      <c r="BI137" s="264">
        <f>BI91</f>
        <v>4.354</v>
      </c>
      <c r="BJ137" s="264">
        <f>BJ91</f>
        <v>2.874</v>
      </c>
      <c r="BK137" s="264">
        <f>BK91</f>
        <v>2.953</v>
      </c>
      <c r="BL137" s="264">
        <f>BL91</f>
        <v>14</v>
      </c>
      <c r="BM137" s="264">
        <f>BM91</f>
        <v>5.4</v>
      </c>
      <c r="BN137" s="264">
        <f>BN91</f>
        <v>3.7</v>
      </c>
      <c r="BO137" s="264">
        <f>BO91</f>
        <v>4.2</v>
      </c>
      <c r="BP137" s="264">
        <f>BP91</f>
        <v>4.1</v>
      </c>
      <c r="BQ137" s="264">
        <f>BQ91</f>
        <v>17.4</v>
      </c>
      <c r="BR137" s="264">
        <f>BR91</f>
        <v>6.5</v>
      </c>
      <c r="BS137" s="264">
        <f>BS91</f>
        <v>6.6</v>
      </c>
      <c r="BT137" s="264">
        <f>BT91</f>
        <v>7.2</v>
      </c>
      <c r="BU137" s="264">
        <f>BU91</f>
        <v>8.1</v>
      </c>
      <c r="BV137" s="264">
        <f>BV91</f>
        <v>28.4</v>
      </c>
      <c r="BW137" s="264">
        <f>BW91</f>
        <v>6.6</v>
      </c>
      <c r="BX137" s="264">
        <f>BX91</f>
        <v>7.4</v>
      </c>
      <c r="BY137" s="264">
        <f>BY91</f>
        <v>9.3</v>
      </c>
      <c r="BZ137" s="264">
        <f>BZ91</f>
        <v>11.2</v>
      </c>
      <c r="CA137" s="264">
        <f>CA91</f>
        <v>34.5</v>
      </c>
      <c r="CB137" s="264">
        <f>CB91</f>
        <v>6.7</v>
      </c>
      <c r="CC137" s="261">
        <f>CC91</f>
        <v>6.57747834456208</v>
      </c>
      <c r="CD137" s="261">
        <f>CD91</f>
        <v>6.59029968329784</v>
      </c>
      <c r="CE137" s="261">
        <f>CE91</f>
        <v>7.95258274334019</v>
      </c>
      <c r="CF137" s="261">
        <f>CF91</f>
        <v>27.8203607712001</v>
      </c>
      <c r="CG137" s="261">
        <f>CG91</f>
        <v>42.9259496441455</v>
      </c>
      <c r="CH137" s="261">
        <f>CH91</f>
        <v>47.9946844346575</v>
      </c>
      <c r="CI137" s="261">
        <f>CI91</f>
        <v>53.0874527151393</v>
      </c>
      <c r="CJ137" s="261">
        <f>CJ91</f>
        <v>58.2800931939234</v>
      </c>
      <c r="CK137" s="261">
        <f>CK91</f>
        <v>63.4059295713744</v>
      </c>
      <c r="CL137" s="153" t="n"/>
    </row>
    <row r="138" ht="15" customHeight="1" s="251">
      <c r="B138" s="25" t="inlineStr">
        <is>
          <t>(Earnings per share — RBC common stock)</t>
        </is>
      </c>
      <c r="CL138" s="153" t="n"/>
    </row>
    <row r="139" ht="15" customHeight="1" s="251">
      <c r="B139" s="25" t="inlineStr">
        <is>
          <t xml:space="preserve">  Weighted-average basic shares (m)</t>
        </is>
      </c>
      <c r="C139" s="259" t="n">
        <v>12.931185</v>
      </c>
      <c r="D139" s="259" t="n">
        <v>20.579498</v>
      </c>
      <c r="E139" s="259" t="n">
        <v>21.457846</v>
      </c>
      <c r="F139" s="259" t="n">
        <v>21.570979</v>
      </c>
      <c r="G139" s="259" t="n">
        <v>21.590421</v>
      </c>
      <c r="H139" s="259" t="n">
        <v>21.678626</v>
      </c>
      <c r="I139" s="259" t="n">
        <v>21.880554</v>
      </c>
      <c r="J139" s="259" t="n">
        <v>22.030272</v>
      </c>
      <c r="K139" s="259" t="n">
        <v>22.292147</v>
      </c>
      <c r="L139" s="259" t="n">
        <v>22.538502</v>
      </c>
      <c r="M139" s="259" t="n">
        <v>22.743352</v>
      </c>
      <c r="N139" s="259" t="n">
        <v>22.401068</v>
      </c>
      <c r="O139" s="259" t="n">
        <v>22.786979</v>
      </c>
      <c r="P139" s="259" t="n">
        <v>22.827498</v>
      </c>
      <c r="Q139" s="259" t="n">
        <v>22.908556</v>
      </c>
      <c r="R139" s="259" t="n">
        <v>22.976336</v>
      </c>
      <c r="S139" s="259" t="n">
        <v>22.874842</v>
      </c>
      <c r="T139" s="259" t="n">
        <v>23.005437</v>
      </c>
      <c r="U139" s="259" t="n">
        <v>23.134902</v>
      </c>
      <c r="V139" s="259" t="n">
        <v>23.090635</v>
      </c>
      <c r="W139" s="259" t="n">
        <v>23.122167</v>
      </c>
      <c r="X139" s="259" t="n">
        <v>23.07394</v>
      </c>
      <c r="Y139" s="259" t="n">
        <v>23.16256</v>
      </c>
      <c r="Z139" s="259" t="n">
        <v>23.21064</v>
      </c>
      <c r="AA139" s="259" t="n">
        <v>23.220707</v>
      </c>
      <c r="AB139" s="259" t="n">
        <v>23.238542</v>
      </c>
      <c r="AC139" s="259" t="n">
        <v>23.208686</v>
      </c>
      <c r="AD139" s="259" t="n">
        <v>23.320579</v>
      </c>
      <c r="AE139" s="259" t="n">
        <v>23.47065</v>
      </c>
      <c r="AF139" s="259" t="n">
        <v>23.581921</v>
      </c>
      <c r="AG139" s="259" t="n">
        <v>23.713311</v>
      </c>
      <c r="AH139" s="259" t="n">
        <v>23.521615</v>
      </c>
      <c r="AI139" s="259" t="n">
        <v>23.805138</v>
      </c>
      <c r="AJ139" s="259" t="n">
        <v>23.94636</v>
      </c>
      <c r="AK139" s="259" t="n">
        <v>23.985925</v>
      </c>
      <c r="AL139" s="259" t="n">
        <v>24.056839</v>
      </c>
      <c r="AM139" s="259" t="n">
        <v>23.948565</v>
      </c>
      <c r="AN139" s="259" t="n">
        <v>24.140778</v>
      </c>
      <c r="AO139" s="259" t="n">
        <v>24.325754</v>
      </c>
      <c r="AP139" s="259" t="n">
        <v>24.457555</v>
      </c>
      <c r="AQ139" s="259" t="n">
        <v>24.506648</v>
      </c>
      <c r="AR139" s="259" t="n">
        <v>24.357684</v>
      </c>
      <c r="AS139" s="259" t="n">
        <v>24.501707</v>
      </c>
      <c r="AT139" s="259" t="n">
        <v>24.584369</v>
      </c>
      <c r="AU139" s="259" t="n">
        <v>24.699461</v>
      </c>
      <c r="AV139" s="259" t="n">
        <v>24.745009</v>
      </c>
      <c r="AW139" s="259" t="n">
        <v>24.632637</v>
      </c>
      <c r="AX139" s="259" t="n">
        <v>24.763903</v>
      </c>
      <c r="AY139" s="259" t="n">
        <v>24.823658</v>
      </c>
      <c r="AZ139" s="259" t="n">
        <v>24.861792</v>
      </c>
      <c r="BA139" s="259" t="n">
        <v>24.948546</v>
      </c>
      <c r="BB139" s="259" t="n">
        <v>24.851344</v>
      </c>
      <c r="BC139" s="259" t="n">
        <v>25.021063</v>
      </c>
      <c r="BD139" s="259" t="n">
        <v>25.500393</v>
      </c>
      <c r="BE139" s="259" t="n">
        <v>28.618495</v>
      </c>
      <c r="BF139" s="259" t="n">
        <v>28.645468</v>
      </c>
      <c r="BG139" s="259" t="n">
        <v>26.946355</v>
      </c>
      <c r="BH139" s="259" t="n">
        <v>28.670488</v>
      </c>
      <c r="BI139" s="259" t="n">
        <v>28.758403</v>
      </c>
      <c r="BJ139" s="259" t="n">
        <v>28.805305</v>
      </c>
      <c r="BK139" s="259" t="n">
        <v>28.822172</v>
      </c>
      <c r="BL139" s="259" t="n">
        <v>28.764092</v>
      </c>
      <c r="BM139" s="259" t="n">
        <v>28.846874</v>
      </c>
      <c r="BN139" s="259" t="n">
        <v>28.885411</v>
      </c>
      <c r="BO139" s="259" t="n">
        <v>28.924073</v>
      </c>
      <c r="BP139" s="259" t="n">
        <v>29.011673</v>
      </c>
      <c r="BQ139" s="259" t="n">
        <v>28.917008</v>
      </c>
      <c r="BR139" s="259" t="n">
        <v>29.05482</v>
      </c>
      <c r="BS139" s="259" t="n">
        <v>29.124564</v>
      </c>
      <c r="BT139" s="259" t="n">
        <v>31.041126</v>
      </c>
      <c r="BU139" s="259" t="n">
        <v>31.325492</v>
      </c>
      <c r="BV139" s="259" t="n">
        <v>30.136501</v>
      </c>
      <c r="BW139" s="259" t="n">
        <v>31.374859</v>
      </c>
      <c r="BX139" s="259" t="n">
        <v>31.493205</v>
      </c>
      <c r="BY139" s="259" t="n">
        <v>31.522574</v>
      </c>
      <c r="BZ139" s="259" t="n">
        <v>31.534801</v>
      </c>
      <c r="CA139" s="259" t="n">
        <v>31.48136</v>
      </c>
      <c r="CB139" s="259" t="n">
        <v>31.559554</v>
      </c>
      <c r="CC139" s="261">
        <f>CB139+CC140</f>
        <v>31.579554</v>
      </c>
      <c r="CD139" s="261">
        <f>CC139+CD140</f>
        <v>31.599554</v>
      </c>
      <c r="CE139" s="261">
        <f>CD139+CE140</f>
        <v>31.619554</v>
      </c>
      <c r="CF139" s="261">
        <f>AVERAGE(CB139:CE139)</f>
        <v>31.589554</v>
      </c>
      <c r="CG139" s="261">
        <f>AVERAGE(CG273,CG274)</f>
        <v>31.275132222643</v>
      </c>
      <c r="CH139" s="261">
        <f>AVERAGE(CH273,CH274)</f>
        <v>30.5864636456045</v>
      </c>
      <c r="CI139" s="261">
        <f>AVERAGE(CI273,CI274)</f>
        <v>30.0599266414758</v>
      </c>
      <c r="CJ139" s="261">
        <f>AVERAGE(CJ273,CJ274)</f>
        <v>29.4818621313542</v>
      </c>
      <c r="CK139" s="261">
        <f>AVERAGE(CK273,CK274)</f>
        <v>28.8824749331187</v>
      </c>
      <c r="CL139" s="19" t="inlineStr">
        <is>
          <t>Q2–Q4/27E: prior quarter + equity-plan issuance (no open-market buybacks: the $100m 2019 authorization is unused). FY2028E+: average of beginning and ending shares.</t>
        </is>
      </c>
    </row>
    <row r="140" ht="15" customHeight="1" s="251">
      <c r="B140" s="25" t="inlineStr">
        <is>
          <t xml:space="preserve">  Shares issued under equity plans per quarter (m; Q2–Q4/27E input)</t>
        </is>
      </c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  <c r="AP140" s="36" t="n"/>
      <c r="AQ140" s="36" t="n"/>
      <c r="AR140" s="36" t="n"/>
      <c r="AS140" s="36" t="n"/>
      <c r="AT140" s="36" t="n"/>
      <c r="AU140" s="36" t="n"/>
      <c r="AV140" s="36" t="n"/>
      <c r="AW140" s="36" t="n"/>
      <c r="AX140" s="36" t="n"/>
      <c r="AY140" s="36" t="n"/>
      <c r="AZ140" s="36" t="n"/>
      <c r="BA140" s="36" t="n"/>
      <c r="BB140" s="36" t="n"/>
      <c r="BC140" s="36" t="n"/>
      <c r="BD140" s="36" t="n"/>
      <c r="BE140" s="36" t="n"/>
      <c r="BF140" s="36" t="n"/>
      <c r="BG140" s="36" t="n"/>
      <c r="BH140" s="36" t="n"/>
      <c r="BI140" s="36" t="n"/>
      <c r="BJ140" s="36" t="n"/>
      <c r="BK140" s="36" t="n"/>
      <c r="BL140" s="36" t="n"/>
      <c r="BM140" s="36" t="n"/>
      <c r="BN140" s="36" t="n"/>
      <c r="BO140" s="36" t="n"/>
      <c r="BP140" s="36" t="n"/>
      <c r="BQ140" s="36" t="n"/>
      <c r="BR140" s="36" t="n"/>
      <c r="BS140" s="36" t="n"/>
      <c r="BT140" s="36" t="n"/>
      <c r="BU140" s="36" t="n"/>
      <c r="BV140" s="36" t="n"/>
      <c r="BW140" s="36" t="n"/>
      <c r="BX140" s="36" t="n"/>
      <c r="BY140" s="36" t="n"/>
      <c r="BZ140" s="36" t="n"/>
      <c r="CA140" s="36" t="n"/>
      <c r="CB140" s="36" t="n"/>
      <c r="CC140" s="275" t="n">
        <v>0.02</v>
      </c>
      <c r="CD140" s="275" t="n">
        <v>0.02</v>
      </c>
      <c r="CE140" s="275" t="n">
        <v>0.02</v>
      </c>
      <c r="CF140" s="24" t="n"/>
      <c r="CG140" s="46" t="n"/>
      <c r="CH140" s="46" t="n"/>
      <c r="CI140" s="46" t="n"/>
      <c r="CJ140" s="46" t="n"/>
      <c r="CK140" s="46" t="n"/>
      <c r="CL140" s="19" t="n"/>
    </row>
    <row r="141" ht="15" customHeight="1" s="251">
      <c r="B141" s="25" t="inlineStr">
        <is>
          <t xml:space="preserve">  Weighted-average diluted shares (m)</t>
        </is>
      </c>
      <c r="C141" s="259" t="n">
        <v>14.452264</v>
      </c>
      <c r="D141" s="259" t="n">
        <v>21.335307</v>
      </c>
      <c r="E141" s="259" t="n">
        <v>21.802711</v>
      </c>
      <c r="F141" s="259" t="n">
        <v>21.738812</v>
      </c>
      <c r="G141" s="259" t="n">
        <v>21.747082</v>
      </c>
      <c r="H141" s="259" t="n">
        <v>22.078711</v>
      </c>
      <c r="I141" s="259" t="n">
        <v>22.390914</v>
      </c>
      <c r="J141" s="259" t="n">
        <v>22.596404</v>
      </c>
      <c r="K141" s="259" t="n">
        <v>22.714107</v>
      </c>
      <c r="L141" s="259" t="n">
        <v>22.862347</v>
      </c>
      <c r="M141" s="259" t="n">
        <v>23.070315</v>
      </c>
      <c r="N141" s="259" t="n">
        <v>22.810793</v>
      </c>
      <c r="O141" s="259" t="n">
        <v>23.101243</v>
      </c>
      <c r="P141" s="259" t="n">
        <v>23.204508</v>
      </c>
      <c r="Q141" s="259" t="n">
        <v>23.311397</v>
      </c>
      <c r="R141" s="259" t="n">
        <v>23.359817</v>
      </c>
      <c r="S141" s="259" t="n">
        <v>23.244241</v>
      </c>
      <c r="T141" s="259" t="n">
        <v>23.364455</v>
      </c>
      <c r="U141" s="259" t="n">
        <v>23.424421</v>
      </c>
      <c r="V141" s="259" t="n">
        <v>23.37648</v>
      </c>
      <c r="W141" s="259" t="n">
        <v>23.434502</v>
      </c>
      <c r="X141" s="259" t="n">
        <v>23.385061</v>
      </c>
      <c r="Y141" s="259" t="n">
        <v>23.536364</v>
      </c>
      <c r="Z141" s="259" t="n">
        <v>23.495285</v>
      </c>
      <c r="AA141" s="259" t="n">
        <v>23.492321</v>
      </c>
      <c r="AB141" s="259" t="n">
        <v>23.50758</v>
      </c>
      <c r="AC141" s="259" t="n">
        <v>23.508418</v>
      </c>
      <c r="AD141" s="259" t="n">
        <v>23.626751</v>
      </c>
      <c r="AE141" s="259" t="n">
        <v>23.712717</v>
      </c>
      <c r="AF141" s="259" t="n">
        <v>23.81378</v>
      </c>
      <c r="AG141" s="259" t="n">
        <v>23.984298</v>
      </c>
      <c r="AH141" s="259" t="n">
        <v>23.784636</v>
      </c>
      <c r="AI141" s="259" t="n">
        <v>24.189375</v>
      </c>
      <c r="AJ141" s="259" t="n">
        <v>24.309593</v>
      </c>
      <c r="AK141" s="259" t="n">
        <v>24.446115</v>
      </c>
      <c r="AL141" s="259" t="n">
        <v>24.48399</v>
      </c>
      <c r="AM141" s="259" t="n">
        <v>24.363789</v>
      </c>
      <c r="AN141" s="259" t="n">
        <v>24.543589</v>
      </c>
      <c r="AO141" s="259" t="n">
        <v>24.719056</v>
      </c>
      <c r="AP141" s="259" t="n">
        <v>24.800647</v>
      </c>
      <c r="AQ141" s="259" t="n">
        <v>24.786898</v>
      </c>
      <c r="AR141" s="259" t="n">
        <v>24.716213</v>
      </c>
      <c r="AS141" s="259" t="n">
        <v>24.807307</v>
      </c>
      <c r="AT141" s="259" t="n">
        <v>24.905173</v>
      </c>
      <c r="AU141" s="259" t="n">
        <v>24.98148</v>
      </c>
      <c r="AV141" s="259" t="n">
        <v>24.994189</v>
      </c>
      <c r="AW141" s="259" t="n">
        <v>24.922631</v>
      </c>
      <c r="AX141" s="259" t="n">
        <v>24.933941</v>
      </c>
      <c r="AY141" s="259" t="n">
        <v>24.957158</v>
      </c>
      <c r="AZ141" s="259" t="n">
        <v>25.060812</v>
      </c>
      <c r="BA141" s="259" t="n">
        <v>25.231485</v>
      </c>
      <c r="BB141" s="259" t="n">
        <v>25.048451</v>
      </c>
      <c r="BC141" s="259" t="n">
        <v>25.308723</v>
      </c>
      <c r="BD141" s="259" t="n">
        <v>25.775794</v>
      </c>
      <c r="BE141" s="259" t="n">
        <v>28.618495</v>
      </c>
      <c r="BF141" s="259" t="n">
        <v>28.865257</v>
      </c>
      <c r="BG141" s="259" t="n">
        <v>27.214232</v>
      </c>
      <c r="BH141" s="259" t="n">
        <v>28.944955</v>
      </c>
      <c r="BI141" s="259" t="n">
        <v>29.093791</v>
      </c>
      <c r="BJ141" s="259" t="n">
        <v>29.120318</v>
      </c>
      <c r="BK141" s="259" t="n">
        <v>29.13295</v>
      </c>
      <c r="BL141" s="259" t="n">
        <v>29.072429</v>
      </c>
      <c r="BM141" s="259" t="n">
        <v>29.114819</v>
      </c>
      <c r="BN141" s="259" t="n">
        <v>29.138596</v>
      </c>
      <c r="BO141" s="259" t="n">
        <v>29.20457</v>
      </c>
      <c r="BP141" s="259" t="n">
        <v>29.285853</v>
      </c>
      <c r="BQ141" s="259" t="n">
        <v>29.189056</v>
      </c>
      <c r="BR141" s="259" t="n">
        <v>29.294998</v>
      </c>
      <c r="BS141" s="259" t="n">
        <v>29.336466</v>
      </c>
      <c r="BT141" s="259" t="n">
        <v>31.222623</v>
      </c>
      <c r="BU141" s="259" t="n">
        <v>31.546961</v>
      </c>
      <c r="BV141" s="259" t="n">
        <v>30.35447</v>
      </c>
      <c r="BW141" s="259" t="n">
        <v>31.553214</v>
      </c>
      <c r="BX141" s="259" t="n">
        <v>31.615328</v>
      </c>
      <c r="BY141" s="259" t="n">
        <v>31.644592</v>
      </c>
      <c r="BZ141" s="259" t="n">
        <v>31.710228</v>
      </c>
      <c r="CA141" s="259" t="n">
        <v>31.634888</v>
      </c>
      <c r="CB141" s="259" t="n">
        <v>31.714686</v>
      </c>
      <c r="CC141" s="261">
        <f>CC139+(CB141-CB139)</f>
        <v>31.734686</v>
      </c>
      <c r="CD141" s="261">
        <f>CD139+(CB141-CB139)</f>
        <v>31.754686</v>
      </c>
      <c r="CE141" s="261">
        <f>CE139+(CB141-CB139)</f>
        <v>31.774686</v>
      </c>
      <c r="CF141" s="261">
        <f>AVERAGE(CB141:CE141)</f>
        <v>31.744686</v>
      </c>
      <c r="CG141" s="261">
        <f>CG139+CG335</f>
        <v>31.435132222643</v>
      </c>
      <c r="CH141" s="261">
        <f>CH139+CH335</f>
        <v>30.7464636456045</v>
      </c>
      <c r="CI141" s="261">
        <f>CI139+CI335</f>
        <v>30.2199266414758</v>
      </c>
      <c r="CJ141" s="261">
        <f>CJ139+CJ335</f>
        <v>29.6418621313542</v>
      </c>
      <c r="CK141" s="261">
        <f>CK139+CK335</f>
        <v>29.0424749331187</v>
      </c>
      <c r="CL141" s="19" t="n"/>
      <c r="CN141" s="20">
        <f>IFERROR((CK141/CF141)^(1/5)-1,"n/m")</f>
        <v>-0.0176358219755892</v>
      </c>
      <c r="CO141" s="20">
        <f>IFERROR((CA141/BB141)^(1/5)-1,"n/m")</f>
        <v>0.0477968425555611</v>
      </c>
      <c r="CP141" s="20">
        <f>IFERROR((CA141/AC141)^(1/10)-1,"n/m")</f>
        <v>0.0301353478041628</v>
      </c>
      <c r="CQ141" s="20">
        <f>IFERROR((CA141/C141)^(1/20)-1,"n/m")</f>
        <v>0.0399477526826595</v>
      </c>
    </row>
    <row r="142" ht="15" customHeight="1" s="251">
      <c r="B142" s="55" t="inlineStr">
        <is>
          <t>EPS – diluted ($)</t>
        </is>
      </c>
      <c r="C142" s="276">
        <f>IF(ISNUMBER(C141),IFERROR(C131/C141,""),"")</f>
        <v>0.755314184684144</v>
      </c>
      <c r="D142" s="276">
        <f>IF(ISNUMBER(D141),IFERROR(D131/D141,""),"")</f>
        <v>1.33482963240229</v>
      </c>
      <c r="E142" s="276">
        <f>IF(ISNUMBER(E141),IFERROR(E131/E141,""),"")</f>
        <v>1.84353221028339</v>
      </c>
      <c r="F142" s="276">
        <f>IF(ISNUMBER(F141),IFERROR(F131/F141,""),"")</f>
        <v>1.5849072157209</v>
      </c>
      <c r="G142" s="276">
        <f>IF(ISNUMBER(G141),IFERROR(G131/G141,""),"")</f>
        <v>1.12129985990764</v>
      </c>
      <c r="H142" s="276">
        <f>IF(ISNUMBER(H141),IFERROR(H131/H141,""),"")</f>
        <v>1.57925886162467</v>
      </c>
      <c r="I142" s="276">
        <f>IF(ISNUMBER(I141),IFERROR(I131/I141,""),"")</f>
        <v>2.23291465457819</v>
      </c>
      <c r="J142" s="276">
        <f>IF(ISNUMBER(J141),IFERROR(J131/J141,""),"")</f>
        <v>0.759589888727428</v>
      </c>
      <c r="K142" s="276">
        <f>IF(ISNUMBER(K141),IFERROR(K131/K141,""),"")</f>
        <v>0.726156656741998</v>
      </c>
      <c r="L142" s="276">
        <f>IF(ISNUMBER(L141),IFERROR(L131/L141,""),"")</f>
        <v>0.529648159045089</v>
      </c>
      <c r="M142" s="276">
        <f>IF(ISNUMBER(M141),IFERROR(M131/M141,""),"")</f>
        <v>0.458381257473077</v>
      </c>
      <c r="N142" s="276">
        <f>IF(ISNUMBER(N141),IFERROR(N131/N141,""),"")</f>
        <v>2.4699711228803</v>
      </c>
      <c r="O142" s="276">
        <f>IF(ISNUMBER(O141),IFERROR(O131/O141,""),"")</f>
        <v>0.65433708480535</v>
      </c>
      <c r="P142" s="276">
        <f>IF(ISNUMBER(P141),IFERROR(P131/P141,""),"")</f>
        <v>0.608717926706311</v>
      </c>
      <c r="Q142" s="276">
        <f>IF(ISNUMBER(Q141),IFERROR(Q131/Q141,""),"")</f>
        <v>0.547543332559606</v>
      </c>
      <c r="R142" s="276">
        <f>IF(ISNUMBER(R141),IFERROR(R131/R141,""),"")</f>
        <v>0.77924411822233</v>
      </c>
      <c r="S142" s="276">
        <f>IF(ISNUMBER(S141),IFERROR(S131/S141,""),"")</f>
        <v>2.59023299577732</v>
      </c>
      <c r="T142" s="276">
        <f>IF(ISNUMBER(T141),IFERROR(T131/T141,""),"")</f>
        <v>0.685656909181062</v>
      </c>
      <c r="U142" s="276">
        <f>IF(ISNUMBER(U141),IFERROR(U131/U141,""),"")</f>
        <v>0.565563605606303</v>
      </c>
      <c r="V142" s="276">
        <f>IF(ISNUMBER(V141),IFERROR(V131/V141,""),"")</f>
        <v>0.601074242144241</v>
      </c>
      <c r="W142" s="276">
        <f>IF(ISNUMBER(W141),IFERROR(W131/W141,""),"")</f>
        <v>0.63705215498072</v>
      </c>
      <c r="X142" s="276">
        <f>IF(ISNUMBER(X141),IFERROR(X131/X141,""),"")</f>
        <v>2.49082095616514</v>
      </c>
      <c r="Y142" s="276">
        <f>IF(ISNUMBER(Y141),IFERROR(Y131/Y141,""),"")</f>
        <v>0.569501729324037</v>
      </c>
      <c r="Z142" s="276">
        <f>IF(ISNUMBER(Z141),IFERROR(Z131/Z141,""),"")</f>
        <v>0.617953772427106</v>
      </c>
      <c r="AA142" s="276">
        <f>IF(ISNUMBER(AA141),IFERROR(AA131/AA141,""),"")</f>
        <v>0.725641370216251</v>
      </c>
      <c r="AB142" s="276">
        <f>IF(ISNUMBER(AB141),IFERROR(AB131/AB141,""),"")</f>
        <v>0.805016934963105</v>
      </c>
      <c r="AC142" s="276">
        <f>IF(ISNUMBER(AC141),IFERROR(AC131/AC141,""),"")</f>
        <v>2.71792002337205</v>
      </c>
      <c r="AD142" s="276">
        <f>IF(ISNUMBER(AD141),IFERROR(AD131/AD141,""),"")</f>
        <v>0.763541292664404</v>
      </c>
      <c r="AE142" s="276">
        <f>IF(ISNUMBER(AE141),IFERROR(AE131/AE141,""),"")</f>
        <v>0.768701452473793</v>
      </c>
      <c r="AF142" s="276">
        <f>IF(ISNUMBER(AF141),IFERROR(AF131/AF141,""),"")</f>
        <v>0.536244140997355</v>
      </c>
      <c r="AG142" s="276">
        <f>IF(ISNUMBER(AG141),IFERROR(AG131/AG141,""),"")</f>
        <v>0.899963801317012</v>
      </c>
      <c r="AH142" s="276">
        <f>IF(ISNUMBER(AH141),IFERROR(AH131/AH141,""),"")</f>
        <v>2.96926974203011</v>
      </c>
      <c r="AI142" s="276">
        <f>IF(ISNUMBER(AI141),IFERROR(AI131/AI141,""),"")</f>
        <v>0.901594191664729</v>
      </c>
      <c r="AJ142" s="276">
        <f>IF(ISNUMBER(AJ141),IFERROR(AJ131/AJ141,""),"")</f>
        <v>0.609759283094538</v>
      </c>
      <c r="AK142" s="276">
        <f>IF(ISNUMBER(AK141),IFERROR(AK131/AK141,""),"")</f>
        <v>0.974878830439929</v>
      </c>
      <c r="AL142" s="276">
        <f>IF(ISNUMBER(AL141),IFERROR(AL131/AL141,""),"")</f>
        <v>1.0895691429379</v>
      </c>
      <c r="AM142" s="276">
        <f>IF(ISNUMBER(AM141),IFERROR(AM131/AM141,""),"")</f>
        <v>3.57666042831023</v>
      </c>
      <c r="AN142" s="276">
        <f>IF(ISNUMBER(AN141),IFERROR(AN131/AN141,""),"")</f>
        <v>1.11911098250545</v>
      </c>
      <c r="AO142" s="276">
        <f>IF(ISNUMBER(AO141),IFERROR(AO131/AO141,""),"")</f>
        <v>1.21812904182101</v>
      </c>
      <c r="AP142" s="276">
        <f>IF(ISNUMBER(AP141),IFERROR(AP131/AP141,""),"")</f>
        <v>0.652321691446195</v>
      </c>
      <c r="AQ142" s="276">
        <f>IF(ISNUMBER(AQ141),IFERROR(AQ131/AQ141,""),"")</f>
        <v>1.26829101406719</v>
      </c>
      <c r="AR142" s="276">
        <f>IF(ISNUMBER(AR141),IFERROR(AR131/AR141,""),"")</f>
        <v>4.25603226513706</v>
      </c>
      <c r="AS142" s="276">
        <f>IF(ISNUMBER(AS141),IFERROR(AS131/AS141,""),"")</f>
        <v>1.22943614959899</v>
      </c>
      <c r="AT142" s="276">
        <f>IF(ISNUMBER(AT141),IFERROR(AT131/AT141,""),"")</f>
        <v>1.25556244881334</v>
      </c>
      <c r="AU142" s="276">
        <f>IF(ISNUMBER(AU141),IFERROR(AU131/AU141,""),"")</f>
        <v>1.22150489082312</v>
      </c>
      <c r="AV142" s="276">
        <f>IF(ISNUMBER(AV141),IFERROR(AV131/AV141,""),"")</f>
        <v>1.35039388555476</v>
      </c>
      <c r="AW142" s="276">
        <f>IF(ISNUMBER(AW141),IFERROR(AW131/AW141,""),"")</f>
        <v>5.05709048133803</v>
      </c>
      <c r="AX142" s="276">
        <f>IF(ISNUMBER(AX141),IFERROR(AX131/AX141,""),"")</f>
        <v>0.90996445367381</v>
      </c>
      <c r="AY142" s="276">
        <f>IF(ISNUMBER(AY141),IFERROR(AY131/AY141,""),"")</f>
        <v>0.818242205302383</v>
      </c>
      <c r="AZ142" s="276">
        <f>IF(ISNUMBER(AZ141),IFERROR(AZ131/AZ141,""),"")</f>
        <v>0.860666446083232</v>
      </c>
      <c r="BA142" s="276">
        <f>IF(ISNUMBER(BA141),IFERROR(BA131/BA141,""),"")</f>
        <v>0.989002430891404</v>
      </c>
      <c r="BB142" s="276">
        <f>IF(ISNUMBER(BB141),IFERROR(BB131/BB141,""),"")</f>
        <v>3.57838494683763</v>
      </c>
      <c r="BC142" s="276">
        <f>IF(ISNUMBER(BC141),IFERROR(BC131/BC141,""),"")</f>
        <v>1.02727427219461</v>
      </c>
      <c r="BD142" s="276">
        <f>IF(ISNUMBER(BD141),IFERROR(BD131/BD141,""),"")</f>
        <v>0.249032095771715</v>
      </c>
      <c r="BE142" s="276">
        <f>IF(ISNUMBER(BE141),IFERROR(BE131/BE141,""),"")</f>
        <v>-0.203155337134255</v>
      </c>
      <c r="BF142" s="276">
        <f>IF(ISNUMBER(BF141),IFERROR(BF131/BF141,""),"")</f>
        <v>0.916326502826564</v>
      </c>
      <c r="BG142" s="276">
        <f>IF(ISNUMBER(BG141),IFERROR(BG131/BG141,""),"")</f>
        <v>1.94949466146978</v>
      </c>
      <c r="BH142" s="276">
        <f>IF(ISNUMBER(BH141),IFERROR(BH131/BH141,""),"")</f>
        <v>1.09476763740002</v>
      </c>
      <c r="BI142" s="276">
        <f>IF(ISNUMBER(BI141),IFERROR(BI131/BI141,""),"")</f>
        <v>1.30790793128335</v>
      </c>
      <c r="BJ142" s="276">
        <f>IF(ISNUMBER(BJ141),IFERROR(BJ131/BJ141,""),"")</f>
        <v>1.05005721434773</v>
      </c>
      <c r="BK142" s="276">
        <f>IF(ISNUMBER(BK141),IFERROR(BK131/BK141,""),"")</f>
        <v>1.48989374574151</v>
      </c>
      <c r="BL142" s="276">
        <f>IF(ISNUMBER(BL141),IFERROR(BL131/BL141,""),"")</f>
        <v>4.94626713165247</v>
      </c>
      <c r="BM142" s="276">
        <f>IF(ISNUMBER(BM141),IFERROR(BM131/BM141,""),"")</f>
        <v>1.5207719477837</v>
      </c>
      <c r="BN142" s="276">
        <f>IF(ISNUMBER(BN141),IFERROR(BN131/BN141,""),"")</f>
        <v>1.5775296791925</v>
      </c>
      <c r="BO142" s="276">
        <f>IF(ISNUMBER(BO141),IFERROR(BO131/BO141,""),"")</f>
        <v>1.39498715440768</v>
      </c>
      <c r="BP142" s="276">
        <f>IF(ISNUMBER(BP141),IFERROR(BP131/BP141,""),"")</f>
        <v>1.91163972584305</v>
      </c>
      <c r="BQ142" s="276">
        <f>IF(ISNUMBER(BQ141),IFERROR(BQ131/BQ141,""),"")</f>
        <v>6.40308477259422</v>
      </c>
      <c r="BR142" s="276">
        <f>IF(ISNUMBER(BR141),IFERROR(BR131/BR141,""),"")</f>
        <v>1.90134848276829</v>
      </c>
      <c r="BS142" s="276">
        <f>IF(ISNUMBER(BS141),IFERROR(BS131/BS141,""),"")</f>
        <v>1.65323253318924</v>
      </c>
      <c r="BT142" s="276">
        <f>IF(ISNUMBER(BT141),IFERROR(BT131/BT141,""),"")</f>
        <v>1.82239653599891</v>
      </c>
      <c r="BU142" s="276">
        <f>IF(ISNUMBER(BU141),IFERROR(BU131/BU141,""),"")</f>
        <v>2.30450089946857</v>
      </c>
      <c r="BV142" s="276">
        <f>IF(ISNUMBER(BV141),IFERROR(BV131/BV141,""),"")</f>
        <v>7.70232522590577</v>
      </c>
      <c r="BW142" s="276">
        <f>IF(ISNUMBER(BW141),IFERROR(BW131/BW141,""),"")</f>
        <v>2.17093574049224</v>
      </c>
      <c r="BX142" s="276">
        <f>IF(ISNUMBER(BX141),IFERROR(BX131/BX141,""),"")</f>
        <v>1.89781361749592</v>
      </c>
      <c r="BY142" s="276">
        <f>IF(ISNUMBER(BY141),IFERROR(BY131/BY141,""),"")</f>
        <v>2.12990579875386</v>
      </c>
      <c r="BZ142" s="276">
        <f>IF(ISNUMBER(BZ141),IFERROR(BZ131/BZ141,""),"")</f>
        <v>2.89181143699124</v>
      </c>
      <c r="CA142" s="276">
        <f>IF(ISNUMBER(CA141),IFERROR(CA131/CA141,""),"")</f>
        <v>9.0912286460442</v>
      </c>
      <c r="CB142" s="276">
        <f>IF(ISNUMBER(CB141),IFERROR(CB131/CB141,""),"")</f>
        <v>3.20041005608569</v>
      </c>
      <c r="CC142" s="276">
        <f>IF(ISNUMBER(CC141),IFERROR(CC131/CC141,""),"")</f>
        <v>2.84399851947487</v>
      </c>
      <c r="CD142" s="276">
        <f>IF(ISNUMBER(CD141),IFERROR(CD131/CD141,""),"")</f>
        <v>2.93477413028507</v>
      </c>
      <c r="CE142" s="276">
        <f>IF(ISNUMBER(CE141),IFERROR(CE131/CE141,""),"")</f>
        <v>3.729749235932</v>
      </c>
      <c r="CF142" s="276">
        <f>IF(ISNUMBER(CF141),IFERROR(CF131/CF141,""),"")</f>
        <v>12.7094607840381</v>
      </c>
      <c r="CG142" s="276">
        <f>IF(ISNUMBER(CG141),IFERROR(CG131/CG141,""),"")</f>
        <v>14.5309592475481</v>
      </c>
      <c r="CH142" s="276">
        <f>IF(ISNUMBER(CH141),IFERROR(CH131/CH141,""),"")</f>
        <v>16.5271049732185</v>
      </c>
      <c r="CI142" s="276">
        <f>IF(ISNUMBER(CI141),IFERROR(CI131/CI141,""),"")</f>
        <v>18.8957392837748</v>
      </c>
      <c r="CJ142" s="276">
        <f>IF(ISNUMBER(CJ141),IFERROR(CJ131/CJ141,""),"")</f>
        <v>21.2039686082547</v>
      </c>
      <c r="CK142" s="276">
        <f>IF(ISNUMBER(CK141),IFERROR(CK131/CK141,""),"")</f>
        <v>23.5795423788931</v>
      </c>
      <c r="CL142" s="19" t="inlineStr">
        <is>
          <t>Net income available to common / weighted diluted shares (±$0.01 vs reported; loss quarters use basic shares as reported).</t>
        </is>
      </c>
      <c r="CN142" s="20">
        <f>IFERROR((CK142/CF142)^(1/5)-1,"n/m")</f>
        <v>0.131570584613707</v>
      </c>
      <c r="CO142" s="20">
        <f>IFERROR((CA142/BB142)^(1/5)-1,"n/m")</f>
        <v>0.205000159655302</v>
      </c>
      <c r="CP142" s="20">
        <f>IFERROR((CA142/AC142)^(1/10)-1,"n/m")</f>
        <v>0.128336379407257</v>
      </c>
      <c r="CQ142" s="20">
        <f>IFERROR((CA142/C142)^(1/20)-1,"n/m")</f>
        <v>0.132464891559276</v>
      </c>
    </row>
    <row r="143" ht="15" customHeight="1" s="251">
      <c r="B143" s="22" t="inlineStr">
        <is>
          <t xml:space="preserve">  EPS – diluted y/y %</t>
        </is>
      </c>
      <c r="C143" s="23" t="n"/>
      <c r="D143" s="255">
        <f>IF(AND(ISNUMBER(D142),ISNUMBER(C142)),IFERROR(D142/C142-1,""),"")</f>
        <v>0.767250846693005</v>
      </c>
      <c r="E143" s="255">
        <f>IF(AND(ISNUMBER(E142),ISNUMBER(D142)),IFERROR(E142/D142-1,""),"")</f>
        <v>0.381099254565986</v>
      </c>
      <c r="F143" s="255">
        <f>IF(AND(ISNUMBER(F142),ISNUMBER(E142)),IFERROR(F142/E142-1,""),"")</f>
        <v>-0.140287754735101</v>
      </c>
      <c r="G143" s="255">
        <f>IF(AND(ISNUMBER(G142),ISNUMBER(F142)),IFERROR(G142/F142-1,""),"")</f>
        <v>-0.292513877919587</v>
      </c>
      <c r="H143" s="255">
        <f>IF(AND(ISNUMBER(H142),ISNUMBER(G142)),IFERROR(H142/G142-1,""),"")</f>
        <v>0.408417960343583</v>
      </c>
      <c r="I143" s="255">
        <f>IF(AND(ISNUMBER(I142),ISNUMBER(H142)),IFERROR(I142/H142-1,""),"")</f>
        <v>0.413900348345094</v>
      </c>
      <c r="J143" s="23" t="n"/>
      <c r="K143" s="23" t="n"/>
      <c r="L143" s="23" t="n"/>
      <c r="M143" s="23" t="n"/>
      <c r="N143" s="255">
        <f>IF(AND(ISNUMBER(N142),ISNUMBER(I142)),IFERROR(N142/I142-1,""),"")</f>
        <v>0.106164589773309</v>
      </c>
      <c r="O143" s="255">
        <f>IF(AND(ISNUMBER(O142),ISNUMBER(J142)),IFERROR(O142/J142-1,""),"")</f>
        <v>-0.138565304099047</v>
      </c>
      <c r="P143" s="255">
        <f>IF(AND(ISNUMBER(P142),ISNUMBER(K142)),IFERROR(P142/K142-1,""),"")</f>
        <v>-0.16172643870345</v>
      </c>
      <c r="Q143" s="255">
        <f>IF(AND(ISNUMBER(Q142),ISNUMBER(L142)),IFERROR(Q142/L142-1,""),"")</f>
        <v>0.0337869077970192</v>
      </c>
      <c r="R143" s="255">
        <f>IF(AND(ISNUMBER(R142),ISNUMBER(M142)),IFERROR(R142/M142-1,""),"")</f>
        <v>0.699991231138194</v>
      </c>
      <c r="S143" s="255">
        <f>IF(AND(ISNUMBER(S142),ISNUMBER(N142)),IFERROR(S142/N142-1,""),"")</f>
        <v>0.0486895866040664</v>
      </c>
      <c r="T143" s="255">
        <f>IF(AND(ISNUMBER(T142),ISNUMBER(O142)),IFERROR(T142/O142-1,""),"")</f>
        <v>0.047864969146642</v>
      </c>
      <c r="U143" s="255">
        <f>IF(AND(ISNUMBER(U142),ISNUMBER(P142)),IFERROR(U142/P142-1,""),"")</f>
        <v>-0.0708937903858191</v>
      </c>
      <c r="V143" s="255">
        <f>IF(AND(ISNUMBER(V142),ISNUMBER(Q142)),IFERROR(V142/Q142-1,""),"")</f>
        <v>0.0977656130600537</v>
      </c>
      <c r="W143" s="255">
        <f>IF(AND(ISNUMBER(W142),ISNUMBER(R142)),IFERROR(W142/R142-1,""),"")</f>
        <v>-0.182474220743544</v>
      </c>
      <c r="X143" s="255">
        <f>IF(AND(ISNUMBER(X142),ISNUMBER(S142)),IFERROR(X142/S142-1,""),"")</f>
        <v>-0.038379574260018</v>
      </c>
      <c r="Y143" s="255">
        <f>IF(AND(ISNUMBER(Y142),ISNUMBER(T142)),IFERROR(Y142/T142-1,""),"")</f>
        <v>-0.169407145617127</v>
      </c>
      <c r="Z143" s="255">
        <f>IF(AND(ISNUMBER(Z142),ISNUMBER(U142)),IFERROR(Z142/U142-1,""),"")</f>
        <v>0.0926335540361358</v>
      </c>
      <c r="AA143" s="255">
        <f>IF(AND(ISNUMBER(AA142),ISNUMBER(V142)),IFERROR(AA142/V142-1,""),"")</f>
        <v>0.207240835387714</v>
      </c>
      <c r="AB143" s="255">
        <f>IF(AND(ISNUMBER(AB142),ISNUMBER(W142)),IFERROR(AB142/W142-1,""),"")</f>
        <v>0.263659385921814</v>
      </c>
      <c r="AC143" s="255">
        <f>IF(AND(ISNUMBER(AC142),ISNUMBER(X142)),IFERROR(AC142/X142-1,""),"")</f>
        <v>0.0911743843509973</v>
      </c>
      <c r="AD143" s="255">
        <f>IF(AND(ISNUMBER(AD142),ISNUMBER(Y142)),IFERROR(AD142/Y142-1,""),"")</f>
        <v>0.340718128407934</v>
      </c>
      <c r="AE143" s="255">
        <f>IF(AND(ISNUMBER(AE142),ISNUMBER(Z142)),IFERROR(AE142/Z142-1,""),"")</f>
        <v>0.243946532528804</v>
      </c>
      <c r="AF143" s="255">
        <f>IF(AND(ISNUMBER(AF142),ISNUMBER(AA142)),IFERROR(AF142/AA142-1,""),"")</f>
        <v>-0.261006658375132</v>
      </c>
      <c r="AG143" s="255">
        <f>IF(AND(ISNUMBER(AG142),ISNUMBER(AB142)),IFERROR(AG142/AB142-1,""),"")</f>
        <v>0.11794393661825</v>
      </c>
      <c r="AH143" s="255">
        <f>IF(AND(ISNUMBER(AH142),ISNUMBER(AC142)),IFERROR(AH142/AC142-1,""),"")</f>
        <v>0.0924787030143037</v>
      </c>
      <c r="AI143" s="255">
        <f>IF(AND(ISNUMBER(AI142),ISNUMBER(AD142)),IFERROR(AI142/AD142-1,""),"")</f>
        <v>0.180806068154591</v>
      </c>
      <c r="AJ143" s="255">
        <f>IF(AND(ISNUMBER(AJ142),ISNUMBER(AE142)),IFERROR(AJ142/AE142-1,""),"")</f>
        <v>-0.206767099070459</v>
      </c>
      <c r="AK143" s="255">
        <f>IF(AND(ISNUMBER(AK142),ISNUMBER(AF142)),IFERROR(AK142/AF142-1,""),"")</f>
        <v>0.81797572394313</v>
      </c>
      <c r="AL143" s="255">
        <f>IF(AND(ISNUMBER(AL142),ISNUMBER(AG142)),IFERROR(AL142/AG142-1,""),"")</f>
        <v>0.210681075553722</v>
      </c>
      <c r="AM143" s="255">
        <f>IF(AND(ISNUMBER(AM142),ISNUMBER(AH142)),IFERROR(AM142/AH142-1,""),"")</f>
        <v>0.204558945144823</v>
      </c>
      <c r="AN143" s="255">
        <f>IF(AND(ISNUMBER(AN142),ISNUMBER(AI142)),IFERROR(AN142/AI142-1,""),"")</f>
        <v>0.241257977093989</v>
      </c>
      <c r="AO143" s="255">
        <f>IF(AND(ISNUMBER(AO142),ISNUMBER(AJ142)),IFERROR(AO142/AJ142-1,""),"")</f>
        <v>0.997721191941499</v>
      </c>
      <c r="AP143" s="255">
        <f>IF(AND(ISNUMBER(AP142),ISNUMBER(AK142)),IFERROR(AP142/AK142-1,""),"")</f>
        <v>-0.330868954091633</v>
      </c>
      <c r="AQ143" s="255">
        <f>IF(AND(ISNUMBER(AQ142),ISNUMBER(AL142)),IFERROR(AQ142/AL142-1,""),"")</f>
        <v>0.164029857386922</v>
      </c>
      <c r="AR143" s="255">
        <f>IF(AND(ISNUMBER(AR142),ISNUMBER(AM142)),IFERROR(AR142/AM142-1,""),"")</f>
        <v>0.189945858837876</v>
      </c>
      <c r="AS143" s="255">
        <f>IF(AND(ISNUMBER(AS142),ISNUMBER(AN142)),IFERROR(AS142/AN142-1,""),"")</f>
        <v>0.0985828651654734</v>
      </c>
      <c r="AT143" s="255">
        <f>IF(AND(ISNUMBER(AT142),ISNUMBER(AO142)),IFERROR(AT142/AO142-1,""),"")</f>
        <v>0.0307302475412377</v>
      </c>
      <c r="AU143" s="255">
        <f>IF(AND(ISNUMBER(AU142),ISNUMBER(AP142)),IFERROR(AU142/AP142-1,""),"")</f>
        <v>0.872549858207305</v>
      </c>
      <c r="AV143" s="255">
        <f>IF(AND(ISNUMBER(AV142),ISNUMBER(AQ142)),IFERROR(AV142/AQ142-1,""),"")</f>
        <v>0.0647350415456143</v>
      </c>
      <c r="AW143" s="255">
        <f>IF(AND(ISNUMBER(AW142),ISNUMBER(AR142)),IFERROR(AW142/AR142-1,""),"")</f>
        <v>0.188217138944827</v>
      </c>
      <c r="AX143" s="255">
        <f>IF(AND(ISNUMBER(AX142),ISNUMBER(AS142)),IFERROR(AX142/AS142-1,""),"")</f>
        <v>-0.259852206256813</v>
      </c>
      <c r="AY143" s="255">
        <f>IF(AND(ISNUMBER(AY142),ISNUMBER(AT142)),IFERROR(AY142/AT142-1,""),"")</f>
        <v>-0.348306246275748</v>
      </c>
      <c r="AZ143" s="255">
        <f>IF(AND(ISNUMBER(AZ142),ISNUMBER(AU142)),IFERROR(AZ142/AU142-1,""),"")</f>
        <v>-0.295404830099973</v>
      </c>
      <c r="BA143" s="255">
        <f>IF(AND(ISNUMBER(BA142),ISNUMBER(AV142)),IFERROR(BA142/AV142-1,""),"")</f>
        <v>-0.267619291326168</v>
      </c>
      <c r="BB143" s="255">
        <f>IF(AND(ISNUMBER(BB142),ISNUMBER(AW142)),IFERROR(BB142/AW142-1,""),"")</f>
        <v>-0.292402427830232</v>
      </c>
      <c r="BC143" s="255">
        <f>IF(AND(ISNUMBER(BC142),ISNUMBER(AX142)),IFERROR(BC142/AX142-1,""),"")</f>
        <v>0.128916924224001</v>
      </c>
      <c r="BD143" s="255">
        <f>IF(AND(ISNUMBER(BD142),ISNUMBER(AY142)),IFERROR(BD142/AY142-1,""),"")</f>
        <v>-0.695649901510904</v>
      </c>
      <c r="BE143" s="255">
        <f>IF(AND(ISNUMBER(BE142),ISNUMBER(AZ142)),IFERROR(BE142/AZ142-1,""),"")</f>
        <v>-1.23604421673319</v>
      </c>
      <c r="BF143" s="255">
        <f>IF(AND(ISNUMBER(BF142),ISNUMBER(BA142)),IFERROR(BF142/BA142-1,""),"")</f>
        <v>-0.0734840742497831</v>
      </c>
      <c r="BG143" s="255">
        <f>IF(AND(ISNUMBER(BG142),ISNUMBER(BB142)),IFERROR(BG142/BB142-1,""),"")</f>
        <v>-0.455202642970922</v>
      </c>
      <c r="BH143" s="255">
        <f>IF(AND(ISNUMBER(BH142),ISNUMBER(BC142)),IFERROR(BH142/BC142-1,""),"")</f>
        <v>0.0657014071434148</v>
      </c>
      <c r="BI143" s="255">
        <f>IF(AND(ISNUMBER(BI142),ISNUMBER(BD142)),IFERROR(BI142/BD142-1,""),"")</f>
        <v>4.25196532290476</v>
      </c>
      <c r="BJ143" s="255">
        <f>IF(AND(ISNUMBER(BJ142),ISNUMBER(BE142)),IFERROR(BJ142/BE142-1,""),"")</f>
        <v>-6.16874047790237</v>
      </c>
      <c r="BK143" s="255">
        <f>IF(AND(ISNUMBER(BK142),ISNUMBER(BF142)),IFERROR(BK142/BF142-1,""),"")</f>
        <v>0.625941998998912</v>
      </c>
      <c r="BL143" s="255">
        <f>IF(AND(ISNUMBER(BL142),ISNUMBER(BG142)),IFERROR(BL142/BG142-1,""),"")</f>
        <v>1.53720475844922</v>
      </c>
      <c r="BM143" s="255">
        <f>IF(AND(ISNUMBER(BM142),ISNUMBER(BH142)),IFERROR(BM142/BH142-1,""),"")</f>
        <v>0.389127606471272</v>
      </c>
      <c r="BN143" s="255">
        <f>IF(AND(ISNUMBER(BN142),ISNUMBER(BI142)),IFERROR(BN142/BI142-1,""),"")</f>
        <v>0.206147345283396</v>
      </c>
      <c r="BO143" s="255">
        <f>IF(AND(ISNUMBER(BO142),ISNUMBER(BJ142)),IFERROR(BO142/BJ142-1,""),"")</f>
        <v>0.328486805620605</v>
      </c>
      <c r="BP143" s="255">
        <f>IF(AND(ISNUMBER(BP142),ISNUMBER(BK142)),IFERROR(BP142/BK142-1,""),"")</f>
        <v>0.283071179610631</v>
      </c>
      <c r="BQ143" s="255">
        <f>IF(AND(ISNUMBER(BQ142),ISNUMBER(BL142)),IFERROR(BQ142/BL142-1,""),"")</f>
        <v>0.294528702588503</v>
      </c>
      <c r="BR143" s="255">
        <f>IF(AND(ISNUMBER(BR142),ISNUMBER(BM142)),IFERROR(BR142/BM142-1,""),"")</f>
        <v>0.250252206150446</v>
      </c>
      <c r="BS143" s="255">
        <f>IF(AND(ISNUMBER(BS142),ISNUMBER(BN142)),IFERROR(BS142/BN142-1,""),"")</f>
        <v>0.0479882280474653</v>
      </c>
      <c r="BT143" s="255">
        <f>IF(AND(ISNUMBER(BT142),ISNUMBER(BO142)),IFERROR(BT142/BO142-1,""),"")</f>
        <v>0.306389474799651</v>
      </c>
      <c r="BU143" s="255">
        <f>IF(AND(ISNUMBER(BU142),ISNUMBER(BP142)),IFERROR(BU142/BP142-1,""),"")</f>
        <v>0.205510048946206</v>
      </c>
      <c r="BV143" s="255">
        <f>IF(AND(ISNUMBER(BV142),ISNUMBER(BQ142)),IFERROR(BV142/BQ142-1,""),"")</f>
        <v>0.202908519792275</v>
      </c>
      <c r="BW143" s="255">
        <f>IF(AND(ISNUMBER(BW142),ISNUMBER(BR142)),IFERROR(BW142/BR142-1,""),"")</f>
        <v>0.141787399925468</v>
      </c>
      <c r="BX143" s="255">
        <f>IF(AND(ISNUMBER(BX142),ISNUMBER(BS142)),IFERROR(BX142/BS142-1,""),"")</f>
        <v>0.147941127092908</v>
      </c>
      <c r="BY143" s="255">
        <f>IF(AND(ISNUMBER(BY142),ISNUMBER(BT142)),IFERROR(BY142/BT142-1,""),"")</f>
        <v>0.16873894165212</v>
      </c>
      <c r="BZ143" s="255">
        <f>IF(AND(ISNUMBER(BZ142),ISNUMBER(BU142)),IFERROR(BZ142/BU142-1,""),"")</f>
        <v>0.254853681184549</v>
      </c>
      <c r="CA143" s="255">
        <f>IF(AND(ISNUMBER(CA142),ISNUMBER(BV142)),IFERROR(CA142/BV142-1,""),"")</f>
        <v>0.180322614197987</v>
      </c>
      <c r="CB143" s="255">
        <f>IF(AND(ISNUMBER(CB142),ISNUMBER(BW142)),IFERROR(CB142/BW142-1,""),"")</f>
        <v>0.474207640692317</v>
      </c>
      <c r="CC143" s="256">
        <f>IF(AND(ISNUMBER(CC142),ISNUMBER(BX142)),IFERROR(CC142/BX142-1,""),"")</f>
        <v>0.498565767078542</v>
      </c>
      <c r="CD143" s="256">
        <f>IF(AND(ISNUMBER(CD142),ISNUMBER(BY142)),IFERROR(CD142/BY142-1,""),"")</f>
        <v>0.377889168620561</v>
      </c>
      <c r="CE143" s="256">
        <f>IF(AND(ISNUMBER(CE142),ISNUMBER(BZ142)),IFERROR(CE142/BZ142-1,""),"")</f>
        <v>0.289762253590288</v>
      </c>
      <c r="CF143" s="256">
        <f>IF(AND(ISNUMBER(CF142),ISNUMBER(CA142)),IFERROR(CF142/CA142-1,""),"")</f>
        <v>0.397991545352707</v>
      </c>
      <c r="CG143" s="256">
        <f>IF(AND(ISNUMBER(CG142),ISNUMBER(CF142)),IFERROR(CG142/CF142-1,""),"")</f>
        <v>0.143318311804193</v>
      </c>
      <c r="CH143" s="256">
        <f>IF(AND(ISNUMBER(CH142),ISNUMBER(CG142)),IFERROR(CH142/CG142-1,""),"")</f>
        <v>0.137371916861393</v>
      </c>
      <c r="CI143" s="256">
        <f>IF(AND(ISNUMBER(CI142),ISNUMBER(CH142)),IFERROR(CI142/CH142-1,""),"")</f>
        <v>0.143318162158134</v>
      </c>
      <c r="CJ143" s="256">
        <f>IF(AND(ISNUMBER(CJ142),ISNUMBER(CI142)),IFERROR(CJ142/CI142-1,""),"")</f>
        <v>0.122156073907195</v>
      </c>
      <c r="CK143" s="256">
        <f>IF(AND(ISNUMBER(CK142),ISNUMBER(CJ142)),IFERROR(CK142/CJ142-1,""),"")</f>
        <v>0.112034393868778</v>
      </c>
      <c r="CL143" s="153" t="n"/>
    </row>
    <row r="144" ht="15" customHeight="1" s="251">
      <c r="B144" s="156" t="inlineStr">
        <is>
          <t xml:space="preserve">  Memo: EPS – diluted as reported ($)</t>
        </is>
      </c>
      <c r="C144" s="277" t="n">
        <v>0.76</v>
      </c>
      <c r="D144" s="277" t="n">
        <v>1.33</v>
      </c>
      <c r="E144" s="277" t="n">
        <v>1.84</v>
      </c>
      <c r="F144" s="277" t="n">
        <v>1.58</v>
      </c>
      <c r="G144" s="277" t="n">
        <v>1.12</v>
      </c>
      <c r="H144" s="277" t="n">
        <v>1.58</v>
      </c>
      <c r="I144" s="277" t="n">
        <v>2.23</v>
      </c>
      <c r="J144" s="277" t="n">
        <v>0.76</v>
      </c>
      <c r="K144" s="277" t="n">
        <v>0.73</v>
      </c>
      <c r="L144" s="277" t="n">
        <v>0.53</v>
      </c>
      <c r="M144" s="277" t="n">
        <v>0.46</v>
      </c>
      <c r="N144" s="277" t="n">
        <v>2.47</v>
      </c>
      <c r="O144" s="277" t="n">
        <v>0.65</v>
      </c>
      <c r="P144" s="277" t="n">
        <v>0.61</v>
      </c>
      <c r="Q144" s="277" t="n">
        <v>0.55</v>
      </c>
      <c r="R144" s="277" t="n">
        <v>0.78</v>
      </c>
      <c r="S144" s="277" t="n">
        <v>2.59</v>
      </c>
      <c r="T144" s="277" t="n">
        <v>0.6899999999999999</v>
      </c>
      <c r="U144" s="277" t="n">
        <v>0.57</v>
      </c>
      <c r="V144" s="277" t="n">
        <v>0.6</v>
      </c>
      <c r="W144" s="277" t="n">
        <v>0.64</v>
      </c>
      <c r="X144" s="277" t="n">
        <v>2.49</v>
      </c>
      <c r="Y144" s="277" t="n">
        <v>0.57</v>
      </c>
      <c r="Z144" s="277" t="n">
        <v>0.62</v>
      </c>
      <c r="AA144" s="277" t="n">
        <v>0.73</v>
      </c>
      <c r="AB144" s="277" t="n">
        <v>0.8100000000000001</v>
      </c>
      <c r="AC144" s="277" t="n">
        <v>2.72</v>
      </c>
      <c r="AD144" s="277" t="n">
        <v>0.76</v>
      </c>
      <c r="AE144" s="277" t="n">
        <v>0.77</v>
      </c>
      <c r="AF144" s="277" t="n">
        <v>0.54</v>
      </c>
      <c r="AG144" s="277" t="n">
        <v>0.9</v>
      </c>
      <c r="AH144" s="277" t="n">
        <v>2.97</v>
      </c>
      <c r="AI144" s="277" t="n">
        <v>0.9</v>
      </c>
      <c r="AJ144" s="277" t="n">
        <v>0.61</v>
      </c>
      <c r="AK144" s="277" t="n">
        <v>0.97</v>
      </c>
      <c r="AL144" s="277" t="n">
        <v>1.09</v>
      </c>
      <c r="AM144" s="277" t="n">
        <v>3.58</v>
      </c>
      <c r="AN144" s="277" t="n">
        <v>1.12</v>
      </c>
      <c r="AO144" s="277" t="n">
        <v>1.22</v>
      </c>
      <c r="AP144" s="277" t="n">
        <v>0.65</v>
      </c>
      <c r="AQ144" s="277" t="n">
        <v>1.27</v>
      </c>
      <c r="AR144" s="277" t="n">
        <v>4.26</v>
      </c>
      <c r="AS144" s="277" t="n">
        <v>1.23</v>
      </c>
      <c r="AT144" s="277" t="n">
        <v>1.26</v>
      </c>
      <c r="AU144" s="277" t="n">
        <v>1.22</v>
      </c>
      <c r="AV144" s="277" t="n">
        <v>1.35</v>
      </c>
      <c r="AW144" s="277" t="n">
        <v>5.06</v>
      </c>
      <c r="AX144" s="277" t="n">
        <v>0.91</v>
      </c>
      <c r="AY144" s="277" t="n">
        <v>0.82</v>
      </c>
      <c r="AZ144" s="277" t="n">
        <v>0.86</v>
      </c>
      <c r="BA144" s="277" t="n">
        <v>0.99</v>
      </c>
      <c r="BB144" s="277" t="n">
        <v>3.58</v>
      </c>
      <c r="BC144" s="277" t="n">
        <v>1.03</v>
      </c>
      <c r="BD144" s="277" t="n">
        <v>0.25</v>
      </c>
      <c r="BE144" s="277" t="n">
        <v>-0.2</v>
      </c>
      <c r="BF144" s="277" t="n">
        <v>0.92</v>
      </c>
      <c r="BG144" s="277" t="n">
        <v>1.95</v>
      </c>
      <c r="BH144" s="277" t="n">
        <v>1.09</v>
      </c>
      <c r="BI144" s="277" t="n">
        <v>1.31</v>
      </c>
      <c r="BJ144" s="277" t="n">
        <v>1.05</v>
      </c>
      <c r="BK144" s="277" t="n">
        <v>1.49</v>
      </c>
      <c r="BL144" s="277" t="n">
        <v>4.94</v>
      </c>
      <c r="BM144" s="277" t="n">
        <v>1.52</v>
      </c>
      <c r="BN144" s="277" t="n">
        <v>1.58</v>
      </c>
      <c r="BO144" s="277" t="n">
        <v>1.39</v>
      </c>
      <c r="BP144" s="277" t="n">
        <v>1.91</v>
      </c>
      <c r="BQ144" s="277" t="n">
        <v>6.41</v>
      </c>
      <c r="BR144" s="277" t="n">
        <v>1.9</v>
      </c>
      <c r="BS144" s="277" t="n">
        <v>1.65</v>
      </c>
      <c r="BT144" s="277" t="n">
        <v>1.82</v>
      </c>
      <c r="BU144" s="277" t="n">
        <v>2.3</v>
      </c>
      <c r="BV144" s="277" t="n">
        <v>7.7</v>
      </c>
      <c r="BW144" s="277" t="n">
        <v>2.17</v>
      </c>
      <c r="BX144" s="277" t="n">
        <v>1.9</v>
      </c>
      <c r="BY144" s="277" t="n">
        <v>2.13</v>
      </c>
      <c r="BZ144" s="277" t="n">
        <v>2.89</v>
      </c>
      <c r="CA144" s="277" t="n">
        <v>9.09</v>
      </c>
      <c r="CB144" s="277" t="n">
        <v>3.2</v>
      </c>
      <c r="CC144" s="153" t="n"/>
      <c r="CD144" s="153" t="n"/>
      <c r="CE144" s="153" t="n"/>
      <c r="CF144" s="153" t="n"/>
      <c r="CG144" s="153" t="n"/>
      <c r="CH144" s="153" t="n"/>
      <c r="CI144" s="153" t="n"/>
      <c r="CJ144" s="153" t="n"/>
      <c r="CK144" s="153" t="n"/>
      <c r="CL144" s="153" t="n"/>
    </row>
    <row r="145" ht="15" customHeight="1" s="251">
      <c r="B145" s="57" t="inlineStr">
        <is>
          <t xml:space="preserve">  Check: model vs reported diluted EPS (should be 0.00; ±0.01 rounding, ±0.03 in loss quarters)</t>
        </is>
      </c>
      <c r="C145" s="278">
        <f>IF(AND(ISNUMBER(C144),ISNUMBER(C142)),IF(ABS(C142-C144)&lt;=IF(C144&lt;0,0.03,0.0101),0,ROUND(C142-C144,2)),"n/p")</f>
        <v>0</v>
      </c>
      <c r="D145" s="278">
        <f>IF(AND(ISNUMBER(D144),ISNUMBER(D142)),IF(ABS(D142-D144)&lt;=IF(D144&lt;0,0.03,0.0101),0,ROUND(D142-D144,2)),"n/p")</f>
        <v>0</v>
      </c>
      <c r="E145" s="278">
        <f>IF(AND(ISNUMBER(E144),ISNUMBER(E142)),IF(ABS(E142-E144)&lt;=IF(E144&lt;0,0.03,0.0101),0,ROUND(E142-E144,2)),"n/p")</f>
        <v>0</v>
      </c>
      <c r="F145" s="278">
        <f>IF(AND(ISNUMBER(F144),ISNUMBER(F142)),IF(ABS(F142-F144)&lt;=IF(F144&lt;0,0.03,0.0101),0,ROUND(F142-F144,2)),"n/p")</f>
        <v>0</v>
      </c>
      <c r="G145" s="278">
        <f>IF(AND(ISNUMBER(G144),ISNUMBER(G142)),IF(ABS(G142-G144)&lt;=IF(G144&lt;0,0.03,0.0101),0,ROUND(G142-G144,2)),"n/p")</f>
        <v>0</v>
      </c>
      <c r="H145" s="278">
        <f>IF(AND(ISNUMBER(H144),ISNUMBER(H142)),IF(ABS(H142-H144)&lt;=IF(H144&lt;0,0.03,0.0101),0,ROUND(H142-H144,2)),"n/p")</f>
        <v>0</v>
      </c>
      <c r="I145" s="278">
        <f>IF(AND(ISNUMBER(I144),ISNUMBER(I142)),IF(ABS(I142-I144)&lt;=IF(I144&lt;0,0.03,0.0101),0,ROUND(I142-I144,2)),"n/p")</f>
        <v>0</v>
      </c>
      <c r="J145" s="278">
        <f>IF(AND(ISNUMBER(J144),ISNUMBER(J142)),IF(ABS(J142-J144)&lt;=IF(J144&lt;0,0.03,0.0101),0,ROUND(J142-J144,2)),"n/p")</f>
        <v>0</v>
      </c>
      <c r="K145" s="278">
        <f>IF(AND(ISNUMBER(K144),ISNUMBER(K142)),IF(ABS(K142-K144)&lt;=IF(K144&lt;0,0.03,0.0101),0,ROUND(K142-K144,2)),"n/p")</f>
        <v>0</v>
      </c>
      <c r="L145" s="278">
        <f>IF(AND(ISNUMBER(L144),ISNUMBER(L142)),IF(ABS(L142-L144)&lt;=IF(L144&lt;0,0.03,0.0101),0,ROUND(L142-L144,2)),"n/p")</f>
        <v>0</v>
      </c>
      <c r="M145" s="278">
        <f>IF(AND(ISNUMBER(M144),ISNUMBER(M142)),IF(ABS(M142-M144)&lt;=IF(M144&lt;0,0.03,0.0101),0,ROUND(M142-M144,2)),"n/p")</f>
        <v>0</v>
      </c>
      <c r="N145" s="278">
        <f>IF(AND(ISNUMBER(N144),ISNUMBER(N142)),IF(ABS(N142-N144)&lt;=IF(N144&lt;0,0.03,0.0101),0,ROUND(N142-N144,2)),"n/p")</f>
        <v>0</v>
      </c>
      <c r="O145" s="278">
        <f>IF(AND(ISNUMBER(O144),ISNUMBER(O142)),IF(ABS(O142-O144)&lt;=IF(O144&lt;0,0.03,0.0101),0,ROUND(O142-O144,2)),"n/p")</f>
        <v>0</v>
      </c>
      <c r="P145" s="278">
        <f>IF(AND(ISNUMBER(P144),ISNUMBER(P142)),IF(ABS(P142-P144)&lt;=IF(P144&lt;0,0.03,0.0101),0,ROUND(P142-P144,2)),"n/p")</f>
        <v>0</v>
      </c>
      <c r="Q145" s="278">
        <f>IF(AND(ISNUMBER(Q144),ISNUMBER(Q142)),IF(ABS(Q142-Q144)&lt;=IF(Q144&lt;0,0.03,0.0101),0,ROUND(Q142-Q144,2)),"n/p")</f>
        <v>0</v>
      </c>
      <c r="R145" s="278">
        <f>IF(AND(ISNUMBER(R144),ISNUMBER(R142)),IF(ABS(R142-R144)&lt;=IF(R144&lt;0,0.03,0.0101),0,ROUND(R142-R144,2)),"n/p")</f>
        <v>0</v>
      </c>
      <c r="S145" s="278">
        <f>IF(AND(ISNUMBER(S144),ISNUMBER(S142)),IF(ABS(S142-S144)&lt;=IF(S144&lt;0,0.03,0.0101),0,ROUND(S142-S144,2)),"n/p")</f>
        <v>0</v>
      </c>
      <c r="T145" s="278">
        <f>IF(AND(ISNUMBER(T144),ISNUMBER(T142)),IF(ABS(T142-T144)&lt;=IF(T144&lt;0,0.03,0.0101),0,ROUND(T142-T144,2)),"n/p")</f>
        <v>0</v>
      </c>
      <c r="U145" s="278">
        <f>IF(AND(ISNUMBER(U144),ISNUMBER(U142)),IF(ABS(U142-U144)&lt;=IF(U144&lt;0,0.03,0.0101),0,ROUND(U142-U144,2)),"n/p")</f>
        <v>0</v>
      </c>
      <c r="V145" s="278">
        <f>IF(AND(ISNUMBER(V144),ISNUMBER(V142)),IF(ABS(V142-V144)&lt;=IF(V144&lt;0,0.03,0.0101),0,ROUND(V142-V144,2)),"n/p")</f>
        <v>0</v>
      </c>
      <c r="W145" s="278">
        <f>IF(AND(ISNUMBER(W144),ISNUMBER(W142)),IF(ABS(W142-W144)&lt;=IF(W144&lt;0,0.03,0.0101),0,ROUND(W142-W144,2)),"n/p")</f>
        <v>0</v>
      </c>
      <c r="X145" s="278">
        <f>IF(AND(ISNUMBER(X144),ISNUMBER(X142)),IF(ABS(X142-X144)&lt;=IF(X144&lt;0,0.03,0.0101),0,ROUND(X142-X144,2)),"n/p")</f>
        <v>0</v>
      </c>
      <c r="Y145" s="278">
        <f>IF(AND(ISNUMBER(Y144),ISNUMBER(Y142)),IF(ABS(Y142-Y144)&lt;=IF(Y144&lt;0,0.03,0.0101),0,ROUND(Y142-Y144,2)),"n/p")</f>
        <v>0</v>
      </c>
      <c r="Z145" s="278">
        <f>IF(AND(ISNUMBER(Z144),ISNUMBER(Z142)),IF(ABS(Z142-Z144)&lt;=IF(Z144&lt;0,0.03,0.0101),0,ROUND(Z142-Z144,2)),"n/p")</f>
        <v>0</v>
      </c>
      <c r="AA145" s="278">
        <f>IF(AND(ISNUMBER(AA144),ISNUMBER(AA142)),IF(ABS(AA142-AA144)&lt;=IF(AA144&lt;0,0.03,0.0101),0,ROUND(AA142-AA144,2)),"n/p")</f>
        <v>0</v>
      </c>
      <c r="AB145" s="278">
        <f>IF(AND(ISNUMBER(AB144),ISNUMBER(AB142)),IF(ABS(AB142-AB144)&lt;=IF(AB144&lt;0,0.03,0.0101),0,ROUND(AB142-AB144,2)),"n/p")</f>
        <v>0</v>
      </c>
      <c r="AC145" s="278">
        <f>IF(AND(ISNUMBER(AC144),ISNUMBER(AC142)),IF(ABS(AC142-AC144)&lt;=IF(AC144&lt;0,0.03,0.0101),0,ROUND(AC142-AC144,2)),"n/p")</f>
        <v>0</v>
      </c>
      <c r="AD145" s="278">
        <f>IF(AND(ISNUMBER(AD144),ISNUMBER(AD142)),IF(ABS(AD142-AD144)&lt;=IF(AD144&lt;0,0.03,0.0101),0,ROUND(AD142-AD144,2)),"n/p")</f>
        <v>0</v>
      </c>
      <c r="AE145" s="278">
        <f>IF(AND(ISNUMBER(AE144),ISNUMBER(AE142)),IF(ABS(AE142-AE144)&lt;=IF(AE144&lt;0,0.03,0.0101),0,ROUND(AE142-AE144,2)),"n/p")</f>
        <v>0</v>
      </c>
      <c r="AF145" s="278">
        <f>IF(AND(ISNUMBER(AF144),ISNUMBER(AF142)),IF(ABS(AF142-AF144)&lt;=IF(AF144&lt;0,0.03,0.0101),0,ROUND(AF142-AF144,2)),"n/p")</f>
        <v>0</v>
      </c>
      <c r="AG145" s="278">
        <f>IF(AND(ISNUMBER(AG144),ISNUMBER(AG142)),IF(ABS(AG142-AG144)&lt;=IF(AG144&lt;0,0.03,0.0101),0,ROUND(AG142-AG144,2)),"n/p")</f>
        <v>0</v>
      </c>
      <c r="AH145" s="278">
        <f>IF(AND(ISNUMBER(AH144),ISNUMBER(AH142)),IF(ABS(AH142-AH144)&lt;=IF(AH144&lt;0,0.03,0.0101),0,ROUND(AH142-AH144,2)),"n/p")</f>
        <v>0</v>
      </c>
      <c r="AI145" s="278">
        <f>IF(AND(ISNUMBER(AI144),ISNUMBER(AI142)),IF(ABS(AI142-AI144)&lt;=IF(AI144&lt;0,0.03,0.0101),0,ROUND(AI142-AI144,2)),"n/p")</f>
        <v>0</v>
      </c>
      <c r="AJ145" s="278">
        <f>IF(AND(ISNUMBER(AJ144),ISNUMBER(AJ142)),IF(ABS(AJ142-AJ144)&lt;=IF(AJ144&lt;0,0.03,0.0101),0,ROUND(AJ142-AJ144,2)),"n/p")</f>
        <v>0</v>
      </c>
      <c r="AK145" s="278">
        <f>IF(AND(ISNUMBER(AK144),ISNUMBER(AK142)),IF(ABS(AK142-AK144)&lt;=IF(AK144&lt;0,0.03,0.0101),0,ROUND(AK142-AK144,2)),"n/p")</f>
        <v>0</v>
      </c>
      <c r="AL145" s="278">
        <f>IF(AND(ISNUMBER(AL144),ISNUMBER(AL142)),IF(ABS(AL142-AL144)&lt;=IF(AL144&lt;0,0.03,0.0101),0,ROUND(AL142-AL144,2)),"n/p")</f>
        <v>0</v>
      </c>
      <c r="AM145" s="278">
        <f>IF(AND(ISNUMBER(AM144),ISNUMBER(AM142)),IF(ABS(AM142-AM144)&lt;=IF(AM144&lt;0,0.03,0.0101),0,ROUND(AM142-AM144,2)),"n/p")</f>
        <v>0</v>
      </c>
      <c r="AN145" s="278">
        <f>IF(AND(ISNUMBER(AN144),ISNUMBER(AN142)),IF(ABS(AN142-AN144)&lt;=IF(AN144&lt;0,0.03,0.0101),0,ROUND(AN142-AN144,2)),"n/p")</f>
        <v>0</v>
      </c>
      <c r="AO145" s="278">
        <f>IF(AND(ISNUMBER(AO144),ISNUMBER(AO142)),IF(ABS(AO142-AO144)&lt;=IF(AO144&lt;0,0.03,0.0101),0,ROUND(AO142-AO144,2)),"n/p")</f>
        <v>0</v>
      </c>
      <c r="AP145" s="278">
        <f>IF(AND(ISNUMBER(AP144),ISNUMBER(AP142)),IF(ABS(AP142-AP144)&lt;=IF(AP144&lt;0,0.03,0.0101),0,ROUND(AP142-AP144,2)),"n/p")</f>
        <v>0</v>
      </c>
      <c r="AQ145" s="278">
        <f>IF(AND(ISNUMBER(AQ144),ISNUMBER(AQ142)),IF(ABS(AQ142-AQ144)&lt;=IF(AQ144&lt;0,0.03,0.0101),0,ROUND(AQ142-AQ144,2)),"n/p")</f>
        <v>0</v>
      </c>
      <c r="AR145" s="278">
        <f>IF(AND(ISNUMBER(AR144),ISNUMBER(AR142)),IF(ABS(AR142-AR144)&lt;=IF(AR144&lt;0,0.03,0.0101),0,ROUND(AR142-AR144,2)),"n/p")</f>
        <v>0</v>
      </c>
      <c r="AS145" s="278">
        <f>IF(AND(ISNUMBER(AS144),ISNUMBER(AS142)),IF(ABS(AS142-AS144)&lt;=IF(AS144&lt;0,0.03,0.0101),0,ROUND(AS142-AS144,2)),"n/p")</f>
        <v>0</v>
      </c>
      <c r="AT145" s="278">
        <f>IF(AND(ISNUMBER(AT144),ISNUMBER(AT142)),IF(ABS(AT142-AT144)&lt;=IF(AT144&lt;0,0.03,0.0101),0,ROUND(AT142-AT144,2)),"n/p")</f>
        <v>0</v>
      </c>
      <c r="AU145" s="278">
        <f>IF(AND(ISNUMBER(AU144),ISNUMBER(AU142)),IF(ABS(AU142-AU144)&lt;=IF(AU144&lt;0,0.03,0.0101),0,ROUND(AU142-AU144,2)),"n/p")</f>
        <v>0</v>
      </c>
      <c r="AV145" s="278">
        <f>IF(AND(ISNUMBER(AV144),ISNUMBER(AV142)),IF(ABS(AV142-AV144)&lt;=IF(AV144&lt;0,0.03,0.0101),0,ROUND(AV142-AV144,2)),"n/p")</f>
        <v>0</v>
      </c>
      <c r="AW145" s="278">
        <f>IF(AND(ISNUMBER(AW144),ISNUMBER(AW142)),IF(ABS(AW142-AW144)&lt;=IF(AW144&lt;0,0.03,0.0101),0,ROUND(AW142-AW144,2)),"n/p")</f>
        <v>0</v>
      </c>
      <c r="AX145" s="278">
        <f>IF(AND(ISNUMBER(AX144),ISNUMBER(AX142)),IF(ABS(AX142-AX144)&lt;=IF(AX144&lt;0,0.03,0.0101),0,ROUND(AX142-AX144,2)),"n/p")</f>
        <v>0</v>
      </c>
      <c r="AY145" s="278">
        <f>IF(AND(ISNUMBER(AY144),ISNUMBER(AY142)),IF(ABS(AY142-AY144)&lt;=IF(AY144&lt;0,0.03,0.0101),0,ROUND(AY142-AY144,2)),"n/p")</f>
        <v>0</v>
      </c>
      <c r="AZ145" s="278">
        <f>IF(AND(ISNUMBER(AZ144),ISNUMBER(AZ142)),IF(ABS(AZ142-AZ144)&lt;=IF(AZ144&lt;0,0.03,0.0101),0,ROUND(AZ142-AZ144,2)),"n/p")</f>
        <v>0</v>
      </c>
      <c r="BA145" s="278">
        <f>IF(AND(ISNUMBER(BA144),ISNUMBER(BA142)),IF(ABS(BA142-BA144)&lt;=IF(BA144&lt;0,0.03,0.0101),0,ROUND(BA142-BA144,2)),"n/p")</f>
        <v>0</v>
      </c>
      <c r="BB145" s="278">
        <f>IF(AND(ISNUMBER(BB144),ISNUMBER(BB142)),IF(ABS(BB142-BB144)&lt;=IF(BB144&lt;0,0.03,0.0101),0,ROUND(BB142-BB144,2)),"n/p")</f>
        <v>0</v>
      </c>
      <c r="BC145" s="278">
        <f>IF(AND(ISNUMBER(BC144),ISNUMBER(BC142)),IF(ABS(BC142-BC144)&lt;=IF(BC144&lt;0,0.03,0.0101),0,ROUND(BC142-BC144,2)),"n/p")</f>
        <v>0</v>
      </c>
      <c r="BD145" s="278">
        <f>IF(AND(ISNUMBER(BD144),ISNUMBER(BD142)),IF(ABS(BD142-BD144)&lt;=IF(BD144&lt;0,0.03,0.0101),0,ROUND(BD142-BD144,2)),"n/p")</f>
        <v>0</v>
      </c>
      <c r="BE145" s="278">
        <f>IF(AND(ISNUMBER(BE144),ISNUMBER(BE142)),IF(ABS(BE142-BE144)&lt;=IF(BE144&lt;0,0.03,0.0101),0,ROUND(BE142-BE144,2)),"n/p")</f>
        <v>0</v>
      </c>
      <c r="BF145" s="278">
        <f>IF(AND(ISNUMBER(BF144),ISNUMBER(BF142)),IF(ABS(BF142-BF144)&lt;=IF(BF144&lt;0,0.03,0.0101),0,ROUND(BF142-BF144,2)),"n/p")</f>
        <v>0</v>
      </c>
      <c r="BG145" s="278">
        <f>IF(AND(ISNUMBER(BG144),ISNUMBER(BG142)),IF(ABS(BG142-BG144)&lt;=IF(BG144&lt;0,0.03,0.0101),0,ROUND(BG142-BG144,2)),"n/p")</f>
        <v>0</v>
      </c>
      <c r="BH145" s="278">
        <f>IF(AND(ISNUMBER(BH144),ISNUMBER(BH142)),IF(ABS(BH142-BH144)&lt;=IF(BH144&lt;0,0.03,0.0101),0,ROUND(BH142-BH144,2)),"n/p")</f>
        <v>0</v>
      </c>
      <c r="BI145" s="278">
        <f>IF(AND(ISNUMBER(BI144),ISNUMBER(BI142)),IF(ABS(BI142-BI144)&lt;=IF(BI144&lt;0,0.03,0.0101),0,ROUND(BI142-BI144,2)),"n/p")</f>
        <v>0</v>
      </c>
      <c r="BJ145" s="278">
        <f>IF(AND(ISNUMBER(BJ144),ISNUMBER(BJ142)),IF(ABS(BJ142-BJ144)&lt;=IF(BJ144&lt;0,0.03,0.0101),0,ROUND(BJ142-BJ144,2)),"n/p")</f>
        <v>0</v>
      </c>
      <c r="BK145" s="278">
        <f>IF(AND(ISNUMBER(BK144),ISNUMBER(BK142)),IF(ABS(BK142-BK144)&lt;=IF(BK144&lt;0,0.03,0.0101),0,ROUND(BK142-BK144,2)),"n/p")</f>
        <v>0</v>
      </c>
      <c r="BL145" s="278">
        <f>IF(AND(ISNUMBER(BL144),ISNUMBER(BL142)),IF(ABS(BL142-BL144)&lt;=IF(BL144&lt;0,0.03,0.0101),0,ROUND(BL142-BL144,2)),"n/p")</f>
        <v>0</v>
      </c>
      <c r="BM145" s="278">
        <f>IF(AND(ISNUMBER(BM144),ISNUMBER(BM142)),IF(ABS(BM142-BM144)&lt;=IF(BM144&lt;0,0.03,0.0101),0,ROUND(BM142-BM144,2)),"n/p")</f>
        <v>0</v>
      </c>
      <c r="BN145" s="278">
        <f>IF(AND(ISNUMBER(BN144),ISNUMBER(BN142)),IF(ABS(BN142-BN144)&lt;=IF(BN144&lt;0,0.03,0.0101),0,ROUND(BN142-BN144,2)),"n/p")</f>
        <v>0</v>
      </c>
      <c r="BO145" s="278">
        <f>IF(AND(ISNUMBER(BO144),ISNUMBER(BO142)),IF(ABS(BO142-BO144)&lt;=IF(BO144&lt;0,0.03,0.0101),0,ROUND(BO142-BO144,2)),"n/p")</f>
        <v>0</v>
      </c>
      <c r="BP145" s="278">
        <f>IF(AND(ISNUMBER(BP144),ISNUMBER(BP142)),IF(ABS(BP142-BP144)&lt;=IF(BP144&lt;0,0.03,0.0101),0,ROUND(BP142-BP144,2)),"n/p")</f>
        <v>0</v>
      </c>
      <c r="BQ145" s="278">
        <f>IF(AND(ISNUMBER(BQ144),ISNUMBER(BQ142)),IF(ABS(BQ142-BQ144)&lt;=IF(BQ144&lt;0,0.03,0.0101),0,ROUND(BQ142-BQ144,2)),"n/p")</f>
        <v>0</v>
      </c>
      <c r="BR145" s="278">
        <f>IF(AND(ISNUMBER(BR144),ISNUMBER(BR142)),IF(ABS(BR142-BR144)&lt;=IF(BR144&lt;0,0.03,0.0101),0,ROUND(BR142-BR144,2)),"n/p")</f>
        <v>0</v>
      </c>
      <c r="BS145" s="278">
        <f>IF(AND(ISNUMBER(BS144),ISNUMBER(BS142)),IF(ABS(BS142-BS144)&lt;=IF(BS144&lt;0,0.03,0.0101),0,ROUND(BS142-BS144,2)),"n/p")</f>
        <v>0</v>
      </c>
      <c r="BT145" s="278">
        <f>IF(AND(ISNUMBER(BT144),ISNUMBER(BT142)),IF(ABS(BT142-BT144)&lt;=IF(BT144&lt;0,0.03,0.0101),0,ROUND(BT142-BT144,2)),"n/p")</f>
        <v>0</v>
      </c>
      <c r="BU145" s="278">
        <f>IF(AND(ISNUMBER(BU144),ISNUMBER(BU142)),IF(ABS(BU142-BU144)&lt;=IF(BU144&lt;0,0.03,0.0101),0,ROUND(BU142-BU144,2)),"n/p")</f>
        <v>0</v>
      </c>
      <c r="BV145" s="278">
        <f>IF(AND(ISNUMBER(BV144),ISNUMBER(BV142)),IF(ABS(BV142-BV144)&lt;=IF(BV144&lt;0,0.03,0.0101),0,ROUND(BV142-BV144,2)),"n/p")</f>
        <v>0</v>
      </c>
      <c r="BW145" s="278">
        <f>IF(AND(ISNUMBER(BW144),ISNUMBER(BW142)),IF(ABS(BW142-BW144)&lt;=IF(BW144&lt;0,0.03,0.0101),0,ROUND(BW142-BW144,2)),"n/p")</f>
        <v>0</v>
      </c>
      <c r="BX145" s="278">
        <f>IF(AND(ISNUMBER(BX144),ISNUMBER(BX142)),IF(ABS(BX142-BX144)&lt;=IF(BX144&lt;0,0.03,0.0101),0,ROUND(BX142-BX144,2)),"n/p")</f>
        <v>0</v>
      </c>
      <c r="BY145" s="278">
        <f>IF(AND(ISNUMBER(BY144),ISNUMBER(BY142)),IF(ABS(BY142-BY144)&lt;=IF(BY144&lt;0,0.03,0.0101),0,ROUND(BY142-BY144,2)),"n/p")</f>
        <v>0</v>
      </c>
      <c r="BZ145" s="278">
        <f>IF(AND(ISNUMBER(BZ144),ISNUMBER(BZ142)),IF(ABS(BZ142-BZ144)&lt;=IF(BZ144&lt;0,0.03,0.0101),0,ROUND(BZ142-BZ144,2)),"n/p")</f>
        <v>0</v>
      </c>
      <c r="CA145" s="278">
        <f>IF(AND(ISNUMBER(CA144),ISNUMBER(CA142)),IF(ABS(CA142-CA144)&lt;=IF(CA144&lt;0,0.03,0.0101),0,ROUND(CA142-CA144,2)),"n/p")</f>
        <v>0</v>
      </c>
      <c r="CB145" s="278">
        <f>IF(AND(ISNUMBER(CB144),ISNUMBER(CB142)),IF(ABS(CB142-CB144)&lt;=IF(CB144&lt;0,0.03,0.0101),0,ROUND(CB142-CB144,2)),"n/p")</f>
        <v>0</v>
      </c>
      <c r="CC145" s="153" t="n"/>
      <c r="CD145" s="153" t="n"/>
      <c r="CE145" s="153" t="n"/>
      <c r="CF145" s="153" t="n"/>
      <c r="CG145" s="153" t="n"/>
      <c r="CH145" s="153" t="n"/>
      <c r="CI145" s="153" t="n"/>
      <c r="CJ145" s="153" t="n"/>
      <c r="CK145" s="153" t="n"/>
      <c r="CL145" s="153" t="n"/>
    </row>
    <row r="146" ht="15" customHeight="1" s="251">
      <c r="B146" s="25" t="inlineStr">
        <is>
          <t xml:space="preserve">  Dividends per common share ($)</t>
        </is>
      </c>
      <c r="C146" s="277" t="n">
        <v>0</v>
      </c>
      <c r="D146" s="277" t="n">
        <v>0</v>
      </c>
      <c r="E146" s="277" t="n">
        <v>0</v>
      </c>
      <c r="F146" s="277" t="n">
        <v>0</v>
      </c>
      <c r="G146" s="277" t="n">
        <v>0</v>
      </c>
      <c r="H146" s="277" t="n">
        <v>0</v>
      </c>
      <c r="I146" s="277" t="n">
        <v>0</v>
      </c>
      <c r="J146" s="277" t="n">
        <v>0</v>
      </c>
      <c r="K146" s="277" t="n">
        <v>0</v>
      </c>
      <c r="L146" s="277" t="n">
        <v>0</v>
      </c>
      <c r="M146" s="277" t="n">
        <v>0</v>
      </c>
      <c r="N146" s="277" t="n">
        <v>0</v>
      </c>
      <c r="O146" s="277" t="n">
        <v>0</v>
      </c>
      <c r="P146" s="277" t="n">
        <v>0</v>
      </c>
      <c r="Q146" s="277" t="n">
        <v>0</v>
      </c>
      <c r="R146" s="277" t="n">
        <v>0</v>
      </c>
      <c r="S146" s="277" t="n">
        <v>0</v>
      </c>
      <c r="T146" s="277" t="n">
        <v>0</v>
      </c>
      <c r="U146" s="277" t="n">
        <v>0</v>
      </c>
      <c r="V146" s="277" t="n">
        <v>0</v>
      </c>
      <c r="W146" s="277" t="n">
        <v>0</v>
      </c>
      <c r="X146" s="277" t="n">
        <v>2</v>
      </c>
      <c r="Y146" s="277" t="n">
        <v>0</v>
      </c>
      <c r="Z146" s="277" t="n">
        <v>0</v>
      </c>
      <c r="AA146" s="277" t="n">
        <v>0</v>
      </c>
      <c r="AB146" s="277" t="n">
        <v>0</v>
      </c>
      <c r="AC146" s="277" t="n">
        <v>0</v>
      </c>
      <c r="AD146" s="277" t="n">
        <v>0</v>
      </c>
      <c r="AE146" s="277" t="n">
        <v>0</v>
      </c>
      <c r="AF146" s="277" t="n">
        <v>0</v>
      </c>
      <c r="AG146" s="277" t="n">
        <v>0</v>
      </c>
      <c r="AH146" s="277" t="n">
        <v>0</v>
      </c>
      <c r="AI146" s="277" t="n">
        <v>0</v>
      </c>
      <c r="AJ146" s="277" t="n">
        <v>0</v>
      </c>
      <c r="AK146" s="277" t="n">
        <v>0</v>
      </c>
      <c r="AL146" s="277" t="n">
        <v>0</v>
      </c>
      <c r="AM146" s="277" t="n">
        <v>0</v>
      </c>
      <c r="AN146" s="277" t="n">
        <v>0</v>
      </c>
      <c r="AO146" s="277" t="n">
        <v>0</v>
      </c>
      <c r="AP146" s="277" t="n">
        <v>0</v>
      </c>
      <c r="AQ146" s="277" t="n">
        <v>0</v>
      </c>
      <c r="AR146" s="277" t="n">
        <v>0</v>
      </c>
      <c r="AS146" s="277" t="n">
        <v>0</v>
      </c>
      <c r="AT146" s="277" t="n">
        <v>0</v>
      </c>
      <c r="AU146" s="277" t="n">
        <v>0</v>
      </c>
      <c r="AV146" s="277" t="n">
        <v>0</v>
      </c>
      <c r="AW146" s="277" t="n">
        <v>0</v>
      </c>
      <c r="AX146" s="277" t="n">
        <v>0</v>
      </c>
      <c r="AY146" s="277" t="n">
        <v>0</v>
      </c>
      <c r="AZ146" s="277" t="n">
        <v>0</v>
      </c>
      <c r="BA146" s="277" t="n">
        <v>0</v>
      </c>
      <c r="BB146" s="277" t="n">
        <v>0</v>
      </c>
      <c r="BC146" s="277" t="n">
        <v>0</v>
      </c>
      <c r="BD146" s="277" t="n">
        <v>0</v>
      </c>
      <c r="BE146" s="277" t="n">
        <v>0</v>
      </c>
      <c r="BF146" s="277" t="n">
        <v>0</v>
      </c>
      <c r="BG146" s="277" t="n">
        <v>0</v>
      </c>
      <c r="BH146" s="277" t="n">
        <v>0</v>
      </c>
      <c r="BI146" s="277" t="n">
        <v>0</v>
      </c>
      <c r="BJ146" s="277" t="n">
        <v>0</v>
      </c>
      <c r="BK146" s="277" t="n">
        <v>0</v>
      </c>
      <c r="BL146" s="277" t="n">
        <v>0</v>
      </c>
      <c r="BM146" s="277" t="n">
        <v>0</v>
      </c>
      <c r="BN146" s="277" t="n">
        <v>0</v>
      </c>
      <c r="BO146" s="277" t="n">
        <v>0</v>
      </c>
      <c r="BP146" s="277" t="n">
        <v>0</v>
      </c>
      <c r="BQ146" s="277" t="n">
        <v>0</v>
      </c>
      <c r="BR146" s="277" t="n">
        <v>0</v>
      </c>
      <c r="BS146" s="277" t="n">
        <v>0</v>
      </c>
      <c r="BT146" s="277" t="n">
        <v>0</v>
      </c>
      <c r="BU146" s="277" t="n">
        <v>0</v>
      </c>
      <c r="BV146" s="277" t="n">
        <v>0</v>
      </c>
      <c r="BW146" s="277" t="n">
        <v>0</v>
      </c>
      <c r="BX146" s="277" t="n">
        <v>0</v>
      </c>
      <c r="BY146" s="277" t="n">
        <v>0</v>
      </c>
      <c r="BZ146" s="277" t="n">
        <v>0</v>
      </c>
      <c r="CA146" s="277" t="n">
        <v>0</v>
      </c>
      <c r="CB146" s="277" t="n">
        <v>0</v>
      </c>
      <c r="CC146" s="279">
        <f>0</f>
        <v>0</v>
      </c>
      <c r="CD146" s="279">
        <f>0</f>
        <v>0</v>
      </c>
      <c r="CE146" s="279">
        <f>0</f>
        <v>0</v>
      </c>
      <c r="CF146" s="279">
        <f>SUM(CB146:CE146)</f>
        <v>0</v>
      </c>
      <c r="CG146" s="279">
        <f>0</f>
        <v>0</v>
      </c>
      <c r="CH146" s="279">
        <f>0</f>
        <v>0</v>
      </c>
      <c r="CI146" s="279">
        <f>0</f>
        <v>0</v>
      </c>
      <c r="CJ146" s="279">
        <f>0</f>
        <v>0</v>
      </c>
      <c r="CK146" s="279">
        <f>0</f>
        <v>0</v>
      </c>
      <c r="CL146" s="19" t="inlineStr">
        <is>
          <t>No regular dividend; $2.00 special dividend in FY2015 (Dec-2014). Forecast: none (assumption; capital goes to debt reduction, M&amp;A and buybacks).</t>
        </is>
      </c>
    </row>
    <row r="147" ht="15" customHeight="1" s="251">
      <c r="CT147" s="11" t="n"/>
      <c r="CU147" s="12" t="n"/>
      <c r="CV147" s="12" t="n"/>
      <c r="CW147" s="12" t="n"/>
      <c r="CX147" s="13" t="n"/>
    </row>
    <row r="148" ht="15" customHeight="1" s="251">
      <c r="B148" s="10" t="inlineStr">
        <is>
          <t>RECONCILIATION: OPERATING INCOME → ADJUSTED OPERATING INCOME (company definition, as published)</t>
        </is>
      </c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  <c r="AD148" s="10" t="n"/>
      <c r="AE148" s="10" t="n"/>
      <c r="AF148" s="10" t="n"/>
      <c r="AG148" s="10" t="n"/>
      <c r="AH148" s="10" t="n"/>
      <c r="AI148" s="10" t="n"/>
      <c r="AJ148" s="10" t="n"/>
      <c r="AK148" s="10" t="n"/>
      <c r="AL148" s="10" t="n"/>
      <c r="AM148" s="10" t="n"/>
      <c r="AN148" s="10" t="n"/>
      <c r="AO148" s="10" t="n"/>
      <c r="AP148" s="10" t="n"/>
      <c r="AQ148" s="10" t="n"/>
      <c r="AR148" s="10" t="n"/>
      <c r="AS148" s="10" t="n"/>
      <c r="AT148" s="10" t="n"/>
      <c r="AU148" s="10" t="n"/>
      <c r="AV148" s="10" t="n"/>
      <c r="AW148" s="10" t="n"/>
      <c r="AX148" s="10" t="n"/>
      <c r="AY148" s="10" t="n"/>
      <c r="AZ148" s="10" t="n"/>
      <c r="BA148" s="10" t="n"/>
      <c r="BB148" s="10" t="n"/>
      <c r="BC148" s="10" t="n"/>
      <c r="BD148" s="10" t="n"/>
      <c r="BE148" s="10" t="n"/>
      <c r="BF148" s="10" t="n"/>
      <c r="BG148" s="10" t="n"/>
      <c r="BH148" s="10" t="n"/>
      <c r="BI148" s="10" t="n"/>
      <c r="BJ148" s="10" t="n"/>
      <c r="BK148" s="10" t="n"/>
      <c r="BL148" s="10" t="n"/>
      <c r="BM148" s="10" t="n"/>
      <c r="BN148" s="10" t="n"/>
      <c r="BO148" s="10" t="n"/>
      <c r="BP148" s="10" t="n"/>
      <c r="BQ148" s="10" t="n"/>
      <c r="BR148" s="10" t="n"/>
      <c r="BS148" s="10" t="n"/>
      <c r="BT148" s="10" t="n"/>
      <c r="BU148" s="10" t="n"/>
      <c r="BV148" s="10" t="n"/>
      <c r="BW148" s="10" t="n"/>
      <c r="BX148" s="10" t="n"/>
      <c r="BY148" s="10" t="n"/>
      <c r="BZ148" s="10" t="n"/>
      <c r="CA148" s="10" t="n"/>
      <c r="CB148" s="10" t="n"/>
      <c r="CC148" s="10" t="n"/>
      <c r="CD148" s="10" t="n"/>
      <c r="CE148" s="10" t="n"/>
      <c r="CF148" s="10" t="n"/>
      <c r="CG148" s="10" t="n"/>
      <c r="CH148" s="10" t="n"/>
      <c r="CI148" s="10" t="n"/>
      <c r="CJ148" s="10" t="n"/>
      <c r="CK148" s="10" t="n"/>
      <c r="CL148" s="10" t="inlineStr">
        <is>
          <t>ADJUSTED OPERATING INCOME — per the release reconciliations ("Reconciliation of Reported Operating Income to Adjusted Operating Income"); company labels per period in the cell comments of the cost-driver rows</t>
        </is>
      </c>
    </row>
    <row r="149" collapsed="1" ht="15" customHeight="1" s="251">
      <c r="B149" s="16" t="inlineStr">
        <is>
          <t>Operating income (GAAP)</t>
        </is>
      </c>
      <c r="C149" s="280">
        <f>C116</f>
        <v>38.579</v>
      </c>
      <c r="D149" s="280">
        <f>D116</f>
        <v>51.919</v>
      </c>
      <c r="E149" s="280">
        <f>E116</f>
        <v>62.85</v>
      </c>
      <c r="F149" s="280">
        <f>F116</f>
        <v>54.97</v>
      </c>
      <c r="G149" s="280">
        <f>G116</f>
        <v>34.67</v>
      </c>
      <c r="H149" s="280">
        <f>H116</f>
        <v>56.193</v>
      </c>
      <c r="I149" s="280">
        <f>I116</f>
        <v>77.648</v>
      </c>
      <c r="J149" s="280">
        <f>J116</f>
        <v>21.994</v>
      </c>
      <c r="K149" s="280">
        <f>K116</f>
        <v>21.195</v>
      </c>
      <c r="L149" s="280">
        <f>L116</f>
        <v>19.159</v>
      </c>
      <c r="M149" s="280">
        <f>M116</f>
        <v>15.753</v>
      </c>
      <c r="N149" s="280">
        <f>N116</f>
        <v>78.101</v>
      </c>
      <c r="O149" s="280">
        <f>O116</f>
        <v>22.298</v>
      </c>
      <c r="P149" s="280">
        <f>P116</f>
        <v>21.516</v>
      </c>
      <c r="Q149" s="280">
        <f>Q116</f>
        <v>19.657</v>
      </c>
      <c r="R149" s="280">
        <f>R116</f>
        <v>25.179</v>
      </c>
      <c r="S149" s="280">
        <f>S116</f>
        <v>88.65</v>
      </c>
      <c r="T149" s="280">
        <f>T116</f>
        <v>24.211</v>
      </c>
      <c r="U149" s="280">
        <f>U116</f>
        <v>18.297</v>
      </c>
      <c r="V149" s="280">
        <f>V116</f>
        <v>20.589</v>
      </c>
      <c r="W149" s="280">
        <f>W116</f>
        <v>25.333</v>
      </c>
      <c r="X149" s="280">
        <f>X116</f>
        <v>88.43</v>
      </c>
      <c r="Y149" s="280">
        <f>Y116</f>
        <v>22.361</v>
      </c>
      <c r="Z149" s="280">
        <f>Z116</f>
        <v>23.599</v>
      </c>
      <c r="AA149" s="280">
        <f>AA116</f>
        <v>27.052</v>
      </c>
      <c r="AB149" s="280">
        <f>AB116</f>
        <v>30.829</v>
      </c>
      <c r="AC149" s="280">
        <f>AC116</f>
        <v>103.841</v>
      </c>
      <c r="AD149" s="280">
        <f>AD116</f>
        <v>29.221</v>
      </c>
      <c r="AE149" s="280">
        <f>AE116</f>
        <v>29.554</v>
      </c>
      <c r="AF149" s="280">
        <f>AF116</f>
        <v>20.529</v>
      </c>
      <c r="AG149" s="280">
        <f>AG116</f>
        <v>34.389</v>
      </c>
      <c r="AH149" s="280">
        <f>AH116</f>
        <v>113.693</v>
      </c>
      <c r="AI149" s="280">
        <f>AI116</f>
        <v>31.8</v>
      </c>
      <c r="AJ149" s="280">
        <f>AJ116</f>
        <v>25.278</v>
      </c>
      <c r="AK149" s="280">
        <f>AK116</f>
        <v>33.123</v>
      </c>
      <c r="AL149" s="280">
        <f>AL116</f>
        <v>37.94</v>
      </c>
      <c r="AM149" s="280">
        <f>AM116</f>
        <v>128.141</v>
      </c>
      <c r="AN149" s="280">
        <f>AN116</f>
        <v>35.998</v>
      </c>
      <c r="AO149" s="280">
        <f>AO116</f>
        <v>35.884</v>
      </c>
      <c r="AP149" s="280">
        <f>AP116</f>
        <v>19.838</v>
      </c>
      <c r="AQ149" s="280">
        <f>AQ116</f>
        <v>40.315</v>
      </c>
      <c r="AR149" s="280">
        <f>AR116</f>
        <v>132.035</v>
      </c>
      <c r="AS149" s="280">
        <f>AS116</f>
        <v>38.49</v>
      </c>
      <c r="AT149" s="280">
        <f>AT116</f>
        <v>37.309</v>
      </c>
      <c r="AU149" s="280">
        <f>AU116</f>
        <v>37.466</v>
      </c>
      <c r="AV149" s="280">
        <f>AV116</f>
        <v>43.52</v>
      </c>
      <c r="AW149" s="280">
        <f>AW116</f>
        <v>156.785</v>
      </c>
      <c r="AX149" s="280">
        <f>AX116</f>
        <v>28.814</v>
      </c>
      <c r="AY149" s="280">
        <f>AY116</f>
        <v>26.363</v>
      </c>
      <c r="AZ149" s="280">
        <f>AZ116</f>
        <v>26.541</v>
      </c>
      <c r="BA149" s="280">
        <f>BA116</f>
        <v>29.74</v>
      </c>
      <c r="BB149" s="280">
        <f>BB116</f>
        <v>111.458</v>
      </c>
      <c r="BC149" s="280">
        <f>BC116</f>
        <v>30.723</v>
      </c>
      <c r="BD149" s="280">
        <f>BD116</f>
        <v>27.123</v>
      </c>
      <c r="BE149" s="280">
        <f>BE116</f>
        <v>14.371</v>
      </c>
      <c r="BF149" s="280">
        <f>BF116</f>
        <v>57.846</v>
      </c>
      <c r="BG149" s="280">
        <f>BG116</f>
        <v>130.063</v>
      </c>
      <c r="BH149" s="280">
        <f>BH116</f>
        <v>64.47</v>
      </c>
      <c r="BI149" s="280">
        <f>BI116</f>
        <v>72.017</v>
      </c>
      <c r="BJ149" s="280">
        <f>BJ116</f>
        <v>70.392</v>
      </c>
      <c r="BK149" s="280">
        <f>BK116</f>
        <v>86.104</v>
      </c>
      <c r="BL149" s="280">
        <f>BL116</f>
        <v>293</v>
      </c>
      <c r="BM149" s="280">
        <f>BM116</f>
        <v>85.014</v>
      </c>
      <c r="BN149" s="280">
        <f>BN116</f>
        <v>87.733</v>
      </c>
      <c r="BO149" s="280">
        <f>BO116</f>
        <v>75.291</v>
      </c>
      <c r="BP149" s="280">
        <f>BP116</f>
        <v>94.152</v>
      </c>
      <c r="BQ149" s="280">
        <f>BQ116</f>
        <v>342.2</v>
      </c>
      <c r="BR149" s="280">
        <f>BR116</f>
        <v>97.5</v>
      </c>
      <c r="BS149" s="280">
        <f>BS116</f>
        <v>86.1</v>
      </c>
      <c r="BT149" s="280">
        <f>BT116</f>
        <v>85.6</v>
      </c>
      <c r="BU149" s="280">
        <f>BU116</f>
        <v>100.7</v>
      </c>
      <c r="BV149" s="280">
        <f>BV116</f>
        <v>369.9</v>
      </c>
      <c r="BW149" s="280">
        <f>BW116</f>
        <v>101.1</v>
      </c>
      <c r="BX149" s="280">
        <f>BX116</f>
        <v>97.8</v>
      </c>
      <c r="BY149" s="280">
        <f>BY116</f>
        <v>103</v>
      </c>
      <c r="BZ149" s="280">
        <f>BZ116</f>
        <v>119.1</v>
      </c>
      <c r="CA149" s="280">
        <f>CA116</f>
        <v>421</v>
      </c>
      <c r="CB149" s="280">
        <f>CB116</f>
        <v>140.8</v>
      </c>
      <c r="CC149" s="254">
        <f>CC116</f>
        <v>126.256</v>
      </c>
      <c r="CD149" s="254">
        <f>CD116</f>
        <v>129.348814178226</v>
      </c>
      <c r="CE149" s="254">
        <f>CE116</f>
        <v>162.018207523199</v>
      </c>
      <c r="CF149" s="254">
        <f>CF116</f>
        <v>558.423021701425</v>
      </c>
      <c r="CG149" s="254">
        <f>CG116</f>
        <v>620.950465355465</v>
      </c>
      <c r="CH149" s="254">
        <f>CH116</f>
        <v>704.984562509514</v>
      </c>
      <c r="CI149" s="254">
        <f>CI116</f>
        <v>794.303199120574</v>
      </c>
      <c r="CJ149" s="254">
        <f>CJ116</f>
        <v>876.747938670355</v>
      </c>
      <c r="CK149" s="254">
        <f>CK116</f>
        <v>954.831635358326</v>
      </c>
      <c r="CL149" s="153" t="n"/>
    </row>
    <row r="150" ht="15" customHeight="1" s="251">
      <c r="B150" s="25" t="inlineStr">
        <is>
          <t xml:space="preserve">  (+) Restructuring &amp; consolidation</t>
        </is>
      </c>
      <c r="C150" s="264">
        <f>C96</f>
        <v>1.024</v>
      </c>
      <c r="D150" s="264">
        <f>D96</f>
        <v>5.455</v>
      </c>
      <c r="E150" s="264">
        <f>E96</f>
        <v>0.734</v>
      </c>
      <c r="F150" s="264">
        <f>F96</f>
        <v>1.231</v>
      </c>
      <c r="G150" s="264">
        <f>G96</f>
        <v>1.197</v>
      </c>
      <c r="H150" s="264">
        <f>H96</f>
        <v>0.219</v>
      </c>
      <c r="I150" s="264">
        <f>I96</f>
        <v>0</v>
      </c>
      <c r="J150" s="264">
        <f>J96</f>
        <v>0</v>
      </c>
      <c r="K150" s="264">
        <f>K96</f>
        <v>0</v>
      </c>
      <c r="L150" s="264">
        <f>L96</f>
        <v>0</v>
      </c>
      <c r="M150" s="264">
        <f>M96</f>
        <v>6.738</v>
      </c>
      <c r="N150" s="264">
        <f>N96</f>
        <v>6.738</v>
      </c>
      <c r="O150" s="264">
        <f>O96</f>
        <v>0.628</v>
      </c>
      <c r="P150" s="264">
        <f>P96</f>
        <v>0.87</v>
      </c>
      <c r="Q150" s="264">
        <f>Q96</f>
        <v>0</v>
      </c>
      <c r="R150" s="264">
        <f>R96</f>
        <v>0</v>
      </c>
      <c r="S150" s="264">
        <f>S96</f>
        <v>1.498</v>
      </c>
      <c r="T150" s="264">
        <f>T96</f>
        <v>0</v>
      </c>
      <c r="U150" s="264">
        <f>U96</f>
        <v>6.382</v>
      </c>
      <c r="V150" s="264">
        <f>V96</f>
        <v>0.088</v>
      </c>
      <c r="W150" s="264">
        <f>W96</f>
        <v>0</v>
      </c>
      <c r="X150" s="264">
        <f>X96</f>
        <v>6.47</v>
      </c>
      <c r="Y150" s="264">
        <f>Y96</f>
        <v>0.79</v>
      </c>
      <c r="Z150" s="264">
        <f>Z96</f>
        <v>0.209</v>
      </c>
      <c r="AA150" s="264">
        <f>AA96</f>
        <v>0</v>
      </c>
      <c r="AB150" s="264">
        <f>AB96</f>
        <v>0</v>
      </c>
      <c r="AC150" s="264">
        <f>AC96</f>
        <v>0.999</v>
      </c>
      <c r="AD150" s="264">
        <f>AD96</f>
        <v>0</v>
      </c>
      <c r="AE150" s="264">
        <f>AE96</f>
        <v>0.222</v>
      </c>
      <c r="AF150" s="264">
        <f>AF96</f>
        <v>7.06</v>
      </c>
      <c r="AG150" s="264">
        <f>AG96</f>
        <v>0</v>
      </c>
      <c r="AH150" s="264">
        <f>AH96</f>
        <v>7.282</v>
      </c>
      <c r="AI150" s="264">
        <f>AI96</f>
        <v>0</v>
      </c>
      <c r="AJ150" s="264">
        <f>AJ96</f>
        <v>6.494</v>
      </c>
      <c r="AK150" s="264">
        <f>AK96</f>
        <v>1.091</v>
      </c>
      <c r="AL150" s="264">
        <f>AL96</f>
        <v>0.397</v>
      </c>
      <c r="AM150" s="264">
        <f>AM96</f>
        <v>7.982</v>
      </c>
      <c r="AN150" s="264">
        <f>AN96</f>
        <v>0</v>
      </c>
      <c r="AO150" s="264">
        <f>AO96</f>
        <v>0</v>
      </c>
      <c r="AP150" s="264">
        <f>AP96</f>
        <v>0</v>
      </c>
      <c r="AQ150" s="264">
        <f>AQ96</f>
        <v>1.18</v>
      </c>
      <c r="AR150" s="264">
        <f>AR96</f>
        <v>1.18</v>
      </c>
      <c r="AS150" s="264">
        <f>AS96</f>
        <v>0</v>
      </c>
      <c r="AT150" s="264">
        <f>AT96</f>
        <v>0.084</v>
      </c>
      <c r="AU150" s="264">
        <f>AU96</f>
        <v>0.147</v>
      </c>
      <c r="AV150" s="264">
        <f>AV96</f>
        <v>0.805</v>
      </c>
      <c r="AW150" s="264">
        <f>AW96</f>
        <v>1.036</v>
      </c>
      <c r="AX150" s="264">
        <f>AX96</f>
        <v>1.119</v>
      </c>
      <c r="AY150" s="264">
        <f>AY96</f>
        <v>3.514</v>
      </c>
      <c r="AZ150" s="264">
        <f>AZ96</f>
        <v>1.341</v>
      </c>
      <c r="BA150" s="264">
        <f>BA96</f>
        <v>1.273</v>
      </c>
      <c r="BB150" s="264">
        <f>BB96</f>
        <v>7.247</v>
      </c>
      <c r="BC150" s="264">
        <f>BC96</f>
        <v>0.557</v>
      </c>
      <c r="BD150" s="264">
        <f>BD96</f>
        <v>1.987</v>
      </c>
      <c r="BE150" s="264">
        <f>BE96</f>
        <v>0</v>
      </c>
      <c r="BF150" s="264">
        <f>BF96</f>
        <v>0</v>
      </c>
      <c r="BG150" s="264">
        <f>BG96</f>
        <v>2.544</v>
      </c>
      <c r="BH150" s="264">
        <f>BH96</f>
        <v>0</v>
      </c>
      <c r="BI150" s="264">
        <f>BI96</f>
        <v>0.017</v>
      </c>
      <c r="BJ150" s="264">
        <f>BJ96</f>
        <v>0</v>
      </c>
      <c r="BK150" s="264">
        <f>BK96</f>
        <v>2.643</v>
      </c>
      <c r="BL150" s="264">
        <f>BL96</f>
        <v>2.66</v>
      </c>
      <c r="BM150" s="264">
        <f>BM96</f>
        <v>0.29</v>
      </c>
      <c r="BN150" s="264">
        <f>BN96</f>
        <v>0.631</v>
      </c>
      <c r="BO150" s="264">
        <f>BO96</f>
        <v>0.065</v>
      </c>
      <c r="BP150" s="264">
        <f>BP96</f>
        <v>1.998</v>
      </c>
      <c r="BQ150" s="264">
        <f>BQ96</f>
        <v>2.984</v>
      </c>
      <c r="BR150" s="264">
        <f>BR96</f>
        <v>0</v>
      </c>
      <c r="BS150" s="264">
        <f>BS96</f>
        <v>0.5</v>
      </c>
      <c r="BT150" s="264">
        <f>BT96</f>
        <v>0.1</v>
      </c>
      <c r="BU150" s="264">
        <f>BU96</f>
        <v>0.9</v>
      </c>
      <c r="BV150" s="264">
        <f>BV96</f>
        <v>1.5</v>
      </c>
      <c r="BW150" s="264">
        <f>BW96</f>
        <v>4.1</v>
      </c>
      <c r="BX150" s="264">
        <f>BX96</f>
        <v>3</v>
      </c>
      <c r="BY150" s="264">
        <f>BY96</f>
        <v>-0.2</v>
      </c>
      <c r="BZ150" s="264">
        <f>BZ96</f>
        <v>-0.7</v>
      </c>
      <c r="CA150" s="264">
        <f>CA96</f>
        <v>6.2</v>
      </c>
      <c r="CB150" s="264">
        <f>CB96</f>
        <v>0.4</v>
      </c>
      <c r="CC150" s="261">
        <f>CC96</f>
        <v>0.5</v>
      </c>
      <c r="CD150" s="261">
        <f>CD96</f>
        <v>0.5</v>
      </c>
      <c r="CE150" s="261">
        <f>CE96</f>
        <v>0.5</v>
      </c>
      <c r="CF150" s="261">
        <f>CF96</f>
        <v>1.9</v>
      </c>
      <c r="CG150" s="261">
        <f>CG96</f>
        <v>2</v>
      </c>
      <c r="CH150" s="261">
        <f>CH96</f>
        <v>2</v>
      </c>
      <c r="CI150" s="261">
        <f>CI96</f>
        <v>2</v>
      </c>
      <c r="CJ150" s="261">
        <f>CJ96</f>
        <v>2</v>
      </c>
      <c r="CK150" s="261">
        <f>CK96</f>
        <v>2</v>
      </c>
      <c r="CL150" s="19" t="n"/>
    </row>
    <row r="151" ht="15" customHeight="1" s="251">
      <c r="B151" s="25" t="inlineStr">
        <is>
          <t xml:space="preserve">  (+) Transaction &amp; related costs, transition services</t>
        </is>
      </c>
      <c r="C151" s="264">
        <f>C97</f>
        <v>0</v>
      </c>
      <c r="D151" s="264">
        <f>D97</f>
        <v>0</v>
      </c>
      <c r="E151" s="264">
        <f>E97</f>
        <v>0</v>
      </c>
      <c r="F151" s="264">
        <f>F97</f>
        <v>0</v>
      </c>
      <c r="G151" s="264">
        <f>G97</f>
        <v>0</v>
      </c>
      <c r="H151" s="264">
        <f>H97</f>
        <v>0</v>
      </c>
      <c r="I151" s="264">
        <f>I97</f>
        <v>0</v>
      </c>
      <c r="J151" s="264">
        <f>J97</f>
        <v>0</v>
      </c>
      <c r="K151" s="264">
        <f>K97</f>
        <v>0</v>
      </c>
      <c r="L151" s="264">
        <f>L97</f>
        <v>0</v>
      </c>
      <c r="M151" s="264">
        <f>M97</f>
        <v>0</v>
      </c>
      <c r="N151" s="264">
        <f>N97</f>
        <v>0</v>
      </c>
      <c r="O151" s="264">
        <f>O97</f>
        <v>0</v>
      </c>
      <c r="P151" s="264">
        <f>P97</f>
        <v>0.374</v>
      </c>
      <c r="Q151" s="264">
        <f>Q97</f>
        <v>0</v>
      </c>
      <c r="R151" s="264">
        <f>R97</f>
        <v>0</v>
      </c>
      <c r="S151" s="264">
        <f>S97</f>
        <v>0.501</v>
      </c>
      <c r="T151" s="264">
        <f>T97</f>
        <v>0</v>
      </c>
      <c r="U151" s="264">
        <f>U97</f>
        <v>0</v>
      </c>
      <c r="V151" s="264">
        <f>V97</f>
        <v>1.527</v>
      </c>
      <c r="W151" s="264">
        <f>W97</f>
        <v>0.06</v>
      </c>
      <c r="X151" s="264">
        <f>X97</f>
        <v>1.587</v>
      </c>
      <c r="Y151" s="264">
        <f>Y97</f>
        <v>3.998</v>
      </c>
      <c r="Z151" s="264">
        <f>Z97</f>
        <v>1.074</v>
      </c>
      <c r="AA151" s="264">
        <f>AA97</f>
        <v>0.025</v>
      </c>
      <c r="AB151" s="264">
        <f>AB97</f>
        <v>0</v>
      </c>
      <c r="AC151" s="264">
        <f>AC97</f>
        <v>5.097</v>
      </c>
      <c r="AD151" s="264">
        <f>AD97</f>
        <v>0</v>
      </c>
      <c r="AE151" s="264">
        <f>AE97</f>
        <v>0</v>
      </c>
      <c r="AF151" s="264">
        <f>AF97</f>
        <v>0</v>
      </c>
      <c r="AG151" s="264">
        <f>AG97</f>
        <v>0</v>
      </c>
      <c r="AH151" s="264">
        <f>AH97</f>
        <v>0</v>
      </c>
      <c r="AI151" s="264">
        <f>AI97</f>
        <v>0</v>
      </c>
      <c r="AJ151" s="264">
        <f>AJ97</f>
        <v>0</v>
      </c>
      <c r="AK151" s="264">
        <f>AK97</f>
        <v>0</v>
      </c>
      <c r="AL151" s="264">
        <f>AL97</f>
        <v>0</v>
      </c>
      <c r="AM151" s="264">
        <f>AM97</f>
        <v>0</v>
      </c>
      <c r="AN151" s="264">
        <f>AN97</f>
        <v>0</v>
      </c>
      <c r="AO151" s="264">
        <f>AO97</f>
        <v>0</v>
      </c>
      <c r="AP151" s="264">
        <f>AP97</f>
        <v>0</v>
      </c>
      <c r="AQ151" s="264">
        <f>AQ97</f>
        <v>0</v>
      </c>
      <c r="AR151" s="264">
        <f>AR97</f>
        <v>0</v>
      </c>
      <c r="AS151" s="264">
        <f>AS97</f>
        <v>0</v>
      </c>
      <c r="AT151" s="264">
        <f>AT97</f>
        <v>0.901</v>
      </c>
      <c r="AU151" s="264">
        <f>AU97</f>
        <v>0</v>
      </c>
      <c r="AV151" s="264">
        <f>AV97</f>
        <v>0</v>
      </c>
      <c r="AW151" s="264">
        <f>AW97</f>
        <v>0.901</v>
      </c>
      <c r="AX151" s="264">
        <f>AX97</f>
        <v>0</v>
      </c>
      <c r="AY151" s="264">
        <f>AY97</f>
        <v>0</v>
      </c>
      <c r="AZ151" s="264">
        <f>AZ97</f>
        <v>0</v>
      </c>
      <c r="BA151" s="264">
        <f>BA97</f>
        <v>0</v>
      </c>
      <c r="BB151" s="264">
        <f>BB97</f>
        <v>0</v>
      </c>
      <c r="BC151" s="264">
        <f>BC97</f>
        <v>0</v>
      </c>
      <c r="BD151" s="264">
        <f>BD97</f>
        <v>1.433</v>
      </c>
      <c r="BE151" s="264">
        <f>BE97</f>
        <v>30.443</v>
      </c>
      <c r="BF151" s="264">
        <f>BF97</f>
        <v>12.528</v>
      </c>
      <c r="BG151" s="264">
        <f>BG97</f>
        <v>44.404</v>
      </c>
      <c r="BH151" s="264">
        <f>BH97</f>
        <v>3.787</v>
      </c>
      <c r="BI151" s="264">
        <f>BI97</f>
        <v>3.984</v>
      </c>
      <c r="BJ151" s="264">
        <f>BJ97</f>
        <v>1.247</v>
      </c>
      <c r="BK151" s="264">
        <f>BK97</f>
        <v>-0.108</v>
      </c>
      <c r="BL151" s="264">
        <f>BL97</f>
        <v>8.91</v>
      </c>
      <c r="BM151" s="264">
        <f>BM97</f>
        <v>0</v>
      </c>
      <c r="BN151" s="264">
        <f>BN97</f>
        <v>0.025</v>
      </c>
      <c r="BO151" s="264">
        <f>BO97</f>
        <v>0.113</v>
      </c>
      <c r="BP151" s="264">
        <f>BP97</f>
        <v>0.145</v>
      </c>
      <c r="BQ151" s="264">
        <f>BQ97</f>
        <v>0.283</v>
      </c>
      <c r="BR151" s="264">
        <f>BR97</f>
        <v>0</v>
      </c>
      <c r="BS151" s="264">
        <f>BS97</f>
        <v>0</v>
      </c>
      <c r="BT151" s="264">
        <f>BT97</f>
        <v>0</v>
      </c>
      <c r="BU151" s="264">
        <f>BU97</f>
        <v>0</v>
      </c>
      <c r="BV151" s="264">
        <f>BV97</f>
        <v>0</v>
      </c>
      <c r="BW151" s="264">
        <f>BW97</f>
        <v>0.1</v>
      </c>
      <c r="BX151" s="264">
        <f>BX97</f>
        <v>4.2</v>
      </c>
      <c r="BY151" s="264">
        <f>BY97</f>
        <v>4.6</v>
      </c>
      <c r="BZ151" s="264">
        <f>BZ97</f>
        <v>5.9</v>
      </c>
      <c r="CA151" s="264">
        <f>CA97</f>
        <v>14.8</v>
      </c>
      <c r="CB151" s="264">
        <f>CB97</f>
        <v>0</v>
      </c>
      <c r="CC151" s="261">
        <f>CC97</f>
        <v>0.3</v>
      </c>
      <c r="CD151" s="261">
        <f>CD97</f>
        <v>0</v>
      </c>
      <c r="CE151" s="261">
        <f>CE97</f>
        <v>0</v>
      </c>
      <c r="CF151" s="261">
        <f>CF97</f>
        <v>0.3</v>
      </c>
      <c r="CG151" s="261">
        <f>CG97</f>
        <v>5</v>
      </c>
      <c r="CH151" s="261">
        <f>CH97</f>
        <v>5</v>
      </c>
      <c r="CI151" s="261">
        <f>CI97</f>
        <v>5</v>
      </c>
      <c r="CJ151" s="261">
        <f>CJ97</f>
        <v>5</v>
      </c>
      <c r="CK151" s="261">
        <f>CK97</f>
        <v>5</v>
      </c>
      <c r="CL151" s="19" t="n"/>
    </row>
    <row r="152" ht="15" customHeight="1" s="251">
      <c r="B152" s="25" t="inlineStr">
        <is>
          <t xml:space="preserve">  (+) Inventory purchase accounting</t>
        </is>
      </c>
      <c r="C152" s="264">
        <f>C99</f>
        <v>0</v>
      </c>
      <c r="D152" s="264">
        <f>D99</f>
        <v>0</v>
      </c>
      <c r="E152" s="264">
        <f>E99</f>
        <v>0</v>
      </c>
      <c r="F152" s="264">
        <f>F99</f>
        <v>0</v>
      </c>
      <c r="G152" s="264">
        <f>G99</f>
        <v>0</v>
      </c>
      <c r="H152" s="264">
        <f>H99</f>
        <v>0</v>
      </c>
      <c r="I152" s="264">
        <f>I99</f>
        <v>0</v>
      </c>
      <c r="J152" s="264">
        <f>J99</f>
        <v>0</v>
      </c>
      <c r="K152" s="264">
        <f>K99</f>
        <v>0</v>
      </c>
      <c r="L152" s="264">
        <f>L99</f>
        <v>0</v>
      </c>
      <c r="M152" s="264">
        <f>M99</f>
        <v>0</v>
      </c>
      <c r="N152" s="264">
        <f>N99</f>
        <v>0</v>
      </c>
      <c r="O152" s="264">
        <f>O99</f>
        <v>0</v>
      </c>
      <c r="P152" s="264">
        <f>P99</f>
        <v>0</v>
      </c>
      <c r="Q152" s="264">
        <f>Q99</f>
        <v>0</v>
      </c>
      <c r="R152" s="264">
        <f>R99</f>
        <v>0</v>
      </c>
      <c r="S152" s="264">
        <f>S99</f>
        <v>0</v>
      </c>
      <c r="T152" s="264">
        <f>T99</f>
        <v>0</v>
      </c>
      <c r="U152" s="264">
        <f>U99</f>
        <v>0</v>
      </c>
      <c r="V152" s="264">
        <f>V99</f>
        <v>0</v>
      </c>
      <c r="W152" s="264">
        <f>W99</f>
        <v>0</v>
      </c>
      <c r="X152" s="264">
        <f>X99</f>
        <v>0</v>
      </c>
      <c r="Y152" s="264">
        <f>Y99</f>
        <v>2.331</v>
      </c>
      <c r="Z152" s="264">
        <f>Z99</f>
        <v>4.295</v>
      </c>
      <c r="AA152" s="264">
        <f>AA99</f>
        <v>0.562</v>
      </c>
      <c r="AB152" s="264">
        <f>AB99</f>
        <v>0</v>
      </c>
      <c r="AC152" s="264">
        <f>AC99</f>
        <v>7.188</v>
      </c>
      <c r="AD152" s="264">
        <f>AD99</f>
        <v>0.382</v>
      </c>
      <c r="AE152" s="264">
        <f>AE99</f>
        <v>0</v>
      </c>
      <c r="AF152" s="264">
        <f>AF99</f>
        <v>0</v>
      </c>
      <c r="AG152" s="264">
        <f>AG99</f>
        <v>0</v>
      </c>
      <c r="AH152" s="264">
        <f>AH99</f>
        <v>0.382</v>
      </c>
      <c r="AI152" s="264">
        <f>AI99</f>
        <v>0</v>
      </c>
      <c r="AJ152" s="264">
        <f>AJ99</f>
        <v>0</v>
      </c>
      <c r="AK152" s="264">
        <f>AK99</f>
        <v>0</v>
      </c>
      <c r="AL152" s="264">
        <f>AL99</f>
        <v>0</v>
      </c>
      <c r="AM152" s="264">
        <f>AM99</f>
        <v>0</v>
      </c>
      <c r="AN152" s="264">
        <f>AN99</f>
        <v>0</v>
      </c>
      <c r="AO152" s="264">
        <f>AO99</f>
        <v>0</v>
      </c>
      <c r="AP152" s="264">
        <f>AP99</f>
        <v>0</v>
      </c>
      <c r="AQ152" s="264">
        <f>AQ99</f>
        <v>0</v>
      </c>
      <c r="AR152" s="264">
        <f>AR99</f>
        <v>0</v>
      </c>
      <c r="AS152" s="264">
        <f>AS99</f>
        <v>0</v>
      </c>
      <c r="AT152" s="264">
        <f>AT99</f>
        <v>0.084</v>
      </c>
      <c r="AU152" s="264">
        <f>AU99</f>
        <v>0.187</v>
      </c>
      <c r="AV152" s="264">
        <f>AV99</f>
        <v>0.097</v>
      </c>
      <c r="AW152" s="264">
        <f>AW99</f>
        <v>0.368</v>
      </c>
      <c r="AX152" s="264">
        <f>AX99</f>
        <v>0</v>
      </c>
      <c r="AY152" s="264">
        <f>AY99</f>
        <v>0</v>
      </c>
      <c r="AZ152" s="264">
        <f>AZ99</f>
        <v>0</v>
      </c>
      <c r="BA152" s="264">
        <f>BA99</f>
        <v>0</v>
      </c>
      <c r="BB152" s="264">
        <f>BB99</f>
        <v>0</v>
      </c>
      <c r="BC152" s="264">
        <f>BC99</f>
        <v>0</v>
      </c>
      <c r="BD152" s="264">
        <f>BD99</f>
        <v>0</v>
      </c>
      <c r="BE152" s="264">
        <f>BE99</f>
        <v>0</v>
      </c>
      <c r="BF152" s="264">
        <f>BF99</f>
        <v>0</v>
      </c>
      <c r="BG152" s="264">
        <f>BG99</f>
        <v>0</v>
      </c>
      <c r="BH152" s="264">
        <f>BH99</f>
        <v>0</v>
      </c>
      <c r="BI152" s="264">
        <f>BI99</f>
        <v>0</v>
      </c>
      <c r="BJ152" s="264">
        <f>BJ99</f>
        <v>0</v>
      </c>
      <c r="BK152" s="264">
        <f>BK99</f>
        <v>0</v>
      </c>
      <c r="BL152" s="264">
        <f>BL99</f>
        <v>0</v>
      </c>
      <c r="BM152" s="264">
        <f>BM99</f>
        <v>0</v>
      </c>
      <c r="BN152" s="264">
        <f>BN99</f>
        <v>0</v>
      </c>
      <c r="BO152" s="264">
        <f>BO99</f>
        <v>0</v>
      </c>
      <c r="BP152" s="264">
        <f>BP99</f>
        <v>0</v>
      </c>
      <c r="BQ152" s="264">
        <f>BQ99</f>
        <v>0</v>
      </c>
      <c r="BR152" s="264">
        <f>BR99</f>
        <v>0</v>
      </c>
      <c r="BS152" s="264">
        <f>BS99</f>
        <v>0</v>
      </c>
      <c r="BT152" s="264">
        <f>BT99</f>
        <v>0</v>
      </c>
      <c r="BU152" s="264">
        <f>BU99</f>
        <v>0</v>
      </c>
      <c r="BV152" s="264">
        <f>BV99</f>
        <v>0</v>
      </c>
      <c r="BW152" s="264">
        <f>BW99</f>
        <v>0</v>
      </c>
      <c r="BX152" s="264">
        <f>BX99</f>
        <v>0</v>
      </c>
      <c r="BY152" s="264">
        <f>BY99</f>
        <v>0</v>
      </c>
      <c r="BZ152" s="264">
        <f>BZ99</f>
        <v>0</v>
      </c>
      <c r="CA152" s="264">
        <f>CA99</f>
        <v>0</v>
      </c>
      <c r="CB152" s="264">
        <f>CB99</f>
        <v>0</v>
      </c>
      <c r="CC152" s="261">
        <f>CC99</f>
        <v>0</v>
      </c>
      <c r="CD152" s="261">
        <f>CD99</f>
        <v>0</v>
      </c>
      <c r="CE152" s="261">
        <f>CE99</f>
        <v>0</v>
      </c>
      <c r="CF152" s="261">
        <f>CF99</f>
        <v>0</v>
      </c>
      <c r="CG152" s="261">
        <f>CG99</f>
        <v>0</v>
      </c>
      <c r="CH152" s="261">
        <f>CH99</f>
        <v>0</v>
      </c>
      <c r="CI152" s="261">
        <f>CI99</f>
        <v>0</v>
      </c>
      <c r="CJ152" s="261">
        <f>CJ99</f>
        <v>0</v>
      </c>
      <c r="CK152" s="261">
        <f>CK99</f>
        <v>0</v>
      </c>
      <c r="CL152" s="19" t="n"/>
    </row>
    <row r="153" ht="15" customHeight="1" s="251">
      <c r="B153" s="25" t="inlineStr">
        <is>
          <t xml:space="preserve">  (+) Litigation / legal reserves</t>
        </is>
      </c>
      <c r="C153" s="264">
        <f>C100</f>
        <v>0</v>
      </c>
      <c r="D153" s="264">
        <f>D100</f>
        <v>0</v>
      </c>
      <c r="E153" s="264">
        <f>E100</f>
        <v>0</v>
      </c>
      <c r="F153" s="264">
        <f>F100</f>
        <v>0</v>
      </c>
      <c r="G153" s="264">
        <f>G100</f>
        <v>0</v>
      </c>
      <c r="H153" s="264">
        <f>H100</f>
        <v>0</v>
      </c>
      <c r="I153" s="264">
        <f>I100</f>
        <v>0</v>
      </c>
      <c r="J153" s="264">
        <f>J100</f>
        <v>0</v>
      </c>
      <c r="K153" s="264">
        <f>K100</f>
        <v>0</v>
      </c>
      <c r="L153" s="264">
        <f>L100</f>
        <v>0</v>
      </c>
      <c r="M153" s="264">
        <f>M100</f>
        <v>0</v>
      </c>
      <c r="N153" s="264">
        <f>N100</f>
        <v>0</v>
      </c>
      <c r="O153" s="264">
        <f>O100</f>
        <v>0</v>
      </c>
      <c r="P153" s="264">
        <f>P100</f>
        <v>0</v>
      </c>
      <c r="Q153" s="264">
        <f>Q100</f>
        <v>0</v>
      </c>
      <c r="R153" s="264">
        <f>R100</f>
        <v>0</v>
      </c>
      <c r="S153" s="264">
        <f>S100</f>
        <v>0</v>
      </c>
      <c r="T153" s="264">
        <f>T100</f>
        <v>0</v>
      </c>
      <c r="U153" s="264">
        <f>U100</f>
        <v>0</v>
      </c>
      <c r="V153" s="264">
        <f>V100</f>
        <v>0</v>
      </c>
      <c r="W153" s="264">
        <f>W100</f>
        <v>0</v>
      </c>
      <c r="X153" s="264">
        <f>X100</f>
        <v>0</v>
      </c>
      <c r="Y153" s="264">
        <f>Y100</f>
        <v>0</v>
      </c>
      <c r="Z153" s="264">
        <f>Z100</f>
        <v>0</v>
      </c>
      <c r="AA153" s="264">
        <f>AA100</f>
        <v>0</v>
      </c>
      <c r="AB153" s="264">
        <f>AB100</f>
        <v>1.696</v>
      </c>
      <c r="AC153" s="264">
        <f>AC100</f>
        <v>1.696</v>
      </c>
      <c r="AD153" s="264">
        <f>AD100</f>
        <v>0</v>
      </c>
      <c r="AE153" s="264">
        <f>AE100</f>
        <v>0</v>
      </c>
      <c r="AF153" s="264">
        <f>AF100</f>
        <v>0</v>
      </c>
      <c r="AG153" s="264">
        <f>AG100</f>
        <v>0</v>
      </c>
      <c r="AH153" s="264">
        <f>AH100</f>
        <v>0</v>
      </c>
      <c r="AI153" s="264">
        <f>AI100</f>
        <v>0</v>
      </c>
      <c r="AJ153" s="264">
        <f>AJ100</f>
        <v>0</v>
      </c>
      <c r="AK153" s="264">
        <f>AK100</f>
        <v>0</v>
      </c>
      <c r="AL153" s="264">
        <f>AL100</f>
        <v>0</v>
      </c>
      <c r="AM153" s="264">
        <f>AM100</f>
        <v>0</v>
      </c>
      <c r="AN153" s="264">
        <f>AN100</f>
        <v>0</v>
      </c>
      <c r="AO153" s="264">
        <f>AO100</f>
        <v>0</v>
      </c>
      <c r="AP153" s="264">
        <f>AP100</f>
        <v>0</v>
      </c>
      <c r="AQ153" s="264">
        <f>AQ100</f>
        <v>0</v>
      </c>
      <c r="AR153" s="264">
        <f>AR100</f>
        <v>0</v>
      </c>
      <c r="AS153" s="264">
        <f>AS100</f>
        <v>0</v>
      </c>
      <c r="AT153" s="264">
        <f>AT100</f>
        <v>0</v>
      </c>
      <c r="AU153" s="264">
        <f>AU100</f>
        <v>0</v>
      </c>
      <c r="AV153" s="264">
        <f>AV100</f>
        <v>0</v>
      </c>
      <c r="AW153" s="264">
        <f>AW100</f>
        <v>0</v>
      </c>
      <c r="AX153" s="264">
        <f>AX100</f>
        <v>0</v>
      </c>
      <c r="AY153" s="264">
        <f>AY100</f>
        <v>0</v>
      </c>
      <c r="AZ153" s="264">
        <f>AZ100</f>
        <v>0</v>
      </c>
      <c r="BA153" s="264">
        <f>BA100</f>
        <v>0</v>
      </c>
      <c r="BB153" s="264">
        <f>BB100</f>
        <v>0</v>
      </c>
      <c r="BC153" s="264">
        <f>BC100</f>
        <v>0</v>
      </c>
      <c r="BD153" s="264">
        <f>BD100</f>
        <v>0</v>
      </c>
      <c r="BE153" s="264">
        <f>BE100</f>
        <v>0</v>
      </c>
      <c r="BF153" s="264">
        <f>BF100</f>
        <v>0</v>
      </c>
      <c r="BG153" s="264">
        <f>BG100</f>
        <v>0</v>
      </c>
      <c r="BH153" s="264">
        <f>BH100</f>
        <v>0</v>
      </c>
      <c r="BI153" s="264">
        <f>BI100</f>
        <v>0</v>
      </c>
      <c r="BJ153" s="264">
        <f>BJ100</f>
        <v>0</v>
      </c>
      <c r="BK153" s="264">
        <f>BK100</f>
        <v>0</v>
      </c>
      <c r="BL153" s="264">
        <f>BL100</f>
        <v>0</v>
      </c>
      <c r="BM153" s="264">
        <f>BM100</f>
        <v>0</v>
      </c>
      <c r="BN153" s="264">
        <f>BN100</f>
        <v>0</v>
      </c>
      <c r="BO153" s="264">
        <f>BO100</f>
        <v>0</v>
      </c>
      <c r="BP153" s="264">
        <f>BP100</f>
        <v>0</v>
      </c>
      <c r="BQ153" s="264">
        <f>BQ100</f>
        <v>0</v>
      </c>
      <c r="BR153" s="264">
        <f>BR100</f>
        <v>0</v>
      </c>
      <c r="BS153" s="264">
        <f>BS100</f>
        <v>0</v>
      </c>
      <c r="BT153" s="264">
        <f>BT100</f>
        <v>0</v>
      </c>
      <c r="BU153" s="264">
        <f>BU100</f>
        <v>0</v>
      </c>
      <c r="BV153" s="264">
        <f>BV100</f>
        <v>0</v>
      </c>
      <c r="BW153" s="264">
        <f>BW100</f>
        <v>0</v>
      </c>
      <c r="BX153" s="264">
        <f>BX100</f>
        <v>0</v>
      </c>
      <c r="BY153" s="264">
        <f>BY100</f>
        <v>0</v>
      </c>
      <c r="BZ153" s="264">
        <f>BZ100</f>
        <v>0</v>
      </c>
      <c r="CA153" s="264">
        <f>CA100</f>
        <v>0</v>
      </c>
      <c r="CB153" s="264">
        <f>CB100</f>
        <v>0</v>
      </c>
      <c r="CC153" s="261">
        <f>CC100</f>
        <v>0</v>
      </c>
      <c r="CD153" s="261">
        <f>CD100</f>
        <v>0</v>
      </c>
      <c r="CE153" s="261">
        <f>CE100</f>
        <v>0</v>
      </c>
      <c r="CF153" s="261">
        <f>CF100</f>
        <v>0</v>
      </c>
      <c r="CG153" s="261">
        <f>CG100</f>
        <v>0</v>
      </c>
      <c r="CH153" s="261">
        <f>CH100</f>
        <v>0</v>
      </c>
      <c r="CI153" s="261">
        <f>CI100</f>
        <v>0</v>
      </c>
      <c r="CJ153" s="261">
        <f>CJ100</f>
        <v>0</v>
      </c>
      <c r="CK153" s="261">
        <f>CK100</f>
        <v>0</v>
      </c>
      <c r="CL153" s="19" t="n"/>
    </row>
    <row r="154" ht="15" customHeight="1" s="251">
      <c r="B154" s="25" t="inlineStr">
        <is>
          <t xml:space="preserve">  (+) (Gains) / losses on disposals</t>
        </is>
      </c>
      <c r="C154" s="264">
        <f>C101</f>
        <v>0.024</v>
      </c>
      <c r="D154" s="264">
        <f>D101</f>
        <v>-0.294</v>
      </c>
      <c r="E154" s="264">
        <f>E101</f>
        <v>0.366</v>
      </c>
      <c r="F154" s="264">
        <f>F101</f>
        <v>4.445</v>
      </c>
      <c r="G154" s="264">
        <f>G101</f>
        <v>0.215</v>
      </c>
      <c r="H154" s="264">
        <f>H101</f>
        <v>-1.076</v>
      </c>
      <c r="I154" s="264">
        <f>I101</f>
        <v>0</v>
      </c>
      <c r="J154" s="264">
        <f>J101</f>
        <v>0</v>
      </c>
      <c r="K154" s="264">
        <f>K101</f>
        <v>0</v>
      </c>
      <c r="L154" s="264">
        <f>L101</f>
        <v>0</v>
      </c>
      <c r="M154" s="264">
        <f>M101</f>
        <v>0.18</v>
      </c>
      <c r="N154" s="264">
        <f>N101</f>
        <v>0.18</v>
      </c>
      <c r="O154" s="264">
        <f>O101</f>
        <v>0</v>
      </c>
      <c r="P154" s="264">
        <f>P101</f>
        <v>0.043</v>
      </c>
      <c r="Q154" s="264">
        <f>Q101</f>
        <v>0</v>
      </c>
      <c r="R154" s="264">
        <f>R101</f>
        <v>0</v>
      </c>
      <c r="S154" s="264">
        <f>S101</f>
        <v>0.043</v>
      </c>
      <c r="T154" s="264">
        <f>T101</f>
        <v>0</v>
      </c>
      <c r="U154" s="264">
        <f>U101</f>
        <v>0</v>
      </c>
      <c r="V154" s="264">
        <f>V101</f>
        <v>0</v>
      </c>
      <c r="W154" s="264">
        <f>W101</f>
        <v>0</v>
      </c>
      <c r="X154" s="264">
        <f>X101</f>
        <v>0</v>
      </c>
      <c r="Y154" s="264">
        <f>Y101</f>
        <v>0</v>
      </c>
      <c r="Z154" s="264">
        <f>Z101</f>
        <v>0</v>
      </c>
      <c r="AA154" s="264">
        <f>AA101</f>
        <v>0</v>
      </c>
      <c r="AB154" s="264">
        <f>AB101</f>
        <v>0</v>
      </c>
      <c r="AC154" s="264">
        <f>AC101</f>
        <v>0</v>
      </c>
      <c r="AD154" s="264">
        <f>AD101</f>
        <v>0</v>
      </c>
      <c r="AE154" s="264">
        <f>AE101</f>
        <v>0</v>
      </c>
      <c r="AF154" s="264">
        <f>AF101</f>
        <v>0</v>
      </c>
      <c r="AG154" s="264">
        <f>AG101</f>
        <v>0</v>
      </c>
      <c r="AH154" s="264">
        <f>AH101</f>
        <v>0</v>
      </c>
      <c r="AI154" s="264">
        <f>AI101</f>
        <v>0</v>
      </c>
      <c r="AJ154" s="264">
        <f>AJ101</f>
        <v>0</v>
      </c>
      <c r="AK154" s="264">
        <f>AK101</f>
        <v>0</v>
      </c>
      <c r="AL154" s="264">
        <f>AL101</f>
        <v>0</v>
      </c>
      <c r="AM154" s="264">
        <f>AM101</f>
        <v>0</v>
      </c>
      <c r="AN154" s="264">
        <f>AN101</f>
        <v>0</v>
      </c>
      <c r="AO154" s="264">
        <f>AO101</f>
        <v>0</v>
      </c>
      <c r="AP154" s="264">
        <f>AP101</f>
        <v>16.802</v>
      </c>
      <c r="AQ154" s="264">
        <f>AQ101</f>
        <v>-0.258</v>
      </c>
      <c r="AR154" s="264">
        <f>AR101</f>
        <v>16.544</v>
      </c>
      <c r="AS154" s="264">
        <f>AS101</f>
        <v>0</v>
      </c>
      <c r="AT154" s="264">
        <f>AT101</f>
        <v>0</v>
      </c>
      <c r="AU154" s="264">
        <f>AU101</f>
        <v>0</v>
      </c>
      <c r="AV154" s="264">
        <f>AV101</f>
        <v>-1.44</v>
      </c>
      <c r="AW154" s="264">
        <f>AW101</f>
        <v>-1.44</v>
      </c>
      <c r="AX154" s="264">
        <f>AX101</f>
        <v>0</v>
      </c>
      <c r="AY154" s="264">
        <f>AY101</f>
        <v>0</v>
      </c>
      <c r="AZ154" s="264">
        <f>AZ101</f>
        <v>0</v>
      </c>
      <c r="BA154" s="264">
        <f>BA101</f>
        <v>0</v>
      </c>
      <c r="BB154" s="264">
        <f>BB101</f>
        <v>0</v>
      </c>
      <c r="BC154" s="264">
        <f>BC101</f>
        <v>0</v>
      </c>
      <c r="BD154" s="264">
        <f>BD101</f>
        <v>0</v>
      </c>
      <c r="BE154" s="264">
        <f>BE101</f>
        <v>0</v>
      </c>
      <c r="BF154" s="264">
        <f>BF101</f>
        <v>0</v>
      </c>
      <c r="BG154" s="264">
        <f>BG101</f>
        <v>0</v>
      </c>
      <c r="BH154" s="264">
        <f>BH101</f>
        <v>0</v>
      </c>
      <c r="BI154" s="264">
        <f>BI101</f>
        <v>0</v>
      </c>
      <c r="BJ154" s="264">
        <f>BJ101</f>
        <v>0</v>
      </c>
      <c r="BK154" s="264">
        <f>BK101</f>
        <v>0</v>
      </c>
      <c r="BL154" s="264">
        <f>BL101</f>
        <v>0</v>
      </c>
      <c r="BM154" s="264">
        <f>BM101</f>
        <v>0</v>
      </c>
      <c r="BN154" s="264">
        <f>BN101</f>
        <v>0</v>
      </c>
      <c r="BO154" s="264">
        <f>BO101</f>
        <v>0</v>
      </c>
      <c r="BP154" s="264">
        <f>BP101</f>
        <v>0</v>
      </c>
      <c r="BQ154" s="264">
        <f>BQ101</f>
        <v>0</v>
      </c>
      <c r="BR154" s="264">
        <f>BR101</f>
        <v>0</v>
      </c>
      <c r="BS154" s="264">
        <f>BS101</f>
        <v>0</v>
      </c>
      <c r="BT154" s="264">
        <f>BT101</f>
        <v>0</v>
      </c>
      <c r="BU154" s="264">
        <f>BU101</f>
        <v>0</v>
      </c>
      <c r="BV154" s="264">
        <f>BV101</f>
        <v>0</v>
      </c>
      <c r="BW154" s="264">
        <f>BW101</f>
        <v>0</v>
      </c>
      <c r="BX154" s="264">
        <f>BX101</f>
        <v>0</v>
      </c>
      <c r="BY154" s="264">
        <f>BY101</f>
        <v>0</v>
      </c>
      <c r="BZ154" s="264">
        <f>BZ101</f>
        <v>0</v>
      </c>
      <c r="CA154" s="264">
        <f>CA101</f>
        <v>0</v>
      </c>
      <c r="CB154" s="264">
        <f>CB101</f>
        <v>0</v>
      </c>
      <c r="CC154" s="261">
        <f>CC101</f>
        <v>0</v>
      </c>
      <c r="CD154" s="261">
        <f>CD101</f>
        <v>0</v>
      </c>
      <c r="CE154" s="261">
        <f>CE101</f>
        <v>0</v>
      </c>
      <c r="CF154" s="261">
        <f>CF101</f>
        <v>0</v>
      </c>
      <c r="CG154" s="261">
        <f>CG101</f>
        <v>0</v>
      </c>
      <c r="CH154" s="261">
        <f>CH101</f>
        <v>0</v>
      </c>
      <c r="CI154" s="261">
        <f>CI101</f>
        <v>0</v>
      </c>
      <c r="CJ154" s="261">
        <f>CJ101</f>
        <v>0</v>
      </c>
      <c r="CK154" s="261">
        <f>CK101</f>
        <v>0</v>
      </c>
      <c r="CL154" s="19" t="n"/>
    </row>
    <row r="155" ht="15" customHeight="1" s="251">
      <c r="B155" s="25" t="inlineStr">
        <is>
          <t xml:space="preserve">  (+) Stock-option compensation (FY2006–07)</t>
        </is>
      </c>
      <c r="C155" s="264">
        <f>C102</f>
        <v>0</v>
      </c>
      <c r="D155" s="264">
        <f>D102</f>
        <v>0.766</v>
      </c>
      <c r="E155" s="264">
        <f>E102</f>
        <v>0</v>
      </c>
      <c r="F155" s="264">
        <f>F102</f>
        <v>0</v>
      </c>
      <c r="G155" s="264">
        <f>G102</f>
        <v>0</v>
      </c>
      <c r="H155" s="264">
        <f>H102</f>
        <v>0</v>
      </c>
      <c r="I155" s="264">
        <f>I102</f>
        <v>0</v>
      </c>
      <c r="J155" s="264">
        <f>J102</f>
        <v>0</v>
      </c>
      <c r="K155" s="264">
        <f>K102</f>
        <v>0</v>
      </c>
      <c r="L155" s="264">
        <f>L102</f>
        <v>0</v>
      </c>
      <c r="M155" s="264">
        <f>M102</f>
        <v>0</v>
      </c>
      <c r="N155" s="264">
        <f>N102</f>
        <v>0</v>
      </c>
      <c r="O155" s="264">
        <f>O102</f>
        <v>0</v>
      </c>
      <c r="P155" s="264">
        <f>P102</f>
        <v>0</v>
      </c>
      <c r="Q155" s="264">
        <f>Q102</f>
        <v>0</v>
      </c>
      <c r="R155" s="264">
        <f>R102</f>
        <v>0</v>
      </c>
      <c r="S155" s="264">
        <f>S102</f>
        <v>0</v>
      </c>
      <c r="T155" s="264">
        <f>T102</f>
        <v>0</v>
      </c>
      <c r="U155" s="264">
        <f>U102</f>
        <v>0</v>
      </c>
      <c r="V155" s="264">
        <f>V102</f>
        <v>0</v>
      </c>
      <c r="W155" s="264">
        <f>W102</f>
        <v>0</v>
      </c>
      <c r="X155" s="264">
        <f>X102</f>
        <v>0</v>
      </c>
      <c r="Y155" s="264">
        <f>Y102</f>
        <v>0</v>
      </c>
      <c r="Z155" s="264">
        <f>Z102</f>
        <v>0</v>
      </c>
      <c r="AA155" s="264">
        <f>AA102</f>
        <v>0</v>
      </c>
      <c r="AB155" s="264">
        <f>AB102</f>
        <v>0</v>
      </c>
      <c r="AC155" s="264">
        <f>AC102</f>
        <v>0</v>
      </c>
      <c r="AD155" s="264">
        <f>AD102</f>
        <v>0</v>
      </c>
      <c r="AE155" s="264">
        <f>AE102</f>
        <v>0</v>
      </c>
      <c r="AF155" s="264">
        <f>AF102</f>
        <v>0</v>
      </c>
      <c r="AG155" s="264">
        <f>AG102</f>
        <v>0</v>
      </c>
      <c r="AH155" s="264">
        <f>AH102</f>
        <v>0</v>
      </c>
      <c r="AI155" s="264">
        <f>AI102</f>
        <v>0</v>
      </c>
      <c r="AJ155" s="264">
        <f>AJ102</f>
        <v>0</v>
      </c>
      <c r="AK155" s="264">
        <f>AK102</f>
        <v>0</v>
      </c>
      <c r="AL155" s="264">
        <f>AL102</f>
        <v>0</v>
      </c>
      <c r="AM155" s="264">
        <f>AM102</f>
        <v>0</v>
      </c>
      <c r="AN155" s="264">
        <f>AN102</f>
        <v>0</v>
      </c>
      <c r="AO155" s="264">
        <f>AO102</f>
        <v>0</v>
      </c>
      <c r="AP155" s="264">
        <f>AP102</f>
        <v>0</v>
      </c>
      <c r="AQ155" s="264">
        <f>AQ102</f>
        <v>0</v>
      </c>
      <c r="AR155" s="264">
        <f>AR102</f>
        <v>0</v>
      </c>
      <c r="AS155" s="264">
        <f>AS102</f>
        <v>0</v>
      </c>
      <c r="AT155" s="264">
        <f>AT102</f>
        <v>0</v>
      </c>
      <c r="AU155" s="264">
        <f>AU102</f>
        <v>0</v>
      </c>
      <c r="AV155" s="264">
        <f>AV102</f>
        <v>0</v>
      </c>
      <c r="AW155" s="264">
        <f>AW102</f>
        <v>0</v>
      </c>
      <c r="AX155" s="264">
        <f>AX102</f>
        <v>0</v>
      </c>
      <c r="AY155" s="264">
        <f>AY102</f>
        <v>0</v>
      </c>
      <c r="AZ155" s="264">
        <f>AZ102</f>
        <v>0</v>
      </c>
      <c r="BA155" s="264">
        <f>BA102</f>
        <v>0</v>
      </c>
      <c r="BB155" s="264">
        <f>BB102</f>
        <v>0</v>
      </c>
      <c r="BC155" s="264">
        <f>BC102</f>
        <v>0</v>
      </c>
      <c r="BD155" s="264">
        <f>BD102</f>
        <v>0</v>
      </c>
      <c r="BE155" s="264">
        <f>BE102</f>
        <v>0</v>
      </c>
      <c r="BF155" s="264">
        <f>BF102</f>
        <v>0</v>
      </c>
      <c r="BG155" s="264">
        <f>BG102</f>
        <v>0</v>
      </c>
      <c r="BH155" s="264">
        <f>BH102</f>
        <v>0</v>
      </c>
      <c r="BI155" s="264">
        <f>BI102</f>
        <v>0</v>
      </c>
      <c r="BJ155" s="264">
        <f>BJ102</f>
        <v>0</v>
      </c>
      <c r="BK155" s="264">
        <f>BK102</f>
        <v>0</v>
      </c>
      <c r="BL155" s="264">
        <f>BL102</f>
        <v>0</v>
      </c>
      <c r="BM155" s="264">
        <f>BM102</f>
        <v>0</v>
      </c>
      <c r="BN155" s="264">
        <f>BN102</f>
        <v>0</v>
      </c>
      <c r="BO155" s="264">
        <f>BO102</f>
        <v>0</v>
      </c>
      <c r="BP155" s="264">
        <f>BP102</f>
        <v>0</v>
      </c>
      <c r="BQ155" s="264">
        <f>BQ102</f>
        <v>0</v>
      </c>
      <c r="BR155" s="264">
        <f>BR102</f>
        <v>0</v>
      </c>
      <c r="BS155" s="264">
        <f>BS102</f>
        <v>0</v>
      </c>
      <c r="BT155" s="264">
        <f>BT102</f>
        <v>0</v>
      </c>
      <c r="BU155" s="264">
        <f>BU102</f>
        <v>0</v>
      </c>
      <c r="BV155" s="264">
        <f>BV102</f>
        <v>0</v>
      </c>
      <c r="BW155" s="264">
        <f>BW102</f>
        <v>0</v>
      </c>
      <c r="BX155" s="264">
        <f>BX102</f>
        <v>0</v>
      </c>
      <c r="BY155" s="264">
        <f>BY102</f>
        <v>0</v>
      </c>
      <c r="BZ155" s="264">
        <f>BZ102</f>
        <v>0</v>
      </c>
      <c r="CA155" s="264">
        <f>CA102</f>
        <v>0</v>
      </c>
      <c r="CB155" s="264">
        <f>CB102</f>
        <v>0</v>
      </c>
      <c r="CC155" s="261">
        <f>CC102</f>
        <v>0</v>
      </c>
      <c r="CD155" s="261">
        <f>CD102</f>
        <v>0</v>
      </c>
      <c r="CE155" s="261">
        <f>CE102</f>
        <v>0</v>
      </c>
      <c r="CF155" s="261">
        <f>CF102</f>
        <v>0</v>
      </c>
      <c r="CG155" s="261">
        <f>CG102</f>
        <v>0</v>
      </c>
      <c r="CH155" s="261">
        <f>CH102</f>
        <v>0</v>
      </c>
      <c r="CI155" s="261">
        <f>CI102</f>
        <v>0</v>
      </c>
      <c r="CJ155" s="261">
        <f>CJ102</f>
        <v>0</v>
      </c>
      <c r="CK155" s="261">
        <f>CK102</f>
        <v>0</v>
      </c>
      <c r="CL155" s="19" t="n"/>
    </row>
    <row r="156" collapsed="1" ht="15" customHeight="1" s="251">
      <c r="B156" s="25" t="inlineStr">
        <is>
          <t xml:space="preserve">  (+) Other items</t>
        </is>
      </c>
      <c r="C156" s="264">
        <f>C103</f>
        <v>5.738</v>
      </c>
      <c r="D156" s="264">
        <f>D103</f>
        <v>0</v>
      </c>
      <c r="E156" s="264">
        <f>E103</f>
        <v>0</v>
      </c>
      <c r="F156" s="264">
        <f>F103</f>
        <v>2.3</v>
      </c>
      <c r="G156" s="264">
        <f>G103</f>
        <v>2.64</v>
      </c>
      <c r="H156" s="264">
        <f>H103</f>
        <v>2.879</v>
      </c>
      <c r="I156" s="264">
        <f>I103</f>
        <v>0</v>
      </c>
      <c r="J156" s="264">
        <f>J103</f>
        <v>0</v>
      </c>
      <c r="K156" s="264">
        <f>K103</f>
        <v>0</v>
      </c>
      <c r="L156" s="264">
        <f>L103</f>
        <v>0</v>
      </c>
      <c r="M156" s="264">
        <f>M103</f>
        <v>0</v>
      </c>
      <c r="N156" s="264">
        <f>N103</f>
        <v>0</v>
      </c>
      <c r="O156" s="264">
        <f>O103</f>
        <v>0</v>
      </c>
      <c r="P156" s="264">
        <f>P103</f>
        <v>0</v>
      </c>
      <c r="Q156" s="264">
        <f>Q103</f>
        <v>0</v>
      </c>
      <c r="R156" s="264">
        <f>R103</f>
        <v>0</v>
      </c>
      <c r="S156" s="264">
        <f>S103</f>
        <v>0</v>
      </c>
      <c r="T156" s="264">
        <f>T103</f>
        <v>0</v>
      </c>
      <c r="U156" s="264">
        <f>U103</f>
        <v>0</v>
      </c>
      <c r="V156" s="264">
        <f>V103</f>
        <v>0</v>
      </c>
      <c r="W156" s="264">
        <f>W103</f>
        <v>0</v>
      </c>
      <c r="X156" s="264">
        <f>X103</f>
        <v>0</v>
      </c>
      <c r="Y156" s="264">
        <f>Y103</f>
        <v>0</v>
      </c>
      <c r="Z156" s="264">
        <f>Z103</f>
        <v>0</v>
      </c>
      <c r="AA156" s="264">
        <f>AA103</f>
        <v>0</v>
      </c>
      <c r="AB156" s="264">
        <f>AB103</f>
        <v>0</v>
      </c>
      <c r="AC156" s="264">
        <f>AC103</f>
        <v>0</v>
      </c>
      <c r="AD156" s="264">
        <f>AD103</f>
        <v>0</v>
      </c>
      <c r="AE156" s="264">
        <f>AE103</f>
        <v>0</v>
      </c>
      <c r="AF156" s="264">
        <f>AF103</f>
        <v>0</v>
      </c>
      <c r="AG156" s="264">
        <f>AG103</f>
        <v>0</v>
      </c>
      <c r="AH156" s="264">
        <f>AH103</f>
        <v>0</v>
      </c>
      <c r="AI156" s="264">
        <f>AI103</f>
        <v>0</v>
      </c>
      <c r="AJ156" s="264">
        <f>AJ103</f>
        <v>0</v>
      </c>
      <c r="AK156" s="264">
        <f>AK103</f>
        <v>0</v>
      </c>
      <c r="AL156" s="264">
        <f>AL103</f>
        <v>0</v>
      </c>
      <c r="AM156" s="264">
        <f>AM103</f>
        <v>0</v>
      </c>
      <c r="AN156" s="264">
        <f>AN103</f>
        <v>0</v>
      </c>
      <c r="AO156" s="264">
        <f>AO103</f>
        <v>0</v>
      </c>
      <c r="AP156" s="264">
        <f>AP103</f>
        <v>0</v>
      </c>
      <c r="AQ156" s="264">
        <f>AQ103</f>
        <v>0</v>
      </c>
      <c r="AR156" s="264">
        <f>AR103</f>
        <v>0</v>
      </c>
      <c r="AS156" s="264">
        <f>AS103</f>
        <v>0</v>
      </c>
      <c r="AT156" s="264">
        <f>AT103</f>
        <v>0</v>
      </c>
      <c r="AU156" s="264">
        <f>AU103</f>
        <v>0</v>
      </c>
      <c r="AV156" s="264">
        <f>AV103</f>
        <v>0</v>
      </c>
      <c r="AW156" s="264">
        <f>AW103</f>
        <v>0</v>
      </c>
      <c r="AX156" s="264">
        <f>AX103</f>
        <v>0</v>
      </c>
      <c r="AY156" s="264">
        <f>AY103</f>
        <v>0</v>
      </c>
      <c r="AZ156" s="264">
        <f>AZ103</f>
        <v>0</v>
      </c>
      <c r="BA156" s="264">
        <f>BA103</f>
        <v>1.507</v>
      </c>
      <c r="BB156" s="264">
        <f>BB103</f>
        <v>1.507</v>
      </c>
      <c r="BC156" s="264">
        <f>BC103</f>
        <v>0</v>
      </c>
      <c r="BD156" s="264">
        <f>BD103</f>
        <v>0</v>
      </c>
      <c r="BE156" s="264">
        <f>BE103</f>
        <v>0</v>
      </c>
      <c r="BF156" s="264">
        <f>BF103</f>
        <v>0</v>
      </c>
      <c r="BG156" s="264">
        <f>BG103</f>
        <v>0</v>
      </c>
      <c r="BH156" s="264">
        <f>BH103</f>
        <v>0</v>
      </c>
      <c r="BI156" s="264">
        <f>BI103</f>
        <v>0</v>
      </c>
      <c r="BJ156" s="264">
        <f>BJ103</f>
        <v>0</v>
      </c>
      <c r="BK156" s="264">
        <f>BK103</f>
        <v>0</v>
      </c>
      <c r="BL156" s="264">
        <f>BL103</f>
        <v>0</v>
      </c>
      <c r="BM156" s="264">
        <f>BM103</f>
        <v>0</v>
      </c>
      <c r="BN156" s="264">
        <f>BN103</f>
        <v>0</v>
      </c>
      <c r="BO156" s="264">
        <f>BO103</f>
        <v>0</v>
      </c>
      <c r="BP156" s="264">
        <f>BP103</f>
        <v>0</v>
      </c>
      <c r="BQ156" s="264">
        <f>BQ103</f>
        <v>0</v>
      </c>
      <c r="BR156" s="264">
        <f>BR103</f>
        <v>0</v>
      </c>
      <c r="BS156" s="264">
        <f>BS103</f>
        <v>0</v>
      </c>
      <c r="BT156" s="264">
        <f>BT103</f>
        <v>0</v>
      </c>
      <c r="BU156" s="264">
        <f>BU103</f>
        <v>0</v>
      </c>
      <c r="BV156" s="264">
        <f>BV103</f>
        <v>0</v>
      </c>
      <c r="BW156" s="264">
        <f>BW103</f>
        <v>0</v>
      </c>
      <c r="BX156" s="264">
        <f>BX103</f>
        <v>0</v>
      </c>
      <c r="BY156" s="264">
        <f>BY103</f>
        <v>0</v>
      </c>
      <c r="BZ156" s="264">
        <f>BZ103</f>
        <v>0</v>
      </c>
      <c r="CA156" s="264">
        <f>CA103</f>
        <v>0</v>
      </c>
      <c r="CB156" s="264">
        <f>CB103</f>
        <v>0</v>
      </c>
      <c r="CC156" s="261">
        <f>CC103</f>
        <v>0</v>
      </c>
      <c r="CD156" s="261">
        <f>CD103</f>
        <v>0</v>
      </c>
      <c r="CE156" s="261">
        <f>CE103</f>
        <v>0</v>
      </c>
      <c r="CF156" s="261">
        <f>CF103</f>
        <v>0</v>
      </c>
      <c r="CG156" s="261">
        <f>CG103</f>
        <v>0</v>
      </c>
      <c r="CH156" s="261">
        <f>CH103</f>
        <v>0</v>
      </c>
      <c r="CI156" s="261">
        <f>CI103</f>
        <v>0</v>
      </c>
      <c r="CJ156" s="261">
        <f>CJ103</f>
        <v>0</v>
      </c>
      <c r="CK156" s="261">
        <f>CK103</f>
        <v>0</v>
      </c>
      <c r="CL156" s="19" t="n"/>
    </row>
    <row r="157" ht="15" customHeight="1" s="251">
      <c r="B157" s="16" t="inlineStr">
        <is>
          <t xml:space="preserve">  Total adjusting items (pre-tax)</t>
        </is>
      </c>
      <c r="C157" s="280">
        <f>IF(ISNUMBER(C150),N(C150)+N(C151)+N(C152)+N(C153)+N(C154)+N(C155)+N(C156),"")</f>
        <v>6.786</v>
      </c>
      <c r="D157" s="280">
        <f>IF(ISNUMBER(D150),N(D150)+N(D151)+N(D152)+N(D153)+N(D154)+N(D155)+N(D156),"")</f>
        <v>5.927</v>
      </c>
      <c r="E157" s="280">
        <f>IF(ISNUMBER(E150),N(E150)+N(E151)+N(E152)+N(E153)+N(E154)+N(E155)+N(E156),"")</f>
        <v>1.1</v>
      </c>
      <c r="F157" s="280">
        <f>IF(ISNUMBER(F150),N(F150)+N(F151)+N(F152)+N(F153)+N(F154)+N(F155)+N(F156),"")</f>
        <v>7.976</v>
      </c>
      <c r="G157" s="280">
        <f>IF(ISNUMBER(G150),N(G150)+N(G151)+N(G152)+N(G153)+N(G154)+N(G155)+N(G156),"")</f>
        <v>4.052</v>
      </c>
      <c r="H157" s="280">
        <f>IF(ISNUMBER(H150),N(H150)+N(H151)+N(H152)+N(H153)+N(H154)+N(H155)+N(H156),"")</f>
        <v>2.022</v>
      </c>
      <c r="I157" s="280">
        <f>IF(ISNUMBER(I150),N(I150)+N(I151)+N(I152)+N(I153)+N(I154)+N(I155)+N(I156),"")</f>
        <v>0</v>
      </c>
      <c r="J157" s="280">
        <f>IF(ISNUMBER(J150),N(J150)+N(J151)+N(J152)+N(J153)+N(J154)+N(J155)+N(J156),"")</f>
        <v>0</v>
      </c>
      <c r="K157" s="280">
        <f>IF(ISNUMBER(K150),N(K150)+N(K151)+N(K152)+N(K153)+N(K154)+N(K155)+N(K156),"")</f>
        <v>0</v>
      </c>
      <c r="L157" s="280">
        <f>IF(ISNUMBER(L150),N(L150)+N(L151)+N(L152)+N(L153)+N(L154)+N(L155)+N(L156),"")</f>
        <v>0</v>
      </c>
      <c r="M157" s="280">
        <f>IF(ISNUMBER(M150),N(M150)+N(M151)+N(M152)+N(M153)+N(M154)+N(M155)+N(M156),"")</f>
        <v>6.918</v>
      </c>
      <c r="N157" s="280">
        <f>IF(ISNUMBER(N150),N(N150)+N(N151)+N(N152)+N(N153)+N(N154)+N(N155)+N(N156),"")</f>
        <v>6.918</v>
      </c>
      <c r="O157" s="280">
        <f>IF(ISNUMBER(O150),N(O150)+N(O151)+N(O152)+N(O153)+N(O154)+N(O155)+N(O156),"")</f>
        <v>0.628</v>
      </c>
      <c r="P157" s="280">
        <f>IF(ISNUMBER(P150),N(P150)+N(P151)+N(P152)+N(P153)+N(P154)+N(P155)+N(P156),"")</f>
        <v>1.287</v>
      </c>
      <c r="Q157" s="280">
        <f>IF(ISNUMBER(Q150),N(Q150)+N(Q151)+N(Q152)+N(Q153)+N(Q154)+N(Q155)+N(Q156),"")</f>
        <v>0</v>
      </c>
      <c r="R157" s="280">
        <f>IF(ISNUMBER(R150),N(R150)+N(R151)+N(R152)+N(R153)+N(R154)+N(R155)+N(R156),"")</f>
        <v>0</v>
      </c>
      <c r="S157" s="280">
        <f>IF(ISNUMBER(S150),N(S150)+N(S151)+N(S152)+N(S153)+N(S154)+N(S155)+N(S156),"")</f>
        <v>2.042</v>
      </c>
      <c r="T157" s="280">
        <f>IF(ISNUMBER(T150),N(T150)+N(T151)+N(T152)+N(T153)+N(T154)+N(T155)+N(T156),"")</f>
        <v>0</v>
      </c>
      <c r="U157" s="280">
        <f>IF(ISNUMBER(U150),N(U150)+N(U151)+N(U152)+N(U153)+N(U154)+N(U155)+N(U156),"")</f>
        <v>6.382</v>
      </c>
      <c r="V157" s="280">
        <f>IF(ISNUMBER(V150),N(V150)+N(V151)+N(V152)+N(V153)+N(V154)+N(V155)+N(V156),"")</f>
        <v>1.615</v>
      </c>
      <c r="W157" s="280">
        <f>IF(ISNUMBER(W150),N(W150)+N(W151)+N(W152)+N(W153)+N(W154)+N(W155)+N(W156),"")</f>
        <v>0.06</v>
      </c>
      <c r="X157" s="280">
        <f>IF(ISNUMBER(X150),N(X150)+N(X151)+N(X152)+N(X153)+N(X154)+N(X155)+N(X156),"")</f>
        <v>8.057</v>
      </c>
      <c r="Y157" s="280">
        <f>IF(ISNUMBER(Y150),N(Y150)+N(Y151)+N(Y152)+N(Y153)+N(Y154)+N(Y155)+N(Y156),"")</f>
        <v>7.119</v>
      </c>
      <c r="Z157" s="280">
        <f>IF(ISNUMBER(Z150),N(Z150)+N(Z151)+N(Z152)+N(Z153)+N(Z154)+N(Z155)+N(Z156),"")</f>
        <v>5.578</v>
      </c>
      <c r="AA157" s="280">
        <f>IF(ISNUMBER(AA150),N(AA150)+N(AA151)+N(AA152)+N(AA153)+N(AA154)+N(AA155)+N(AA156),"")</f>
        <v>0.587</v>
      </c>
      <c r="AB157" s="280">
        <f>IF(ISNUMBER(AB150),N(AB150)+N(AB151)+N(AB152)+N(AB153)+N(AB154)+N(AB155)+N(AB156),"")</f>
        <v>1.696</v>
      </c>
      <c r="AC157" s="280">
        <f>IF(ISNUMBER(AC150),N(AC150)+N(AC151)+N(AC152)+N(AC153)+N(AC154)+N(AC155)+N(AC156),"")</f>
        <v>14.98</v>
      </c>
      <c r="AD157" s="280">
        <f>IF(ISNUMBER(AD150),N(AD150)+N(AD151)+N(AD152)+N(AD153)+N(AD154)+N(AD155)+N(AD156),"")</f>
        <v>0.382</v>
      </c>
      <c r="AE157" s="280">
        <f>IF(ISNUMBER(AE150),N(AE150)+N(AE151)+N(AE152)+N(AE153)+N(AE154)+N(AE155)+N(AE156),"")</f>
        <v>0.222</v>
      </c>
      <c r="AF157" s="280">
        <f>IF(ISNUMBER(AF150),N(AF150)+N(AF151)+N(AF152)+N(AF153)+N(AF154)+N(AF155)+N(AF156),"")</f>
        <v>7.06</v>
      </c>
      <c r="AG157" s="280">
        <f>IF(ISNUMBER(AG150),N(AG150)+N(AG151)+N(AG152)+N(AG153)+N(AG154)+N(AG155)+N(AG156),"")</f>
        <v>0</v>
      </c>
      <c r="AH157" s="280">
        <f>IF(ISNUMBER(AH150),N(AH150)+N(AH151)+N(AH152)+N(AH153)+N(AH154)+N(AH155)+N(AH156),"")</f>
        <v>7.664</v>
      </c>
      <c r="AI157" s="280">
        <f>IF(ISNUMBER(AI150),N(AI150)+N(AI151)+N(AI152)+N(AI153)+N(AI154)+N(AI155)+N(AI156),"")</f>
        <v>0</v>
      </c>
      <c r="AJ157" s="280">
        <f>IF(ISNUMBER(AJ150),N(AJ150)+N(AJ151)+N(AJ152)+N(AJ153)+N(AJ154)+N(AJ155)+N(AJ156),"")</f>
        <v>6.494</v>
      </c>
      <c r="AK157" s="280">
        <f>IF(ISNUMBER(AK150),N(AK150)+N(AK151)+N(AK152)+N(AK153)+N(AK154)+N(AK155)+N(AK156),"")</f>
        <v>1.091</v>
      </c>
      <c r="AL157" s="280">
        <f>IF(ISNUMBER(AL150),N(AL150)+N(AL151)+N(AL152)+N(AL153)+N(AL154)+N(AL155)+N(AL156),"")</f>
        <v>0.397</v>
      </c>
      <c r="AM157" s="280">
        <f>IF(ISNUMBER(AM150),N(AM150)+N(AM151)+N(AM152)+N(AM153)+N(AM154)+N(AM155)+N(AM156),"")</f>
        <v>7.982</v>
      </c>
      <c r="AN157" s="280">
        <f>IF(ISNUMBER(AN150),N(AN150)+N(AN151)+N(AN152)+N(AN153)+N(AN154)+N(AN155)+N(AN156),"")</f>
        <v>0</v>
      </c>
      <c r="AO157" s="280">
        <f>IF(ISNUMBER(AO150),N(AO150)+N(AO151)+N(AO152)+N(AO153)+N(AO154)+N(AO155)+N(AO156),"")</f>
        <v>0</v>
      </c>
      <c r="AP157" s="280">
        <f>IF(ISNUMBER(AP150),N(AP150)+N(AP151)+N(AP152)+N(AP153)+N(AP154)+N(AP155)+N(AP156),"")</f>
        <v>16.802</v>
      </c>
      <c r="AQ157" s="280">
        <f>IF(ISNUMBER(AQ150),N(AQ150)+N(AQ151)+N(AQ152)+N(AQ153)+N(AQ154)+N(AQ155)+N(AQ156),"")</f>
        <v>0.922</v>
      </c>
      <c r="AR157" s="280">
        <f>IF(ISNUMBER(AR150),N(AR150)+N(AR151)+N(AR152)+N(AR153)+N(AR154)+N(AR155)+N(AR156),"")</f>
        <v>17.724</v>
      </c>
      <c r="AS157" s="280">
        <f>IF(ISNUMBER(AS150),N(AS150)+N(AS151)+N(AS152)+N(AS153)+N(AS154)+N(AS155)+N(AS156),"")</f>
        <v>0</v>
      </c>
      <c r="AT157" s="280">
        <f>IF(ISNUMBER(AT150),N(AT150)+N(AT151)+N(AT152)+N(AT153)+N(AT154)+N(AT155)+N(AT156),"")</f>
        <v>1.069</v>
      </c>
      <c r="AU157" s="280">
        <f>IF(ISNUMBER(AU150),N(AU150)+N(AU151)+N(AU152)+N(AU153)+N(AU154)+N(AU155)+N(AU156),"")</f>
        <v>0.334</v>
      </c>
      <c r="AV157" s="280">
        <f>IF(ISNUMBER(AV150),N(AV150)+N(AV151)+N(AV152)+N(AV153)+N(AV154)+N(AV155)+N(AV156),"")</f>
        <v>-0.538</v>
      </c>
      <c r="AW157" s="280">
        <f>IF(ISNUMBER(AW150),N(AW150)+N(AW151)+N(AW152)+N(AW153)+N(AW154)+N(AW155)+N(AW156),"")</f>
        <v>0.865</v>
      </c>
      <c r="AX157" s="280">
        <f>IF(ISNUMBER(AX150),N(AX150)+N(AX151)+N(AX152)+N(AX153)+N(AX154)+N(AX155)+N(AX156),"")</f>
        <v>1.119</v>
      </c>
      <c r="AY157" s="280">
        <f>IF(ISNUMBER(AY150),N(AY150)+N(AY151)+N(AY152)+N(AY153)+N(AY154)+N(AY155)+N(AY156),"")</f>
        <v>3.514</v>
      </c>
      <c r="AZ157" s="280">
        <f>IF(ISNUMBER(AZ150),N(AZ150)+N(AZ151)+N(AZ152)+N(AZ153)+N(AZ154)+N(AZ155)+N(AZ156),"")</f>
        <v>1.341</v>
      </c>
      <c r="BA157" s="280">
        <f>IF(ISNUMBER(BA150),N(BA150)+N(BA151)+N(BA152)+N(BA153)+N(BA154)+N(BA155)+N(BA156),"")</f>
        <v>2.78</v>
      </c>
      <c r="BB157" s="280">
        <f>IF(ISNUMBER(BB150),N(BB150)+N(BB151)+N(BB152)+N(BB153)+N(BB154)+N(BB155)+N(BB156),"")</f>
        <v>8.754</v>
      </c>
      <c r="BC157" s="280">
        <f>IF(ISNUMBER(BC150),N(BC150)+N(BC151)+N(BC152)+N(BC153)+N(BC154)+N(BC155)+N(BC156),"")</f>
        <v>0.557</v>
      </c>
      <c r="BD157" s="280">
        <f>IF(ISNUMBER(BD150),N(BD150)+N(BD151)+N(BD152)+N(BD153)+N(BD154)+N(BD155)+N(BD156),"")</f>
        <v>3.42</v>
      </c>
      <c r="BE157" s="280">
        <f>IF(ISNUMBER(BE150),N(BE150)+N(BE151)+N(BE152)+N(BE153)+N(BE154)+N(BE155)+N(BE156),"")</f>
        <v>30.443</v>
      </c>
      <c r="BF157" s="280">
        <f>IF(ISNUMBER(BF150),N(BF150)+N(BF151)+N(BF152)+N(BF153)+N(BF154)+N(BF155)+N(BF156),"")</f>
        <v>12.528</v>
      </c>
      <c r="BG157" s="280">
        <f>IF(ISNUMBER(BG150),N(BG150)+N(BG151)+N(BG152)+N(BG153)+N(BG154)+N(BG155)+N(BG156),"")</f>
        <v>46.948</v>
      </c>
      <c r="BH157" s="280">
        <f>IF(ISNUMBER(BH150),N(BH150)+N(BH151)+N(BH152)+N(BH153)+N(BH154)+N(BH155)+N(BH156),"")</f>
        <v>3.787</v>
      </c>
      <c r="BI157" s="280">
        <f>IF(ISNUMBER(BI150),N(BI150)+N(BI151)+N(BI152)+N(BI153)+N(BI154)+N(BI155)+N(BI156),"")</f>
        <v>4.001</v>
      </c>
      <c r="BJ157" s="280">
        <f>IF(ISNUMBER(BJ150),N(BJ150)+N(BJ151)+N(BJ152)+N(BJ153)+N(BJ154)+N(BJ155)+N(BJ156),"")</f>
        <v>1.247</v>
      </c>
      <c r="BK157" s="280">
        <f>IF(ISNUMBER(BK150),N(BK150)+N(BK151)+N(BK152)+N(BK153)+N(BK154)+N(BK155)+N(BK156),"")</f>
        <v>2.535</v>
      </c>
      <c r="BL157" s="280">
        <f>IF(ISNUMBER(BL150),N(BL150)+N(BL151)+N(BL152)+N(BL153)+N(BL154)+N(BL155)+N(BL156),"")</f>
        <v>11.57</v>
      </c>
      <c r="BM157" s="280">
        <f>IF(ISNUMBER(BM150),N(BM150)+N(BM151)+N(BM152)+N(BM153)+N(BM154)+N(BM155)+N(BM156),"")</f>
        <v>0.29</v>
      </c>
      <c r="BN157" s="280">
        <f>IF(ISNUMBER(BN150),N(BN150)+N(BN151)+N(BN152)+N(BN153)+N(BN154)+N(BN155)+N(BN156),"")</f>
        <v>0.656</v>
      </c>
      <c r="BO157" s="280">
        <f>IF(ISNUMBER(BO150),N(BO150)+N(BO151)+N(BO152)+N(BO153)+N(BO154)+N(BO155)+N(BO156),"")</f>
        <v>0.178</v>
      </c>
      <c r="BP157" s="280">
        <f>IF(ISNUMBER(BP150),N(BP150)+N(BP151)+N(BP152)+N(BP153)+N(BP154)+N(BP155)+N(BP156),"")</f>
        <v>2.143</v>
      </c>
      <c r="BQ157" s="280">
        <f>IF(ISNUMBER(BQ150),N(BQ150)+N(BQ151)+N(BQ152)+N(BQ153)+N(BQ154)+N(BQ155)+N(BQ156),"")</f>
        <v>3.267</v>
      </c>
      <c r="BR157" s="280">
        <f>IF(ISNUMBER(BR150),N(BR150)+N(BR151)+N(BR152)+N(BR153)+N(BR154)+N(BR155)+N(BR156),"")</f>
        <v>0</v>
      </c>
      <c r="BS157" s="280">
        <f>IF(ISNUMBER(BS150),N(BS150)+N(BS151)+N(BS152)+N(BS153)+N(BS154)+N(BS155)+N(BS156),"")</f>
        <v>0.5</v>
      </c>
      <c r="BT157" s="280">
        <f>IF(ISNUMBER(BT150),N(BT150)+N(BT151)+N(BT152)+N(BT153)+N(BT154)+N(BT155)+N(BT156),"")</f>
        <v>0.1</v>
      </c>
      <c r="BU157" s="280">
        <f>IF(ISNUMBER(BU150),N(BU150)+N(BU151)+N(BU152)+N(BU153)+N(BU154)+N(BU155)+N(BU156),"")</f>
        <v>0.9</v>
      </c>
      <c r="BV157" s="280">
        <f>IF(ISNUMBER(BV150),N(BV150)+N(BV151)+N(BV152)+N(BV153)+N(BV154)+N(BV155)+N(BV156),"")</f>
        <v>1.5</v>
      </c>
      <c r="BW157" s="280">
        <f>IF(ISNUMBER(BW150),N(BW150)+N(BW151)+N(BW152)+N(BW153)+N(BW154)+N(BW155)+N(BW156),"")</f>
        <v>4.2</v>
      </c>
      <c r="BX157" s="280">
        <f>IF(ISNUMBER(BX150),N(BX150)+N(BX151)+N(BX152)+N(BX153)+N(BX154)+N(BX155)+N(BX156),"")</f>
        <v>7.2</v>
      </c>
      <c r="BY157" s="280">
        <f>IF(ISNUMBER(BY150),N(BY150)+N(BY151)+N(BY152)+N(BY153)+N(BY154)+N(BY155)+N(BY156),"")</f>
        <v>4.4</v>
      </c>
      <c r="BZ157" s="280">
        <f>IF(ISNUMBER(BZ150),N(BZ150)+N(BZ151)+N(BZ152)+N(BZ153)+N(BZ154)+N(BZ155)+N(BZ156),"")</f>
        <v>5.2</v>
      </c>
      <c r="CA157" s="280">
        <f>IF(ISNUMBER(CA150),N(CA150)+N(CA151)+N(CA152)+N(CA153)+N(CA154)+N(CA155)+N(CA156),"")</f>
        <v>21</v>
      </c>
      <c r="CB157" s="280">
        <f>IF(ISNUMBER(CB150),N(CB150)+N(CB151)+N(CB152)+N(CB153)+N(CB154)+N(CB155)+N(CB156),"")</f>
        <v>0.4</v>
      </c>
      <c r="CC157" s="254">
        <f>IF(ISNUMBER(CC150),N(CC150)+N(CC151)+N(CC152)+N(CC153)+N(CC154)+N(CC155)+N(CC156),"")</f>
        <v>0.8</v>
      </c>
      <c r="CD157" s="254">
        <f>IF(ISNUMBER(CD150),N(CD150)+N(CD151)+N(CD152)+N(CD153)+N(CD154)+N(CD155)+N(CD156),"")</f>
        <v>0.5</v>
      </c>
      <c r="CE157" s="254">
        <f>IF(ISNUMBER(CE150),N(CE150)+N(CE151)+N(CE152)+N(CE153)+N(CE154)+N(CE155)+N(CE156),"")</f>
        <v>0.5</v>
      </c>
      <c r="CF157" s="254">
        <f>IF(ISNUMBER(CF150),N(CF150)+N(CF151)+N(CF152)+N(CF153)+N(CF154)+N(CF155)+N(CF156),"")</f>
        <v>2.2</v>
      </c>
      <c r="CG157" s="254">
        <f>IF(ISNUMBER(CG150),N(CG150)+N(CG151)+N(CG152)+N(CG153)+N(CG154)+N(CG155)+N(CG156),"")</f>
        <v>7</v>
      </c>
      <c r="CH157" s="254">
        <f>IF(ISNUMBER(CH150),N(CH150)+N(CH151)+N(CH152)+N(CH153)+N(CH154)+N(CH155)+N(CH156),"")</f>
        <v>7</v>
      </c>
      <c r="CI157" s="254">
        <f>IF(ISNUMBER(CI150),N(CI150)+N(CI151)+N(CI152)+N(CI153)+N(CI154)+N(CI155)+N(CI156),"")</f>
        <v>7</v>
      </c>
      <c r="CJ157" s="254">
        <f>IF(ISNUMBER(CJ150),N(CJ150)+N(CJ151)+N(CJ152)+N(CJ153)+N(CJ154)+N(CJ155)+N(CJ156),"")</f>
        <v>7</v>
      </c>
      <c r="CK157" s="254">
        <f>IF(ISNUMBER(CK150),N(CK150)+N(CK151)+N(CK152)+N(CK153)+N(CK154)+N(CK155)+N(CK156),"")</f>
        <v>7</v>
      </c>
      <c r="CL157" s="153" t="n"/>
    </row>
    <row r="158" ht="15" customHeight="1" s="251">
      <c r="B158" s="55" t="inlineStr">
        <is>
          <t xml:space="preserve">  = Adjusted operating income (model bridge)</t>
        </is>
      </c>
      <c r="C158" s="271">
        <f>IF(ISNUMBER(C149),C149+C157,"")</f>
        <v>45.365</v>
      </c>
      <c r="D158" s="271">
        <f>IF(ISNUMBER(D149),D149+D157,"")</f>
        <v>57.846</v>
      </c>
      <c r="E158" s="271">
        <f>IF(ISNUMBER(E149),E149+E157,"")</f>
        <v>63.95</v>
      </c>
      <c r="F158" s="271">
        <f>IF(ISNUMBER(F149),F149+F157,"")</f>
        <v>62.946</v>
      </c>
      <c r="G158" s="271">
        <f>IF(ISNUMBER(G149),G149+G157,"")</f>
        <v>38.722</v>
      </c>
      <c r="H158" s="271">
        <f>IF(ISNUMBER(H149),H149+H157,"")</f>
        <v>58.215</v>
      </c>
      <c r="I158" s="271">
        <f>IF(ISNUMBER(I149),I149+I157,"")</f>
        <v>77.648</v>
      </c>
      <c r="J158" s="271">
        <f>IF(ISNUMBER(J149),J149+J157,"")</f>
        <v>21.994</v>
      </c>
      <c r="K158" s="271">
        <f>IF(ISNUMBER(K149),K149+K157,"")</f>
        <v>21.195</v>
      </c>
      <c r="L158" s="271">
        <f>IF(ISNUMBER(L149),L149+L157,"")</f>
        <v>19.159</v>
      </c>
      <c r="M158" s="271">
        <f>IF(ISNUMBER(M149),M149+M157,"")</f>
        <v>22.671</v>
      </c>
      <c r="N158" s="271">
        <f>IF(ISNUMBER(N149),N149+N157,"")</f>
        <v>85.019</v>
      </c>
      <c r="O158" s="271">
        <f>IF(ISNUMBER(O149),O149+O157,"")</f>
        <v>22.926</v>
      </c>
      <c r="P158" s="271">
        <f>IF(ISNUMBER(P149),P149+P157,"")</f>
        <v>22.803</v>
      </c>
      <c r="Q158" s="271">
        <f>IF(ISNUMBER(Q149),Q149+Q157,"")</f>
        <v>19.657</v>
      </c>
      <c r="R158" s="271">
        <f>IF(ISNUMBER(R149),R149+R157,"")</f>
        <v>25.179</v>
      </c>
      <c r="S158" s="271">
        <f>IF(ISNUMBER(S149),S149+S157,"")</f>
        <v>90.692</v>
      </c>
      <c r="T158" s="271">
        <f>IF(ISNUMBER(T149),T149+T157,"")</f>
        <v>24.211</v>
      </c>
      <c r="U158" s="271">
        <f>IF(ISNUMBER(U149),U149+U157,"")</f>
        <v>24.679</v>
      </c>
      <c r="V158" s="271">
        <f>IF(ISNUMBER(V149),V149+V157,"")</f>
        <v>22.204</v>
      </c>
      <c r="W158" s="271">
        <f>IF(ISNUMBER(W149),W149+W157,"")</f>
        <v>25.393</v>
      </c>
      <c r="X158" s="271">
        <f>IF(ISNUMBER(X149),X149+X157,"")</f>
        <v>96.487</v>
      </c>
      <c r="Y158" s="271">
        <f>IF(ISNUMBER(Y149),Y149+Y157,"")</f>
        <v>29.48</v>
      </c>
      <c r="Z158" s="271">
        <f>IF(ISNUMBER(Z149),Z149+Z157,"")</f>
        <v>29.177</v>
      </c>
      <c r="AA158" s="271">
        <f>IF(ISNUMBER(AA149),AA149+AA157,"")</f>
        <v>27.639</v>
      </c>
      <c r="AB158" s="271">
        <f>IF(ISNUMBER(AB149),AB149+AB157,"")</f>
        <v>32.525</v>
      </c>
      <c r="AC158" s="271">
        <f>IF(ISNUMBER(AC149),AC149+AC157,"")</f>
        <v>118.821</v>
      </c>
      <c r="AD158" s="271">
        <f>IF(ISNUMBER(AD149),AD149+AD157,"")</f>
        <v>29.603</v>
      </c>
      <c r="AE158" s="271">
        <f>IF(ISNUMBER(AE149),AE149+AE157,"")</f>
        <v>29.776</v>
      </c>
      <c r="AF158" s="271">
        <f>IF(ISNUMBER(AF149),AF149+AF157,"")</f>
        <v>27.589</v>
      </c>
      <c r="AG158" s="271">
        <f>IF(ISNUMBER(AG149),AG149+AG157,"")</f>
        <v>34.389</v>
      </c>
      <c r="AH158" s="271">
        <f>IF(ISNUMBER(AH149),AH149+AH157,"")</f>
        <v>121.357</v>
      </c>
      <c r="AI158" s="271">
        <f>IF(ISNUMBER(AI149),AI149+AI157,"")</f>
        <v>31.8</v>
      </c>
      <c r="AJ158" s="271">
        <f>IF(ISNUMBER(AJ149),AJ149+AJ157,"")</f>
        <v>31.772</v>
      </c>
      <c r="AK158" s="271">
        <f>IF(ISNUMBER(AK149),AK149+AK157,"")</f>
        <v>34.214</v>
      </c>
      <c r="AL158" s="271">
        <f>IF(ISNUMBER(AL149),AL149+AL157,"")</f>
        <v>38.337</v>
      </c>
      <c r="AM158" s="271">
        <f>IF(ISNUMBER(AM149),AM149+AM157,"")</f>
        <v>136.123</v>
      </c>
      <c r="AN158" s="271">
        <f>IF(ISNUMBER(AN149),AN149+AN157,"")</f>
        <v>35.998</v>
      </c>
      <c r="AO158" s="271">
        <f>IF(ISNUMBER(AO149),AO149+AO157,"")</f>
        <v>35.884</v>
      </c>
      <c r="AP158" s="271">
        <f>IF(ISNUMBER(AP149),AP149+AP157,"")</f>
        <v>36.64</v>
      </c>
      <c r="AQ158" s="271">
        <f>IF(ISNUMBER(AQ149),AQ149+AQ157,"")</f>
        <v>41.237</v>
      </c>
      <c r="AR158" s="271">
        <f>IF(ISNUMBER(AR149),AR149+AR157,"")</f>
        <v>149.759</v>
      </c>
      <c r="AS158" s="271">
        <f>IF(ISNUMBER(AS149),AS149+AS157,"")</f>
        <v>38.49</v>
      </c>
      <c r="AT158" s="271">
        <f>IF(ISNUMBER(AT149),AT149+AT157,"")</f>
        <v>38.378</v>
      </c>
      <c r="AU158" s="271">
        <f>IF(ISNUMBER(AU149),AU149+AU157,"")</f>
        <v>37.8</v>
      </c>
      <c r="AV158" s="271">
        <f>IF(ISNUMBER(AV149),AV149+AV157,"")</f>
        <v>42.982</v>
      </c>
      <c r="AW158" s="271">
        <f>IF(ISNUMBER(AW149),AW149+AW157,"")</f>
        <v>157.65</v>
      </c>
      <c r="AX158" s="271">
        <f>IF(ISNUMBER(AX149),AX149+AX157,"")</f>
        <v>29.933</v>
      </c>
      <c r="AY158" s="271">
        <f>IF(ISNUMBER(AY149),AY149+AY157,"")</f>
        <v>29.877</v>
      </c>
      <c r="AZ158" s="271">
        <f>IF(ISNUMBER(AZ149),AZ149+AZ157,"")</f>
        <v>27.882</v>
      </c>
      <c r="BA158" s="271">
        <f>IF(ISNUMBER(BA149),BA149+BA157,"")</f>
        <v>32.52</v>
      </c>
      <c r="BB158" s="271">
        <f>IF(ISNUMBER(BB149),BB149+BB157,"")</f>
        <v>120.212</v>
      </c>
      <c r="BC158" s="271">
        <f>IF(ISNUMBER(BC149),BC149+BC157,"")</f>
        <v>31.28</v>
      </c>
      <c r="BD158" s="271">
        <f>IF(ISNUMBER(BD149),BD149+BD157,"")</f>
        <v>30.543</v>
      </c>
      <c r="BE158" s="271">
        <f>IF(ISNUMBER(BE149),BE149+BE157,"")</f>
        <v>44.814</v>
      </c>
      <c r="BF158" s="271">
        <f>IF(ISNUMBER(BF149),BF149+BF157,"")</f>
        <v>70.374</v>
      </c>
      <c r="BG158" s="271">
        <f>IF(ISNUMBER(BG149),BG149+BG157,"")</f>
        <v>177.011</v>
      </c>
      <c r="BH158" s="271">
        <f>IF(ISNUMBER(BH149),BH149+BH157,"")</f>
        <v>68.257</v>
      </c>
      <c r="BI158" s="271">
        <f>IF(ISNUMBER(BI149),BI149+BI157,"")</f>
        <v>76.018</v>
      </c>
      <c r="BJ158" s="271">
        <f>IF(ISNUMBER(BJ149),BJ149+BJ157,"")</f>
        <v>71.639</v>
      </c>
      <c r="BK158" s="271">
        <f>IF(ISNUMBER(BK149),BK149+BK157,"")</f>
        <v>88.639</v>
      </c>
      <c r="BL158" s="271">
        <f>IF(ISNUMBER(BL149),BL149+BL157,"")</f>
        <v>304.57</v>
      </c>
      <c r="BM158" s="271">
        <f>IF(ISNUMBER(BM149),BM149+BM157,"")</f>
        <v>85.304</v>
      </c>
      <c r="BN158" s="271">
        <f>IF(ISNUMBER(BN149),BN149+BN157,"")</f>
        <v>88.389</v>
      </c>
      <c r="BO158" s="271">
        <f>IF(ISNUMBER(BO149),BO149+BO157,"")</f>
        <v>75.469</v>
      </c>
      <c r="BP158" s="271">
        <f>IF(ISNUMBER(BP149),BP149+BP157,"")</f>
        <v>96.295</v>
      </c>
      <c r="BQ158" s="271">
        <f>IF(ISNUMBER(BQ149),BQ149+BQ157,"")</f>
        <v>345.467</v>
      </c>
      <c r="BR158" s="271">
        <f>IF(ISNUMBER(BR149),BR149+BR157,"")</f>
        <v>97.5</v>
      </c>
      <c r="BS158" s="271">
        <f>IF(ISNUMBER(BS149),BS149+BS157,"")</f>
        <v>86.6</v>
      </c>
      <c r="BT158" s="271">
        <f>IF(ISNUMBER(BT149),BT149+BT157,"")</f>
        <v>85.7</v>
      </c>
      <c r="BU158" s="271">
        <f>IF(ISNUMBER(BU149),BU149+BU157,"")</f>
        <v>101.6</v>
      </c>
      <c r="BV158" s="271">
        <f>IF(ISNUMBER(BV149),BV149+BV157,"")</f>
        <v>371.4</v>
      </c>
      <c r="BW158" s="271">
        <f>IF(ISNUMBER(BW149),BW149+BW157,"")</f>
        <v>105.3</v>
      </c>
      <c r="BX158" s="271">
        <f>IF(ISNUMBER(BX149),BX149+BX157,"")</f>
        <v>105</v>
      </c>
      <c r="BY158" s="271">
        <f>IF(ISNUMBER(BY149),BY149+BY157,"")</f>
        <v>107.4</v>
      </c>
      <c r="BZ158" s="271">
        <f>IF(ISNUMBER(BZ149),BZ149+BZ157,"")</f>
        <v>124.3</v>
      </c>
      <c r="CA158" s="271">
        <f>IF(ISNUMBER(CA149),CA149+CA157,"")</f>
        <v>442</v>
      </c>
      <c r="CB158" s="271">
        <f>IF(ISNUMBER(CB149),CB149+CB157,"")</f>
        <v>141.2</v>
      </c>
      <c r="CC158" s="271">
        <f>IF(ISNUMBER(CC149),CC149+CC157,"")</f>
        <v>127.056</v>
      </c>
      <c r="CD158" s="271">
        <f>IF(ISNUMBER(CD149),CD149+CD157,"")</f>
        <v>129.848814178226</v>
      </c>
      <c r="CE158" s="271">
        <f>IF(ISNUMBER(CE149),CE149+CE157,"")</f>
        <v>162.518207523199</v>
      </c>
      <c r="CF158" s="271">
        <f>IF(ISNUMBER(CF149),CF149+CF157,"")</f>
        <v>560.623021701425</v>
      </c>
      <c r="CG158" s="271">
        <f>IF(ISNUMBER(CG149),CG149+CG157,"")</f>
        <v>627.950465355465</v>
      </c>
      <c r="CH158" s="271">
        <f>IF(ISNUMBER(CH149),CH149+CH157,"")</f>
        <v>711.984562509514</v>
      </c>
      <c r="CI158" s="271">
        <f>IF(ISNUMBER(CI149),CI149+CI157,"")</f>
        <v>801.303199120574</v>
      </c>
      <c r="CJ158" s="271">
        <f>IF(ISNUMBER(CJ149),CJ149+CJ157,"")</f>
        <v>883.747938670355</v>
      </c>
      <c r="CK158" s="271">
        <f>IF(ISNUMBER(CK149),CK149+CK157,"")</f>
        <v>961.831635358326</v>
      </c>
      <c r="CL158" s="153" t="inlineStr">
        <is>
          <t>Rebuilt from the published reconciliation items; FY2012 and Q1 FY15 releases adjusted nothing (adjusted = GAAP).</t>
        </is>
      </c>
      <c r="CN158" s="20">
        <f>IFERROR((CK158/CF158)^(1/5)-1,"n/m")</f>
        <v>0.114001115901962</v>
      </c>
      <c r="CO158" s="20">
        <f>IFERROR((CA158/BB158)^(1/5)-1,"n/m")</f>
        <v>0.297462723635402</v>
      </c>
      <c r="CP158" s="20">
        <f>IFERROR((CA158/AC158)^(1/10)-1,"n/m")</f>
        <v>0.140388703542089</v>
      </c>
      <c r="CQ158" s="20">
        <f>IFERROR((CA158/C158)^(1/20)-1,"n/m")</f>
        <v>0.120559876317246</v>
      </c>
    </row>
    <row r="159" ht="15" customHeight="1" s="251">
      <c r="B159" s="25" t="inlineStr">
        <is>
          <t xml:space="preserve">  Adjusted operating margin %</t>
        </is>
      </c>
      <c r="C159" s="215">
        <f>IF(AND(ISNUMBER(C158),ISNUMBER(C108)),IFERROR(C158/C108,""),"")</f>
        <v>0.165258698257616</v>
      </c>
      <c r="D159" s="215">
        <f>IF(AND(ISNUMBER(D158),ISNUMBER(D108)),IFERROR(D158/D108,""),"")</f>
        <v>0.189000921381942</v>
      </c>
      <c r="E159" s="215">
        <f>IF(AND(ISNUMBER(E158),ISNUMBER(E108)),IFERROR(E158/E108,""),"")</f>
        <v>0.193436176648518</v>
      </c>
      <c r="F159" s="215">
        <f>IF(AND(ISNUMBER(F158),ISNUMBER(F108)),IFERROR(F158/F108,""),"")</f>
        <v>0.176915985564762</v>
      </c>
      <c r="G159" s="215">
        <f>IF(AND(ISNUMBER(G158),ISNUMBER(G108)),IFERROR(G158/G108,""),"")</f>
        <v>0.140960022133075</v>
      </c>
      <c r="H159" s="215">
        <f>IF(AND(ISNUMBER(H158),ISNUMBER(H108)),IFERROR(H158/H108,""),"")</f>
        <v>0.17345251396648</v>
      </c>
      <c r="I159" s="215">
        <f>IF(AND(ISNUMBER(I158),ISNUMBER(I108)),IFERROR(I158/I108,""),"")</f>
        <v>0.195335474993145</v>
      </c>
      <c r="J159" s="215">
        <f>IF(AND(ISNUMBER(J158),ISNUMBER(J108)),IFERROR(J158/J108,""),"")</f>
        <v>0.212843788104593</v>
      </c>
      <c r="K159" s="215">
        <f>IF(AND(ISNUMBER(K158),ISNUMBER(K108)),IFERROR(K158/K108,""),"")</f>
        <v>0.211158156911582</v>
      </c>
      <c r="L159" s="215">
        <f>IF(AND(ISNUMBER(L158),ISNUMBER(L108)),IFERROR(L158/L108,""),"")</f>
        <v>0.198876847699718</v>
      </c>
      <c r="M159" s="215">
        <f>IF(AND(ISNUMBER(M158),ISNUMBER(M108)),IFERROR(M158/M108,""),"")</f>
        <v>0.220093975108246</v>
      </c>
      <c r="N159" s="215">
        <f>IF(AND(ISNUMBER(N158),ISNUMBER(N108)),IFERROR(N158/N108,""),"")</f>
        <v>0.21093856608717</v>
      </c>
      <c r="O159" s="215">
        <f>IF(AND(ISNUMBER(O158),ISNUMBER(O108)),IFERROR(O158/O108,""),"")</f>
        <v>0.223302294775392</v>
      </c>
      <c r="P159" s="215">
        <f>IF(AND(ISNUMBER(P158),ISNUMBER(P108)),IFERROR(P158/P108,""),"")</f>
        <v>0.223659689663966</v>
      </c>
      <c r="Q159" s="215">
        <f>IF(AND(ISNUMBER(Q158),ISNUMBER(Q108)),IFERROR(Q158/Q108,""),"")</f>
        <v>0.195502556044</v>
      </c>
      <c r="R159" s="215">
        <f>IF(AND(ISNUMBER(R158),ISNUMBER(R108)),IFERROR(R158/R108,""),"")</f>
        <v>0.221416134648868</v>
      </c>
      <c r="S159" s="215">
        <f>IF(AND(ISNUMBER(S158),ISNUMBER(S108)),IFERROR(S158/S108,""),"")</f>
        <v>0.216507593951576</v>
      </c>
      <c r="T159" s="215">
        <f>IF(AND(ISNUMBER(T158),ISNUMBER(T108)),IFERROR(T158/T108,""),"")</f>
        <v>0.214286978687248</v>
      </c>
      <c r="U159" s="215">
        <f>IF(AND(ISNUMBER(U158),ISNUMBER(U108)),IFERROR(U158/U108,""),"")</f>
        <v>0.219261694282795</v>
      </c>
      <c r="V159" s="215">
        <f>IF(AND(ISNUMBER(V158),ISNUMBER(V108)),IFERROR(V158/V108,""),"")</f>
        <v>0.208837305543538</v>
      </c>
      <c r="W159" s="215">
        <f>IF(AND(ISNUMBER(W158),ISNUMBER(W108)),IFERROR(W158/W108,""),"")</f>
        <v>0.223890598411173</v>
      </c>
      <c r="X159" s="215">
        <f>IF(AND(ISNUMBER(X158),ISNUMBER(X108)),IFERROR(X158/X108,""),"")</f>
        <v>0.216689349125715</v>
      </c>
      <c r="Y159" s="215">
        <f>IF(AND(ISNUMBER(Y158),ISNUMBER(Y108)),IFERROR(Y158/Y108,""),"")</f>
        <v>0.207156308851224</v>
      </c>
      <c r="Z159" s="215">
        <f>IF(AND(ISNUMBER(Z158),ISNUMBER(Z108)),IFERROR(Z158/Z108,""),"")</f>
        <v>0.196219131651154</v>
      </c>
      <c r="AA159" s="215">
        <f>IF(AND(ISNUMBER(AA158),ISNUMBER(AA108)),IFERROR(AA158/AA108,""),"")</f>
        <v>0.191650024962556</v>
      </c>
      <c r="AB159" s="215">
        <f>IF(AND(ISNUMBER(AB158),ISNUMBER(AB108)),IFERROR(AB158/AB108,""),"")</f>
        <v>0.20045977861598</v>
      </c>
      <c r="AC159" s="215">
        <f>IF(AND(ISNUMBER(AC158),ISNUMBER(AC108)),IFERROR(AC158/AC108,""),"")</f>
        <v>0.19887291789406</v>
      </c>
      <c r="AD159" s="215">
        <f>IF(AND(ISNUMBER(AD158),ISNUMBER(AD108)),IFERROR(AD158/AD108,""),"")</f>
        <v>0.191507255189903</v>
      </c>
      <c r="AE159" s="215">
        <f>IF(AND(ISNUMBER(AE158),ISNUMBER(AE108)),IFERROR(AE158/AE108,""),"")</f>
        <v>0.19342224069948</v>
      </c>
      <c r="AF159" s="215">
        <f>IF(AND(ISNUMBER(AF158),ISNUMBER(AF108)),IFERROR(AF158/AF108,""),"")</f>
        <v>0.188120499672703</v>
      </c>
      <c r="AG159" s="215">
        <f>IF(AND(ISNUMBER(AG158),ISNUMBER(AG108)),IFERROR(AG158/AG108,""),"")</f>
        <v>0.214649522501717</v>
      </c>
      <c r="AH159" s="215">
        <f>IF(AND(ISNUMBER(AH158),ISNUMBER(AH108)),IFERROR(AH158/AH108,""),"")</f>
        <v>0.197204040377778</v>
      </c>
      <c r="AI159" s="215">
        <f>IF(AND(ISNUMBER(AI158),ISNUMBER(AI108)),IFERROR(AI158/AI108,""),"")</f>
        <v>0.194024295746719</v>
      </c>
      <c r="AJ159" s="215">
        <f>IF(AND(ISNUMBER(AJ158),ISNUMBER(AJ108)),IFERROR(AJ158/AJ108,""),"")</f>
        <v>0.193357960527517</v>
      </c>
      <c r="AK159" s="215">
        <f>IF(AND(ISNUMBER(AK158),ISNUMBER(AK108)),IFERROR(AK158/AK108,""),"")</f>
        <v>0.205048604202376</v>
      </c>
      <c r="AL159" s="215">
        <f>IF(AND(ISNUMBER(AL158),ISNUMBER(AL108)),IFERROR(AL158/AL108,""),"")</f>
        <v>0.213128971463834</v>
      </c>
      <c r="AM159" s="215">
        <f>IF(AND(ISNUMBER(AM158),ISNUMBER(AM108)),IFERROR(AM158/AM108,""),"")</f>
        <v>0.201678941668185</v>
      </c>
      <c r="AN159" s="215">
        <f>IF(AND(ISNUMBER(AN158),ISNUMBER(AN108)),IFERROR(AN158/AN108,""),"")</f>
        <v>0.204551524277637</v>
      </c>
      <c r="AO159" s="215">
        <f>IF(AND(ISNUMBER(AO158),ISNUMBER(AO108)),IFERROR(AO158/AO108,""),"")</f>
        <v>0.207522727798469</v>
      </c>
      <c r="AP159" s="215">
        <f>IF(AND(ISNUMBER(AP158),ISNUMBER(AP108)),IFERROR(AP158/AP108,""),"")</f>
        <v>0.213702880672837</v>
      </c>
      <c r="AQ159" s="215">
        <f>IF(AND(ISNUMBER(AQ158),ISNUMBER(AQ108)),IFERROR(AQ158/AQ108,""),"")</f>
        <v>0.226375424073078</v>
      </c>
      <c r="AR159" s="215">
        <f>IF(AND(ISNUMBER(AR158),ISNUMBER(AR108)),IFERROR(AR158/AR108,""),"")</f>
        <v>0.213175215938142</v>
      </c>
      <c r="AS159" s="215">
        <f>IF(AND(ISNUMBER(AS158),ISNUMBER(AS108)),IFERROR(AS158/AS108,""),"")</f>
        <v>0.21068476654442</v>
      </c>
      <c r="AT159" s="215">
        <f>IF(AND(ISNUMBER(AT158),ISNUMBER(AT108)),IFERROR(AT158/AT108,""),"")</f>
        <v>0.210973618677471</v>
      </c>
      <c r="AU159" s="215">
        <f>IF(AND(ISNUMBER(AU158),ISNUMBER(AU108)),IFERROR(AU158/AU108,""),"")</f>
        <v>0.213536400047453</v>
      </c>
      <c r="AV159" s="215">
        <f>IF(AND(ISNUMBER(AV158),ISNUMBER(AV108)),IFERROR(AV158/AV108,""),"")</f>
        <v>0.231281242769434</v>
      </c>
      <c r="AW159" s="215">
        <f>IF(AND(ISNUMBER(AW158),ISNUMBER(AW108)),IFERROR(AW158/AW108,""),"")</f>
        <v>0.216712648513116</v>
      </c>
      <c r="AX159" s="215">
        <f>IF(AND(ISNUMBER(AX158),ISNUMBER(AX108)),IFERROR(AX158/AX108,""),"")</f>
        <v>0.191273731093404</v>
      </c>
      <c r="AY159" s="215">
        <f>IF(AND(ISNUMBER(AY158),ISNUMBER(AY108)),IFERROR(AY158/AY108,""),"")</f>
        <v>0.204168517442854</v>
      </c>
      <c r="AZ159" s="215">
        <f>IF(AND(ISNUMBER(AZ158),ISNUMBER(AZ108)),IFERROR(AZ158/AZ108,""),"")</f>
        <v>0.191154592385902</v>
      </c>
      <c r="BA159" s="215">
        <f>IF(AND(ISNUMBER(BA158),ISNUMBER(BA108)),IFERROR(BA158/BA108,""),"")</f>
        <v>0.202875947471849</v>
      </c>
      <c r="BB159" s="215">
        <f>IF(AND(ISNUMBER(BB158),ISNUMBER(BB108)),IFERROR(BB158/BB108,""),"")</f>
        <v>0.197397632778529</v>
      </c>
      <c r="BC159" s="215">
        <f>IF(AND(ISNUMBER(BC158),ISNUMBER(BC108)),IFERROR(BC158/BC108,""),"")</f>
        <v>0.200249671905509</v>
      </c>
      <c r="BD159" s="215">
        <f>IF(AND(ISNUMBER(BD158),ISNUMBER(BD108)),IFERROR(BD158/BD108,""),"")</f>
        <v>0.189825978868863</v>
      </c>
      <c r="BE159" s="215">
        <f>IF(AND(ISNUMBER(BE158),ISNUMBER(BE108)),IFERROR(BE158/BE108,""),"")</f>
        <v>0.167872247174596</v>
      </c>
      <c r="BF159" s="215">
        <f>IF(AND(ISNUMBER(BF158),ISNUMBER(BF108)),IFERROR(BF158/BF108,""),"")</f>
        <v>0.196093948099499</v>
      </c>
      <c r="BG159" s="215">
        <f>IF(AND(ISNUMBER(BG158),ISNUMBER(BG108)),IFERROR(BG158/BG108,""),"")</f>
        <v>0.187723039821324</v>
      </c>
      <c r="BH159" s="215">
        <f>IF(AND(ISNUMBER(BH158),ISNUMBER(BH108)),IFERROR(BH158/BH108,""),"")</f>
        <v>0.192772819701762</v>
      </c>
      <c r="BI159" s="215">
        <f>IF(AND(ISNUMBER(BI158),ISNUMBER(BI108)),IFERROR(BI158/BI108,""),"")</f>
        <v>0.205917647026955</v>
      </c>
      <c r="BJ159" s="215">
        <f>IF(AND(ISNUMBER(BJ158),ISNUMBER(BJ108)),IFERROR(BJ158/BJ108,""),"")</f>
        <v>0.203736935655883</v>
      </c>
      <c r="BK159" s="215">
        <f>IF(AND(ISNUMBER(BK158),ISNUMBER(BK108)),IFERROR(BK158/BK108,""),"")</f>
        <v>0.224731379081289</v>
      </c>
      <c r="BL159" s="215">
        <f>IF(AND(ISNUMBER(BL158),ISNUMBER(BL108)),IFERROR(BL158/BL108,""),"")</f>
        <v>0.207289185326346</v>
      </c>
      <c r="BM159" s="215">
        <f>IF(AND(ISNUMBER(BM158),ISNUMBER(BM108)),IFERROR(BM158/BM108,""),"")</f>
        <v>0.220354306911</v>
      </c>
      <c r="BN159" s="215">
        <f>IF(AND(ISNUMBER(BN158),ISNUMBER(BN108)),IFERROR(BN158/BN108,""),"")</f>
        <v>0.229241231209735</v>
      </c>
      <c r="BO159" s="215">
        <f>IF(AND(ISNUMBER(BO158),ISNUMBER(BO108)),IFERROR(BO158/BO108,""),"")</f>
        <v>0.201839499767321</v>
      </c>
      <c r="BP159" s="215">
        <f>IF(AND(ISNUMBER(BP158),ISNUMBER(BP108)),IFERROR(BP158/BP108,""),"")</f>
        <v>0.232776542254883</v>
      </c>
      <c r="BQ159" s="215">
        <f>IF(AND(ISNUMBER(BQ158),ISNUMBER(BQ108)),IFERROR(BQ158/BQ108,""),"")</f>
        <v>0.221410626161636</v>
      </c>
      <c r="BR159" s="215">
        <f>IF(AND(ISNUMBER(BR158),ISNUMBER(BR108)),IFERROR(BR158/BR108,""),"")</f>
        <v>0.239970465173517</v>
      </c>
      <c r="BS159" s="215">
        <f>IF(AND(ISNUMBER(BS158),ISNUMBER(BS108)),IFERROR(BS158/BS108,""),"")</f>
        <v>0.217642623774818</v>
      </c>
      <c r="BT159" s="215">
        <f>IF(AND(ISNUMBER(BT158),ISNUMBER(BT108)),IFERROR(BT158/BT108,""),"")</f>
        <v>0.217292089249493</v>
      </c>
      <c r="BU159" s="215">
        <f>IF(AND(ISNUMBER(BU158),ISNUMBER(BU108)),IFERROR(BU158/BU108,""),"")</f>
        <v>0.232122458304775</v>
      </c>
      <c r="BV159" s="215">
        <f>IF(AND(ISNUMBER(BV158),ISNUMBER(BV108)),IFERROR(BV158/BV108,""),"")</f>
        <v>0.226975493491414</v>
      </c>
      <c r="BW159" s="215">
        <f>IF(AND(ISNUMBER(BW158),ISNUMBER(BW108)),IFERROR(BW158/BW108,""),"")</f>
        <v>0.24151376146789</v>
      </c>
      <c r="BX159" s="215">
        <f>IF(AND(ISNUMBER(BX158),ISNUMBER(BX108)),IFERROR(BX158/BX108,""),"")</f>
        <v>0.230617175488689</v>
      </c>
      <c r="BY159" s="215">
        <f>IF(AND(ISNUMBER(BY158),ISNUMBER(BY108)),IFERROR(BY158/BY108,""),"")</f>
        <v>0.232668977469671</v>
      </c>
      <c r="BZ159" s="215">
        <f>IF(AND(ISNUMBER(BZ158),ISNUMBER(BZ108)),IFERROR(BZ158/BZ108,""),"")</f>
        <v>0.23996138996139</v>
      </c>
      <c r="CA159" s="215">
        <f>IF(AND(ISNUMBER(CA158),ISNUMBER(CA108)),IFERROR(CA158/CA108,""),"")</f>
        <v>0.236249933187236</v>
      </c>
      <c r="CB159" s="215">
        <f>IF(AND(ISNUMBER(CB158),ISNUMBER(CB108)),IFERROR(CB158/CB108,""),"")</f>
        <v>0.271799807507219</v>
      </c>
      <c r="CC159" s="256">
        <f>IF(AND(ISNUMBER(CC158),ISNUMBER(CC108)),IFERROR(CC158/CC108,""),"")</f>
        <v>0.249129411764706</v>
      </c>
      <c r="CD159" s="256">
        <f>IF(AND(ISNUMBER(CD158),ISNUMBER(CD108)),IFERROR(CD158/CD108,""),"")</f>
        <v>0.254110186411147</v>
      </c>
      <c r="CE159" s="256">
        <f>IF(AND(ISNUMBER(CE158),ISNUMBER(CE108)),IFERROR(CE158/CE108,""),"")</f>
        <v>0.263562172086348</v>
      </c>
      <c r="CF159" s="256">
        <f>IF(AND(ISNUMBER(CF158),ISNUMBER(CF108)),IFERROR(CF158/CF108,""),"")</f>
        <v>0.259894698821391</v>
      </c>
      <c r="CG159" s="256">
        <f>IF(AND(ISNUMBER(CG158),ISNUMBER(CG108)),IFERROR(CG158/CG108,""),"")</f>
        <v>0.263316443086308</v>
      </c>
      <c r="CH159" s="256">
        <f>IF(AND(ISNUMBER(CH158),ISNUMBER(CH108)),IFERROR(CH158/CH108,""),"")</f>
        <v>0.267023781406861</v>
      </c>
      <c r="CI159" s="256">
        <f>IF(AND(ISNUMBER(CI158),ISNUMBER(CI108)),IFERROR(CI158/CI108,""),"")</f>
        <v>0.271692402752206</v>
      </c>
      <c r="CJ159" s="256">
        <f>IF(AND(ISNUMBER(CJ158),ISNUMBER(CJ108)),IFERROR(CJ158/CJ108,""),"")</f>
        <v>0.272948480764011</v>
      </c>
      <c r="CK159" s="256">
        <f>IF(AND(ISNUMBER(CK158),ISNUMBER(CK108)),IFERROR(CK158/CK108,""),"")</f>
        <v>0.27304969035997</v>
      </c>
      <c r="CL159" s="153" t="n"/>
      <c r="CN159" s="37">
        <f>IFERROR(AVERAGE(CG159,CH159,CI159,CJ159,CK159),"n/m")</f>
        <v>0.269606159673871</v>
      </c>
      <c r="CO159" s="37">
        <f>IFERROR(AVERAGE(BG159,BL159,BQ159,BV159,CA159),"n/m")</f>
        <v>0.215929655597591</v>
      </c>
      <c r="CP159" s="37">
        <f>IFERROR(AVERAGE(AH159,AM159,AR159,AW159,BB159,BG159,BL159,BQ159,BV159,CA159),"n/m")</f>
        <v>0.210581675726371</v>
      </c>
      <c r="CQ159" s="37">
        <f>IFERROR(AVERAGE(C159,D159,E159,F159,G159,H159,I159,N159,S159,X159,AC159,AH159,AM159,AR159,AW159,BB159,BG159,BL159,BQ159,BV159,CA159),"n/m")</f>
        <v>0.199199284631798</v>
      </c>
    </row>
    <row r="160" ht="15" customHeight="1" s="251">
      <c r="B160" s="156" t="inlineStr">
        <is>
          <t xml:space="preserve">  Company-published adjusted operating income</t>
        </is>
      </c>
      <c r="C160" s="259" t="n">
        <v>45.365</v>
      </c>
      <c r="D160" s="259" t="n">
        <v>57.846</v>
      </c>
      <c r="E160" s="259" t="n">
        <v>63.95</v>
      </c>
      <c r="F160" s="259" t="n">
        <v>62.946</v>
      </c>
      <c r="G160" s="259" t="n">
        <v>38.722</v>
      </c>
      <c r="H160" s="259" t="n">
        <v>58.215</v>
      </c>
      <c r="I160" s="259" t="n">
        <v>77.648</v>
      </c>
      <c r="J160" s="34" t="n"/>
      <c r="K160" s="34" t="n"/>
      <c r="L160" s="34" t="n"/>
      <c r="M160" s="259" t="n">
        <v>22.671</v>
      </c>
      <c r="N160" s="259" t="n">
        <v>85.01900000000001</v>
      </c>
      <c r="O160" s="259" t="n">
        <v>22.926</v>
      </c>
      <c r="P160" s="259" t="n">
        <v>22.803</v>
      </c>
      <c r="Q160" s="259" t="n">
        <v>19.657</v>
      </c>
      <c r="R160" s="259" t="n">
        <v>25.179</v>
      </c>
      <c r="S160" s="259" t="n">
        <v>90.69199999999999</v>
      </c>
      <c r="T160" s="259" t="n">
        <v>24.211</v>
      </c>
      <c r="U160" s="259" t="n">
        <v>24.679</v>
      </c>
      <c r="V160" s="259" t="n">
        <v>22.204</v>
      </c>
      <c r="W160" s="259" t="n">
        <v>25.393</v>
      </c>
      <c r="X160" s="259" t="n">
        <v>96.48699999999999</v>
      </c>
      <c r="Y160" s="259" t="n">
        <v>29.48</v>
      </c>
      <c r="Z160" s="259" t="n">
        <v>29.177</v>
      </c>
      <c r="AA160" s="259" t="n">
        <v>27.639</v>
      </c>
      <c r="AB160" s="259" t="n">
        <v>32.525</v>
      </c>
      <c r="AC160" s="259" t="n">
        <v>118.821</v>
      </c>
      <c r="AD160" s="259" t="n">
        <v>29.603</v>
      </c>
      <c r="AE160" s="259" t="n">
        <v>29.776</v>
      </c>
      <c r="AF160" s="259" t="n">
        <v>27.589</v>
      </c>
      <c r="AG160" s="259" t="n">
        <v>34.389</v>
      </c>
      <c r="AH160" s="259" t="n">
        <v>121.357</v>
      </c>
      <c r="AI160" s="259" t="n">
        <v>31.8</v>
      </c>
      <c r="AJ160" s="259" t="n">
        <v>31.772</v>
      </c>
      <c r="AK160" s="259" t="n">
        <v>34.214</v>
      </c>
      <c r="AL160" s="259" t="n">
        <v>38.337</v>
      </c>
      <c r="AM160" s="259" t="n">
        <v>136.123</v>
      </c>
      <c r="AN160" s="34" t="n"/>
      <c r="AO160" s="259" t="n">
        <v>35.884</v>
      </c>
      <c r="AP160" s="259" t="n">
        <v>36.64</v>
      </c>
      <c r="AQ160" s="259" t="n">
        <v>41.237</v>
      </c>
      <c r="AR160" s="259" t="n">
        <v>149.759</v>
      </c>
      <c r="AS160" s="34" t="n"/>
      <c r="AT160" s="259" t="n">
        <v>38.378</v>
      </c>
      <c r="AU160" s="259" t="n">
        <v>37.8</v>
      </c>
      <c r="AV160" s="259" t="n">
        <v>42.982</v>
      </c>
      <c r="AW160" s="259" t="n">
        <v>157.65</v>
      </c>
      <c r="AX160" s="259" t="n">
        <v>29.933</v>
      </c>
      <c r="AY160" s="259" t="n">
        <v>29.877</v>
      </c>
      <c r="AZ160" s="259" t="n">
        <v>27.882</v>
      </c>
      <c r="BA160" s="259" t="n">
        <v>32.52</v>
      </c>
      <c r="BB160" s="259" t="n">
        <v>120.212</v>
      </c>
      <c r="BC160" s="259" t="n">
        <v>31.28</v>
      </c>
      <c r="BD160" s="259" t="n">
        <v>30.543</v>
      </c>
      <c r="BE160" s="259" t="n">
        <v>44.814</v>
      </c>
      <c r="BF160" s="259" t="n">
        <v>70.374</v>
      </c>
      <c r="BG160" s="259" t="n">
        <v>177.011</v>
      </c>
      <c r="BH160" s="259" t="n">
        <v>68.25700000000001</v>
      </c>
      <c r="BI160" s="259" t="n">
        <v>76.018</v>
      </c>
      <c r="BJ160" s="259" t="n">
        <v>71.639</v>
      </c>
      <c r="BK160" s="259" t="n">
        <v>88.639</v>
      </c>
      <c r="BL160" s="259" t="n">
        <v>304.553</v>
      </c>
      <c r="BM160" s="259" t="n">
        <v>85.304</v>
      </c>
      <c r="BN160" s="259" t="n">
        <v>88.389</v>
      </c>
      <c r="BO160" s="259" t="n">
        <v>75.46899999999999</v>
      </c>
      <c r="BP160" s="259" t="n">
        <v>96.295</v>
      </c>
      <c r="BQ160" s="259" t="n">
        <v>345.457</v>
      </c>
      <c r="BR160" s="259" t="n">
        <v>97.5</v>
      </c>
      <c r="BS160" s="259" t="n">
        <v>86.59999999999999</v>
      </c>
      <c r="BT160" s="259" t="n">
        <v>85.7</v>
      </c>
      <c r="BU160" s="259" t="n">
        <v>101.6</v>
      </c>
      <c r="BV160" s="259" t="n">
        <v>371.4</v>
      </c>
      <c r="BW160" s="259" t="n">
        <v>105.3</v>
      </c>
      <c r="BX160" s="259" t="n">
        <v>105</v>
      </c>
      <c r="BY160" s="259" t="n">
        <v>107.4</v>
      </c>
      <c r="BZ160" s="259" t="n">
        <v>124.3</v>
      </c>
      <c r="CA160" s="259" t="n">
        <v>442</v>
      </c>
      <c r="CB160" s="259" t="n">
        <v>141.2</v>
      </c>
      <c r="CC160" s="153" t="n"/>
      <c r="CD160" s="153" t="n"/>
      <c r="CE160" s="153" t="n"/>
      <c r="CF160" s="153" t="n"/>
      <c r="CG160" s="153" t="n"/>
      <c r="CH160" s="153" t="n"/>
      <c r="CI160" s="153" t="n"/>
      <c r="CJ160" s="153" t="n"/>
      <c r="CK160" s="153" t="n"/>
      <c r="CL160" s="153" t="n"/>
    </row>
    <row r="161" ht="15" customHeight="1" s="251">
      <c r="B161" s="57" t="inlineStr">
        <is>
          <t xml:space="preserve">  Check: model bridge vs company-published (should be 0)</t>
        </is>
      </c>
      <c r="C161" s="264">
        <f>IF(ISNUMBER(C160),IF(ABS(C158-C160)&lt;=0.15,0,ROUND(C158-C160,1)),"n/p")</f>
        <v>0</v>
      </c>
      <c r="D161" s="264">
        <f>IF(ISNUMBER(D160),IF(ABS(D158-D160)&lt;=0.15,0,ROUND(D158-D160,1)),"n/p")</f>
        <v>0</v>
      </c>
      <c r="E161" s="264">
        <f>IF(ISNUMBER(E160),IF(ABS(E158-E160)&lt;=0.15,0,ROUND(E158-E160,1)),"n/p")</f>
        <v>0</v>
      </c>
      <c r="F161" s="264">
        <f>IF(ISNUMBER(F160),IF(ABS(F158-F160)&lt;=0.15,0,ROUND(F158-F160,1)),"n/p")</f>
        <v>0</v>
      </c>
      <c r="G161" s="264">
        <f>IF(ISNUMBER(G160),IF(ABS(G158-G160)&lt;=0.15,0,ROUND(G158-G160,1)),"n/p")</f>
        <v>0</v>
      </c>
      <c r="H161" s="264">
        <f>IF(ISNUMBER(H160),IF(ABS(H158-H160)&lt;=0.15,0,ROUND(H158-H160,1)),"n/p")</f>
        <v>0</v>
      </c>
      <c r="I161" s="264">
        <f>IF(ISNUMBER(I160),IF(ABS(I158-I160)&lt;=0.15,0,ROUND(I158-I160,1)),"n/p")</f>
        <v>0</v>
      </c>
      <c r="J161" s="264" t="str">
        <f>IF(ISNUMBER(J160),IF(ABS(J158-J160)&lt;=0.15,0,ROUND(J158-J160,1)),"n/p")</f>
        <v>n/p</v>
      </c>
      <c r="K161" s="264" t="str">
        <f>IF(ISNUMBER(K160),IF(ABS(K158-K160)&lt;=0.15,0,ROUND(K158-K160,1)),"n/p")</f>
        <v>n/p</v>
      </c>
      <c r="L161" s="264" t="str">
        <f>IF(ISNUMBER(L160),IF(ABS(L158-L160)&lt;=0.15,0,ROUND(L158-L160,1)),"n/p")</f>
        <v>n/p</v>
      </c>
      <c r="M161" s="264">
        <f>IF(ISNUMBER(M160),IF(ABS(M158-M160)&lt;=0.15,0,ROUND(M158-M160,1)),"n/p")</f>
        <v>0</v>
      </c>
      <c r="N161" s="264">
        <f>IF(ISNUMBER(N160),IF(ABS(N158-N160)&lt;=0.15,0,ROUND(N158-N160,1)),"n/p")</f>
        <v>0</v>
      </c>
      <c r="O161" s="264">
        <f>IF(ISNUMBER(O160),IF(ABS(O158-O160)&lt;=0.15,0,ROUND(O158-O160,1)),"n/p")</f>
        <v>0</v>
      </c>
      <c r="P161" s="264">
        <f>IF(ISNUMBER(P160),IF(ABS(P158-P160)&lt;=0.15,0,ROUND(P158-P160,1)),"n/p")</f>
        <v>0</v>
      </c>
      <c r="Q161" s="264">
        <f>IF(ISNUMBER(Q160),IF(ABS(Q158-Q160)&lt;=0.15,0,ROUND(Q158-Q160,1)),"n/p")</f>
        <v>0</v>
      </c>
      <c r="R161" s="264">
        <f>IF(ISNUMBER(R160),IF(ABS(R158-R160)&lt;=0.15,0,ROUND(R158-R160,1)),"n/p")</f>
        <v>0</v>
      </c>
      <c r="S161" s="264">
        <f>IF(ISNUMBER(S160),IF(ABS(S158-S160)&lt;=0.15,0,ROUND(S158-S160,1)),"n/p")</f>
        <v>0</v>
      </c>
      <c r="T161" s="264">
        <f>IF(ISNUMBER(T160),IF(ABS(T158-T160)&lt;=0.15,0,ROUND(T158-T160,1)),"n/p")</f>
        <v>0</v>
      </c>
      <c r="U161" s="264">
        <f>IF(ISNUMBER(U160),IF(ABS(U158-U160)&lt;=0.15,0,ROUND(U158-U160,1)),"n/p")</f>
        <v>0</v>
      </c>
      <c r="V161" s="264">
        <f>IF(ISNUMBER(V160),IF(ABS(V158-V160)&lt;=0.15,0,ROUND(V158-V160,1)),"n/p")</f>
        <v>0</v>
      </c>
      <c r="W161" s="264">
        <f>IF(ISNUMBER(W160),IF(ABS(W158-W160)&lt;=0.15,0,ROUND(W158-W160,1)),"n/p")</f>
        <v>0</v>
      </c>
      <c r="X161" s="264">
        <f>IF(ISNUMBER(X160),IF(ABS(X158-X160)&lt;=0.15,0,ROUND(X158-X160,1)),"n/p")</f>
        <v>0</v>
      </c>
      <c r="Y161" s="264">
        <f>IF(ISNUMBER(Y160),IF(ABS(Y158-Y160)&lt;=0.15,0,ROUND(Y158-Y160,1)),"n/p")</f>
        <v>0</v>
      </c>
      <c r="Z161" s="264">
        <f>IF(ISNUMBER(Z160),IF(ABS(Z158-Z160)&lt;=0.15,0,ROUND(Z158-Z160,1)),"n/p")</f>
        <v>0</v>
      </c>
      <c r="AA161" s="264">
        <f>IF(ISNUMBER(AA160),IF(ABS(AA158-AA160)&lt;=0.15,0,ROUND(AA158-AA160,1)),"n/p")</f>
        <v>0</v>
      </c>
      <c r="AB161" s="264">
        <f>IF(ISNUMBER(AB160),IF(ABS(AB158-AB160)&lt;=0.15,0,ROUND(AB158-AB160,1)),"n/p")</f>
        <v>0</v>
      </c>
      <c r="AC161" s="264">
        <f>IF(ISNUMBER(AC160),IF(ABS(AC158-AC160)&lt;=0.15,0,ROUND(AC158-AC160,1)),"n/p")</f>
        <v>0</v>
      </c>
      <c r="AD161" s="264">
        <f>IF(ISNUMBER(AD160),IF(ABS(AD158-AD160)&lt;=0.15,0,ROUND(AD158-AD160,1)),"n/p")</f>
        <v>0</v>
      </c>
      <c r="AE161" s="264">
        <f>IF(ISNUMBER(AE160),IF(ABS(AE158-AE160)&lt;=0.15,0,ROUND(AE158-AE160,1)),"n/p")</f>
        <v>0</v>
      </c>
      <c r="AF161" s="264">
        <f>IF(ISNUMBER(AF160),IF(ABS(AF158-AF160)&lt;=0.15,0,ROUND(AF158-AF160,1)),"n/p")</f>
        <v>0</v>
      </c>
      <c r="AG161" s="264">
        <f>IF(ISNUMBER(AG160),IF(ABS(AG158-AG160)&lt;=0.15,0,ROUND(AG158-AG160,1)),"n/p")</f>
        <v>0</v>
      </c>
      <c r="AH161" s="264">
        <f>IF(ISNUMBER(AH160),IF(ABS(AH158-AH160)&lt;=0.15,0,ROUND(AH158-AH160,1)),"n/p")</f>
        <v>0</v>
      </c>
      <c r="AI161" s="264">
        <f>IF(ISNUMBER(AI160),IF(ABS(AI158-AI160)&lt;=0.15,0,ROUND(AI158-AI160,1)),"n/p")</f>
        <v>0</v>
      </c>
      <c r="AJ161" s="264">
        <f>IF(ISNUMBER(AJ160),IF(ABS(AJ158-AJ160)&lt;=0.15,0,ROUND(AJ158-AJ160,1)),"n/p")</f>
        <v>0</v>
      </c>
      <c r="AK161" s="264">
        <f>IF(ISNUMBER(AK160),IF(ABS(AK158-AK160)&lt;=0.15,0,ROUND(AK158-AK160,1)),"n/p")</f>
        <v>0</v>
      </c>
      <c r="AL161" s="264">
        <f>IF(ISNUMBER(AL160),IF(ABS(AL158-AL160)&lt;=0.15,0,ROUND(AL158-AL160,1)),"n/p")</f>
        <v>0</v>
      </c>
      <c r="AM161" s="264">
        <f>IF(ISNUMBER(AM160),IF(ABS(AM158-AM160)&lt;=0.15,0,ROUND(AM158-AM160,1)),"n/p")</f>
        <v>0</v>
      </c>
      <c r="AN161" s="264" t="str">
        <f>IF(ISNUMBER(AN160),IF(ABS(AN158-AN160)&lt;=0.15,0,ROUND(AN158-AN160,1)),"n/p")</f>
        <v>n/p</v>
      </c>
      <c r="AO161" s="264">
        <f>IF(ISNUMBER(AO160),IF(ABS(AO158-AO160)&lt;=0.15,0,ROUND(AO158-AO160,1)),"n/p")</f>
        <v>0</v>
      </c>
      <c r="AP161" s="264">
        <f>IF(ISNUMBER(AP160),IF(ABS(AP158-AP160)&lt;=0.15,0,ROUND(AP158-AP160,1)),"n/p")</f>
        <v>0</v>
      </c>
      <c r="AQ161" s="264">
        <f>IF(ISNUMBER(AQ160),IF(ABS(AQ158-AQ160)&lt;=0.15,0,ROUND(AQ158-AQ160,1)),"n/p")</f>
        <v>0</v>
      </c>
      <c r="AR161" s="264">
        <f>IF(ISNUMBER(AR160),IF(ABS(AR158-AR160)&lt;=0.15,0,ROUND(AR158-AR160,1)),"n/p")</f>
        <v>0</v>
      </c>
      <c r="AS161" s="264" t="str">
        <f>IF(ISNUMBER(AS160),IF(ABS(AS158-AS160)&lt;=0.15,0,ROUND(AS158-AS160,1)),"n/p")</f>
        <v>n/p</v>
      </c>
      <c r="AT161" s="264">
        <f>IF(ISNUMBER(AT160),IF(ABS(AT158-AT160)&lt;=0.15,0,ROUND(AT158-AT160,1)),"n/p")</f>
        <v>0</v>
      </c>
      <c r="AU161" s="264">
        <f>IF(ISNUMBER(AU160),IF(ABS(AU158-AU160)&lt;=0.15,0,ROUND(AU158-AU160,1)),"n/p")</f>
        <v>0</v>
      </c>
      <c r="AV161" s="264">
        <f>IF(ISNUMBER(AV160),IF(ABS(AV158-AV160)&lt;=0.15,0,ROUND(AV158-AV160,1)),"n/p")</f>
        <v>0</v>
      </c>
      <c r="AW161" s="264">
        <f>IF(ISNUMBER(AW160),IF(ABS(AW158-AW160)&lt;=0.15,0,ROUND(AW158-AW160,1)),"n/p")</f>
        <v>0</v>
      </c>
      <c r="AX161" s="264">
        <f>IF(ISNUMBER(AX160),IF(ABS(AX158-AX160)&lt;=0.15,0,ROUND(AX158-AX160,1)),"n/p")</f>
        <v>0</v>
      </c>
      <c r="AY161" s="264">
        <f>IF(ISNUMBER(AY160),IF(ABS(AY158-AY160)&lt;=0.15,0,ROUND(AY158-AY160,1)),"n/p")</f>
        <v>0</v>
      </c>
      <c r="AZ161" s="264">
        <f>IF(ISNUMBER(AZ160),IF(ABS(AZ158-AZ160)&lt;=0.15,0,ROUND(AZ158-AZ160,1)),"n/p")</f>
        <v>0</v>
      </c>
      <c r="BA161" s="264">
        <f>IF(ISNUMBER(BA160),IF(ABS(BA158-BA160)&lt;=0.15,0,ROUND(BA158-BA160,1)),"n/p")</f>
        <v>0</v>
      </c>
      <c r="BB161" s="264">
        <f>IF(ISNUMBER(BB160),IF(ABS(BB158-BB160)&lt;=0.15,0,ROUND(BB158-BB160,1)),"n/p")</f>
        <v>0</v>
      </c>
      <c r="BC161" s="264">
        <f>IF(ISNUMBER(BC160),IF(ABS(BC158-BC160)&lt;=0.15,0,ROUND(BC158-BC160,1)),"n/p")</f>
        <v>0</v>
      </c>
      <c r="BD161" s="264">
        <f>IF(ISNUMBER(BD160),IF(ABS(BD158-BD160)&lt;=0.15,0,ROUND(BD158-BD160,1)),"n/p")</f>
        <v>0</v>
      </c>
      <c r="BE161" s="264">
        <f>IF(ISNUMBER(BE160),IF(ABS(BE158-BE160)&lt;=0.15,0,ROUND(BE158-BE160,1)),"n/p")</f>
        <v>0</v>
      </c>
      <c r="BF161" s="264">
        <f>IF(ISNUMBER(BF160),IF(ABS(BF158-BF160)&lt;=0.15,0,ROUND(BF158-BF160,1)),"n/p")</f>
        <v>0</v>
      </c>
      <c r="BG161" s="264">
        <f>IF(ISNUMBER(BG160),IF(ABS(BG158-BG160)&lt;=0.15,0,ROUND(BG158-BG160,1)),"n/p")</f>
        <v>0</v>
      </c>
      <c r="BH161" s="264">
        <f>IF(ISNUMBER(BH160),IF(ABS(BH158-BH160)&lt;=0.15,0,ROUND(BH158-BH160,1)),"n/p")</f>
        <v>0</v>
      </c>
      <c r="BI161" s="264">
        <f>IF(ISNUMBER(BI160),IF(ABS(BI158-BI160)&lt;=0.15,0,ROUND(BI158-BI160,1)),"n/p")</f>
        <v>0</v>
      </c>
      <c r="BJ161" s="264">
        <f>IF(ISNUMBER(BJ160),IF(ABS(BJ158-BJ160)&lt;=0.15,0,ROUND(BJ158-BJ160,1)),"n/p")</f>
        <v>0</v>
      </c>
      <c r="BK161" s="264">
        <f>IF(ISNUMBER(BK160),IF(ABS(BK158-BK160)&lt;=0.15,0,ROUND(BK158-BK160,1)),"n/p")</f>
        <v>0</v>
      </c>
      <c r="BL161" s="264">
        <f>IF(ISNUMBER(BL160),IF(ABS(BL158-BL160)&lt;=0.15,0,ROUND(BL158-BL160,1)),"n/p")</f>
        <v>0</v>
      </c>
      <c r="BM161" s="264">
        <f>IF(ISNUMBER(BM160),IF(ABS(BM158-BM160)&lt;=0.15,0,ROUND(BM158-BM160,1)),"n/p")</f>
        <v>0</v>
      </c>
      <c r="BN161" s="264">
        <f>IF(ISNUMBER(BN160),IF(ABS(BN158-BN160)&lt;=0.15,0,ROUND(BN158-BN160,1)),"n/p")</f>
        <v>0</v>
      </c>
      <c r="BO161" s="264">
        <f>IF(ISNUMBER(BO160),IF(ABS(BO158-BO160)&lt;=0.15,0,ROUND(BO158-BO160,1)),"n/p")</f>
        <v>0</v>
      </c>
      <c r="BP161" s="264">
        <f>IF(ISNUMBER(BP160),IF(ABS(BP158-BP160)&lt;=0.15,0,ROUND(BP158-BP160,1)),"n/p")</f>
        <v>0</v>
      </c>
      <c r="BQ161" s="264">
        <f>IF(ISNUMBER(BQ160),IF(ABS(BQ158-BQ160)&lt;=0.15,0,ROUND(BQ158-BQ160,1)),"n/p")</f>
        <v>0</v>
      </c>
      <c r="BR161" s="264">
        <f>IF(ISNUMBER(BR160),IF(ABS(BR158-BR160)&lt;=0.15,0,ROUND(BR158-BR160,1)),"n/p")</f>
        <v>0</v>
      </c>
      <c r="BS161" s="264">
        <f>IF(ISNUMBER(BS160),IF(ABS(BS158-BS160)&lt;=0.15,0,ROUND(BS158-BS160,1)),"n/p")</f>
        <v>0</v>
      </c>
      <c r="BT161" s="264">
        <f>IF(ISNUMBER(BT160),IF(ABS(BT158-BT160)&lt;=0.15,0,ROUND(BT158-BT160,1)),"n/p")</f>
        <v>0</v>
      </c>
      <c r="BU161" s="264">
        <f>IF(ISNUMBER(BU160),IF(ABS(BU158-BU160)&lt;=0.15,0,ROUND(BU158-BU160,1)),"n/p")</f>
        <v>0</v>
      </c>
      <c r="BV161" s="264">
        <f>IF(ISNUMBER(BV160),IF(ABS(BV158-BV160)&lt;=0.15,0,ROUND(BV158-BV160,1)),"n/p")</f>
        <v>0</v>
      </c>
      <c r="BW161" s="264">
        <f>IF(ISNUMBER(BW160),IF(ABS(BW158-BW160)&lt;=0.15,0,ROUND(BW158-BW160,1)),"n/p")</f>
        <v>0</v>
      </c>
      <c r="BX161" s="264">
        <f>IF(ISNUMBER(BX160),IF(ABS(BX158-BX160)&lt;=0.15,0,ROUND(BX158-BX160,1)),"n/p")</f>
        <v>0</v>
      </c>
      <c r="BY161" s="264">
        <f>IF(ISNUMBER(BY160),IF(ABS(BY158-BY160)&lt;=0.15,0,ROUND(BY158-BY160,1)),"n/p")</f>
        <v>0</v>
      </c>
      <c r="BZ161" s="264">
        <f>IF(ISNUMBER(BZ160),IF(ABS(BZ158-BZ160)&lt;=0.15,0,ROUND(BZ158-BZ160,1)),"n/p")</f>
        <v>0</v>
      </c>
      <c r="CA161" s="264">
        <f>IF(ISNUMBER(CA160),IF(ABS(CA158-CA160)&lt;=0.15,0,ROUND(CA158-CA160,1)),"n/p")</f>
        <v>0</v>
      </c>
      <c r="CB161" s="264">
        <f>IF(ISNUMBER(CB160),IF(ABS(CB158-CB160)&lt;=0.15,0,ROUND(CB158-CB160,1)),"n/p")</f>
        <v>0</v>
      </c>
      <c r="CC161" s="153" t="n"/>
      <c r="CD161" s="153" t="n"/>
      <c r="CE161" s="153" t="n"/>
      <c r="CF161" s="153" t="n"/>
      <c r="CG161" s="153" t="n"/>
      <c r="CH161" s="153" t="n"/>
      <c r="CI161" s="153" t="n"/>
      <c r="CJ161" s="153" t="n"/>
      <c r="CK161" s="153" t="n"/>
      <c r="CL161" s="153" t="n"/>
    </row>
    <row r="162" ht="15" customHeight="1" s="251">
      <c r="B162" s="57" t="inlineStr">
        <is>
          <t xml:space="preserve">  Check: adjusted gross margin (gross margin + items in cost of sales) vs company-published (should be 0)</t>
        </is>
      </c>
      <c r="C162" s="264" t="str">
        <f>IF(ISNUMBER(C113),IF(ABS(C110+C104-C113)&lt;=0.15,0,ROUND(C110+C104-C113,1)),"n/p")</f>
        <v>n/p</v>
      </c>
      <c r="D162" s="264" t="str">
        <f>IF(ISNUMBER(D113),IF(ABS(D110+D104-D113)&lt;=0.15,0,ROUND(D110+D104-D113,1)),"n/p")</f>
        <v>n/p</v>
      </c>
      <c r="E162" s="264" t="str">
        <f>IF(ISNUMBER(E113),IF(ABS(E110+E104-E113)&lt;=0.15,0,ROUND(E110+E104-E113,1)),"n/p")</f>
        <v>n/p</v>
      </c>
      <c r="F162" s="264" t="str">
        <f>IF(ISNUMBER(F113),IF(ABS(F110+F104-F113)&lt;=0.15,0,ROUND(F110+F104-F113,1)),"n/p")</f>
        <v>n/p</v>
      </c>
      <c r="G162" s="264" t="str">
        <f>IF(ISNUMBER(G113),IF(ABS(G110+G104-G113)&lt;=0.15,0,ROUND(G110+G104-G113,1)),"n/p")</f>
        <v>n/p</v>
      </c>
      <c r="H162" s="264">
        <f>IF(ISNUMBER(H113),IF(ABS(H110+H104-H113)&lt;=0.15,0,ROUND(H110+H104-H113,1)),"n/p")</f>
        <v>0</v>
      </c>
      <c r="I162" s="264" t="str">
        <f>IF(ISNUMBER(I113),IF(ABS(I110+I104-I113)&lt;=0.15,0,ROUND(I110+I104-I113,1)),"n/p")</f>
        <v>n/p</v>
      </c>
      <c r="J162" s="264" t="str">
        <f>IF(ISNUMBER(J113),IF(ABS(J110+J104-J113)&lt;=0.15,0,ROUND(J110+J104-J113,1)),"n/p")</f>
        <v>n/p</v>
      </c>
      <c r="K162" s="264" t="str">
        <f>IF(ISNUMBER(K113),IF(ABS(K110+K104-K113)&lt;=0.15,0,ROUND(K110+K104-K113,1)),"n/p")</f>
        <v>n/p</v>
      </c>
      <c r="L162" s="264" t="str">
        <f>IF(ISNUMBER(L113),IF(ABS(L110+L104-L113)&lt;=0.15,0,ROUND(L110+L104-L113,1)),"n/p")</f>
        <v>n/p</v>
      </c>
      <c r="M162" s="264" t="str">
        <f>IF(ISNUMBER(M113),IF(ABS(M110+M104-M113)&lt;=0.15,0,ROUND(M110+M104-M113,1)),"n/p")</f>
        <v>n/p</v>
      </c>
      <c r="N162" s="264" t="str">
        <f>IF(ISNUMBER(N113),IF(ABS(N110+N104-N113)&lt;=0.15,0,ROUND(N110+N104-N113,1)),"n/p")</f>
        <v>n/p</v>
      </c>
      <c r="O162" s="264" t="str">
        <f>IF(ISNUMBER(O113),IF(ABS(O110+O104-O113)&lt;=0.15,0,ROUND(O110+O104-O113,1)),"n/p")</f>
        <v>n/p</v>
      </c>
      <c r="P162" s="264" t="str">
        <f>IF(ISNUMBER(P113),IF(ABS(P110+P104-P113)&lt;=0.15,0,ROUND(P110+P104-P113,1)),"n/p")</f>
        <v>n/p</v>
      </c>
      <c r="Q162" s="264" t="str">
        <f>IF(ISNUMBER(Q113),IF(ABS(Q110+Q104-Q113)&lt;=0.15,0,ROUND(Q110+Q104-Q113,1)),"n/p")</f>
        <v>n/p</v>
      </c>
      <c r="R162" s="264" t="str">
        <f>IF(ISNUMBER(R113),IF(ABS(R110+R104-R113)&lt;=0.15,0,ROUND(R110+R104-R113,1)),"n/p")</f>
        <v>n/p</v>
      </c>
      <c r="S162" s="264" t="str">
        <f>IF(ISNUMBER(S113),IF(ABS(S110+S104-S113)&lt;=0.15,0,ROUND(S110+S104-S113,1)),"n/p")</f>
        <v>n/p</v>
      </c>
      <c r="T162" s="264" t="str">
        <f>IF(ISNUMBER(T113),IF(ABS(T110+T104-T113)&lt;=0.15,0,ROUND(T110+T104-T113,1)),"n/p")</f>
        <v>n/p</v>
      </c>
      <c r="U162" s="264">
        <f>IF(ISNUMBER(U113),IF(ABS(U110+U104-U113)&lt;=0.15,0,ROUND(U110+U104-U113,1)),"n/p")</f>
        <v>0</v>
      </c>
      <c r="V162" s="264">
        <f>IF(ISNUMBER(V113),IF(ABS(V110+V104-V113)&lt;=0.15,0,ROUND(V110+V104-V113,1)),"n/p")</f>
        <v>0</v>
      </c>
      <c r="W162" s="264">
        <f>IF(ISNUMBER(W113),IF(ABS(W110+W104-W113)&lt;=0.15,0,ROUND(W110+W104-W113,1)),"n/p")</f>
        <v>0</v>
      </c>
      <c r="X162" s="264">
        <f>IF(ISNUMBER(X113),IF(ABS(X110+X104-X113)&lt;=0.15,0,ROUND(X110+X104-X113,1)),"n/p")</f>
        <v>0</v>
      </c>
      <c r="Y162" s="264">
        <f>IF(ISNUMBER(Y113),IF(ABS(Y110+Y104-Y113)&lt;=0.15,0,ROUND(Y110+Y104-Y113,1)),"n/p")</f>
        <v>0</v>
      </c>
      <c r="Z162" s="264">
        <f>IF(ISNUMBER(Z113),IF(ABS(Z110+Z104-Z113)&lt;=0.15,0,ROUND(Z110+Z104-Z113,1)),"n/p")</f>
        <v>0</v>
      </c>
      <c r="AA162" s="264">
        <f>IF(ISNUMBER(AA113),IF(ABS(AA110+AA104-AA113)&lt;=0.15,0,ROUND(AA110+AA104-AA113,1)),"n/p")</f>
        <v>0</v>
      </c>
      <c r="AB162" s="264">
        <f>IF(ISNUMBER(AB113),IF(ABS(AB110+AB104-AB113)&lt;=0.15,0,ROUND(AB110+AB104-AB113,1)),"n/p")</f>
        <v>0</v>
      </c>
      <c r="AC162" s="264">
        <f>IF(ISNUMBER(AC113),IF(ABS(AC110+AC104-AC113)&lt;=0.15,0,ROUND(AC110+AC104-AC113,1)),"n/p")</f>
        <v>0</v>
      </c>
      <c r="AD162" s="264">
        <f>IF(ISNUMBER(AD113),IF(ABS(AD110+AD104-AD113)&lt;=0.15,0,ROUND(AD110+AD104-AD113,1)),"n/p")</f>
        <v>0</v>
      </c>
      <c r="AE162" s="264">
        <f>IF(ISNUMBER(AE113),IF(ABS(AE110+AE104-AE113)&lt;=0.15,0,ROUND(AE110+AE104-AE113,1)),"n/p")</f>
        <v>0</v>
      </c>
      <c r="AF162" s="264">
        <f>IF(ISNUMBER(AF113),IF(ABS(AF110+AF104-AF113)&lt;=0.15,0,ROUND(AF110+AF104-AF113,1)),"n/p")</f>
        <v>0</v>
      </c>
      <c r="AG162" s="264">
        <f>IF(ISNUMBER(AG113),IF(ABS(AG110+AG104-AG113)&lt;=0.15,0,ROUND(AG110+AG104-AG113,1)),"n/p")</f>
        <v>0</v>
      </c>
      <c r="AH162" s="264">
        <f>IF(ISNUMBER(AH113),IF(ABS(AH110+AH104-AH113)&lt;=0.15,0,ROUND(AH110+AH104-AH113,1)),"n/p")</f>
        <v>0</v>
      </c>
      <c r="AI162" s="264">
        <f>IF(ISNUMBER(AI113),IF(ABS(AI110+AI104-AI113)&lt;=0.15,0,ROUND(AI110+AI104-AI113,1)),"n/p")</f>
        <v>0</v>
      </c>
      <c r="AJ162" s="264">
        <f>IF(ISNUMBER(AJ113),IF(ABS(AJ110+AJ104-AJ113)&lt;=0.15,0,ROUND(AJ110+AJ104-AJ113,1)),"n/p")</f>
        <v>0</v>
      </c>
      <c r="AK162" s="264">
        <f>IF(ISNUMBER(AK113),IF(ABS(AK110+AK104-AK113)&lt;=0.15,0,ROUND(AK110+AK104-AK113,1)),"n/p")</f>
        <v>0</v>
      </c>
      <c r="AL162" s="264">
        <f>IF(ISNUMBER(AL113),IF(ABS(AL110+AL104-AL113)&lt;=0.15,0,ROUND(AL110+AL104-AL113,1)),"n/p")</f>
        <v>0</v>
      </c>
      <c r="AM162" s="264">
        <f>IF(ISNUMBER(AM113),IF(ABS(AM110+AM104-AM113)&lt;=0.15,0,ROUND(AM110+AM104-AM113,1)),"n/p")</f>
        <v>0</v>
      </c>
      <c r="AN162" s="264" t="str">
        <f>IF(ISNUMBER(AN113),IF(ABS(AN110+AN104-AN113)&lt;=0.15,0,ROUND(AN110+AN104-AN113,1)),"n/p")</f>
        <v>n/p</v>
      </c>
      <c r="AO162" s="264" t="str">
        <f>IF(ISNUMBER(AO113),IF(ABS(AO110+AO104-AO113)&lt;=0.15,0,ROUND(AO110+AO104-AO113,1)),"n/p")</f>
        <v>n/p</v>
      </c>
      <c r="AP162" s="264" t="str">
        <f>IF(ISNUMBER(AP113),IF(ABS(AP110+AP104-AP113)&lt;=0.15,0,ROUND(AP110+AP104-AP113,1)),"n/p")</f>
        <v>n/p</v>
      </c>
      <c r="AQ162" s="264" t="str">
        <f>IF(ISNUMBER(AQ113),IF(ABS(AQ110+AQ104-AQ113)&lt;=0.15,0,ROUND(AQ110+AQ104-AQ113,1)),"n/p")</f>
        <v>n/p</v>
      </c>
      <c r="AR162" s="264" t="str">
        <f>IF(ISNUMBER(AR113),IF(ABS(AR110+AR104-AR113)&lt;=0.15,0,ROUND(AR110+AR104-AR113,1)),"n/p")</f>
        <v>n/p</v>
      </c>
      <c r="AS162" s="264" t="str">
        <f>IF(ISNUMBER(AS113),IF(ABS(AS110+AS104-AS113)&lt;=0.15,0,ROUND(AS110+AS104-AS113,1)),"n/p")</f>
        <v>n/p</v>
      </c>
      <c r="AT162" s="264">
        <f>IF(ISNUMBER(AT113),IF(ABS(AT110+AT104-AT113)&lt;=0.15,0,ROUND(AT110+AT104-AT113,1)),"n/p")</f>
        <v>0</v>
      </c>
      <c r="AU162" s="264">
        <f>IF(ISNUMBER(AU113),IF(ABS(AU110+AU104-AU113)&lt;=0.15,0,ROUND(AU110+AU104-AU113,1)),"n/p")</f>
        <v>0</v>
      </c>
      <c r="AV162" s="264">
        <f>IF(ISNUMBER(AV113),IF(ABS(AV110+AV104-AV113)&lt;=0.15,0,ROUND(AV110+AV104-AV113,1)),"n/p")</f>
        <v>0</v>
      </c>
      <c r="AW162" s="264">
        <f>IF(ISNUMBER(AW113),IF(ABS(AW110+AW104-AW113)&lt;=0.15,0,ROUND(AW110+AW104-AW113,1)),"n/p")</f>
        <v>0</v>
      </c>
      <c r="AX162" s="264" t="str">
        <f>IF(ISNUMBER(AX113),IF(ABS(AX110+AX104-AX113)&lt;=0.15,0,ROUND(AX110+AX104-AX113,1)),"n/p")</f>
        <v>n/p</v>
      </c>
      <c r="AY162" s="264">
        <f>IF(ISNUMBER(AY113),IF(ABS(AY110+AY104-AY113)&lt;=0.15,0,ROUND(AY110+AY104-AY113,1)),"n/p")</f>
        <v>0</v>
      </c>
      <c r="AZ162" s="264">
        <f>IF(ISNUMBER(AZ113),IF(ABS(AZ110+AZ104-AZ113)&lt;=0.15,0,ROUND(AZ110+AZ104-AZ113,1)),"n/p")</f>
        <v>0</v>
      </c>
      <c r="BA162" s="264">
        <f>IF(ISNUMBER(BA113),IF(ABS(BA110+BA104-BA113)&lt;=0.15,0,ROUND(BA110+BA104-BA113,1)),"n/p")</f>
        <v>0</v>
      </c>
      <c r="BB162" s="264">
        <f>IF(ISNUMBER(BB113),IF(ABS(BB110+BB104-BB113)&lt;=0.15,0,ROUND(BB110+BB104-BB113,1)),"n/p")</f>
        <v>0</v>
      </c>
      <c r="BC162" s="264" t="str">
        <f>IF(ISNUMBER(BC113),IF(ABS(BC110+BC104-BC113)&lt;=0.15,0,ROUND(BC110+BC104-BC113,1)),"n/p")</f>
        <v>n/p</v>
      </c>
      <c r="BD162" s="264">
        <f>IF(ISNUMBER(BD113),IF(ABS(BD110+BD104-BD113)&lt;=0.15,0,ROUND(BD110+BD104-BD113,1)),"n/p")</f>
        <v>0</v>
      </c>
      <c r="BE162" s="264">
        <f>IF(ISNUMBER(BE113),IF(ABS(BE110+BE104-BE113)&lt;=0.15,0,ROUND(BE110+BE104-BE113,1)),"n/p")</f>
        <v>0</v>
      </c>
      <c r="BF162" s="264">
        <f>IF(ISNUMBER(BF113),IF(ABS(BF110+BF104-BF113)&lt;=0.15,0,ROUND(BF110+BF104-BF113,1)),"n/p")</f>
        <v>0</v>
      </c>
      <c r="BG162" s="264">
        <f>IF(ISNUMBER(BG113),IF(ABS(BG110+BG104-BG113)&lt;=0.15,0,ROUND(BG110+BG104-BG113,1)),"n/p")</f>
        <v>0</v>
      </c>
      <c r="BH162" s="264" t="str">
        <f>IF(ISNUMBER(BH113),IF(ABS(BH110+BH104-BH113)&lt;=0.15,0,ROUND(BH110+BH104-BH113,1)),"n/p")</f>
        <v>n/p</v>
      </c>
      <c r="BI162" s="264">
        <f>IF(ISNUMBER(BI113),IF(ABS(BI110+BI104-BI113)&lt;=0.15,0,ROUND(BI110+BI104-BI113,1)),"n/p")</f>
        <v>0</v>
      </c>
      <c r="BJ162" s="264">
        <f>IF(ISNUMBER(BJ113),IF(ABS(BJ110+BJ104-BJ113)&lt;=0.15,0,ROUND(BJ110+BJ104-BJ113,1)),"n/p")</f>
        <v>0</v>
      </c>
      <c r="BK162" s="264">
        <f>IF(ISNUMBER(BK113),IF(ABS(BK110+BK104-BK113)&lt;=0.15,0,ROUND(BK110+BK104-BK113,1)),"n/p")</f>
        <v>0</v>
      </c>
      <c r="BL162" s="264">
        <f>IF(ISNUMBER(BL113),IF(ABS(BL110+BL104-BL113)&lt;=0.15,0,ROUND(BL110+BL104-BL113,1)),"n/p")</f>
        <v>0</v>
      </c>
      <c r="BM162" s="264" t="str">
        <f>IF(ISNUMBER(BM113),IF(ABS(BM110+BM104-BM113)&lt;=0.15,0,ROUND(BM110+BM104-BM113,1)),"n/p")</f>
        <v>n/p</v>
      </c>
      <c r="BN162" s="264">
        <f>IF(ISNUMBER(BN113),IF(ABS(BN110+BN104-BN113)&lt;=0.15,0,ROUND(BN110+BN104-BN113,1)),"n/p")</f>
        <v>0</v>
      </c>
      <c r="BO162" s="264">
        <f>IF(ISNUMBER(BO113),IF(ABS(BO110+BO104-BO113)&lt;=0.15,0,ROUND(BO110+BO104-BO113,1)),"n/p")</f>
        <v>0</v>
      </c>
      <c r="BP162" s="264">
        <f>IF(ISNUMBER(BP113),IF(ABS(BP110+BP104-BP113)&lt;=0.15,0,ROUND(BP110+BP104-BP113,1)),"n/p")</f>
        <v>0</v>
      </c>
      <c r="BQ162" s="264">
        <f>IF(ISNUMBER(BQ113),IF(ABS(BQ110+BQ104-BQ113)&lt;=0.15,0,ROUND(BQ110+BQ104-BQ113,1)),"n/p")</f>
        <v>0</v>
      </c>
      <c r="BR162" s="264" t="str">
        <f>IF(ISNUMBER(BR113),IF(ABS(BR110+BR104-BR113)&lt;=0.15,0,ROUND(BR110+BR104-BR113,1)),"n/p")</f>
        <v>n/p</v>
      </c>
      <c r="BS162" s="264">
        <f>IF(ISNUMBER(BS113),IF(ABS(BS110+BS104-BS113)&lt;=0.15,0,ROUND(BS110+BS104-BS113,1)),"n/p")</f>
        <v>0</v>
      </c>
      <c r="BT162" s="264">
        <f>IF(ISNUMBER(BT113),IF(ABS(BT110+BT104-BT113)&lt;=0.15,0,ROUND(BT110+BT104-BT113,1)),"n/p")</f>
        <v>0</v>
      </c>
      <c r="BU162" s="264">
        <f>IF(ISNUMBER(BU113),IF(ABS(BU110+BU104-BU113)&lt;=0.15,0,ROUND(BU110+BU104-BU113,1)),"n/p")</f>
        <v>0</v>
      </c>
      <c r="BV162" s="264">
        <f>IF(ISNUMBER(BV113),IF(ABS(BV110+BV104-BV113)&lt;=0.15,0,ROUND(BV110+BV104-BV113,1)),"n/p")</f>
        <v>0</v>
      </c>
      <c r="BW162" s="264">
        <f>IF(ISNUMBER(BW113),IF(ABS(BW110+BW104-BW113)&lt;=0.15,0,ROUND(BW110+BW104-BW113,1)),"n/p")</f>
        <v>0</v>
      </c>
      <c r="BX162" s="264">
        <f>IF(ISNUMBER(BX113),IF(ABS(BX110+BX104-BX113)&lt;=0.15,0,ROUND(BX110+BX104-BX113,1)),"n/p")</f>
        <v>0</v>
      </c>
      <c r="BY162" s="264">
        <f>IF(ISNUMBER(BY113),IF(ABS(BY110+BY104-BY113)&lt;=0.15,0,ROUND(BY110+BY104-BY113,1)),"n/p")</f>
        <v>0</v>
      </c>
      <c r="BZ162" s="264">
        <f>IF(ISNUMBER(BZ113),IF(ABS(BZ110+BZ104-BZ113)&lt;=0.15,0,ROUND(BZ110+BZ104-BZ113,1)),"n/p")</f>
        <v>0</v>
      </c>
      <c r="CA162" s="264">
        <f>IF(ISNUMBER(CA113),IF(ABS(CA110+CA104-CA113)&lt;=0.15,0,ROUND(CA110+CA104-CA113,1)),"n/p")</f>
        <v>0</v>
      </c>
      <c r="CB162" s="264">
        <f>IF(ISNUMBER(CB113),IF(ABS(CB110+CB104-CB113)&lt;=0.15,0,ROUND(CB110+CB104-CB113,1)),"n/p")</f>
        <v>0</v>
      </c>
      <c r="CC162" s="153" t="n"/>
      <c r="CD162" s="153" t="n"/>
      <c r="CE162" s="153" t="n"/>
      <c r="CF162" s="153" t="n"/>
      <c r="CG162" s="153" t="n"/>
      <c r="CH162" s="153" t="n"/>
      <c r="CI162" s="153" t="n"/>
      <c r="CJ162" s="153" t="n"/>
      <c r="CK162" s="153" t="n"/>
      <c r="CL162" s="153" t="n"/>
    </row>
    <row r="163" ht="15" customHeight="1" s="251">
      <c r="B163" s="158" t="inlineStr">
        <is>
          <t xml:space="preserve">  Definition / basis (company adjusted definition in force)</t>
        </is>
      </c>
      <c r="C163" s="281" t="inlineStr">
        <is>
          <t>FY2006–FY2021: adjusted operating income excludes restructuring / plant consolidation, acquisition costs, inventory purchase accounting, litigation reserves, disposal losses and (FY2006–07) IPO-related compensation, management fees and stock-option expense</t>
        </is>
      </c>
      <c r="BE163" s="281" t="inlineStr">
        <is>
          <t>Q3 FY22+: Dodge transaction and related costs, transition services, inventory step-up; Adjusted EBITDA published</t>
        </is>
      </c>
      <c r="CC163" s="153" t="n"/>
      <c r="CD163" s="153" t="n"/>
      <c r="CE163" s="153" t="n"/>
      <c r="CF163" s="153" t="n"/>
      <c r="CG163" s="153" t="n"/>
      <c r="CH163" s="153" t="n"/>
      <c r="CI163" s="153" t="n"/>
      <c r="CJ163" s="153" t="n"/>
      <c r="CK163" s="153" t="n"/>
      <c r="CL163" s="19" t="inlineStr">
        <is>
          <t>Basis changes are flagged in the column where they take effect (cell comment gives the detail).</t>
        </is>
      </c>
    </row>
    <row r="164" ht="15" customHeight="1" s="251">
      <c r="B164" s="22" t="inlineStr">
        <is>
          <t xml:space="preserve">  Adjusted operating income y/y %</t>
        </is>
      </c>
      <c r="C164" s="23" t="n"/>
      <c r="D164" s="255">
        <f>IF(AND(ISNUMBER(D158),ISNUMBER(C158)),IFERROR(D158/C158-1,""),"")</f>
        <v>0.275123994268709</v>
      </c>
      <c r="E164" s="255">
        <f>IF(AND(ISNUMBER(E158),ISNUMBER(D158)),IFERROR(E158/D158-1,""),"")</f>
        <v>0.105521557238184</v>
      </c>
      <c r="F164" s="255">
        <f>IF(AND(ISNUMBER(F158),ISNUMBER(E158)),IFERROR(F158/E158-1,""),"")</f>
        <v>-0.0156997654417514</v>
      </c>
      <c r="G164" s="255">
        <f>IF(AND(ISNUMBER(G158),ISNUMBER(F158)),IFERROR(G158/F158-1,""),"")</f>
        <v>-0.384837797477203</v>
      </c>
      <c r="H164" s="255">
        <f>IF(AND(ISNUMBER(H158),ISNUMBER(G158)),IFERROR(H158/G158-1,""),"")</f>
        <v>0.503408914828779</v>
      </c>
      <c r="I164" s="255">
        <f>IF(AND(ISNUMBER(I158),ISNUMBER(H158)),IFERROR(I158/H158-1,""),"")</f>
        <v>0.333814309026883</v>
      </c>
      <c r="J164" s="23" t="n"/>
      <c r="K164" s="23" t="n"/>
      <c r="L164" s="23" t="n"/>
      <c r="M164" s="23" t="n"/>
      <c r="N164" s="255">
        <f>IF(AND(ISNUMBER(N158),ISNUMBER(I158)),IFERROR(N158/I158-1,""),"")</f>
        <v>0.0949283948073358</v>
      </c>
      <c r="O164" s="255">
        <f>IF(AND(ISNUMBER(O158),ISNUMBER(J158)),IFERROR(O158/J158-1,""),"")</f>
        <v>0.0423751932345184</v>
      </c>
      <c r="P164" s="255">
        <f>IF(AND(ISNUMBER(P158),ISNUMBER(K158)),IFERROR(P158/K158-1,""),"")</f>
        <v>0.0758669497522999</v>
      </c>
      <c r="Q164" s="255">
        <f>IF(AND(ISNUMBER(Q158),ISNUMBER(L158)),IFERROR(Q158/L158-1,""),"")</f>
        <v>0.0259930058980113</v>
      </c>
      <c r="R164" s="255">
        <f>IF(AND(ISNUMBER(R158),ISNUMBER(M158)),IFERROR(R158/M158-1,""),"")</f>
        <v>0.110625909752547</v>
      </c>
      <c r="S164" s="255">
        <f>IF(AND(ISNUMBER(S158),ISNUMBER(N158)),IFERROR(S158/N158-1,""),"")</f>
        <v>0.0667262611886754</v>
      </c>
      <c r="T164" s="255">
        <f>IF(AND(ISNUMBER(T158),ISNUMBER(O158)),IFERROR(T158/O158-1,""),"")</f>
        <v>0.0560498996772223</v>
      </c>
      <c r="U164" s="255">
        <f>IF(AND(ISNUMBER(U158),ISNUMBER(P158)),IFERROR(U158/P158-1,""),"")</f>
        <v>0.0822698767706005</v>
      </c>
      <c r="V164" s="255">
        <f>IF(AND(ISNUMBER(V158),ISNUMBER(Q158)),IFERROR(V158/Q158-1,""),"")</f>
        <v>0.129572162588391</v>
      </c>
      <c r="W164" s="255">
        <f>IF(AND(ISNUMBER(W158),ISNUMBER(R158)),IFERROR(W158/R158-1,""),"")</f>
        <v>0.00849914611382485</v>
      </c>
      <c r="X164" s="255">
        <f>IF(AND(ISNUMBER(X158),ISNUMBER(S158)),IFERROR(X158/S158-1,""),"")</f>
        <v>0.0638975874388039</v>
      </c>
      <c r="Y164" s="255">
        <f>IF(AND(ISNUMBER(Y158),ISNUMBER(T158)),IFERROR(Y158/T158-1,""),"")</f>
        <v>0.217628350749659</v>
      </c>
      <c r="Z164" s="255">
        <f>IF(AND(ISNUMBER(Z158),ISNUMBER(U158)),IFERROR(Z158/U158-1,""),"")</f>
        <v>0.182260221240731</v>
      </c>
      <c r="AA164" s="255">
        <f>IF(AND(ISNUMBER(AA158),ISNUMBER(V158)),IFERROR(AA158/V158-1,""),"")</f>
        <v>0.244775716087192</v>
      </c>
      <c r="AB164" s="255">
        <f>IF(AND(ISNUMBER(AB158),ISNUMBER(W158)),IFERROR(AB158/W158-1,""),"")</f>
        <v>0.280864805261293</v>
      </c>
      <c r="AC164" s="255">
        <f>IF(AND(ISNUMBER(AC158),ISNUMBER(X158)),IFERROR(AC158/X158-1,""),"")</f>
        <v>0.231471597209987</v>
      </c>
      <c r="AD164" s="255">
        <f>IF(AND(ISNUMBER(AD158),ISNUMBER(Y158)),IFERROR(AD158/Y158-1,""),"")</f>
        <v>0.00417232021709646</v>
      </c>
      <c r="AE164" s="255">
        <f>IF(AND(ISNUMBER(AE158),ISNUMBER(Z158)),IFERROR(AE158/Z158-1,""),"")</f>
        <v>0.0205298694176921</v>
      </c>
      <c r="AF164" s="255">
        <f>IF(AND(ISNUMBER(AF158),ISNUMBER(AA158)),IFERROR(AF158/AA158-1,""),"")</f>
        <v>-0.00180903795361631</v>
      </c>
      <c r="AG164" s="255">
        <f>IF(AND(ISNUMBER(AG158),ISNUMBER(AB158)),IFERROR(AG158/AB158-1,""),"")</f>
        <v>0.0573097617217526</v>
      </c>
      <c r="AH164" s="255">
        <f>IF(AND(ISNUMBER(AH158),ISNUMBER(AC158)),IFERROR(AH158/AC158-1,""),"")</f>
        <v>0.0213430285892224</v>
      </c>
      <c r="AI164" s="255">
        <f>IF(AND(ISNUMBER(AI158),ISNUMBER(AD158)),IFERROR(AI158/AD158-1,""),"")</f>
        <v>0.074215451136709</v>
      </c>
      <c r="AJ164" s="255">
        <f>IF(AND(ISNUMBER(AJ158),ISNUMBER(AE158)),IFERROR(AJ158/AE158-1,""),"")</f>
        <v>0.0670338527673293</v>
      </c>
      <c r="AK164" s="255">
        <f>IF(AND(ISNUMBER(AK158),ISNUMBER(AF158)),IFERROR(AK158/AF158-1,""),"")</f>
        <v>0.240131936641415</v>
      </c>
      <c r="AL164" s="255">
        <f>IF(AND(ISNUMBER(AL158),ISNUMBER(AG158)),IFERROR(AL158/AG158-1,""),"")</f>
        <v>0.114804152490622</v>
      </c>
      <c r="AM164" s="255">
        <f>IF(AND(ISNUMBER(AM158),ISNUMBER(AH158)),IFERROR(AM158/AH158-1,""),"")</f>
        <v>0.121674069068945</v>
      </c>
      <c r="AN164" s="255">
        <f>IF(AND(ISNUMBER(AN158),ISNUMBER(AI158)),IFERROR(AN158/AI158-1,""),"")</f>
        <v>0.132012578616352</v>
      </c>
      <c r="AO164" s="255">
        <f>IF(AND(ISNUMBER(AO158),ISNUMBER(AJ158)),IFERROR(AO158/AJ158-1,""),"")</f>
        <v>0.129422132695455</v>
      </c>
      <c r="AP164" s="255">
        <f>IF(AND(ISNUMBER(AP158),ISNUMBER(AK158)),IFERROR(AP158/AK158-1,""),"")</f>
        <v>0.0709066464020578</v>
      </c>
      <c r="AQ164" s="255">
        <f>IF(AND(ISNUMBER(AQ158),ISNUMBER(AL158)),IFERROR(AQ158/AL158-1,""),"")</f>
        <v>0.0756449383102487</v>
      </c>
      <c r="AR164" s="255">
        <f>IF(AND(ISNUMBER(AR158),ISNUMBER(AM158)),IFERROR(AR158/AM158-1,""),"")</f>
        <v>0.100174107241245</v>
      </c>
      <c r="AS164" s="255">
        <f>IF(AND(ISNUMBER(AS158),ISNUMBER(AN158)),IFERROR(AS158/AN158-1,""),"")</f>
        <v>0.0692260681148953</v>
      </c>
      <c r="AT164" s="255">
        <f>IF(AND(ISNUMBER(AT158),ISNUMBER(AO158)),IFERROR(AT158/AO158-1,""),"")</f>
        <v>0.069501727789544</v>
      </c>
      <c r="AU164" s="255">
        <f>IF(AND(ISNUMBER(AU158),ISNUMBER(AP158)),IFERROR(AU158/AP158-1,""),"")</f>
        <v>0.0316593886462884</v>
      </c>
      <c r="AV164" s="255">
        <f>IF(AND(ISNUMBER(AV158),ISNUMBER(AQ158)),IFERROR(AV158/AQ158-1,""),"")</f>
        <v>0.0423163663700079</v>
      </c>
      <c r="AW164" s="255">
        <f>IF(AND(ISNUMBER(AW158),ISNUMBER(AR158)),IFERROR(AW158/AR158-1,""),"")</f>
        <v>0.0526913240606577</v>
      </c>
      <c r="AX164" s="255">
        <f>IF(AND(ISNUMBER(AX158),ISNUMBER(AS158)),IFERROR(AX158/AS158-1,""),"")</f>
        <v>-0.222317485061055</v>
      </c>
      <c r="AY164" s="255">
        <f>IF(AND(ISNUMBER(AY158),ISNUMBER(AT158)),IFERROR(AY158/AT158-1,""),"")</f>
        <v>-0.221507113450414</v>
      </c>
      <c r="AZ164" s="255">
        <f>IF(AND(ISNUMBER(AZ158),ISNUMBER(AU158)),IFERROR(AZ158/AU158-1,""),"")</f>
        <v>-0.262380952380952</v>
      </c>
      <c r="BA164" s="255">
        <f>IF(AND(ISNUMBER(BA158),ISNUMBER(AV158)),IFERROR(BA158/AV158-1,""),"")</f>
        <v>-0.243404215718208</v>
      </c>
      <c r="BB164" s="255">
        <f>IF(AND(ISNUMBER(BB158),ISNUMBER(AW158)),IFERROR(BB158/AW158-1,""),"")</f>
        <v>-0.237475420234697</v>
      </c>
      <c r="BC164" s="255">
        <f>IF(AND(ISNUMBER(BC158),ISNUMBER(AX158)),IFERROR(BC158/AX158-1,""),"")</f>
        <v>0.0450005011191661</v>
      </c>
      <c r="BD164" s="255">
        <f>IF(AND(ISNUMBER(BD158),ISNUMBER(AY158)),IFERROR(BD158/AY158-1,""),"")</f>
        <v>0.0222913947183452</v>
      </c>
      <c r="BE164" s="255">
        <f>IF(AND(ISNUMBER(BE158),ISNUMBER(AZ158)),IFERROR(BE158/AZ158-1,""),"")</f>
        <v>0.607273509791263</v>
      </c>
      <c r="BF164" s="255">
        <f>IF(AND(ISNUMBER(BF158),ISNUMBER(BA158)),IFERROR(BF158/BA158-1,""),"")</f>
        <v>1.1640221402214</v>
      </c>
      <c r="BG164" s="255">
        <f>IF(AND(ISNUMBER(BG158),ISNUMBER(BB158)),IFERROR(BG158/BB158-1,""),"")</f>
        <v>0.472490267194623</v>
      </c>
      <c r="BH164" s="255">
        <f>IF(AND(ISNUMBER(BH158),ISNUMBER(BC158)),IFERROR(BH158/BC158-1,""),"")</f>
        <v>1.18212915601023</v>
      </c>
      <c r="BI164" s="255">
        <f>IF(AND(ISNUMBER(BI158),ISNUMBER(BD158)),IFERROR(BI158/BD158-1,""),"")</f>
        <v>1.48888452345873</v>
      </c>
      <c r="BJ164" s="255">
        <f>IF(AND(ISNUMBER(BJ158),ISNUMBER(BE158)),IFERROR(BJ158/BE158-1,""),"")</f>
        <v>0.598585263533717</v>
      </c>
      <c r="BK164" s="255">
        <f>IF(AND(ISNUMBER(BK158),ISNUMBER(BF158)),IFERROR(BK158/BF158-1,""),"")</f>
        <v>0.259541876261119</v>
      </c>
      <c r="BL164" s="255">
        <f>IF(AND(ISNUMBER(BL158),ISNUMBER(BG158)),IFERROR(BL158/BG158-1,""),"")</f>
        <v>0.720627531622329</v>
      </c>
      <c r="BM164" s="255">
        <f>IF(AND(ISNUMBER(BM158),ISNUMBER(BH158)),IFERROR(BM158/BH158-1,""),"")</f>
        <v>0.249747278667389</v>
      </c>
      <c r="BN164" s="255">
        <f>IF(AND(ISNUMBER(BN158),ISNUMBER(BI158)),IFERROR(BN158/BI158-1,""),"")</f>
        <v>0.162737772632798</v>
      </c>
      <c r="BO164" s="255">
        <f>IF(AND(ISNUMBER(BO158),ISNUMBER(BJ158)),IFERROR(BO158/BJ158-1,""),"")</f>
        <v>0.053462499476542</v>
      </c>
      <c r="BP164" s="255">
        <f>IF(AND(ISNUMBER(BP158),ISNUMBER(BK158)),IFERROR(BP158/BK158-1,""),"")</f>
        <v>0.0863728155777932</v>
      </c>
      <c r="BQ164" s="255">
        <f>IF(AND(ISNUMBER(BQ158),ISNUMBER(BL158)),IFERROR(BQ158/BL158-1,""),"")</f>
        <v>0.134277834323801</v>
      </c>
      <c r="BR164" s="255">
        <f>IF(AND(ISNUMBER(BR158),ISNUMBER(BM158)),IFERROR(BR158/BM158-1,""),"")</f>
        <v>0.142971021288568</v>
      </c>
      <c r="BS164" s="255">
        <f>IF(AND(ISNUMBER(BS158),ISNUMBER(BN158)),IFERROR(BS158/BN158-1,""),"")</f>
        <v>-0.0202400751224702</v>
      </c>
      <c r="BT164" s="255">
        <f>IF(AND(ISNUMBER(BT158),ISNUMBER(BO158)),IFERROR(BT158/BO158-1,""),"")</f>
        <v>0.135565596470074</v>
      </c>
      <c r="BU164" s="255">
        <f>IF(AND(ISNUMBER(BU158),ISNUMBER(BP158)),IFERROR(BU158/BP158-1,""),"")</f>
        <v>0.0550911262266993</v>
      </c>
      <c r="BV164" s="255">
        <f>IF(AND(ISNUMBER(BV158),ISNUMBER(BQ158)),IFERROR(BV158/BQ158-1,""),"")</f>
        <v>0.0750665041812966</v>
      </c>
      <c r="BW164" s="255">
        <f>IF(AND(ISNUMBER(BW158),ISNUMBER(BR158)),IFERROR(BW158/BR158-1,""),"")</f>
        <v>0.0800000000000001</v>
      </c>
      <c r="BX164" s="255">
        <f>IF(AND(ISNUMBER(BX158),ISNUMBER(BS158)),IFERROR(BX158/BS158-1,""),"")</f>
        <v>0.212471131639723</v>
      </c>
      <c r="BY164" s="255">
        <f>IF(AND(ISNUMBER(BY158),ISNUMBER(BT158)),IFERROR(BY158/BT158-1,""),"")</f>
        <v>0.253208868144691</v>
      </c>
      <c r="BZ164" s="255">
        <f>IF(AND(ISNUMBER(BZ158),ISNUMBER(BU158)),IFERROR(BZ158/BU158-1,""),"")</f>
        <v>0.223425196850394</v>
      </c>
      <c r="CA164" s="255">
        <f>IF(AND(ISNUMBER(CA158),ISNUMBER(BV158)),IFERROR(CA158/BV158-1,""),"")</f>
        <v>0.1900915455035</v>
      </c>
      <c r="CB164" s="255">
        <f>IF(AND(ISNUMBER(CB158),ISNUMBER(BW158)),IFERROR(CB158/BW158-1,""),"")</f>
        <v>0.340930674264008</v>
      </c>
      <c r="CC164" s="256">
        <f>IF(AND(ISNUMBER(CC158),ISNUMBER(BX158)),IFERROR(CC158/BX158-1,""),"")</f>
        <v>0.210057142857143</v>
      </c>
      <c r="CD164" s="256">
        <f>IF(AND(ISNUMBER(CD158),ISNUMBER(BY158)),IFERROR(CD158/BY158-1,""),"")</f>
        <v>0.209020616184602</v>
      </c>
      <c r="CE164" s="256">
        <f>IF(AND(ISNUMBER(CE158),ISNUMBER(BZ158)),IFERROR(CE158/BZ158-1,""),"")</f>
        <v>0.307467478062742</v>
      </c>
      <c r="CF164" s="256">
        <f>IF(AND(ISNUMBER(CF158),ISNUMBER(CA158)),IFERROR(CF158/CA158-1,""),"")</f>
        <v>0.268377877152546</v>
      </c>
      <c r="CG164" s="256">
        <f>IF(AND(ISNUMBER(CG158),ISNUMBER(CF158)),IFERROR(CG158/CF158-1,""),"")</f>
        <v>0.12009396875945</v>
      </c>
      <c r="CH164" s="256">
        <f>IF(AND(ISNUMBER(CH158),ISNUMBER(CG158)),IFERROR(CH158/CG158-1,""),"")</f>
        <v>0.133822812132929</v>
      </c>
      <c r="CI164" s="256">
        <f>IF(AND(ISNUMBER(CI158),ISNUMBER(CH158)),IFERROR(CI158/CH158-1,""),"")</f>
        <v>0.125450243325839</v>
      </c>
      <c r="CJ164" s="256">
        <f>IF(AND(ISNUMBER(CJ158),ISNUMBER(CI158)),IFERROR(CJ158/CI158-1,""),"")</f>
        <v>0.1028883194779</v>
      </c>
      <c r="CK164" s="256">
        <f>IF(AND(ISNUMBER(CK158),ISNUMBER(CJ158)),IFERROR(CK158/CJ158-1,""),"")</f>
        <v>0.0883551669783269</v>
      </c>
      <c r="CL164" s="153" t="n"/>
    </row>
    <row r="165" ht="15" customHeight="1" s="251">
      <c r="B165" s="25" t="inlineStr">
        <is>
          <t xml:space="preserve">  Incremental adjusted operating margin (Δ adjusted OI / Δ net sales)</t>
        </is>
      </c>
      <c r="C165" s="36" t="n"/>
      <c r="D165" s="215">
        <f>IFERROR((D158-C158)/(D108-C108),"")</f>
        <v>0.395556682407378</v>
      </c>
      <c r="E165" s="215">
        <f>IFERROR((E158-D158)/(E108-D108),"")</f>
        <v>0.248757029912788</v>
      </c>
      <c r="F165" s="215">
        <f>IFERROR((F158-E158)/(F108-E108),"")</f>
        <v>-0.0398475948563266</v>
      </c>
      <c r="G165" s="215">
        <f>IFERROR((G158-F158)/(G108-F108),"")</f>
        <v>0.298715071398624</v>
      </c>
      <c r="H165" s="215">
        <f>IFERROR((H158-G158)/(H108-G108),"")</f>
        <v>0.319961262577352</v>
      </c>
      <c r="I165" s="215">
        <f>IFERROR((I158-H158)/(I108-H108),"")</f>
        <v>0.314012862359823</v>
      </c>
      <c r="J165" s="36" t="n"/>
      <c r="K165" s="36" t="n"/>
      <c r="L165" s="36" t="n"/>
      <c r="M165" s="36" t="n"/>
      <c r="N165" s="215">
        <f>IFERROR((N158-I158)/(N108-I108),"")</f>
        <v>1.33050541516247</v>
      </c>
      <c r="O165" s="215">
        <f>IFERROR((O158-J158)/(O108-J108),"")</f>
        <v>-1.3993993993994</v>
      </c>
      <c r="P165" s="215">
        <f>IFERROR((P158-K158)/(P108-K108),"")</f>
        <v>1.01836605446485</v>
      </c>
      <c r="Q165" s="215">
        <f>IFERROR((Q158-L158)/(Q108-L108),"")</f>
        <v>0.118289786223278</v>
      </c>
      <c r="R165" s="215">
        <f>IFERROR((R158-M158)/(R108-M108),"")</f>
        <v>0.234129947722181</v>
      </c>
      <c r="S165" s="215">
        <f>IFERROR((S158-N158)/(S108-N108),"")</f>
        <v>0.358257025576254</v>
      </c>
      <c r="T165" s="215">
        <f>IFERROR((T158-O158)/(T108-O108),"")</f>
        <v>0.124563784412563</v>
      </c>
      <c r="U165" s="215">
        <f>IFERROR((U158-P158)/(U108-P108),"")</f>
        <v>0.176964437317234</v>
      </c>
      <c r="V165" s="215">
        <f>IFERROR((V158-Q158)/(V108-Q108),"")</f>
        <v>0.440962603878116</v>
      </c>
      <c r="W165" s="215">
        <f>IFERROR((W158-R158)/(W108-R108),"")</f>
        <v>-0.710963455149493</v>
      </c>
      <c r="X165" s="215">
        <f>IFERROR((X158-S158)/(X108-S108),"")</f>
        <v>0.219574113367687</v>
      </c>
      <c r="Y165" s="215">
        <f>IFERROR((Y158-T158)/(Y108-T108),"")</f>
        <v>0.179682171600055</v>
      </c>
      <c r="Z165" s="215">
        <f>IFERROR((Z158-U158)/(Z108-U108),"")</f>
        <v>0.12445698790847</v>
      </c>
      <c r="AA165" s="215">
        <f>IFERROR((AA158-V158)/(AA108-V108),"")</f>
        <v>0.143426399957777</v>
      </c>
      <c r="AB165" s="215">
        <f>IFERROR((AB158-W158)/(AB108-W108),"")</f>
        <v>0.146042797174158</v>
      </c>
      <c r="AC165" s="215">
        <f>IFERROR((AC158-X158)/(AC108-X108),"")</f>
        <v>0.14674691512149</v>
      </c>
      <c r="AD165" s="215">
        <f>IFERROR((AD158-Y158)/(AD108-Y108),"")</f>
        <v>0.0100236329557494</v>
      </c>
      <c r="AE165" s="215">
        <f>IFERROR((AE158-Z158)/(AE108-Z108),"")</f>
        <v>0.114160472651038</v>
      </c>
      <c r="AF165" s="215">
        <f>IFERROR((AF158-AA158)/(AF108-AA108),"")</f>
        <v>-0.0204918032786888</v>
      </c>
      <c r="AG165" s="215">
        <f>IFERROR((AG158-AB158)/(AG108-AB108),"")</f>
        <v>-0.912830558276201</v>
      </c>
      <c r="AH165" s="215">
        <f>IFERROR((AH158-AC158)/(AH108-AC108),"")</f>
        <v>0.141549453002902</v>
      </c>
      <c r="AI165" s="215">
        <f>IFERROR((AI158-AD158)/(AI108-AD108),"")</f>
        <v>0.235780210345568</v>
      </c>
      <c r="AJ165" s="215">
        <f>IFERROR((AJ158-AE158)/(AJ108-AE108),"")</f>
        <v>0.192404087140929</v>
      </c>
      <c r="AK165" s="215">
        <f>IFERROR((AK158-AF158)/(AK108-AF108),"")</f>
        <v>0.327937827937828</v>
      </c>
      <c r="AL165" s="215">
        <f>IFERROR((AL158-AG158)/(AL108-AG108),"")</f>
        <v>0.200742360298978</v>
      </c>
      <c r="AM165" s="215">
        <f>IFERROR((AM158-AH158)/(AM108-AH108),"")</f>
        <v>0.24791390339316</v>
      </c>
      <c r="AN165" s="215">
        <f>IFERROR((AN158-AI158)/(AN108-AI108),"")</f>
        <v>0.347286565188616</v>
      </c>
      <c r="AO165" s="215">
        <f>IFERROR((AO158-AJ158)/(AO108-AJ108),"")</f>
        <v>0.478195138969648</v>
      </c>
      <c r="AP165" s="215">
        <f>IFERROR((AP158-AK158)/(AP108-AK108),"")</f>
        <v>0.527965179542982</v>
      </c>
      <c r="AQ165" s="215">
        <f>IFERROR((AQ158-AL158)/(AQ108-AL108),"")</f>
        <v>1.2691466083151</v>
      </c>
      <c r="AR165" s="215">
        <f>IFERROR((AR158-AM158)/(AR108-AM108),"")</f>
        <v>0.494649399644502</v>
      </c>
      <c r="AS165" s="215">
        <f>IFERROR((AS158-AN158)/(AS108-AN108),"")</f>
        <v>0.371662938105893</v>
      </c>
      <c r="AT165" s="215">
        <f>IFERROR((AT158-AO158)/(AT108-AO108),"")</f>
        <v>0.27732680974091</v>
      </c>
      <c r="AU165" s="215">
        <f>IFERROR((AU158-AP158)/(AU108-AP108),"")</f>
        <v>0.208408192597917</v>
      </c>
      <c r="AV165" s="215">
        <f>IFERROR((AV158-AQ158)/(AV108-AQ108),"")</f>
        <v>0.474055963053523</v>
      </c>
      <c r="AW165" s="215">
        <f>IFERROR((AW158-AR158)/(AW108-AR108),"")</f>
        <v>0.316335939065945</v>
      </c>
      <c r="AX165" s="215">
        <f>IFERROR((AX158-AS158)/(AX108-AS108),"")</f>
        <v>0.326640455013933</v>
      </c>
      <c r="AY165" s="215">
        <f>IFERROR((AY158-AT158)/(AY108-AT108),"")</f>
        <v>0.238966661044583</v>
      </c>
      <c r="AZ165" s="215">
        <f>IFERROR((AZ158-AU158)/(AZ108-AU108),"")</f>
        <v>0.318313113807048</v>
      </c>
      <c r="BA165" s="215">
        <f>IFERROR((BA158-AV158)/(BA108-AV108),"")</f>
        <v>0.409503679348677</v>
      </c>
      <c r="BB165" s="215">
        <f>IFERROR((BB158-AW158)/(BB108-AW108),"")</f>
        <v>0.315993821585624</v>
      </c>
      <c r="BC165" s="215">
        <f>IFERROR((BC158-AX158)/(BC108-AX108),"")</f>
        <v>-4.67708333333361</v>
      </c>
      <c r="BD165" s="215">
        <f>IFERROR((BD158-AY158)/(BD108-AY108),"")</f>
        <v>0.0457260556127704</v>
      </c>
      <c r="BE165" s="215">
        <f>IFERROR((BE158-AZ158)/(BE108-AZ108),"")</f>
        <v>0.139827569120999</v>
      </c>
      <c r="BF165" s="215">
        <f>IFERROR((BF158-BA158)/(BF108-BA108),"")</f>
        <v>0.190619586673649</v>
      </c>
      <c r="BG165" s="215">
        <f>IFERROR((BG158-BB158)/(BG108-BB108),"")</f>
        <v>0.170080819756073</v>
      </c>
      <c r="BH165" s="215">
        <f>IFERROR((BH158-BC158)/(BH108-BC108),"")</f>
        <v>0.186870499052432</v>
      </c>
      <c r="BI165" s="215">
        <f>IFERROR((BI158-BD158)/(BI108-BD108),"")</f>
        <v>0.21834952248796</v>
      </c>
      <c r="BJ165" s="215">
        <f>IFERROR((BJ158-BE158)/(BJ108-BE108),"")</f>
        <v>0.316810752078609</v>
      </c>
      <c r="BK165" s="215">
        <f>IFERROR((BK158-BF158)/(BK108-BF108),"")</f>
        <v>0.513884590496019</v>
      </c>
      <c r="BL165" s="215">
        <f>IFERROR((BL158-BG158)/(BL108-BG108),"")</f>
        <v>0.242340362069522</v>
      </c>
      <c r="BM165" s="215">
        <f>IFERROR((BM158-BH158)/(BM108-BH108),"")</f>
        <v>0.515919133224381</v>
      </c>
      <c r="BN165" s="215">
        <f>IFERROR((BN158-BI158)/(BN108-BI108),"")</f>
        <v>0.754099359951234</v>
      </c>
      <c r="BO165" s="215">
        <f>IFERROR((BO158-BJ158)/(BO108-BJ108),"")</f>
        <v>0.171895336834074</v>
      </c>
      <c r="BP165" s="215">
        <f>IFERROR((BP158-BK158)/(BP108-BK108),"")</f>
        <v>0.39754907051615</v>
      </c>
      <c r="BQ165" s="215">
        <f>IFERROR((BQ158-BL158)/(BQ108-BL108),"")</f>
        <v>0.449417582417582</v>
      </c>
      <c r="BR165" s="215">
        <f>IFERROR((BR158-BM158)/(BR108-BM108),"")</f>
        <v>0.635937011158619</v>
      </c>
      <c r="BS165" s="215">
        <f>IFERROR((BS158-BN158)/(BS108-BN108),"")</f>
        <v>-0.145116807268009</v>
      </c>
      <c r="BT165" s="215">
        <f>IFERROR((BT158-BO158)/(BT108-BO108),"")</f>
        <v>0.499219283692789</v>
      </c>
      <c r="BU165" s="215">
        <f>IFERROR((BU158-BP158)/(BU108-BP108),"")</f>
        <v>0.220857618651125</v>
      </c>
      <c r="BV165" s="215">
        <f>IFERROR((BV158-BQ158)/(BV108-BQ108),"")</f>
        <v>0.341223684210526</v>
      </c>
      <c r="BW165" s="215">
        <f>IFERROR((BW158-BR158)/(BW108-BR108),"")</f>
        <v>0.262626262626263</v>
      </c>
      <c r="BX165" s="215">
        <f>IFERROR((BX158-BS158)/(BX108-BS108),"")</f>
        <v>0.320557491289199</v>
      </c>
      <c r="BY165" s="215">
        <f>IFERROR((BY158-BT158)/(BY108-BT108),"")</f>
        <v>0.322916666666667</v>
      </c>
      <c r="BZ165" s="215">
        <f>IFERROR((BZ158-BU158)/(BZ108-BU108),"")</f>
        <v>0.282689912826899</v>
      </c>
      <c r="CA165" s="215">
        <f>IFERROR((CA158-BV158)/(CA108-BV108),"")</f>
        <v>0.300937766410912</v>
      </c>
      <c r="CB165" s="215">
        <f>IFERROR((CB158-BW158)/(CB108-BW108),"")</f>
        <v>0.429940119760479</v>
      </c>
      <c r="CC165" s="256">
        <f>IFERROR((CC158-BX158)/(CC108-BX108),"")</f>
        <v>0.403217550274223</v>
      </c>
      <c r="CD165" s="256">
        <f>IFERROR((CD158-BY158)/(CD108-BY108),"")</f>
        <v>0.454483421338912</v>
      </c>
      <c r="CE165" s="256">
        <f>IFERROR((CE158-BZ158)/(CE108-BZ108),"")</f>
        <v>0.387522520093877</v>
      </c>
      <c r="CF165" s="256">
        <f>IFERROR((CF158-CA158)/(CF108-CA108),"")</f>
        <v>0.414452749158101</v>
      </c>
      <c r="CG165" s="256">
        <f>IFERROR((CG158-CF158)/(CG108-CF108),"")</f>
        <v>0.295738184037005</v>
      </c>
      <c r="CH165" s="256">
        <f>IFERROR((CH158-CG158)/(CH108-CG108),"")</f>
        <v>0.29842037733051</v>
      </c>
      <c r="CI165" s="256">
        <f>IFERROR((CI158-CH158)/(CI108-CH108),"")</f>
        <v>0.315689890144971</v>
      </c>
      <c r="CJ165" s="256">
        <f>IFERROR((CJ158-CI158)/(CJ108-CI108),"")</f>
        <v>0.28579011351919</v>
      </c>
      <c r="CK165" s="256">
        <f>IFERROR((CK158-CJ158)/(CK108-CJ108),"")</f>
        <v>0.274200430307613</v>
      </c>
      <c r="CL165" s="153" t="n"/>
    </row>
    <row r="166" ht="15" customHeight="1" s="251">
      <c r="CT166" s="11" t="n"/>
      <c r="CU166" s="12" t="n"/>
      <c r="CV166" s="12" t="n"/>
      <c r="CW166" s="12" t="n"/>
      <c r="CX166" s="13" t="n"/>
    </row>
    <row r="167" ht="15" customHeight="1" s="251">
      <c r="B167" s="10" t="inlineStr">
        <is>
          <t>RECONCILIATION: NET INCOME → OPERATING INCOME → EBITDA → ADJUSTED EBITDA (company definitions)</t>
        </is>
      </c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  <c r="AD167" s="10" t="n"/>
      <c r="AE167" s="10" t="n"/>
      <c r="AF167" s="10" t="n"/>
      <c r="AG167" s="10" t="n"/>
      <c r="AH167" s="10" t="n"/>
      <c r="AI167" s="10" t="n"/>
      <c r="AJ167" s="10" t="n"/>
      <c r="AK167" s="10" t="n"/>
      <c r="AL167" s="10" t="n"/>
      <c r="AM167" s="10" t="n"/>
      <c r="AN167" s="10" t="n"/>
      <c r="AO167" s="10" t="n"/>
      <c r="AP167" s="10" t="n"/>
      <c r="AQ167" s="10" t="n"/>
      <c r="AR167" s="10" t="n"/>
      <c r="AS167" s="10" t="n"/>
      <c r="AT167" s="10" t="n"/>
      <c r="AU167" s="10" t="n"/>
      <c r="AV167" s="10" t="n"/>
      <c r="AW167" s="10" t="n"/>
      <c r="AX167" s="10" t="n"/>
      <c r="AY167" s="10" t="n"/>
      <c r="AZ167" s="10" t="n"/>
      <c r="BA167" s="10" t="n"/>
      <c r="BB167" s="10" t="n"/>
      <c r="BC167" s="10" t="n"/>
      <c r="BD167" s="10" t="n"/>
      <c r="BE167" s="10" t="n"/>
      <c r="BF167" s="10" t="n"/>
      <c r="BG167" s="10" t="n"/>
      <c r="BH167" s="10" t="n"/>
      <c r="BI167" s="10" t="n"/>
      <c r="BJ167" s="10" t="n"/>
      <c r="BK167" s="10" t="n"/>
      <c r="BL167" s="10" t="n"/>
      <c r="BM167" s="10" t="n"/>
      <c r="BN167" s="10" t="n"/>
      <c r="BO167" s="10" t="n"/>
      <c r="BP167" s="10" t="n"/>
      <c r="BQ167" s="10" t="n"/>
      <c r="BR167" s="10" t="n"/>
      <c r="BS167" s="10" t="n"/>
      <c r="BT167" s="10" t="n"/>
      <c r="BU167" s="10" t="n"/>
      <c r="BV167" s="10" t="n"/>
      <c r="BW167" s="10" t="n"/>
      <c r="BX167" s="10" t="n"/>
      <c r="BY167" s="10" t="n"/>
      <c r="BZ167" s="10" t="n"/>
      <c r="CA167" s="10" t="n"/>
      <c r="CB167" s="10" t="n"/>
      <c r="CC167" s="10" t="n"/>
      <c r="CD167" s="10" t="n"/>
      <c r="CE167" s="10" t="n"/>
      <c r="CF167" s="10" t="n"/>
      <c r="CG167" s="10" t="n"/>
      <c r="CH167" s="10" t="n"/>
      <c r="CI167" s="10" t="n"/>
      <c r="CJ167" s="10" t="n"/>
      <c r="CK167" s="10" t="n"/>
      <c r="CL167" s="10" t="inlineStr">
        <is>
          <t>ADJUSTED EBITDA — net income + interest + taxes + other non-operating = operating income; + D&amp;A + stock compensation = EBITDA (company definition); + operating adjusting items = adjusted EBITDA</t>
        </is>
      </c>
    </row>
    <row r="168" ht="15" customHeight="1" s="251">
      <c r="B168" s="16" t="inlineStr">
        <is>
          <t>Net income (GAAP)</t>
        </is>
      </c>
      <c r="C168" s="280">
        <f>C127</f>
        <v>12.439</v>
      </c>
      <c r="D168" s="280">
        <f>D127</f>
        <v>28.479</v>
      </c>
      <c r="E168" s="280">
        <f>E127</f>
        <v>40.194</v>
      </c>
      <c r="F168" s="280">
        <f>F127</f>
        <v>34.454</v>
      </c>
      <c r="G168" s="280">
        <f>G127</f>
        <v>24.385</v>
      </c>
      <c r="H168" s="280">
        <f>H127</f>
        <v>34.868</v>
      </c>
      <c r="I168" s="280">
        <f>I127</f>
        <v>49.997</v>
      </c>
      <c r="J168" s="280">
        <f>J127</f>
        <v>17.164</v>
      </c>
      <c r="K168" s="280">
        <f>K127</f>
        <v>16.494</v>
      </c>
      <c r="L168" s="280">
        <f>L127</f>
        <v>12.109</v>
      </c>
      <c r="M168" s="280">
        <f>M127</f>
        <v>10.575</v>
      </c>
      <c r="N168" s="280">
        <f>N127</f>
        <v>56.342</v>
      </c>
      <c r="O168" s="280">
        <f>O127</f>
        <v>15.116</v>
      </c>
      <c r="P168" s="280">
        <f>P127</f>
        <v>14.125</v>
      </c>
      <c r="Q168" s="280">
        <f>Q127</f>
        <v>12.764</v>
      </c>
      <c r="R168" s="280">
        <f>R127</f>
        <v>18.203</v>
      </c>
      <c r="S168" s="280">
        <f>S127</f>
        <v>60.208</v>
      </c>
      <c r="T168" s="280">
        <f>T127</f>
        <v>16.02</v>
      </c>
      <c r="U168" s="280">
        <f>U127</f>
        <v>13.248</v>
      </c>
      <c r="V168" s="280">
        <f>V127</f>
        <v>14.051</v>
      </c>
      <c r="W168" s="280">
        <f>W127</f>
        <v>14.929</v>
      </c>
      <c r="X168" s="280">
        <f>X127</f>
        <v>58.248</v>
      </c>
      <c r="Y168" s="280">
        <f>Y127</f>
        <v>13.404</v>
      </c>
      <c r="Z168" s="280">
        <f>Z127</f>
        <v>14.519</v>
      </c>
      <c r="AA168" s="280">
        <f>AA127</f>
        <v>17.047</v>
      </c>
      <c r="AB168" s="280">
        <f>AB127</f>
        <v>18.924</v>
      </c>
      <c r="AC168" s="280">
        <f>AC127</f>
        <v>63.894</v>
      </c>
      <c r="AD168" s="280">
        <f>AD127</f>
        <v>18.04</v>
      </c>
      <c r="AE168" s="280">
        <f>AE127</f>
        <v>18.228</v>
      </c>
      <c r="AF168" s="280">
        <f>AF127</f>
        <v>12.77</v>
      </c>
      <c r="AG168" s="280">
        <f>AG127</f>
        <v>21.585</v>
      </c>
      <c r="AH168" s="280">
        <f>AH127</f>
        <v>70.623</v>
      </c>
      <c r="AI168" s="280">
        <f>AI127</f>
        <v>21.809</v>
      </c>
      <c r="AJ168" s="280">
        <f>AJ127</f>
        <v>14.823</v>
      </c>
      <c r="AK168" s="280">
        <f>AK127</f>
        <v>23.832</v>
      </c>
      <c r="AL168" s="280">
        <f>AL127</f>
        <v>26.677</v>
      </c>
      <c r="AM168" s="280">
        <f>AM127</f>
        <v>87.141</v>
      </c>
      <c r="AN168" s="280">
        <f>AN127</f>
        <v>27.467</v>
      </c>
      <c r="AO168" s="280">
        <f>AO127</f>
        <v>30.111</v>
      </c>
      <c r="AP168" s="280">
        <f>AP127</f>
        <v>16.178</v>
      </c>
      <c r="AQ168" s="280">
        <f>AQ127</f>
        <v>31.437</v>
      </c>
      <c r="AR168" s="280">
        <f>AR127</f>
        <v>105.193</v>
      </c>
      <c r="AS168" s="280">
        <f>AS127</f>
        <v>30.499</v>
      </c>
      <c r="AT168" s="280">
        <f>AT127</f>
        <v>31.27</v>
      </c>
      <c r="AU168" s="280">
        <f>AU127</f>
        <v>30.515</v>
      </c>
      <c r="AV168" s="280">
        <f>AV127</f>
        <v>33.752</v>
      </c>
      <c r="AW168" s="280">
        <f>AW127</f>
        <v>126.036</v>
      </c>
      <c r="AX168" s="280">
        <f>AX127</f>
        <v>22.689</v>
      </c>
      <c r="AY168" s="280">
        <f>AY127</f>
        <v>20.421</v>
      </c>
      <c r="AZ168" s="280">
        <f>AZ127</f>
        <v>21.569</v>
      </c>
      <c r="BA168" s="280">
        <f>BA127</f>
        <v>24.954</v>
      </c>
      <c r="BB168" s="280">
        <f>BB127</f>
        <v>89.633</v>
      </c>
      <c r="BC168" s="280">
        <f>BC127</f>
        <v>25.999</v>
      </c>
      <c r="BD168" s="280">
        <f>BD127</f>
        <v>6.929</v>
      </c>
      <c r="BE168" s="280">
        <f>BE127</f>
        <v>-0.0630000000000002</v>
      </c>
      <c r="BF168" s="280">
        <f>BF127</f>
        <v>32.2</v>
      </c>
      <c r="BG168" s="280">
        <f>BG127</f>
        <v>65.065</v>
      </c>
      <c r="BH168" s="280">
        <f>BH127</f>
        <v>37.438</v>
      </c>
      <c r="BI168" s="280">
        <f>BI127</f>
        <v>43.802</v>
      </c>
      <c r="BJ168" s="280">
        <f>BJ127</f>
        <v>36.264</v>
      </c>
      <c r="BK168" s="280">
        <f>BK127</f>
        <v>49.155</v>
      </c>
      <c r="BL168" s="280">
        <f>BL127</f>
        <v>166.7</v>
      </c>
      <c r="BM168" s="280">
        <f>BM127</f>
        <v>50.027</v>
      </c>
      <c r="BN168" s="280">
        <f>BN127</f>
        <v>51.653</v>
      </c>
      <c r="BO168" s="280">
        <f>BO127</f>
        <v>46.554</v>
      </c>
      <c r="BP168" s="280">
        <f>BP127</f>
        <v>61.67</v>
      </c>
      <c r="BQ168" s="280">
        <f>BQ127</f>
        <v>209.9</v>
      </c>
      <c r="BR168" s="280">
        <f>BR127</f>
        <v>61.4</v>
      </c>
      <c r="BS168" s="280">
        <f>BS127</f>
        <v>54.2</v>
      </c>
      <c r="BT168" s="280">
        <f>BT127</f>
        <v>57.9</v>
      </c>
      <c r="BU168" s="280">
        <f>BU127</f>
        <v>72.7</v>
      </c>
      <c r="BV168" s="280">
        <f>BV127</f>
        <v>246.2</v>
      </c>
      <c r="BW168" s="280">
        <f>BW127</f>
        <v>68.5</v>
      </c>
      <c r="BX168" s="280">
        <f>BX127</f>
        <v>60</v>
      </c>
      <c r="BY168" s="280">
        <f>BY127</f>
        <v>67.4</v>
      </c>
      <c r="BZ168" s="280">
        <f>BZ127</f>
        <v>91.7</v>
      </c>
      <c r="CA168" s="280">
        <f>CA127</f>
        <v>287.6</v>
      </c>
      <c r="CB168" s="280">
        <f>CB127</f>
        <v>101.5</v>
      </c>
      <c r="CC168" s="254">
        <f>CC127</f>
        <v>90.2534</v>
      </c>
      <c r="CD168" s="254">
        <f>CD127</f>
        <v>93.1928309881254</v>
      </c>
      <c r="CE168" s="254">
        <f>CE127</f>
        <v>118.511610830479</v>
      </c>
      <c r="CF168" s="254">
        <f>CF127</f>
        <v>403.457841818604</v>
      </c>
      <c r="CG168" s="254">
        <f>CG127</f>
        <v>456.78262526851</v>
      </c>
      <c r="CH168" s="254">
        <f>CH127</f>
        <v>508.150032226153</v>
      </c>
      <c r="CI168" s="254">
        <f>CI127</f>
        <v>571.027854992127</v>
      </c>
      <c r="CJ168" s="254">
        <f>CJ127</f>
        <v>628.525114123447</v>
      </c>
      <c r="CK168" s="254">
        <f>CK127</f>
        <v>684.808268473411</v>
      </c>
      <c r="CL168" s="153" t="n"/>
    </row>
    <row r="169" ht="15" customHeight="1" s="251">
      <c r="B169" s="25" t="inlineStr">
        <is>
          <t xml:space="preserve">  (+) Provision for income taxes</t>
        </is>
      </c>
      <c r="C169" s="264">
        <f>C125</f>
        <v>6.634</v>
      </c>
      <c r="D169" s="264">
        <f>D125</f>
        <v>15.588</v>
      </c>
      <c r="E169" s="264">
        <f>E125</f>
        <v>19.685</v>
      </c>
      <c r="F169" s="264">
        <f>F125</f>
        <v>16.947</v>
      </c>
      <c r="G169" s="264">
        <f>G125</f>
        <v>8.625</v>
      </c>
      <c r="H169" s="264">
        <f>H125</f>
        <v>18.009</v>
      </c>
      <c r="I169" s="264">
        <f>I125</f>
        <v>25.982</v>
      </c>
      <c r="J169" s="264">
        <f>J125</f>
        <v>7.916</v>
      </c>
      <c r="K169" s="264">
        <f>K125</f>
        <v>4.407</v>
      </c>
      <c r="L169" s="264">
        <f>L125</f>
        <v>6.54</v>
      </c>
      <c r="M169" s="264">
        <f>M125</f>
        <v>4.983</v>
      </c>
      <c r="N169" s="264">
        <f>N125</f>
        <v>23.846</v>
      </c>
      <c r="O169" s="264">
        <f>O125</f>
        <v>7.133</v>
      </c>
      <c r="P169" s="264">
        <f>P125</f>
        <v>7.153</v>
      </c>
      <c r="Q169" s="264">
        <f>Q125</f>
        <v>6.574</v>
      </c>
      <c r="R169" s="264">
        <f>R125</f>
        <v>6.685</v>
      </c>
      <c r="S169" s="264">
        <f>S125</f>
        <v>27.545</v>
      </c>
      <c r="T169" s="264">
        <f>T125</f>
        <v>8.234</v>
      </c>
      <c r="U169" s="264">
        <f>U125</f>
        <v>4.976</v>
      </c>
      <c r="V169" s="264">
        <f>V125</f>
        <v>6.104</v>
      </c>
      <c r="W169" s="264">
        <f>W125</f>
        <v>6.993</v>
      </c>
      <c r="X169" s="264">
        <f>X125</f>
        <v>26.307</v>
      </c>
      <c r="Y169" s="264">
        <f>Y125</f>
        <v>6.64</v>
      </c>
      <c r="Z169" s="264">
        <f>Z125</f>
        <v>7.403</v>
      </c>
      <c r="AA169" s="264">
        <f>AA125</f>
        <v>7.821</v>
      </c>
      <c r="AB169" s="264">
        <f>AB125</f>
        <v>9.027</v>
      </c>
      <c r="AC169" s="264">
        <f>AC125</f>
        <v>30.891</v>
      </c>
      <c r="AD169" s="264">
        <f>AD125</f>
        <v>8.77</v>
      </c>
      <c r="AE169" s="264">
        <f>AE125</f>
        <v>8.922</v>
      </c>
      <c r="AF169" s="264">
        <f>AF125</f>
        <v>5.864</v>
      </c>
      <c r="AG169" s="264">
        <f>AG125</f>
        <v>10.705</v>
      </c>
      <c r="AH169" s="264">
        <f>AH125</f>
        <v>34.261</v>
      </c>
      <c r="AI169" s="264">
        <f>AI125</f>
        <v>7.59</v>
      </c>
      <c r="AJ169" s="264">
        <f>AJ125</f>
        <v>8.477</v>
      </c>
      <c r="AK169" s="264">
        <f>AK125</f>
        <v>7.504</v>
      </c>
      <c r="AL169" s="264">
        <f>AL125</f>
        <v>9.139</v>
      </c>
      <c r="AM169" s="264">
        <f>AM125</f>
        <v>32.71</v>
      </c>
      <c r="AN169" s="264">
        <f>AN125</f>
        <v>5.786</v>
      </c>
      <c r="AO169" s="264">
        <f>AO125</f>
        <v>3.991</v>
      </c>
      <c r="AP169" s="264">
        <f>AP125</f>
        <v>2.849</v>
      </c>
      <c r="AQ169" s="264">
        <f>AQ125</f>
        <v>8.271</v>
      </c>
      <c r="AR169" s="264">
        <f>AR125</f>
        <v>20.897</v>
      </c>
      <c r="AS169" s="264">
        <f>AS125</f>
        <v>7.275</v>
      </c>
      <c r="AT169" s="264">
        <f>AT125</f>
        <v>5.371</v>
      </c>
      <c r="AU169" s="264">
        <f>AU125</f>
        <v>6.268</v>
      </c>
      <c r="AV169" s="264">
        <f>AV125</f>
        <v>9.189</v>
      </c>
      <c r="AW169" s="264">
        <f>AW125</f>
        <v>28.103</v>
      </c>
      <c r="AX169" s="264">
        <f>AX125</f>
        <v>5.658</v>
      </c>
      <c r="AY169" s="264">
        <f>AY125</f>
        <v>5.388</v>
      </c>
      <c r="AZ169" s="264">
        <f>AZ125</f>
        <v>4.695</v>
      </c>
      <c r="BA169" s="264">
        <f>BA125</f>
        <v>4.685</v>
      </c>
      <c r="BB169" s="264">
        <f>BB125</f>
        <v>20.426</v>
      </c>
      <c r="BC169" s="264">
        <f>BC125</f>
        <v>4.87</v>
      </c>
      <c r="BD169" s="264">
        <f>BD125</f>
        <v>4.715</v>
      </c>
      <c r="BE169" s="264">
        <f>BE125</f>
        <v>1.191</v>
      </c>
      <c r="BF169" s="264">
        <f>BF125</f>
        <v>11.878</v>
      </c>
      <c r="BG169" s="264">
        <f>BG125</f>
        <v>22.654</v>
      </c>
      <c r="BH169" s="264">
        <f>BH125</f>
        <v>10.466</v>
      </c>
      <c r="BI169" s="264">
        <f>BI125</f>
        <v>9.699</v>
      </c>
      <c r="BJ169" s="264">
        <f>BJ125</f>
        <v>11.688</v>
      </c>
      <c r="BK169" s="264">
        <f>BK125</f>
        <v>11.166</v>
      </c>
      <c r="BL169" s="264">
        <f>BL125</f>
        <v>43</v>
      </c>
      <c r="BM169" s="264">
        <f>BM125</f>
        <v>13.986</v>
      </c>
      <c r="BN169" s="264">
        <f>BN125</f>
        <v>15.171</v>
      </c>
      <c r="BO169" s="264">
        <f>BO125</f>
        <v>10.313</v>
      </c>
      <c r="BP169" s="264">
        <f>BP125</f>
        <v>12.419</v>
      </c>
      <c r="BQ169" s="264">
        <f>BQ125</f>
        <v>51.9</v>
      </c>
      <c r="BR169" s="264">
        <f>BR125</f>
        <v>18.5</v>
      </c>
      <c r="BS169" s="264">
        <f>BS125</f>
        <v>15.2</v>
      </c>
      <c r="BT169" s="264">
        <f>BT125</f>
        <v>16.8</v>
      </c>
      <c r="BU169" s="264">
        <f>BU125</f>
        <v>15.2</v>
      </c>
      <c r="BV169" s="264">
        <f>BV125</f>
        <v>65.7</v>
      </c>
      <c r="BW169" s="264">
        <f>BW125</f>
        <v>19.2</v>
      </c>
      <c r="BX169" s="264">
        <f>BX125</f>
        <v>23.4</v>
      </c>
      <c r="BY169" s="264">
        <f>BY125</f>
        <v>21.9</v>
      </c>
      <c r="BZ169" s="264">
        <f>BZ125</f>
        <v>17.2</v>
      </c>
      <c r="CA169" s="264">
        <f>CA125</f>
        <v>81.7</v>
      </c>
      <c r="CB169" s="264">
        <f>CB125</f>
        <v>28.7</v>
      </c>
      <c r="CC169" s="261">
        <f>CC125</f>
        <v>26.2026</v>
      </c>
      <c r="CD169" s="261">
        <f>CD125</f>
        <v>27.0559831901009</v>
      </c>
      <c r="CE169" s="261">
        <f>CE125</f>
        <v>34.4065966927197</v>
      </c>
      <c r="CF169" s="261">
        <f>CF125</f>
        <v>116.365179882821</v>
      </c>
      <c r="CG169" s="261">
        <f>CG125</f>
        <v>136.441563391893</v>
      </c>
      <c r="CH169" s="261">
        <f>CH125</f>
        <v>151.785074561059</v>
      </c>
      <c r="CI169" s="261">
        <f>CI125</f>
        <v>170.566761880765</v>
      </c>
      <c r="CJ169" s="261">
        <f>CJ125</f>
        <v>187.741267855056</v>
      </c>
      <c r="CK169" s="261">
        <f>CK125</f>
        <v>204.553119154396</v>
      </c>
      <c r="CL169" s="19" t="n"/>
    </row>
    <row r="170" ht="15" customHeight="1" s="251">
      <c r="B170" s="25" t="inlineStr">
        <is>
          <t xml:space="preserve">  (+) Interest expense, net</t>
        </is>
      </c>
      <c r="C170" s="264">
        <f>C119</f>
        <v>15.735</v>
      </c>
      <c r="D170" s="264">
        <f>D119</f>
        <v>5.505</v>
      </c>
      <c r="E170" s="264">
        <f>E119</f>
        <v>3.407</v>
      </c>
      <c r="F170" s="264">
        <f>F119</f>
        <v>2.605</v>
      </c>
      <c r="G170" s="264">
        <f>G119</f>
        <v>1.807</v>
      </c>
      <c r="H170" s="264">
        <f>H119</f>
        <v>1.791</v>
      </c>
      <c r="I170" s="264">
        <f>I119</f>
        <v>1.045</v>
      </c>
      <c r="J170" s="264">
        <f>J119</f>
        <v>0.215</v>
      </c>
      <c r="K170" s="264">
        <f>K119</f>
        <v>0.183</v>
      </c>
      <c r="L170" s="264">
        <f>L119</f>
        <v>0.281</v>
      </c>
      <c r="M170" s="264">
        <f>M119</f>
        <v>0.189</v>
      </c>
      <c r="N170" s="264">
        <f>N119</f>
        <v>0.868</v>
      </c>
      <c r="O170" s="264">
        <f>O119</f>
        <v>0.241</v>
      </c>
      <c r="P170" s="264">
        <f>P119</f>
        <v>0.253</v>
      </c>
      <c r="Q170" s="264">
        <f>Q119</f>
        <v>0.276</v>
      </c>
      <c r="R170" s="264">
        <f>R119</f>
        <v>0.249</v>
      </c>
      <c r="S170" s="264">
        <f>S119</f>
        <v>1.019</v>
      </c>
      <c r="T170" s="264">
        <f>T119</f>
        <v>0.224</v>
      </c>
      <c r="U170" s="264">
        <f>U119</f>
        <v>0.308</v>
      </c>
      <c r="V170" s="264">
        <f>V119</f>
        <v>0.288</v>
      </c>
      <c r="W170" s="264">
        <f>W119</f>
        <v>0.235</v>
      </c>
      <c r="X170" s="264">
        <f>X119</f>
        <v>1.055</v>
      </c>
      <c r="Y170" s="264">
        <f>Y119</f>
        <v>1.711</v>
      </c>
      <c r="Z170" s="264">
        <f>Z119</f>
        <v>2.273</v>
      </c>
      <c r="AA170" s="264">
        <f>AA119</f>
        <v>2.238</v>
      </c>
      <c r="AB170" s="264">
        <f>AB119</f>
        <v>2.5</v>
      </c>
      <c r="AC170" s="264">
        <f>AC119</f>
        <v>8.722</v>
      </c>
      <c r="AD170" s="264">
        <f>AD119</f>
        <v>2.293</v>
      </c>
      <c r="AE170" s="264">
        <f>AE119</f>
        <v>2.255</v>
      </c>
      <c r="AF170" s="264">
        <f>AF119</f>
        <v>2.111</v>
      </c>
      <c r="AG170" s="264">
        <f>AG119</f>
        <v>2.047</v>
      </c>
      <c r="AH170" s="264">
        <f>AH119</f>
        <v>8.706</v>
      </c>
      <c r="AI170" s="264">
        <f>AI119</f>
        <v>2.029</v>
      </c>
      <c r="AJ170" s="264">
        <f>AJ119</f>
        <v>1.914</v>
      </c>
      <c r="AK170" s="264">
        <f>AK119</f>
        <v>1.761</v>
      </c>
      <c r="AL170" s="264">
        <f>AL119</f>
        <v>1.803</v>
      </c>
      <c r="AM170" s="264">
        <f>AM119</f>
        <v>7.507</v>
      </c>
      <c r="AN170" s="264">
        <f>AN119</f>
        <v>1.711</v>
      </c>
      <c r="AO170" s="264">
        <f>AO119</f>
        <v>1.446</v>
      </c>
      <c r="AP170" s="264">
        <f>AP119</f>
        <v>1.197</v>
      </c>
      <c r="AQ170" s="264">
        <f>AQ119</f>
        <v>0.819</v>
      </c>
      <c r="AR170" s="264">
        <f>AR119</f>
        <v>5.173</v>
      </c>
      <c r="AS170" s="264">
        <f>AS119</f>
        <v>0.547</v>
      </c>
      <c r="AT170" s="264">
        <f>AT119</f>
        <v>0.473</v>
      </c>
      <c r="AU170" s="264">
        <f>AU119</f>
        <v>0.466</v>
      </c>
      <c r="AV170" s="264">
        <f>AV119</f>
        <v>0.399</v>
      </c>
      <c r="AW170" s="264">
        <f>AW119</f>
        <v>1.885</v>
      </c>
      <c r="AX170" s="264">
        <f>AX119</f>
        <v>0.425</v>
      </c>
      <c r="AY170" s="264">
        <f>AY119</f>
        <v>0.343</v>
      </c>
      <c r="AZ170" s="264">
        <f>AZ119</f>
        <v>0.327</v>
      </c>
      <c r="BA170" s="264">
        <f>BA119</f>
        <v>0.335</v>
      </c>
      <c r="BB170" s="264">
        <f>BB119</f>
        <v>1.43</v>
      </c>
      <c r="BC170" s="264">
        <f>BC119</f>
        <v>0.319</v>
      </c>
      <c r="BD170" s="264">
        <f>BD119</f>
        <v>15.77</v>
      </c>
      <c r="BE170" s="264">
        <f>BE119</f>
        <v>11.848</v>
      </c>
      <c r="BF170" s="264">
        <f>BF119</f>
        <v>13.573</v>
      </c>
      <c r="BG170" s="264">
        <f>BG119</f>
        <v>41.51</v>
      </c>
      <c r="BH170" s="264">
        <f>BH119</f>
        <v>15.799</v>
      </c>
      <c r="BI170" s="264">
        <f>BI119</f>
        <v>18.332</v>
      </c>
      <c r="BJ170" s="264">
        <f>BJ119</f>
        <v>20.901</v>
      </c>
      <c r="BK170" s="264">
        <f>BK119</f>
        <v>21.663</v>
      </c>
      <c r="BL170" s="264">
        <f>BL119</f>
        <v>76.7</v>
      </c>
      <c r="BM170" s="264">
        <f>BM119</f>
        <v>20.474</v>
      </c>
      <c r="BN170" s="264">
        <f>BN119</f>
        <v>20.134</v>
      </c>
      <c r="BO170" s="264">
        <f>BO119</f>
        <v>19.303</v>
      </c>
      <c r="BP170" s="264">
        <f>BP119</f>
        <v>18.768</v>
      </c>
      <c r="BQ170" s="264">
        <f>BQ119</f>
        <v>78.7</v>
      </c>
      <c r="BR170" s="264">
        <f>BR119</f>
        <v>17.2</v>
      </c>
      <c r="BS170" s="264">
        <f>BS119</f>
        <v>15.6</v>
      </c>
      <c r="BT170" s="264">
        <f>BT119</f>
        <v>14.2</v>
      </c>
      <c r="BU170" s="264">
        <f>BU119</f>
        <v>12.8</v>
      </c>
      <c r="BV170" s="264">
        <f>BV119</f>
        <v>59.8</v>
      </c>
      <c r="BW170" s="264">
        <f>BW119</f>
        <v>12.2</v>
      </c>
      <c r="BX170" s="264">
        <f>BX119</f>
        <v>13.4</v>
      </c>
      <c r="BY170" s="264">
        <f>BY119</f>
        <v>13</v>
      </c>
      <c r="BZ170" s="264">
        <f>BZ119</f>
        <v>11.2</v>
      </c>
      <c r="CA170" s="264">
        <f>CA119</f>
        <v>49.8</v>
      </c>
      <c r="CB170" s="264">
        <f>CB119</f>
        <v>10.1</v>
      </c>
      <c r="CC170" s="261">
        <f>CC119</f>
        <v>9.3</v>
      </c>
      <c r="CD170" s="261">
        <f>CD119</f>
        <v>8.6</v>
      </c>
      <c r="CE170" s="261">
        <f>CE119</f>
        <v>8.6</v>
      </c>
      <c r="CF170" s="261">
        <f>CF119</f>
        <v>36.6</v>
      </c>
      <c r="CG170" s="261">
        <f>CG119</f>
        <v>25.7262766950617</v>
      </c>
      <c r="CH170" s="261">
        <f>CH119</f>
        <v>43.0494557223029</v>
      </c>
      <c r="CI170" s="261">
        <f>CI119</f>
        <v>50.7085822476819</v>
      </c>
      <c r="CJ170" s="261">
        <f>CJ119</f>
        <v>58.481556691852</v>
      </c>
      <c r="CK170" s="261">
        <f>CK119</f>
        <v>63.4702477305191</v>
      </c>
      <c r="CL170" s="19" t="n"/>
    </row>
    <row r="171" ht="15" customHeight="1" s="251">
      <c r="B171" s="25" t="inlineStr">
        <is>
          <t xml:space="preserve">  (+) Other non-operating expense &amp; loss on extinguishment of debt</t>
        </is>
      </c>
      <c r="C171" s="264">
        <f>C122+C121</f>
        <v>3.771</v>
      </c>
      <c r="D171" s="264">
        <f>D122+D121</f>
        <v>2.347</v>
      </c>
      <c r="E171" s="264">
        <f>E122+E121</f>
        <v>-0.436</v>
      </c>
      <c r="F171" s="264">
        <f>F122+F121</f>
        <v>0.964</v>
      </c>
      <c r="G171" s="264">
        <f>G122+G121</f>
        <v>-0.147</v>
      </c>
      <c r="H171" s="264">
        <f>H122+H121</f>
        <v>1.525</v>
      </c>
      <c r="I171" s="264">
        <f>I122+I121</f>
        <v>0.624</v>
      </c>
      <c r="J171" s="264">
        <f>J122+J121</f>
        <v>-3.301</v>
      </c>
      <c r="K171" s="264">
        <f>K122+K121</f>
        <v>0.111</v>
      </c>
      <c r="L171" s="264">
        <f>L122+L121</f>
        <v>0.229</v>
      </c>
      <c r="M171" s="264">
        <f>M122+M121</f>
        <v>0.006</v>
      </c>
      <c r="N171" s="264">
        <f>N122+N121</f>
        <v>-2.955</v>
      </c>
      <c r="O171" s="264">
        <f>O122+O121</f>
        <v>-0.192</v>
      </c>
      <c r="P171" s="264">
        <f>P122+P121</f>
        <v>-0.015</v>
      </c>
      <c r="Q171" s="264">
        <f>Q122+Q121</f>
        <v>0.043</v>
      </c>
      <c r="R171" s="264">
        <f>R122+R121</f>
        <v>0.042</v>
      </c>
      <c r="S171" s="264">
        <f>S122+S121</f>
        <v>-0.122</v>
      </c>
      <c r="T171" s="264">
        <f>T122+T121</f>
        <v>-0.267</v>
      </c>
      <c r="U171" s="264">
        <f>U122+U121</f>
        <v>-0.235</v>
      </c>
      <c r="V171" s="264">
        <f>V122+V121</f>
        <v>0.146</v>
      </c>
      <c r="W171" s="264">
        <f>W122+W121</f>
        <v>3.176</v>
      </c>
      <c r="X171" s="264">
        <f>X122+X121</f>
        <v>2.82</v>
      </c>
      <c r="Y171" s="264">
        <f>Y122+Y121</f>
        <v>0.606</v>
      </c>
      <c r="Z171" s="264">
        <f>Z122+Z121</f>
        <v>-0.596</v>
      </c>
      <c r="AA171" s="264">
        <f>AA122+AA121</f>
        <v>-0.054</v>
      </c>
      <c r="AB171" s="264">
        <f>AB122+AB121</f>
        <v>0.378</v>
      </c>
      <c r="AC171" s="264">
        <f>AC122+AC121</f>
        <v>0.334</v>
      </c>
      <c r="AD171" s="264">
        <f>AD122+AD121</f>
        <v>0.118</v>
      </c>
      <c r="AE171" s="264">
        <f>AE122+AE121</f>
        <v>0.149</v>
      </c>
      <c r="AF171" s="264">
        <f>AF122+AF121</f>
        <v>-0.216</v>
      </c>
      <c r="AG171" s="264">
        <f>AG122+AG121</f>
        <v>0.052</v>
      </c>
      <c r="AH171" s="264">
        <f>AH122+AH121</f>
        <v>0.103</v>
      </c>
      <c r="AI171" s="264">
        <f>AI122+AI121</f>
        <v>0.372</v>
      </c>
      <c r="AJ171" s="264">
        <f>AJ122+AJ121</f>
        <v>0.064</v>
      </c>
      <c r="AK171" s="264">
        <f>AK122+AK121</f>
        <v>0.026</v>
      </c>
      <c r="AL171" s="264">
        <f>AL122+AL121</f>
        <v>0.321</v>
      </c>
      <c r="AM171" s="264">
        <f>AM122+AM121</f>
        <v>0.783</v>
      </c>
      <c r="AN171" s="264">
        <f>AN122+AN121</f>
        <v>1.034</v>
      </c>
      <c r="AO171" s="264">
        <f>AO122+AO121</f>
        <v>0.336</v>
      </c>
      <c r="AP171" s="264">
        <f>AP122+AP121</f>
        <v>-0.386</v>
      </c>
      <c r="AQ171" s="264">
        <f>AQ122+AQ121</f>
        <v>-0.212</v>
      </c>
      <c r="AR171" s="264">
        <f>AR122+AR121</f>
        <v>0.772</v>
      </c>
      <c r="AS171" s="264">
        <f>AS122+AS121</f>
        <v>0.169</v>
      </c>
      <c r="AT171" s="264">
        <f>AT122+AT121</f>
        <v>0.195</v>
      </c>
      <c r="AU171" s="264">
        <f>AU122+AU121</f>
        <v>0.217</v>
      </c>
      <c r="AV171" s="264">
        <f>AV122+AV121</f>
        <v>0.18</v>
      </c>
      <c r="AW171" s="264">
        <f>AW122+AW121</f>
        <v>0.761</v>
      </c>
      <c r="AX171" s="264">
        <f>AX122+AX121</f>
        <v>0.042</v>
      </c>
      <c r="AY171" s="264">
        <f>AY122+AY121</f>
        <v>0.211</v>
      </c>
      <c r="AZ171" s="264">
        <f>AZ122+AZ121</f>
        <v>-0.05</v>
      </c>
      <c r="BA171" s="264">
        <f>BA122+BA121</f>
        <v>-0.234</v>
      </c>
      <c r="BB171" s="264">
        <f>BB122+BB121</f>
        <v>-0.031</v>
      </c>
      <c r="BC171" s="264">
        <f>BC122+BC121</f>
        <v>-0.465</v>
      </c>
      <c r="BD171" s="264">
        <f>BD122+BD121</f>
        <v>-0.291</v>
      </c>
      <c r="BE171" s="264">
        <f>BE122+BE121</f>
        <v>1.395</v>
      </c>
      <c r="BF171" s="264">
        <f>BF122+BF121</f>
        <v>0.195</v>
      </c>
      <c r="BG171" s="264">
        <f>BG122+BG121</f>
        <v>0.834</v>
      </c>
      <c r="BH171" s="264">
        <f>BH122+BH121</f>
        <v>0.767</v>
      </c>
      <c r="BI171" s="264">
        <f>BI122+BI121</f>
        <v>0.184</v>
      </c>
      <c r="BJ171" s="264">
        <f>BJ122+BJ121</f>
        <v>1.539</v>
      </c>
      <c r="BK171" s="264">
        <f>BK122+BK121</f>
        <v>4.12</v>
      </c>
      <c r="BL171" s="264">
        <f>BL122+BL121</f>
        <v>6.6</v>
      </c>
      <c r="BM171" s="264">
        <f>BM122+BM121</f>
        <v>0.527</v>
      </c>
      <c r="BN171" s="264">
        <f>BN122+BN121</f>
        <v>0.775</v>
      </c>
      <c r="BO171" s="264">
        <f>BO122+BO121</f>
        <v>-0.879</v>
      </c>
      <c r="BP171" s="264">
        <f>BP122+BP121</f>
        <v>1.295</v>
      </c>
      <c r="BQ171" s="264">
        <f>BQ122+BQ121</f>
        <v>1.7</v>
      </c>
      <c r="BR171" s="264">
        <f>BR122+BR121</f>
        <v>0.4</v>
      </c>
      <c r="BS171" s="264">
        <f>BS122+BS121</f>
        <v>1.1</v>
      </c>
      <c r="BT171" s="264">
        <f>BT122+BT121</f>
        <v>-3.3</v>
      </c>
      <c r="BU171" s="264">
        <f>BU122+BU121</f>
        <v>0</v>
      </c>
      <c r="BV171" s="264">
        <f>BV122+BV121</f>
        <v>-1.8</v>
      </c>
      <c r="BW171" s="264">
        <f>BW122+BW121</f>
        <v>1.2</v>
      </c>
      <c r="BX171" s="264">
        <f>BX122+BX121</f>
        <v>1</v>
      </c>
      <c r="BY171" s="264">
        <f>BY122+BY121</f>
        <v>0.7</v>
      </c>
      <c r="BZ171" s="264">
        <f>BZ122+BZ121</f>
        <v>-1</v>
      </c>
      <c r="CA171" s="264">
        <f>CA122+CA121</f>
        <v>1.9</v>
      </c>
      <c r="CB171" s="264">
        <f>CB122+CB121</f>
        <v>0.5</v>
      </c>
      <c r="CC171" s="261">
        <f>CC122+CC121</f>
        <v>0.5</v>
      </c>
      <c r="CD171" s="261">
        <f>CD122+CD121</f>
        <v>0.5</v>
      </c>
      <c r="CE171" s="261">
        <f>CE122+CE121</f>
        <v>0.5</v>
      </c>
      <c r="CF171" s="261">
        <f>CF122+CF121</f>
        <v>2</v>
      </c>
      <c r="CG171" s="261">
        <f>CG122+CG121</f>
        <v>2</v>
      </c>
      <c r="CH171" s="261">
        <f>CH122+CH121</f>
        <v>2</v>
      </c>
      <c r="CI171" s="261">
        <f>CI122+CI121</f>
        <v>2</v>
      </c>
      <c r="CJ171" s="261">
        <f>CJ122+CJ121</f>
        <v>2</v>
      </c>
      <c r="CK171" s="261">
        <f>CK122+CK121</f>
        <v>2</v>
      </c>
      <c r="CL171" s="19" t="n"/>
    </row>
    <row r="172" ht="15" customHeight="1" s="251">
      <c r="B172" s="16" t="inlineStr">
        <is>
          <t xml:space="preserve">  = Operating income</t>
        </is>
      </c>
      <c r="C172" s="280">
        <f>IF(ISNUMBER(C168),C168+C169+C170+C171,"")</f>
        <v>38.579</v>
      </c>
      <c r="D172" s="280">
        <f>IF(ISNUMBER(D168),D168+D169+D170+D171,"")</f>
        <v>51.919</v>
      </c>
      <c r="E172" s="280">
        <f>IF(ISNUMBER(E168),E168+E169+E170+E171,"")</f>
        <v>62.85</v>
      </c>
      <c r="F172" s="280">
        <f>IF(ISNUMBER(F168),F168+F169+F170+F171,"")</f>
        <v>54.97</v>
      </c>
      <c r="G172" s="280">
        <f>IF(ISNUMBER(G168),G168+G169+G170+G171,"")</f>
        <v>34.67</v>
      </c>
      <c r="H172" s="280">
        <f>IF(ISNUMBER(H168),H168+H169+H170+H171,"")</f>
        <v>56.193</v>
      </c>
      <c r="I172" s="280">
        <f>IF(ISNUMBER(I168),I168+I169+I170+I171,"")</f>
        <v>77.648</v>
      </c>
      <c r="J172" s="280">
        <f>IF(ISNUMBER(J168),J168+J169+J170+J171,"")</f>
        <v>21.994</v>
      </c>
      <c r="K172" s="280">
        <f>IF(ISNUMBER(K168),K168+K169+K170+K171,"")</f>
        <v>21.195</v>
      </c>
      <c r="L172" s="280">
        <f>IF(ISNUMBER(L168),L168+L169+L170+L171,"")</f>
        <v>19.159</v>
      </c>
      <c r="M172" s="280">
        <f>IF(ISNUMBER(M168),M168+M169+M170+M171,"")</f>
        <v>15.753</v>
      </c>
      <c r="N172" s="280">
        <f>IF(ISNUMBER(N168),N168+N169+N170+N171,"")</f>
        <v>78.101</v>
      </c>
      <c r="O172" s="280">
        <f>IF(ISNUMBER(O168),O168+O169+O170+O171,"")</f>
        <v>22.298</v>
      </c>
      <c r="P172" s="280">
        <f>IF(ISNUMBER(P168),P168+P169+P170+P171,"")</f>
        <v>21.516</v>
      </c>
      <c r="Q172" s="280">
        <f>IF(ISNUMBER(Q168),Q168+Q169+Q170+Q171,"")</f>
        <v>19.657</v>
      </c>
      <c r="R172" s="280">
        <f>IF(ISNUMBER(R168),R168+R169+R170+R171,"")</f>
        <v>25.179</v>
      </c>
      <c r="S172" s="280">
        <f>IF(ISNUMBER(S168),S168+S169+S170+S171,"")</f>
        <v>88.65</v>
      </c>
      <c r="T172" s="280">
        <f>IF(ISNUMBER(T168),T168+T169+T170+T171,"")</f>
        <v>24.211</v>
      </c>
      <c r="U172" s="280">
        <f>IF(ISNUMBER(U168),U168+U169+U170+U171,"")</f>
        <v>18.297</v>
      </c>
      <c r="V172" s="280">
        <f>IF(ISNUMBER(V168),V168+V169+V170+V171,"")</f>
        <v>20.589</v>
      </c>
      <c r="W172" s="280">
        <f>IF(ISNUMBER(W168),W168+W169+W170+W171,"")</f>
        <v>25.333</v>
      </c>
      <c r="X172" s="280">
        <f>IF(ISNUMBER(X168),X168+X169+X170+X171,"")</f>
        <v>88.43</v>
      </c>
      <c r="Y172" s="280">
        <f>IF(ISNUMBER(Y168),Y168+Y169+Y170+Y171,"")</f>
        <v>22.361</v>
      </c>
      <c r="Z172" s="280">
        <f>IF(ISNUMBER(Z168),Z168+Z169+Z170+Z171,"")</f>
        <v>23.599</v>
      </c>
      <c r="AA172" s="280">
        <f>IF(ISNUMBER(AA168),AA168+AA169+AA170+AA171,"")</f>
        <v>27.052</v>
      </c>
      <c r="AB172" s="280">
        <f>IF(ISNUMBER(AB168),AB168+AB169+AB170+AB171,"")</f>
        <v>30.829</v>
      </c>
      <c r="AC172" s="280">
        <f>IF(ISNUMBER(AC168),AC168+AC169+AC170+AC171,"")</f>
        <v>103.841</v>
      </c>
      <c r="AD172" s="280">
        <f>IF(ISNUMBER(AD168),AD168+AD169+AD170+AD171,"")</f>
        <v>29.221</v>
      </c>
      <c r="AE172" s="280">
        <f>IF(ISNUMBER(AE168),AE168+AE169+AE170+AE171,"")</f>
        <v>29.554</v>
      </c>
      <c r="AF172" s="280">
        <f>IF(ISNUMBER(AF168),AF168+AF169+AF170+AF171,"")</f>
        <v>20.529</v>
      </c>
      <c r="AG172" s="280">
        <f>IF(ISNUMBER(AG168),AG168+AG169+AG170+AG171,"")</f>
        <v>34.389</v>
      </c>
      <c r="AH172" s="280">
        <f>IF(ISNUMBER(AH168),AH168+AH169+AH170+AH171,"")</f>
        <v>113.693</v>
      </c>
      <c r="AI172" s="280">
        <f>IF(ISNUMBER(AI168),AI168+AI169+AI170+AI171,"")</f>
        <v>31.8</v>
      </c>
      <c r="AJ172" s="280">
        <f>IF(ISNUMBER(AJ168),AJ168+AJ169+AJ170+AJ171,"")</f>
        <v>25.278</v>
      </c>
      <c r="AK172" s="280">
        <f>IF(ISNUMBER(AK168),AK168+AK169+AK170+AK171,"")</f>
        <v>33.123</v>
      </c>
      <c r="AL172" s="280">
        <f>IF(ISNUMBER(AL168),AL168+AL169+AL170+AL171,"")</f>
        <v>37.94</v>
      </c>
      <c r="AM172" s="280">
        <f>IF(ISNUMBER(AM168),AM168+AM169+AM170+AM171,"")</f>
        <v>128.141</v>
      </c>
      <c r="AN172" s="280">
        <f>IF(ISNUMBER(AN168),AN168+AN169+AN170+AN171,"")</f>
        <v>35.998</v>
      </c>
      <c r="AO172" s="280">
        <f>IF(ISNUMBER(AO168),AO168+AO169+AO170+AO171,"")</f>
        <v>35.884</v>
      </c>
      <c r="AP172" s="280">
        <f>IF(ISNUMBER(AP168),AP168+AP169+AP170+AP171,"")</f>
        <v>19.838</v>
      </c>
      <c r="AQ172" s="280">
        <f>IF(ISNUMBER(AQ168),AQ168+AQ169+AQ170+AQ171,"")</f>
        <v>40.315</v>
      </c>
      <c r="AR172" s="280">
        <f>IF(ISNUMBER(AR168),AR168+AR169+AR170+AR171,"")</f>
        <v>132.035</v>
      </c>
      <c r="AS172" s="280">
        <f>IF(ISNUMBER(AS168),AS168+AS169+AS170+AS171,"")</f>
        <v>38.49</v>
      </c>
      <c r="AT172" s="280">
        <f>IF(ISNUMBER(AT168),AT168+AT169+AT170+AT171,"")</f>
        <v>37.309</v>
      </c>
      <c r="AU172" s="280">
        <f>IF(ISNUMBER(AU168),AU168+AU169+AU170+AU171,"")</f>
        <v>37.466</v>
      </c>
      <c r="AV172" s="280">
        <f>IF(ISNUMBER(AV168),AV168+AV169+AV170+AV171,"")</f>
        <v>43.52</v>
      </c>
      <c r="AW172" s="280">
        <f>IF(ISNUMBER(AW168),AW168+AW169+AW170+AW171,"")</f>
        <v>156.785</v>
      </c>
      <c r="AX172" s="280">
        <f>IF(ISNUMBER(AX168),AX168+AX169+AX170+AX171,"")</f>
        <v>28.814</v>
      </c>
      <c r="AY172" s="280">
        <f>IF(ISNUMBER(AY168),AY168+AY169+AY170+AY171,"")</f>
        <v>26.363</v>
      </c>
      <c r="AZ172" s="280">
        <f>IF(ISNUMBER(AZ168),AZ168+AZ169+AZ170+AZ171,"")</f>
        <v>26.541</v>
      </c>
      <c r="BA172" s="280">
        <f>IF(ISNUMBER(BA168),BA168+BA169+BA170+BA171,"")</f>
        <v>29.74</v>
      </c>
      <c r="BB172" s="280">
        <f>IF(ISNUMBER(BB168),BB168+BB169+BB170+BB171,"")</f>
        <v>111.458</v>
      </c>
      <c r="BC172" s="280">
        <f>IF(ISNUMBER(BC168),BC168+BC169+BC170+BC171,"")</f>
        <v>30.723</v>
      </c>
      <c r="BD172" s="280">
        <f>IF(ISNUMBER(BD168),BD168+BD169+BD170+BD171,"")</f>
        <v>27.123</v>
      </c>
      <c r="BE172" s="280">
        <f>IF(ISNUMBER(BE168),BE168+BE169+BE170+BE171,"")</f>
        <v>14.371</v>
      </c>
      <c r="BF172" s="280">
        <f>IF(ISNUMBER(BF168),BF168+BF169+BF170+BF171,"")</f>
        <v>57.846</v>
      </c>
      <c r="BG172" s="280">
        <f>IF(ISNUMBER(BG168),BG168+BG169+BG170+BG171,"")</f>
        <v>130.063</v>
      </c>
      <c r="BH172" s="280">
        <f>IF(ISNUMBER(BH168),BH168+BH169+BH170+BH171,"")</f>
        <v>64.47</v>
      </c>
      <c r="BI172" s="280">
        <f>IF(ISNUMBER(BI168),BI168+BI169+BI170+BI171,"")</f>
        <v>72.017</v>
      </c>
      <c r="BJ172" s="280">
        <f>IF(ISNUMBER(BJ168),BJ168+BJ169+BJ170+BJ171,"")</f>
        <v>70.392</v>
      </c>
      <c r="BK172" s="280">
        <f>IF(ISNUMBER(BK168),BK168+BK169+BK170+BK171,"")</f>
        <v>86.104</v>
      </c>
      <c r="BL172" s="280">
        <f>IF(ISNUMBER(BL168),BL168+BL169+BL170+BL171,"")</f>
        <v>293</v>
      </c>
      <c r="BM172" s="280">
        <f>IF(ISNUMBER(BM168),BM168+BM169+BM170+BM171,"")</f>
        <v>85.014</v>
      </c>
      <c r="BN172" s="280">
        <f>IF(ISNUMBER(BN168),BN168+BN169+BN170+BN171,"")</f>
        <v>87.733</v>
      </c>
      <c r="BO172" s="280">
        <f>IF(ISNUMBER(BO168),BO168+BO169+BO170+BO171,"")</f>
        <v>75.291</v>
      </c>
      <c r="BP172" s="280">
        <f>IF(ISNUMBER(BP168),BP168+BP169+BP170+BP171,"")</f>
        <v>94.152</v>
      </c>
      <c r="BQ172" s="280">
        <f>IF(ISNUMBER(BQ168),BQ168+BQ169+BQ170+BQ171,"")</f>
        <v>342.2</v>
      </c>
      <c r="BR172" s="280">
        <f>IF(ISNUMBER(BR168),BR168+BR169+BR170+BR171,"")</f>
        <v>97.5</v>
      </c>
      <c r="BS172" s="280">
        <f>IF(ISNUMBER(BS168),BS168+BS169+BS170+BS171,"")</f>
        <v>86.1</v>
      </c>
      <c r="BT172" s="280">
        <f>IF(ISNUMBER(BT168),BT168+BT169+BT170+BT171,"")</f>
        <v>85.6</v>
      </c>
      <c r="BU172" s="280">
        <f>IF(ISNUMBER(BU168),BU168+BU169+BU170+BU171,"")</f>
        <v>100.7</v>
      </c>
      <c r="BV172" s="280">
        <f>IF(ISNUMBER(BV168),BV168+BV169+BV170+BV171,"")</f>
        <v>369.9</v>
      </c>
      <c r="BW172" s="280">
        <f>IF(ISNUMBER(BW168),BW168+BW169+BW170+BW171,"")</f>
        <v>101.1</v>
      </c>
      <c r="BX172" s="280">
        <f>IF(ISNUMBER(BX168),BX168+BX169+BX170+BX171,"")</f>
        <v>97.8</v>
      </c>
      <c r="BY172" s="280">
        <f>IF(ISNUMBER(BY168),BY168+BY169+BY170+BY171,"")</f>
        <v>103</v>
      </c>
      <c r="BZ172" s="280">
        <f>IF(ISNUMBER(BZ168),BZ168+BZ169+BZ170+BZ171,"")</f>
        <v>119.1</v>
      </c>
      <c r="CA172" s="280">
        <f>IF(ISNUMBER(CA168),CA168+CA169+CA170+CA171,"")</f>
        <v>421</v>
      </c>
      <c r="CB172" s="280">
        <f>IF(ISNUMBER(CB168),CB168+CB169+CB170+CB171,"")</f>
        <v>140.8</v>
      </c>
      <c r="CC172" s="254">
        <f>IF(ISNUMBER(CC168),CC168+CC169+CC170+CC171,"")</f>
        <v>126.256</v>
      </c>
      <c r="CD172" s="254">
        <f>IF(ISNUMBER(CD168),CD168+CD169+CD170+CD171,"")</f>
        <v>129.348814178226</v>
      </c>
      <c r="CE172" s="254">
        <f>IF(ISNUMBER(CE168),CE168+CE169+CE170+CE171,"")</f>
        <v>162.018207523199</v>
      </c>
      <c r="CF172" s="254">
        <f>IF(ISNUMBER(CF168),CF168+CF169+CF170+CF171,"")</f>
        <v>558.423021701425</v>
      </c>
      <c r="CG172" s="254">
        <f>IF(ISNUMBER(CG168),CG168+CG169+CG170+CG171,"")</f>
        <v>620.950465355465</v>
      </c>
      <c r="CH172" s="254">
        <f>IF(ISNUMBER(CH168),CH168+CH169+CH170+CH171,"")</f>
        <v>704.984562509514</v>
      </c>
      <c r="CI172" s="254">
        <f>IF(ISNUMBER(CI168),CI168+CI169+CI170+CI171,"")</f>
        <v>794.303199120574</v>
      </c>
      <c r="CJ172" s="254">
        <f>IF(ISNUMBER(CJ168),CJ168+CJ169+CJ170+CJ171,"")</f>
        <v>876.747938670355</v>
      </c>
      <c r="CK172" s="254">
        <f>IF(ISNUMBER(CK168),CK168+CK169+CK170+CK171,"")</f>
        <v>954.831635358326</v>
      </c>
      <c r="CL172" s="153" t="n"/>
    </row>
    <row r="173" ht="15" customHeight="1" s="251">
      <c r="B173" s="25" t="inlineStr">
        <is>
          <t xml:space="preserve">  (+) Depreciation &amp; amortization</t>
        </is>
      </c>
      <c r="C173" s="264">
        <f>C85</f>
        <v>9.331</v>
      </c>
      <c r="D173" s="264">
        <f>D85</f>
        <v>9.646</v>
      </c>
      <c r="E173" s="264">
        <f>E85</f>
        <v>10.465</v>
      </c>
      <c r="F173" s="264">
        <f>F85</f>
        <v>12.16</v>
      </c>
      <c r="G173" s="264">
        <f>G85</f>
        <v>11.83</v>
      </c>
      <c r="H173" s="264">
        <f>H85</f>
        <v>12.971</v>
      </c>
      <c r="I173" s="264">
        <f>I85</f>
        <v>14.19</v>
      </c>
      <c r="J173" s="264">
        <f>J85</f>
        <v>3.683</v>
      </c>
      <c r="K173" s="264">
        <f>K85</f>
        <v>3.693</v>
      </c>
      <c r="L173" s="264">
        <f>L85</f>
        <v>3.698</v>
      </c>
      <c r="M173" s="264">
        <f>M85</f>
        <v>3.645</v>
      </c>
      <c r="N173" s="264">
        <f>N85</f>
        <v>14.719</v>
      </c>
      <c r="O173" s="264">
        <f>O85</f>
        <v>3.735</v>
      </c>
      <c r="P173" s="264">
        <f>P85</f>
        <v>3.855</v>
      </c>
      <c r="Q173" s="264">
        <f>Q85</f>
        <v>3.718</v>
      </c>
      <c r="R173" s="264">
        <f>R85</f>
        <v>3.679</v>
      </c>
      <c r="S173" s="264">
        <f>S85</f>
        <v>14.987</v>
      </c>
      <c r="T173" s="264">
        <f>T85</f>
        <v>4.058</v>
      </c>
      <c r="U173" s="264">
        <f>U85</f>
        <v>4.009</v>
      </c>
      <c r="V173" s="264">
        <f>V85</f>
        <v>3.778</v>
      </c>
      <c r="W173" s="264">
        <f>W85</f>
        <v>3.2</v>
      </c>
      <c r="X173" s="264">
        <f>X85</f>
        <v>15.045</v>
      </c>
      <c r="Y173" s="264">
        <f>Y85</f>
        <v>5.663</v>
      </c>
      <c r="Z173" s="264">
        <f>Z85</f>
        <v>6.809</v>
      </c>
      <c r="AA173" s="264">
        <f>AA85</f>
        <v>6.698</v>
      </c>
      <c r="AB173" s="264">
        <f>AB85</f>
        <v>6.637</v>
      </c>
      <c r="AC173" s="264">
        <f>AC85</f>
        <v>25.807</v>
      </c>
      <c r="AD173" s="264">
        <f>AD85</f>
        <v>6.74</v>
      </c>
      <c r="AE173" s="264">
        <f>AE85</f>
        <v>6.959</v>
      </c>
      <c r="AF173" s="264">
        <f>AF85</f>
        <v>6.779</v>
      </c>
      <c r="AG173" s="264">
        <f>AG85</f>
        <v>6.894</v>
      </c>
      <c r="AH173" s="264">
        <f>AH85</f>
        <v>27.372</v>
      </c>
      <c r="AI173" s="264">
        <f>AI85</f>
        <v>7.098</v>
      </c>
      <c r="AJ173" s="264">
        <f>AJ85</f>
        <v>7.14</v>
      </c>
      <c r="AK173" s="264">
        <f>AK85</f>
        <v>6.958</v>
      </c>
      <c r="AL173" s="264">
        <f>AL85</f>
        <v>7.164</v>
      </c>
      <c r="AM173" s="264">
        <f>AM85</f>
        <v>28.36</v>
      </c>
      <c r="AN173" s="264">
        <f>AN85</f>
        <v>7.313</v>
      </c>
      <c r="AO173" s="264">
        <f>AO85</f>
        <v>7.639</v>
      </c>
      <c r="AP173" s="264">
        <f>AP85</f>
        <v>7.31</v>
      </c>
      <c r="AQ173" s="264">
        <f>AQ85</f>
        <v>7.396</v>
      </c>
      <c r="AR173" s="264">
        <f>AR85</f>
        <v>29.658</v>
      </c>
      <c r="AS173" s="264">
        <f>AS85</f>
        <v>7.52</v>
      </c>
      <c r="AT173" s="264">
        <f>AT85</f>
        <v>7.802</v>
      </c>
      <c r="AU173" s="264">
        <f>AU85</f>
        <v>7.953</v>
      </c>
      <c r="AV173" s="264">
        <f>AV85</f>
        <v>8.145</v>
      </c>
      <c r="AW173" s="264">
        <f>AW85</f>
        <v>31.42</v>
      </c>
      <c r="AX173" s="264">
        <f>AX85</f>
        <v>8.396</v>
      </c>
      <c r="AY173" s="264">
        <f>AY85</f>
        <v>8.437</v>
      </c>
      <c r="AZ173" s="264">
        <f>AZ85</f>
        <v>7.979</v>
      </c>
      <c r="BA173" s="264">
        <f>BA85</f>
        <v>7.932</v>
      </c>
      <c r="BB173" s="264">
        <f>BB85</f>
        <v>32.744</v>
      </c>
      <c r="BC173" s="264">
        <f>BC85</f>
        <v>8.212</v>
      </c>
      <c r="BD173" s="264">
        <f>BD85</f>
        <v>8.645</v>
      </c>
      <c r="BE173" s="264">
        <f>BE85</f>
        <v>20.498</v>
      </c>
      <c r="BF173" s="264">
        <f>BF85</f>
        <v>28.177</v>
      </c>
      <c r="BG173" s="264">
        <f>BG85</f>
        <v>65.532</v>
      </c>
      <c r="BH173" s="264">
        <f>BH85</f>
        <v>28.642</v>
      </c>
      <c r="BI173" s="264">
        <f>BI85</f>
        <v>28.426</v>
      </c>
      <c r="BJ173" s="264">
        <f>BJ85</f>
        <v>28.743</v>
      </c>
      <c r="BK173" s="264">
        <f>BK85</f>
        <v>29.589</v>
      </c>
      <c r="BL173" s="264">
        <f>BL85</f>
        <v>115.4</v>
      </c>
      <c r="BM173" s="264">
        <f>BM85</f>
        <v>29.7</v>
      </c>
      <c r="BN173" s="264">
        <f>BN85</f>
        <v>30</v>
      </c>
      <c r="BO173" s="264">
        <f>BO85</f>
        <v>29.9</v>
      </c>
      <c r="BP173" s="264">
        <f>BP85</f>
        <v>29.7</v>
      </c>
      <c r="BQ173" s="264">
        <f>BQ85</f>
        <v>119.3</v>
      </c>
      <c r="BR173" s="264">
        <f>BR85</f>
        <v>30</v>
      </c>
      <c r="BS173" s="264">
        <f>BS85</f>
        <v>30.2</v>
      </c>
      <c r="BT173" s="264">
        <f>BT85</f>
        <v>29.7</v>
      </c>
      <c r="BU173" s="264">
        <f>BU85</f>
        <v>30.1</v>
      </c>
      <c r="BV173" s="264">
        <f>BV85</f>
        <v>120</v>
      </c>
      <c r="BW173" s="264">
        <f>BW85</f>
        <v>29.6</v>
      </c>
      <c r="BX173" s="264">
        <f>BX85</f>
        <v>32.9</v>
      </c>
      <c r="BY173" s="264">
        <f>BY85</f>
        <v>32.9</v>
      </c>
      <c r="BZ173" s="264">
        <f>BZ85</f>
        <v>33.4</v>
      </c>
      <c r="CA173" s="264">
        <f>CA85</f>
        <v>128.8</v>
      </c>
      <c r="CB173" s="264">
        <f>CB85</f>
        <v>33.3</v>
      </c>
      <c r="CC173" s="261">
        <f>CC85</f>
        <v>32.8916419634264</v>
      </c>
      <c r="CD173" s="261">
        <f>CD85</f>
        <v>32.9180500939567</v>
      </c>
      <c r="CE173" s="261">
        <f>CE85</f>
        <v>35.9099465459843</v>
      </c>
      <c r="CF173" s="261">
        <f>CF85</f>
        <v>135.019638603367</v>
      </c>
      <c r="CG173" s="261">
        <f>CG85</f>
        <v>146.132699446449</v>
      </c>
      <c r="CH173" s="261">
        <f>CH85</f>
        <v>159.192398009467</v>
      </c>
      <c r="CI173" s="261">
        <f>CI85</f>
        <v>169.220482001328</v>
      </c>
      <c r="CJ173" s="261">
        <f>CJ85</f>
        <v>181.356922746103</v>
      </c>
      <c r="CK173" s="261">
        <f>CK85</f>
        <v>196.830445999916</v>
      </c>
      <c r="CL173" s="19" t="n"/>
    </row>
    <row r="174" ht="15" customHeight="1" s="251">
      <c r="B174" s="25" t="inlineStr">
        <is>
          <t xml:space="preserve">  (+) Stock compensation expense</t>
        </is>
      </c>
      <c r="C174" s="264">
        <f>C91</f>
        <v>0.365</v>
      </c>
      <c r="D174" s="264">
        <f>D91</f>
        <v>0.767</v>
      </c>
      <c r="E174" s="264">
        <f>E91</f>
        <v>1.255</v>
      </c>
      <c r="F174" s="264">
        <f>F91</f>
        <v>2.502</v>
      </c>
      <c r="G174" s="264">
        <f>G91</f>
        <v>3.182</v>
      </c>
      <c r="H174" s="264">
        <f>H91</f>
        <v>4.057</v>
      </c>
      <c r="I174" s="264">
        <f>I91</f>
        <v>4.121</v>
      </c>
      <c r="J174" s="264">
        <f>J91</f>
        <v>1.127</v>
      </c>
      <c r="K174" s="264">
        <f>K91</f>
        <v>1.313</v>
      </c>
      <c r="L174" s="264">
        <f>L91</f>
        <v>1.573</v>
      </c>
      <c r="M174" s="264">
        <f>M91</f>
        <v>1.275</v>
      </c>
      <c r="N174" s="264">
        <f>N91</f>
        <v>5.288</v>
      </c>
      <c r="O174" s="264">
        <f>O91</f>
        <v>1.22</v>
      </c>
      <c r="P174" s="264">
        <f>P91</f>
        <v>1.519</v>
      </c>
      <c r="Q174" s="264">
        <f>Q91</f>
        <v>1.561</v>
      </c>
      <c r="R174" s="264">
        <f>R91</f>
        <v>1.533</v>
      </c>
      <c r="S174" s="264">
        <f>S91</f>
        <v>5.833</v>
      </c>
      <c r="T174" s="264">
        <f>T91</f>
        <v>1.767</v>
      </c>
      <c r="U174" s="264">
        <f>U91</f>
        <v>2.268</v>
      </c>
      <c r="V174" s="264">
        <f>V91</f>
        <v>2.196</v>
      </c>
      <c r="W174" s="264">
        <f>W91</f>
        <v>2.108</v>
      </c>
      <c r="X174" s="264">
        <f>X91</f>
        <v>8.339</v>
      </c>
      <c r="Y174" s="264">
        <f>Y91</f>
        <v>2.132</v>
      </c>
      <c r="Z174" s="264">
        <f>Z91</f>
        <v>2.496</v>
      </c>
      <c r="AA174" s="264">
        <f>AA91</f>
        <v>2.565</v>
      </c>
      <c r="AB174" s="264">
        <f>AB91</f>
        <v>3.007</v>
      </c>
      <c r="AC174" s="264">
        <f>AC91</f>
        <v>10.2</v>
      </c>
      <c r="AD174" s="264">
        <f>AD91</f>
        <v>2.774</v>
      </c>
      <c r="AE174" s="264">
        <f>AE91</f>
        <v>3.178</v>
      </c>
      <c r="AF174" s="264">
        <f>AF91</f>
        <v>2.962</v>
      </c>
      <c r="AG174" s="264">
        <f>AG91</f>
        <v>3.197</v>
      </c>
      <c r="AH174" s="264">
        <f>AH91</f>
        <v>12.111</v>
      </c>
      <c r="AI174" s="264">
        <f>AI91</f>
        <v>3.228</v>
      </c>
      <c r="AJ174" s="264">
        <f>AJ91</f>
        <v>3.402</v>
      </c>
      <c r="AK174" s="264">
        <f>AK91</f>
        <v>3.267</v>
      </c>
      <c r="AL174" s="264">
        <f>AL91</f>
        <v>3.506</v>
      </c>
      <c r="AM174" s="264">
        <f>AM91</f>
        <v>13.403</v>
      </c>
      <c r="AN174" s="264">
        <f>AN91</f>
        <v>3.766</v>
      </c>
      <c r="AO174" s="264">
        <f>AO91</f>
        <v>4.039</v>
      </c>
      <c r="AP174" s="264">
        <f>AP91</f>
        <v>3.904</v>
      </c>
      <c r="AQ174" s="264">
        <f>AQ91</f>
        <v>4.378</v>
      </c>
      <c r="AR174" s="264">
        <f>AR91</f>
        <v>16.087</v>
      </c>
      <c r="AS174" s="264">
        <f>AS91</f>
        <v>4.802</v>
      </c>
      <c r="AT174" s="264">
        <f>AT91</f>
        <v>5.059</v>
      </c>
      <c r="AU174" s="264">
        <f>AU91</f>
        <v>5.135</v>
      </c>
      <c r="AV174" s="264">
        <f>AV91</f>
        <v>5.154</v>
      </c>
      <c r="AW174" s="264">
        <f>AW91</f>
        <v>20.15</v>
      </c>
      <c r="AX174" s="264">
        <f>AX91</f>
        <v>5.438</v>
      </c>
      <c r="AY174" s="264">
        <f>AY91</f>
        <v>5.231</v>
      </c>
      <c r="AZ174" s="264">
        <f>AZ91</f>
        <v>5.173</v>
      </c>
      <c r="BA174" s="264">
        <f>BA91</f>
        <v>5.457</v>
      </c>
      <c r="BB174" s="264">
        <f>BB91</f>
        <v>21.299</v>
      </c>
      <c r="BC174" s="264">
        <f>BC91</f>
        <v>5.772</v>
      </c>
      <c r="BD174" s="264">
        <f>BD91</f>
        <v>6.224</v>
      </c>
      <c r="BE174" s="264">
        <f>BE91</f>
        <v>6.038</v>
      </c>
      <c r="BF174" s="264">
        <f>BF91</f>
        <v>5.891</v>
      </c>
      <c r="BG174" s="264">
        <f>BG91</f>
        <v>23.925</v>
      </c>
      <c r="BH174" s="264">
        <f>BH91</f>
        <v>3.819</v>
      </c>
      <c r="BI174" s="264">
        <f>BI91</f>
        <v>4.354</v>
      </c>
      <c r="BJ174" s="264">
        <f>BJ91</f>
        <v>2.874</v>
      </c>
      <c r="BK174" s="264">
        <f>BK91</f>
        <v>2.953</v>
      </c>
      <c r="BL174" s="264">
        <f>BL91</f>
        <v>14</v>
      </c>
      <c r="BM174" s="264">
        <f>BM91</f>
        <v>5.4</v>
      </c>
      <c r="BN174" s="264">
        <f>BN91</f>
        <v>3.7</v>
      </c>
      <c r="BO174" s="264">
        <f>BO91</f>
        <v>4.2</v>
      </c>
      <c r="BP174" s="264">
        <f>BP91</f>
        <v>4.1</v>
      </c>
      <c r="BQ174" s="264">
        <f>BQ91</f>
        <v>17.4</v>
      </c>
      <c r="BR174" s="264">
        <f>BR91</f>
        <v>6.5</v>
      </c>
      <c r="BS174" s="264">
        <f>BS91</f>
        <v>6.6</v>
      </c>
      <c r="BT174" s="264">
        <f>BT91</f>
        <v>7.2</v>
      </c>
      <c r="BU174" s="264">
        <f>BU91</f>
        <v>8.1</v>
      </c>
      <c r="BV174" s="264">
        <f>BV91</f>
        <v>28.4</v>
      </c>
      <c r="BW174" s="264">
        <f>BW91</f>
        <v>6.6</v>
      </c>
      <c r="BX174" s="264">
        <f>BX91</f>
        <v>7.4</v>
      </c>
      <c r="BY174" s="264">
        <f>BY91</f>
        <v>9.3</v>
      </c>
      <c r="BZ174" s="264">
        <f>BZ91</f>
        <v>11.2</v>
      </c>
      <c r="CA174" s="264">
        <f>CA91</f>
        <v>34.5</v>
      </c>
      <c r="CB174" s="264">
        <f>CB91</f>
        <v>6.7</v>
      </c>
      <c r="CC174" s="261">
        <f>CC91</f>
        <v>6.57747834456208</v>
      </c>
      <c r="CD174" s="261">
        <f>CD91</f>
        <v>6.59029968329784</v>
      </c>
      <c r="CE174" s="261">
        <f>CE91</f>
        <v>7.95258274334019</v>
      </c>
      <c r="CF174" s="261">
        <f>CF91</f>
        <v>27.8203607712001</v>
      </c>
      <c r="CG174" s="261">
        <f>CG91</f>
        <v>42.9259496441455</v>
      </c>
      <c r="CH174" s="261">
        <f>CH91</f>
        <v>47.9946844346575</v>
      </c>
      <c r="CI174" s="261">
        <f>CI91</f>
        <v>53.0874527151393</v>
      </c>
      <c r="CJ174" s="261">
        <f>CJ91</f>
        <v>58.2800931939234</v>
      </c>
      <c r="CK174" s="261">
        <f>CK91</f>
        <v>63.4059295713744</v>
      </c>
      <c r="CL174" s="19" t="n"/>
    </row>
    <row r="175" ht="15" customHeight="1" s="251">
      <c r="B175" s="55" t="inlineStr">
        <is>
          <t xml:space="preserve">  = EBITDA (company definition: adds back stock compensation)</t>
        </is>
      </c>
      <c r="C175" s="271">
        <f>IF(AND(ISNUMBER(C172),ISNUMBER(C173)),C172+C173+C174,"")</f>
        <v>48.275</v>
      </c>
      <c r="D175" s="271">
        <f>IF(AND(ISNUMBER(D172),ISNUMBER(D173)),D172+D173+D174,"")</f>
        <v>62.332</v>
      </c>
      <c r="E175" s="271">
        <f>IF(AND(ISNUMBER(E172),ISNUMBER(E173)),E172+E173+E174,"")</f>
        <v>74.57</v>
      </c>
      <c r="F175" s="271">
        <f>IF(AND(ISNUMBER(F172),ISNUMBER(F173)),F172+F173+F174,"")</f>
        <v>69.632</v>
      </c>
      <c r="G175" s="271">
        <f>IF(AND(ISNUMBER(G172),ISNUMBER(G173)),G172+G173+G174,"")</f>
        <v>49.682</v>
      </c>
      <c r="H175" s="271">
        <f>IF(AND(ISNUMBER(H172),ISNUMBER(H173)),H172+H173+H174,"")</f>
        <v>73.221</v>
      </c>
      <c r="I175" s="271">
        <f>IF(AND(ISNUMBER(I172),ISNUMBER(I173)),I172+I173+I174,"")</f>
        <v>95.959</v>
      </c>
      <c r="J175" s="271">
        <f>IF(AND(ISNUMBER(J172),ISNUMBER(J173)),J172+J173+J174,"")</f>
        <v>26.804</v>
      </c>
      <c r="K175" s="271">
        <f>IF(AND(ISNUMBER(K172),ISNUMBER(K173)),K172+K173+K174,"")</f>
        <v>26.201</v>
      </c>
      <c r="L175" s="271">
        <f>IF(AND(ISNUMBER(L172),ISNUMBER(L173)),L172+L173+L174,"")</f>
        <v>24.43</v>
      </c>
      <c r="M175" s="271">
        <f>IF(AND(ISNUMBER(M172),ISNUMBER(M173)),M172+M173+M174,"")</f>
        <v>20.673</v>
      </c>
      <c r="N175" s="271">
        <f>IF(AND(ISNUMBER(N172),ISNUMBER(N173)),N172+N173+N174,"")</f>
        <v>98.108</v>
      </c>
      <c r="O175" s="271">
        <f>IF(AND(ISNUMBER(O172),ISNUMBER(O173)),O172+O173+O174,"")</f>
        <v>27.253</v>
      </c>
      <c r="P175" s="271">
        <f>IF(AND(ISNUMBER(P172),ISNUMBER(P173)),P172+P173+P174,"")</f>
        <v>26.89</v>
      </c>
      <c r="Q175" s="271">
        <f>IF(AND(ISNUMBER(Q172),ISNUMBER(Q173)),Q172+Q173+Q174,"")</f>
        <v>24.936</v>
      </c>
      <c r="R175" s="271">
        <f>IF(AND(ISNUMBER(R172),ISNUMBER(R173)),R172+R173+R174,"")</f>
        <v>30.391</v>
      </c>
      <c r="S175" s="271">
        <f>IF(AND(ISNUMBER(S172),ISNUMBER(S173)),S172+S173+S174,"")</f>
        <v>109.47</v>
      </c>
      <c r="T175" s="271">
        <f>IF(AND(ISNUMBER(T172),ISNUMBER(T173)),T172+T173+T174,"")</f>
        <v>30.036</v>
      </c>
      <c r="U175" s="271">
        <f>IF(AND(ISNUMBER(U172),ISNUMBER(U173)),U172+U173+U174,"")</f>
        <v>24.574</v>
      </c>
      <c r="V175" s="271">
        <f>IF(AND(ISNUMBER(V172),ISNUMBER(V173)),V172+V173+V174,"")</f>
        <v>26.563</v>
      </c>
      <c r="W175" s="271">
        <f>IF(AND(ISNUMBER(W172),ISNUMBER(W173)),W172+W173+W174,"")</f>
        <v>30.641</v>
      </c>
      <c r="X175" s="271">
        <f>IF(AND(ISNUMBER(X172),ISNUMBER(X173)),X172+X173+X174,"")</f>
        <v>111.814</v>
      </c>
      <c r="Y175" s="271">
        <f>IF(AND(ISNUMBER(Y172),ISNUMBER(Y173)),Y172+Y173+Y174,"")</f>
        <v>30.156</v>
      </c>
      <c r="Z175" s="271">
        <f>IF(AND(ISNUMBER(Z172),ISNUMBER(Z173)),Z172+Z173+Z174,"")</f>
        <v>32.904</v>
      </c>
      <c r="AA175" s="271">
        <f>IF(AND(ISNUMBER(AA172),ISNUMBER(AA173)),AA172+AA173+AA174,"")</f>
        <v>36.315</v>
      </c>
      <c r="AB175" s="271">
        <f>IF(AND(ISNUMBER(AB172),ISNUMBER(AB173)),AB172+AB173+AB174,"")</f>
        <v>40.473</v>
      </c>
      <c r="AC175" s="271">
        <f>IF(AND(ISNUMBER(AC172),ISNUMBER(AC173)),AC172+AC173+AC174,"")</f>
        <v>139.848</v>
      </c>
      <c r="AD175" s="271">
        <f>IF(AND(ISNUMBER(AD172),ISNUMBER(AD173)),AD172+AD173+AD174,"")</f>
        <v>38.735</v>
      </c>
      <c r="AE175" s="271">
        <f>IF(AND(ISNUMBER(AE172),ISNUMBER(AE173)),AE172+AE173+AE174,"")</f>
        <v>39.691</v>
      </c>
      <c r="AF175" s="271">
        <f>IF(AND(ISNUMBER(AF172),ISNUMBER(AF173)),AF172+AF173+AF174,"")</f>
        <v>30.27</v>
      </c>
      <c r="AG175" s="271">
        <f>IF(AND(ISNUMBER(AG172),ISNUMBER(AG173)),AG172+AG173+AG174,"")</f>
        <v>44.48</v>
      </c>
      <c r="AH175" s="271">
        <f>IF(AND(ISNUMBER(AH172),ISNUMBER(AH173)),AH172+AH173+AH174,"")</f>
        <v>153.176</v>
      </c>
      <c r="AI175" s="271">
        <f>IF(AND(ISNUMBER(AI172),ISNUMBER(AI173)),AI172+AI173+AI174,"")</f>
        <v>42.126</v>
      </c>
      <c r="AJ175" s="271">
        <f>IF(AND(ISNUMBER(AJ172),ISNUMBER(AJ173)),AJ172+AJ173+AJ174,"")</f>
        <v>35.82</v>
      </c>
      <c r="AK175" s="271">
        <f>IF(AND(ISNUMBER(AK172),ISNUMBER(AK173)),AK172+AK173+AK174,"")</f>
        <v>43.348</v>
      </c>
      <c r="AL175" s="271">
        <f>IF(AND(ISNUMBER(AL172),ISNUMBER(AL173)),AL172+AL173+AL174,"")</f>
        <v>48.61</v>
      </c>
      <c r="AM175" s="271">
        <f>IF(AND(ISNUMBER(AM172),ISNUMBER(AM173)),AM172+AM173+AM174,"")</f>
        <v>169.904</v>
      </c>
      <c r="AN175" s="271">
        <f>IF(AND(ISNUMBER(AN172),ISNUMBER(AN173)),AN172+AN173+AN174,"")</f>
        <v>47.077</v>
      </c>
      <c r="AO175" s="271">
        <f>IF(AND(ISNUMBER(AO172),ISNUMBER(AO173)),AO172+AO173+AO174,"")</f>
        <v>47.562</v>
      </c>
      <c r="AP175" s="271">
        <f>IF(AND(ISNUMBER(AP172),ISNUMBER(AP173)),AP172+AP173+AP174,"")</f>
        <v>31.052</v>
      </c>
      <c r="AQ175" s="271">
        <f>IF(AND(ISNUMBER(AQ172),ISNUMBER(AQ173)),AQ172+AQ173+AQ174,"")</f>
        <v>52.089</v>
      </c>
      <c r="AR175" s="271">
        <f>IF(AND(ISNUMBER(AR172),ISNUMBER(AR173)),AR172+AR173+AR174,"")</f>
        <v>177.78</v>
      </c>
      <c r="AS175" s="271">
        <f>IF(AND(ISNUMBER(AS172),ISNUMBER(AS173)),AS172+AS173+AS174,"")</f>
        <v>50.812</v>
      </c>
      <c r="AT175" s="271">
        <f>IF(AND(ISNUMBER(AT172),ISNUMBER(AT173)),AT172+AT173+AT174,"")</f>
        <v>50.17</v>
      </c>
      <c r="AU175" s="271">
        <f>IF(AND(ISNUMBER(AU172),ISNUMBER(AU173)),AU172+AU173+AU174,"")</f>
        <v>50.554</v>
      </c>
      <c r="AV175" s="271">
        <f>IF(AND(ISNUMBER(AV172),ISNUMBER(AV173)),AV172+AV173+AV174,"")</f>
        <v>56.819</v>
      </c>
      <c r="AW175" s="271">
        <f>IF(AND(ISNUMBER(AW172),ISNUMBER(AW173)),AW172+AW173+AW174,"")</f>
        <v>208.355</v>
      </c>
      <c r="AX175" s="271">
        <f>IF(AND(ISNUMBER(AX172),ISNUMBER(AX173)),AX172+AX173+AX174,"")</f>
        <v>42.648</v>
      </c>
      <c r="AY175" s="271">
        <f>IF(AND(ISNUMBER(AY172),ISNUMBER(AY173)),AY172+AY173+AY174,"")</f>
        <v>40.031</v>
      </c>
      <c r="AZ175" s="271">
        <f>IF(AND(ISNUMBER(AZ172),ISNUMBER(AZ173)),AZ172+AZ173+AZ174,"")</f>
        <v>39.693</v>
      </c>
      <c r="BA175" s="271">
        <f>IF(AND(ISNUMBER(BA172),ISNUMBER(BA173)),BA172+BA173+BA174,"")</f>
        <v>43.129</v>
      </c>
      <c r="BB175" s="271">
        <f>IF(AND(ISNUMBER(BB172),ISNUMBER(BB173)),BB172+BB173+BB174,"")</f>
        <v>165.501</v>
      </c>
      <c r="BC175" s="271">
        <f>IF(AND(ISNUMBER(BC172),ISNUMBER(BC173)),BC172+BC173+BC174,"")</f>
        <v>44.707</v>
      </c>
      <c r="BD175" s="271">
        <f>IF(AND(ISNUMBER(BD172),ISNUMBER(BD173)),BD172+BD173+BD174,"")</f>
        <v>41.992</v>
      </c>
      <c r="BE175" s="271">
        <f>IF(AND(ISNUMBER(BE172),ISNUMBER(BE173)),BE172+BE173+BE174,"")</f>
        <v>40.907</v>
      </c>
      <c r="BF175" s="271">
        <f>IF(AND(ISNUMBER(BF172),ISNUMBER(BF173)),BF172+BF173+BF174,"")</f>
        <v>91.914</v>
      </c>
      <c r="BG175" s="271">
        <f>IF(AND(ISNUMBER(BG172),ISNUMBER(BG173)),BG172+BG173+BG174,"")</f>
        <v>219.52</v>
      </c>
      <c r="BH175" s="271">
        <f>IF(AND(ISNUMBER(BH172),ISNUMBER(BH173)),BH172+BH173+BH174,"")</f>
        <v>96.931</v>
      </c>
      <c r="BI175" s="271">
        <f>IF(AND(ISNUMBER(BI172),ISNUMBER(BI173)),BI172+BI173+BI174,"")</f>
        <v>104.797</v>
      </c>
      <c r="BJ175" s="271">
        <f>IF(AND(ISNUMBER(BJ172),ISNUMBER(BJ173)),BJ172+BJ173+BJ174,"")</f>
        <v>102.009</v>
      </c>
      <c r="BK175" s="271">
        <f>IF(AND(ISNUMBER(BK172),ISNUMBER(BK173)),BK172+BK173+BK174,"")</f>
        <v>118.646</v>
      </c>
      <c r="BL175" s="271">
        <f>IF(AND(ISNUMBER(BL172),ISNUMBER(BL173)),BL172+BL173+BL174,"")</f>
        <v>422.4</v>
      </c>
      <c r="BM175" s="271">
        <f>IF(AND(ISNUMBER(BM172),ISNUMBER(BM173)),BM172+BM173+BM174,"")</f>
        <v>120.114</v>
      </c>
      <c r="BN175" s="271">
        <f>IF(AND(ISNUMBER(BN172),ISNUMBER(BN173)),BN172+BN173+BN174,"")</f>
        <v>121.433</v>
      </c>
      <c r="BO175" s="271">
        <f>IF(AND(ISNUMBER(BO172),ISNUMBER(BO173)),BO172+BO173+BO174,"")</f>
        <v>109.391</v>
      </c>
      <c r="BP175" s="271">
        <f>IF(AND(ISNUMBER(BP172),ISNUMBER(BP173)),BP172+BP173+BP174,"")</f>
        <v>127.952</v>
      </c>
      <c r="BQ175" s="271">
        <f>IF(AND(ISNUMBER(BQ172),ISNUMBER(BQ173)),BQ172+BQ173+BQ174,"")</f>
        <v>478.9</v>
      </c>
      <c r="BR175" s="271">
        <f>IF(AND(ISNUMBER(BR172),ISNUMBER(BR173)),BR172+BR173+BR174,"")</f>
        <v>134</v>
      </c>
      <c r="BS175" s="271">
        <f>IF(AND(ISNUMBER(BS172),ISNUMBER(BS173)),BS172+BS173+BS174,"")</f>
        <v>122.9</v>
      </c>
      <c r="BT175" s="271">
        <f>IF(AND(ISNUMBER(BT172),ISNUMBER(BT173)),BT172+BT173+BT174,"")</f>
        <v>122.5</v>
      </c>
      <c r="BU175" s="271">
        <f>IF(AND(ISNUMBER(BU172),ISNUMBER(BU173)),BU172+BU173+BU174,"")</f>
        <v>138.9</v>
      </c>
      <c r="BV175" s="271">
        <f>IF(AND(ISNUMBER(BV172),ISNUMBER(BV173)),BV172+BV173+BV174,"")</f>
        <v>518.3</v>
      </c>
      <c r="BW175" s="271">
        <f>IF(AND(ISNUMBER(BW172),ISNUMBER(BW173)),BW172+BW173+BW174,"")</f>
        <v>137.3</v>
      </c>
      <c r="BX175" s="271">
        <f>IF(AND(ISNUMBER(BX172),ISNUMBER(BX173)),BX172+BX173+BX174,"")</f>
        <v>138.1</v>
      </c>
      <c r="BY175" s="271">
        <f>IF(AND(ISNUMBER(BY172),ISNUMBER(BY173)),BY172+BY173+BY174,"")</f>
        <v>145.2</v>
      </c>
      <c r="BZ175" s="271">
        <f>IF(AND(ISNUMBER(BZ172),ISNUMBER(BZ173)),BZ172+BZ173+BZ174,"")</f>
        <v>163.7</v>
      </c>
      <c r="CA175" s="271">
        <f>IF(AND(ISNUMBER(CA172),ISNUMBER(CA173)),CA172+CA173+CA174,"")</f>
        <v>584.3</v>
      </c>
      <c r="CB175" s="271">
        <f>IF(AND(ISNUMBER(CB172),ISNUMBER(CB173)),CB172+CB173+CB174,"")</f>
        <v>180.8</v>
      </c>
      <c r="CC175" s="271">
        <f>IF(AND(ISNUMBER(CC172),ISNUMBER(CC173)),CC172+CC173+CC174,"")</f>
        <v>165.725120307988</v>
      </c>
      <c r="CD175" s="271">
        <f>IF(AND(ISNUMBER(CD172),ISNUMBER(CD173)),CD172+CD173+CD174,"")</f>
        <v>168.857163955481</v>
      </c>
      <c r="CE175" s="271">
        <f>IF(AND(ISNUMBER(CE172),ISNUMBER(CE173)),CE172+CE173+CE174,"")</f>
        <v>205.880736812523</v>
      </c>
      <c r="CF175" s="271">
        <f>IF(AND(ISNUMBER(CF172),ISNUMBER(CF173)),CF172+CF173+CF174,"")</f>
        <v>721.263021075993</v>
      </c>
      <c r="CG175" s="271">
        <f>IF(AND(ISNUMBER(CG172),ISNUMBER(CG173)),CG172+CG173+CG174,"")</f>
        <v>810.009114446059</v>
      </c>
      <c r="CH175" s="271">
        <f>IF(AND(ISNUMBER(CH172),ISNUMBER(CH173)),CH172+CH173+CH174,"")</f>
        <v>912.171644953639</v>
      </c>
      <c r="CI175" s="271">
        <f>IF(AND(ISNUMBER(CI172),ISNUMBER(CI173)),CI172+CI173+CI174,"")</f>
        <v>1016.61113383704</v>
      </c>
      <c r="CJ175" s="271">
        <f>IF(AND(ISNUMBER(CJ172),ISNUMBER(CJ173)),CJ172+CJ173+CJ174,"")</f>
        <v>1116.38495461038</v>
      </c>
      <c r="CK175" s="271">
        <f>IF(AND(ISNUMBER(CK172),ISNUMBER(CK173)),CK172+CK173+CK174,"")</f>
        <v>1215.06801092962</v>
      </c>
      <c r="CL175" s="153" t="n"/>
      <c r="CN175" s="20">
        <f>IFERROR((CK175/CF175)^(1/5)-1,"n/m")</f>
        <v>0.109944808290799</v>
      </c>
      <c r="CO175" s="20">
        <f>IFERROR((CA175/BB175)^(1/5)-1,"n/m")</f>
        <v>0.286965938553143</v>
      </c>
      <c r="CP175" s="20">
        <f>IFERROR((CA175/AC175)^(1/10)-1,"n/m")</f>
        <v>0.153713468550137</v>
      </c>
      <c r="CQ175" s="20">
        <f>IFERROR((CA175/C175)^(1/20)-1,"n/m")</f>
        <v>0.132780280508151</v>
      </c>
    </row>
    <row r="176" ht="15" customHeight="1" s="251">
      <c r="B176" s="156" t="inlineStr">
        <is>
          <t xml:space="preserve">  Company-published EBITDA (FY2022–Q1 FY23 reconciliations)</t>
        </is>
      </c>
      <c r="C176" s="34" t="n"/>
      <c r="D176" s="34" t="n"/>
      <c r="E176" s="34" t="n"/>
      <c r="F176" s="34" t="n"/>
      <c r="G176" s="34" t="n"/>
      <c r="H176" s="34" t="n"/>
      <c r="I176" s="34" t="n"/>
      <c r="J176" s="34" t="n"/>
      <c r="K176" s="34" t="n"/>
      <c r="L176" s="34" t="n"/>
      <c r="M176" s="34" t="n"/>
      <c r="N176" s="34" t="n"/>
      <c r="O176" s="34" t="n"/>
      <c r="P176" s="34" t="n"/>
      <c r="Q176" s="34" t="n"/>
      <c r="R176" s="34" t="n"/>
      <c r="S176" s="34" t="n"/>
      <c r="T176" s="34" t="n"/>
      <c r="U176" s="34" t="n"/>
      <c r="V176" s="34" t="n"/>
      <c r="W176" s="34" t="n"/>
      <c r="X176" s="34" t="n"/>
      <c r="Y176" s="34" t="n"/>
      <c r="Z176" s="34" t="n"/>
      <c r="AA176" s="34" t="n"/>
      <c r="AB176" s="34" t="n"/>
      <c r="AC176" s="34" t="n"/>
      <c r="AD176" s="34" t="n"/>
      <c r="AE176" s="34" t="n"/>
      <c r="AF176" s="34" t="n"/>
      <c r="AG176" s="34" t="n"/>
      <c r="AH176" s="34" t="n"/>
      <c r="AI176" s="34" t="n"/>
      <c r="AJ176" s="34" t="n"/>
      <c r="AK176" s="34" t="n"/>
      <c r="AL176" s="34" t="n"/>
      <c r="AM176" s="34" t="n"/>
      <c r="AN176" s="34" t="n"/>
      <c r="AO176" s="34" t="n"/>
      <c r="AP176" s="34" t="n"/>
      <c r="AQ176" s="34" t="n"/>
      <c r="AR176" s="34" t="n"/>
      <c r="AS176" s="34" t="n"/>
      <c r="AT176" s="34" t="n"/>
      <c r="AU176" s="34" t="n"/>
      <c r="AV176" s="34" t="n"/>
      <c r="AW176" s="34" t="n"/>
      <c r="AX176" s="34" t="n"/>
      <c r="AY176" s="34" t="n"/>
      <c r="AZ176" s="34" t="n"/>
      <c r="BA176" s="34" t="n"/>
      <c r="BB176" s="34" t="n"/>
      <c r="BC176" s="34" t="n"/>
      <c r="BD176" s="34" t="n"/>
      <c r="BE176" s="259" t="n">
        <v>40.907</v>
      </c>
      <c r="BF176" s="259" t="n">
        <v>91.914</v>
      </c>
      <c r="BG176" s="259" t="n">
        <v>219.52</v>
      </c>
      <c r="BH176" s="259" t="n">
        <v>96.931</v>
      </c>
      <c r="BI176" s="259" t="n">
        <v>104.797</v>
      </c>
      <c r="BJ176" s="34" t="n"/>
      <c r="BK176" s="34" t="n"/>
      <c r="BL176" s="34" t="n"/>
      <c r="BM176" s="34" t="n"/>
      <c r="BN176" s="34" t="n"/>
      <c r="BO176" s="34" t="n"/>
      <c r="BP176" s="34" t="n"/>
      <c r="BQ176" s="34" t="n"/>
      <c r="BR176" s="34" t="n"/>
      <c r="BS176" s="34" t="n"/>
      <c r="BT176" s="34" t="n"/>
      <c r="BU176" s="34" t="n"/>
      <c r="BV176" s="34" t="n"/>
      <c r="BW176" s="34" t="n"/>
      <c r="BX176" s="34" t="n"/>
      <c r="BY176" s="34" t="n"/>
      <c r="BZ176" s="34" t="n"/>
      <c r="CA176" s="34" t="n"/>
      <c r="CB176" s="34" t="n"/>
      <c r="CC176" s="153" t="n"/>
      <c r="CD176" s="153" t="n"/>
      <c r="CE176" s="153" t="n"/>
      <c r="CF176" s="153" t="n"/>
      <c r="CG176" s="153" t="n"/>
      <c r="CH176" s="153" t="n"/>
      <c r="CI176" s="153" t="n"/>
      <c r="CJ176" s="153" t="n"/>
      <c r="CK176" s="153" t="n"/>
      <c r="CL176" s="153" t="n"/>
    </row>
    <row r="177" ht="15" customHeight="1" s="251">
      <c r="B177" s="57" t="inlineStr">
        <is>
          <t xml:space="preserve">  Check: model vs company-published EBITDA (should be 0)</t>
        </is>
      </c>
      <c r="C177" s="264" t="str">
        <f>IF(AND(ISNUMBER(C176),ISNUMBER(C175)),IF(ABS(C175-C176)&lt;=0.15,0,ROUND(C175-C176,1)),"n/p")</f>
        <v>n/p</v>
      </c>
      <c r="D177" s="264" t="str">
        <f>IF(AND(ISNUMBER(D176),ISNUMBER(D175)),IF(ABS(D175-D176)&lt;=0.15,0,ROUND(D175-D176,1)),"n/p")</f>
        <v>n/p</v>
      </c>
      <c r="E177" s="264" t="str">
        <f>IF(AND(ISNUMBER(E176),ISNUMBER(E175)),IF(ABS(E175-E176)&lt;=0.15,0,ROUND(E175-E176,1)),"n/p")</f>
        <v>n/p</v>
      </c>
      <c r="F177" s="264" t="str">
        <f>IF(AND(ISNUMBER(F176),ISNUMBER(F175)),IF(ABS(F175-F176)&lt;=0.15,0,ROUND(F175-F176,1)),"n/p")</f>
        <v>n/p</v>
      </c>
      <c r="G177" s="264" t="str">
        <f>IF(AND(ISNUMBER(G176),ISNUMBER(G175)),IF(ABS(G175-G176)&lt;=0.15,0,ROUND(G175-G176,1)),"n/p")</f>
        <v>n/p</v>
      </c>
      <c r="H177" s="264" t="str">
        <f>IF(AND(ISNUMBER(H176),ISNUMBER(H175)),IF(ABS(H175-H176)&lt;=0.15,0,ROUND(H175-H176,1)),"n/p")</f>
        <v>n/p</v>
      </c>
      <c r="I177" s="264" t="str">
        <f>IF(AND(ISNUMBER(I176),ISNUMBER(I175)),IF(ABS(I175-I176)&lt;=0.15,0,ROUND(I175-I176,1)),"n/p")</f>
        <v>n/p</v>
      </c>
      <c r="J177" s="264" t="str">
        <f>IF(AND(ISNUMBER(J176),ISNUMBER(J175)),IF(ABS(J175-J176)&lt;=0.15,0,ROUND(J175-J176,1)),"n/p")</f>
        <v>n/p</v>
      </c>
      <c r="K177" s="264" t="str">
        <f>IF(AND(ISNUMBER(K176),ISNUMBER(K175)),IF(ABS(K175-K176)&lt;=0.15,0,ROUND(K175-K176,1)),"n/p")</f>
        <v>n/p</v>
      </c>
      <c r="L177" s="264" t="str">
        <f>IF(AND(ISNUMBER(L176),ISNUMBER(L175)),IF(ABS(L175-L176)&lt;=0.15,0,ROUND(L175-L176,1)),"n/p")</f>
        <v>n/p</v>
      </c>
      <c r="M177" s="264" t="str">
        <f>IF(AND(ISNUMBER(M176),ISNUMBER(M175)),IF(ABS(M175-M176)&lt;=0.15,0,ROUND(M175-M176,1)),"n/p")</f>
        <v>n/p</v>
      </c>
      <c r="N177" s="264" t="str">
        <f>IF(AND(ISNUMBER(N176),ISNUMBER(N175)),IF(ABS(N175-N176)&lt;=0.15,0,ROUND(N175-N176,1)),"n/p")</f>
        <v>n/p</v>
      </c>
      <c r="O177" s="264" t="str">
        <f>IF(AND(ISNUMBER(O176),ISNUMBER(O175)),IF(ABS(O175-O176)&lt;=0.15,0,ROUND(O175-O176,1)),"n/p")</f>
        <v>n/p</v>
      </c>
      <c r="P177" s="264" t="str">
        <f>IF(AND(ISNUMBER(P176),ISNUMBER(P175)),IF(ABS(P175-P176)&lt;=0.15,0,ROUND(P175-P176,1)),"n/p")</f>
        <v>n/p</v>
      </c>
      <c r="Q177" s="264" t="str">
        <f>IF(AND(ISNUMBER(Q176),ISNUMBER(Q175)),IF(ABS(Q175-Q176)&lt;=0.15,0,ROUND(Q175-Q176,1)),"n/p")</f>
        <v>n/p</v>
      </c>
      <c r="R177" s="264" t="str">
        <f>IF(AND(ISNUMBER(R176),ISNUMBER(R175)),IF(ABS(R175-R176)&lt;=0.15,0,ROUND(R175-R176,1)),"n/p")</f>
        <v>n/p</v>
      </c>
      <c r="S177" s="264" t="str">
        <f>IF(AND(ISNUMBER(S176),ISNUMBER(S175)),IF(ABS(S175-S176)&lt;=0.15,0,ROUND(S175-S176,1)),"n/p")</f>
        <v>n/p</v>
      </c>
      <c r="T177" s="264" t="str">
        <f>IF(AND(ISNUMBER(T176),ISNUMBER(T175)),IF(ABS(T175-T176)&lt;=0.15,0,ROUND(T175-T176,1)),"n/p")</f>
        <v>n/p</v>
      </c>
      <c r="U177" s="264" t="str">
        <f>IF(AND(ISNUMBER(U176),ISNUMBER(U175)),IF(ABS(U175-U176)&lt;=0.15,0,ROUND(U175-U176,1)),"n/p")</f>
        <v>n/p</v>
      </c>
      <c r="V177" s="264" t="str">
        <f>IF(AND(ISNUMBER(V176),ISNUMBER(V175)),IF(ABS(V175-V176)&lt;=0.15,0,ROUND(V175-V176,1)),"n/p")</f>
        <v>n/p</v>
      </c>
      <c r="W177" s="264" t="str">
        <f>IF(AND(ISNUMBER(W176),ISNUMBER(W175)),IF(ABS(W175-W176)&lt;=0.15,0,ROUND(W175-W176,1)),"n/p")</f>
        <v>n/p</v>
      </c>
      <c r="X177" s="264" t="str">
        <f>IF(AND(ISNUMBER(X176),ISNUMBER(X175)),IF(ABS(X175-X176)&lt;=0.15,0,ROUND(X175-X176,1)),"n/p")</f>
        <v>n/p</v>
      </c>
      <c r="Y177" s="264" t="str">
        <f>IF(AND(ISNUMBER(Y176),ISNUMBER(Y175)),IF(ABS(Y175-Y176)&lt;=0.15,0,ROUND(Y175-Y176,1)),"n/p")</f>
        <v>n/p</v>
      </c>
      <c r="Z177" s="264" t="str">
        <f>IF(AND(ISNUMBER(Z176),ISNUMBER(Z175)),IF(ABS(Z175-Z176)&lt;=0.15,0,ROUND(Z175-Z176,1)),"n/p")</f>
        <v>n/p</v>
      </c>
      <c r="AA177" s="264" t="str">
        <f>IF(AND(ISNUMBER(AA176),ISNUMBER(AA175)),IF(ABS(AA175-AA176)&lt;=0.15,0,ROUND(AA175-AA176,1)),"n/p")</f>
        <v>n/p</v>
      </c>
      <c r="AB177" s="264" t="str">
        <f>IF(AND(ISNUMBER(AB176),ISNUMBER(AB175)),IF(ABS(AB175-AB176)&lt;=0.15,0,ROUND(AB175-AB176,1)),"n/p")</f>
        <v>n/p</v>
      </c>
      <c r="AC177" s="264" t="str">
        <f>IF(AND(ISNUMBER(AC176),ISNUMBER(AC175)),IF(ABS(AC175-AC176)&lt;=0.15,0,ROUND(AC175-AC176,1)),"n/p")</f>
        <v>n/p</v>
      </c>
      <c r="AD177" s="264" t="str">
        <f>IF(AND(ISNUMBER(AD176),ISNUMBER(AD175)),IF(ABS(AD175-AD176)&lt;=0.15,0,ROUND(AD175-AD176,1)),"n/p")</f>
        <v>n/p</v>
      </c>
      <c r="AE177" s="264" t="str">
        <f>IF(AND(ISNUMBER(AE176),ISNUMBER(AE175)),IF(ABS(AE175-AE176)&lt;=0.15,0,ROUND(AE175-AE176,1)),"n/p")</f>
        <v>n/p</v>
      </c>
      <c r="AF177" s="264" t="str">
        <f>IF(AND(ISNUMBER(AF176),ISNUMBER(AF175)),IF(ABS(AF175-AF176)&lt;=0.15,0,ROUND(AF175-AF176,1)),"n/p")</f>
        <v>n/p</v>
      </c>
      <c r="AG177" s="264" t="str">
        <f>IF(AND(ISNUMBER(AG176),ISNUMBER(AG175)),IF(ABS(AG175-AG176)&lt;=0.15,0,ROUND(AG175-AG176,1)),"n/p")</f>
        <v>n/p</v>
      </c>
      <c r="AH177" s="264" t="str">
        <f>IF(AND(ISNUMBER(AH176),ISNUMBER(AH175)),IF(ABS(AH175-AH176)&lt;=0.15,0,ROUND(AH175-AH176,1)),"n/p")</f>
        <v>n/p</v>
      </c>
      <c r="AI177" s="264" t="str">
        <f>IF(AND(ISNUMBER(AI176),ISNUMBER(AI175)),IF(ABS(AI175-AI176)&lt;=0.15,0,ROUND(AI175-AI176,1)),"n/p")</f>
        <v>n/p</v>
      </c>
      <c r="AJ177" s="264" t="str">
        <f>IF(AND(ISNUMBER(AJ176),ISNUMBER(AJ175)),IF(ABS(AJ175-AJ176)&lt;=0.15,0,ROUND(AJ175-AJ176,1)),"n/p")</f>
        <v>n/p</v>
      </c>
      <c r="AK177" s="264" t="str">
        <f>IF(AND(ISNUMBER(AK176),ISNUMBER(AK175)),IF(ABS(AK175-AK176)&lt;=0.15,0,ROUND(AK175-AK176,1)),"n/p")</f>
        <v>n/p</v>
      </c>
      <c r="AL177" s="264" t="str">
        <f>IF(AND(ISNUMBER(AL176),ISNUMBER(AL175)),IF(ABS(AL175-AL176)&lt;=0.15,0,ROUND(AL175-AL176,1)),"n/p")</f>
        <v>n/p</v>
      </c>
      <c r="AM177" s="264" t="str">
        <f>IF(AND(ISNUMBER(AM176),ISNUMBER(AM175)),IF(ABS(AM175-AM176)&lt;=0.15,0,ROUND(AM175-AM176,1)),"n/p")</f>
        <v>n/p</v>
      </c>
      <c r="AN177" s="264" t="str">
        <f>IF(AND(ISNUMBER(AN176),ISNUMBER(AN175)),IF(ABS(AN175-AN176)&lt;=0.15,0,ROUND(AN175-AN176,1)),"n/p")</f>
        <v>n/p</v>
      </c>
      <c r="AO177" s="264" t="str">
        <f>IF(AND(ISNUMBER(AO176),ISNUMBER(AO175)),IF(ABS(AO175-AO176)&lt;=0.15,0,ROUND(AO175-AO176,1)),"n/p")</f>
        <v>n/p</v>
      </c>
      <c r="AP177" s="264" t="str">
        <f>IF(AND(ISNUMBER(AP176),ISNUMBER(AP175)),IF(ABS(AP175-AP176)&lt;=0.15,0,ROUND(AP175-AP176,1)),"n/p")</f>
        <v>n/p</v>
      </c>
      <c r="AQ177" s="264" t="str">
        <f>IF(AND(ISNUMBER(AQ176),ISNUMBER(AQ175)),IF(ABS(AQ175-AQ176)&lt;=0.15,0,ROUND(AQ175-AQ176,1)),"n/p")</f>
        <v>n/p</v>
      </c>
      <c r="AR177" s="264" t="str">
        <f>IF(AND(ISNUMBER(AR176),ISNUMBER(AR175)),IF(ABS(AR175-AR176)&lt;=0.15,0,ROUND(AR175-AR176,1)),"n/p")</f>
        <v>n/p</v>
      </c>
      <c r="AS177" s="264" t="str">
        <f>IF(AND(ISNUMBER(AS176),ISNUMBER(AS175)),IF(ABS(AS175-AS176)&lt;=0.15,0,ROUND(AS175-AS176,1)),"n/p")</f>
        <v>n/p</v>
      </c>
      <c r="AT177" s="264" t="str">
        <f>IF(AND(ISNUMBER(AT176),ISNUMBER(AT175)),IF(ABS(AT175-AT176)&lt;=0.15,0,ROUND(AT175-AT176,1)),"n/p")</f>
        <v>n/p</v>
      </c>
      <c r="AU177" s="264" t="str">
        <f>IF(AND(ISNUMBER(AU176),ISNUMBER(AU175)),IF(ABS(AU175-AU176)&lt;=0.15,0,ROUND(AU175-AU176,1)),"n/p")</f>
        <v>n/p</v>
      </c>
      <c r="AV177" s="264" t="str">
        <f>IF(AND(ISNUMBER(AV176),ISNUMBER(AV175)),IF(ABS(AV175-AV176)&lt;=0.15,0,ROUND(AV175-AV176,1)),"n/p")</f>
        <v>n/p</v>
      </c>
      <c r="AW177" s="264" t="str">
        <f>IF(AND(ISNUMBER(AW176),ISNUMBER(AW175)),IF(ABS(AW175-AW176)&lt;=0.15,0,ROUND(AW175-AW176,1)),"n/p")</f>
        <v>n/p</v>
      </c>
      <c r="AX177" s="264" t="str">
        <f>IF(AND(ISNUMBER(AX176),ISNUMBER(AX175)),IF(ABS(AX175-AX176)&lt;=0.15,0,ROUND(AX175-AX176,1)),"n/p")</f>
        <v>n/p</v>
      </c>
      <c r="AY177" s="264" t="str">
        <f>IF(AND(ISNUMBER(AY176),ISNUMBER(AY175)),IF(ABS(AY175-AY176)&lt;=0.15,0,ROUND(AY175-AY176,1)),"n/p")</f>
        <v>n/p</v>
      </c>
      <c r="AZ177" s="264" t="str">
        <f>IF(AND(ISNUMBER(AZ176),ISNUMBER(AZ175)),IF(ABS(AZ175-AZ176)&lt;=0.15,0,ROUND(AZ175-AZ176,1)),"n/p")</f>
        <v>n/p</v>
      </c>
      <c r="BA177" s="264" t="str">
        <f>IF(AND(ISNUMBER(BA176),ISNUMBER(BA175)),IF(ABS(BA175-BA176)&lt;=0.15,0,ROUND(BA175-BA176,1)),"n/p")</f>
        <v>n/p</v>
      </c>
      <c r="BB177" s="264" t="str">
        <f>IF(AND(ISNUMBER(BB176),ISNUMBER(BB175)),IF(ABS(BB175-BB176)&lt;=0.15,0,ROUND(BB175-BB176,1)),"n/p")</f>
        <v>n/p</v>
      </c>
      <c r="BC177" s="264" t="str">
        <f>IF(AND(ISNUMBER(BC176),ISNUMBER(BC175)),IF(ABS(BC175-BC176)&lt;=0.15,0,ROUND(BC175-BC176,1)),"n/p")</f>
        <v>n/p</v>
      </c>
      <c r="BD177" s="264" t="str">
        <f>IF(AND(ISNUMBER(BD176),ISNUMBER(BD175)),IF(ABS(BD175-BD176)&lt;=0.15,0,ROUND(BD175-BD176,1)),"n/p")</f>
        <v>n/p</v>
      </c>
      <c r="BE177" s="264">
        <f>IF(AND(ISNUMBER(BE176),ISNUMBER(BE175)),IF(ABS(BE175-BE176)&lt;=0.15,0,ROUND(BE175-BE176,1)),"n/p")</f>
        <v>0</v>
      </c>
      <c r="BF177" s="264">
        <f>IF(AND(ISNUMBER(BF176),ISNUMBER(BF175)),IF(ABS(BF175-BF176)&lt;=0.15,0,ROUND(BF175-BF176,1)),"n/p")</f>
        <v>0</v>
      </c>
      <c r="BG177" s="264">
        <f>IF(AND(ISNUMBER(BG176),ISNUMBER(BG175)),IF(ABS(BG175-BG176)&lt;=0.15,0,ROUND(BG175-BG176,1)),"n/p")</f>
        <v>0</v>
      </c>
      <c r="BH177" s="264">
        <f>IF(AND(ISNUMBER(BH176),ISNUMBER(BH175)),IF(ABS(BH175-BH176)&lt;=0.15,0,ROUND(BH175-BH176,1)),"n/p")</f>
        <v>0</v>
      </c>
      <c r="BI177" s="264">
        <f>IF(AND(ISNUMBER(BI176),ISNUMBER(BI175)),IF(ABS(BI175-BI176)&lt;=0.15,0,ROUND(BI175-BI176,1)),"n/p")</f>
        <v>0</v>
      </c>
      <c r="BJ177" s="264" t="str">
        <f>IF(AND(ISNUMBER(BJ176),ISNUMBER(BJ175)),IF(ABS(BJ175-BJ176)&lt;=0.15,0,ROUND(BJ175-BJ176,1)),"n/p")</f>
        <v>n/p</v>
      </c>
      <c r="BK177" s="264" t="str">
        <f>IF(AND(ISNUMBER(BK176),ISNUMBER(BK175)),IF(ABS(BK175-BK176)&lt;=0.15,0,ROUND(BK175-BK176,1)),"n/p")</f>
        <v>n/p</v>
      </c>
      <c r="BL177" s="264" t="str">
        <f>IF(AND(ISNUMBER(BL176),ISNUMBER(BL175)),IF(ABS(BL175-BL176)&lt;=0.15,0,ROUND(BL175-BL176,1)),"n/p")</f>
        <v>n/p</v>
      </c>
      <c r="BM177" s="264" t="str">
        <f>IF(AND(ISNUMBER(BM176),ISNUMBER(BM175)),IF(ABS(BM175-BM176)&lt;=0.15,0,ROUND(BM175-BM176,1)),"n/p")</f>
        <v>n/p</v>
      </c>
      <c r="BN177" s="264" t="str">
        <f>IF(AND(ISNUMBER(BN176),ISNUMBER(BN175)),IF(ABS(BN175-BN176)&lt;=0.15,0,ROUND(BN175-BN176,1)),"n/p")</f>
        <v>n/p</v>
      </c>
      <c r="BO177" s="264" t="str">
        <f>IF(AND(ISNUMBER(BO176),ISNUMBER(BO175)),IF(ABS(BO175-BO176)&lt;=0.15,0,ROUND(BO175-BO176,1)),"n/p")</f>
        <v>n/p</v>
      </c>
      <c r="BP177" s="264" t="str">
        <f>IF(AND(ISNUMBER(BP176),ISNUMBER(BP175)),IF(ABS(BP175-BP176)&lt;=0.15,0,ROUND(BP175-BP176,1)),"n/p")</f>
        <v>n/p</v>
      </c>
      <c r="BQ177" s="264" t="str">
        <f>IF(AND(ISNUMBER(BQ176),ISNUMBER(BQ175)),IF(ABS(BQ175-BQ176)&lt;=0.15,0,ROUND(BQ175-BQ176,1)),"n/p")</f>
        <v>n/p</v>
      </c>
      <c r="BR177" s="264" t="str">
        <f>IF(AND(ISNUMBER(BR176),ISNUMBER(BR175)),IF(ABS(BR175-BR176)&lt;=0.15,0,ROUND(BR175-BR176,1)),"n/p")</f>
        <v>n/p</v>
      </c>
      <c r="BS177" s="264" t="str">
        <f>IF(AND(ISNUMBER(BS176),ISNUMBER(BS175)),IF(ABS(BS175-BS176)&lt;=0.15,0,ROUND(BS175-BS176,1)),"n/p")</f>
        <v>n/p</v>
      </c>
      <c r="BT177" s="264" t="str">
        <f>IF(AND(ISNUMBER(BT176),ISNUMBER(BT175)),IF(ABS(BT175-BT176)&lt;=0.15,0,ROUND(BT175-BT176,1)),"n/p")</f>
        <v>n/p</v>
      </c>
      <c r="BU177" s="264" t="str">
        <f>IF(AND(ISNUMBER(BU176),ISNUMBER(BU175)),IF(ABS(BU175-BU176)&lt;=0.15,0,ROUND(BU175-BU176,1)),"n/p")</f>
        <v>n/p</v>
      </c>
      <c r="BV177" s="264" t="str">
        <f>IF(AND(ISNUMBER(BV176),ISNUMBER(BV175)),IF(ABS(BV175-BV176)&lt;=0.15,0,ROUND(BV175-BV176,1)),"n/p")</f>
        <v>n/p</v>
      </c>
      <c r="BW177" s="264" t="str">
        <f>IF(AND(ISNUMBER(BW176),ISNUMBER(BW175)),IF(ABS(BW175-BW176)&lt;=0.15,0,ROUND(BW175-BW176,1)),"n/p")</f>
        <v>n/p</v>
      </c>
      <c r="BX177" s="264" t="str">
        <f>IF(AND(ISNUMBER(BX176),ISNUMBER(BX175)),IF(ABS(BX175-BX176)&lt;=0.15,0,ROUND(BX175-BX176,1)),"n/p")</f>
        <v>n/p</v>
      </c>
      <c r="BY177" s="264" t="str">
        <f>IF(AND(ISNUMBER(BY176),ISNUMBER(BY175)),IF(ABS(BY175-BY176)&lt;=0.15,0,ROUND(BY175-BY176,1)),"n/p")</f>
        <v>n/p</v>
      </c>
      <c r="BZ177" s="264" t="str">
        <f>IF(AND(ISNUMBER(BZ176),ISNUMBER(BZ175)),IF(ABS(BZ175-BZ176)&lt;=0.15,0,ROUND(BZ175-BZ176,1)),"n/p")</f>
        <v>n/p</v>
      </c>
      <c r="CA177" s="264" t="str">
        <f>IF(AND(ISNUMBER(CA176),ISNUMBER(CA175)),IF(ABS(CA175-CA176)&lt;=0.15,0,ROUND(CA175-CA176,1)),"n/p")</f>
        <v>n/p</v>
      </c>
      <c r="CB177" s="264" t="str">
        <f>IF(AND(ISNUMBER(CB176),ISNUMBER(CB175)),IF(ABS(CB175-CB176)&lt;=0.15,0,ROUND(CB175-CB176,1)),"n/p")</f>
        <v>n/p</v>
      </c>
      <c r="CC177" s="153" t="n"/>
      <c r="CD177" s="153" t="n"/>
      <c r="CE177" s="153" t="n"/>
      <c r="CF177" s="153" t="n"/>
      <c r="CG177" s="153" t="n"/>
      <c r="CH177" s="153" t="n"/>
      <c r="CI177" s="153" t="n"/>
      <c r="CJ177" s="153" t="n"/>
      <c r="CK177" s="153" t="n"/>
      <c r="CL177" s="153" t="n"/>
    </row>
    <row r="178" ht="15" customHeight="1" s="251">
      <c r="B178" s="25" t="inlineStr">
        <is>
          <t xml:space="preserve">  (+) Operating adjusting items (excl. stock-option compensation already added back)</t>
        </is>
      </c>
      <c r="C178" s="264">
        <f>IF(ISNUMBER(C157),C157-N(C155),"")</f>
        <v>6.786</v>
      </c>
      <c r="D178" s="264">
        <f>IF(ISNUMBER(D157),D157-N(D155),"")</f>
        <v>5.161</v>
      </c>
      <c r="E178" s="264">
        <f>IF(ISNUMBER(E157),E157-N(E155),"")</f>
        <v>1.1</v>
      </c>
      <c r="F178" s="264">
        <f>IF(ISNUMBER(F157),F157-N(F155),"")</f>
        <v>7.976</v>
      </c>
      <c r="G178" s="264">
        <f>IF(ISNUMBER(G157),G157-N(G155),"")</f>
        <v>4.052</v>
      </c>
      <c r="H178" s="264">
        <f>IF(ISNUMBER(H157),H157-N(H155),"")</f>
        <v>2.022</v>
      </c>
      <c r="I178" s="264">
        <f>IF(ISNUMBER(I157),I157-N(I155),"")</f>
        <v>0</v>
      </c>
      <c r="J178" s="264">
        <f>IF(ISNUMBER(J157),J157-N(J155),"")</f>
        <v>0</v>
      </c>
      <c r="K178" s="264">
        <f>IF(ISNUMBER(K157),K157-N(K155),"")</f>
        <v>0</v>
      </c>
      <c r="L178" s="264">
        <f>IF(ISNUMBER(L157),L157-N(L155),"")</f>
        <v>0</v>
      </c>
      <c r="M178" s="264">
        <f>IF(ISNUMBER(M157),M157-N(M155),"")</f>
        <v>6.918</v>
      </c>
      <c r="N178" s="264">
        <f>IF(ISNUMBER(N157),N157-N(N155),"")</f>
        <v>6.918</v>
      </c>
      <c r="O178" s="264">
        <f>IF(ISNUMBER(O157),O157-N(O155),"")</f>
        <v>0.628</v>
      </c>
      <c r="P178" s="264">
        <f>IF(ISNUMBER(P157),P157-N(P155),"")</f>
        <v>1.287</v>
      </c>
      <c r="Q178" s="264">
        <f>IF(ISNUMBER(Q157),Q157-N(Q155),"")</f>
        <v>0</v>
      </c>
      <c r="R178" s="264">
        <f>IF(ISNUMBER(R157),R157-N(R155),"")</f>
        <v>0</v>
      </c>
      <c r="S178" s="264">
        <f>IF(ISNUMBER(S157),S157-N(S155),"")</f>
        <v>2.042</v>
      </c>
      <c r="T178" s="264">
        <f>IF(ISNUMBER(T157),T157-N(T155),"")</f>
        <v>0</v>
      </c>
      <c r="U178" s="264">
        <f>IF(ISNUMBER(U157),U157-N(U155),"")</f>
        <v>6.382</v>
      </c>
      <c r="V178" s="264">
        <f>IF(ISNUMBER(V157),V157-N(V155),"")</f>
        <v>1.615</v>
      </c>
      <c r="W178" s="264">
        <f>IF(ISNUMBER(W157),W157-N(W155),"")</f>
        <v>0.06</v>
      </c>
      <c r="X178" s="264">
        <f>IF(ISNUMBER(X157),X157-N(X155),"")</f>
        <v>8.057</v>
      </c>
      <c r="Y178" s="264">
        <f>IF(ISNUMBER(Y157),Y157-N(Y155),"")</f>
        <v>7.119</v>
      </c>
      <c r="Z178" s="264">
        <f>IF(ISNUMBER(Z157),Z157-N(Z155),"")</f>
        <v>5.578</v>
      </c>
      <c r="AA178" s="264">
        <f>IF(ISNUMBER(AA157),AA157-N(AA155),"")</f>
        <v>0.587</v>
      </c>
      <c r="AB178" s="264">
        <f>IF(ISNUMBER(AB157),AB157-N(AB155),"")</f>
        <v>1.696</v>
      </c>
      <c r="AC178" s="264">
        <f>IF(ISNUMBER(AC157),AC157-N(AC155),"")</f>
        <v>14.98</v>
      </c>
      <c r="AD178" s="264">
        <f>IF(ISNUMBER(AD157),AD157-N(AD155),"")</f>
        <v>0.382</v>
      </c>
      <c r="AE178" s="264">
        <f>IF(ISNUMBER(AE157),AE157-N(AE155),"")</f>
        <v>0.222</v>
      </c>
      <c r="AF178" s="264">
        <f>IF(ISNUMBER(AF157),AF157-N(AF155),"")</f>
        <v>7.06</v>
      </c>
      <c r="AG178" s="264">
        <f>IF(ISNUMBER(AG157),AG157-N(AG155),"")</f>
        <v>0</v>
      </c>
      <c r="AH178" s="264">
        <f>IF(ISNUMBER(AH157),AH157-N(AH155),"")</f>
        <v>7.664</v>
      </c>
      <c r="AI178" s="264">
        <f>IF(ISNUMBER(AI157),AI157-N(AI155),"")</f>
        <v>0</v>
      </c>
      <c r="AJ178" s="264">
        <f>IF(ISNUMBER(AJ157),AJ157-N(AJ155),"")</f>
        <v>6.494</v>
      </c>
      <c r="AK178" s="264">
        <f>IF(ISNUMBER(AK157),AK157-N(AK155),"")</f>
        <v>1.091</v>
      </c>
      <c r="AL178" s="264">
        <f>IF(ISNUMBER(AL157),AL157-N(AL155),"")</f>
        <v>0.397</v>
      </c>
      <c r="AM178" s="264">
        <f>IF(ISNUMBER(AM157),AM157-N(AM155),"")</f>
        <v>7.982</v>
      </c>
      <c r="AN178" s="264">
        <f>IF(ISNUMBER(AN157),AN157-N(AN155),"")</f>
        <v>0</v>
      </c>
      <c r="AO178" s="264">
        <f>IF(ISNUMBER(AO157),AO157-N(AO155),"")</f>
        <v>0</v>
      </c>
      <c r="AP178" s="264">
        <f>IF(ISNUMBER(AP157),AP157-N(AP155),"")</f>
        <v>16.802</v>
      </c>
      <c r="AQ178" s="264">
        <f>IF(ISNUMBER(AQ157),AQ157-N(AQ155),"")</f>
        <v>0.922</v>
      </c>
      <c r="AR178" s="264">
        <f>IF(ISNUMBER(AR157),AR157-N(AR155),"")</f>
        <v>17.724</v>
      </c>
      <c r="AS178" s="264">
        <f>IF(ISNUMBER(AS157),AS157-N(AS155),"")</f>
        <v>0</v>
      </c>
      <c r="AT178" s="264">
        <f>IF(ISNUMBER(AT157),AT157-N(AT155),"")</f>
        <v>1.069</v>
      </c>
      <c r="AU178" s="264">
        <f>IF(ISNUMBER(AU157),AU157-N(AU155),"")</f>
        <v>0.334</v>
      </c>
      <c r="AV178" s="264">
        <f>IF(ISNUMBER(AV157),AV157-N(AV155),"")</f>
        <v>-0.538</v>
      </c>
      <c r="AW178" s="264">
        <f>IF(ISNUMBER(AW157),AW157-N(AW155),"")</f>
        <v>0.865</v>
      </c>
      <c r="AX178" s="264">
        <f>IF(ISNUMBER(AX157),AX157-N(AX155),"")</f>
        <v>1.119</v>
      </c>
      <c r="AY178" s="264">
        <f>IF(ISNUMBER(AY157),AY157-N(AY155),"")</f>
        <v>3.514</v>
      </c>
      <c r="AZ178" s="264">
        <f>IF(ISNUMBER(AZ157),AZ157-N(AZ155),"")</f>
        <v>1.341</v>
      </c>
      <c r="BA178" s="264">
        <f>IF(ISNUMBER(BA157),BA157-N(BA155),"")</f>
        <v>2.78</v>
      </c>
      <c r="BB178" s="264">
        <f>IF(ISNUMBER(BB157),BB157-N(BB155),"")</f>
        <v>8.754</v>
      </c>
      <c r="BC178" s="264">
        <f>IF(ISNUMBER(BC157),BC157-N(BC155),"")</f>
        <v>0.557</v>
      </c>
      <c r="BD178" s="264">
        <f>IF(ISNUMBER(BD157),BD157-N(BD155),"")</f>
        <v>3.42</v>
      </c>
      <c r="BE178" s="264">
        <f>IF(ISNUMBER(BE157),BE157-N(BE155),"")</f>
        <v>30.443</v>
      </c>
      <c r="BF178" s="264">
        <f>IF(ISNUMBER(BF157),BF157-N(BF155),"")</f>
        <v>12.528</v>
      </c>
      <c r="BG178" s="264">
        <f>IF(ISNUMBER(BG157),BG157-N(BG155),"")</f>
        <v>46.948</v>
      </c>
      <c r="BH178" s="264">
        <f>IF(ISNUMBER(BH157),BH157-N(BH155),"")</f>
        <v>3.787</v>
      </c>
      <c r="BI178" s="264">
        <f>IF(ISNUMBER(BI157),BI157-N(BI155),"")</f>
        <v>4.001</v>
      </c>
      <c r="BJ178" s="264">
        <f>IF(ISNUMBER(BJ157),BJ157-N(BJ155),"")</f>
        <v>1.247</v>
      </c>
      <c r="BK178" s="264">
        <f>IF(ISNUMBER(BK157),BK157-N(BK155),"")</f>
        <v>2.535</v>
      </c>
      <c r="BL178" s="264">
        <f>IF(ISNUMBER(BL157),BL157-N(BL155),"")</f>
        <v>11.57</v>
      </c>
      <c r="BM178" s="264">
        <f>IF(ISNUMBER(BM157),BM157-N(BM155),"")</f>
        <v>0.29</v>
      </c>
      <c r="BN178" s="264">
        <f>IF(ISNUMBER(BN157),BN157-N(BN155),"")</f>
        <v>0.656</v>
      </c>
      <c r="BO178" s="264">
        <f>IF(ISNUMBER(BO157),BO157-N(BO155),"")</f>
        <v>0.178</v>
      </c>
      <c r="BP178" s="264">
        <f>IF(ISNUMBER(BP157),BP157-N(BP155),"")</f>
        <v>2.143</v>
      </c>
      <c r="BQ178" s="264">
        <f>IF(ISNUMBER(BQ157),BQ157-N(BQ155),"")</f>
        <v>3.267</v>
      </c>
      <c r="BR178" s="264">
        <f>IF(ISNUMBER(BR157),BR157-N(BR155),"")</f>
        <v>0</v>
      </c>
      <c r="BS178" s="264">
        <f>IF(ISNUMBER(BS157),BS157-N(BS155),"")</f>
        <v>0.5</v>
      </c>
      <c r="BT178" s="264">
        <f>IF(ISNUMBER(BT157),BT157-N(BT155),"")</f>
        <v>0.1</v>
      </c>
      <c r="BU178" s="264">
        <f>IF(ISNUMBER(BU157),BU157-N(BU155),"")</f>
        <v>0.9</v>
      </c>
      <c r="BV178" s="264">
        <f>IF(ISNUMBER(BV157),BV157-N(BV155),"")</f>
        <v>1.5</v>
      </c>
      <c r="BW178" s="264">
        <f>IF(ISNUMBER(BW157),BW157-N(BW155),"")</f>
        <v>4.2</v>
      </c>
      <c r="BX178" s="264">
        <f>IF(ISNUMBER(BX157),BX157-N(BX155),"")</f>
        <v>7.2</v>
      </c>
      <c r="BY178" s="264">
        <f>IF(ISNUMBER(BY157),BY157-N(BY155),"")</f>
        <v>4.4</v>
      </c>
      <c r="BZ178" s="264">
        <f>IF(ISNUMBER(BZ157),BZ157-N(BZ155),"")</f>
        <v>5.2</v>
      </c>
      <c r="CA178" s="264">
        <f>IF(ISNUMBER(CA157),CA157-N(CA155),"")</f>
        <v>21</v>
      </c>
      <c r="CB178" s="264">
        <f>IF(ISNUMBER(CB157),CB157-N(CB155),"")</f>
        <v>0.4</v>
      </c>
      <c r="CC178" s="261">
        <f>IF(ISNUMBER(CC157),CC157-N(CC155),"")</f>
        <v>0.8</v>
      </c>
      <c r="CD178" s="261">
        <f>IF(ISNUMBER(CD157),CD157-N(CD155),"")</f>
        <v>0.5</v>
      </c>
      <c r="CE178" s="261">
        <f>IF(ISNUMBER(CE157),CE157-N(CE155),"")</f>
        <v>0.5</v>
      </c>
      <c r="CF178" s="261">
        <f>IF(ISNUMBER(CF157),CF157-N(CF155),"")</f>
        <v>2.2</v>
      </c>
      <c r="CG178" s="261">
        <f>IF(ISNUMBER(CG157),CG157-N(CG155),"")</f>
        <v>7</v>
      </c>
      <c r="CH178" s="261">
        <f>IF(ISNUMBER(CH157),CH157-N(CH155),"")</f>
        <v>7</v>
      </c>
      <c r="CI178" s="261">
        <f>IF(ISNUMBER(CI157),CI157-N(CI155),"")</f>
        <v>7</v>
      </c>
      <c r="CJ178" s="261">
        <f>IF(ISNUMBER(CJ157),CJ157-N(CJ155),"")</f>
        <v>7</v>
      </c>
      <c r="CK178" s="261">
        <f>IF(ISNUMBER(CK157),CK157-N(CK155),"")</f>
        <v>7</v>
      </c>
      <c r="CL178" s="19" t="n"/>
    </row>
    <row r="179" ht="15" customHeight="1" s="251">
      <c r="B179" s="55" t="inlineStr">
        <is>
          <t xml:space="preserve">  = Adjusted EBITDA</t>
        </is>
      </c>
      <c r="C179" s="271">
        <f>IF(AND(ISNUMBER(C175),ISNUMBER(C178)),C175+C178,"")</f>
        <v>55.061</v>
      </c>
      <c r="D179" s="271">
        <f>IF(AND(ISNUMBER(D175),ISNUMBER(D178)),D175+D178,"")</f>
        <v>67.493</v>
      </c>
      <c r="E179" s="271">
        <f>IF(AND(ISNUMBER(E175),ISNUMBER(E178)),E175+E178,"")</f>
        <v>75.67</v>
      </c>
      <c r="F179" s="271">
        <f>IF(AND(ISNUMBER(F175),ISNUMBER(F178)),F175+F178,"")</f>
        <v>77.608</v>
      </c>
      <c r="G179" s="271">
        <f>IF(AND(ISNUMBER(G175),ISNUMBER(G178)),G175+G178,"")</f>
        <v>53.734</v>
      </c>
      <c r="H179" s="271">
        <f>IF(AND(ISNUMBER(H175),ISNUMBER(H178)),H175+H178,"")</f>
        <v>75.243</v>
      </c>
      <c r="I179" s="271">
        <f>IF(AND(ISNUMBER(I175),ISNUMBER(I178)),I175+I178,"")</f>
        <v>95.959</v>
      </c>
      <c r="J179" s="271">
        <f>IF(AND(ISNUMBER(J175),ISNUMBER(J178)),J175+J178,"")</f>
        <v>26.804</v>
      </c>
      <c r="K179" s="271">
        <f>IF(AND(ISNUMBER(K175),ISNUMBER(K178)),K175+K178,"")</f>
        <v>26.201</v>
      </c>
      <c r="L179" s="271">
        <f>IF(AND(ISNUMBER(L175),ISNUMBER(L178)),L175+L178,"")</f>
        <v>24.43</v>
      </c>
      <c r="M179" s="271">
        <f>IF(AND(ISNUMBER(M175),ISNUMBER(M178)),M175+M178,"")</f>
        <v>27.591</v>
      </c>
      <c r="N179" s="271">
        <f>IF(AND(ISNUMBER(N175),ISNUMBER(N178)),N175+N178,"")</f>
        <v>105.026</v>
      </c>
      <c r="O179" s="271">
        <f>IF(AND(ISNUMBER(O175),ISNUMBER(O178)),O175+O178,"")</f>
        <v>27.881</v>
      </c>
      <c r="P179" s="271">
        <f>IF(AND(ISNUMBER(P175),ISNUMBER(P178)),P175+P178,"")</f>
        <v>28.177</v>
      </c>
      <c r="Q179" s="271">
        <f>IF(AND(ISNUMBER(Q175),ISNUMBER(Q178)),Q175+Q178,"")</f>
        <v>24.936</v>
      </c>
      <c r="R179" s="271">
        <f>IF(AND(ISNUMBER(R175),ISNUMBER(R178)),R175+R178,"")</f>
        <v>30.391</v>
      </c>
      <c r="S179" s="271">
        <f>IF(AND(ISNUMBER(S175),ISNUMBER(S178)),S175+S178,"")</f>
        <v>111.512</v>
      </c>
      <c r="T179" s="271">
        <f>IF(AND(ISNUMBER(T175),ISNUMBER(T178)),T175+T178,"")</f>
        <v>30.036</v>
      </c>
      <c r="U179" s="271">
        <f>IF(AND(ISNUMBER(U175),ISNUMBER(U178)),U175+U178,"")</f>
        <v>30.956</v>
      </c>
      <c r="V179" s="271">
        <f>IF(AND(ISNUMBER(V175),ISNUMBER(V178)),V175+V178,"")</f>
        <v>28.178</v>
      </c>
      <c r="W179" s="271">
        <f>IF(AND(ISNUMBER(W175),ISNUMBER(W178)),W175+W178,"")</f>
        <v>30.701</v>
      </c>
      <c r="X179" s="271">
        <f>IF(AND(ISNUMBER(X175),ISNUMBER(X178)),X175+X178,"")</f>
        <v>119.871</v>
      </c>
      <c r="Y179" s="271">
        <f>IF(AND(ISNUMBER(Y175),ISNUMBER(Y178)),Y175+Y178,"")</f>
        <v>37.275</v>
      </c>
      <c r="Z179" s="271">
        <f>IF(AND(ISNUMBER(Z175),ISNUMBER(Z178)),Z175+Z178,"")</f>
        <v>38.482</v>
      </c>
      <c r="AA179" s="271">
        <f>IF(AND(ISNUMBER(AA175),ISNUMBER(AA178)),AA175+AA178,"")</f>
        <v>36.902</v>
      </c>
      <c r="AB179" s="271">
        <f>IF(AND(ISNUMBER(AB175),ISNUMBER(AB178)),AB175+AB178,"")</f>
        <v>42.169</v>
      </c>
      <c r="AC179" s="271">
        <f>IF(AND(ISNUMBER(AC175),ISNUMBER(AC178)),AC175+AC178,"")</f>
        <v>154.828</v>
      </c>
      <c r="AD179" s="271">
        <f>IF(AND(ISNUMBER(AD175),ISNUMBER(AD178)),AD175+AD178,"")</f>
        <v>39.117</v>
      </c>
      <c r="AE179" s="271">
        <f>IF(AND(ISNUMBER(AE175),ISNUMBER(AE178)),AE175+AE178,"")</f>
        <v>39.913</v>
      </c>
      <c r="AF179" s="271">
        <f>IF(AND(ISNUMBER(AF175),ISNUMBER(AF178)),AF175+AF178,"")</f>
        <v>37.33</v>
      </c>
      <c r="AG179" s="271">
        <f>IF(AND(ISNUMBER(AG175),ISNUMBER(AG178)),AG175+AG178,"")</f>
        <v>44.48</v>
      </c>
      <c r="AH179" s="271">
        <f>IF(AND(ISNUMBER(AH175),ISNUMBER(AH178)),AH175+AH178,"")</f>
        <v>160.84</v>
      </c>
      <c r="AI179" s="271">
        <f>IF(AND(ISNUMBER(AI175),ISNUMBER(AI178)),AI175+AI178,"")</f>
        <v>42.126</v>
      </c>
      <c r="AJ179" s="271">
        <f>IF(AND(ISNUMBER(AJ175),ISNUMBER(AJ178)),AJ175+AJ178,"")</f>
        <v>42.314</v>
      </c>
      <c r="AK179" s="271">
        <f>IF(AND(ISNUMBER(AK175),ISNUMBER(AK178)),AK175+AK178,"")</f>
        <v>44.439</v>
      </c>
      <c r="AL179" s="271">
        <f>IF(AND(ISNUMBER(AL175),ISNUMBER(AL178)),AL175+AL178,"")</f>
        <v>49.007</v>
      </c>
      <c r="AM179" s="271">
        <f>IF(AND(ISNUMBER(AM175),ISNUMBER(AM178)),AM175+AM178,"")</f>
        <v>177.886</v>
      </c>
      <c r="AN179" s="271">
        <f>IF(AND(ISNUMBER(AN175),ISNUMBER(AN178)),AN175+AN178,"")</f>
        <v>47.077</v>
      </c>
      <c r="AO179" s="271">
        <f>IF(AND(ISNUMBER(AO175),ISNUMBER(AO178)),AO175+AO178,"")</f>
        <v>47.562</v>
      </c>
      <c r="AP179" s="271">
        <f>IF(AND(ISNUMBER(AP175),ISNUMBER(AP178)),AP175+AP178,"")</f>
        <v>47.854</v>
      </c>
      <c r="AQ179" s="271">
        <f>IF(AND(ISNUMBER(AQ175),ISNUMBER(AQ178)),AQ175+AQ178,"")</f>
        <v>53.011</v>
      </c>
      <c r="AR179" s="271">
        <f>IF(AND(ISNUMBER(AR175),ISNUMBER(AR178)),AR175+AR178,"")</f>
        <v>195.504</v>
      </c>
      <c r="AS179" s="271">
        <f>IF(AND(ISNUMBER(AS175),ISNUMBER(AS178)),AS175+AS178,"")</f>
        <v>50.812</v>
      </c>
      <c r="AT179" s="271">
        <f>IF(AND(ISNUMBER(AT175),ISNUMBER(AT178)),AT175+AT178,"")</f>
        <v>51.239</v>
      </c>
      <c r="AU179" s="271">
        <f>IF(AND(ISNUMBER(AU175),ISNUMBER(AU178)),AU175+AU178,"")</f>
        <v>50.888</v>
      </c>
      <c r="AV179" s="271">
        <f>IF(AND(ISNUMBER(AV175),ISNUMBER(AV178)),AV175+AV178,"")</f>
        <v>56.281</v>
      </c>
      <c r="AW179" s="271">
        <f>IF(AND(ISNUMBER(AW175),ISNUMBER(AW178)),AW175+AW178,"")</f>
        <v>209.22</v>
      </c>
      <c r="AX179" s="271">
        <f>IF(AND(ISNUMBER(AX175),ISNUMBER(AX178)),AX175+AX178,"")</f>
        <v>43.767</v>
      </c>
      <c r="AY179" s="271">
        <f>IF(AND(ISNUMBER(AY175),ISNUMBER(AY178)),AY175+AY178,"")</f>
        <v>43.545</v>
      </c>
      <c r="AZ179" s="271">
        <f>IF(AND(ISNUMBER(AZ175),ISNUMBER(AZ178)),AZ175+AZ178,"")</f>
        <v>41.034</v>
      </c>
      <c r="BA179" s="271">
        <f>IF(AND(ISNUMBER(BA175),ISNUMBER(BA178)),BA175+BA178,"")</f>
        <v>45.909</v>
      </c>
      <c r="BB179" s="271">
        <f>IF(AND(ISNUMBER(BB175),ISNUMBER(BB178)),BB175+BB178,"")</f>
        <v>174.255</v>
      </c>
      <c r="BC179" s="271">
        <f>IF(AND(ISNUMBER(BC175),ISNUMBER(BC178)),BC175+BC178,"")</f>
        <v>45.264</v>
      </c>
      <c r="BD179" s="271">
        <f>IF(AND(ISNUMBER(BD175),ISNUMBER(BD178)),BD175+BD178,"")</f>
        <v>45.412</v>
      </c>
      <c r="BE179" s="271">
        <f>IF(AND(ISNUMBER(BE175),ISNUMBER(BE178)),BE175+BE178,"")</f>
        <v>71.35</v>
      </c>
      <c r="BF179" s="271">
        <f>IF(AND(ISNUMBER(BF175),ISNUMBER(BF178)),BF175+BF178,"")</f>
        <v>104.442</v>
      </c>
      <c r="BG179" s="271">
        <f>IF(AND(ISNUMBER(BG175),ISNUMBER(BG178)),BG175+BG178,"")</f>
        <v>266.468</v>
      </c>
      <c r="BH179" s="271">
        <f>IF(AND(ISNUMBER(BH175),ISNUMBER(BH178)),BH175+BH178,"")</f>
        <v>100.718</v>
      </c>
      <c r="BI179" s="271">
        <f>IF(AND(ISNUMBER(BI175),ISNUMBER(BI178)),BI175+BI178,"")</f>
        <v>108.798</v>
      </c>
      <c r="BJ179" s="271">
        <f>IF(AND(ISNUMBER(BJ175),ISNUMBER(BJ178)),BJ175+BJ178,"")</f>
        <v>103.256</v>
      </c>
      <c r="BK179" s="271">
        <f>IF(AND(ISNUMBER(BK175),ISNUMBER(BK178)),BK175+BK178,"")</f>
        <v>121.181</v>
      </c>
      <c r="BL179" s="271">
        <f>IF(AND(ISNUMBER(BL175),ISNUMBER(BL178)),BL175+BL178,"")</f>
        <v>433.97</v>
      </c>
      <c r="BM179" s="271">
        <f>IF(AND(ISNUMBER(BM175),ISNUMBER(BM178)),BM175+BM178,"")</f>
        <v>120.404</v>
      </c>
      <c r="BN179" s="271">
        <f>IF(AND(ISNUMBER(BN175),ISNUMBER(BN178)),BN175+BN178,"")</f>
        <v>122.089</v>
      </c>
      <c r="BO179" s="271">
        <f>IF(AND(ISNUMBER(BO175),ISNUMBER(BO178)),BO175+BO178,"")</f>
        <v>109.569</v>
      </c>
      <c r="BP179" s="271">
        <f>IF(AND(ISNUMBER(BP175),ISNUMBER(BP178)),BP175+BP178,"")</f>
        <v>130.095</v>
      </c>
      <c r="BQ179" s="271">
        <f>IF(AND(ISNUMBER(BQ175),ISNUMBER(BQ178)),BQ175+BQ178,"")</f>
        <v>482.167</v>
      </c>
      <c r="BR179" s="271">
        <f>IF(AND(ISNUMBER(BR175),ISNUMBER(BR178)),BR175+BR178,"")</f>
        <v>134</v>
      </c>
      <c r="BS179" s="271">
        <f>IF(AND(ISNUMBER(BS175),ISNUMBER(BS178)),BS175+BS178,"")</f>
        <v>123.4</v>
      </c>
      <c r="BT179" s="271">
        <f>IF(AND(ISNUMBER(BT175),ISNUMBER(BT178)),BT175+BT178,"")</f>
        <v>122.6</v>
      </c>
      <c r="BU179" s="271">
        <f>IF(AND(ISNUMBER(BU175),ISNUMBER(BU178)),BU175+BU178,"")</f>
        <v>139.8</v>
      </c>
      <c r="BV179" s="271">
        <f>IF(AND(ISNUMBER(BV175),ISNUMBER(BV178)),BV175+BV178,"")</f>
        <v>519.8</v>
      </c>
      <c r="BW179" s="271">
        <f>IF(AND(ISNUMBER(BW175),ISNUMBER(BW178)),BW175+BW178,"")</f>
        <v>141.5</v>
      </c>
      <c r="BX179" s="271">
        <f>IF(AND(ISNUMBER(BX175),ISNUMBER(BX178)),BX175+BX178,"")</f>
        <v>145.3</v>
      </c>
      <c r="BY179" s="271">
        <f>IF(AND(ISNUMBER(BY175),ISNUMBER(BY178)),BY175+BY178,"")</f>
        <v>149.6</v>
      </c>
      <c r="BZ179" s="271">
        <f>IF(AND(ISNUMBER(BZ175),ISNUMBER(BZ178)),BZ175+BZ178,"")</f>
        <v>168.9</v>
      </c>
      <c r="CA179" s="271">
        <f>IF(AND(ISNUMBER(CA175),ISNUMBER(CA178)),CA175+CA178,"")</f>
        <v>605.3</v>
      </c>
      <c r="CB179" s="271">
        <f>IF(AND(ISNUMBER(CB175),ISNUMBER(CB178)),CB175+CB178,"")</f>
        <v>181.2</v>
      </c>
      <c r="CC179" s="271">
        <f>IF(AND(ISNUMBER(CC175),ISNUMBER(CC178)),CC175+CC178,"")</f>
        <v>166.525120307988</v>
      </c>
      <c r="CD179" s="271">
        <f>IF(AND(ISNUMBER(CD175),ISNUMBER(CD178)),CD175+CD178,"")</f>
        <v>169.357163955481</v>
      </c>
      <c r="CE179" s="271">
        <f>IF(AND(ISNUMBER(CE175),ISNUMBER(CE178)),CE175+CE178,"")</f>
        <v>206.380736812523</v>
      </c>
      <c r="CF179" s="271">
        <f>IF(AND(ISNUMBER(CF175),ISNUMBER(CF178)),CF175+CF178,"")</f>
        <v>723.463021075993</v>
      </c>
      <c r="CG179" s="271">
        <f>IF(AND(ISNUMBER(CG175),ISNUMBER(CG178)),CG175+CG178,"")</f>
        <v>817.009114446059</v>
      </c>
      <c r="CH179" s="271">
        <f>IF(AND(ISNUMBER(CH175),ISNUMBER(CH178)),CH175+CH178,"")</f>
        <v>919.171644953639</v>
      </c>
      <c r="CI179" s="271">
        <f>IF(AND(ISNUMBER(CI175),ISNUMBER(CI178)),CI175+CI178,"")</f>
        <v>1023.61113383704</v>
      </c>
      <c r="CJ179" s="271">
        <f>IF(AND(ISNUMBER(CJ175),ISNUMBER(CJ178)),CJ175+CJ178,"")</f>
        <v>1123.38495461038</v>
      </c>
      <c r="CK179" s="271">
        <f>IF(AND(ISNUMBER(CK175),ISNUMBER(CK178)),CK175+CK178,"")</f>
        <v>1222.06801092962</v>
      </c>
      <c r="CL179" s="153" t="inlineStr">
        <is>
          <t>Equals adjusted operating income + D&amp;A + stock compensation. Published as "adjusted operating income plus depreciation / amortization plus incentive stock compensation" from Q2 FY16 and as Adjusted EBITDA from Q3 FY22. Used for leverage and EV / EBITDA.</t>
        </is>
      </c>
      <c r="CN179" s="20">
        <f>IFERROR((CK179/CF179)^(1/5)-1,"n/m")</f>
        <v>0.110544096218723</v>
      </c>
      <c r="CO179" s="20">
        <f>IFERROR((CA179/BB179)^(1/5)-1,"n/m")</f>
        <v>0.282794487840711</v>
      </c>
      <c r="CP179" s="20">
        <f>IFERROR((CA179/AC179)^(1/10)-1,"n/m")</f>
        <v>0.146072566630089</v>
      </c>
      <c r="CQ179" s="20">
        <f>IFERROR((CA179/C179)^(1/20)-1,"n/m")</f>
        <v>0.127343665682518</v>
      </c>
    </row>
    <row r="180" ht="15" customHeight="1" s="251">
      <c r="B180" s="25" t="inlineStr">
        <is>
          <t xml:space="preserve">  Adjusted EBITDA margin %</t>
        </is>
      </c>
      <c r="C180" s="215">
        <f>IF(AND(ISNUMBER(C179),ISNUMBER(C108)),IFERROR(C179/C108,""),"")</f>
        <v>0.200579944555552</v>
      </c>
      <c r="D180" s="215">
        <f>IF(AND(ISNUMBER(D179),ISNUMBER(D108)),IFERROR(D179/D108,""),"")</f>
        <v>0.22052067881671</v>
      </c>
      <c r="E180" s="215">
        <f>IF(AND(ISNUMBER(E179),ISNUMBER(E108)),IFERROR(E179/E108,""),"")</f>
        <v>0.228886872353297</v>
      </c>
      <c r="F180" s="215">
        <f>IF(AND(ISNUMBER(F179),ISNUMBER(F108)),IFERROR(F179/F108,""),"")</f>
        <v>0.218124992973502</v>
      </c>
      <c r="G180" s="215">
        <f>IF(AND(ISNUMBER(G179),ISNUMBER(G108)),IFERROR(G179/G108,""),"")</f>
        <v>0.195608331937882</v>
      </c>
      <c r="H180" s="215">
        <f>IF(AND(ISNUMBER(H179),ISNUMBER(H108)),IFERROR(H179/H108,""),"")</f>
        <v>0.224187709497207</v>
      </c>
      <c r="I180" s="215">
        <f>IF(AND(ISNUMBER(I179),ISNUMBER(I108)),IFERROR(I179/I108,""),"")</f>
        <v>0.241399609067422</v>
      </c>
      <c r="J180" s="215">
        <f>IF(AND(ISNUMBER(J179),ISNUMBER(J108)),IFERROR(J179/J108,""),"")</f>
        <v>0.25939187489113</v>
      </c>
      <c r="K180" s="215">
        <f>IF(AND(ISNUMBER(K179),ISNUMBER(K108)),IFERROR(K179/K108,""),"")</f>
        <v>0.261031133250311</v>
      </c>
      <c r="L180" s="215">
        <f>IF(AND(ISNUMBER(L179),ISNUMBER(L108)),IFERROR(L179/L108,""),"")</f>
        <v>0.253591596080385</v>
      </c>
      <c r="M180" s="215">
        <f>IF(AND(ISNUMBER(M179),ISNUMBER(M108)),IFERROR(M179/M108,""),"")</f>
        <v>0.267858183018465</v>
      </c>
      <c r="N180" s="215">
        <f>IF(AND(ISNUMBER(N179),ISNUMBER(N108)),IFERROR(N179/N108,""),"")</f>
        <v>0.260577445534188</v>
      </c>
      <c r="O180" s="215">
        <f>IF(AND(ISNUMBER(O179),ISNUMBER(O108)),IFERROR(O179/O108,""),"")</f>
        <v>0.27156465500448</v>
      </c>
      <c r="P180" s="215">
        <f>IF(AND(ISNUMBER(P179),ISNUMBER(P108)),IFERROR(P179/P108,""),"")</f>
        <v>0.276369735370854</v>
      </c>
      <c r="Q180" s="215">
        <f>IF(AND(ISNUMBER(Q179),ISNUMBER(Q108)),IFERROR(Q179/Q108,""),"")</f>
        <v>0.248005887852326</v>
      </c>
      <c r="R180" s="215">
        <f>IF(AND(ISNUMBER(R179),ISNUMBER(R108)),IFERROR(R179/R108,""),"")</f>
        <v>0.267248808456005</v>
      </c>
      <c r="S180" s="215">
        <f>IF(AND(ISNUMBER(S179),ISNUMBER(S108)),IFERROR(S179/S108,""),"")</f>
        <v>0.266210854504567</v>
      </c>
      <c r="T180" s="215">
        <f>IF(AND(ISNUMBER(T179),ISNUMBER(T108)),IFERROR(T179/T108,""),"")</f>
        <v>0.265842951214331</v>
      </c>
      <c r="U180" s="215">
        <f>IF(AND(ISNUMBER(U179),ISNUMBER(U108)),IFERROR(U179/U108,""),"")</f>
        <v>0.2750299853405</v>
      </c>
      <c r="V180" s="215">
        <f>IF(AND(ISNUMBER(V179),ISNUMBER(V108)),IFERROR(V179/V108,""),"")</f>
        <v>0.265025112394425</v>
      </c>
      <c r="W180" s="215">
        <f>IF(AND(ISNUMBER(W179),ISNUMBER(W108)),IFERROR(W179/W108,""),"")</f>
        <v>0.270691342567693</v>
      </c>
      <c r="X180" s="215">
        <f>IF(AND(ISNUMBER(X179),ISNUMBER(X108)),IFERROR(X179/X108,""),"")</f>
        <v>0.269204856292024</v>
      </c>
      <c r="Y180" s="215">
        <f>IF(AND(ISNUMBER(Y179),ISNUMBER(Y108)),IFERROR(Y179/Y108,""),"")</f>
        <v>0.261931866093263</v>
      </c>
      <c r="Z180" s="215">
        <f>IF(AND(ISNUMBER(Z179),ISNUMBER(Z108)),IFERROR(Z179/Z108,""),"")</f>
        <v>0.258796470651531</v>
      </c>
      <c r="AA180" s="215">
        <f>IF(AND(ISNUMBER(AA179),ISNUMBER(AA108)),IFERROR(AA179/AA108,""),"")</f>
        <v>0.25588006878571</v>
      </c>
      <c r="AB180" s="215">
        <f>IF(AND(ISNUMBER(AB179),ISNUMBER(AB108)),IFERROR(AB179/AB108,""),"")</f>
        <v>0.259898183073244</v>
      </c>
      <c r="AC180" s="215">
        <f>IF(AND(ISNUMBER(AC179),ISNUMBER(AC108)),IFERROR(AC179/AC108,""),"")</f>
        <v>0.259138503561673</v>
      </c>
      <c r="AD180" s="215">
        <f>IF(AND(ISNUMBER(AD179),ISNUMBER(AD108)),IFERROR(AD179/AD108,""),"")</f>
        <v>0.253055072163748</v>
      </c>
      <c r="AE180" s="215">
        <f>IF(AND(ISNUMBER(AE179),ISNUMBER(AE108)),IFERROR(AE179/AE108,""),"")</f>
        <v>0.259271288723748</v>
      </c>
      <c r="AF180" s="215">
        <f>IF(AND(ISNUMBER(AF179),ISNUMBER(AF108)),IFERROR(AF179/AF108,""),"")</f>
        <v>0.254541239362863</v>
      </c>
      <c r="AG180" s="215">
        <f>IF(AND(ISNUMBER(AG179),ISNUMBER(AG108)),IFERROR(AG179/AG108,""),"")</f>
        <v>0.277635603270707</v>
      </c>
      <c r="AH180" s="215">
        <f>IF(AND(ISNUMBER(AH179),ISNUMBER(AH108)),IFERROR(AH179/AH108,""),"")</f>
        <v>0.261363562500406</v>
      </c>
      <c r="AI180" s="215">
        <f>IF(AND(ISNUMBER(AI179),ISNUMBER(AI108)),IFERROR(AI179/AI108,""),"")</f>
        <v>0.257027279327871</v>
      </c>
      <c r="AJ180" s="215">
        <f>IF(AND(ISNUMBER(AJ179),ISNUMBER(AJ108)),IFERROR(AJ179/AJ108,""),"")</f>
        <v>0.257514438554745</v>
      </c>
      <c r="AK180" s="215">
        <f>IF(AND(ISNUMBER(AK179),ISNUMBER(AK108)),IFERROR(AK179/AK108,""),"")</f>
        <v>0.266328255163073</v>
      </c>
      <c r="AL180" s="215">
        <f>IF(AND(ISNUMBER(AL179),ISNUMBER(AL108)),IFERROR(AL179/AL108,""),"")</f>
        <v>0.272447283421449</v>
      </c>
      <c r="AM180" s="215">
        <f>IF(AND(ISNUMBER(AM179),ISNUMBER(AM108)),IFERROR(AM179/AM108,""),"")</f>
        <v>0.263554727838696</v>
      </c>
      <c r="AN180" s="215">
        <f>IF(AND(ISNUMBER(AN179),ISNUMBER(AN108)),IFERROR(AN179/AN108,""),"")</f>
        <v>0.26750575333125</v>
      </c>
      <c r="AO180" s="215">
        <f>IF(AND(ISNUMBER(AO179),ISNUMBER(AO108)),IFERROR(AO179/AO108,""),"")</f>
        <v>0.275058409863749</v>
      </c>
      <c r="AP180" s="215">
        <f>IF(AND(ISNUMBER(AP179),ISNUMBER(AP108)),IFERROR(AP179/AP108,""),"")</f>
        <v>0.279108560363482</v>
      </c>
      <c r="AQ180" s="215">
        <f>IF(AND(ISNUMBER(AQ179),ISNUMBER(AQ108)),IFERROR(AQ179/AQ108,""),"")</f>
        <v>0.291010199712344</v>
      </c>
      <c r="AR180" s="215">
        <f>IF(AND(ISNUMBER(AR179),ISNUMBER(AR108)),IFERROR(AR179/AR108,""),"")</f>
        <v>0.278291170592556</v>
      </c>
      <c r="AS180" s="215">
        <f>IF(AND(ISNUMBER(AS179),ISNUMBER(AS108)),IFERROR(AS179/AS108,""),"")</f>
        <v>0.278132355356068</v>
      </c>
      <c r="AT180" s="215">
        <f>IF(AND(ISNUMBER(AT179),ISNUMBER(AT108)),IFERROR(AT179/AT108,""),"")</f>
        <v>0.281673803934935</v>
      </c>
      <c r="AU180" s="215">
        <f>IF(AND(ISNUMBER(AU179),ISNUMBER(AU108)),IFERROR(AU179/AU108,""),"")</f>
        <v>0.287471966286105</v>
      </c>
      <c r="AV180" s="215">
        <f>IF(AND(ISNUMBER(AV179),ISNUMBER(AV108)),IFERROR(AV179/AV108,""),"")</f>
        <v>0.302841645905415</v>
      </c>
      <c r="AW180" s="215">
        <f>IF(AND(ISNUMBER(AW179),ISNUMBER(AW108)),IFERROR(AW179/AW108,""),"")</f>
        <v>0.28760304676127</v>
      </c>
      <c r="AX180" s="215">
        <f>IF(AND(ISNUMBER(AX179),ISNUMBER(AX108)),IFERROR(AX179/AX108,""),"")</f>
        <v>0.279673851226573</v>
      </c>
      <c r="AY180" s="215">
        <f>IF(AND(ISNUMBER(AY179),ISNUMBER(AY108)),IFERROR(AY179/AY108,""),"")</f>
        <v>0.297570642703386</v>
      </c>
      <c r="AZ180" s="215">
        <f>IF(AND(ISNUMBER(AZ179),ISNUMBER(AZ108)),IFERROR(AZ179/AZ108,""),"")</f>
        <v>0.281322629078369</v>
      </c>
      <c r="BA180" s="215">
        <f>IF(AND(ISNUMBER(BA179),ISNUMBER(BA108)),IFERROR(BA179/BA108,""),"")</f>
        <v>0.286403194110858</v>
      </c>
      <c r="BB180" s="215">
        <f>IF(AND(ISNUMBER(BB179),ISNUMBER(BB108)),IFERROR(BB179/BB108,""),"")</f>
        <v>0.286140522575306</v>
      </c>
      <c r="BC180" s="215">
        <f>IF(AND(ISNUMBER(BC179),ISNUMBER(BC108)),IFERROR(BC179/BC108,""),"")</f>
        <v>0.289773054639736</v>
      </c>
      <c r="BD180" s="215">
        <f>IF(AND(ISNUMBER(BD179),ISNUMBER(BD108)),IFERROR(BD179/BD108,""),"")</f>
        <v>0.282237414543195</v>
      </c>
      <c r="BE180" s="215">
        <f>IF(AND(ISNUMBER(BE179),ISNUMBER(BE108)),IFERROR(BE179/BE108,""),"")</f>
        <v>0.267275512918004</v>
      </c>
      <c r="BF180" s="215">
        <f>IF(AND(ISNUMBER(BF179),ISNUMBER(BF108)),IFERROR(BF179/BF108,""),"")</f>
        <v>0.291022879577796</v>
      </c>
      <c r="BG180" s="215">
        <f>IF(AND(ISNUMBER(BG179),ISNUMBER(BG108)),IFERROR(BG179/BG108,""),"")</f>
        <v>0.282593640932533</v>
      </c>
      <c r="BH180" s="215">
        <f>IF(AND(ISNUMBER(BH179),ISNUMBER(BH108)),IFERROR(BH179/BH108,""),"")</f>
        <v>0.284449841843651</v>
      </c>
      <c r="BI180" s="215">
        <f>IF(AND(ISNUMBER(BI179),ISNUMBER(BI108)),IFERROR(BI179/BI108,""),"")</f>
        <v>0.294712149244109</v>
      </c>
      <c r="BJ180" s="215">
        <f>IF(AND(ISNUMBER(BJ179),ISNUMBER(BJ108)),IFERROR(BJ179/BJ108,""),"")</f>
        <v>0.293653750444365</v>
      </c>
      <c r="BK180" s="215">
        <f>IF(AND(ISNUMBER(BK179),ISNUMBER(BK108)),IFERROR(BK179/BK108,""),"")</f>
        <v>0.307236918833128</v>
      </c>
      <c r="BL180" s="215">
        <f>IF(AND(ISNUMBER(BL179),ISNUMBER(BL108)),IFERROR(BL179/BL108,""),"")</f>
        <v>0.295358333900497</v>
      </c>
      <c r="BM180" s="215">
        <f>IF(AND(ISNUMBER(BM179),ISNUMBER(BM108)),IFERROR(BM179/BM108,""),"")</f>
        <v>0.311023398308544</v>
      </c>
      <c r="BN180" s="215">
        <f>IF(AND(ISNUMBER(BN179),ISNUMBER(BN108)),IFERROR(BN179/BN108,""),"")</f>
        <v>0.316643843432614</v>
      </c>
      <c r="BO180" s="215">
        <f>IF(AND(ISNUMBER(BO179),ISNUMBER(BO108)),IFERROR(BO179/BO108,""),"")</f>
        <v>0.293038892127968</v>
      </c>
      <c r="BP180" s="215">
        <f>IF(AND(ISNUMBER(BP179),ISNUMBER(BP108)),IFERROR(BP179/BP108,""),"")</f>
        <v>0.314482208470315</v>
      </c>
      <c r="BQ180" s="215">
        <f>IF(AND(ISNUMBER(BQ179),ISNUMBER(BQ108)),IFERROR(BQ179/BQ108,""),"")</f>
        <v>0.309021982951996</v>
      </c>
      <c r="BR180" s="215">
        <f>IF(AND(ISNUMBER(BR179),ISNUMBER(BR108)),IFERROR(BR179/BR108,""),"")</f>
        <v>0.329805562392321</v>
      </c>
      <c r="BS180" s="215">
        <f>IF(AND(ISNUMBER(BS179),ISNUMBER(BS108)),IFERROR(BS179/BS108,""),"")</f>
        <v>0.310128172907766</v>
      </c>
      <c r="BT180" s="215">
        <f>IF(AND(ISNUMBER(BT179),ISNUMBER(BT108)),IFERROR(BT179/BT108,""),"")</f>
        <v>0.310851926977688</v>
      </c>
      <c r="BU180" s="215">
        <f>IF(AND(ISNUMBER(BU179),ISNUMBER(BU108)),IFERROR(BU179/BU108,""),"")</f>
        <v>0.319396847155586</v>
      </c>
      <c r="BV180" s="215">
        <f>IF(AND(ISNUMBER(BV179),ISNUMBER(BV108)),IFERROR(BV179/BV108,""),"")</f>
        <v>0.317667909307584</v>
      </c>
      <c r="BW180" s="215">
        <f>IF(AND(ISNUMBER(BW179),ISNUMBER(BW108)),IFERROR(BW179/BW108,""),"")</f>
        <v>0.32454128440367</v>
      </c>
      <c r="BX180" s="215">
        <f>IF(AND(ISNUMBER(BX179),ISNUMBER(BX108)),IFERROR(BX179/BX108,""),"")</f>
        <v>0.3191302437953</v>
      </c>
      <c r="BY180" s="215">
        <f>IF(AND(ISNUMBER(BY179),ISNUMBER(BY108)),IFERROR(BY179/BY108,""),"")</f>
        <v>0.324090121317158</v>
      </c>
      <c r="BZ180" s="215">
        <f>IF(AND(ISNUMBER(BZ179),ISNUMBER(BZ108)),IFERROR(BZ179/BZ108,""),"")</f>
        <v>0.326061776061776</v>
      </c>
      <c r="CA180" s="215">
        <f>IF(AND(ISNUMBER(CA179),ISNUMBER(CA108)),IFERROR(CA179/CA108,""),"")</f>
        <v>0.323534127959805</v>
      </c>
      <c r="CB180" s="215">
        <f>IF(AND(ISNUMBER(CB179),ISNUMBER(CB108)),IFERROR(CB179/CB108,""),"")</f>
        <v>0.348796920115496</v>
      </c>
      <c r="CC180" s="256">
        <f>IF(AND(ISNUMBER(CC179),ISNUMBER(CC108)),IFERROR(CC179/CC108,""),"")</f>
        <v>0.326519843741154</v>
      </c>
      <c r="CD180" s="256">
        <f>IF(AND(ISNUMBER(CD179),ISNUMBER(CD108)),IFERROR(CD179/CD108,""),"")</f>
        <v>0.331426827230947</v>
      </c>
      <c r="CE180" s="256">
        <f>IF(AND(ISNUMBER(CE179),ISNUMBER(CE108)),IFERROR(CE179/CE108,""),"")</f>
        <v>0.334695761786107</v>
      </c>
      <c r="CF180" s="256">
        <f>IF(AND(ISNUMBER(CF179),ISNUMBER(CF108)),IFERROR(CF179/CF108,""),"")</f>
        <v>0.335384378972393</v>
      </c>
      <c r="CG180" s="256">
        <f>IF(AND(ISNUMBER(CG179),ISNUMBER(CG108)),IFERROR(CG179/CG108,""),"")</f>
        <v>0.342593796571598</v>
      </c>
      <c r="CH180" s="256">
        <f>IF(AND(ISNUMBER(CH179),ISNUMBER(CH108)),IFERROR(CH179/CH108,""),"")</f>
        <v>0.344727542311292</v>
      </c>
      <c r="CI180" s="256">
        <f>IF(AND(ISNUMBER(CI179),ISNUMBER(CI108)),IFERROR(CI179/CI108,""),"")</f>
        <v>0.34706883579314</v>
      </c>
      <c r="CJ180" s="256">
        <f>IF(AND(ISNUMBER(CJ179),ISNUMBER(CJ108)),IFERROR(CJ179/CJ108,""),"")</f>
        <v>0.346961167610061</v>
      </c>
      <c r="CK180" s="256">
        <f>IF(AND(ISNUMBER(CK179),ISNUMBER(CK108)),IFERROR(CK179/CK108,""),"")</f>
        <v>0.34692692537488</v>
      </c>
      <c r="CL180" s="153" t="n"/>
      <c r="CN180" s="37">
        <f>IFERROR(AVERAGE(CG180,CH180,CI180,CJ180,CK180),"n/m")</f>
        <v>0.345655653532194</v>
      </c>
      <c r="CO180" s="37">
        <f>IFERROR(AVERAGE(BG180,BL180,BQ180,BV180,CA180),"n/m")</f>
        <v>0.305635199010483</v>
      </c>
      <c r="CP180" s="37">
        <f>IFERROR(AVERAGE(AH180,AM180,AR180,AW180,BB180,BG180,BL180,BQ180,BV180,CA180),"n/m")</f>
        <v>0.290512902532065</v>
      </c>
      <c r="CQ180" s="37">
        <f>IFERROR(AVERAGE(C180,D180,E180,F180,G180,H180,I180,N180,S180,X180,AC180,AH180,AM180,AR180,AW180,BB180,BG180,BL180,BQ180,BV180,CA180),"n/m")</f>
        <v>0.261408039257842</v>
      </c>
    </row>
    <row r="181" ht="15" customHeight="1" s="251">
      <c r="B181" s="156" t="inlineStr">
        <is>
          <t xml:space="preserve">  Company-published adjusted EBITDA</t>
        </is>
      </c>
      <c r="C181" s="34" t="n"/>
      <c r="D181" s="34" t="n"/>
      <c r="E181" s="34" t="n"/>
      <c r="F181" s="34" t="n"/>
      <c r="G181" s="34" t="n"/>
      <c r="H181" s="34" t="n"/>
      <c r="I181" s="34" t="n"/>
      <c r="J181" s="34" t="n"/>
      <c r="K181" s="34" t="n"/>
      <c r="L181" s="34" t="n"/>
      <c r="M181" s="34" t="n"/>
      <c r="N181" s="34" t="n"/>
      <c r="O181" s="34" t="n"/>
      <c r="P181" s="34" t="n"/>
      <c r="Q181" s="34" t="n"/>
      <c r="R181" s="34" t="n"/>
      <c r="S181" s="34" t="n"/>
      <c r="T181" s="34" t="n"/>
      <c r="U181" s="34" t="n"/>
      <c r="V181" s="34" t="n"/>
      <c r="W181" s="34" t="n"/>
      <c r="X181" s="34" t="n"/>
      <c r="Y181" s="34" t="n"/>
      <c r="Z181" s="259" t="n">
        <v>38.482</v>
      </c>
      <c r="AA181" s="259" t="n">
        <v>36.902</v>
      </c>
      <c r="AB181" s="259" t="n">
        <v>42.169</v>
      </c>
      <c r="AC181" s="259" t="n">
        <v>154.828</v>
      </c>
      <c r="AD181" s="259" t="n">
        <v>39.117</v>
      </c>
      <c r="AE181" s="259" t="n">
        <v>39.913</v>
      </c>
      <c r="AF181" s="259" t="n">
        <v>37.33</v>
      </c>
      <c r="AG181" s="259" t="n">
        <v>44.48</v>
      </c>
      <c r="AH181" s="259" t="n">
        <v>160.84</v>
      </c>
      <c r="AI181" s="259" t="n">
        <v>42.126</v>
      </c>
      <c r="AJ181" s="259" t="n">
        <v>42.314</v>
      </c>
      <c r="AK181" s="259" t="n">
        <v>44.439</v>
      </c>
      <c r="AL181" s="259" t="n">
        <v>49.007</v>
      </c>
      <c r="AM181" s="259" t="n">
        <v>177.886</v>
      </c>
      <c r="AN181" s="259" t="n">
        <v>47.077</v>
      </c>
      <c r="AO181" s="259" t="n">
        <v>47.562</v>
      </c>
      <c r="AP181" s="259" t="n">
        <v>47.854</v>
      </c>
      <c r="AQ181" s="34" t="n"/>
      <c r="AR181" s="34" t="n"/>
      <c r="AS181" s="259" t="n">
        <v>50.812</v>
      </c>
      <c r="AT181" s="259" t="n">
        <v>51.239</v>
      </c>
      <c r="AU181" s="259" t="n">
        <v>50.888</v>
      </c>
      <c r="AV181" s="259" t="n">
        <v>56.281</v>
      </c>
      <c r="AW181" s="259" t="n">
        <v>209.22</v>
      </c>
      <c r="AX181" s="34" t="n"/>
      <c r="AY181" s="259" t="n">
        <v>43.545</v>
      </c>
      <c r="AZ181" s="259" t="n">
        <v>41.034</v>
      </c>
      <c r="BA181" s="259" t="n">
        <v>45.909</v>
      </c>
      <c r="BB181" s="259" t="n">
        <v>174.255</v>
      </c>
      <c r="BC181" s="259" t="n">
        <v>45.264</v>
      </c>
      <c r="BD181" s="259" t="n">
        <v>45.412</v>
      </c>
      <c r="BE181" s="259" t="n">
        <v>71.34999999999999</v>
      </c>
      <c r="BF181" s="259" t="n">
        <v>104.442</v>
      </c>
      <c r="BG181" s="259" t="n">
        <v>266.468</v>
      </c>
      <c r="BH181" s="259" t="n">
        <v>100.718</v>
      </c>
      <c r="BI181" s="259" t="n">
        <v>108.798</v>
      </c>
      <c r="BJ181" s="259" t="n">
        <v>103.256</v>
      </c>
      <c r="BK181" s="259" t="n">
        <v>121.148</v>
      </c>
      <c r="BL181" s="259" t="n">
        <v>433.92</v>
      </c>
      <c r="BM181" s="259" t="n">
        <v>120.382</v>
      </c>
      <c r="BN181" s="259" t="n">
        <v>122.124</v>
      </c>
      <c r="BO181" s="259" t="n">
        <v>109.536</v>
      </c>
      <c r="BP181" s="259" t="n">
        <v>130.099</v>
      </c>
      <c r="BQ181" s="259" t="n">
        <v>482.141</v>
      </c>
      <c r="BR181" s="259" t="n">
        <v>134</v>
      </c>
      <c r="BS181" s="259" t="n">
        <v>123.4</v>
      </c>
      <c r="BT181" s="259" t="n">
        <v>122.6</v>
      </c>
      <c r="BU181" s="259" t="n">
        <v>139.8</v>
      </c>
      <c r="BV181" s="259" t="n">
        <v>519.8</v>
      </c>
      <c r="BW181" s="259" t="n">
        <v>141.5</v>
      </c>
      <c r="BX181" s="259" t="n">
        <v>145.3</v>
      </c>
      <c r="BY181" s="259" t="n">
        <v>149.6</v>
      </c>
      <c r="BZ181" s="259" t="n">
        <v>168.9</v>
      </c>
      <c r="CA181" s="259" t="n">
        <v>605.3</v>
      </c>
      <c r="CB181" s="259" t="n">
        <v>181.2</v>
      </c>
      <c r="CC181" s="153" t="n"/>
      <c r="CD181" s="153" t="n"/>
      <c r="CE181" s="153" t="n"/>
      <c r="CF181" s="153" t="n"/>
      <c r="CG181" s="153" t="n"/>
      <c r="CH181" s="153" t="n"/>
      <c r="CI181" s="153" t="n"/>
      <c r="CJ181" s="153" t="n"/>
      <c r="CK181" s="153" t="n"/>
      <c r="CL181" s="153" t="n"/>
    </row>
    <row r="182" ht="15" customHeight="1" s="251">
      <c r="B182" s="57" t="inlineStr">
        <is>
          <t xml:space="preserve">  Check: model vs company-published adjusted EBITDA (should be 0; ±0.15)</t>
        </is>
      </c>
      <c r="C182" s="264" t="str">
        <f>IF(AND(ISNUMBER(C181),ISNUMBER(C179)),IF(ABS(C179-C181)&lt;=0.15,0,ROUND(C179-C181,1)),"n/p")</f>
        <v>n/p</v>
      </c>
      <c r="D182" s="264" t="str">
        <f>IF(AND(ISNUMBER(D181),ISNUMBER(D179)),IF(ABS(D179-D181)&lt;=0.15,0,ROUND(D179-D181,1)),"n/p")</f>
        <v>n/p</v>
      </c>
      <c r="E182" s="264" t="str">
        <f>IF(AND(ISNUMBER(E181),ISNUMBER(E179)),IF(ABS(E179-E181)&lt;=0.15,0,ROUND(E179-E181,1)),"n/p")</f>
        <v>n/p</v>
      </c>
      <c r="F182" s="264" t="str">
        <f>IF(AND(ISNUMBER(F181),ISNUMBER(F179)),IF(ABS(F179-F181)&lt;=0.15,0,ROUND(F179-F181,1)),"n/p")</f>
        <v>n/p</v>
      </c>
      <c r="G182" s="264" t="str">
        <f>IF(AND(ISNUMBER(G181),ISNUMBER(G179)),IF(ABS(G179-G181)&lt;=0.15,0,ROUND(G179-G181,1)),"n/p")</f>
        <v>n/p</v>
      </c>
      <c r="H182" s="264" t="str">
        <f>IF(AND(ISNUMBER(H181),ISNUMBER(H179)),IF(ABS(H179-H181)&lt;=0.15,0,ROUND(H179-H181,1)),"n/p")</f>
        <v>n/p</v>
      </c>
      <c r="I182" s="264" t="str">
        <f>IF(AND(ISNUMBER(I181),ISNUMBER(I179)),IF(ABS(I179-I181)&lt;=0.15,0,ROUND(I179-I181,1)),"n/p")</f>
        <v>n/p</v>
      </c>
      <c r="J182" s="264" t="str">
        <f>IF(AND(ISNUMBER(J181),ISNUMBER(J179)),IF(ABS(J179-J181)&lt;=0.15,0,ROUND(J179-J181,1)),"n/p")</f>
        <v>n/p</v>
      </c>
      <c r="K182" s="264" t="str">
        <f>IF(AND(ISNUMBER(K181),ISNUMBER(K179)),IF(ABS(K179-K181)&lt;=0.15,0,ROUND(K179-K181,1)),"n/p")</f>
        <v>n/p</v>
      </c>
      <c r="L182" s="264" t="str">
        <f>IF(AND(ISNUMBER(L181),ISNUMBER(L179)),IF(ABS(L179-L181)&lt;=0.15,0,ROUND(L179-L181,1)),"n/p")</f>
        <v>n/p</v>
      </c>
      <c r="M182" s="264" t="str">
        <f>IF(AND(ISNUMBER(M181),ISNUMBER(M179)),IF(ABS(M179-M181)&lt;=0.15,0,ROUND(M179-M181,1)),"n/p")</f>
        <v>n/p</v>
      </c>
      <c r="N182" s="264" t="str">
        <f>IF(AND(ISNUMBER(N181),ISNUMBER(N179)),IF(ABS(N179-N181)&lt;=0.15,0,ROUND(N179-N181,1)),"n/p")</f>
        <v>n/p</v>
      </c>
      <c r="O182" s="264" t="str">
        <f>IF(AND(ISNUMBER(O181),ISNUMBER(O179)),IF(ABS(O179-O181)&lt;=0.15,0,ROUND(O179-O181,1)),"n/p")</f>
        <v>n/p</v>
      </c>
      <c r="P182" s="264" t="str">
        <f>IF(AND(ISNUMBER(P181),ISNUMBER(P179)),IF(ABS(P179-P181)&lt;=0.15,0,ROUND(P179-P181,1)),"n/p")</f>
        <v>n/p</v>
      </c>
      <c r="Q182" s="264" t="str">
        <f>IF(AND(ISNUMBER(Q181),ISNUMBER(Q179)),IF(ABS(Q179-Q181)&lt;=0.15,0,ROUND(Q179-Q181,1)),"n/p")</f>
        <v>n/p</v>
      </c>
      <c r="R182" s="264" t="str">
        <f>IF(AND(ISNUMBER(R181),ISNUMBER(R179)),IF(ABS(R179-R181)&lt;=0.15,0,ROUND(R179-R181,1)),"n/p")</f>
        <v>n/p</v>
      </c>
      <c r="S182" s="264" t="str">
        <f>IF(AND(ISNUMBER(S181),ISNUMBER(S179)),IF(ABS(S179-S181)&lt;=0.15,0,ROUND(S179-S181,1)),"n/p")</f>
        <v>n/p</v>
      </c>
      <c r="T182" s="264" t="str">
        <f>IF(AND(ISNUMBER(T181),ISNUMBER(T179)),IF(ABS(T179-T181)&lt;=0.15,0,ROUND(T179-T181,1)),"n/p")</f>
        <v>n/p</v>
      </c>
      <c r="U182" s="264" t="str">
        <f>IF(AND(ISNUMBER(U181),ISNUMBER(U179)),IF(ABS(U179-U181)&lt;=0.15,0,ROUND(U179-U181,1)),"n/p")</f>
        <v>n/p</v>
      </c>
      <c r="V182" s="264" t="str">
        <f>IF(AND(ISNUMBER(V181),ISNUMBER(V179)),IF(ABS(V179-V181)&lt;=0.15,0,ROUND(V179-V181,1)),"n/p")</f>
        <v>n/p</v>
      </c>
      <c r="W182" s="264" t="str">
        <f>IF(AND(ISNUMBER(W181),ISNUMBER(W179)),IF(ABS(W179-W181)&lt;=0.15,0,ROUND(W179-W181,1)),"n/p")</f>
        <v>n/p</v>
      </c>
      <c r="X182" s="264" t="str">
        <f>IF(AND(ISNUMBER(X181),ISNUMBER(X179)),IF(ABS(X179-X181)&lt;=0.15,0,ROUND(X179-X181,1)),"n/p")</f>
        <v>n/p</v>
      </c>
      <c r="Y182" s="264" t="str">
        <f>IF(AND(ISNUMBER(Y181),ISNUMBER(Y179)),IF(ABS(Y179-Y181)&lt;=0.15,0,ROUND(Y179-Y181,1)),"n/p")</f>
        <v>n/p</v>
      </c>
      <c r="Z182" s="264">
        <f>IF(AND(ISNUMBER(Z181),ISNUMBER(Z179)),IF(ABS(Z179-Z181)&lt;=0.15,0,ROUND(Z179-Z181,1)),"n/p")</f>
        <v>0</v>
      </c>
      <c r="AA182" s="264">
        <f>IF(AND(ISNUMBER(AA181),ISNUMBER(AA179)),IF(ABS(AA179-AA181)&lt;=0.15,0,ROUND(AA179-AA181,1)),"n/p")</f>
        <v>0</v>
      </c>
      <c r="AB182" s="264">
        <f>IF(AND(ISNUMBER(AB181),ISNUMBER(AB179)),IF(ABS(AB179-AB181)&lt;=0.15,0,ROUND(AB179-AB181,1)),"n/p")</f>
        <v>0</v>
      </c>
      <c r="AC182" s="264">
        <f>IF(AND(ISNUMBER(AC181),ISNUMBER(AC179)),IF(ABS(AC179-AC181)&lt;=0.15,0,ROUND(AC179-AC181,1)),"n/p")</f>
        <v>0</v>
      </c>
      <c r="AD182" s="264">
        <f>IF(AND(ISNUMBER(AD181),ISNUMBER(AD179)),IF(ABS(AD179-AD181)&lt;=0.15,0,ROUND(AD179-AD181,1)),"n/p")</f>
        <v>0</v>
      </c>
      <c r="AE182" s="264">
        <f>IF(AND(ISNUMBER(AE181),ISNUMBER(AE179)),IF(ABS(AE179-AE181)&lt;=0.15,0,ROUND(AE179-AE181,1)),"n/p")</f>
        <v>0</v>
      </c>
      <c r="AF182" s="264">
        <f>IF(AND(ISNUMBER(AF181),ISNUMBER(AF179)),IF(ABS(AF179-AF181)&lt;=0.15,0,ROUND(AF179-AF181,1)),"n/p")</f>
        <v>0</v>
      </c>
      <c r="AG182" s="264">
        <f>IF(AND(ISNUMBER(AG181),ISNUMBER(AG179)),IF(ABS(AG179-AG181)&lt;=0.15,0,ROUND(AG179-AG181,1)),"n/p")</f>
        <v>0</v>
      </c>
      <c r="AH182" s="264">
        <f>IF(AND(ISNUMBER(AH181),ISNUMBER(AH179)),IF(ABS(AH179-AH181)&lt;=0.15,0,ROUND(AH179-AH181,1)),"n/p")</f>
        <v>0</v>
      </c>
      <c r="AI182" s="264">
        <f>IF(AND(ISNUMBER(AI181),ISNUMBER(AI179)),IF(ABS(AI179-AI181)&lt;=0.15,0,ROUND(AI179-AI181,1)),"n/p")</f>
        <v>0</v>
      </c>
      <c r="AJ182" s="264">
        <f>IF(AND(ISNUMBER(AJ181),ISNUMBER(AJ179)),IF(ABS(AJ179-AJ181)&lt;=0.15,0,ROUND(AJ179-AJ181,1)),"n/p")</f>
        <v>0</v>
      </c>
      <c r="AK182" s="264">
        <f>IF(AND(ISNUMBER(AK181),ISNUMBER(AK179)),IF(ABS(AK179-AK181)&lt;=0.15,0,ROUND(AK179-AK181,1)),"n/p")</f>
        <v>0</v>
      </c>
      <c r="AL182" s="264">
        <f>IF(AND(ISNUMBER(AL181),ISNUMBER(AL179)),IF(ABS(AL179-AL181)&lt;=0.15,0,ROUND(AL179-AL181,1)),"n/p")</f>
        <v>0</v>
      </c>
      <c r="AM182" s="264">
        <f>IF(AND(ISNUMBER(AM181),ISNUMBER(AM179)),IF(ABS(AM179-AM181)&lt;=0.15,0,ROUND(AM179-AM181,1)),"n/p")</f>
        <v>0</v>
      </c>
      <c r="AN182" s="264">
        <f>IF(AND(ISNUMBER(AN181),ISNUMBER(AN179)),IF(ABS(AN179-AN181)&lt;=0.15,0,ROUND(AN179-AN181,1)),"n/p")</f>
        <v>0</v>
      </c>
      <c r="AO182" s="264">
        <f>IF(AND(ISNUMBER(AO181),ISNUMBER(AO179)),IF(ABS(AO179-AO181)&lt;=0.15,0,ROUND(AO179-AO181,1)),"n/p")</f>
        <v>0</v>
      </c>
      <c r="AP182" s="264">
        <f>IF(AND(ISNUMBER(AP181),ISNUMBER(AP179)),IF(ABS(AP179-AP181)&lt;=0.15,0,ROUND(AP179-AP181,1)),"n/p")</f>
        <v>0</v>
      </c>
      <c r="AQ182" s="264" t="str">
        <f>IF(AND(ISNUMBER(AQ181),ISNUMBER(AQ179)),IF(ABS(AQ179-AQ181)&lt;=0.15,0,ROUND(AQ179-AQ181,1)),"n/p")</f>
        <v>n/p</v>
      </c>
      <c r="AR182" s="264" t="str">
        <f>IF(AND(ISNUMBER(AR181),ISNUMBER(AR179)),IF(ABS(AR179-AR181)&lt;=0.15,0,ROUND(AR179-AR181,1)),"n/p")</f>
        <v>n/p</v>
      </c>
      <c r="AS182" s="264">
        <f>IF(AND(ISNUMBER(AS181),ISNUMBER(AS179)),IF(ABS(AS179-AS181)&lt;=0.15,0,ROUND(AS179-AS181,1)),"n/p")</f>
        <v>0</v>
      </c>
      <c r="AT182" s="264">
        <f>IF(AND(ISNUMBER(AT181),ISNUMBER(AT179)),IF(ABS(AT179-AT181)&lt;=0.15,0,ROUND(AT179-AT181,1)),"n/p")</f>
        <v>0</v>
      </c>
      <c r="AU182" s="264">
        <f>IF(AND(ISNUMBER(AU181),ISNUMBER(AU179)),IF(ABS(AU179-AU181)&lt;=0.15,0,ROUND(AU179-AU181,1)),"n/p")</f>
        <v>0</v>
      </c>
      <c r="AV182" s="264">
        <f>IF(AND(ISNUMBER(AV181),ISNUMBER(AV179)),IF(ABS(AV179-AV181)&lt;=0.15,0,ROUND(AV179-AV181,1)),"n/p")</f>
        <v>0</v>
      </c>
      <c r="AW182" s="264">
        <f>IF(AND(ISNUMBER(AW181),ISNUMBER(AW179)),IF(ABS(AW179-AW181)&lt;=0.15,0,ROUND(AW179-AW181,1)),"n/p")</f>
        <v>0</v>
      </c>
      <c r="AX182" s="264" t="str">
        <f>IF(AND(ISNUMBER(AX181),ISNUMBER(AX179)),IF(ABS(AX179-AX181)&lt;=0.15,0,ROUND(AX179-AX181,1)),"n/p")</f>
        <v>n/p</v>
      </c>
      <c r="AY182" s="264">
        <f>IF(AND(ISNUMBER(AY181),ISNUMBER(AY179)),IF(ABS(AY179-AY181)&lt;=0.15,0,ROUND(AY179-AY181,1)),"n/p")</f>
        <v>0</v>
      </c>
      <c r="AZ182" s="264">
        <f>IF(AND(ISNUMBER(AZ181),ISNUMBER(AZ179)),IF(ABS(AZ179-AZ181)&lt;=0.15,0,ROUND(AZ179-AZ181,1)),"n/p")</f>
        <v>0</v>
      </c>
      <c r="BA182" s="264">
        <f>IF(AND(ISNUMBER(BA181),ISNUMBER(BA179)),IF(ABS(BA179-BA181)&lt;=0.15,0,ROUND(BA179-BA181,1)),"n/p")</f>
        <v>0</v>
      </c>
      <c r="BB182" s="264">
        <f>IF(AND(ISNUMBER(BB181),ISNUMBER(BB179)),IF(ABS(BB179-BB181)&lt;=0.15,0,ROUND(BB179-BB181,1)),"n/p")</f>
        <v>0</v>
      </c>
      <c r="BC182" s="264">
        <f>IF(AND(ISNUMBER(BC181),ISNUMBER(BC179)),IF(ABS(BC179-BC181)&lt;=0.15,0,ROUND(BC179-BC181,1)),"n/p")</f>
        <v>0</v>
      </c>
      <c r="BD182" s="264">
        <f>IF(AND(ISNUMBER(BD181),ISNUMBER(BD179)),IF(ABS(BD179-BD181)&lt;=0.15,0,ROUND(BD179-BD181,1)),"n/p")</f>
        <v>0</v>
      </c>
      <c r="BE182" s="264">
        <f>IF(AND(ISNUMBER(BE181),ISNUMBER(BE179)),IF(ABS(BE179-BE181)&lt;=0.15,0,ROUND(BE179-BE181,1)),"n/p")</f>
        <v>0</v>
      </c>
      <c r="BF182" s="264">
        <f>IF(AND(ISNUMBER(BF181),ISNUMBER(BF179)),IF(ABS(BF179-BF181)&lt;=0.15,0,ROUND(BF179-BF181,1)),"n/p")</f>
        <v>0</v>
      </c>
      <c r="BG182" s="264">
        <f>IF(AND(ISNUMBER(BG181),ISNUMBER(BG179)),IF(ABS(BG179-BG181)&lt;=0.15,0,ROUND(BG179-BG181,1)),"n/p")</f>
        <v>0</v>
      </c>
      <c r="BH182" s="264">
        <f>IF(AND(ISNUMBER(BH181),ISNUMBER(BH179)),IF(ABS(BH179-BH181)&lt;=0.15,0,ROUND(BH179-BH181,1)),"n/p")</f>
        <v>0</v>
      </c>
      <c r="BI182" s="264">
        <f>IF(AND(ISNUMBER(BI181),ISNUMBER(BI179)),IF(ABS(BI179-BI181)&lt;=0.15,0,ROUND(BI179-BI181,1)),"n/p")</f>
        <v>0</v>
      </c>
      <c r="BJ182" s="264">
        <f>IF(AND(ISNUMBER(BJ181),ISNUMBER(BJ179)),IF(ABS(BJ179-BJ181)&lt;=0.15,0,ROUND(BJ179-BJ181,1)),"n/p")</f>
        <v>0</v>
      </c>
      <c r="BK182" s="264">
        <f>IF(AND(ISNUMBER(BK181),ISNUMBER(BK179)),IF(ABS(BK179-BK181)&lt;=0.15,0,ROUND(BK179-BK181,1)),"n/p")</f>
        <v>0</v>
      </c>
      <c r="BL182" s="264">
        <f>IF(AND(ISNUMBER(BL181),ISNUMBER(BL179)),IF(ABS(BL179-BL181)&lt;=0.15,0,ROUND(BL179-BL181,1)),"n/p")</f>
        <v>0</v>
      </c>
      <c r="BM182" s="264">
        <f>IF(AND(ISNUMBER(BM181),ISNUMBER(BM179)),IF(ABS(BM179-BM181)&lt;=0.15,0,ROUND(BM179-BM181,1)),"n/p")</f>
        <v>0</v>
      </c>
      <c r="BN182" s="264">
        <f>IF(AND(ISNUMBER(BN181),ISNUMBER(BN179)),IF(ABS(BN179-BN181)&lt;=0.15,0,ROUND(BN179-BN181,1)),"n/p")</f>
        <v>0</v>
      </c>
      <c r="BO182" s="264">
        <f>IF(AND(ISNUMBER(BO181),ISNUMBER(BO179)),IF(ABS(BO179-BO181)&lt;=0.15,0,ROUND(BO179-BO181,1)),"n/p")</f>
        <v>0</v>
      </c>
      <c r="BP182" s="264">
        <f>IF(AND(ISNUMBER(BP181),ISNUMBER(BP179)),IF(ABS(BP179-BP181)&lt;=0.15,0,ROUND(BP179-BP181,1)),"n/p")</f>
        <v>0</v>
      </c>
      <c r="BQ182" s="264">
        <f>IF(AND(ISNUMBER(BQ181),ISNUMBER(BQ179)),IF(ABS(BQ179-BQ181)&lt;=0.15,0,ROUND(BQ179-BQ181,1)),"n/p")</f>
        <v>0</v>
      </c>
      <c r="BR182" s="264">
        <f>IF(AND(ISNUMBER(BR181),ISNUMBER(BR179)),IF(ABS(BR179-BR181)&lt;=0.15,0,ROUND(BR179-BR181,1)),"n/p")</f>
        <v>0</v>
      </c>
      <c r="BS182" s="264">
        <f>IF(AND(ISNUMBER(BS181),ISNUMBER(BS179)),IF(ABS(BS179-BS181)&lt;=0.15,0,ROUND(BS179-BS181,1)),"n/p")</f>
        <v>0</v>
      </c>
      <c r="BT182" s="264">
        <f>IF(AND(ISNUMBER(BT181),ISNUMBER(BT179)),IF(ABS(BT179-BT181)&lt;=0.15,0,ROUND(BT179-BT181,1)),"n/p")</f>
        <v>0</v>
      </c>
      <c r="BU182" s="264">
        <f>IF(AND(ISNUMBER(BU181),ISNUMBER(BU179)),IF(ABS(BU179-BU181)&lt;=0.15,0,ROUND(BU179-BU181,1)),"n/p")</f>
        <v>0</v>
      </c>
      <c r="BV182" s="264">
        <f>IF(AND(ISNUMBER(BV181),ISNUMBER(BV179)),IF(ABS(BV179-BV181)&lt;=0.15,0,ROUND(BV179-BV181,1)),"n/p")</f>
        <v>0</v>
      </c>
      <c r="BW182" s="264">
        <f>IF(AND(ISNUMBER(BW181),ISNUMBER(BW179)),IF(ABS(BW179-BW181)&lt;=0.15,0,ROUND(BW179-BW181,1)),"n/p")</f>
        <v>0</v>
      </c>
      <c r="BX182" s="264">
        <f>IF(AND(ISNUMBER(BX181),ISNUMBER(BX179)),IF(ABS(BX179-BX181)&lt;=0.15,0,ROUND(BX179-BX181,1)),"n/p")</f>
        <v>0</v>
      </c>
      <c r="BY182" s="264">
        <f>IF(AND(ISNUMBER(BY181),ISNUMBER(BY179)),IF(ABS(BY179-BY181)&lt;=0.15,0,ROUND(BY179-BY181,1)),"n/p")</f>
        <v>0</v>
      </c>
      <c r="BZ182" s="264">
        <f>IF(AND(ISNUMBER(BZ181),ISNUMBER(BZ179)),IF(ABS(BZ179-BZ181)&lt;=0.15,0,ROUND(BZ179-BZ181,1)),"n/p")</f>
        <v>0</v>
      </c>
      <c r="CA182" s="264">
        <f>IF(AND(ISNUMBER(CA181),ISNUMBER(CA179)),IF(ABS(CA179-CA181)&lt;=0.15,0,ROUND(CA179-CA181,1)),"n/p")</f>
        <v>0</v>
      </c>
      <c r="CB182" s="264">
        <f>IF(AND(ISNUMBER(CB181),ISNUMBER(CB179)),IF(ABS(CB179-CB181)&lt;=0.15,0,ROUND(CB179-CB181,1)),"n/p")</f>
        <v>0</v>
      </c>
      <c r="CC182" s="153" t="n"/>
      <c r="CD182" s="153" t="n"/>
      <c r="CE182" s="153" t="n"/>
      <c r="CF182" s="153" t="n"/>
      <c r="CG182" s="153" t="n"/>
      <c r="CH182" s="153" t="n"/>
      <c r="CI182" s="153" t="n"/>
      <c r="CJ182" s="153" t="n"/>
      <c r="CK182" s="153" t="n"/>
      <c r="CL182" s="153" t="n"/>
    </row>
    <row r="183" ht="15" customHeight="1" s="251">
      <c r="B183" s="25" t="inlineStr">
        <is>
          <t>To adjusted EBITA and EBIT (for NOPAT, ROIC and the DCF):</t>
        </is>
      </c>
      <c r="CL183" s="153" t="n"/>
    </row>
    <row r="184" ht="15" customHeight="1" s="251">
      <c r="B184" s="55" t="inlineStr">
        <is>
          <t xml:space="preserve">  Adjusted EBIT, full-cost (= adjusted operating income: after all D&amp;A and stock compensation)</t>
        </is>
      </c>
      <c r="C184" s="271">
        <f>IF(ISNUMBER(C179),C179-C173-C174,"")</f>
        <v>45.365</v>
      </c>
      <c r="D184" s="271">
        <f>IF(ISNUMBER(D179),D179-D173-D174,"")</f>
        <v>57.08</v>
      </c>
      <c r="E184" s="271">
        <f>IF(ISNUMBER(E179),E179-E173-E174,"")</f>
        <v>63.95</v>
      </c>
      <c r="F184" s="271">
        <f>IF(ISNUMBER(F179),F179-F173-F174,"")</f>
        <v>62.946</v>
      </c>
      <c r="G184" s="271">
        <f>IF(ISNUMBER(G179),G179-G173-G174,"")</f>
        <v>38.722</v>
      </c>
      <c r="H184" s="271">
        <f>IF(ISNUMBER(H179),H179-H173-H174,"")</f>
        <v>58.215</v>
      </c>
      <c r="I184" s="271">
        <f>IF(ISNUMBER(I179),I179-I173-I174,"")</f>
        <v>77.648</v>
      </c>
      <c r="J184" s="271">
        <f>IF(ISNUMBER(J179),J179-J173-J174,"")</f>
        <v>21.994</v>
      </c>
      <c r="K184" s="271">
        <f>IF(ISNUMBER(K179),K179-K173-K174,"")</f>
        <v>21.195</v>
      </c>
      <c r="L184" s="271">
        <f>IF(ISNUMBER(L179),L179-L173-L174,"")</f>
        <v>19.159</v>
      </c>
      <c r="M184" s="271">
        <f>IF(ISNUMBER(M179),M179-M173-M174,"")</f>
        <v>22.671</v>
      </c>
      <c r="N184" s="271">
        <f>IF(ISNUMBER(N179),N179-N173-N174,"")</f>
        <v>85.019</v>
      </c>
      <c r="O184" s="271">
        <f>IF(ISNUMBER(O179),O179-O173-O174,"")</f>
        <v>22.926</v>
      </c>
      <c r="P184" s="271">
        <f>IF(ISNUMBER(P179),P179-P173-P174,"")</f>
        <v>22.803</v>
      </c>
      <c r="Q184" s="271">
        <f>IF(ISNUMBER(Q179),Q179-Q173-Q174,"")</f>
        <v>19.657</v>
      </c>
      <c r="R184" s="271">
        <f>IF(ISNUMBER(R179),R179-R173-R174,"")</f>
        <v>25.179</v>
      </c>
      <c r="S184" s="271">
        <f>IF(ISNUMBER(S179),S179-S173-S174,"")</f>
        <v>90.692</v>
      </c>
      <c r="T184" s="271">
        <f>IF(ISNUMBER(T179),T179-T173-T174,"")</f>
        <v>24.211</v>
      </c>
      <c r="U184" s="271">
        <f>IF(ISNUMBER(U179),U179-U173-U174,"")</f>
        <v>24.679</v>
      </c>
      <c r="V184" s="271">
        <f>IF(ISNUMBER(V179),V179-V173-V174,"")</f>
        <v>22.204</v>
      </c>
      <c r="W184" s="271">
        <f>IF(ISNUMBER(W179),W179-W173-W174,"")</f>
        <v>25.393</v>
      </c>
      <c r="X184" s="271">
        <f>IF(ISNUMBER(X179),X179-X173-X174,"")</f>
        <v>96.487</v>
      </c>
      <c r="Y184" s="271">
        <f>IF(ISNUMBER(Y179),Y179-Y173-Y174,"")</f>
        <v>29.48</v>
      </c>
      <c r="Z184" s="271">
        <f>IF(ISNUMBER(Z179),Z179-Z173-Z174,"")</f>
        <v>29.177</v>
      </c>
      <c r="AA184" s="271">
        <f>IF(ISNUMBER(AA179),AA179-AA173-AA174,"")</f>
        <v>27.639</v>
      </c>
      <c r="AB184" s="271">
        <f>IF(ISNUMBER(AB179),AB179-AB173-AB174,"")</f>
        <v>32.525</v>
      </c>
      <c r="AC184" s="271">
        <f>IF(ISNUMBER(AC179),AC179-AC173-AC174,"")</f>
        <v>118.821</v>
      </c>
      <c r="AD184" s="271">
        <f>IF(ISNUMBER(AD179),AD179-AD173-AD174,"")</f>
        <v>29.603</v>
      </c>
      <c r="AE184" s="271">
        <f>IF(ISNUMBER(AE179),AE179-AE173-AE174,"")</f>
        <v>29.776</v>
      </c>
      <c r="AF184" s="271">
        <f>IF(ISNUMBER(AF179),AF179-AF173-AF174,"")</f>
        <v>27.589</v>
      </c>
      <c r="AG184" s="271">
        <f>IF(ISNUMBER(AG179),AG179-AG173-AG174,"")</f>
        <v>34.389</v>
      </c>
      <c r="AH184" s="271">
        <f>IF(ISNUMBER(AH179),AH179-AH173-AH174,"")</f>
        <v>121.357</v>
      </c>
      <c r="AI184" s="271">
        <f>IF(ISNUMBER(AI179),AI179-AI173-AI174,"")</f>
        <v>31.8</v>
      </c>
      <c r="AJ184" s="271">
        <f>IF(ISNUMBER(AJ179),AJ179-AJ173-AJ174,"")</f>
        <v>31.772</v>
      </c>
      <c r="AK184" s="271">
        <f>IF(ISNUMBER(AK179),AK179-AK173-AK174,"")</f>
        <v>34.214</v>
      </c>
      <c r="AL184" s="271">
        <f>IF(ISNUMBER(AL179),AL179-AL173-AL174,"")</f>
        <v>38.337</v>
      </c>
      <c r="AM184" s="271">
        <f>IF(ISNUMBER(AM179),AM179-AM173-AM174,"")</f>
        <v>136.123</v>
      </c>
      <c r="AN184" s="271">
        <f>IF(ISNUMBER(AN179),AN179-AN173-AN174,"")</f>
        <v>35.998</v>
      </c>
      <c r="AO184" s="271">
        <f>IF(ISNUMBER(AO179),AO179-AO173-AO174,"")</f>
        <v>35.884</v>
      </c>
      <c r="AP184" s="271">
        <f>IF(ISNUMBER(AP179),AP179-AP173-AP174,"")</f>
        <v>36.64</v>
      </c>
      <c r="AQ184" s="271">
        <f>IF(ISNUMBER(AQ179),AQ179-AQ173-AQ174,"")</f>
        <v>41.237</v>
      </c>
      <c r="AR184" s="271">
        <f>IF(ISNUMBER(AR179),AR179-AR173-AR174,"")</f>
        <v>149.759</v>
      </c>
      <c r="AS184" s="271">
        <f>IF(ISNUMBER(AS179),AS179-AS173-AS174,"")</f>
        <v>38.49</v>
      </c>
      <c r="AT184" s="271">
        <f>IF(ISNUMBER(AT179),AT179-AT173-AT174,"")</f>
        <v>38.378</v>
      </c>
      <c r="AU184" s="271">
        <f>IF(ISNUMBER(AU179),AU179-AU173-AU174,"")</f>
        <v>37.8</v>
      </c>
      <c r="AV184" s="271">
        <f>IF(ISNUMBER(AV179),AV179-AV173-AV174,"")</f>
        <v>42.982</v>
      </c>
      <c r="AW184" s="271">
        <f>IF(ISNUMBER(AW179),AW179-AW173-AW174,"")</f>
        <v>157.65</v>
      </c>
      <c r="AX184" s="271">
        <f>IF(ISNUMBER(AX179),AX179-AX173-AX174,"")</f>
        <v>29.933</v>
      </c>
      <c r="AY184" s="271">
        <f>IF(ISNUMBER(AY179),AY179-AY173-AY174,"")</f>
        <v>29.877</v>
      </c>
      <c r="AZ184" s="271">
        <f>IF(ISNUMBER(AZ179),AZ179-AZ173-AZ174,"")</f>
        <v>27.882</v>
      </c>
      <c r="BA184" s="271">
        <f>IF(ISNUMBER(BA179),BA179-BA173-BA174,"")</f>
        <v>32.52</v>
      </c>
      <c r="BB184" s="271">
        <f>IF(ISNUMBER(BB179),BB179-BB173-BB174,"")</f>
        <v>120.212</v>
      </c>
      <c r="BC184" s="271">
        <f>IF(ISNUMBER(BC179),BC179-BC173-BC174,"")</f>
        <v>31.28</v>
      </c>
      <c r="BD184" s="271">
        <f>IF(ISNUMBER(BD179),BD179-BD173-BD174,"")</f>
        <v>30.543</v>
      </c>
      <c r="BE184" s="271">
        <f>IF(ISNUMBER(BE179),BE179-BE173-BE174,"")</f>
        <v>44.814</v>
      </c>
      <c r="BF184" s="271">
        <f>IF(ISNUMBER(BF179),BF179-BF173-BF174,"")</f>
        <v>70.374</v>
      </c>
      <c r="BG184" s="271">
        <f>IF(ISNUMBER(BG179),BG179-BG173-BG174,"")</f>
        <v>177.011</v>
      </c>
      <c r="BH184" s="271">
        <f>IF(ISNUMBER(BH179),BH179-BH173-BH174,"")</f>
        <v>68.257</v>
      </c>
      <c r="BI184" s="271">
        <f>IF(ISNUMBER(BI179),BI179-BI173-BI174,"")</f>
        <v>76.018</v>
      </c>
      <c r="BJ184" s="271">
        <f>IF(ISNUMBER(BJ179),BJ179-BJ173-BJ174,"")</f>
        <v>71.639</v>
      </c>
      <c r="BK184" s="271">
        <f>IF(ISNUMBER(BK179),BK179-BK173-BK174,"")</f>
        <v>88.639</v>
      </c>
      <c r="BL184" s="271">
        <f>IF(ISNUMBER(BL179),BL179-BL173-BL174,"")</f>
        <v>304.57</v>
      </c>
      <c r="BM184" s="271">
        <f>IF(ISNUMBER(BM179),BM179-BM173-BM174,"")</f>
        <v>85.304</v>
      </c>
      <c r="BN184" s="271">
        <f>IF(ISNUMBER(BN179),BN179-BN173-BN174,"")</f>
        <v>88.389</v>
      </c>
      <c r="BO184" s="271">
        <f>IF(ISNUMBER(BO179),BO179-BO173-BO174,"")</f>
        <v>75.469</v>
      </c>
      <c r="BP184" s="271">
        <f>IF(ISNUMBER(BP179),BP179-BP173-BP174,"")</f>
        <v>96.295</v>
      </c>
      <c r="BQ184" s="271">
        <f>IF(ISNUMBER(BQ179),BQ179-BQ173-BQ174,"")</f>
        <v>345.467</v>
      </c>
      <c r="BR184" s="271">
        <f>IF(ISNUMBER(BR179),BR179-BR173-BR174,"")</f>
        <v>97.5</v>
      </c>
      <c r="BS184" s="271">
        <f>IF(ISNUMBER(BS179),BS179-BS173-BS174,"")</f>
        <v>86.6</v>
      </c>
      <c r="BT184" s="271">
        <f>IF(ISNUMBER(BT179),BT179-BT173-BT174,"")</f>
        <v>85.7</v>
      </c>
      <c r="BU184" s="271">
        <f>IF(ISNUMBER(BU179),BU179-BU173-BU174,"")</f>
        <v>101.6</v>
      </c>
      <c r="BV184" s="271">
        <f>IF(ISNUMBER(BV179),BV179-BV173-BV174,"")</f>
        <v>371.4</v>
      </c>
      <c r="BW184" s="271">
        <f>IF(ISNUMBER(BW179),BW179-BW173-BW174,"")</f>
        <v>105.3</v>
      </c>
      <c r="BX184" s="271">
        <f>IF(ISNUMBER(BX179),BX179-BX173-BX174,"")</f>
        <v>105</v>
      </c>
      <c r="BY184" s="271">
        <f>IF(ISNUMBER(BY179),BY179-BY173-BY174,"")</f>
        <v>107.4</v>
      </c>
      <c r="BZ184" s="271">
        <f>IF(ISNUMBER(BZ179),BZ179-BZ173-BZ174,"")</f>
        <v>124.3</v>
      </c>
      <c r="CA184" s="271">
        <f>IF(ISNUMBER(CA179),CA179-CA173-CA174,"")</f>
        <v>442</v>
      </c>
      <c r="CB184" s="271">
        <f>IF(ISNUMBER(CB179),CB179-CB173-CB174,"")</f>
        <v>141.2</v>
      </c>
      <c r="CC184" s="271">
        <f>IF(ISNUMBER(CC179),CC179-CC173-CC174,"")</f>
        <v>127.056</v>
      </c>
      <c r="CD184" s="271">
        <f>IF(ISNUMBER(CD179),CD179-CD173-CD174,"")</f>
        <v>129.848814178226</v>
      </c>
      <c r="CE184" s="271">
        <f>IF(ISNUMBER(CE179),CE179-CE173-CE174,"")</f>
        <v>162.518207523199</v>
      </c>
      <c r="CF184" s="271">
        <f>IF(ISNUMBER(CF179),CF179-CF173-CF174,"")</f>
        <v>560.623021701425</v>
      </c>
      <c r="CG184" s="271">
        <f>IF(ISNUMBER(CG179),CG179-CG173-CG174,"")</f>
        <v>627.950465355465</v>
      </c>
      <c r="CH184" s="271">
        <f>IF(ISNUMBER(CH179),CH179-CH173-CH174,"")</f>
        <v>711.984562509514</v>
      </c>
      <c r="CI184" s="271">
        <f>IF(ISNUMBER(CI179),CI179-CI173-CI174,"")</f>
        <v>801.303199120574</v>
      </c>
      <c r="CJ184" s="271">
        <f>IF(ISNUMBER(CJ179),CJ179-CJ173-CJ174,"")</f>
        <v>883.747938670355</v>
      </c>
      <c r="CK184" s="271">
        <f>IF(ISNUMBER(CK179),CK179-CK173-CK174,"")</f>
        <v>961.831635358326</v>
      </c>
      <c r="CL184" s="153" t="n"/>
    </row>
    <row r="185" ht="15" customHeight="1" s="251">
      <c r="B185" s="25" t="inlineStr">
        <is>
          <t xml:space="preserve">  Adjusted EBIT (full-cost) margin %</t>
        </is>
      </c>
      <c r="C185" s="215">
        <f>IF(AND(ISNUMBER(C184),ISNUMBER(C108)),IFERROR(C184/C108,""),"")</f>
        <v>0.165258698257616</v>
      </c>
      <c r="D185" s="215">
        <f>IF(AND(ISNUMBER(D184),ISNUMBER(D108)),IFERROR(D184/D108,""),"")</f>
        <v>0.186498160503427</v>
      </c>
      <c r="E185" s="215">
        <f>IF(AND(ISNUMBER(E184),ISNUMBER(E108)),IFERROR(E184/E108,""),"")</f>
        <v>0.193436176648518</v>
      </c>
      <c r="F185" s="215">
        <f>IF(AND(ISNUMBER(F184),ISNUMBER(F108)),IFERROR(F184/F108,""),"")</f>
        <v>0.176915985564762</v>
      </c>
      <c r="G185" s="215">
        <f>IF(AND(ISNUMBER(G184),ISNUMBER(G108)),IFERROR(G184/G108,""),"")</f>
        <v>0.140960022133075</v>
      </c>
      <c r="H185" s="215">
        <f>IF(AND(ISNUMBER(H184),ISNUMBER(H108)),IFERROR(H184/H108,""),"")</f>
        <v>0.17345251396648</v>
      </c>
      <c r="I185" s="215">
        <f>IF(AND(ISNUMBER(I184),ISNUMBER(I108)),IFERROR(I184/I108,""),"")</f>
        <v>0.195335474993145</v>
      </c>
      <c r="J185" s="215">
        <f>IF(AND(ISNUMBER(J184),ISNUMBER(J108)),IFERROR(J184/J108,""),"")</f>
        <v>0.212843788104593</v>
      </c>
      <c r="K185" s="215">
        <f>IF(AND(ISNUMBER(K184),ISNUMBER(K108)),IFERROR(K184/K108,""),"")</f>
        <v>0.211158156911582</v>
      </c>
      <c r="L185" s="215">
        <f>IF(AND(ISNUMBER(L184),ISNUMBER(L108)),IFERROR(L184/L108,""),"")</f>
        <v>0.198876847699718</v>
      </c>
      <c r="M185" s="215">
        <f>IF(AND(ISNUMBER(M184),ISNUMBER(M108)),IFERROR(M184/M108,""),"")</f>
        <v>0.220093975108246</v>
      </c>
      <c r="N185" s="215">
        <f>IF(AND(ISNUMBER(N184),ISNUMBER(N108)),IFERROR(N184/N108,""),"")</f>
        <v>0.21093856608717</v>
      </c>
      <c r="O185" s="215">
        <f>IF(AND(ISNUMBER(O184),ISNUMBER(O108)),IFERROR(O184/O108,""),"")</f>
        <v>0.223302294775392</v>
      </c>
      <c r="P185" s="215">
        <f>IF(AND(ISNUMBER(P184),ISNUMBER(P108)),IFERROR(P184/P108,""),"")</f>
        <v>0.223659689663966</v>
      </c>
      <c r="Q185" s="215">
        <f>IF(AND(ISNUMBER(Q184),ISNUMBER(Q108)),IFERROR(Q184/Q108,""),"")</f>
        <v>0.195502556044</v>
      </c>
      <c r="R185" s="215">
        <f>IF(AND(ISNUMBER(R184),ISNUMBER(R108)),IFERROR(R184/R108,""),"")</f>
        <v>0.221416134648868</v>
      </c>
      <c r="S185" s="215">
        <f>IF(AND(ISNUMBER(S184),ISNUMBER(S108)),IFERROR(S184/S108,""),"")</f>
        <v>0.216507593951576</v>
      </c>
      <c r="T185" s="215">
        <f>IF(AND(ISNUMBER(T184),ISNUMBER(T108)),IFERROR(T184/T108,""),"")</f>
        <v>0.214286978687248</v>
      </c>
      <c r="U185" s="215">
        <f>IF(AND(ISNUMBER(U184),ISNUMBER(U108)),IFERROR(U184/U108,""),"")</f>
        <v>0.219261694282795</v>
      </c>
      <c r="V185" s="215">
        <f>IF(AND(ISNUMBER(V184),ISNUMBER(V108)),IFERROR(V184/V108,""),"")</f>
        <v>0.208837305543538</v>
      </c>
      <c r="W185" s="215">
        <f>IF(AND(ISNUMBER(W184),ISNUMBER(W108)),IFERROR(W184/W108,""),"")</f>
        <v>0.223890598411173</v>
      </c>
      <c r="X185" s="215">
        <f>IF(AND(ISNUMBER(X184),ISNUMBER(X108)),IFERROR(X184/X108,""),"")</f>
        <v>0.216689349125715</v>
      </c>
      <c r="Y185" s="215">
        <f>IF(AND(ISNUMBER(Y184),ISNUMBER(Y108)),IFERROR(Y184/Y108,""),"")</f>
        <v>0.207156308851224</v>
      </c>
      <c r="Z185" s="215">
        <f>IF(AND(ISNUMBER(Z184),ISNUMBER(Z108)),IFERROR(Z184/Z108,""),"")</f>
        <v>0.196219131651154</v>
      </c>
      <c r="AA185" s="215">
        <f>IF(AND(ISNUMBER(AA184),ISNUMBER(AA108)),IFERROR(AA184/AA108,""),"")</f>
        <v>0.191650024962556</v>
      </c>
      <c r="AB185" s="215">
        <f>IF(AND(ISNUMBER(AB184),ISNUMBER(AB108)),IFERROR(AB184/AB108,""),"")</f>
        <v>0.20045977861598</v>
      </c>
      <c r="AC185" s="215">
        <f>IF(AND(ISNUMBER(AC184),ISNUMBER(AC108)),IFERROR(AC184/AC108,""),"")</f>
        <v>0.19887291789406</v>
      </c>
      <c r="AD185" s="215">
        <f>IF(AND(ISNUMBER(AD184),ISNUMBER(AD108)),IFERROR(AD184/AD108,""),"")</f>
        <v>0.191507255189903</v>
      </c>
      <c r="AE185" s="215">
        <f>IF(AND(ISNUMBER(AE184),ISNUMBER(AE108)),IFERROR(AE184/AE108,""),"")</f>
        <v>0.19342224069948</v>
      </c>
      <c r="AF185" s="215">
        <f>IF(AND(ISNUMBER(AF184),ISNUMBER(AF108)),IFERROR(AF184/AF108,""),"")</f>
        <v>0.188120499672703</v>
      </c>
      <c r="AG185" s="215">
        <f>IF(AND(ISNUMBER(AG184),ISNUMBER(AG108)),IFERROR(AG184/AG108,""),"")</f>
        <v>0.214649522501716</v>
      </c>
      <c r="AH185" s="215">
        <f>IF(AND(ISNUMBER(AH184),ISNUMBER(AH108)),IFERROR(AH184/AH108,""),"")</f>
        <v>0.197204040377778</v>
      </c>
      <c r="AI185" s="215">
        <f>IF(AND(ISNUMBER(AI184),ISNUMBER(AI108)),IFERROR(AI184/AI108,""),"")</f>
        <v>0.194024295746719</v>
      </c>
      <c r="AJ185" s="215">
        <f>IF(AND(ISNUMBER(AJ184),ISNUMBER(AJ108)),IFERROR(AJ184/AJ108,""),"")</f>
        <v>0.193357960527517</v>
      </c>
      <c r="AK185" s="215">
        <f>IF(AND(ISNUMBER(AK184),ISNUMBER(AK108)),IFERROR(AK184/AK108,""),"")</f>
        <v>0.205048604202376</v>
      </c>
      <c r="AL185" s="215">
        <f>IF(AND(ISNUMBER(AL184),ISNUMBER(AL108)),IFERROR(AL184/AL108,""),"")</f>
        <v>0.213128971463834</v>
      </c>
      <c r="AM185" s="215">
        <f>IF(AND(ISNUMBER(AM184),ISNUMBER(AM108)),IFERROR(AM184/AM108,""),"")</f>
        <v>0.201678941668185</v>
      </c>
      <c r="AN185" s="215">
        <f>IF(AND(ISNUMBER(AN184),ISNUMBER(AN108)),IFERROR(AN184/AN108,""),"")</f>
        <v>0.204551524277637</v>
      </c>
      <c r="AO185" s="215">
        <f>IF(AND(ISNUMBER(AO184),ISNUMBER(AO108)),IFERROR(AO184/AO108,""),"")</f>
        <v>0.207522727798469</v>
      </c>
      <c r="AP185" s="215">
        <f>IF(AND(ISNUMBER(AP184),ISNUMBER(AP108)),IFERROR(AP184/AP108,""),"")</f>
        <v>0.213702880672837</v>
      </c>
      <c r="AQ185" s="215">
        <f>IF(AND(ISNUMBER(AQ184),ISNUMBER(AQ108)),IFERROR(AQ184/AQ108,""),"")</f>
        <v>0.226375424073078</v>
      </c>
      <c r="AR185" s="215">
        <f>IF(AND(ISNUMBER(AR184),ISNUMBER(AR108)),IFERROR(AR184/AR108,""),"")</f>
        <v>0.213175215938142</v>
      </c>
      <c r="AS185" s="215">
        <f>IF(AND(ISNUMBER(AS184),ISNUMBER(AS108)),IFERROR(AS184/AS108,""),"")</f>
        <v>0.210684766544419</v>
      </c>
      <c r="AT185" s="215">
        <f>IF(AND(ISNUMBER(AT184),ISNUMBER(AT108)),IFERROR(AT184/AT108,""),"")</f>
        <v>0.210973618677471</v>
      </c>
      <c r="AU185" s="215">
        <f>IF(AND(ISNUMBER(AU184),ISNUMBER(AU108)),IFERROR(AU184/AU108,""),"")</f>
        <v>0.213536400047453</v>
      </c>
      <c r="AV185" s="215">
        <f>IF(AND(ISNUMBER(AV184),ISNUMBER(AV108)),IFERROR(AV184/AV108,""),"")</f>
        <v>0.231281242769435</v>
      </c>
      <c r="AW185" s="215">
        <f>IF(AND(ISNUMBER(AW184),ISNUMBER(AW108)),IFERROR(AW184/AW108,""),"")</f>
        <v>0.216712648513116</v>
      </c>
      <c r="AX185" s="215">
        <f>IF(AND(ISNUMBER(AX184),ISNUMBER(AX108)),IFERROR(AX184/AX108,""),"")</f>
        <v>0.191273731093404</v>
      </c>
      <c r="AY185" s="215">
        <f>IF(AND(ISNUMBER(AY184),ISNUMBER(AY108)),IFERROR(AY184/AY108,""),"")</f>
        <v>0.204168517442854</v>
      </c>
      <c r="AZ185" s="215">
        <f>IF(AND(ISNUMBER(AZ184),ISNUMBER(AZ108)),IFERROR(AZ184/AZ108,""),"")</f>
        <v>0.191154592385902</v>
      </c>
      <c r="BA185" s="215">
        <f>IF(AND(ISNUMBER(BA184),ISNUMBER(BA108)),IFERROR(BA184/BA108,""),"")</f>
        <v>0.202875947471849</v>
      </c>
      <c r="BB185" s="215">
        <f>IF(AND(ISNUMBER(BB184),ISNUMBER(BB108)),IFERROR(BB184/BB108,""),"")</f>
        <v>0.197397632778529</v>
      </c>
      <c r="BC185" s="215">
        <f>IF(AND(ISNUMBER(BC184),ISNUMBER(BC108)),IFERROR(BC184/BC108,""),"")</f>
        <v>0.200249671905509</v>
      </c>
      <c r="BD185" s="215">
        <f>IF(AND(ISNUMBER(BD184),ISNUMBER(BD108)),IFERROR(BD184/BD108,""),"")</f>
        <v>0.189825978868863</v>
      </c>
      <c r="BE185" s="215">
        <f>IF(AND(ISNUMBER(BE184),ISNUMBER(BE108)),IFERROR(BE184/BE108,""),"")</f>
        <v>0.167872247174596</v>
      </c>
      <c r="BF185" s="215">
        <f>IF(AND(ISNUMBER(BF184),ISNUMBER(BF108)),IFERROR(BF184/BF108,""),"")</f>
        <v>0.196093948099499</v>
      </c>
      <c r="BG185" s="215">
        <f>IF(AND(ISNUMBER(BG184),ISNUMBER(BG108)),IFERROR(BG184/BG108,""),"")</f>
        <v>0.187723039821324</v>
      </c>
      <c r="BH185" s="215">
        <f>IF(AND(ISNUMBER(BH184),ISNUMBER(BH108)),IFERROR(BH184/BH108,""),"")</f>
        <v>0.192772819701762</v>
      </c>
      <c r="BI185" s="215">
        <f>IF(AND(ISNUMBER(BI184),ISNUMBER(BI108)),IFERROR(BI184/BI108,""),"")</f>
        <v>0.205917647026955</v>
      </c>
      <c r="BJ185" s="215">
        <f>IF(AND(ISNUMBER(BJ184),ISNUMBER(BJ108)),IFERROR(BJ184/BJ108,""),"")</f>
        <v>0.203736935655883</v>
      </c>
      <c r="BK185" s="215">
        <f>IF(AND(ISNUMBER(BK184),ISNUMBER(BK108)),IFERROR(BK184/BK108,""),"")</f>
        <v>0.224731379081289</v>
      </c>
      <c r="BL185" s="215">
        <f>IF(AND(ISNUMBER(BL184),ISNUMBER(BL108)),IFERROR(BL184/BL108,""),"")</f>
        <v>0.207289185326346</v>
      </c>
      <c r="BM185" s="215">
        <f>IF(AND(ISNUMBER(BM184),ISNUMBER(BM108)),IFERROR(BM184/BM108,""),"")</f>
        <v>0.220354306911</v>
      </c>
      <c r="BN185" s="215">
        <f>IF(AND(ISNUMBER(BN184),ISNUMBER(BN108)),IFERROR(BN184/BN108,""),"")</f>
        <v>0.229241231209735</v>
      </c>
      <c r="BO185" s="215">
        <f>IF(AND(ISNUMBER(BO184),ISNUMBER(BO108)),IFERROR(BO184/BO108,""),"")</f>
        <v>0.201839499767321</v>
      </c>
      <c r="BP185" s="215">
        <f>IF(AND(ISNUMBER(BP184),ISNUMBER(BP108)),IFERROR(BP184/BP108,""),"")</f>
        <v>0.232776542254883</v>
      </c>
      <c r="BQ185" s="215">
        <f>IF(AND(ISNUMBER(BQ184),ISNUMBER(BQ108)),IFERROR(BQ184/BQ108,""),"")</f>
        <v>0.221410626161636</v>
      </c>
      <c r="BR185" s="215">
        <f>IF(AND(ISNUMBER(BR184),ISNUMBER(BR108)),IFERROR(BR184/BR108,""),"")</f>
        <v>0.239970465173517</v>
      </c>
      <c r="BS185" s="215">
        <f>IF(AND(ISNUMBER(BS184),ISNUMBER(BS108)),IFERROR(BS184/BS108,""),"")</f>
        <v>0.217642623774818</v>
      </c>
      <c r="BT185" s="215">
        <f>IF(AND(ISNUMBER(BT184),ISNUMBER(BT108)),IFERROR(BT184/BT108,""),"")</f>
        <v>0.217292089249493</v>
      </c>
      <c r="BU185" s="215">
        <f>IF(AND(ISNUMBER(BU184),ISNUMBER(BU108)),IFERROR(BU184/BU108,""),"")</f>
        <v>0.232122458304775</v>
      </c>
      <c r="BV185" s="215">
        <f>IF(AND(ISNUMBER(BV184),ISNUMBER(BV108)),IFERROR(BV184/BV108,""),"")</f>
        <v>0.226975493491414</v>
      </c>
      <c r="BW185" s="215">
        <f>IF(AND(ISNUMBER(BW184),ISNUMBER(BW108)),IFERROR(BW184/BW108,""),"")</f>
        <v>0.24151376146789</v>
      </c>
      <c r="BX185" s="215">
        <f>IF(AND(ISNUMBER(BX184),ISNUMBER(BX108)),IFERROR(BX184/BX108,""),"")</f>
        <v>0.230617175488689</v>
      </c>
      <c r="BY185" s="215">
        <f>IF(AND(ISNUMBER(BY184),ISNUMBER(BY108)),IFERROR(BY184/BY108,""),"")</f>
        <v>0.232668977469671</v>
      </c>
      <c r="BZ185" s="215">
        <f>IF(AND(ISNUMBER(BZ184),ISNUMBER(BZ108)),IFERROR(BZ184/BZ108,""),"")</f>
        <v>0.23996138996139</v>
      </c>
      <c r="CA185" s="215">
        <f>IF(AND(ISNUMBER(CA184),ISNUMBER(CA108)),IFERROR(CA184/CA108,""),"")</f>
        <v>0.236249933187236</v>
      </c>
      <c r="CB185" s="215">
        <f>IF(AND(ISNUMBER(CB184),ISNUMBER(CB108)),IFERROR(CB184/CB108,""),"")</f>
        <v>0.271799807507218</v>
      </c>
      <c r="CC185" s="256">
        <f>IF(AND(ISNUMBER(CC184),ISNUMBER(CC108)),IFERROR(CC184/CC108,""),"")</f>
        <v>0.249129411764706</v>
      </c>
      <c r="CD185" s="256">
        <f>IF(AND(ISNUMBER(CD184),ISNUMBER(CD108)),IFERROR(CD184/CD108,""),"")</f>
        <v>0.254110186411147</v>
      </c>
      <c r="CE185" s="256">
        <f>IF(AND(ISNUMBER(CE184),ISNUMBER(CE108)),IFERROR(CE184/CE108,""),"")</f>
        <v>0.263562172086348</v>
      </c>
      <c r="CF185" s="256">
        <f>IF(AND(ISNUMBER(CF184),ISNUMBER(CF108)),IFERROR(CF184/CF108,""),"")</f>
        <v>0.259894698821391</v>
      </c>
      <c r="CG185" s="256">
        <f>IF(AND(ISNUMBER(CG184),ISNUMBER(CG108)),IFERROR(CG184/CG108,""),"")</f>
        <v>0.263316443086308</v>
      </c>
      <c r="CH185" s="256">
        <f>IF(AND(ISNUMBER(CH184),ISNUMBER(CH108)),IFERROR(CH184/CH108,""),"")</f>
        <v>0.267023781406861</v>
      </c>
      <c r="CI185" s="256">
        <f>IF(AND(ISNUMBER(CI184),ISNUMBER(CI108)),IFERROR(CI184/CI108,""),"")</f>
        <v>0.271692402752206</v>
      </c>
      <c r="CJ185" s="256">
        <f>IF(AND(ISNUMBER(CJ184),ISNUMBER(CJ108)),IFERROR(CJ184/CJ108,""),"")</f>
        <v>0.272948480764011</v>
      </c>
      <c r="CK185" s="256">
        <f>IF(AND(ISNUMBER(CK184),ISNUMBER(CK108)),IFERROR(CK184/CK108,""),"")</f>
        <v>0.27304969035997</v>
      </c>
      <c r="CL185" s="153" t="n"/>
      <c r="CN185" s="37">
        <f>IFERROR(AVERAGE(CG185,CH185,CI185,CJ185,CK185),"n/m")</f>
        <v>0.269606159673871</v>
      </c>
      <c r="CO185" s="37">
        <f>IFERROR(AVERAGE(BG185,BL185,BQ185,BV185,CA185),"n/m")</f>
        <v>0.215929655597591</v>
      </c>
      <c r="CP185" s="37">
        <f>IFERROR(AVERAGE(AH185,AM185,AR185,AW185,BB185,BG185,BL185,BQ185,BV185,CA185),"n/m")</f>
        <v>0.210581675726371</v>
      </c>
      <c r="CQ185" s="37">
        <f>IFERROR(AVERAGE(C185,D185,E185,F185,G185,H185,I185,N185,S185,X185,AC185,AH185,AM185,AR185,AW185,BB185,BG185,BL185,BQ185,BV185,CA185),"n/m")</f>
        <v>0.199080105542345</v>
      </c>
    </row>
    <row r="186" ht="15" customHeight="1" s="251">
      <c r="B186" s="25" t="inlineStr">
        <is>
          <t xml:space="preserve">  Adjusted EBITA (adjusted operating income + M&amp;A-related amortization; after stock compensation)</t>
        </is>
      </c>
      <c r="C186" s="264">
        <f>IF(AND(ISNUMBER(C184),ISNUMBER(C86)),C184+C86,"")</f>
      </c>
      <c r="D186" s="264">
        <f>IF(AND(ISNUMBER(D184),ISNUMBER(D86)),D184+D86,"")</f>
      </c>
      <c r="E186" s="264">
        <f>IF(AND(ISNUMBER(E184),ISNUMBER(E86)),E184+E86,"")</f>
      </c>
      <c r="F186" s="264">
        <f>IF(AND(ISNUMBER(F184),ISNUMBER(F86)),F184+F86,"")</f>
      </c>
      <c r="G186" s="264">
        <f>IF(AND(ISNUMBER(G184),ISNUMBER(G86)),G184+G86,"")</f>
      </c>
      <c r="H186" s="264">
        <f>IF(AND(ISNUMBER(H184),ISNUMBER(H86)),H184+H86,"")</f>
      </c>
      <c r="I186" s="264">
        <f>IF(AND(ISNUMBER(I184),ISNUMBER(I86)),I184+I86,"")</f>
      </c>
      <c r="J186" s="264">
        <f>IF(AND(ISNUMBER(J184),ISNUMBER(J86)),J184+J86,"")</f>
      </c>
      <c r="K186" s="264">
        <f>IF(AND(ISNUMBER(K184),ISNUMBER(K86)),K184+K86,"")</f>
      </c>
      <c r="L186" s="264">
        <f>IF(AND(ISNUMBER(L184),ISNUMBER(L86)),L184+L86,"")</f>
      </c>
      <c r="M186" s="264">
        <f>IF(AND(ISNUMBER(M184),ISNUMBER(M86)),M184+M86,"")</f>
      </c>
      <c r="N186" s="264">
        <f>IF(AND(ISNUMBER(N184),ISNUMBER(N86)),N184+N86,"")</f>
      </c>
      <c r="O186" s="264">
        <f>IF(AND(ISNUMBER(O184),ISNUMBER(O86)),O184+O86,"")</f>
      </c>
      <c r="P186" s="264">
        <f>IF(AND(ISNUMBER(P184),ISNUMBER(P86)),P184+P86,"")</f>
      </c>
      <c r="Q186" s="264">
        <f>IF(AND(ISNUMBER(Q184),ISNUMBER(Q86)),Q184+Q86,"")</f>
      </c>
      <c r="R186" s="264">
        <f>IF(AND(ISNUMBER(R184),ISNUMBER(R86)),R184+R86,"")</f>
      </c>
      <c r="S186" s="264">
        <f>IF(AND(ISNUMBER(S184),ISNUMBER(S86)),S184+S86,"")</f>
      </c>
      <c r="T186" s="264">
        <f>IF(AND(ISNUMBER(T184),ISNUMBER(T86)),T184+T86,"")</f>
      </c>
      <c r="U186" s="264">
        <f>IF(AND(ISNUMBER(U184),ISNUMBER(U86)),U184+U86,"")</f>
      </c>
      <c r="V186" s="264">
        <f>IF(AND(ISNUMBER(V184),ISNUMBER(V86)),V184+V86,"")</f>
      </c>
      <c r="W186" s="264">
        <f>IF(AND(ISNUMBER(W184),ISNUMBER(W86)),W184+W86,"")</f>
      </c>
      <c r="X186" s="264">
        <f>IF(AND(ISNUMBER(X184),ISNUMBER(X86)),X184+X86,"")</f>
      </c>
      <c r="Y186" s="264">
        <f>IF(AND(ISNUMBER(Y184),ISNUMBER(Y86)),Y184+Y86,"")</f>
      </c>
      <c r="Z186" s="264">
        <f>IF(AND(ISNUMBER(Z184),ISNUMBER(Z86)),Z184+Z86,"")</f>
      </c>
      <c r="AA186" s="264">
        <f>IF(AND(ISNUMBER(AA184),ISNUMBER(AA86)),AA184+AA86,"")</f>
      </c>
      <c r="AB186" s="264">
        <f>IF(AND(ISNUMBER(AB184),ISNUMBER(AB86)),AB184+AB86,"")</f>
      </c>
      <c r="AC186" s="264">
        <f>IF(AND(ISNUMBER(AC184),ISNUMBER(AC86)),AC184+AC86,"")</f>
      </c>
      <c r="AD186" s="264">
        <f>IF(AND(ISNUMBER(AD184),ISNUMBER(AD86)),AD184+AD86,"")</f>
      </c>
      <c r="AE186" s="264">
        <f>IF(AND(ISNUMBER(AE184),ISNUMBER(AE86)),AE184+AE86,"")</f>
      </c>
      <c r="AF186" s="264">
        <f>IF(AND(ISNUMBER(AF184),ISNUMBER(AF86)),AF184+AF86,"")</f>
      </c>
      <c r="AG186" s="264">
        <f>IF(AND(ISNUMBER(AG184),ISNUMBER(AG86)),AG184+AG86,"")</f>
      </c>
      <c r="AH186" s="264">
        <f>IF(AND(ISNUMBER(AH184),ISNUMBER(AH86)),AH184+AH86,"")</f>
      </c>
      <c r="AI186" s="264">
        <f>IF(AND(ISNUMBER(AI184),ISNUMBER(AI86)),AI184+AI86,"")</f>
      </c>
      <c r="AJ186" s="264">
        <f>IF(AND(ISNUMBER(AJ184),ISNUMBER(AJ86)),AJ184+AJ86,"")</f>
      </c>
      <c r="AK186" s="264">
        <f>IF(AND(ISNUMBER(AK184),ISNUMBER(AK86)),AK184+AK86,"")</f>
      </c>
      <c r="AL186" s="264">
        <f>IF(AND(ISNUMBER(AL184),ISNUMBER(AL86)),AL184+AL86,"")</f>
      </c>
      <c r="AM186" s="264">
        <f>IF(AND(ISNUMBER(AM184),ISNUMBER(AM86)),AM184+AM86,"")</f>
      </c>
      <c r="AN186" s="264">
        <f>IF(AND(ISNUMBER(AN184),ISNUMBER(AN86)),AN184+AN86,"")</f>
      </c>
      <c r="AO186" s="264">
        <f>IF(AND(ISNUMBER(AO184),ISNUMBER(AO86)),AO184+AO86,"")</f>
      </c>
      <c r="AP186" s="264">
        <f>IF(AND(ISNUMBER(AP184),ISNUMBER(AP86)),AP184+AP86,"")</f>
      </c>
      <c r="AQ186" s="264">
        <f>IF(AND(ISNUMBER(AQ184),ISNUMBER(AQ86)),AQ184+AQ86,"")</f>
      </c>
      <c r="AR186" s="264">
        <f>IF(AND(ISNUMBER(AR184),ISNUMBER(AR86)),AR184+AR86,"")</f>
      </c>
      <c r="AS186" s="264">
        <f>IF(AND(ISNUMBER(AS184),ISNUMBER(AS86)),AS184+AS86,"")</f>
      </c>
      <c r="AT186" s="264">
        <f>IF(AND(ISNUMBER(AT184),ISNUMBER(AT86)),AT184+AT86,"")</f>
      </c>
      <c r="AU186" s="264">
        <f>IF(AND(ISNUMBER(AU184),ISNUMBER(AU86)),AU184+AU86,"")</f>
      </c>
      <c r="AV186" s="264">
        <f>IF(AND(ISNUMBER(AV184),ISNUMBER(AV86)),AV184+AV86,"")</f>
      </c>
      <c r="AW186" s="264">
        <f>IF(AND(ISNUMBER(AW184),ISNUMBER(AW86)),AW184+AW86,"")</f>
      </c>
      <c r="AX186" s="264">
        <f>IF(AND(ISNUMBER(AX184),ISNUMBER(AX86)),AX184+AX86,"")</f>
      </c>
      <c r="AY186" s="264">
        <f>IF(AND(ISNUMBER(AY184),ISNUMBER(AY86)),AY184+AY86,"")</f>
      </c>
      <c r="AZ186" s="264">
        <f>IF(AND(ISNUMBER(AZ184),ISNUMBER(AZ86)),AZ184+AZ86,"")</f>
      </c>
      <c r="BA186" s="264">
        <f>IF(AND(ISNUMBER(BA184),ISNUMBER(BA86)),BA184+BA86,"")</f>
      </c>
      <c r="BB186" s="264">
        <f>IF(AND(ISNUMBER(BB184),ISNUMBER(BB86)),BB184+BB86,"")</f>
      </c>
      <c r="BC186" s="264">
        <f>IF(AND(ISNUMBER(BC184),ISNUMBER(BC86)),BC184+BC86,"")</f>
      </c>
      <c r="BD186" s="264">
        <f>IF(AND(ISNUMBER(BD184),ISNUMBER(BD86)),BD184+BD86,"")</f>
      </c>
      <c r="BE186" s="264">
        <f>IF(AND(ISNUMBER(BE184),ISNUMBER(BE86)),BE184+BE86,"")</f>
      </c>
      <c r="BF186" s="264">
        <f>IF(AND(ISNUMBER(BF184),ISNUMBER(BF86)),BF184+BF86,"")</f>
      </c>
      <c r="BG186" s="264">
        <f>IF(AND(ISNUMBER(BG184),ISNUMBER(BG86)),BG184+BG86,"")</f>
      </c>
      <c r="BH186" s="264">
        <f>IF(AND(ISNUMBER(BH184),ISNUMBER(BH86)),BH184+BH86,"")</f>
      </c>
      <c r="BI186" s="264">
        <f>IF(AND(ISNUMBER(BI184),ISNUMBER(BI86)),BI184+BI86,"")</f>
        <v>92.163</v>
      </c>
      <c r="BJ186" s="264">
        <f>IF(AND(ISNUMBER(BJ184),ISNUMBER(BJ86)),BJ184+BJ86,"")</f>
        <v>87.915</v>
      </c>
      <c r="BK186" s="264">
        <f>IF(AND(ISNUMBER(BK184),ISNUMBER(BK86)),BK184+BK86,"")</f>
        <v>104.917</v>
      </c>
      <c r="BL186" s="264">
        <f>IF(AND(ISNUMBER(BL184),ISNUMBER(BL86)),BL184+BL86,"")</f>
        <v>369.68</v>
      </c>
      <c r="BM186" s="264">
        <f>IF(AND(ISNUMBER(BM184),ISNUMBER(BM86)),BM184+BM86,"")</f>
        <v>101.562</v>
      </c>
      <c r="BN186" s="264">
        <f>IF(AND(ISNUMBER(BN184),ISNUMBER(BN86)),BN184+BN86,"")</f>
        <v>104.736</v>
      </c>
      <c r="BO186" s="264">
        <f>IF(AND(ISNUMBER(BO184),ISNUMBER(BO86)),BO184+BO86,"")</f>
        <v>91.932</v>
      </c>
      <c r="BP186" s="264">
        <f>IF(AND(ISNUMBER(BP184),ISNUMBER(BP86)),BP184+BP86,"")</f>
        <v>112.704</v>
      </c>
      <c r="BQ186" s="264">
        <f>IF(AND(ISNUMBER(BQ184),ISNUMBER(BQ86)),BQ184+BQ86,"")</f>
        <v>410.944</v>
      </c>
      <c r="BR186" s="264">
        <f>IF(AND(ISNUMBER(BR184),ISNUMBER(BR86)),BR184+BR86,"")</f>
        <v>113.9</v>
      </c>
      <c r="BS186" s="264">
        <f>IF(AND(ISNUMBER(BS184),ISNUMBER(BS86)),BS184+BS86,"")</f>
        <v>103</v>
      </c>
      <c r="BT186" s="264">
        <f>IF(AND(ISNUMBER(BT184),ISNUMBER(BT86)),BT184+BT86,"")</f>
        <v>102.1</v>
      </c>
      <c r="BU186" s="264">
        <f>IF(AND(ISNUMBER(BU184),ISNUMBER(BU86)),BU184+BU86,"")</f>
        <v>118</v>
      </c>
      <c r="BV186" s="264">
        <f>IF(AND(ISNUMBER(BV184),ISNUMBER(BV86)),BV184+BV86,"")</f>
        <v>437</v>
      </c>
      <c r="BW186" s="264">
        <f>IF(AND(ISNUMBER(BW184),ISNUMBER(BW86)),BW184+BW86,"")</f>
        <v>121.5</v>
      </c>
      <c r="BX186" s="264">
        <f>IF(AND(ISNUMBER(BX184),ISNUMBER(BX86)),BX184+BX86,"")</f>
        <v>123.3</v>
      </c>
      <c r="BY186" s="264">
        <f>IF(AND(ISNUMBER(BY184),ISNUMBER(BY86)),BY184+BY86,"")</f>
        <v>127.1</v>
      </c>
      <c r="BZ186" s="264">
        <f>IF(AND(ISNUMBER(BZ184),ISNUMBER(BZ86)),BZ184+BZ86,"")</f>
        <v>143.8</v>
      </c>
      <c r="CA186" s="264">
        <f>IF(AND(ISNUMBER(CA184),ISNUMBER(CA86)),CA184+CA86,"")</f>
        <v>515.7</v>
      </c>
      <c r="CB186" s="264">
        <f>IF(AND(ISNUMBER(CB184),ISNUMBER(CB86)),CB184+CB86,"")</f>
        <v>160.7</v>
      </c>
      <c r="CC186" s="261">
        <f>IF(AND(ISNUMBER(CC184),ISNUMBER(CC86)),CC184+CC86,"")</f>
        <v>146.4</v>
      </c>
      <c r="CD186" s="261">
        <f>IF(AND(ISNUMBER(CD184),ISNUMBER(CD86)),CD184+CD86,"")</f>
        <v>149.192814178226</v>
      </c>
      <c r="CE186" s="261">
        <f>IF(AND(ISNUMBER(CE184),ISNUMBER(CE86)),CE184+CE86,"")</f>
        <v>182.048207523199</v>
      </c>
      <c r="CF186" s="261">
        <f>IF(AND(ISNUMBER(CF184),ISNUMBER(CF86)),CF184+CF86,"")</f>
        <v>638.341021701425</v>
      </c>
      <c r="CG186" s="261">
        <f>IF(AND(ISNUMBER(CG184),ISNUMBER(CG86)),CG184+CG86,"")</f>
        <v>707.309465355465</v>
      </c>
      <c r="CH186" s="261">
        <f>IF(AND(ISNUMBER(CH184),ISNUMBER(CH86)),CH184+CH86,"")</f>
        <v>796.518562509514</v>
      </c>
      <c r="CI186" s="261">
        <f>IF(AND(ISNUMBER(CI184),ISNUMBER(CI86)),CI184+CI86,"")</f>
        <v>887.943199120574</v>
      </c>
      <c r="CJ186" s="261">
        <f>IF(AND(ISNUMBER(CJ184),ISNUMBER(CJ86)),CJ184+CJ86,"")</f>
        <v>974.446938670355</v>
      </c>
      <c r="CK186" s="261">
        <f>IF(AND(ISNUMBER(CK184),ISNUMBER(CK86)),CK184+CK86,"")</f>
        <v>1060.03063535833</v>
      </c>
      <c r="CL186" s="19" t="inlineStr">
        <is>
          <t>NOPAT basis (playbook 5.7): adjusted EBIT before acquired-intangible amortization, after stock compensation; FY2023+ (M&amp;A amortization published from then).</t>
        </is>
      </c>
    </row>
    <row r="187" ht="15" customHeight="1" s="251">
      <c r="B187" s="156" t="inlineStr">
        <is>
          <t xml:space="preserve">  Memo: transaction &amp; restructuring costs (cash costs adjusted out; deducted in the DCF)</t>
        </is>
      </c>
      <c r="C187" s="264">
        <f>IF(ISNUMBER(C151),C151+C150,"")</f>
        <v>1.024</v>
      </c>
      <c r="D187" s="264">
        <f>IF(ISNUMBER(D151),D151+D150,"")</f>
        <v>5.455</v>
      </c>
      <c r="E187" s="264">
        <f>IF(ISNUMBER(E151),E151+E150,"")</f>
        <v>0.734</v>
      </c>
      <c r="F187" s="264">
        <f>IF(ISNUMBER(F151),F151+F150,"")</f>
        <v>1.231</v>
      </c>
      <c r="G187" s="264">
        <f>IF(ISNUMBER(G151),G151+G150,"")</f>
        <v>1.197</v>
      </c>
      <c r="H187" s="264">
        <f>IF(ISNUMBER(H151),H151+H150,"")</f>
        <v>0.219</v>
      </c>
      <c r="I187" s="264">
        <f>IF(ISNUMBER(I151),I151+I150,"")</f>
        <v>0</v>
      </c>
      <c r="J187" s="264">
        <f>IF(ISNUMBER(J151),J151+J150,"")</f>
        <v>0</v>
      </c>
      <c r="K187" s="264">
        <f>IF(ISNUMBER(K151),K151+K150,"")</f>
        <v>0</v>
      </c>
      <c r="L187" s="264">
        <f>IF(ISNUMBER(L151),L151+L150,"")</f>
        <v>0</v>
      </c>
      <c r="M187" s="264">
        <f>IF(ISNUMBER(M151),M151+M150,"")</f>
        <v>6.738</v>
      </c>
      <c r="N187" s="264">
        <f>IF(ISNUMBER(N151),N151+N150,"")</f>
        <v>6.738</v>
      </c>
      <c r="O187" s="264">
        <f>IF(ISNUMBER(O151),O151+O150,"")</f>
        <v>0.628</v>
      </c>
      <c r="P187" s="264">
        <f>IF(ISNUMBER(P151),P151+P150,"")</f>
        <v>1.244</v>
      </c>
      <c r="Q187" s="264">
        <f>IF(ISNUMBER(Q151),Q151+Q150,"")</f>
        <v>0</v>
      </c>
      <c r="R187" s="264">
        <f>IF(ISNUMBER(R151),R151+R150,"")</f>
        <v>0</v>
      </c>
      <c r="S187" s="264">
        <f>IF(ISNUMBER(S151),S151+S150,"")</f>
        <v>1.999</v>
      </c>
      <c r="T187" s="264">
        <f>IF(ISNUMBER(T151),T151+T150,"")</f>
        <v>0</v>
      </c>
      <c r="U187" s="264">
        <f>IF(ISNUMBER(U151),U151+U150,"")</f>
        <v>6.382</v>
      </c>
      <c r="V187" s="264">
        <f>IF(ISNUMBER(V151),V151+V150,"")</f>
        <v>1.615</v>
      </c>
      <c r="W187" s="264">
        <f>IF(ISNUMBER(W151),W151+W150,"")</f>
        <v>0.06</v>
      </c>
      <c r="X187" s="264">
        <f>IF(ISNUMBER(X151),X151+X150,"")</f>
        <v>8.057</v>
      </c>
      <c r="Y187" s="264">
        <f>IF(ISNUMBER(Y151),Y151+Y150,"")</f>
        <v>4.788</v>
      </c>
      <c r="Z187" s="264">
        <f>IF(ISNUMBER(Z151),Z151+Z150,"")</f>
        <v>1.283</v>
      </c>
      <c r="AA187" s="264">
        <f>IF(ISNUMBER(AA151),AA151+AA150,"")</f>
        <v>0.025</v>
      </c>
      <c r="AB187" s="264">
        <f>IF(ISNUMBER(AB151),AB151+AB150,"")</f>
        <v>0</v>
      </c>
      <c r="AC187" s="264">
        <f>IF(ISNUMBER(AC151),AC151+AC150,"")</f>
        <v>6.096</v>
      </c>
      <c r="AD187" s="264">
        <f>IF(ISNUMBER(AD151),AD151+AD150,"")</f>
        <v>0</v>
      </c>
      <c r="AE187" s="264">
        <f>IF(ISNUMBER(AE151),AE151+AE150,"")</f>
        <v>0.222</v>
      </c>
      <c r="AF187" s="264">
        <f>IF(ISNUMBER(AF151),AF151+AF150,"")</f>
        <v>7.06</v>
      </c>
      <c r="AG187" s="264">
        <f>IF(ISNUMBER(AG151),AG151+AG150,"")</f>
        <v>0</v>
      </c>
      <c r="AH187" s="264">
        <f>IF(ISNUMBER(AH151),AH151+AH150,"")</f>
        <v>7.282</v>
      </c>
      <c r="AI187" s="264">
        <f>IF(ISNUMBER(AI151),AI151+AI150,"")</f>
        <v>0</v>
      </c>
      <c r="AJ187" s="264">
        <f>IF(ISNUMBER(AJ151),AJ151+AJ150,"")</f>
        <v>6.494</v>
      </c>
      <c r="AK187" s="264">
        <f>IF(ISNUMBER(AK151),AK151+AK150,"")</f>
        <v>1.091</v>
      </c>
      <c r="AL187" s="264">
        <f>IF(ISNUMBER(AL151),AL151+AL150,"")</f>
        <v>0.397</v>
      </c>
      <c r="AM187" s="264">
        <f>IF(ISNUMBER(AM151),AM151+AM150,"")</f>
        <v>7.982</v>
      </c>
      <c r="AN187" s="264">
        <f>IF(ISNUMBER(AN151),AN151+AN150,"")</f>
        <v>0</v>
      </c>
      <c r="AO187" s="264">
        <f>IF(ISNUMBER(AO151),AO151+AO150,"")</f>
        <v>0</v>
      </c>
      <c r="AP187" s="264">
        <f>IF(ISNUMBER(AP151),AP151+AP150,"")</f>
        <v>0</v>
      </c>
      <c r="AQ187" s="264">
        <f>IF(ISNUMBER(AQ151),AQ151+AQ150,"")</f>
        <v>1.18</v>
      </c>
      <c r="AR187" s="264">
        <f>IF(ISNUMBER(AR151),AR151+AR150,"")</f>
        <v>1.18</v>
      </c>
      <c r="AS187" s="264">
        <f>IF(ISNUMBER(AS151),AS151+AS150,"")</f>
        <v>0</v>
      </c>
      <c r="AT187" s="264">
        <f>IF(ISNUMBER(AT151),AT151+AT150,"")</f>
        <v>0.985</v>
      </c>
      <c r="AU187" s="264">
        <f>IF(ISNUMBER(AU151),AU151+AU150,"")</f>
        <v>0.147</v>
      </c>
      <c r="AV187" s="264">
        <f>IF(ISNUMBER(AV151),AV151+AV150,"")</f>
        <v>0.805</v>
      </c>
      <c r="AW187" s="264">
        <f>IF(ISNUMBER(AW151),AW151+AW150,"")</f>
        <v>1.937</v>
      </c>
      <c r="AX187" s="264">
        <f>IF(ISNUMBER(AX151),AX151+AX150,"")</f>
        <v>1.119</v>
      </c>
      <c r="AY187" s="264">
        <f>IF(ISNUMBER(AY151),AY151+AY150,"")</f>
        <v>3.514</v>
      </c>
      <c r="AZ187" s="264">
        <f>IF(ISNUMBER(AZ151),AZ151+AZ150,"")</f>
        <v>1.341</v>
      </c>
      <c r="BA187" s="264">
        <f>IF(ISNUMBER(BA151),BA151+BA150,"")</f>
        <v>1.273</v>
      </c>
      <c r="BB187" s="264">
        <f>IF(ISNUMBER(BB151),BB151+BB150,"")</f>
        <v>7.247</v>
      </c>
      <c r="BC187" s="264">
        <f>IF(ISNUMBER(BC151),BC151+BC150,"")</f>
        <v>0.557</v>
      </c>
      <c r="BD187" s="264">
        <f>IF(ISNUMBER(BD151),BD151+BD150,"")</f>
        <v>3.42</v>
      </c>
      <c r="BE187" s="264">
        <f>IF(ISNUMBER(BE151),BE151+BE150,"")</f>
        <v>30.443</v>
      </c>
      <c r="BF187" s="264">
        <f>IF(ISNUMBER(BF151),BF151+BF150,"")</f>
        <v>12.528</v>
      </c>
      <c r="BG187" s="264">
        <f>IF(ISNUMBER(BG151),BG151+BG150,"")</f>
        <v>46.948</v>
      </c>
      <c r="BH187" s="264">
        <f>IF(ISNUMBER(BH151),BH151+BH150,"")</f>
        <v>3.787</v>
      </c>
      <c r="BI187" s="264">
        <f>IF(ISNUMBER(BI151),BI151+BI150,"")</f>
        <v>4.001</v>
      </c>
      <c r="BJ187" s="264">
        <f>IF(ISNUMBER(BJ151),BJ151+BJ150,"")</f>
        <v>1.247</v>
      </c>
      <c r="BK187" s="264">
        <f>IF(ISNUMBER(BK151),BK151+BK150,"")</f>
        <v>2.535</v>
      </c>
      <c r="BL187" s="264">
        <f>IF(ISNUMBER(BL151),BL151+BL150,"")</f>
        <v>11.57</v>
      </c>
      <c r="BM187" s="264">
        <f>IF(ISNUMBER(BM151),BM151+BM150,"")</f>
        <v>0.29</v>
      </c>
      <c r="BN187" s="264">
        <f>IF(ISNUMBER(BN151),BN151+BN150,"")</f>
        <v>0.656</v>
      </c>
      <c r="BO187" s="264">
        <f>IF(ISNUMBER(BO151),BO151+BO150,"")</f>
        <v>0.178</v>
      </c>
      <c r="BP187" s="264">
        <f>IF(ISNUMBER(BP151),BP151+BP150,"")</f>
        <v>2.143</v>
      </c>
      <c r="BQ187" s="264">
        <f>IF(ISNUMBER(BQ151),BQ151+BQ150,"")</f>
        <v>3.267</v>
      </c>
      <c r="BR187" s="264">
        <f>IF(ISNUMBER(BR151),BR151+BR150,"")</f>
        <v>0</v>
      </c>
      <c r="BS187" s="264">
        <f>IF(ISNUMBER(BS151),BS151+BS150,"")</f>
        <v>0.5</v>
      </c>
      <c r="BT187" s="264">
        <f>IF(ISNUMBER(BT151),BT151+BT150,"")</f>
        <v>0.1</v>
      </c>
      <c r="BU187" s="264">
        <f>IF(ISNUMBER(BU151),BU151+BU150,"")</f>
        <v>0.9</v>
      </c>
      <c r="BV187" s="264">
        <f>IF(ISNUMBER(BV151),BV151+BV150,"")</f>
        <v>1.5</v>
      </c>
      <c r="BW187" s="264">
        <f>IF(ISNUMBER(BW151),BW151+BW150,"")</f>
        <v>4.2</v>
      </c>
      <c r="BX187" s="264">
        <f>IF(ISNUMBER(BX151),BX151+BX150,"")</f>
        <v>7.2</v>
      </c>
      <c r="BY187" s="264">
        <f>IF(ISNUMBER(BY151),BY151+BY150,"")</f>
        <v>4.4</v>
      </c>
      <c r="BZ187" s="264">
        <f>IF(ISNUMBER(BZ151),BZ151+BZ150,"")</f>
        <v>5.2</v>
      </c>
      <c r="CA187" s="264">
        <f>IF(ISNUMBER(CA151),CA151+CA150,"")</f>
        <v>21</v>
      </c>
      <c r="CB187" s="264">
        <f>IF(ISNUMBER(CB151),CB151+CB150,"")</f>
        <v>0.4</v>
      </c>
      <c r="CC187" s="261">
        <f>IF(ISNUMBER(CC151),CC151+CC150,"")</f>
        <v>0.8</v>
      </c>
      <c r="CD187" s="261">
        <f>IF(ISNUMBER(CD151),CD151+CD150,"")</f>
        <v>0.5</v>
      </c>
      <c r="CE187" s="261">
        <f>IF(ISNUMBER(CE151),CE151+CE150,"")</f>
        <v>0.5</v>
      </c>
      <c r="CF187" s="261">
        <f>IF(ISNUMBER(CF151),CF151+CF150,"")</f>
        <v>2.2</v>
      </c>
      <c r="CG187" s="261">
        <f>IF(ISNUMBER(CG151),CG151+CG150,"")</f>
        <v>7</v>
      </c>
      <c r="CH187" s="261">
        <f>IF(ISNUMBER(CH151),CH151+CH150,"")</f>
        <v>7</v>
      </c>
      <c r="CI187" s="261">
        <f>IF(ISNUMBER(CI151),CI151+CI150,"")</f>
        <v>7</v>
      </c>
      <c r="CJ187" s="261">
        <f>IF(ISNUMBER(CJ151),CJ151+CJ150,"")</f>
        <v>7</v>
      </c>
      <c r="CK187" s="261">
        <f>IF(ISNUMBER(CK151),CK151+CK150,"")</f>
        <v>7</v>
      </c>
      <c r="CL187" s="153" t="n"/>
    </row>
    <row r="188" ht="15" customHeight="1" s="251">
      <c r="CT188" s="11" t="n"/>
      <c r="CU188" s="12" t="n"/>
      <c r="CV188" s="12" t="n"/>
      <c r="CW188" s="12" t="n"/>
      <c r="CX188" s="13" t="n"/>
    </row>
    <row r="189" ht="15" customHeight="1" s="251">
      <c r="B189" s="10" t="inlineStr">
        <is>
          <t>RECONCILIATION: NET INCOME → ADJUSTED NET INCOME → ADJUSTED EPS (company definition in force)</t>
        </is>
      </c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  <c r="AD189" s="10" t="n"/>
      <c r="AE189" s="10" t="n"/>
      <c r="AF189" s="10" t="n"/>
      <c r="AG189" s="10" t="n"/>
      <c r="AH189" s="10" t="n"/>
      <c r="AI189" s="10" t="n"/>
      <c r="AJ189" s="10" t="n"/>
      <c r="AK189" s="10" t="n"/>
      <c r="AL189" s="10" t="n"/>
      <c r="AM189" s="10" t="n"/>
      <c r="AN189" s="10" t="n"/>
      <c r="AO189" s="10" t="n"/>
      <c r="AP189" s="10" t="n"/>
      <c r="AQ189" s="10" t="n"/>
      <c r="AR189" s="10" t="n"/>
      <c r="AS189" s="10" t="n"/>
      <c r="AT189" s="10" t="n"/>
      <c r="AU189" s="10" t="n"/>
      <c r="AV189" s="10" t="n"/>
      <c r="AW189" s="10" t="n"/>
      <c r="AX189" s="10" t="n"/>
      <c r="AY189" s="10" t="n"/>
      <c r="AZ189" s="10" t="n"/>
      <c r="BA189" s="10" t="n"/>
      <c r="BB189" s="10" t="n"/>
      <c r="BC189" s="10" t="n"/>
      <c r="BD189" s="10" t="n"/>
      <c r="BE189" s="10" t="n"/>
      <c r="BF189" s="10" t="n"/>
      <c r="BG189" s="10" t="n"/>
      <c r="BH189" s="10" t="n"/>
      <c r="BI189" s="10" t="n"/>
      <c r="BJ189" s="10" t="n"/>
      <c r="BK189" s="10" t="n"/>
      <c r="BL189" s="10" t="n"/>
      <c r="BM189" s="10" t="n"/>
      <c r="BN189" s="10" t="n"/>
      <c r="BO189" s="10" t="n"/>
      <c r="BP189" s="10" t="n"/>
      <c r="BQ189" s="10" t="n"/>
      <c r="BR189" s="10" t="n"/>
      <c r="BS189" s="10" t="n"/>
      <c r="BT189" s="10" t="n"/>
      <c r="BU189" s="10" t="n"/>
      <c r="BV189" s="10" t="n"/>
      <c r="BW189" s="10" t="n"/>
      <c r="BX189" s="10" t="n"/>
      <c r="BY189" s="10" t="n"/>
      <c r="BZ189" s="10" t="n"/>
      <c r="CA189" s="10" t="n"/>
      <c r="CB189" s="10" t="n"/>
      <c r="CC189" s="10" t="n"/>
      <c r="CD189" s="10" t="n"/>
      <c r="CE189" s="10" t="n"/>
      <c r="CF189" s="10" t="n"/>
      <c r="CG189" s="10" t="n"/>
      <c r="CH189" s="10" t="n"/>
      <c r="CI189" s="10" t="n"/>
      <c r="CJ189" s="10" t="n"/>
      <c r="CK189" s="10" t="n"/>
      <c r="CL189" s="10" t="inlineStr">
        <is>
          <t>ADJUSTED EPS — net income + operating items (pre-tax) + non-operating items + (current definition, from Q2 FY23) M&amp;A amortization, stock compensation and deferred-fee amortization − tax effect (derived) − preferred dividends</t>
        </is>
      </c>
    </row>
    <row r="190" ht="15" customHeight="1" s="251">
      <c r="B190" s="16" t="inlineStr">
        <is>
          <t>Net income (GAAP)</t>
        </is>
      </c>
      <c r="C190" s="280">
        <f>C127</f>
        <v>12.439</v>
      </c>
      <c r="D190" s="280">
        <f>D127</f>
        <v>28.479</v>
      </c>
      <c r="E190" s="280">
        <f>E127</f>
        <v>40.194</v>
      </c>
      <c r="F190" s="280">
        <f>F127</f>
        <v>34.454</v>
      </c>
      <c r="G190" s="280">
        <f>G127</f>
        <v>24.385</v>
      </c>
      <c r="H190" s="280">
        <f>H127</f>
        <v>34.868</v>
      </c>
      <c r="I190" s="280">
        <f>I127</f>
        <v>49.997</v>
      </c>
      <c r="J190" s="280">
        <f>J127</f>
        <v>17.164</v>
      </c>
      <c r="K190" s="280">
        <f>K127</f>
        <v>16.494</v>
      </c>
      <c r="L190" s="280">
        <f>L127</f>
        <v>12.109</v>
      </c>
      <c r="M190" s="280">
        <f>M127</f>
        <v>10.575</v>
      </c>
      <c r="N190" s="280">
        <f>N127</f>
        <v>56.342</v>
      </c>
      <c r="O190" s="280">
        <f>O127</f>
        <v>15.116</v>
      </c>
      <c r="P190" s="280">
        <f>P127</f>
        <v>14.125</v>
      </c>
      <c r="Q190" s="280">
        <f>Q127</f>
        <v>12.764</v>
      </c>
      <c r="R190" s="280">
        <f>R127</f>
        <v>18.203</v>
      </c>
      <c r="S190" s="280">
        <f>S127</f>
        <v>60.208</v>
      </c>
      <c r="T190" s="280">
        <f>T127</f>
        <v>16.02</v>
      </c>
      <c r="U190" s="280">
        <f>U127</f>
        <v>13.248</v>
      </c>
      <c r="V190" s="280">
        <f>V127</f>
        <v>14.051</v>
      </c>
      <c r="W190" s="280">
        <f>W127</f>
        <v>14.929</v>
      </c>
      <c r="X190" s="280">
        <f>X127</f>
        <v>58.248</v>
      </c>
      <c r="Y190" s="280">
        <f>Y127</f>
        <v>13.404</v>
      </c>
      <c r="Z190" s="280">
        <f>Z127</f>
        <v>14.519</v>
      </c>
      <c r="AA190" s="280">
        <f>AA127</f>
        <v>17.047</v>
      </c>
      <c r="AB190" s="280">
        <f>AB127</f>
        <v>18.924</v>
      </c>
      <c r="AC190" s="280">
        <f>AC127</f>
        <v>63.894</v>
      </c>
      <c r="AD190" s="280">
        <f>AD127</f>
        <v>18.04</v>
      </c>
      <c r="AE190" s="280">
        <f>AE127</f>
        <v>18.228</v>
      </c>
      <c r="AF190" s="280">
        <f>AF127</f>
        <v>12.77</v>
      </c>
      <c r="AG190" s="280">
        <f>AG127</f>
        <v>21.585</v>
      </c>
      <c r="AH190" s="280">
        <f>AH127</f>
        <v>70.623</v>
      </c>
      <c r="AI190" s="280">
        <f>AI127</f>
        <v>21.809</v>
      </c>
      <c r="AJ190" s="280">
        <f>AJ127</f>
        <v>14.823</v>
      </c>
      <c r="AK190" s="280">
        <f>AK127</f>
        <v>23.832</v>
      </c>
      <c r="AL190" s="280">
        <f>AL127</f>
        <v>26.677</v>
      </c>
      <c r="AM190" s="280">
        <f>AM127</f>
        <v>87.141</v>
      </c>
      <c r="AN190" s="280">
        <f>AN127</f>
        <v>27.467</v>
      </c>
      <c r="AO190" s="280">
        <f>AO127</f>
        <v>30.111</v>
      </c>
      <c r="AP190" s="280">
        <f>AP127</f>
        <v>16.178</v>
      </c>
      <c r="AQ190" s="280">
        <f>AQ127</f>
        <v>31.437</v>
      </c>
      <c r="AR190" s="280">
        <f>AR127</f>
        <v>105.193</v>
      </c>
      <c r="AS190" s="280">
        <f>AS127</f>
        <v>30.499</v>
      </c>
      <c r="AT190" s="280">
        <f>AT127</f>
        <v>31.27</v>
      </c>
      <c r="AU190" s="280">
        <f>AU127</f>
        <v>30.515</v>
      </c>
      <c r="AV190" s="280">
        <f>AV127</f>
        <v>33.752</v>
      </c>
      <c r="AW190" s="280">
        <f>AW127</f>
        <v>126.036</v>
      </c>
      <c r="AX190" s="280">
        <f>AX127</f>
        <v>22.689</v>
      </c>
      <c r="AY190" s="280">
        <f>AY127</f>
        <v>20.421</v>
      </c>
      <c r="AZ190" s="280">
        <f>AZ127</f>
        <v>21.569</v>
      </c>
      <c r="BA190" s="280">
        <f>BA127</f>
        <v>24.954</v>
      </c>
      <c r="BB190" s="280">
        <f>BB127</f>
        <v>89.633</v>
      </c>
      <c r="BC190" s="280">
        <f>BC127</f>
        <v>25.999</v>
      </c>
      <c r="BD190" s="280">
        <f>BD127</f>
        <v>6.929</v>
      </c>
      <c r="BE190" s="280">
        <f>BE127</f>
        <v>-0.0630000000000002</v>
      </c>
      <c r="BF190" s="280">
        <f>BF127</f>
        <v>32.2</v>
      </c>
      <c r="BG190" s="280">
        <f>BG127</f>
        <v>65.065</v>
      </c>
      <c r="BH190" s="280">
        <f>BH127</f>
        <v>37.438</v>
      </c>
      <c r="BI190" s="280">
        <f>BI127</f>
        <v>43.802</v>
      </c>
      <c r="BJ190" s="280">
        <f>BJ127</f>
        <v>36.264</v>
      </c>
      <c r="BK190" s="280">
        <f>BK127</f>
        <v>49.155</v>
      </c>
      <c r="BL190" s="280">
        <f>BL127</f>
        <v>166.7</v>
      </c>
      <c r="BM190" s="280">
        <f>BM127</f>
        <v>50.027</v>
      </c>
      <c r="BN190" s="280">
        <f>BN127</f>
        <v>51.653</v>
      </c>
      <c r="BO190" s="280">
        <f>BO127</f>
        <v>46.554</v>
      </c>
      <c r="BP190" s="280">
        <f>BP127</f>
        <v>61.67</v>
      </c>
      <c r="BQ190" s="280">
        <f>BQ127</f>
        <v>209.9</v>
      </c>
      <c r="BR190" s="280">
        <f>BR127</f>
        <v>61.4</v>
      </c>
      <c r="BS190" s="280">
        <f>BS127</f>
        <v>54.2</v>
      </c>
      <c r="BT190" s="280">
        <f>BT127</f>
        <v>57.9</v>
      </c>
      <c r="BU190" s="280">
        <f>BU127</f>
        <v>72.7</v>
      </c>
      <c r="BV190" s="280">
        <f>BV127</f>
        <v>246.2</v>
      </c>
      <c r="BW190" s="280">
        <f>BW127</f>
        <v>68.5</v>
      </c>
      <c r="BX190" s="280">
        <f>BX127</f>
        <v>60</v>
      </c>
      <c r="BY190" s="280">
        <f>BY127</f>
        <v>67.4</v>
      </c>
      <c r="BZ190" s="280">
        <f>BZ127</f>
        <v>91.7</v>
      </c>
      <c r="CA190" s="280">
        <f>CA127</f>
        <v>287.6</v>
      </c>
      <c r="CB190" s="280">
        <f>CB127</f>
        <v>101.5</v>
      </c>
      <c r="CC190" s="254">
        <f>CC127</f>
        <v>90.2534</v>
      </c>
      <c r="CD190" s="254">
        <f>CD127</f>
        <v>93.1928309881254</v>
      </c>
      <c r="CE190" s="254">
        <f>CE127</f>
        <v>118.511610830479</v>
      </c>
      <c r="CF190" s="254">
        <f>CF127</f>
        <v>403.457841818604</v>
      </c>
      <c r="CG190" s="254">
        <f>CG127</f>
        <v>456.78262526851</v>
      </c>
      <c r="CH190" s="254">
        <f>CH127</f>
        <v>508.150032226153</v>
      </c>
      <c r="CI190" s="254">
        <f>CI127</f>
        <v>571.027854992127</v>
      </c>
      <c r="CJ190" s="254">
        <f>CJ127</f>
        <v>628.525114123447</v>
      </c>
      <c r="CK190" s="254">
        <f>CK127</f>
        <v>684.808268473411</v>
      </c>
      <c r="CL190" s="153" t="n"/>
    </row>
    <row r="191" ht="15" customHeight="1" s="251">
      <c r="B191" s="25" t="inlineStr">
        <is>
          <t xml:space="preserve">  (+) Operating adjusting items (pre-tax; bridge above)</t>
        </is>
      </c>
      <c r="C191" s="264">
        <f>C157</f>
        <v>6.786</v>
      </c>
      <c r="D191" s="264">
        <f>D157</f>
        <v>5.927</v>
      </c>
      <c r="E191" s="264">
        <f>E157</f>
        <v>1.1</v>
      </c>
      <c r="F191" s="264">
        <f>F157</f>
        <v>7.976</v>
      </c>
      <c r="G191" s="264">
        <f>G157</f>
        <v>4.052</v>
      </c>
      <c r="H191" s="264">
        <f>H157</f>
        <v>2.022</v>
      </c>
      <c r="I191" s="264">
        <f>I157</f>
        <v>0</v>
      </c>
      <c r="J191" s="264">
        <f>J157</f>
        <v>0</v>
      </c>
      <c r="K191" s="264">
        <f>K157</f>
        <v>0</v>
      </c>
      <c r="L191" s="264">
        <f>L157</f>
        <v>0</v>
      </c>
      <c r="M191" s="264">
        <f>M157</f>
        <v>6.918</v>
      </c>
      <c r="N191" s="264">
        <f>N157</f>
        <v>6.918</v>
      </c>
      <c r="O191" s="264">
        <f>O157</f>
        <v>0.628</v>
      </c>
      <c r="P191" s="264">
        <f>P157</f>
        <v>1.287</v>
      </c>
      <c r="Q191" s="264">
        <f>Q157</f>
        <v>0</v>
      </c>
      <c r="R191" s="264">
        <f>R157</f>
        <v>0</v>
      </c>
      <c r="S191" s="264">
        <f>S157</f>
        <v>2.042</v>
      </c>
      <c r="T191" s="264">
        <f>T157</f>
        <v>0</v>
      </c>
      <c r="U191" s="264">
        <f>U157</f>
        <v>6.382</v>
      </c>
      <c r="V191" s="264">
        <f>V157</f>
        <v>1.615</v>
      </c>
      <c r="W191" s="264">
        <f>W157</f>
        <v>0.06</v>
      </c>
      <c r="X191" s="264">
        <f>X157</f>
        <v>8.057</v>
      </c>
      <c r="Y191" s="264">
        <f>Y157</f>
        <v>7.119</v>
      </c>
      <c r="Z191" s="264">
        <f>Z157</f>
        <v>5.578</v>
      </c>
      <c r="AA191" s="264">
        <f>AA157</f>
        <v>0.587</v>
      </c>
      <c r="AB191" s="264">
        <f>AB157</f>
        <v>1.696</v>
      </c>
      <c r="AC191" s="264">
        <f>AC157</f>
        <v>14.98</v>
      </c>
      <c r="AD191" s="264">
        <f>AD157</f>
        <v>0.382</v>
      </c>
      <c r="AE191" s="264">
        <f>AE157</f>
        <v>0.222</v>
      </c>
      <c r="AF191" s="264">
        <f>AF157</f>
        <v>7.06</v>
      </c>
      <c r="AG191" s="264">
        <f>AG157</f>
        <v>0</v>
      </c>
      <c r="AH191" s="264">
        <f>AH157</f>
        <v>7.664</v>
      </c>
      <c r="AI191" s="264">
        <f>AI157</f>
        <v>0</v>
      </c>
      <c r="AJ191" s="264">
        <f>AJ157</f>
        <v>6.494</v>
      </c>
      <c r="AK191" s="264">
        <f>AK157</f>
        <v>1.091</v>
      </c>
      <c r="AL191" s="264">
        <f>AL157</f>
        <v>0.397</v>
      </c>
      <c r="AM191" s="264">
        <f>AM157</f>
        <v>7.982</v>
      </c>
      <c r="AN191" s="264">
        <f>AN157</f>
        <v>0</v>
      </c>
      <c r="AO191" s="264">
        <f>AO157</f>
        <v>0</v>
      </c>
      <c r="AP191" s="264">
        <f>AP157</f>
        <v>16.802</v>
      </c>
      <c r="AQ191" s="264">
        <f>AQ157</f>
        <v>0.922</v>
      </c>
      <c r="AR191" s="264">
        <f>AR157</f>
        <v>17.724</v>
      </c>
      <c r="AS191" s="264">
        <f>AS157</f>
        <v>0</v>
      </c>
      <c r="AT191" s="264">
        <f>AT157</f>
        <v>1.069</v>
      </c>
      <c r="AU191" s="264">
        <f>AU157</f>
        <v>0.334</v>
      </c>
      <c r="AV191" s="264">
        <f>AV157</f>
        <v>-0.538</v>
      </c>
      <c r="AW191" s="264">
        <f>AW157</f>
        <v>0.865</v>
      </c>
      <c r="AX191" s="264">
        <f>AX157</f>
        <v>1.119</v>
      </c>
      <c r="AY191" s="264">
        <f>AY157</f>
        <v>3.514</v>
      </c>
      <c r="AZ191" s="264">
        <f>AZ157</f>
        <v>1.341</v>
      </c>
      <c r="BA191" s="264">
        <f>BA157</f>
        <v>2.78</v>
      </c>
      <c r="BB191" s="264">
        <f>BB157</f>
        <v>8.754</v>
      </c>
      <c r="BC191" s="264">
        <f>BC157</f>
        <v>0.557</v>
      </c>
      <c r="BD191" s="264">
        <f>BD157</f>
        <v>3.42</v>
      </c>
      <c r="BE191" s="264">
        <f>BE157</f>
        <v>30.443</v>
      </c>
      <c r="BF191" s="264">
        <f>BF157</f>
        <v>12.528</v>
      </c>
      <c r="BG191" s="264">
        <f>BG157</f>
        <v>46.948</v>
      </c>
      <c r="BH191" s="264">
        <f>BH157</f>
        <v>3.787</v>
      </c>
      <c r="BI191" s="264">
        <f>BI157</f>
        <v>4.001</v>
      </c>
      <c r="BJ191" s="264">
        <f>BJ157</f>
        <v>1.247</v>
      </c>
      <c r="BK191" s="264">
        <f>BK157</f>
        <v>2.535</v>
      </c>
      <c r="BL191" s="264">
        <f>BL157</f>
        <v>11.57</v>
      </c>
      <c r="BM191" s="264">
        <f>BM157</f>
        <v>0.29</v>
      </c>
      <c r="BN191" s="264">
        <f>BN157</f>
        <v>0.656</v>
      </c>
      <c r="BO191" s="264">
        <f>BO157</f>
        <v>0.178</v>
      </c>
      <c r="BP191" s="264">
        <f>BP157</f>
        <v>2.143</v>
      </c>
      <c r="BQ191" s="264">
        <f>BQ157</f>
        <v>3.267</v>
      </c>
      <c r="BR191" s="264">
        <f>BR157</f>
        <v>0</v>
      </c>
      <c r="BS191" s="264">
        <f>BS157</f>
        <v>0.5</v>
      </c>
      <c r="BT191" s="264">
        <f>BT157</f>
        <v>0.1</v>
      </c>
      <c r="BU191" s="264">
        <f>BU157</f>
        <v>0.9</v>
      </c>
      <c r="BV191" s="264">
        <f>BV157</f>
        <v>1.5</v>
      </c>
      <c r="BW191" s="264">
        <f>BW157</f>
        <v>4.2</v>
      </c>
      <c r="BX191" s="264">
        <f>BX157</f>
        <v>7.2</v>
      </c>
      <c r="BY191" s="264">
        <f>BY157</f>
        <v>4.4</v>
      </c>
      <c r="BZ191" s="264">
        <f>BZ157</f>
        <v>5.2</v>
      </c>
      <c r="CA191" s="264">
        <f>CA157</f>
        <v>21</v>
      </c>
      <c r="CB191" s="264">
        <f>CB157</f>
        <v>0.4</v>
      </c>
      <c r="CC191" s="261">
        <f>CC157</f>
        <v>0.8</v>
      </c>
      <c r="CD191" s="261">
        <f>CD157</f>
        <v>0.5</v>
      </c>
      <c r="CE191" s="261">
        <f>CE157</f>
        <v>0.5</v>
      </c>
      <c r="CF191" s="261">
        <f>CF157</f>
        <v>2.2</v>
      </c>
      <c r="CG191" s="261">
        <f>CG157</f>
        <v>7</v>
      </c>
      <c r="CH191" s="261">
        <f>CH157</f>
        <v>7</v>
      </c>
      <c r="CI191" s="261">
        <f>CI157</f>
        <v>7</v>
      </c>
      <c r="CJ191" s="261">
        <f>CJ157</f>
        <v>7</v>
      </c>
      <c r="CK191" s="261">
        <f>CK157</f>
        <v>7</v>
      </c>
      <c r="CL191" s="19" t="n"/>
    </row>
    <row r="192" ht="15" customHeight="1" s="251">
      <c r="B192" s="25" t="inlineStr">
        <is>
          <t xml:space="preserve">  (+) Non-operating items as published (FX translation, debt extinguishment, other; after tax before Q3 FY22)</t>
        </is>
      </c>
      <c r="C192" s="259" t="n">
        <v>2.459</v>
      </c>
      <c r="D192" s="259" t="n">
        <v>1.517</v>
      </c>
      <c r="E192" s="259" t="n">
        <v>-0.153</v>
      </c>
      <c r="F192" s="259" t="n">
        <v>0.646</v>
      </c>
      <c r="G192" s="259" t="n">
        <v>1.641</v>
      </c>
      <c r="H192" s="259" t="n">
        <v>0.803</v>
      </c>
      <c r="I192" s="259" t="n">
        <v>0</v>
      </c>
      <c r="J192" s="259" t="n">
        <v>0</v>
      </c>
      <c r="K192" s="259" t="n">
        <v>0</v>
      </c>
      <c r="L192" s="259" t="n">
        <v>0</v>
      </c>
      <c r="M192" s="259" t="n">
        <v>0</v>
      </c>
      <c r="N192" s="259" t="n">
        <v>0</v>
      </c>
      <c r="O192" s="259" t="n">
        <v>0</v>
      </c>
      <c r="P192" s="259" t="n">
        <v>0</v>
      </c>
      <c r="Q192" s="259" t="n">
        <v>0</v>
      </c>
      <c r="R192" s="259" t="n">
        <v>0</v>
      </c>
      <c r="S192" s="259" t="n">
        <v>0</v>
      </c>
      <c r="T192" s="259" t="n">
        <v>0</v>
      </c>
      <c r="U192" s="259" t="n">
        <v>0</v>
      </c>
      <c r="V192" s="259" t="n">
        <v>0</v>
      </c>
      <c r="W192" s="259" t="n">
        <v>2.496</v>
      </c>
      <c r="X192" s="259" t="n">
        <v>2.496</v>
      </c>
      <c r="Y192" s="259" t="n">
        <v>0.405</v>
      </c>
      <c r="Z192" s="259" t="n">
        <v>-0.437</v>
      </c>
      <c r="AA192" s="259" t="n">
        <v>-0.037</v>
      </c>
      <c r="AB192" s="259" t="n">
        <v>0.164</v>
      </c>
      <c r="AC192" s="259" t="n">
        <v>0.095</v>
      </c>
      <c r="AD192" s="259" t="n">
        <v>0</v>
      </c>
      <c r="AE192" s="259" t="n">
        <v>0</v>
      </c>
      <c r="AF192" s="259" t="n">
        <v>-0.199</v>
      </c>
      <c r="AG192" s="259" t="n">
        <v>0</v>
      </c>
      <c r="AH192" s="259" t="n">
        <v>-0.199</v>
      </c>
      <c r="AI192" s="259" t="n">
        <v>0.208</v>
      </c>
      <c r="AJ192" s="259" t="n">
        <v>-0.011</v>
      </c>
      <c r="AK192" s="259" t="n">
        <v>-0.047</v>
      </c>
      <c r="AL192" s="259" t="n">
        <v>0.258</v>
      </c>
      <c r="AM192" s="259" t="n">
        <v>0.408</v>
      </c>
      <c r="AN192" s="259" t="n">
        <v>0.715</v>
      </c>
      <c r="AO192" s="259" t="n">
        <v>0.11</v>
      </c>
      <c r="AP192" s="259" t="n">
        <v>-0.058</v>
      </c>
      <c r="AQ192" s="259" t="n">
        <v>-0.063</v>
      </c>
      <c r="AR192" s="259" t="n">
        <v>0.704</v>
      </c>
      <c r="AS192" s="259" t="n">
        <v>0.283</v>
      </c>
      <c r="AT192" s="259" t="n">
        <v>0.065</v>
      </c>
      <c r="AU192" s="259" t="n">
        <v>0.161</v>
      </c>
      <c r="AV192" s="259" t="n">
        <v>0.229</v>
      </c>
      <c r="AW192" s="259" t="n">
        <v>0.738</v>
      </c>
      <c r="AX192" s="259" t="n">
        <v>0.061</v>
      </c>
      <c r="AY192" s="259" t="n">
        <v>0.115</v>
      </c>
      <c r="AZ192" s="259" t="n">
        <v>0.184</v>
      </c>
      <c r="BA192" s="259" t="n">
        <v>-0.173</v>
      </c>
      <c r="BB192" s="259" t="n">
        <v>0.187</v>
      </c>
      <c r="BC192" s="259" t="n">
        <v>0.011</v>
      </c>
      <c r="BD192" s="259" t="n">
        <v>0.061</v>
      </c>
      <c r="BE192" s="259" t="n">
        <v>0.001</v>
      </c>
      <c r="BF192" s="259" t="n">
        <v>0.033</v>
      </c>
      <c r="BG192" s="259" t="n">
        <v>0.126</v>
      </c>
      <c r="BH192" s="259" t="n">
        <v>-0.163</v>
      </c>
      <c r="BI192" s="259" t="n">
        <v>-0.254</v>
      </c>
      <c r="BJ192" s="259" t="n">
        <v>0</v>
      </c>
      <c r="BK192" s="259" t="n">
        <v>0</v>
      </c>
      <c r="BL192" s="259" t="n">
        <v>-0.417</v>
      </c>
      <c r="BM192" s="259" t="n">
        <v>0</v>
      </c>
      <c r="BN192" s="259" t="n">
        <v>0</v>
      </c>
      <c r="BO192" s="259" t="n">
        <v>-1.632</v>
      </c>
      <c r="BP192" s="259" t="n">
        <v>1.113</v>
      </c>
      <c r="BQ192" s="259" t="n">
        <v>-0.519</v>
      </c>
      <c r="BR192" s="259" t="n">
        <v>0</v>
      </c>
      <c r="BS192" s="259" t="n">
        <v>0</v>
      </c>
      <c r="BT192" s="259" t="n">
        <v>0</v>
      </c>
      <c r="BU192" s="259" t="n">
        <v>0</v>
      </c>
      <c r="BV192" s="259" t="n">
        <v>0</v>
      </c>
      <c r="BW192" s="259" t="n">
        <v>0</v>
      </c>
      <c r="BX192" s="259" t="n">
        <v>0</v>
      </c>
      <c r="BY192" s="259" t="n">
        <v>0</v>
      </c>
      <c r="BZ192" s="259" t="n">
        <v>0</v>
      </c>
      <c r="CA192" s="259" t="n">
        <v>0</v>
      </c>
      <c r="CB192" s="259" t="n">
        <v>0</v>
      </c>
      <c r="CC192" s="261">
        <f>0</f>
        <v>0</v>
      </c>
      <c r="CD192" s="261">
        <f>0</f>
        <v>0</v>
      </c>
      <c r="CE192" s="261">
        <f>0</f>
        <v>0</v>
      </c>
      <c r="CF192" s="261">
        <f>SUM(CB192:CE192)</f>
        <v>0</v>
      </c>
      <c r="CG192" s="261">
        <f>0</f>
        <v>0</v>
      </c>
      <c r="CH192" s="261">
        <f>0</f>
        <v>0</v>
      </c>
      <c r="CI192" s="261">
        <f>0</f>
        <v>0</v>
      </c>
      <c r="CJ192" s="261">
        <f>0</f>
        <v>0</v>
      </c>
      <c r="CK192" s="261">
        <f>0</f>
        <v>0</v>
      </c>
      <c r="CL192" s="19" t="n"/>
    </row>
    <row r="193" ht="15" customHeight="1" s="251">
      <c r="B193" s="25" t="inlineStr">
        <is>
          <t xml:space="preserve">  (+) M&amp;A-related amortization (current definition)</t>
        </is>
      </c>
      <c r="C193" s="264">
        <f>IF(C212="current",N(C86),IF(ISNUMBER(C190),0,""))</f>
        <v>0</v>
      </c>
      <c r="D193" s="264">
        <f>IF(D212="current",N(D86),IF(ISNUMBER(D190),0,""))</f>
        <v>0</v>
      </c>
      <c r="E193" s="264">
        <f>IF(E212="current",N(E86),IF(ISNUMBER(E190),0,""))</f>
        <v>0</v>
      </c>
      <c r="F193" s="264">
        <f>IF(F212="current",N(F86),IF(ISNUMBER(F190),0,""))</f>
        <v>0</v>
      </c>
      <c r="G193" s="264">
        <f>IF(G212="current",N(G86),IF(ISNUMBER(G190),0,""))</f>
        <v>0</v>
      </c>
      <c r="H193" s="264">
        <f>IF(H212="current",N(H86),IF(ISNUMBER(H190),0,""))</f>
        <v>0</v>
      </c>
      <c r="I193" s="264">
        <f>IF(I212="current",N(I86),IF(ISNUMBER(I190),0,""))</f>
        <v>0</v>
      </c>
      <c r="J193" s="264">
        <f>IF(J212="current",N(J86),IF(ISNUMBER(J190),0,""))</f>
        <v>0</v>
      </c>
      <c r="K193" s="264">
        <f>IF(K212="current",N(K86),IF(ISNUMBER(K190),0,""))</f>
        <v>0</v>
      </c>
      <c r="L193" s="264">
        <f>IF(L212="current",N(L86),IF(ISNUMBER(L190),0,""))</f>
        <v>0</v>
      </c>
      <c r="M193" s="264">
        <f>IF(M212="current",N(M86),IF(ISNUMBER(M190),0,""))</f>
        <v>0</v>
      </c>
      <c r="N193" s="264">
        <f>IF(N212="current",N(N86),IF(ISNUMBER(N190),0,""))</f>
        <v>0</v>
      </c>
      <c r="O193" s="264">
        <f>IF(O212="current",N(O86),IF(ISNUMBER(O190),0,""))</f>
        <v>0</v>
      </c>
      <c r="P193" s="264">
        <f>IF(P212="current",N(P86),IF(ISNUMBER(P190),0,""))</f>
        <v>0</v>
      </c>
      <c r="Q193" s="264">
        <f>IF(Q212="current",N(Q86),IF(ISNUMBER(Q190),0,""))</f>
        <v>0</v>
      </c>
      <c r="R193" s="264">
        <f>IF(R212="current",N(R86),IF(ISNUMBER(R190),0,""))</f>
        <v>0</v>
      </c>
      <c r="S193" s="264">
        <f>IF(S212="current",N(S86),IF(ISNUMBER(S190),0,""))</f>
        <v>0</v>
      </c>
      <c r="T193" s="264">
        <f>IF(T212="current",N(T86),IF(ISNUMBER(T190),0,""))</f>
        <v>0</v>
      </c>
      <c r="U193" s="264">
        <f>IF(U212="current",N(U86),IF(ISNUMBER(U190),0,""))</f>
        <v>0</v>
      </c>
      <c r="V193" s="264">
        <f>IF(V212="current",N(V86),IF(ISNUMBER(V190),0,""))</f>
        <v>0</v>
      </c>
      <c r="W193" s="264">
        <f>IF(W212="current",N(W86),IF(ISNUMBER(W190),0,""))</f>
        <v>0</v>
      </c>
      <c r="X193" s="264">
        <f>IF(X212="current",N(X86),IF(ISNUMBER(X190),0,""))</f>
        <v>0</v>
      </c>
      <c r="Y193" s="264">
        <f>IF(Y212="current",N(Y86),IF(ISNUMBER(Y190),0,""))</f>
        <v>0</v>
      </c>
      <c r="Z193" s="264">
        <f>IF(Z212="current",N(Z86),IF(ISNUMBER(Z190),0,""))</f>
        <v>0</v>
      </c>
      <c r="AA193" s="264">
        <f>IF(AA212="current",N(AA86),IF(ISNUMBER(AA190),0,""))</f>
        <v>0</v>
      </c>
      <c r="AB193" s="264">
        <f>IF(AB212="current",N(AB86),IF(ISNUMBER(AB190),0,""))</f>
        <v>0</v>
      </c>
      <c r="AC193" s="264">
        <f>IF(AC212="current",N(AC86),IF(ISNUMBER(AC190),0,""))</f>
        <v>0</v>
      </c>
      <c r="AD193" s="264">
        <f>IF(AD212="current",N(AD86),IF(ISNUMBER(AD190),0,""))</f>
        <v>0</v>
      </c>
      <c r="AE193" s="264">
        <f>IF(AE212="current",N(AE86),IF(ISNUMBER(AE190),0,""))</f>
        <v>0</v>
      </c>
      <c r="AF193" s="264">
        <f>IF(AF212="current",N(AF86),IF(ISNUMBER(AF190),0,""))</f>
        <v>0</v>
      </c>
      <c r="AG193" s="264">
        <f>IF(AG212="current",N(AG86),IF(ISNUMBER(AG190),0,""))</f>
        <v>0</v>
      </c>
      <c r="AH193" s="264">
        <f>IF(AH212="current",N(AH86),IF(ISNUMBER(AH190),0,""))</f>
        <v>0</v>
      </c>
      <c r="AI193" s="264">
        <f>IF(AI212="current",N(AI86),IF(ISNUMBER(AI190),0,""))</f>
        <v>0</v>
      </c>
      <c r="AJ193" s="264">
        <f>IF(AJ212="current",N(AJ86),IF(ISNUMBER(AJ190),0,""))</f>
        <v>0</v>
      </c>
      <c r="AK193" s="264">
        <f>IF(AK212="current",N(AK86),IF(ISNUMBER(AK190),0,""))</f>
        <v>0</v>
      </c>
      <c r="AL193" s="264">
        <f>IF(AL212="current",N(AL86),IF(ISNUMBER(AL190),0,""))</f>
        <v>0</v>
      </c>
      <c r="AM193" s="264">
        <f>IF(AM212="current",N(AM86),IF(ISNUMBER(AM190),0,""))</f>
        <v>0</v>
      </c>
      <c r="AN193" s="264">
        <f>IF(AN212="current",N(AN86),IF(ISNUMBER(AN190),0,""))</f>
        <v>0</v>
      </c>
      <c r="AO193" s="264">
        <f>IF(AO212="current",N(AO86),IF(ISNUMBER(AO190),0,""))</f>
        <v>0</v>
      </c>
      <c r="AP193" s="264">
        <f>IF(AP212="current",N(AP86),IF(ISNUMBER(AP190),0,""))</f>
        <v>0</v>
      </c>
      <c r="AQ193" s="264">
        <f>IF(AQ212="current",N(AQ86),IF(ISNUMBER(AQ190),0,""))</f>
        <v>0</v>
      </c>
      <c r="AR193" s="264">
        <f>IF(AR212="current",N(AR86),IF(ISNUMBER(AR190),0,""))</f>
        <v>0</v>
      </c>
      <c r="AS193" s="264">
        <f>IF(AS212="current",N(AS86),IF(ISNUMBER(AS190),0,""))</f>
        <v>0</v>
      </c>
      <c r="AT193" s="264">
        <f>IF(AT212="current",N(AT86),IF(ISNUMBER(AT190),0,""))</f>
        <v>0</v>
      </c>
      <c r="AU193" s="264">
        <f>IF(AU212="current",N(AU86),IF(ISNUMBER(AU190),0,""))</f>
        <v>0</v>
      </c>
      <c r="AV193" s="264">
        <f>IF(AV212="current",N(AV86),IF(ISNUMBER(AV190),0,""))</f>
        <v>0</v>
      </c>
      <c r="AW193" s="264">
        <f>IF(AW212="current",N(AW86),IF(ISNUMBER(AW190),0,""))</f>
        <v>0</v>
      </c>
      <c r="AX193" s="264">
        <f>IF(AX212="current",N(AX86),IF(ISNUMBER(AX190),0,""))</f>
        <v>0</v>
      </c>
      <c r="AY193" s="264">
        <f>IF(AY212="current",N(AY86),IF(ISNUMBER(AY190),0,""))</f>
        <v>0</v>
      </c>
      <c r="AZ193" s="264">
        <f>IF(AZ212="current",N(AZ86),IF(ISNUMBER(AZ190),0,""))</f>
        <v>0</v>
      </c>
      <c r="BA193" s="264">
        <f>IF(BA212="current",N(BA86),IF(ISNUMBER(BA190),0,""))</f>
        <v>0</v>
      </c>
      <c r="BB193" s="264">
        <f>IF(BB212="current",N(BB86),IF(ISNUMBER(BB190),0,""))</f>
        <v>0</v>
      </c>
      <c r="BC193" s="264">
        <f>IF(BC212="current",N(BC86),IF(ISNUMBER(BC190),0,""))</f>
        <v>0</v>
      </c>
      <c r="BD193" s="264">
        <f>IF(BD212="current",N(BD86),IF(ISNUMBER(BD190),0,""))</f>
        <v>0</v>
      </c>
      <c r="BE193" s="264">
        <f>IF(BE212="current",N(BE86),IF(ISNUMBER(BE190),0,""))</f>
        <v>0</v>
      </c>
      <c r="BF193" s="264">
        <f>IF(BF212="current",N(BF86),IF(ISNUMBER(BF190),0,""))</f>
        <v>0</v>
      </c>
      <c r="BG193" s="264">
        <f>IF(BG212="current",N(BG86),IF(ISNUMBER(BG190),0,""))</f>
        <v>0</v>
      </c>
      <c r="BH193" s="264">
        <f>IF(BH212="current",N(BH86),IF(ISNUMBER(BH190),0,""))</f>
        <v>0</v>
      </c>
      <c r="BI193" s="264">
        <f>IF(BI212="current",N(BI86),IF(ISNUMBER(BI190),0,""))</f>
        <v>16.145</v>
      </c>
      <c r="BJ193" s="264">
        <f>IF(BJ212="current",N(BJ86),IF(ISNUMBER(BJ190),0,""))</f>
        <v>16.276</v>
      </c>
      <c r="BK193" s="264">
        <f>IF(BK212="current",N(BK86),IF(ISNUMBER(BK190),0,""))</f>
        <v>16.278</v>
      </c>
      <c r="BL193" s="264">
        <f>IF(BL212="current",N(BL86),IF(ISNUMBER(BL190),0,""))</f>
        <v>65.11</v>
      </c>
      <c r="BM193" s="264">
        <f>IF(BM212="current",N(BM86),IF(ISNUMBER(BM190),0,""))</f>
        <v>16.258</v>
      </c>
      <c r="BN193" s="264">
        <f>IF(BN212="current",N(BN86),IF(ISNUMBER(BN190),0,""))</f>
        <v>16.347</v>
      </c>
      <c r="BO193" s="264">
        <f>IF(BO212="current",N(BO86),IF(ISNUMBER(BO190),0,""))</f>
        <v>16.463</v>
      </c>
      <c r="BP193" s="264">
        <f>IF(BP212="current",N(BP86),IF(ISNUMBER(BP190),0,""))</f>
        <v>16.409</v>
      </c>
      <c r="BQ193" s="264">
        <f>IF(BQ212="current",N(BQ86),IF(ISNUMBER(BQ190),0,""))</f>
        <v>65.477</v>
      </c>
      <c r="BR193" s="264">
        <f>IF(BR212="current",N(BR86),IF(ISNUMBER(BR190),0,""))</f>
        <v>16.4</v>
      </c>
      <c r="BS193" s="264">
        <f>IF(BS212="current",N(BS86),IF(ISNUMBER(BS190),0,""))</f>
        <v>16.4</v>
      </c>
      <c r="BT193" s="264">
        <f>IF(BT212="current",N(BT86),IF(ISNUMBER(BT190),0,""))</f>
        <v>16.4</v>
      </c>
      <c r="BU193" s="264">
        <f>IF(BU212="current",N(BU86),IF(ISNUMBER(BU190),0,""))</f>
        <v>16.4</v>
      </c>
      <c r="BV193" s="264">
        <f>IF(BV212="current",N(BV86),IF(ISNUMBER(BV190),0,""))</f>
        <v>65.6</v>
      </c>
      <c r="BW193" s="264">
        <f>IF(BW212="current",N(BW86),IF(ISNUMBER(BW190),0,""))</f>
        <v>16.2</v>
      </c>
      <c r="BX193" s="264">
        <f>IF(BX212="current",N(BX86),IF(ISNUMBER(BX190),0,""))</f>
        <v>18.3</v>
      </c>
      <c r="BY193" s="264">
        <f>IF(BY212="current",N(BY86),IF(ISNUMBER(BY190),0,""))</f>
        <v>19.7</v>
      </c>
      <c r="BZ193" s="264">
        <f>IF(BZ212="current",N(BZ86),IF(ISNUMBER(BZ190),0,""))</f>
        <v>19.5</v>
      </c>
      <c r="CA193" s="264">
        <f>IF(CA212="current",N(CA86),IF(ISNUMBER(CA190),0,""))</f>
        <v>73.7</v>
      </c>
      <c r="CB193" s="264">
        <f>IF(CB212="current",N(CB86),IF(ISNUMBER(CB190),0,""))</f>
        <v>19.5</v>
      </c>
      <c r="CC193" s="261">
        <f>CC86</f>
        <v>19.344</v>
      </c>
      <c r="CD193" s="261">
        <f>CD86</f>
        <v>19.344</v>
      </c>
      <c r="CE193" s="261">
        <f>CE86</f>
        <v>19.53</v>
      </c>
      <c r="CF193" s="261">
        <f>SUM(CB193:CE193)</f>
        <v>77.718</v>
      </c>
      <c r="CG193" s="261">
        <f>CG86</f>
        <v>79.359</v>
      </c>
      <c r="CH193" s="261">
        <f>CH86</f>
        <v>84.534</v>
      </c>
      <c r="CI193" s="261">
        <f>CI86</f>
        <v>86.64</v>
      </c>
      <c r="CJ193" s="261">
        <f>CJ86</f>
        <v>90.699</v>
      </c>
      <c r="CK193" s="261">
        <f>CK86</f>
        <v>98.199</v>
      </c>
      <c r="CL193" s="19" t="n"/>
    </row>
    <row r="194" ht="15" customHeight="1" s="251">
      <c r="B194" s="25" t="inlineStr">
        <is>
          <t xml:space="preserve">  (+) Stock compensation expense (current definition)</t>
        </is>
      </c>
      <c r="C194" s="264">
        <f>IF(C212="current",C195,IF(ISNUMBER(C190),0,""))</f>
        <v>0</v>
      </c>
      <c r="D194" s="264">
        <f>IF(D212="current",D195,IF(ISNUMBER(D190),0,""))</f>
        <v>0</v>
      </c>
      <c r="E194" s="264">
        <f>IF(E212="current",E195,IF(ISNUMBER(E190),0,""))</f>
        <v>0</v>
      </c>
      <c r="F194" s="264">
        <f>IF(F212="current",F195,IF(ISNUMBER(F190),0,""))</f>
        <v>0</v>
      </c>
      <c r="G194" s="264">
        <f>IF(G212="current",G195,IF(ISNUMBER(G190),0,""))</f>
        <v>0</v>
      </c>
      <c r="H194" s="264">
        <f>IF(H212="current",H195,IF(ISNUMBER(H190),0,""))</f>
        <v>0</v>
      </c>
      <c r="I194" s="264">
        <f>IF(I212="current",I195,IF(ISNUMBER(I190),0,""))</f>
        <v>0</v>
      </c>
      <c r="J194" s="264">
        <f>IF(J212="current",J195,IF(ISNUMBER(J190),0,""))</f>
        <v>0</v>
      </c>
      <c r="K194" s="264">
        <f>IF(K212="current",K195,IF(ISNUMBER(K190),0,""))</f>
        <v>0</v>
      </c>
      <c r="L194" s="264">
        <f>IF(L212="current",L195,IF(ISNUMBER(L190),0,""))</f>
        <v>0</v>
      </c>
      <c r="M194" s="264">
        <f>IF(M212="current",M195,IF(ISNUMBER(M190),0,""))</f>
        <v>0</v>
      </c>
      <c r="N194" s="264">
        <f>IF(N212="current",N195,IF(ISNUMBER(N190),0,""))</f>
        <v>0</v>
      </c>
      <c r="O194" s="264">
        <f>IF(O212="current",O195,IF(ISNUMBER(O190),0,""))</f>
        <v>0</v>
      </c>
      <c r="P194" s="264">
        <f>IF(P212="current",P195,IF(ISNUMBER(P190),0,""))</f>
        <v>0</v>
      </c>
      <c r="Q194" s="264">
        <f>IF(Q212="current",Q195,IF(ISNUMBER(Q190),0,""))</f>
        <v>0</v>
      </c>
      <c r="R194" s="264">
        <f>IF(R212="current",R195,IF(ISNUMBER(R190),0,""))</f>
        <v>0</v>
      </c>
      <c r="S194" s="264">
        <f>IF(S212="current",S195,IF(ISNUMBER(S190),0,""))</f>
        <v>0</v>
      </c>
      <c r="T194" s="264">
        <f>IF(T212="current",T195,IF(ISNUMBER(T190),0,""))</f>
        <v>0</v>
      </c>
      <c r="U194" s="264">
        <f>IF(U212="current",U195,IF(ISNUMBER(U190),0,""))</f>
        <v>0</v>
      </c>
      <c r="V194" s="264">
        <f>IF(V212="current",V195,IF(ISNUMBER(V190),0,""))</f>
        <v>0</v>
      </c>
      <c r="W194" s="264">
        <f>IF(W212="current",W195,IF(ISNUMBER(W190),0,""))</f>
        <v>0</v>
      </c>
      <c r="X194" s="264">
        <f>IF(X212="current",X195,IF(ISNUMBER(X190),0,""))</f>
        <v>0</v>
      </c>
      <c r="Y194" s="264">
        <f>IF(Y212="current",Y195,IF(ISNUMBER(Y190),0,""))</f>
        <v>0</v>
      </c>
      <c r="Z194" s="264">
        <f>IF(Z212="current",Z195,IF(ISNUMBER(Z190),0,""))</f>
        <v>0</v>
      </c>
      <c r="AA194" s="264">
        <f>IF(AA212="current",AA195,IF(ISNUMBER(AA190),0,""))</f>
        <v>0</v>
      </c>
      <c r="AB194" s="264">
        <f>IF(AB212="current",AB195,IF(ISNUMBER(AB190),0,""))</f>
        <v>0</v>
      </c>
      <c r="AC194" s="264">
        <f>IF(AC212="current",AC195,IF(ISNUMBER(AC190),0,""))</f>
        <v>0</v>
      </c>
      <c r="AD194" s="264">
        <f>IF(AD212="current",AD195,IF(ISNUMBER(AD190),0,""))</f>
        <v>0</v>
      </c>
      <c r="AE194" s="264">
        <f>IF(AE212="current",AE195,IF(ISNUMBER(AE190),0,""))</f>
        <v>0</v>
      </c>
      <c r="AF194" s="264">
        <f>IF(AF212="current",AF195,IF(ISNUMBER(AF190),0,""))</f>
        <v>0</v>
      </c>
      <c r="AG194" s="264">
        <f>IF(AG212="current",AG195,IF(ISNUMBER(AG190),0,""))</f>
        <v>0</v>
      </c>
      <c r="AH194" s="264">
        <f>IF(AH212="current",AH195,IF(ISNUMBER(AH190),0,""))</f>
        <v>0</v>
      </c>
      <c r="AI194" s="264">
        <f>IF(AI212="current",AI195,IF(ISNUMBER(AI190),0,""))</f>
        <v>0</v>
      </c>
      <c r="AJ194" s="264">
        <f>IF(AJ212="current",AJ195,IF(ISNUMBER(AJ190),0,""))</f>
        <v>0</v>
      </c>
      <c r="AK194" s="264">
        <f>IF(AK212="current",AK195,IF(ISNUMBER(AK190),0,""))</f>
        <v>0</v>
      </c>
      <c r="AL194" s="264">
        <f>IF(AL212="current",AL195,IF(ISNUMBER(AL190),0,""))</f>
        <v>0</v>
      </c>
      <c r="AM194" s="264">
        <f>IF(AM212="current",AM195,IF(ISNUMBER(AM190),0,""))</f>
        <v>0</v>
      </c>
      <c r="AN194" s="264">
        <f>IF(AN212="current",AN195,IF(ISNUMBER(AN190),0,""))</f>
        <v>0</v>
      </c>
      <c r="AO194" s="264">
        <f>IF(AO212="current",AO195,IF(ISNUMBER(AO190),0,""))</f>
        <v>0</v>
      </c>
      <c r="AP194" s="264">
        <f>IF(AP212="current",AP195,IF(ISNUMBER(AP190),0,""))</f>
        <v>0</v>
      </c>
      <c r="AQ194" s="264">
        <f>IF(AQ212="current",AQ195,IF(ISNUMBER(AQ190),0,""))</f>
        <v>0</v>
      </c>
      <c r="AR194" s="264">
        <f>IF(AR212="current",AR195,IF(ISNUMBER(AR190),0,""))</f>
        <v>0</v>
      </c>
      <c r="AS194" s="264">
        <f>IF(AS212="current",AS195,IF(ISNUMBER(AS190),0,""))</f>
        <v>0</v>
      </c>
      <c r="AT194" s="264">
        <f>IF(AT212="current",AT195,IF(ISNUMBER(AT190),0,""))</f>
        <v>0</v>
      </c>
      <c r="AU194" s="264">
        <f>IF(AU212="current",AU195,IF(ISNUMBER(AU190),0,""))</f>
        <v>0</v>
      </c>
      <c r="AV194" s="264">
        <f>IF(AV212="current",AV195,IF(ISNUMBER(AV190),0,""))</f>
        <v>0</v>
      </c>
      <c r="AW194" s="264">
        <f>IF(AW212="current",AW195,IF(ISNUMBER(AW190),0,""))</f>
        <v>0</v>
      </c>
      <c r="AX194" s="264">
        <f>IF(AX212="current",AX195,IF(ISNUMBER(AX190),0,""))</f>
        <v>0</v>
      </c>
      <c r="AY194" s="264">
        <f>IF(AY212="current",AY195,IF(ISNUMBER(AY190),0,""))</f>
        <v>0</v>
      </c>
      <c r="AZ194" s="264">
        <f>IF(AZ212="current",AZ195,IF(ISNUMBER(AZ190),0,""))</f>
        <v>0</v>
      </c>
      <c r="BA194" s="264">
        <f>IF(BA212="current",BA195,IF(ISNUMBER(BA190),0,""))</f>
        <v>0</v>
      </c>
      <c r="BB194" s="264">
        <f>IF(BB212="current",BB195,IF(ISNUMBER(BB190),0,""))</f>
        <v>0</v>
      </c>
      <c r="BC194" s="264">
        <f>IF(BC212="current",BC195,IF(ISNUMBER(BC190),0,""))</f>
        <v>0</v>
      </c>
      <c r="BD194" s="264">
        <f>IF(BD212="current",BD195,IF(ISNUMBER(BD190),0,""))</f>
        <v>0</v>
      </c>
      <c r="BE194" s="264">
        <f>IF(BE212="current",BE195,IF(ISNUMBER(BE190),0,""))</f>
        <v>0</v>
      </c>
      <c r="BF194" s="264">
        <f>IF(BF212="current",BF195,IF(ISNUMBER(BF190),0,""))</f>
        <v>0</v>
      </c>
      <c r="BG194" s="264">
        <f>IF(BG212="current",BG195,IF(ISNUMBER(BG190),0,""))</f>
        <v>0</v>
      </c>
      <c r="BH194" s="264">
        <f>IF(BH212="current",BH195,IF(ISNUMBER(BH190),0,""))</f>
        <v>0</v>
      </c>
      <c r="BI194" s="264">
        <f>IF(BI212="current",BI195,IF(ISNUMBER(BI190),0,""))</f>
        <v>4.354</v>
      </c>
      <c r="BJ194" s="264">
        <f>IF(BJ212="current",BJ195,IF(ISNUMBER(BJ190),0,""))</f>
        <v>2.874</v>
      </c>
      <c r="BK194" s="264">
        <f>IF(BK212="current",BK195,IF(ISNUMBER(BK190),0,""))</f>
        <v>2.965</v>
      </c>
      <c r="BL194" s="264">
        <f>IF(BL212="current",BL195,IF(ISNUMBER(BL190),0,""))</f>
        <v>14.012</v>
      </c>
      <c r="BM194" s="264">
        <f>IF(BM212="current",BM195,IF(ISNUMBER(BM190),0,""))</f>
        <v>5.404</v>
      </c>
      <c r="BN194" s="264">
        <f>IF(BN212="current",BN195,IF(ISNUMBER(BN190),0,""))</f>
        <v>3.733</v>
      </c>
      <c r="BO194" s="264">
        <f>IF(BO212="current",BO195,IF(ISNUMBER(BO190),0,""))</f>
        <v>4.177</v>
      </c>
      <c r="BP194" s="264">
        <f>IF(BP212="current",BP195,IF(ISNUMBER(BP190),0,""))</f>
        <v>4.114</v>
      </c>
      <c r="BQ194" s="264">
        <f>IF(BQ212="current",BQ195,IF(ISNUMBER(BQ190),0,""))</f>
        <v>17.428</v>
      </c>
      <c r="BR194" s="264">
        <f>IF(BR212="current",BR195,IF(ISNUMBER(BR190),0,""))</f>
        <v>6.5</v>
      </c>
      <c r="BS194" s="264">
        <f>IF(BS212="current",BS195,IF(ISNUMBER(BS190),0,""))</f>
        <v>6.6</v>
      </c>
      <c r="BT194" s="264">
        <f>IF(BT212="current",BT195,IF(ISNUMBER(BT190),0,""))</f>
        <v>7.2</v>
      </c>
      <c r="BU194" s="264">
        <f>IF(BU212="current",BU195,IF(ISNUMBER(BU190),0,""))</f>
        <v>8.1</v>
      </c>
      <c r="BV194" s="264">
        <f>IF(BV212="current",BV195,IF(ISNUMBER(BV190),0,""))</f>
        <v>28.4</v>
      </c>
      <c r="BW194" s="264">
        <f>IF(BW212="current",BW195,IF(ISNUMBER(BW190),0,""))</f>
        <v>6.6</v>
      </c>
      <c r="BX194" s="264">
        <f>IF(BX212="current",BX195,IF(ISNUMBER(BX190),0,""))</f>
        <v>7.4</v>
      </c>
      <c r="BY194" s="264">
        <f>IF(BY212="current",BY195,IF(ISNUMBER(BY190),0,""))</f>
        <v>9.3</v>
      </c>
      <c r="BZ194" s="264">
        <f>IF(BZ212="current",BZ195,IF(ISNUMBER(BZ190),0,""))</f>
        <v>11.2</v>
      </c>
      <c r="CA194" s="264">
        <f>IF(CA212="current",CA195,IF(ISNUMBER(CA190),0,""))</f>
        <v>34.5</v>
      </c>
      <c r="CB194" s="264">
        <f>IF(CB212="current",CB195,IF(ISNUMBER(CB190),0,""))</f>
        <v>6.7</v>
      </c>
      <c r="CC194" s="261">
        <f>CC91</f>
        <v>6.57747834456208</v>
      </c>
      <c r="CD194" s="261">
        <f>CD91</f>
        <v>6.59029968329784</v>
      </c>
      <c r="CE194" s="261">
        <f>CE91</f>
        <v>7.95258274334019</v>
      </c>
      <c r="CF194" s="261">
        <f>SUM(CB194:CE194)</f>
        <v>27.8203607712001</v>
      </c>
      <c r="CG194" s="261">
        <f>CG91</f>
        <v>42.9259496441455</v>
      </c>
      <c r="CH194" s="261">
        <f>CH91</f>
        <v>47.9946844346575</v>
      </c>
      <c r="CI194" s="261">
        <f>CI91</f>
        <v>53.0874527151393</v>
      </c>
      <c r="CJ194" s="261">
        <f>CJ91</f>
        <v>58.2800931939234</v>
      </c>
      <c r="CK194" s="261">
        <f>CK91</f>
        <v>63.4059295713744</v>
      </c>
      <c r="CL194" s="19" t="n"/>
    </row>
    <row r="195" ht="15" customHeight="1" s="251">
      <c r="B195" s="156" t="inlineStr">
        <is>
          <t xml:space="preserve">  Memo: stock compensation added back (as published)</t>
        </is>
      </c>
      <c r="C195" s="34" t="n"/>
      <c r="D195" s="34" t="n"/>
      <c r="E195" s="34" t="n"/>
      <c r="F195" s="34" t="n"/>
      <c r="G195" s="34" t="n"/>
      <c r="H195" s="34" t="n"/>
      <c r="I195" s="34" t="n"/>
      <c r="J195" s="34" t="n"/>
      <c r="K195" s="34" t="n"/>
      <c r="L195" s="34" t="n"/>
      <c r="M195" s="34" t="n"/>
      <c r="N195" s="34" t="n"/>
      <c r="O195" s="34" t="n"/>
      <c r="P195" s="34" t="n"/>
      <c r="Q195" s="34" t="n"/>
      <c r="R195" s="34" t="n"/>
      <c r="S195" s="34" t="n"/>
      <c r="T195" s="34" t="n"/>
      <c r="U195" s="34" t="n"/>
      <c r="V195" s="34" t="n"/>
      <c r="W195" s="34" t="n"/>
      <c r="X195" s="34" t="n"/>
      <c r="Y195" s="34" t="n"/>
      <c r="Z195" s="34" t="n"/>
      <c r="AA195" s="34" t="n"/>
      <c r="AB195" s="34" t="n"/>
      <c r="AC195" s="34" t="n"/>
      <c r="AD195" s="34" t="n"/>
      <c r="AE195" s="34" t="n"/>
      <c r="AF195" s="34" t="n"/>
      <c r="AG195" s="34" t="n"/>
      <c r="AH195" s="34" t="n"/>
      <c r="AI195" s="34" t="n"/>
      <c r="AJ195" s="34" t="n"/>
      <c r="AK195" s="34" t="n"/>
      <c r="AL195" s="34" t="n"/>
      <c r="AM195" s="34" t="n"/>
      <c r="AN195" s="34" t="n"/>
      <c r="AO195" s="34" t="n"/>
      <c r="AP195" s="34" t="n"/>
      <c r="AQ195" s="34" t="n"/>
      <c r="AR195" s="34" t="n"/>
      <c r="AS195" s="34" t="n"/>
      <c r="AT195" s="34" t="n"/>
      <c r="AU195" s="34" t="n"/>
      <c r="AV195" s="34" t="n"/>
      <c r="AW195" s="34" t="n"/>
      <c r="AX195" s="34" t="n"/>
      <c r="AY195" s="34" t="n"/>
      <c r="AZ195" s="34" t="n"/>
      <c r="BA195" s="34" t="n"/>
      <c r="BB195" s="34" t="n"/>
      <c r="BC195" s="34" t="n"/>
      <c r="BD195" s="34" t="n"/>
      <c r="BE195" s="34" t="n"/>
      <c r="BF195" s="34" t="n"/>
      <c r="BG195" s="34" t="n"/>
      <c r="BH195" s="34" t="n"/>
      <c r="BI195" s="259" t="n">
        <v>4.354</v>
      </c>
      <c r="BJ195" s="259" t="n">
        <v>2.874</v>
      </c>
      <c r="BK195" s="259" t="n">
        <v>2.965</v>
      </c>
      <c r="BL195" s="259" t="n">
        <v>14.012</v>
      </c>
      <c r="BM195" s="259" t="n">
        <v>5.404</v>
      </c>
      <c r="BN195" s="259" t="n">
        <v>3.733</v>
      </c>
      <c r="BO195" s="259" t="n">
        <v>4.177</v>
      </c>
      <c r="BP195" s="259" t="n">
        <v>4.114</v>
      </c>
      <c r="BQ195" s="259" t="n">
        <v>17.428</v>
      </c>
      <c r="BR195" s="259" t="n">
        <v>6.5</v>
      </c>
      <c r="BS195" s="259" t="n">
        <v>6.6</v>
      </c>
      <c r="BT195" s="259" t="n">
        <v>7.2</v>
      </c>
      <c r="BU195" s="259" t="n">
        <v>8.1</v>
      </c>
      <c r="BV195" s="259" t="n">
        <v>28.4</v>
      </c>
      <c r="BW195" s="259" t="n">
        <v>6.6</v>
      </c>
      <c r="BX195" s="259" t="n">
        <v>7.4</v>
      </c>
      <c r="BY195" s="259" t="n">
        <v>9.300000000000001</v>
      </c>
      <c r="BZ195" s="259" t="n">
        <v>11.2</v>
      </c>
      <c r="CA195" s="259" t="n">
        <v>34.5</v>
      </c>
      <c r="CB195" s="259" t="n">
        <v>6.7</v>
      </c>
      <c r="CC195" s="153" t="n"/>
      <c r="CD195" s="153" t="n"/>
      <c r="CE195" s="153" t="n"/>
      <c r="CF195" s="153" t="n"/>
      <c r="CG195" s="153" t="n"/>
      <c r="CH195" s="153" t="n"/>
      <c r="CI195" s="153" t="n"/>
      <c r="CJ195" s="153" t="n"/>
      <c r="CK195" s="153" t="n"/>
      <c r="CL195" s="153" t="n"/>
    </row>
    <row r="196" ht="15" customHeight="1" s="251">
      <c r="B196" s="25" t="inlineStr">
        <is>
          <t xml:space="preserve">  (+) Amortization of deferred finance fees (current definition)</t>
        </is>
      </c>
      <c r="C196" s="264">
        <f>IF(C212="current",N(C105),IF(ISNUMBER(C190),0,""))</f>
        <v>0</v>
      </c>
      <c r="D196" s="264">
        <f>IF(D212="current",N(D105),IF(ISNUMBER(D190),0,""))</f>
        <v>0</v>
      </c>
      <c r="E196" s="264">
        <f>IF(E212="current",N(E105),IF(ISNUMBER(E190),0,""))</f>
        <v>0</v>
      </c>
      <c r="F196" s="264">
        <f>IF(F212="current",N(F105),IF(ISNUMBER(F190),0,""))</f>
        <v>0</v>
      </c>
      <c r="G196" s="264">
        <f>IF(G212="current",N(G105),IF(ISNUMBER(G190),0,""))</f>
        <v>0</v>
      </c>
      <c r="H196" s="264">
        <f>IF(H212="current",N(H105),IF(ISNUMBER(H190),0,""))</f>
        <v>0</v>
      </c>
      <c r="I196" s="264">
        <f>IF(I212="current",N(I105),IF(ISNUMBER(I190),0,""))</f>
        <v>0</v>
      </c>
      <c r="J196" s="264">
        <f>IF(J212="current",N(J105),IF(ISNUMBER(J190),0,""))</f>
        <v>0</v>
      </c>
      <c r="K196" s="264">
        <f>IF(K212="current",N(K105),IF(ISNUMBER(K190),0,""))</f>
        <v>0</v>
      </c>
      <c r="L196" s="264">
        <f>IF(L212="current",N(L105),IF(ISNUMBER(L190),0,""))</f>
        <v>0</v>
      </c>
      <c r="M196" s="264">
        <f>IF(M212="current",N(M105),IF(ISNUMBER(M190),0,""))</f>
        <v>0</v>
      </c>
      <c r="N196" s="264">
        <f>IF(N212="current",N(N105),IF(ISNUMBER(N190),0,""))</f>
        <v>0</v>
      </c>
      <c r="O196" s="264">
        <f>IF(O212="current",N(O105),IF(ISNUMBER(O190),0,""))</f>
        <v>0</v>
      </c>
      <c r="P196" s="264">
        <f>IF(P212="current",N(P105),IF(ISNUMBER(P190),0,""))</f>
        <v>0</v>
      </c>
      <c r="Q196" s="264">
        <f>IF(Q212="current",N(Q105),IF(ISNUMBER(Q190),0,""))</f>
        <v>0</v>
      </c>
      <c r="R196" s="264">
        <f>IF(R212="current",N(R105),IF(ISNUMBER(R190),0,""))</f>
        <v>0</v>
      </c>
      <c r="S196" s="264">
        <f>IF(S212="current",N(S105),IF(ISNUMBER(S190),0,""))</f>
        <v>0</v>
      </c>
      <c r="T196" s="264">
        <f>IF(T212="current",N(T105),IF(ISNUMBER(T190),0,""))</f>
        <v>0</v>
      </c>
      <c r="U196" s="264">
        <f>IF(U212="current",N(U105),IF(ISNUMBER(U190),0,""))</f>
        <v>0</v>
      </c>
      <c r="V196" s="264">
        <f>IF(V212="current",N(V105),IF(ISNUMBER(V190),0,""))</f>
        <v>0</v>
      </c>
      <c r="W196" s="264">
        <f>IF(W212="current",N(W105),IF(ISNUMBER(W190),0,""))</f>
        <v>0</v>
      </c>
      <c r="X196" s="264">
        <f>IF(X212="current",N(X105),IF(ISNUMBER(X190),0,""))</f>
        <v>0</v>
      </c>
      <c r="Y196" s="264">
        <f>IF(Y212="current",N(Y105),IF(ISNUMBER(Y190),0,""))</f>
        <v>0</v>
      </c>
      <c r="Z196" s="264">
        <f>IF(Z212="current",N(Z105),IF(ISNUMBER(Z190),0,""))</f>
        <v>0</v>
      </c>
      <c r="AA196" s="264">
        <f>IF(AA212="current",N(AA105),IF(ISNUMBER(AA190),0,""))</f>
        <v>0</v>
      </c>
      <c r="AB196" s="264">
        <f>IF(AB212="current",N(AB105),IF(ISNUMBER(AB190),0,""))</f>
        <v>0</v>
      </c>
      <c r="AC196" s="264">
        <f>IF(AC212="current",N(AC105),IF(ISNUMBER(AC190),0,""))</f>
        <v>0</v>
      </c>
      <c r="AD196" s="264">
        <f>IF(AD212="current",N(AD105),IF(ISNUMBER(AD190),0,""))</f>
        <v>0</v>
      </c>
      <c r="AE196" s="264">
        <f>IF(AE212="current",N(AE105),IF(ISNUMBER(AE190),0,""))</f>
        <v>0</v>
      </c>
      <c r="AF196" s="264">
        <f>IF(AF212="current",N(AF105),IF(ISNUMBER(AF190),0,""))</f>
        <v>0</v>
      </c>
      <c r="AG196" s="264">
        <f>IF(AG212="current",N(AG105),IF(ISNUMBER(AG190),0,""))</f>
        <v>0</v>
      </c>
      <c r="AH196" s="264">
        <f>IF(AH212="current",N(AH105),IF(ISNUMBER(AH190),0,""))</f>
        <v>0</v>
      </c>
      <c r="AI196" s="264">
        <f>IF(AI212="current",N(AI105),IF(ISNUMBER(AI190),0,""))</f>
        <v>0</v>
      </c>
      <c r="AJ196" s="264">
        <f>IF(AJ212="current",N(AJ105),IF(ISNUMBER(AJ190),0,""))</f>
        <v>0</v>
      </c>
      <c r="AK196" s="264">
        <f>IF(AK212="current",N(AK105),IF(ISNUMBER(AK190),0,""))</f>
        <v>0</v>
      </c>
      <c r="AL196" s="264">
        <f>IF(AL212="current",N(AL105),IF(ISNUMBER(AL190),0,""))</f>
        <v>0</v>
      </c>
      <c r="AM196" s="264">
        <f>IF(AM212="current",N(AM105),IF(ISNUMBER(AM190),0,""))</f>
        <v>0</v>
      </c>
      <c r="AN196" s="264">
        <f>IF(AN212="current",N(AN105),IF(ISNUMBER(AN190),0,""))</f>
        <v>0</v>
      </c>
      <c r="AO196" s="264">
        <f>IF(AO212="current",N(AO105),IF(ISNUMBER(AO190),0,""))</f>
        <v>0</v>
      </c>
      <c r="AP196" s="264">
        <f>IF(AP212="current",N(AP105),IF(ISNUMBER(AP190),0,""))</f>
        <v>0</v>
      </c>
      <c r="AQ196" s="264">
        <f>IF(AQ212="current",N(AQ105),IF(ISNUMBER(AQ190),0,""))</f>
        <v>0</v>
      </c>
      <c r="AR196" s="264">
        <f>IF(AR212="current",N(AR105),IF(ISNUMBER(AR190),0,""))</f>
        <v>0</v>
      </c>
      <c r="AS196" s="264">
        <f>IF(AS212="current",N(AS105),IF(ISNUMBER(AS190),0,""))</f>
        <v>0</v>
      </c>
      <c r="AT196" s="264">
        <f>IF(AT212="current",N(AT105),IF(ISNUMBER(AT190),0,""))</f>
        <v>0</v>
      </c>
      <c r="AU196" s="264">
        <f>IF(AU212="current",N(AU105),IF(ISNUMBER(AU190),0,""))</f>
        <v>0</v>
      </c>
      <c r="AV196" s="264">
        <f>IF(AV212="current",N(AV105),IF(ISNUMBER(AV190),0,""))</f>
        <v>0</v>
      </c>
      <c r="AW196" s="264">
        <f>IF(AW212="current",N(AW105),IF(ISNUMBER(AW190),0,""))</f>
        <v>0</v>
      </c>
      <c r="AX196" s="264">
        <f>IF(AX212="current",N(AX105),IF(ISNUMBER(AX190),0,""))</f>
        <v>0</v>
      </c>
      <c r="AY196" s="264">
        <f>IF(AY212="current",N(AY105),IF(ISNUMBER(AY190),0,""))</f>
        <v>0</v>
      </c>
      <c r="AZ196" s="264">
        <f>IF(AZ212="current",N(AZ105),IF(ISNUMBER(AZ190),0,""))</f>
        <v>0</v>
      </c>
      <c r="BA196" s="264">
        <f>IF(BA212="current",N(BA105),IF(ISNUMBER(BA190),0,""))</f>
        <v>0</v>
      </c>
      <c r="BB196" s="264">
        <f>IF(BB212="current",N(BB105),IF(ISNUMBER(BB190),0,""))</f>
        <v>0</v>
      </c>
      <c r="BC196" s="264">
        <f>IF(BC212="current",N(BC105),IF(ISNUMBER(BC190),0,""))</f>
        <v>0</v>
      </c>
      <c r="BD196" s="264">
        <f>IF(BD212="current",N(BD105),IF(ISNUMBER(BD190),0,""))</f>
        <v>0</v>
      </c>
      <c r="BE196" s="264">
        <f>IF(BE212="current",N(BE105),IF(ISNUMBER(BE190),0,""))</f>
        <v>0</v>
      </c>
      <c r="BF196" s="264">
        <f>IF(BF212="current",N(BF105),IF(ISNUMBER(BF190),0,""))</f>
        <v>0</v>
      </c>
      <c r="BG196" s="264">
        <f>IF(BG212="current",N(BG105),IF(ISNUMBER(BG190),0,""))</f>
        <v>0</v>
      </c>
      <c r="BH196" s="264">
        <f>IF(BH212="current",N(BH105),IF(ISNUMBER(BH190),0,""))</f>
        <v>0</v>
      </c>
      <c r="BI196" s="264">
        <f>IF(BI212="current",N(BI105),IF(ISNUMBER(BI190),0,""))</f>
        <v>2.04</v>
      </c>
      <c r="BJ196" s="264">
        <f>IF(BJ212="current",N(BJ105),IF(ISNUMBER(BJ190),0,""))</f>
        <v>1.826</v>
      </c>
      <c r="BK196" s="264">
        <f>IF(BK212="current",N(BK105),IF(ISNUMBER(BK190),0,""))</f>
        <v>1.044</v>
      </c>
      <c r="BL196" s="264">
        <f>IF(BL212="current",N(BL105),IF(ISNUMBER(BL190),0,""))</f>
        <v>7.208</v>
      </c>
      <c r="BM196" s="264">
        <f>IF(BM212="current",N(BM105),IF(ISNUMBER(BM190),0,""))</f>
        <v>0.856</v>
      </c>
      <c r="BN196" s="264">
        <f>IF(BN212="current",N(BN105),IF(ISNUMBER(BN190),0,""))</f>
        <v>0.791</v>
      </c>
      <c r="BO196" s="264">
        <f>IF(BO212="current",N(BO105),IF(ISNUMBER(BO190),0,""))</f>
        <v>0.649</v>
      </c>
      <c r="BP196" s="264">
        <f>IF(BP212="current",N(BP105),IF(ISNUMBER(BP190),0,""))</f>
        <v>0.748</v>
      </c>
      <c r="BQ196" s="264">
        <f>IF(BQ212="current",N(BQ105),IF(ISNUMBER(BQ190),0,""))</f>
        <v>3.044</v>
      </c>
      <c r="BR196" s="264">
        <f>IF(BR212="current",N(BR105),IF(ISNUMBER(BR190),0,""))</f>
        <v>0.6</v>
      </c>
      <c r="BS196" s="264">
        <f>IF(BS212="current",N(BS105),IF(ISNUMBER(BS190),0,""))</f>
        <v>0.4</v>
      </c>
      <c r="BT196" s="264">
        <f>IF(BT212="current",N(BT105),IF(ISNUMBER(BT190),0,""))</f>
        <v>0.7</v>
      </c>
      <c r="BU196" s="264">
        <f>IF(BU212="current",N(BU105),IF(ISNUMBER(BU190),0,""))</f>
        <v>0.7</v>
      </c>
      <c r="BV196" s="264">
        <f>IF(BV212="current",N(BV105),IF(ISNUMBER(BV190),0,""))</f>
        <v>2.4</v>
      </c>
      <c r="BW196" s="264">
        <f>IF(BW212="current",N(BW105),IF(ISNUMBER(BW190),0,""))</f>
        <v>0.8</v>
      </c>
      <c r="BX196" s="264">
        <f>IF(BX212="current",N(BX105),IF(ISNUMBER(BX190),0,""))</f>
        <v>0.7</v>
      </c>
      <c r="BY196" s="264">
        <f>IF(BY212="current",N(BY105),IF(ISNUMBER(BY190),0,""))</f>
        <v>0.9</v>
      </c>
      <c r="BZ196" s="264">
        <f>IF(BZ212="current",N(BZ105),IF(ISNUMBER(BZ190),0,""))</f>
        <v>0.6</v>
      </c>
      <c r="CA196" s="264">
        <f>IF(CA212="current",N(CA105),IF(ISNUMBER(CA190),0,""))</f>
        <v>3</v>
      </c>
      <c r="CB196" s="264">
        <f>IF(CB212="current",N(CB105),IF(ISNUMBER(CB190),0,""))</f>
        <v>0.8</v>
      </c>
      <c r="CC196" s="261">
        <f>CC105</f>
        <v>0.4</v>
      </c>
      <c r="CD196" s="261">
        <f>CD105</f>
        <v>0.4</v>
      </c>
      <c r="CE196" s="261">
        <f>CE105</f>
        <v>0.4</v>
      </c>
      <c r="CF196" s="261">
        <f>SUM(CB196:CE196)</f>
        <v>2</v>
      </c>
      <c r="CG196" s="261">
        <f>CG105</f>
        <v>0.6</v>
      </c>
      <c r="CH196" s="261">
        <f>CH105</f>
        <v>0.6</v>
      </c>
      <c r="CI196" s="261">
        <f>CI105</f>
        <v>0.6</v>
      </c>
      <c r="CJ196" s="261">
        <f>CJ105</f>
        <v>0.6</v>
      </c>
      <c r="CK196" s="261">
        <f>CK105</f>
        <v>0.6</v>
      </c>
      <c r="CL196" s="19" t="n"/>
    </row>
    <row r="197" ht="15" customHeight="1" s="251">
      <c r="B197" s="25" t="inlineStr">
        <is>
          <t xml:space="preserve">  (−) Tax effect of the adjustments &amp; other tax matters (derived)</t>
        </is>
      </c>
      <c r="C197" s="264">
        <f>IF(ISNUMBER(C199),C199-C190-C191-N(C192)-C193-C194-C196,IF(ISNUMBER(C190),0,""))</f>
        <v>-2.362</v>
      </c>
      <c r="D197" s="264">
        <f>IF(ISNUMBER(D199),D199-D190-D191-N(D192)-D193-D194-D196,IF(ISNUMBER(D190),0,""))</f>
        <v>-2.097</v>
      </c>
      <c r="E197" s="264">
        <f>IF(ISNUMBER(E199),E199-E190-E191-N(E192)-E193-E194-E196,IF(ISNUMBER(E190),0,""))</f>
        <v>-0.361000000000002</v>
      </c>
      <c r="F197" s="264">
        <f>IF(ISNUMBER(F199),F199-F190-F191-N(F192)-F193-F194-F196,IF(ISNUMBER(F190),0,""))</f>
        <v>-2.63000000000001</v>
      </c>
      <c r="G197" s="264">
        <f>IF(ISNUMBER(G199),G199-G190-G191-N(G192)-G193-G194-G196,IF(ISNUMBER(G190),0,""))</f>
        <v>-5.788</v>
      </c>
      <c r="H197" s="264">
        <f>IF(ISNUMBER(H199),H199-H190-H191-N(H192)-H193-H194-H196,IF(ISNUMBER(H190),0,""))</f>
        <v>-0.690000000000002</v>
      </c>
      <c r="I197" s="264">
        <f>IF(ISNUMBER(I199),I199-I190-I191-N(I192)-I193-I194-I196,IF(ISNUMBER(I190),0,""))</f>
        <v>0</v>
      </c>
      <c r="J197" s="264">
        <f>IF(ISNUMBER(J199),J199-J190-J191-N(J192)-J193-J194-J196,IF(ISNUMBER(J190),0,""))</f>
        <v>-3.23</v>
      </c>
      <c r="K197" s="264">
        <f>IF(ISNUMBER(K199),K199-K190-K191-N(K192)-K193-K194-K196,IF(ISNUMBER(K190),0,""))</f>
        <v>-2.838</v>
      </c>
      <c r="L197" s="264">
        <f>IF(ISNUMBER(L199),L199-L190-L191-N(L192)-L193-L194-L196,IF(ISNUMBER(L190),0,""))</f>
        <v>-0.105000000000002</v>
      </c>
      <c r="M197" s="264">
        <f>IF(ISNUMBER(M199),M199-M190-M191-N(M192)-M193-M194-M196,IF(ISNUMBER(M190),0,""))</f>
        <v>-1.558</v>
      </c>
      <c r="N197" s="264">
        <f>IF(ISNUMBER(N199),N199-N190-N191-N(N192)-N193-N194-N196,IF(ISNUMBER(N190),0,""))</f>
        <v>-7.731</v>
      </c>
      <c r="O197" s="264">
        <f>IF(ISNUMBER(O199),O199-O190-O191-N(O192)-O193-O194-O196,IF(ISNUMBER(O190),0,""))</f>
        <v>-0.593999999999999</v>
      </c>
      <c r="P197" s="264">
        <f>IF(ISNUMBER(P199),P199-P190-P191-N(P192)-P193-P194-P196,IF(ISNUMBER(P190),0,""))</f>
        <v>-0.61</v>
      </c>
      <c r="Q197" s="264">
        <f>IF(ISNUMBER(Q199),Q199-Q190-Q191-N(Q192)-Q193-Q194-Q196,IF(ISNUMBER(Q190),0,""))</f>
        <v>0</v>
      </c>
      <c r="R197" s="264">
        <f>IF(ISNUMBER(R199),R199-R190-R191-N(R192)-R193-R194-R196,IF(ISNUMBER(R190),0,""))</f>
        <v>-1.054</v>
      </c>
      <c r="S197" s="264">
        <f>IF(ISNUMBER(S199),S199-S190-S191-N(S192)-S193-S194-S196,IF(ISNUMBER(S190),0,""))</f>
        <v>-2.358</v>
      </c>
      <c r="T197" s="264">
        <f>IF(ISNUMBER(T199),T199-T190-T191-N(T192)-T193-T194-T196,IF(ISNUMBER(T190),0,""))</f>
        <v>0</v>
      </c>
      <c r="U197" s="264">
        <f>IF(ISNUMBER(U199),U199-U190-U191-N(U192)-U193-U194-U196,IF(ISNUMBER(U190),0,""))</f>
        <v>-3.131</v>
      </c>
      <c r="V197" s="264">
        <f>IF(ISNUMBER(V199),V199-V190-V191-N(V192)-V193-V194-V196,IF(ISNUMBER(V190),0,""))</f>
        <v>-1.243</v>
      </c>
      <c r="W197" s="264">
        <f>IF(ISNUMBER(W199),W199-W190-W191-N(W192)-W193-W194-W196,IF(ISNUMBER(W190),0,""))</f>
        <v>-0.431000000000002</v>
      </c>
      <c r="X197" s="264">
        <f>IF(ISNUMBER(X199),X199-X190-X191-N(X192)-X193-X194-X196,IF(ISNUMBER(X190),0,""))</f>
        <v>-4.805</v>
      </c>
      <c r="Y197" s="264">
        <f>IF(ISNUMBER(Y199),Y199-Y190-Y191-N(Y192)-Y193-Y194-Y196,IF(ISNUMBER(Y190),0,""))</f>
        <v>-2.459</v>
      </c>
      <c r="Z197" s="264">
        <f>IF(ISNUMBER(Z199),Z199-Z190-Z191-N(Z192)-Z193-Z194-Z196,IF(ISNUMBER(Z190),0,""))</f>
        <v>-1.833</v>
      </c>
      <c r="AA197" s="264">
        <f>IF(ISNUMBER(AA199),AA199-AA190-AA191-N(AA192)-AA193-AA194-AA196,IF(ISNUMBER(AA190),0,""))</f>
        <v>-0.338999999999998</v>
      </c>
      <c r="AB197" s="264">
        <f>IF(ISNUMBER(AB199),AB199-AB190-AB191-N(AB192)-AB193-AB194-AB196,IF(ISNUMBER(AB190),0,""))</f>
        <v>-0.547000000000001</v>
      </c>
      <c r="AC197" s="264">
        <f>IF(ISNUMBER(AC199),AC199-AC190-AC191-N(AC192)-AC193-AC194-AC196,IF(ISNUMBER(AC190),0,""))</f>
        <v>-5.178</v>
      </c>
      <c r="AD197" s="264">
        <f>IF(ISNUMBER(AD199),AD199-AD190-AD191-N(AD192)-AD193-AD194-AD196,IF(ISNUMBER(AD190),0,""))</f>
        <v>-0.339999999999998</v>
      </c>
      <c r="AE197" s="264">
        <f>IF(ISNUMBER(AE199),AE199-AE190-AE191-N(AE192)-AE193-AE194-AE196,IF(ISNUMBER(AE190),0,""))</f>
        <v>-0.0399999999999978</v>
      </c>
      <c r="AF197" s="264">
        <f>IF(ISNUMBER(AF199),AF199-AF190-AF191-N(AF192)-AF193-AF194-AF196,IF(ISNUMBER(AF190),0,""))</f>
        <v>-2.278</v>
      </c>
      <c r="AG197" s="264">
        <f>IF(ISNUMBER(AG199),AG199-AG190-AG191-N(AG192)-AG193-AG194-AG196,IF(ISNUMBER(AG190),0,""))</f>
        <v>0</v>
      </c>
      <c r="AH197" s="264">
        <f>IF(ISNUMBER(AH199),AH199-AH190-AH191-N(AH192)-AH193-AH194-AH196,IF(ISNUMBER(AH190),0,""))</f>
        <v>-2.65799999999998</v>
      </c>
      <c r="AI197" s="264">
        <f>IF(ISNUMBER(AI199),AI199-AI190-AI191-N(AI192)-AI193-AI194-AI196,IF(ISNUMBER(AI190),0,""))</f>
        <v>-0.0479999999999999</v>
      </c>
      <c r="AJ197" s="264">
        <f>IF(ISNUMBER(AJ199),AJ199-AJ190-AJ191-N(AJ192)-AJ193-AJ194-AJ196,IF(ISNUMBER(AJ190),0,""))</f>
        <v>-1.051</v>
      </c>
      <c r="AK197" s="264">
        <f>IF(ISNUMBER(AK199),AK199-AK190-AK191-N(AK192)-AK193-AK194-AK196,IF(ISNUMBER(AK190),0,""))</f>
        <v>0.828</v>
      </c>
      <c r="AL197" s="264">
        <f>IF(ISNUMBER(AL199),AL199-AL190-AL191-N(AL192)-AL193-AL194-AL196,IF(ISNUMBER(AL190),0,""))</f>
        <v>-0.941000000000005</v>
      </c>
      <c r="AM197" s="264">
        <f>IF(ISNUMBER(AM199),AM199-AM190-AM191-N(AM192)-AM193-AM194-AM196,IF(ISNUMBER(AM190),0,""))</f>
        <v>-1.21199999999999</v>
      </c>
      <c r="AN197" s="264">
        <f>IF(ISNUMBER(AN199),AN199-AN190-AN191-N(AN192)-AN193-AN194-AN196,IF(ISNUMBER(AN190),0,""))</f>
        <v>-0.072999999999997</v>
      </c>
      <c r="AO197" s="264">
        <f>IF(ISNUMBER(AO199),AO199-AO190-AO191-N(AO192)-AO193-AO194-AO196,IF(ISNUMBER(AO190),0,""))</f>
        <v>2.98372437868011e-15</v>
      </c>
      <c r="AP197" s="264">
        <f>IF(ISNUMBER(AP199),AP199-AP190-AP191-N(AP192)-AP193-AP194-AP196,IF(ISNUMBER(AP190),0,""))</f>
        <v>-4.452</v>
      </c>
      <c r="AQ197" s="264">
        <f>IF(ISNUMBER(AQ199),AQ199-AQ190-AQ191-N(AQ192)-AQ193-AQ194-AQ196,IF(ISNUMBER(AQ190),0,""))</f>
        <v>0.585000000000003</v>
      </c>
      <c r="AR197" s="264">
        <f>IF(ISNUMBER(AR199),AR199-AR190-AR191-N(AR192)-AR193-AR194-AR196,IF(ISNUMBER(AR190),0,""))</f>
        <v>-3.94000000000001</v>
      </c>
      <c r="AS197" s="264">
        <f>IF(ISNUMBER(AS199),AS199-AS190-AS191-N(AS192)-AS193-AS194-AS196,IF(ISNUMBER(AS190),0,""))</f>
        <v>-0.233000000000003</v>
      </c>
      <c r="AT197" s="264">
        <f>IF(ISNUMBER(AT199),AT199-AT190-AT191-N(AT192)-AT193-AT194-AT196,IF(ISNUMBER(AT190),0,""))</f>
        <v>-0.0739999999999977</v>
      </c>
      <c r="AU197" s="264">
        <f>IF(ISNUMBER(AU199),AU199-AU190-AU191-N(AU192)-AU193-AU194-AU196,IF(ISNUMBER(AU190),0,""))</f>
        <v>-0.624000000000001</v>
      </c>
      <c r="AV197" s="264">
        <f>IF(ISNUMBER(AV199),AV199-AV190-AV191-N(AV192)-AV193-AV194-AV196,IF(ISNUMBER(AV190),0,""))</f>
        <v>-0.31</v>
      </c>
      <c r="AW197" s="264">
        <f>IF(ISNUMBER(AW199),AW199-AW190-AW191-N(AW192)-AW193-AW194-AW196,IF(ISNUMBER(AW190),0,""))</f>
        <v>-1.24100000000001</v>
      </c>
      <c r="AX197" s="264">
        <f>IF(ISNUMBER(AX199),AX199-AX190-AX191-N(AX192)-AX193-AX194-AX196,IF(ISNUMBER(AX190),0,""))</f>
        <v>-0.248000000000001</v>
      </c>
      <c r="AY197" s="264">
        <f>IF(ISNUMBER(AY199),AY199-AY190-AY191-N(AY192)-AY193-AY194-AY196,IF(ISNUMBER(AY190),0,""))</f>
        <v>-0.836000000000001</v>
      </c>
      <c r="AZ197" s="264">
        <f>IF(ISNUMBER(AZ199),AZ199-AZ190-AZ191-N(AZ192)-AZ193-AZ194-AZ196,IF(ISNUMBER(AZ190),0,""))</f>
        <v>-0.415999999999998</v>
      </c>
      <c r="BA197" s="264">
        <f>IF(ISNUMBER(BA199),BA199-BA190-BA191-N(BA192)-BA193-BA194-BA196,IF(ISNUMBER(BA190),0,""))</f>
        <v>-0.186</v>
      </c>
      <c r="BB197" s="264">
        <f>IF(ISNUMBER(BB199),BB199-BB190-BB191-N(BB192)-BB193-BB194-BB196,IF(ISNUMBER(BB190),0,""))</f>
        <v>-1.68599999999999</v>
      </c>
      <c r="BC197" s="264">
        <f>IF(ISNUMBER(BC199),BC199-BC190-BC191-N(BC192)-BC193-BC194-BC196,IF(ISNUMBER(BC190),0,""))</f>
        <v>-0.248</v>
      </c>
      <c r="BD197" s="264">
        <f>IF(ISNUMBER(BD199),BD199-BD190-BD191-N(BD192)-BD193-BD194-BD196,IF(ISNUMBER(BD190),0,""))</f>
        <v>13.115</v>
      </c>
      <c r="BE197" s="264">
        <f>IF(ISNUMBER(BE199),BE199-BE190-BE191-N(BE192)-BE193-BE194-BE196,IF(ISNUMBER(BE190),0,""))</f>
        <v>-4.295</v>
      </c>
      <c r="BF197" s="264">
        <f>IF(ISNUMBER(BF199),BF199-BF190-BF191-N(BF192)-BF193-BF194-BF196,IF(ISNUMBER(BF190),0,""))</f>
        <v>-2.741</v>
      </c>
      <c r="BG197" s="264">
        <f>IF(ISNUMBER(BG199),BG199-BG190-BG191-N(BG192)-BG193-BG194-BG196,IF(ISNUMBER(BG190),0,""))</f>
        <v>5.811</v>
      </c>
      <c r="BH197" s="264">
        <f>IF(ISNUMBER(BH199),BH199-BH190-BH191-N(BH192)-BH193-BH194-BH196,IF(ISNUMBER(BH190),0,""))</f>
        <v>-0.826000000000005</v>
      </c>
      <c r="BI197" s="264">
        <f>IF(ISNUMBER(BI199),BI199-BI190-BI191-N(BI192)-BI193-BI194-BI196,IF(ISNUMBER(BI190),0,""))</f>
        <v>-8.183</v>
      </c>
      <c r="BJ197" s="264">
        <f>IF(ISNUMBER(BJ199),BJ199-BJ190-BJ191-N(BJ192)-BJ193-BJ194-BJ196,IF(ISNUMBER(BJ190),0,""))</f>
        <v>-5.141</v>
      </c>
      <c r="BK197" s="264">
        <f>IF(ISNUMBER(BK199),BK199-BK190-BK191-N(BK192)-BK193-BK194-BK196,IF(ISNUMBER(BK190),0,""))</f>
        <v>-4.283</v>
      </c>
      <c r="BL197" s="264">
        <f>IF(ISNUMBER(BL199),BL199-BL190-BL191-N(BL192)-BL193-BL194-BL196,IF(ISNUMBER(BL190),0,""))</f>
        <v>-23.686</v>
      </c>
      <c r="BM197" s="264">
        <f>IF(ISNUMBER(BM199),BM199-BM190-BM191-N(BM192)-BM193-BM194-BM196,IF(ISNUMBER(BM190),0,""))</f>
        <v>-5.14000000000001</v>
      </c>
      <c r="BN197" s="264">
        <f>IF(ISNUMBER(BN199),BN199-BN190-BN191-N(BN192)-BN193-BN194-BN196,IF(ISNUMBER(BN190),0,""))</f>
        <v>-4.29199999999999</v>
      </c>
      <c r="BO197" s="264">
        <f>IF(ISNUMBER(BO199),BO199-BO190-BO191-N(BO192)-BO193-BO194-BO196,IF(ISNUMBER(BO190),0,""))</f>
        <v>-6.417</v>
      </c>
      <c r="BP197" s="264">
        <f>IF(ISNUMBER(BP199),BP199-BP190-BP191-N(BP192)-BP193-BP194-BP196,IF(ISNUMBER(BP190),0,""))</f>
        <v>-8.15099999999999</v>
      </c>
      <c r="BQ197" s="264">
        <f>IF(ISNUMBER(BQ199),BQ199-BQ190-BQ191-N(BQ192)-BQ193-BQ194-BQ196,IF(ISNUMBER(BQ190),0,""))</f>
        <v>-23.996</v>
      </c>
      <c r="BR197" s="264">
        <f>IF(ISNUMBER(BR199),BR199-BR190-BR191-N(BR192)-BR193-BR194-BR196,IF(ISNUMBER(BR190),0,""))</f>
        <v>-4.7</v>
      </c>
      <c r="BS197" s="264">
        <f>IF(ISNUMBER(BS199),BS199-BS190-BS191-N(BS192)-BS193-BS194-BS196,IF(ISNUMBER(BS190),0,""))</f>
        <v>-5.4</v>
      </c>
      <c r="BT197" s="264">
        <f>IF(ISNUMBER(BT199),BT199-BT190-BT191-N(BT192)-BT193-BT194-BT196,IF(ISNUMBER(BT190),0,""))</f>
        <v>-8.3</v>
      </c>
      <c r="BU197" s="264">
        <f>IF(ISNUMBER(BU199),BU199-BU190-BU191-N(BU192)-BU193-BU194-BU196,IF(ISNUMBER(BU190),0,""))</f>
        <v>-9.5</v>
      </c>
      <c r="BV197" s="264">
        <f>IF(ISNUMBER(BV199),BV199-BV190-BV191-N(BV192)-BV193-BV194-BV196,IF(ISNUMBER(BV190),0,""))</f>
        <v>-27.9</v>
      </c>
      <c r="BW197" s="264">
        <f>IF(ISNUMBER(BW199),BW199-BW190-BW191-N(BW192)-BW193-BW194-BW196,IF(ISNUMBER(BW190),0,""))</f>
        <v>-6.7</v>
      </c>
      <c r="BX197" s="264">
        <f>IF(ISNUMBER(BX199),BX199-BX190-BX191-N(BX192)-BX193-BX194-BX196,IF(ISNUMBER(BX190),0,""))</f>
        <v>-2.40000000000001</v>
      </c>
      <c r="BY197" s="264">
        <f>IF(ISNUMBER(BY199),BY199-BY190-BY191-N(BY192)-BY193-BY194-BY196,IF(ISNUMBER(BY190),0,""))</f>
        <v>-5.40000000000001</v>
      </c>
      <c r="BZ197" s="264">
        <f>IF(ISNUMBER(BZ199),BZ199-BZ190-BZ191-N(BZ192)-BZ193-BZ194-BZ196,IF(ISNUMBER(BZ190),0,""))</f>
        <v>-13.3</v>
      </c>
      <c r="CA197" s="264">
        <f>IF(ISNUMBER(CA199),CA199-CA190-CA191-N(CA192)-CA193-CA194-CA196,IF(ISNUMBER(CA190),0,""))</f>
        <v>-27.8</v>
      </c>
      <c r="CB197" s="264">
        <f>IF(ISNUMBER(CB199),CB199-CB190-CB191-N(CB192)-CB193-CB194-CB196,IF(ISNUMBER(CB190),0,""))</f>
        <v>-5.89999999999998</v>
      </c>
      <c r="CC197" s="261">
        <f>CC198-CC190-CC191-CC192-CC193-CC194-CC196</f>
        <v>-5.38444523580367</v>
      </c>
      <c r="CD197" s="261">
        <f>CD198-CD190-CD191-CD192-CD193-CD194-CD196</f>
        <v>-5.30230185943439</v>
      </c>
      <c r="CE197" s="261">
        <f>CE198-CE190-CE191-CE192-CE193-CE194-CE196</f>
        <v>-5.47957716591885</v>
      </c>
      <c r="CF197" s="261">
        <f>SUM(CB197:CE197)</f>
        <v>-22.0663242611569</v>
      </c>
      <c r="CG197" s="261">
        <f>CG198-CG190-CG191-CG192-CG193-CG194-CG196</f>
        <v>-26.2579927266307</v>
      </c>
      <c r="CH197" s="261">
        <f>CH198-CH190-CH191-CH192-CH193-CH194-CH196</f>
        <v>-28.2292784638618</v>
      </c>
      <c r="CI197" s="261">
        <f>CI198-CI190-CI191-CI192-CI193-CI194-CI196</f>
        <v>-29.4407037765419</v>
      </c>
      <c r="CJ197" s="261">
        <f>CJ198-CJ190-CJ191-CJ192-CJ193-CJ194-CJ196</f>
        <v>-31.1489640587402</v>
      </c>
      <c r="CK197" s="261">
        <f>CK198-CK190-CK191-CK192-CK193-CK194-CK196</f>
        <v>-33.6243022154203</v>
      </c>
      <c r="CL197" s="19" t="inlineStr">
        <is>
          <t>Historical: published adjusted net income − net income − items (the old-definition items were published after tax, so this row also carries their tax effect). Forecast: adjusted pre-tax income × adjusted tax rate.</t>
        </is>
      </c>
    </row>
    <row r="198" ht="15" customHeight="1" s="251">
      <c r="B198" s="55" t="inlineStr">
        <is>
          <t xml:space="preserve">  = Adjusted net income (model bridge)</t>
        </is>
      </c>
      <c r="C198" s="271">
        <f>IF(ISNUMBER(C197),C190+C191+N(C192)+C193+C194+C196+C197,"")</f>
        <v>19.322</v>
      </c>
      <c r="D198" s="271">
        <f>IF(ISNUMBER(D197),D190+D191+N(D192)+D193+D194+D196+D197,"")</f>
        <v>33.826</v>
      </c>
      <c r="E198" s="271">
        <f>IF(ISNUMBER(E197),E190+E191+N(E192)+E193+E194+E196+E197,"")</f>
        <v>40.78</v>
      </c>
      <c r="F198" s="271">
        <f>IF(ISNUMBER(F197),F190+F191+N(F192)+F193+F194+F196+F197,"")</f>
        <v>40.446</v>
      </c>
      <c r="G198" s="271">
        <f>IF(ISNUMBER(G197),G190+G191+N(G192)+G193+G194+G196+G197,"")</f>
        <v>24.29</v>
      </c>
      <c r="H198" s="271">
        <f>IF(ISNUMBER(H197),H190+H191+N(H192)+H193+H194+H196+H197,"")</f>
        <v>37.003</v>
      </c>
      <c r="I198" s="271">
        <f>IF(ISNUMBER(I197),I190+I191+N(I192)+I193+I194+I196+I197,"")</f>
        <v>49.997</v>
      </c>
      <c r="J198" s="271">
        <f>IF(ISNUMBER(J197),J190+J191+N(J192)+J193+J194+J196+J197,"")</f>
        <v>13.934</v>
      </c>
      <c r="K198" s="271">
        <f>IF(ISNUMBER(K197),K190+K191+N(K192)+K193+K194+K196+K197,"")</f>
        <v>13.656</v>
      </c>
      <c r="L198" s="271">
        <f>IF(ISNUMBER(L197),L190+L191+N(L192)+L193+L194+L196+L197,"")</f>
        <v>12.004</v>
      </c>
      <c r="M198" s="271">
        <f>IF(ISNUMBER(M197),M190+M191+N(M192)+M193+M194+M196+M197,"")</f>
        <v>15.935</v>
      </c>
      <c r="N198" s="271">
        <f>IF(ISNUMBER(N197),N190+N191+N(N192)+N193+N194+N196+N197,"")</f>
        <v>55.529</v>
      </c>
      <c r="O198" s="271">
        <f>IF(ISNUMBER(O197),O190+O191+N(O192)+O193+O194+O196+O197,"")</f>
        <v>15.15</v>
      </c>
      <c r="P198" s="271">
        <f>IF(ISNUMBER(P197),P190+P191+N(P192)+P193+P194+P196+P197,"")</f>
        <v>14.802</v>
      </c>
      <c r="Q198" s="271">
        <f>IF(ISNUMBER(Q197),Q190+Q191+N(Q192)+Q193+Q194+Q196+Q197,"")</f>
        <v>12.764</v>
      </c>
      <c r="R198" s="271">
        <f>IF(ISNUMBER(R197),R190+R191+N(R192)+R193+R194+R196+R197,"")</f>
        <v>17.149</v>
      </c>
      <c r="S198" s="271">
        <f>IF(ISNUMBER(S197),S190+S191+N(S192)+S193+S194+S196+S197,"")</f>
        <v>59.892</v>
      </c>
      <c r="T198" s="271">
        <f>IF(ISNUMBER(T197),T190+T191+N(T192)+T193+T194+T196+T197,"")</f>
        <v>16.02</v>
      </c>
      <c r="U198" s="271">
        <f>IF(ISNUMBER(U197),U190+U191+N(U192)+U193+U194+U196+U197,"")</f>
        <v>16.499</v>
      </c>
      <c r="V198" s="271">
        <f>IF(ISNUMBER(V197),V190+V191+N(V192)+V193+V194+V196+V197,"")</f>
        <v>14.423</v>
      </c>
      <c r="W198" s="271">
        <f>IF(ISNUMBER(W197),W190+W191+N(W192)+W193+W194+W196+W197,"")</f>
        <v>17.054</v>
      </c>
      <c r="X198" s="271">
        <f>IF(ISNUMBER(X197),X190+X191+N(X192)+X193+X194+X196+X197,"")</f>
        <v>63.996</v>
      </c>
      <c r="Y198" s="271">
        <f>IF(ISNUMBER(Y197),Y190+Y191+N(Y192)+Y193+Y194+Y196+Y197,"")</f>
        <v>18.469</v>
      </c>
      <c r="Z198" s="271">
        <f>IF(ISNUMBER(Z197),Z190+Z191+N(Z192)+Z193+Z194+Z196+Z197,"")</f>
        <v>17.827</v>
      </c>
      <c r="AA198" s="271">
        <f>IF(ISNUMBER(AA197),AA190+AA191+N(AA192)+AA193+AA194+AA196+AA197,"")</f>
        <v>17.258</v>
      </c>
      <c r="AB198" s="271">
        <f>IF(ISNUMBER(AB197),AB190+AB191+N(AB192)+AB193+AB194+AB196+AB197,"")</f>
        <v>20.237</v>
      </c>
      <c r="AC198" s="271">
        <f>IF(ISNUMBER(AC197),AC190+AC191+N(AC192)+AC193+AC194+AC196+AC197,"")</f>
        <v>73.791</v>
      </c>
      <c r="AD198" s="271">
        <f>IF(ISNUMBER(AD197),AD190+AD191+N(AD192)+AD193+AD194+AD196+AD197,"")</f>
        <v>18.082</v>
      </c>
      <c r="AE198" s="271">
        <f>IF(ISNUMBER(AE197),AE190+AE191+N(AE192)+AE193+AE194+AE196+AE197,"")</f>
        <v>18.41</v>
      </c>
      <c r="AF198" s="271">
        <f>IF(ISNUMBER(AF197),AF190+AF191+N(AF192)+AF193+AF194+AF196+AF197,"")</f>
        <v>17.353</v>
      </c>
      <c r="AG198" s="271">
        <f>IF(ISNUMBER(AG197),AG190+AG191+N(AG192)+AG193+AG194+AG196+AG197,"")</f>
        <v>21.585</v>
      </c>
      <c r="AH198" s="271">
        <f>IF(ISNUMBER(AH197),AH190+AH191+N(AH192)+AH193+AH194+AH196+AH197,"")</f>
        <v>75.43</v>
      </c>
      <c r="AI198" s="271">
        <f>IF(ISNUMBER(AI197),AI190+AI191+N(AI192)+AI193+AI194+AI196+AI197,"")</f>
        <v>21.969</v>
      </c>
      <c r="AJ198" s="271">
        <f>IF(ISNUMBER(AJ197),AJ190+AJ191+N(AJ192)+AJ193+AJ194+AJ196+AJ197,"")</f>
        <v>20.255</v>
      </c>
      <c r="AK198" s="271">
        <f>IF(ISNUMBER(AK197),AK190+AK191+N(AK192)+AK193+AK194+AK196+AK197,"")</f>
        <v>25.704</v>
      </c>
      <c r="AL198" s="271">
        <f>IF(ISNUMBER(AL197),AL190+AL191+N(AL192)+AL193+AL194+AL196+AL197,"")</f>
        <v>26.391</v>
      </c>
      <c r="AM198" s="271">
        <f>IF(ISNUMBER(AM197),AM190+AM191+N(AM192)+AM193+AM194+AM196+AM197,"")</f>
        <v>94.319</v>
      </c>
      <c r="AN198" s="271">
        <f>IF(ISNUMBER(AN197),AN190+AN191+N(AN192)+AN193+AN194+AN196+AN197,"")</f>
        <v>28.109</v>
      </c>
      <c r="AO198" s="271">
        <f>IF(ISNUMBER(AO197),AO190+AO191+N(AO192)+AO193+AO194+AO196+AO197,"")</f>
        <v>30.221</v>
      </c>
      <c r="AP198" s="271">
        <f>IF(ISNUMBER(AP197),AP190+AP191+N(AP192)+AP193+AP194+AP196+AP197,"")</f>
        <v>28.47</v>
      </c>
      <c r="AQ198" s="271">
        <f>IF(ISNUMBER(AQ197),AQ190+AQ191+N(AQ192)+AQ193+AQ194+AQ196+AQ197,"")</f>
        <v>32.881</v>
      </c>
      <c r="AR198" s="271">
        <f>IF(ISNUMBER(AR197),AR190+AR191+N(AR192)+AR193+AR194+AR196+AR197,"")</f>
        <v>119.681</v>
      </c>
      <c r="AS198" s="271">
        <f>IF(ISNUMBER(AS197),AS190+AS191+N(AS192)+AS193+AS194+AS196+AS197,"")</f>
        <v>30.549</v>
      </c>
      <c r="AT198" s="271">
        <f>IF(ISNUMBER(AT197),AT190+AT191+N(AT192)+AT193+AT194+AT196+AT197,"")</f>
        <v>32.33</v>
      </c>
      <c r="AU198" s="271">
        <f>IF(ISNUMBER(AU197),AU190+AU191+N(AU192)+AU193+AU194+AU196+AU197,"")</f>
        <v>30.386</v>
      </c>
      <c r="AV198" s="271">
        <f>IF(ISNUMBER(AV197),AV190+AV191+N(AV192)+AV193+AV194+AV196+AV197,"")</f>
        <v>33.133</v>
      </c>
      <c r="AW198" s="271">
        <f>IF(ISNUMBER(AW197),AW190+AW191+N(AW192)+AW193+AW194+AW196+AW197,"")</f>
        <v>126.398</v>
      </c>
      <c r="AX198" s="271">
        <f>IF(ISNUMBER(AX197),AX190+AX191+N(AX192)+AX193+AX194+AX196+AX197,"")</f>
        <v>23.621</v>
      </c>
      <c r="AY198" s="271">
        <f>IF(ISNUMBER(AY197),AY190+AY191+N(AY192)+AY193+AY194+AY196+AY197,"")</f>
        <v>23.214</v>
      </c>
      <c r="AZ198" s="271">
        <f>IF(ISNUMBER(AZ197),AZ190+AZ191+N(AZ192)+AZ193+AZ194+AZ196+AZ197,"")</f>
        <v>22.678</v>
      </c>
      <c r="BA198" s="271">
        <f>IF(ISNUMBER(BA197),BA190+BA191+N(BA192)+BA193+BA194+BA196+BA197,"")</f>
        <v>27.375</v>
      </c>
      <c r="BB198" s="271">
        <f>IF(ISNUMBER(BB197),BB190+BB191+N(BB192)+BB193+BB194+BB196+BB197,"")</f>
        <v>96.888</v>
      </c>
      <c r="BC198" s="271">
        <f>IF(ISNUMBER(BC197),BC190+BC191+N(BC192)+BC193+BC194+BC196+BC197,"")</f>
        <v>26.319</v>
      </c>
      <c r="BD198" s="271">
        <f>IF(ISNUMBER(BD197),BD190+BD191+N(BD192)+BD193+BD194+BD196+BD197,"")</f>
        <v>23.525</v>
      </c>
      <c r="BE198" s="271">
        <f>IF(ISNUMBER(BE197),BE190+BE191+N(BE192)+BE193+BE194+BE196+BE197,"")</f>
        <v>26.086</v>
      </c>
      <c r="BF198" s="271">
        <f>IF(ISNUMBER(BF197),BF190+BF191+N(BF192)+BF193+BF194+BF196+BF197,"")</f>
        <v>42.02</v>
      </c>
      <c r="BG198" s="271">
        <f>IF(ISNUMBER(BG197),BG190+BG191+N(BG192)+BG193+BG194+BG196+BG197,"")</f>
        <v>117.95</v>
      </c>
      <c r="BH198" s="271">
        <f>IF(ISNUMBER(BH197),BH190+BH191+N(BH192)+BH193+BH194+BH196+BH197,"")</f>
        <v>40.236</v>
      </c>
      <c r="BI198" s="271">
        <f>IF(ISNUMBER(BI197),BI190+BI191+N(BI192)+BI193+BI194+BI196+BI197,"")</f>
        <v>61.905</v>
      </c>
      <c r="BJ198" s="271">
        <f>IF(ISNUMBER(BJ197),BJ190+BJ191+N(BJ192)+BJ193+BJ194+BJ196+BJ197,"")</f>
        <v>53.346</v>
      </c>
      <c r="BK198" s="271">
        <f>IF(ISNUMBER(BK197),BK190+BK191+N(BK192)+BK193+BK194+BK196+BK197,"")</f>
        <v>67.694</v>
      </c>
      <c r="BL198" s="271">
        <f>IF(ISNUMBER(BL197),BL190+BL191+N(BL192)+BL193+BL194+BL196+BL197,"")</f>
        <v>240.497</v>
      </c>
      <c r="BM198" s="271">
        <f>IF(ISNUMBER(BM197),BM190+BM191+N(BM192)+BM193+BM194+BM196+BM197,"")</f>
        <v>67.695</v>
      </c>
      <c r="BN198" s="271">
        <f>IF(ISNUMBER(BN197),BN190+BN191+N(BN192)+BN193+BN194+BN196+BN197,"")</f>
        <v>68.888</v>
      </c>
      <c r="BO198" s="271">
        <f>IF(ISNUMBER(BO197),BO190+BO191+N(BO192)+BO193+BO194+BO196+BO197,"")</f>
        <v>59.972</v>
      </c>
      <c r="BP198" s="271">
        <f>IF(ISNUMBER(BP197),BP190+BP191+N(BP192)+BP193+BP194+BP196+BP197,"")</f>
        <v>78.046</v>
      </c>
      <c r="BQ198" s="271">
        <f>IF(ISNUMBER(BQ197),BQ190+BQ191+N(BQ192)+BQ193+BQ194+BQ196+BQ197,"")</f>
        <v>274.601</v>
      </c>
      <c r="BR198" s="271">
        <f>IF(ISNUMBER(BR197),BR190+BR191+N(BR192)+BR193+BR194+BR196+BR197,"")</f>
        <v>80.2</v>
      </c>
      <c r="BS198" s="271">
        <f>IF(ISNUMBER(BS197),BS190+BS191+N(BS192)+BS193+BS194+BS196+BS197,"")</f>
        <v>72.7</v>
      </c>
      <c r="BT198" s="271">
        <f>IF(ISNUMBER(BT197),BT190+BT191+N(BT192)+BT193+BT194+BT196+BT197,"")</f>
        <v>74</v>
      </c>
      <c r="BU198" s="271">
        <f>IF(ISNUMBER(BU197),BU190+BU191+N(BU192)+BU193+BU194+BU196+BU197,"")</f>
        <v>89.3</v>
      </c>
      <c r="BV198" s="271">
        <f>IF(ISNUMBER(BV197),BV190+BV191+N(BV192)+BV193+BV194+BV196+BV197,"")</f>
        <v>316.2</v>
      </c>
      <c r="BW198" s="271">
        <f>IF(ISNUMBER(BW197),BW190+BW191+N(BW192)+BW193+BW194+BW196+BW197,"")</f>
        <v>89.6</v>
      </c>
      <c r="BX198" s="271">
        <f>IF(ISNUMBER(BX197),BX190+BX191+N(BX192)+BX193+BX194+BX196+BX197,"")</f>
        <v>91.2</v>
      </c>
      <c r="BY198" s="271">
        <f>IF(ISNUMBER(BY197),BY190+BY191+N(BY192)+BY193+BY194+BY196+BY197,"")</f>
        <v>96.3</v>
      </c>
      <c r="BZ198" s="271">
        <f>IF(ISNUMBER(BZ197),BZ190+BZ191+N(BZ192)+BZ193+BZ194+BZ196+BZ197,"")</f>
        <v>114.9</v>
      </c>
      <c r="CA198" s="271">
        <f>IF(ISNUMBER(CA197),CA190+CA191+N(CA192)+CA193+CA194+CA196+CA197,"")</f>
        <v>392</v>
      </c>
      <c r="CB198" s="271">
        <f>IF(ISNUMBER(CB197),CB190+CB191+N(CB192)+CB193+CB194+CB196+CB197,"")</f>
        <v>123</v>
      </c>
      <c r="CC198" s="271">
        <f>CC209-CC210</f>
        <v>111.990433108758</v>
      </c>
      <c r="CD198" s="271">
        <f>CD209-CD210</f>
        <v>114.724828811989</v>
      </c>
      <c r="CE198" s="271">
        <f>CE209-CE210</f>
        <v>141.4146164079</v>
      </c>
      <c r="CF198" s="271">
        <f>CF209-CF210</f>
        <v>491.129878328648</v>
      </c>
      <c r="CG198" s="271">
        <f>CG209-CG210</f>
        <v>560.409582186025</v>
      </c>
      <c r="CH198" s="271">
        <f>CH209-CH210</f>
        <v>620.049438196948</v>
      </c>
      <c r="CI198" s="271">
        <f>CI209-CI210</f>
        <v>688.914603930724</v>
      </c>
      <c r="CJ198" s="271">
        <f>CJ209-CJ210</f>
        <v>753.95524325863</v>
      </c>
      <c r="CK198" s="271">
        <f>CK209-CK210</f>
        <v>820.388895829365</v>
      </c>
      <c r="CL198" s="153" t="n"/>
    </row>
    <row r="199" ht="15" customHeight="1" s="251">
      <c r="B199" s="156" t="inlineStr">
        <is>
          <t xml:space="preserve">  Company-published adjusted net income (before preferred dividends)</t>
        </is>
      </c>
      <c r="C199" s="259" t="n">
        <v>19.322</v>
      </c>
      <c r="D199" s="259" t="n">
        <v>33.826</v>
      </c>
      <c r="E199" s="259" t="n">
        <v>40.78</v>
      </c>
      <c r="F199" s="259" t="n">
        <v>40.446</v>
      </c>
      <c r="G199" s="259" t="n">
        <v>24.29</v>
      </c>
      <c r="H199" s="259" t="n">
        <v>37.003</v>
      </c>
      <c r="I199" s="259" t="n">
        <v>49.997</v>
      </c>
      <c r="J199" s="259" t="n">
        <v>13.934</v>
      </c>
      <c r="K199" s="259" t="n">
        <v>13.656</v>
      </c>
      <c r="L199" s="259" t="n">
        <v>12.004</v>
      </c>
      <c r="M199" s="259" t="n">
        <v>15.935</v>
      </c>
      <c r="N199" s="259" t="n">
        <v>55.529</v>
      </c>
      <c r="O199" s="259" t="n">
        <v>15.15</v>
      </c>
      <c r="P199" s="259" t="n">
        <v>14.802</v>
      </c>
      <c r="Q199" s="259" t="n">
        <v>12.764</v>
      </c>
      <c r="R199" s="259" t="n">
        <v>17.149</v>
      </c>
      <c r="S199" s="259" t="n">
        <v>59.892</v>
      </c>
      <c r="T199" s="259" t="n">
        <v>16.02</v>
      </c>
      <c r="U199" s="259" t="n">
        <v>16.499</v>
      </c>
      <c r="V199" s="259" t="n">
        <v>14.423</v>
      </c>
      <c r="W199" s="259" t="n">
        <v>17.054</v>
      </c>
      <c r="X199" s="259" t="n">
        <v>63.996</v>
      </c>
      <c r="Y199" s="259" t="n">
        <v>18.469</v>
      </c>
      <c r="Z199" s="259" t="n">
        <v>17.827</v>
      </c>
      <c r="AA199" s="259" t="n">
        <v>17.258</v>
      </c>
      <c r="AB199" s="259" t="n">
        <v>20.237</v>
      </c>
      <c r="AC199" s="259" t="n">
        <v>73.791</v>
      </c>
      <c r="AD199" s="259" t="n">
        <v>18.082</v>
      </c>
      <c r="AE199" s="259" t="n">
        <v>18.41</v>
      </c>
      <c r="AF199" s="259" t="n">
        <v>17.353</v>
      </c>
      <c r="AG199" s="259" t="n">
        <v>21.585</v>
      </c>
      <c r="AH199" s="259" t="n">
        <v>75.43000000000001</v>
      </c>
      <c r="AI199" s="259" t="n">
        <v>21.969</v>
      </c>
      <c r="AJ199" s="259" t="n">
        <v>20.255</v>
      </c>
      <c r="AK199" s="259" t="n">
        <v>25.704</v>
      </c>
      <c r="AL199" s="259" t="n">
        <v>26.391</v>
      </c>
      <c r="AM199" s="259" t="n">
        <v>94.319</v>
      </c>
      <c r="AN199" s="259" t="n">
        <v>28.109</v>
      </c>
      <c r="AO199" s="259" t="n">
        <v>30.221</v>
      </c>
      <c r="AP199" s="259" t="n">
        <v>28.47</v>
      </c>
      <c r="AQ199" s="259" t="n">
        <v>32.881</v>
      </c>
      <c r="AR199" s="259" t="n">
        <v>119.681</v>
      </c>
      <c r="AS199" s="259" t="n">
        <v>30.549</v>
      </c>
      <c r="AT199" s="259" t="n">
        <v>32.33</v>
      </c>
      <c r="AU199" s="259" t="n">
        <v>30.386</v>
      </c>
      <c r="AV199" s="259" t="n">
        <v>33.133</v>
      </c>
      <c r="AW199" s="259" t="n">
        <v>126.398</v>
      </c>
      <c r="AX199" s="259" t="n">
        <v>23.621</v>
      </c>
      <c r="AY199" s="259" t="n">
        <v>23.214</v>
      </c>
      <c r="AZ199" s="259" t="n">
        <v>22.678</v>
      </c>
      <c r="BA199" s="259" t="n">
        <v>27.375</v>
      </c>
      <c r="BB199" s="259" t="n">
        <v>96.88800000000001</v>
      </c>
      <c r="BC199" s="259" t="n">
        <v>26.319</v>
      </c>
      <c r="BD199" s="259" t="n">
        <v>23.525</v>
      </c>
      <c r="BE199" s="259" t="n">
        <v>26.086</v>
      </c>
      <c r="BF199" s="259" t="n">
        <v>42.02</v>
      </c>
      <c r="BG199" s="259" t="n">
        <v>117.95</v>
      </c>
      <c r="BH199" s="259" t="n">
        <v>40.236</v>
      </c>
      <c r="BI199" s="259" t="n">
        <v>61.905</v>
      </c>
      <c r="BJ199" s="259" t="n">
        <v>53.346</v>
      </c>
      <c r="BK199" s="259" t="n">
        <v>67.694</v>
      </c>
      <c r="BL199" s="259" t="n">
        <v>240.497</v>
      </c>
      <c r="BM199" s="259" t="n">
        <v>67.69499999999999</v>
      </c>
      <c r="BN199" s="259" t="n">
        <v>68.88800000000001</v>
      </c>
      <c r="BO199" s="259" t="n">
        <v>59.972</v>
      </c>
      <c r="BP199" s="259" t="n">
        <v>78.04600000000001</v>
      </c>
      <c r="BQ199" s="259" t="n">
        <v>274.601</v>
      </c>
      <c r="BR199" s="259" t="n">
        <v>80.2</v>
      </c>
      <c r="BS199" s="259" t="n">
        <v>72.7</v>
      </c>
      <c r="BT199" s="259" t="n">
        <v>74</v>
      </c>
      <c r="BU199" s="259" t="n">
        <v>89.3</v>
      </c>
      <c r="BV199" s="259" t="n">
        <v>316.2</v>
      </c>
      <c r="BW199" s="259" t="n">
        <v>89.59999999999999</v>
      </c>
      <c r="BX199" s="259" t="n">
        <v>91.2</v>
      </c>
      <c r="BY199" s="259" t="n">
        <v>96.3</v>
      </c>
      <c r="BZ199" s="259" t="n">
        <v>114.9</v>
      </c>
      <c r="CA199" s="259" t="n">
        <v>392</v>
      </c>
      <c r="CB199" s="259" t="n">
        <v>123</v>
      </c>
      <c r="CC199" s="153" t="n"/>
      <c r="CD199" s="153" t="n"/>
      <c r="CE199" s="153" t="n"/>
      <c r="CF199" s="153" t="n"/>
      <c r="CG199" s="153" t="n"/>
      <c r="CH199" s="153" t="n"/>
      <c r="CI199" s="153" t="n"/>
      <c r="CJ199" s="153" t="n"/>
      <c r="CK199" s="153" t="n"/>
      <c r="CL199" s="153" t="n"/>
    </row>
    <row r="200" ht="15" customHeight="1" s="251">
      <c r="B200" s="25" t="inlineStr">
        <is>
          <t xml:space="preserve">  (−) Preferred stock dividends</t>
        </is>
      </c>
      <c r="C200" s="264">
        <f>IF(ISNUMBER(C190),N(C130),"")</f>
        <v>1.523</v>
      </c>
      <c r="D200" s="264">
        <f>IF(ISNUMBER(D190),N(D130),"")</f>
        <v>0</v>
      </c>
      <c r="E200" s="264">
        <f>IF(ISNUMBER(E190),N(E130),"")</f>
        <v>0</v>
      </c>
      <c r="F200" s="264">
        <f>IF(ISNUMBER(F190),N(F130),"")</f>
        <v>0</v>
      </c>
      <c r="G200" s="264">
        <f>IF(ISNUMBER(G190),N(G130),"")</f>
        <v>0</v>
      </c>
      <c r="H200" s="264">
        <f>IF(ISNUMBER(H190),N(H130),"")</f>
        <v>0</v>
      </c>
      <c r="I200" s="264">
        <f>IF(ISNUMBER(I190),N(I130),"")</f>
        <v>0</v>
      </c>
      <c r="J200" s="264">
        <f>IF(ISNUMBER(J190),N(J130),"")</f>
        <v>0</v>
      </c>
      <c r="K200" s="264">
        <f>IF(ISNUMBER(K190),N(K130),"")</f>
        <v>0</v>
      </c>
      <c r="L200" s="264">
        <f>IF(ISNUMBER(L190),N(L130),"")</f>
        <v>0</v>
      </c>
      <c r="M200" s="264">
        <f>IF(ISNUMBER(M190),N(M130),"")</f>
        <v>0</v>
      </c>
      <c r="N200" s="264">
        <f>IF(ISNUMBER(N190),N(N130),"")</f>
        <v>0</v>
      </c>
      <c r="O200" s="264">
        <f>IF(ISNUMBER(O190),N(O130),"")</f>
        <v>0</v>
      </c>
      <c r="P200" s="264">
        <f>IF(ISNUMBER(P190),N(P130),"")</f>
        <v>0</v>
      </c>
      <c r="Q200" s="264">
        <f>IF(ISNUMBER(Q190),N(Q130),"")</f>
        <v>0</v>
      </c>
      <c r="R200" s="264">
        <f>IF(ISNUMBER(R190),N(R130),"")</f>
        <v>0</v>
      </c>
      <c r="S200" s="264">
        <f>IF(ISNUMBER(S190),N(S130),"")</f>
        <v>0</v>
      </c>
      <c r="T200" s="264">
        <f>IF(ISNUMBER(T190),N(T130),"")</f>
        <v>0</v>
      </c>
      <c r="U200" s="264">
        <f>IF(ISNUMBER(U190),N(U130),"")</f>
        <v>0</v>
      </c>
      <c r="V200" s="264">
        <f>IF(ISNUMBER(V190),N(V130),"")</f>
        <v>0</v>
      </c>
      <c r="W200" s="264">
        <f>IF(ISNUMBER(W190),N(W130),"")</f>
        <v>0</v>
      </c>
      <c r="X200" s="264">
        <f>IF(ISNUMBER(X190),N(X130),"")</f>
        <v>0</v>
      </c>
      <c r="Y200" s="264">
        <f>IF(ISNUMBER(Y190),N(Y130),"")</f>
        <v>0</v>
      </c>
      <c r="Z200" s="264">
        <f>IF(ISNUMBER(Z190),N(Z130),"")</f>
        <v>0</v>
      </c>
      <c r="AA200" s="264">
        <f>IF(ISNUMBER(AA190),N(AA130),"")</f>
        <v>0</v>
      </c>
      <c r="AB200" s="264">
        <f>IF(ISNUMBER(AB190),N(AB130),"")</f>
        <v>0</v>
      </c>
      <c r="AC200" s="264">
        <f>IF(ISNUMBER(AC190),N(AC130),"")</f>
        <v>0</v>
      </c>
      <c r="AD200" s="264">
        <f>IF(ISNUMBER(AD190),N(AD130),"")</f>
        <v>0</v>
      </c>
      <c r="AE200" s="264">
        <f>IF(ISNUMBER(AE190),N(AE130),"")</f>
        <v>0</v>
      </c>
      <c r="AF200" s="264">
        <f>IF(ISNUMBER(AF190),N(AF130),"")</f>
        <v>0</v>
      </c>
      <c r="AG200" s="264">
        <f>IF(ISNUMBER(AG190),N(AG130),"")</f>
        <v>0</v>
      </c>
      <c r="AH200" s="264">
        <f>IF(ISNUMBER(AH190),N(AH130),"")</f>
        <v>0</v>
      </c>
      <c r="AI200" s="264">
        <f>IF(ISNUMBER(AI190),N(AI130),"")</f>
        <v>0</v>
      </c>
      <c r="AJ200" s="264">
        <f>IF(ISNUMBER(AJ190),N(AJ130),"")</f>
        <v>0</v>
      </c>
      <c r="AK200" s="264">
        <f>IF(ISNUMBER(AK190),N(AK130),"")</f>
        <v>0</v>
      </c>
      <c r="AL200" s="264">
        <f>IF(ISNUMBER(AL190),N(AL130),"")</f>
        <v>0</v>
      </c>
      <c r="AM200" s="264">
        <f>IF(ISNUMBER(AM190),N(AM130),"")</f>
        <v>0</v>
      </c>
      <c r="AN200" s="264">
        <f>IF(ISNUMBER(AN190),N(AN130),"")</f>
        <v>0</v>
      </c>
      <c r="AO200" s="264">
        <f>IF(ISNUMBER(AO190),N(AO130),"")</f>
        <v>0</v>
      </c>
      <c r="AP200" s="264">
        <f>IF(ISNUMBER(AP190),N(AP130),"")</f>
        <v>0</v>
      </c>
      <c r="AQ200" s="264">
        <f>IF(ISNUMBER(AQ190),N(AQ130),"")</f>
        <v>0</v>
      </c>
      <c r="AR200" s="264">
        <f>IF(ISNUMBER(AR190),N(AR130),"")</f>
        <v>0</v>
      </c>
      <c r="AS200" s="264">
        <f>IF(ISNUMBER(AS190),N(AS130),"")</f>
        <v>0</v>
      </c>
      <c r="AT200" s="264">
        <f>IF(ISNUMBER(AT190),N(AT130),"")</f>
        <v>0</v>
      </c>
      <c r="AU200" s="264">
        <f>IF(ISNUMBER(AU190),N(AU130),"")</f>
        <v>0</v>
      </c>
      <c r="AV200" s="264">
        <f>IF(ISNUMBER(AV190),N(AV130),"")</f>
        <v>0</v>
      </c>
      <c r="AW200" s="264">
        <f>IF(ISNUMBER(AW190),N(AW130),"")</f>
        <v>0</v>
      </c>
      <c r="AX200" s="264">
        <f>IF(ISNUMBER(AX190),N(AX130),"")</f>
        <v>0</v>
      </c>
      <c r="AY200" s="264">
        <f>IF(ISNUMBER(AY190),N(AY130),"")</f>
        <v>0</v>
      </c>
      <c r="AZ200" s="264">
        <f>IF(ISNUMBER(AZ190),N(AZ130),"")</f>
        <v>0</v>
      </c>
      <c r="BA200" s="264">
        <f>IF(ISNUMBER(BA190),N(BA130),"")</f>
        <v>0</v>
      </c>
      <c r="BB200" s="264">
        <f>IF(ISNUMBER(BB190),N(BB130),"")</f>
        <v>0</v>
      </c>
      <c r="BC200" s="264">
        <f>IF(ISNUMBER(BC190),N(BC130),"")</f>
        <v>0</v>
      </c>
      <c r="BD200" s="264">
        <f>IF(ISNUMBER(BD190),N(BD130),"")</f>
        <v>0.51</v>
      </c>
      <c r="BE200" s="264">
        <f>IF(ISNUMBER(BE190),N(BE130),"")</f>
        <v>5.751</v>
      </c>
      <c r="BF200" s="264">
        <f>IF(ISNUMBER(BF190),N(BF130),"")</f>
        <v>5.75</v>
      </c>
      <c r="BG200" s="264">
        <f>IF(ISNUMBER(BG190),N(BG130),"")</f>
        <v>12.011</v>
      </c>
      <c r="BH200" s="264">
        <f>IF(ISNUMBER(BH190),N(BH130),"")</f>
        <v>5.75</v>
      </c>
      <c r="BI200" s="264">
        <f>IF(ISNUMBER(BI190),N(BI130),"")</f>
        <v>5.75</v>
      </c>
      <c r="BJ200" s="264">
        <f>IF(ISNUMBER(BJ190),N(BJ130),"")</f>
        <v>5.686</v>
      </c>
      <c r="BK200" s="264">
        <f>IF(ISNUMBER(BK190),N(BK130),"")</f>
        <v>5.75</v>
      </c>
      <c r="BL200" s="264">
        <f>IF(ISNUMBER(BL190),N(BL130),"")</f>
        <v>22.9</v>
      </c>
      <c r="BM200" s="264">
        <f>IF(ISNUMBER(BM190),N(BM130),"")</f>
        <v>5.75</v>
      </c>
      <c r="BN200" s="264">
        <f>IF(ISNUMBER(BN190),N(BN130),"")</f>
        <v>5.686</v>
      </c>
      <c r="BO200" s="264">
        <f>IF(ISNUMBER(BO190),N(BO130),"")</f>
        <v>5.814</v>
      </c>
      <c r="BP200" s="264">
        <f>IF(ISNUMBER(BP190),N(BP130),"")</f>
        <v>5.686</v>
      </c>
      <c r="BQ200" s="264">
        <f>IF(ISNUMBER(BQ190),N(BQ130),"")</f>
        <v>23</v>
      </c>
      <c r="BR200" s="264">
        <f>IF(ISNUMBER(BR190),N(BR130),"")</f>
        <v>5.7</v>
      </c>
      <c r="BS200" s="264">
        <f>IF(ISNUMBER(BS190),N(BS130),"")</f>
        <v>5.7</v>
      </c>
      <c r="BT200" s="264">
        <f>IF(ISNUMBER(BT190),N(BT130),"")</f>
        <v>1</v>
      </c>
      <c r="BU200" s="264">
        <f>IF(ISNUMBER(BU190),N(BU130),"")</f>
        <v>0</v>
      </c>
      <c r="BV200" s="264">
        <f>IF(ISNUMBER(BV190),N(BV130),"")</f>
        <v>12.4</v>
      </c>
      <c r="BW200" s="264">
        <f>IF(ISNUMBER(BW190),N(BW130),"")</f>
        <v>0</v>
      </c>
      <c r="BX200" s="264">
        <f>IF(ISNUMBER(BX190),N(BX130),"")</f>
        <v>0</v>
      </c>
      <c r="BY200" s="264">
        <f>IF(ISNUMBER(BY190),N(BY130),"")</f>
        <v>0</v>
      </c>
      <c r="BZ200" s="264">
        <f>IF(ISNUMBER(BZ190),N(BZ130),"")</f>
        <v>0</v>
      </c>
      <c r="CA200" s="264">
        <f>IF(ISNUMBER(CA190),N(CA130),"")</f>
        <v>0</v>
      </c>
      <c r="CB200" s="264">
        <f>IF(ISNUMBER(CB190),N(CB130),"")</f>
        <v>0</v>
      </c>
      <c r="CC200" s="261">
        <f>IF(ISNUMBER(CC190),N(CC130),"")</f>
        <v>0</v>
      </c>
      <c r="CD200" s="261">
        <f>IF(ISNUMBER(CD190),N(CD130),"")</f>
        <v>0</v>
      </c>
      <c r="CE200" s="261">
        <f>IF(ISNUMBER(CE190),N(CE130),"")</f>
        <v>0</v>
      </c>
      <c r="CF200" s="261">
        <f>IF(ISNUMBER(CF190),N(CF130),"")</f>
        <v>0</v>
      </c>
      <c r="CG200" s="261">
        <f>IF(ISNUMBER(CG190),N(CG130),"")</f>
        <v>0</v>
      </c>
      <c r="CH200" s="261">
        <f>IF(ISNUMBER(CH190),N(CH130),"")</f>
        <v>0</v>
      </c>
      <c r="CI200" s="261">
        <f>IF(ISNUMBER(CI190),N(CI130),"")</f>
        <v>0</v>
      </c>
      <c r="CJ200" s="261">
        <f>IF(ISNUMBER(CJ190),N(CJ130),"")</f>
        <v>0</v>
      </c>
      <c r="CK200" s="261">
        <f>IF(ISNUMBER(CK190),N(CK130),"")</f>
        <v>0</v>
      </c>
      <c r="CL200" s="19" t="n"/>
    </row>
    <row r="201" ht="15" customHeight="1" s="251">
      <c r="B201" s="55" t="inlineStr">
        <is>
          <t xml:space="preserve">  = Adjusted net income available to common stockholders</t>
        </is>
      </c>
      <c r="C201" s="271">
        <f>IF(ISNUMBER(C198),C198-C200,"")</f>
        <v>17.799</v>
      </c>
      <c r="D201" s="271">
        <f>IF(ISNUMBER(D198),D198-D200,"")</f>
        <v>33.826</v>
      </c>
      <c r="E201" s="271">
        <f>IF(ISNUMBER(E198),E198-E200,"")</f>
        <v>40.78</v>
      </c>
      <c r="F201" s="271">
        <f>IF(ISNUMBER(F198),F198-F200,"")</f>
        <v>40.446</v>
      </c>
      <c r="G201" s="271">
        <f>IF(ISNUMBER(G198),G198-G200,"")</f>
        <v>24.29</v>
      </c>
      <c r="H201" s="271">
        <f>IF(ISNUMBER(H198),H198-H200,"")</f>
        <v>37.003</v>
      </c>
      <c r="I201" s="271">
        <f>IF(ISNUMBER(I198),I198-I200,"")</f>
        <v>49.997</v>
      </c>
      <c r="J201" s="271">
        <f>IF(ISNUMBER(J198),J198-J200,"")</f>
        <v>13.934</v>
      </c>
      <c r="K201" s="271">
        <f>IF(ISNUMBER(K198),K198-K200,"")</f>
        <v>13.656</v>
      </c>
      <c r="L201" s="271">
        <f>IF(ISNUMBER(L198),L198-L200,"")</f>
        <v>12.004</v>
      </c>
      <c r="M201" s="271">
        <f>IF(ISNUMBER(M198),M198-M200,"")</f>
        <v>15.935</v>
      </c>
      <c r="N201" s="271">
        <f>IF(ISNUMBER(N198),N198-N200,"")</f>
        <v>55.529</v>
      </c>
      <c r="O201" s="271">
        <f>IF(ISNUMBER(O198),O198-O200,"")</f>
        <v>15.15</v>
      </c>
      <c r="P201" s="271">
        <f>IF(ISNUMBER(P198),P198-P200,"")</f>
        <v>14.802</v>
      </c>
      <c r="Q201" s="271">
        <f>IF(ISNUMBER(Q198),Q198-Q200,"")</f>
        <v>12.764</v>
      </c>
      <c r="R201" s="271">
        <f>IF(ISNUMBER(R198),R198-R200,"")</f>
        <v>17.149</v>
      </c>
      <c r="S201" s="271">
        <f>IF(ISNUMBER(S198),S198-S200,"")</f>
        <v>59.892</v>
      </c>
      <c r="T201" s="271">
        <f>IF(ISNUMBER(T198),T198-T200,"")</f>
        <v>16.02</v>
      </c>
      <c r="U201" s="271">
        <f>IF(ISNUMBER(U198),U198-U200,"")</f>
        <v>16.499</v>
      </c>
      <c r="V201" s="271">
        <f>IF(ISNUMBER(V198),V198-V200,"")</f>
        <v>14.423</v>
      </c>
      <c r="W201" s="271">
        <f>IF(ISNUMBER(W198),W198-W200,"")</f>
        <v>17.054</v>
      </c>
      <c r="X201" s="271">
        <f>IF(ISNUMBER(X198),X198-X200,"")</f>
        <v>63.996</v>
      </c>
      <c r="Y201" s="271">
        <f>IF(ISNUMBER(Y198),Y198-Y200,"")</f>
        <v>18.469</v>
      </c>
      <c r="Z201" s="271">
        <f>IF(ISNUMBER(Z198),Z198-Z200,"")</f>
        <v>17.827</v>
      </c>
      <c r="AA201" s="271">
        <f>IF(ISNUMBER(AA198),AA198-AA200,"")</f>
        <v>17.258</v>
      </c>
      <c r="AB201" s="271">
        <f>IF(ISNUMBER(AB198),AB198-AB200,"")</f>
        <v>20.237</v>
      </c>
      <c r="AC201" s="271">
        <f>IF(ISNUMBER(AC198),AC198-AC200,"")</f>
        <v>73.791</v>
      </c>
      <c r="AD201" s="271">
        <f>IF(ISNUMBER(AD198),AD198-AD200,"")</f>
        <v>18.082</v>
      </c>
      <c r="AE201" s="271">
        <f>IF(ISNUMBER(AE198),AE198-AE200,"")</f>
        <v>18.41</v>
      </c>
      <c r="AF201" s="271">
        <f>IF(ISNUMBER(AF198),AF198-AF200,"")</f>
        <v>17.353</v>
      </c>
      <c r="AG201" s="271">
        <f>IF(ISNUMBER(AG198),AG198-AG200,"")</f>
        <v>21.585</v>
      </c>
      <c r="AH201" s="271">
        <f>IF(ISNUMBER(AH198),AH198-AH200,"")</f>
        <v>75.43</v>
      </c>
      <c r="AI201" s="271">
        <f>IF(ISNUMBER(AI198),AI198-AI200,"")</f>
        <v>21.969</v>
      </c>
      <c r="AJ201" s="271">
        <f>IF(ISNUMBER(AJ198),AJ198-AJ200,"")</f>
        <v>20.255</v>
      </c>
      <c r="AK201" s="271">
        <f>IF(ISNUMBER(AK198),AK198-AK200,"")</f>
        <v>25.704</v>
      </c>
      <c r="AL201" s="271">
        <f>IF(ISNUMBER(AL198),AL198-AL200,"")</f>
        <v>26.391</v>
      </c>
      <c r="AM201" s="271">
        <f>IF(ISNUMBER(AM198),AM198-AM200,"")</f>
        <v>94.319</v>
      </c>
      <c r="AN201" s="271">
        <f>IF(ISNUMBER(AN198),AN198-AN200,"")</f>
        <v>28.109</v>
      </c>
      <c r="AO201" s="271">
        <f>IF(ISNUMBER(AO198),AO198-AO200,"")</f>
        <v>30.221</v>
      </c>
      <c r="AP201" s="271">
        <f>IF(ISNUMBER(AP198),AP198-AP200,"")</f>
        <v>28.47</v>
      </c>
      <c r="AQ201" s="271">
        <f>IF(ISNUMBER(AQ198),AQ198-AQ200,"")</f>
        <v>32.881</v>
      </c>
      <c r="AR201" s="271">
        <f>IF(ISNUMBER(AR198),AR198-AR200,"")</f>
        <v>119.681</v>
      </c>
      <c r="AS201" s="271">
        <f>IF(ISNUMBER(AS198),AS198-AS200,"")</f>
        <v>30.549</v>
      </c>
      <c r="AT201" s="271">
        <f>IF(ISNUMBER(AT198),AT198-AT200,"")</f>
        <v>32.33</v>
      </c>
      <c r="AU201" s="271">
        <f>IF(ISNUMBER(AU198),AU198-AU200,"")</f>
        <v>30.386</v>
      </c>
      <c r="AV201" s="271">
        <f>IF(ISNUMBER(AV198),AV198-AV200,"")</f>
        <v>33.133</v>
      </c>
      <c r="AW201" s="271">
        <f>IF(ISNUMBER(AW198),AW198-AW200,"")</f>
        <v>126.398</v>
      </c>
      <c r="AX201" s="271">
        <f>IF(ISNUMBER(AX198),AX198-AX200,"")</f>
        <v>23.621</v>
      </c>
      <c r="AY201" s="271">
        <f>IF(ISNUMBER(AY198),AY198-AY200,"")</f>
        <v>23.214</v>
      </c>
      <c r="AZ201" s="271">
        <f>IF(ISNUMBER(AZ198),AZ198-AZ200,"")</f>
        <v>22.678</v>
      </c>
      <c r="BA201" s="271">
        <f>IF(ISNUMBER(BA198),BA198-BA200,"")</f>
        <v>27.375</v>
      </c>
      <c r="BB201" s="271">
        <f>IF(ISNUMBER(BB198),BB198-BB200,"")</f>
        <v>96.888</v>
      </c>
      <c r="BC201" s="271">
        <f>IF(ISNUMBER(BC198),BC198-BC200,"")</f>
        <v>26.319</v>
      </c>
      <c r="BD201" s="271">
        <f>IF(ISNUMBER(BD198),BD198-BD200,"")</f>
        <v>23.015</v>
      </c>
      <c r="BE201" s="271">
        <f>IF(ISNUMBER(BE198),BE198-BE200,"")</f>
        <v>20.335</v>
      </c>
      <c r="BF201" s="271">
        <f>IF(ISNUMBER(BF198),BF198-BF200,"")</f>
        <v>36.27</v>
      </c>
      <c r="BG201" s="271">
        <f>IF(ISNUMBER(BG198),BG198-BG200,"")</f>
        <v>105.939</v>
      </c>
      <c r="BH201" s="271">
        <f>IF(ISNUMBER(BH198),BH198-BH200,"")</f>
        <v>34.486</v>
      </c>
      <c r="BI201" s="271">
        <f>IF(ISNUMBER(BI198),BI198-BI200,"")</f>
        <v>56.155</v>
      </c>
      <c r="BJ201" s="271">
        <f>IF(ISNUMBER(BJ198),BJ198-BJ200,"")</f>
        <v>47.66</v>
      </c>
      <c r="BK201" s="271">
        <f>IF(ISNUMBER(BK198),BK198-BK200,"")</f>
        <v>61.944</v>
      </c>
      <c r="BL201" s="271">
        <f>IF(ISNUMBER(BL198),BL198-BL200,"")</f>
        <v>217.597</v>
      </c>
      <c r="BM201" s="271">
        <f>IF(ISNUMBER(BM198),BM198-BM200,"")</f>
        <v>61.945</v>
      </c>
      <c r="BN201" s="271">
        <f>IF(ISNUMBER(BN198),BN198-BN200,"")</f>
        <v>63.202</v>
      </c>
      <c r="BO201" s="271">
        <f>IF(ISNUMBER(BO198),BO198-BO200,"")</f>
        <v>54.158</v>
      </c>
      <c r="BP201" s="271">
        <f>IF(ISNUMBER(BP198),BP198-BP200,"")</f>
        <v>72.36</v>
      </c>
      <c r="BQ201" s="271">
        <f>IF(ISNUMBER(BQ198),BQ198-BQ200,"")</f>
        <v>251.601</v>
      </c>
      <c r="BR201" s="271">
        <f>IF(ISNUMBER(BR198),BR198-BR200,"")</f>
        <v>74.5</v>
      </c>
      <c r="BS201" s="271">
        <f>IF(ISNUMBER(BS198),BS198-BS200,"")</f>
        <v>67</v>
      </c>
      <c r="BT201" s="271">
        <f>IF(ISNUMBER(BT198),BT198-BT200,"")</f>
        <v>73</v>
      </c>
      <c r="BU201" s="271">
        <f>IF(ISNUMBER(BU198),BU198-BU200,"")</f>
        <v>89.3</v>
      </c>
      <c r="BV201" s="271">
        <f>IF(ISNUMBER(BV198),BV198-BV200,"")</f>
        <v>303.8</v>
      </c>
      <c r="BW201" s="271">
        <f>IF(ISNUMBER(BW198),BW198-BW200,"")</f>
        <v>89.6</v>
      </c>
      <c r="BX201" s="271">
        <f>IF(ISNUMBER(BX198),BX198-BX200,"")</f>
        <v>91.2</v>
      </c>
      <c r="BY201" s="271">
        <f>IF(ISNUMBER(BY198),BY198-BY200,"")</f>
        <v>96.3</v>
      </c>
      <c r="BZ201" s="271">
        <f>IF(ISNUMBER(BZ198),BZ198-BZ200,"")</f>
        <v>114.9</v>
      </c>
      <c r="CA201" s="271">
        <f>IF(ISNUMBER(CA198),CA198-CA200,"")</f>
        <v>392</v>
      </c>
      <c r="CB201" s="271">
        <f>IF(ISNUMBER(CB198),CB198-CB200,"")</f>
        <v>123</v>
      </c>
      <c r="CC201" s="271">
        <f>IF(ISNUMBER(CC198),CC198-CC200,"")</f>
        <v>111.990433108758</v>
      </c>
      <c r="CD201" s="271">
        <f>IF(ISNUMBER(CD198),CD198-CD200,"")</f>
        <v>114.724828811989</v>
      </c>
      <c r="CE201" s="271">
        <f>IF(ISNUMBER(CE198),CE198-CE200,"")</f>
        <v>141.4146164079</v>
      </c>
      <c r="CF201" s="271">
        <f>IF(ISNUMBER(CF198),CF198-CF200,"")</f>
        <v>491.129878328648</v>
      </c>
      <c r="CG201" s="271">
        <f>IF(ISNUMBER(CG198),CG198-CG200,"")</f>
        <v>560.409582186025</v>
      </c>
      <c r="CH201" s="271">
        <f>IF(ISNUMBER(CH198),CH198-CH200,"")</f>
        <v>620.049438196948</v>
      </c>
      <c r="CI201" s="271">
        <f>IF(ISNUMBER(CI198),CI198-CI200,"")</f>
        <v>688.914603930724</v>
      </c>
      <c r="CJ201" s="271">
        <f>IF(ISNUMBER(CJ198),CJ198-CJ200,"")</f>
        <v>753.95524325863</v>
      </c>
      <c r="CK201" s="271">
        <f>IF(ISNUMBER(CK198),CK198-CK200,"")</f>
        <v>820.388895829365</v>
      </c>
      <c r="CL201" s="153" t="n"/>
      <c r="CN201" s="20">
        <f>IFERROR((CK201/CF201)^(1/5)-1,"n/m")</f>
        <v>0.108063587421718</v>
      </c>
      <c r="CO201" s="20">
        <f>IFERROR((CA201/BB201)^(1/5)-1,"n/m")</f>
        <v>0.322522943939447</v>
      </c>
      <c r="CP201" s="20">
        <f>IFERROR((CA201/AC201)^(1/10)-1,"n/m")</f>
        <v>0.181757227596607</v>
      </c>
      <c r="CQ201" s="20">
        <f>IFERROR((CA201/C201)^(1/20)-1,"n/m")</f>
        <v>0.167197969033911</v>
      </c>
    </row>
    <row r="202" ht="15" customHeight="1" s="251">
      <c r="B202" s="25" t="inlineStr">
        <is>
          <t xml:space="preserve">  Diluted shares used for adjusted EPS (m; company count)</t>
        </is>
      </c>
      <c r="C202" s="259" t="n">
        <v>14.452264</v>
      </c>
      <c r="D202" s="259" t="n">
        <v>21.335307</v>
      </c>
      <c r="E202" s="259" t="n">
        <v>21.802711</v>
      </c>
      <c r="F202" s="259" t="n">
        <v>21.738812</v>
      </c>
      <c r="G202" s="259" t="n">
        <v>21.747082</v>
      </c>
      <c r="H202" s="259" t="n">
        <v>22.078711</v>
      </c>
      <c r="I202" s="259" t="n">
        <v>22.390914</v>
      </c>
      <c r="J202" s="259" t="n">
        <v>22.596404</v>
      </c>
      <c r="K202" s="259" t="n">
        <v>22.714107</v>
      </c>
      <c r="L202" s="259" t="n">
        <v>22.862347</v>
      </c>
      <c r="M202" s="259" t="n">
        <v>23.070315</v>
      </c>
      <c r="N202" s="259" t="n">
        <v>22.810793</v>
      </c>
      <c r="O202" s="259" t="n">
        <v>23.101243</v>
      </c>
      <c r="P202" s="259" t="n">
        <v>23.204508</v>
      </c>
      <c r="Q202" s="259" t="n">
        <v>23.311397</v>
      </c>
      <c r="R202" s="259" t="n">
        <v>23.359817</v>
      </c>
      <c r="S202" s="259" t="n">
        <v>23.244241</v>
      </c>
      <c r="T202" s="259" t="n">
        <v>23.364455</v>
      </c>
      <c r="U202" s="259" t="n">
        <v>23.424421</v>
      </c>
      <c r="V202" s="259" t="n">
        <v>23.37648</v>
      </c>
      <c r="W202" s="259" t="n">
        <v>23.434502</v>
      </c>
      <c r="X202" s="259" t="n">
        <v>23.385061</v>
      </c>
      <c r="Y202" s="259" t="n">
        <v>23.536364</v>
      </c>
      <c r="Z202" s="259" t="n">
        <v>23.495285</v>
      </c>
      <c r="AA202" s="259" t="n">
        <v>23.492321</v>
      </c>
      <c r="AB202" s="259" t="n">
        <v>23.50758</v>
      </c>
      <c r="AC202" s="259" t="n">
        <v>23.508418</v>
      </c>
      <c r="AD202" s="259" t="n">
        <v>23.626751</v>
      </c>
      <c r="AE202" s="259" t="n">
        <v>23.712717</v>
      </c>
      <c r="AF202" s="259" t="n">
        <v>23.81378</v>
      </c>
      <c r="AG202" s="259" t="n">
        <v>23.984298</v>
      </c>
      <c r="AH202" s="259" t="n">
        <v>23.784636</v>
      </c>
      <c r="AI202" s="259" t="n">
        <v>24.189375</v>
      </c>
      <c r="AJ202" s="259" t="n">
        <v>24.309593</v>
      </c>
      <c r="AK202" s="259" t="n">
        <v>24.446115</v>
      </c>
      <c r="AL202" s="259" t="n">
        <v>24.48399</v>
      </c>
      <c r="AM202" s="259" t="n">
        <v>24.363789</v>
      </c>
      <c r="AN202" s="259" t="n">
        <v>24.543589</v>
      </c>
      <c r="AO202" s="259" t="n">
        <v>24.719056</v>
      </c>
      <c r="AP202" s="259" t="n">
        <v>24.800647</v>
      </c>
      <c r="AQ202" s="259" t="n">
        <v>24.786898</v>
      </c>
      <c r="AR202" s="259" t="n">
        <v>24.716213</v>
      </c>
      <c r="AS202" s="259" t="n">
        <v>24.807307</v>
      </c>
      <c r="AT202" s="259" t="n">
        <v>24.905173</v>
      </c>
      <c r="AU202" s="259" t="n">
        <v>24.98148</v>
      </c>
      <c r="AV202" s="259" t="n">
        <v>24.994189</v>
      </c>
      <c r="AW202" s="259" t="n">
        <v>24.922631</v>
      </c>
      <c r="AX202" s="259" t="n">
        <v>24.933941</v>
      </c>
      <c r="AY202" s="259" t="n">
        <v>24.957158</v>
      </c>
      <c r="AZ202" s="259" t="n">
        <v>25.060812</v>
      </c>
      <c r="BA202" s="259" t="n">
        <v>25.231485</v>
      </c>
      <c r="BB202" s="259" t="n">
        <v>25.048451</v>
      </c>
      <c r="BC202" s="259" t="n">
        <v>25.308723</v>
      </c>
      <c r="BD202" s="259" t="n">
        <v>25.775794</v>
      </c>
      <c r="BE202" s="259" t="n">
        <v>28.902501</v>
      </c>
      <c r="BF202" s="259" t="n">
        <v>28.865257</v>
      </c>
      <c r="BG202" s="259" t="n">
        <v>27.214232</v>
      </c>
      <c r="BH202" s="259" t="n">
        <v>28.944955</v>
      </c>
      <c r="BI202" s="259" t="n">
        <v>29.093791</v>
      </c>
      <c r="BJ202" s="259" t="n">
        <v>29.120318</v>
      </c>
      <c r="BK202" s="259" t="n">
        <v>29.13295</v>
      </c>
      <c r="BL202" s="259" t="n">
        <v>29.072429</v>
      </c>
      <c r="BM202" s="259" t="n">
        <v>29.114819</v>
      </c>
      <c r="BN202" s="259" t="n">
        <v>29.138596</v>
      </c>
      <c r="BO202" s="259" t="n">
        <v>29.20457</v>
      </c>
      <c r="BP202" s="259" t="n">
        <v>29.285853</v>
      </c>
      <c r="BQ202" s="259" t="n">
        <v>29.189056</v>
      </c>
      <c r="BR202" s="259" t="n">
        <v>29.294998</v>
      </c>
      <c r="BS202" s="259" t="n">
        <v>29.336466</v>
      </c>
      <c r="BT202" s="259" t="n">
        <v>31.222623</v>
      </c>
      <c r="BU202" s="259" t="n">
        <v>31.546961</v>
      </c>
      <c r="BV202" s="259" t="n">
        <v>30.35447</v>
      </c>
      <c r="BW202" s="259" t="n">
        <v>31.553214</v>
      </c>
      <c r="BX202" s="259" t="n">
        <v>31.615328</v>
      </c>
      <c r="BY202" s="259" t="n">
        <v>31.644592</v>
      </c>
      <c r="BZ202" s="259" t="n">
        <v>31.710228</v>
      </c>
      <c r="CA202" s="259" t="n">
        <v>31.634888</v>
      </c>
      <c r="CB202" s="259" t="n">
        <v>31.714686</v>
      </c>
      <c r="CC202" s="261">
        <f>CC141</f>
        <v>31.734686</v>
      </c>
      <c r="CD202" s="261">
        <f>CD141</f>
        <v>31.754686</v>
      </c>
      <c r="CE202" s="261">
        <f>CE141</f>
        <v>31.774686</v>
      </c>
      <c r="CF202" s="261">
        <f>CF141</f>
        <v>31.744686</v>
      </c>
      <c r="CG202" s="261">
        <f>CG141</f>
        <v>31.435132222643</v>
      </c>
      <c r="CH202" s="261">
        <f>CH141</f>
        <v>30.7464636456045</v>
      </c>
      <c r="CI202" s="261">
        <f>CI141</f>
        <v>30.2199266414758</v>
      </c>
      <c r="CJ202" s="261">
        <f>CJ141</f>
        <v>29.6418621313542</v>
      </c>
      <c r="CK202" s="261">
        <f>CK141</f>
        <v>29.0424749331187</v>
      </c>
      <c r="CL202" s="19" t="n"/>
    </row>
    <row r="203" ht="15" customHeight="1" s="251">
      <c r="B203" s="55" t="inlineStr">
        <is>
          <t>Adjusted EPS – diluted ($) (model bridge)</t>
        </is>
      </c>
      <c r="C203" s="276">
        <f>IF(AND(ISNUMBER(C201),ISNUMBER(C202)),IFERROR(C201/C202,""),"")</f>
        <v>1.23157174543725</v>
      </c>
      <c r="D203" s="276">
        <f>IF(AND(ISNUMBER(D201),ISNUMBER(D202)),IFERROR(D201/D202,""),"")</f>
        <v>1.58544707137329</v>
      </c>
      <c r="E203" s="276">
        <f>IF(AND(ISNUMBER(E201),ISNUMBER(E202)),IFERROR(E201/E202,""),"")</f>
        <v>1.87040960181511</v>
      </c>
      <c r="F203" s="276">
        <f>IF(AND(ISNUMBER(F201),ISNUMBER(F202)),IFERROR(F201/F202,""),"")</f>
        <v>1.86054325323757</v>
      </c>
      <c r="G203" s="276">
        <f>IF(AND(ISNUMBER(G201),ISNUMBER(G202)),IFERROR(G201/G202,""),"")</f>
        <v>1.11693145774684</v>
      </c>
      <c r="H203" s="276">
        <f>IF(AND(ISNUMBER(H201),ISNUMBER(H202)),IFERROR(H201/H202,""),"")</f>
        <v>1.67595834738722</v>
      </c>
      <c r="I203" s="276">
        <f>IF(AND(ISNUMBER(I201),ISNUMBER(I202)),IFERROR(I201/I202,""),"")</f>
        <v>2.23291465457819</v>
      </c>
      <c r="J203" s="276">
        <f>IF(AND(ISNUMBER(J201),ISNUMBER(J202)),IFERROR(J201/J202,""),"")</f>
        <v>0.616646790347703</v>
      </c>
      <c r="K203" s="276">
        <f>IF(AND(ISNUMBER(K201),ISNUMBER(K202)),IFERROR(K201/K202,""),"")</f>
        <v>0.601212277462636</v>
      </c>
      <c r="L203" s="276">
        <f>IF(AND(ISNUMBER(L201),ISNUMBER(L202)),IFERROR(L201/L202,""),"")</f>
        <v>0.525055454717751</v>
      </c>
      <c r="M203" s="276">
        <f>IF(AND(ISNUMBER(M201),ISNUMBER(M202)),IFERROR(M201/M202,""),"")</f>
        <v>0.690714452750212</v>
      </c>
      <c r="N203" s="276">
        <f>IF(AND(ISNUMBER(N201),ISNUMBER(N202)),IFERROR(N201/N202,""),"")</f>
        <v>2.43433009979092</v>
      </c>
      <c r="O203" s="276">
        <f>IF(AND(ISNUMBER(O201),ISNUMBER(O202)),IFERROR(O201/O202,""),"")</f>
        <v>0.655808867081308</v>
      </c>
      <c r="P203" s="276">
        <f>IF(AND(ISNUMBER(P201),ISNUMBER(P202)),IFERROR(P201/P202,""),"")</f>
        <v>0.637893292113756</v>
      </c>
      <c r="Q203" s="276">
        <f>IF(AND(ISNUMBER(Q201),ISNUMBER(Q202)),IFERROR(Q201/Q202,""),"")</f>
        <v>0.547543332559606</v>
      </c>
      <c r="R203" s="276">
        <f>IF(AND(ISNUMBER(R201),ISNUMBER(R202)),IFERROR(R201/R202,""),"")</f>
        <v>0.734123901741182</v>
      </c>
      <c r="S203" s="276">
        <f>IF(AND(ISNUMBER(S201),ISNUMBER(S202)),IFERROR(S201/S202,""),"")</f>
        <v>2.57663823051912</v>
      </c>
      <c r="T203" s="276">
        <f>IF(AND(ISNUMBER(T201),ISNUMBER(T202)),IFERROR(T201/T202,""),"")</f>
        <v>0.685656909181062</v>
      </c>
      <c r="U203" s="276">
        <f>IF(AND(ISNUMBER(U201),ISNUMBER(U202)),IFERROR(U201/U202,""),"")</f>
        <v>0.704350387145108</v>
      </c>
      <c r="V203" s="276">
        <f>IF(AND(ISNUMBER(V201),ISNUMBER(V202)),IFERROR(V201/V202,""),"")</f>
        <v>0.61698767307995</v>
      </c>
      <c r="W203" s="276">
        <f>IF(AND(ISNUMBER(W201),ISNUMBER(W202)),IFERROR(W201/W202,""),"")</f>
        <v>0.727730420727524</v>
      </c>
      <c r="X203" s="276">
        <f>IF(AND(ISNUMBER(X201),ISNUMBER(X202)),IFERROR(X201/X202,""),"")</f>
        <v>2.7366189038378</v>
      </c>
      <c r="Y203" s="276">
        <f>IF(AND(ISNUMBER(Y201),ISNUMBER(Y202)),IFERROR(Y201/Y202,""),"")</f>
        <v>0.78470064450057</v>
      </c>
      <c r="Z203" s="276">
        <f>IF(AND(ISNUMBER(Z201),ISNUMBER(Z202)),IFERROR(Z201/Z202,""),"")</f>
        <v>0.758747978583788</v>
      </c>
      <c r="AA203" s="276">
        <f>IF(AND(ISNUMBER(AA201),ISNUMBER(AA202)),IFERROR(AA201/AA202,""),"")</f>
        <v>0.734623028520681</v>
      </c>
      <c r="AB203" s="276">
        <f>IF(AND(ISNUMBER(AB201),ISNUMBER(AB202)),IFERROR(AB201/AB202,""),"")</f>
        <v>0.860871259398033</v>
      </c>
      <c r="AC203" s="276">
        <f>IF(AND(ISNUMBER(AC201),ISNUMBER(AC202)),IFERROR(AC201/AC202,""),"")</f>
        <v>3.13891815263792</v>
      </c>
      <c r="AD203" s="276">
        <f>IF(AND(ISNUMBER(AD201),ISNUMBER(AD202)),IFERROR(AD201/AD202,""),"")</f>
        <v>0.765318938689454</v>
      </c>
      <c r="AE203" s="276">
        <f>IF(AND(ISNUMBER(AE201),ISNUMBER(AE202)),IFERROR(AE201/AE202,""),"")</f>
        <v>0.776376658988508</v>
      </c>
      <c r="AF203" s="276">
        <f>IF(AND(ISNUMBER(AF201),ISNUMBER(AF202)),IFERROR(AF201/AF202,""),"")</f>
        <v>0.728695738349813</v>
      </c>
      <c r="AG203" s="276">
        <f>IF(AND(ISNUMBER(AG201),ISNUMBER(AG202)),IFERROR(AG201/AG202,""),"")</f>
        <v>0.899963801317012</v>
      </c>
      <c r="AH203" s="276">
        <f>IF(AND(ISNUMBER(AH201),ISNUMBER(AH202)),IFERROR(AH201/AH202,""),"")</f>
        <v>3.17137500023124</v>
      </c>
      <c r="AI203" s="276">
        <f>IF(AND(ISNUMBER(AI201),ISNUMBER(AI202)),IFERROR(AI201/AI202,""),"")</f>
        <v>0.908208665994884</v>
      </c>
      <c r="AJ203" s="276">
        <f>IF(AND(ISNUMBER(AJ201),ISNUMBER(AJ202)),IFERROR(AJ201/AJ202,""),"")</f>
        <v>0.833210165221606</v>
      </c>
      <c r="AK203" s="276">
        <f>IF(AND(ISNUMBER(AK201),ISNUMBER(AK202)),IFERROR(AK201/AK202,""),"")</f>
        <v>1.05145541530832</v>
      </c>
      <c r="AL203" s="276">
        <f>IF(AND(ISNUMBER(AL201),ISNUMBER(AL202)),IFERROR(AL201/AL202,""),"")</f>
        <v>1.07788804030716</v>
      </c>
      <c r="AM203" s="276">
        <f>IF(AND(ISNUMBER(AM201),ISNUMBER(AM202)),IFERROR(AM201/AM202,""),"")</f>
        <v>3.87127798553829</v>
      </c>
      <c r="AN203" s="276">
        <f>IF(AND(ISNUMBER(AN201),ISNUMBER(AN202)),IFERROR(AN201/AN202,""),"")</f>
        <v>1.1452685261312</v>
      </c>
      <c r="AO203" s="276">
        <f>IF(AND(ISNUMBER(AO201),ISNUMBER(AO202)),IFERROR(AO201/AO202,""),"")</f>
        <v>1.2225790499443</v>
      </c>
      <c r="AP203" s="276">
        <f>IF(AND(ISNUMBER(AP201),ISNUMBER(AP202)),IFERROR(AP201/AP202,""),"")</f>
        <v>1.14795392233114</v>
      </c>
      <c r="AQ203" s="276">
        <f>IF(AND(ISNUMBER(AQ201),ISNUMBER(AQ202)),IFERROR(AQ201/AQ202,""),"")</f>
        <v>1.32654759784786</v>
      </c>
      <c r="AR203" s="276">
        <f>IF(AND(ISNUMBER(AR201),ISNUMBER(AR202)),IFERROR(AR201/AR202,""),"")</f>
        <v>4.84220620691366</v>
      </c>
      <c r="AS203" s="276">
        <f>IF(AND(ISNUMBER(AS201),ISNUMBER(AS202)),IFERROR(AS201/AS202,""),"")</f>
        <v>1.23145168477981</v>
      </c>
      <c r="AT203" s="276">
        <f>IF(AND(ISNUMBER(AT201),ISNUMBER(AT202)),IFERROR(AT201/AT202,""),"")</f>
        <v>1.29812388775617</v>
      </c>
      <c r="AU203" s="276">
        <f>IF(AND(ISNUMBER(AU201),ISNUMBER(AU202)),IFERROR(AU201/AU202,""),"")</f>
        <v>1.21634106546129</v>
      </c>
      <c r="AV203" s="276">
        <f>IF(AND(ISNUMBER(AV201),ISNUMBER(AV202)),IFERROR(AV201/AV202,""),"")</f>
        <v>1.32562812900231</v>
      </c>
      <c r="AW203" s="276">
        <f>IF(AND(ISNUMBER(AW201),ISNUMBER(AW202)),IFERROR(AW201/AW202,""),"")</f>
        <v>5.07161543257612</v>
      </c>
      <c r="AX203" s="276">
        <f>IF(AND(ISNUMBER(AX201),ISNUMBER(AX202)),IFERROR(AX201/AX202,""),"")</f>
        <v>0.94734322183565</v>
      </c>
      <c r="AY203" s="276">
        <f>IF(AND(ISNUMBER(AY201),ISNUMBER(AY202)),IFERROR(AY201/AY202,""),"")</f>
        <v>0.930153986283214</v>
      </c>
      <c r="AZ203" s="276">
        <f>IF(AND(ISNUMBER(AZ201),ISNUMBER(AZ202)),IFERROR(AZ201/AZ202,""),"")</f>
        <v>0.904918803109812</v>
      </c>
      <c r="BA203" s="276">
        <f>IF(AND(ISNUMBER(BA201),ISNUMBER(BA202)),IFERROR(BA201/BA202,""),"")</f>
        <v>1.08495397714403</v>
      </c>
      <c r="BB203" s="276">
        <f>IF(AND(ISNUMBER(BB201),ISNUMBER(BB202)),IFERROR(BB201/BB202,""),"")</f>
        <v>3.86802361551219</v>
      </c>
      <c r="BC203" s="276">
        <f>IF(AND(ISNUMBER(BC201),ISNUMBER(BC202)),IFERROR(BC201/BC202,""),"")</f>
        <v>1.03991813415477</v>
      </c>
      <c r="BD203" s="276">
        <f>IF(AND(ISNUMBER(BD201),ISNUMBER(BD202)),IFERROR(BD201/BD202,""),"")</f>
        <v>0.89289199005858</v>
      </c>
      <c r="BE203" s="276">
        <f>IF(AND(ISNUMBER(BE201),ISNUMBER(BE202)),IFERROR(BE201/BE202,""),"")</f>
        <v>0.703572330989626</v>
      </c>
      <c r="BF203" s="276">
        <f>IF(AND(ISNUMBER(BF201),ISNUMBER(BF202)),IFERROR(BF201/BF202,""),"")</f>
        <v>1.25652787363023</v>
      </c>
      <c r="BG203" s="276">
        <f>IF(AND(ISNUMBER(BG201),ISNUMBER(BG202)),IFERROR(BG201/BG202,""),"")</f>
        <v>3.8927793369293</v>
      </c>
      <c r="BH203" s="276">
        <f>IF(AND(ISNUMBER(BH201),ISNUMBER(BH202)),IFERROR(BH201/BH202,""),"")</f>
        <v>1.19143387854637</v>
      </c>
      <c r="BI203" s="276">
        <f>IF(AND(ISNUMBER(BI201),ISNUMBER(BI202)),IFERROR(BI201/BI202,""),"")</f>
        <v>1.9301369147802</v>
      </c>
      <c r="BJ203" s="276">
        <f>IF(AND(ISNUMBER(BJ201),ISNUMBER(BJ202)),IFERROR(BJ201/BJ202,""),"")</f>
        <v>1.63665795133144</v>
      </c>
      <c r="BK203" s="276">
        <f>IF(AND(ISNUMBER(BK201),ISNUMBER(BK202)),IFERROR(BK201/BK202,""),"")</f>
        <v>2.12625223329598</v>
      </c>
      <c r="BL203" s="276">
        <f>IF(AND(ISNUMBER(BL201),ISNUMBER(BL202)),IFERROR(BL201/BL202,""),"")</f>
        <v>7.48465152326969</v>
      </c>
      <c r="BM203" s="276">
        <f>IF(AND(ISNUMBER(BM201),ISNUMBER(BM202)),IFERROR(BM201/BM202,""),"")</f>
        <v>2.12761068512911</v>
      </c>
      <c r="BN203" s="276">
        <f>IF(AND(ISNUMBER(BN201),ISNUMBER(BN202)),IFERROR(BN201/BN202,""),"")</f>
        <v>2.16901322218819</v>
      </c>
      <c r="BO203" s="276">
        <f>IF(AND(ISNUMBER(BO201),ISNUMBER(BO202)),IFERROR(BO201/BO202,""),"")</f>
        <v>1.85443579549365</v>
      </c>
      <c r="BP203" s="276">
        <f>IF(AND(ISNUMBER(BP201),ISNUMBER(BP202)),IFERROR(BP201/BP202,""),"")</f>
        <v>2.47081756505436</v>
      </c>
      <c r="BQ203" s="276">
        <f>IF(AND(ISNUMBER(BQ201),ISNUMBER(BQ202)),IFERROR(BQ201/BQ202,""),"")</f>
        <v>8.61970322027543</v>
      </c>
      <c r="BR203" s="276">
        <f>IF(AND(ISNUMBER(BR201),ISNUMBER(BR202)),IFERROR(BR201/BR202,""),"")</f>
        <v>2.54309626510301</v>
      </c>
      <c r="BS203" s="276">
        <f>IF(AND(ISNUMBER(BS201),ISNUMBER(BS202)),IFERROR(BS201/BS202,""),"")</f>
        <v>2.28384700461194</v>
      </c>
      <c r="BT203" s="276">
        <f>IF(AND(ISNUMBER(BT201),ISNUMBER(BT202)),IFERROR(BT201/BT202,""),"")</f>
        <v>2.33804827992831</v>
      </c>
      <c r="BU203" s="276">
        <f>IF(AND(ISNUMBER(BU201),ISNUMBER(BU202)),IFERROR(BU201/BU202,""),"")</f>
        <v>2.83070055464297</v>
      </c>
      <c r="BV203" s="276">
        <f>IF(AND(ISNUMBER(BV201),ISNUMBER(BV202)),IFERROR(BV201/BV202,""),"")</f>
        <v>10.0084106228835</v>
      </c>
      <c r="BW203" s="276">
        <f>IF(AND(ISNUMBER(BW201),ISNUMBER(BW202)),IFERROR(BW201/BW202,""),"")</f>
        <v>2.83964733354897</v>
      </c>
      <c r="BX203" s="276">
        <f>IF(AND(ISNUMBER(BX201),ISNUMBER(BX202)),IFERROR(BX201/BX202,""),"")</f>
        <v>2.8846766985938</v>
      </c>
      <c r="BY203" s="276">
        <f>IF(AND(ISNUMBER(BY201),ISNUMBER(BY202)),IFERROR(BY201/BY202,""),"")</f>
        <v>3.04317401216612</v>
      </c>
      <c r="BZ203" s="276">
        <f>IF(AND(ISNUMBER(BZ201),ISNUMBER(BZ202)),IFERROR(BZ201/BZ202,""),"")</f>
        <v>3.62343657699339</v>
      </c>
      <c r="CA203" s="276">
        <f>IF(AND(ISNUMBER(CA201),ISNUMBER(CA202)),IFERROR(CA201/CA202,""),"")</f>
        <v>12.3913825773621</v>
      </c>
      <c r="CB203" s="276">
        <f>IF(AND(ISNUMBER(CB201),ISNUMBER(CB202)),IFERROR(CB201/CB202,""),"")</f>
        <v>3.87832942757182</v>
      </c>
      <c r="CC203" s="276">
        <f>IF(AND(ISNUMBER(CC201),ISNUMBER(CC202)),IFERROR(CC201/CC202,""),"")</f>
        <v>3.52895986141972</v>
      </c>
      <c r="CD203" s="276">
        <f>IF(AND(ISNUMBER(CD201),ISNUMBER(CD202)),IFERROR(CD201/CD202,""),"")</f>
        <v>3.61284721291178</v>
      </c>
      <c r="CE203" s="276">
        <f>IF(AND(ISNUMBER(CE201),ISNUMBER(CE202)),IFERROR(CE201/CE202,""),"")</f>
        <v>4.45054331639659</v>
      </c>
      <c r="CF203" s="276">
        <f>IF(AND(ISNUMBER(CF201),ISNUMBER(CF202)),IFERROR(CF201/CF202,""),"")</f>
        <v>15.4712470089844</v>
      </c>
      <c r="CG203" s="276">
        <f>IF(AND(ISNUMBER(CG201),ISNUMBER(CG202)),IFERROR(CG201/CG202,""),"")</f>
        <v>17.8274924443409</v>
      </c>
      <c r="CH203" s="276">
        <f>IF(AND(ISNUMBER(CH201),ISNUMBER(CH202)),IFERROR(CH201/CH202,""),"")</f>
        <v>20.1665285915114</v>
      </c>
      <c r="CI203" s="276">
        <f>IF(AND(ISNUMBER(CI201),ISNUMBER(CI202)),IFERROR(CI201/CI202,""),"")</f>
        <v>22.7967000748841</v>
      </c>
      <c r="CJ203" s="276">
        <f>IF(AND(ISNUMBER(CJ201),ISNUMBER(CJ202)),IFERROR(CJ201/CJ202,""),"")</f>
        <v>25.4354884965584</v>
      </c>
      <c r="CK203" s="276">
        <f>IF(AND(ISNUMBER(CK201),ISNUMBER(CK202)),IFERROR(CK201/CK202,""),"")</f>
        <v>28.2478989038855</v>
      </c>
      <c r="CL203" s="19" t="n"/>
      <c r="CN203" s="20">
        <f>IFERROR((CK203/CF203)^(1/5)-1,"n/m")</f>
        <v>0.127956018968541</v>
      </c>
      <c r="CO203" s="20">
        <f>IFERROR((CA203/BB203)^(1/5)-1,"n/m")</f>
        <v>0.262194053490211</v>
      </c>
      <c r="CP203" s="20">
        <f>IFERROR((CA203/AC203)^(1/10)-1,"n/m")</f>
        <v>0.147186367418264</v>
      </c>
      <c r="CQ203" s="20">
        <f>IFERROR((CA203/C203)^(1/20)-1,"n/m")</f>
        <v>0.122362124465384</v>
      </c>
    </row>
    <row r="204" ht="15" customHeight="1" s="251">
      <c r="B204" s="156" t="inlineStr">
        <is>
          <t xml:space="preserve">  Company-published adjusted EPS ($; definition in force)</t>
        </is>
      </c>
      <c r="C204" s="27" t="n"/>
      <c r="D204" s="277" t="n">
        <v>1.59</v>
      </c>
      <c r="E204" s="277" t="n">
        <v>1.87</v>
      </c>
      <c r="F204" s="277" t="n">
        <v>1.86</v>
      </c>
      <c r="G204" s="277" t="n">
        <v>1.12</v>
      </c>
      <c r="H204" s="277" t="n">
        <v>1.68</v>
      </c>
      <c r="I204" s="27" t="n"/>
      <c r="J204" s="277" t="n">
        <v>0.62</v>
      </c>
      <c r="K204" s="277" t="n">
        <v>0.6</v>
      </c>
      <c r="L204" s="277" t="n">
        <v>0.53</v>
      </c>
      <c r="M204" s="277" t="n">
        <v>0.6899999999999999</v>
      </c>
      <c r="N204" s="277" t="n">
        <v>2.43</v>
      </c>
      <c r="O204" s="277" t="n">
        <v>0.66</v>
      </c>
      <c r="P204" s="277" t="n">
        <v>0.64</v>
      </c>
      <c r="Q204" s="277" t="n">
        <v>0.55</v>
      </c>
      <c r="R204" s="277" t="n">
        <v>0.73</v>
      </c>
      <c r="S204" s="277" t="n">
        <v>2.58</v>
      </c>
      <c r="T204" s="27" t="n"/>
      <c r="U204" s="277" t="n">
        <v>0.7</v>
      </c>
      <c r="V204" s="277" t="n">
        <v>0.62</v>
      </c>
      <c r="W204" s="277" t="n">
        <v>0.73</v>
      </c>
      <c r="X204" s="277" t="n">
        <v>2.74</v>
      </c>
      <c r="Y204" s="277" t="n">
        <v>0.78</v>
      </c>
      <c r="Z204" s="277" t="n">
        <v>0.76</v>
      </c>
      <c r="AA204" s="277" t="n">
        <v>0.73</v>
      </c>
      <c r="AB204" s="277" t="n">
        <v>0.86</v>
      </c>
      <c r="AC204" s="277" t="n">
        <v>3.14</v>
      </c>
      <c r="AD204" s="277" t="n">
        <v>0.77</v>
      </c>
      <c r="AE204" s="277" t="n">
        <v>0.78</v>
      </c>
      <c r="AF204" s="277" t="n">
        <v>0.73</v>
      </c>
      <c r="AG204" s="277" t="n">
        <v>0.9</v>
      </c>
      <c r="AH204" s="277" t="n">
        <v>3.17</v>
      </c>
      <c r="AI204" s="277" t="n">
        <v>0.91</v>
      </c>
      <c r="AJ204" s="277" t="n">
        <v>0.83</v>
      </c>
      <c r="AK204" s="277" t="n">
        <v>1.05</v>
      </c>
      <c r="AL204" s="277" t="n">
        <v>1.08</v>
      </c>
      <c r="AM204" s="277" t="n">
        <v>3.87</v>
      </c>
      <c r="AN204" s="277" t="n">
        <v>1.15</v>
      </c>
      <c r="AO204" s="277" t="n">
        <v>1.22</v>
      </c>
      <c r="AP204" s="277" t="n">
        <v>1.15</v>
      </c>
      <c r="AQ204" s="277" t="n">
        <v>1.33</v>
      </c>
      <c r="AR204" s="277" t="n">
        <v>4.84</v>
      </c>
      <c r="AS204" s="277" t="n">
        <v>1.23</v>
      </c>
      <c r="AT204" s="277" t="n">
        <v>1.3</v>
      </c>
      <c r="AU204" s="277" t="n">
        <v>1.22</v>
      </c>
      <c r="AV204" s="277" t="n">
        <v>1.33</v>
      </c>
      <c r="AW204" s="277" t="n">
        <v>5.07</v>
      </c>
      <c r="AX204" s="277" t="n">
        <v>0.95</v>
      </c>
      <c r="AY204" s="277" t="n">
        <v>0.93</v>
      </c>
      <c r="AZ204" s="277" t="n">
        <v>0.9</v>
      </c>
      <c r="BA204" s="277" t="n">
        <v>1.08</v>
      </c>
      <c r="BB204" s="277" t="n">
        <v>3.87</v>
      </c>
      <c r="BC204" s="277" t="n">
        <v>1.04</v>
      </c>
      <c r="BD204" s="277" t="n">
        <v>0.89</v>
      </c>
      <c r="BE204" s="277" t="n">
        <v>0.7</v>
      </c>
      <c r="BF204" s="277" t="n">
        <v>1.26</v>
      </c>
      <c r="BG204" s="277" t="n">
        <v>3.89</v>
      </c>
      <c r="BH204" s="277" t="n">
        <v>1.19</v>
      </c>
      <c r="BI204" s="277" t="n">
        <v>1.93</v>
      </c>
      <c r="BJ204" s="277" t="n">
        <v>1.64</v>
      </c>
      <c r="BK204" s="277" t="n">
        <v>2.13</v>
      </c>
      <c r="BL204" s="277" t="n">
        <v>7.48</v>
      </c>
      <c r="BM204" s="277" t="n">
        <v>2.13</v>
      </c>
      <c r="BN204" s="277" t="n">
        <v>2.17</v>
      </c>
      <c r="BO204" s="277" t="n">
        <v>1.85</v>
      </c>
      <c r="BP204" s="277" t="n">
        <v>2.47</v>
      </c>
      <c r="BQ204" s="277" t="n">
        <v>8.619999999999999</v>
      </c>
      <c r="BR204" s="277" t="n">
        <v>2.54</v>
      </c>
      <c r="BS204" s="277" t="n">
        <v>2.29</v>
      </c>
      <c r="BT204" s="277" t="n">
        <v>2.34</v>
      </c>
      <c r="BU204" s="277" t="n">
        <v>2.83</v>
      </c>
      <c r="BV204" s="277" t="n">
        <v>10.01</v>
      </c>
      <c r="BW204" s="277" t="n">
        <v>2.84</v>
      </c>
      <c r="BX204" s="277" t="n">
        <v>2.88</v>
      </c>
      <c r="BY204" s="277" t="n">
        <v>3.04</v>
      </c>
      <c r="BZ204" s="277" t="n">
        <v>3.62</v>
      </c>
      <c r="CA204" s="277" t="n">
        <v>12.39</v>
      </c>
      <c r="CB204" s="277" t="n">
        <v>3.88</v>
      </c>
      <c r="CC204" s="153" t="n"/>
      <c r="CD204" s="153" t="n"/>
      <c r="CE204" s="153" t="n"/>
      <c r="CF204" s="153" t="n"/>
      <c r="CG204" s="153" t="n"/>
      <c r="CH204" s="153" t="n"/>
      <c r="CI204" s="153" t="n"/>
      <c r="CJ204" s="153" t="n"/>
      <c r="CK204" s="153" t="n"/>
      <c r="CL204" s="153" t="n"/>
    </row>
    <row r="205" ht="15" customHeight="1" s="251">
      <c r="B205" s="57" t="inlineStr">
        <is>
          <t xml:space="preserve">  Check: model vs company-published (should be 0.00; ±0.01 rounding)</t>
        </is>
      </c>
      <c r="C205" s="278" t="str">
        <f>IF(AND(ISNUMBER(C204),ISNUMBER(C203)),IF(ABS(C203-C204)&lt;=0.0101,0,ROUND(C203-C204,2)),"n/p")</f>
        <v>n/p</v>
      </c>
      <c r="D205" s="278">
        <f>IF(AND(ISNUMBER(D204),ISNUMBER(D203)),IF(ABS(D203-D204)&lt;=0.0101,0,ROUND(D203-D204,2)),"n/p")</f>
        <v>0</v>
      </c>
      <c r="E205" s="278">
        <f>IF(AND(ISNUMBER(E204),ISNUMBER(E203)),IF(ABS(E203-E204)&lt;=0.0101,0,ROUND(E203-E204,2)),"n/p")</f>
        <v>0</v>
      </c>
      <c r="F205" s="278">
        <f>IF(AND(ISNUMBER(F204),ISNUMBER(F203)),IF(ABS(F203-F204)&lt;=0.0101,0,ROUND(F203-F204,2)),"n/p")</f>
        <v>0</v>
      </c>
      <c r="G205" s="278">
        <f>IF(AND(ISNUMBER(G204),ISNUMBER(G203)),IF(ABS(G203-G204)&lt;=0.0101,0,ROUND(G203-G204,2)),"n/p")</f>
        <v>0</v>
      </c>
      <c r="H205" s="278">
        <f>IF(AND(ISNUMBER(H204),ISNUMBER(H203)),IF(ABS(H203-H204)&lt;=0.0101,0,ROUND(H203-H204,2)),"n/p")</f>
        <v>0</v>
      </c>
      <c r="I205" s="278" t="str">
        <f>IF(AND(ISNUMBER(I204),ISNUMBER(I203)),IF(ABS(I203-I204)&lt;=0.0101,0,ROUND(I203-I204,2)),"n/p")</f>
        <v>n/p</v>
      </c>
      <c r="J205" s="278">
        <f>IF(AND(ISNUMBER(J204),ISNUMBER(J203)),IF(ABS(J203-J204)&lt;=0.0101,0,ROUND(J203-J204,2)),"n/p")</f>
        <v>0</v>
      </c>
      <c r="K205" s="278">
        <f>IF(AND(ISNUMBER(K204),ISNUMBER(K203)),IF(ABS(K203-K204)&lt;=0.0101,0,ROUND(K203-K204,2)),"n/p")</f>
        <v>0</v>
      </c>
      <c r="L205" s="278">
        <f>IF(AND(ISNUMBER(L204),ISNUMBER(L203)),IF(ABS(L203-L204)&lt;=0.0101,0,ROUND(L203-L204,2)),"n/p")</f>
        <v>0</v>
      </c>
      <c r="M205" s="278">
        <f>IF(AND(ISNUMBER(M204),ISNUMBER(M203)),IF(ABS(M203-M204)&lt;=0.0101,0,ROUND(M203-M204,2)),"n/p")</f>
        <v>0</v>
      </c>
      <c r="N205" s="278">
        <f>IF(AND(ISNUMBER(N204),ISNUMBER(N203)),IF(ABS(N203-N204)&lt;=0.0101,0,ROUND(N203-N204,2)),"n/p")</f>
        <v>0</v>
      </c>
      <c r="O205" s="278">
        <f>IF(AND(ISNUMBER(O204),ISNUMBER(O203)),IF(ABS(O203-O204)&lt;=0.0101,0,ROUND(O203-O204,2)),"n/p")</f>
        <v>0</v>
      </c>
      <c r="P205" s="278">
        <f>IF(AND(ISNUMBER(P204),ISNUMBER(P203)),IF(ABS(P203-P204)&lt;=0.0101,0,ROUND(P203-P204,2)),"n/p")</f>
        <v>0</v>
      </c>
      <c r="Q205" s="278">
        <f>IF(AND(ISNUMBER(Q204),ISNUMBER(Q203)),IF(ABS(Q203-Q204)&lt;=0.0101,0,ROUND(Q203-Q204,2)),"n/p")</f>
        <v>0</v>
      </c>
      <c r="R205" s="278">
        <f>IF(AND(ISNUMBER(R204),ISNUMBER(R203)),IF(ABS(R203-R204)&lt;=0.0101,0,ROUND(R203-R204,2)),"n/p")</f>
        <v>0</v>
      </c>
      <c r="S205" s="278">
        <f>IF(AND(ISNUMBER(S204),ISNUMBER(S203)),IF(ABS(S203-S204)&lt;=0.0101,0,ROUND(S203-S204,2)),"n/p")</f>
        <v>0</v>
      </c>
      <c r="T205" s="278" t="str">
        <f>IF(AND(ISNUMBER(T204),ISNUMBER(T203)),IF(ABS(T203-T204)&lt;=0.0101,0,ROUND(T203-T204,2)),"n/p")</f>
        <v>n/p</v>
      </c>
      <c r="U205" s="278">
        <f>IF(AND(ISNUMBER(U204),ISNUMBER(U203)),IF(ABS(U203-U204)&lt;=0.0101,0,ROUND(U203-U204,2)),"n/p")</f>
        <v>0</v>
      </c>
      <c r="V205" s="278">
        <f>IF(AND(ISNUMBER(V204),ISNUMBER(V203)),IF(ABS(V203-V204)&lt;=0.0101,0,ROUND(V203-V204,2)),"n/p")</f>
        <v>0</v>
      </c>
      <c r="W205" s="278">
        <f>IF(AND(ISNUMBER(W204),ISNUMBER(W203)),IF(ABS(W203-W204)&lt;=0.0101,0,ROUND(W203-W204,2)),"n/p")</f>
        <v>0</v>
      </c>
      <c r="X205" s="278">
        <f>IF(AND(ISNUMBER(X204),ISNUMBER(X203)),IF(ABS(X203-X204)&lt;=0.0101,0,ROUND(X203-X204,2)),"n/p")</f>
        <v>0</v>
      </c>
      <c r="Y205" s="278">
        <f>IF(AND(ISNUMBER(Y204),ISNUMBER(Y203)),IF(ABS(Y203-Y204)&lt;=0.0101,0,ROUND(Y203-Y204,2)),"n/p")</f>
        <v>0</v>
      </c>
      <c r="Z205" s="278">
        <f>IF(AND(ISNUMBER(Z204),ISNUMBER(Z203)),IF(ABS(Z203-Z204)&lt;=0.0101,0,ROUND(Z203-Z204,2)),"n/p")</f>
        <v>0</v>
      </c>
      <c r="AA205" s="278">
        <f>IF(AND(ISNUMBER(AA204),ISNUMBER(AA203)),IF(ABS(AA203-AA204)&lt;=0.0101,0,ROUND(AA203-AA204,2)),"n/p")</f>
        <v>0</v>
      </c>
      <c r="AB205" s="278">
        <f>IF(AND(ISNUMBER(AB204),ISNUMBER(AB203)),IF(ABS(AB203-AB204)&lt;=0.0101,0,ROUND(AB203-AB204,2)),"n/p")</f>
        <v>0</v>
      </c>
      <c r="AC205" s="278">
        <f>IF(AND(ISNUMBER(AC204),ISNUMBER(AC203)),IF(ABS(AC203-AC204)&lt;=0.0101,0,ROUND(AC203-AC204,2)),"n/p")</f>
        <v>0</v>
      </c>
      <c r="AD205" s="278">
        <f>IF(AND(ISNUMBER(AD204),ISNUMBER(AD203)),IF(ABS(AD203-AD204)&lt;=0.0101,0,ROUND(AD203-AD204,2)),"n/p")</f>
        <v>0</v>
      </c>
      <c r="AE205" s="278">
        <f>IF(AND(ISNUMBER(AE204),ISNUMBER(AE203)),IF(ABS(AE203-AE204)&lt;=0.0101,0,ROUND(AE203-AE204,2)),"n/p")</f>
        <v>0</v>
      </c>
      <c r="AF205" s="278">
        <f>IF(AND(ISNUMBER(AF204),ISNUMBER(AF203)),IF(ABS(AF203-AF204)&lt;=0.0101,0,ROUND(AF203-AF204,2)),"n/p")</f>
        <v>0</v>
      </c>
      <c r="AG205" s="278">
        <f>IF(AND(ISNUMBER(AG204),ISNUMBER(AG203)),IF(ABS(AG203-AG204)&lt;=0.0101,0,ROUND(AG203-AG204,2)),"n/p")</f>
        <v>0</v>
      </c>
      <c r="AH205" s="278">
        <f>IF(AND(ISNUMBER(AH204),ISNUMBER(AH203)),IF(ABS(AH203-AH204)&lt;=0.0101,0,ROUND(AH203-AH204,2)),"n/p")</f>
        <v>0</v>
      </c>
      <c r="AI205" s="278">
        <f>IF(AND(ISNUMBER(AI204),ISNUMBER(AI203)),IF(ABS(AI203-AI204)&lt;=0.0101,0,ROUND(AI203-AI204,2)),"n/p")</f>
        <v>0</v>
      </c>
      <c r="AJ205" s="278">
        <f>IF(AND(ISNUMBER(AJ204),ISNUMBER(AJ203)),IF(ABS(AJ203-AJ204)&lt;=0.0101,0,ROUND(AJ203-AJ204,2)),"n/p")</f>
        <v>0</v>
      </c>
      <c r="AK205" s="278">
        <f>IF(AND(ISNUMBER(AK204),ISNUMBER(AK203)),IF(ABS(AK203-AK204)&lt;=0.0101,0,ROUND(AK203-AK204,2)),"n/p")</f>
        <v>0</v>
      </c>
      <c r="AL205" s="278">
        <f>IF(AND(ISNUMBER(AL204),ISNUMBER(AL203)),IF(ABS(AL203-AL204)&lt;=0.0101,0,ROUND(AL203-AL204,2)),"n/p")</f>
        <v>0</v>
      </c>
      <c r="AM205" s="278">
        <f>IF(AND(ISNUMBER(AM204),ISNUMBER(AM203)),IF(ABS(AM203-AM204)&lt;=0.0101,0,ROUND(AM203-AM204,2)),"n/p")</f>
        <v>0</v>
      </c>
      <c r="AN205" s="278">
        <f>IF(AND(ISNUMBER(AN204),ISNUMBER(AN203)),IF(ABS(AN203-AN204)&lt;=0.0101,0,ROUND(AN203-AN204,2)),"n/p")</f>
        <v>0</v>
      </c>
      <c r="AO205" s="278">
        <f>IF(AND(ISNUMBER(AO204),ISNUMBER(AO203)),IF(ABS(AO203-AO204)&lt;=0.0101,0,ROUND(AO203-AO204,2)),"n/p")</f>
        <v>0</v>
      </c>
      <c r="AP205" s="278">
        <f>IF(AND(ISNUMBER(AP204),ISNUMBER(AP203)),IF(ABS(AP203-AP204)&lt;=0.0101,0,ROUND(AP203-AP204,2)),"n/p")</f>
        <v>0</v>
      </c>
      <c r="AQ205" s="278">
        <f>IF(AND(ISNUMBER(AQ204),ISNUMBER(AQ203)),IF(ABS(AQ203-AQ204)&lt;=0.0101,0,ROUND(AQ203-AQ204,2)),"n/p")</f>
        <v>0</v>
      </c>
      <c r="AR205" s="278">
        <f>IF(AND(ISNUMBER(AR204),ISNUMBER(AR203)),IF(ABS(AR203-AR204)&lt;=0.0101,0,ROUND(AR203-AR204,2)),"n/p")</f>
        <v>0</v>
      </c>
      <c r="AS205" s="278">
        <f>IF(AND(ISNUMBER(AS204),ISNUMBER(AS203)),IF(ABS(AS203-AS204)&lt;=0.0101,0,ROUND(AS203-AS204,2)),"n/p")</f>
        <v>0</v>
      </c>
      <c r="AT205" s="278">
        <f>IF(AND(ISNUMBER(AT204),ISNUMBER(AT203)),IF(ABS(AT203-AT204)&lt;=0.0101,0,ROUND(AT203-AT204,2)),"n/p")</f>
        <v>0</v>
      </c>
      <c r="AU205" s="278">
        <f>IF(AND(ISNUMBER(AU204),ISNUMBER(AU203)),IF(ABS(AU203-AU204)&lt;=0.0101,0,ROUND(AU203-AU204,2)),"n/p")</f>
        <v>0</v>
      </c>
      <c r="AV205" s="278">
        <f>IF(AND(ISNUMBER(AV204),ISNUMBER(AV203)),IF(ABS(AV203-AV204)&lt;=0.0101,0,ROUND(AV203-AV204,2)),"n/p")</f>
        <v>0</v>
      </c>
      <c r="AW205" s="278">
        <f>IF(AND(ISNUMBER(AW204),ISNUMBER(AW203)),IF(ABS(AW203-AW204)&lt;=0.0101,0,ROUND(AW203-AW204,2)),"n/p")</f>
        <v>0</v>
      </c>
      <c r="AX205" s="278">
        <f>IF(AND(ISNUMBER(AX204),ISNUMBER(AX203)),IF(ABS(AX203-AX204)&lt;=0.0101,0,ROUND(AX203-AX204,2)),"n/p")</f>
        <v>0</v>
      </c>
      <c r="AY205" s="278">
        <f>IF(AND(ISNUMBER(AY204),ISNUMBER(AY203)),IF(ABS(AY203-AY204)&lt;=0.0101,0,ROUND(AY203-AY204,2)),"n/p")</f>
        <v>0</v>
      </c>
      <c r="AZ205" s="278">
        <f>IF(AND(ISNUMBER(AZ204),ISNUMBER(AZ203)),IF(ABS(AZ203-AZ204)&lt;=0.0101,0,ROUND(AZ203-AZ204,2)),"n/p")</f>
        <v>0</v>
      </c>
      <c r="BA205" s="278">
        <f>IF(AND(ISNUMBER(BA204),ISNUMBER(BA203)),IF(ABS(BA203-BA204)&lt;=0.0101,0,ROUND(BA203-BA204,2)),"n/p")</f>
        <v>0</v>
      </c>
      <c r="BB205" s="278">
        <f>IF(AND(ISNUMBER(BB204),ISNUMBER(BB203)),IF(ABS(BB203-BB204)&lt;=0.0101,0,ROUND(BB203-BB204,2)),"n/p")</f>
        <v>0</v>
      </c>
      <c r="BC205" s="278">
        <f>IF(AND(ISNUMBER(BC204),ISNUMBER(BC203)),IF(ABS(BC203-BC204)&lt;=0.0101,0,ROUND(BC203-BC204,2)),"n/p")</f>
        <v>0</v>
      </c>
      <c r="BD205" s="278">
        <f>IF(AND(ISNUMBER(BD204),ISNUMBER(BD203)),IF(ABS(BD203-BD204)&lt;=0.0101,0,ROUND(BD203-BD204,2)),"n/p")</f>
        <v>0</v>
      </c>
      <c r="BE205" s="278">
        <f>IF(AND(ISNUMBER(BE204),ISNUMBER(BE203)),IF(ABS(BE203-BE204)&lt;=0.0101,0,ROUND(BE203-BE204,2)),"n/p")</f>
        <v>0</v>
      </c>
      <c r="BF205" s="278">
        <f>IF(AND(ISNUMBER(BF204),ISNUMBER(BF203)),IF(ABS(BF203-BF204)&lt;=0.0101,0,ROUND(BF203-BF204,2)),"n/p")</f>
        <v>0</v>
      </c>
      <c r="BG205" s="278">
        <f>IF(AND(ISNUMBER(BG204),ISNUMBER(BG203)),IF(ABS(BG203-BG204)&lt;=0.0101,0,ROUND(BG203-BG204,2)),"n/p")</f>
        <v>0</v>
      </c>
      <c r="BH205" s="278">
        <f>IF(AND(ISNUMBER(BH204),ISNUMBER(BH203)),IF(ABS(BH203-BH204)&lt;=0.0101,0,ROUND(BH203-BH204,2)),"n/p")</f>
        <v>0</v>
      </c>
      <c r="BI205" s="278">
        <f>IF(AND(ISNUMBER(BI204),ISNUMBER(BI203)),IF(ABS(BI203-BI204)&lt;=0.0101,0,ROUND(BI203-BI204,2)),"n/p")</f>
        <v>0</v>
      </c>
      <c r="BJ205" s="278">
        <f>IF(AND(ISNUMBER(BJ204),ISNUMBER(BJ203)),IF(ABS(BJ203-BJ204)&lt;=0.0101,0,ROUND(BJ203-BJ204,2)),"n/p")</f>
        <v>0</v>
      </c>
      <c r="BK205" s="278">
        <f>IF(AND(ISNUMBER(BK204),ISNUMBER(BK203)),IF(ABS(BK203-BK204)&lt;=0.0101,0,ROUND(BK203-BK204,2)),"n/p")</f>
        <v>0</v>
      </c>
      <c r="BL205" s="278">
        <f>IF(AND(ISNUMBER(BL204),ISNUMBER(BL203)),IF(ABS(BL203-BL204)&lt;=0.0101,0,ROUND(BL203-BL204,2)),"n/p")</f>
        <v>0</v>
      </c>
      <c r="BM205" s="278">
        <f>IF(AND(ISNUMBER(BM204),ISNUMBER(BM203)),IF(ABS(BM203-BM204)&lt;=0.0101,0,ROUND(BM203-BM204,2)),"n/p")</f>
        <v>0</v>
      </c>
      <c r="BN205" s="278">
        <f>IF(AND(ISNUMBER(BN204),ISNUMBER(BN203)),IF(ABS(BN203-BN204)&lt;=0.0101,0,ROUND(BN203-BN204,2)),"n/p")</f>
        <v>0</v>
      </c>
      <c r="BO205" s="278">
        <f>IF(AND(ISNUMBER(BO204),ISNUMBER(BO203)),IF(ABS(BO203-BO204)&lt;=0.0101,0,ROUND(BO203-BO204,2)),"n/p")</f>
        <v>0</v>
      </c>
      <c r="BP205" s="278">
        <f>IF(AND(ISNUMBER(BP204),ISNUMBER(BP203)),IF(ABS(BP203-BP204)&lt;=0.0101,0,ROUND(BP203-BP204,2)),"n/p")</f>
        <v>0</v>
      </c>
      <c r="BQ205" s="278">
        <f>IF(AND(ISNUMBER(BQ204),ISNUMBER(BQ203)),IF(ABS(BQ203-BQ204)&lt;=0.0101,0,ROUND(BQ203-BQ204,2)),"n/p")</f>
        <v>0</v>
      </c>
      <c r="BR205" s="278">
        <f>IF(AND(ISNUMBER(BR204),ISNUMBER(BR203)),IF(ABS(BR203-BR204)&lt;=0.0101,0,ROUND(BR203-BR204,2)),"n/p")</f>
        <v>0</v>
      </c>
      <c r="BS205" s="278">
        <f>IF(AND(ISNUMBER(BS204),ISNUMBER(BS203)),IF(ABS(BS203-BS204)&lt;=0.0101,0,ROUND(BS203-BS204,2)),"n/p")</f>
        <v>0</v>
      </c>
      <c r="BT205" s="278">
        <f>IF(AND(ISNUMBER(BT204),ISNUMBER(BT203)),IF(ABS(BT203-BT204)&lt;=0.0101,0,ROUND(BT203-BT204,2)),"n/p")</f>
        <v>0</v>
      </c>
      <c r="BU205" s="278">
        <f>IF(AND(ISNUMBER(BU204),ISNUMBER(BU203)),IF(ABS(BU203-BU204)&lt;=0.0101,0,ROUND(BU203-BU204,2)),"n/p")</f>
        <v>0</v>
      </c>
      <c r="BV205" s="278">
        <f>IF(AND(ISNUMBER(BV204),ISNUMBER(BV203)),IF(ABS(BV203-BV204)&lt;=0.0101,0,ROUND(BV203-BV204,2)),"n/p")</f>
        <v>0</v>
      </c>
      <c r="BW205" s="278">
        <f>IF(AND(ISNUMBER(BW204),ISNUMBER(BW203)),IF(ABS(BW203-BW204)&lt;=0.0101,0,ROUND(BW203-BW204,2)),"n/p")</f>
        <v>0</v>
      </c>
      <c r="BX205" s="278">
        <f>IF(AND(ISNUMBER(BX204),ISNUMBER(BX203)),IF(ABS(BX203-BX204)&lt;=0.0101,0,ROUND(BX203-BX204,2)),"n/p")</f>
        <v>0</v>
      </c>
      <c r="BY205" s="278">
        <f>IF(AND(ISNUMBER(BY204),ISNUMBER(BY203)),IF(ABS(BY203-BY204)&lt;=0.0101,0,ROUND(BY203-BY204,2)),"n/p")</f>
        <v>0</v>
      </c>
      <c r="BZ205" s="278">
        <f>IF(AND(ISNUMBER(BZ204),ISNUMBER(BZ203)),IF(ABS(BZ203-BZ204)&lt;=0.0101,0,ROUND(BZ203-BZ204,2)),"n/p")</f>
        <v>0</v>
      </c>
      <c r="CA205" s="278">
        <f>IF(AND(ISNUMBER(CA204),ISNUMBER(CA203)),IF(ABS(CA203-CA204)&lt;=0.0101,0,ROUND(CA203-CA204,2)),"n/p")</f>
        <v>0</v>
      </c>
      <c r="CB205" s="278">
        <f>IF(AND(ISNUMBER(CB204),ISNUMBER(CB203)),IF(ABS(CB203-CB204)&lt;=0.0101,0,ROUND(CB203-CB204,2)),"n/p")</f>
        <v>0</v>
      </c>
      <c r="CC205" s="153" t="n"/>
      <c r="CD205" s="153" t="n"/>
      <c r="CE205" s="153" t="n"/>
      <c r="CF205" s="153" t="n"/>
      <c r="CG205" s="153" t="n"/>
      <c r="CH205" s="153" t="n"/>
      <c r="CI205" s="153" t="n"/>
      <c r="CJ205" s="153" t="n"/>
      <c r="CK205" s="153" t="n"/>
      <c r="CL205" s="153" t="n"/>
    </row>
    <row r="206" ht="15" customHeight="1" s="251">
      <c r="B206" s="22" t="inlineStr">
        <is>
          <t xml:space="preserve">  Adjusted EPS y/y %</t>
        </is>
      </c>
      <c r="C206" s="23" t="n"/>
      <c r="D206" s="255">
        <f>IF(AND(ISNUMBER(D203),ISNUMBER(C203)),IFERROR(D203/C203-1,""),"")</f>
        <v>0.28733634662136</v>
      </c>
      <c r="E206" s="255">
        <f>IF(AND(ISNUMBER(E203),ISNUMBER(D203)),IFERROR(E203/D203-1,""),"")</f>
        <v>0.179736388295193</v>
      </c>
      <c r="F206" s="255">
        <f>IF(AND(ISNUMBER(F203),ISNUMBER(E203)),IFERROR(F203/E203-1,""),"")</f>
        <v>-0.0052749668136679</v>
      </c>
      <c r="G206" s="255">
        <f>IF(AND(ISNUMBER(G203),ISNUMBER(F203)),IFERROR(G203/F203-1,""),"")</f>
        <v>-0.399674554298461</v>
      </c>
      <c r="H206" s="255">
        <f>IF(AND(ISNUMBER(H203),ISNUMBER(G203)),IFERROR(H203/G203-1,""),"")</f>
        <v>0.500502412894785</v>
      </c>
      <c r="I206" s="255">
        <f>IF(AND(ISNUMBER(I203),ISNUMBER(H203)),IFERROR(I203/H203-1,""),"")</f>
        <v>0.332321091427634</v>
      </c>
      <c r="J206" s="23" t="n"/>
      <c r="K206" s="23" t="n"/>
      <c r="L206" s="23" t="n"/>
      <c r="M206" s="23" t="n"/>
      <c r="N206" s="255">
        <f>IF(AND(ISNUMBER(N203),ISNUMBER(I203)),IFERROR(N203/I203-1,""),"")</f>
        <v>0.0902029304164227</v>
      </c>
      <c r="O206" s="255">
        <f>IF(AND(ISNUMBER(O203),ISNUMBER(J203)),IFERROR(O203/J203-1,""),"")</f>
        <v>0.0635081173641123</v>
      </c>
      <c r="P206" s="255">
        <f>IF(AND(ISNUMBER(P203),ISNUMBER(K203)),IFERROR(P203/K203-1,""),"")</f>
        <v>0.06101175246442</v>
      </c>
      <c r="Q206" s="255">
        <f>IF(AND(ISNUMBER(Q203),ISNUMBER(L203)),IFERROR(Q203/L203-1,""),"")</f>
        <v>0.0428295290331648</v>
      </c>
      <c r="R206" s="255">
        <f>IF(AND(ISNUMBER(R203),ISNUMBER(M203)),IFERROR(R203/M203-1,""),"")</f>
        <v>0.0628471705176108</v>
      </c>
      <c r="S206" s="255">
        <f>IF(AND(ISNUMBER(S203),ISNUMBER(N203)),IFERROR(S203/N203-1,""),"")</f>
        <v>0.0584588469494851</v>
      </c>
      <c r="T206" s="255">
        <f>IF(AND(ISNUMBER(T203),ISNUMBER(O203)),IFERROR(T203/O203-1,""),"")</f>
        <v>0.0455133249914612</v>
      </c>
      <c r="U206" s="255">
        <f>IF(AND(ISNUMBER(U203),ISNUMBER(P203)),IFERROR(U203/P203-1,""),"")</f>
        <v>0.104182150608821</v>
      </c>
      <c r="V206" s="255">
        <f>IF(AND(ISNUMBER(V203),ISNUMBER(Q203)),IFERROR(V203/Q203-1,""),"")</f>
        <v>0.126828940087193</v>
      </c>
      <c r="W206" s="255">
        <f>IF(AND(ISNUMBER(W203),ISNUMBER(R203)),IFERROR(W203/R203-1,""),"")</f>
        <v>-0.0087089944878439</v>
      </c>
      <c r="X206" s="255">
        <f>IF(AND(ISNUMBER(X203),ISNUMBER(S203)),IFERROR(X203/S203-1,""),"")</f>
        <v>0.0620889154805575</v>
      </c>
      <c r="Y206" s="255">
        <f>IF(AND(ISNUMBER(Y203),ISNUMBER(T203)),IFERROR(Y203/T203-1,""),"")</f>
        <v>0.144450867472194</v>
      </c>
      <c r="Z206" s="255">
        <f>IF(AND(ISNUMBER(Z203),ISNUMBER(U203)),IFERROR(Z203/U203-1,""),"")</f>
        <v>0.0772308675220095</v>
      </c>
      <c r="AA206" s="255">
        <f>IF(AND(ISNUMBER(AA203),ISNUMBER(V203)),IFERROR(AA203/V203-1,""),"")</f>
        <v>0.190660787197749</v>
      </c>
      <c r="AB206" s="255">
        <f>IF(AND(ISNUMBER(AB203),ISNUMBER(W203)),IFERROR(AB203/W203-1,""),"")</f>
        <v>0.182953515310526</v>
      </c>
      <c r="AC206" s="255">
        <f>IF(AND(ISNUMBER(AC203),ISNUMBER(X203)),IFERROR(AC203/X203-1,""),"")</f>
        <v>0.147005945269158</v>
      </c>
      <c r="AD206" s="255">
        <f>IF(AND(ISNUMBER(AD203),ISNUMBER(Y203)),IFERROR(AD203/Y203-1,""),"")</f>
        <v>-0.0246994901137758</v>
      </c>
      <c r="AE206" s="255">
        <f>IF(AND(ISNUMBER(AE203),ISNUMBER(Z203)),IFERROR(AE203/Z203-1,""),"")</f>
        <v>0.0232339075718186</v>
      </c>
      <c r="AF206" s="255">
        <f>IF(AND(ISNUMBER(AF203),ISNUMBER(AA203)),IFERROR(AF203/AA203-1,""),"")</f>
        <v>-0.00806847858119097</v>
      </c>
      <c r="AG206" s="255">
        <f>IF(AND(ISNUMBER(AG203),ISNUMBER(AB203)),IFERROR(AG203/AB203-1,""),"")</f>
        <v>0.0454104391245618</v>
      </c>
      <c r="AH206" s="255">
        <f>IF(AND(ISNUMBER(AH203),ISNUMBER(AC203)),IFERROR(AH203/AC203-1,""),"")</f>
        <v>0.0103401382307615</v>
      </c>
      <c r="AI206" s="255">
        <f>IF(AND(ISNUMBER(AI203),ISNUMBER(AD203)),IFERROR(AI203/AD203-1,""),"")</f>
        <v>0.186706116994984</v>
      </c>
      <c r="AJ206" s="255">
        <f>IF(AND(ISNUMBER(AJ203),ISNUMBER(AE203)),IFERROR(AJ203/AE203-1,""),"")</f>
        <v>0.0732035225107652</v>
      </c>
      <c r="AK206" s="255">
        <f>IF(AND(ISNUMBER(AK203),ISNUMBER(AF203)),IFERROR(AK203/AF203-1,""),"")</f>
        <v>0.442927905259092</v>
      </c>
      <c r="AL206" s="255">
        <f>IF(AND(ISNUMBER(AL203),ISNUMBER(AG203)),IFERROR(AL203/AG203-1,""),"")</f>
        <v>0.197701550584333</v>
      </c>
      <c r="AM206" s="255">
        <f>IF(AND(ISNUMBER(AM203),ISNUMBER(AH203)),IFERROR(AM203/AH203-1,""),"")</f>
        <v>0.220693858422929</v>
      </c>
      <c r="AN206" s="255">
        <f>IF(AND(ISNUMBER(AN203),ISNUMBER(AI203)),IFERROR(AN203/AI203-1,""),"")</f>
        <v>0.261019156733805</v>
      </c>
      <c r="AO206" s="255">
        <f>IF(AND(ISNUMBER(AO203),ISNUMBER(AJ203)),IFERROR(AO203/AJ203-1,""),"")</f>
        <v>0.467311731151452</v>
      </c>
      <c r="AP206" s="255">
        <f>IF(AND(ISNUMBER(AP203),ISNUMBER(AK203)),IFERROR(AP203/AK203-1,""),"")</f>
        <v>0.0917761282293845</v>
      </c>
      <c r="AQ206" s="255">
        <f>IF(AND(ISNUMBER(AQ203),ISNUMBER(AL203)),IFERROR(AQ203/AL203-1,""),"")</f>
        <v>0.230691452397829</v>
      </c>
      <c r="AR206" s="255">
        <f>IF(AND(ISNUMBER(AR203),ISNUMBER(AM203)),IFERROR(AR203/AM203-1,""),"")</f>
        <v>0.25080302293</v>
      </c>
      <c r="AS206" s="255">
        <f>IF(AND(ISNUMBER(AS203),ISNUMBER(AN203)),IFERROR(AS203/AN203-1,""),"")</f>
        <v>0.075251486164333</v>
      </c>
      <c r="AT206" s="255">
        <f>IF(AND(ISNUMBER(AT203),ISNUMBER(AO203)),IFERROR(AT203/AO203-1,""),"")</f>
        <v>0.0617913727667014</v>
      </c>
      <c r="AU206" s="255">
        <f>IF(AND(ISNUMBER(AU203),ISNUMBER(AP203)),IFERROR(AU203/AP203-1,""),"")</f>
        <v>0.0595730732739528</v>
      </c>
      <c r="AV206" s="255">
        <f>IF(AND(ISNUMBER(AV203),ISNUMBER(AQ203)),IFERROR(AV203/AQ203-1,""),"")</f>
        <v>-0.000693129177610219</v>
      </c>
      <c r="AW206" s="255">
        <f>IF(AND(ISNUMBER(AW203),ISNUMBER(AR203)),IFERROR(AW203/AR203-1,""),"")</f>
        <v>0.0473770045841739</v>
      </c>
      <c r="AX206" s="255">
        <f>IF(AND(ISNUMBER(AX203),ISNUMBER(AS203)),IFERROR(AX203/AS203-1,""),"")</f>
        <v>-0.230710198748042</v>
      </c>
      <c r="AY206" s="255">
        <f>IF(AND(ISNUMBER(AY203),ISNUMBER(AT203)),IFERROR(AY203/AT203-1,""),"")</f>
        <v>-0.283462853540889</v>
      </c>
      <c r="AZ206" s="255">
        <f>IF(AND(ISNUMBER(AZ203),ISNUMBER(AU203)),IFERROR(AZ203/AU203-1,""),"")</f>
        <v>-0.256032021934059</v>
      </c>
      <c r="BA206" s="255">
        <f>IF(AND(ISNUMBER(BA203),ISNUMBER(AV203)),IFERROR(BA203/AV203-1,""),"")</f>
        <v>-0.181554801525982</v>
      </c>
      <c r="BB206" s="255">
        <f>IF(AND(ISNUMBER(BB203),ISNUMBER(AW203)),IFERROR(BB203/AW203-1,""),"")</f>
        <v>-0.237319219697335</v>
      </c>
      <c r="BC206" s="255">
        <f>IF(AND(ISNUMBER(BC203),ISNUMBER(AX203)),IFERROR(BC203/AX203-1,""),"")</f>
        <v>0.0977205622897084</v>
      </c>
      <c r="BD206" s="255">
        <f>IF(AND(ISNUMBER(BD203),ISNUMBER(AY203)),IFERROR(BD203/AY203-1,""),"")</f>
        <v>-0.0400600296016885</v>
      </c>
      <c r="BE206" s="255">
        <f>IF(AND(ISNUMBER(BE203),ISNUMBER(AZ203)),IFERROR(BE203/AZ203-1,""),"")</f>
        <v>-0.222502252609014</v>
      </c>
      <c r="BF206" s="255">
        <f>IF(AND(ISNUMBER(BF203),ISNUMBER(BA203)),IFERROR(BF203/BA203-1,""),"")</f>
        <v>0.158139331345496</v>
      </c>
      <c r="BG206" s="255">
        <f>IF(AND(ISNUMBER(BG203),ISNUMBER(BB203)),IFERROR(BG203/BB203-1,""),"")</f>
        <v>0.00640009572791223</v>
      </c>
      <c r="BH206" s="255">
        <f>IF(AND(ISNUMBER(BH203),ISNUMBER(BC203)),IFERROR(BH203/BC203-1,""),"")</f>
        <v>0.145699684826384</v>
      </c>
      <c r="BI206" s="255">
        <f>IF(AND(ISNUMBER(BI203),ISNUMBER(BD203)),IFERROR(BI203/BD203-1,""),"")</f>
        <v>1.16166897706583</v>
      </c>
      <c r="BJ206" s="255">
        <f>IF(AND(ISNUMBER(BJ203),ISNUMBER(BE203)),IFERROR(BJ203/BE203-1,""),"")</f>
        <v>1.32621136341356</v>
      </c>
      <c r="BK206" s="255">
        <f>IF(AND(ISNUMBER(BK203),ISNUMBER(BF203)),IFERROR(BK203/BF203-1,""),"")</f>
        <v>0.692164796275497</v>
      </c>
      <c r="BL206" s="255">
        <f>IF(AND(ISNUMBER(BL203),ISNUMBER(BG203)),IFERROR(BL203/BG203-1,""),"")</f>
        <v>0.9227012053485</v>
      </c>
      <c r="BM206" s="255">
        <f>IF(AND(ISNUMBER(BM203),ISNUMBER(BH203)),IFERROR(BM203/BH203-1,""),"")</f>
        <v>0.785756409516361</v>
      </c>
      <c r="BN206" s="255">
        <f>IF(AND(ISNUMBER(BN203),ISNUMBER(BI203)),IFERROR(BN203/BI203-1,""),"")</f>
        <v>0.123761327799481</v>
      </c>
      <c r="BO206" s="255">
        <f>IF(AND(ISNUMBER(BO203),ISNUMBER(BJ203)),IFERROR(BO203/BJ203-1,""),"")</f>
        <v>0.133062527808604</v>
      </c>
      <c r="BP206" s="255">
        <f>IF(AND(ISNUMBER(BP203),ISNUMBER(BK203)),IFERROR(BP203/BK203-1,""),"")</f>
        <v>0.162052895871279</v>
      </c>
      <c r="BQ206" s="255">
        <f>IF(AND(ISNUMBER(BQ203),ISNUMBER(BL203)),IFERROR(BQ203/BL203-1,""),"")</f>
        <v>0.151650573640854</v>
      </c>
      <c r="BR206" s="255">
        <f>IF(AND(ISNUMBER(BR203),ISNUMBER(BM203)),IFERROR(BR203/BM203-1,""),"")</f>
        <v>0.195282709791751</v>
      </c>
      <c r="BS206" s="255">
        <f>IF(AND(ISNUMBER(BS203),ISNUMBER(BN203)),IFERROR(BS203/BN203-1,""),"")</f>
        <v>0.0529428687889211</v>
      </c>
      <c r="BT206" s="255">
        <f>IF(AND(ISNUMBER(BT203),ISNUMBER(BO203)),IFERROR(BT203/BO203-1,""),"")</f>
        <v>0.2607868579812</v>
      </c>
      <c r="BU206" s="255">
        <f>IF(AND(ISNUMBER(BU203),ISNUMBER(BP203)),IFERROR(BU203/BP203-1,""),"")</f>
        <v>0.145653404232896</v>
      </c>
      <c r="BV206" s="255">
        <f>IF(AND(ISNUMBER(BV203),ISNUMBER(BQ203)),IFERROR(BV203/BQ203-1,""),"")</f>
        <v>0.161108493775235</v>
      </c>
      <c r="BW206" s="255">
        <f>IF(AND(ISNUMBER(BW203),ISNUMBER(BR203)),IFERROR(BW203/BR203-1,""),"")</f>
        <v>0.116610241033857</v>
      </c>
      <c r="BX206" s="255">
        <f>IF(AND(ISNUMBER(BX203),ISNUMBER(BS203)),IFERROR(BX203/BS203-1,""),"")</f>
        <v>0.263077908795361</v>
      </c>
      <c r="BY206" s="255">
        <f>IF(AND(ISNUMBER(BY203),ISNUMBER(BT203)),IFERROR(BY203/BT203-1,""),"")</f>
        <v>0.301587327469319</v>
      </c>
      <c r="BZ206" s="255">
        <f>IF(AND(ISNUMBER(BZ203),ISNUMBER(BU203)),IFERROR(BZ203/BU203-1,""),"")</f>
        <v>0.28004941075458</v>
      </c>
      <c r="CA206" s="255">
        <f>IF(AND(ISNUMBER(CA203),ISNUMBER(BV203)),IFERROR(CA203/BV203-1,""),"")</f>
        <v>0.238096941089728</v>
      </c>
      <c r="CB206" s="255">
        <f>IF(AND(ISNUMBER(CB203),ISNUMBER(BW203)),IFERROR(CB203/BW203-1,""),"")</f>
        <v>0.365778553467312</v>
      </c>
      <c r="CC206" s="256">
        <f>IF(AND(ISNUMBER(CC203),ISNUMBER(BX203)),IFERROR(CC203/BX203-1,""),"")</f>
        <v>0.2233467490967</v>
      </c>
      <c r="CD206" s="256">
        <f>IF(AND(ISNUMBER(CD203),ISNUMBER(BY203)),IFERROR(CD203/BY203-1,""),"")</f>
        <v>0.187197050996163</v>
      </c>
      <c r="CE206" s="256">
        <f>IF(AND(ISNUMBER(CE203),ISNUMBER(BZ203)),IFERROR(CE203/BZ203-1,""),"")</f>
        <v>0.228265824950497</v>
      </c>
      <c r="CF206" s="256">
        <f>IF(AND(ISNUMBER(CF203),ISNUMBER(CA203)),IFERROR(CF203/CA203-1,""),"")</f>
        <v>0.248548893748865</v>
      </c>
      <c r="CG206" s="256">
        <f>IF(AND(ISNUMBER(CG203),ISNUMBER(CF203)),IFERROR(CG203/CF203-1,""),"")</f>
        <v>0.152298352808164</v>
      </c>
      <c r="CH206" s="256">
        <f>IF(AND(ISNUMBER(CH203),ISNUMBER(CG203)),IFERROR(CH203/CG203-1,""),"")</f>
        <v>0.131203878193929</v>
      </c>
      <c r="CI206" s="256">
        <f>IF(AND(ISNUMBER(CI203),ISNUMBER(CH203)),IFERROR(CI203/CH203-1,""),"")</f>
        <v>0.130422619413032</v>
      </c>
      <c r="CJ206" s="256">
        <f>IF(AND(ISNUMBER(CJ203),ISNUMBER(CI203)),IFERROR(CJ203/CI203-1,""),"")</f>
        <v>0.115753087640151</v>
      </c>
      <c r="CK206" s="256">
        <f>IF(AND(ISNUMBER(CK203),ISNUMBER(CJ203)),IFERROR(CK203/CJ203-1,""),"")</f>
        <v>0.110570331987437</v>
      </c>
      <c r="CL206" s="153" t="n"/>
    </row>
    <row r="207" ht="15" customHeight="1" s="251">
      <c r="B207" s="156" t="inlineStr">
        <is>
          <t xml:space="preserve">  Memo: adjusted EPS, old definition, as originally published ($; through Q1 FY23)</t>
        </is>
      </c>
      <c r="C207" s="27" t="n"/>
      <c r="D207" s="277" t="n">
        <v>1.59</v>
      </c>
      <c r="E207" s="277" t="n">
        <v>1.87</v>
      </c>
      <c r="F207" s="277" t="n">
        <v>1.86</v>
      </c>
      <c r="G207" s="277" t="n">
        <v>1.12</v>
      </c>
      <c r="H207" s="277" t="n">
        <v>1.68</v>
      </c>
      <c r="I207" s="27" t="n"/>
      <c r="J207" s="277" t="n">
        <v>0.62</v>
      </c>
      <c r="K207" s="277" t="n">
        <v>0.6</v>
      </c>
      <c r="L207" s="277" t="n">
        <v>0.53</v>
      </c>
      <c r="M207" s="277" t="n">
        <v>0.6899999999999999</v>
      </c>
      <c r="N207" s="277" t="n">
        <v>2.43</v>
      </c>
      <c r="O207" s="277" t="n">
        <v>0.66</v>
      </c>
      <c r="P207" s="277" t="n">
        <v>0.64</v>
      </c>
      <c r="Q207" s="277" t="n">
        <v>0.55</v>
      </c>
      <c r="R207" s="277" t="n">
        <v>0.73</v>
      </c>
      <c r="S207" s="277" t="n">
        <v>2.58</v>
      </c>
      <c r="T207" s="27" t="n"/>
      <c r="U207" s="277" t="n">
        <v>0.7</v>
      </c>
      <c r="V207" s="277" t="n">
        <v>0.62</v>
      </c>
      <c r="W207" s="277" t="n">
        <v>0.73</v>
      </c>
      <c r="X207" s="277" t="n">
        <v>2.74</v>
      </c>
      <c r="Y207" s="277" t="n">
        <v>0.78</v>
      </c>
      <c r="Z207" s="277" t="n">
        <v>0.76</v>
      </c>
      <c r="AA207" s="277" t="n">
        <v>0.73</v>
      </c>
      <c r="AB207" s="277" t="n">
        <v>0.86</v>
      </c>
      <c r="AC207" s="277" t="n">
        <v>3.14</v>
      </c>
      <c r="AD207" s="277" t="n">
        <v>0.77</v>
      </c>
      <c r="AE207" s="277" t="n">
        <v>0.78</v>
      </c>
      <c r="AF207" s="277" t="n">
        <v>0.73</v>
      </c>
      <c r="AG207" s="277" t="n">
        <v>0.9</v>
      </c>
      <c r="AH207" s="277" t="n">
        <v>3.17</v>
      </c>
      <c r="AI207" s="277" t="n">
        <v>0.91</v>
      </c>
      <c r="AJ207" s="277" t="n">
        <v>0.83</v>
      </c>
      <c r="AK207" s="277" t="n">
        <v>1.05</v>
      </c>
      <c r="AL207" s="277" t="n">
        <v>1.08</v>
      </c>
      <c r="AM207" s="277" t="n">
        <v>3.87</v>
      </c>
      <c r="AN207" s="277" t="n">
        <v>1.15</v>
      </c>
      <c r="AO207" s="277" t="n">
        <v>1.22</v>
      </c>
      <c r="AP207" s="277" t="n">
        <v>1.15</v>
      </c>
      <c r="AQ207" s="277" t="n">
        <v>1.33</v>
      </c>
      <c r="AR207" s="277" t="n">
        <v>4.84</v>
      </c>
      <c r="AS207" s="277" t="n">
        <v>1.23</v>
      </c>
      <c r="AT207" s="277" t="n">
        <v>1.3</v>
      </c>
      <c r="AU207" s="277" t="n">
        <v>1.22</v>
      </c>
      <c r="AV207" s="277" t="n">
        <v>1.33</v>
      </c>
      <c r="AW207" s="277" t="n">
        <v>5.07</v>
      </c>
      <c r="AX207" s="277" t="n">
        <v>0.95</v>
      </c>
      <c r="AY207" s="277" t="n">
        <v>0.93</v>
      </c>
      <c r="AZ207" s="277" t="n">
        <v>0.9</v>
      </c>
      <c r="BA207" s="277" t="n">
        <v>1.08</v>
      </c>
      <c r="BB207" s="277" t="n">
        <v>3.87</v>
      </c>
      <c r="BC207" s="277" t="n">
        <v>1.04</v>
      </c>
      <c r="BD207" s="277" t="n">
        <v>0.89</v>
      </c>
      <c r="BE207" s="277" t="n">
        <v>0.7</v>
      </c>
      <c r="BF207" s="277" t="n">
        <v>1.26</v>
      </c>
      <c r="BG207" s="277" t="n">
        <v>3.89</v>
      </c>
      <c r="BH207" s="277" t="n">
        <v>1.19</v>
      </c>
      <c r="BI207" s="27" t="n"/>
      <c r="BJ207" s="27" t="n"/>
      <c r="BK207" s="27" t="n"/>
      <c r="BL207" s="27" t="n"/>
      <c r="BM207" s="27" t="n"/>
      <c r="BN207" s="27" t="n"/>
      <c r="BO207" s="27" t="n"/>
      <c r="BP207" s="27" t="n"/>
      <c r="BQ207" s="27" t="n"/>
      <c r="BR207" s="27" t="n"/>
      <c r="BS207" s="27" t="n"/>
      <c r="BT207" s="27" t="n"/>
      <c r="BU207" s="27" t="n"/>
      <c r="BV207" s="27" t="n"/>
      <c r="BW207" s="27" t="n"/>
      <c r="BX207" s="27" t="n"/>
      <c r="BY207" s="27" t="n"/>
      <c r="BZ207" s="27" t="n"/>
      <c r="CA207" s="27" t="n"/>
      <c r="CB207" s="27" t="n"/>
      <c r="CC207" s="153" t="n"/>
      <c r="CD207" s="153" t="n"/>
      <c r="CE207" s="153" t="n"/>
      <c r="CF207" s="153" t="n"/>
      <c r="CG207" s="153" t="n"/>
      <c r="CH207" s="153" t="n"/>
      <c r="CI207" s="153" t="n"/>
      <c r="CJ207" s="153" t="n"/>
      <c r="CK207" s="153" t="n"/>
      <c r="CL207" s="153" t="n"/>
    </row>
    <row r="208" ht="15" customHeight="1" s="251">
      <c r="B208" s="156" t="inlineStr">
        <is>
          <t xml:space="preserve">  Memo: adjusted EPS on the current definition, incl. re-presented Q1 FY22–Q1 FY23 ($; restated GAAP base)</t>
        </is>
      </c>
      <c r="C208" s="27" t="n"/>
      <c r="D208" s="27" t="n"/>
      <c r="E208" s="27" t="n"/>
      <c r="F208" s="27" t="n"/>
      <c r="G208" s="27" t="n"/>
      <c r="H208" s="27" t="n"/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27" t="n"/>
      <c r="S208" s="27" t="n"/>
      <c r="T208" s="27" t="n"/>
      <c r="U208" s="27" t="n"/>
      <c r="V208" s="27" t="n"/>
      <c r="W208" s="27" t="n"/>
      <c r="X208" s="27" t="n"/>
      <c r="Y208" s="27" t="n"/>
      <c r="Z208" s="27" t="n"/>
      <c r="AA208" s="27" t="n"/>
      <c r="AB208" s="27" t="n"/>
      <c r="AC208" s="27" t="n"/>
      <c r="AD208" s="27" t="n"/>
      <c r="AE208" s="27" t="n"/>
      <c r="AF208" s="27" t="n"/>
      <c r="AG208" s="27" t="n"/>
      <c r="AH208" s="27" t="n"/>
      <c r="AI208" s="27" t="n"/>
      <c r="AJ208" s="27" t="n"/>
      <c r="AK208" s="27" t="n"/>
      <c r="AL208" s="27" t="n"/>
      <c r="AM208" s="27" t="n"/>
      <c r="AN208" s="27" t="n"/>
      <c r="AO208" s="27" t="n"/>
      <c r="AP208" s="27" t="n"/>
      <c r="AQ208" s="27" t="n"/>
      <c r="AR208" s="27" t="n"/>
      <c r="AS208" s="27" t="n"/>
      <c r="AT208" s="27" t="n"/>
      <c r="AU208" s="27" t="n"/>
      <c r="AV208" s="27" t="n"/>
      <c r="AW208" s="27" t="n"/>
      <c r="AX208" s="27" t="n"/>
      <c r="AY208" s="27" t="n"/>
      <c r="AZ208" s="27" t="n"/>
      <c r="BA208" s="27" t="n"/>
      <c r="BB208" s="27" t="n"/>
      <c r="BC208" s="277" t="n">
        <v>1.22</v>
      </c>
      <c r="BD208" s="277" t="n">
        <v>1.16</v>
      </c>
      <c r="BE208" s="277" t="n">
        <v>1.2</v>
      </c>
      <c r="BF208" s="277" t="n">
        <v>1.93</v>
      </c>
      <c r="BG208" s="277" t="n">
        <v>5.56</v>
      </c>
      <c r="BH208" s="277" t="n">
        <v>1.79</v>
      </c>
      <c r="BI208" s="277" t="n">
        <v>1.93</v>
      </c>
      <c r="BJ208" s="277" t="n">
        <v>1.64</v>
      </c>
      <c r="BK208" s="277" t="n">
        <v>2.13</v>
      </c>
      <c r="BL208" s="277" t="n">
        <v>7.48</v>
      </c>
      <c r="BM208" s="277" t="n">
        <v>2.13</v>
      </c>
      <c r="BN208" s="277" t="n">
        <v>2.17</v>
      </c>
      <c r="BO208" s="277" t="n">
        <v>1.85</v>
      </c>
      <c r="BP208" s="277" t="n">
        <v>2.47</v>
      </c>
      <c r="BQ208" s="277" t="n">
        <v>8.619999999999999</v>
      </c>
      <c r="BR208" s="277" t="n">
        <v>2.54</v>
      </c>
      <c r="BS208" s="277" t="n">
        <v>2.29</v>
      </c>
      <c r="BT208" s="277" t="n">
        <v>2.34</v>
      </c>
      <c r="BU208" s="277" t="n">
        <v>2.83</v>
      </c>
      <c r="BV208" s="277" t="n">
        <v>10.01</v>
      </c>
      <c r="BW208" s="277" t="n">
        <v>2.84</v>
      </c>
      <c r="BX208" s="277" t="n">
        <v>2.88</v>
      </c>
      <c r="BY208" s="277" t="n">
        <v>3.04</v>
      </c>
      <c r="BZ208" s="277" t="n">
        <v>3.62</v>
      </c>
      <c r="CA208" s="277" t="n">
        <v>12.39</v>
      </c>
      <c r="CB208" s="277" t="n">
        <v>3.88</v>
      </c>
      <c r="CC208" s="153" t="n"/>
      <c r="CD208" s="153" t="n"/>
      <c r="CE208" s="153" t="n"/>
      <c r="CF208" s="153" t="n"/>
      <c r="CG208" s="153" t="n"/>
      <c r="CH208" s="153" t="n"/>
      <c r="CI208" s="153" t="n"/>
      <c r="CJ208" s="153" t="n"/>
      <c r="CK208" s="153" t="n"/>
      <c r="CL208" s="153" t="n"/>
    </row>
    <row r="209" ht="15" customHeight="1" s="251">
      <c r="B209" s="25" t="inlineStr">
        <is>
          <t xml:space="preserve">  Adjusted income before taxes (income before taxes + all adjustments)</t>
        </is>
      </c>
      <c r="C209" s="264">
        <f>IF(ISNUMBER(C123),C123+C191+N(C192)+C193+C194+C196,"")</f>
        <v>28.318</v>
      </c>
      <c r="D209" s="264">
        <f>IF(ISNUMBER(D123),D123+D191+N(D192)+D193+D194+D196,"")</f>
        <v>51.511</v>
      </c>
      <c r="E209" s="264">
        <f>IF(ISNUMBER(E123),E123+E191+N(E192)+E193+E194+E196,"")</f>
        <v>60.826</v>
      </c>
      <c r="F209" s="264">
        <f>IF(ISNUMBER(F123),F123+F191+N(F192)+F193+F194+F196,"")</f>
        <v>60.023</v>
      </c>
      <c r="G209" s="264">
        <f>IF(ISNUMBER(G123),G123+G191+N(G192)+G193+G194+G196,"")</f>
        <v>38.703</v>
      </c>
      <c r="H209" s="264">
        <f>IF(ISNUMBER(H123),H123+H191+N(H192)+H193+H194+H196,"")</f>
        <v>55.702</v>
      </c>
      <c r="I209" s="264">
        <f>IF(ISNUMBER(I123),I123+I191+N(I192)+I193+I194+I196,"")</f>
        <v>75.979</v>
      </c>
      <c r="J209" s="264">
        <f>IF(ISNUMBER(J123),J123+J191+N(J192)+J193+J194+J196,"")</f>
        <v>25.08</v>
      </c>
      <c r="K209" s="264">
        <f>IF(ISNUMBER(K123),K123+K191+N(K192)+K193+K194+K196,"")</f>
        <v>20.901</v>
      </c>
      <c r="L209" s="264">
        <f>IF(ISNUMBER(L123),L123+L191+N(L192)+L193+L194+L196,"")</f>
        <v>18.649</v>
      </c>
      <c r="M209" s="264">
        <f>IF(ISNUMBER(M123),M123+M191+N(M192)+M193+M194+M196,"")</f>
        <v>22.476</v>
      </c>
      <c r="N209" s="264">
        <f>IF(ISNUMBER(N123),N123+N191+N(N192)+N193+N194+N196,"")</f>
        <v>87.106</v>
      </c>
      <c r="O209" s="264">
        <f>IF(ISNUMBER(O123),O123+O191+N(O192)+O193+O194+O196,"")</f>
        <v>22.877</v>
      </c>
      <c r="P209" s="264">
        <f>IF(ISNUMBER(P123),P123+P191+N(P192)+P193+P194+P196,"")</f>
        <v>22.565</v>
      </c>
      <c r="Q209" s="264">
        <f>IF(ISNUMBER(Q123),Q123+Q191+N(Q192)+Q193+Q194+Q196,"")</f>
        <v>19.338</v>
      </c>
      <c r="R209" s="264">
        <f>IF(ISNUMBER(R123),R123+R191+N(R192)+R193+R194+R196,"")</f>
        <v>24.888</v>
      </c>
      <c r="S209" s="264">
        <f>IF(ISNUMBER(S123),S123+S191+N(S192)+S193+S194+S196,"")</f>
        <v>89.795</v>
      </c>
      <c r="T209" s="264">
        <f>IF(ISNUMBER(T123),T123+T191+N(T192)+T193+T194+T196,"")</f>
        <v>24.254</v>
      </c>
      <c r="U209" s="264">
        <f>IF(ISNUMBER(U123),U123+U191+N(U192)+U193+U194+U196,"")</f>
        <v>24.606</v>
      </c>
      <c r="V209" s="264">
        <f>IF(ISNUMBER(V123),V123+V191+N(V192)+V193+V194+V196,"")</f>
        <v>21.77</v>
      </c>
      <c r="W209" s="264">
        <f>IF(ISNUMBER(W123),W123+W191+N(W192)+W193+W194+W196,"")</f>
        <v>24.478</v>
      </c>
      <c r="X209" s="264">
        <f>IF(ISNUMBER(X123),X123+X191+N(X192)+X193+X194+X196,"")</f>
        <v>95.108</v>
      </c>
      <c r="Y209" s="264">
        <f>IF(ISNUMBER(Y123),Y123+Y191+N(Y192)+Y193+Y194+Y196,"")</f>
        <v>27.568</v>
      </c>
      <c r="Z209" s="264">
        <f>IF(ISNUMBER(Z123),Z123+Z191+N(Z192)+Z193+Z194+Z196,"")</f>
        <v>27.063</v>
      </c>
      <c r="AA209" s="264">
        <f>IF(ISNUMBER(AA123),AA123+AA191+N(AA192)+AA193+AA194+AA196,"")</f>
        <v>25.418</v>
      </c>
      <c r="AB209" s="264">
        <f>IF(ISNUMBER(AB123),AB123+AB191+N(AB192)+AB193+AB194+AB196,"")</f>
        <v>29.811</v>
      </c>
      <c r="AC209" s="264">
        <f>IF(ISNUMBER(AC123),AC123+AC191+N(AC192)+AC193+AC194+AC196,"")</f>
        <v>109.86</v>
      </c>
      <c r="AD209" s="264">
        <f>IF(ISNUMBER(AD123),AD123+AD191+N(AD192)+AD193+AD194+AD196,"")</f>
        <v>27.192</v>
      </c>
      <c r="AE209" s="264">
        <f>IF(ISNUMBER(AE123),AE123+AE191+N(AE192)+AE193+AE194+AE196,"")</f>
        <v>27.372</v>
      </c>
      <c r="AF209" s="264">
        <f>IF(ISNUMBER(AF123),AF123+AF191+N(AF192)+AF193+AF194+AF196,"")</f>
        <v>25.495</v>
      </c>
      <c r="AG209" s="264">
        <f>IF(ISNUMBER(AG123),AG123+AG191+N(AG192)+AG193+AG194+AG196,"")</f>
        <v>32.29</v>
      </c>
      <c r="AH209" s="264">
        <f>IF(ISNUMBER(AH123),AH123+AH191+N(AH192)+AH193+AH194+AH196,"")</f>
        <v>112.349</v>
      </c>
      <c r="AI209" s="264">
        <f>IF(ISNUMBER(AI123),AI123+AI191+N(AI192)+AI193+AI194+AI196,"")</f>
        <v>29.607</v>
      </c>
      <c r="AJ209" s="264">
        <f>IF(ISNUMBER(AJ123),AJ123+AJ191+N(AJ192)+AJ193+AJ194+AJ196,"")</f>
        <v>29.783</v>
      </c>
      <c r="AK209" s="264">
        <f>IF(ISNUMBER(AK123),AK123+AK191+N(AK192)+AK193+AK194+AK196,"")</f>
        <v>32.38</v>
      </c>
      <c r="AL209" s="264">
        <f>IF(ISNUMBER(AL123),AL123+AL191+N(AL192)+AL193+AL194+AL196,"")</f>
        <v>36.471</v>
      </c>
      <c r="AM209" s="264">
        <f>IF(ISNUMBER(AM123),AM123+AM191+N(AM192)+AM193+AM194+AM196,"")</f>
        <v>128.241</v>
      </c>
      <c r="AN209" s="264">
        <f>IF(ISNUMBER(AN123),AN123+AN191+N(AN192)+AN193+AN194+AN196,"")</f>
        <v>33.968</v>
      </c>
      <c r="AO209" s="264">
        <f>IF(ISNUMBER(AO123),AO123+AO191+N(AO192)+AO193+AO194+AO196,"")</f>
        <v>34.212</v>
      </c>
      <c r="AP209" s="264">
        <f>IF(ISNUMBER(AP123),AP123+AP191+N(AP192)+AP193+AP194+AP196,"")</f>
        <v>35.771</v>
      </c>
      <c r="AQ209" s="264">
        <f>IF(ISNUMBER(AQ123),AQ123+AQ191+N(AQ192)+AQ193+AQ194+AQ196,"")</f>
        <v>40.567</v>
      </c>
      <c r="AR209" s="264">
        <f>IF(ISNUMBER(AR123),AR123+AR191+N(AR192)+AR193+AR194+AR196,"")</f>
        <v>144.518</v>
      </c>
      <c r="AS209" s="264">
        <f>IF(ISNUMBER(AS123),AS123+AS191+N(AS192)+AS193+AS194+AS196,"")</f>
        <v>38.057</v>
      </c>
      <c r="AT209" s="264">
        <f>IF(ISNUMBER(AT123),AT123+AT191+N(AT192)+AT193+AT194+AT196,"")</f>
        <v>37.775</v>
      </c>
      <c r="AU209" s="264">
        <f>IF(ISNUMBER(AU123),AU123+AU191+N(AU192)+AU193+AU194+AU196,"")</f>
        <v>37.278</v>
      </c>
      <c r="AV209" s="264">
        <f>IF(ISNUMBER(AV123),AV123+AV191+N(AV192)+AV193+AV194+AV196,"")</f>
        <v>42.632</v>
      </c>
      <c r="AW209" s="264">
        <f>IF(ISNUMBER(AW123),AW123+AW191+N(AW192)+AW193+AW194+AW196,"")</f>
        <v>155.742</v>
      </c>
      <c r="AX209" s="264">
        <f>IF(ISNUMBER(AX123),AX123+AX191+N(AX192)+AX193+AX194+AX196,"")</f>
        <v>29.527</v>
      </c>
      <c r="AY209" s="264">
        <f>IF(ISNUMBER(AY123),AY123+AY191+N(AY192)+AY193+AY194+AY196,"")</f>
        <v>29.438</v>
      </c>
      <c r="AZ209" s="264">
        <f>IF(ISNUMBER(AZ123),AZ123+AZ191+N(AZ192)+AZ193+AZ194+AZ196,"")</f>
        <v>27.789</v>
      </c>
      <c r="BA209" s="264">
        <f>IF(ISNUMBER(BA123),BA123+BA191+N(BA192)+BA193+BA194+BA196,"")</f>
        <v>32.246</v>
      </c>
      <c r="BB209" s="264">
        <f>IF(ISNUMBER(BB123),BB123+BB191+N(BB192)+BB193+BB194+BB196,"")</f>
        <v>119</v>
      </c>
      <c r="BC209" s="264">
        <f>IF(ISNUMBER(BC123),BC123+BC191+N(BC192)+BC193+BC194+BC196,"")</f>
        <v>31.437</v>
      </c>
      <c r="BD209" s="264">
        <f>IF(ISNUMBER(BD123),BD123+BD191+N(BD192)+BD193+BD194+BD196,"")</f>
        <v>15.125</v>
      </c>
      <c r="BE209" s="264">
        <f>IF(ISNUMBER(BE123),BE123+BE191+N(BE192)+BE193+BE194+BE196,"")</f>
        <v>31.572</v>
      </c>
      <c r="BF209" s="264">
        <f>IF(ISNUMBER(BF123),BF123+BF191+N(BF192)+BF193+BF194+BF196,"")</f>
        <v>56.639</v>
      </c>
      <c r="BG209" s="264">
        <f>IF(ISNUMBER(BG123),BG123+BG191+N(BG192)+BG193+BG194+BG196,"")</f>
        <v>134.793</v>
      </c>
      <c r="BH209" s="264">
        <f>IF(ISNUMBER(BH123),BH123+BH191+N(BH192)+BH193+BH194+BH196,"")</f>
        <v>51.528</v>
      </c>
      <c r="BI209" s="264">
        <f>IF(ISNUMBER(BI123),BI123+BI191+N(BI192)+BI193+BI194+BI196,"")</f>
        <v>79.787</v>
      </c>
      <c r="BJ209" s="264">
        <f>IF(ISNUMBER(BJ123),BJ123+BJ191+N(BJ192)+BJ193+BJ194+BJ196,"")</f>
        <v>70.175</v>
      </c>
      <c r="BK209" s="264">
        <f>IF(ISNUMBER(BK123),BK123+BK191+N(BK192)+BK193+BK194+BK196,"")</f>
        <v>83.143</v>
      </c>
      <c r="BL209" s="264">
        <f>IF(ISNUMBER(BL123),BL123+BL191+N(BL192)+BL193+BL194+BL196,"")</f>
        <v>307.183</v>
      </c>
      <c r="BM209" s="264">
        <f>IF(ISNUMBER(BM123),BM123+BM191+N(BM192)+BM193+BM194+BM196,"")</f>
        <v>86.821</v>
      </c>
      <c r="BN209" s="264">
        <f>IF(ISNUMBER(BN123),BN123+BN191+N(BN192)+BN193+BN194+BN196,"")</f>
        <v>88.351</v>
      </c>
      <c r="BO209" s="264">
        <f>IF(ISNUMBER(BO123),BO123+BO191+N(BO192)+BO193+BO194+BO196,"")</f>
        <v>76.702</v>
      </c>
      <c r="BP209" s="264">
        <f>IF(ISNUMBER(BP123),BP123+BP191+N(BP192)+BP193+BP194+BP196,"")</f>
        <v>98.616</v>
      </c>
      <c r="BQ209" s="264">
        <f>IF(ISNUMBER(BQ123),BQ123+BQ191+N(BQ192)+BQ193+BQ194+BQ196,"")</f>
        <v>350.497</v>
      </c>
      <c r="BR209" s="264">
        <f>IF(ISNUMBER(BR123),BR123+BR191+N(BR192)+BR193+BR194+BR196,"")</f>
        <v>103.4</v>
      </c>
      <c r="BS209" s="264">
        <f>IF(ISNUMBER(BS123),BS123+BS191+N(BS192)+BS193+BS194+BS196,"")</f>
        <v>93.3</v>
      </c>
      <c r="BT209" s="264">
        <f>IF(ISNUMBER(BT123),BT123+BT191+N(BT192)+BT193+BT194+BT196,"")</f>
        <v>99.1</v>
      </c>
      <c r="BU209" s="264">
        <f>IF(ISNUMBER(BU123),BU123+BU191+N(BU192)+BU193+BU194+BU196,"")</f>
        <v>114</v>
      </c>
      <c r="BV209" s="264">
        <f>IF(ISNUMBER(BV123),BV123+BV191+N(BV192)+BV193+BV194+BV196,"")</f>
        <v>409.8</v>
      </c>
      <c r="BW209" s="264">
        <f>IF(ISNUMBER(BW123),BW123+BW191+N(BW192)+BW193+BW194+BW196,"")</f>
        <v>115.5</v>
      </c>
      <c r="BX209" s="264">
        <f>IF(ISNUMBER(BX123),BX123+BX191+N(BX192)+BX193+BX194+BX196,"")</f>
        <v>117</v>
      </c>
      <c r="BY209" s="264">
        <f>IF(ISNUMBER(BY123),BY123+BY191+N(BY192)+BY193+BY194+BY196,"")</f>
        <v>123.6</v>
      </c>
      <c r="BZ209" s="264">
        <f>IF(ISNUMBER(BZ123),BZ123+BZ191+N(BZ192)+BZ193+BZ194+BZ196,"")</f>
        <v>145.4</v>
      </c>
      <c r="CA209" s="264">
        <f>IF(ISNUMBER(CA123),CA123+CA191+N(CA192)+CA193+CA194+CA196,"")</f>
        <v>501.5</v>
      </c>
      <c r="CB209" s="264">
        <f>IF(ISNUMBER(CB123),CB123+CB191+N(CB192)+CB193+CB194+CB196,"")</f>
        <v>157.6</v>
      </c>
      <c r="CC209" s="261">
        <f>IF(ISNUMBER(CC123),CC123+CC191+N(CC192)+CC193+CC194+CC196,"")</f>
        <v>143.577478344562</v>
      </c>
      <c r="CD209" s="261">
        <f>IF(ISNUMBER(CD123),CD123+CD191+N(CD192)+CD193+CD194+CD196,"")</f>
        <v>147.083113861524</v>
      </c>
      <c r="CE209" s="261">
        <f>IF(ISNUMBER(CE123),CE123+CE191+N(CE192)+CE193+CE194+CE196,"")</f>
        <v>181.300790266539</v>
      </c>
      <c r="CF209" s="261">
        <f>IF(ISNUMBER(CF123),CF123+CF191+N(CF192)+CF193+CF194+CF196,"")</f>
        <v>629.561382472625</v>
      </c>
      <c r="CG209" s="261">
        <f>IF(ISNUMBER(CG123),CG123+CG191+N(CG192)+CG193+CG194+CG196,"")</f>
        <v>723.109138304549</v>
      </c>
      <c r="CH209" s="261">
        <f>IF(ISNUMBER(CH123),CH123+CH191+N(CH192)+CH193+CH194+CH196,"")</f>
        <v>800.063791221869</v>
      </c>
      <c r="CI209" s="261">
        <f>IF(ISNUMBER(CI123),CI123+CI191+N(CI192)+CI193+CI194+CI196,"")</f>
        <v>888.922069588031</v>
      </c>
      <c r="CJ209" s="261">
        <f>IF(ISNUMBER(CJ123),CJ123+CJ191+N(CJ192)+CJ193+CJ194+CJ196,"")</f>
        <v>972.845475172426</v>
      </c>
      <c r="CK209" s="261">
        <f>IF(ISNUMBER(CK123),CK123+CK191+N(CK192)+CK193+CK194+CK196,"")</f>
        <v>1058.56631719918</v>
      </c>
      <c r="CL209" s="19" t="n"/>
    </row>
    <row r="210" ht="15" customHeight="1" s="251">
      <c r="B210" s="25" t="inlineStr">
        <is>
          <t xml:space="preserve">  Adjusted income tax (adjusted income before taxes − adjusted net income)</t>
        </is>
      </c>
      <c r="C210" s="264">
        <f>IF(AND(ISNUMBER(C198),ISNUMBER(C209)),C209-C198,"")</f>
        <v>8.996</v>
      </c>
      <c r="D210" s="264">
        <f>IF(AND(ISNUMBER(D198),ISNUMBER(D209)),D209-D198,"")</f>
        <v>17.685</v>
      </c>
      <c r="E210" s="264">
        <f>IF(AND(ISNUMBER(E198),ISNUMBER(E209)),E209-E198,"")</f>
        <v>20.046</v>
      </c>
      <c r="F210" s="264">
        <f>IF(AND(ISNUMBER(F198),ISNUMBER(F209)),F209-F198,"")</f>
        <v>19.577</v>
      </c>
      <c r="G210" s="264">
        <f>IF(AND(ISNUMBER(G198),ISNUMBER(G209)),G209-G198,"")</f>
        <v>14.413</v>
      </c>
      <c r="H210" s="264">
        <f>IF(AND(ISNUMBER(H198),ISNUMBER(H209)),H209-H198,"")</f>
        <v>18.699</v>
      </c>
      <c r="I210" s="264">
        <f>IF(AND(ISNUMBER(I198),ISNUMBER(I209)),I209-I198,"")</f>
        <v>25.982</v>
      </c>
      <c r="J210" s="264">
        <f>IF(AND(ISNUMBER(J198),ISNUMBER(J209)),J209-J198,"")</f>
        <v>11.146</v>
      </c>
      <c r="K210" s="264">
        <f>IF(AND(ISNUMBER(K198),ISNUMBER(K209)),K209-K198,"")</f>
        <v>7.245</v>
      </c>
      <c r="L210" s="264">
        <f>IF(AND(ISNUMBER(L198),ISNUMBER(L209)),L209-L198,"")</f>
        <v>6.645</v>
      </c>
      <c r="M210" s="264">
        <f>IF(AND(ISNUMBER(M198),ISNUMBER(M209)),M209-M198,"")</f>
        <v>6.541</v>
      </c>
      <c r="N210" s="264">
        <f>IF(AND(ISNUMBER(N198),ISNUMBER(N209)),N209-N198,"")</f>
        <v>31.577</v>
      </c>
      <c r="O210" s="264">
        <f>IF(AND(ISNUMBER(O198),ISNUMBER(O209)),O209-O198,"")</f>
        <v>7.727</v>
      </c>
      <c r="P210" s="264">
        <f>IF(AND(ISNUMBER(P198),ISNUMBER(P209)),P209-P198,"")</f>
        <v>7.763</v>
      </c>
      <c r="Q210" s="264">
        <f>IF(AND(ISNUMBER(Q198),ISNUMBER(Q209)),Q209-Q198,"")</f>
        <v>6.574</v>
      </c>
      <c r="R210" s="264">
        <f>IF(AND(ISNUMBER(R198),ISNUMBER(R209)),R209-R198,"")</f>
        <v>7.739</v>
      </c>
      <c r="S210" s="264">
        <f>IF(AND(ISNUMBER(S198),ISNUMBER(S209)),S209-S198,"")</f>
        <v>29.903</v>
      </c>
      <c r="T210" s="264">
        <f>IF(AND(ISNUMBER(T198),ISNUMBER(T209)),T209-T198,"")</f>
        <v>8.234</v>
      </c>
      <c r="U210" s="264">
        <f>IF(AND(ISNUMBER(U198),ISNUMBER(U209)),U209-U198,"")</f>
        <v>8.107</v>
      </c>
      <c r="V210" s="264">
        <f>IF(AND(ISNUMBER(V198),ISNUMBER(V209)),V209-V198,"")</f>
        <v>7.347</v>
      </c>
      <c r="W210" s="264">
        <f>IF(AND(ISNUMBER(W198),ISNUMBER(W209)),W209-W198,"")</f>
        <v>7.424</v>
      </c>
      <c r="X210" s="264">
        <f>IF(AND(ISNUMBER(X198),ISNUMBER(X209)),X209-X198,"")</f>
        <v>31.112</v>
      </c>
      <c r="Y210" s="264">
        <f>IF(AND(ISNUMBER(Y198),ISNUMBER(Y209)),Y209-Y198,"")</f>
        <v>9.099</v>
      </c>
      <c r="Z210" s="264">
        <f>IF(AND(ISNUMBER(Z198),ISNUMBER(Z209)),Z209-Z198,"")</f>
        <v>9.236</v>
      </c>
      <c r="AA210" s="264">
        <f>IF(AND(ISNUMBER(AA198),ISNUMBER(AA209)),AA209-AA198,"")</f>
        <v>8.16</v>
      </c>
      <c r="AB210" s="264">
        <f>IF(AND(ISNUMBER(AB198),ISNUMBER(AB209)),AB209-AB198,"")</f>
        <v>9.574</v>
      </c>
      <c r="AC210" s="264">
        <f>IF(AND(ISNUMBER(AC198),ISNUMBER(AC209)),AC209-AC198,"")</f>
        <v>36.069</v>
      </c>
      <c r="AD210" s="264">
        <f>IF(AND(ISNUMBER(AD198),ISNUMBER(AD209)),AD209-AD198,"")</f>
        <v>9.11</v>
      </c>
      <c r="AE210" s="264">
        <f>IF(AND(ISNUMBER(AE198),ISNUMBER(AE209)),AE209-AE198,"")</f>
        <v>8.962</v>
      </c>
      <c r="AF210" s="264">
        <f>IF(AND(ISNUMBER(AF198),ISNUMBER(AF209)),AF209-AF198,"")</f>
        <v>8.142</v>
      </c>
      <c r="AG210" s="264">
        <f>IF(AND(ISNUMBER(AG198),ISNUMBER(AG209)),AG209-AG198,"")</f>
        <v>10.705</v>
      </c>
      <c r="AH210" s="264">
        <f>IF(AND(ISNUMBER(AH198),ISNUMBER(AH209)),AH209-AH198,"")</f>
        <v>36.919</v>
      </c>
      <c r="AI210" s="264">
        <f>IF(AND(ISNUMBER(AI198),ISNUMBER(AI209)),AI209-AI198,"")</f>
        <v>7.638</v>
      </c>
      <c r="AJ210" s="264">
        <f>IF(AND(ISNUMBER(AJ198),ISNUMBER(AJ209)),AJ209-AJ198,"")</f>
        <v>9.528</v>
      </c>
      <c r="AK210" s="264">
        <f>IF(AND(ISNUMBER(AK198),ISNUMBER(AK209)),AK209-AK198,"")</f>
        <v>6.676</v>
      </c>
      <c r="AL210" s="264">
        <f>IF(AND(ISNUMBER(AL198),ISNUMBER(AL209)),AL209-AL198,"")</f>
        <v>10.08</v>
      </c>
      <c r="AM210" s="264">
        <f>IF(AND(ISNUMBER(AM198),ISNUMBER(AM209)),AM209-AM198,"")</f>
        <v>33.922</v>
      </c>
      <c r="AN210" s="264">
        <f>IF(AND(ISNUMBER(AN198),ISNUMBER(AN209)),AN209-AN198,"")</f>
        <v>5.859</v>
      </c>
      <c r="AO210" s="264">
        <f>IF(AND(ISNUMBER(AO198),ISNUMBER(AO209)),AO209-AO198,"")</f>
        <v>3.991</v>
      </c>
      <c r="AP210" s="264">
        <f>IF(AND(ISNUMBER(AP198),ISNUMBER(AP209)),AP209-AP198,"")</f>
        <v>7.301</v>
      </c>
      <c r="AQ210" s="264">
        <f>IF(AND(ISNUMBER(AQ198),ISNUMBER(AQ209)),AQ209-AQ198,"")</f>
        <v>7.686</v>
      </c>
      <c r="AR210" s="264">
        <f>IF(AND(ISNUMBER(AR198),ISNUMBER(AR209)),AR209-AR198,"")</f>
        <v>24.837</v>
      </c>
      <c r="AS210" s="264">
        <f>IF(AND(ISNUMBER(AS198),ISNUMBER(AS209)),AS209-AS198,"")</f>
        <v>7.508</v>
      </c>
      <c r="AT210" s="264">
        <f>IF(AND(ISNUMBER(AT198),ISNUMBER(AT209)),AT209-AT198,"")</f>
        <v>5.445</v>
      </c>
      <c r="AU210" s="264">
        <f>IF(AND(ISNUMBER(AU198),ISNUMBER(AU209)),AU209-AU198,"")</f>
        <v>6.89200000000001</v>
      </c>
      <c r="AV210" s="264">
        <f>IF(AND(ISNUMBER(AV198),ISNUMBER(AV209)),AV209-AV198,"")</f>
        <v>9.499</v>
      </c>
      <c r="AW210" s="264">
        <f>IF(AND(ISNUMBER(AW198),ISNUMBER(AW209)),AW209-AW198,"")</f>
        <v>29.344</v>
      </c>
      <c r="AX210" s="264">
        <f>IF(AND(ISNUMBER(AX198),ISNUMBER(AX209)),AX209-AX198,"")</f>
        <v>5.906</v>
      </c>
      <c r="AY210" s="264">
        <f>IF(AND(ISNUMBER(AY198),ISNUMBER(AY209)),AY209-AY198,"")</f>
        <v>6.224</v>
      </c>
      <c r="AZ210" s="264">
        <f>IF(AND(ISNUMBER(AZ198),ISNUMBER(AZ209)),AZ209-AZ198,"")</f>
        <v>5.111</v>
      </c>
      <c r="BA210" s="264">
        <f>IF(AND(ISNUMBER(BA198),ISNUMBER(BA209)),BA209-BA198,"")</f>
        <v>4.87099999999999</v>
      </c>
      <c r="BB210" s="264">
        <f>IF(AND(ISNUMBER(BB198),ISNUMBER(BB209)),BB209-BB198,"")</f>
        <v>22.112</v>
      </c>
      <c r="BC210" s="264">
        <f>IF(AND(ISNUMBER(BC198),ISNUMBER(BC209)),BC209-BC198,"")</f>
        <v>5.118</v>
      </c>
      <c r="BD210" s="264">
        <f>IF(AND(ISNUMBER(BD198),ISNUMBER(BD209)),BD209-BD198,"")</f>
        <v>-8.4</v>
      </c>
      <c r="BE210" s="264">
        <f>IF(AND(ISNUMBER(BE198),ISNUMBER(BE209)),BE209-BE198,"")</f>
        <v>5.486</v>
      </c>
      <c r="BF210" s="264">
        <f>IF(AND(ISNUMBER(BF198),ISNUMBER(BF209)),BF209-BF198,"")</f>
        <v>14.619</v>
      </c>
      <c r="BG210" s="264">
        <f>IF(AND(ISNUMBER(BG198),ISNUMBER(BG209)),BG209-BG198,"")</f>
        <v>16.843</v>
      </c>
      <c r="BH210" s="264">
        <f>IF(AND(ISNUMBER(BH198),ISNUMBER(BH209)),BH209-BH198,"")</f>
        <v>11.292</v>
      </c>
      <c r="BI210" s="264">
        <f>IF(AND(ISNUMBER(BI198),ISNUMBER(BI209)),BI209-BI198,"")</f>
        <v>17.882</v>
      </c>
      <c r="BJ210" s="264">
        <f>IF(AND(ISNUMBER(BJ198),ISNUMBER(BJ209)),BJ209-BJ198,"")</f>
        <v>16.829</v>
      </c>
      <c r="BK210" s="264">
        <f>IF(AND(ISNUMBER(BK198),ISNUMBER(BK209)),BK209-BK198,"")</f>
        <v>15.449</v>
      </c>
      <c r="BL210" s="264">
        <f>IF(AND(ISNUMBER(BL198),ISNUMBER(BL209)),BL209-BL198,"")</f>
        <v>66.686</v>
      </c>
      <c r="BM210" s="264">
        <f>IF(AND(ISNUMBER(BM198),ISNUMBER(BM209)),BM209-BM198,"")</f>
        <v>19.126</v>
      </c>
      <c r="BN210" s="264">
        <f>IF(AND(ISNUMBER(BN198),ISNUMBER(BN209)),BN209-BN198,"")</f>
        <v>19.463</v>
      </c>
      <c r="BO210" s="264">
        <f>IF(AND(ISNUMBER(BO198),ISNUMBER(BO209)),BO209-BO198,"")</f>
        <v>16.73</v>
      </c>
      <c r="BP210" s="264">
        <f>IF(AND(ISNUMBER(BP198),ISNUMBER(BP209)),BP209-BP198,"")</f>
        <v>20.57</v>
      </c>
      <c r="BQ210" s="264">
        <f>IF(AND(ISNUMBER(BQ198),ISNUMBER(BQ209)),BQ209-BQ198,"")</f>
        <v>75.896</v>
      </c>
      <c r="BR210" s="264">
        <f>IF(AND(ISNUMBER(BR198),ISNUMBER(BR209)),BR209-BR198,"")</f>
        <v>23.2</v>
      </c>
      <c r="BS210" s="264">
        <f>IF(AND(ISNUMBER(BS198),ISNUMBER(BS209)),BS209-BS198,"")</f>
        <v>20.6</v>
      </c>
      <c r="BT210" s="264">
        <f>IF(AND(ISNUMBER(BT198),ISNUMBER(BT209)),BT209-BT198,"")</f>
        <v>25.1</v>
      </c>
      <c r="BU210" s="264">
        <f>IF(AND(ISNUMBER(BU198),ISNUMBER(BU209)),BU209-BU198,"")</f>
        <v>24.7</v>
      </c>
      <c r="BV210" s="264">
        <f>IF(AND(ISNUMBER(BV198),ISNUMBER(BV209)),BV209-BV198,"")</f>
        <v>93.6</v>
      </c>
      <c r="BW210" s="264">
        <f>IF(AND(ISNUMBER(BW198),ISNUMBER(BW209)),BW209-BW198,"")</f>
        <v>25.9</v>
      </c>
      <c r="BX210" s="264">
        <f>IF(AND(ISNUMBER(BX198),ISNUMBER(BX209)),BX209-BX198,"")</f>
        <v>25.8</v>
      </c>
      <c r="BY210" s="264">
        <f>IF(AND(ISNUMBER(BY198),ISNUMBER(BY209)),BY209-BY198,"")</f>
        <v>27.3</v>
      </c>
      <c r="BZ210" s="264">
        <f>IF(AND(ISNUMBER(BZ198),ISNUMBER(BZ209)),BZ209-BZ198,"")</f>
        <v>30.5</v>
      </c>
      <c r="CA210" s="264">
        <f>IF(AND(ISNUMBER(CA198),ISNUMBER(CA209)),CA209-CA198,"")</f>
        <v>109.5</v>
      </c>
      <c r="CB210" s="264">
        <f>IF(AND(ISNUMBER(CB198),ISNUMBER(CB209)),CB209-CB198,"")</f>
        <v>34.6</v>
      </c>
      <c r="CC210" s="261">
        <f>CC209*CC211</f>
        <v>31.5870452358037</v>
      </c>
      <c r="CD210" s="261">
        <f>CD209*CD211</f>
        <v>32.3582850495353</v>
      </c>
      <c r="CE210" s="261">
        <f>CE209*CE211</f>
        <v>39.8861738586386</v>
      </c>
      <c r="CF210" s="261">
        <f>SUM(CB210:CE210)</f>
        <v>138.431504143978</v>
      </c>
      <c r="CG210" s="261">
        <f>CG209*CG211</f>
        <v>162.699556118523</v>
      </c>
      <c r="CH210" s="261">
        <f>CH209*CH211</f>
        <v>180.01435302492</v>
      </c>
      <c r="CI210" s="261">
        <f>CI209*CI211</f>
        <v>200.007465657307</v>
      </c>
      <c r="CJ210" s="261">
        <f>CJ209*CJ211</f>
        <v>218.890231913796</v>
      </c>
      <c r="CK210" s="261">
        <f>CK209*CK211</f>
        <v>238.177421369816</v>
      </c>
      <c r="CL210" s="19" t="n"/>
    </row>
    <row r="211" ht="15" customHeight="1" s="251">
      <c r="B211" s="25" t="inlineStr">
        <is>
          <t xml:space="preserve">  Adjusted effective tax rate</t>
        </is>
      </c>
      <c r="C211" s="215">
        <f>IF(AND(ISNUMBER(C210),ISNUMBER(C209)),IFERROR(C210/C209,""),"")</f>
        <v>0.317677802104668</v>
      </c>
      <c r="D211" s="215">
        <f>IF(AND(ISNUMBER(D210),ISNUMBER(D209)),IFERROR(D210/D209,""),"")</f>
        <v>0.343324726757392</v>
      </c>
      <c r="E211" s="215">
        <f>IF(AND(ISNUMBER(E210),ISNUMBER(E209)),IFERROR(E210/E209,""),"")</f>
        <v>0.329563015815605</v>
      </c>
      <c r="F211" s="215">
        <f>IF(AND(ISNUMBER(F210),ISNUMBER(F209)),IFERROR(F210/F209,""),"")</f>
        <v>0.326158305982707</v>
      </c>
      <c r="G211" s="215">
        <f>IF(AND(ISNUMBER(G210),ISNUMBER(G209)),IFERROR(G210/G209,""),"")</f>
        <v>0.372400072345813</v>
      </c>
      <c r="H211" s="215">
        <f>IF(AND(ISNUMBER(H210),ISNUMBER(H209)),IFERROR(H210/H209,""),"")</f>
        <v>0.335697102437974</v>
      </c>
      <c r="I211" s="215">
        <f>IF(AND(ISNUMBER(I210),ISNUMBER(I209)),IFERROR(I210/I209,""),"")</f>
        <v>0.341962910804301</v>
      </c>
      <c r="J211" s="215">
        <f>IF(AND(ISNUMBER(J210),ISNUMBER(J209)),IFERROR(J210/J209,""),"")</f>
        <v>0.444417862838915</v>
      </c>
      <c r="K211" s="215">
        <f>IF(AND(ISNUMBER(K210),ISNUMBER(K209)),IFERROR(K210/K209,""),"")</f>
        <v>0.346634132338166</v>
      </c>
      <c r="L211" s="215">
        <f>IF(AND(ISNUMBER(L210),ISNUMBER(L209)),IFERROR(L210/L209,""),"")</f>
        <v>0.356319373692959</v>
      </c>
      <c r="M211" s="215">
        <f>IF(AND(ISNUMBER(M210),ISNUMBER(M209)),IFERROR(M210/M209,""),"")</f>
        <v>0.291021534080797</v>
      </c>
      <c r="N211" s="215">
        <f>IF(AND(ISNUMBER(N210),ISNUMBER(N209)),IFERROR(N210/N209,""),"")</f>
        <v>0.362512341285331</v>
      </c>
      <c r="O211" s="215">
        <f>IF(AND(ISNUMBER(O210),ISNUMBER(O209)),IFERROR(O210/O209,""),"")</f>
        <v>0.337762818551383</v>
      </c>
      <c r="P211" s="215">
        <f>IF(AND(ISNUMBER(P210),ISNUMBER(P209)),IFERROR(P210/P209,""),"")</f>
        <v>0.344028362508309</v>
      </c>
      <c r="Q211" s="215">
        <f>IF(AND(ISNUMBER(Q210),ISNUMBER(Q209)),IFERROR(Q210/Q209,""),"")</f>
        <v>0.339952425276657</v>
      </c>
      <c r="R211" s="215">
        <f>IF(AND(ISNUMBER(R210),ISNUMBER(R209)),IFERROR(R210/R209,""),"")</f>
        <v>0.310953069752491</v>
      </c>
      <c r="S211" s="215">
        <f>IF(AND(ISNUMBER(S210),ISNUMBER(S209)),IFERROR(S210/S209,""),"")</f>
        <v>0.333014087644078</v>
      </c>
      <c r="T211" s="215">
        <f>IF(AND(ISNUMBER(T210),ISNUMBER(T209)),IFERROR(T210/T209,""),"")</f>
        <v>0.339490393337181</v>
      </c>
      <c r="U211" s="215">
        <f>IF(AND(ISNUMBER(U210),ISNUMBER(U209)),IFERROR(U210/U209,""),"")</f>
        <v>0.329472486385434</v>
      </c>
      <c r="V211" s="215">
        <f>IF(AND(ISNUMBER(V210),ISNUMBER(V209)),IFERROR(V210/V209,""),"")</f>
        <v>0.337482774460266</v>
      </c>
      <c r="W211" s="215">
        <f>IF(AND(ISNUMBER(W210),ISNUMBER(W209)),IFERROR(W210/W209,""),"")</f>
        <v>0.303292752675872</v>
      </c>
      <c r="X211" s="215">
        <f>IF(AND(ISNUMBER(X210),ISNUMBER(X209)),IFERROR(X210/X209,""),"")</f>
        <v>0.327122849812844</v>
      </c>
      <c r="Y211" s="215">
        <f>IF(AND(ISNUMBER(Y210),ISNUMBER(Y209)),IFERROR(Y210/Y209,""),"")</f>
        <v>0.330056587347649</v>
      </c>
      <c r="Z211" s="215">
        <f>IF(AND(ISNUMBER(Z210),ISNUMBER(Z209)),IFERROR(Z210/Z209,""),"")</f>
        <v>0.341277759302369</v>
      </c>
      <c r="AA211" s="215">
        <f>IF(AND(ISNUMBER(AA210),ISNUMBER(AA209)),IFERROR(AA210/AA209,""),"")</f>
        <v>0.321032339287119</v>
      </c>
      <c r="AB211" s="215">
        <f>IF(AND(ISNUMBER(AB210),ISNUMBER(AB209)),IFERROR(AB210/AB209,""),"")</f>
        <v>0.321156620039583</v>
      </c>
      <c r="AC211" s="215">
        <f>IF(AND(ISNUMBER(AC210),ISNUMBER(AC209)),IFERROR(AC210/AC209,""),"")</f>
        <v>0.328317859093392</v>
      </c>
      <c r="AD211" s="215">
        <f>IF(AND(ISNUMBER(AD210),ISNUMBER(AD209)),IFERROR(AD210/AD209,""),"")</f>
        <v>0.335025007355104</v>
      </c>
      <c r="AE211" s="215">
        <f>IF(AND(ISNUMBER(AE210),ISNUMBER(AE209)),IFERROR(AE210/AE209,""),"")</f>
        <v>0.327414876516148</v>
      </c>
      <c r="AF211" s="215">
        <f>IF(AND(ISNUMBER(AF210),ISNUMBER(AF209)),IFERROR(AF210/AF209,""),"")</f>
        <v>0.319356736615023</v>
      </c>
      <c r="AG211" s="215">
        <f>IF(AND(ISNUMBER(AG210),ISNUMBER(AG209)),IFERROR(AG210/AG209,""),"")</f>
        <v>0.331526788479405</v>
      </c>
      <c r="AH211" s="215">
        <f>IF(AND(ISNUMBER(AH210),ISNUMBER(AH209)),IFERROR(AH210/AH209,""),"")</f>
        <v>0.328609956474913</v>
      </c>
      <c r="AI211" s="215">
        <f>IF(AND(ISNUMBER(AI210),ISNUMBER(AI209)),IFERROR(AI210/AI209,""),"")</f>
        <v>0.257979531867464</v>
      </c>
      <c r="AJ211" s="215">
        <f>IF(AND(ISNUMBER(AJ210),ISNUMBER(AJ209)),IFERROR(AJ210/AJ209,""),"")</f>
        <v>0.319914044924957</v>
      </c>
      <c r="AK211" s="215">
        <f>IF(AND(ISNUMBER(AK210),ISNUMBER(AK209)),IFERROR(AK210/AK209,""),"")</f>
        <v>0.206176652254478</v>
      </c>
      <c r="AL211" s="215">
        <f>IF(AND(ISNUMBER(AL210),ISNUMBER(AL209)),IFERROR(AL210/AL209,""),"")</f>
        <v>0.276383976309945</v>
      </c>
      <c r="AM211" s="215">
        <f>IF(AND(ISNUMBER(AM210),ISNUMBER(AM209)),IFERROR(AM210/AM209,""),"")</f>
        <v>0.264517587978883</v>
      </c>
      <c r="AN211" s="215">
        <f>IF(AND(ISNUMBER(AN210),ISNUMBER(AN209)),IFERROR(AN210/AN209,""),"")</f>
        <v>0.172485869053227</v>
      </c>
      <c r="AO211" s="215">
        <f>IF(AND(ISNUMBER(AO210),ISNUMBER(AO209)),IFERROR(AO210/AO209,""),"")</f>
        <v>0.116654974862621</v>
      </c>
      <c r="AP211" s="215">
        <f>IF(AND(ISNUMBER(AP210),ISNUMBER(AP209)),IFERROR(AP210/AP209,""),"")</f>
        <v>0.204103883033742</v>
      </c>
      <c r="AQ211" s="215">
        <f>IF(AND(ISNUMBER(AQ210),ISNUMBER(AQ209)),IFERROR(AQ210/AQ209,""),"")</f>
        <v>0.189464342938842</v>
      </c>
      <c r="AR211" s="215">
        <f>IF(AND(ISNUMBER(AR210),ISNUMBER(AR209)),IFERROR(AR210/AR209,""),"")</f>
        <v>0.171860944657413</v>
      </c>
      <c r="AS211" s="215">
        <f>IF(AND(ISNUMBER(AS210),ISNUMBER(AS209)),IFERROR(AS210/AS209,""),"")</f>
        <v>0.19728302283417</v>
      </c>
      <c r="AT211" s="215">
        <f>IF(AND(ISNUMBER(AT210),ISNUMBER(AT209)),IFERROR(AT210/AT209,""),"")</f>
        <v>0.144142951687624</v>
      </c>
      <c r="AU211" s="215">
        <f>IF(AND(ISNUMBER(AU210),ISNUMBER(AU209)),IFERROR(AU210/AU209,""),"")</f>
        <v>0.18488116315253</v>
      </c>
      <c r="AV211" s="215">
        <f>IF(AND(ISNUMBER(AV210),ISNUMBER(AV209)),IFERROR(AV210/AV209,""),"")</f>
        <v>0.222813848752111</v>
      </c>
      <c r="AW211" s="215">
        <f>IF(AND(ISNUMBER(AW210),ISNUMBER(AW209)),IFERROR(AW210/AW209,""),"")</f>
        <v>0.188414172156515</v>
      </c>
      <c r="AX211" s="215">
        <f>IF(AND(ISNUMBER(AX210),ISNUMBER(AX209)),IFERROR(AX210/AX209,""),"")</f>
        <v>0.200020320384733</v>
      </c>
      <c r="AY211" s="215">
        <f>IF(AND(ISNUMBER(AY210),ISNUMBER(AY209)),IFERROR(AY210/AY209,""),"")</f>
        <v>0.211427406753176</v>
      </c>
      <c r="AZ211" s="215">
        <f>IF(AND(ISNUMBER(AZ210),ISNUMBER(AZ209)),IFERROR(AZ210/AZ209,""),"")</f>
        <v>0.183921695634963</v>
      </c>
      <c r="BA211" s="215">
        <f>IF(AND(ISNUMBER(BA210),ISNUMBER(BA209)),IFERROR(BA210/BA209,""),"")</f>
        <v>0.151057495503318</v>
      </c>
      <c r="BB211" s="215">
        <f>IF(AND(ISNUMBER(BB210),ISNUMBER(BB209)),IFERROR(BB210/BB209,""),"")</f>
        <v>0.18581512605042</v>
      </c>
      <c r="BC211" s="215">
        <f>IF(AND(ISNUMBER(BC210),ISNUMBER(BC209)),IFERROR(BC210/BC209,""),"")</f>
        <v>0.162801794064319</v>
      </c>
      <c r="BD211" s="215">
        <f>IF(AND(ISNUMBER(BD210),ISNUMBER(BD209)),IFERROR(BD210/BD209,""),"")</f>
        <v>-0.555371900826446</v>
      </c>
      <c r="BE211" s="215">
        <f>IF(AND(ISNUMBER(BE210),ISNUMBER(BE209)),IFERROR(BE210/BE209,""),"")</f>
        <v>0.173761560876726</v>
      </c>
      <c r="BF211" s="215">
        <f>IF(AND(ISNUMBER(BF210),ISNUMBER(BF209)),IFERROR(BF210/BF209,""),"")</f>
        <v>0.25810837055739</v>
      </c>
      <c r="BG211" s="215">
        <f>IF(AND(ISNUMBER(BG210),ISNUMBER(BG209)),IFERROR(BG210/BG209,""),"")</f>
        <v>0.124954559954894</v>
      </c>
      <c r="BH211" s="215">
        <f>IF(AND(ISNUMBER(BH210),ISNUMBER(BH209)),IFERROR(BH210/BH209,""),"")</f>
        <v>0.21914299021891</v>
      </c>
      <c r="BI211" s="215">
        <f>IF(AND(ISNUMBER(BI210),ISNUMBER(BI209)),IFERROR(BI210/BI209,""),"")</f>
        <v>0.224121724090391</v>
      </c>
      <c r="BJ211" s="215">
        <f>IF(AND(ISNUMBER(BJ210),ISNUMBER(BJ209)),IFERROR(BJ210/BJ209,""),"")</f>
        <v>0.23981474884218</v>
      </c>
      <c r="BK211" s="215">
        <f>IF(AND(ISNUMBER(BK210),ISNUMBER(BK209)),IFERROR(BK210/BK209,""),"")</f>
        <v>0.185812395511348</v>
      </c>
      <c r="BL211" s="215">
        <f>IF(AND(ISNUMBER(BL210),ISNUMBER(BL209)),IFERROR(BL210/BL209,""),"")</f>
        <v>0.217088836296279</v>
      </c>
      <c r="BM211" s="215">
        <f>IF(AND(ISNUMBER(BM210),ISNUMBER(BM209)),IFERROR(BM210/BM209,""),"")</f>
        <v>0.220292325589431</v>
      </c>
      <c r="BN211" s="215">
        <f>IF(AND(ISNUMBER(BN210),ISNUMBER(BN209)),IFERROR(BN210/BN209,""),"")</f>
        <v>0.220291790698464</v>
      </c>
      <c r="BO211" s="215">
        <f>IF(AND(ISNUMBER(BO210),ISNUMBER(BO209)),IFERROR(BO210/BO209,""),"")</f>
        <v>0.218116867878282</v>
      </c>
      <c r="BP211" s="215">
        <f>IF(AND(ISNUMBER(BP210),ISNUMBER(BP209)),IFERROR(BP210/BP209,""),"")</f>
        <v>0.208586841891782</v>
      </c>
      <c r="BQ211" s="215">
        <f>IF(AND(ISNUMBER(BQ210),ISNUMBER(BQ209)),IFERROR(BQ210/BQ209,""),"")</f>
        <v>0.216538229999116</v>
      </c>
      <c r="BR211" s="215">
        <f>IF(AND(ISNUMBER(BR210),ISNUMBER(BR209)),IFERROR(BR210/BR209,""),"")</f>
        <v>0.224371373307544</v>
      </c>
      <c r="BS211" s="215">
        <f>IF(AND(ISNUMBER(BS210),ISNUMBER(BS209)),IFERROR(BS210/BS209,""),"")</f>
        <v>0.220793140407289</v>
      </c>
      <c r="BT211" s="215">
        <f>IF(AND(ISNUMBER(BT210),ISNUMBER(BT209)),IFERROR(BT210/BT209,""),"")</f>
        <v>0.253279515640767</v>
      </c>
      <c r="BU211" s="215">
        <f>IF(AND(ISNUMBER(BU210),ISNUMBER(BU209)),IFERROR(BU210/BU209,""),"")</f>
        <v>0.216666666666667</v>
      </c>
      <c r="BV211" s="215">
        <f>IF(AND(ISNUMBER(BV210),ISNUMBER(BV209)),IFERROR(BV210/BV209,""),"")</f>
        <v>0.228404099560761</v>
      </c>
      <c r="BW211" s="215">
        <f>IF(AND(ISNUMBER(BW210),ISNUMBER(BW209)),IFERROR(BW210/BW209,""),"")</f>
        <v>0.224242424242424</v>
      </c>
      <c r="BX211" s="215">
        <f>IF(AND(ISNUMBER(BX210),ISNUMBER(BX209)),IFERROR(BX210/BX209,""),"")</f>
        <v>0.220512820512821</v>
      </c>
      <c r="BY211" s="215">
        <f>IF(AND(ISNUMBER(BY210),ISNUMBER(BY209)),IFERROR(BY210/BY209,""),"")</f>
        <v>0.220873786407767</v>
      </c>
      <c r="BZ211" s="215">
        <f>IF(AND(ISNUMBER(BZ210),ISNUMBER(BZ209)),IFERROR(BZ210/BZ209,""),"")</f>
        <v>0.209766162310866</v>
      </c>
      <c r="CA211" s="215">
        <f>IF(AND(ISNUMBER(CA210),ISNUMBER(CA209)),IFERROR(CA210/CA209,""),"")</f>
        <v>0.218344965104686</v>
      </c>
      <c r="CB211" s="215">
        <f>IF(AND(ISNUMBER(CB210),ISNUMBER(CB209)),IFERROR(CB210/CB209,""),"")</f>
        <v>0.219543147208122</v>
      </c>
      <c r="CC211" s="256">
        <f>$CV$18</f>
        <v>0.22</v>
      </c>
      <c r="CD211" s="256">
        <f>$CV$18</f>
        <v>0.22</v>
      </c>
      <c r="CE211" s="256">
        <f>$CV$18</f>
        <v>0.22</v>
      </c>
      <c r="CF211" s="256">
        <f>IF(AND(ISNUMBER(CF210),ISNUMBER(CF209)),IFERROR(CF210/CF209,""),"")</f>
        <v>0.219885634662474</v>
      </c>
      <c r="CG211" s="267" t="n">
        <v>0.225</v>
      </c>
      <c r="CH211" s="267" t="n">
        <v>0.225</v>
      </c>
      <c r="CI211" s="267" t="n">
        <v>0.225</v>
      </c>
      <c r="CJ211" s="267" t="n">
        <v>0.225</v>
      </c>
      <c r="CK211" s="267" t="n">
        <v>0.225</v>
      </c>
      <c r="CL211" s="153" t="inlineStr">
        <is>
          <t>Q1 FY27: "overall tax rate applied to adjusted pre-tax earnings" 22.0% (release). Forecast input.</t>
        </is>
      </c>
      <c r="CN211" s="37">
        <f>IFERROR(AVERAGE(CG211,CH211,CI211,CJ211,CK211),"n/m")</f>
        <v>0.225</v>
      </c>
      <c r="CO211" s="37">
        <f>IFERROR(AVERAGE(BG211,BL211,BQ211,BV211,CA211),"n/m")</f>
        <v>0.201066138183147</v>
      </c>
      <c r="CP211" s="37">
        <f>IFERROR(AVERAGE(AH211,AM211,AR211,AW211,BB211,BG211,BL211,BQ211,BV211,CA211),"n/m")</f>
        <v>0.214454847823388</v>
      </c>
      <c r="CQ211" s="37">
        <f>IFERROR(AVERAGE(C211,D211,E211,F211,G211,H211,I211,N211,S211,X211,AC211,AH211,AM211,AR211,AW211,BB211,BG211,BL211,BQ211,BV211,CA211),"n/m")</f>
        <v>0.279157121538952</v>
      </c>
    </row>
    <row r="212" ht="15" customHeight="1" s="251">
      <c r="B212" s="158" t="inlineStr">
        <is>
          <t xml:space="preserve">  Definition key (old / current / none)</t>
        </is>
      </c>
      <c r="C212" s="282" t="inlineStr">
        <is>
          <t>old</t>
        </is>
      </c>
      <c r="D212" s="282" t="inlineStr">
        <is>
          <t>old</t>
        </is>
      </c>
      <c r="E212" s="282" t="inlineStr">
        <is>
          <t>old</t>
        </is>
      </c>
      <c r="F212" s="282" t="inlineStr">
        <is>
          <t>old</t>
        </is>
      </c>
      <c r="G212" s="282" t="inlineStr">
        <is>
          <t>old</t>
        </is>
      </c>
      <c r="H212" s="282" t="inlineStr">
        <is>
          <t>old</t>
        </is>
      </c>
      <c r="I212" s="282" t="inlineStr">
        <is>
          <t>none</t>
        </is>
      </c>
      <c r="J212" s="282" t="inlineStr">
        <is>
          <t>old</t>
        </is>
      </c>
      <c r="K212" s="282" t="inlineStr">
        <is>
          <t>old</t>
        </is>
      </c>
      <c r="L212" s="282" t="inlineStr">
        <is>
          <t>old</t>
        </is>
      </c>
      <c r="M212" s="282" t="inlineStr">
        <is>
          <t>old</t>
        </is>
      </c>
      <c r="N212" s="282" t="inlineStr">
        <is>
          <t>old</t>
        </is>
      </c>
      <c r="O212" s="282" t="inlineStr">
        <is>
          <t>old</t>
        </is>
      </c>
      <c r="P212" s="282" t="inlineStr">
        <is>
          <t>old</t>
        </is>
      </c>
      <c r="Q212" s="282" t="inlineStr">
        <is>
          <t>old</t>
        </is>
      </c>
      <c r="R212" s="282" t="inlineStr">
        <is>
          <t>old</t>
        </is>
      </c>
      <c r="S212" s="282" t="inlineStr">
        <is>
          <t>old</t>
        </is>
      </c>
      <c r="T212" s="282" t="inlineStr">
        <is>
          <t>none</t>
        </is>
      </c>
      <c r="U212" s="282" t="inlineStr">
        <is>
          <t>old</t>
        </is>
      </c>
      <c r="V212" s="282" t="inlineStr">
        <is>
          <t>old</t>
        </is>
      </c>
      <c r="W212" s="282" t="inlineStr">
        <is>
          <t>old</t>
        </is>
      </c>
      <c r="X212" s="282" t="inlineStr">
        <is>
          <t>old</t>
        </is>
      </c>
      <c r="Y212" s="282" t="inlineStr">
        <is>
          <t>old</t>
        </is>
      </c>
      <c r="Z212" s="282" t="inlineStr">
        <is>
          <t>old</t>
        </is>
      </c>
      <c r="AA212" s="282" t="inlineStr">
        <is>
          <t>old</t>
        </is>
      </c>
      <c r="AB212" s="282" t="inlineStr">
        <is>
          <t>old</t>
        </is>
      </c>
      <c r="AC212" s="282" t="inlineStr">
        <is>
          <t>old</t>
        </is>
      </c>
      <c r="AD212" s="282" t="inlineStr">
        <is>
          <t>old</t>
        </is>
      </c>
      <c r="AE212" s="282" t="inlineStr">
        <is>
          <t>old</t>
        </is>
      </c>
      <c r="AF212" s="282" t="inlineStr">
        <is>
          <t>old</t>
        </is>
      </c>
      <c r="AG212" s="282" t="inlineStr">
        <is>
          <t>old</t>
        </is>
      </c>
      <c r="AH212" s="282" t="inlineStr">
        <is>
          <t>old</t>
        </is>
      </c>
      <c r="AI212" s="282" t="inlineStr">
        <is>
          <t>old</t>
        </is>
      </c>
      <c r="AJ212" s="282" t="inlineStr">
        <is>
          <t>old</t>
        </is>
      </c>
      <c r="AK212" s="282" t="inlineStr">
        <is>
          <t>old</t>
        </is>
      </c>
      <c r="AL212" s="282" t="inlineStr">
        <is>
          <t>old</t>
        </is>
      </c>
      <c r="AM212" s="282" t="inlineStr">
        <is>
          <t>old</t>
        </is>
      </c>
      <c r="AN212" s="282" t="inlineStr">
        <is>
          <t>old</t>
        </is>
      </c>
      <c r="AO212" s="282" t="inlineStr">
        <is>
          <t>old</t>
        </is>
      </c>
      <c r="AP212" s="282" t="inlineStr">
        <is>
          <t>old</t>
        </is>
      </c>
      <c r="AQ212" s="282" t="inlineStr">
        <is>
          <t>old</t>
        </is>
      </c>
      <c r="AR212" s="282" t="inlineStr">
        <is>
          <t>old</t>
        </is>
      </c>
      <c r="AS212" s="282" t="inlineStr">
        <is>
          <t>old</t>
        </is>
      </c>
      <c r="AT212" s="282" t="inlineStr">
        <is>
          <t>old</t>
        </is>
      </c>
      <c r="AU212" s="282" t="inlineStr">
        <is>
          <t>old</t>
        </is>
      </c>
      <c r="AV212" s="282" t="inlineStr">
        <is>
          <t>old</t>
        </is>
      </c>
      <c r="AW212" s="282" t="inlineStr">
        <is>
          <t>old</t>
        </is>
      </c>
      <c r="AX212" s="282" t="inlineStr">
        <is>
          <t>old</t>
        </is>
      </c>
      <c r="AY212" s="282" t="inlineStr">
        <is>
          <t>old</t>
        </is>
      </c>
      <c r="AZ212" s="282" t="inlineStr">
        <is>
          <t>old</t>
        </is>
      </c>
      <c r="BA212" s="282" t="inlineStr">
        <is>
          <t>old</t>
        </is>
      </c>
      <c r="BB212" s="282" t="inlineStr">
        <is>
          <t>old</t>
        </is>
      </c>
      <c r="BC212" s="282" t="inlineStr">
        <is>
          <t>old</t>
        </is>
      </c>
      <c r="BD212" s="282" t="inlineStr">
        <is>
          <t>old</t>
        </is>
      </c>
      <c r="BE212" s="282" t="inlineStr">
        <is>
          <t>old</t>
        </is>
      </c>
      <c r="BF212" s="282" t="inlineStr">
        <is>
          <t>old</t>
        </is>
      </c>
      <c r="BG212" s="282" t="inlineStr">
        <is>
          <t>old</t>
        </is>
      </c>
      <c r="BH212" s="282" t="inlineStr">
        <is>
          <t>old</t>
        </is>
      </c>
      <c r="BI212" s="282" t="inlineStr">
        <is>
          <t>current</t>
        </is>
      </c>
      <c r="BJ212" s="282" t="inlineStr">
        <is>
          <t>current</t>
        </is>
      </c>
      <c r="BK212" s="282" t="inlineStr">
        <is>
          <t>current</t>
        </is>
      </c>
      <c r="BL212" s="282" t="inlineStr">
        <is>
          <t>current</t>
        </is>
      </c>
      <c r="BM212" s="282" t="inlineStr">
        <is>
          <t>current</t>
        </is>
      </c>
      <c r="BN212" s="282" t="inlineStr">
        <is>
          <t>current</t>
        </is>
      </c>
      <c r="BO212" s="282" t="inlineStr">
        <is>
          <t>current</t>
        </is>
      </c>
      <c r="BP212" s="282" t="inlineStr">
        <is>
          <t>current</t>
        </is>
      </c>
      <c r="BQ212" s="282" t="inlineStr">
        <is>
          <t>current</t>
        </is>
      </c>
      <c r="BR212" s="282" t="inlineStr">
        <is>
          <t>current</t>
        </is>
      </c>
      <c r="BS212" s="282" t="inlineStr">
        <is>
          <t>current</t>
        </is>
      </c>
      <c r="BT212" s="282" t="inlineStr">
        <is>
          <t>current</t>
        </is>
      </c>
      <c r="BU212" s="282" t="inlineStr">
        <is>
          <t>current</t>
        </is>
      </c>
      <c r="BV212" s="282" t="inlineStr">
        <is>
          <t>current</t>
        </is>
      </c>
      <c r="BW212" s="282" t="inlineStr">
        <is>
          <t>current</t>
        </is>
      </c>
      <c r="BX212" s="282" t="inlineStr">
        <is>
          <t>current</t>
        </is>
      </c>
      <c r="BY212" s="282" t="inlineStr">
        <is>
          <t>current</t>
        </is>
      </c>
      <c r="BZ212" s="282" t="inlineStr">
        <is>
          <t>current</t>
        </is>
      </c>
      <c r="CA212" s="282" t="inlineStr">
        <is>
          <t>current</t>
        </is>
      </c>
      <c r="CB212" s="282" t="inlineStr">
        <is>
          <t>current</t>
        </is>
      </c>
      <c r="CC212" s="283" t="str">
        <f>"current"</f>
        <v>current</v>
      </c>
      <c r="CD212" s="283" t="str">
        <f>"current"</f>
        <v>current</v>
      </c>
      <c r="CE212" s="283" t="str">
        <f>"current"</f>
        <v>current</v>
      </c>
      <c r="CF212" s="283" t="str">
        <f>"current"</f>
        <v>current</v>
      </c>
      <c r="CG212" s="283" t="str">
        <f>"current"</f>
        <v>current</v>
      </c>
      <c r="CH212" s="283" t="str">
        <f>"current"</f>
        <v>current</v>
      </c>
      <c r="CI212" s="283" t="str">
        <f>"current"</f>
        <v>current</v>
      </c>
      <c r="CJ212" s="283" t="str">
        <f>"current"</f>
        <v>current</v>
      </c>
      <c r="CK212" s="283" t="str">
        <f>"current"</f>
        <v>current</v>
      </c>
      <c r="CL212" s="19" t="n"/>
    </row>
    <row r="213" ht="15" customHeight="1" s="251">
      <c r="B213" s="158" t="inlineStr">
        <is>
          <t xml:space="preserve">  Definition / basis (company adjusted EPS definition)</t>
        </is>
      </c>
      <c r="C213" s="281" t="inlineStr">
        <is>
          <t>FY2006–Q1 FY23 (old): GAAP net income + items net of tax (incl. FX translation, debt extinguishment, discrete tax); FY2006 adjusted EPS not published</t>
        </is>
      </c>
      <c r="I213" s="281" t="inlineStr">
        <is>
          <t>FY2012: no adjusting items, releases show GAAP only (adjusted = GAAP)</t>
        </is>
      </c>
      <c r="BE213" s="281" t="inlineStr">
        <is>
          <t>Q3 FY22–Q1 FY23: pre-tax items with a tax line; preferred dividends (MCPS) deducted; "adjusted cash net income" (Q3–Q4 FY22) and "new adjusted" (Q1 FY23) shown alongside</t>
        </is>
      </c>
      <c r="BI213" s="281" t="inlineStr">
        <is>
          <t>Q2 FY23+ (current): also adds back M&amp;A-related amortization, stock compensation and amortization of deferred finance fees, tax-effected</t>
        </is>
      </c>
      <c r="BT213" s="281" t="inlineStr">
        <is>
          <t>Q3 FY25: Series A MCPS converted into common stock (Oct-2024); no preferred dividends thereafter</t>
        </is>
      </c>
      <c r="CC213" s="153" t="n"/>
      <c r="CD213" s="153" t="n"/>
      <c r="CE213" s="153" t="n"/>
      <c r="CF213" s="153" t="n"/>
      <c r="CG213" s="153" t="n"/>
      <c r="CH213" s="153" t="n"/>
      <c r="CI213" s="153" t="n"/>
      <c r="CJ213" s="153" t="n"/>
      <c r="CK213" s="153" t="n"/>
      <c r="CL213" s="19" t="n"/>
    </row>
    <row r="214" ht="15" customHeight="1" s="251">
      <c r="CT214" s="11" t="n"/>
      <c r="CU214" s="12" t="n"/>
      <c r="CV214" s="12" t="n"/>
      <c r="CW214" s="12" t="n"/>
      <c r="CX214" s="13" t="n"/>
    </row>
    <row r="215" ht="15" customHeight="1" s="251">
      <c r="B215" s="10" t="inlineStr">
        <is>
          <t>GROWTH &amp; MARGINS</t>
        </is>
      </c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  <c r="AC215" s="10" t="n"/>
      <c r="AD215" s="10" t="n"/>
      <c r="AE215" s="10" t="n"/>
      <c r="AF215" s="10" t="n"/>
      <c r="AG215" s="10" t="n"/>
      <c r="AH215" s="10" t="n"/>
      <c r="AI215" s="10" t="n"/>
      <c r="AJ215" s="10" t="n"/>
      <c r="AK215" s="10" t="n"/>
      <c r="AL215" s="10" t="n"/>
      <c r="AM215" s="10" t="n"/>
      <c r="AN215" s="10" t="n"/>
      <c r="AO215" s="10" t="n"/>
      <c r="AP215" s="10" t="n"/>
      <c r="AQ215" s="10" t="n"/>
      <c r="AR215" s="10" t="n"/>
      <c r="AS215" s="10" t="n"/>
      <c r="AT215" s="10" t="n"/>
      <c r="AU215" s="10" t="n"/>
      <c r="AV215" s="10" t="n"/>
      <c r="AW215" s="10" t="n"/>
      <c r="AX215" s="10" t="n"/>
      <c r="AY215" s="10" t="n"/>
      <c r="AZ215" s="10" t="n"/>
      <c r="BA215" s="10" t="n"/>
      <c r="BB215" s="10" t="n"/>
      <c r="BC215" s="10" t="n"/>
      <c r="BD215" s="10" t="n"/>
      <c r="BE215" s="10" t="n"/>
      <c r="BF215" s="10" t="n"/>
      <c r="BG215" s="10" t="n"/>
      <c r="BH215" s="10" t="n"/>
      <c r="BI215" s="10" t="n"/>
      <c r="BJ215" s="10" t="n"/>
      <c r="BK215" s="10" t="n"/>
      <c r="BL215" s="10" t="n"/>
      <c r="BM215" s="10" t="n"/>
      <c r="BN215" s="10" t="n"/>
      <c r="BO215" s="10" t="n"/>
      <c r="BP215" s="10" t="n"/>
      <c r="BQ215" s="10" t="n"/>
      <c r="BR215" s="10" t="n"/>
      <c r="BS215" s="10" t="n"/>
      <c r="BT215" s="10" t="n"/>
      <c r="BU215" s="10" t="n"/>
      <c r="BV215" s="10" t="n"/>
      <c r="BW215" s="10" t="n"/>
      <c r="BX215" s="10" t="n"/>
      <c r="BY215" s="10" t="n"/>
      <c r="BZ215" s="10" t="n"/>
      <c r="CA215" s="10" t="n"/>
      <c r="CB215" s="10" t="n"/>
      <c r="CC215" s="10" t="n"/>
      <c r="CD215" s="10" t="n"/>
      <c r="CE215" s="10" t="n"/>
      <c r="CF215" s="10" t="n"/>
      <c r="CG215" s="10" t="n"/>
      <c r="CH215" s="10" t="n"/>
      <c r="CI215" s="10" t="n"/>
      <c r="CJ215" s="10" t="n"/>
      <c r="CK215" s="10" t="n"/>
      <c r="CL215" s="10" t="inlineStr">
        <is>
          <t>GROWTH &amp; MARGINS (consolidated) — forecast outputs</t>
        </is>
      </c>
    </row>
    <row r="216" ht="15" customHeight="1" s="251">
      <c r="B216" s="22" t="inlineStr">
        <is>
          <t xml:space="preserve">  Net sales y/y %</t>
        </is>
      </c>
      <c r="C216" s="23" t="n"/>
      <c r="D216" s="255">
        <f>IF(AND(ISNUMBER(D108),ISNUMBER(C108)),IFERROR(D108/C108-1,""),"")</f>
        <v>0.114943408048552</v>
      </c>
      <c r="E216" s="255">
        <f>IF(AND(ISNUMBER(E108),ISNUMBER(D108)),IFERROR(E108/D108-1,""),"")</f>
        <v>0.080173298220622</v>
      </c>
      <c r="F216" s="255">
        <f>IF(AND(ISNUMBER(F108),ISNUMBER(E108)),IFERROR(F108/E108-1,""),"")</f>
        <v>0.0762129461584995</v>
      </c>
      <c r="G216" s="255">
        <f>IF(AND(ISNUMBER(G108),ISNUMBER(F108)),IFERROR(G108/F108-1,""),"")</f>
        <v>-0.227922742245556</v>
      </c>
      <c r="H216" s="255">
        <f>IF(AND(ISNUMBER(H108),ISNUMBER(G108)),IFERROR(H108/G108-1,""),"")</f>
        <v>0.221778509075289</v>
      </c>
      <c r="I216" s="255">
        <f>IF(AND(ISNUMBER(I108),ISNUMBER(H108)),IFERROR(I108/H108-1,""),"")</f>
        <v>0.184390316573557</v>
      </c>
      <c r="J216" s="23" t="n"/>
      <c r="K216" s="23" t="n"/>
      <c r="L216" s="23" t="n"/>
      <c r="M216" s="23" t="n"/>
      <c r="N216" s="255">
        <f>IF(AND(ISNUMBER(N108),ISNUMBER(I108)),IFERROR(N108/I108-1,""),"")</f>
        <v>0.0139367212479653</v>
      </c>
      <c r="O216" s="255">
        <f>IF(AND(ISNUMBER(O108),ISNUMBER(J108)),IFERROR(O108/J108-1,""),"")</f>
        <v>-0.00644511970890505</v>
      </c>
      <c r="P216" s="255">
        <f>IF(AND(ISNUMBER(P108),ISNUMBER(K108)),IFERROR(P108/K108-1,""),"")</f>
        <v>0.0157310087173099</v>
      </c>
      <c r="Q216" s="255">
        <f>IF(AND(ISNUMBER(Q108),ISNUMBER(L108)),IFERROR(Q108/L108-1,""),"")</f>
        <v>0.0437012124231857</v>
      </c>
      <c r="R216" s="255">
        <f>IF(AND(ISNUMBER(R108),ISNUMBER(M108)),IFERROR(R108/M108-1,""),"")</f>
        <v>0.10399394210046</v>
      </c>
      <c r="S216" s="255">
        <f>IF(AND(ISNUMBER(S108),ISNUMBER(N108)),IFERROR(S108/N108-1,""),"")</f>
        <v>0.0392878320609551</v>
      </c>
      <c r="T216" s="255">
        <f>IF(AND(ISNUMBER(T108),ISNUMBER(O108)),IFERROR(T108/O108-1,""),"")</f>
        <v>0.100479214555655</v>
      </c>
      <c r="U216" s="255">
        <f>IF(AND(ISNUMBER(U108),ISNUMBER(P108)),IFERROR(U108/P108-1,""),"")</f>
        <v>0.103978264707613</v>
      </c>
      <c r="V216" s="255">
        <f>IF(AND(ISNUMBER(V108),ISNUMBER(Q108)),IFERROR(V108/Q108-1,""),"")</f>
        <v>0.0574463429673979</v>
      </c>
      <c r="W216" s="255">
        <f>IF(AND(ISNUMBER(W108),ISNUMBER(R108)),IFERROR(W108/R108-1,""),"")</f>
        <v>-0.00264689846814048</v>
      </c>
      <c r="X216" s="255">
        <f>IF(AND(ISNUMBER(X108),ISNUMBER(S108)),IFERROR(X108/S108-1,""),"")</f>
        <v>0.0630052090544921</v>
      </c>
      <c r="Y216" s="255">
        <f>IF(AND(ISNUMBER(Y108),ISNUMBER(T108)),IFERROR(Y108/T108-1,""),"")</f>
        <v>0.259541173971536</v>
      </c>
      <c r="Z216" s="255">
        <f>IF(AND(ISNUMBER(Z108),ISNUMBER(U108)),IFERROR(Z108/U108-1,""),"")</f>
        <v>0.321096352894141</v>
      </c>
      <c r="AA216" s="255">
        <f>IF(AND(ISNUMBER(AA108),ISNUMBER(V108)),IFERROR(AA108/V108-1,""),"")</f>
        <v>0.35640789300427</v>
      </c>
      <c r="AB216" s="255">
        <f>IF(AND(ISNUMBER(AB108),ISNUMBER(W108)),IFERROR(AB108/W108-1,""),"")</f>
        <v>0.430579190068508</v>
      </c>
      <c r="AC216" s="255">
        <f>IF(AND(ISNUMBER(AC108),ISNUMBER(X108)),IFERROR(AC108/X108-1,""),"")</f>
        <v>0.341795462609875</v>
      </c>
      <c r="AD216" s="255">
        <f>IF(AND(ISNUMBER(AD108),ISNUMBER(Y108)),IFERROR(AD108/Y108-1,""),"")</f>
        <v>0.0862284622087304</v>
      </c>
      <c r="AE216" s="255">
        <f>IF(AND(ISNUMBER(AE108),ISNUMBER(Z108)),IFERROR(AE108/Z108-1,""),"")</f>
        <v>0.0352867595631357</v>
      </c>
      <c r="AF216" s="255">
        <f>IF(AND(ISNUMBER(AF108),ISNUMBER(AA108)),IFERROR(AF108/AA108-1,""),"")</f>
        <v>0.0169190658456759</v>
      </c>
      <c r="AG216" s="255">
        <f>IF(AND(ISNUMBER(AG108),ISNUMBER(AB108)),IFERROR(AG108/AB108-1,""),"")</f>
        <v>-0.0125853610433153</v>
      </c>
      <c r="AH216" s="255">
        <f>IF(AND(ISNUMBER(AH108),ISNUMBER(AC108)),IFERROR(AH108/AC108-1,""),"")</f>
        <v>0.0299863424562157</v>
      </c>
      <c r="AI216" s="255">
        <f>IF(AND(ISNUMBER(AI108),ISNUMBER(AD108)),IFERROR(AI108/AD108-1,""),"")</f>
        <v>0.0602798569016489</v>
      </c>
      <c r="AJ216" s="255">
        <f>IF(AND(ISNUMBER(AJ108),ISNUMBER(AE108)),IFERROR(AJ108/AE108-1,""),"")</f>
        <v>0.0673885788895889</v>
      </c>
      <c r="AK216" s="255">
        <f>IF(AND(ISNUMBER(AK108),ISNUMBER(AF108)),IFERROR(AK108/AF108-1,""),"")</f>
        <v>0.13775092734017</v>
      </c>
      <c r="AL216" s="255">
        <f>IF(AND(ISNUMBER(AL108),ISNUMBER(AG108)),IFERROR(AL108/AG108-1,""),"")</f>
        <v>0.122757630609825</v>
      </c>
      <c r="AM216" s="255">
        <f>IF(AND(ISNUMBER(AM108),ISNUMBER(AH108)),IFERROR(AM108/AH108-1,""),"")</f>
        <v>0.0967860926764901</v>
      </c>
      <c r="AN216" s="255">
        <f>IF(AND(ISNUMBER(AN108),ISNUMBER(AI108)),IFERROR(AN108/AI108-1,""),"")</f>
        <v>0.0737536379555455</v>
      </c>
      <c r="AO216" s="255">
        <f>IF(AND(ISNUMBER(AO108),ISNUMBER(AJ108)),IFERROR(AO108/AJ108-1,""),"")</f>
        <v>0.0523317733405551</v>
      </c>
      <c r="AP216" s="255">
        <f>IF(AND(ISNUMBER(AP108),ISNUMBER(AK108)),IFERROR(AP108/AK108-1,""),"")</f>
        <v>0.027538385932949</v>
      </c>
      <c r="AQ216" s="255">
        <f>IF(AND(ISNUMBER(AQ108),ISNUMBER(AL108)),IFERROR(AQ108/AL108-1,""),"")</f>
        <v>0.0127031249131351</v>
      </c>
      <c r="AR216" s="255">
        <f>IF(AND(ISNUMBER(AR108),ISNUMBER(AM108)),IFERROR(AR108/AM108-1,""),"")</f>
        <v>0.0408430859220474</v>
      </c>
      <c r="AS216" s="255">
        <f>IF(AND(ISNUMBER(AS108),ISNUMBER(AN108)),IFERROR(AS108/AN108-1,""),"")</f>
        <v>0.0380998380543796</v>
      </c>
      <c r="AT216" s="255">
        <f>IF(AND(ISNUMBER(AT108),ISNUMBER(AO108)),IFERROR(AT108/AO108-1,""),"")</f>
        <v>0.0520079113558027</v>
      </c>
      <c r="AU216" s="255">
        <f>IF(AND(ISNUMBER(AU108),ISNUMBER(AP108)),IFERROR(AU108/AP108-1,""),"")</f>
        <v>0.0324637072550495</v>
      </c>
      <c r="AV216" s="255">
        <f>IF(AND(ISNUMBER(AV108),ISNUMBER(AQ108)),IFERROR(AV108/AQ108-1,""),"")</f>
        <v>0.0202072880183573</v>
      </c>
      <c r="AW216" s="255">
        <f>IF(AND(ISNUMBER(AW108),ISNUMBER(AR108)),IFERROR(AW108/AR108-1,""),"")</f>
        <v>0.0355080880720156</v>
      </c>
      <c r="AX216" s="255">
        <f>IF(AND(ISNUMBER(AX108),ISNUMBER(AS108)),IFERROR(AX108/AS108-1,""),"")</f>
        <v>-0.143395916579999</v>
      </c>
      <c r="AY216" s="255">
        <f>IF(AND(ISNUMBER(AY108),ISNUMBER(AT108)),IFERROR(AY108/AT108-1,""),"")</f>
        <v>-0.195559318120599</v>
      </c>
      <c r="AZ216" s="255">
        <f>IF(AND(ISNUMBER(AZ108),ISNUMBER(AU108)),IFERROR(AZ108/AU108-1,""),"")</f>
        <v>-0.176015004039115</v>
      </c>
      <c r="BA216" s="255">
        <f>IF(AND(ISNUMBER(BA108),ISNUMBER(AV108)),IFERROR(BA108/AV108-1,""),"")</f>
        <v>-0.137470875954435</v>
      </c>
      <c r="BB216" s="255">
        <f>IF(AND(ISNUMBER(BB108),ISNUMBER(AW108)),IFERROR(BB108/AW108-1,""),"")</f>
        <v>-0.162863713656127</v>
      </c>
      <c r="BC216" s="255">
        <f>IF(AND(ISNUMBER(BC108),ISNUMBER(AX108)),IFERROR(BC108/AX108-1,""),"")</f>
        <v>-0.00184033790648774</v>
      </c>
      <c r="BD216" s="255">
        <f>IF(AND(ISNUMBER(BD108),ISNUMBER(AY108)),IFERROR(BD108/AY108-1,""),"")</f>
        <v>0.099531895992073</v>
      </c>
      <c r="BE216" s="255">
        <f>IF(AND(ISNUMBER(BE108),ISNUMBER(AZ108)),IFERROR(BE108/AZ108-1,""),"")</f>
        <v>0.830187644401176</v>
      </c>
      <c r="BF216" s="255">
        <f>IF(AND(ISNUMBER(BF108),ISNUMBER(BA108)),IFERROR(BF108/BA108-1,""),"")</f>
        <v>1.23886584110546</v>
      </c>
      <c r="BG216" s="255">
        <f>IF(AND(ISNUMBER(BG108),ISNUMBER(BB108)),IFERROR(BG108/BB108-1,""),"")</f>
        <v>0.548377297268894</v>
      </c>
      <c r="BH216" s="255">
        <f>IF(AND(ISNUMBER(BH108),ISNUMBER(BC108)),IFERROR(BH108/BC108-1,""),"")</f>
        <v>1.26676482827054</v>
      </c>
      <c r="BI216" s="255">
        <f>IF(AND(ISNUMBER(BI108),ISNUMBER(BD108)),IFERROR(BI108/BD108-1,""),"")</f>
        <v>1.29438781852082</v>
      </c>
      <c r="BJ216" s="255">
        <f>IF(AND(ISNUMBER(BJ108),ISNUMBER(BE108)),IFERROR(BJ108/BE108-1,""),"")</f>
        <v>0.317179428588553</v>
      </c>
      <c r="BK216" s="255">
        <f>IF(AND(ISNUMBER(BK108),ISNUMBER(BF108)),IFERROR(BK108/BF108-1,""),"")</f>
        <v>0.0990389518472801</v>
      </c>
      <c r="BL216" s="255">
        <f>IF(AND(ISNUMBER(BL108),ISNUMBER(BG108)),IFERROR(BL108/BG108-1,""),"")</f>
        <v>0.558216508632072</v>
      </c>
      <c r="BM216" s="255">
        <f>IF(AND(ISNUMBER(BM108),ISNUMBER(BH108)),IFERROR(BM108/BH108-1,""),"")</f>
        <v>0.0933178942611841</v>
      </c>
      <c r="BN216" s="255">
        <f>IF(AND(ISNUMBER(BN108),ISNUMBER(BI108)),IFERROR(BN108/BI108-1,""),"")</f>
        <v>0.044437883126065</v>
      </c>
      <c r="BO216" s="255">
        <f>IF(AND(ISNUMBER(BO108),ISNUMBER(BJ108)),IFERROR(BO108/BJ108-1,""),"")</f>
        <v>0.063365801635265</v>
      </c>
      <c r="BP216" s="255">
        <f>IF(AND(ISNUMBER(BP108),ISNUMBER(BK108)),IFERROR(BP108/BK108-1,""),"")</f>
        <v>0.048825876852711</v>
      </c>
      <c r="BQ216" s="255">
        <f>IF(AND(ISNUMBER(BQ108),ISNUMBER(BL108)),IFERROR(BQ108/BL108-1,""),"")</f>
        <v>0.0619342544068604</v>
      </c>
      <c r="BR216" s="255">
        <f>IF(AND(ISNUMBER(BR108),ISNUMBER(BM108)),IFERROR(BR108/BM108-1,""),"")</f>
        <v>0.0495399383140198</v>
      </c>
      <c r="BS216" s="255">
        <f>IF(AND(ISNUMBER(BS108),ISNUMBER(BN108)),IFERROR(BS108/BN108-1,""),"")</f>
        <v>0.0319732760677642</v>
      </c>
      <c r="BT216" s="255">
        <f>IF(AND(ISNUMBER(BT108),ISNUMBER(BO108)),IFERROR(BT108/BO108-1,""),"")</f>
        <v>0.0548105673618502</v>
      </c>
      <c r="BU216" s="255">
        <f>IF(AND(ISNUMBER(BU108),ISNUMBER(BP108)),IFERROR(BU108/BP108-1,""),"")</f>
        <v>0.058064204215819</v>
      </c>
      <c r="BV216" s="255">
        <f>IF(AND(ISNUMBER(BV108),ISNUMBER(BQ108)),IFERROR(BV108/BQ108-1,""),"")</f>
        <v>0.0487085816830097</v>
      </c>
      <c r="BW216" s="255">
        <f>IF(AND(ISNUMBER(BW108),ISNUMBER(BR108)),IFERROR(BW108/BR108-1,""),"")</f>
        <v>0.0730986955451636</v>
      </c>
      <c r="BX216" s="255">
        <f>IF(AND(ISNUMBER(BX108),ISNUMBER(BS108)),IFERROR(BX108/BS108-1,""),"")</f>
        <v>0.14425735109324</v>
      </c>
      <c r="BY216" s="255">
        <f>IF(AND(ISNUMBER(BY108),ISNUMBER(BT108)),IFERROR(BY108/BT108-1,""),"")</f>
        <v>0.170385395537525</v>
      </c>
      <c r="BZ216" s="255">
        <f>IF(AND(ISNUMBER(BZ108),ISNUMBER(BU108)),IFERROR(BZ108/BU108-1,""),"")</f>
        <v>0.18345899017592</v>
      </c>
      <c r="CA216" s="255">
        <f>IF(AND(ISNUMBER(CA108),ISNUMBER(BV108)),IFERROR(CA108/BV108-1,""),"")</f>
        <v>0.143372242253865</v>
      </c>
      <c r="CB216" s="255">
        <f>IF(AND(ISNUMBER(CB108),ISNUMBER(BW108)),IFERROR(CB108/BW108-1,""),"")</f>
        <v>0.19151376146789</v>
      </c>
      <c r="CC216" s="256">
        <f>IF(AND(ISNUMBER(CC108),ISNUMBER(BX108)),IFERROR(CC108/BX108-1,""),"")</f>
        <v>0.120140566659345</v>
      </c>
      <c r="CD216" s="256">
        <f>IF(AND(ISNUMBER(CD108),ISNUMBER(BY108)),IFERROR(CD108/BY108-1,""),"")</f>
        <v>0.107006352166774</v>
      </c>
      <c r="CE216" s="256">
        <f>IF(AND(ISNUMBER(CE108),ISNUMBER(BZ108)),IFERROR(CE108/BZ108-1,""),"")</f>
        <v>0.190389769828049</v>
      </c>
      <c r="CF216" s="256">
        <f>IF(AND(ISNUMBER(CF108),ISNUMBER(CA108)),IFERROR(CF108/CA108-1,""),"")</f>
        <v>0.152983073884821</v>
      </c>
      <c r="CG216" s="256">
        <f>IF(AND(ISNUMBER(CG108),ISNUMBER(CF108)),IFERROR(CG108/CF108-1,""),"")</f>
        <v>0.105538572716391</v>
      </c>
      <c r="CH216" s="256">
        <f>IF(AND(ISNUMBER(CH108),ISNUMBER(CG108)),IFERROR(CH108/CG108-1,""),"")</f>
        <v>0.118080900539922</v>
      </c>
      <c r="CI216" s="256">
        <f>IF(AND(ISNUMBER(CI108),ISNUMBER(CH108)),IFERROR(CI108/CH108-1,""),"")</f>
        <v>0.106111090019048</v>
      </c>
      <c r="CJ216" s="256">
        <f>IF(AND(ISNUMBER(CJ108),ISNUMBER(CI108)),IFERROR(CJ108/CI108-1,""),"")</f>
        <v>0.0978129522741882</v>
      </c>
      <c r="CK216" s="256">
        <f>IF(AND(ISNUMBER(CK108),ISNUMBER(CJ108)),IFERROR(CK108/CJ108-1,""),"")</f>
        <v>0.0879517532752585</v>
      </c>
      <c r="CL216" s="153" t="n"/>
      <c r="CN216" s="37">
        <f>IFERROR(AVERAGE(CG216,CH216,CI216,CJ216,CK216),"n/m")</f>
        <v>0.103099053764961</v>
      </c>
      <c r="CO216" s="37">
        <f>IFERROR(AVERAGE(BG216,BL216,BQ216,BV216,CA216),"n/m")</f>
        <v>0.27212177684894</v>
      </c>
      <c r="CP216" s="37">
        <f>IFERROR(AVERAGE(AH216,AM216,AR216,AW216,BB216,BG216,BL216,BQ216,BV216,CA216),"n/m")</f>
        <v>0.140086877971534</v>
      </c>
      <c r="CQ216" s="37">
        <f>IFERROR(AVERAGE(C216,D216,E216,F216,G216,H216,I216,N216,S216,X216,AC216,AH216,AM216,AR216,AW216,BB216,BG216,BL216,BQ216,BV216,CA216),"n/m")</f>
        <v>0.11542348702598</v>
      </c>
    </row>
    <row r="217" ht="15" customHeight="1" s="251">
      <c r="B217" s="22" t="inlineStr">
        <is>
          <t xml:space="preserve">  Aerospace &amp; Defense sales y/y %</t>
        </is>
      </c>
      <c r="C217" s="23" t="n"/>
      <c r="D217" s="255">
        <f>IF(AND(ISNUMBER(D11),ISNUMBER(C11)),IFERROR(D11/C11-1,""),"")</f>
      </c>
      <c r="E217" s="255">
        <f>IF(AND(ISNUMBER(E11),ISNUMBER(D11)),IFERROR(E11/D11-1,""),"")</f>
      </c>
      <c r="F217" s="255">
        <f>IF(AND(ISNUMBER(F11),ISNUMBER(E11)),IFERROR(F11/E11-1,""),"")</f>
      </c>
      <c r="G217" s="255">
        <f>IF(AND(ISNUMBER(G11),ISNUMBER(F11)),IFERROR(G11/F11-1,""),"")</f>
      </c>
      <c r="H217" s="255">
        <f>IF(AND(ISNUMBER(H11),ISNUMBER(G11)),IFERROR(H11/G11-1,""),"")</f>
      </c>
      <c r="I217" s="255">
        <f>IF(AND(ISNUMBER(I11),ISNUMBER(H11)),IFERROR(I11/H11-1,""),"")</f>
      </c>
      <c r="J217" s="23" t="n"/>
      <c r="K217" s="23" t="n"/>
      <c r="L217" s="23" t="n"/>
      <c r="M217" s="23" t="n"/>
      <c r="N217" s="255">
        <f>IF(AND(ISNUMBER(N11),ISNUMBER(I11)),IFERROR(N11/I11-1,""),"")</f>
      </c>
      <c r="O217" s="255">
        <f>IF(AND(ISNUMBER(O11),ISNUMBER(J11)),IFERROR(O11/J11-1,""),"")</f>
      </c>
      <c r="P217" s="255">
        <f>IF(AND(ISNUMBER(P11),ISNUMBER(K11)),IFERROR(P11/K11-1,""),"")</f>
      </c>
      <c r="Q217" s="255">
        <f>IF(AND(ISNUMBER(Q11),ISNUMBER(L11)),IFERROR(Q11/L11-1,""),"")</f>
      </c>
      <c r="R217" s="255">
        <f>IF(AND(ISNUMBER(R11),ISNUMBER(M11)),IFERROR(R11/M11-1,""),"")</f>
      </c>
      <c r="S217" s="255">
        <f>IF(AND(ISNUMBER(S11),ISNUMBER(N11)),IFERROR(S11/N11-1,""),"")</f>
      </c>
      <c r="T217" s="255">
        <f>IF(AND(ISNUMBER(T11),ISNUMBER(O11)),IFERROR(T11/O11-1,""),"")</f>
      </c>
      <c r="U217" s="255">
        <f>IF(AND(ISNUMBER(U11),ISNUMBER(P11)),IFERROR(U11/P11-1,""),"")</f>
      </c>
      <c r="V217" s="255">
        <f>IF(AND(ISNUMBER(V11),ISNUMBER(Q11)),IFERROR(V11/Q11-1,""),"")</f>
      </c>
      <c r="W217" s="255">
        <f>IF(AND(ISNUMBER(W11),ISNUMBER(R11)),IFERROR(W11/R11-1,""),"")</f>
      </c>
      <c r="X217" s="255">
        <f>IF(AND(ISNUMBER(X11),ISNUMBER(S11)),IFERROR(X11/S11-1,""),"")</f>
      </c>
      <c r="Y217" s="255">
        <f>IF(AND(ISNUMBER(Y11),ISNUMBER(T11)),IFERROR(Y11/T11-1,""),"")</f>
      </c>
      <c r="Z217" s="255">
        <f>IF(AND(ISNUMBER(Z11),ISNUMBER(U11)),IFERROR(Z11/U11-1,""),"")</f>
      </c>
      <c r="AA217" s="255">
        <f>IF(AND(ISNUMBER(AA11),ISNUMBER(V11)),IFERROR(AA11/V11-1,""),"")</f>
      </c>
      <c r="AB217" s="255">
        <f>IF(AND(ISNUMBER(AB11),ISNUMBER(W11)),IFERROR(AB11/W11-1,""),"")</f>
      </c>
      <c r="AC217" s="255">
        <f>IF(AND(ISNUMBER(AC11),ISNUMBER(X11)),IFERROR(AC11/X11-1,""),"")</f>
      </c>
      <c r="AD217" s="255">
        <f>IF(AND(ISNUMBER(AD11),ISNUMBER(Y11)),IFERROR(AD11/Y11-1,""),"")</f>
      </c>
      <c r="AE217" s="255">
        <f>IF(AND(ISNUMBER(AE11),ISNUMBER(Z11)),IFERROR(AE11/Z11-1,""),"")</f>
      </c>
      <c r="AF217" s="255">
        <f>IF(AND(ISNUMBER(AF11),ISNUMBER(AA11)),IFERROR(AF11/AA11-1,""),"")</f>
      </c>
      <c r="AG217" s="255">
        <f>IF(AND(ISNUMBER(AG11),ISNUMBER(AB11)),IFERROR(AG11/AB11-1,""),"")</f>
      </c>
      <c r="AH217" s="255">
        <f>IF(AND(ISNUMBER(AH11),ISNUMBER(AC11)),IFERROR(AH11/AC11-1,""),"")</f>
      </c>
      <c r="AI217" s="255">
        <f>IF(AND(ISNUMBER(AI11),ISNUMBER(AD11)),IFERROR(AI11/AD11-1,""),"")</f>
      </c>
      <c r="AJ217" s="255">
        <f>IF(AND(ISNUMBER(AJ11),ISNUMBER(AE11)),IFERROR(AJ11/AE11-1,""),"")</f>
      </c>
      <c r="AK217" s="255">
        <f>IF(AND(ISNUMBER(AK11),ISNUMBER(AF11)),IFERROR(AK11/AF11-1,""),"")</f>
      </c>
      <c r="AL217" s="255">
        <f>IF(AND(ISNUMBER(AL11),ISNUMBER(AG11)),IFERROR(AL11/AG11-1,""),"")</f>
      </c>
      <c r="AM217" s="255">
        <f>IF(AND(ISNUMBER(AM11),ISNUMBER(AH11)),IFERROR(AM11/AH11-1,""),"")</f>
      </c>
      <c r="AN217" s="255">
        <f>IF(AND(ISNUMBER(AN11),ISNUMBER(AI11)),IFERROR(AN11/AI11-1,""),"")</f>
      </c>
      <c r="AO217" s="255">
        <f>IF(AND(ISNUMBER(AO11),ISNUMBER(AJ11)),IFERROR(AO11/AJ11-1,""),"")</f>
      </c>
      <c r="AP217" s="255">
        <f>IF(AND(ISNUMBER(AP11),ISNUMBER(AK11)),IFERROR(AP11/AK11-1,""),"")</f>
      </c>
      <c r="AQ217" s="255">
        <f>IF(AND(ISNUMBER(AQ11),ISNUMBER(AL11)),IFERROR(AQ11/AL11-1,""),"")</f>
      </c>
      <c r="AR217" s="255">
        <f>IF(AND(ISNUMBER(AR11),ISNUMBER(AM11)),IFERROR(AR11/AM11-1,""),"")</f>
      </c>
      <c r="AS217" s="255">
        <f>IF(AND(ISNUMBER(AS11),ISNUMBER(AN11)),IFERROR(AS11/AN11-1,""),"")</f>
      </c>
      <c r="AT217" s="255">
        <f>IF(AND(ISNUMBER(AT11),ISNUMBER(AO11)),IFERROR(AT11/AO11-1,""),"")</f>
      </c>
      <c r="AU217" s="255">
        <f>IF(AND(ISNUMBER(AU11),ISNUMBER(AP11)),IFERROR(AU11/AP11-1,""),"")</f>
      </c>
      <c r="AV217" s="255">
        <f>IF(AND(ISNUMBER(AV11),ISNUMBER(AQ11)),IFERROR(AV11/AQ11-1,""),"")</f>
      </c>
      <c r="AW217" s="255">
        <f>IF(AND(ISNUMBER(AW11),ISNUMBER(AR11)),IFERROR(AW11/AR11-1,""),"")</f>
      </c>
      <c r="AX217" s="255">
        <f>IF(AND(ISNUMBER(AX11),ISNUMBER(AS11)),IFERROR(AX11/AS11-1,""),"")</f>
      </c>
      <c r="AY217" s="255">
        <f>IF(AND(ISNUMBER(AY11),ISNUMBER(AT11)),IFERROR(AY11/AT11-1,""),"")</f>
      </c>
      <c r="AZ217" s="255">
        <f>IF(AND(ISNUMBER(AZ11),ISNUMBER(AU11)),IFERROR(AZ11/AU11-1,""),"")</f>
      </c>
      <c r="BA217" s="255">
        <f>IF(AND(ISNUMBER(BA11),ISNUMBER(AV11)),IFERROR(BA11/AV11-1,""),"")</f>
      </c>
      <c r="BB217" s="255">
        <f>IF(AND(ISNUMBER(BB11),ISNUMBER(AW11)),IFERROR(BB11/AW11-1,""),"")</f>
      </c>
      <c r="BC217" s="255">
        <f>IF(AND(ISNUMBER(BC11),ISNUMBER(AX11)),IFERROR(BC11/AX11-1,""),"")</f>
      </c>
      <c r="BD217" s="255">
        <f>IF(AND(ISNUMBER(BD11),ISNUMBER(AY11)),IFERROR(BD11/AY11-1,""),"")</f>
      </c>
      <c r="BE217" s="255">
        <f>IF(AND(ISNUMBER(BE11),ISNUMBER(AZ11)),IFERROR(BE11/AZ11-1,""),"")</f>
        <v>-0.000686201979263723</v>
      </c>
      <c r="BF217" s="255">
        <f>IF(AND(ISNUMBER(BF11),ISNUMBER(BA11)),IFERROR(BF11/BA11-1,""),"")</f>
        <v>0.089180300656714</v>
      </c>
      <c r="BG217" s="255">
        <f>IF(AND(ISNUMBER(BG11),ISNUMBER(BB11)),IFERROR(BG11/BB11-1,""),"")</f>
        <v>-0.0372367006375213</v>
      </c>
      <c r="BH217" s="255">
        <f>IF(AND(ISNUMBER(BH11),ISNUMBER(BC11)),IFERROR(BH11/BC11-1,""),"")</f>
        <v>0.0999723344215129</v>
      </c>
      <c r="BI217" s="255">
        <f>IF(AND(ISNUMBER(BI11),ISNUMBER(BD11)),IFERROR(BI11/BD11-1,""),"")</f>
        <v>0.114437927137707</v>
      </c>
      <c r="BJ217" s="255">
        <f>IF(AND(ISNUMBER(BJ11),ISNUMBER(BE11)),IFERROR(BJ11/BE11-1,""),"")</f>
        <v>0.132281149748399</v>
      </c>
      <c r="BK217" s="255">
        <f>IF(AND(ISNUMBER(BK11),ISNUMBER(BF11)),IFERROR(BK11/BF11-1,""),"")</f>
        <v>0.160432442729914</v>
      </c>
      <c r="BL217" s="255">
        <f>IF(AND(ISNUMBER(BL11),ISNUMBER(BG11)),IFERROR(BL11/BG11-1,""),"")</f>
        <v>0.128029087629893</v>
      </c>
      <c r="BM217" s="255">
        <f>IF(AND(ISNUMBER(BM11),ISNUMBER(BH11)),IFERROR(BM11/BH11-1,""),"")</f>
        <v>0.212004144910914</v>
      </c>
      <c r="BN217" s="255">
        <f>IF(AND(ISNUMBER(BN11),ISNUMBER(BI11)),IFERROR(BN11/BI11-1,""),"")</f>
        <v>0.229101479507088</v>
      </c>
      <c r="BO217" s="255">
        <f>IF(AND(ISNUMBER(BO11),ISNUMBER(BJ11)),IFERROR(BO11/BJ11-1,""),"")</f>
        <v>0.2251544555206</v>
      </c>
      <c r="BP217" s="255">
        <f>IF(AND(ISNUMBER(BP11),ISNUMBER(BK11)),IFERROR(BP11/BK11-1,""),"")</f>
        <v>0.168146895623338</v>
      </c>
      <c r="BQ217" s="255">
        <f>IF(AND(ISNUMBER(BQ11),ISNUMBER(BL11)),IFERROR(BQ11/BL11-1,""),"")</f>
        <v>0.206926682577788</v>
      </c>
      <c r="BR217" s="255">
        <f>IF(AND(ISNUMBER(BR11),ISNUMBER(BM11)),IFERROR(BR11/BM11-1,""),"")</f>
        <v>0.237631980875224</v>
      </c>
      <c r="BS217" s="255">
        <f>IF(AND(ISNUMBER(BS11),ISNUMBER(BN11)),IFERROR(BS11/BN11-1,""),"")</f>
        <v>0.125158127146011</v>
      </c>
      <c r="BT217" s="255">
        <f>IF(AND(ISNUMBER(BT11),ISNUMBER(BO11)),IFERROR(BT11/BO11-1,""),"")</f>
        <v>0.107561894302089</v>
      </c>
      <c r="BU217" s="255">
        <f>IF(AND(ISNUMBER(BU11),ISNUMBER(BP11)),IFERROR(BU11/BP11-1,""),"")</f>
        <v>0.105310126270966</v>
      </c>
      <c r="BV217" s="255">
        <f>IF(AND(ISNUMBER(BV11),ISNUMBER(BQ11)),IFERROR(BV11/BQ11-1,""),"")</f>
        <v>0.141428981282336</v>
      </c>
      <c r="BW217" s="255">
        <f>IF(AND(ISNUMBER(BW11),ISNUMBER(BR11)),IFERROR(BW11/BR11-1,""),"")</f>
        <v>0.103957075788062</v>
      </c>
      <c r="BX217" s="255">
        <f>IF(AND(ISNUMBER(BX11),ISNUMBER(BS11)),IFERROR(BX11/BS11-1,""),"")</f>
        <v>0.388268156424581</v>
      </c>
      <c r="BY217" s="255">
        <f>IF(AND(ISNUMBER(BY11),ISNUMBER(BT11)),IFERROR(BY11/BT11-1,""),"")</f>
        <v>0.414106145251397</v>
      </c>
      <c r="BZ217" s="255">
        <f>IF(AND(ISNUMBER(BZ11),ISNUMBER(BU11)),IFERROR(BZ11/BU11-1,""),"")</f>
        <v>0.411951684678957</v>
      </c>
      <c r="CA217" s="255">
        <f>IF(AND(ISNUMBER(CA11),ISNUMBER(BV11)),IFERROR(CA11/BV11-1,""),"")</f>
        <v>0.329284750337382</v>
      </c>
      <c r="CB217" s="255">
        <f>IF(AND(ISNUMBER(CB11),ISNUMBER(BW11)),IFERROR(CB11/BW11-1,""),"")</f>
        <v>0.369380315917376</v>
      </c>
      <c r="CC217" s="256">
        <f>IF(AND(ISNUMBER(CC11),ISNUMBER(BX11)),IFERROR(CC11/BX11-1,""),"")</f>
        <v>0.181592097165867</v>
      </c>
      <c r="CD217" s="256">
        <f>IF(AND(ISNUMBER(CD11),ISNUMBER(BY11)),IFERROR(CD11/BY11-1,""),"")</f>
        <v>0.141853666582366</v>
      </c>
      <c r="CE217" s="256">
        <f>IF(AND(ISNUMBER(CE11),ISNUMBER(BZ11)),IFERROR(CE11/BZ11-1,""),"")</f>
        <v>0.229688564011779</v>
      </c>
      <c r="CF217" s="256">
        <f>IF(AND(ISNUMBER(CF11),ISNUMBER(CA11)),IFERROR(CF11/CA11-1,""),"")</f>
        <v>0.224162064043807</v>
      </c>
      <c r="CG217" s="256">
        <f>IF(AND(ISNUMBER(CG11),ISNUMBER(CF11)),IFERROR(CG11/CF11-1,""),"")</f>
        <v>0.11</v>
      </c>
      <c r="CH217" s="256">
        <f>IF(AND(ISNUMBER(CH11),ISNUMBER(CG11)),IFERROR(CH11/CG11-1,""),"")</f>
        <v>0.1</v>
      </c>
      <c r="CI217" s="256">
        <f>IF(AND(ISNUMBER(CI11),ISNUMBER(CH11)),IFERROR(CI11/CH11-1,""),"")</f>
        <v>0.0900000000000001</v>
      </c>
      <c r="CJ217" s="256">
        <f>IF(AND(ISNUMBER(CJ11),ISNUMBER(CI11)),IFERROR(CJ11/CI11-1,""),"")</f>
        <v>0.0800000000000001</v>
      </c>
      <c r="CK217" s="256">
        <f>IF(AND(ISNUMBER(CK11),ISNUMBER(CJ11)),IFERROR(CK11/CJ11-1,""),"")</f>
        <v>0.0700000000000001</v>
      </c>
      <c r="CL217" s="153" t="n"/>
      <c r="CN217" s="37">
        <f>IFERROR(AVERAGE(CG217,CH217,CI217,CJ217,CK217),"n/m")</f>
        <v>0.0900000000000001</v>
      </c>
      <c r="CO217" s="37">
        <f>IFERROR(AVERAGE(BG217,BL217,BQ217,BV217,CA217),"n/m")</f>
        <v>0.153686560237975</v>
      </c>
      <c r="CP217" s="37">
        <f>IFERROR(AVERAGE(AH217,AM217,AR217,AW217,BB217,BG217,BL217,BQ217,BV217,CA217),"n/m")</f>
        <v>0.153686560237975</v>
      </c>
      <c r="CQ217" s="37">
        <f>IFERROR(AVERAGE(C217,D217,E217,F217,G217,H217,I217,N217,S217,X217,AC217,AH217,AM217,AR217,AW217,BB217,BG217,BL217,BQ217,BV217,CA217),"n/m")</f>
        <v>0.153686560237975</v>
      </c>
    </row>
    <row r="218" ht="15" customHeight="1" s="251">
      <c r="B218" s="22" t="inlineStr">
        <is>
          <t xml:space="preserve">  Industrial sales y/y %</t>
        </is>
      </c>
      <c r="C218" s="23" t="n"/>
      <c r="D218" s="255">
        <f>IF(AND(ISNUMBER(D23),ISNUMBER(C23)),IFERROR(D23/C23-1,""),"")</f>
      </c>
      <c r="E218" s="255">
        <f>IF(AND(ISNUMBER(E23),ISNUMBER(D23)),IFERROR(E23/D23-1,""),"")</f>
      </c>
      <c r="F218" s="255">
        <f>IF(AND(ISNUMBER(F23),ISNUMBER(E23)),IFERROR(F23/E23-1,""),"")</f>
      </c>
      <c r="G218" s="255">
        <f>IF(AND(ISNUMBER(G23),ISNUMBER(F23)),IFERROR(G23/F23-1,""),"")</f>
      </c>
      <c r="H218" s="255">
        <f>IF(AND(ISNUMBER(H23),ISNUMBER(G23)),IFERROR(H23/G23-1,""),"")</f>
      </c>
      <c r="I218" s="255">
        <f>IF(AND(ISNUMBER(I23),ISNUMBER(H23)),IFERROR(I23/H23-1,""),"")</f>
      </c>
      <c r="J218" s="23" t="n"/>
      <c r="K218" s="23" t="n"/>
      <c r="L218" s="23" t="n"/>
      <c r="M218" s="23" t="n"/>
      <c r="N218" s="255">
        <f>IF(AND(ISNUMBER(N23),ISNUMBER(I23)),IFERROR(N23/I23-1,""),"")</f>
      </c>
      <c r="O218" s="255">
        <f>IF(AND(ISNUMBER(O23),ISNUMBER(J23)),IFERROR(O23/J23-1,""),"")</f>
      </c>
      <c r="P218" s="255">
        <f>IF(AND(ISNUMBER(P23),ISNUMBER(K23)),IFERROR(P23/K23-1,""),"")</f>
      </c>
      <c r="Q218" s="255">
        <f>IF(AND(ISNUMBER(Q23),ISNUMBER(L23)),IFERROR(Q23/L23-1,""),"")</f>
      </c>
      <c r="R218" s="255">
        <f>IF(AND(ISNUMBER(R23),ISNUMBER(M23)),IFERROR(R23/M23-1,""),"")</f>
      </c>
      <c r="S218" s="255">
        <f>IF(AND(ISNUMBER(S23),ISNUMBER(N23)),IFERROR(S23/N23-1,""),"")</f>
      </c>
      <c r="T218" s="255">
        <f>IF(AND(ISNUMBER(T23),ISNUMBER(O23)),IFERROR(T23/O23-1,""),"")</f>
      </c>
      <c r="U218" s="255">
        <f>IF(AND(ISNUMBER(U23),ISNUMBER(P23)),IFERROR(U23/P23-1,""),"")</f>
      </c>
      <c r="V218" s="255">
        <f>IF(AND(ISNUMBER(V23),ISNUMBER(Q23)),IFERROR(V23/Q23-1,""),"")</f>
      </c>
      <c r="W218" s="255">
        <f>IF(AND(ISNUMBER(W23),ISNUMBER(R23)),IFERROR(W23/R23-1,""),"")</f>
      </c>
      <c r="X218" s="255">
        <f>IF(AND(ISNUMBER(X23),ISNUMBER(S23)),IFERROR(X23/S23-1,""),"")</f>
      </c>
      <c r="Y218" s="255">
        <f>IF(AND(ISNUMBER(Y23),ISNUMBER(T23)),IFERROR(Y23/T23-1,""),"")</f>
      </c>
      <c r="Z218" s="255">
        <f>IF(AND(ISNUMBER(Z23),ISNUMBER(U23)),IFERROR(Z23/U23-1,""),"")</f>
      </c>
      <c r="AA218" s="255">
        <f>IF(AND(ISNUMBER(AA23),ISNUMBER(V23)),IFERROR(AA23/V23-1,""),"")</f>
      </c>
      <c r="AB218" s="255">
        <f>IF(AND(ISNUMBER(AB23),ISNUMBER(W23)),IFERROR(AB23/W23-1,""),"")</f>
      </c>
      <c r="AC218" s="255">
        <f>IF(AND(ISNUMBER(AC23),ISNUMBER(X23)),IFERROR(AC23/X23-1,""),"")</f>
      </c>
      <c r="AD218" s="255">
        <f>IF(AND(ISNUMBER(AD23),ISNUMBER(Y23)),IFERROR(AD23/Y23-1,""),"")</f>
      </c>
      <c r="AE218" s="255">
        <f>IF(AND(ISNUMBER(AE23),ISNUMBER(Z23)),IFERROR(AE23/Z23-1,""),"")</f>
      </c>
      <c r="AF218" s="255">
        <f>IF(AND(ISNUMBER(AF23),ISNUMBER(AA23)),IFERROR(AF23/AA23-1,""),"")</f>
      </c>
      <c r="AG218" s="255">
        <f>IF(AND(ISNUMBER(AG23),ISNUMBER(AB23)),IFERROR(AG23/AB23-1,""),"")</f>
      </c>
      <c r="AH218" s="255">
        <f>IF(AND(ISNUMBER(AH23),ISNUMBER(AC23)),IFERROR(AH23/AC23-1,""),"")</f>
      </c>
      <c r="AI218" s="255">
        <f>IF(AND(ISNUMBER(AI23),ISNUMBER(AD23)),IFERROR(AI23/AD23-1,""),"")</f>
      </c>
      <c r="AJ218" s="255">
        <f>IF(AND(ISNUMBER(AJ23),ISNUMBER(AE23)),IFERROR(AJ23/AE23-1,""),"")</f>
      </c>
      <c r="AK218" s="255">
        <f>IF(AND(ISNUMBER(AK23),ISNUMBER(AF23)),IFERROR(AK23/AF23-1,""),"")</f>
      </c>
      <c r="AL218" s="255">
        <f>IF(AND(ISNUMBER(AL23),ISNUMBER(AG23)),IFERROR(AL23/AG23-1,""),"")</f>
      </c>
      <c r="AM218" s="255">
        <f>IF(AND(ISNUMBER(AM23),ISNUMBER(AH23)),IFERROR(AM23/AH23-1,""),"")</f>
      </c>
      <c r="AN218" s="255">
        <f>IF(AND(ISNUMBER(AN23),ISNUMBER(AI23)),IFERROR(AN23/AI23-1,""),"")</f>
      </c>
      <c r="AO218" s="255">
        <f>IF(AND(ISNUMBER(AO23),ISNUMBER(AJ23)),IFERROR(AO23/AJ23-1,""),"")</f>
      </c>
      <c r="AP218" s="255">
        <f>IF(AND(ISNUMBER(AP23),ISNUMBER(AK23)),IFERROR(AP23/AK23-1,""),"")</f>
      </c>
      <c r="AQ218" s="255">
        <f>IF(AND(ISNUMBER(AQ23),ISNUMBER(AL23)),IFERROR(AQ23/AL23-1,""),"")</f>
      </c>
      <c r="AR218" s="255">
        <f>IF(AND(ISNUMBER(AR23),ISNUMBER(AM23)),IFERROR(AR23/AM23-1,""),"")</f>
      </c>
      <c r="AS218" s="255">
        <f>IF(AND(ISNUMBER(AS23),ISNUMBER(AN23)),IFERROR(AS23/AN23-1,""),"")</f>
      </c>
      <c r="AT218" s="255">
        <f>IF(AND(ISNUMBER(AT23),ISNUMBER(AO23)),IFERROR(AT23/AO23-1,""),"")</f>
      </c>
      <c r="AU218" s="255">
        <f>IF(AND(ISNUMBER(AU23),ISNUMBER(AP23)),IFERROR(AU23/AP23-1,""),"")</f>
      </c>
      <c r="AV218" s="255">
        <f>IF(AND(ISNUMBER(AV23),ISNUMBER(AQ23)),IFERROR(AV23/AQ23-1,""),"")</f>
      </c>
      <c r="AW218" s="255">
        <f>IF(AND(ISNUMBER(AW23),ISNUMBER(AR23)),IFERROR(AW23/AR23-1,""),"")</f>
      </c>
      <c r="AX218" s="255">
        <f>IF(AND(ISNUMBER(AX23),ISNUMBER(AS23)),IFERROR(AX23/AS23-1,""),"")</f>
      </c>
      <c r="AY218" s="255">
        <f>IF(AND(ISNUMBER(AY23),ISNUMBER(AT23)),IFERROR(AY23/AT23-1,""),"")</f>
      </c>
      <c r="AZ218" s="255">
        <f>IF(AND(ISNUMBER(AZ23),ISNUMBER(AU23)),IFERROR(AZ23/AU23-1,""),"")</f>
      </c>
      <c r="BA218" s="255">
        <f>IF(AND(ISNUMBER(BA23),ISNUMBER(AV23)),IFERROR(BA23/AV23-1,""),"")</f>
      </c>
      <c r="BB218" s="255">
        <f>IF(AND(ISNUMBER(BB23),ISNUMBER(AW23)),IFERROR(BB23/AW23-1,""),"")</f>
      </c>
      <c r="BC218" s="255">
        <f>IF(AND(ISNUMBER(BC23),ISNUMBER(AX23)),IFERROR(BC23/AX23-1,""),"")</f>
      </c>
      <c r="BD218" s="255">
        <f>IF(AND(ISNUMBER(BD23),ISNUMBER(AY23)),IFERROR(BD23/AY23-1,""),"")</f>
      </c>
      <c r="BE218" s="255">
        <f>IF(AND(ISNUMBER(BE23),ISNUMBER(AZ23)),IFERROR(BE23/AZ23-1,""),"")</f>
        <v>2.30360877666654</v>
      </c>
      <c r="BF218" s="255">
        <f>IF(AND(ISNUMBER(BF23),ISNUMBER(BA23)),IFERROR(BF23/BA23-1,""),"")</f>
        <v>2.97292898945326</v>
      </c>
      <c r="BG218" s="255">
        <f>IF(AND(ISNUMBER(BG23),ISNUMBER(BB23)),IFERROR(BG23/BB23-1,""),"")</f>
        <v>1.63895338453295</v>
      </c>
      <c r="BH218" s="255">
        <f>IF(AND(ISNUMBER(BH23),ISNUMBER(BC23)),IFERROR(BH23/BC23-1,""),"")</f>
        <v>2.86818043742406</v>
      </c>
      <c r="BI218" s="255">
        <f>IF(AND(ISNUMBER(BI23),ISNUMBER(BD23)),IFERROR(BI23/BD23-1,""),"")</f>
        <v>2.90702360814886</v>
      </c>
      <c r="BJ218" s="255">
        <f>IF(AND(ISNUMBER(BJ23),ISNUMBER(BE23)),IFERROR(BJ23/BE23-1,""),"")</f>
        <v>0.416362589928057</v>
      </c>
      <c r="BK218" s="255">
        <f>IF(AND(ISNUMBER(BK23),ISNUMBER(BF23)),IFERROR(BK23/BF23-1,""),"")</f>
        <v>0.0736527842327901</v>
      </c>
      <c r="BL218" s="255">
        <f>IF(AND(ISNUMBER(BL23),ISNUMBER(BG23)),IFERROR(BL23/BG23-1,""),"")</f>
        <v>0.850479723724729</v>
      </c>
      <c r="BM218" s="255">
        <f>IF(AND(ISNUMBER(BM23),ISNUMBER(BH23)),IFERROR(BM23/BH23-1,""),"")</f>
        <v>0.0469960460340582</v>
      </c>
      <c r="BN218" s="255">
        <f>IF(AND(ISNUMBER(BN23),ISNUMBER(BI23)),IFERROR(BN23/BI23-1,""),"")</f>
        <v>-0.027550739969656</v>
      </c>
      <c r="BO218" s="255">
        <f>IF(AND(ISNUMBER(BO23),ISNUMBER(BJ23)),IFERROR(BO23/BJ23-1,""),"")</f>
        <v>-0.00601398658230823</v>
      </c>
      <c r="BP218" s="255">
        <f>IF(AND(ISNUMBER(BP23),ISNUMBER(BK23)),IFERROR(BP23/BK23-1,""),"")</f>
        <v>-0.00450119958619766</v>
      </c>
      <c r="BQ218" s="255">
        <f>IF(AND(ISNUMBER(BQ23),ISNUMBER(BL23)),IFERROR(BQ23/BL23-1,""),"")</f>
        <v>0.00187105324705694</v>
      </c>
      <c r="BR218" s="255">
        <f>IF(AND(ISNUMBER(BR23),ISNUMBER(BM23)),IFERROR(BR23/BM23-1,""),"")</f>
        <v>-0.0354397149821863</v>
      </c>
      <c r="BS218" s="255">
        <f>IF(AND(ISNUMBER(BS23),ISNUMBER(BN23)),IFERROR(BS23/BN23-1,""),"")</f>
        <v>-0.0139410997247398</v>
      </c>
      <c r="BT218" s="255">
        <f>IF(AND(ISNUMBER(BT23),ISNUMBER(BO23)),IFERROR(BT23/BO23-1,""),"")</f>
        <v>0.0269282499294805</v>
      </c>
      <c r="BU218" s="255">
        <f>IF(AND(ISNUMBER(BU23),ISNUMBER(BP23)),IFERROR(BU23/BP23-1,""),"")</f>
        <v>0.0332870245829446</v>
      </c>
      <c r="BV218" s="255">
        <f>IF(AND(ISNUMBER(BV23),ISNUMBER(BQ23)),IFERROR(BV23/BQ23-1,""),"")</f>
        <v>0.00246798298830564</v>
      </c>
      <c r="BW218" s="255">
        <f>IF(AND(ISNUMBER(BW23),ISNUMBER(BR23)),IFERROR(BW23/BR23-1,""),"")</f>
        <v>0.0552099533437014</v>
      </c>
      <c r="BX218" s="255">
        <f>IF(AND(ISNUMBER(BX23),ISNUMBER(BS23)),IFERROR(BX23/BS23-1,""),"")</f>
        <v>0.00706713780918733</v>
      </c>
      <c r="BY218" s="255">
        <f>IF(AND(ISNUMBER(BY23),ISNUMBER(BT23)),IFERROR(BY23/BT23-1,""),"")</f>
        <v>0.0314490445859874</v>
      </c>
      <c r="BZ218" s="255">
        <f>IF(AND(ISNUMBER(BZ23),ISNUMBER(BU23)),IFERROR(BZ23/BU23-1,""),"")</f>
        <v>0.0552781740370898</v>
      </c>
      <c r="CA218" s="255">
        <f>IF(AND(ISNUMBER(CA23),ISNUMBER(BV23)),IFERROR(CA23/BV23-1,""),"")</f>
        <v>0.0377575467177769</v>
      </c>
      <c r="CB218" s="255">
        <f>IF(AND(ISNUMBER(CB23),ISNUMBER(BW23)),IFERROR(CB23/BW23-1,""),"")</f>
        <v>0.0836403831982315</v>
      </c>
      <c r="CC218" s="256">
        <f>IF(AND(ISNUMBER(CC23),ISNUMBER(BX23)),IFERROR(CC23/BX23-1,""),"")</f>
        <v>0.0725126358028287</v>
      </c>
      <c r="CD218" s="256">
        <f>IF(AND(ISNUMBER(CD23),ISNUMBER(BY23)),IFERROR(CD23/BY23-1,""),"")</f>
        <v>0.0797713804602613</v>
      </c>
      <c r="CE218" s="256">
        <f>IF(AND(ISNUMBER(CE23),ISNUMBER(BZ23)),IFERROR(CE23/BZ23-1,""),"")</f>
        <v>0.160892432253847</v>
      </c>
      <c r="CF218" s="256">
        <f>IF(AND(ISNUMBER(CF23),ISNUMBER(CA23)),IFERROR(CF23/CA23-1,""),"")</f>
        <v>0.101187853416375</v>
      </c>
      <c r="CG218" s="256">
        <f>IF(AND(ISNUMBER(CG23),ISNUMBER(CF23)),IFERROR(CG23/CF23-1,""),"")</f>
        <v>0.0600000000000001</v>
      </c>
      <c r="CH218" s="256">
        <f>IF(AND(ISNUMBER(CH23),ISNUMBER(CG23)),IFERROR(CH23/CG23-1,""),"")</f>
        <v>0.0549999999999999</v>
      </c>
      <c r="CI218" s="256">
        <f>IF(AND(ISNUMBER(CI23),ISNUMBER(CH23)),IFERROR(CI23/CH23-1,""),"")</f>
        <v>0.05</v>
      </c>
      <c r="CJ218" s="256">
        <f>IF(AND(ISNUMBER(CJ23),ISNUMBER(CI23)),IFERROR(CJ23/CI23-1,""),"")</f>
        <v>0.05</v>
      </c>
      <c r="CK218" s="256">
        <f>IF(AND(ISNUMBER(CK23),ISNUMBER(CJ23)),IFERROR(CK23/CJ23-1,""),"")</f>
        <v>0.0449999999999999</v>
      </c>
      <c r="CL218" s="153" t="n"/>
      <c r="CN218" s="37">
        <f>IFERROR(AVERAGE(CG218,CH218,CI218,CJ218,CK218),"n/m")</f>
        <v>0.052</v>
      </c>
      <c r="CO218" s="37">
        <f>IFERROR(AVERAGE(BG218,BL218,BQ218,BV218,CA218),"n/m")</f>
        <v>0.506305938242164</v>
      </c>
      <c r="CP218" s="37">
        <f>IFERROR(AVERAGE(AH218,AM218,AR218,AW218,BB218,BG218,BL218,BQ218,BV218,CA218),"n/m")</f>
        <v>0.506305938242164</v>
      </c>
      <c r="CQ218" s="37">
        <f>IFERROR(AVERAGE(C218,D218,E218,F218,G218,H218,I218,N218,S218,X218,AC218,AH218,AM218,AR218,AW218,BB218,BG218,BL218,BQ218,BV218,CA218),"n/m")</f>
        <v>0.506305938242164</v>
      </c>
    </row>
    <row r="219" ht="15" customHeight="1" s="251">
      <c r="B219" s="22" t="inlineStr">
        <is>
          <t xml:space="preserve">  Adjusted operating income y/y %</t>
        </is>
      </c>
      <c r="C219" s="23" t="n"/>
      <c r="D219" s="255">
        <f>IF(AND(ISNUMBER(D158),ISNUMBER(C158)),IFERROR(D158/C158-1,""),"")</f>
        <v>0.275123994268709</v>
      </c>
      <c r="E219" s="255">
        <f>IF(AND(ISNUMBER(E158),ISNUMBER(D158)),IFERROR(E158/D158-1,""),"")</f>
        <v>0.105521557238184</v>
      </c>
      <c r="F219" s="255">
        <f>IF(AND(ISNUMBER(F158),ISNUMBER(E158)),IFERROR(F158/E158-1,""),"")</f>
        <v>-0.0156997654417514</v>
      </c>
      <c r="G219" s="255">
        <f>IF(AND(ISNUMBER(G158),ISNUMBER(F158)),IFERROR(G158/F158-1,""),"")</f>
        <v>-0.384837797477203</v>
      </c>
      <c r="H219" s="255">
        <f>IF(AND(ISNUMBER(H158),ISNUMBER(G158)),IFERROR(H158/G158-1,""),"")</f>
        <v>0.503408914828779</v>
      </c>
      <c r="I219" s="255">
        <f>IF(AND(ISNUMBER(I158),ISNUMBER(H158)),IFERROR(I158/H158-1,""),"")</f>
        <v>0.333814309026883</v>
      </c>
      <c r="J219" s="23" t="n"/>
      <c r="K219" s="23" t="n"/>
      <c r="L219" s="23" t="n"/>
      <c r="M219" s="23" t="n"/>
      <c r="N219" s="255">
        <f>IF(AND(ISNUMBER(N158),ISNUMBER(I158)),IFERROR(N158/I158-1,""),"")</f>
        <v>0.0949283948073358</v>
      </c>
      <c r="O219" s="255">
        <f>IF(AND(ISNUMBER(O158),ISNUMBER(J158)),IFERROR(O158/J158-1,""),"")</f>
        <v>0.0423751932345184</v>
      </c>
      <c r="P219" s="255">
        <f>IF(AND(ISNUMBER(P158),ISNUMBER(K158)),IFERROR(P158/K158-1,""),"")</f>
        <v>0.0758669497522999</v>
      </c>
      <c r="Q219" s="255">
        <f>IF(AND(ISNUMBER(Q158),ISNUMBER(L158)),IFERROR(Q158/L158-1,""),"")</f>
        <v>0.0259930058980113</v>
      </c>
      <c r="R219" s="255">
        <f>IF(AND(ISNUMBER(R158),ISNUMBER(M158)),IFERROR(R158/M158-1,""),"")</f>
        <v>0.110625909752547</v>
      </c>
      <c r="S219" s="255">
        <f>IF(AND(ISNUMBER(S158),ISNUMBER(N158)),IFERROR(S158/N158-1,""),"")</f>
        <v>0.0667262611886754</v>
      </c>
      <c r="T219" s="255">
        <f>IF(AND(ISNUMBER(T158),ISNUMBER(O158)),IFERROR(T158/O158-1,""),"")</f>
        <v>0.0560498996772223</v>
      </c>
      <c r="U219" s="255">
        <f>IF(AND(ISNUMBER(U158),ISNUMBER(P158)),IFERROR(U158/P158-1,""),"")</f>
        <v>0.0822698767706005</v>
      </c>
      <c r="V219" s="255">
        <f>IF(AND(ISNUMBER(V158),ISNUMBER(Q158)),IFERROR(V158/Q158-1,""),"")</f>
        <v>0.129572162588391</v>
      </c>
      <c r="W219" s="255">
        <f>IF(AND(ISNUMBER(W158),ISNUMBER(R158)),IFERROR(W158/R158-1,""),"")</f>
        <v>0.00849914611382485</v>
      </c>
      <c r="X219" s="255">
        <f>IF(AND(ISNUMBER(X158),ISNUMBER(S158)),IFERROR(X158/S158-1,""),"")</f>
        <v>0.0638975874388039</v>
      </c>
      <c r="Y219" s="255">
        <f>IF(AND(ISNUMBER(Y158),ISNUMBER(T158)),IFERROR(Y158/T158-1,""),"")</f>
        <v>0.217628350749659</v>
      </c>
      <c r="Z219" s="255">
        <f>IF(AND(ISNUMBER(Z158),ISNUMBER(U158)),IFERROR(Z158/U158-1,""),"")</f>
        <v>0.182260221240731</v>
      </c>
      <c r="AA219" s="255">
        <f>IF(AND(ISNUMBER(AA158),ISNUMBER(V158)),IFERROR(AA158/V158-1,""),"")</f>
        <v>0.244775716087192</v>
      </c>
      <c r="AB219" s="255">
        <f>IF(AND(ISNUMBER(AB158),ISNUMBER(W158)),IFERROR(AB158/W158-1,""),"")</f>
        <v>0.280864805261293</v>
      </c>
      <c r="AC219" s="255">
        <f>IF(AND(ISNUMBER(AC158),ISNUMBER(X158)),IFERROR(AC158/X158-1,""),"")</f>
        <v>0.231471597209987</v>
      </c>
      <c r="AD219" s="255">
        <f>IF(AND(ISNUMBER(AD158),ISNUMBER(Y158)),IFERROR(AD158/Y158-1,""),"")</f>
        <v>0.00417232021709646</v>
      </c>
      <c r="AE219" s="255">
        <f>IF(AND(ISNUMBER(AE158),ISNUMBER(Z158)),IFERROR(AE158/Z158-1,""),"")</f>
        <v>0.0205298694176921</v>
      </c>
      <c r="AF219" s="255">
        <f>IF(AND(ISNUMBER(AF158),ISNUMBER(AA158)),IFERROR(AF158/AA158-1,""),"")</f>
        <v>-0.00180903795361631</v>
      </c>
      <c r="AG219" s="255">
        <f>IF(AND(ISNUMBER(AG158),ISNUMBER(AB158)),IFERROR(AG158/AB158-1,""),"")</f>
        <v>0.0573097617217526</v>
      </c>
      <c r="AH219" s="255">
        <f>IF(AND(ISNUMBER(AH158),ISNUMBER(AC158)),IFERROR(AH158/AC158-1,""),"")</f>
        <v>0.0213430285892224</v>
      </c>
      <c r="AI219" s="255">
        <f>IF(AND(ISNUMBER(AI158),ISNUMBER(AD158)),IFERROR(AI158/AD158-1,""),"")</f>
        <v>0.074215451136709</v>
      </c>
      <c r="AJ219" s="255">
        <f>IF(AND(ISNUMBER(AJ158),ISNUMBER(AE158)),IFERROR(AJ158/AE158-1,""),"")</f>
        <v>0.0670338527673293</v>
      </c>
      <c r="AK219" s="255">
        <f>IF(AND(ISNUMBER(AK158),ISNUMBER(AF158)),IFERROR(AK158/AF158-1,""),"")</f>
        <v>0.240131936641415</v>
      </c>
      <c r="AL219" s="255">
        <f>IF(AND(ISNUMBER(AL158),ISNUMBER(AG158)),IFERROR(AL158/AG158-1,""),"")</f>
        <v>0.114804152490622</v>
      </c>
      <c r="AM219" s="255">
        <f>IF(AND(ISNUMBER(AM158),ISNUMBER(AH158)),IFERROR(AM158/AH158-1,""),"")</f>
        <v>0.121674069068945</v>
      </c>
      <c r="AN219" s="255">
        <f>IF(AND(ISNUMBER(AN158),ISNUMBER(AI158)),IFERROR(AN158/AI158-1,""),"")</f>
        <v>0.132012578616352</v>
      </c>
      <c r="AO219" s="255">
        <f>IF(AND(ISNUMBER(AO158),ISNUMBER(AJ158)),IFERROR(AO158/AJ158-1,""),"")</f>
        <v>0.129422132695455</v>
      </c>
      <c r="AP219" s="255">
        <f>IF(AND(ISNUMBER(AP158),ISNUMBER(AK158)),IFERROR(AP158/AK158-1,""),"")</f>
        <v>0.0709066464020578</v>
      </c>
      <c r="AQ219" s="255">
        <f>IF(AND(ISNUMBER(AQ158),ISNUMBER(AL158)),IFERROR(AQ158/AL158-1,""),"")</f>
        <v>0.0756449383102487</v>
      </c>
      <c r="AR219" s="255">
        <f>IF(AND(ISNUMBER(AR158),ISNUMBER(AM158)),IFERROR(AR158/AM158-1,""),"")</f>
        <v>0.100174107241245</v>
      </c>
      <c r="AS219" s="255">
        <f>IF(AND(ISNUMBER(AS158),ISNUMBER(AN158)),IFERROR(AS158/AN158-1,""),"")</f>
        <v>0.0692260681148953</v>
      </c>
      <c r="AT219" s="255">
        <f>IF(AND(ISNUMBER(AT158),ISNUMBER(AO158)),IFERROR(AT158/AO158-1,""),"")</f>
        <v>0.069501727789544</v>
      </c>
      <c r="AU219" s="255">
        <f>IF(AND(ISNUMBER(AU158),ISNUMBER(AP158)),IFERROR(AU158/AP158-1,""),"")</f>
        <v>0.0316593886462884</v>
      </c>
      <c r="AV219" s="255">
        <f>IF(AND(ISNUMBER(AV158),ISNUMBER(AQ158)),IFERROR(AV158/AQ158-1,""),"")</f>
        <v>0.0423163663700079</v>
      </c>
      <c r="AW219" s="255">
        <f>IF(AND(ISNUMBER(AW158),ISNUMBER(AR158)),IFERROR(AW158/AR158-1,""),"")</f>
        <v>0.0526913240606577</v>
      </c>
      <c r="AX219" s="255">
        <f>IF(AND(ISNUMBER(AX158),ISNUMBER(AS158)),IFERROR(AX158/AS158-1,""),"")</f>
        <v>-0.222317485061055</v>
      </c>
      <c r="AY219" s="255">
        <f>IF(AND(ISNUMBER(AY158),ISNUMBER(AT158)),IFERROR(AY158/AT158-1,""),"")</f>
        <v>-0.221507113450414</v>
      </c>
      <c r="AZ219" s="255">
        <f>IF(AND(ISNUMBER(AZ158),ISNUMBER(AU158)),IFERROR(AZ158/AU158-1,""),"")</f>
        <v>-0.262380952380952</v>
      </c>
      <c r="BA219" s="255">
        <f>IF(AND(ISNUMBER(BA158),ISNUMBER(AV158)),IFERROR(BA158/AV158-1,""),"")</f>
        <v>-0.243404215718208</v>
      </c>
      <c r="BB219" s="255">
        <f>IF(AND(ISNUMBER(BB158),ISNUMBER(AW158)),IFERROR(BB158/AW158-1,""),"")</f>
        <v>-0.237475420234697</v>
      </c>
      <c r="BC219" s="255">
        <f>IF(AND(ISNUMBER(BC158),ISNUMBER(AX158)),IFERROR(BC158/AX158-1,""),"")</f>
        <v>0.0450005011191661</v>
      </c>
      <c r="BD219" s="255">
        <f>IF(AND(ISNUMBER(BD158),ISNUMBER(AY158)),IFERROR(BD158/AY158-1,""),"")</f>
        <v>0.0222913947183452</v>
      </c>
      <c r="BE219" s="255">
        <f>IF(AND(ISNUMBER(BE158),ISNUMBER(AZ158)),IFERROR(BE158/AZ158-1,""),"")</f>
        <v>0.607273509791263</v>
      </c>
      <c r="BF219" s="255">
        <f>IF(AND(ISNUMBER(BF158),ISNUMBER(BA158)),IFERROR(BF158/BA158-1,""),"")</f>
        <v>1.1640221402214</v>
      </c>
      <c r="BG219" s="255">
        <f>IF(AND(ISNUMBER(BG158),ISNUMBER(BB158)),IFERROR(BG158/BB158-1,""),"")</f>
        <v>0.472490267194623</v>
      </c>
      <c r="BH219" s="255">
        <f>IF(AND(ISNUMBER(BH158),ISNUMBER(BC158)),IFERROR(BH158/BC158-1,""),"")</f>
        <v>1.18212915601023</v>
      </c>
      <c r="BI219" s="255">
        <f>IF(AND(ISNUMBER(BI158),ISNUMBER(BD158)),IFERROR(BI158/BD158-1,""),"")</f>
        <v>1.48888452345873</v>
      </c>
      <c r="BJ219" s="255">
        <f>IF(AND(ISNUMBER(BJ158),ISNUMBER(BE158)),IFERROR(BJ158/BE158-1,""),"")</f>
        <v>0.598585263533717</v>
      </c>
      <c r="BK219" s="255">
        <f>IF(AND(ISNUMBER(BK158),ISNUMBER(BF158)),IFERROR(BK158/BF158-1,""),"")</f>
        <v>0.259541876261119</v>
      </c>
      <c r="BL219" s="255">
        <f>IF(AND(ISNUMBER(BL158),ISNUMBER(BG158)),IFERROR(BL158/BG158-1,""),"")</f>
        <v>0.720627531622329</v>
      </c>
      <c r="BM219" s="255">
        <f>IF(AND(ISNUMBER(BM158),ISNUMBER(BH158)),IFERROR(BM158/BH158-1,""),"")</f>
        <v>0.249747278667389</v>
      </c>
      <c r="BN219" s="255">
        <f>IF(AND(ISNUMBER(BN158),ISNUMBER(BI158)),IFERROR(BN158/BI158-1,""),"")</f>
        <v>0.162737772632798</v>
      </c>
      <c r="BO219" s="255">
        <f>IF(AND(ISNUMBER(BO158),ISNUMBER(BJ158)),IFERROR(BO158/BJ158-1,""),"")</f>
        <v>0.053462499476542</v>
      </c>
      <c r="BP219" s="255">
        <f>IF(AND(ISNUMBER(BP158),ISNUMBER(BK158)),IFERROR(BP158/BK158-1,""),"")</f>
        <v>0.0863728155777932</v>
      </c>
      <c r="BQ219" s="255">
        <f>IF(AND(ISNUMBER(BQ158),ISNUMBER(BL158)),IFERROR(BQ158/BL158-1,""),"")</f>
        <v>0.134277834323801</v>
      </c>
      <c r="BR219" s="255">
        <f>IF(AND(ISNUMBER(BR158),ISNUMBER(BM158)),IFERROR(BR158/BM158-1,""),"")</f>
        <v>0.142971021288568</v>
      </c>
      <c r="BS219" s="255">
        <f>IF(AND(ISNUMBER(BS158),ISNUMBER(BN158)),IFERROR(BS158/BN158-1,""),"")</f>
        <v>-0.0202400751224702</v>
      </c>
      <c r="BT219" s="255">
        <f>IF(AND(ISNUMBER(BT158),ISNUMBER(BO158)),IFERROR(BT158/BO158-1,""),"")</f>
        <v>0.135565596470074</v>
      </c>
      <c r="BU219" s="255">
        <f>IF(AND(ISNUMBER(BU158),ISNUMBER(BP158)),IFERROR(BU158/BP158-1,""),"")</f>
        <v>0.0550911262266993</v>
      </c>
      <c r="BV219" s="255">
        <f>IF(AND(ISNUMBER(BV158),ISNUMBER(BQ158)),IFERROR(BV158/BQ158-1,""),"")</f>
        <v>0.0750665041812966</v>
      </c>
      <c r="BW219" s="255">
        <f>IF(AND(ISNUMBER(BW158),ISNUMBER(BR158)),IFERROR(BW158/BR158-1,""),"")</f>
        <v>0.0800000000000001</v>
      </c>
      <c r="BX219" s="255">
        <f>IF(AND(ISNUMBER(BX158),ISNUMBER(BS158)),IFERROR(BX158/BS158-1,""),"")</f>
        <v>0.212471131639723</v>
      </c>
      <c r="BY219" s="255">
        <f>IF(AND(ISNUMBER(BY158),ISNUMBER(BT158)),IFERROR(BY158/BT158-1,""),"")</f>
        <v>0.253208868144691</v>
      </c>
      <c r="BZ219" s="255">
        <f>IF(AND(ISNUMBER(BZ158),ISNUMBER(BU158)),IFERROR(BZ158/BU158-1,""),"")</f>
        <v>0.223425196850394</v>
      </c>
      <c r="CA219" s="255">
        <f>IF(AND(ISNUMBER(CA158),ISNUMBER(BV158)),IFERROR(CA158/BV158-1,""),"")</f>
        <v>0.1900915455035</v>
      </c>
      <c r="CB219" s="255">
        <f>IF(AND(ISNUMBER(CB158),ISNUMBER(BW158)),IFERROR(CB158/BW158-1,""),"")</f>
        <v>0.340930674264008</v>
      </c>
      <c r="CC219" s="256">
        <f>IF(AND(ISNUMBER(CC158),ISNUMBER(BX158)),IFERROR(CC158/BX158-1,""),"")</f>
        <v>0.210057142857143</v>
      </c>
      <c r="CD219" s="256">
        <f>IF(AND(ISNUMBER(CD158),ISNUMBER(BY158)),IFERROR(CD158/BY158-1,""),"")</f>
        <v>0.209020616184602</v>
      </c>
      <c r="CE219" s="256">
        <f>IF(AND(ISNUMBER(CE158),ISNUMBER(BZ158)),IFERROR(CE158/BZ158-1,""),"")</f>
        <v>0.307467478062742</v>
      </c>
      <c r="CF219" s="256">
        <f>IF(AND(ISNUMBER(CF158),ISNUMBER(CA158)),IFERROR(CF158/CA158-1,""),"")</f>
        <v>0.268377877152546</v>
      </c>
      <c r="CG219" s="256">
        <f>IF(AND(ISNUMBER(CG158),ISNUMBER(CF158)),IFERROR(CG158/CF158-1,""),"")</f>
        <v>0.12009396875945</v>
      </c>
      <c r="CH219" s="256">
        <f>IF(AND(ISNUMBER(CH158),ISNUMBER(CG158)),IFERROR(CH158/CG158-1,""),"")</f>
        <v>0.133822812132929</v>
      </c>
      <c r="CI219" s="256">
        <f>IF(AND(ISNUMBER(CI158),ISNUMBER(CH158)),IFERROR(CI158/CH158-1,""),"")</f>
        <v>0.125450243325839</v>
      </c>
      <c r="CJ219" s="256">
        <f>IF(AND(ISNUMBER(CJ158),ISNUMBER(CI158)),IFERROR(CJ158/CI158-1,""),"")</f>
        <v>0.1028883194779</v>
      </c>
      <c r="CK219" s="256">
        <f>IF(AND(ISNUMBER(CK158),ISNUMBER(CJ158)),IFERROR(CK158/CJ158-1,""),"")</f>
        <v>0.0883551669783269</v>
      </c>
      <c r="CL219" s="153" t="n"/>
    </row>
    <row r="220" ht="15" customHeight="1" s="251">
      <c r="B220" s="22" t="inlineStr">
        <is>
          <t xml:space="preserve">  Adjusted EBITDA y/y %</t>
        </is>
      </c>
      <c r="C220" s="23" t="n"/>
      <c r="D220" s="255">
        <f>IF(AND(ISNUMBER(D179),ISNUMBER(C179)),IFERROR(D179/C179-1,""),"")</f>
        <v>0.225785946495705</v>
      </c>
      <c r="E220" s="255">
        <f>IF(AND(ISNUMBER(E179),ISNUMBER(D179)),IFERROR(E179/D179-1,""),"")</f>
        <v>0.121153304787163</v>
      </c>
      <c r="F220" s="255">
        <f>IF(AND(ISNUMBER(F179),ISNUMBER(E179)),IFERROR(F179/E179-1,""),"")</f>
        <v>0.0256112065547776</v>
      </c>
      <c r="G220" s="255">
        <f>IF(AND(ISNUMBER(G179),ISNUMBER(F179)),IFERROR(G179/F179-1,""),"")</f>
        <v>-0.307622925471601</v>
      </c>
      <c r="H220" s="255">
        <f>IF(AND(ISNUMBER(H179),ISNUMBER(G179)),IFERROR(H179/G179-1,""),"")</f>
        <v>0.400286596940485</v>
      </c>
      <c r="I220" s="255">
        <f>IF(AND(ISNUMBER(I179),ISNUMBER(H179)),IFERROR(I179/H179-1,""),"")</f>
        <v>0.275321292346132</v>
      </c>
      <c r="J220" s="23" t="n"/>
      <c r="K220" s="23" t="n"/>
      <c r="L220" s="23" t="n"/>
      <c r="M220" s="23" t="n"/>
      <c r="N220" s="255">
        <f>IF(AND(ISNUMBER(N179),ISNUMBER(I179)),IFERROR(N179/I179-1,""),"")</f>
        <v>0.0944882710324202</v>
      </c>
      <c r="O220" s="255">
        <f>IF(AND(ISNUMBER(O179),ISNUMBER(J179)),IFERROR(O179/J179-1,""),"")</f>
        <v>0.0401805700641695</v>
      </c>
      <c r="P220" s="255">
        <f>IF(AND(ISNUMBER(P179),ISNUMBER(K179)),IFERROR(P179/K179-1,""),"")</f>
        <v>0.0754169688179838</v>
      </c>
      <c r="Q220" s="255">
        <f>IF(AND(ISNUMBER(Q179),ISNUMBER(L179)),IFERROR(Q179/L179-1,""),"")</f>
        <v>0.020712239050348</v>
      </c>
      <c r="R220" s="255">
        <f>IF(AND(ISNUMBER(R179),ISNUMBER(M179)),IFERROR(R179/M179-1,""),"")</f>
        <v>0.101482367438658</v>
      </c>
      <c r="S220" s="255">
        <f>IF(AND(ISNUMBER(S179),ISNUMBER(N179)),IFERROR(S179/N179-1,""),"")</f>
        <v>0.0617561365757051</v>
      </c>
      <c r="T220" s="255">
        <f>IF(AND(ISNUMBER(T179),ISNUMBER(O179)),IFERROR(T179/O179-1,""),"")</f>
        <v>0.077292780029411</v>
      </c>
      <c r="U220" s="255">
        <f>IF(AND(ISNUMBER(U179),ISNUMBER(P179)),IFERROR(U179/P179-1,""),"")</f>
        <v>0.0986265393760872</v>
      </c>
      <c r="V220" s="255">
        <f>IF(AND(ISNUMBER(V179),ISNUMBER(Q179)),IFERROR(V179/Q179-1,""),"")</f>
        <v>0.130012832852102</v>
      </c>
      <c r="W220" s="255">
        <f>IF(AND(ISNUMBER(W179),ISNUMBER(R179)),IFERROR(W179/R179-1,""),"")</f>
        <v>0.0102003882728439</v>
      </c>
      <c r="X220" s="255">
        <f>IF(AND(ISNUMBER(X179),ISNUMBER(S179)),IFERROR(X179/S179-1,""),"")</f>
        <v>0.0749605423631539</v>
      </c>
      <c r="Y220" s="255">
        <f>IF(AND(ISNUMBER(Y179),ISNUMBER(T179)),IFERROR(Y179/T179-1,""),"")</f>
        <v>0.241010787055533</v>
      </c>
      <c r="Z220" s="255">
        <f>IF(AND(ISNUMBER(Z179),ISNUMBER(U179)),IFERROR(Z179/U179-1,""),"")</f>
        <v>0.243119266055046</v>
      </c>
      <c r="AA220" s="255">
        <f>IF(AND(ISNUMBER(AA179),ISNUMBER(V179)),IFERROR(AA179/V179-1,""),"")</f>
        <v>0.309603236567535</v>
      </c>
      <c r="AB220" s="255">
        <f>IF(AND(ISNUMBER(AB179),ISNUMBER(W179)),IFERROR(AB179/W179-1,""),"")</f>
        <v>0.373538321227322</v>
      </c>
      <c r="AC220" s="255">
        <f>IF(AND(ISNUMBER(AC179),ISNUMBER(X179)),IFERROR(AC179/X179-1,""),"")</f>
        <v>0.29162182679714</v>
      </c>
      <c r="AD220" s="255">
        <f>IF(AND(ISNUMBER(AD179),ISNUMBER(Y179)),IFERROR(AD179/Y179-1,""),"")</f>
        <v>0.0494164989939636</v>
      </c>
      <c r="AE220" s="255">
        <f>IF(AND(ISNUMBER(AE179),ISNUMBER(Z179)),IFERROR(AE179/Z179-1,""),"")</f>
        <v>0.0371862169325916</v>
      </c>
      <c r="AF220" s="255">
        <f>IF(AND(ISNUMBER(AF179),ISNUMBER(AA179)),IFERROR(AF179/AA179-1,""),"")</f>
        <v>0.0115982873556988</v>
      </c>
      <c r="AG220" s="255">
        <f>IF(AND(ISNUMBER(AG179),ISNUMBER(AB179)),IFERROR(AG179/AB179-1,""),"")</f>
        <v>0.0548032915174654</v>
      </c>
      <c r="AH220" s="255">
        <f>IF(AND(ISNUMBER(AH179),ISNUMBER(AC179)),IFERROR(AH179/AC179-1,""),"")</f>
        <v>0.0388301857545148</v>
      </c>
      <c r="AI220" s="255">
        <f>IF(AND(ISNUMBER(AI179),ISNUMBER(AD179)),IFERROR(AI179/AD179-1,""),"")</f>
        <v>0.0769230769230771</v>
      </c>
      <c r="AJ220" s="255">
        <f>IF(AND(ISNUMBER(AJ179),ISNUMBER(AE179)),IFERROR(AJ179/AE179-1,""),"")</f>
        <v>0.0601558389497157</v>
      </c>
      <c r="AK220" s="255">
        <f>IF(AND(ISNUMBER(AK179),ISNUMBER(AF179)),IFERROR(AK179/AF179-1,""),"")</f>
        <v>0.190436646129119</v>
      </c>
      <c r="AL220" s="255">
        <f>IF(AND(ISNUMBER(AL179),ISNUMBER(AG179)),IFERROR(AL179/AG179-1,""),"")</f>
        <v>0.101776079136691</v>
      </c>
      <c r="AM220" s="255">
        <f>IF(AND(ISNUMBER(AM179),ISNUMBER(AH179)),IFERROR(AM179/AH179-1,""),"")</f>
        <v>0.105981099229048</v>
      </c>
      <c r="AN220" s="255">
        <f>IF(AND(ISNUMBER(AN179),ISNUMBER(AI179)),IFERROR(AN179/AI179-1,""),"")</f>
        <v>0.117528367279115</v>
      </c>
      <c r="AO220" s="255">
        <f>IF(AND(ISNUMBER(AO179),ISNUMBER(AJ179)),IFERROR(AO179/AJ179-1,""),"")</f>
        <v>0.124025145341967</v>
      </c>
      <c r="AP220" s="255">
        <f>IF(AND(ISNUMBER(AP179),ISNUMBER(AK179)),IFERROR(AP179/AK179-1,""),"")</f>
        <v>0.0768469137469339</v>
      </c>
      <c r="AQ220" s="255">
        <f>IF(AND(ISNUMBER(AQ179),ISNUMBER(AL179)),IFERROR(AQ179/AL179-1,""),"")</f>
        <v>0.0817026139122983</v>
      </c>
      <c r="AR220" s="255">
        <f>IF(AND(ISNUMBER(AR179),ISNUMBER(AM179)),IFERROR(AR179/AM179-1,""),"")</f>
        <v>0.0990409588163206</v>
      </c>
      <c r="AS220" s="255">
        <f>IF(AND(ISNUMBER(AS179),ISNUMBER(AN179)),IFERROR(AS179/AN179-1,""),"")</f>
        <v>0.07933810565669</v>
      </c>
      <c r="AT220" s="255">
        <f>IF(AND(ISNUMBER(AT179),ISNUMBER(AO179)),IFERROR(AT179/AO179-1,""),"")</f>
        <v>0.0773096169210714</v>
      </c>
      <c r="AU220" s="255">
        <f>IF(AND(ISNUMBER(AU179),ISNUMBER(AP179)),IFERROR(AU179/AP179-1,""),"")</f>
        <v>0.0634011785848625</v>
      </c>
      <c r="AV220" s="255">
        <f>IF(AND(ISNUMBER(AV179),ISNUMBER(AQ179)),IFERROR(AV179/AQ179-1,""),"")</f>
        <v>0.0616853105959143</v>
      </c>
      <c r="AW220" s="255">
        <f>IF(AND(ISNUMBER(AW179),ISNUMBER(AR179)),IFERROR(AW179/AR179-1,""),"")</f>
        <v>0.0701571323348884</v>
      </c>
      <c r="AX220" s="255">
        <f>IF(AND(ISNUMBER(AX179),ISNUMBER(AS179)),IFERROR(AX179/AS179-1,""),"")</f>
        <v>-0.138648350783279</v>
      </c>
      <c r="AY220" s="255">
        <f>IF(AND(ISNUMBER(AY179),ISNUMBER(AT179)),IFERROR(AY179/AT179-1,""),"")</f>
        <v>-0.150159058529636</v>
      </c>
      <c r="AZ220" s="255">
        <f>IF(AND(ISNUMBER(AZ179),ISNUMBER(AU179)),IFERROR(AZ179/AU179-1,""),"")</f>
        <v>-0.193640936959598</v>
      </c>
      <c r="BA220" s="255">
        <f>IF(AND(ISNUMBER(BA179),ISNUMBER(AV179)),IFERROR(BA179/AV179-1,""),"")</f>
        <v>-0.184289547094046</v>
      </c>
      <c r="BB220" s="255">
        <f>IF(AND(ISNUMBER(BB179),ISNUMBER(AW179)),IFERROR(BB179/AW179-1,""),"")</f>
        <v>-0.167120734155435</v>
      </c>
      <c r="BC220" s="255">
        <f>IF(AND(ISNUMBER(BC179),ISNUMBER(AX179)),IFERROR(BC179/AX179-1,""),"")</f>
        <v>0.034203852217424</v>
      </c>
      <c r="BD220" s="255">
        <f>IF(AND(ISNUMBER(BD179),ISNUMBER(AY179)),IFERROR(BD179/AY179-1,""),"")</f>
        <v>0.0428751865885866</v>
      </c>
      <c r="BE220" s="255">
        <f>IF(AND(ISNUMBER(BE179),ISNUMBER(AZ179)),IFERROR(BE179/AZ179-1,""),"")</f>
        <v>0.738801969098796</v>
      </c>
      <c r="BF220" s="255">
        <f>IF(AND(ISNUMBER(BF179),ISNUMBER(BA179)),IFERROR(BF179/BA179-1,""),"")</f>
        <v>1.27497876233418</v>
      </c>
      <c r="BG220" s="255">
        <f>IF(AND(ISNUMBER(BG179),ISNUMBER(BB179)),IFERROR(BG179/BB179-1,""),"")</f>
        <v>0.52918424148518</v>
      </c>
      <c r="BH220" s="255">
        <f>IF(AND(ISNUMBER(BH179),ISNUMBER(BC179)),IFERROR(BH179/BC179-1,""),"")</f>
        <v>1.22512371862849</v>
      </c>
      <c r="BI220" s="255">
        <f>IF(AND(ISNUMBER(BI179),ISNUMBER(BD179)),IFERROR(BI179/BD179-1,""),"")</f>
        <v>1.39579846736545</v>
      </c>
      <c r="BJ220" s="255">
        <f>IF(AND(ISNUMBER(BJ179),ISNUMBER(BE179)),IFERROR(BJ179/BE179-1,""),"")</f>
        <v>0.447175893482831</v>
      </c>
      <c r="BK220" s="255">
        <f>IF(AND(ISNUMBER(BK179),ISNUMBER(BF179)),IFERROR(BK179/BF179-1,""),"")</f>
        <v>0.160270772294671</v>
      </c>
      <c r="BL220" s="255">
        <f>IF(AND(ISNUMBER(BL179),ISNUMBER(BG179)),IFERROR(BL179/BG179-1,""),"")</f>
        <v>0.628600807601663</v>
      </c>
      <c r="BM220" s="255">
        <f>IF(AND(ISNUMBER(BM179),ISNUMBER(BH179)),IFERROR(BM179/BH179-1,""),"")</f>
        <v>0.195456621457932</v>
      </c>
      <c r="BN220" s="255">
        <f>IF(AND(ISNUMBER(BN179),ISNUMBER(BI179)),IFERROR(BN179/BI179-1,""),"")</f>
        <v>0.122162172098752</v>
      </c>
      <c r="BO220" s="255">
        <f>IF(AND(ISNUMBER(BO179),ISNUMBER(BJ179)),IFERROR(BO179/BJ179-1,""),"")</f>
        <v>0.061139304253506</v>
      </c>
      <c r="BP220" s="255">
        <f>IF(AND(ISNUMBER(BP179),ISNUMBER(BK179)),IFERROR(BP179/BK179-1,""),"")</f>
        <v>0.0735593863724511</v>
      </c>
      <c r="BQ220" s="255">
        <f>IF(AND(ISNUMBER(BQ179),ISNUMBER(BL179)),IFERROR(BQ179/BL179-1,""),"")</f>
        <v>0.111060672396709</v>
      </c>
      <c r="BR220" s="255">
        <f>IF(AND(ISNUMBER(BR179),ISNUMBER(BM179)),IFERROR(BR179/BM179-1,""),"")</f>
        <v>0.112919836550281</v>
      </c>
      <c r="BS220" s="255">
        <f>IF(AND(ISNUMBER(BS179),ISNUMBER(BN179)),IFERROR(BS179/BN179-1,""),"")</f>
        <v>0.0107380681306259</v>
      </c>
      <c r="BT220" s="255">
        <f>IF(AND(ISNUMBER(BT179),ISNUMBER(BO179)),IFERROR(BT179/BO179-1,""),"")</f>
        <v>0.118929624255036</v>
      </c>
      <c r="BU220" s="255">
        <f>IF(AND(ISNUMBER(BU179),ISNUMBER(BP179)),IFERROR(BU179/BP179-1,""),"")</f>
        <v>0.074599331257927</v>
      </c>
      <c r="BV220" s="255">
        <f>IF(AND(ISNUMBER(BV179),ISNUMBER(BQ179)),IFERROR(BV179/BQ179-1,""),"")</f>
        <v>0.0780497213621008</v>
      </c>
      <c r="BW220" s="255">
        <f>IF(AND(ISNUMBER(BW179),ISNUMBER(BR179)),IFERROR(BW179/BR179-1,""),"")</f>
        <v>0.0559701492537315</v>
      </c>
      <c r="BX220" s="255">
        <f>IF(AND(ISNUMBER(BX179),ISNUMBER(BS179)),IFERROR(BX179/BS179-1,""),"")</f>
        <v>0.177471636952999</v>
      </c>
      <c r="BY220" s="255">
        <f>IF(AND(ISNUMBER(BY179),ISNUMBER(BT179)),IFERROR(BY179/BT179-1,""),"")</f>
        <v>0.220228384991843</v>
      </c>
      <c r="BZ220" s="255">
        <f>IF(AND(ISNUMBER(BZ179),ISNUMBER(BU179)),IFERROR(BZ179/BU179-1,""),"")</f>
        <v>0.208154506437768</v>
      </c>
      <c r="CA220" s="255">
        <f>IF(AND(ISNUMBER(CA179),ISNUMBER(BV179)),IFERROR(CA179/BV179-1,""),"")</f>
        <v>0.164486340900346</v>
      </c>
      <c r="CB220" s="255">
        <f>IF(AND(ISNUMBER(CB179),ISNUMBER(BW179)),IFERROR(CB179/BW179-1,""),"")</f>
        <v>0.280565371024735</v>
      </c>
      <c r="CC220" s="256">
        <f>IF(AND(ISNUMBER(CC179),ISNUMBER(BX179)),IFERROR(CC179/BX179-1,""),"")</f>
        <v>0.146077909896686</v>
      </c>
      <c r="CD220" s="256">
        <f>IF(AND(ISNUMBER(CD179),ISNUMBER(BY179)),IFERROR(CD179/BY179-1,""),"")</f>
        <v>0.132066603980487</v>
      </c>
      <c r="CE220" s="256">
        <f>IF(AND(ISNUMBER(CE179),ISNUMBER(BZ179)),IFERROR(CE179/BZ179-1,""),"")</f>
        <v>0.221910815941523</v>
      </c>
      <c r="CF220" s="256">
        <f>IF(AND(ISNUMBER(CF179),ISNUMBER(CA179)),IFERROR(CF179/CA179-1,""),"")</f>
        <v>0.195213978318177</v>
      </c>
      <c r="CG220" s="256">
        <f>IF(AND(ISNUMBER(CG179),ISNUMBER(CF179)),IFERROR(CG179/CF179-1,""),"")</f>
        <v>0.129303213356968</v>
      </c>
      <c r="CH220" s="256">
        <f>IF(AND(ISNUMBER(CH179),ISNUMBER(CG179)),IFERROR(CH179/CG179-1,""),"")</f>
        <v>0.125044541977781</v>
      </c>
      <c r="CI220" s="256">
        <f>IF(AND(ISNUMBER(CI179),ISNUMBER(CH179)),IFERROR(CI179/CH179-1,""),"")</f>
        <v>0.113623488558189</v>
      </c>
      <c r="CJ220" s="256">
        <f>IF(AND(ISNUMBER(CJ179),ISNUMBER(CI179)),IFERROR(CJ179/CI179-1,""),"")</f>
        <v>0.0974723871938896</v>
      </c>
      <c r="CK220" s="256">
        <f>IF(AND(ISNUMBER(CK179),ISNUMBER(CJ179)),IFERROR(CK179/CJ179-1,""),"")</f>
        <v>0.0878443813175875</v>
      </c>
      <c r="CL220" s="153" t="n"/>
    </row>
    <row r="221" ht="15" customHeight="1" s="251">
      <c r="B221" s="22" t="inlineStr">
        <is>
          <t xml:space="preserve">  Operating income (GAAP) y/y %</t>
        </is>
      </c>
      <c r="C221" s="23" t="n"/>
      <c r="D221" s="255">
        <f>IF(AND(ISNUMBER(D116),ISNUMBER(C116)),IFERROR(D116/C116-1,""),"")</f>
        <v>0.345783975738096</v>
      </c>
      <c r="E221" s="255">
        <f>IF(AND(ISNUMBER(E116),ISNUMBER(D116)),IFERROR(E116/D116-1,""),"")</f>
        <v>0.210539494212138</v>
      </c>
      <c r="F221" s="255">
        <f>IF(AND(ISNUMBER(F116),ISNUMBER(E116)),IFERROR(F116/E116-1,""),"")</f>
        <v>-0.125377883850438</v>
      </c>
      <c r="G221" s="255">
        <f>IF(AND(ISNUMBER(G116),ISNUMBER(F116)),IFERROR(G116/F116-1,""),"")</f>
        <v>-0.36929234127706</v>
      </c>
      <c r="H221" s="255">
        <f>IF(AND(ISNUMBER(H116),ISNUMBER(G116)),IFERROR(H116/G116-1,""),"")</f>
        <v>0.620796077300259</v>
      </c>
      <c r="I221" s="255">
        <f>IF(AND(ISNUMBER(I116),ISNUMBER(H116)),IFERROR(I116/H116-1,""),"")</f>
        <v>0.38180912213265</v>
      </c>
      <c r="J221" s="23" t="n"/>
      <c r="K221" s="23" t="n"/>
      <c r="L221" s="23" t="n"/>
      <c r="M221" s="23" t="n"/>
      <c r="N221" s="255">
        <f>IF(AND(ISNUMBER(N116),ISNUMBER(I116)),IFERROR(N116/I116-1,""),"")</f>
        <v>0.00583402019369461</v>
      </c>
      <c r="O221" s="255">
        <f>IF(AND(ISNUMBER(O116),ISNUMBER(J116)),IFERROR(O116/J116-1,""),"")</f>
        <v>0.0138219514413021</v>
      </c>
      <c r="P221" s="255">
        <f>IF(AND(ISNUMBER(P116),ISNUMBER(K116)),IFERROR(P116/K116-1,""),"")</f>
        <v>0.0151450813871195</v>
      </c>
      <c r="Q221" s="255">
        <f>IF(AND(ISNUMBER(Q116),ISNUMBER(L116)),IFERROR(Q116/L116-1,""),"")</f>
        <v>0.0259930058980113</v>
      </c>
      <c r="R221" s="255">
        <f>IF(AND(ISNUMBER(R116),ISNUMBER(M116)),IFERROR(R116/M116-1,""),"")</f>
        <v>0.598362216720625</v>
      </c>
      <c r="S221" s="255">
        <f>IF(AND(ISNUMBER(S116),ISNUMBER(N116)),IFERROR(S116/N116-1,""),"")</f>
        <v>0.135068693102521</v>
      </c>
      <c r="T221" s="255">
        <f>IF(AND(ISNUMBER(T116),ISNUMBER(O116)),IFERROR(T116/O116-1,""),"")</f>
        <v>0.0857924477531618</v>
      </c>
      <c r="U221" s="255">
        <f>IF(AND(ISNUMBER(U116),ISNUMBER(P116)),IFERROR(U116/P116-1,""),"")</f>
        <v>-0.149609592861127</v>
      </c>
      <c r="V221" s="255">
        <f>IF(AND(ISNUMBER(V116),ISNUMBER(Q116)),IFERROR(V116/Q116-1,""),"")</f>
        <v>0.0474131352698783</v>
      </c>
      <c r="W221" s="255">
        <f>IF(AND(ISNUMBER(W116),ISNUMBER(R116)),IFERROR(W116/R116-1,""),"")</f>
        <v>0.00611620795107037</v>
      </c>
      <c r="X221" s="255">
        <f>IF(AND(ISNUMBER(X116),ISNUMBER(S116)),IFERROR(X116/S116-1,""),"")</f>
        <v>-0.00248166948674566</v>
      </c>
      <c r="Y221" s="255">
        <f>IF(AND(ISNUMBER(Y116),ISNUMBER(T116)),IFERROR(Y116/T116-1,""),"")</f>
        <v>-0.0764115484697038</v>
      </c>
      <c r="Z221" s="255">
        <f>IF(AND(ISNUMBER(Z116),ISNUMBER(U116)),IFERROR(Z116/U116-1,""),"")</f>
        <v>0.289774279936602</v>
      </c>
      <c r="AA221" s="255">
        <f>IF(AND(ISNUMBER(AA116),ISNUMBER(V116)),IFERROR(AA116/V116-1,""),"")</f>
        <v>0.313905483510613</v>
      </c>
      <c r="AB221" s="255">
        <f>IF(AND(ISNUMBER(AB116),ISNUMBER(W116)),IFERROR(AB116/W116-1,""),"")</f>
        <v>0.21695022302925</v>
      </c>
      <c r="AC221" s="255">
        <f>IF(AND(ISNUMBER(AC116),ISNUMBER(X116)),IFERROR(AC116/X116-1,""),"")</f>
        <v>0.174273436616533</v>
      </c>
      <c r="AD221" s="255">
        <f>IF(AND(ISNUMBER(AD116),ISNUMBER(Y116)),IFERROR(AD116/Y116-1,""),"")</f>
        <v>0.30678413308886</v>
      </c>
      <c r="AE221" s="255">
        <f>IF(AND(ISNUMBER(AE116),ISNUMBER(Z116)),IFERROR(AE116/Z116-1,""),"")</f>
        <v>0.252341200898343</v>
      </c>
      <c r="AF221" s="255">
        <f>IF(AND(ISNUMBER(AF116),ISNUMBER(AA116)),IFERROR(AF116/AA116-1,""),"")</f>
        <v>-0.241128197545468</v>
      </c>
      <c r="AG221" s="255">
        <f>IF(AND(ISNUMBER(AG116),ISNUMBER(AB116)),IFERROR(AG116/AB116-1,""),"")</f>
        <v>0.115475688475137</v>
      </c>
      <c r="AH221" s="255">
        <f>IF(AND(ISNUMBER(AH116),ISNUMBER(AC116)),IFERROR(AH116/AC116-1,""),"")</f>
        <v>0.0948758197629067</v>
      </c>
      <c r="AI221" s="255">
        <f>IF(AND(ISNUMBER(AI116),ISNUMBER(AD116)),IFERROR(AI116/AD116-1,""),"")</f>
        <v>0.0882584442695322</v>
      </c>
      <c r="AJ221" s="255">
        <f>IF(AND(ISNUMBER(AJ116),ISNUMBER(AE116)),IFERROR(AJ116/AE116-1,""),"")</f>
        <v>-0.144684306692834</v>
      </c>
      <c r="AK221" s="255">
        <f>IF(AND(ISNUMBER(AK116),ISNUMBER(AF116)),IFERROR(AK116/AF116-1,""),"")</f>
        <v>0.613473622680111</v>
      </c>
      <c r="AL221" s="255">
        <f>IF(AND(ISNUMBER(AL116),ISNUMBER(AG116)),IFERROR(AL116/AG116-1,""),"")</f>
        <v>0.103259763296403</v>
      </c>
      <c r="AM221" s="255">
        <f>IF(AND(ISNUMBER(AM116),ISNUMBER(AH116)),IFERROR(AM116/AH116-1,""),"")</f>
        <v>0.127079063794605</v>
      </c>
      <c r="AN221" s="255">
        <f>IF(AND(ISNUMBER(AN116),ISNUMBER(AI116)),IFERROR(AN116/AI116-1,""),"")</f>
        <v>0.132012578616352</v>
      </c>
      <c r="AO221" s="255">
        <f>IF(AND(ISNUMBER(AO116),ISNUMBER(AJ116)),IFERROR(AO116/AJ116-1,""),"")</f>
        <v>0.419574333412454</v>
      </c>
      <c r="AP221" s="255">
        <f>IF(AND(ISNUMBER(AP116),ISNUMBER(AK116)),IFERROR(AP116/AK116-1,""),"")</f>
        <v>-0.401080819974036</v>
      </c>
      <c r="AQ221" s="255">
        <f>IF(AND(ISNUMBER(AQ116),ISNUMBER(AL116)),IFERROR(AQ116/AL116-1,""),"")</f>
        <v>0.0625988402741171</v>
      </c>
      <c r="AR221" s="255">
        <f>IF(AND(ISNUMBER(AR116),ISNUMBER(AM116)),IFERROR(AR116/AM116-1,""),"")</f>
        <v>0.030388400277819</v>
      </c>
      <c r="AS221" s="255">
        <f>IF(AND(ISNUMBER(AS116),ISNUMBER(AN116)),IFERROR(AS116/AN116-1,""),"")</f>
        <v>0.0692260681148953</v>
      </c>
      <c r="AT221" s="255">
        <f>IF(AND(ISNUMBER(AT116),ISNUMBER(AO116)),IFERROR(AT116/AO116-1,""),"")</f>
        <v>0.0397112919406977</v>
      </c>
      <c r="AU221" s="255">
        <f>IF(AND(ISNUMBER(AU116),ISNUMBER(AP116)),IFERROR(AU116/AP116-1,""),"")</f>
        <v>0.888597640891219</v>
      </c>
      <c r="AV221" s="255">
        <f>IF(AND(ISNUMBER(AV116),ISNUMBER(AQ116)),IFERROR(AV116/AQ116-1,""),"")</f>
        <v>0.0794989458018109</v>
      </c>
      <c r="AW221" s="255">
        <f>IF(AND(ISNUMBER(AW116),ISNUMBER(AR116)),IFERROR(AW116/AR116-1,""),"")</f>
        <v>0.187450297269663</v>
      </c>
      <c r="AX221" s="255">
        <f>IF(AND(ISNUMBER(AX116),ISNUMBER(AS116)),IFERROR(AX116/AS116-1,""),"")</f>
        <v>-0.251389971421148</v>
      </c>
      <c r="AY221" s="255">
        <f>IF(AND(ISNUMBER(AY116),ISNUMBER(AT116)),IFERROR(AY116/AT116-1,""),"")</f>
        <v>-0.293387654453349</v>
      </c>
      <c r="AZ221" s="255">
        <f>IF(AND(ISNUMBER(AZ116),ISNUMBER(AU116)),IFERROR(AZ116/AU116-1,""),"")</f>
        <v>-0.291597715261837</v>
      </c>
      <c r="BA221" s="255">
        <f>IF(AND(ISNUMBER(BA116),ISNUMBER(AV116)),IFERROR(BA116/AV116-1,""),"")</f>
        <v>-0.316636029411765</v>
      </c>
      <c r="BB221" s="255">
        <f>IF(AND(ISNUMBER(BB116),ISNUMBER(AW116)),IFERROR(BB116/AW116-1,""),"")</f>
        <v>-0.289102911630577</v>
      </c>
      <c r="BC221" s="255">
        <f>IF(AND(ISNUMBER(BC116),ISNUMBER(AX116)),IFERROR(BC116/AX116-1,""),"")</f>
        <v>0.0662525161379886</v>
      </c>
      <c r="BD221" s="255">
        <f>IF(AND(ISNUMBER(BD116),ISNUMBER(AY116)),IFERROR(BD116/AY116-1,""),"")</f>
        <v>0.028828282061981</v>
      </c>
      <c r="BE221" s="255">
        <f>IF(AND(ISNUMBER(BE116),ISNUMBER(AZ116)),IFERROR(BE116/AZ116-1,""),"")</f>
        <v>-0.458535850194039</v>
      </c>
      <c r="BF221" s="255">
        <f>IF(AND(ISNUMBER(BF116),ISNUMBER(BA116)),IFERROR(BF116/BA116-1,""),"")</f>
        <v>0.945057162071284</v>
      </c>
      <c r="BG221" s="255">
        <f>IF(AND(ISNUMBER(BG116),ISNUMBER(BB116)),IFERROR(BG116/BB116-1,""),"")</f>
        <v>0.166923863697536</v>
      </c>
      <c r="BH221" s="255">
        <f>IF(AND(ISNUMBER(BH116),ISNUMBER(BC116)),IFERROR(BH116/BC116-1,""),"")</f>
        <v>1.09842788790157</v>
      </c>
      <c r="BI221" s="255">
        <f>IF(AND(ISNUMBER(BI116),ISNUMBER(BD116)),IFERROR(BI116/BD116-1,""),"")</f>
        <v>1.65520038343841</v>
      </c>
      <c r="BJ221" s="255">
        <f>IF(AND(ISNUMBER(BJ116),ISNUMBER(BE116)),IFERROR(BJ116/BE116-1,""),"")</f>
        <v>3.89819775937652</v>
      </c>
      <c r="BK221" s="255">
        <f>IF(AND(ISNUMBER(BK116),ISNUMBER(BF116)),IFERROR(BK116/BF116-1,""),"")</f>
        <v>0.488503958787125</v>
      </c>
      <c r="BL221" s="255">
        <f>IF(AND(ISNUMBER(BL116),ISNUMBER(BG116)),IFERROR(BL116/BG116-1,""),"")</f>
        <v>1.25275443438949</v>
      </c>
      <c r="BM221" s="255">
        <f>IF(AND(ISNUMBER(BM116),ISNUMBER(BH116)),IFERROR(BM116/BH116-1,""),"")</f>
        <v>0.318659841786878</v>
      </c>
      <c r="BN221" s="255">
        <f>IF(AND(ISNUMBER(BN116),ISNUMBER(BI116)),IFERROR(BN116/BI116-1,""),"")</f>
        <v>0.218226252134913</v>
      </c>
      <c r="BO221" s="255">
        <f>IF(AND(ISNUMBER(BO116),ISNUMBER(BJ116)),IFERROR(BO116/BJ116-1,""),"")</f>
        <v>0.0695959768155472</v>
      </c>
      <c r="BP221" s="255">
        <f>IF(AND(ISNUMBER(BP116),ISNUMBER(BK116)),IFERROR(BP116/BK116-1,""),"")</f>
        <v>0.0934683638390783</v>
      </c>
      <c r="BQ221" s="255">
        <f>IF(AND(ISNUMBER(BQ116),ISNUMBER(BL116)),IFERROR(BQ116/BL116-1,""),"")</f>
        <v>0.167918088737201</v>
      </c>
      <c r="BR221" s="255">
        <f>IF(AND(ISNUMBER(BR116),ISNUMBER(BM116)),IFERROR(BR116/BM116-1,""),"")</f>
        <v>0.146869927306091</v>
      </c>
      <c r="BS221" s="255">
        <f>IF(AND(ISNUMBER(BS116),ISNUMBER(BN116)),IFERROR(BS116/BN116-1,""),"")</f>
        <v>-0.0186132926036954</v>
      </c>
      <c r="BT221" s="255">
        <f>IF(AND(ISNUMBER(BT116),ISNUMBER(BO116)),IFERROR(BT116/BO116-1,""),"")</f>
        <v>0.136922075679696</v>
      </c>
      <c r="BU221" s="255">
        <f>IF(AND(ISNUMBER(BU116),ISNUMBER(BP116)),IFERROR(BU116/BP116-1,""),"")</f>
        <v>0.0695471153029144</v>
      </c>
      <c r="BV221" s="255">
        <f>IF(AND(ISNUMBER(BV116),ISNUMBER(BQ116)),IFERROR(BV116/BQ116-1,""),"")</f>
        <v>0.0809468147282291</v>
      </c>
      <c r="BW221" s="255">
        <f>IF(AND(ISNUMBER(BW116),ISNUMBER(BR116)),IFERROR(BW116/BR116-1,""),"")</f>
        <v>0.0369230769230768</v>
      </c>
      <c r="BX221" s="255">
        <f>IF(AND(ISNUMBER(BX116),ISNUMBER(BS116)),IFERROR(BX116/BS116-1,""),"")</f>
        <v>0.13588850174216</v>
      </c>
      <c r="BY221" s="255">
        <f>IF(AND(ISNUMBER(BY116),ISNUMBER(BT116)),IFERROR(BY116/BT116-1,""),"")</f>
        <v>0.203271028037383</v>
      </c>
      <c r="BZ221" s="255">
        <f>IF(AND(ISNUMBER(BZ116),ISNUMBER(BU116)),IFERROR(BZ116/BU116-1,""),"")</f>
        <v>0.182720953326713</v>
      </c>
      <c r="CA221" s="255">
        <f>IF(AND(ISNUMBER(CA116),ISNUMBER(BV116)),IFERROR(CA116/BV116-1,""),"")</f>
        <v>0.138145444714788</v>
      </c>
      <c r="CB221" s="255">
        <f>IF(AND(ISNUMBER(CB116),ISNUMBER(BW116)),IFERROR(CB116/BW116-1,""),"")</f>
        <v>0.392680514342236</v>
      </c>
      <c r="CC221" s="256">
        <f>IF(AND(ISNUMBER(CC116),ISNUMBER(BX116)),IFERROR(CC116/BX116-1,""),"")</f>
        <v>0.290961145194274</v>
      </c>
      <c r="CD221" s="256">
        <f>IF(AND(ISNUMBER(CD116),ISNUMBER(BY116)),IFERROR(CD116/BY116-1,""),"")</f>
        <v>0.255813729885692</v>
      </c>
      <c r="CE221" s="256">
        <f>IF(AND(ISNUMBER(CE116),ISNUMBER(BZ116)),IFERROR(CE116/BZ116-1,""),"")</f>
        <v>0.360354387264474</v>
      </c>
      <c r="CF221" s="256">
        <f>IF(AND(ISNUMBER(CF116),ISNUMBER(CA116)),IFERROR(CF116/CA116-1,""),"")</f>
        <v>0.326420479100772</v>
      </c>
      <c r="CG221" s="256">
        <f>IF(AND(ISNUMBER(CG116),ISNUMBER(CF116)),IFERROR(CG116/CF116-1,""),"")</f>
        <v>0.111971464685551</v>
      </c>
      <c r="CH221" s="256">
        <f>IF(AND(ISNUMBER(CH116),ISNUMBER(CG116)),IFERROR(CH116/CG116-1,""),"")</f>
        <v>0.135331402169002</v>
      </c>
      <c r="CI221" s="256">
        <f>IF(AND(ISNUMBER(CI116),ISNUMBER(CH116)),IFERROR(CI116/CH116-1,""),"")</f>
        <v>0.126695875854521</v>
      </c>
      <c r="CJ221" s="256">
        <f>IF(AND(ISNUMBER(CJ116),ISNUMBER(CI116)),IFERROR(CJ116/CI116-1,""),"")</f>
        <v>0.103795049095939</v>
      </c>
      <c r="CK221" s="256">
        <f>IF(AND(ISNUMBER(CK116),ISNUMBER(CJ116)),IFERROR(CK116/CJ116-1,""),"")</f>
        <v>0.0890605991117475</v>
      </c>
      <c r="CL221" s="153" t="n"/>
    </row>
    <row r="222" collapsed="1" ht="15" customHeight="1" s="251">
      <c r="B222" s="22" t="inlineStr">
        <is>
          <t xml:space="preserve">  Net income y/y %</t>
        </is>
      </c>
      <c r="C222" s="23" t="n"/>
      <c r="D222" s="255">
        <f>IF(AND(ISNUMBER(D127),ISNUMBER(C127)),IFERROR(D127/C127-1,""),"")</f>
        <v>1.28949272449554</v>
      </c>
      <c r="E222" s="255">
        <f>IF(AND(ISNUMBER(E127),ISNUMBER(D127)),IFERROR(E127/D127-1,""),"")</f>
        <v>0.41135573580533</v>
      </c>
      <c r="F222" s="255">
        <f>IF(AND(ISNUMBER(F127),ISNUMBER(E127)),IFERROR(F127/E127-1,""),"")</f>
        <v>-0.142807384186694</v>
      </c>
      <c r="G222" s="255">
        <f>IF(AND(ISNUMBER(G127),ISNUMBER(F127)),IFERROR(G127/F127-1,""),"")</f>
        <v>-0.292244732106577</v>
      </c>
      <c r="H222" s="255">
        <f>IF(AND(ISNUMBER(H127),ISNUMBER(G127)),IFERROR(H127/G127-1,""),"")</f>
        <v>0.429895427516916</v>
      </c>
      <c r="I222" s="255">
        <f>IF(AND(ISNUMBER(I127),ISNUMBER(H127)),IFERROR(I127/H127-1,""),"")</f>
        <v>0.433893541355971</v>
      </c>
      <c r="J222" s="23" t="n"/>
      <c r="K222" s="23" t="n"/>
      <c r="L222" s="23" t="n"/>
      <c r="M222" s="23" t="n"/>
      <c r="N222" s="255">
        <f>IF(AND(ISNUMBER(N127),ISNUMBER(I127)),IFERROR(N127/I127-1,""),"")</f>
        <v>0.126907614456868</v>
      </c>
      <c r="O222" s="255">
        <f>IF(AND(ISNUMBER(O127),ISNUMBER(J127)),IFERROR(O127/J127-1,""),"")</f>
        <v>-0.119319505942671</v>
      </c>
      <c r="P222" s="255">
        <f>IF(AND(ISNUMBER(P127),ISNUMBER(K127)),IFERROR(P127/K127-1,""),"")</f>
        <v>-0.143627985934279</v>
      </c>
      <c r="Q222" s="255">
        <f>IF(AND(ISNUMBER(Q127),ISNUMBER(L127)),IFERROR(Q127/L127-1,""),"")</f>
        <v>0.0540919976876704</v>
      </c>
      <c r="R222" s="255">
        <f>IF(AND(ISNUMBER(R127),ISNUMBER(M127)),IFERROR(R127/M127-1,""),"")</f>
        <v>0.721323877068558</v>
      </c>
      <c r="S222" s="255">
        <f>IF(AND(ISNUMBER(S127),ISNUMBER(N127)),IFERROR(S127/N127-1,""),"")</f>
        <v>0.068616662525292</v>
      </c>
      <c r="T222" s="255">
        <f>IF(AND(ISNUMBER(T127),ISNUMBER(O127)),IFERROR(T127/O127-1,""),"")</f>
        <v>0.0598041810002647</v>
      </c>
      <c r="U222" s="255">
        <f>IF(AND(ISNUMBER(U127),ISNUMBER(P127)),IFERROR(U127/P127-1,""),"")</f>
        <v>-0.0620884955752211</v>
      </c>
      <c r="V222" s="255">
        <f>IF(AND(ISNUMBER(V127),ISNUMBER(Q127)),IFERROR(V127/Q127-1,""),"")</f>
        <v>0.100830460670636</v>
      </c>
      <c r="W222" s="255">
        <f>IF(AND(ISNUMBER(W127),ISNUMBER(R127)),IFERROR(W127/R127-1,""),"")</f>
        <v>-0.179860462561116</v>
      </c>
      <c r="X222" s="255">
        <f>IF(AND(ISNUMBER(X127),ISNUMBER(S127)),IFERROR(X127/S127-1,""),"")</f>
        <v>-0.0325538134467179</v>
      </c>
      <c r="Y222" s="255">
        <f>IF(AND(ISNUMBER(Y127),ISNUMBER(T127)),IFERROR(Y127/T127-1,""),"")</f>
        <v>-0.163295880149813</v>
      </c>
      <c r="Z222" s="255">
        <f>IF(AND(ISNUMBER(Z127),ISNUMBER(U127)),IFERROR(Z127/U127-1,""),"")</f>
        <v>0.0959390096618358</v>
      </c>
      <c r="AA222" s="255">
        <f>IF(AND(ISNUMBER(AA127),ISNUMBER(V127)),IFERROR(AA127/V127-1,""),"")</f>
        <v>0.213223258131094</v>
      </c>
      <c r="AB222" s="255">
        <f>IF(AND(ISNUMBER(AB127),ISNUMBER(W127)),IFERROR(AB127/W127-1,""),"")</f>
        <v>0.267599973206511</v>
      </c>
      <c r="AC222" s="255">
        <f>IF(AND(ISNUMBER(AC127),ISNUMBER(X127)),IFERROR(AC127/X127-1,""),"")</f>
        <v>0.0969303667078696</v>
      </c>
      <c r="AD222" s="255">
        <f>IF(AND(ISNUMBER(AD127),ISNUMBER(Y127)),IFERROR(AD127/Y127-1,""),"")</f>
        <v>0.345866905401373</v>
      </c>
      <c r="AE222" s="255">
        <f>IF(AND(ISNUMBER(AE127),ISNUMBER(Z127)),IFERROR(AE127/Z127-1,""),"")</f>
        <v>0.255458364901164</v>
      </c>
      <c r="AF222" s="255">
        <f>IF(AND(ISNUMBER(AF127),ISNUMBER(AA127)),IFERROR(AF127/AA127-1,""),"")</f>
        <v>-0.250894585557576</v>
      </c>
      <c r="AG222" s="255">
        <f>IF(AND(ISNUMBER(AG127),ISNUMBER(AB127)),IFERROR(AG127/AB127-1,""),"")</f>
        <v>0.140615091946734</v>
      </c>
      <c r="AH222" s="255">
        <f>IF(AND(ISNUMBER(AH127),ISNUMBER(AC127)),IFERROR(AH127/AC127-1,""),"")</f>
        <v>0.105315053056625</v>
      </c>
      <c r="AI222" s="255">
        <f>IF(AND(ISNUMBER(AI127),ISNUMBER(AD127)),IFERROR(AI127/AD127-1,""),"")</f>
        <v>0.208924611973393</v>
      </c>
      <c r="AJ222" s="255">
        <f>IF(AND(ISNUMBER(AJ127),ISNUMBER(AE127)),IFERROR(AJ127/AE127-1,""),"")</f>
        <v>-0.186800526662278</v>
      </c>
      <c r="AK222" s="255">
        <f>IF(AND(ISNUMBER(AK127),ISNUMBER(AF127)),IFERROR(AK127/AF127-1,""),"")</f>
        <v>0.866249021143305</v>
      </c>
      <c r="AL222" s="255">
        <f>IF(AND(ISNUMBER(AL127),ISNUMBER(AG127)),IFERROR(AL127/AG127-1,""),"")</f>
        <v>0.235904563354181</v>
      </c>
      <c r="AM222" s="255">
        <f>IF(AND(ISNUMBER(AM127),ISNUMBER(AH127)),IFERROR(AM127/AH127-1,""),"")</f>
        <v>0.233889809268935</v>
      </c>
      <c r="AN222" s="255">
        <f>IF(AND(ISNUMBER(AN127),ISNUMBER(AI127)),IFERROR(AN127/AI127-1,""),"")</f>
        <v>0.25943417855014</v>
      </c>
      <c r="AO222" s="255">
        <f>IF(AND(ISNUMBER(AO127),ISNUMBER(AJ127)),IFERROR(AO127/AJ127-1,""),"")</f>
        <v>1.03137016798219</v>
      </c>
      <c r="AP222" s="255">
        <f>IF(AND(ISNUMBER(AP127),ISNUMBER(AK127)),IFERROR(AP127/AK127-1,""),"")</f>
        <v>-0.321164820409533</v>
      </c>
      <c r="AQ222" s="255">
        <f>IF(AND(ISNUMBER(AQ127),ISNUMBER(AL127)),IFERROR(AQ127/AL127-1,""),"")</f>
        <v>0.178430858042508</v>
      </c>
      <c r="AR222" s="255">
        <f>IF(AND(ISNUMBER(AR127),ISNUMBER(AM127)),IFERROR(AR127/AM127-1,""),"")</f>
        <v>0.207158513214216</v>
      </c>
      <c r="AS222" s="255">
        <f>IF(AND(ISNUMBER(AS127),ISNUMBER(AN127)),IFERROR(AS127/AN127-1,""),"")</f>
        <v>0.110387009866385</v>
      </c>
      <c r="AT222" s="255">
        <f>IF(AND(ISNUMBER(AT127),ISNUMBER(AO127)),IFERROR(AT127/AO127-1,""),"")</f>
        <v>0.0384909169406529</v>
      </c>
      <c r="AU222" s="255">
        <f>IF(AND(ISNUMBER(AU127),ISNUMBER(AP127)),IFERROR(AU127/AP127-1,""),"")</f>
        <v>0.886203486215849</v>
      </c>
      <c r="AV222" s="255">
        <f>IF(AND(ISNUMBER(AV127),ISNUMBER(AQ127)),IFERROR(AV127/AQ127-1,""),"")</f>
        <v>0.0736393421764165</v>
      </c>
      <c r="AW222" s="255">
        <f>IF(AND(ISNUMBER(AW127),ISNUMBER(AR127)),IFERROR(AW127/AR127-1,""),"")</f>
        <v>0.198140560683695</v>
      </c>
      <c r="AX222" s="255">
        <f>IF(AND(ISNUMBER(AX127),ISNUMBER(AS127)),IFERROR(AX127/AS127-1,""),"")</f>
        <v>-0.256073969638349</v>
      </c>
      <c r="AY222" s="255">
        <f>IF(AND(ISNUMBER(AY127),ISNUMBER(AT127)),IFERROR(AY127/AT127-1,""),"")</f>
        <v>-0.346945954589063</v>
      </c>
      <c r="AZ222" s="255">
        <f>IF(AND(ISNUMBER(AZ127),ISNUMBER(AU127)),IFERROR(AZ127/AU127-1,""),"")</f>
        <v>-0.293167294773062</v>
      </c>
      <c r="BA222" s="255">
        <f>IF(AND(ISNUMBER(BA127),ISNUMBER(AV127)),IFERROR(BA127/AV127-1,""),"")</f>
        <v>-0.260666034605357</v>
      </c>
      <c r="BB222" s="255">
        <f>IF(AND(ISNUMBER(BB127),ISNUMBER(AW127)),IFERROR(BB127/AW127-1,""),"")</f>
        <v>-0.288830175505411</v>
      </c>
      <c r="BC222" s="255">
        <f>IF(AND(ISNUMBER(BC127),ISNUMBER(AX127)),IFERROR(BC127/AX127-1,""),"")</f>
        <v>0.145885671470757</v>
      </c>
      <c r="BD222" s="255">
        <f>IF(AND(ISNUMBER(BD127),ISNUMBER(AY127)),IFERROR(BD127/AY127-1,""),"")</f>
        <v>-0.660692424465011</v>
      </c>
      <c r="BE222" s="255">
        <f>IF(AND(ISNUMBER(BE127),ISNUMBER(AZ127)),IFERROR(BE127/AZ127-1,""),"")</f>
        <v>-1.00292085863971</v>
      </c>
      <c r="BF222" s="255">
        <f>IF(AND(ISNUMBER(BF127),ISNUMBER(BA127)),IFERROR(BF127/BA127-1,""),"")</f>
        <v>0.290374288691192</v>
      </c>
      <c r="BG222" s="255">
        <f>IF(AND(ISNUMBER(BG127),ISNUMBER(BB127)),IFERROR(BG127/BB127-1,""),"")</f>
        <v>-0.274095478227885</v>
      </c>
      <c r="BH222" s="255">
        <f>IF(AND(ISNUMBER(BH127),ISNUMBER(BC127)),IFERROR(BH127/BC127-1,""),"")</f>
        <v>0.439978460710027</v>
      </c>
      <c r="BI222" s="255">
        <f>IF(AND(ISNUMBER(BI127),ISNUMBER(BD127)),IFERROR(BI127/BD127-1,""),"")</f>
        <v>5.32154712079665</v>
      </c>
      <c r="BJ222" s="255">
        <f>IF(AND(ISNUMBER(BJ127),ISNUMBER(BE127)),IFERROR(BJ127/BE127-1,""),"")</f>
        <v>-576.619047619046</v>
      </c>
      <c r="BK222" s="255">
        <f>IF(AND(ISNUMBER(BK127),ISNUMBER(BF127)),IFERROR(BK127/BF127-1,""),"")</f>
        <v>0.526552795031056</v>
      </c>
      <c r="BL222" s="255">
        <f>IF(AND(ISNUMBER(BL127),ISNUMBER(BG127)),IFERROR(BL127/BG127-1,""),"")</f>
        <v>1.5620533312841</v>
      </c>
      <c r="BM222" s="255">
        <f>IF(AND(ISNUMBER(BM127),ISNUMBER(BH127)),IFERROR(BM127/BH127-1,""),"")</f>
        <v>0.336262620866499</v>
      </c>
      <c r="BN222" s="255">
        <f>IF(AND(ISNUMBER(BN127),ISNUMBER(BI127)),IFERROR(BN127/BI127-1,""),"")</f>
        <v>0.179238390941053</v>
      </c>
      <c r="BO222" s="255">
        <f>IF(AND(ISNUMBER(BO127),ISNUMBER(BJ127)),IFERROR(BO127/BJ127-1,""),"")</f>
        <v>0.283752481800132</v>
      </c>
      <c r="BP222" s="255">
        <f>IF(AND(ISNUMBER(BP127),ISNUMBER(BK127)),IFERROR(BP127/BK127-1,""),"")</f>
        <v>0.254602787102024</v>
      </c>
      <c r="BQ222" s="255">
        <f>IF(AND(ISNUMBER(BQ127),ISNUMBER(BL127)),IFERROR(BQ127/BL127-1,""),"")</f>
        <v>0.259148170365927</v>
      </c>
      <c r="BR222" s="255">
        <f>IF(AND(ISNUMBER(BR127),ISNUMBER(BM127)),IFERROR(BR127/BM127-1,""),"")</f>
        <v>0.227337237891539</v>
      </c>
      <c r="BS222" s="255">
        <f>IF(AND(ISNUMBER(BS127),ISNUMBER(BN127)),IFERROR(BS127/BN127-1,""),"")</f>
        <v>0.0493098174355797</v>
      </c>
      <c r="BT222" s="255">
        <f>IF(AND(ISNUMBER(BT127),ISNUMBER(BO127)),IFERROR(BT127/BO127-1,""),"")</f>
        <v>0.243716973836835</v>
      </c>
      <c r="BU222" s="255">
        <f>IF(AND(ISNUMBER(BU127),ISNUMBER(BP127)),IFERROR(BU127/BP127-1,""),"")</f>
        <v>0.178855197016377</v>
      </c>
      <c r="BV222" s="255">
        <f>IF(AND(ISNUMBER(BV127),ISNUMBER(BQ127)),IFERROR(BV127/BQ127-1,""),"")</f>
        <v>0.172939494997618</v>
      </c>
      <c r="BW222" s="255">
        <f>IF(AND(ISNUMBER(BW127),ISNUMBER(BR127)),IFERROR(BW127/BR127-1,""),"")</f>
        <v>0.115635179153094</v>
      </c>
      <c r="BX222" s="255">
        <f>IF(AND(ISNUMBER(BX127),ISNUMBER(BS127)),IFERROR(BX127/BS127-1,""),"")</f>
        <v>0.107011070110701</v>
      </c>
      <c r="BY222" s="255">
        <f>IF(AND(ISNUMBER(BY127),ISNUMBER(BT127)),IFERROR(BY127/BT127-1,""),"")</f>
        <v>0.164075993091537</v>
      </c>
      <c r="BZ222" s="255">
        <f>IF(AND(ISNUMBER(BZ127),ISNUMBER(BU127)),IFERROR(BZ127/BU127-1,""),"")</f>
        <v>0.261348005502063</v>
      </c>
      <c r="CA222" s="255">
        <f>IF(AND(ISNUMBER(CA127),ISNUMBER(BV127)),IFERROR(CA127/BV127-1,""),"")</f>
        <v>0.168155970755483</v>
      </c>
      <c r="CB222" s="255">
        <f>IF(AND(ISNUMBER(CB127),ISNUMBER(BW127)),IFERROR(CB127/BW127-1,""),"")</f>
        <v>0.481751824817518</v>
      </c>
      <c r="CC222" s="256">
        <f>IF(AND(ISNUMBER(CC127),ISNUMBER(BX127)),IFERROR(CC127/BX127-1,""),"")</f>
        <v>0.504223333333333</v>
      </c>
      <c r="CD222" s="256">
        <f>IF(AND(ISNUMBER(CD127),ISNUMBER(BY127)),IFERROR(CD127/BY127-1,""),"")</f>
        <v>0.382682952346074</v>
      </c>
      <c r="CE222" s="256">
        <f>IF(AND(ISNUMBER(CE127),ISNUMBER(BZ127)),IFERROR(CE127/BZ127-1,""),"")</f>
        <v>0.292383978522127</v>
      </c>
      <c r="CF222" s="256">
        <f>IF(AND(ISNUMBER(CF127),ISNUMBER(CA127)),IFERROR(CF127/CA127-1,""),"")</f>
        <v>0.402843678089723</v>
      </c>
      <c r="CG222" s="256">
        <f>IF(AND(ISNUMBER(CG127),ISNUMBER(CF127)),IFERROR(CG127/CF127-1,""),"")</f>
        <v>0.132169406373518</v>
      </c>
      <c r="CH222" s="256">
        <f>IF(AND(ISNUMBER(CH127),ISNUMBER(CG127)),IFERROR(CH127/CG127-1,""),"")</f>
        <v>0.112454817928872</v>
      </c>
      <c r="CI222" s="256">
        <f>IF(AND(ISNUMBER(CI127),ISNUMBER(CH127)),IFERROR(CI127/CH127-1,""),"")</f>
        <v>0.123738696798882</v>
      </c>
      <c r="CJ222" s="256">
        <f>IF(AND(ISNUMBER(CJ127),ISNUMBER(CI127)),IFERROR(CJ127/CI127-1,""),"")</f>
        <v>0.100690813291609</v>
      </c>
      <c r="CK222" s="256">
        <f>IF(AND(ISNUMBER(CK127),ISNUMBER(CJ127)),IFERROR(CK127/CJ127-1,""),"")</f>
        <v>0.0895479800014958</v>
      </c>
      <c r="CL222" s="153" t="n"/>
    </row>
    <row r="223" ht="15" customHeight="1" s="251">
      <c r="B223" s="22" t="inlineStr">
        <is>
          <t xml:space="preserve">  Adjusted EPS y/y %</t>
        </is>
      </c>
      <c r="C223" s="23" t="n"/>
      <c r="D223" s="255">
        <f>IF(AND(ISNUMBER(D203),ISNUMBER(C203)),IFERROR(D203/C203-1,""),"")</f>
        <v>0.28733634662136</v>
      </c>
      <c r="E223" s="255">
        <f>IF(AND(ISNUMBER(E203),ISNUMBER(D203)),IFERROR(E203/D203-1,""),"")</f>
        <v>0.179736388295193</v>
      </c>
      <c r="F223" s="255">
        <f>IF(AND(ISNUMBER(F203),ISNUMBER(E203)),IFERROR(F203/E203-1,""),"")</f>
        <v>-0.0052749668136679</v>
      </c>
      <c r="G223" s="255">
        <f>IF(AND(ISNUMBER(G203),ISNUMBER(F203)),IFERROR(G203/F203-1,""),"")</f>
        <v>-0.399674554298461</v>
      </c>
      <c r="H223" s="255">
        <f>IF(AND(ISNUMBER(H203),ISNUMBER(G203)),IFERROR(H203/G203-1,""),"")</f>
        <v>0.500502412894785</v>
      </c>
      <c r="I223" s="255">
        <f>IF(AND(ISNUMBER(I203),ISNUMBER(H203)),IFERROR(I203/H203-1,""),"")</f>
        <v>0.332321091427634</v>
      </c>
      <c r="J223" s="23" t="n"/>
      <c r="K223" s="23" t="n"/>
      <c r="L223" s="23" t="n"/>
      <c r="M223" s="23" t="n"/>
      <c r="N223" s="255">
        <f>IF(AND(ISNUMBER(N203),ISNUMBER(I203)),IFERROR(N203/I203-1,""),"")</f>
        <v>0.0902029304164227</v>
      </c>
      <c r="O223" s="255">
        <f>IF(AND(ISNUMBER(O203),ISNUMBER(J203)),IFERROR(O203/J203-1,""),"")</f>
        <v>0.0635081173641123</v>
      </c>
      <c r="P223" s="255">
        <f>IF(AND(ISNUMBER(P203),ISNUMBER(K203)),IFERROR(P203/K203-1,""),"")</f>
        <v>0.06101175246442</v>
      </c>
      <c r="Q223" s="255">
        <f>IF(AND(ISNUMBER(Q203),ISNUMBER(L203)),IFERROR(Q203/L203-1,""),"")</f>
        <v>0.0428295290331648</v>
      </c>
      <c r="R223" s="255">
        <f>IF(AND(ISNUMBER(R203),ISNUMBER(M203)),IFERROR(R203/M203-1,""),"")</f>
        <v>0.0628471705176108</v>
      </c>
      <c r="S223" s="255">
        <f>IF(AND(ISNUMBER(S203),ISNUMBER(N203)),IFERROR(S203/N203-1,""),"")</f>
        <v>0.0584588469494851</v>
      </c>
      <c r="T223" s="255">
        <f>IF(AND(ISNUMBER(T203),ISNUMBER(O203)),IFERROR(T203/O203-1,""),"")</f>
        <v>0.0455133249914612</v>
      </c>
      <c r="U223" s="255">
        <f>IF(AND(ISNUMBER(U203),ISNUMBER(P203)),IFERROR(U203/P203-1,""),"")</f>
        <v>0.104182150608821</v>
      </c>
      <c r="V223" s="255">
        <f>IF(AND(ISNUMBER(V203),ISNUMBER(Q203)),IFERROR(V203/Q203-1,""),"")</f>
        <v>0.126828940087193</v>
      </c>
      <c r="W223" s="255">
        <f>IF(AND(ISNUMBER(W203),ISNUMBER(R203)),IFERROR(W203/R203-1,""),"")</f>
        <v>-0.0087089944878439</v>
      </c>
      <c r="X223" s="255">
        <f>IF(AND(ISNUMBER(X203),ISNUMBER(S203)),IFERROR(X203/S203-1,""),"")</f>
        <v>0.0620889154805575</v>
      </c>
      <c r="Y223" s="255">
        <f>IF(AND(ISNUMBER(Y203),ISNUMBER(T203)),IFERROR(Y203/T203-1,""),"")</f>
        <v>0.144450867472194</v>
      </c>
      <c r="Z223" s="255">
        <f>IF(AND(ISNUMBER(Z203),ISNUMBER(U203)),IFERROR(Z203/U203-1,""),"")</f>
        <v>0.0772308675220095</v>
      </c>
      <c r="AA223" s="255">
        <f>IF(AND(ISNUMBER(AA203),ISNUMBER(V203)),IFERROR(AA203/V203-1,""),"")</f>
        <v>0.190660787197749</v>
      </c>
      <c r="AB223" s="255">
        <f>IF(AND(ISNUMBER(AB203),ISNUMBER(W203)),IFERROR(AB203/W203-1,""),"")</f>
        <v>0.182953515310526</v>
      </c>
      <c r="AC223" s="255">
        <f>IF(AND(ISNUMBER(AC203),ISNUMBER(X203)),IFERROR(AC203/X203-1,""),"")</f>
        <v>0.147005945269158</v>
      </c>
      <c r="AD223" s="255">
        <f>IF(AND(ISNUMBER(AD203),ISNUMBER(Y203)),IFERROR(AD203/Y203-1,""),"")</f>
        <v>-0.0246994901137758</v>
      </c>
      <c r="AE223" s="255">
        <f>IF(AND(ISNUMBER(AE203),ISNUMBER(Z203)),IFERROR(AE203/Z203-1,""),"")</f>
        <v>0.0232339075718186</v>
      </c>
      <c r="AF223" s="255">
        <f>IF(AND(ISNUMBER(AF203),ISNUMBER(AA203)),IFERROR(AF203/AA203-1,""),"")</f>
        <v>-0.00806847858119097</v>
      </c>
      <c r="AG223" s="255">
        <f>IF(AND(ISNUMBER(AG203),ISNUMBER(AB203)),IFERROR(AG203/AB203-1,""),"")</f>
        <v>0.0454104391245618</v>
      </c>
      <c r="AH223" s="255">
        <f>IF(AND(ISNUMBER(AH203),ISNUMBER(AC203)),IFERROR(AH203/AC203-1,""),"")</f>
        <v>0.0103401382307615</v>
      </c>
      <c r="AI223" s="255">
        <f>IF(AND(ISNUMBER(AI203),ISNUMBER(AD203)),IFERROR(AI203/AD203-1,""),"")</f>
        <v>0.186706116994984</v>
      </c>
      <c r="AJ223" s="255">
        <f>IF(AND(ISNUMBER(AJ203),ISNUMBER(AE203)),IFERROR(AJ203/AE203-1,""),"")</f>
        <v>0.0732035225107652</v>
      </c>
      <c r="AK223" s="255">
        <f>IF(AND(ISNUMBER(AK203),ISNUMBER(AF203)),IFERROR(AK203/AF203-1,""),"")</f>
        <v>0.442927905259092</v>
      </c>
      <c r="AL223" s="255">
        <f>IF(AND(ISNUMBER(AL203),ISNUMBER(AG203)),IFERROR(AL203/AG203-1,""),"")</f>
        <v>0.197701550584333</v>
      </c>
      <c r="AM223" s="255">
        <f>IF(AND(ISNUMBER(AM203),ISNUMBER(AH203)),IFERROR(AM203/AH203-1,""),"")</f>
        <v>0.220693858422929</v>
      </c>
      <c r="AN223" s="255">
        <f>IF(AND(ISNUMBER(AN203),ISNUMBER(AI203)),IFERROR(AN203/AI203-1,""),"")</f>
        <v>0.261019156733805</v>
      </c>
      <c r="AO223" s="255">
        <f>IF(AND(ISNUMBER(AO203),ISNUMBER(AJ203)),IFERROR(AO203/AJ203-1,""),"")</f>
        <v>0.467311731151452</v>
      </c>
      <c r="AP223" s="255">
        <f>IF(AND(ISNUMBER(AP203),ISNUMBER(AK203)),IFERROR(AP203/AK203-1,""),"")</f>
        <v>0.0917761282293845</v>
      </c>
      <c r="AQ223" s="255">
        <f>IF(AND(ISNUMBER(AQ203),ISNUMBER(AL203)),IFERROR(AQ203/AL203-1,""),"")</f>
        <v>0.230691452397829</v>
      </c>
      <c r="AR223" s="255">
        <f>IF(AND(ISNUMBER(AR203),ISNUMBER(AM203)),IFERROR(AR203/AM203-1,""),"")</f>
        <v>0.25080302293</v>
      </c>
      <c r="AS223" s="255">
        <f>IF(AND(ISNUMBER(AS203),ISNUMBER(AN203)),IFERROR(AS203/AN203-1,""),"")</f>
        <v>0.075251486164333</v>
      </c>
      <c r="AT223" s="255">
        <f>IF(AND(ISNUMBER(AT203),ISNUMBER(AO203)),IFERROR(AT203/AO203-1,""),"")</f>
        <v>0.0617913727667014</v>
      </c>
      <c r="AU223" s="255">
        <f>IF(AND(ISNUMBER(AU203),ISNUMBER(AP203)),IFERROR(AU203/AP203-1,""),"")</f>
        <v>0.0595730732739528</v>
      </c>
      <c r="AV223" s="255">
        <f>IF(AND(ISNUMBER(AV203),ISNUMBER(AQ203)),IFERROR(AV203/AQ203-1,""),"")</f>
        <v>-0.000693129177610219</v>
      </c>
      <c r="AW223" s="255">
        <f>IF(AND(ISNUMBER(AW203),ISNUMBER(AR203)),IFERROR(AW203/AR203-1,""),"")</f>
        <v>0.0473770045841739</v>
      </c>
      <c r="AX223" s="255">
        <f>IF(AND(ISNUMBER(AX203),ISNUMBER(AS203)),IFERROR(AX203/AS203-1,""),"")</f>
        <v>-0.230710198748042</v>
      </c>
      <c r="AY223" s="255">
        <f>IF(AND(ISNUMBER(AY203),ISNUMBER(AT203)),IFERROR(AY203/AT203-1,""),"")</f>
        <v>-0.283462853540889</v>
      </c>
      <c r="AZ223" s="255">
        <f>IF(AND(ISNUMBER(AZ203),ISNUMBER(AU203)),IFERROR(AZ203/AU203-1,""),"")</f>
        <v>-0.256032021934059</v>
      </c>
      <c r="BA223" s="255">
        <f>IF(AND(ISNUMBER(BA203),ISNUMBER(AV203)),IFERROR(BA203/AV203-1,""),"")</f>
        <v>-0.181554801525982</v>
      </c>
      <c r="BB223" s="255">
        <f>IF(AND(ISNUMBER(BB203),ISNUMBER(AW203)),IFERROR(BB203/AW203-1,""),"")</f>
        <v>-0.237319219697335</v>
      </c>
      <c r="BC223" s="255">
        <f>IF(AND(ISNUMBER(BC203),ISNUMBER(AX203)),IFERROR(BC203/AX203-1,""),"")</f>
        <v>0.0977205622897084</v>
      </c>
      <c r="BD223" s="255">
        <f>IF(AND(ISNUMBER(BD203),ISNUMBER(AY203)),IFERROR(BD203/AY203-1,""),"")</f>
        <v>-0.0400600296016885</v>
      </c>
      <c r="BE223" s="255">
        <f>IF(AND(ISNUMBER(BE203),ISNUMBER(AZ203)),IFERROR(BE203/AZ203-1,""),"")</f>
        <v>-0.222502252609014</v>
      </c>
      <c r="BF223" s="255">
        <f>IF(AND(ISNUMBER(BF203),ISNUMBER(BA203)),IFERROR(BF203/BA203-1,""),"")</f>
        <v>0.158139331345496</v>
      </c>
      <c r="BG223" s="255">
        <f>IF(AND(ISNUMBER(BG203),ISNUMBER(BB203)),IFERROR(BG203/BB203-1,""),"")</f>
        <v>0.00640009572791223</v>
      </c>
      <c r="BH223" s="255">
        <f>IF(AND(ISNUMBER(BH203),ISNUMBER(BC203)),IFERROR(BH203/BC203-1,""),"")</f>
        <v>0.145699684826384</v>
      </c>
      <c r="BI223" s="255">
        <f>IF(AND(ISNUMBER(BI203),ISNUMBER(BD203)),IFERROR(BI203/BD203-1,""),"")</f>
        <v>1.16166897706583</v>
      </c>
      <c r="BJ223" s="255">
        <f>IF(AND(ISNUMBER(BJ203),ISNUMBER(BE203)),IFERROR(BJ203/BE203-1,""),"")</f>
        <v>1.32621136341356</v>
      </c>
      <c r="BK223" s="255">
        <f>IF(AND(ISNUMBER(BK203),ISNUMBER(BF203)),IFERROR(BK203/BF203-1,""),"")</f>
        <v>0.692164796275497</v>
      </c>
      <c r="BL223" s="255">
        <f>IF(AND(ISNUMBER(BL203),ISNUMBER(BG203)),IFERROR(BL203/BG203-1,""),"")</f>
        <v>0.9227012053485</v>
      </c>
      <c r="BM223" s="255">
        <f>IF(AND(ISNUMBER(BM203),ISNUMBER(BH203)),IFERROR(BM203/BH203-1,""),"")</f>
        <v>0.785756409516361</v>
      </c>
      <c r="BN223" s="255">
        <f>IF(AND(ISNUMBER(BN203),ISNUMBER(BI203)),IFERROR(BN203/BI203-1,""),"")</f>
        <v>0.123761327799481</v>
      </c>
      <c r="BO223" s="255">
        <f>IF(AND(ISNUMBER(BO203),ISNUMBER(BJ203)),IFERROR(BO203/BJ203-1,""),"")</f>
        <v>0.133062527808604</v>
      </c>
      <c r="BP223" s="255">
        <f>IF(AND(ISNUMBER(BP203),ISNUMBER(BK203)),IFERROR(BP203/BK203-1,""),"")</f>
        <v>0.162052895871279</v>
      </c>
      <c r="BQ223" s="255">
        <f>IF(AND(ISNUMBER(BQ203),ISNUMBER(BL203)),IFERROR(BQ203/BL203-1,""),"")</f>
        <v>0.151650573640854</v>
      </c>
      <c r="BR223" s="255">
        <f>IF(AND(ISNUMBER(BR203),ISNUMBER(BM203)),IFERROR(BR203/BM203-1,""),"")</f>
        <v>0.195282709791751</v>
      </c>
      <c r="BS223" s="255">
        <f>IF(AND(ISNUMBER(BS203),ISNUMBER(BN203)),IFERROR(BS203/BN203-1,""),"")</f>
        <v>0.0529428687889211</v>
      </c>
      <c r="BT223" s="255">
        <f>IF(AND(ISNUMBER(BT203),ISNUMBER(BO203)),IFERROR(BT203/BO203-1,""),"")</f>
        <v>0.2607868579812</v>
      </c>
      <c r="BU223" s="255">
        <f>IF(AND(ISNUMBER(BU203),ISNUMBER(BP203)),IFERROR(BU203/BP203-1,""),"")</f>
        <v>0.145653404232896</v>
      </c>
      <c r="BV223" s="255">
        <f>IF(AND(ISNUMBER(BV203),ISNUMBER(BQ203)),IFERROR(BV203/BQ203-1,""),"")</f>
        <v>0.161108493775235</v>
      </c>
      <c r="BW223" s="255">
        <f>IF(AND(ISNUMBER(BW203),ISNUMBER(BR203)),IFERROR(BW203/BR203-1,""),"")</f>
        <v>0.116610241033857</v>
      </c>
      <c r="BX223" s="255">
        <f>IF(AND(ISNUMBER(BX203),ISNUMBER(BS203)),IFERROR(BX203/BS203-1,""),"")</f>
        <v>0.263077908795361</v>
      </c>
      <c r="BY223" s="255">
        <f>IF(AND(ISNUMBER(BY203),ISNUMBER(BT203)),IFERROR(BY203/BT203-1,""),"")</f>
        <v>0.301587327469319</v>
      </c>
      <c r="BZ223" s="255">
        <f>IF(AND(ISNUMBER(BZ203),ISNUMBER(BU203)),IFERROR(BZ203/BU203-1,""),"")</f>
        <v>0.28004941075458</v>
      </c>
      <c r="CA223" s="255">
        <f>IF(AND(ISNUMBER(CA203),ISNUMBER(BV203)),IFERROR(CA203/BV203-1,""),"")</f>
        <v>0.238096941089728</v>
      </c>
      <c r="CB223" s="255">
        <f>IF(AND(ISNUMBER(CB203),ISNUMBER(BW203)),IFERROR(CB203/BW203-1,""),"")</f>
        <v>0.365778553467312</v>
      </c>
      <c r="CC223" s="256">
        <f>IF(AND(ISNUMBER(CC203),ISNUMBER(BX203)),IFERROR(CC203/BX203-1,""),"")</f>
        <v>0.2233467490967</v>
      </c>
      <c r="CD223" s="256">
        <f>IF(AND(ISNUMBER(CD203),ISNUMBER(BY203)),IFERROR(CD203/BY203-1,""),"")</f>
        <v>0.187197050996163</v>
      </c>
      <c r="CE223" s="256">
        <f>IF(AND(ISNUMBER(CE203),ISNUMBER(BZ203)),IFERROR(CE203/BZ203-1,""),"")</f>
        <v>0.228265824950497</v>
      </c>
      <c r="CF223" s="256">
        <f>IF(AND(ISNUMBER(CF203),ISNUMBER(CA203)),IFERROR(CF203/CA203-1,""),"")</f>
        <v>0.248548893748865</v>
      </c>
      <c r="CG223" s="256">
        <f>IF(AND(ISNUMBER(CG203),ISNUMBER(CF203)),IFERROR(CG203/CF203-1,""),"")</f>
        <v>0.152298352808164</v>
      </c>
      <c r="CH223" s="256">
        <f>IF(AND(ISNUMBER(CH203),ISNUMBER(CG203)),IFERROR(CH203/CG203-1,""),"")</f>
        <v>0.131203878193929</v>
      </c>
      <c r="CI223" s="256">
        <f>IF(AND(ISNUMBER(CI203),ISNUMBER(CH203)),IFERROR(CI203/CH203-1,""),"")</f>
        <v>0.130422619413032</v>
      </c>
      <c r="CJ223" s="256">
        <f>IF(AND(ISNUMBER(CJ203),ISNUMBER(CI203)),IFERROR(CJ203/CI203-1,""),"")</f>
        <v>0.115753087640151</v>
      </c>
      <c r="CK223" s="256">
        <f>IF(AND(ISNUMBER(CK203),ISNUMBER(CJ203)),IFERROR(CK203/CJ203-1,""),"")</f>
        <v>0.110570331987437</v>
      </c>
      <c r="CL223" s="153" t="n"/>
    </row>
    <row r="224" ht="15" customHeight="1" s="251">
      <c r="B224" s="25" t="inlineStr">
        <is>
          <t xml:space="preserve">  Gross margin %</t>
        </is>
      </c>
      <c r="C224" s="215">
        <f>IF(AND(ISNUMBER(C110),ISNUMBER(C108)),IFERROR(C110/C108,""),"")</f>
        <v>0.302168599208041</v>
      </c>
      <c r="D224" s="215">
        <f>IF(AND(ISNUMBER(D110),ISNUMBER(D108)),IFERROR(D110/D108,""),"")</f>
        <v>0.327087322176552</v>
      </c>
      <c r="E224" s="215">
        <f>IF(AND(ISNUMBER(E110),ISNUMBER(E108)),IFERROR(E110/E108,""),"")</f>
        <v>0.343551119177253</v>
      </c>
      <c r="F224" s="215">
        <f>IF(AND(ISNUMBER(F110),ISNUMBER(F108)),IFERROR(F110/F108,""),"")</f>
        <v>0.332269053052873</v>
      </c>
      <c r="G224" s="215">
        <f>IF(AND(ISNUMBER(G110),ISNUMBER(G108)),IFERROR(G110/G108,""),"")</f>
        <v>0.307846320740293</v>
      </c>
      <c r="H224" s="215">
        <f>IF(AND(ISNUMBER(H110),ISNUMBER(H108)),IFERROR(H110/H108,""),"")</f>
        <v>0.327073370577281</v>
      </c>
      <c r="I224" s="215">
        <f>IF(AND(ISNUMBER(I110),ISNUMBER(I108)),IFERROR(I110/I108,""),"")</f>
        <v>0.353650590801261</v>
      </c>
      <c r="J224" s="215">
        <f>IF(AND(ISNUMBER(J110),ISNUMBER(J108)),IFERROR(J110/J108,""),"")</f>
        <v>0.372026632086245</v>
      </c>
      <c r="K224" s="215">
        <f>IF(AND(ISNUMBER(K110),ISNUMBER(K108)),IFERROR(K110/K108,""),"")</f>
        <v>0.373897882938979</v>
      </c>
      <c r="L224" s="215">
        <f>IF(AND(ISNUMBER(L110),ISNUMBER(L108)),IFERROR(L110/L108,""),"")</f>
        <v>0.376557050323867</v>
      </c>
      <c r="M224" s="215">
        <f>IF(AND(ISNUMBER(M110),ISNUMBER(M108)),IFERROR(M110/M108,""),"")</f>
        <v>0.394928450769858</v>
      </c>
      <c r="N224" s="215">
        <f>IF(AND(ISNUMBER(N110),ISNUMBER(N108)),IFERROR(N110/N108,""),"")</f>
        <v>0.379428409804218</v>
      </c>
      <c r="O224" s="215">
        <f>IF(AND(ISNUMBER(O110),ISNUMBER(O108)),IFERROR(O110/O108,""),"")</f>
        <v>0.394173452292827</v>
      </c>
      <c r="P224" s="215">
        <f>IF(AND(ISNUMBER(P110),ISNUMBER(P108)),IFERROR(P110/P108,""),"")</f>
        <v>0.39813052945446</v>
      </c>
      <c r="Q224" s="215">
        <f>IF(AND(ISNUMBER(Q110),ISNUMBER(Q108)),IFERROR(Q110/Q108,""),"")</f>
        <v>0.382869532353351</v>
      </c>
      <c r="R224" s="215">
        <f>IF(AND(ISNUMBER(R110),ISNUMBER(R108)),IFERROR(R110/R108,""),"")</f>
        <v>0.397834995339348</v>
      </c>
      <c r="S224" s="215">
        <f>IF(AND(ISNUMBER(S110),ISNUMBER(S108)),IFERROR(S110/S108,""),"")</f>
        <v>0.393417302082189</v>
      </c>
      <c r="T224" s="215">
        <f>IF(AND(ISNUMBER(T110),ISNUMBER(T108)),IFERROR(T110/T108,""),"")</f>
        <v>0.38785137718615</v>
      </c>
      <c r="U224" s="215">
        <f>IF(AND(ISNUMBER(U110),ISNUMBER(U108)),IFERROR(U110/U108,""),"")</f>
        <v>0.353169561547688</v>
      </c>
      <c r="V224" s="215">
        <f>IF(AND(ISNUMBER(V110),ISNUMBER(V108)),IFERROR(V110/V108,""),"")</f>
        <v>0.391762758413122</v>
      </c>
      <c r="W224" s="215">
        <f>IF(AND(ISNUMBER(W110),ISNUMBER(W108)),IFERROR(W110/W108,""),"")</f>
        <v>0.396016470194063</v>
      </c>
      <c r="X224" s="215">
        <f>IF(AND(ISNUMBER(X110),ISNUMBER(X108)),IFERROR(X110/X108,""),"")</f>
        <v>0.382098374498628</v>
      </c>
      <c r="Y224" s="215">
        <f>IF(AND(ISNUMBER(Y110),ISNUMBER(Y108)),IFERROR(Y110/Y108,""),"")</f>
        <v>0.370773252382157</v>
      </c>
      <c r="Z224" s="215">
        <f>IF(AND(ISNUMBER(Z110),ISNUMBER(Z108)),IFERROR(Z110/Z108,""),"")</f>
        <v>0.350500349706784</v>
      </c>
      <c r="AA224" s="215">
        <f>IF(AND(ISNUMBER(AA110),ISNUMBER(AA108)),IFERROR(AA110/AA108,""),"")</f>
        <v>0.37111693570755</v>
      </c>
      <c r="AB224" s="215">
        <f>IF(AND(ISNUMBER(AB110),ISNUMBER(AB108)),IFERROR(AB110/AB108,""),"")</f>
        <v>0.372106353080393</v>
      </c>
      <c r="AC224" s="215">
        <f>IF(AND(ISNUMBER(AC110),ISNUMBER(AC108)),IFERROR(AC110/AC108,""),"")</f>
        <v>0.36617280809812</v>
      </c>
      <c r="AD224" s="215">
        <f>IF(AND(ISNUMBER(AD110),ISNUMBER(AD108)),IFERROR(AD110/AD108,""),"")</f>
        <v>0.370367255578054</v>
      </c>
      <c r="AE224" s="215">
        <f>IF(AND(ISNUMBER(AE110),ISNUMBER(AE108)),IFERROR(AE110/AE108,""),"")</f>
        <v>0.368519516964071</v>
      </c>
      <c r="AF224" s="215">
        <f>IF(AND(ISNUMBER(AF110),ISNUMBER(AF108)),IFERROR(AF110/AF108,""),"")</f>
        <v>0.357196432467816</v>
      </c>
      <c r="AG224" s="215">
        <f>IF(AND(ISNUMBER(AG110),ISNUMBER(AG108)),IFERROR(AG110/AG108,""),"")</f>
        <v>0.394663254478497</v>
      </c>
      <c r="AH224" s="215">
        <f>IF(AND(ISNUMBER(AH110),ISNUMBER(AH108)),IFERROR(AH110/AH108,""),"")</f>
        <v>0.373091447997036</v>
      </c>
      <c r="AI224" s="215">
        <f>IF(AND(ISNUMBER(AI110),ISNUMBER(AI108)),IFERROR(AI110/AI108,""),"")</f>
        <v>0.377731136018353</v>
      </c>
      <c r="AJ224" s="215">
        <f>IF(AND(ISNUMBER(AJ110),ISNUMBER(AJ108)),IFERROR(AJ110/AJ108,""),"")</f>
        <v>0.376169233858943</v>
      </c>
      <c r="AK224" s="215">
        <f>IF(AND(ISNUMBER(AK110),ISNUMBER(AK108)),IFERROR(AK110/AK108,""),"")</f>
        <v>0.387545098227235</v>
      </c>
      <c r="AL224" s="215">
        <f>IF(AND(ISNUMBER(AL110),ISNUMBER(AL108)),IFERROR(AL110/AL108,""),"")</f>
        <v>0.38763154822462</v>
      </c>
      <c r="AM224" s="215">
        <f>IF(AND(ISNUMBER(AM110),ISNUMBER(AM108)),IFERROR(AM110/AM108,""),"")</f>
        <v>0.382415560286777</v>
      </c>
      <c r="AN224" s="215">
        <f>IF(AND(ISNUMBER(AN110),ISNUMBER(AN108)),IFERROR(AN110/AN108,""),"")</f>
        <v>0.38491348694491</v>
      </c>
      <c r="AO224" s="215">
        <f>IF(AND(ISNUMBER(AO110),ISNUMBER(AO108)),IFERROR(AO110/AO108,""),"")</f>
        <v>0.392207777186611</v>
      </c>
      <c r="AP224" s="215">
        <f>IF(AND(ISNUMBER(AP110),ISNUMBER(AP108)),IFERROR(AP110/AP108,""),"")</f>
        <v>0.397350877499956</v>
      </c>
      <c r="AQ224" s="215">
        <f>IF(AND(ISNUMBER(AQ110),ISNUMBER(AQ108)),IFERROR(AQ110/AQ108,""),"")</f>
        <v>0.400566528694239</v>
      </c>
      <c r="AR224" s="215">
        <f>IF(AND(ISNUMBER(AR110),ISNUMBER(AR108)),IFERROR(AR110/AR108,""),"")</f>
        <v>0.393803130462509</v>
      </c>
      <c r="AS224" s="215">
        <f>IF(AND(ISNUMBER(AS110),ISNUMBER(AS108)),IFERROR(AS110/AS108,""),"")</f>
        <v>0.386961519513931</v>
      </c>
      <c r="AT224" s="215">
        <f>IF(AND(ISNUMBER(AT110),ISNUMBER(AT108)),IFERROR(AT110/AT108,""),"")</f>
        <v>0.390931729601064</v>
      </c>
      <c r="AU224" s="215">
        <f>IF(AND(ISNUMBER(AU110),ISNUMBER(AU108)),IFERROR(AU110/AU108,""),"")</f>
        <v>0.399454295866545</v>
      </c>
      <c r="AV224" s="215">
        <f>IF(AND(ISNUMBER(AV110),ISNUMBER(AV108)),IFERROR(AV110/AV108,""),"")</f>
        <v>0.412089774702303</v>
      </c>
      <c r="AW224" s="215">
        <f>IF(AND(ISNUMBER(AW110),ISNUMBER(AW108)),IFERROR(AW110/AW108,""),"")</f>
        <v>0.397413744516888</v>
      </c>
      <c r="AX224" s="215">
        <f>IF(AND(ISNUMBER(AX110),ISNUMBER(AX108)),IFERROR(AX110/AX108,""),"")</f>
        <v>0.379908366508406</v>
      </c>
      <c r="AY224" s="215">
        <f>IF(AND(ISNUMBER(AY110),ISNUMBER(AY108)),IFERROR(AY110/AY108,""),"")</f>
        <v>0.386756415074999</v>
      </c>
      <c r="AZ224" s="215">
        <f>IF(AND(ISNUMBER(AZ110),ISNUMBER(AZ108)),IFERROR(AZ110/AZ108,""),"")</f>
        <v>0.381102556543559</v>
      </c>
      <c r="BA224" s="215">
        <f>IF(AND(ISNUMBER(BA110),ISNUMBER(BA108)),IFERROR(BA110/BA108,""),"")</f>
        <v>0.389712717177704</v>
      </c>
      <c r="BB224" s="215">
        <f>IF(AND(ISNUMBER(BB110),ISNUMBER(BB108)),IFERROR(BB110/BB108,""),"")</f>
        <v>0.384420608751626</v>
      </c>
      <c r="BC224" s="215">
        <f>IF(AND(ISNUMBER(BC110),ISNUMBER(BC108)),IFERROR(BC110/BC108,""),"")</f>
        <v>0.408264780256714</v>
      </c>
      <c r="BD224" s="215">
        <f>IF(AND(ISNUMBER(BD110),ISNUMBER(BD108)),IFERROR(BD110/BD108,""),"")</f>
        <v>0.388216283405842</v>
      </c>
      <c r="BE224" s="215">
        <f>IF(AND(ISNUMBER(BE110),ISNUMBER(BE108)),IFERROR(BE110/BE108,""),"")</f>
        <v>0.349668293669672</v>
      </c>
      <c r="BF224" s="215">
        <f>IF(AND(ISNUMBER(BF110),ISNUMBER(BF108)),IFERROR(BF110/BF108,""),"")</f>
        <v>0.38309848166095</v>
      </c>
      <c r="BG224" s="215">
        <f>IF(AND(ISNUMBER(BG110),ISNUMBER(BG108)),IFERROR(BG110/BG108,""),"")</f>
        <v>0.378676412103884</v>
      </c>
      <c r="BH224" s="215">
        <f>IF(AND(ISNUMBER(BH110),ISNUMBER(BH108)),IFERROR(BH110/BH108,""),"")</f>
        <v>0.398644374152734</v>
      </c>
      <c r="BI224" s="215">
        <f>IF(AND(ISNUMBER(BI110),ISNUMBER(BI108)),IFERROR(BI110/BI108,""),"")</f>
        <v>0.409427169817454</v>
      </c>
      <c r="BJ224" s="215">
        <f>IF(AND(ISNUMBER(BJ110),ISNUMBER(BJ108)),IFERROR(BJ110/BJ108,""),"")</f>
        <v>0.415328830430146</v>
      </c>
      <c r="BK224" s="215">
        <f>IF(AND(ISNUMBER(BK110),ISNUMBER(BK108)),IFERROR(BK110/BK108,""),"")</f>
        <v>0.421913584942016</v>
      </c>
      <c r="BL224" s="215">
        <f>IF(AND(ISNUMBER(BL110),ISNUMBER(BL108)),IFERROR(BL110/BL108,""),"")</f>
        <v>0.411624583134826</v>
      </c>
      <c r="BM224" s="215">
        <f>IF(AND(ISNUMBER(BM110),ISNUMBER(BM108)),IFERROR(BM110/BM108,""),"")</f>
        <v>0.433586827925047</v>
      </c>
      <c r="BN224" s="215">
        <f>IF(AND(ISNUMBER(BN110),ISNUMBER(BN108)),IFERROR(BN110/BN108,""),"")</f>
        <v>0.431372091334433</v>
      </c>
      <c r="BO224" s="215">
        <f>IF(AND(ISNUMBER(BO110),ISNUMBER(BO108)),IFERROR(BO110/BO108,""),"")</f>
        <v>0.422686450605232</v>
      </c>
      <c r="BP224" s="215">
        <f>IF(AND(ISNUMBER(BP110),ISNUMBER(BP108)),IFERROR(BP110/BP108,""),"")</f>
        <v>0.430963546702765</v>
      </c>
      <c r="BQ224" s="215">
        <f>IF(AND(ISNUMBER(BQ110),ISNUMBER(BQ108)),IFERROR(BQ110/BQ108,""),"")</f>
        <v>0.429725052874447</v>
      </c>
      <c r="BR224" s="215">
        <f>IF(AND(ISNUMBER(BR110),ISNUMBER(BR108)),IFERROR(BR110/BR108,""),"")</f>
        <v>0.452867339404381</v>
      </c>
      <c r="BS224" s="215">
        <f>IF(AND(ISNUMBER(BS110),ISNUMBER(BS108)),IFERROR(BS110/BS108,""),"")</f>
        <v>0.436793164111586</v>
      </c>
      <c r="BT224" s="215">
        <f>IF(AND(ISNUMBER(BT110),ISNUMBER(BT108)),IFERROR(BT110/BT108,""),"")</f>
        <v>0.443458417849899</v>
      </c>
      <c r="BU224" s="215">
        <f>IF(AND(ISNUMBER(BU110),ISNUMBER(BU108)),IFERROR(BU110/BU108,""),"")</f>
        <v>0.441855151930546</v>
      </c>
      <c r="BV224" s="215">
        <f>IF(AND(ISNUMBER(BV110),ISNUMBER(BV108)),IFERROR(BV110/BV108,""),"")</f>
        <v>0.443745034529121</v>
      </c>
      <c r="BW224" s="215">
        <f>IF(AND(ISNUMBER(BW110),ISNUMBER(BW108)),IFERROR(BW110/BW108,""),"")</f>
        <v>0.447706422018349</v>
      </c>
      <c r="BX224" s="215">
        <f>IF(AND(ISNUMBER(BX110),ISNUMBER(BX108)),IFERROR(BX110/BX108,""),"")</f>
        <v>0.440588622886009</v>
      </c>
      <c r="BY224" s="215">
        <f>IF(AND(ISNUMBER(BY110),ISNUMBER(BY108)),IFERROR(BY110/BY108,""),"")</f>
        <v>0.442807625649913</v>
      </c>
      <c r="BZ224" s="215">
        <f>IF(AND(ISNUMBER(BZ110),ISNUMBER(BZ108)),IFERROR(BZ110/BZ108,""),"")</f>
        <v>0.444015444015444</v>
      </c>
      <c r="CA224" s="215">
        <f>IF(AND(ISNUMBER(CA110),ISNUMBER(CA108)),IFERROR(CA110/CA108,""),"")</f>
        <v>0.443743652787429</v>
      </c>
      <c r="CB224" s="215">
        <f>IF(AND(ISNUMBER(CB110),ISNUMBER(CB108)),IFERROR(CB110/CB108,""),"")</f>
        <v>0.476997112608277</v>
      </c>
      <c r="CC224" s="256">
        <f>IF(AND(ISNUMBER(CC110),ISNUMBER(CC108)),IFERROR(CC110/CC108,""),"")</f>
        <v>0.45625</v>
      </c>
      <c r="CD224" s="256">
        <f>IF(AND(ISNUMBER(CD110),ISNUMBER(CD108)),IFERROR(CD110/CD108,""),"")</f>
        <v>0.459914289713957</v>
      </c>
      <c r="CE224" s="256">
        <f>IF(AND(ISNUMBER(CE110),ISNUMBER(CE108)),IFERROR(CE110/CE108,""),"")</f>
        <v>0.461680164712692</v>
      </c>
      <c r="CF224" s="256">
        <f>IF(AND(ISNUMBER(CF110),ISNUMBER(CF108)),IFERROR(CF110/CF108,""),"")</f>
        <v>0.463666807341266</v>
      </c>
      <c r="CG224" s="256">
        <f>IF(AND(ISNUMBER(CG110),ISNUMBER(CG108)),IFERROR(CG110/CG108,""),"")</f>
        <v>0.462593796571598</v>
      </c>
      <c r="CH224" s="256">
        <f>IF(AND(ISNUMBER(CH110),ISNUMBER(CH108)),IFERROR(CH110/CH108,""),"")</f>
        <v>0.463727542311292</v>
      </c>
      <c r="CI224" s="256">
        <f>IF(AND(ISNUMBER(CI110),ISNUMBER(CI108)),IFERROR(CI110/CI108,""),"")</f>
        <v>0.46506883579314</v>
      </c>
      <c r="CJ224" s="256">
        <f>IF(AND(ISNUMBER(CJ110),ISNUMBER(CJ108)),IFERROR(CJ110/CJ108,""),"")</f>
        <v>0.463961167610061</v>
      </c>
      <c r="CK224" s="256">
        <f>IF(AND(ISNUMBER(CK110),ISNUMBER(CK108)),IFERROR(CK110/CK108,""),"")</f>
        <v>0.46392692537488</v>
      </c>
      <c r="CL224" s="153" t="n"/>
      <c r="CN224" s="37">
        <f>IFERROR(AVERAGE(CG224,CH224,CI224,CJ224,CK224),"n/m")</f>
        <v>0.463855653532194</v>
      </c>
      <c r="CO224" s="37">
        <f>IFERROR(AVERAGE(BG224,BL224,BQ224,BV224,CA224),"n/m")</f>
        <v>0.421502947085941</v>
      </c>
      <c r="CP224" s="37">
        <f>IFERROR(AVERAGE(AH224,AM224,AR224,AW224,BB224,BG224,BL224,BQ224,BV224,CA224),"n/m")</f>
        <v>0.403865922744454</v>
      </c>
      <c r="CQ224" s="37">
        <f>IFERROR(AVERAGE(C224,D224,E224,F224,G224,H224,I224,N224,S224,X224,AC224,AH224,AM224,AR224,AW224,BB224,BG224,BL224,BQ224,BV224,CA224),"n/m")</f>
        <v>0.373972499888631</v>
      </c>
    </row>
    <row r="225" ht="15" customHeight="1" s="251">
      <c r="B225" s="25" t="inlineStr">
        <is>
          <t xml:space="preserve">  Adjusted operating margin %</t>
        </is>
      </c>
      <c r="C225" s="215">
        <f>IF(AND(ISNUMBER(C158),ISNUMBER(C108)),IFERROR(C158/C108,""),"")</f>
        <v>0.165258698257616</v>
      </c>
      <c r="D225" s="215">
        <f>IF(AND(ISNUMBER(D158),ISNUMBER(D108)),IFERROR(D158/D108,""),"")</f>
        <v>0.189000921381942</v>
      </c>
      <c r="E225" s="215">
        <f>IF(AND(ISNUMBER(E158),ISNUMBER(E108)),IFERROR(E158/E108,""),"")</f>
        <v>0.193436176648518</v>
      </c>
      <c r="F225" s="215">
        <f>IF(AND(ISNUMBER(F158),ISNUMBER(F108)),IFERROR(F158/F108,""),"")</f>
        <v>0.176915985564762</v>
      </c>
      <c r="G225" s="215">
        <f>IF(AND(ISNUMBER(G158),ISNUMBER(G108)),IFERROR(G158/G108,""),"")</f>
        <v>0.140960022133075</v>
      </c>
      <c r="H225" s="215">
        <f>IF(AND(ISNUMBER(H158),ISNUMBER(H108)),IFERROR(H158/H108,""),"")</f>
        <v>0.17345251396648</v>
      </c>
      <c r="I225" s="215">
        <f>IF(AND(ISNUMBER(I158),ISNUMBER(I108)),IFERROR(I158/I108,""),"")</f>
        <v>0.195335474993145</v>
      </c>
      <c r="J225" s="215">
        <f>IF(AND(ISNUMBER(J158),ISNUMBER(J108)),IFERROR(J158/J108,""),"")</f>
        <v>0.212843788104593</v>
      </c>
      <c r="K225" s="215">
        <f>IF(AND(ISNUMBER(K158),ISNUMBER(K108)),IFERROR(K158/K108,""),"")</f>
        <v>0.211158156911582</v>
      </c>
      <c r="L225" s="215">
        <f>IF(AND(ISNUMBER(L158),ISNUMBER(L108)),IFERROR(L158/L108,""),"")</f>
        <v>0.198876847699718</v>
      </c>
      <c r="M225" s="215">
        <f>IF(AND(ISNUMBER(M158),ISNUMBER(M108)),IFERROR(M158/M108,""),"")</f>
        <v>0.220093975108246</v>
      </c>
      <c r="N225" s="215">
        <f>IF(AND(ISNUMBER(N158),ISNUMBER(N108)),IFERROR(N158/N108,""),"")</f>
        <v>0.21093856608717</v>
      </c>
      <c r="O225" s="215">
        <f>IF(AND(ISNUMBER(O158),ISNUMBER(O108)),IFERROR(O158/O108,""),"")</f>
        <v>0.223302294775392</v>
      </c>
      <c r="P225" s="215">
        <f>IF(AND(ISNUMBER(P158),ISNUMBER(P108)),IFERROR(P158/P108,""),"")</f>
        <v>0.223659689663966</v>
      </c>
      <c r="Q225" s="215">
        <f>IF(AND(ISNUMBER(Q158),ISNUMBER(Q108)),IFERROR(Q158/Q108,""),"")</f>
        <v>0.195502556044</v>
      </c>
      <c r="R225" s="215">
        <f>IF(AND(ISNUMBER(R158),ISNUMBER(R108)),IFERROR(R158/R108,""),"")</f>
        <v>0.221416134648868</v>
      </c>
      <c r="S225" s="215">
        <f>IF(AND(ISNUMBER(S158),ISNUMBER(S108)),IFERROR(S158/S108,""),"")</f>
        <v>0.216507593951576</v>
      </c>
      <c r="T225" s="215">
        <f>IF(AND(ISNUMBER(T158),ISNUMBER(T108)),IFERROR(T158/T108,""),"")</f>
        <v>0.214286978687248</v>
      </c>
      <c r="U225" s="215">
        <f>IF(AND(ISNUMBER(U158),ISNUMBER(U108)),IFERROR(U158/U108,""),"")</f>
        <v>0.219261694282795</v>
      </c>
      <c r="V225" s="215">
        <f>IF(AND(ISNUMBER(V158),ISNUMBER(V108)),IFERROR(V158/V108,""),"")</f>
        <v>0.208837305543538</v>
      </c>
      <c r="W225" s="215">
        <f>IF(AND(ISNUMBER(W158),ISNUMBER(W108)),IFERROR(W158/W108,""),"")</f>
        <v>0.223890598411173</v>
      </c>
      <c r="X225" s="215">
        <f>IF(AND(ISNUMBER(X158),ISNUMBER(X108)),IFERROR(X158/X108,""),"")</f>
        <v>0.216689349125715</v>
      </c>
      <c r="Y225" s="215">
        <f>IF(AND(ISNUMBER(Y158),ISNUMBER(Y108)),IFERROR(Y158/Y108,""),"")</f>
        <v>0.207156308851224</v>
      </c>
      <c r="Z225" s="215">
        <f>IF(AND(ISNUMBER(Z158),ISNUMBER(Z108)),IFERROR(Z158/Z108,""),"")</f>
        <v>0.196219131651154</v>
      </c>
      <c r="AA225" s="215">
        <f>IF(AND(ISNUMBER(AA158),ISNUMBER(AA108)),IFERROR(AA158/AA108,""),"")</f>
        <v>0.191650024962556</v>
      </c>
      <c r="AB225" s="215">
        <f>IF(AND(ISNUMBER(AB158),ISNUMBER(AB108)),IFERROR(AB158/AB108,""),"")</f>
        <v>0.20045977861598</v>
      </c>
      <c r="AC225" s="215">
        <f>IF(AND(ISNUMBER(AC158),ISNUMBER(AC108)),IFERROR(AC158/AC108,""),"")</f>
        <v>0.19887291789406</v>
      </c>
      <c r="AD225" s="215">
        <f>IF(AND(ISNUMBER(AD158),ISNUMBER(AD108)),IFERROR(AD158/AD108,""),"")</f>
        <v>0.191507255189903</v>
      </c>
      <c r="AE225" s="215">
        <f>IF(AND(ISNUMBER(AE158),ISNUMBER(AE108)),IFERROR(AE158/AE108,""),"")</f>
        <v>0.19342224069948</v>
      </c>
      <c r="AF225" s="215">
        <f>IF(AND(ISNUMBER(AF158),ISNUMBER(AF108)),IFERROR(AF158/AF108,""),"")</f>
        <v>0.188120499672703</v>
      </c>
      <c r="AG225" s="215">
        <f>IF(AND(ISNUMBER(AG158),ISNUMBER(AG108)),IFERROR(AG158/AG108,""),"")</f>
        <v>0.214649522501717</v>
      </c>
      <c r="AH225" s="215">
        <f>IF(AND(ISNUMBER(AH158),ISNUMBER(AH108)),IFERROR(AH158/AH108,""),"")</f>
        <v>0.197204040377778</v>
      </c>
      <c r="AI225" s="215">
        <f>IF(AND(ISNUMBER(AI158),ISNUMBER(AI108)),IFERROR(AI158/AI108,""),"")</f>
        <v>0.194024295746719</v>
      </c>
      <c r="AJ225" s="215">
        <f>IF(AND(ISNUMBER(AJ158),ISNUMBER(AJ108)),IFERROR(AJ158/AJ108,""),"")</f>
        <v>0.193357960527517</v>
      </c>
      <c r="AK225" s="215">
        <f>IF(AND(ISNUMBER(AK158),ISNUMBER(AK108)),IFERROR(AK158/AK108,""),"")</f>
        <v>0.205048604202376</v>
      </c>
      <c r="AL225" s="215">
        <f>IF(AND(ISNUMBER(AL158),ISNUMBER(AL108)),IFERROR(AL158/AL108,""),"")</f>
        <v>0.213128971463834</v>
      </c>
      <c r="AM225" s="215">
        <f>IF(AND(ISNUMBER(AM158),ISNUMBER(AM108)),IFERROR(AM158/AM108,""),"")</f>
        <v>0.201678941668185</v>
      </c>
      <c r="AN225" s="215">
        <f>IF(AND(ISNUMBER(AN158),ISNUMBER(AN108)),IFERROR(AN158/AN108,""),"")</f>
        <v>0.204551524277637</v>
      </c>
      <c r="AO225" s="215">
        <f>IF(AND(ISNUMBER(AO158),ISNUMBER(AO108)),IFERROR(AO158/AO108,""),"")</f>
        <v>0.207522727798469</v>
      </c>
      <c r="AP225" s="215">
        <f>IF(AND(ISNUMBER(AP158),ISNUMBER(AP108)),IFERROR(AP158/AP108,""),"")</f>
        <v>0.213702880672837</v>
      </c>
      <c r="AQ225" s="215">
        <f>IF(AND(ISNUMBER(AQ158),ISNUMBER(AQ108)),IFERROR(AQ158/AQ108,""),"")</f>
        <v>0.226375424073078</v>
      </c>
      <c r="AR225" s="215">
        <f>IF(AND(ISNUMBER(AR158),ISNUMBER(AR108)),IFERROR(AR158/AR108,""),"")</f>
        <v>0.213175215938142</v>
      </c>
      <c r="AS225" s="215">
        <f>IF(AND(ISNUMBER(AS158),ISNUMBER(AS108)),IFERROR(AS158/AS108,""),"")</f>
        <v>0.21068476654442</v>
      </c>
      <c r="AT225" s="215">
        <f>IF(AND(ISNUMBER(AT158),ISNUMBER(AT108)),IFERROR(AT158/AT108,""),"")</f>
        <v>0.210973618677471</v>
      </c>
      <c r="AU225" s="215">
        <f>IF(AND(ISNUMBER(AU158),ISNUMBER(AU108)),IFERROR(AU158/AU108,""),"")</f>
        <v>0.213536400047453</v>
      </c>
      <c r="AV225" s="215">
        <f>IF(AND(ISNUMBER(AV158),ISNUMBER(AV108)),IFERROR(AV158/AV108,""),"")</f>
        <v>0.231281242769434</v>
      </c>
      <c r="AW225" s="215">
        <f>IF(AND(ISNUMBER(AW158),ISNUMBER(AW108)),IFERROR(AW158/AW108,""),"")</f>
        <v>0.216712648513116</v>
      </c>
      <c r="AX225" s="215">
        <f>IF(AND(ISNUMBER(AX158),ISNUMBER(AX108)),IFERROR(AX158/AX108,""),"")</f>
        <v>0.191273731093404</v>
      </c>
      <c r="AY225" s="215">
        <f>IF(AND(ISNUMBER(AY158),ISNUMBER(AY108)),IFERROR(AY158/AY108,""),"")</f>
        <v>0.204168517442854</v>
      </c>
      <c r="AZ225" s="215">
        <f>IF(AND(ISNUMBER(AZ158),ISNUMBER(AZ108)),IFERROR(AZ158/AZ108,""),"")</f>
        <v>0.191154592385902</v>
      </c>
      <c r="BA225" s="215">
        <f>IF(AND(ISNUMBER(BA158),ISNUMBER(BA108)),IFERROR(BA158/BA108,""),"")</f>
        <v>0.202875947471849</v>
      </c>
      <c r="BB225" s="215">
        <f>IF(AND(ISNUMBER(BB158),ISNUMBER(BB108)),IFERROR(BB158/BB108,""),"")</f>
        <v>0.197397632778529</v>
      </c>
      <c r="BC225" s="215">
        <f>IF(AND(ISNUMBER(BC158),ISNUMBER(BC108)),IFERROR(BC158/BC108,""),"")</f>
        <v>0.200249671905509</v>
      </c>
      <c r="BD225" s="215">
        <f>IF(AND(ISNUMBER(BD158),ISNUMBER(BD108)),IFERROR(BD158/BD108,""),"")</f>
        <v>0.189825978868863</v>
      </c>
      <c r="BE225" s="215">
        <f>IF(AND(ISNUMBER(BE158),ISNUMBER(BE108)),IFERROR(BE158/BE108,""),"")</f>
        <v>0.167872247174596</v>
      </c>
      <c r="BF225" s="215">
        <f>IF(AND(ISNUMBER(BF158),ISNUMBER(BF108)),IFERROR(BF158/BF108,""),"")</f>
        <v>0.196093948099499</v>
      </c>
      <c r="BG225" s="215">
        <f>IF(AND(ISNUMBER(BG158),ISNUMBER(BG108)),IFERROR(BG158/BG108,""),"")</f>
        <v>0.187723039821324</v>
      </c>
      <c r="BH225" s="215">
        <f>IF(AND(ISNUMBER(BH158),ISNUMBER(BH108)),IFERROR(BH158/BH108,""),"")</f>
        <v>0.192772819701762</v>
      </c>
      <c r="BI225" s="215">
        <f>IF(AND(ISNUMBER(BI158),ISNUMBER(BI108)),IFERROR(BI158/BI108,""),"")</f>
        <v>0.205917647026955</v>
      </c>
      <c r="BJ225" s="215">
        <f>IF(AND(ISNUMBER(BJ158),ISNUMBER(BJ108)),IFERROR(BJ158/BJ108,""),"")</f>
        <v>0.203736935655883</v>
      </c>
      <c r="BK225" s="215">
        <f>IF(AND(ISNUMBER(BK158),ISNUMBER(BK108)),IFERROR(BK158/BK108,""),"")</f>
        <v>0.224731379081289</v>
      </c>
      <c r="BL225" s="215">
        <f>IF(AND(ISNUMBER(BL158),ISNUMBER(BL108)),IFERROR(BL158/BL108,""),"")</f>
        <v>0.207289185326346</v>
      </c>
      <c r="BM225" s="215">
        <f>IF(AND(ISNUMBER(BM158),ISNUMBER(BM108)),IFERROR(BM158/BM108,""),"")</f>
        <v>0.220354306911</v>
      </c>
      <c r="BN225" s="215">
        <f>IF(AND(ISNUMBER(BN158),ISNUMBER(BN108)),IFERROR(BN158/BN108,""),"")</f>
        <v>0.229241231209735</v>
      </c>
      <c r="BO225" s="215">
        <f>IF(AND(ISNUMBER(BO158),ISNUMBER(BO108)),IFERROR(BO158/BO108,""),"")</f>
        <v>0.201839499767321</v>
      </c>
      <c r="BP225" s="215">
        <f>IF(AND(ISNUMBER(BP158),ISNUMBER(BP108)),IFERROR(BP158/BP108,""),"")</f>
        <v>0.232776542254883</v>
      </c>
      <c r="BQ225" s="215">
        <f>IF(AND(ISNUMBER(BQ158),ISNUMBER(BQ108)),IFERROR(BQ158/BQ108,""),"")</f>
        <v>0.221410626161636</v>
      </c>
      <c r="BR225" s="215">
        <f>IF(AND(ISNUMBER(BR158),ISNUMBER(BR108)),IFERROR(BR158/BR108,""),"")</f>
        <v>0.239970465173517</v>
      </c>
      <c r="BS225" s="215">
        <f>IF(AND(ISNUMBER(BS158),ISNUMBER(BS108)),IFERROR(BS158/BS108,""),"")</f>
        <v>0.217642623774818</v>
      </c>
      <c r="BT225" s="215">
        <f>IF(AND(ISNUMBER(BT158),ISNUMBER(BT108)),IFERROR(BT158/BT108,""),"")</f>
        <v>0.217292089249493</v>
      </c>
      <c r="BU225" s="215">
        <f>IF(AND(ISNUMBER(BU158),ISNUMBER(BU108)),IFERROR(BU158/BU108,""),"")</f>
        <v>0.232122458304775</v>
      </c>
      <c r="BV225" s="215">
        <f>IF(AND(ISNUMBER(BV158),ISNUMBER(BV108)),IFERROR(BV158/BV108,""),"")</f>
        <v>0.226975493491414</v>
      </c>
      <c r="BW225" s="215">
        <f>IF(AND(ISNUMBER(BW158),ISNUMBER(BW108)),IFERROR(BW158/BW108,""),"")</f>
        <v>0.24151376146789</v>
      </c>
      <c r="BX225" s="215">
        <f>IF(AND(ISNUMBER(BX158),ISNUMBER(BX108)),IFERROR(BX158/BX108,""),"")</f>
        <v>0.230617175488689</v>
      </c>
      <c r="BY225" s="215">
        <f>IF(AND(ISNUMBER(BY158),ISNUMBER(BY108)),IFERROR(BY158/BY108,""),"")</f>
        <v>0.232668977469671</v>
      </c>
      <c r="BZ225" s="215">
        <f>IF(AND(ISNUMBER(BZ158),ISNUMBER(BZ108)),IFERROR(BZ158/BZ108,""),"")</f>
        <v>0.23996138996139</v>
      </c>
      <c r="CA225" s="215">
        <f>IF(AND(ISNUMBER(CA158),ISNUMBER(CA108)),IFERROR(CA158/CA108,""),"")</f>
        <v>0.236249933187236</v>
      </c>
      <c r="CB225" s="215">
        <f>IF(AND(ISNUMBER(CB158),ISNUMBER(CB108)),IFERROR(CB158/CB108,""),"")</f>
        <v>0.271799807507219</v>
      </c>
      <c r="CC225" s="256">
        <f>IF(AND(ISNUMBER(CC158),ISNUMBER(CC108)),IFERROR(CC158/CC108,""),"")</f>
        <v>0.249129411764706</v>
      </c>
      <c r="CD225" s="256">
        <f>IF(AND(ISNUMBER(CD158),ISNUMBER(CD108)),IFERROR(CD158/CD108,""),"")</f>
        <v>0.254110186411147</v>
      </c>
      <c r="CE225" s="256">
        <f>IF(AND(ISNUMBER(CE158),ISNUMBER(CE108)),IFERROR(CE158/CE108,""),"")</f>
        <v>0.263562172086348</v>
      </c>
      <c r="CF225" s="256">
        <f>IF(AND(ISNUMBER(CF158),ISNUMBER(CF108)),IFERROR(CF158/CF108,""),"")</f>
        <v>0.259894698821391</v>
      </c>
      <c r="CG225" s="256">
        <f>IF(AND(ISNUMBER(CG158),ISNUMBER(CG108)),IFERROR(CG158/CG108,""),"")</f>
        <v>0.263316443086308</v>
      </c>
      <c r="CH225" s="256">
        <f>IF(AND(ISNUMBER(CH158),ISNUMBER(CH108)),IFERROR(CH158/CH108,""),"")</f>
        <v>0.267023781406861</v>
      </c>
      <c r="CI225" s="256">
        <f>IF(AND(ISNUMBER(CI158),ISNUMBER(CI108)),IFERROR(CI158/CI108,""),"")</f>
        <v>0.271692402752206</v>
      </c>
      <c r="CJ225" s="256">
        <f>IF(AND(ISNUMBER(CJ158),ISNUMBER(CJ108)),IFERROR(CJ158/CJ108,""),"")</f>
        <v>0.272948480764011</v>
      </c>
      <c r="CK225" s="256">
        <f>IF(AND(ISNUMBER(CK158),ISNUMBER(CK108)),IFERROR(CK158/CK108,""),"")</f>
        <v>0.27304969035997</v>
      </c>
      <c r="CL225" s="153" t="n"/>
      <c r="CN225" s="37">
        <f>IFERROR(AVERAGE(CG225,CH225,CI225,CJ225,CK225),"n/m")</f>
        <v>0.269606159673871</v>
      </c>
      <c r="CO225" s="37">
        <f>IFERROR(AVERAGE(BG225,BL225,BQ225,BV225,CA225),"n/m")</f>
        <v>0.215929655597591</v>
      </c>
      <c r="CP225" s="37">
        <f>IFERROR(AVERAGE(AH225,AM225,AR225,AW225,BB225,BG225,BL225,BQ225,BV225,CA225),"n/m")</f>
        <v>0.210581675726371</v>
      </c>
      <c r="CQ225" s="37">
        <f>IFERROR(AVERAGE(C225,D225,E225,F225,G225,H225,I225,N225,S225,X225,AC225,AH225,AM225,AR225,AW225,BB225,BG225,BL225,BQ225,BV225,CA225),"n/m")</f>
        <v>0.199199284631798</v>
      </c>
    </row>
    <row r="226" ht="15" customHeight="1" s="251">
      <c r="B226" s="25" t="inlineStr">
        <is>
          <t xml:space="preserve">  Incremental adjusted EBITDA margin (Δ adjusted EBITDA / Δ net sales; company "incremental margin")</t>
        </is>
      </c>
      <c r="C226" s="36" t="n"/>
      <c r="D226" s="215">
        <f>IFERROR((D179-C179)/(D108-C108),"")</f>
        <v>0.394003739739486</v>
      </c>
      <c r="E226" s="215">
        <f>IFERROR((E179-D179)/(E108-D108),"")</f>
        <v>0.333238242725567</v>
      </c>
      <c r="F226" s="215">
        <f>IFERROR((F179-E179)/(F108-E108),"")</f>
        <v>0.0769169709477702</v>
      </c>
      <c r="G226" s="215">
        <f>IFERROR((G179-F179)/(G108-F108),"")</f>
        <v>0.294399092411276</v>
      </c>
      <c r="H226" s="215">
        <f>IFERROR((H179-G179)/(H108-G108),"")</f>
        <v>0.353052213449765</v>
      </c>
      <c r="I226" s="215">
        <f>IFERROR((I179-H179)/(I108-H108),"")</f>
        <v>0.334744530265326</v>
      </c>
      <c r="J226" s="36" t="n"/>
      <c r="K226" s="36" t="n"/>
      <c r="L226" s="36" t="n"/>
      <c r="M226" s="36" t="n"/>
      <c r="N226" s="215">
        <f>IFERROR((N179-I179)/(N108-I108),"")</f>
        <v>1.63664259927799</v>
      </c>
      <c r="O226" s="215">
        <f>IFERROR((O179-J179)/(O108-J108),"")</f>
        <v>-1.61711711711712</v>
      </c>
      <c r="P226" s="215">
        <f>IFERROR((P179-K179)/(P108-K108),"")</f>
        <v>1.25142495250159</v>
      </c>
      <c r="Q226" s="215">
        <f>IFERROR((Q179-L179)/(Q108-L108),"")</f>
        <v>0.120190023752969</v>
      </c>
      <c r="R226" s="215">
        <f>IFERROR((R179-M179)/(R108-M108),"")</f>
        <v>0.261389096340553</v>
      </c>
      <c r="S226" s="215">
        <f>IFERROR((S179-N179)/(S108-N108),"")</f>
        <v>0.409598989580044</v>
      </c>
      <c r="T226" s="215">
        <f>IFERROR((T179-O179)/(T108-O108),"")</f>
        <v>0.208898797983716</v>
      </c>
      <c r="U226" s="215">
        <f>IFERROR((U179-P179)/(U108-P108),"")</f>
        <v>0.262145080652769</v>
      </c>
      <c r="V226" s="215">
        <f>IFERROR((V179-Q179)/(V108-Q108),"")</f>
        <v>0.56128808864266</v>
      </c>
      <c r="W226" s="215">
        <f>IFERROR((W179-R179)/(W108-R108),"")</f>
        <v>-1.02990033222589</v>
      </c>
      <c r="X226" s="215">
        <f>IFERROR((X179-S179)/(X108-S108),"")</f>
        <v>0.316724765080328</v>
      </c>
      <c r="Y226" s="215">
        <f>IFERROR((Y179-T179)/(Y108-T108),"")</f>
        <v>0.246862638112127</v>
      </c>
      <c r="Z226" s="215">
        <f>IFERROR((Z179-U179)/(Z108-U108),"")</f>
        <v>0.208239949088293</v>
      </c>
      <c r="AA226" s="215">
        <f>IFERROR((AA179-V179)/(AA108-V108),"")</f>
        <v>0.230221143188895</v>
      </c>
      <c r="AB226" s="215">
        <f>IFERROR((AB179-W179)/(AB108-W108),"")</f>
        <v>0.234831575714139</v>
      </c>
      <c r="AC226" s="215">
        <f>IFERROR((AC179-X179)/(AC108-X108),"")</f>
        <v>0.229687109872925</v>
      </c>
      <c r="AD226" s="215">
        <f>IFERROR((AD179-Y179)/(AD108-Y108),"")</f>
        <v>0.15011001548366</v>
      </c>
      <c r="AE226" s="215">
        <f>IFERROR((AE179-Z179)/(AE108-Z108),"")</f>
        <v>0.27272727272727</v>
      </c>
      <c r="AF226" s="215">
        <f>IFERROR((AF179-AA179)/(AF108-AA108),"")</f>
        <v>0.175409836065573</v>
      </c>
      <c r="AG226" s="215">
        <f>IFERROR((AG179-AB179)/(AG108-AB108),"")</f>
        <v>-1.13173359451518</v>
      </c>
      <c r="AH226" s="215">
        <f>IFERROR((AH179-AC179)/(AH108-AC108),"")</f>
        <v>0.335565974547889</v>
      </c>
      <c r="AI226" s="215">
        <f>IFERROR((AI179-AD179)/(AI108-AD108),"")</f>
        <v>0.322923374114618</v>
      </c>
      <c r="AJ226" s="215">
        <f>IFERROR((AJ179-AE179)/(AJ108-AE108),"")</f>
        <v>0.23144399460189</v>
      </c>
      <c r="AK226" s="215">
        <f>IFERROR((AK179-AF179)/(AK108-AF108),"")</f>
        <v>0.351895851895852</v>
      </c>
      <c r="AL226" s="215">
        <f>IFERROR((AL179-AG179)/(AL108-AG108),"")</f>
        <v>0.230182539278995</v>
      </c>
      <c r="AM226" s="215">
        <f>IFERROR((AM179-AH179)/(AM108-AH108),"")</f>
        <v>0.286193985997549</v>
      </c>
      <c r="AN226" s="215">
        <f>IFERROR((AN179-AI179)/(AN108-AI108),"")</f>
        <v>0.409579748510919</v>
      </c>
      <c r="AO226" s="215">
        <f>IFERROR((AO179-AJ179)/(AO108-AJ108),"")</f>
        <v>0.610303523665543</v>
      </c>
      <c r="AP226" s="215">
        <f>IFERROR((AP179-AK179)/(AP108-AK108),"")</f>
        <v>0.743199129488573</v>
      </c>
      <c r="AQ226" s="215">
        <f>IFERROR((AQ179-AL179)/(AQ108-AL108),"")</f>
        <v>1.75229759299781</v>
      </c>
      <c r="AR226" s="215">
        <f>IFERROR((AR179-AM179)/(AR108-AM108),"")</f>
        <v>0.639097471614611</v>
      </c>
      <c r="AS226" s="215">
        <f>IFERROR((AS179-AN179)/(AS108-AN108),"")</f>
        <v>0.557046979865772</v>
      </c>
      <c r="AT226" s="215">
        <f>IFERROR((AT179-AO179)/(AT108-AO108),"")</f>
        <v>0.408873568330924</v>
      </c>
      <c r="AU226" s="215">
        <f>IFERROR((AU179-AP179)/(AU108-AP108),"")</f>
        <v>0.54509522098455</v>
      </c>
      <c r="AV226" s="215">
        <f>IFERROR((AV179-AQ179)/(AV108-AQ108),"")</f>
        <v>0.888345558272216</v>
      </c>
      <c r="AW226" s="215">
        <f>IFERROR((AW179-AR179)/(AW108-AR108),"")</f>
        <v>0.5498496692724</v>
      </c>
      <c r="AX226" s="215">
        <f>IFERROR((AX179-AS179)/(AX108-AS108),"")</f>
        <v>0.268923922586555</v>
      </c>
      <c r="AY226" s="215">
        <f>IFERROR((AY179-AT179)/(AY108-AT108),"")</f>
        <v>0.216281553943892</v>
      </c>
      <c r="AZ226" s="215">
        <f>IFERROR((AZ179-AU179)/(AZ108-AU108),"")</f>
        <v>0.316259066692342</v>
      </c>
      <c r="BA226" s="215">
        <f>IFERROR((BA179-AV179)/(BA108-AV108),"")</f>
        <v>0.405980898700486</v>
      </c>
      <c r="BB226" s="215">
        <f>IFERROR((BB179-AW179)/(BB108-AW108),"")</f>
        <v>0.295120571925353</v>
      </c>
      <c r="BC226" s="215">
        <f>IFERROR((BC179-AX179)/(BC108-AX108),"")</f>
        <v>-5.19791666666696</v>
      </c>
      <c r="BD226" s="215">
        <f>IFERROR((BD179-AY179)/(BD108-AY108),"")</f>
        <v>0.12818400274631</v>
      </c>
      <c r="BE226" s="215">
        <f>IFERROR((BE179-AZ179)/(BE108-AZ108),"")</f>
        <v>0.250355101905989</v>
      </c>
      <c r="BF226" s="215">
        <f>IFERROR((BF179-BA179)/(BF108-BA108),"")</f>
        <v>0.294751843048785</v>
      </c>
      <c r="BG226" s="215">
        <f>IFERROR((BG179-BB179)/(BG108-BB108),"")</f>
        <v>0.276125682356499</v>
      </c>
      <c r="BH226" s="215">
        <f>IFERROR((BH179-BC179)/(BH108-BC108),"")</f>
        <v>0.280247631080227</v>
      </c>
      <c r="BI226" s="215">
        <f>IFERROR((BI179-BD179)/(BI108-BD108),"")</f>
        <v>0.304349704946055</v>
      </c>
      <c r="BJ226" s="215">
        <f>IFERROR((BJ179-BE179)/(BJ108-BE108),"")</f>
        <v>0.376818783068783</v>
      </c>
      <c r="BK226" s="215">
        <f>IFERROR((BK179-BF179)/(BK108-BF108),"")</f>
        <v>0.470950679458683</v>
      </c>
      <c r="BL226" s="215">
        <f>IFERROR((BL179-BG179)/(BL108-BG108),"")</f>
        <v>0.318225255194609</v>
      </c>
      <c r="BM226" s="215">
        <f>IFERROR((BM179-BH179)/(BM108-BH108),"")</f>
        <v>0.595787179952788</v>
      </c>
      <c r="BN226" s="215">
        <f>IFERROR((BN179-BI179)/(BN108-BI108),"")</f>
        <v>0.810179823224626</v>
      </c>
      <c r="BO226" s="215">
        <f>IFERROR((BO179-BJ179)/(BO108-BJ108),"")</f>
        <v>0.283335577397784</v>
      </c>
      <c r="BP226" s="215">
        <f>IFERROR((BP179-BK179)/(BP108-BK108),"")</f>
        <v>0.462872572437429</v>
      </c>
      <c r="BQ226" s="215">
        <f>IFERROR((BQ179-BL179)/(BQ108-BL108),"")</f>
        <v>0.529637362637363</v>
      </c>
      <c r="BR226" s="215">
        <f>IFERROR((BR179-BM179)/(BR108-BM108),"")</f>
        <v>0.708937324017102</v>
      </c>
      <c r="BS226" s="215">
        <f>IFERROR((BS179-BN179)/(BS108-BN108),"")</f>
        <v>0.106343283582088</v>
      </c>
      <c r="BT226" s="215">
        <f>IFERROR((BT179-BO179)/(BT108-BO108),"")</f>
        <v>0.635844637454866</v>
      </c>
      <c r="BU226" s="215">
        <f>IFERROR((BU179-BP179)/(BU108-BP108),"")</f>
        <v>0.404038301415488</v>
      </c>
      <c r="BV226" s="215">
        <f>IFERROR((BV179-BQ179)/(BV108-BQ108),"")</f>
        <v>0.495171052631579</v>
      </c>
      <c r="BW226" s="215">
        <f>IFERROR((BW179-BR179)/(BW108-BR108),"")</f>
        <v>0.252525252525253</v>
      </c>
      <c r="BX226" s="215">
        <f>IFERROR((BX179-BS179)/(BX108-BS108),"")</f>
        <v>0.381533101045296</v>
      </c>
      <c r="BY226" s="215">
        <f>IFERROR((BY179-BT179)/(BY108-BT108),"")</f>
        <v>0.401785714285714</v>
      </c>
      <c r="BZ226" s="215">
        <f>IFERROR((BZ179-BU179)/(BZ108-BU108),"")</f>
        <v>0.36239103362391</v>
      </c>
      <c r="CA226" s="215">
        <f>IFERROR((CA179-BV179)/(CA108-BV108),"")</f>
        <v>0.364450127877238</v>
      </c>
      <c r="CB226" s="215">
        <f>IFERROR((CB179-BW179)/(CB108-BW108),"")</f>
        <v>0.475449101796407</v>
      </c>
      <c r="CC226" s="256">
        <f>IFERROR((CC179-BX179)/(CC108-BX108),"")</f>
        <v>0.388027793564688</v>
      </c>
      <c r="CD226" s="256">
        <f>IFERROR((CD179-BY179)/(CD108-BY108),"")</f>
        <v>0.399990101889214</v>
      </c>
      <c r="CE226" s="256">
        <f>IFERROR((CE179-BZ179)/(CE108-BZ108),"")</f>
        <v>0.380044762061323</v>
      </c>
      <c r="CF226" s="256">
        <f>IFERROR((CF179-CA179)/(CF108-CA108),"")</f>
        <v>0.412845569362051</v>
      </c>
      <c r="CG226" s="256">
        <f>IFERROR((CG179-CF179)/(CG108-CF108),"")</f>
        <v>0.410904532766403</v>
      </c>
      <c r="CH226" s="256">
        <f>IFERROR((CH179-CG179)/(CH108-CG108),"")</f>
        <v>0.362797744434894</v>
      </c>
      <c r="CI226" s="256">
        <f>IFERROR((CI179-CH179)/(CI108-CH108),"")</f>
        <v>0.369133386081215</v>
      </c>
      <c r="CJ226" s="256">
        <f>IFERROR((CJ179-CI179)/(CJ108-CI108),"")</f>
        <v>0.345860411722679</v>
      </c>
      <c r="CK226" s="256">
        <f>IFERROR((CK179-CJ179)/(CK108-CJ108),"")</f>
        <v>0.346537595612747</v>
      </c>
      <c r="CL226" s="153" t="n"/>
    </row>
    <row r="227" ht="15" customHeight="1" s="251">
      <c r="B227" s="25" t="inlineStr">
        <is>
          <t xml:space="preserve">  Adjusted EBITDA margin %</t>
        </is>
      </c>
      <c r="C227" s="215">
        <f>IF(AND(ISNUMBER(C179),ISNUMBER(C108)),IFERROR(C179/C108,""),"")</f>
        <v>0.200579944555552</v>
      </c>
      <c r="D227" s="215">
        <f>IF(AND(ISNUMBER(D179),ISNUMBER(D108)),IFERROR(D179/D108,""),"")</f>
        <v>0.22052067881671</v>
      </c>
      <c r="E227" s="215">
        <f>IF(AND(ISNUMBER(E179),ISNUMBER(E108)),IFERROR(E179/E108,""),"")</f>
        <v>0.228886872353297</v>
      </c>
      <c r="F227" s="215">
        <f>IF(AND(ISNUMBER(F179),ISNUMBER(F108)),IFERROR(F179/F108,""),"")</f>
        <v>0.218124992973502</v>
      </c>
      <c r="G227" s="215">
        <f>IF(AND(ISNUMBER(G179),ISNUMBER(G108)),IFERROR(G179/G108,""),"")</f>
        <v>0.195608331937882</v>
      </c>
      <c r="H227" s="215">
        <f>IF(AND(ISNUMBER(H179),ISNUMBER(H108)),IFERROR(H179/H108,""),"")</f>
        <v>0.224187709497207</v>
      </c>
      <c r="I227" s="215">
        <f>IF(AND(ISNUMBER(I179),ISNUMBER(I108)),IFERROR(I179/I108,""),"")</f>
        <v>0.241399609067422</v>
      </c>
      <c r="J227" s="215">
        <f>IF(AND(ISNUMBER(J179),ISNUMBER(J108)),IFERROR(J179/J108,""),"")</f>
        <v>0.25939187489113</v>
      </c>
      <c r="K227" s="215">
        <f>IF(AND(ISNUMBER(K179),ISNUMBER(K108)),IFERROR(K179/K108,""),"")</f>
        <v>0.261031133250311</v>
      </c>
      <c r="L227" s="215">
        <f>IF(AND(ISNUMBER(L179),ISNUMBER(L108)),IFERROR(L179/L108,""),"")</f>
        <v>0.253591596080385</v>
      </c>
      <c r="M227" s="215">
        <f>IF(AND(ISNUMBER(M179),ISNUMBER(M108)),IFERROR(M179/M108,""),"")</f>
        <v>0.267858183018465</v>
      </c>
      <c r="N227" s="215">
        <f>IF(AND(ISNUMBER(N179),ISNUMBER(N108)),IFERROR(N179/N108,""),"")</f>
        <v>0.260577445534188</v>
      </c>
      <c r="O227" s="215">
        <f>IF(AND(ISNUMBER(O179),ISNUMBER(O108)),IFERROR(O179/O108,""),"")</f>
        <v>0.27156465500448</v>
      </c>
      <c r="P227" s="215">
        <f>IF(AND(ISNUMBER(P179),ISNUMBER(P108)),IFERROR(P179/P108,""),"")</f>
        <v>0.276369735370854</v>
      </c>
      <c r="Q227" s="215">
        <f>IF(AND(ISNUMBER(Q179),ISNUMBER(Q108)),IFERROR(Q179/Q108,""),"")</f>
        <v>0.248005887852326</v>
      </c>
      <c r="R227" s="215">
        <f>IF(AND(ISNUMBER(R179),ISNUMBER(R108)),IFERROR(R179/R108,""),"")</f>
        <v>0.267248808456005</v>
      </c>
      <c r="S227" s="215">
        <f>IF(AND(ISNUMBER(S179),ISNUMBER(S108)),IFERROR(S179/S108,""),"")</f>
        <v>0.266210854504567</v>
      </c>
      <c r="T227" s="215">
        <f>IF(AND(ISNUMBER(T179),ISNUMBER(T108)),IFERROR(T179/T108,""),"")</f>
        <v>0.265842951214331</v>
      </c>
      <c r="U227" s="215">
        <f>IF(AND(ISNUMBER(U179),ISNUMBER(U108)),IFERROR(U179/U108,""),"")</f>
        <v>0.2750299853405</v>
      </c>
      <c r="V227" s="215">
        <f>IF(AND(ISNUMBER(V179),ISNUMBER(V108)),IFERROR(V179/V108,""),"")</f>
        <v>0.265025112394425</v>
      </c>
      <c r="W227" s="215">
        <f>IF(AND(ISNUMBER(W179),ISNUMBER(W108)),IFERROR(W179/W108,""),"")</f>
        <v>0.270691342567693</v>
      </c>
      <c r="X227" s="215">
        <f>IF(AND(ISNUMBER(X179),ISNUMBER(X108)),IFERROR(X179/X108,""),"")</f>
        <v>0.269204856292024</v>
      </c>
      <c r="Y227" s="215">
        <f>IF(AND(ISNUMBER(Y179),ISNUMBER(Y108)),IFERROR(Y179/Y108,""),"")</f>
        <v>0.261931866093263</v>
      </c>
      <c r="Z227" s="215">
        <f>IF(AND(ISNUMBER(Z179),ISNUMBER(Z108)),IFERROR(Z179/Z108,""),"")</f>
        <v>0.258796470651531</v>
      </c>
      <c r="AA227" s="215">
        <f>IF(AND(ISNUMBER(AA179),ISNUMBER(AA108)),IFERROR(AA179/AA108,""),"")</f>
        <v>0.25588006878571</v>
      </c>
      <c r="AB227" s="215">
        <f>IF(AND(ISNUMBER(AB179),ISNUMBER(AB108)),IFERROR(AB179/AB108,""),"")</f>
        <v>0.259898183073244</v>
      </c>
      <c r="AC227" s="215">
        <f>IF(AND(ISNUMBER(AC179),ISNUMBER(AC108)),IFERROR(AC179/AC108,""),"")</f>
        <v>0.259138503561673</v>
      </c>
      <c r="AD227" s="215">
        <f>IF(AND(ISNUMBER(AD179),ISNUMBER(AD108)),IFERROR(AD179/AD108,""),"")</f>
        <v>0.253055072163748</v>
      </c>
      <c r="AE227" s="215">
        <f>IF(AND(ISNUMBER(AE179),ISNUMBER(AE108)),IFERROR(AE179/AE108,""),"")</f>
        <v>0.259271288723748</v>
      </c>
      <c r="AF227" s="215">
        <f>IF(AND(ISNUMBER(AF179),ISNUMBER(AF108)),IFERROR(AF179/AF108,""),"")</f>
        <v>0.254541239362863</v>
      </c>
      <c r="AG227" s="215">
        <f>IF(AND(ISNUMBER(AG179),ISNUMBER(AG108)),IFERROR(AG179/AG108,""),"")</f>
        <v>0.277635603270707</v>
      </c>
      <c r="AH227" s="215">
        <f>IF(AND(ISNUMBER(AH179),ISNUMBER(AH108)),IFERROR(AH179/AH108,""),"")</f>
        <v>0.261363562500406</v>
      </c>
      <c r="AI227" s="215">
        <f>IF(AND(ISNUMBER(AI179),ISNUMBER(AI108)),IFERROR(AI179/AI108,""),"")</f>
        <v>0.257027279327871</v>
      </c>
      <c r="AJ227" s="215">
        <f>IF(AND(ISNUMBER(AJ179),ISNUMBER(AJ108)),IFERROR(AJ179/AJ108,""),"")</f>
        <v>0.257514438554745</v>
      </c>
      <c r="AK227" s="215">
        <f>IF(AND(ISNUMBER(AK179),ISNUMBER(AK108)),IFERROR(AK179/AK108,""),"")</f>
        <v>0.266328255163073</v>
      </c>
      <c r="AL227" s="215">
        <f>IF(AND(ISNUMBER(AL179),ISNUMBER(AL108)),IFERROR(AL179/AL108,""),"")</f>
        <v>0.272447283421449</v>
      </c>
      <c r="AM227" s="215">
        <f>IF(AND(ISNUMBER(AM179),ISNUMBER(AM108)),IFERROR(AM179/AM108,""),"")</f>
        <v>0.263554727838696</v>
      </c>
      <c r="AN227" s="215">
        <f>IF(AND(ISNUMBER(AN179),ISNUMBER(AN108)),IFERROR(AN179/AN108,""),"")</f>
        <v>0.26750575333125</v>
      </c>
      <c r="AO227" s="215">
        <f>IF(AND(ISNUMBER(AO179),ISNUMBER(AO108)),IFERROR(AO179/AO108,""),"")</f>
        <v>0.275058409863749</v>
      </c>
      <c r="AP227" s="215">
        <f>IF(AND(ISNUMBER(AP179),ISNUMBER(AP108)),IFERROR(AP179/AP108,""),"")</f>
        <v>0.279108560363482</v>
      </c>
      <c r="AQ227" s="215">
        <f>IF(AND(ISNUMBER(AQ179),ISNUMBER(AQ108)),IFERROR(AQ179/AQ108,""),"")</f>
        <v>0.291010199712344</v>
      </c>
      <c r="AR227" s="215">
        <f>IF(AND(ISNUMBER(AR179),ISNUMBER(AR108)),IFERROR(AR179/AR108,""),"")</f>
        <v>0.278291170592556</v>
      </c>
      <c r="AS227" s="215">
        <f>IF(AND(ISNUMBER(AS179),ISNUMBER(AS108)),IFERROR(AS179/AS108,""),"")</f>
        <v>0.278132355356068</v>
      </c>
      <c r="AT227" s="215">
        <f>IF(AND(ISNUMBER(AT179),ISNUMBER(AT108)),IFERROR(AT179/AT108,""),"")</f>
        <v>0.281673803934935</v>
      </c>
      <c r="AU227" s="215">
        <f>IF(AND(ISNUMBER(AU179),ISNUMBER(AU108)),IFERROR(AU179/AU108,""),"")</f>
        <v>0.287471966286105</v>
      </c>
      <c r="AV227" s="215">
        <f>IF(AND(ISNUMBER(AV179),ISNUMBER(AV108)),IFERROR(AV179/AV108,""),"")</f>
        <v>0.302841645905415</v>
      </c>
      <c r="AW227" s="215">
        <f>IF(AND(ISNUMBER(AW179),ISNUMBER(AW108)),IFERROR(AW179/AW108,""),"")</f>
        <v>0.28760304676127</v>
      </c>
      <c r="AX227" s="215">
        <f>IF(AND(ISNUMBER(AX179),ISNUMBER(AX108)),IFERROR(AX179/AX108,""),"")</f>
        <v>0.279673851226573</v>
      </c>
      <c r="AY227" s="215">
        <f>IF(AND(ISNUMBER(AY179),ISNUMBER(AY108)),IFERROR(AY179/AY108,""),"")</f>
        <v>0.297570642703386</v>
      </c>
      <c r="AZ227" s="215">
        <f>IF(AND(ISNUMBER(AZ179),ISNUMBER(AZ108)),IFERROR(AZ179/AZ108,""),"")</f>
        <v>0.281322629078369</v>
      </c>
      <c r="BA227" s="215">
        <f>IF(AND(ISNUMBER(BA179),ISNUMBER(BA108)),IFERROR(BA179/BA108,""),"")</f>
        <v>0.286403194110858</v>
      </c>
      <c r="BB227" s="215">
        <f>IF(AND(ISNUMBER(BB179),ISNUMBER(BB108)),IFERROR(BB179/BB108,""),"")</f>
        <v>0.286140522575306</v>
      </c>
      <c r="BC227" s="215">
        <f>IF(AND(ISNUMBER(BC179),ISNUMBER(BC108)),IFERROR(BC179/BC108,""),"")</f>
        <v>0.289773054639736</v>
      </c>
      <c r="BD227" s="215">
        <f>IF(AND(ISNUMBER(BD179),ISNUMBER(BD108)),IFERROR(BD179/BD108,""),"")</f>
        <v>0.282237414543195</v>
      </c>
      <c r="BE227" s="215">
        <f>IF(AND(ISNUMBER(BE179),ISNUMBER(BE108)),IFERROR(BE179/BE108,""),"")</f>
        <v>0.267275512918004</v>
      </c>
      <c r="BF227" s="215">
        <f>IF(AND(ISNUMBER(BF179),ISNUMBER(BF108)),IFERROR(BF179/BF108,""),"")</f>
        <v>0.291022879577796</v>
      </c>
      <c r="BG227" s="215">
        <f>IF(AND(ISNUMBER(BG179),ISNUMBER(BG108)),IFERROR(BG179/BG108,""),"")</f>
        <v>0.282593640932533</v>
      </c>
      <c r="BH227" s="215">
        <f>IF(AND(ISNUMBER(BH179),ISNUMBER(BH108)),IFERROR(BH179/BH108,""),"")</f>
        <v>0.284449841843651</v>
      </c>
      <c r="BI227" s="215">
        <f>IF(AND(ISNUMBER(BI179),ISNUMBER(BI108)),IFERROR(BI179/BI108,""),"")</f>
        <v>0.294712149244109</v>
      </c>
      <c r="BJ227" s="215">
        <f>IF(AND(ISNUMBER(BJ179),ISNUMBER(BJ108)),IFERROR(BJ179/BJ108,""),"")</f>
        <v>0.293653750444365</v>
      </c>
      <c r="BK227" s="215">
        <f>IF(AND(ISNUMBER(BK179),ISNUMBER(BK108)),IFERROR(BK179/BK108,""),"")</f>
        <v>0.307236918833128</v>
      </c>
      <c r="BL227" s="215">
        <f>IF(AND(ISNUMBER(BL179),ISNUMBER(BL108)),IFERROR(BL179/BL108,""),"")</f>
        <v>0.295358333900497</v>
      </c>
      <c r="BM227" s="215">
        <f>IF(AND(ISNUMBER(BM179),ISNUMBER(BM108)),IFERROR(BM179/BM108,""),"")</f>
        <v>0.311023398308544</v>
      </c>
      <c r="BN227" s="215">
        <f>IF(AND(ISNUMBER(BN179),ISNUMBER(BN108)),IFERROR(BN179/BN108,""),"")</f>
        <v>0.316643843432614</v>
      </c>
      <c r="BO227" s="215">
        <f>IF(AND(ISNUMBER(BO179),ISNUMBER(BO108)),IFERROR(BO179/BO108,""),"")</f>
        <v>0.293038892127968</v>
      </c>
      <c r="BP227" s="215">
        <f>IF(AND(ISNUMBER(BP179),ISNUMBER(BP108)),IFERROR(BP179/BP108,""),"")</f>
        <v>0.314482208470315</v>
      </c>
      <c r="BQ227" s="215">
        <f>IF(AND(ISNUMBER(BQ179),ISNUMBER(BQ108)),IFERROR(BQ179/BQ108,""),"")</f>
        <v>0.309021982951996</v>
      </c>
      <c r="BR227" s="215">
        <f>IF(AND(ISNUMBER(BR179),ISNUMBER(BR108)),IFERROR(BR179/BR108,""),"")</f>
        <v>0.329805562392321</v>
      </c>
      <c r="BS227" s="215">
        <f>IF(AND(ISNUMBER(BS179),ISNUMBER(BS108)),IFERROR(BS179/BS108,""),"")</f>
        <v>0.310128172907766</v>
      </c>
      <c r="BT227" s="215">
        <f>IF(AND(ISNUMBER(BT179),ISNUMBER(BT108)),IFERROR(BT179/BT108,""),"")</f>
        <v>0.310851926977688</v>
      </c>
      <c r="BU227" s="215">
        <f>IF(AND(ISNUMBER(BU179),ISNUMBER(BU108)),IFERROR(BU179/BU108,""),"")</f>
        <v>0.319396847155586</v>
      </c>
      <c r="BV227" s="215">
        <f>IF(AND(ISNUMBER(BV179),ISNUMBER(BV108)),IFERROR(BV179/BV108,""),"")</f>
        <v>0.317667909307584</v>
      </c>
      <c r="BW227" s="215">
        <f>IF(AND(ISNUMBER(BW179),ISNUMBER(BW108)),IFERROR(BW179/BW108,""),"")</f>
        <v>0.32454128440367</v>
      </c>
      <c r="BX227" s="215">
        <f>IF(AND(ISNUMBER(BX179),ISNUMBER(BX108)),IFERROR(BX179/BX108,""),"")</f>
        <v>0.3191302437953</v>
      </c>
      <c r="BY227" s="215">
        <f>IF(AND(ISNUMBER(BY179),ISNUMBER(BY108)),IFERROR(BY179/BY108,""),"")</f>
        <v>0.324090121317158</v>
      </c>
      <c r="BZ227" s="215">
        <f>IF(AND(ISNUMBER(BZ179),ISNUMBER(BZ108)),IFERROR(BZ179/BZ108,""),"")</f>
        <v>0.326061776061776</v>
      </c>
      <c r="CA227" s="215">
        <f>IF(AND(ISNUMBER(CA179),ISNUMBER(CA108)),IFERROR(CA179/CA108,""),"")</f>
        <v>0.323534127959805</v>
      </c>
      <c r="CB227" s="215">
        <f>IF(AND(ISNUMBER(CB179),ISNUMBER(CB108)),IFERROR(CB179/CB108,""),"")</f>
        <v>0.348796920115496</v>
      </c>
      <c r="CC227" s="256">
        <f>IF(AND(ISNUMBER(CC179),ISNUMBER(CC108)),IFERROR(CC179/CC108,""),"")</f>
        <v>0.326519843741154</v>
      </c>
      <c r="CD227" s="256">
        <f>IF(AND(ISNUMBER(CD179),ISNUMBER(CD108)),IFERROR(CD179/CD108,""),"")</f>
        <v>0.331426827230947</v>
      </c>
      <c r="CE227" s="256">
        <f>IF(AND(ISNUMBER(CE179),ISNUMBER(CE108)),IFERROR(CE179/CE108,""),"")</f>
        <v>0.334695761786107</v>
      </c>
      <c r="CF227" s="256">
        <f>IF(AND(ISNUMBER(CF179),ISNUMBER(CF108)),IFERROR(CF179/CF108,""),"")</f>
        <v>0.335384378972393</v>
      </c>
      <c r="CG227" s="256">
        <f>IF(AND(ISNUMBER(CG179),ISNUMBER(CG108)),IFERROR(CG179/CG108,""),"")</f>
        <v>0.342593796571598</v>
      </c>
      <c r="CH227" s="256">
        <f>IF(AND(ISNUMBER(CH179),ISNUMBER(CH108)),IFERROR(CH179/CH108,""),"")</f>
        <v>0.344727542311292</v>
      </c>
      <c r="CI227" s="256">
        <f>IF(AND(ISNUMBER(CI179),ISNUMBER(CI108)),IFERROR(CI179/CI108,""),"")</f>
        <v>0.34706883579314</v>
      </c>
      <c r="CJ227" s="256">
        <f>IF(AND(ISNUMBER(CJ179),ISNUMBER(CJ108)),IFERROR(CJ179/CJ108,""),"")</f>
        <v>0.346961167610061</v>
      </c>
      <c r="CK227" s="256">
        <f>IF(AND(ISNUMBER(CK179),ISNUMBER(CK108)),IFERROR(CK179/CK108,""),"")</f>
        <v>0.34692692537488</v>
      </c>
      <c r="CL227" s="153" t="n"/>
      <c r="CN227" s="37">
        <f>IFERROR(AVERAGE(CG227,CH227,CI227,CJ227,CK227),"n/m")</f>
        <v>0.345655653532194</v>
      </c>
      <c r="CO227" s="37">
        <f>IFERROR(AVERAGE(BG227,BL227,BQ227,BV227,CA227),"n/m")</f>
        <v>0.305635199010483</v>
      </c>
      <c r="CP227" s="37">
        <f>IFERROR(AVERAGE(AH227,AM227,AR227,AW227,BB227,BG227,BL227,BQ227,BV227,CA227),"n/m")</f>
        <v>0.290512902532065</v>
      </c>
      <c r="CQ227" s="37">
        <f>IFERROR(AVERAGE(C227,D227,E227,F227,G227,H227,I227,N227,S227,X227,AC227,AH227,AM227,AR227,AW227,BB227,BG227,BL227,BQ227,BV227,CA227),"n/m")</f>
        <v>0.261408039257842</v>
      </c>
    </row>
    <row r="228" ht="15" customHeight="1" s="251">
      <c r="B228" s="25" t="inlineStr">
        <is>
          <t xml:space="preserve">  Operating margin (GAAP) %</t>
        </is>
      </c>
      <c r="C228" s="215">
        <f>IF(AND(ISNUMBER(C116),ISNUMBER(C108)),IFERROR(C116/C108,""),"")</f>
        <v>0.140538197290435</v>
      </c>
      <c r="D228" s="215">
        <f>IF(AND(ISNUMBER(D116),ISNUMBER(D108)),IFERROR(D116/D108,""),"")</f>
        <v>0.169635564036045</v>
      </c>
      <c r="E228" s="215">
        <f>IF(AND(ISNUMBER(E116),ISNUMBER(E108)),IFERROR(E116/E108,""),"")</f>
        <v>0.19010889292196</v>
      </c>
      <c r="F228" s="215">
        <f>IF(AND(ISNUMBER(F116),ISNUMBER(F108)),IFERROR(F116/F108,""),"")</f>
        <v>0.154498645291122</v>
      </c>
      <c r="G228" s="215">
        <f>IF(AND(ISNUMBER(G116),ISNUMBER(G108)),IFERROR(G116/G108,""),"")</f>
        <v>0.126209492468202</v>
      </c>
      <c r="H228" s="215">
        <f>IF(AND(ISNUMBER(H116),ISNUMBER(H108)),IFERROR(H116/H108,""),"")</f>
        <v>0.167427932960894</v>
      </c>
      <c r="I228" s="215">
        <f>IF(AND(ISNUMBER(I116),ISNUMBER(I108)),IFERROR(I116/I108,""),"")</f>
        <v>0.195335474993145</v>
      </c>
      <c r="J228" s="215">
        <f>IF(AND(ISNUMBER(J116),ISNUMBER(J108)),IFERROR(J116/J108,""),"")</f>
        <v>0.212843788104593</v>
      </c>
      <c r="K228" s="215">
        <f>IF(AND(ISNUMBER(K116),ISNUMBER(K108)),IFERROR(K116/K108,""),"")</f>
        <v>0.211158156911582</v>
      </c>
      <c r="L228" s="215">
        <f>IF(AND(ISNUMBER(L116),ISNUMBER(L108)),IFERROR(L116/L108,""),"")</f>
        <v>0.198876847699718</v>
      </c>
      <c r="M228" s="215">
        <f>IF(AND(ISNUMBER(M116),ISNUMBER(M108)),IFERROR(M116/M108,""),"")</f>
        <v>0.152932838863756</v>
      </c>
      <c r="N228" s="215">
        <f>IF(AND(ISNUMBER(N116),ISNUMBER(N108)),IFERROR(N116/N108,""),"")</f>
        <v>0.193774485114787</v>
      </c>
      <c r="O228" s="215">
        <f>IF(AND(ISNUMBER(O116),ISNUMBER(O108)),IFERROR(O116/O108,""),"")</f>
        <v>0.217185491097518</v>
      </c>
      <c r="P228" s="215">
        <f>IF(AND(ISNUMBER(P116),ISNUMBER(P108)),IFERROR(P116/P108,""),"")</f>
        <v>0.211036349726347</v>
      </c>
      <c r="Q228" s="215">
        <f>IF(AND(ISNUMBER(Q116),ISNUMBER(Q108)),IFERROR(Q116/Q108,""),"")</f>
        <v>0.195502556044</v>
      </c>
      <c r="R228" s="215">
        <f>IF(AND(ISNUMBER(R116),ISNUMBER(R108)),IFERROR(R116/R108,""),"")</f>
        <v>0.221416134648868</v>
      </c>
      <c r="S228" s="215">
        <f>IF(AND(ISNUMBER(S116),ISNUMBER(S108)),IFERROR(S116/S108,""),"")</f>
        <v>0.211632759271019</v>
      </c>
      <c r="T228" s="215">
        <f>IF(AND(ISNUMBER(T116),ISNUMBER(T108)),IFERROR(T116/T108,""),"")</f>
        <v>0.214286978687248</v>
      </c>
      <c r="U228" s="215">
        <f>IF(AND(ISNUMBER(U116),ISNUMBER(U108)),IFERROR(U116/U108,""),"")</f>
        <v>0.162560525965084</v>
      </c>
      <c r="V228" s="215">
        <f>IF(AND(ISNUMBER(V116),ISNUMBER(V108)),IFERROR(V116/V108,""),"")</f>
        <v>0.193647598803634</v>
      </c>
      <c r="W228" s="215">
        <f>IF(AND(ISNUMBER(W116),ISNUMBER(W108)),IFERROR(W116/W108,""),"")</f>
        <v>0.223361577188605</v>
      </c>
      <c r="X228" s="215">
        <f>IF(AND(ISNUMBER(X116),ISNUMBER(X108)),IFERROR(X116/X108,""),"")</f>
        <v>0.198595035011835</v>
      </c>
      <c r="Y228" s="215">
        <f>IF(AND(ISNUMBER(Y116),ISNUMBER(Y108)),IFERROR(Y116/Y108,""),"")</f>
        <v>0.157131011608624</v>
      </c>
      <c r="Z228" s="215">
        <f>IF(AND(ISNUMBER(Z116),ISNUMBER(Z108)),IFERROR(Z116/Z108,""),"")</f>
        <v>0.158706353903266</v>
      </c>
      <c r="AA228" s="215">
        <f>IF(AND(ISNUMBER(AA116),ISNUMBER(AA108)),IFERROR(AA116/AA108,""),"")</f>
        <v>0.187579741498863</v>
      </c>
      <c r="AB228" s="215">
        <f>IF(AND(ISNUMBER(AB116),ISNUMBER(AB108)),IFERROR(AB116/AB108,""),"")</f>
        <v>0.190006902842492</v>
      </c>
      <c r="AC228" s="215">
        <f>IF(AND(ISNUMBER(AC116),ISNUMBER(AC108)),IFERROR(AC116/AC108,""),"")</f>
        <v>0.173800613250495</v>
      </c>
      <c r="AD228" s="215">
        <f>IF(AND(ISNUMBER(AD116),ISNUMBER(AD108)),IFERROR(AD116/AD108,""),"")</f>
        <v>0.189036026885929</v>
      </c>
      <c r="AE228" s="215">
        <f>IF(AND(ISNUMBER(AE116),ISNUMBER(AE108)),IFERROR(AE116/AE108,""),"")</f>
        <v>0.191980148496521</v>
      </c>
      <c r="AF228" s="215">
        <f>IF(AND(ISNUMBER(AF116),ISNUMBER(AF108)),IFERROR(AF116/AF108,""),"")</f>
        <v>0.139980634955269</v>
      </c>
      <c r="AG228" s="215">
        <f>IF(AND(ISNUMBER(AG116),ISNUMBER(AG108)),IFERROR(AG116/AG108,""),"")</f>
        <v>0.214649522501717</v>
      </c>
      <c r="AH228" s="215">
        <f>IF(AND(ISNUMBER(AH116),ISNUMBER(AH108)),IFERROR(AH116/AH108,""),"")</f>
        <v>0.184750108874401</v>
      </c>
      <c r="AI228" s="215">
        <f>IF(AND(ISNUMBER(AI116),ISNUMBER(AI108)),IFERROR(AI116/AI108,""),"")</f>
        <v>0.194024295746719</v>
      </c>
      <c r="AJ228" s="215">
        <f>IF(AND(ISNUMBER(AJ116),ISNUMBER(AJ108)),IFERROR(AJ116/AJ108,""),"")</f>
        <v>0.153836791080655</v>
      </c>
      <c r="AK228" s="215">
        <f>IF(AND(ISNUMBER(AK116),ISNUMBER(AK108)),IFERROR(AK116/AK108,""),"")</f>
        <v>0.198510110393269</v>
      </c>
      <c r="AL228" s="215">
        <f>IF(AND(ISNUMBER(AL116),ISNUMBER(AL108)),IFERROR(AL116/AL108,""),"")</f>
        <v>0.210921907748072</v>
      </c>
      <c r="AM228" s="215">
        <f>IF(AND(ISNUMBER(AM116),ISNUMBER(AM108)),IFERROR(AM116/AM108,""),"")</f>
        <v>0.189852862957053</v>
      </c>
      <c r="AN228" s="215">
        <f>IF(AND(ISNUMBER(AN116),ISNUMBER(AN108)),IFERROR(AN116/AN108,""),"")</f>
        <v>0.204551524277637</v>
      </c>
      <c r="AO228" s="215">
        <f>IF(AND(ISNUMBER(AO116),ISNUMBER(AO108)),IFERROR(AO116/AO108,""),"")</f>
        <v>0.207522727798469</v>
      </c>
      <c r="AP228" s="215">
        <f>IF(AND(ISNUMBER(AP116),ISNUMBER(AP108)),IFERROR(AP116/AP108,""),"")</f>
        <v>0.115705178678705</v>
      </c>
      <c r="AQ228" s="215">
        <f>IF(AND(ISNUMBER(AQ116),ISNUMBER(AQ108)),IFERROR(AQ116/AQ108,""),"")</f>
        <v>0.221313995235011</v>
      </c>
      <c r="AR228" s="215">
        <f>IF(AND(ISNUMBER(AR116),ISNUMBER(AR108)),IFERROR(AR116/AR108,""),"")</f>
        <v>0.187945897317641</v>
      </c>
      <c r="AS228" s="215">
        <f>IF(AND(ISNUMBER(AS116),ISNUMBER(AS108)),IFERROR(AS116/AS108,""),"")</f>
        <v>0.21068476654442</v>
      </c>
      <c r="AT228" s="215">
        <f>IF(AND(ISNUMBER(AT116),ISNUMBER(AT108)),IFERROR(AT116/AT108,""),"")</f>
        <v>0.205097054021516</v>
      </c>
      <c r="AU228" s="215">
        <f>IF(AND(ISNUMBER(AU116),ISNUMBER(AU108)),IFERROR(AU116/AU108,""),"")</f>
        <v>0.211649596935922</v>
      </c>
      <c r="AV228" s="215">
        <f>IF(AND(ISNUMBER(AV116),ISNUMBER(AV108)),IFERROR(AV116/AV108,""),"")</f>
        <v>0.234176159446414</v>
      </c>
      <c r="AW228" s="215">
        <f>IF(AND(ISNUMBER(AW116),ISNUMBER(AW108)),IFERROR(AW116/AW108,""),"")</f>
        <v>0.215523581332882</v>
      </c>
      <c r="AX228" s="215">
        <f>IF(AND(ISNUMBER(AX116),ISNUMBER(AX108)),IFERROR(AX116/AX108,""),"")</f>
        <v>0.184123251519237</v>
      </c>
      <c r="AY228" s="215">
        <f>IF(AND(ISNUMBER(AY116),ISNUMBER(AY108)),IFERROR(AY116/AY108,""),"")</f>
        <v>0.180155123517955</v>
      </c>
      <c r="AZ228" s="215">
        <f>IF(AND(ISNUMBER(AZ116),ISNUMBER(AZ108)),IFERROR(AZ116/AZ108,""),"")</f>
        <v>0.181960907987742</v>
      </c>
      <c r="BA228" s="215">
        <f>IF(AND(ISNUMBER(BA116),ISNUMBER(BA108)),IFERROR(BA116/BA108,""),"")</f>
        <v>0.18553292367198</v>
      </c>
      <c r="BB228" s="215">
        <f>IF(AND(ISNUMBER(BB116),ISNUMBER(BB108)),IFERROR(BB116/BB108,""),"")</f>
        <v>0.183022870880023</v>
      </c>
      <c r="BC228" s="215">
        <f>IF(AND(ISNUMBER(BC116),ISNUMBER(BC108)),IFERROR(BC116/BC108,""),"")</f>
        <v>0.196683844947345</v>
      </c>
      <c r="BD228" s="215">
        <f>IF(AND(ISNUMBER(BD116),ISNUMBER(BD108)),IFERROR(BD116/BD108,""),"")</f>
        <v>0.168570540708515</v>
      </c>
      <c r="BE228" s="215">
        <f>IF(AND(ISNUMBER(BE116),ISNUMBER(BE108)),IFERROR(BE116/BE108,""),"")</f>
        <v>0.0538334463369957</v>
      </c>
      <c r="BF228" s="215">
        <f>IF(AND(ISNUMBER(BF116),ISNUMBER(BF108)),IFERROR(BF116/BF108,""),"")</f>
        <v>0.16118524628078</v>
      </c>
      <c r="BG228" s="215">
        <f>IF(AND(ISNUMBER(BG116),ISNUMBER(BG108)),IFERROR(BG116/BG108,""),"")</f>
        <v>0.137933923475269</v>
      </c>
      <c r="BH228" s="215">
        <f>IF(AND(ISNUMBER(BH116),ISNUMBER(BH108)),IFERROR(BH116/BH108,""),"")</f>
        <v>0.182077496610935</v>
      </c>
      <c r="BI228" s="215">
        <f>IF(AND(ISNUMBER(BI116),ISNUMBER(BI108)),IFERROR(BI116/BI108,""),"")</f>
        <v>0.195079733562317</v>
      </c>
      <c r="BJ228" s="215">
        <f>IF(AND(ISNUMBER(BJ116),ISNUMBER(BJ108)),IFERROR(BJ116/BJ108,""),"")</f>
        <v>0.200190543903306</v>
      </c>
      <c r="BK228" s="215">
        <f>IF(AND(ISNUMBER(BK116),ISNUMBER(BK108)),IFERROR(BK116/BK108,""),"")</f>
        <v>0.218304252805371</v>
      </c>
      <c r="BL228" s="215">
        <f>IF(AND(ISNUMBER(BL116),ISNUMBER(BL108)),IFERROR(BL116/BL108,""),"")</f>
        <v>0.199414687266045</v>
      </c>
      <c r="BM228" s="215">
        <f>IF(AND(ISNUMBER(BM116),ISNUMBER(BM108)),IFERROR(BM116/BM108,""),"")</f>
        <v>0.219605189061846</v>
      </c>
      <c r="BN228" s="215">
        <f>IF(AND(ISNUMBER(BN116),ISNUMBER(BN108)),IFERROR(BN116/BN108,""),"")</f>
        <v>0.227539862853112</v>
      </c>
      <c r="BO228" s="215">
        <f>IF(AND(ISNUMBER(BO116),ISNUMBER(BO108)),IFERROR(BO116/BO108,""),"")</f>
        <v>0.201363444288137</v>
      </c>
      <c r="BP228" s="215">
        <f>IF(AND(ISNUMBER(BP116),ISNUMBER(BP108)),IFERROR(BP116/BP108,""),"")</f>
        <v>0.227596209630632</v>
      </c>
      <c r="BQ228" s="215">
        <f>IF(AND(ISNUMBER(BQ116),ISNUMBER(BQ108)),IFERROR(BQ116/BQ108,""),"")</f>
        <v>0.219316798051657</v>
      </c>
      <c r="BR228" s="215">
        <f>IF(AND(ISNUMBER(BR116),ISNUMBER(BR108)),IFERROR(BR116/BR108,""),"")</f>
        <v>0.239970465173517</v>
      </c>
      <c r="BS228" s="215">
        <f>IF(AND(ISNUMBER(BS116),ISNUMBER(BS108)),IFERROR(BS116/BS108,""),"")</f>
        <v>0.216386026639859</v>
      </c>
      <c r="BT228" s="215">
        <f>IF(AND(ISNUMBER(BT116),ISNUMBER(BT108)),IFERROR(BT116/BT108,""),"")</f>
        <v>0.217038539553753</v>
      </c>
      <c r="BU228" s="215">
        <f>IF(AND(ISNUMBER(BU116),ISNUMBER(BU108)),IFERROR(BU116/BU108,""),"")</f>
        <v>0.230066255426091</v>
      </c>
      <c r="BV228" s="215">
        <f>IF(AND(ISNUMBER(BV116),ISNUMBER(BV108)),IFERROR(BV116/BV108,""),"")</f>
        <v>0.226058791175212</v>
      </c>
      <c r="BW228" s="215">
        <f>IF(AND(ISNUMBER(BW116),ISNUMBER(BW108)),IFERROR(BW116/BW108,""),"")</f>
        <v>0.231880733944954</v>
      </c>
      <c r="BX228" s="215">
        <f>IF(AND(ISNUMBER(BX116),ISNUMBER(BX108)),IFERROR(BX116/BX108,""),"")</f>
        <v>0.214803426312322</v>
      </c>
      <c r="BY228" s="215">
        <f>IF(AND(ISNUMBER(BY116),ISNUMBER(BY108)),IFERROR(BY116/BY108,""),"")</f>
        <v>0.22313691507799</v>
      </c>
      <c r="BZ228" s="215">
        <f>IF(AND(ISNUMBER(BZ116),ISNUMBER(BZ108)),IFERROR(BZ116/BZ108,""),"")</f>
        <v>0.22992277992278</v>
      </c>
      <c r="CA228" s="215">
        <f>IF(AND(ISNUMBER(CA116),ISNUMBER(CA108)),IFERROR(CA116/CA108,""),"")</f>
        <v>0.225025388850286</v>
      </c>
      <c r="CB228" s="215">
        <f>IF(AND(ISNUMBER(CB116),ISNUMBER(CB108)),IFERROR(CB116/CB108,""),"")</f>
        <v>0.271029836381136</v>
      </c>
      <c r="CC228" s="256">
        <f>IF(AND(ISNUMBER(CC116),ISNUMBER(CC108)),IFERROR(CC116/CC108,""),"")</f>
        <v>0.247560784313725</v>
      </c>
      <c r="CD228" s="256">
        <f>IF(AND(ISNUMBER(CD116),ISNUMBER(CD108)),IFERROR(CD116/CD108,""),"")</f>
        <v>0.253131701593941</v>
      </c>
      <c r="CE228" s="256">
        <f>IF(AND(ISNUMBER(CE116),ISNUMBER(CE108)),IFERROR(CE116/CE108,""),"")</f>
        <v>0.262751302411796</v>
      </c>
      <c r="CF228" s="256">
        <f>IF(AND(ISNUMBER(CF116),ISNUMBER(CF108)),IFERROR(CF116/CF108,""),"")</f>
        <v>0.258874818589445</v>
      </c>
      <c r="CG228" s="256">
        <f>IF(AND(ISNUMBER(CG116),ISNUMBER(CG108)),IFERROR(CG116/CG108,""),"")</f>
        <v>0.260381155665889</v>
      </c>
      <c r="CH228" s="256">
        <f>IF(AND(ISNUMBER(CH116),ISNUMBER(CH108)),IFERROR(CH116/CH108,""),"")</f>
        <v>0.264398490679686</v>
      </c>
      <c r="CI228" s="256">
        <f>IF(AND(ISNUMBER(CI116),ISNUMBER(CI108)),IFERROR(CI116/CI108,""),"")</f>
        <v>0.269318960562842</v>
      </c>
      <c r="CJ228" s="256">
        <f>IF(AND(ISNUMBER(CJ116),ISNUMBER(CJ108)),IFERROR(CJ116/CJ108,""),"")</f>
        <v>0.270786507556783</v>
      </c>
      <c r="CK228" s="256">
        <f>IF(AND(ISNUMBER(CK116),ISNUMBER(CK108)),IFERROR(CK116/CK108,""),"")</f>
        <v>0.271062494511699</v>
      </c>
      <c r="CL228" s="153" t="n"/>
      <c r="CN228" s="37">
        <f>IFERROR(AVERAGE(CG228,CH228,CI228,CJ228,CK228),"n/m")</f>
        <v>0.26718952179538</v>
      </c>
      <c r="CO228" s="37">
        <f>IFERROR(AVERAGE(BG228,BL228,BQ228,BV228,CA228),"n/m")</f>
        <v>0.201549917763694</v>
      </c>
      <c r="CP228" s="37">
        <f>IFERROR(AVERAGE(AH228,AM228,AR228,AW228,BB228,BG228,BL228,BQ228,BV228,CA228),"n/m")</f>
        <v>0.196884491018047</v>
      </c>
      <c r="CQ228" s="37">
        <f>IFERROR(AVERAGE(C228,D228,E228,F228,G228,H228,I228,N228,S228,X228,AC228,AH228,AM228,AR228,AW228,BB228,BG228,BL228,BQ228,BV228,CA228),"n/m")</f>
        <v>0.185257238228115</v>
      </c>
    </row>
    <row r="229" ht="15" customHeight="1" s="251">
      <c r="B229" s="25" t="inlineStr">
        <is>
          <t xml:space="preserve">  Net margin %</t>
        </is>
      </c>
      <c r="C229" s="215">
        <f>IF(AND(ISNUMBER(C127),ISNUMBER(C108)),IFERROR(C127/C108,""),"")</f>
        <v>0.0453136327042101</v>
      </c>
      <c r="D229" s="215">
        <f>IF(AND(ISNUMBER(D127),ISNUMBER(D108)),IFERROR(D127/D108,""),"")</f>
        <v>0.093049774228751</v>
      </c>
      <c r="E229" s="215">
        <f>IF(AND(ISNUMBER(E127),ISNUMBER(E108)),IFERROR(E127/E108,""),"")</f>
        <v>0.121578947368421</v>
      </c>
      <c r="F229" s="215">
        <f>IF(AND(ISNUMBER(F127),ISNUMBER(F108)),IFERROR(F127/F108,""),"")</f>
        <v>0.0968363893916739</v>
      </c>
      <c r="G229" s="215">
        <f>IF(AND(ISNUMBER(G127),ISNUMBER(G108)),IFERROR(G127/G108,""),"")</f>
        <v>0.088768920502945</v>
      </c>
      <c r="H229" s="215">
        <f>IF(AND(ISNUMBER(H127),ISNUMBER(H108)),IFERROR(H127/H108,""),"")</f>
        <v>0.103889757914339</v>
      </c>
      <c r="I229" s="215">
        <f>IF(AND(ISNUMBER(I127),ISNUMBER(I108)),IFERROR(I127/I108,""),"")</f>
        <v>0.125775135782406</v>
      </c>
      <c r="J229" s="215">
        <f>IF(AND(ISNUMBER(J127),ISNUMBER(J108)),IFERROR(J127/J108,""),"")</f>
        <v>0.16610215417965</v>
      </c>
      <c r="K229" s="215">
        <f>IF(AND(ISNUMBER(K127),ISNUMBER(K108)),IFERROR(K127/K108,""),"")</f>
        <v>0.164323785803238</v>
      </c>
      <c r="L229" s="215">
        <f>IF(AND(ISNUMBER(L127),ISNUMBER(L108)),IFERROR(L127/L108,""),"")</f>
        <v>0.125695482477994</v>
      </c>
      <c r="M229" s="215">
        <f>IF(AND(ISNUMBER(M127),ISNUMBER(M108)),IFERROR(M127/M108,""),"")</f>
        <v>0.102663922489952</v>
      </c>
      <c r="N229" s="215">
        <f>IF(AND(ISNUMBER(N127),ISNUMBER(N108)),IFERROR(N127/N108,""),"")</f>
        <v>0.139788761223766</v>
      </c>
      <c r="O229" s="215">
        <f>IF(AND(ISNUMBER(O127),ISNUMBER(O108)),IFERROR(O127/O108,""),"")</f>
        <v>0.147231854131765</v>
      </c>
      <c r="P229" s="215">
        <f>IF(AND(ISNUMBER(P127),ISNUMBER(P108)),IFERROR(P127/P108,""),"")</f>
        <v>0.138542872275732</v>
      </c>
      <c r="Q229" s="215">
        <f>IF(AND(ISNUMBER(Q127),ISNUMBER(Q108)),IFERROR(Q127/Q108,""),"")</f>
        <v>0.126946870089312</v>
      </c>
      <c r="R229" s="215">
        <f>IF(AND(ISNUMBER(R127),ISNUMBER(R108)),IFERROR(R127/R108,""),"")</f>
        <v>0.160071404702862</v>
      </c>
      <c r="S229" s="215">
        <f>IF(AND(ISNUMBER(S127),ISNUMBER(S108)),IFERROR(S127/S108,""),"")</f>
        <v>0.143733617261021</v>
      </c>
      <c r="T229" s="215">
        <f>IF(AND(ISNUMBER(T127),ISNUMBER(T108)),IFERROR(T127/T108,""),"")</f>
        <v>0.141789987962897</v>
      </c>
      <c r="U229" s="215">
        <f>IF(AND(ISNUMBER(U127),ISNUMBER(U108)),IFERROR(U127/U108,""),"")</f>
        <v>0.117702456576785</v>
      </c>
      <c r="V229" s="215">
        <f>IF(AND(ISNUMBER(V127),ISNUMBER(V108)),IFERROR(V127/V108,""),"")</f>
        <v>0.132155151332744</v>
      </c>
      <c r="W229" s="215">
        <f>IF(AND(ISNUMBER(W127),ISNUMBER(W108)),IFERROR(W127/W108,""),"")</f>
        <v>0.131629297195306</v>
      </c>
      <c r="X229" s="215">
        <f>IF(AND(ISNUMBER(X127),ISNUMBER(X108)),IFERROR(X127/X108,""),"")</f>
        <v>0.130812660854567</v>
      </c>
      <c r="Y229" s="215">
        <f>IF(AND(ISNUMBER(Y127),ISNUMBER(Y108)),IFERROR(Y127/Y108,""),"")</f>
        <v>0.0941900666160722</v>
      </c>
      <c r="Z229" s="215">
        <f>IF(AND(ISNUMBER(Z127),ISNUMBER(Z108)),IFERROR(Z127/Z108,""),"")</f>
        <v>0.0976421692580836</v>
      </c>
      <c r="AA229" s="215">
        <f>IF(AND(ISNUMBER(AA127),ISNUMBER(AA108)),IFERROR(AA127/AA108,""),"")</f>
        <v>0.118204637488212</v>
      </c>
      <c r="AB229" s="215">
        <f>IF(AND(ISNUMBER(AB127),ISNUMBER(AB108)),IFERROR(AB127/AB108,""),"")</f>
        <v>0.116633385104652</v>
      </c>
      <c r="AC229" s="215">
        <f>IF(AND(ISNUMBER(AC127),ISNUMBER(AC108)),IFERROR(AC127/AC108,""),"")</f>
        <v>0.106940576294789</v>
      </c>
      <c r="AD229" s="215">
        <f>IF(AND(ISNUMBER(AD127),ISNUMBER(AD108)),IFERROR(AD127/AD108,""),"")</f>
        <v>0.116704080114375</v>
      </c>
      <c r="AE229" s="215">
        <f>IF(AND(ISNUMBER(AE127),ISNUMBER(AE108)),IFERROR(AE127/AE108,""),"")</f>
        <v>0.118407462502355</v>
      </c>
      <c r="AF229" s="215">
        <f>IF(AND(ISNUMBER(AF127),ISNUMBER(AF108)),IFERROR(AF127/AF108,""),"")</f>
        <v>0.0870745145101462</v>
      </c>
      <c r="AG229" s="215">
        <f>IF(AND(ISNUMBER(AG127),ISNUMBER(AG108)),IFERROR(AG127/AG108,""),"")</f>
        <v>0.134729417639348</v>
      </c>
      <c r="AH229" s="215">
        <f>IF(AND(ISNUMBER(AH127),ISNUMBER(AH108)),IFERROR(AH127/AH108,""),"")</f>
        <v>0.114761743810409</v>
      </c>
      <c r="AI229" s="215">
        <f>IF(AND(ISNUMBER(AI127),ISNUMBER(AI108)),IFERROR(AI127/AI108,""),"")</f>
        <v>0.133065278803151</v>
      </c>
      <c r="AJ229" s="215">
        <f>IF(AND(ISNUMBER(AJ127),ISNUMBER(AJ108)),IFERROR(AJ127/AJ108,""),"")</f>
        <v>0.0902097774423827</v>
      </c>
      <c r="AK229" s="215">
        <f>IF(AND(ISNUMBER(AK127),ISNUMBER(AK108)),IFERROR(AK127/AK108,""),"")</f>
        <v>0.142828033417637</v>
      </c>
      <c r="AL229" s="215">
        <f>IF(AND(ISNUMBER(AL127),ISNUMBER(AL108)),IFERROR(AL127/AL108,""),"")</f>
        <v>0.148306898602934</v>
      </c>
      <c r="AM229" s="215">
        <f>IF(AND(ISNUMBER(AM127),ISNUMBER(AM108)),IFERROR(AM127/AM108,""),"")</f>
        <v>0.129107532569127</v>
      </c>
      <c r="AN229" s="215">
        <f>IF(AND(ISNUMBER(AN127),ISNUMBER(AN108)),IFERROR(AN127/AN108,""),"")</f>
        <v>0.156075801914936</v>
      </c>
      <c r="AO229" s="215">
        <f>IF(AND(ISNUMBER(AO127),ISNUMBER(AO108)),IFERROR(AO127/AO108,""),"")</f>
        <v>0.174136574984385</v>
      </c>
      <c r="AP229" s="215">
        <f>IF(AND(ISNUMBER(AP127),ISNUMBER(AP108)),IFERROR(AP127/AP108,""),"")</f>
        <v>0.0943582206202283</v>
      </c>
      <c r="AQ229" s="215">
        <f>IF(AND(ISNUMBER(AQ127),ISNUMBER(AQ108)),IFERROR(AQ127/AQ108,""),"")</f>
        <v>0.172577156596875</v>
      </c>
      <c r="AR229" s="215">
        <f>IF(AND(ISNUMBER(AR127),ISNUMBER(AR108)),IFERROR(AR127/AR108,""),"")</f>
        <v>0.149737514875106</v>
      </c>
      <c r="AS229" s="215">
        <f>IF(AND(ISNUMBER(AS127),ISNUMBER(AS108)),IFERROR(AS127/AS108,""),"")</f>
        <v>0.166944003503202</v>
      </c>
      <c r="AT229" s="215">
        <f>IF(AND(ISNUMBER(AT127),ISNUMBER(AT108)),IFERROR(AT127/AT108,""),"")</f>
        <v>0.171899136381378</v>
      </c>
      <c r="AU229" s="215">
        <f>IF(AND(ISNUMBER(AU127),ISNUMBER(AU108)),IFERROR(AU127/AU108,""),"")</f>
        <v>0.172382625593863</v>
      </c>
      <c r="AV229" s="215">
        <f>IF(AND(ISNUMBER(AV127),ISNUMBER(AV108)),IFERROR(AV127/AV108,""),"")</f>
        <v>0.181615664835372</v>
      </c>
      <c r="AW229" s="215">
        <f>IF(AND(ISNUMBER(AW127),ISNUMBER(AW108)),IFERROR(AW127/AW108,""),"")</f>
        <v>0.173254648702817</v>
      </c>
      <c r="AX229" s="215">
        <f>IF(AND(ISNUMBER(AX127),ISNUMBER(AX108)),IFERROR(AX127/AX108,""),"")</f>
        <v>0.144984120695494</v>
      </c>
      <c r="AY229" s="215">
        <f>IF(AND(ISNUMBER(AY127),ISNUMBER(AY108)),IFERROR(AY127/AY108,""),"")</f>
        <v>0.139549663443469</v>
      </c>
      <c r="AZ229" s="215">
        <f>IF(AND(ISNUMBER(AZ127),ISNUMBER(AZ108)),IFERROR(AZ127/AZ108,""),"")</f>
        <v>0.147873660539829</v>
      </c>
      <c r="BA229" s="215">
        <f>IF(AND(ISNUMBER(BA127),ISNUMBER(BA108)),IFERROR(BA127/BA108,""),"")</f>
        <v>0.155675473346018</v>
      </c>
      <c r="BB229" s="215">
        <f>IF(AND(ISNUMBER(BB127),ISNUMBER(BB108)),IFERROR(BB127/BB108,""),"")</f>
        <v>0.147184490889744</v>
      </c>
      <c r="BC229" s="215">
        <f>IF(AND(ISNUMBER(BC127),ISNUMBER(BC108)),IFERROR(BC127/BC108,""),"")</f>
        <v>0.166441535162127</v>
      </c>
      <c r="BD229" s="215">
        <f>IF(AND(ISNUMBER(BD127),ISNUMBER(BD108)),IFERROR(BD127/BD108,""),"")</f>
        <v>0.043064014916097</v>
      </c>
      <c r="BE229" s="215">
        <f>IF(AND(ISNUMBER(BE127),ISNUMBER(BE108)),IFERROR(BE127/BE108,""),"")</f>
        <v>-0.000235996598652198</v>
      </c>
      <c r="BF229" s="215">
        <f>IF(AND(ISNUMBER(BF127),ISNUMBER(BF108)),IFERROR(BF127/BF108,""),"")</f>
        <v>0.0897238344957493</v>
      </c>
      <c r="BG229" s="215">
        <f>IF(AND(ISNUMBER(BG127),ISNUMBER(BG108)),IFERROR(BG127/BG108,""),"")</f>
        <v>0.0690024890316108</v>
      </c>
      <c r="BH229" s="215">
        <f>IF(AND(ISNUMBER(BH127),ISNUMBER(BH108)),IFERROR(BH127/BH108,""),"")</f>
        <v>0.10573316764573</v>
      </c>
      <c r="BI229" s="215">
        <f>IF(AND(ISNUMBER(BI127),ISNUMBER(BI108)),IFERROR(BI127/BI108,""),"")</f>
        <v>0.118650908667351</v>
      </c>
      <c r="BJ229" s="215">
        <f>IF(AND(ISNUMBER(BJ127),ISNUMBER(BJ108)),IFERROR(BJ127/BJ108,""),"")</f>
        <v>0.103132598649129</v>
      </c>
      <c r="BK229" s="215">
        <f>IF(AND(ISNUMBER(BK127),ISNUMBER(BK108)),IFERROR(BK127/BK108,""),"")</f>
        <v>0.124625401220013</v>
      </c>
      <c r="BL229" s="215">
        <f>IF(AND(ISNUMBER(BL127),ISNUMBER(BL108)),IFERROR(BL127/BL108,""),"")</f>
        <v>0.113455386918941</v>
      </c>
      <c r="BM229" s="215">
        <f>IF(AND(ISNUMBER(BM127),ISNUMBER(BM108)),IFERROR(BM127/BM108,""),"")</f>
        <v>0.129227995308972</v>
      </c>
      <c r="BN229" s="215">
        <f>IF(AND(ISNUMBER(BN127),ISNUMBER(BN108)),IFERROR(BN127/BN108,""),"")</f>
        <v>0.133964603238824</v>
      </c>
      <c r="BO229" s="215">
        <f>IF(AND(ISNUMBER(BO127),ISNUMBER(BO108)),IFERROR(BO127/BO108,""),"")</f>
        <v>0.124507229089664</v>
      </c>
      <c r="BP229" s="215">
        <f>IF(AND(ISNUMBER(BP127),ISNUMBER(BP108)),IFERROR(BP127/BP108,""),"")</f>
        <v>0.149076580932121</v>
      </c>
      <c r="BQ229" s="215">
        <f>IF(AND(ISNUMBER(BQ127),ISNUMBER(BQ108)),IFERROR(BQ127/BQ108,""),"")</f>
        <v>0.134525411779786</v>
      </c>
      <c r="BR229" s="215">
        <f>IF(AND(ISNUMBER(BR127),ISNUMBER(BR108)),IFERROR(BR127/BR108,""),"")</f>
        <v>0.15111986217081</v>
      </c>
      <c r="BS229" s="215">
        <f>IF(AND(ISNUMBER(BS127),ISNUMBER(BS108)),IFERROR(BS127/BS108,""),"")</f>
        <v>0.136215129429505</v>
      </c>
      <c r="BT229" s="215">
        <f>IF(AND(ISNUMBER(BT127),ISNUMBER(BT108)),IFERROR(BT127/BT108,""),"")</f>
        <v>0.146805273833671</v>
      </c>
      <c r="BU229" s="215">
        <f>IF(AND(ISNUMBER(BU127),ISNUMBER(BU108)),IFERROR(BU127/BU108,""),"")</f>
        <v>0.166095499200366</v>
      </c>
      <c r="BV229" s="215">
        <f>IF(AND(ISNUMBER(BV127),ISNUMBER(BV108)),IFERROR(BV127/BV108,""),"")</f>
        <v>0.150461406832488</v>
      </c>
      <c r="BW229" s="215">
        <f>IF(AND(ISNUMBER(BW127),ISNUMBER(BW108)),IFERROR(BW127/BW108,""),"")</f>
        <v>0.157110091743119</v>
      </c>
      <c r="BX229" s="215">
        <f>IF(AND(ISNUMBER(BX127),ISNUMBER(BX108)),IFERROR(BX127/BX108,""),"")</f>
        <v>0.131781243136394</v>
      </c>
      <c r="BY229" s="215">
        <f>IF(AND(ISNUMBER(BY127),ISNUMBER(BY108)),IFERROR(BY127/BY108,""),"")</f>
        <v>0.146013864818024</v>
      </c>
      <c r="BZ229" s="215">
        <f>IF(AND(ISNUMBER(BZ127),ISNUMBER(BZ108)),IFERROR(BZ127/BZ108,""),"")</f>
        <v>0.177027027027027</v>
      </c>
      <c r="CA229" s="215">
        <f>IF(AND(ISNUMBER(CA127),ISNUMBER(CA108)),IFERROR(CA127/CA108,""),"")</f>
        <v>0.153722807205088</v>
      </c>
      <c r="CB229" s="215">
        <f>IF(AND(ISNUMBER(CB127),ISNUMBER(CB108)),IFERROR(CB127/CB108,""),"")</f>
        <v>0.195380173243503</v>
      </c>
      <c r="CC229" s="256">
        <f>IF(AND(ISNUMBER(CC127),ISNUMBER(CC108)),IFERROR(CC127/CC108,""),"")</f>
        <v>0.176967450980392</v>
      </c>
      <c r="CD229" s="256">
        <f>IF(AND(ISNUMBER(CD127),ISNUMBER(CD108)),IFERROR(CD127/CD108,""),"")</f>
        <v>0.182375540388616</v>
      </c>
      <c r="CE229" s="256">
        <f>IF(AND(ISNUMBER(CE127),ISNUMBER(CE108)),IFERROR(CE127/CE108,""),"")</f>
        <v>0.19219494260958</v>
      </c>
      <c r="CF229" s="256">
        <f>IF(AND(ISNUMBER(CF127),ISNUMBER(CF108)),IFERROR(CF127/CF108,""),"")</f>
        <v>0.187035762406523</v>
      </c>
      <c r="CG229" s="256">
        <f>IF(AND(ISNUMBER(CG127),ISNUMBER(CG108)),IFERROR(CG127/CG108,""),"")</f>
        <v>0.191541184830947</v>
      </c>
      <c r="CH229" s="256">
        <f>IF(AND(ISNUMBER(CH127),ISNUMBER(CH108)),IFERROR(CH127/CH108,""),"")</f>
        <v>0.190577366802433</v>
      </c>
      <c r="CI229" s="256">
        <f>IF(AND(ISNUMBER(CI127),ISNUMBER(CI108)),IFERROR(CI127/CI108,""),"")</f>
        <v>0.193614514620083</v>
      </c>
      <c r="CJ229" s="256">
        <f>IF(AND(ISNUMBER(CJ127),ISNUMBER(CJ108)),IFERROR(CJ127/CJ108,""),"")</f>
        <v>0.19412206525781</v>
      </c>
      <c r="CK229" s="256">
        <f>IF(AND(ISNUMBER(CK127),ISNUMBER(CK108)),IFERROR(CK127/CK108,""),"")</f>
        <v>0.194406878281718</v>
      </c>
      <c r="CL229" s="153" t="n"/>
      <c r="CN229" s="37">
        <f>IFERROR(AVERAGE(CG229,CH229,CI229,CJ229,CK229),"n/m")</f>
        <v>0.192852401958598</v>
      </c>
      <c r="CO229" s="37">
        <f>IFERROR(AVERAGE(BG229,BL229,BQ229,BV229,CA229),"n/m")</f>
        <v>0.124233500353583</v>
      </c>
      <c r="CP229" s="37">
        <f>IFERROR(AVERAGE(AH229,AM229,AR229,AW229,BB229,BG229,BL229,BQ229,BV229,CA229),"n/m")</f>
        <v>0.133521343261512</v>
      </c>
      <c r="CQ229" s="37">
        <f>IFERROR(AVERAGE(C229,D229,E229,F229,G229,H229,I229,N229,S229,X229,AC229,AH229,AM229,AR229,AW229,BB229,BG229,BL229,BQ229,BV229,CA229),"n/m")</f>
        <v>0.120557219340096</v>
      </c>
    </row>
    <row r="230" ht="15" customHeight="1" s="251">
      <c r="B230" s="25" t="inlineStr">
        <is>
          <t xml:space="preserve">  SG&amp;A % of net sales</t>
        </is>
      </c>
      <c r="C230" s="215">
        <f>IF(AND(ISNUMBER(C114),ISNUMBER(C108)),IFERROR(C114/C108,""),"")</f>
        <v>0.152800090343122</v>
      </c>
      <c r="D230" s="215">
        <f>IF(AND(ISNUMBER(D114),ISNUMBER(D108)),IFERROR(D114/D108,""),"")</f>
        <v>0.138063529611647</v>
      </c>
      <c r="E230" s="215">
        <f>IF(AND(ISNUMBER(E114),ISNUMBER(E108)),IFERROR(E114/E108,""),"")</f>
        <v>0.147924984875983</v>
      </c>
      <c r="F230" s="215">
        <f>IF(AND(ISNUMBER(F114),ISNUMBER(F108)),IFERROR(F114/F108,""),"")</f>
        <v>0.156772420150873</v>
      </c>
      <c r="G230" s="215">
        <f>IF(AND(ISNUMBER(G114),ISNUMBER(G108)),IFERROR(G114/G108,""),"")</f>
        <v>0.17243048831097</v>
      </c>
      <c r="H230" s="215">
        <f>IF(AND(ISNUMBER(H114),ISNUMBER(H108)),IFERROR(H114/H108,""),"")</f>
        <v>0.157038361266294</v>
      </c>
      <c r="I230" s="215">
        <f>IF(AND(ISNUMBER(I114),ISNUMBER(I108)),IFERROR(I114/I108,""),"")</f>
        <v>0.154217116004337</v>
      </c>
      <c r="J230" s="215">
        <f>IF(AND(ISNUMBER(J114),ISNUMBER(J108)),IFERROR(J114/J108,""),"")</f>
        <v>0.155776414345714</v>
      </c>
      <c r="K230" s="215">
        <f>IF(AND(ISNUMBER(K114),ISNUMBER(K108)),IFERROR(K114/K108,""),"")</f>
        <v>0.157130759651308</v>
      </c>
      <c r="L230" s="215">
        <f>IF(AND(ISNUMBER(L114),ISNUMBER(L108)),IFERROR(L114/L108,""),"")</f>
        <v>0.171971018103305</v>
      </c>
      <c r="M230" s="215">
        <f>IF(AND(ISNUMBER(M114),ISNUMBER(M108)),IFERROR(M114/M108,""),"")</f>
        <v>0.168097004058016</v>
      </c>
      <c r="N230" s="215">
        <f>IF(AND(ISNUMBER(N114),ISNUMBER(N108)),IFERROR(N114/N108,""),"")</f>
        <v>0.163133201505517</v>
      </c>
      <c r="O230" s="215">
        <f>IF(AND(ISNUMBER(O114),ISNUMBER(O108)),IFERROR(O114/O108,""),"")</f>
        <v>0.165426423033467</v>
      </c>
      <c r="P230" s="215">
        <f>IF(AND(ISNUMBER(P114),ISNUMBER(P108)),IFERROR(P114/P108,""),"")</f>
        <v>0.168115032269455</v>
      </c>
      <c r="Q230" s="215">
        <f>IF(AND(ISNUMBER(Q114),ISNUMBER(Q108)),IFERROR(Q114/Q108,""),"")</f>
        <v>0.181737712091978</v>
      </c>
      <c r="R230" s="215">
        <f>IF(AND(ISNUMBER(R114),ISNUMBER(R108)),IFERROR(R114/R108,""),"")</f>
        <v>0.172109956207461</v>
      </c>
      <c r="S230" s="215">
        <f>IF(AND(ISNUMBER(S114),ISNUMBER(S108)),IFERROR(S114/S108,""),"")</f>
        <v>0.171810468719413</v>
      </c>
      <c r="T230" s="215">
        <f>IF(AND(ISNUMBER(T114),ISNUMBER(T108)),IFERROR(T114/T108,""),"")</f>
        <v>0.168130000708065</v>
      </c>
      <c r="U230" s="215">
        <f>IF(AND(ISNUMBER(U114),ISNUMBER(U108)),IFERROR(U114/U108,""),"")</f>
        <v>0.16451512593843</v>
      </c>
      <c r="V230" s="215">
        <f>IF(AND(ISNUMBER(V114),ISNUMBER(V108)),IFERROR(V114/V108,""),"")</f>
        <v>0.181204266285435</v>
      </c>
      <c r="W230" s="215">
        <f>IF(AND(ISNUMBER(W114),ISNUMBER(W108)),IFERROR(W114/W108,""),"")</f>
        <v>0.168660782775069</v>
      </c>
      <c r="X230" s="215">
        <f>IF(AND(ISNUMBER(X114),ISNUMBER(X108)),IFERROR(X114/X108,""),"")</f>
        <v>0.170473277368296</v>
      </c>
      <c r="Y230" s="215">
        <f>IF(AND(ISNUMBER(Y114),ISNUMBER(Y108)),IFERROR(Y114/Y108,""),"")</f>
        <v>0.166715855749501</v>
      </c>
      <c r="Z230" s="215">
        <f>IF(AND(ISNUMBER(Z114),ISNUMBER(Z108)),IFERROR(Z114/Z108,""),"")</f>
        <v>0.167751654382095</v>
      </c>
      <c r="AA230" s="215">
        <f>IF(AND(ISNUMBER(AA114),ISNUMBER(AA108)),IFERROR(AA114/AA108,""),"")</f>
        <v>0.165376934598103</v>
      </c>
      <c r="AB230" s="215">
        <f>IF(AND(ISNUMBER(AB114),ISNUMBER(AB108)),IFERROR(AB114/AB108,""),"")</f>
        <v>0.161489534797722</v>
      </c>
      <c r="AC230" s="215">
        <f>IF(AND(ISNUMBER(AC114),ISNUMBER(AC108)),IFERROR(AC114/AC108,""),"")</f>
        <v>0.165231174013176</v>
      </c>
      <c r="AD230" s="215">
        <f>IF(AND(ISNUMBER(AD114),ISNUMBER(AD108)),IFERROR(AD114/AD108,""),"")</f>
        <v>0.166879071542706</v>
      </c>
      <c r="AE230" s="215">
        <f>IF(AND(ISNUMBER(AE114),ISNUMBER(AE108)),IFERROR(AE114/AE108,""),"")</f>
        <v>0.163619001838343</v>
      </c>
      <c r="AF230" s="215">
        <f>IF(AND(ISNUMBER(AF114),ISNUMBER(AF108)),IFERROR(AF114/AF108,""),"")</f>
        <v>0.175321841588479</v>
      </c>
      <c r="AG230" s="215">
        <f>IF(AND(ISNUMBER(AG114),ISNUMBER(AG108)),IFERROR(AG114/AG108,""),"")</f>
        <v>0.163697646838524</v>
      </c>
      <c r="AH230" s="215">
        <f>IF(AND(ISNUMBER(AH114),ISNUMBER(AH108)),IFERROR(AH114/AH108,""),"")</f>
        <v>0.167247330139684</v>
      </c>
      <c r="AI230" s="215">
        <f>IF(AND(ISNUMBER(AI114),ISNUMBER(AI108)),IFERROR(AI114/AI108,""),"")</f>
        <v>0.169484493309823</v>
      </c>
      <c r="AJ230" s="215">
        <f>IF(AND(ISNUMBER(AJ114),ISNUMBER(AJ108)),IFERROR(AJ114/AJ108,""),"")</f>
        <v>0.167937584060079</v>
      </c>
      <c r="AK230" s="215">
        <f>IF(AND(ISNUMBER(AK114),ISNUMBER(AK108)),IFERROR(AK114/AK108,""),"")</f>
        <v>0.168778242577521</v>
      </c>
      <c r="AL230" s="215">
        <f>IF(AND(ISNUMBER(AL114),ISNUMBER(AL108)),IFERROR(AL114/AL108,""),"")</f>
        <v>0.164495738754816</v>
      </c>
      <c r="AM230" s="215">
        <f>IF(AND(ISNUMBER(AM114),ISNUMBER(AM108)),IFERROR(AM114/AM108,""),"")</f>
        <v>0.167603774507407</v>
      </c>
      <c r="AN230" s="215">
        <f>IF(AND(ISNUMBER(AN114),ISNUMBER(AN108)),IFERROR(AN114/AN108,""),"")</f>
        <v>0.168054095519504</v>
      </c>
      <c r="AO230" s="215">
        <f>IF(AND(ISNUMBER(AO114),ISNUMBER(AO108)),IFERROR(AO114/AO108,""),"")</f>
        <v>0.169596798445488</v>
      </c>
      <c r="AP230" s="215">
        <f>IF(AND(ISNUMBER(AP114),ISNUMBER(AP108)),IFERROR(AP114/AP108,""),"")</f>
        <v>0.169970779163969</v>
      </c>
      <c r="AQ230" s="215">
        <f>IF(AND(ISNUMBER(AQ114),ISNUMBER(AQ108)),IFERROR(AQ114/AQ108,""),"")</f>
        <v>0.161729669195551</v>
      </c>
      <c r="AR230" s="215">
        <f>IF(AND(ISNUMBER(AR114),ISNUMBER(AR108)),IFERROR(AR114/AR108,""),"")</f>
        <v>0.167261670908563</v>
      </c>
      <c r="AS230" s="215">
        <f>IF(AND(ISNUMBER(AS114),ISNUMBER(AS108)),IFERROR(AS114/AS108,""),"")</f>
        <v>0.1646888171219</v>
      </c>
      <c r="AT230" s="215">
        <f>IF(AND(ISNUMBER(AT114),ISNUMBER(AT108)),IFERROR(AT114/AT108,""),"")</f>
        <v>0.169172498337081</v>
      </c>
      <c r="AU230" s="215">
        <f>IF(AND(ISNUMBER(AU114),ISNUMBER(AU108)),IFERROR(AU114/AU108,""),"")</f>
        <v>0.173535044260786</v>
      </c>
      <c r="AV230" s="215">
        <f>IF(AND(ISNUMBER(AV114),ISNUMBER(AV108)),IFERROR(AV114/AV108,""),"")</f>
        <v>0.166726753227186</v>
      </c>
      <c r="AW230" s="215">
        <f>IF(AND(ISNUMBER(AW114),ISNUMBER(AW108)),IFERROR(AW114/AW108,""),"")</f>
        <v>0.168483258896353</v>
      </c>
      <c r="AX230" s="215">
        <f>IF(AND(ISNUMBER(AX114),ISNUMBER(AX108)),IFERROR(AX114/AX108,""),"")</f>
        <v>0.171438978101257</v>
      </c>
      <c r="AY230" s="215">
        <f>IF(AND(ISNUMBER(AY114),ISNUMBER(AY108)),IFERROR(AY114/AY108,""),"")</f>
        <v>0.177831687566201</v>
      </c>
      <c r="AZ230" s="215">
        <f>IF(AND(ISNUMBER(AZ114),ISNUMBER(AZ108)),IFERROR(AZ114/AZ108,""),"")</f>
        <v>0.176462522538581</v>
      </c>
      <c r="BA230" s="215">
        <f>IF(AND(ISNUMBER(BA114),ISNUMBER(BA108)),IFERROR(BA114/BA108,""),"")</f>
        <v>0.170990985370723</v>
      </c>
      <c r="BB230" s="215">
        <f>IF(AND(ISNUMBER(BB114),ISNUMBER(BB108)),IFERROR(BB114/BB108,""),"")</f>
        <v>0.174060402243737</v>
      </c>
      <c r="BC230" s="215">
        <f>IF(AND(ISNUMBER(BC114),ISNUMBER(BC108)),IFERROR(BC114/BC108,""),"")</f>
        <v>0.190787746871099</v>
      </c>
      <c r="BD230" s="215">
        <f>IF(AND(ISNUMBER(BD114),ISNUMBER(BD108)),IFERROR(BD114/BD108,""),"")</f>
        <v>0.184425108763207</v>
      </c>
      <c r="BE230" s="215">
        <f>IF(AND(ISNUMBER(BE114),ISNUMBER(BE108)),IFERROR(BE114/BE108,""),"")</f>
        <v>0.161811255164767</v>
      </c>
      <c r="BF230" s="215">
        <f>IF(AND(ISNUMBER(BF114),ISNUMBER(BF108)),IFERROR(BF114/BF108,""),"")</f>
        <v>0.155935566026432</v>
      </c>
      <c r="BG230" s="215">
        <f>IF(AND(ISNUMBER(BG114),ISNUMBER(BG108)),IFERROR(BG114/BG108,""),"")</f>
        <v>0.168233932913864</v>
      </c>
      <c r="BH230" s="215">
        <f>IF(AND(ISNUMBER(BH114),ISNUMBER(BH108)),IFERROR(BH114/BH108,""),"")</f>
        <v>0.157670582919114</v>
      </c>
      <c r="BI230" s="215">
        <f>IF(AND(ISNUMBER(BI114),ISNUMBER(BI108)),IFERROR(BI114/BI108,""),"")</f>
        <v>0.155807534259563</v>
      </c>
      <c r="BJ230" s="215">
        <f>IF(AND(ISNUMBER(BJ114),ISNUMBER(BJ108)),IFERROR(BJ114/BJ108,""),"")</f>
        <v>0.161484536082474</v>
      </c>
      <c r="BK230" s="215">
        <f>IF(AND(ISNUMBER(BK114),ISNUMBER(BK108)),IFERROR(BK114/BK108,""),"")</f>
        <v>0.151008310895437</v>
      </c>
      <c r="BL230" s="215">
        <f>IF(AND(ISNUMBER(BL114),ISNUMBER(BL108)),IFERROR(BL114/BL108,""),"")</f>
        <v>0.156332947662152</v>
      </c>
      <c r="BM230" s="215">
        <f>IF(AND(ISNUMBER(BM114),ISNUMBER(BM108)),IFERROR(BM114/BM108,""),"")</f>
        <v>0.167061029856221</v>
      </c>
      <c r="BN230" s="215">
        <f>IF(AND(ISNUMBER(BN114),ISNUMBER(BN108)),IFERROR(BN114/BN108,""),"")</f>
        <v>0.157065347068771</v>
      </c>
      <c r="BO230" s="215">
        <f>IF(AND(ISNUMBER(BO114),ISNUMBER(BO108)),IFERROR(BO114/BO108,""),"")</f>
        <v>0.170885195744385</v>
      </c>
      <c r="BP230" s="215">
        <f>IF(AND(ISNUMBER(BP114),ISNUMBER(BP108)),IFERROR(BP114/BP108,""),"")</f>
        <v>0.155697640688455</v>
      </c>
      <c r="BQ230" s="215">
        <f>IF(AND(ISNUMBER(BQ114),ISNUMBER(BQ108)),IFERROR(BQ114/BQ108,""),"")</f>
        <v>0.16246875600846</v>
      </c>
      <c r="BR230" s="215">
        <f>IF(AND(ISNUMBER(BR114),ISNUMBER(BR108)),IFERROR(BR114/BR108,""),"")</f>
        <v>0.166379522520305</v>
      </c>
      <c r="BS230" s="215">
        <f>IF(AND(ISNUMBER(BS114),ISNUMBER(BS108)),IFERROR(BS114/BS108,""),"")</f>
        <v>0.174667001759236</v>
      </c>
      <c r="BT230" s="215">
        <f>IF(AND(ISNUMBER(BT114),ISNUMBER(BT108)),IFERROR(BT114/BT108,""),"")</f>
        <v>0.177738336713996</v>
      </c>
      <c r="BU230" s="215">
        <f>IF(AND(ISNUMBER(BU114),ISNUMBER(BU108)),IFERROR(BU114/BU108,""),"")</f>
        <v>0.164724697281243</v>
      </c>
      <c r="BV230" s="215">
        <f>IF(AND(ISNUMBER(BV114),ISNUMBER(BV108)),IFERROR(BV114/BV108,""),"")</f>
        <v>0.170689971276661</v>
      </c>
      <c r="BW230" s="215">
        <f>IF(AND(ISNUMBER(BW114),ISNUMBER(BW108)),IFERROR(BW114/BW108,""),"")</f>
        <v>0.169495412844037</v>
      </c>
      <c r="BX230" s="215">
        <f>IF(AND(ISNUMBER(BX114),ISNUMBER(BX108)),IFERROR(BX114/BX108,""),"")</f>
        <v>0.169997803645948</v>
      </c>
      <c r="BY230" s="215">
        <f>IF(AND(ISNUMBER(BY114),ISNUMBER(BY108)),IFERROR(BY114/BY108,""),"")</f>
        <v>0.168760831889081</v>
      </c>
      <c r="BZ230" s="215">
        <f>IF(AND(ISNUMBER(BZ114),ISNUMBER(BZ108)),IFERROR(BZ114/BZ108,""),"")</f>
        <v>0.167760617760618</v>
      </c>
      <c r="CA230" s="215">
        <f>IF(AND(ISNUMBER(CA114),ISNUMBER(CA108)),IFERROR(CA114/CA108,""),"")</f>
        <v>0.168956117376664</v>
      </c>
      <c r="CB230" s="215">
        <f>IF(AND(ISNUMBER(CB114),ISNUMBER(CB108)),IFERROR(CB114/CB108,""),"")</f>
        <v>0.165158806544755</v>
      </c>
      <c r="CC230" s="256">
        <f>IF(AND(ISNUMBER(CC114),ISNUMBER(CC108)),IFERROR(CC114/CC108,""),"")</f>
        <v>0.16625</v>
      </c>
      <c r="CD230" s="256">
        <f>IF(AND(ISNUMBER(CD114),ISNUMBER(CD108)),IFERROR(CD114/CD108,""),"")</f>
        <v>0.165013028243134</v>
      </c>
      <c r="CE230" s="256">
        <f>IF(AND(ISNUMBER(CE114),ISNUMBER(CE108)),IFERROR(CE114/CE108,""),"")</f>
        <v>0.16401281411467</v>
      </c>
      <c r="CF230" s="256">
        <f>IF(AND(ISNUMBER(CF114),ISNUMBER(CF108)),IFERROR(CF114/CF108,""),"")</f>
        <v>0.165054673423667</v>
      </c>
      <c r="CG230" s="256">
        <f>IF(AND(ISNUMBER(CG114),ISNUMBER(CG108)),IFERROR(CG114/CG108,""),"")</f>
        <v>0.163</v>
      </c>
      <c r="CH230" s="256">
        <f>IF(AND(ISNUMBER(CH114),ISNUMBER(CH108)),IFERROR(CH114/CH108,""),"")</f>
        <v>0.162</v>
      </c>
      <c r="CI230" s="256">
        <f>IF(AND(ISNUMBER(CI114),ISNUMBER(CI108)),IFERROR(CI114/CI108,""),"")</f>
        <v>0.161</v>
      </c>
      <c r="CJ230" s="256">
        <f>IF(AND(ISNUMBER(CJ114),ISNUMBER(CJ108)),IFERROR(CJ114/CJ108,""),"")</f>
        <v>0.16</v>
      </c>
      <c r="CK230" s="256">
        <f>IF(AND(ISNUMBER(CK114),ISNUMBER(CK108)),IFERROR(CK114/CK108,""),"")</f>
        <v>0.16</v>
      </c>
      <c r="CL230" s="153" t="n"/>
      <c r="CN230" s="37">
        <f>IFERROR(AVERAGE(CG230,CH230,CI230,CJ230,CK230),"n/m")</f>
        <v>0.1612</v>
      </c>
      <c r="CO230" s="37">
        <f>IFERROR(AVERAGE(BG230,BL230,BQ230,BV230,CA230),"n/m")</f>
        <v>0.16533634504756</v>
      </c>
      <c r="CP230" s="37">
        <f>IFERROR(AVERAGE(AH230,AM230,AR230,AW230,BB230,BG230,BL230,BQ230,BV230,CA230),"n/m")</f>
        <v>0.167133816193355</v>
      </c>
      <c r="CQ230" s="37">
        <f>IFERROR(AVERAGE(C230,D230,E230,F230,G230,H230,I230,N230,S230,X230,AC230,AH230,AM230,AR230,AW230,BB230,BG230,BL230,BQ230,BV230,CA230),"n/m")</f>
        <v>0.162915870195389</v>
      </c>
    </row>
    <row r="231" ht="15" customHeight="1" s="251">
      <c r="CT231" s="11" t="n"/>
      <c r="CU231" s="12" t="n"/>
      <c r="CV231" s="12" t="n"/>
      <c r="CW231" s="12" t="n"/>
      <c r="CX231" s="13" t="n"/>
    </row>
    <row r="232" ht="15" customHeight="1" s="251">
      <c r="B232" s="10" t="inlineStr">
        <is>
          <t>CONSOLIDATED STATEMENT OF CASH FLOWS</t>
        </is>
      </c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  <c r="AC232" s="10" t="n"/>
      <c r="AD232" s="10" t="n"/>
      <c r="AE232" s="10" t="n"/>
      <c r="AF232" s="10" t="n"/>
      <c r="AG232" s="10" t="n"/>
      <c r="AH232" s="10" t="n"/>
      <c r="AI232" s="10" t="n"/>
      <c r="AJ232" s="10" t="n"/>
      <c r="AK232" s="10" t="n"/>
      <c r="AL232" s="10" t="n"/>
      <c r="AM232" s="10" t="n"/>
      <c r="AN232" s="10" t="n"/>
      <c r="AO232" s="10" t="n"/>
      <c r="AP232" s="10" t="n"/>
      <c r="AQ232" s="10" t="n"/>
      <c r="AR232" s="10" t="n"/>
      <c r="AS232" s="10" t="n"/>
      <c r="AT232" s="10" t="n"/>
      <c r="AU232" s="10" t="n"/>
      <c r="AV232" s="10" t="n"/>
      <c r="AW232" s="10" t="n"/>
      <c r="AX232" s="10" t="n"/>
      <c r="AY232" s="10" t="n"/>
      <c r="AZ232" s="10" t="n"/>
      <c r="BA232" s="10" t="n"/>
      <c r="BB232" s="10" t="n"/>
      <c r="BC232" s="10" t="n"/>
      <c r="BD232" s="10" t="n"/>
      <c r="BE232" s="10" t="n"/>
      <c r="BF232" s="10" t="n"/>
      <c r="BG232" s="10" t="n"/>
      <c r="BH232" s="10" t="n"/>
      <c r="BI232" s="10" t="n"/>
      <c r="BJ232" s="10" t="n"/>
      <c r="BK232" s="10" t="n"/>
      <c r="BL232" s="10" t="n"/>
      <c r="BM232" s="10" t="n"/>
      <c r="BN232" s="10" t="n"/>
      <c r="BO232" s="10" t="n"/>
      <c r="BP232" s="10" t="n"/>
      <c r="BQ232" s="10" t="n"/>
      <c r="BR232" s="10" t="n"/>
      <c r="BS232" s="10" t="n"/>
      <c r="BT232" s="10" t="n"/>
      <c r="BU232" s="10" t="n"/>
      <c r="BV232" s="10" t="n"/>
      <c r="BW232" s="10" t="n"/>
      <c r="BX232" s="10" t="n"/>
      <c r="BY232" s="10" t="n"/>
      <c r="BZ232" s="10" t="n"/>
      <c r="CA232" s="10" t="n"/>
      <c r="CB232" s="10" t="n"/>
      <c r="CC232" s="10" t="n"/>
      <c r="CD232" s="10" t="n"/>
      <c r="CE232" s="10" t="n"/>
      <c r="CF232" s="10" t="n"/>
      <c r="CG232" s="10" t="n"/>
      <c r="CH232" s="10" t="n"/>
      <c r="CI232" s="10" t="n"/>
      <c r="CJ232" s="10" t="n"/>
      <c r="CK232" s="10" t="n"/>
      <c r="CL232" s="10" t="inlineStr">
        <is>
          <t>CASH FLOW — forecast logic (annual; FY2027E = Q1 FY27 actual + Q2–Q4 estimate; historical quarters = discrete, derived from year-to-date statements)</t>
        </is>
      </c>
    </row>
    <row r="233" ht="15" customHeight="1" s="251">
      <c r="B233" s="25" t="inlineStr">
        <is>
          <t>Net income</t>
        </is>
      </c>
      <c r="C233" s="259" t="n">
        <v>12.439</v>
      </c>
      <c r="D233" s="259" t="n">
        <v>28.479</v>
      </c>
      <c r="E233" s="259" t="n">
        <v>40.194</v>
      </c>
      <c r="F233" s="259" t="n">
        <v>34.454</v>
      </c>
      <c r="G233" s="259" t="n">
        <v>24.385</v>
      </c>
      <c r="H233" s="259" t="n">
        <v>34.868</v>
      </c>
      <c r="I233" s="259" t="n">
        <v>49.997</v>
      </c>
      <c r="J233" s="259" t="n">
        <v>17.164</v>
      </c>
      <c r="K233" s="259" t="n">
        <v>16.494</v>
      </c>
      <c r="L233" s="259" t="n">
        <v>12.109</v>
      </c>
      <c r="M233" s="259" t="n">
        <v>10.575</v>
      </c>
      <c r="N233" s="259" t="n">
        <v>56.342</v>
      </c>
      <c r="O233" s="259" t="n">
        <v>15.116</v>
      </c>
      <c r="P233" s="259" t="n">
        <v>14.125</v>
      </c>
      <c r="Q233" s="259" t="n">
        <v>12.764</v>
      </c>
      <c r="R233" s="259" t="n">
        <v>18.203</v>
      </c>
      <c r="S233" s="259" t="n">
        <v>60.208</v>
      </c>
      <c r="T233" s="259" t="n">
        <v>16.02</v>
      </c>
      <c r="U233" s="259" t="n">
        <v>13.248</v>
      </c>
      <c r="V233" s="259" t="n">
        <v>14.051</v>
      </c>
      <c r="W233" s="259" t="n">
        <v>14.929</v>
      </c>
      <c r="X233" s="259" t="n">
        <v>58.248</v>
      </c>
      <c r="Y233" s="259" t="n">
        <v>13.404</v>
      </c>
      <c r="Z233" s="259" t="n">
        <v>14.519</v>
      </c>
      <c r="AA233" s="259" t="n">
        <v>17.047</v>
      </c>
      <c r="AB233" s="259" t="n">
        <v>18.924</v>
      </c>
      <c r="AC233" s="259" t="n">
        <v>63.894</v>
      </c>
      <c r="AD233" s="259" t="n">
        <v>18.04</v>
      </c>
      <c r="AE233" s="259" t="n">
        <v>18.228</v>
      </c>
      <c r="AF233" s="259" t="n">
        <v>12.77</v>
      </c>
      <c r="AG233" s="259" t="n">
        <v>21.585</v>
      </c>
      <c r="AH233" s="259" t="n">
        <v>70.623</v>
      </c>
      <c r="AI233" s="259" t="n">
        <v>21.809</v>
      </c>
      <c r="AJ233" s="259" t="n">
        <v>14.823</v>
      </c>
      <c r="AK233" s="259" t="n">
        <v>23.832</v>
      </c>
      <c r="AL233" s="259" t="n">
        <v>26.677</v>
      </c>
      <c r="AM233" s="259" t="n">
        <v>87.14100000000001</v>
      </c>
      <c r="AN233" s="259" t="n">
        <v>27.467</v>
      </c>
      <c r="AO233" s="259" t="n">
        <v>30.111</v>
      </c>
      <c r="AP233" s="259" t="n">
        <v>16.178</v>
      </c>
      <c r="AQ233" s="259" t="n">
        <v>31.437</v>
      </c>
      <c r="AR233" s="259" t="n">
        <v>105.193</v>
      </c>
      <c r="AS233" s="259" t="n">
        <v>30.499</v>
      </c>
      <c r="AT233" s="259" t="n">
        <v>31.27</v>
      </c>
      <c r="AU233" s="259" t="n">
        <v>30.515</v>
      </c>
      <c r="AV233" s="259" t="n">
        <v>33.752</v>
      </c>
      <c r="AW233" s="259" t="n">
        <v>126.036</v>
      </c>
      <c r="AX233" s="259" t="n">
        <v>22.689</v>
      </c>
      <c r="AY233" s="259" t="n">
        <v>20.421</v>
      </c>
      <c r="AZ233" s="259" t="n">
        <v>21.569</v>
      </c>
      <c r="BA233" s="259" t="n">
        <v>24.954</v>
      </c>
      <c r="BB233" s="259" t="n">
        <v>89.633</v>
      </c>
      <c r="BC233" s="259" t="n">
        <v>25.999</v>
      </c>
      <c r="BD233" s="259" t="n">
        <v>6.929</v>
      </c>
      <c r="BE233" s="259" t="n">
        <v>-0.063</v>
      </c>
      <c r="BF233" s="259" t="n">
        <v>32.2</v>
      </c>
      <c r="BG233" s="259" t="n">
        <v>65.065</v>
      </c>
      <c r="BH233" s="259" t="n">
        <v>37.438</v>
      </c>
      <c r="BI233" s="259" t="n">
        <v>43.802</v>
      </c>
      <c r="BJ233" s="259" t="n">
        <v>36.264</v>
      </c>
      <c r="BK233" s="259" t="n">
        <v>49.196</v>
      </c>
      <c r="BL233" s="259" t="n">
        <v>166.7</v>
      </c>
      <c r="BM233" s="259" t="n">
        <v>50</v>
      </c>
      <c r="BN233" s="259" t="n">
        <v>51.7</v>
      </c>
      <c r="BO233" s="259" t="n">
        <v>46.6</v>
      </c>
      <c r="BP233" s="259" t="n">
        <v>61.6</v>
      </c>
      <c r="BQ233" s="259" t="n">
        <v>209.9</v>
      </c>
      <c r="BR233" s="259" t="n">
        <v>61.4</v>
      </c>
      <c r="BS233" s="259" t="n">
        <v>54.2</v>
      </c>
      <c r="BT233" s="259" t="n">
        <v>57.9</v>
      </c>
      <c r="BU233" s="259" t="n">
        <v>72.7</v>
      </c>
      <c r="BV233" s="259" t="n">
        <v>246.2</v>
      </c>
      <c r="BW233" s="259" t="n">
        <v>68.5</v>
      </c>
      <c r="BX233" s="259" t="n">
        <v>60</v>
      </c>
      <c r="BY233" s="259" t="n">
        <v>67.40000000000001</v>
      </c>
      <c r="BZ233" s="259" t="n">
        <v>91.7</v>
      </c>
      <c r="CA233" s="259" t="n">
        <v>287.6</v>
      </c>
      <c r="CB233" s="259" t="n">
        <v>101.5</v>
      </c>
      <c r="CC233" s="35" t="n"/>
      <c r="CD233" s="35" t="n"/>
      <c r="CE233" s="35" t="n"/>
      <c r="CF233" s="261">
        <f>SUM(CB233:CB233)+SUM(CC127:CE127)</f>
        <v>403.457841818604</v>
      </c>
      <c r="CG233" s="261">
        <f>CG127</f>
        <v>456.78262526851</v>
      </c>
      <c r="CH233" s="261">
        <f>CH127</f>
        <v>508.150032226153</v>
      </c>
      <c r="CI233" s="261">
        <f>CI127</f>
        <v>571.027854992127</v>
      </c>
      <c r="CJ233" s="261">
        <f>CJ127</f>
        <v>628.525114123447</v>
      </c>
      <c r="CK233" s="261">
        <f>CK127</f>
        <v>684.808268473411</v>
      </c>
      <c r="CL233" s="19" t="n"/>
    </row>
    <row r="234" ht="15" customHeight="1" s="251">
      <c r="B234" s="25" t="inlineStr">
        <is>
          <t>Non-cash items:</t>
        </is>
      </c>
      <c r="CL234" s="153" t="n"/>
    </row>
    <row r="235" ht="15" customHeight="1" s="251">
      <c r="B235" s="25" t="inlineStr">
        <is>
          <t xml:space="preserve">  Depreciation &amp; amortization</t>
        </is>
      </c>
      <c r="C235" s="259" t="n">
        <v>9.331</v>
      </c>
      <c r="D235" s="259" t="n">
        <v>9.646000000000001</v>
      </c>
      <c r="E235" s="259" t="n">
        <v>10.465</v>
      </c>
      <c r="F235" s="259" t="n">
        <v>12.16</v>
      </c>
      <c r="G235" s="259" t="n">
        <v>11.83</v>
      </c>
      <c r="H235" s="259" t="n">
        <v>12.971</v>
      </c>
      <c r="I235" s="259" t="n">
        <v>14.19</v>
      </c>
      <c r="J235" s="259" t="n">
        <v>3.683</v>
      </c>
      <c r="K235" s="259" t="n">
        <v>3.693</v>
      </c>
      <c r="L235" s="259" t="n">
        <v>3.698</v>
      </c>
      <c r="M235" s="259" t="n">
        <v>3.645</v>
      </c>
      <c r="N235" s="259" t="n">
        <v>14.719</v>
      </c>
      <c r="O235" s="259" t="n">
        <v>3.735</v>
      </c>
      <c r="P235" s="259" t="n">
        <v>3.855</v>
      </c>
      <c r="Q235" s="259" t="n">
        <v>3.718</v>
      </c>
      <c r="R235" s="259" t="n">
        <v>3.679</v>
      </c>
      <c r="S235" s="259" t="n">
        <v>14.987</v>
      </c>
      <c r="T235" s="259" t="n">
        <v>4.058</v>
      </c>
      <c r="U235" s="259" t="n">
        <v>4.009</v>
      </c>
      <c r="V235" s="259" t="n">
        <v>3.778</v>
      </c>
      <c r="W235" s="259" t="n">
        <v>3.2</v>
      </c>
      <c r="X235" s="259" t="n">
        <v>15.045</v>
      </c>
      <c r="Y235" s="259" t="n">
        <v>5.663</v>
      </c>
      <c r="Z235" s="259" t="n">
        <v>6.809</v>
      </c>
      <c r="AA235" s="259" t="n">
        <v>6.698</v>
      </c>
      <c r="AB235" s="259" t="n">
        <v>6.637</v>
      </c>
      <c r="AC235" s="259" t="n">
        <v>25.807</v>
      </c>
      <c r="AD235" s="259" t="n">
        <v>6.74</v>
      </c>
      <c r="AE235" s="259" t="n">
        <v>6.959</v>
      </c>
      <c r="AF235" s="259" t="n">
        <v>6.779</v>
      </c>
      <c r="AG235" s="259" t="n">
        <v>6.894</v>
      </c>
      <c r="AH235" s="259" t="n">
        <v>27.372</v>
      </c>
      <c r="AI235" s="259" t="n">
        <v>7.098</v>
      </c>
      <c r="AJ235" s="259" t="n">
        <v>7.14</v>
      </c>
      <c r="AK235" s="259" t="n">
        <v>6.958</v>
      </c>
      <c r="AL235" s="259" t="n">
        <v>7.164</v>
      </c>
      <c r="AM235" s="259" t="n">
        <v>28.36</v>
      </c>
      <c r="AN235" s="259" t="n">
        <v>7.313</v>
      </c>
      <c r="AO235" s="259" t="n">
        <v>7.639</v>
      </c>
      <c r="AP235" s="259" t="n">
        <v>7.31</v>
      </c>
      <c r="AQ235" s="259" t="n">
        <v>7.396</v>
      </c>
      <c r="AR235" s="259" t="n">
        <v>29.658</v>
      </c>
      <c r="AS235" s="259" t="n">
        <v>7.52</v>
      </c>
      <c r="AT235" s="259" t="n">
        <v>7.802</v>
      </c>
      <c r="AU235" s="259" t="n">
        <v>7.953</v>
      </c>
      <c r="AV235" s="259" t="n">
        <v>8.145</v>
      </c>
      <c r="AW235" s="259" t="n">
        <v>31.42</v>
      </c>
      <c r="AX235" s="259" t="n">
        <v>8.396000000000001</v>
      </c>
      <c r="AY235" s="259" t="n">
        <v>8.436999999999999</v>
      </c>
      <c r="AZ235" s="259" t="n">
        <v>7.979</v>
      </c>
      <c r="BA235" s="259" t="n">
        <v>7.932</v>
      </c>
      <c r="BB235" s="259" t="n">
        <v>32.744</v>
      </c>
      <c r="BC235" s="259" t="n">
        <v>8.212</v>
      </c>
      <c r="BD235" s="259" t="n">
        <v>8.645</v>
      </c>
      <c r="BE235" s="259" t="n">
        <v>20.498</v>
      </c>
      <c r="BF235" s="259" t="n">
        <v>28.177</v>
      </c>
      <c r="BG235" s="259" t="n">
        <v>65.532</v>
      </c>
      <c r="BH235" s="259" t="n">
        <v>28.642</v>
      </c>
      <c r="BI235" s="259" t="n">
        <v>28.426</v>
      </c>
      <c r="BJ235" s="259" t="n">
        <v>28.743</v>
      </c>
      <c r="BK235" s="259" t="n">
        <v>29.589</v>
      </c>
      <c r="BL235" s="259" t="n">
        <v>115.4</v>
      </c>
      <c r="BM235" s="259" t="n">
        <v>29.7</v>
      </c>
      <c r="BN235" s="259" t="n">
        <v>30</v>
      </c>
      <c r="BO235" s="259" t="n">
        <v>29.9</v>
      </c>
      <c r="BP235" s="259" t="n">
        <v>29.7</v>
      </c>
      <c r="BQ235" s="259" t="n">
        <v>119.3</v>
      </c>
      <c r="BR235" s="259" t="n">
        <v>30</v>
      </c>
      <c r="BS235" s="259" t="n">
        <v>30.2</v>
      </c>
      <c r="BT235" s="259" t="n">
        <v>29.7</v>
      </c>
      <c r="BU235" s="259" t="n">
        <v>30.1</v>
      </c>
      <c r="BV235" s="259" t="n">
        <v>120</v>
      </c>
      <c r="BW235" s="259" t="n">
        <v>29.6</v>
      </c>
      <c r="BX235" s="259" t="n">
        <v>32.9</v>
      </c>
      <c r="BY235" s="259" t="n">
        <v>32.9</v>
      </c>
      <c r="BZ235" s="259" t="n">
        <v>33.4</v>
      </c>
      <c r="CA235" s="259" t="n">
        <v>128.8</v>
      </c>
      <c r="CB235" s="259" t="n">
        <v>33.3</v>
      </c>
      <c r="CC235" s="35" t="n"/>
      <c r="CD235" s="35" t="n"/>
      <c r="CE235" s="35" t="n"/>
      <c r="CF235" s="261">
        <f>SUM(CB235:CB235)+SUM(CC136:CE136)</f>
        <v>135.019638603367</v>
      </c>
      <c r="CG235" s="261">
        <f>CG136</f>
        <v>146.132699446449</v>
      </c>
      <c r="CH235" s="261">
        <f>CH136</f>
        <v>159.192398009467</v>
      </c>
      <c r="CI235" s="261">
        <f>CI136</f>
        <v>169.220482001328</v>
      </c>
      <c r="CJ235" s="261">
        <f>CJ136</f>
        <v>181.356922746103</v>
      </c>
      <c r="CK235" s="261">
        <f>CK136</f>
        <v>196.830445999916</v>
      </c>
      <c r="CL235" s="19" t="n"/>
    </row>
    <row r="236" ht="15" customHeight="1" s="251">
      <c r="B236" s="25" t="inlineStr">
        <is>
          <t xml:space="preserve">  Stock-based compensation</t>
        </is>
      </c>
      <c r="C236" s="259" t="n">
        <v>0.365</v>
      </c>
      <c r="D236" s="259" t="n">
        <v>0.767</v>
      </c>
      <c r="E236" s="259" t="n">
        <v>1.255</v>
      </c>
      <c r="F236" s="259" t="n">
        <v>2.502</v>
      </c>
      <c r="G236" s="259" t="n">
        <v>3.182</v>
      </c>
      <c r="H236" s="259" t="n">
        <v>4.057</v>
      </c>
      <c r="I236" s="259" t="n">
        <v>4.121</v>
      </c>
      <c r="J236" s="259" t="n">
        <v>1.127</v>
      </c>
      <c r="K236" s="259" t="n">
        <v>1.313</v>
      </c>
      <c r="L236" s="259" t="n">
        <v>1.573</v>
      </c>
      <c r="M236" s="259" t="n">
        <v>1.275</v>
      </c>
      <c r="N236" s="259" t="n">
        <v>5.288</v>
      </c>
      <c r="O236" s="259" t="n">
        <v>1.22</v>
      </c>
      <c r="P236" s="259" t="n">
        <v>1.519</v>
      </c>
      <c r="Q236" s="259" t="n">
        <v>1.561</v>
      </c>
      <c r="R236" s="259" t="n">
        <v>1.533</v>
      </c>
      <c r="S236" s="259" t="n">
        <v>5.833</v>
      </c>
      <c r="T236" s="259" t="n">
        <v>1.767</v>
      </c>
      <c r="U236" s="259" t="n">
        <v>2.268</v>
      </c>
      <c r="V236" s="259" t="n">
        <v>2.196</v>
      </c>
      <c r="W236" s="259" t="n">
        <v>2.108</v>
      </c>
      <c r="X236" s="259" t="n">
        <v>8.339</v>
      </c>
      <c r="Y236" s="259" t="n">
        <v>2.132</v>
      </c>
      <c r="Z236" s="259" t="n">
        <v>2.496</v>
      </c>
      <c r="AA236" s="259" t="n">
        <v>2.565</v>
      </c>
      <c r="AB236" s="259" t="n">
        <v>3.007</v>
      </c>
      <c r="AC236" s="259" t="n">
        <v>10.2</v>
      </c>
      <c r="AD236" s="259" t="n">
        <v>2.774</v>
      </c>
      <c r="AE236" s="259" t="n">
        <v>3.178</v>
      </c>
      <c r="AF236" s="259" t="n">
        <v>2.962</v>
      </c>
      <c r="AG236" s="259" t="n">
        <v>3.197</v>
      </c>
      <c r="AH236" s="259" t="n">
        <v>12.111</v>
      </c>
      <c r="AI236" s="259" t="n">
        <v>3.228</v>
      </c>
      <c r="AJ236" s="259" t="n">
        <v>3.402</v>
      </c>
      <c r="AK236" s="259" t="n">
        <v>3.267</v>
      </c>
      <c r="AL236" s="259" t="n">
        <v>3.506</v>
      </c>
      <c r="AM236" s="259" t="n">
        <v>13.403</v>
      </c>
      <c r="AN236" s="259" t="n">
        <v>3.766</v>
      </c>
      <c r="AO236" s="259" t="n">
        <v>4.039</v>
      </c>
      <c r="AP236" s="259" t="n">
        <v>3.904</v>
      </c>
      <c r="AQ236" s="259" t="n">
        <v>4.378</v>
      </c>
      <c r="AR236" s="259" t="n">
        <v>16.087</v>
      </c>
      <c r="AS236" s="259" t="n">
        <v>4.802</v>
      </c>
      <c r="AT236" s="259" t="n">
        <v>5.059</v>
      </c>
      <c r="AU236" s="259" t="n">
        <v>5.135</v>
      </c>
      <c r="AV236" s="259" t="n">
        <v>5.154</v>
      </c>
      <c r="AW236" s="259" t="n">
        <v>20.15</v>
      </c>
      <c r="AX236" s="259" t="n">
        <v>5.438</v>
      </c>
      <c r="AY236" s="259" t="n">
        <v>5.231</v>
      </c>
      <c r="AZ236" s="259" t="n">
        <v>5.173</v>
      </c>
      <c r="BA236" s="259" t="n">
        <v>5.457</v>
      </c>
      <c r="BB236" s="259" t="n">
        <v>21.299</v>
      </c>
      <c r="BC236" s="259" t="n">
        <v>5.772</v>
      </c>
      <c r="BD236" s="259" t="n">
        <v>6.224</v>
      </c>
      <c r="BE236" s="259" t="n">
        <v>6.038</v>
      </c>
      <c r="BF236" s="259" t="n">
        <v>5.891</v>
      </c>
      <c r="BG236" s="259" t="n">
        <v>23.925</v>
      </c>
      <c r="BH236" s="259" t="n">
        <v>3.819</v>
      </c>
      <c r="BI236" s="259" t="n">
        <v>4.354</v>
      </c>
      <c r="BJ236" s="259" t="n">
        <v>2.874</v>
      </c>
      <c r="BK236" s="259" t="n">
        <v>2.953</v>
      </c>
      <c r="BL236" s="259" t="n">
        <v>14</v>
      </c>
      <c r="BM236" s="259" t="n">
        <v>5.4</v>
      </c>
      <c r="BN236" s="259" t="n">
        <v>3.7</v>
      </c>
      <c r="BO236" s="259" t="n">
        <v>4.2</v>
      </c>
      <c r="BP236" s="259" t="n">
        <v>4.1</v>
      </c>
      <c r="BQ236" s="259" t="n">
        <v>17.4</v>
      </c>
      <c r="BR236" s="259" t="n">
        <v>6.5</v>
      </c>
      <c r="BS236" s="259" t="n">
        <v>6.6</v>
      </c>
      <c r="BT236" s="259" t="n">
        <v>7.2</v>
      </c>
      <c r="BU236" s="259" t="n">
        <v>8.1</v>
      </c>
      <c r="BV236" s="259" t="n">
        <v>28.4</v>
      </c>
      <c r="BW236" s="259" t="n">
        <v>6.6</v>
      </c>
      <c r="BX236" s="259" t="n">
        <v>7.4</v>
      </c>
      <c r="BY236" s="259" t="n">
        <v>9.300000000000001</v>
      </c>
      <c r="BZ236" s="259" t="n">
        <v>11.2</v>
      </c>
      <c r="CA236" s="259" t="n">
        <v>34.5</v>
      </c>
      <c r="CB236" s="259" t="n">
        <v>6.7</v>
      </c>
      <c r="CC236" s="35" t="n"/>
      <c r="CD236" s="35" t="n"/>
      <c r="CE236" s="35" t="n"/>
      <c r="CF236" s="261">
        <f>SUM(CB236:CB236)+SUM(CC137:CE137)</f>
        <v>27.8203607712001</v>
      </c>
      <c r="CG236" s="261">
        <f>CG137</f>
        <v>42.9259496441455</v>
      </c>
      <c r="CH236" s="261">
        <f>CH137</f>
        <v>47.9946844346575</v>
      </c>
      <c r="CI236" s="261">
        <f>CI137</f>
        <v>53.0874527151393</v>
      </c>
      <c r="CJ236" s="261">
        <f>CJ137</f>
        <v>58.2800931939234</v>
      </c>
      <c r="CK236" s="261">
        <f>CK137</f>
        <v>63.4059295713744</v>
      </c>
      <c r="CL236" s="19" t="n"/>
    </row>
    <row r="237" ht="15" customHeight="1" s="251">
      <c r="B237" s="25" t="inlineStr">
        <is>
          <t xml:space="preserve">  Deferred income taxes</t>
        </is>
      </c>
      <c r="C237" s="259" t="n">
        <v>3.956</v>
      </c>
      <c r="D237" s="259" t="n">
        <v>9.282</v>
      </c>
      <c r="E237" s="259" t="n">
        <v>1.11</v>
      </c>
      <c r="F237" s="259" t="n">
        <v>0.123</v>
      </c>
      <c r="G237" s="259" t="n">
        <v>1.082</v>
      </c>
      <c r="H237" s="259" t="n">
        <v>-1.146</v>
      </c>
      <c r="I237" s="259" t="n">
        <v>-0.119</v>
      </c>
      <c r="J237" s="259" t="n">
        <v>-0.017</v>
      </c>
      <c r="K237" s="259" t="n">
        <v>1.686</v>
      </c>
      <c r="L237" s="259" t="n">
        <v>0.786</v>
      </c>
      <c r="M237" s="259" t="n">
        <v>-3.361</v>
      </c>
      <c r="N237" s="259" t="n">
        <v>-0.906</v>
      </c>
      <c r="O237" s="259" t="n">
        <v>-0.982</v>
      </c>
      <c r="P237" s="259" t="n">
        <v>1.469</v>
      </c>
      <c r="Q237" s="259" t="n">
        <v>2.57</v>
      </c>
      <c r="R237" s="259" t="n">
        <v>-2.693</v>
      </c>
      <c r="S237" s="259" t="n">
        <v>0.364</v>
      </c>
      <c r="T237" s="259" t="n">
        <v>0.185</v>
      </c>
      <c r="U237" s="259" t="n">
        <v>0.033</v>
      </c>
      <c r="V237" s="259" t="n">
        <v>0.633</v>
      </c>
      <c r="W237" s="259" t="n">
        <v>0.193</v>
      </c>
      <c r="X237" s="259" t="n">
        <v>1.044</v>
      </c>
      <c r="Y237" s="259" t="n">
        <v>0.948</v>
      </c>
      <c r="Z237" s="259" t="n">
        <v>-0.157</v>
      </c>
      <c r="AA237" s="259" t="n">
        <v>1.089</v>
      </c>
      <c r="AB237" s="259" t="n">
        <v>-2.216</v>
      </c>
      <c r="AC237" s="259" t="n">
        <v>-0.336</v>
      </c>
      <c r="AD237" s="259" t="n">
        <v>0.505</v>
      </c>
      <c r="AE237" s="259" t="n">
        <v>0.486</v>
      </c>
      <c r="AF237" s="259" t="n">
        <v>2.726</v>
      </c>
      <c r="AG237" s="259" t="n">
        <v>4.606</v>
      </c>
      <c r="AH237" s="259" t="n">
        <v>8.323</v>
      </c>
      <c r="AI237" s="259" t="n">
        <v>2.031</v>
      </c>
      <c r="AJ237" s="259" t="n">
        <v>-1.157</v>
      </c>
      <c r="AK237" s="259" t="n">
        <v>-1.195</v>
      </c>
      <c r="AL237" s="259" t="n">
        <v>-0.381</v>
      </c>
      <c r="AM237" s="259" t="n">
        <v>-0.702</v>
      </c>
      <c r="AN237" s="259" t="n">
        <v>2.47</v>
      </c>
      <c r="AO237" s="259" t="n">
        <v>0.972</v>
      </c>
      <c r="AP237" s="259" t="n">
        <v>-4.326</v>
      </c>
      <c r="AQ237" s="259" t="n">
        <v>-4.02</v>
      </c>
      <c r="AR237" s="259" t="n">
        <v>-4.904</v>
      </c>
      <c r="AS237" s="259" t="n">
        <v>1.153</v>
      </c>
      <c r="AT237" s="259" t="n">
        <v>-0.255</v>
      </c>
      <c r="AU237" s="259" t="n">
        <v>-0.649</v>
      </c>
      <c r="AV237" s="259" t="n">
        <v>6.253</v>
      </c>
      <c r="AW237" s="259" t="n">
        <v>6.502</v>
      </c>
      <c r="AX237" s="259" t="n">
        <v>2.865</v>
      </c>
      <c r="AY237" s="259" t="n">
        <v>1.186</v>
      </c>
      <c r="AZ237" s="259" t="n">
        <v>-1.471</v>
      </c>
      <c r="BA237" s="259" t="n">
        <v>-1.071</v>
      </c>
      <c r="BB237" s="259" t="n">
        <v>1.509</v>
      </c>
      <c r="BC237" s="259" t="n">
        <v>0.725</v>
      </c>
      <c r="BD237" s="259" t="n">
        <v>2.268</v>
      </c>
      <c r="BE237" s="259" t="n">
        <v>-2.215</v>
      </c>
      <c r="BF237" s="259" t="n">
        <v>-1.979</v>
      </c>
      <c r="BG237" s="259" t="n">
        <v>-1.201</v>
      </c>
      <c r="BH237" s="259" t="n">
        <v>-4.102</v>
      </c>
      <c r="BI237" s="259" t="n">
        <v>-2.421</v>
      </c>
      <c r="BJ237" s="259" t="n">
        <v>-3.99</v>
      </c>
      <c r="BK237" s="259" t="n">
        <v>-10.887</v>
      </c>
      <c r="BL237" s="259" t="n">
        <v>-21.4</v>
      </c>
      <c r="BM237" s="259" t="n">
        <v>-2.6</v>
      </c>
      <c r="BN237" s="259" t="n">
        <v>-3.9</v>
      </c>
      <c r="BO237" s="259" t="n">
        <v>-4.3</v>
      </c>
      <c r="BP237" s="259" t="n">
        <v>-1.5</v>
      </c>
      <c r="BQ237" s="259" t="n">
        <v>-12.3</v>
      </c>
      <c r="BR237" s="259" t="n">
        <v>-4.1</v>
      </c>
      <c r="BS237" s="259" t="n">
        <v>-6.1</v>
      </c>
      <c r="BT237" s="259" t="n">
        <v>-3.2</v>
      </c>
      <c r="BU237" s="259" t="n">
        <v>-13.4</v>
      </c>
      <c r="BV237" s="259" t="n">
        <v>-26.8</v>
      </c>
      <c r="BW237" s="259" t="n">
        <v>-4.6</v>
      </c>
      <c r="BX237" s="259" t="n">
        <v>13.5</v>
      </c>
      <c r="BY237" s="259" t="n">
        <v>3.9</v>
      </c>
      <c r="BZ237" s="259" t="n">
        <v>-1.9</v>
      </c>
      <c r="CA237" s="259" t="n">
        <v>10.9</v>
      </c>
      <c r="CB237" s="259" t="n">
        <v>-1.4</v>
      </c>
      <c r="CC237" s="35" t="n"/>
      <c r="CD237" s="35" t="n"/>
      <c r="CE237" s="35" t="n"/>
      <c r="CF237" s="261">
        <f>SUM(CB237:CB237)+0.0</f>
        <v>-1.4</v>
      </c>
      <c r="CG237" s="260" t="n">
        <v>0</v>
      </c>
      <c r="CH237" s="260" t="n">
        <v>0</v>
      </c>
      <c r="CI237" s="260" t="n">
        <v>0</v>
      </c>
      <c r="CJ237" s="260" t="n">
        <v>0</v>
      </c>
      <c r="CK237" s="260" t="n">
        <v>0</v>
      </c>
      <c r="CL237" s="19" t="inlineStr">
        <is>
          <t>Cash-flow statement. Forecast input (amortization of the Dodge book-tax basis difference keeps deferred taxes negative).</t>
        </is>
      </c>
    </row>
    <row r="238" ht="15" customHeight="1" s="251">
      <c r="B238" s="25" t="inlineStr">
        <is>
          <t xml:space="preserve">  Working capital &amp; other operating items, net (derived)</t>
        </is>
      </c>
      <c r="C238" s="259" t="n">
        <v>-1.449</v>
      </c>
      <c r="D238" s="259" t="n">
        <v>7.561</v>
      </c>
      <c r="E238" s="259" t="n">
        <v>-25.947</v>
      </c>
      <c r="F238" s="259" t="n">
        <v>-4.498</v>
      </c>
      <c r="G238" s="259" t="n">
        <v>0.674</v>
      </c>
      <c r="H238" s="259" t="n">
        <v>-0.794</v>
      </c>
      <c r="I238" s="259" t="n">
        <v>-23.16</v>
      </c>
      <c r="J238" s="259" t="n">
        <v>4.56</v>
      </c>
      <c r="K238" s="259" t="n">
        <v>-20.015</v>
      </c>
      <c r="L238" s="259" t="n">
        <v>1.37</v>
      </c>
      <c r="M238" s="259" t="n">
        <v>4.904</v>
      </c>
      <c r="N238" s="259" t="n">
        <v>-9.180999999999999</v>
      </c>
      <c r="O238" s="259" t="n">
        <v>-1.708</v>
      </c>
      <c r="P238" s="259" t="n">
        <v>-16.81</v>
      </c>
      <c r="Q238" s="259" t="n">
        <v>-6.187</v>
      </c>
      <c r="R238" s="259" t="n">
        <v>-8.712</v>
      </c>
      <c r="S238" s="259" t="n">
        <v>-33.417</v>
      </c>
      <c r="T238" s="259" t="n">
        <v>4.891</v>
      </c>
      <c r="U238" s="259" t="n">
        <v>-1.751</v>
      </c>
      <c r="V238" s="259" t="n">
        <v>-2.981</v>
      </c>
      <c r="W238" s="259" t="n">
        <v>-11.045</v>
      </c>
      <c r="X238" s="259" t="n">
        <v>-10.886</v>
      </c>
      <c r="Y238" s="259" t="n">
        <v>0.042</v>
      </c>
      <c r="Z238" s="259" t="n">
        <v>-5.596</v>
      </c>
      <c r="AA238" s="259" t="n">
        <v>-5.859</v>
      </c>
      <c r="AB238" s="259" t="n">
        <v>-4.792</v>
      </c>
      <c r="AC238" s="259" t="n">
        <v>-16.205</v>
      </c>
      <c r="AD238" s="259" t="n">
        <v>-8.847</v>
      </c>
      <c r="AE238" s="259" t="n">
        <v>-9.550000000000001</v>
      </c>
      <c r="AF238" s="259" t="n">
        <v>10.825</v>
      </c>
      <c r="AG238" s="259" t="n">
        <v>-9.615</v>
      </c>
      <c r="AH238" s="259" t="n">
        <v>-17.187</v>
      </c>
      <c r="AI238" s="259" t="n">
        <v>5.643</v>
      </c>
      <c r="AJ238" s="259" t="n">
        <v>-0.055</v>
      </c>
      <c r="AK238" s="259" t="n">
        <v>-4.328</v>
      </c>
      <c r="AL238" s="259" t="n">
        <v>0.827</v>
      </c>
      <c r="AM238" s="259" t="n">
        <v>2.087</v>
      </c>
      <c r="AN238" s="259" t="n">
        <v>-7.181</v>
      </c>
      <c r="AO238" s="259" t="n">
        <v>-18.731</v>
      </c>
      <c r="AP238" s="259" t="n">
        <v>-1.918</v>
      </c>
      <c r="AQ238" s="259" t="n">
        <v>-9.657</v>
      </c>
      <c r="AR238" s="259" t="n">
        <v>-37.487</v>
      </c>
      <c r="AS238" s="259" t="n">
        <v>-3.838</v>
      </c>
      <c r="AT238" s="259" t="n">
        <v>-19.394</v>
      </c>
      <c r="AU238" s="259" t="n">
        <v>3.623</v>
      </c>
      <c r="AV238" s="259" t="n">
        <v>-8.878</v>
      </c>
      <c r="AW238" s="259" t="n">
        <v>-28.487</v>
      </c>
      <c r="AX238" s="259" t="n">
        <v>8.971</v>
      </c>
      <c r="AY238" s="259" t="n">
        <v>-9.154999999999999</v>
      </c>
      <c r="AZ238" s="259" t="n">
        <v>2.857</v>
      </c>
      <c r="BA238" s="259" t="n">
        <v>4.595</v>
      </c>
      <c r="BB238" s="259" t="n">
        <v>7.268</v>
      </c>
      <c r="BC238" s="259" t="n">
        <v>12.585</v>
      </c>
      <c r="BD238" s="259" t="n">
        <v>16.115</v>
      </c>
      <c r="BE238" s="259" t="n">
        <v>15.694</v>
      </c>
      <c r="BF238" s="259" t="n">
        <v>-17.422</v>
      </c>
      <c r="BG238" s="259" t="n">
        <v>26.972</v>
      </c>
      <c r="BH238" s="259" t="n">
        <v>-6.762</v>
      </c>
      <c r="BI238" s="259" t="n">
        <v>-44.816</v>
      </c>
      <c r="BJ238" s="259" t="n">
        <v>-3.013</v>
      </c>
      <c r="BK238" s="259" t="n">
        <v>0.491</v>
      </c>
      <c r="BL238" s="259" t="n">
        <v>-54.1</v>
      </c>
      <c r="BM238" s="259" t="n">
        <v>-20.8</v>
      </c>
      <c r="BN238" s="259" t="n">
        <v>-28.4</v>
      </c>
      <c r="BO238" s="259" t="n">
        <v>4</v>
      </c>
      <c r="BP238" s="259" t="n">
        <v>-14.4</v>
      </c>
      <c r="BQ238" s="259" t="n">
        <v>-59.6</v>
      </c>
      <c r="BR238" s="259" t="n">
        <v>3.6</v>
      </c>
      <c r="BS238" s="259" t="n">
        <v>-41.9</v>
      </c>
      <c r="BT238" s="259" t="n">
        <v>-7.6</v>
      </c>
      <c r="BU238" s="259" t="n">
        <v>-28.3</v>
      </c>
      <c r="BV238" s="259" t="n">
        <v>-74.2</v>
      </c>
      <c r="BW238" s="259" t="n">
        <v>19.9</v>
      </c>
      <c r="BX238" s="259" t="n">
        <v>-25.4</v>
      </c>
      <c r="BY238" s="259" t="n">
        <v>8.6</v>
      </c>
      <c r="BZ238" s="259" t="n">
        <v>-49.2</v>
      </c>
      <c r="CA238" s="259" t="n">
        <v>-46.1</v>
      </c>
      <c r="CB238" s="259" t="n">
        <v>31.7</v>
      </c>
      <c r="CC238" s="35" t="n"/>
      <c r="CD238" s="35" t="n"/>
      <c r="CE238" s="35" t="n"/>
      <c r="CF238" s="261">
        <f>SUM(CB238:CB238)-(CF281-CB281)-(CF282-CB282)+(CF291-CB291)+(CF293-CB293)</f>
        <v>-86.0506536125056</v>
      </c>
      <c r="CG238" s="261">
        <f>-(CG281-CF281)-(CG282-CF282)+(CG291-CF291)+(CG293-CF293)</f>
        <v>-73.5731617582177</v>
      </c>
      <c r="CH238" s="261">
        <f>-(CH281-CG281)-(CH282-CG282)+(CH291-CG291)+(CH293-CG293)</f>
        <v>-87.597994222138</v>
      </c>
      <c r="CI238" s="261">
        <f>-(CI281-CH281)-(CI282-CH282)+(CI291-CH291)+(CI293-CH293)</f>
        <v>-84.1289604156711</v>
      </c>
      <c r="CJ238" s="261">
        <f>-(CJ281-CI281)-(CJ282-CI282)+(CJ291-CI291)+(CJ293-CI293)</f>
        <v>-91.5337175807903</v>
      </c>
      <c r="CK238" s="261">
        <f>-(CK281-CJ281)-(CK282-CJ282)+(CK291-CJ291)+(CK293-CJ293)</f>
        <v>-101.447045296128</v>
      </c>
      <c r="CL238" s="19" t="inlineStr">
        <is>
          <t>History: net cash from operating activities − net income − D&amp;A − stock-based compensation − deferred taxes (includes the other non-cash items). Forecast linked to the balance sheet: −Δ(receivables, inventory) + Δ(payables, accrued &amp; other current liabilities).</t>
        </is>
      </c>
    </row>
    <row r="239" ht="15" customHeight="1" s="251">
      <c r="B239" s="16" t="inlineStr">
        <is>
          <t>Net cash provided by operating activities</t>
        </is>
      </c>
      <c r="C239" s="253" t="n">
        <v>24.642</v>
      </c>
      <c r="D239" s="253" t="n">
        <v>55.735</v>
      </c>
      <c r="E239" s="253" t="n">
        <v>27.077</v>
      </c>
      <c r="F239" s="253" t="n">
        <v>44.741</v>
      </c>
      <c r="G239" s="253" t="n">
        <v>41.153</v>
      </c>
      <c r="H239" s="253" t="n">
        <v>49.956</v>
      </c>
      <c r="I239" s="253" t="n">
        <v>45.029</v>
      </c>
      <c r="J239" s="253" t="n">
        <v>26.517</v>
      </c>
      <c r="K239" s="253" t="n">
        <v>3.171</v>
      </c>
      <c r="L239" s="253" t="n">
        <v>19.536</v>
      </c>
      <c r="M239" s="253" t="n">
        <v>17.038</v>
      </c>
      <c r="N239" s="253" t="n">
        <v>66.262</v>
      </c>
      <c r="O239" s="253" t="n">
        <v>17.381</v>
      </c>
      <c r="P239" s="253" t="n">
        <v>4.158</v>
      </c>
      <c r="Q239" s="253" t="n">
        <v>14.426</v>
      </c>
      <c r="R239" s="253" t="n">
        <v>12.01</v>
      </c>
      <c r="S239" s="253" t="n">
        <v>47.975</v>
      </c>
      <c r="T239" s="253" t="n">
        <v>26.921</v>
      </c>
      <c r="U239" s="253" t="n">
        <v>17.807</v>
      </c>
      <c r="V239" s="253" t="n">
        <v>17.677</v>
      </c>
      <c r="W239" s="253" t="n">
        <v>9.385</v>
      </c>
      <c r="X239" s="253" t="n">
        <v>71.79000000000001</v>
      </c>
      <c r="Y239" s="253" t="n">
        <v>22.189</v>
      </c>
      <c r="Z239" s="253" t="n">
        <v>18.071</v>
      </c>
      <c r="AA239" s="253" t="n">
        <v>21.54</v>
      </c>
      <c r="AB239" s="253" t="n">
        <v>21.56</v>
      </c>
      <c r="AC239" s="253" t="n">
        <v>83.36</v>
      </c>
      <c r="AD239" s="253" t="n">
        <v>19.212</v>
      </c>
      <c r="AE239" s="253" t="n">
        <v>19.301</v>
      </c>
      <c r="AF239" s="253" t="n">
        <v>36.062</v>
      </c>
      <c r="AG239" s="253" t="n">
        <v>26.667</v>
      </c>
      <c r="AH239" s="253" t="n">
        <v>101.242</v>
      </c>
      <c r="AI239" s="253" t="n">
        <v>39.809</v>
      </c>
      <c r="AJ239" s="253" t="n">
        <v>24.153</v>
      </c>
      <c r="AK239" s="253" t="n">
        <v>28.534</v>
      </c>
      <c r="AL239" s="253" t="n">
        <v>37.793</v>
      </c>
      <c r="AM239" s="253" t="n">
        <v>130.289</v>
      </c>
      <c r="AN239" s="253" t="n">
        <v>33.835</v>
      </c>
      <c r="AO239" s="253" t="n">
        <v>24.03</v>
      </c>
      <c r="AP239" s="253" t="n">
        <v>21.148</v>
      </c>
      <c r="AQ239" s="253" t="n">
        <v>29.534</v>
      </c>
      <c r="AR239" s="253" t="n">
        <v>108.547</v>
      </c>
      <c r="AS239" s="253" t="n">
        <v>40.136</v>
      </c>
      <c r="AT239" s="253" t="n">
        <v>24.482</v>
      </c>
      <c r="AU239" s="253" t="n">
        <v>46.577</v>
      </c>
      <c r="AV239" s="253" t="n">
        <v>44.426</v>
      </c>
      <c r="AW239" s="253" t="n">
        <v>155.621</v>
      </c>
      <c r="AX239" s="253" t="n">
        <v>48.359</v>
      </c>
      <c r="AY239" s="253" t="n">
        <v>26.12</v>
      </c>
      <c r="AZ239" s="253" t="n">
        <v>36.107</v>
      </c>
      <c r="BA239" s="253" t="n">
        <v>41.867</v>
      </c>
      <c r="BB239" s="253" t="n">
        <v>152.453</v>
      </c>
      <c r="BC239" s="253" t="n">
        <v>53.293</v>
      </c>
      <c r="BD239" s="253" t="n">
        <v>40.181</v>
      </c>
      <c r="BE239" s="253" t="n">
        <v>39.952</v>
      </c>
      <c r="BF239" s="253" t="n">
        <v>46.867</v>
      </c>
      <c r="BG239" s="253" t="n">
        <v>180.293</v>
      </c>
      <c r="BH239" s="253" t="n">
        <v>59.035</v>
      </c>
      <c r="BI239" s="253" t="n">
        <v>29.345</v>
      </c>
      <c r="BJ239" s="253" t="n">
        <v>60.878</v>
      </c>
      <c r="BK239" s="253" t="n">
        <v>71.342</v>
      </c>
      <c r="BL239" s="253" t="n">
        <v>220.6</v>
      </c>
      <c r="BM239" s="253" t="n">
        <v>61.7</v>
      </c>
      <c r="BN239" s="253" t="n">
        <v>53.1</v>
      </c>
      <c r="BO239" s="253" t="n">
        <v>80.40000000000001</v>
      </c>
      <c r="BP239" s="253" t="n">
        <v>79.5</v>
      </c>
      <c r="BQ239" s="253" t="n">
        <v>274.7</v>
      </c>
      <c r="BR239" s="253" t="n">
        <v>97.40000000000001</v>
      </c>
      <c r="BS239" s="253" t="n">
        <v>43</v>
      </c>
      <c r="BT239" s="253" t="n">
        <v>84</v>
      </c>
      <c r="BU239" s="253" t="n">
        <v>69.2</v>
      </c>
      <c r="BV239" s="253" t="n">
        <v>293.6</v>
      </c>
      <c r="BW239" s="253" t="n">
        <v>120</v>
      </c>
      <c r="BX239" s="253" t="n">
        <v>88.40000000000001</v>
      </c>
      <c r="BY239" s="253" t="n">
        <v>122.1</v>
      </c>
      <c r="BZ239" s="253" t="n">
        <v>85.2</v>
      </c>
      <c r="CA239" s="253" t="n">
        <v>415.7</v>
      </c>
      <c r="CB239" s="253" t="n">
        <v>171.8</v>
      </c>
      <c r="CC239" s="32" t="n"/>
      <c r="CD239" s="32" t="n"/>
      <c r="CE239" s="32" t="n"/>
      <c r="CF239" s="254">
        <f>SUM(CF233:CF238)</f>
        <v>478.847187580666</v>
      </c>
      <c r="CG239" s="254">
        <f>SUM(CG233:CG238)</f>
        <v>572.268112600887</v>
      </c>
      <c r="CH239" s="254">
        <f>SUM(CH233:CH238)</f>
        <v>627.73912044814</v>
      </c>
      <c r="CI239" s="254">
        <f>SUM(CI233:CI238)</f>
        <v>709.206829292922</v>
      </c>
      <c r="CJ239" s="254">
        <f>SUM(CJ233:CJ238)</f>
        <v>776.628412482683</v>
      </c>
      <c r="CK239" s="254">
        <f>SUM(CK233:CK238)</f>
        <v>843.597598748574</v>
      </c>
      <c r="CL239" s="153" t="n"/>
      <c r="CN239" s="20">
        <f>IFERROR((CK239/CF239)^(1/5)-1,"n/m")</f>
        <v>0.119921748996717</v>
      </c>
      <c r="CO239" s="20">
        <f>IFERROR((CA239/BB239)^(1/5)-1,"n/m")</f>
        <v>0.222162094553818</v>
      </c>
      <c r="CP239" s="20">
        <f>IFERROR((CA239/AC239)^(1/10)-1,"n/m")</f>
        <v>0.174308574108131</v>
      </c>
      <c r="CQ239" s="20">
        <f>IFERROR((CA239/C239)^(1/20)-1,"n/m")</f>
        <v>0.151741997978523</v>
      </c>
    </row>
    <row r="240" ht="15" customHeight="1" s="251">
      <c r="B240" s="25" t="inlineStr">
        <is>
          <t>Capital expenditures</t>
        </is>
      </c>
      <c r="C240" s="259" t="n">
        <v>-10.341</v>
      </c>
      <c r="D240" s="259" t="n">
        <v>-16.174</v>
      </c>
      <c r="E240" s="259" t="n">
        <v>-17.758</v>
      </c>
      <c r="F240" s="259" t="n">
        <v>-27.583</v>
      </c>
      <c r="G240" s="259" t="n">
        <v>-9.906000000000001</v>
      </c>
      <c r="H240" s="259" t="n">
        <v>-10.44</v>
      </c>
      <c r="I240" s="259" t="n">
        <v>-17.841</v>
      </c>
      <c r="J240" s="259" t="n">
        <v>-6.057</v>
      </c>
      <c r="K240" s="259" t="n">
        <v>-5.545</v>
      </c>
      <c r="L240" s="259" t="n">
        <v>-19.202</v>
      </c>
      <c r="M240" s="259" t="n">
        <v>-11.213</v>
      </c>
      <c r="N240" s="259" t="n">
        <v>-42.017</v>
      </c>
      <c r="O240" s="259" t="n">
        <v>-5.801</v>
      </c>
      <c r="P240" s="259" t="n">
        <v>-8.791</v>
      </c>
      <c r="Q240" s="259" t="n">
        <v>-8.029999999999999</v>
      </c>
      <c r="R240" s="259" t="n">
        <v>-6.298</v>
      </c>
      <c r="S240" s="259" t="n">
        <v>-28.92</v>
      </c>
      <c r="T240" s="259" t="n">
        <v>-3.488</v>
      </c>
      <c r="U240" s="259" t="n">
        <v>-7.97</v>
      </c>
      <c r="V240" s="259" t="n">
        <v>-4.412</v>
      </c>
      <c r="W240" s="259" t="n">
        <v>-5.027</v>
      </c>
      <c r="X240" s="259" t="n">
        <v>-20.897</v>
      </c>
      <c r="Y240" s="259" t="n">
        <v>-5.27</v>
      </c>
      <c r="Z240" s="259" t="n">
        <v>-4.529</v>
      </c>
      <c r="AA240" s="259" t="n">
        <v>-4.836</v>
      </c>
      <c r="AB240" s="259" t="n">
        <v>-6.229</v>
      </c>
      <c r="AC240" s="259" t="n">
        <v>-20.864</v>
      </c>
      <c r="AD240" s="259" t="n">
        <v>-5.166</v>
      </c>
      <c r="AE240" s="259" t="n">
        <v>-4.455</v>
      </c>
      <c r="AF240" s="259" t="n">
        <v>-4.794</v>
      </c>
      <c r="AG240" s="259" t="n">
        <v>-6.479</v>
      </c>
      <c r="AH240" s="259" t="n">
        <v>-20.894</v>
      </c>
      <c r="AI240" s="259" t="n">
        <v>-5.659</v>
      </c>
      <c r="AJ240" s="259" t="n">
        <v>-7.008</v>
      </c>
      <c r="AK240" s="259" t="n">
        <v>-7.875</v>
      </c>
      <c r="AL240" s="259" t="n">
        <v>-7.434</v>
      </c>
      <c r="AM240" s="259" t="n">
        <v>-27.976</v>
      </c>
      <c r="AN240" s="259" t="n">
        <v>-6.993</v>
      </c>
      <c r="AO240" s="259" t="n">
        <v>-10.753</v>
      </c>
      <c r="AP240" s="259" t="n">
        <v>-11.459</v>
      </c>
      <c r="AQ240" s="259" t="n">
        <v>-12.141</v>
      </c>
      <c r="AR240" s="259" t="n">
        <v>-41.346</v>
      </c>
      <c r="AS240" s="259" t="n">
        <v>-12.04</v>
      </c>
      <c r="AT240" s="259" t="n">
        <v>-8.176</v>
      </c>
      <c r="AU240" s="259" t="n">
        <v>-7.346</v>
      </c>
      <c r="AV240" s="259" t="n">
        <v>-9.734999999999999</v>
      </c>
      <c r="AW240" s="259" t="n">
        <v>-37.297</v>
      </c>
      <c r="AX240" s="259" t="n">
        <v>-3.875</v>
      </c>
      <c r="AY240" s="259" t="n">
        <v>-2.133</v>
      </c>
      <c r="AZ240" s="259" t="n">
        <v>-2.801</v>
      </c>
      <c r="BA240" s="259" t="n">
        <v>-2.963</v>
      </c>
      <c r="BB240" s="259" t="n">
        <v>-11.772</v>
      </c>
      <c r="BC240" s="259" t="n">
        <v>-3.367</v>
      </c>
      <c r="BD240" s="259" t="n">
        <v>-3.515</v>
      </c>
      <c r="BE240" s="259" t="n">
        <v>-14.879</v>
      </c>
      <c r="BF240" s="259" t="n">
        <v>-7.998</v>
      </c>
      <c r="BG240" s="259" t="n">
        <v>-29.759</v>
      </c>
      <c r="BH240" s="259" t="n">
        <v>-7.857</v>
      </c>
      <c r="BI240" s="259" t="n">
        <v>-15.219</v>
      </c>
      <c r="BJ240" s="259" t="n">
        <v>-6.501</v>
      </c>
      <c r="BK240" s="259" t="n">
        <v>-12.423</v>
      </c>
      <c r="BL240" s="259" t="n">
        <v>-42</v>
      </c>
      <c r="BM240" s="259" t="n">
        <v>-6.7</v>
      </c>
      <c r="BN240" s="259" t="n">
        <v>-7.5</v>
      </c>
      <c r="BO240" s="259" t="n">
        <v>-9.5</v>
      </c>
      <c r="BP240" s="259" t="n">
        <v>-9.5</v>
      </c>
      <c r="BQ240" s="259" t="n">
        <v>-33.2</v>
      </c>
      <c r="BR240" s="259" t="n">
        <v>-9</v>
      </c>
      <c r="BS240" s="259" t="n">
        <v>-16.2</v>
      </c>
      <c r="BT240" s="259" t="n">
        <v>-10.4</v>
      </c>
      <c r="BU240" s="259" t="n">
        <v>-14.2</v>
      </c>
      <c r="BV240" s="259" t="n">
        <v>-49.8</v>
      </c>
      <c r="BW240" s="259" t="n">
        <v>-15.7</v>
      </c>
      <c r="BX240" s="259" t="n">
        <v>-16.7</v>
      </c>
      <c r="BY240" s="259" t="n">
        <v>-23</v>
      </c>
      <c r="BZ240" s="259" t="n">
        <v>-17.7</v>
      </c>
      <c r="CA240" s="259" t="n">
        <v>-73.09999999999999</v>
      </c>
      <c r="CB240" s="259" t="n">
        <v>-24.9</v>
      </c>
      <c r="CC240" s="35" t="n"/>
      <c r="CD240" s="35" t="n"/>
      <c r="CE240" s="35" t="n"/>
      <c r="CF240" s="261">
        <f>SUM(CB240:CB240)-SUM(CC108:CE108)*0.045</f>
        <v>-98.5927214819</v>
      </c>
      <c r="CG240" s="261">
        <f>-CG108*CG265</f>
        <v>-95.3909992092122</v>
      </c>
      <c r="CH240" s="261">
        <f>-CH108*CH265</f>
        <v>-101.322111584277</v>
      </c>
      <c r="CI240" s="261">
        <f>-CI108*CI265</f>
        <v>-103.22560250166</v>
      </c>
      <c r="CJ240" s="261">
        <f>-CJ108*CJ265</f>
        <v>-113.322403432629</v>
      </c>
      <c r="CK240" s="261">
        <f>-CK108*CK265</f>
        <v>-123.289307499895</v>
      </c>
      <c r="CL240" s="19" t="inlineStr">
        <is>
          <t>FY2027E = Q1 actual + Q2–Q4 net sales × 4.5% (Q1 FY27 4.8%; FY2026 3.9%). FY2028E+: net sales × capex %.</t>
        </is>
      </c>
    </row>
    <row r="241" ht="15" customHeight="1" s="251">
      <c r="B241" s="25" t="inlineStr">
        <is>
          <t>Acquisition of businesses, net of cash acquired</t>
        </is>
      </c>
      <c r="C241" s="259" t="n">
        <v>-2.682</v>
      </c>
      <c r="D241" s="259" t="n">
        <v>-8.753</v>
      </c>
      <c r="E241" s="259" t="n">
        <v>-13.896</v>
      </c>
      <c r="F241" s="259" t="n">
        <v>-6.325</v>
      </c>
      <c r="G241" s="259" t="n">
        <v>-1.943</v>
      </c>
      <c r="H241" s="259" t="n">
        <v>0</v>
      </c>
      <c r="I241" s="259" t="n">
        <v>0</v>
      </c>
      <c r="J241" s="259" t="n">
        <v>0</v>
      </c>
      <c r="K241" s="259" t="n">
        <v>0</v>
      </c>
      <c r="L241" s="259" t="n">
        <v>0</v>
      </c>
      <c r="M241" s="259" t="n">
        <v>-2.628</v>
      </c>
      <c r="N241" s="259" t="n">
        <v>-2.628</v>
      </c>
      <c r="O241" s="259" t="n">
        <v>0</v>
      </c>
      <c r="P241" s="259" t="n">
        <v>-13.646</v>
      </c>
      <c r="Q241" s="259" t="n">
        <v>-3.922</v>
      </c>
      <c r="R241" s="259" t="n">
        <v>0</v>
      </c>
      <c r="S241" s="259" t="n">
        <v>-17.568</v>
      </c>
      <c r="T241" s="259" t="n">
        <v>0</v>
      </c>
      <c r="U241" s="259" t="n">
        <v>0</v>
      </c>
      <c r="V241" s="259" t="n">
        <v>0</v>
      </c>
      <c r="W241" s="259" t="n">
        <v>0</v>
      </c>
      <c r="X241" s="259" t="n">
        <v>0</v>
      </c>
      <c r="Y241" s="259" t="n">
        <v>-500</v>
      </c>
      <c r="Z241" s="259" t="n">
        <v>0</v>
      </c>
      <c r="AA241" s="259" t="n">
        <v>0</v>
      </c>
      <c r="AB241" s="259" t="n">
        <v>0</v>
      </c>
      <c r="AC241" s="259" t="n">
        <v>-500</v>
      </c>
      <c r="AD241" s="259" t="n">
        <v>0</v>
      </c>
      <c r="AE241" s="259" t="n">
        <v>-0.651</v>
      </c>
      <c r="AF241" s="259" t="n">
        <v>0</v>
      </c>
      <c r="AG241" s="259" t="n">
        <v>0</v>
      </c>
      <c r="AH241" s="259" t="n">
        <v>-0.651</v>
      </c>
      <c r="AI241" s="259" t="n">
        <v>0</v>
      </c>
      <c r="AJ241" s="259" t="n">
        <v>0</v>
      </c>
      <c r="AK241" s="259" t="n">
        <v>0</v>
      </c>
      <c r="AL241" s="259" t="n">
        <v>0</v>
      </c>
      <c r="AM241" s="259" t="n">
        <v>0</v>
      </c>
      <c r="AN241" s="259" t="n">
        <v>0</v>
      </c>
      <c r="AO241" s="259" t="n">
        <v>0</v>
      </c>
      <c r="AP241" s="259" t="n">
        <v>0</v>
      </c>
      <c r="AQ241" s="259" t="n">
        <v>0</v>
      </c>
      <c r="AR241" s="259" t="n">
        <v>0</v>
      </c>
      <c r="AS241" s="259" t="n">
        <v>0</v>
      </c>
      <c r="AT241" s="259" t="n">
        <v>-33.842</v>
      </c>
      <c r="AU241" s="259" t="n">
        <v>0</v>
      </c>
      <c r="AV241" s="259" t="n">
        <v>0</v>
      </c>
      <c r="AW241" s="259" t="n">
        <v>-33.842</v>
      </c>
      <c r="AX241" s="259" t="n">
        <v>0.245</v>
      </c>
      <c r="AY241" s="259" t="n">
        <v>0</v>
      </c>
      <c r="AZ241" s="259" t="n">
        <v>0</v>
      </c>
      <c r="BA241" s="259" t="n">
        <v>0</v>
      </c>
      <c r="BB241" s="259" t="n">
        <v>0.245</v>
      </c>
      <c r="BC241" s="259" t="n">
        <v>0</v>
      </c>
      <c r="BD241" s="259" t="n">
        <v>0</v>
      </c>
      <c r="BE241" s="259" t="n">
        <v>-2908.241</v>
      </c>
      <c r="BF241" s="259" t="n">
        <v>0</v>
      </c>
      <c r="BG241" s="259" t="n">
        <v>-2908.241</v>
      </c>
      <c r="BH241" s="259" t="n">
        <v>22.966</v>
      </c>
      <c r="BI241" s="259" t="n">
        <v>0</v>
      </c>
      <c r="BJ241" s="259" t="n">
        <v>4.5</v>
      </c>
      <c r="BK241" s="259" t="n">
        <v>0.034</v>
      </c>
      <c r="BL241" s="259" t="n">
        <v>27.5</v>
      </c>
      <c r="BM241" s="259" t="n">
        <v>0</v>
      </c>
      <c r="BN241" s="259" t="n">
        <v>-18.7</v>
      </c>
      <c r="BO241" s="259" t="n">
        <v>-0.6</v>
      </c>
      <c r="BP241" s="259" t="n">
        <v>0</v>
      </c>
      <c r="BQ241" s="259" t="n">
        <v>-19.3</v>
      </c>
      <c r="BR241" s="259" t="n">
        <v>0</v>
      </c>
      <c r="BS241" s="259" t="n">
        <v>0</v>
      </c>
      <c r="BT241" s="259" t="n">
        <v>0</v>
      </c>
      <c r="BU241" s="259" t="n">
        <v>0</v>
      </c>
      <c r="BV241" s="259" t="n">
        <v>0</v>
      </c>
      <c r="BW241" s="259" t="n">
        <v>0</v>
      </c>
      <c r="BX241" s="259" t="n">
        <v>-275</v>
      </c>
      <c r="BY241" s="259" t="n">
        <v>0</v>
      </c>
      <c r="BZ241" s="259" t="n">
        <v>-1.7</v>
      </c>
      <c r="CA241" s="259" t="n">
        <v>-276.7</v>
      </c>
      <c r="CB241" s="259" t="n">
        <v>0</v>
      </c>
      <c r="CC241" s="35" t="n"/>
      <c r="CD241" s="35" t="n"/>
      <c r="CE241" s="35" t="n"/>
      <c r="CF241" s="261">
        <f>SUM(CB241:CB241)-CF331</f>
        <v>-24.2</v>
      </c>
      <c r="CG241" s="261">
        <f>-CG50</f>
        <v>-250</v>
      </c>
      <c r="CH241" s="261">
        <f>-CH50</f>
        <v>-250</v>
      </c>
      <c r="CI241" s="261">
        <f>-CI50</f>
        <v>-250</v>
      </c>
      <c r="CJ241" s="261">
        <f>-CJ50</f>
        <v>-250</v>
      </c>
      <c r="CK241" s="261">
        <f>-CK50</f>
        <v>-250</v>
      </c>
      <c r="CL241" s="19" t="inlineStr">
        <is>
          <t>FY2027E: PSC Couplings ($24.2m, 10-Aug-2026). FY2028E+: M&amp;A lever.</t>
        </is>
      </c>
    </row>
    <row r="242" ht="15" customHeight="1" s="251">
      <c r="B242" s="25" t="inlineStr">
        <is>
          <t>Other investing activities, net (asset sales, other; derived)</t>
        </is>
      </c>
      <c r="C242" s="259" t="n">
        <v>0.044</v>
      </c>
      <c r="D242" s="259" t="n">
        <v>3.574</v>
      </c>
      <c r="E242" s="259" t="n">
        <v>0.043</v>
      </c>
      <c r="F242" s="259" t="n">
        <v>0.5679999999999999</v>
      </c>
      <c r="G242" s="259" t="n">
        <v>-7.204</v>
      </c>
      <c r="H242" s="259" t="n">
        <v>5.595</v>
      </c>
      <c r="I242" s="259" t="n">
        <v>4.18</v>
      </c>
      <c r="J242" s="259" t="n">
        <v>0.008</v>
      </c>
      <c r="K242" s="259" t="n">
        <v>-0.79</v>
      </c>
      <c r="L242" s="259" t="n">
        <v>-0.263</v>
      </c>
      <c r="M242" s="259" t="n">
        <v>0.51</v>
      </c>
      <c r="N242" s="259" t="n">
        <v>-0.535</v>
      </c>
      <c r="O242" s="259" t="n">
        <v>-0.7</v>
      </c>
      <c r="P242" s="259" t="n">
        <v>0.006</v>
      </c>
      <c r="Q242" s="259" t="n">
        <v>0.065</v>
      </c>
      <c r="R242" s="259" t="n">
        <v>0</v>
      </c>
      <c r="S242" s="259" t="n">
        <v>-0.629</v>
      </c>
      <c r="T242" s="259" t="n">
        <v>0.003</v>
      </c>
      <c r="U242" s="259" t="n">
        <v>2.97</v>
      </c>
      <c r="V242" s="259" t="n">
        <v>0.007</v>
      </c>
      <c r="W242" s="259" t="n">
        <v>0.008</v>
      </c>
      <c r="X242" s="259" t="n">
        <v>2.988</v>
      </c>
      <c r="Y242" s="259" t="n">
        <v>0.004</v>
      </c>
      <c r="Z242" s="259" t="n">
        <v>0.036</v>
      </c>
      <c r="AA242" s="259" t="n">
        <v>0.024</v>
      </c>
      <c r="AB242" s="259" t="n">
        <v>0.662</v>
      </c>
      <c r="AC242" s="259" t="n">
        <v>0.726</v>
      </c>
      <c r="AD242" s="259" t="n">
        <v>0.01</v>
      </c>
      <c r="AE242" s="259" t="n">
        <v>0.006</v>
      </c>
      <c r="AF242" s="259" t="n">
        <v>0.091</v>
      </c>
      <c r="AG242" s="259" t="n">
        <v>0.081</v>
      </c>
      <c r="AH242" s="259" t="n">
        <v>0.188</v>
      </c>
      <c r="AI242" s="259" t="n">
        <v>0.003</v>
      </c>
      <c r="AJ242" s="259" t="n">
        <v>0.015</v>
      </c>
      <c r="AK242" s="259" t="n">
        <v>0.015</v>
      </c>
      <c r="AL242" s="259" t="n">
        <v>0.054</v>
      </c>
      <c r="AM242" s="259" t="n">
        <v>0.08699999999999999</v>
      </c>
      <c r="AN242" s="259" t="n">
        <v>1.843</v>
      </c>
      <c r="AO242" s="259" t="n">
        <v>0.031</v>
      </c>
      <c r="AP242" s="259" t="n">
        <v>22.314</v>
      </c>
      <c r="AQ242" s="259" t="n">
        <v>0.016</v>
      </c>
      <c r="AR242" s="259" t="n">
        <v>24.204</v>
      </c>
      <c r="AS242" s="259" t="n">
        <v>0.002</v>
      </c>
      <c r="AT242" s="259" t="n">
        <v>0.298</v>
      </c>
      <c r="AU242" s="259" t="n">
        <v>0</v>
      </c>
      <c r="AV242" s="259" t="n">
        <v>8.054</v>
      </c>
      <c r="AW242" s="259" t="n">
        <v>8.353999999999999</v>
      </c>
      <c r="AX242" s="259" t="n">
        <v>0.005</v>
      </c>
      <c r="AY242" s="259" t="n">
        <v>0.005</v>
      </c>
      <c r="AZ242" s="259" t="n">
        <v>-75.06699999999999</v>
      </c>
      <c r="BA242" s="259" t="n">
        <v>-14.94</v>
      </c>
      <c r="BB242" s="259" t="n">
        <v>-89.997</v>
      </c>
      <c r="BC242" s="259" t="n">
        <v>-29.944</v>
      </c>
      <c r="BD242" s="259" t="n">
        <v>120.455</v>
      </c>
      <c r="BE242" s="259" t="n">
        <v>0.012</v>
      </c>
      <c r="BF242" s="259" t="n">
        <v>0</v>
      </c>
      <c r="BG242" s="259" t="n">
        <v>90.523</v>
      </c>
      <c r="BH242" s="259" t="n">
        <v>0.047</v>
      </c>
      <c r="BI242" s="259" t="n">
        <v>0.463</v>
      </c>
      <c r="BJ242" s="259" t="n">
        <v>0.008</v>
      </c>
      <c r="BK242" s="259" t="n">
        <v>-0.018</v>
      </c>
      <c r="BL242" s="259" t="n">
        <v>0.5</v>
      </c>
      <c r="BM242" s="259" t="n">
        <v>0.2</v>
      </c>
      <c r="BN242" s="259" t="n">
        <v>0.2</v>
      </c>
      <c r="BO242" s="259" t="n">
        <v>-0.1</v>
      </c>
      <c r="BP242" s="259" t="n">
        <v>0</v>
      </c>
      <c r="BQ242" s="259" t="n">
        <v>0.3</v>
      </c>
      <c r="BR242" s="259" t="n">
        <v>0</v>
      </c>
      <c r="BS242" s="259" t="n">
        <v>0</v>
      </c>
      <c r="BT242" s="259" t="n">
        <v>0</v>
      </c>
      <c r="BU242" s="259" t="n">
        <v>0</v>
      </c>
      <c r="BV242" s="259" t="n">
        <v>0</v>
      </c>
      <c r="BW242" s="259" t="n">
        <v>0</v>
      </c>
      <c r="BX242" s="259" t="n">
        <v>0</v>
      </c>
      <c r="BY242" s="259" t="n">
        <v>0</v>
      </c>
      <c r="BZ242" s="259" t="n">
        <v>0.1</v>
      </c>
      <c r="CA242" s="259" t="n">
        <v>0.1</v>
      </c>
      <c r="CB242" s="259" t="n">
        <v>0</v>
      </c>
      <c r="CC242" s="35" t="n"/>
      <c r="CD242" s="35" t="n"/>
      <c r="CE242" s="35" t="n"/>
      <c r="CF242" s="261">
        <f>SUM(CB242:CB242)</f>
        <v>0</v>
      </c>
      <c r="CG242" s="260" t="n">
        <v>0</v>
      </c>
      <c r="CH242" s="260" t="n">
        <v>0</v>
      </c>
      <c r="CI242" s="260" t="n">
        <v>0</v>
      </c>
      <c r="CJ242" s="260" t="n">
        <v>0</v>
      </c>
      <c r="CK242" s="260" t="n">
        <v>0</v>
      </c>
      <c r="CL242" s="19" t="n"/>
    </row>
    <row r="243" ht="15" customHeight="1" s="251">
      <c r="B243" s="16" t="inlineStr">
        <is>
          <t>Net cash used in investing activities</t>
        </is>
      </c>
      <c r="C243" s="253" t="n">
        <v>-12.979</v>
      </c>
      <c r="D243" s="253" t="n">
        <v>-21.353</v>
      </c>
      <c r="E243" s="253" t="n">
        <v>-31.611</v>
      </c>
      <c r="F243" s="253" t="n">
        <v>-33.34</v>
      </c>
      <c r="G243" s="253" t="n">
        <v>-19.053</v>
      </c>
      <c r="H243" s="253" t="n">
        <v>-4.845</v>
      </c>
      <c r="I243" s="253" t="n">
        <v>-13.661</v>
      </c>
      <c r="J243" s="253" t="n">
        <v>-6.049</v>
      </c>
      <c r="K243" s="253" t="n">
        <v>-6.335</v>
      </c>
      <c r="L243" s="253" t="n">
        <v>-19.465</v>
      </c>
      <c r="M243" s="253" t="n">
        <v>-13.331</v>
      </c>
      <c r="N243" s="253" t="n">
        <v>-45.18</v>
      </c>
      <c r="O243" s="253" t="n">
        <v>-6.501</v>
      </c>
      <c r="P243" s="253" t="n">
        <v>-22.431</v>
      </c>
      <c r="Q243" s="253" t="n">
        <v>-11.887</v>
      </c>
      <c r="R243" s="253" t="n">
        <v>-6.298</v>
      </c>
      <c r="S243" s="253" t="n">
        <v>-47.117</v>
      </c>
      <c r="T243" s="253" t="n">
        <v>-3.485</v>
      </c>
      <c r="U243" s="253" t="n">
        <v>-5</v>
      </c>
      <c r="V243" s="253" t="n">
        <v>-4.405</v>
      </c>
      <c r="W243" s="253" t="n">
        <v>-5.019</v>
      </c>
      <c r="X243" s="253" t="n">
        <v>-17.909</v>
      </c>
      <c r="Y243" s="253" t="n">
        <v>-505.266</v>
      </c>
      <c r="Z243" s="253" t="n">
        <v>-4.493</v>
      </c>
      <c r="AA243" s="253" t="n">
        <v>-4.812</v>
      </c>
      <c r="AB243" s="253" t="n">
        <v>-5.567</v>
      </c>
      <c r="AC243" s="253" t="n">
        <v>-520.138</v>
      </c>
      <c r="AD243" s="253" t="n">
        <v>-5.156</v>
      </c>
      <c r="AE243" s="253" t="n">
        <v>-5.1</v>
      </c>
      <c r="AF243" s="253" t="n">
        <v>-4.703</v>
      </c>
      <c r="AG243" s="253" t="n">
        <v>-6.398</v>
      </c>
      <c r="AH243" s="253" t="n">
        <v>-21.357</v>
      </c>
      <c r="AI243" s="253" t="n">
        <v>-5.656</v>
      </c>
      <c r="AJ243" s="253" t="n">
        <v>-6.993</v>
      </c>
      <c r="AK243" s="253" t="n">
        <v>-7.86</v>
      </c>
      <c r="AL243" s="253" t="n">
        <v>-7.38</v>
      </c>
      <c r="AM243" s="253" t="n">
        <v>-27.889</v>
      </c>
      <c r="AN243" s="253" t="n">
        <v>-5.15</v>
      </c>
      <c r="AO243" s="253" t="n">
        <v>-10.722</v>
      </c>
      <c r="AP243" s="253" t="n">
        <v>10.855</v>
      </c>
      <c r="AQ243" s="253" t="n">
        <v>-12.125</v>
      </c>
      <c r="AR243" s="253" t="n">
        <v>-17.142</v>
      </c>
      <c r="AS243" s="253" t="n">
        <v>-12.038</v>
      </c>
      <c r="AT243" s="253" t="n">
        <v>-41.72</v>
      </c>
      <c r="AU243" s="253" t="n">
        <v>-7.346</v>
      </c>
      <c r="AV243" s="253" t="n">
        <v>-1.681</v>
      </c>
      <c r="AW243" s="253" t="n">
        <v>-62.785</v>
      </c>
      <c r="AX243" s="253" t="n">
        <v>-3.625</v>
      </c>
      <c r="AY243" s="253" t="n">
        <v>-2.128</v>
      </c>
      <c r="AZ243" s="253" t="n">
        <v>-77.86799999999999</v>
      </c>
      <c r="BA243" s="253" t="n">
        <v>-17.903</v>
      </c>
      <c r="BB243" s="253" t="n">
        <v>-101.524</v>
      </c>
      <c r="BC243" s="253" t="n">
        <v>-33.311</v>
      </c>
      <c r="BD243" s="253" t="n">
        <v>116.94</v>
      </c>
      <c r="BE243" s="253" t="n">
        <v>-2923.108</v>
      </c>
      <c r="BF243" s="253" t="n">
        <v>-7.998</v>
      </c>
      <c r="BG243" s="253" t="n">
        <v>-2847.477</v>
      </c>
      <c r="BH243" s="253" t="n">
        <v>15.156</v>
      </c>
      <c r="BI243" s="253" t="n">
        <v>-14.756</v>
      </c>
      <c r="BJ243" s="253" t="n">
        <v>-1.993</v>
      </c>
      <c r="BK243" s="253" t="n">
        <v>-12.407</v>
      </c>
      <c r="BL243" s="253" t="n">
        <v>-14</v>
      </c>
      <c r="BM243" s="253" t="n">
        <v>-6.5</v>
      </c>
      <c r="BN243" s="253" t="n">
        <v>-26</v>
      </c>
      <c r="BO243" s="253" t="n">
        <v>-10.2</v>
      </c>
      <c r="BP243" s="253" t="n">
        <v>-9.5</v>
      </c>
      <c r="BQ243" s="253" t="n">
        <v>-52.2</v>
      </c>
      <c r="BR243" s="253" t="n">
        <v>-9</v>
      </c>
      <c r="BS243" s="253" t="n">
        <v>-16.2</v>
      </c>
      <c r="BT243" s="253" t="n">
        <v>-10.4</v>
      </c>
      <c r="BU243" s="253" t="n">
        <v>-14.2</v>
      </c>
      <c r="BV243" s="253" t="n">
        <v>-49.8</v>
      </c>
      <c r="BW243" s="253" t="n">
        <v>-15.7</v>
      </c>
      <c r="BX243" s="253" t="n">
        <v>-291.7</v>
      </c>
      <c r="BY243" s="253" t="n">
        <v>-23</v>
      </c>
      <c r="BZ243" s="253" t="n">
        <v>-19.3</v>
      </c>
      <c r="CA243" s="253" t="n">
        <v>-349.7</v>
      </c>
      <c r="CB243" s="253" t="n">
        <v>-24.9</v>
      </c>
      <c r="CC243" s="32" t="n"/>
      <c r="CD243" s="32" t="n"/>
      <c r="CE243" s="32" t="n"/>
      <c r="CF243" s="254">
        <f>SUM(CF240:CF242)</f>
        <v>-122.7927214819</v>
      </c>
      <c r="CG243" s="254">
        <f>SUM(CG240:CG242)</f>
        <v>-345.390999209212</v>
      </c>
      <c r="CH243" s="254">
        <f>SUM(CH240:CH242)</f>
        <v>-351.322111584277</v>
      </c>
      <c r="CI243" s="254">
        <f>SUM(CI240:CI242)</f>
        <v>-353.22560250166</v>
      </c>
      <c r="CJ243" s="254">
        <f>SUM(CJ240:CJ242)</f>
        <v>-363.322403432629</v>
      </c>
      <c r="CK243" s="254">
        <f>SUM(CK240:CK242)</f>
        <v>-373.289307499895</v>
      </c>
      <c r="CL243" s="153" t="n"/>
    </row>
    <row r="244" ht="15" customHeight="1" s="251">
      <c r="B244" s="25" t="inlineStr">
        <is>
          <t>Repurchases of common stock incl. shares withheld for taxes on equity awards</t>
        </is>
      </c>
      <c r="C244" s="259" t="n">
        <v>0</v>
      </c>
      <c r="D244" s="259" t="n">
        <v>-1.05</v>
      </c>
      <c r="E244" s="259" t="n">
        <v>-2.542</v>
      </c>
      <c r="F244" s="259" t="n">
        <v>-0.569</v>
      </c>
      <c r="G244" s="259" t="n">
        <v>-0.862</v>
      </c>
      <c r="H244" s="259" t="n">
        <v>-0.55</v>
      </c>
      <c r="I244" s="259" t="n">
        <v>-0.629</v>
      </c>
      <c r="J244" s="259" t="n">
        <v>0</v>
      </c>
      <c r="K244" s="259" t="n">
        <v>0</v>
      </c>
      <c r="L244" s="259" t="n">
        <v>-4.18</v>
      </c>
      <c r="M244" s="259" t="n">
        <v>-0.07199999999999999</v>
      </c>
      <c r="N244" s="259" t="n">
        <v>-4.252</v>
      </c>
      <c r="O244" s="259" t="n">
        <v>-0.109</v>
      </c>
      <c r="P244" s="259" t="n">
        <v>0</v>
      </c>
      <c r="Q244" s="259" t="n">
        <v>-0.553</v>
      </c>
      <c r="R244" s="259" t="n">
        <v>-1.126</v>
      </c>
      <c r="S244" s="259" t="n">
        <v>-1.788</v>
      </c>
      <c r="T244" s="259" t="n">
        <v>-0.948</v>
      </c>
      <c r="U244" s="259" t="n">
        <v>-3.773</v>
      </c>
      <c r="V244" s="259" t="n">
        <v>-2.328</v>
      </c>
      <c r="W244" s="259" t="n">
        <v>-0.011</v>
      </c>
      <c r="X244" s="259" t="n">
        <v>-7.06</v>
      </c>
      <c r="Y244" s="259" t="n">
        <v>-2.182</v>
      </c>
      <c r="Z244" s="259" t="n">
        <v>-5.516</v>
      </c>
      <c r="AA244" s="259" t="n">
        <v>-2.772</v>
      </c>
      <c r="AB244" s="259" t="n">
        <v>-0.022</v>
      </c>
      <c r="AC244" s="259" t="n">
        <v>-10.492</v>
      </c>
      <c r="AD244" s="259" t="n">
        <v>-3.426</v>
      </c>
      <c r="AE244" s="259" t="n">
        <v>-0.104</v>
      </c>
      <c r="AF244" s="259" t="n">
        <v>-1.22</v>
      </c>
      <c r="AG244" s="259" t="n">
        <v>-0.004</v>
      </c>
      <c r="AH244" s="259" t="n">
        <v>-4.754</v>
      </c>
      <c r="AI244" s="259" t="n">
        <v>-2.288</v>
      </c>
      <c r="AJ244" s="259" t="n">
        <v>-1.068</v>
      </c>
      <c r="AK244" s="259" t="n">
        <v>-1.577</v>
      </c>
      <c r="AL244" s="259" t="n">
        <v>-0.059</v>
      </c>
      <c r="AM244" s="259" t="n">
        <v>-4.992</v>
      </c>
      <c r="AN244" s="259" t="n">
        <v>-1.491</v>
      </c>
      <c r="AO244" s="259" t="n">
        <v>-2.04</v>
      </c>
      <c r="AP244" s="259" t="n">
        <v>-1.18</v>
      </c>
      <c r="AQ244" s="259" t="n">
        <v>-0.521</v>
      </c>
      <c r="AR244" s="259" t="n">
        <v>-5.232</v>
      </c>
      <c r="AS244" s="259" t="n">
        <v>-9.513999999999999</v>
      </c>
      <c r="AT244" s="259" t="n">
        <v>-0.334</v>
      </c>
      <c r="AU244" s="259" t="n">
        <v>-1.7</v>
      </c>
      <c r="AV244" s="259" t="n">
        <v>-0.661</v>
      </c>
      <c r="AW244" s="259" t="n">
        <v>-12.209</v>
      </c>
      <c r="AX244" s="259" t="n">
        <v>-4.391</v>
      </c>
      <c r="AY244" s="259" t="n">
        <v>-0.008</v>
      </c>
      <c r="AZ244" s="259" t="n">
        <v>-1.807</v>
      </c>
      <c r="BA244" s="259" t="n">
        <v>-0.639</v>
      </c>
      <c r="BB244" s="259" t="n">
        <v>-6.845</v>
      </c>
      <c r="BC244" s="259" t="n">
        <v>-6.264</v>
      </c>
      <c r="BD244" s="259" t="n">
        <v>-0.092</v>
      </c>
      <c r="BE244" s="259" t="n">
        <v>-1.3</v>
      </c>
      <c r="BF244" s="259" t="n">
        <v>-0.87</v>
      </c>
      <c r="BG244" s="259" t="n">
        <v>-8.526</v>
      </c>
      <c r="BH244" s="259" t="n">
        <v>-5.984</v>
      </c>
      <c r="BI244" s="259" t="n">
        <v>-0.015</v>
      </c>
      <c r="BJ244" s="259" t="n">
        <v>-0.5600000000000001</v>
      </c>
      <c r="BK244" s="259" t="n">
        <v>-1.141</v>
      </c>
      <c r="BL244" s="259" t="n">
        <v>-7.7</v>
      </c>
      <c r="BM244" s="259" t="n">
        <v>-6.8</v>
      </c>
      <c r="BN244" s="259" t="n">
        <v>-0.2</v>
      </c>
      <c r="BO244" s="259" t="n">
        <v>-0.6</v>
      </c>
      <c r="BP244" s="259" t="n">
        <v>-3.4</v>
      </c>
      <c r="BQ244" s="259" t="n">
        <v>-11</v>
      </c>
      <c r="BR244" s="259" t="n">
        <v>-8</v>
      </c>
      <c r="BS244" s="259" t="n">
        <v>-0.4</v>
      </c>
      <c r="BT244" s="259" t="n">
        <v>-0.2</v>
      </c>
      <c r="BU244" s="259" t="n">
        <v>-0.9</v>
      </c>
      <c r="BV244" s="259" t="n">
        <v>-9.5</v>
      </c>
      <c r="BW244" s="259" t="n">
        <v>-12.1</v>
      </c>
      <c r="BX244" s="259" t="n">
        <v>-0.6</v>
      </c>
      <c r="BY244" s="259" t="n">
        <v>-0.5</v>
      </c>
      <c r="BZ244" s="259" t="n">
        <v>-1.2</v>
      </c>
      <c r="CA244" s="259" t="n">
        <v>-14.4</v>
      </c>
      <c r="CB244" s="259" t="n">
        <v>-10.7</v>
      </c>
      <c r="CC244" s="35" t="n"/>
      <c r="CD244" s="35" t="n"/>
      <c r="CE244" s="35" t="n"/>
      <c r="CF244" s="261">
        <f>SUM(CB244:CB244)-1.0</f>
        <v>-11.7</v>
      </c>
      <c r="CG244" s="261">
        <f>-CG356-12.0</f>
        <v>-585.340693936499</v>
      </c>
      <c r="CH244" s="261">
        <f>-CH356-12.0</f>
        <v>-390.579539371443</v>
      </c>
      <c r="CI244" s="261">
        <f>-CI356-12.0</f>
        <v>-472.420715674665</v>
      </c>
      <c r="CJ244" s="261">
        <f>-CJ356-12.0</f>
        <v>-525.079829823395</v>
      </c>
      <c r="CK244" s="261">
        <f>-CK356-12.0</f>
        <v>-580.991347567914</v>
      </c>
      <c r="CL244" s="19" t="inlineStr">
        <is>
          <t>History: repurchases (shares withheld from employees for tax on vested awards; no open-market buybacks under the $100m 2019 authorization). FY2028E+: leverage plug + withholding.</t>
        </is>
      </c>
    </row>
    <row r="245" ht="15" customHeight="1" s="251">
      <c r="B245" s="25" t="inlineStr">
        <is>
          <t>Dividends paid (common special FY2015; preferred FY2022–FY2025)</t>
        </is>
      </c>
      <c r="C245" s="259" t="n">
        <v>0</v>
      </c>
      <c r="D245" s="259" t="n">
        <v>0</v>
      </c>
      <c r="E245" s="259" t="n">
        <v>0</v>
      </c>
      <c r="F245" s="259" t="n">
        <v>0</v>
      </c>
      <c r="G245" s="259" t="n">
        <v>0</v>
      </c>
      <c r="H245" s="259" t="n">
        <v>0</v>
      </c>
      <c r="I245" s="259" t="n">
        <v>0</v>
      </c>
      <c r="J245" s="259" t="n">
        <v>0</v>
      </c>
      <c r="K245" s="259" t="n">
        <v>0</v>
      </c>
      <c r="L245" s="259" t="n">
        <v>0</v>
      </c>
      <c r="M245" s="259" t="n">
        <v>0</v>
      </c>
      <c r="N245" s="259" t="n">
        <v>0</v>
      </c>
      <c r="O245" s="259" t="n">
        <v>0</v>
      </c>
      <c r="P245" s="259" t="n">
        <v>0</v>
      </c>
      <c r="Q245" s="259" t="n">
        <v>0</v>
      </c>
      <c r="R245" s="259" t="n">
        <v>0</v>
      </c>
      <c r="S245" s="259" t="n">
        <v>0</v>
      </c>
      <c r="T245" s="259" t="n">
        <v>-46.014</v>
      </c>
      <c r="U245" s="259" t="n">
        <v>0</v>
      </c>
      <c r="V245" s="259" t="n">
        <v>0</v>
      </c>
      <c r="W245" s="259" t="n">
        <v>0</v>
      </c>
      <c r="X245" s="259" t="n">
        <v>-46.014</v>
      </c>
      <c r="Y245" s="259" t="n">
        <v>0</v>
      </c>
      <c r="Z245" s="259" t="n">
        <v>0</v>
      </c>
      <c r="AA245" s="259" t="n">
        <v>0</v>
      </c>
      <c r="AB245" s="259" t="n">
        <v>0</v>
      </c>
      <c r="AC245" s="259" t="n">
        <v>0</v>
      </c>
      <c r="AD245" s="259" t="n">
        <v>0</v>
      </c>
      <c r="AE245" s="259" t="n">
        <v>0</v>
      </c>
      <c r="AF245" s="259" t="n">
        <v>0</v>
      </c>
      <c r="AG245" s="259" t="n">
        <v>0</v>
      </c>
      <c r="AH245" s="259" t="n">
        <v>0</v>
      </c>
      <c r="AI245" s="259" t="n">
        <v>0</v>
      </c>
      <c r="AJ245" s="259" t="n">
        <v>0</v>
      </c>
      <c r="AK245" s="259" t="n">
        <v>0</v>
      </c>
      <c r="AL245" s="259" t="n">
        <v>0</v>
      </c>
      <c r="AM245" s="259" t="n">
        <v>0</v>
      </c>
      <c r="AN245" s="259" t="n">
        <v>0</v>
      </c>
      <c r="AO245" s="259" t="n">
        <v>0</v>
      </c>
      <c r="AP245" s="259" t="n">
        <v>0</v>
      </c>
      <c r="AQ245" s="259" t="n">
        <v>0</v>
      </c>
      <c r="AR245" s="259" t="n">
        <v>0</v>
      </c>
      <c r="AS245" s="259" t="n">
        <v>0</v>
      </c>
      <c r="AT245" s="259" t="n">
        <v>0</v>
      </c>
      <c r="AU245" s="259" t="n">
        <v>0</v>
      </c>
      <c r="AV245" s="259" t="n">
        <v>0</v>
      </c>
      <c r="AW245" s="259" t="n">
        <v>0</v>
      </c>
      <c r="AX245" s="259" t="n">
        <v>0</v>
      </c>
      <c r="AY245" s="259" t="n">
        <v>0</v>
      </c>
      <c r="AZ245" s="259" t="n">
        <v>0</v>
      </c>
      <c r="BA245" s="259" t="n">
        <v>0</v>
      </c>
      <c r="BB245" s="259" t="n">
        <v>0</v>
      </c>
      <c r="BC245" s="259" t="n">
        <v>0</v>
      </c>
      <c r="BD245" s="259" t="n">
        <v>0</v>
      </c>
      <c r="BE245" s="259" t="n">
        <v>0</v>
      </c>
      <c r="BF245" s="259" t="n">
        <v>-7.092</v>
      </c>
      <c r="BG245" s="259" t="n">
        <v>-7.092</v>
      </c>
      <c r="BH245" s="259" t="n">
        <v>-5.75</v>
      </c>
      <c r="BI245" s="259" t="n">
        <v>-5.75</v>
      </c>
      <c r="BJ245" s="259" t="n">
        <v>-5.75</v>
      </c>
      <c r="BK245" s="259" t="n">
        <v>-5.65</v>
      </c>
      <c r="BL245" s="259" t="n">
        <v>-22.9</v>
      </c>
      <c r="BM245" s="259" t="n">
        <v>-5.7</v>
      </c>
      <c r="BN245" s="259" t="n">
        <v>-5.8</v>
      </c>
      <c r="BO245" s="259" t="n">
        <v>-5.8</v>
      </c>
      <c r="BP245" s="259" t="n">
        <v>-5.7</v>
      </c>
      <c r="BQ245" s="259" t="n">
        <v>-23</v>
      </c>
      <c r="BR245" s="259" t="n">
        <v>-5.7</v>
      </c>
      <c r="BS245" s="259" t="n">
        <v>-5.8</v>
      </c>
      <c r="BT245" s="259" t="n">
        <v>-5.7</v>
      </c>
      <c r="BU245" s="259" t="n">
        <v>0</v>
      </c>
      <c r="BV245" s="259" t="n">
        <v>-17.2</v>
      </c>
      <c r="BW245" s="259" t="n">
        <v>0</v>
      </c>
      <c r="BX245" s="259" t="n">
        <v>0</v>
      </c>
      <c r="BY245" s="259" t="n">
        <v>0</v>
      </c>
      <c r="BZ245" s="259" t="n">
        <v>0</v>
      </c>
      <c r="CA245" s="259" t="n">
        <v>0</v>
      </c>
      <c r="CB245" s="259" t="n">
        <v>0</v>
      </c>
      <c r="CC245" s="35" t="n"/>
      <c r="CD245" s="35" t="n"/>
      <c r="CE245" s="35" t="n"/>
      <c r="CF245" s="261">
        <f>SUM(CB245:CB245)</f>
        <v>0</v>
      </c>
      <c r="CG245" s="261">
        <f>0</f>
        <v>0</v>
      </c>
      <c r="CH245" s="261">
        <f>0</f>
        <v>0</v>
      </c>
      <c r="CI245" s="261">
        <f>0</f>
        <v>0</v>
      </c>
      <c r="CJ245" s="261">
        <f>0</f>
        <v>0</v>
      </c>
      <c r="CK245" s="261">
        <f>0</f>
        <v>0</v>
      </c>
      <c r="CL245" s="19" t="n"/>
    </row>
    <row r="246" ht="15" customHeight="1" s="251">
      <c r="B246" s="25" t="inlineStr">
        <is>
          <t>Equity issued (IPO, Dodge common &amp; MCPS offerings, option / award exercises)</t>
        </is>
      </c>
      <c r="C246" s="259" t="n">
        <v>92.626</v>
      </c>
      <c r="D246" s="259" t="n">
        <v>64.32599999999999</v>
      </c>
      <c r="E246" s="259" t="n">
        <v>4.038</v>
      </c>
      <c r="F246" s="259" t="n">
        <v>0.253</v>
      </c>
      <c r="G246" s="259" t="n">
        <v>0.323</v>
      </c>
      <c r="H246" s="259" t="n">
        <v>3.137</v>
      </c>
      <c r="I246" s="259" t="n">
        <v>2.813</v>
      </c>
      <c r="J246" s="259" t="n">
        <v>3.129</v>
      </c>
      <c r="K246" s="259" t="n">
        <v>7.517</v>
      </c>
      <c r="L246" s="259" t="n">
        <v>4.971</v>
      </c>
      <c r="M246" s="259" t="n">
        <v>0.799</v>
      </c>
      <c r="N246" s="259" t="n">
        <v>16.416</v>
      </c>
      <c r="O246" s="259" t="n">
        <v>0.357</v>
      </c>
      <c r="P246" s="259" t="n">
        <v>1.025</v>
      </c>
      <c r="Q246" s="259" t="n">
        <v>2.25</v>
      </c>
      <c r="R246" s="259" t="n">
        <v>0.976</v>
      </c>
      <c r="S246" s="259" t="n">
        <v>4.608</v>
      </c>
      <c r="T246" s="259" t="n">
        <v>2.377</v>
      </c>
      <c r="U246" s="259" t="n">
        <v>0.615</v>
      </c>
      <c r="V246" s="259" t="n">
        <v>0.441</v>
      </c>
      <c r="W246" s="259" t="n">
        <v>1.026</v>
      </c>
      <c r="X246" s="259" t="n">
        <v>4.459</v>
      </c>
      <c r="Y246" s="259" t="n">
        <v>1.273</v>
      </c>
      <c r="Z246" s="259" t="n">
        <v>0.5639999999999999</v>
      </c>
      <c r="AA246" s="259" t="n">
        <v>2.235</v>
      </c>
      <c r="AB246" s="259" t="n">
        <v>0.511</v>
      </c>
      <c r="AC246" s="259" t="n">
        <v>4.583</v>
      </c>
      <c r="AD246" s="259" t="n">
        <v>4.659</v>
      </c>
      <c r="AE246" s="259" t="n">
        <v>0.119</v>
      </c>
      <c r="AF246" s="259" t="n">
        <v>6.789</v>
      </c>
      <c r="AG246" s="259" t="n">
        <v>4.603</v>
      </c>
      <c r="AH246" s="259" t="n">
        <v>16.17</v>
      </c>
      <c r="AI246" s="259" t="n">
        <v>6.107</v>
      </c>
      <c r="AJ246" s="259" t="n">
        <v>0.307</v>
      </c>
      <c r="AK246" s="259" t="n">
        <v>3.036</v>
      </c>
      <c r="AL246" s="259" t="n">
        <v>3.824</v>
      </c>
      <c r="AM246" s="259" t="n">
        <v>13.274</v>
      </c>
      <c r="AN246" s="259" t="n">
        <v>6.418</v>
      </c>
      <c r="AO246" s="259" t="n">
        <v>12.991</v>
      </c>
      <c r="AP246" s="259" t="n">
        <v>1.252</v>
      </c>
      <c r="AQ246" s="259" t="n">
        <v>2.61</v>
      </c>
      <c r="AR246" s="259" t="n">
        <v>23.271</v>
      </c>
      <c r="AS246" s="259" t="n">
        <v>0.276</v>
      </c>
      <c r="AT246" s="259" t="n">
        <v>10.185</v>
      </c>
      <c r="AU246" s="259" t="n">
        <v>1.616</v>
      </c>
      <c r="AV246" s="259" t="n">
        <v>1.521</v>
      </c>
      <c r="AW246" s="259" t="n">
        <v>13.598</v>
      </c>
      <c r="AX246" s="259" t="n">
        <v>0.231</v>
      </c>
      <c r="AY246" s="259" t="n">
        <v>2.189</v>
      </c>
      <c r="AZ246" s="259" t="n">
        <v>3.685</v>
      </c>
      <c r="BA246" s="259" t="n">
        <v>5.271</v>
      </c>
      <c r="BB246" s="259" t="n">
        <v>11.376</v>
      </c>
      <c r="BC246" s="259" t="n">
        <v>16.681</v>
      </c>
      <c r="BD246" s="259" t="n">
        <v>1051.261</v>
      </c>
      <c r="BE246" s="259" t="n">
        <v>0.586</v>
      </c>
      <c r="BF246" s="259" t="n">
        <v>0.306</v>
      </c>
      <c r="BG246" s="259" t="n">
        <v>1068.834</v>
      </c>
      <c r="BH246" s="259" t="n">
        <v>1.46</v>
      </c>
      <c r="BI246" s="259" t="n">
        <v>8.563000000000001</v>
      </c>
      <c r="BJ246" s="259" t="n">
        <v>0.372</v>
      </c>
      <c r="BK246" s="259" t="n">
        <v>1.205</v>
      </c>
      <c r="BL246" s="259" t="n">
        <v>11.6</v>
      </c>
      <c r="BM246" s="259" t="n">
        <v>1</v>
      </c>
      <c r="BN246" s="259" t="n">
        <v>2</v>
      </c>
      <c r="BO246" s="259" t="n">
        <v>10.8</v>
      </c>
      <c r="BP246" s="259" t="n">
        <v>6.6</v>
      </c>
      <c r="BQ246" s="259" t="n">
        <v>20.4</v>
      </c>
      <c r="BR246" s="259" t="n">
        <v>1.2</v>
      </c>
      <c r="BS246" s="259" t="n">
        <v>24</v>
      </c>
      <c r="BT246" s="259" t="n">
        <v>4.8</v>
      </c>
      <c r="BU246" s="259" t="n">
        <v>4.9</v>
      </c>
      <c r="BV246" s="259" t="n">
        <v>34.9</v>
      </c>
      <c r="BW246" s="259" t="n">
        <v>11.5</v>
      </c>
      <c r="BX246" s="259" t="n">
        <v>8.800000000000001</v>
      </c>
      <c r="BY246" s="259" t="n">
        <v>1.4</v>
      </c>
      <c r="BZ246" s="259" t="n">
        <v>2.5</v>
      </c>
      <c r="CA246" s="259" t="n">
        <v>24.2</v>
      </c>
      <c r="CB246" s="259" t="n">
        <v>2.4</v>
      </c>
      <c r="CC246" s="35" t="n"/>
      <c r="CD246" s="35" t="n"/>
      <c r="CE246" s="35" t="n"/>
      <c r="CF246" s="261">
        <f>SUM(CB246:CB246)+3.0</f>
        <v>5.4</v>
      </c>
      <c r="CG246" s="260" t="n">
        <v>12</v>
      </c>
      <c r="CH246" s="260" t="n">
        <v>12</v>
      </c>
      <c r="CI246" s="260" t="n">
        <v>12</v>
      </c>
      <c r="CJ246" s="260" t="n">
        <v>12</v>
      </c>
      <c r="CK246" s="260" t="n">
        <v>12</v>
      </c>
      <c r="CL246" s="19" t="n"/>
    </row>
    <row r="247" ht="15" customHeight="1" s="251">
      <c r="B247" s="25" t="inlineStr">
        <is>
          <t>Net debt issuance / (repayment) (forecast; inside debt &amp; other financing historically)</t>
        </is>
      </c>
      <c r="C247" s="34" t="n"/>
      <c r="D247" s="34" t="n"/>
      <c r="E247" s="34" t="n"/>
      <c r="F247" s="34" t="n"/>
      <c r="G247" s="34" t="n"/>
      <c r="H247" s="34" t="n"/>
      <c r="I247" s="34" t="n"/>
      <c r="J247" s="34" t="n"/>
      <c r="K247" s="34" t="n"/>
      <c r="L247" s="34" t="n"/>
      <c r="M247" s="34" t="n"/>
      <c r="N247" s="34" t="n"/>
      <c r="O247" s="34" t="n"/>
      <c r="P247" s="34" t="n"/>
      <c r="Q247" s="34" t="n"/>
      <c r="R247" s="34" t="n"/>
      <c r="S247" s="34" t="n"/>
      <c r="T247" s="34" t="n"/>
      <c r="U247" s="34" t="n"/>
      <c r="V247" s="34" t="n"/>
      <c r="W247" s="34" t="n"/>
      <c r="X247" s="34" t="n"/>
      <c r="Y247" s="34" t="n"/>
      <c r="Z247" s="34" t="n"/>
      <c r="AA247" s="34" t="n"/>
      <c r="AB247" s="34" t="n"/>
      <c r="AC247" s="34" t="n"/>
      <c r="AD247" s="34" t="n"/>
      <c r="AE247" s="34" t="n"/>
      <c r="AF247" s="34" t="n"/>
      <c r="AG247" s="34" t="n"/>
      <c r="AH247" s="34" t="n"/>
      <c r="AI247" s="34" t="n"/>
      <c r="AJ247" s="34" t="n"/>
      <c r="AK247" s="34" t="n"/>
      <c r="AL247" s="34" t="n"/>
      <c r="AM247" s="34" t="n"/>
      <c r="AN247" s="34" t="n"/>
      <c r="AO247" s="34" t="n"/>
      <c r="AP247" s="34" t="n"/>
      <c r="AQ247" s="34" t="n"/>
      <c r="AR247" s="34" t="n"/>
      <c r="AS247" s="34" t="n"/>
      <c r="AT247" s="34" t="n"/>
      <c r="AU247" s="34" t="n"/>
      <c r="AV247" s="34" t="n"/>
      <c r="AW247" s="34" t="n"/>
      <c r="AX247" s="34" t="n"/>
      <c r="AY247" s="34" t="n"/>
      <c r="AZ247" s="34" t="n"/>
      <c r="BA247" s="34" t="n"/>
      <c r="BB247" s="34" t="n"/>
      <c r="BC247" s="34" t="n"/>
      <c r="BD247" s="34" t="n"/>
      <c r="BE247" s="34" t="n"/>
      <c r="BF247" s="34" t="n"/>
      <c r="BG247" s="34" t="n"/>
      <c r="BH247" s="34" t="n"/>
      <c r="BI247" s="34" t="n"/>
      <c r="BJ247" s="34" t="n"/>
      <c r="BK247" s="34" t="n"/>
      <c r="BL247" s="34" t="n"/>
      <c r="BM247" s="34" t="n"/>
      <c r="BN247" s="34" t="n"/>
      <c r="BO247" s="34" t="n"/>
      <c r="BP247" s="34" t="n"/>
      <c r="BQ247" s="34" t="n"/>
      <c r="BR247" s="34" t="n"/>
      <c r="BS247" s="34" t="n"/>
      <c r="BT247" s="34" t="n"/>
      <c r="BU247" s="34" t="n"/>
      <c r="BV247" s="34" t="n"/>
      <c r="BW247" s="34" t="n"/>
      <c r="BX247" s="34" t="n"/>
      <c r="BY247" s="34" t="n"/>
      <c r="BZ247" s="34" t="n"/>
      <c r="CA247" s="34" t="n"/>
      <c r="CB247" s="34" t="n"/>
      <c r="CC247" s="35" t="n"/>
      <c r="CD247" s="35" t="n"/>
      <c r="CE247" s="35" t="n"/>
      <c r="CF247" s="261">
        <f>CF338-CB338</f>
        <v>-260.654466098766</v>
      </c>
      <c r="CG247" s="261">
        <f>CG347</f>
        <v>346.463580544825</v>
      </c>
      <c r="CH247" s="261">
        <f>CH347</f>
        <v>102.16253050758</v>
      </c>
      <c r="CI247" s="261">
        <f>CI347</f>
        <v>104.439488883402</v>
      </c>
      <c r="CJ247" s="261">
        <f>CJ347</f>
        <v>99.7738207733405</v>
      </c>
      <c r="CK247" s="261">
        <f>CK347</f>
        <v>98.683056319235</v>
      </c>
      <c r="CL247" s="19" t="inlineStr">
        <is>
          <t>Per the debt schedule: term loan repaid ($50m in Jul-2026, $46m at the 2-Nov-2026 maturity); revolver drawn or repaid to the minimum cash balance; 2029 notes refinanced.</t>
        </is>
      </c>
    </row>
    <row r="248" ht="15" customHeight="1" s="251">
      <c r="B248" s="25" t="inlineStr">
        <is>
          <t>Debt &amp; other financing, net (derived historically)</t>
        </is>
      </c>
      <c r="C248" s="259" t="n">
        <v>-90.715</v>
      </c>
      <c r="D248" s="259" t="n">
        <v>-108.749</v>
      </c>
      <c r="E248" s="259" t="n">
        <v>7.096</v>
      </c>
      <c r="F248" s="259" t="n">
        <v>10.238</v>
      </c>
      <c r="G248" s="259" t="n">
        <v>-30.849</v>
      </c>
      <c r="H248" s="259" t="n">
        <v>-7.962</v>
      </c>
      <c r="I248" s="259" t="n">
        <v>-29.57</v>
      </c>
      <c r="J248" s="259" t="n">
        <v>0.654</v>
      </c>
      <c r="K248" s="259" t="n">
        <v>3.358</v>
      </c>
      <c r="L248" s="259" t="n">
        <v>11.139</v>
      </c>
      <c r="M248" s="259" t="n">
        <v>1.338</v>
      </c>
      <c r="N248" s="259" t="n">
        <v>16.489</v>
      </c>
      <c r="O248" s="259" t="n">
        <v>0.259</v>
      </c>
      <c r="P248" s="259" t="n">
        <v>0.023</v>
      </c>
      <c r="Q248" s="259" t="n">
        <v>0.914</v>
      </c>
      <c r="R248" s="259" t="n">
        <v>-0.232</v>
      </c>
      <c r="S248" s="259" t="n">
        <v>0.964</v>
      </c>
      <c r="T248" s="259" t="n">
        <v>2.302</v>
      </c>
      <c r="U248" s="259" t="n">
        <v>0.116</v>
      </c>
      <c r="V248" s="259" t="n">
        <v>0.469</v>
      </c>
      <c r="W248" s="259" t="n">
        <v>-0.349</v>
      </c>
      <c r="X248" s="259" t="n">
        <v>2.538</v>
      </c>
      <c r="Y248" s="259" t="n">
        <v>419.133</v>
      </c>
      <c r="Z248" s="259" t="n">
        <v>-24.818</v>
      </c>
      <c r="AA248" s="259" t="n">
        <v>-16.789</v>
      </c>
      <c r="AB248" s="259" t="n">
        <v>-21.828</v>
      </c>
      <c r="AC248" s="259" t="n">
        <v>355.698</v>
      </c>
      <c r="AD248" s="259" t="n">
        <v>-17.149</v>
      </c>
      <c r="AE248" s="259" t="n">
        <v>-14.071</v>
      </c>
      <c r="AF248" s="259" t="n">
        <v>-33.263</v>
      </c>
      <c r="AG248" s="259" t="n">
        <v>-25.706</v>
      </c>
      <c r="AH248" s="259" t="n">
        <v>-90.18899999999999</v>
      </c>
      <c r="AI248" s="259" t="n">
        <v>-32.62</v>
      </c>
      <c r="AJ248" s="259" t="n">
        <v>-17.869</v>
      </c>
      <c r="AK248" s="259" t="n">
        <v>-22.62</v>
      </c>
      <c r="AL248" s="259" t="n">
        <v>-25.116</v>
      </c>
      <c r="AM248" s="259" t="n">
        <v>-98.22499999999999</v>
      </c>
      <c r="AN248" s="259" t="n">
        <v>-30.117</v>
      </c>
      <c r="AO248" s="259" t="n">
        <v>-20.12</v>
      </c>
      <c r="AP248" s="259" t="n">
        <v>-10.117</v>
      </c>
      <c r="AQ248" s="259" t="n">
        <v>-70.96899999999999</v>
      </c>
      <c r="AR248" s="259" t="n">
        <v>-131.323</v>
      </c>
      <c r="AS248" s="259" t="n">
        <v>-17.117</v>
      </c>
      <c r="AT248" s="259" t="n">
        <v>11.424</v>
      </c>
      <c r="AU248" s="259" t="n">
        <v>-15.528</v>
      </c>
      <c r="AV248" s="259" t="n">
        <v>-0.535</v>
      </c>
      <c r="AW248" s="259" t="n">
        <v>-21.756</v>
      </c>
      <c r="AX248" s="259" t="n">
        <v>-0.122</v>
      </c>
      <c r="AY248" s="259" t="n">
        <v>-3.414</v>
      </c>
      <c r="AZ248" s="259" t="n">
        <v>-0.903</v>
      </c>
      <c r="BA248" s="259" t="n">
        <v>-3.455</v>
      </c>
      <c r="BB248" s="259" t="n">
        <v>-7.894</v>
      </c>
      <c r="BC248" s="259" t="n">
        <v>-5.881</v>
      </c>
      <c r="BD248" s="259" t="n">
        <v>-35.447</v>
      </c>
      <c r="BE248" s="259" t="n">
        <v>1790.747</v>
      </c>
      <c r="BF248" s="259" t="n">
        <v>-104.179</v>
      </c>
      <c r="BG248" s="259" t="n">
        <v>1645.24</v>
      </c>
      <c r="BH248" s="259" t="n">
        <v>-126.088</v>
      </c>
      <c r="BI248" s="259" t="n">
        <v>-46.371</v>
      </c>
      <c r="BJ248" s="259" t="n">
        <v>-61.158</v>
      </c>
      <c r="BK248" s="259" t="n">
        <v>-70.18300000000001</v>
      </c>
      <c r="BL248" s="259" t="n">
        <v>-303.8</v>
      </c>
      <c r="BM248" s="259" t="n">
        <v>-52.1</v>
      </c>
      <c r="BN248" s="259" t="n">
        <v>-22.8</v>
      </c>
      <c r="BO248" s="259" t="n">
        <v>-61</v>
      </c>
      <c r="BP248" s="259" t="n">
        <v>-74</v>
      </c>
      <c r="BQ248" s="259" t="n">
        <v>-209.9</v>
      </c>
      <c r="BR248" s="259" t="n">
        <v>-62.2</v>
      </c>
      <c r="BS248" s="259" t="n">
        <v>-32.1</v>
      </c>
      <c r="BT248" s="259" t="n">
        <v>-101.2</v>
      </c>
      <c r="BU248" s="259" t="n">
        <v>-83.09999999999999</v>
      </c>
      <c r="BV248" s="259" t="n">
        <v>-278.6</v>
      </c>
      <c r="BW248" s="259" t="n">
        <v>-7.3</v>
      </c>
      <c r="BX248" s="259" t="n">
        <v>153.7</v>
      </c>
      <c r="BY248" s="259" t="n">
        <v>-83.09999999999999</v>
      </c>
      <c r="BZ248" s="259" t="n">
        <v>-116.4</v>
      </c>
      <c r="CA248" s="259" t="n">
        <v>-53.1</v>
      </c>
      <c r="CB248" s="259" t="n">
        <v>-71.09999999999999</v>
      </c>
      <c r="CC248" s="35" t="n"/>
      <c r="CD248" s="35" t="n"/>
      <c r="CE248" s="35" t="n"/>
      <c r="CF248" s="261">
        <f>SUM(CB248:CB248)</f>
        <v>-71.1</v>
      </c>
      <c r="CG248" s="260" t="n">
        <v>0</v>
      </c>
      <c r="CH248" s="260" t="n">
        <v>0</v>
      </c>
      <c r="CI248" s="260" t="n">
        <v>0</v>
      </c>
      <c r="CJ248" s="260" t="n">
        <v>0</v>
      </c>
      <c r="CK248" s="260" t="n">
        <v>0</v>
      </c>
      <c r="CL248" s="19" t="n"/>
    </row>
    <row r="249" ht="15" customHeight="1" s="251">
      <c r="B249" s="16" t="inlineStr">
        <is>
          <t>Net cash provided by (used in) financing activities</t>
        </is>
      </c>
      <c r="C249" s="253" t="n">
        <v>1.911</v>
      </c>
      <c r="D249" s="253" t="n">
        <v>-45.473</v>
      </c>
      <c r="E249" s="253" t="n">
        <v>8.592000000000001</v>
      </c>
      <c r="F249" s="253" t="n">
        <v>9.922000000000001</v>
      </c>
      <c r="G249" s="253" t="n">
        <v>-31.388</v>
      </c>
      <c r="H249" s="253" t="n">
        <v>-5.375</v>
      </c>
      <c r="I249" s="253" t="n">
        <v>-27.386</v>
      </c>
      <c r="J249" s="253" t="n">
        <v>3.783</v>
      </c>
      <c r="K249" s="253" t="n">
        <v>10.875</v>
      </c>
      <c r="L249" s="253" t="n">
        <v>11.93</v>
      </c>
      <c r="M249" s="253" t="n">
        <v>2.065</v>
      </c>
      <c r="N249" s="253" t="n">
        <v>28.653</v>
      </c>
      <c r="O249" s="253" t="n">
        <v>0.507</v>
      </c>
      <c r="P249" s="253" t="n">
        <v>1.048</v>
      </c>
      <c r="Q249" s="253" t="n">
        <v>2.611</v>
      </c>
      <c r="R249" s="253" t="n">
        <v>-0.382</v>
      </c>
      <c r="S249" s="253" t="n">
        <v>3.784</v>
      </c>
      <c r="T249" s="253" t="n">
        <v>-42.283</v>
      </c>
      <c r="U249" s="253" t="n">
        <v>-3.042</v>
      </c>
      <c r="V249" s="253" t="n">
        <v>-1.418</v>
      </c>
      <c r="W249" s="253" t="n">
        <v>0.666</v>
      </c>
      <c r="X249" s="253" t="n">
        <v>-46.077</v>
      </c>
      <c r="Y249" s="253" t="n">
        <v>418.224</v>
      </c>
      <c r="Z249" s="253" t="n">
        <v>-29.77</v>
      </c>
      <c r="AA249" s="253" t="n">
        <v>-17.326</v>
      </c>
      <c r="AB249" s="253" t="n">
        <v>-21.339</v>
      </c>
      <c r="AC249" s="253" t="n">
        <v>349.789</v>
      </c>
      <c r="AD249" s="253" t="n">
        <v>-15.916</v>
      </c>
      <c r="AE249" s="253" t="n">
        <v>-14.056</v>
      </c>
      <c r="AF249" s="253" t="n">
        <v>-27.694</v>
      </c>
      <c r="AG249" s="253" t="n">
        <v>-21.107</v>
      </c>
      <c r="AH249" s="253" t="n">
        <v>-78.773</v>
      </c>
      <c r="AI249" s="253" t="n">
        <v>-28.801</v>
      </c>
      <c r="AJ249" s="253" t="n">
        <v>-18.63</v>
      </c>
      <c r="AK249" s="253" t="n">
        <v>-21.161</v>
      </c>
      <c r="AL249" s="253" t="n">
        <v>-21.351</v>
      </c>
      <c r="AM249" s="253" t="n">
        <v>-89.943</v>
      </c>
      <c r="AN249" s="253" t="n">
        <v>-25.19</v>
      </c>
      <c r="AO249" s="253" t="n">
        <v>-9.169</v>
      </c>
      <c r="AP249" s="253" t="n">
        <v>-10.045</v>
      </c>
      <c r="AQ249" s="253" t="n">
        <v>-68.88</v>
      </c>
      <c r="AR249" s="253" t="n">
        <v>-113.284</v>
      </c>
      <c r="AS249" s="253" t="n">
        <v>-26.355</v>
      </c>
      <c r="AT249" s="253" t="n">
        <v>21.275</v>
      </c>
      <c r="AU249" s="253" t="n">
        <v>-15.612</v>
      </c>
      <c r="AV249" s="253" t="n">
        <v>0.325</v>
      </c>
      <c r="AW249" s="253" t="n">
        <v>-20.367</v>
      </c>
      <c r="AX249" s="253" t="n">
        <v>-4.282</v>
      </c>
      <c r="AY249" s="253" t="n">
        <v>-1.233</v>
      </c>
      <c r="AZ249" s="253" t="n">
        <v>0.975</v>
      </c>
      <c r="BA249" s="253" t="n">
        <v>1.177</v>
      </c>
      <c r="BB249" s="253" t="n">
        <v>-3.363</v>
      </c>
      <c r="BC249" s="253" t="n">
        <v>4.536</v>
      </c>
      <c r="BD249" s="253" t="n">
        <v>1015.722</v>
      </c>
      <c r="BE249" s="253" t="n">
        <v>1790.033</v>
      </c>
      <c r="BF249" s="253" t="n">
        <v>-111.835</v>
      </c>
      <c r="BG249" s="253" t="n">
        <v>2698.456</v>
      </c>
      <c r="BH249" s="253" t="n">
        <v>-136.362</v>
      </c>
      <c r="BI249" s="253" t="n">
        <v>-43.573</v>
      </c>
      <c r="BJ249" s="253" t="n">
        <v>-67.096</v>
      </c>
      <c r="BK249" s="253" t="n">
        <v>-75.76900000000001</v>
      </c>
      <c r="BL249" s="253" t="n">
        <v>-322.8</v>
      </c>
      <c r="BM249" s="253" t="n">
        <v>-63.6</v>
      </c>
      <c r="BN249" s="253" t="n">
        <v>-26.8</v>
      </c>
      <c r="BO249" s="253" t="n">
        <v>-56.6</v>
      </c>
      <c r="BP249" s="253" t="n">
        <v>-76.5</v>
      </c>
      <c r="BQ249" s="253" t="n">
        <v>-223.5</v>
      </c>
      <c r="BR249" s="253" t="n">
        <v>-74.7</v>
      </c>
      <c r="BS249" s="253" t="n">
        <v>-14.3</v>
      </c>
      <c r="BT249" s="253" t="n">
        <v>-102.3</v>
      </c>
      <c r="BU249" s="253" t="n">
        <v>-79.09999999999999</v>
      </c>
      <c r="BV249" s="253" t="n">
        <v>-270.4</v>
      </c>
      <c r="BW249" s="253" t="n">
        <v>-7.9</v>
      </c>
      <c r="BX249" s="253" t="n">
        <v>161.9</v>
      </c>
      <c r="BY249" s="253" t="n">
        <v>-82.2</v>
      </c>
      <c r="BZ249" s="253" t="n">
        <v>-115.1</v>
      </c>
      <c r="CA249" s="253" t="n">
        <v>-43.3</v>
      </c>
      <c r="CB249" s="253" t="n">
        <v>-79.40000000000001</v>
      </c>
      <c r="CC249" s="32" t="n"/>
      <c r="CD249" s="32" t="n"/>
      <c r="CE249" s="32" t="n"/>
      <c r="CF249" s="254">
        <f>SUM(CF244:CF248)</f>
        <v>-338.054466098766</v>
      </c>
      <c r="CG249" s="254">
        <f>SUM(CG244:CG248)</f>
        <v>-226.877113391674</v>
      </c>
      <c r="CH249" s="254">
        <f>SUM(CH244:CH248)</f>
        <v>-276.417008863863</v>
      </c>
      <c r="CI249" s="254">
        <f>SUM(CI244:CI248)</f>
        <v>-355.981226791263</v>
      </c>
      <c r="CJ249" s="254">
        <f>SUM(CJ244:CJ248)</f>
        <v>-413.306009050054</v>
      </c>
      <c r="CK249" s="254">
        <f>SUM(CK244:CK248)</f>
        <v>-470.308291248679</v>
      </c>
      <c r="CL249" s="153" t="n"/>
    </row>
    <row r="250" ht="15" customHeight="1" s="251">
      <c r="B250" s="25" t="inlineStr">
        <is>
          <t>Effect of exchange rate changes on cash</t>
        </is>
      </c>
      <c r="C250" s="259" t="n">
        <v>-0.083</v>
      </c>
      <c r="D250" s="259" t="n">
        <v>0.149</v>
      </c>
      <c r="E250" s="259" t="n">
        <v>0.617</v>
      </c>
      <c r="F250" s="259" t="n">
        <v>-0.625</v>
      </c>
      <c r="G250" s="259" t="n">
        <v>0.12</v>
      </c>
      <c r="H250" s="259" t="n">
        <v>2.85</v>
      </c>
      <c r="I250" s="259" t="n">
        <v>0.664</v>
      </c>
      <c r="J250" s="259" t="n">
        <v>-1.951</v>
      </c>
      <c r="K250" s="259" t="n">
        <v>0.552</v>
      </c>
      <c r="L250" s="259" t="n">
        <v>0.77</v>
      </c>
      <c r="M250" s="259" t="n">
        <v>-3.247</v>
      </c>
      <c r="N250" s="259" t="n">
        <v>-3.876</v>
      </c>
      <c r="O250" s="259" t="n">
        <v>0.214</v>
      </c>
      <c r="P250" s="259" t="n">
        <v>1.346</v>
      </c>
      <c r="Q250" s="259" t="n">
        <v>0.637</v>
      </c>
      <c r="R250" s="259" t="n">
        <v>-0.112</v>
      </c>
      <c r="S250" s="259" t="n">
        <v>2.085</v>
      </c>
      <c r="T250" s="259" t="n">
        <v>-0.206</v>
      </c>
      <c r="U250" s="259" t="n">
        <v>-2.472</v>
      </c>
      <c r="V250" s="259" t="n">
        <v>-2.061</v>
      </c>
      <c r="W250" s="259" t="n">
        <v>1.183</v>
      </c>
      <c r="X250" s="259" t="n">
        <v>-3.556</v>
      </c>
      <c r="Y250" s="259" t="n">
        <v>0.96</v>
      </c>
      <c r="Z250" s="259" t="n">
        <v>-1.293</v>
      </c>
      <c r="AA250" s="259" t="n">
        <v>0.924</v>
      </c>
      <c r="AB250" s="259" t="n">
        <v>0.151</v>
      </c>
      <c r="AC250" s="259" t="n">
        <v>0.742</v>
      </c>
      <c r="AD250" s="259" t="n">
        <v>-0.08699999999999999</v>
      </c>
      <c r="AE250" s="259" t="n">
        <v>0.056</v>
      </c>
      <c r="AF250" s="259" t="n">
        <v>-1.655</v>
      </c>
      <c r="AG250" s="259" t="n">
        <v>0.289</v>
      </c>
      <c r="AH250" s="259" t="n">
        <v>-1.397</v>
      </c>
      <c r="AI250" s="259" t="n">
        <v>1.188</v>
      </c>
      <c r="AJ250" s="259" t="n">
        <v>-1.108</v>
      </c>
      <c r="AK250" s="259" t="n">
        <v>1.424</v>
      </c>
      <c r="AL250" s="259" t="n">
        <v>1.279</v>
      </c>
      <c r="AM250" s="259" t="n">
        <v>2.783</v>
      </c>
      <c r="AN250" s="259" t="n">
        <v>-2.002</v>
      </c>
      <c r="AO250" s="259" t="n">
        <v>0.57</v>
      </c>
      <c r="AP250" s="259" t="n">
        <v>-0.626</v>
      </c>
      <c r="AQ250" s="259" t="n">
        <v>-0.342</v>
      </c>
      <c r="AR250" s="259" t="n">
        <v>-2.4</v>
      </c>
      <c r="AS250" s="259" t="n">
        <v>1.086</v>
      </c>
      <c r="AT250" s="259" t="n">
        <v>-0.352</v>
      </c>
      <c r="AU250" s="259" t="n">
        <v>0.311</v>
      </c>
      <c r="AV250" s="259" t="n">
        <v>-0.143</v>
      </c>
      <c r="AW250" s="259" t="n">
        <v>0.902</v>
      </c>
      <c r="AX250" s="259" t="n">
        <v>-0.092</v>
      </c>
      <c r="AY250" s="259" t="n">
        <v>-0.022</v>
      </c>
      <c r="AZ250" s="259" t="n">
        <v>0.626</v>
      </c>
      <c r="BA250" s="259" t="n">
        <v>-0.247</v>
      </c>
      <c r="BB250" s="259" t="n">
        <v>0.265</v>
      </c>
      <c r="BC250" s="259" t="n">
        <v>0.167</v>
      </c>
      <c r="BD250" s="259" t="n">
        <v>-0.003</v>
      </c>
      <c r="BE250" s="259" t="n">
        <v>0.015</v>
      </c>
      <c r="BF250" s="259" t="n">
        <v>0.325</v>
      </c>
      <c r="BG250" s="259" t="n">
        <v>0.504</v>
      </c>
      <c r="BH250" s="259" t="n">
        <v>-1.104</v>
      </c>
      <c r="BI250" s="259" t="n">
        <v>-2.108</v>
      </c>
      <c r="BJ250" s="259" t="n">
        <v>1.752</v>
      </c>
      <c r="BK250" s="259" t="n">
        <v>0.16</v>
      </c>
      <c r="BL250" s="259" t="n">
        <v>-1.3</v>
      </c>
      <c r="BM250" s="259" t="n">
        <v>-0.3</v>
      </c>
      <c r="BN250" s="259" t="n">
        <v>-0.4</v>
      </c>
      <c r="BO250" s="259" t="n">
        <v>1.4</v>
      </c>
      <c r="BP250" s="259" t="n">
        <v>-1.6</v>
      </c>
      <c r="BQ250" s="259" t="n">
        <v>-0.9</v>
      </c>
      <c r="BR250" s="259" t="n">
        <v>-0.4</v>
      </c>
      <c r="BS250" s="259" t="n">
        <v>-0.2</v>
      </c>
      <c r="BT250" s="259" t="n">
        <v>0.2</v>
      </c>
      <c r="BU250" s="259" t="n">
        <v>0.3</v>
      </c>
      <c r="BV250" s="259" t="n">
        <v>-0.1</v>
      </c>
      <c r="BW250" s="259" t="n">
        <v>-0.3</v>
      </c>
      <c r="BX250" s="259" t="n">
        <v>-0.3</v>
      </c>
      <c r="BY250" s="259" t="n">
        <v>-0.5</v>
      </c>
      <c r="BZ250" s="259" t="n">
        <v>-1.1</v>
      </c>
      <c r="CA250" s="259" t="n">
        <v>-2.2</v>
      </c>
      <c r="CB250" s="259" t="n">
        <v>-0.3</v>
      </c>
      <c r="CC250" s="35" t="n"/>
      <c r="CD250" s="35" t="n"/>
      <c r="CE250" s="35" t="n"/>
      <c r="CF250" s="261">
        <f>SUM(CB250:CB250)</f>
        <v>-0.3</v>
      </c>
      <c r="CG250" s="260" t="n">
        <v>0</v>
      </c>
      <c r="CH250" s="260" t="n">
        <v>0</v>
      </c>
      <c r="CI250" s="260" t="n">
        <v>0</v>
      </c>
      <c r="CJ250" s="260" t="n">
        <v>0</v>
      </c>
      <c r="CK250" s="260" t="n">
        <v>0</v>
      </c>
      <c r="CL250" s="19" t="n"/>
    </row>
    <row r="251" ht="15" customHeight="1" s="251">
      <c r="B251" s="25" t="inlineStr">
        <is>
          <t>Net change in cash</t>
        </is>
      </c>
      <c r="C251" s="259" t="n">
        <v>13.491</v>
      </c>
      <c r="D251" s="259" t="n">
        <v>-10.942</v>
      </c>
      <c r="E251" s="259" t="n">
        <v>4.675</v>
      </c>
      <c r="F251" s="259" t="n">
        <v>20.698</v>
      </c>
      <c r="G251" s="259" t="n">
        <v>-9.167999999999999</v>
      </c>
      <c r="H251" s="259" t="n">
        <v>42.586</v>
      </c>
      <c r="I251" s="259" t="n">
        <v>4.646</v>
      </c>
      <c r="J251" s="259" t="n">
        <v>22.3</v>
      </c>
      <c r="K251" s="259" t="n">
        <v>8.263</v>
      </c>
      <c r="L251" s="259" t="n">
        <v>12.771</v>
      </c>
      <c r="M251" s="259" t="n">
        <v>2.525</v>
      </c>
      <c r="N251" s="259" t="n">
        <v>45.859</v>
      </c>
      <c r="O251" s="259" t="n">
        <v>11.601</v>
      </c>
      <c r="P251" s="259" t="n">
        <v>-15.879</v>
      </c>
      <c r="Q251" s="259" t="n">
        <v>5.787</v>
      </c>
      <c r="R251" s="259" t="n">
        <v>5.218</v>
      </c>
      <c r="S251" s="259" t="n">
        <v>6.727</v>
      </c>
      <c r="T251" s="259" t="n">
        <v>-19.053</v>
      </c>
      <c r="U251" s="259" t="n">
        <v>7.293</v>
      </c>
      <c r="V251" s="259" t="n">
        <v>9.792999999999999</v>
      </c>
      <c r="W251" s="259" t="n">
        <v>6.215</v>
      </c>
      <c r="X251" s="259" t="n">
        <v>4.248</v>
      </c>
      <c r="Y251" s="259" t="n">
        <v>-63.893</v>
      </c>
      <c r="Z251" s="259" t="n">
        <v>-17.485</v>
      </c>
      <c r="AA251" s="259" t="n">
        <v>0.326</v>
      </c>
      <c r="AB251" s="259" t="n">
        <v>-5.195</v>
      </c>
      <c r="AC251" s="259" t="n">
        <v>-86.247</v>
      </c>
      <c r="AD251" s="259" t="n">
        <v>-1.947</v>
      </c>
      <c r="AE251" s="259" t="n">
        <v>0.201</v>
      </c>
      <c r="AF251" s="259" t="n">
        <v>2.01</v>
      </c>
      <c r="AG251" s="259" t="n">
        <v>-0.549</v>
      </c>
      <c r="AH251" s="259" t="n">
        <v>-0.285</v>
      </c>
      <c r="AI251" s="259" t="n">
        <v>6.54</v>
      </c>
      <c r="AJ251" s="259" t="n">
        <v>-2.578</v>
      </c>
      <c r="AK251" s="259" t="n">
        <v>0.9370000000000001</v>
      </c>
      <c r="AL251" s="259" t="n">
        <v>10.341</v>
      </c>
      <c r="AM251" s="259" t="n">
        <v>15.24</v>
      </c>
      <c r="AN251" s="259" t="n">
        <v>1.493</v>
      </c>
      <c r="AO251" s="259" t="n">
        <v>4.709</v>
      </c>
      <c r="AP251" s="259" t="n">
        <v>21.332</v>
      </c>
      <c r="AQ251" s="259" t="n">
        <v>-51.813</v>
      </c>
      <c r="AR251" s="259" t="n">
        <v>-24.279</v>
      </c>
      <c r="AS251" s="259" t="n">
        <v>2.829</v>
      </c>
      <c r="AT251" s="259" t="n">
        <v>3.685</v>
      </c>
      <c r="AU251" s="259" t="n">
        <v>23.93</v>
      </c>
      <c r="AV251" s="259" t="n">
        <v>42.927</v>
      </c>
      <c r="AW251" s="259" t="n">
        <v>73.371</v>
      </c>
      <c r="AX251" s="259" t="n">
        <v>40.36</v>
      </c>
      <c r="AY251" s="259" t="n">
        <v>22.737</v>
      </c>
      <c r="AZ251" s="259" t="n">
        <v>-40.16</v>
      </c>
      <c r="BA251" s="259" t="n">
        <v>24.894</v>
      </c>
      <c r="BB251" s="259" t="n">
        <v>47.831</v>
      </c>
      <c r="BC251" s="259" t="n">
        <v>24.685</v>
      </c>
      <c r="BD251" s="259" t="n">
        <v>1172.84</v>
      </c>
      <c r="BE251" s="259" t="n">
        <v>-1093.108</v>
      </c>
      <c r="BF251" s="259" t="n">
        <v>-72.64100000000001</v>
      </c>
      <c r="BG251" s="259" t="n">
        <v>31.776</v>
      </c>
      <c r="BH251" s="259" t="n">
        <v>-63.275</v>
      </c>
      <c r="BI251" s="259" t="n">
        <v>-31.092</v>
      </c>
      <c r="BJ251" s="259" t="n">
        <v>-6.459</v>
      </c>
      <c r="BK251" s="259" t="n">
        <v>-16.674</v>
      </c>
      <c r="BL251" s="259" t="n">
        <v>-117.5</v>
      </c>
      <c r="BM251" s="259" t="n">
        <v>-8.699999999999999</v>
      </c>
      <c r="BN251" s="259" t="n">
        <v>-0.1</v>
      </c>
      <c r="BO251" s="259" t="n">
        <v>15</v>
      </c>
      <c r="BP251" s="259" t="n">
        <v>-8.1</v>
      </c>
      <c r="BQ251" s="259" t="n">
        <v>-1.9</v>
      </c>
      <c r="BR251" s="259" t="n">
        <v>13.3</v>
      </c>
      <c r="BS251" s="259" t="n">
        <v>12.3</v>
      </c>
      <c r="BT251" s="259" t="n">
        <v>-28.5</v>
      </c>
      <c r="BU251" s="259" t="n">
        <v>-23.8</v>
      </c>
      <c r="BV251" s="259" t="n">
        <v>-26.7</v>
      </c>
      <c r="BW251" s="259" t="n">
        <v>96.09999999999999</v>
      </c>
      <c r="BX251" s="259" t="n">
        <v>-41.7</v>
      </c>
      <c r="BY251" s="259" t="n">
        <v>16.4</v>
      </c>
      <c r="BZ251" s="259" t="n">
        <v>-50.3</v>
      </c>
      <c r="CA251" s="259" t="n">
        <v>20.5</v>
      </c>
      <c r="CB251" s="259" t="n">
        <v>67.2</v>
      </c>
      <c r="CC251" s="35" t="n"/>
      <c r="CD251" s="35" t="n"/>
      <c r="CE251" s="35" t="n"/>
      <c r="CF251" s="261">
        <f>CF239+CF243+CF249+CF250</f>
        <v>17.7000000000001</v>
      </c>
      <c r="CG251" s="261">
        <f>CG239+CG243+CG249+CG250</f>
        <v>0</v>
      </c>
      <c r="CH251" s="261">
        <f>CH239+CH243+CH249+CH250</f>
        <v>0</v>
      </c>
      <c r="CI251" s="261">
        <f>CI239+CI243+CI249+CI250</f>
        <v>0</v>
      </c>
      <c r="CJ251" s="261">
        <f>CJ239+CJ243+CJ249+CJ250</f>
        <v>0</v>
      </c>
      <c r="CK251" s="261">
        <f>CK239+CK243+CK249+CK250</f>
        <v>0</v>
      </c>
      <c r="CL251" s="19" t="n"/>
    </row>
    <row r="252" ht="15" customHeight="1" s="251">
      <c r="B252" s="25" t="inlineStr">
        <is>
          <t>Cash — beginning of period</t>
        </is>
      </c>
      <c r="C252" s="259" t="n">
        <v>2.635</v>
      </c>
      <c r="D252" s="259" t="n">
        <v>16.126</v>
      </c>
      <c r="E252" s="259" t="n">
        <v>5.184</v>
      </c>
      <c r="F252" s="259" t="n">
        <v>9.859</v>
      </c>
      <c r="G252" s="259" t="n">
        <v>30.557</v>
      </c>
      <c r="H252" s="259" t="n">
        <v>21.389</v>
      </c>
      <c r="I252" s="259" t="n">
        <v>63.975</v>
      </c>
      <c r="J252" s="259" t="n">
        <v>68.621</v>
      </c>
      <c r="K252" s="259" t="n">
        <v>90.92100000000001</v>
      </c>
      <c r="L252" s="259" t="n">
        <v>99.184</v>
      </c>
      <c r="M252" s="259" t="n">
        <v>111.955</v>
      </c>
      <c r="N252" s="259" t="n">
        <v>68.621</v>
      </c>
      <c r="O252" s="259" t="n">
        <v>114.48</v>
      </c>
      <c r="P252" s="259" t="n">
        <v>126.081</v>
      </c>
      <c r="Q252" s="259" t="n">
        <v>110.202</v>
      </c>
      <c r="R252" s="259" t="n">
        <v>115.989</v>
      </c>
      <c r="S252" s="259" t="n">
        <v>114.48</v>
      </c>
      <c r="T252" s="259" t="n">
        <v>121.207</v>
      </c>
      <c r="U252" s="259" t="n">
        <v>102.154</v>
      </c>
      <c r="V252" s="259" t="n">
        <v>109.447</v>
      </c>
      <c r="W252" s="259" t="n">
        <v>119.24</v>
      </c>
      <c r="X252" s="259" t="n">
        <v>121.207</v>
      </c>
      <c r="Y252" s="259" t="n">
        <v>125.455</v>
      </c>
      <c r="Z252" s="259" t="n">
        <v>61.562</v>
      </c>
      <c r="AA252" s="259" t="n">
        <v>44.077</v>
      </c>
      <c r="AB252" s="259" t="n">
        <v>44.403</v>
      </c>
      <c r="AC252" s="259" t="n">
        <v>125.455</v>
      </c>
      <c r="AD252" s="259" t="n">
        <v>39.208</v>
      </c>
      <c r="AE252" s="259" t="n">
        <v>37.261</v>
      </c>
      <c r="AF252" s="259" t="n">
        <v>37.462</v>
      </c>
      <c r="AG252" s="259" t="n">
        <v>39.472</v>
      </c>
      <c r="AH252" s="259" t="n">
        <v>39.208</v>
      </c>
      <c r="AI252" s="259" t="n">
        <v>38.923</v>
      </c>
      <c r="AJ252" s="259" t="n">
        <v>45.463</v>
      </c>
      <c r="AK252" s="259" t="n">
        <v>42.885</v>
      </c>
      <c r="AL252" s="259" t="n">
        <v>43.822</v>
      </c>
      <c r="AM252" s="259" t="n">
        <v>38.923</v>
      </c>
      <c r="AN252" s="259" t="n">
        <v>54.163</v>
      </c>
      <c r="AO252" s="259" t="n">
        <v>55.656</v>
      </c>
      <c r="AP252" s="259" t="n">
        <v>60.365</v>
      </c>
      <c r="AQ252" s="259" t="n">
        <v>81.697</v>
      </c>
      <c r="AR252" s="259" t="n">
        <v>54.163</v>
      </c>
      <c r="AS252" s="259" t="n">
        <v>29.884</v>
      </c>
      <c r="AT252" s="259" t="n">
        <v>32.713</v>
      </c>
      <c r="AU252" s="259" t="n">
        <v>36.398</v>
      </c>
      <c r="AV252" s="259" t="n">
        <v>60.328</v>
      </c>
      <c r="AW252" s="259" t="n">
        <v>29.884</v>
      </c>
      <c r="AX252" s="259" t="n">
        <v>103.255</v>
      </c>
      <c r="AY252" s="259" t="n">
        <v>143.615</v>
      </c>
      <c r="AZ252" s="259" t="n">
        <v>166.352</v>
      </c>
      <c r="BA252" s="259" t="n">
        <v>126.192</v>
      </c>
      <c r="BB252" s="259" t="n">
        <v>103.255</v>
      </c>
      <c r="BC252" s="259" t="n">
        <v>151.086</v>
      </c>
      <c r="BD252" s="259" t="n">
        <v>175.771</v>
      </c>
      <c r="BE252" s="259" t="n">
        <v>1348.611</v>
      </c>
      <c r="BF252" s="259" t="n">
        <v>255.503</v>
      </c>
      <c r="BG252" s="259" t="n">
        <v>151.086</v>
      </c>
      <c r="BH252" s="259" t="n">
        <v>182.862</v>
      </c>
      <c r="BI252" s="259" t="n">
        <v>119.587</v>
      </c>
      <c r="BJ252" s="259" t="n">
        <v>88.495</v>
      </c>
      <c r="BK252" s="259" t="n">
        <v>82.036</v>
      </c>
      <c r="BL252" s="259" t="n">
        <v>182.9</v>
      </c>
      <c r="BM252" s="259" t="n">
        <v>65.40000000000001</v>
      </c>
      <c r="BN252" s="259" t="n">
        <v>56.7</v>
      </c>
      <c r="BO252" s="259" t="n">
        <v>56.6</v>
      </c>
      <c r="BP252" s="259" t="n">
        <v>71.59999999999999</v>
      </c>
      <c r="BQ252" s="259" t="n">
        <v>65.40000000000001</v>
      </c>
      <c r="BR252" s="259" t="n">
        <v>63.5</v>
      </c>
      <c r="BS252" s="259" t="n">
        <v>76.8</v>
      </c>
      <c r="BT252" s="259" t="n">
        <v>89.09999999999999</v>
      </c>
      <c r="BU252" s="259" t="n">
        <v>60.6</v>
      </c>
      <c r="BV252" s="259" t="n">
        <v>63.5</v>
      </c>
      <c r="BW252" s="259" t="n">
        <v>36.8</v>
      </c>
      <c r="BX252" s="259" t="n">
        <v>132.9</v>
      </c>
      <c r="BY252" s="259" t="n">
        <v>91.2</v>
      </c>
      <c r="BZ252" s="259" t="n">
        <v>107.6</v>
      </c>
      <c r="CA252" s="259" t="n">
        <v>36.8</v>
      </c>
      <c r="CB252" s="259" t="n">
        <v>57.3</v>
      </c>
      <c r="CC252" s="35" t="n"/>
      <c r="CD252" s="35" t="n"/>
      <c r="CE252" s="35" t="n"/>
      <c r="CF252" s="261">
        <f>CA253</f>
        <v>57.3</v>
      </c>
      <c r="CG252" s="261">
        <f>CF253</f>
        <v>75.0000000000001</v>
      </c>
      <c r="CH252" s="261">
        <f>CG253</f>
        <v>75.0000000000001</v>
      </c>
      <c r="CI252" s="261">
        <f>CH253</f>
        <v>75.0000000000001</v>
      </c>
      <c r="CJ252" s="261">
        <f>CI253</f>
        <v>75.0000000000001</v>
      </c>
      <c r="CK252" s="261">
        <f>CJ253</f>
        <v>75.0000000000001</v>
      </c>
      <c r="CL252" s="19" t="n"/>
    </row>
    <row r="253" ht="15" customHeight="1" s="251">
      <c r="B253" s="16" t="inlineStr">
        <is>
          <t>Cash — end of period</t>
        </is>
      </c>
      <c r="C253" s="253" t="n">
        <v>16.126</v>
      </c>
      <c r="D253" s="253" t="n">
        <v>5.184</v>
      </c>
      <c r="E253" s="253" t="n">
        <v>9.859</v>
      </c>
      <c r="F253" s="253" t="n">
        <v>30.557</v>
      </c>
      <c r="G253" s="253" t="n">
        <v>21.389</v>
      </c>
      <c r="H253" s="253" t="n">
        <v>63.975</v>
      </c>
      <c r="I253" s="253" t="n">
        <v>68.621</v>
      </c>
      <c r="J253" s="253" t="n">
        <v>90.92100000000001</v>
      </c>
      <c r="K253" s="253" t="n">
        <v>99.184</v>
      </c>
      <c r="L253" s="253" t="n">
        <v>111.955</v>
      </c>
      <c r="M253" s="253" t="n">
        <v>114.48</v>
      </c>
      <c r="N253" s="253" t="n">
        <v>114.48</v>
      </c>
      <c r="O253" s="253" t="n">
        <v>126.081</v>
      </c>
      <c r="P253" s="253" t="n">
        <v>110.202</v>
      </c>
      <c r="Q253" s="253" t="n">
        <v>115.989</v>
      </c>
      <c r="R253" s="253" t="n">
        <v>121.207</v>
      </c>
      <c r="S253" s="253" t="n">
        <v>121.207</v>
      </c>
      <c r="T253" s="253" t="n">
        <v>102.154</v>
      </c>
      <c r="U253" s="253" t="n">
        <v>109.447</v>
      </c>
      <c r="V253" s="253" t="n">
        <v>119.24</v>
      </c>
      <c r="W253" s="253" t="n">
        <v>125.455</v>
      </c>
      <c r="X253" s="253" t="n">
        <v>125.455</v>
      </c>
      <c r="Y253" s="253" t="n">
        <v>61.562</v>
      </c>
      <c r="Z253" s="253" t="n">
        <v>44.077</v>
      </c>
      <c r="AA253" s="253" t="n">
        <v>44.403</v>
      </c>
      <c r="AB253" s="253" t="n">
        <v>39.208</v>
      </c>
      <c r="AC253" s="253" t="n">
        <v>39.208</v>
      </c>
      <c r="AD253" s="253" t="n">
        <v>37.261</v>
      </c>
      <c r="AE253" s="253" t="n">
        <v>37.462</v>
      </c>
      <c r="AF253" s="253" t="n">
        <v>39.472</v>
      </c>
      <c r="AG253" s="253" t="n">
        <v>38.923</v>
      </c>
      <c r="AH253" s="253" t="n">
        <v>38.923</v>
      </c>
      <c r="AI253" s="253" t="n">
        <v>45.463</v>
      </c>
      <c r="AJ253" s="253" t="n">
        <v>42.885</v>
      </c>
      <c r="AK253" s="253" t="n">
        <v>43.822</v>
      </c>
      <c r="AL253" s="253" t="n">
        <v>54.163</v>
      </c>
      <c r="AM253" s="253" t="n">
        <v>54.163</v>
      </c>
      <c r="AN253" s="253" t="n">
        <v>55.656</v>
      </c>
      <c r="AO253" s="253" t="n">
        <v>60.365</v>
      </c>
      <c r="AP253" s="253" t="n">
        <v>81.697</v>
      </c>
      <c r="AQ253" s="253" t="n">
        <v>29.884</v>
      </c>
      <c r="AR253" s="253" t="n">
        <v>29.884</v>
      </c>
      <c r="AS253" s="253" t="n">
        <v>32.713</v>
      </c>
      <c r="AT253" s="253" t="n">
        <v>36.398</v>
      </c>
      <c r="AU253" s="253" t="n">
        <v>60.328</v>
      </c>
      <c r="AV253" s="253" t="n">
        <v>103.255</v>
      </c>
      <c r="AW253" s="253" t="n">
        <v>103.255</v>
      </c>
      <c r="AX253" s="253" t="n">
        <v>143.615</v>
      </c>
      <c r="AY253" s="253" t="n">
        <v>166.352</v>
      </c>
      <c r="AZ253" s="253" t="n">
        <v>126.192</v>
      </c>
      <c r="BA253" s="253" t="n">
        <v>151.086</v>
      </c>
      <c r="BB253" s="253" t="n">
        <v>151.086</v>
      </c>
      <c r="BC253" s="253" t="n">
        <v>175.771</v>
      </c>
      <c r="BD253" s="253" t="n">
        <v>1348.611</v>
      </c>
      <c r="BE253" s="253" t="n">
        <v>255.503</v>
      </c>
      <c r="BF253" s="253" t="n">
        <v>182.862</v>
      </c>
      <c r="BG253" s="253" t="n">
        <v>182.862</v>
      </c>
      <c r="BH253" s="253" t="n">
        <v>119.587</v>
      </c>
      <c r="BI253" s="253" t="n">
        <v>88.495</v>
      </c>
      <c r="BJ253" s="253" t="n">
        <v>82.036</v>
      </c>
      <c r="BK253" s="253" t="n">
        <v>65.40000000000001</v>
      </c>
      <c r="BL253" s="253" t="n">
        <v>65.40000000000001</v>
      </c>
      <c r="BM253" s="253" t="n">
        <v>56.7</v>
      </c>
      <c r="BN253" s="253" t="n">
        <v>56.6</v>
      </c>
      <c r="BO253" s="253" t="n">
        <v>71.59999999999999</v>
      </c>
      <c r="BP253" s="253" t="n">
        <v>63.5</v>
      </c>
      <c r="BQ253" s="253" t="n">
        <v>63.5</v>
      </c>
      <c r="BR253" s="253" t="n">
        <v>76.8</v>
      </c>
      <c r="BS253" s="253" t="n">
        <v>89.09999999999999</v>
      </c>
      <c r="BT253" s="253" t="n">
        <v>60.6</v>
      </c>
      <c r="BU253" s="253" t="n">
        <v>36.8</v>
      </c>
      <c r="BV253" s="253" t="n">
        <v>36.8</v>
      </c>
      <c r="BW253" s="253" t="n">
        <v>132.9</v>
      </c>
      <c r="BX253" s="253" t="n">
        <v>91.2</v>
      </c>
      <c r="BY253" s="253" t="n">
        <v>107.6</v>
      </c>
      <c r="BZ253" s="253" t="n">
        <v>57.3</v>
      </c>
      <c r="CA253" s="253" t="n">
        <v>57.3</v>
      </c>
      <c r="CB253" s="253" t="n">
        <v>124.5</v>
      </c>
      <c r="CC253" s="32" t="n"/>
      <c r="CD253" s="32" t="n"/>
      <c r="CE253" s="32" t="n"/>
      <c r="CF253" s="254">
        <f>CF252+CF251</f>
        <v>75.0000000000001</v>
      </c>
      <c r="CG253" s="254">
        <f>CG252+CG251</f>
        <v>75.0000000000001</v>
      </c>
      <c r="CH253" s="254">
        <f>CH252+CH251</f>
        <v>75.0000000000001</v>
      </c>
      <c r="CI253" s="254">
        <f>CI252+CI251</f>
        <v>75.0000000000001</v>
      </c>
      <c r="CJ253" s="254">
        <f>CJ252+CJ251</f>
        <v>75.0000000000001</v>
      </c>
      <c r="CK253" s="254">
        <f>CK252+CK251</f>
        <v>75.0000000000001</v>
      </c>
      <c r="CL253" s="153" t="n"/>
    </row>
    <row r="254" ht="15" customHeight="1" s="251">
      <c r="B254" s="57" t="inlineStr">
        <is>
          <t xml:space="preserve">  Check: beginning cash + CFO + CFI + CFF + FX = ending cash (should be 0)</t>
        </is>
      </c>
      <c r="C254" s="264">
        <f>IF(AND(ISNUMBER(C252),ISNUMBER(C239)),IF(ABS(C252+C251-C253)&lt;=0.15,0,ROUND(C252+C251-C253,1)),"")</f>
        <v>0</v>
      </c>
      <c r="D254" s="264">
        <f>IF(AND(ISNUMBER(D252),ISNUMBER(D239)),IF(ABS(D252+D251-D253)&lt;=0.15,0,ROUND(D252+D251-D253,1)),"")</f>
        <v>0</v>
      </c>
      <c r="E254" s="264">
        <f>IF(AND(ISNUMBER(E252),ISNUMBER(E239)),IF(ABS(E252+E251-E253)&lt;=0.15,0,ROUND(E252+E251-E253,1)),"")</f>
        <v>0</v>
      </c>
      <c r="F254" s="264">
        <f>IF(AND(ISNUMBER(F252),ISNUMBER(F239)),IF(ABS(F252+F251-F253)&lt;=0.15,0,ROUND(F252+F251-F253,1)),"")</f>
        <v>0</v>
      </c>
      <c r="G254" s="264">
        <f>IF(AND(ISNUMBER(G252),ISNUMBER(G239)),IF(ABS(G252+G251-G253)&lt;=0.15,0,ROUND(G252+G251-G253,1)),"")</f>
        <v>0</v>
      </c>
      <c r="H254" s="264">
        <f>IF(AND(ISNUMBER(H252),ISNUMBER(H239)),IF(ABS(H252+H251-H253)&lt;=0.15,0,ROUND(H252+H251-H253,1)),"")</f>
        <v>0</v>
      </c>
      <c r="I254" s="264">
        <f>IF(AND(ISNUMBER(I252),ISNUMBER(I239)),IF(ABS(I252+I251-I253)&lt;=0.15,0,ROUND(I252+I251-I253,1)),"")</f>
        <v>0</v>
      </c>
      <c r="J254" s="264">
        <f>IF(AND(ISNUMBER(J252),ISNUMBER(J239)),IF(ABS(J252+J251-J253)&lt;=0.15,0,ROUND(J252+J251-J253,1)),"")</f>
        <v>0</v>
      </c>
      <c r="K254" s="264">
        <f>IF(AND(ISNUMBER(K252),ISNUMBER(K239)),IF(ABS(K252+K251-K253)&lt;=0.15,0,ROUND(K252+K251-K253,1)),"")</f>
        <v>0</v>
      </c>
      <c r="L254" s="264">
        <f>IF(AND(ISNUMBER(L252),ISNUMBER(L239)),IF(ABS(L252+L251-L253)&lt;=0.15,0,ROUND(L252+L251-L253,1)),"")</f>
        <v>0</v>
      </c>
      <c r="M254" s="264">
        <f>IF(AND(ISNUMBER(M252),ISNUMBER(M239)),IF(ABS(M252+M251-M253)&lt;=0.15,0,ROUND(M252+M251-M253,1)),"")</f>
        <v>0</v>
      </c>
      <c r="N254" s="264">
        <f>IF(AND(ISNUMBER(N252),ISNUMBER(N239)),IF(ABS(N252+N251-N253)&lt;=0.15,0,ROUND(N252+N251-N253,1)),"")</f>
        <v>0</v>
      </c>
      <c r="O254" s="264">
        <f>IF(AND(ISNUMBER(O252),ISNUMBER(O239)),IF(ABS(O252+O251-O253)&lt;=0.15,0,ROUND(O252+O251-O253,1)),"")</f>
        <v>0</v>
      </c>
      <c r="P254" s="264">
        <f>IF(AND(ISNUMBER(P252),ISNUMBER(P239)),IF(ABS(P252+P251-P253)&lt;=0.15,0,ROUND(P252+P251-P253,1)),"")</f>
        <v>0</v>
      </c>
      <c r="Q254" s="264">
        <f>IF(AND(ISNUMBER(Q252),ISNUMBER(Q239)),IF(ABS(Q252+Q251-Q253)&lt;=0.15,0,ROUND(Q252+Q251-Q253,1)),"")</f>
        <v>0</v>
      </c>
      <c r="R254" s="264">
        <f>IF(AND(ISNUMBER(R252),ISNUMBER(R239)),IF(ABS(R252+R251-R253)&lt;=0.15,0,ROUND(R252+R251-R253,1)),"")</f>
        <v>0</v>
      </c>
      <c r="S254" s="264">
        <f>IF(AND(ISNUMBER(S252),ISNUMBER(S239)),IF(ABS(S252+S251-S253)&lt;=0.15,0,ROUND(S252+S251-S253,1)),"")</f>
        <v>0</v>
      </c>
      <c r="T254" s="264">
        <f>IF(AND(ISNUMBER(T252),ISNUMBER(T239)),IF(ABS(T252+T251-T253)&lt;=0.15,0,ROUND(T252+T251-T253,1)),"")</f>
        <v>0</v>
      </c>
      <c r="U254" s="264">
        <f>IF(AND(ISNUMBER(U252),ISNUMBER(U239)),IF(ABS(U252+U251-U253)&lt;=0.15,0,ROUND(U252+U251-U253,1)),"")</f>
        <v>0</v>
      </c>
      <c r="V254" s="264">
        <f>IF(AND(ISNUMBER(V252),ISNUMBER(V239)),IF(ABS(V252+V251-V253)&lt;=0.15,0,ROUND(V252+V251-V253,1)),"")</f>
        <v>0</v>
      </c>
      <c r="W254" s="264">
        <f>IF(AND(ISNUMBER(W252),ISNUMBER(W239)),IF(ABS(W252+W251-W253)&lt;=0.15,0,ROUND(W252+W251-W253,1)),"")</f>
        <v>0</v>
      </c>
      <c r="X254" s="264">
        <f>IF(AND(ISNUMBER(X252),ISNUMBER(X239)),IF(ABS(X252+X251-X253)&lt;=0.15,0,ROUND(X252+X251-X253,1)),"")</f>
        <v>0</v>
      </c>
      <c r="Y254" s="264">
        <f>IF(AND(ISNUMBER(Y252),ISNUMBER(Y239)),IF(ABS(Y252+Y251-Y253)&lt;=0.15,0,ROUND(Y252+Y251-Y253,1)),"")</f>
        <v>0</v>
      </c>
      <c r="Z254" s="264">
        <f>IF(AND(ISNUMBER(Z252),ISNUMBER(Z239)),IF(ABS(Z252+Z251-Z253)&lt;=0.15,0,ROUND(Z252+Z251-Z253,1)),"")</f>
        <v>0</v>
      </c>
      <c r="AA254" s="264">
        <f>IF(AND(ISNUMBER(AA252),ISNUMBER(AA239)),IF(ABS(AA252+AA251-AA253)&lt;=0.15,0,ROUND(AA252+AA251-AA253,1)),"")</f>
        <v>0</v>
      </c>
      <c r="AB254" s="264">
        <f>IF(AND(ISNUMBER(AB252),ISNUMBER(AB239)),IF(ABS(AB252+AB251-AB253)&lt;=0.15,0,ROUND(AB252+AB251-AB253,1)),"")</f>
        <v>0</v>
      </c>
      <c r="AC254" s="264">
        <f>IF(AND(ISNUMBER(AC252),ISNUMBER(AC239)),IF(ABS(AC252+AC251-AC253)&lt;=0.15,0,ROUND(AC252+AC251-AC253,1)),"")</f>
        <v>0</v>
      </c>
      <c r="AD254" s="264">
        <f>IF(AND(ISNUMBER(AD252),ISNUMBER(AD239)),IF(ABS(AD252+AD251-AD253)&lt;=0.15,0,ROUND(AD252+AD251-AD253,1)),"")</f>
        <v>0</v>
      </c>
      <c r="AE254" s="264">
        <f>IF(AND(ISNUMBER(AE252),ISNUMBER(AE239)),IF(ABS(AE252+AE251-AE253)&lt;=0.15,0,ROUND(AE252+AE251-AE253,1)),"")</f>
        <v>0</v>
      </c>
      <c r="AF254" s="264">
        <f>IF(AND(ISNUMBER(AF252),ISNUMBER(AF239)),IF(ABS(AF252+AF251-AF253)&lt;=0.15,0,ROUND(AF252+AF251-AF253,1)),"")</f>
        <v>0</v>
      </c>
      <c r="AG254" s="264">
        <f>IF(AND(ISNUMBER(AG252),ISNUMBER(AG239)),IF(ABS(AG252+AG251-AG253)&lt;=0.15,0,ROUND(AG252+AG251-AG253,1)),"")</f>
        <v>0</v>
      </c>
      <c r="AH254" s="264">
        <f>IF(AND(ISNUMBER(AH252),ISNUMBER(AH239)),IF(ABS(AH252+AH251-AH253)&lt;=0.15,0,ROUND(AH252+AH251-AH253,1)),"")</f>
        <v>0</v>
      </c>
      <c r="AI254" s="264">
        <f>IF(AND(ISNUMBER(AI252),ISNUMBER(AI239)),IF(ABS(AI252+AI251-AI253)&lt;=0.15,0,ROUND(AI252+AI251-AI253,1)),"")</f>
        <v>0</v>
      </c>
      <c r="AJ254" s="264">
        <f>IF(AND(ISNUMBER(AJ252),ISNUMBER(AJ239)),IF(ABS(AJ252+AJ251-AJ253)&lt;=0.15,0,ROUND(AJ252+AJ251-AJ253,1)),"")</f>
        <v>0</v>
      </c>
      <c r="AK254" s="264">
        <f>IF(AND(ISNUMBER(AK252),ISNUMBER(AK239)),IF(ABS(AK252+AK251-AK253)&lt;=0.15,0,ROUND(AK252+AK251-AK253,1)),"")</f>
        <v>0</v>
      </c>
      <c r="AL254" s="264">
        <f>IF(AND(ISNUMBER(AL252),ISNUMBER(AL239)),IF(ABS(AL252+AL251-AL253)&lt;=0.15,0,ROUND(AL252+AL251-AL253,1)),"")</f>
        <v>0</v>
      </c>
      <c r="AM254" s="264">
        <f>IF(AND(ISNUMBER(AM252),ISNUMBER(AM239)),IF(ABS(AM252+AM251-AM253)&lt;=0.15,0,ROUND(AM252+AM251-AM253,1)),"")</f>
        <v>0</v>
      </c>
      <c r="AN254" s="264">
        <f>IF(AND(ISNUMBER(AN252),ISNUMBER(AN239)),IF(ABS(AN252+AN251-AN253)&lt;=0.15,0,ROUND(AN252+AN251-AN253,1)),"")</f>
        <v>0</v>
      </c>
      <c r="AO254" s="264">
        <f>IF(AND(ISNUMBER(AO252),ISNUMBER(AO239)),IF(ABS(AO252+AO251-AO253)&lt;=0.15,0,ROUND(AO252+AO251-AO253,1)),"")</f>
        <v>0</v>
      </c>
      <c r="AP254" s="264">
        <f>IF(AND(ISNUMBER(AP252),ISNUMBER(AP239)),IF(ABS(AP252+AP251-AP253)&lt;=0.15,0,ROUND(AP252+AP251-AP253,1)),"")</f>
        <v>0</v>
      </c>
      <c r="AQ254" s="264">
        <f>IF(AND(ISNUMBER(AQ252),ISNUMBER(AQ239)),IF(ABS(AQ252+AQ251-AQ253)&lt;=0.15,0,ROUND(AQ252+AQ251-AQ253,1)),"")</f>
        <v>0</v>
      </c>
      <c r="AR254" s="264">
        <f>IF(AND(ISNUMBER(AR252),ISNUMBER(AR239)),IF(ABS(AR252+AR251-AR253)&lt;=0.15,0,ROUND(AR252+AR251-AR253,1)),"")</f>
        <v>0</v>
      </c>
      <c r="AS254" s="264">
        <f>IF(AND(ISNUMBER(AS252),ISNUMBER(AS239)),IF(ABS(AS252+AS251-AS253)&lt;=0.15,0,ROUND(AS252+AS251-AS253,1)),"")</f>
        <v>0</v>
      </c>
      <c r="AT254" s="264">
        <f>IF(AND(ISNUMBER(AT252),ISNUMBER(AT239)),IF(ABS(AT252+AT251-AT253)&lt;=0.15,0,ROUND(AT252+AT251-AT253,1)),"")</f>
        <v>0</v>
      </c>
      <c r="AU254" s="264">
        <f>IF(AND(ISNUMBER(AU252),ISNUMBER(AU239)),IF(ABS(AU252+AU251-AU253)&lt;=0.15,0,ROUND(AU252+AU251-AU253,1)),"")</f>
        <v>0</v>
      </c>
      <c r="AV254" s="264">
        <f>IF(AND(ISNUMBER(AV252),ISNUMBER(AV239)),IF(ABS(AV252+AV251-AV253)&lt;=0.15,0,ROUND(AV252+AV251-AV253,1)),"")</f>
        <v>0</v>
      </c>
      <c r="AW254" s="264">
        <f>IF(AND(ISNUMBER(AW252),ISNUMBER(AW239)),IF(ABS(AW252+AW251-AW253)&lt;=0.15,0,ROUND(AW252+AW251-AW253,1)),"")</f>
        <v>0</v>
      </c>
      <c r="AX254" s="264">
        <f>IF(AND(ISNUMBER(AX252),ISNUMBER(AX239)),IF(ABS(AX252+AX251-AX253)&lt;=0.15,0,ROUND(AX252+AX251-AX253,1)),"")</f>
        <v>0</v>
      </c>
      <c r="AY254" s="264">
        <f>IF(AND(ISNUMBER(AY252),ISNUMBER(AY239)),IF(ABS(AY252+AY251-AY253)&lt;=0.15,0,ROUND(AY252+AY251-AY253,1)),"")</f>
        <v>0</v>
      </c>
      <c r="AZ254" s="264">
        <f>IF(AND(ISNUMBER(AZ252),ISNUMBER(AZ239)),IF(ABS(AZ252+AZ251-AZ253)&lt;=0.15,0,ROUND(AZ252+AZ251-AZ253,1)),"")</f>
        <v>0</v>
      </c>
      <c r="BA254" s="264">
        <f>IF(AND(ISNUMBER(BA252),ISNUMBER(BA239)),IF(ABS(BA252+BA251-BA253)&lt;=0.15,0,ROUND(BA252+BA251-BA253,1)),"")</f>
        <v>0</v>
      </c>
      <c r="BB254" s="264">
        <f>IF(AND(ISNUMBER(BB252),ISNUMBER(BB239)),IF(ABS(BB252+BB251-BB253)&lt;=0.15,0,ROUND(BB252+BB251-BB253,1)),"")</f>
        <v>0</v>
      </c>
      <c r="BC254" s="264">
        <f>IF(AND(ISNUMBER(BC252),ISNUMBER(BC239)),IF(ABS(BC252+BC251-BC253)&lt;=0.15,0,ROUND(BC252+BC251-BC253,1)),"")</f>
        <v>0</v>
      </c>
      <c r="BD254" s="264">
        <f>IF(AND(ISNUMBER(BD252),ISNUMBER(BD239)),IF(ABS(BD252+BD251-BD253)&lt;=0.15,0,ROUND(BD252+BD251-BD253,1)),"")</f>
        <v>0</v>
      </c>
      <c r="BE254" s="264">
        <f>IF(AND(ISNUMBER(BE252),ISNUMBER(BE239)),IF(ABS(BE252+BE251-BE253)&lt;=0.15,0,ROUND(BE252+BE251-BE253,1)),"")</f>
        <v>0</v>
      </c>
      <c r="BF254" s="264">
        <f>IF(AND(ISNUMBER(BF252),ISNUMBER(BF239)),IF(ABS(BF252+BF251-BF253)&lt;=0.15,0,ROUND(BF252+BF251-BF253,1)),"")</f>
        <v>0</v>
      </c>
      <c r="BG254" s="264">
        <f>IF(AND(ISNUMBER(BG252),ISNUMBER(BG239)),IF(ABS(BG252+BG251-BG253)&lt;=0.15,0,ROUND(BG252+BG251-BG253,1)),"")</f>
        <v>0</v>
      </c>
      <c r="BH254" s="264">
        <f>IF(AND(ISNUMBER(BH252),ISNUMBER(BH239)),IF(ABS(BH252+BH251-BH253)&lt;=0.15,0,ROUND(BH252+BH251-BH253,1)),"")</f>
        <v>0</v>
      </c>
      <c r="BI254" s="264">
        <f>IF(AND(ISNUMBER(BI252),ISNUMBER(BI239)),IF(ABS(BI252+BI251-BI253)&lt;=0.15,0,ROUND(BI252+BI251-BI253,1)),"")</f>
        <v>0</v>
      </c>
      <c r="BJ254" s="264">
        <f>IF(AND(ISNUMBER(BJ252),ISNUMBER(BJ239)),IF(ABS(BJ252+BJ251-BJ253)&lt;=0.15,0,ROUND(BJ252+BJ251-BJ253,1)),"")</f>
        <v>0</v>
      </c>
      <c r="BK254" s="264">
        <f>IF(AND(ISNUMBER(BK252),ISNUMBER(BK239)),IF(ABS(BK252+BK251-BK253)&lt;=0.15,0,ROUND(BK252+BK251-BK253,1)),"")</f>
        <v>0</v>
      </c>
      <c r="BL254" s="264">
        <f>IF(AND(ISNUMBER(BL252),ISNUMBER(BL239)),IF(ABS(BL252+BL251-BL253)&lt;=0.15,0,ROUND(BL252+BL251-BL253,1)),"")</f>
        <v>0</v>
      </c>
      <c r="BM254" s="264">
        <f>IF(AND(ISNUMBER(BM252),ISNUMBER(BM239)),IF(ABS(BM252+BM251-BM253)&lt;=0.15,0,ROUND(BM252+BM251-BM253,1)),"")</f>
        <v>0</v>
      </c>
      <c r="BN254" s="264">
        <f>IF(AND(ISNUMBER(BN252),ISNUMBER(BN239)),IF(ABS(BN252+BN251-BN253)&lt;=0.15,0,ROUND(BN252+BN251-BN253,1)),"")</f>
        <v>0</v>
      </c>
      <c r="BO254" s="264">
        <f>IF(AND(ISNUMBER(BO252),ISNUMBER(BO239)),IF(ABS(BO252+BO251-BO253)&lt;=0.15,0,ROUND(BO252+BO251-BO253,1)),"")</f>
        <v>0</v>
      </c>
      <c r="BP254" s="264">
        <f>IF(AND(ISNUMBER(BP252),ISNUMBER(BP239)),IF(ABS(BP252+BP251-BP253)&lt;=0.15,0,ROUND(BP252+BP251-BP253,1)),"")</f>
        <v>0</v>
      </c>
      <c r="BQ254" s="264">
        <f>IF(AND(ISNUMBER(BQ252),ISNUMBER(BQ239)),IF(ABS(BQ252+BQ251-BQ253)&lt;=0.15,0,ROUND(BQ252+BQ251-BQ253,1)),"")</f>
        <v>0</v>
      </c>
      <c r="BR254" s="264">
        <f>IF(AND(ISNUMBER(BR252),ISNUMBER(BR239)),IF(ABS(BR252+BR251-BR253)&lt;=0.15,0,ROUND(BR252+BR251-BR253,1)),"")</f>
        <v>0</v>
      </c>
      <c r="BS254" s="264">
        <f>IF(AND(ISNUMBER(BS252),ISNUMBER(BS239)),IF(ABS(BS252+BS251-BS253)&lt;=0.15,0,ROUND(BS252+BS251-BS253,1)),"")</f>
        <v>0</v>
      </c>
      <c r="BT254" s="264">
        <f>IF(AND(ISNUMBER(BT252),ISNUMBER(BT239)),IF(ABS(BT252+BT251-BT253)&lt;=0.15,0,ROUND(BT252+BT251-BT253,1)),"")</f>
        <v>0</v>
      </c>
      <c r="BU254" s="264">
        <f>IF(AND(ISNUMBER(BU252),ISNUMBER(BU239)),IF(ABS(BU252+BU251-BU253)&lt;=0.15,0,ROUND(BU252+BU251-BU253,1)),"")</f>
        <v>0</v>
      </c>
      <c r="BV254" s="264">
        <f>IF(AND(ISNUMBER(BV252),ISNUMBER(BV239)),IF(ABS(BV252+BV251-BV253)&lt;=0.15,0,ROUND(BV252+BV251-BV253,1)),"")</f>
        <v>0</v>
      </c>
      <c r="BW254" s="264">
        <f>IF(AND(ISNUMBER(BW252),ISNUMBER(BW239)),IF(ABS(BW252+BW251-BW253)&lt;=0.15,0,ROUND(BW252+BW251-BW253,1)),"")</f>
        <v>0</v>
      </c>
      <c r="BX254" s="264">
        <f>IF(AND(ISNUMBER(BX252),ISNUMBER(BX239)),IF(ABS(BX252+BX251-BX253)&lt;=0.15,0,ROUND(BX252+BX251-BX253,1)),"")</f>
        <v>0</v>
      </c>
      <c r="BY254" s="264">
        <f>IF(AND(ISNUMBER(BY252),ISNUMBER(BY239)),IF(ABS(BY252+BY251-BY253)&lt;=0.15,0,ROUND(BY252+BY251-BY253,1)),"")</f>
        <v>0</v>
      </c>
      <c r="BZ254" s="264">
        <f>IF(AND(ISNUMBER(BZ252),ISNUMBER(BZ239)),IF(ABS(BZ252+BZ251-BZ253)&lt;=0.15,0,ROUND(BZ252+BZ251-BZ253,1)),"")</f>
        <v>0</v>
      </c>
      <c r="CA254" s="264">
        <f>IF(AND(ISNUMBER(CA252),ISNUMBER(CA239)),IF(ABS(CA252+CA251-CA253)&lt;=0.15,0,ROUND(CA252+CA251-CA253,1)),"")</f>
        <v>0</v>
      </c>
      <c r="CB254" s="264">
        <f>IF(AND(ISNUMBER(CB252),ISNUMBER(CB239)),IF(ABS(CB252+CB251-CB253)&lt;=0.15,0,ROUND(CB252+CB251-CB253,1)),"")</f>
        <v>0</v>
      </c>
      <c r="CC254" s="153" t="n"/>
      <c r="CD254" s="153" t="n"/>
      <c r="CE254" s="153" t="n"/>
      <c r="CF254" s="272">
        <f>IF(AND(ISNUMBER(CF252),ISNUMBER(CF239)),IF(ABS(CF252+CF251-CF253)&lt;=0.15,0,ROUND(CF252+CF251-CF253,1)),"")</f>
        <v>0</v>
      </c>
      <c r="CG254" s="272">
        <f>IF(AND(ISNUMBER(CG252),ISNUMBER(CG239)),IF(ABS(CG252+CG251-CG253)&lt;=0.15,0,ROUND(CG252+CG251-CG253,1)),"")</f>
        <v>0</v>
      </c>
      <c r="CH254" s="272">
        <f>IF(AND(ISNUMBER(CH252),ISNUMBER(CH239)),IF(ABS(CH252+CH251-CH253)&lt;=0.15,0,ROUND(CH252+CH251-CH253,1)),"")</f>
        <v>0</v>
      </c>
      <c r="CI254" s="272">
        <f>IF(AND(ISNUMBER(CI252),ISNUMBER(CI239)),IF(ABS(CI252+CI251-CI253)&lt;=0.15,0,ROUND(CI252+CI251-CI253,1)),"")</f>
        <v>0</v>
      </c>
      <c r="CJ254" s="272">
        <f>IF(AND(ISNUMBER(CJ252),ISNUMBER(CJ239)),IF(ABS(CJ252+CJ251-CJ253)&lt;=0.15,0,ROUND(CJ252+CJ251-CJ253,1)),"")</f>
        <v>0</v>
      </c>
      <c r="CK254" s="272">
        <f>IF(AND(ISNUMBER(CK252),ISNUMBER(CK239)),IF(ABS(CK252+CK251-CK253)&lt;=0.15,0,ROUND(CK252+CK251-CK253,1)),"")</f>
        <v>0</v>
      </c>
      <c r="CL254" s="153" t="n"/>
    </row>
    <row r="255" ht="15" customHeight="1" s="251">
      <c r="B255" s="57" t="inlineStr">
        <is>
          <t xml:space="preserve">  Check: CFO = sum of operating lines (should be 0)</t>
        </is>
      </c>
      <c r="C255" s="264">
        <f>IF(ISNUMBER(C233),IF(ABS(SUM(C233:C238)-C239)&lt;=0.15,0,ROUND(SUM(C233:C238)-C239,1)),"")</f>
        <v>0</v>
      </c>
      <c r="D255" s="264">
        <f>IF(ISNUMBER(D233),IF(ABS(SUM(D233:D238)-D239)&lt;=0.15,0,ROUND(SUM(D233:D238)-D239,1)),"")</f>
        <v>0</v>
      </c>
      <c r="E255" s="264">
        <f>IF(ISNUMBER(E233),IF(ABS(SUM(E233:E238)-E239)&lt;=0.15,0,ROUND(SUM(E233:E238)-E239,1)),"")</f>
        <v>0</v>
      </c>
      <c r="F255" s="264">
        <f>IF(ISNUMBER(F233),IF(ABS(SUM(F233:F238)-F239)&lt;=0.15,0,ROUND(SUM(F233:F238)-F239,1)),"")</f>
        <v>0</v>
      </c>
      <c r="G255" s="264">
        <f>IF(ISNUMBER(G233),IF(ABS(SUM(G233:G238)-G239)&lt;=0.15,0,ROUND(SUM(G233:G238)-G239,1)),"")</f>
        <v>0</v>
      </c>
      <c r="H255" s="264">
        <f>IF(ISNUMBER(H233),IF(ABS(SUM(H233:H238)-H239)&lt;=0.15,0,ROUND(SUM(H233:H238)-H239,1)),"")</f>
        <v>0</v>
      </c>
      <c r="I255" s="264">
        <f>IF(ISNUMBER(I233),IF(ABS(SUM(I233:I238)-I239)&lt;=0.15,0,ROUND(SUM(I233:I238)-I239,1)),"")</f>
        <v>0</v>
      </c>
      <c r="J255" s="264">
        <f>IF(ISNUMBER(J233),IF(ABS(SUM(J233:J238)-J239)&lt;=0.15,0,ROUND(SUM(J233:J238)-J239,1)),"")</f>
        <v>0</v>
      </c>
      <c r="K255" s="264">
        <f>IF(ISNUMBER(K233),IF(ABS(SUM(K233:K238)-K239)&lt;=0.15,0,ROUND(SUM(K233:K238)-K239,1)),"")</f>
        <v>0</v>
      </c>
      <c r="L255" s="264">
        <f>IF(ISNUMBER(L233),IF(ABS(SUM(L233:L238)-L239)&lt;=0.15,0,ROUND(SUM(L233:L238)-L239,1)),"")</f>
        <v>0</v>
      </c>
      <c r="M255" s="264">
        <f>IF(ISNUMBER(M233),IF(ABS(SUM(M233:M238)-M239)&lt;=0.15,0,ROUND(SUM(M233:M238)-M239,1)),"")</f>
        <v>0</v>
      </c>
      <c r="N255" s="264">
        <f>IF(ISNUMBER(N233),IF(ABS(SUM(N233:N238)-N239)&lt;=0.15,0,ROUND(SUM(N233:N238)-N239,1)),"")</f>
        <v>0</v>
      </c>
      <c r="O255" s="264">
        <f>IF(ISNUMBER(O233),IF(ABS(SUM(O233:O238)-O239)&lt;=0.15,0,ROUND(SUM(O233:O238)-O239,1)),"")</f>
        <v>0</v>
      </c>
      <c r="P255" s="264">
        <f>IF(ISNUMBER(P233),IF(ABS(SUM(P233:P238)-P239)&lt;=0.15,0,ROUND(SUM(P233:P238)-P239,1)),"")</f>
        <v>0</v>
      </c>
      <c r="Q255" s="264">
        <f>IF(ISNUMBER(Q233),IF(ABS(SUM(Q233:Q238)-Q239)&lt;=0.15,0,ROUND(SUM(Q233:Q238)-Q239,1)),"")</f>
        <v>0</v>
      </c>
      <c r="R255" s="264">
        <f>IF(ISNUMBER(R233),IF(ABS(SUM(R233:R238)-R239)&lt;=0.15,0,ROUND(SUM(R233:R238)-R239,1)),"")</f>
        <v>0</v>
      </c>
      <c r="S255" s="264">
        <f>IF(ISNUMBER(S233),IF(ABS(SUM(S233:S238)-S239)&lt;=0.15,0,ROUND(SUM(S233:S238)-S239,1)),"")</f>
        <v>0</v>
      </c>
      <c r="T255" s="264">
        <f>IF(ISNUMBER(T233),IF(ABS(SUM(T233:T238)-T239)&lt;=0.15,0,ROUND(SUM(T233:T238)-T239,1)),"")</f>
        <v>0</v>
      </c>
      <c r="U255" s="264">
        <f>IF(ISNUMBER(U233),IF(ABS(SUM(U233:U238)-U239)&lt;=0.15,0,ROUND(SUM(U233:U238)-U239,1)),"")</f>
        <v>0</v>
      </c>
      <c r="V255" s="264">
        <f>IF(ISNUMBER(V233),IF(ABS(SUM(V233:V238)-V239)&lt;=0.15,0,ROUND(SUM(V233:V238)-V239,1)),"")</f>
        <v>0</v>
      </c>
      <c r="W255" s="264">
        <f>IF(ISNUMBER(W233),IF(ABS(SUM(W233:W238)-W239)&lt;=0.15,0,ROUND(SUM(W233:W238)-W239,1)),"")</f>
        <v>0</v>
      </c>
      <c r="X255" s="264">
        <f>IF(ISNUMBER(X233),IF(ABS(SUM(X233:X238)-X239)&lt;=0.15,0,ROUND(SUM(X233:X238)-X239,1)),"")</f>
        <v>0</v>
      </c>
      <c r="Y255" s="264">
        <f>IF(ISNUMBER(Y233),IF(ABS(SUM(Y233:Y238)-Y239)&lt;=0.15,0,ROUND(SUM(Y233:Y238)-Y239,1)),"")</f>
        <v>0</v>
      </c>
      <c r="Z255" s="264">
        <f>IF(ISNUMBER(Z233),IF(ABS(SUM(Z233:Z238)-Z239)&lt;=0.15,0,ROUND(SUM(Z233:Z238)-Z239,1)),"")</f>
        <v>0</v>
      </c>
      <c r="AA255" s="264">
        <f>IF(ISNUMBER(AA233),IF(ABS(SUM(AA233:AA238)-AA239)&lt;=0.15,0,ROUND(SUM(AA233:AA238)-AA239,1)),"")</f>
        <v>0</v>
      </c>
      <c r="AB255" s="264">
        <f>IF(ISNUMBER(AB233),IF(ABS(SUM(AB233:AB238)-AB239)&lt;=0.15,0,ROUND(SUM(AB233:AB238)-AB239,1)),"")</f>
        <v>0</v>
      </c>
      <c r="AC255" s="264">
        <f>IF(ISNUMBER(AC233),IF(ABS(SUM(AC233:AC238)-AC239)&lt;=0.15,0,ROUND(SUM(AC233:AC238)-AC239,1)),"")</f>
        <v>0</v>
      </c>
      <c r="AD255" s="264">
        <f>IF(ISNUMBER(AD233),IF(ABS(SUM(AD233:AD238)-AD239)&lt;=0.15,0,ROUND(SUM(AD233:AD238)-AD239,1)),"")</f>
        <v>0</v>
      </c>
      <c r="AE255" s="264">
        <f>IF(ISNUMBER(AE233),IF(ABS(SUM(AE233:AE238)-AE239)&lt;=0.15,0,ROUND(SUM(AE233:AE238)-AE239,1)),"")</f>
        <v>0</v>
      </c>
      <c r="AF255" s="264">
        <f>IF(ISNUMBER(AF233),IF(ABS(SUM(AF233:AF238)-AF239)&lt;=0.15,0,ROUND(SUM(AF233:AF238)-AF239,1)),"")</f>
        <v>0</v>
      </c>
      <c r="AG255" s="264">
        <f>IF(ISNUMBER(AG233),IF(ABS(SUM(AG233:AG238)-AG239)&lt;=0.15,0,ROUND(SUM(AG233:AG238)-AG239,1)),"")</f>
        <v>0</v>
      </c>
      <c r="AH255" s="264">
        <f>IF(ISNUMBER(AH233),IF(ABS(SUM(AH233:AH238)-AH239)&lt;=0.15,0,ROUND(SUM(AH233:AH238)-AH239,1)),"")</f>
        <v>0</v>
      </c>
      <c r="AI255" s="264">
        <f>IF(ISNUMBER(AI233),IF(ABS(SUM(AI233:AI238)-AI239)&lt;=0.15,0,ROUND(SUM(AI233:AI238)-AI239,1)),"")</f>
        <v>0</v>
      </c>
      <c r="AJ255" s="264">
        <f>IF(ISNUMBER(AJ233),IF(ABS(SUM(AJ233:AJ238)-AJ239)&lt;=0.15,0,ROUND(SUM(AJ233:AJ238)-AJ239,1)),"")</f>
        <v>0</v>
      </c>
      <c r="AK255" s="264">
        <f>IF(ISNUMBER(AK233),IF(ABS(SUM(AK233:AK238)-AK239)&lt;=0.15,0,ROUND(SUM(AK233:AK238)-AK239,1)),"")</f>
        <v>0</v>
      </c>
      <c r="AL255" s="264">
        <f>IF(ISNUMBER(AL233),IF(ABS(SUM(AL233:AL238)-AL239)&lt;=0.15,0,ROUND(SUM(AL233:AL238)-AL239,1)),"")</f>
        <v>0</v>
      </c>
      <c r="AM255" s="264">
        <f>IF(ISNUMBER(AM233),IF(ABS(SUM(AM233:AM238)-AM239)&lt;=0.15,0,ROUND(SUM(AM233:AM238)-AM239,1)),"")</f>
        <v>0</v>
      </c>
      <c r="AN255" s="264">
        <f>IF(ISNUMBER(AN233),IF(ABS(SUM(AN233:AN238)-AN239)&lt;=0.15,0,ROUND(SUM(AN233:AN238)-AN239,1)),"")</f>
        <v>0</v>
      </c>
      <c r="AO255" s="264">
        <f>IF(ISNUMBER(AO233),IF(ABS(SUM(AO233:AO238)-AO239)&lt;=0.15,0,ROUND(SUM(AO233:AO238)-AO239,1)),"")</f>
        <v>0</v>
      </c>
      <c r="AP255" s="264">
        <f>IF(ISNUMBER(AP233),IF(ABS(SUM(AP233:AP238)-AP239)&lt;=0.15,0,ROUND(SUM(AP233:AP238)-AP239,1)),"")</f>
        <v>0</v>
      </c>
      <c r="AQ255" s="264">
        <f>IF(ISNUMBER(AQ233),IF(ABS(SUM(AQ233:AQ238)-AQ239)&lt;=0.15,0,ROUND(SUM(AQ233:AQ238)-AQ239,1)),"")</f>
        <v>0</v>
      </c>
      <c r="AR255" s="264">
        <f>IF(ISNUMBER(AR233),IF(ABS(SUM(AR233:AR238)-AR239)&lt;=0.15,0,ROUND(SUM(AR233:AR238)-AR239,1)),"")</f>
        <v>0</v>
      </c>
      <c r="AS255" s="264">
        <f>IF(ISNUMBER(AS233),IF(ABS(SUM(AS233:AS238)-AS239)&lt;=0.15,0,ROUND(SUM(AS233:AS238)-AS239,1)),"")</f>
        <v>0</v>
      </c>
      <c r="AT255" s="264">
        <f>IF(ISNUMBER(AT233),IF(ABS(SUM(AT233:AT238)-AT239)&lt;=0.15,0,ROUND(SUM(AT233:AT238)-AT239,1)),"")</f>
        <v>0</v>
      </c>
      <c r="AU255" s="264">
        <f>IF(ISNUMBER(AU233),IF(ABS(SUM(AU233:AU238)-AU239)&lt;=0.15,0,ROUND(SUM(AU233:AU238)-AU239,1)),"")</f>
        <v>0</v>
      </c>
      <c r="AV255" s="264">
        <f>IF(ISNUMBER(AV233),IF(ABS(SUM(AV233:AV238)-AV239)&lt;=0.15,0,ROUND(SUM(AV233:AV238)-AV239,1)),"")</f>
        <v>0</v>
      </c>
      <c r="AW255" s="264">
        <f>IF(ISNUMBER(AW233),IF(ABS(SUM(AW233:AW238)-AW239)&lt;=0.15,0,ROUND(SUM(AW233:AW238)-AW239,1)),"")</f>
        <v>0</v>
      </c>
      <c r="AX255" s="264">
        <f>IF(ISNUMBER(AX233),IF(ABS(SUM(AX233:AX238)-AX239)&lt;=0.15,0,ROUND(SUM(AX233:AX238)-AX239,1)),"")</f>
        <v>0</v>
      </c>
      <c r="AY255" s="264">
        <f>IF(ISNUMBER(AY233),IF(ABS(SUM(AY233:AY238)-AY239)&lt;=0.15,0,ROUND(SUM(AY233:AY238)-AY239,1)),"")</f>
        <v>0</v>
      </c>
      <c r="AZ255" s="264">
        <f>IF(ISNUMBER(AZ233),IF(ABS(SUM(AZ233:AZ238)-AZ239)&lt;=0.15,0,ROUND(SUM(AZ233:AZ238)-AZ239,1)),"")</f>
        <v>0</v>
      </c>
      <c r="BA255" s="264">
        <f>IF(ISNUMBER(BA233),IF(ABS(SUM(BA233:BA238)-BA239)&lt;=0.15,0,ROUND(SUM(BA233:BA238)-BA239,1)),"")</f>
        <v>0</v>
      </c>
      <c r="BB255" s="264">
        <f>IF(ISNUMBER(BB233),IF(ABS(SUM(BB233:BB238)-BB239)&lt;=0.15,0,ROUND(SUM(BB233:BB238)-BB239,1)),"")</f>
        <v>0</v>
      </c>
      <c r="BC255" s="264">
        <f>IF(ISNUMBER(BC233),IF(ABS(SUM(BC233:BC238)-BC239)&lt;=0.15,0,ROUND(SUM(BC233:BC238)-BC239,1)),"")</f>
        <v>0</v>
      </c>
      <c r="BD255" s="264">
        <f>IF(ISNUMBER(BD233),IF(ABS(SUM(BD233:BD238)-BD239)&lt;=0.15,0,ROUND(SUM(BD233:BD238)-BD239,1)),"")</f>
        <v>0</v>
      </c>
      <c r="BE255" s="264">
        <f>IF(ISNUMBER(BE233),IF(ABS(SUM(BE233:BE238)-BE239)&lt;=0.15,0,ROUND(SUM(BE233:BE238)-BE239,1)),"")</f>
        <v>0</v>
      </c>
      <c r="BF255" s="264">
        <f>IF(ISNUMBER(BF233),IF(ABS(SUM(BF233:BF238)-BF239)&lt;=0.15,0,ROUND(SUM(BF233:BF238)-BF239,1)),"")</f>
        <v>0</v>
      </c>
      <c r="BG255" s="264">
        <f>IF(ISNUMBER(BG233),IF(ABS(SUM(BG233:BG238)-BG239)&lt;=0.15,0,ROUND(SUM(BG233:BG238)-BG239,1)),"")</f>
        <v>0</v>
      </c>
      <c r="BH255" s="264">
        <f>IF(ISNUMBER(BH233),IF(ABS(SUM(BH233:BH238)-BH239)&lt;=0.15,0,ROUND(SUM(BH233:BH238)-BH239,1)),"")</f>
        <v>0</v>
      </c>
      <c r="BI255" s="264">
        <f>IF(ISNUMBER(BI233),IF(ABS(SUM(BI233:BI238)-BI239)&lt;=0.15,0,ROUND(SUM(BI233:BI238)-BI239,1)),"")</f>
        <v>0</v>
      </c>
      <c r="BJ255" s="264">
        <f>IF(ISNUMBER(BJ233),IF(ABS(SUM(BJ233:BJ238)-BJ239)&lt;=0.15,0,ROUND(SUM(BJ233:BJ238)-BJ239,1)),"")</f>
        <v>0</v>
      </c>
      <c r="BK255" s="264">
        <f>IF(ISNUMBER(BK233),IF(ABS(SUM(BK233:BK238)-BK239)&lt;=0.15,0,ROUND(SUM(BK233:BK238)-BK239,1)),"")</f>
        <v>0</v>
      </c>
      <c r="BL255" s="264">
        <f>IF(ISNUMBER(BL233),IF(ABS(SUM(BL233:BL238)-BL239)&lt;=0.15,0,ROUND(SUM(BL233:BL238)-BL239,1)),"")</f>
        <v>0</v>
      </c>
      <c r="BM255" s="264">
        <f>IF(ISNUMBER(BM233),IF(ABS(SUM(BM233:BM238)-BM239)&lt;=0.15,0,ROUND(SUM(BM233:BM238)-BM239,1)),"")</f>
        <v>0</v>
      </c>
      <c r="BN255" s="264">
        <f>IF(ISNUMBER(BN233),IF(ABS(SUM(BN233:BN238)-BN239)&lt;=0.15,0,ROUND(SUM(BN233:BN238)-BN239,1)),"")</f>
        <v>0</v>
      </c>
      <c r="BO255" s="264">
        <f>IF(ISNUMBER(BO233),IF(ABS(SUM(BO233:BO238)-BO239)&lt;=0.15,0,ROUND(SUM(BO233:BO238)-BO239,1)),"")</f>
        <v>0</v>
      </c>
      <c r="BP255" s="264">
        <f>IF(ISNUMBER(BP233),IF(ABS(SUM(BP233:BP238)-BP239)&lt;=0.15,0,ROUND(SUM(BP233:BP238)-BP239,1)),"")</f>
        <v>0</v>
      </c>
      <c r="BQ255" s="264">
        <f>IF(ISNUMBER(BQ233),IF(ABS(SUM(BQ233:BQ238)-BQ239)&lt;=0.15,0,ROUND(SUM(BQ233:BQ238)-BQ239,1)),"")</f>
        <v>0</v>
      </c>
      <c r="BR255" s="264">
        <f>IF(ISNUMBER(BR233),IF(ABS(SUM(BR233:BR238)-BR239)&lt;=0.15,0,ROUND(SUM(BR233:BR238)-BR239,1)),"")</f>
        <v>0</v>
      </c>
      <c r="BS255" s="264">
        <f>IF(ISNUMBER(BS233),IF(ABS(SUM(BS233:BS238)-BS239)&lt;=0.15,0,ROUND(SUM(BS233:BS238)-BS239,1)),"")</f>
        <v>0</v>
      </c>
      <c r="BT255" s="264">
        <f>IF(ISNUMBER(BT233),IF(ABS(SUM(BT233:BT238)-BT239)&lt;=0.15,0,ROUND(SUM(BT233:BT238)-BT239,1)),"")</f>
        <v>0</v>
      </c>
      <c r="BU255" s="264">
        <f>IF(ISNUMBER(BU233),IF(ABS(SUM(BU233:BU238)-BU239)&lt;=0.15,0,ROUND(SUM(BU233:BU238)-BU239,1)),"")</f>
        <v>0</v>
      </c>
      <c r="BV255" s="264">
        <f>IF(ISNUMBER(BV233),IF(ABS(SUM(BV233:BV238)-BV239)&lt;=0.15,0,ROUND(SUM(BV233:BV238)-BV239,1)),"")</f>
        <v>0</v>
      </c>
      <c r="BW255" s="264">
        <f>IF(ISNUMBER(BW233),IF(ABS(SUM(BW233:BW238)-BW239)&lt;=0.15,0,ROUND(SUM(BW233:BW238)-BW239,1)),"")</f>
        <v>0</v>
      </c>
      <c r="BX255" s="264">
        <f>IF(ISNUMBER(BX233),IF(ABS(SUM(BX233:BX238)-BX239)&lt;=0.15,0,ROUND(SUM(BX233:BX238)-BX239,1)),"")</f>
        <v>0</v>
      </c>
      <c r="BY255" s="264">
        <f>IF(ISNUMBER(BY233),IF(ABS(SUM(BY233:BY238)-BY239)&lt;=0.15,0,ROUND(SUM(BY233:BY238)-BY239,1)),"")</f>
        <v>0</v>
      </c>
      <c r="BZ255" s="264">
        <f>IF(ISNUMBER(BZ233),IF(ABS(SUM(BZ233:BZ238)-BZ239)&lt;=0.15,0,ROUND(SUM(BZ233:BZ238)-BZ239,1)),"")</f>
        <v>0</v>
      </c>
      <c r="CA255" s="264">
        <f>IF(ISNUMBER(CA233),IF(ABS(SUM(CA233:CA238)-CA239)&lt;=0.15,0,ROUND(SUM(CA233:CA238)-CA239,1)),"")</f>
        <v>0</v>
      </c>
      <c r="CB255" s="264">
        <f>IF(ISNUMBER(CB233),IF(ABS(SUM(CB233:CB238)-CB239)&lt;=0.15,0,ROUND(SUM(CB233:CB238)-CB239,1)),"")</f>
        <v>0</v>
      </c>
      <c r="CC255" s="153" t="n"/>
      <c r="CD255" s="153" t="n"/>
      <c r="CE255" s="153" t="n"/>
      <c r="CF255" s="272">
        <f>IF(ISNUMBER(CF233),IF(ABS(SUM(CF233:CF238)-CF239)&lt;=0.15,0,ROUND(SUM(CF233:CF238)-CF239,1)),"")</f>
        <v>0</v>
      </c>
      <c r="CG255" s="272">
        <f>IF(ISNUMBER(CG233),IF(ABS(SUM(CG233:CG238)-CG239)&lt;=0.15,0,ROUND(SUM(CG233:CG238)-CG239,1)),"")</f>
        <v>0</v>
      </c>
      <c r="CH255" s="272">
        <f>IF(ISNUMBER(CH233),IF(ABS(SUM(CH233:CH238)-CH239)&lt;=0.15,0,ROUND(SUM(CH233:CH238)-CH239,1)),"")</f>
        <v>0</v>
      </c>
      <c r="CI255" s="272">
        <f>IF(ISNUMBER(CI233),IF(ABS(SUM(CI233:CI238)-CI239)&lt;=0.15,0,ROUND(SUM(CI233:CI238)-CI239,1)),"")</f>
        <v>0</v>
      </c>
      <c r="CJ255" s="272">
        <f>IF(ISNUMBER(CJ233),IF(ABS(SUM(CJ233:CJ238)-CJ239)&lt;=0.15,0,ROUND(SUM(CJ233:CJ238)-CJ239,1)),"")</f>
        <v>0</v>
      </c>
      <c r="CK255" s="272">
        <f>IF(ISNUMBER(CK233),IF(ABS(SUM(CK233:CK238)-CK239)&lt;=0.15,0,ROUND(SUM(CK233:CK238)-CK239,1)),"")</f>
        <v>0</v>
      </c>
      <c r="CL255" s="153" t="n"/>
    </row>
    <row r="256" ht="15" customHeight="1" s="251">
      <c r="B256" s="25" t="inlineStr">
        <is>
          <t>(Memo)</t>
        </is>
      </c>
      <c r="CL256" s="153" t="n"/>
    </row>
    <row r="257" ht="15" customHeight="1" s="251">
      <c r="B257" s="55" t="inlineStr">
        <is>
          <t>Free cash flow (company definition: cash from operations − capital expenditures)</t>
        </is>
      </c>
      <c r="C257" s="271">
        <f>IF(AND(ISNUMBER(C239),ISNUMBER(C240)),C239+C240,"")</f>
        <v>14.301</v>
      </c>
      <c r="D257" s="271">
        <f>IF(AND(ISNUMBER(D239),ISNUMBER(D240)),D239+D240,"")</f>
        <v>39.561</v>
      </c>
      <c r="E257" s="271">
        <f>IF(AND(ISNUMBER(E239),ISNUMBER(E240)),E239+E240,"")</f>
        <v>9.319</v>
      </c>
      <c r="F257" s="271">
        <f>IF(AND(ISNUMBER(F239),ISNUMBER(F240)),F239+F240,"")</f>
        <v>17.158</v>
      </c>
      <c r="G257" s="271">
        <f>IF(AND(ISNUMBER(G239),ISNUMBER(G240)),G239+G240,"")</f>
        <v>31.247</v>
      </c>
      <c r="H257" s="271">
        <f>IF(AND(ISNUMBER(H239),ISNUMBER(H240)),H239+H240,"")</f>
        <v>39.516</v>
      </c>
      <c r="I257" s="271">
        <f>IF(AND(ISNUMBER(I239),ISNUMBER(I240)),I239+I240,"")</f>
        <v>27.188</v>
      </c>
      <c r="J257" s="271">
        <f>IF(AND(ISNUMBER(J239),ISNUMBER(J240)),J239+J240,"")</f>
        <v>20.46</v>
      </c>
      <c r="K257" s="271">
        <f>IF(AND(ISNUMBER(K239),ISNUMBER(K240)),K239+K240,"")</f>
        <v>-2.374</v>
      </c>
      <c r="L257" s="271">
        <f>IF(AND(ISNUMBER(L239),ISNUMBER(L240)),L239+L240,"")</f>
        <v>0.334</v>
      </c>
      <c r="M257" s="271">
        <f>IF(AND(ISNUMBER(M239),ISNUMBER(M240)),M239+M240,"")</f>
        <v>5.825</v>
      </c>
      <c r="N257" s="271">
        <f>IF(AND(ISNUMBER(N239),ISNUMBER(N240)),N239+N240,"")</f>
        <v>24.245</v>
      </c>
      <c r="O257" s="271">
        <f>IF(AND(ISNUMBER(O239),ISNUMBER(O240)),O239+O240,"")</f>
        <v>11.58</v>
      </c>
      <c r="P257" s="271">
        <f>IF(AND(ISNUMBER(P239),ISNUMBER(P240)),P239+P240,"")</f>
        <v>-4.633</v>
      </c>
      <c r="Q257" s="271">
        <f>IF(AND(ISNUMBER(Q239),ISNUMBER(Q240)),Q239+Q240,"")</f>
        <v>6.396</v>
      </c>
      <c r="R257" s="271">
        <f>IF(AND(ISNUMBER(R239),ISNUMBER(R240)),R239+R240,"")</f>
        <v>5.712</v>
      </c>
      <c r="S257" s="271">
        <f>IF(AND(ISNUMBER(S239),ISNUMBER(S240)),S239+S240,"")</f>
        <v>19.055</v>
      </c>
      <c r="T257" s="271">
        <f>IF(AND(ISNUMBER(T239),ISNUMBER(T240)),T239+T240,"")</f>
        <v>23.433</v>
      </c>
      <c r="U257" s="271">
        <f>IF(AND(ISNUMBER(U239),ISNUMBER(U240)),U239+U240,"")</f>
        <v>9.837</v>
      </c>
      <c r="V257" s="271">
        <f>IF(AND(ISNUMBER(V239),ISNUMBER(V240)),V239+V240,"")</f>
        <v>13.265</v>
      </c>
      <c r="W257" s="271">
        <f>IF(AND(ISNUMBER(W239),ISNUMBER(W240)),W239+W240,"")</f>
        <v>4.358</v>
      </c>
      <c r="X257" s="271">
        <f>IF(AND(ISNUMBER(X239),ISNUMBER(X240)),X239+X240,"")</f>
        <v>50.893</v>
      </c>
      <c r="Y257" s="271">
        <f>IF(AND(ISNUMBER(Y239),ISNUMBER(Y240)),Y239+Y240,"")</f>
        <v>16.919</v>
      </c>
      <c r="Z257" s="271">
        <f>IF(AND(ISNUMBER(Z239),ISNUMBER(Z240)),Z239+Z240,"")</f>
        <v>13.542</v>
      </c>
      <c r="AA257" s="271">
        <f>IF(AND(ISNUMBER(AA239),ISNUMBER(AA240)),AA239+AA240,"")</f>
        <v>16.704</v>
      </c>
      <c r="AB257" s="271">
        <f>IF(AND(ISNUMBER(AB239),ISNUMBER(AB240)),AB239+AB240,"")</f>
        <v>15.331</v>
      </c>
      <c r="AC257" s="271">
        <f>IF(AND(ISNUMBER(AC239),ISNUMBER(AC240)),AC239+AC240,"")</f>
        <v>62.496</v>
      </c>
      <c r="AD257" s="271">
        <f>IF(AND(ISNUMBER(AD239),ISNUMBER(AD240)),AD239+AD240,"")</f>
        <v>14.046</v>
      </c>
      <c r="AE257" s="271">
        <f>IF(AND(ISNUMBER(AE239),ISNUMBER(AE240)),AE239+AE240,"")</f>
        <v>14.846</v>
      </c>
      <c r="AF257" s="271">
        <f>IF(AND(ISNUMBER(AF239),ISNUMBER(AF240)),AF239+AF240,"")</f>
        <v>31.268</v>
      </c>
      <c r="AG257" s="271">
        <f>IF(AND(ISNUMBER(AG239),ISNUMBER(AG240)),AG239+AG240,"")</f>
        <v>20.188</v>
      </c>
      <c r="AH257" s="271">
        <f>IF(AND(ISNUMBER(AH239),ISNUMBER(AH240)),AH239+AH240,"")</f>
        <v>80.348</v>
      </c>
      <c r="AI257" s="271">
        <f>IF(AND(ISNUMBER(AI239),ISNUMBER(AI240)),AI239+AI240,"")</f>
        <v>34.15</v>
      </c>
      <c r="AJ257" s="271">
        <f>IF(AND(ISNUMBER(AJ239),ISNUMBER(AJ240)),AJ239+AJ240,"")</f>
        <v>17.145</v>
      </c>
      <c r="AK257" s="271">
        <f>IF(AND(ISNUMBER(AK239),ISNUMBER(AK240)),AK239+AK240,"")</f>
        <v>20.659</v>
      </c>
      <c r="AL257" s="271">
        <f>IF(AND(ISNUMBER(AL239),ISNUMBER(AL240)),AL239+AL240,"")</f>
        <v>30.359</v>
      </c>
      <c r="AM257" s="271">
        <f>IF(AND(ISNUMBER(AM239),ISNUMBER(AM240)),AM239+AM240,"")</f>
        <v>102.313</v>
      </c>
      <c r="AN257" s="271">
        <f>IF(AND(ISNUMBER(AN239),ISNUMBER(AN240)),AN239+AN240,"")</f>
        <v>26.842</v>
      </c>
      <c r="AO257" s="271">
        <f>IF(AND(ISNUMBER(AO239),ISNUMBER(AO240)),AO239+AO240,"")</f>
        <v>13.277</v>
      </c>
      <c r="AP257" s="271">
        <f>IF(AND(ISNUMBER(AP239),ISNUMBER(AP240)),AP239+AP240,"")</f>
        <v>9.689</v>
      </c>
      <c r="AQ257" s="271">
        <f>IF(AND(ISNUMBER(AQ239),ISNUMBER(AQ240)),AQ239+AQ240,"")</f>
        <v>17.393</v>
      </c>
      <c r="AR257" s="271">
        <f>IF(AND(ISNUMBER(AR239),ISNUMBER(AR240)),AR239+AR240,"")</f>
        <v>67.201</v>
      </c>
      <c r="AS257" s="271">
        <f>IF(AND(ISNUMBER(AS239),ISNUMBER(AS240)),AS239+AS240,"")</f>
        <v>28.096</v>
      </c>
      <c r="AT257" s="271">
        <f>IF(AND(ISNUMBER(AT239),ISNUMBER(AT240)),AT239+AT240,"")</f>
        <v>16.306</v>
      </c>
      <c r="AU257" s="271">
        <f>IF(AND(ISNUMBER(AU239),ISNUMBER(AU240)),AU239+AU240,"")</f>
        <v>39.231</v>
      </c>
      <c r="AV257" s="271">
        <f>IF(AND(ISNUMBER(AV239),ISNUMBER(AV240)),AV239+AV240,"")</f>
        <v>34.691</v>
      </c>
      <c r="AW257" s="271">
        <f>IF(AND(ISNUMBER(AW239),ISNUMBER(AW240)),AW239+AW240,"")</f>
        <v>118.324</v>
      </c>
      <c r="AX257" s="271">
        <f>IF(AND(ISNUMBER(AX239),ISNUMBER(AX240)),AX239+AX240,"")</f>
        <v>44.484</v>
      </c>
      <c r="AY257" s="271">
        <f>IF(AND(ISNUMBER(AY239),ISNUMBER(AY240)),AY239+AY240,"")</f>
        <v>23.987</v>
      </c>
      <c r="AZ257" s="271">
        <f>IF(AND(ISNUMBER(AZ239),ISNUMBER(AZ240)),AZ239+AZ240,"")</f>
        <v>33.306</v>
      </c>
      <c r="BA257" s="271">
        <f>IF(AND(ISNUMBER(BA239),ISNUMBER(BA240)),BA239+BA240,"")</f>
        <v>38.904</v>
      </c>
      <c r="BB257" s="271">
        <f>IF(AND(ISNUMBER(BB239),ISNUMBER(BB240)),BB239+BB240,"")</f>
        <v>140.681</v>
      </c>
      <c r="BC257" s="271">
        <f>IF(AND(ISNUMBER(BC239),ISNUMBER(BC240)),BC239+BC240,"")</f>
        <v>49.926</v>
      </c>
      <c r="BD257" s="271">
        <f>IF(AND(ISNUMBER(BD239),ISNUMBER(BD240)),BD239+BD240,"")</f>
        <v>36.666</v>
      </c>
      <c r="BE257" s="271">
        <f>IF(AND(ISNUMBER(BE239),ISNUMBER(BE240)),BE239+BE240,"")</f>
        <v>25.073</v>
      </c>
      <c r="BF257" s="271">
        <f>IF(AND(ISNUMBER(BF239),ISNUMBER(BF240)),BF239+BF240,"")</f>
        <v>38.869</v>
      </c>
      <c r="BG257" s="271">
        <f>IF(AND(ISNUMBER(BG239),ISNUMBER(BG240)),BG239+BG240,"")</f>
        <v>150.534</v>
      </c>
      <c r="BH257" s="271">
        <f>IF(AND(ISNUMBER(BH239),ISNUMBER(BH240)),BH239+BH240,"")</f>
        <v>51.178</v>
      </c>
      <c r="BI257" s="271">
        <f>IF(AND(ISNUMBER(BI239),ISNUMBER(BI240)),BI239+BI240,"")</f>
        <v>14.126</v>
      </c>
      <c r="BJ257" s="271">
        <f>IF(AND(ISNUMBER(BJ239),ISNUMBER(BJ240)),BJ239+BJ240,"")</f>
        <v>54.377</v>
      </c>
      <c r="BK257" s="271">
        <f>IF(AND(ISNUMBER(BK239),ISNUMBER(BK240)),BK239+BK240,"")</f>
        <v>58.919</v>
      </c>
      <c r="BL257" s="271">
        <f>IF(AND(ISNUMBER(BL239),ISNUMBER(BL240)),BL239+BL240,"")</f>
        <v>178.6</v>
      </c>
      <c r="BM257" s="271">
        <f>IF(AND(ISNUMBER(BM239),ISNUMBER(BM240)),BM239+BM240,"")</f>
        <v>55</v>
      </c>
      <c r="BN257" s="271">
        <f>IF(AND(ISNUMBER(BN239),ISNUMBER(BN240)),BN239+BN240,"")</f>
        <v>45.6</v>
      </c>
      <c r="BO257" s="271">
        <f>IF(AND(ISNUMBER(BO239),ISNUMBER(BO240)),BO239+BO240,"")</f>
        <v>70.9</v>
      </c>
      <c r="BP257" s="271">
        <f>IF(AND(ISNUMBER(BP239),ISNUMBER(BP240)),BP239+BP240,"")</f>
        <v>70</v>
      </c>
      <c r="BQ257" s="271">
        <f>IF(AND(ISNUMBER(BQ239),ISNUMBER(BQ240)),BQ239+BQ240,"")</f>
        <v>241.5</v>
      </c>
      <c r="BR257" s="271">
        <f>IF(AND(ISNUMBER(BR239),ISNUMBER(BR240)),BR239+BR240,"")</f>
        <v>88.4</v>
      </c>
      <c r="BS257" s="271">
        <f>IF(AND(ISNUMBER(BS239),ISNUMBER(BS240)),BS239+BS240,"")</f>
        <v>26.8</v>
      </c>
      <c r="BT257" s="271">
        <f>IF(AND(ISNUMBER(BT239),ISNUMBER(BT240)),BT239+BT240,"")</f>
        <v>73.6</v>
      </c>
      <c r="BU257" s="271">
        <f>IF(AND(ISNUMBER(BU239),ISNUMBER(BU240)),BU239+BU240,"")</f>
        <v>55</v>
      </c>
      <c r="BV257" s="271">
        <f>IF(AND(ISNUMBER(BV239),ISNUMBER(BV240)),BV239+BV240,"")</f>
        <v>243.8</v>
      </c>
      <c r="BW257" s="271">
        <f>IF(AND(ISNUMBER(BW239),ISNUMBER(BW240)),BW239+BW240,"")</f>
        <v>104.3</v>
      </c>
      <c r="BX257" s="271">
        <f>IF(AND(ISNUMBER(BX239),ISNUMBER(BX240)),BX239+BX240,"")</f>
        <v>71.7</v>
      </c>
      <c r="BY257" s="271">
        <f>IF(AND(ISNUMBER(BY239),ISNUMBER(BY240)),BY239+BY240,"")</f>
        <v>99.1</v>
      </c>
      <c r="BZ257" s="271">
        <f>IF(AND(ISNUMBER(BZ239),ISNUMBER(BZ240)),BZ239+BZ240,"")</f>
        <v>67.5</v>
      </c>
      <c r="CA257" s="271">
        <f>IF(AND(ISNUMBER(CA239),ISNUMBER(CA240)),CA239+CA240,"")</f>
        <v>342.6</v>
      </c>
      <c r="CB257" s="271">
        <f>IF(AND(ISNUMBER(CB239),ISNUMBER(CB240)),CB239+CB240,"")</f>
        <v>146.9</v>
      </c>
      <c r="CC257" s="56" t="n"/>
      <c r="CD257" s="56" t="n"/>
      <c r="CE257" s="56" t="n"/>
      <c r="CF257" s="271">
        <f>IF(AND(ISNUMBER(CF239),ISNUMBER(CF240)),CF239+CF240,"")</f>
        <v>380.254466098766</v>
      </c>
      <c r="CG257" s="271">
        <f>IF(AND(ISNUMBER(CG239),ISNUMBER(CG240)),CG239+CG240,"")</f>
        <v>476.877113391674</v>
      </c>
      <c r="CH257" s="271">
        <f>IF(AND(ISNUMBER(CH239),ISNUMBER(CH240)),CH239+CH240,"")</f>
        <v>526.417008863863</v>
      </c>
      <c r="CI257" s="271">
        <f>IF(AND(ISNUMBER(CI239),ISNUMBER(CI240)),CI239+CI240,"")</f>
        <v>605.981226791263</v>
      </c>
      <c r="CJ257" s="271">
        <f>IF(AND(ISNUMBER(CJ239),ISNUMBER(CJ240)),CJ239+CJ240,"")</f>
        <v>663.306009050054</v>
      </c>
      <c r="CK257" s="271">
        <f>IF(AND(ISNUMBER(CK239),ISNUMBER(CK240)),CK239+CK240,"")</f>
        <v>720.308291248679</v>
      </c>
      <c r="CL257" s="153" t="n"/>
      <c r="CN257" s="20">
        <f>IFERROR((CK257/CF257)^(1/5)-1,"n/m")</f>
        <v>0.136289040828438</v>
      </c>
      <c r="CO257" s="20">
        <f>IFERROR((CA257/BB257)^(1/5)-1,"n/m")</f>
        <v>0.19484173107332</v>
      </c>
      <c r="CP257" s="20">
        <f>IFERROR((CA257/AC257)^(1/10)-1,"n/m")</f>
        <v>0.185478040708238</v>
      </c>
      <c r="CQ257" s="20">
        <f>IFERROR((CA257/C257)^(1/20)-1,"n/m")</f>
        <v>0.172117223319046</v>
      </c>
    </row>
    <row r="258" ht="15" customHeight="1" s="251">
      <c r="B258" s="25" t="inlineStr">
        <is>
          <t xml:space="preserve">  Free cash flow conversion (company definition: FCF / net income) %</t>
        </is>
      </c>
      <c r="C258" s="215">
        <f>IF(AND(ISNUMBER(C257),ISNUMBER(C127)),IFERROR(C257/C127,""),"")</f>
        <v>1.1496904895892</v>
      </c>
      <c r="D258" s="215">
        <f>IF(AND(ISNUMBER(D257),ISNUMBER(D127)),IFERROR(D257/D127,""),"")</f>
        <v>1.38912883177078</v>
      </c>
      <c r="E258" s="215">
        <f>IF(AND(ISNUMBER(E257),ISNUMBER(E127)),IFERROR(E257/E127,""),"")</f>
        <v>0.231850524953973</v>
      </c>
      <c r="F258" s="215">
        <f>IF(AND(ISNUMBER(F257),ISNUMBER(F127)),IFERROR(F257/F127,""),"")</f>
        <v>0.497997329773031</v>
      </c>
      <c r="G258" s="215">
        <f>IF(AND(ISNUMBER(G257),ISNUMBER(G127)),IFERROR(G257/G127,""),"")</f>
        <v>1.28140250153783</v>
      </c>
      <c r="H258" s="215">
        <f>IF(AND(ISNUMBER(H257),ISNUMBER(H127)),IFERROR(H257/H127,""),"")</f>
        <v>1.13330274176896</v>
      </c>
      <c r="I258" s="215">
        <f>IF(AND(ISNUMBER(I257),ISNUMBER(I127)),IFERROR(I257/I127,""),"")</f>
        <v>0.543792627557654</v>
      </c>
      <c r="J258" s="215">
        <f>IF(AND(ISNUMBER(J257),ISNUMBER(J127)),IFERROR(J257/J127,""),"")</f>
        <v>1.19202982987649</v>
      </c>
      <c r="K258" s="215">
        <f>IF(AND(ISNUMBER(K257),ISNUMBER(K127)),IFERROR(K257/K127,""),"")</f>
        <v>-0.143931126470232</v>
      </c>
      <c r="L258" s="215">
        <f>IF(AND(ISNUMBER(L257),ISNUMBER(L127)),IFERROR(L257/L127,""),"")</f>
        <v>0.027582789660583</v>
      </c>
      <c r="M258" s="215">
        <f>IF(AND(ISNUMBER(M257),ISNUMBER(M127)),IFERROR(M257/M127,""),"")</f>
        <v>0.550827423167849</v>
      </c>
      <c r="N258" s="215">
        <f>IF(AND(ISNUMBER(N257),ISNUMBER(N127)),IFERROR(N257/N127,""),"")</f>
        <v>0.430318412551915</v>
      </c>
      <c r="O258" s="215">
        <f>IF(AND(ISNUMBER(O257),ISNUMBER(O127)),IFERROR(O257/O127,""),"")</f>
        <v>0.766075681397195</v>
      </c>
      <c r="P258" s="215">
        <f>IF(AND(ISNUMBER(P257),ISNUMBER(P127)),IFERROR(P257/P127,""),"")</f>
        <v>-0.328</v>
      </c>
      <c r="Q258" s="215">
        <f>IF(AND(ISNUMBER(Q257),ISNUMBER(Q127)),IFERROR(Q257/Q127,""),"")</f>
        <v>0.50109683484801</v>
      </c>
      <c r="R258" s="215">
        <f>IF(AND(ISNUMBER(R257),ISNUMBER(R127)),IFERROR(R257/R127,""),"")</f>
        <v>0.313794429489645</v>
      </c>
      <c r="S258" s="215">
        <f>IF(AND(ISNUMBER(S257),ISNUMBER(S127)),IFERROR(S257/S127,""),"")</f>
        <v>0.316486181238374</v>
      </c>
      <c r="T258" s="215">
        <f>IF(AND(ISNUMBER(T257),ISNUMBER(T127)),IFERROR(T257/T127,""),"")</f>
        <v>1.462734082397</v>
      </c>
      <c r="U258" s="215">
        <f>IF(AND(ISNUMBER(U257),ISNUMBER(U127)),IFERROR(U257/U127,""),"")</f>
        <v>0.742527173913043</v>
      </c>
      <c r="V258" s="215">
        <f>IF(AND(ISNUMBER(V257),ISNUMBER(V127)),IFERROR(V257/V127,""),"")</f>
        <v>0.944060920930895</v>
      </c>
      <c r="W258" s="215">
        <f>IF(AND(ISNUMBER(W257),ISNUMBER(W127)),IFERROR(W257/W127,""),"")</f>
        <v>0.291915064639293</v>
      </c>
      <c r="X258" s="215">
        <f>IF(AND(ISNUMBER(X257),ISNUMBER(X127)),IFERROR(X257/X127,""),"")</f>
        <v>0.873729570113995</v>
      </c>
      <c r="Y258" s="215">
        <f>IF(AND(ISNUMBER(Y257),ISNUMBER(Y127)),IFERROR(Y257/Y127,""),"")</f>
        <v>1.26223515368547</v>
      </c>
      <c r="Z258" s="215">
        <f>IF(AND(ISNUMBER(Z257),ISNUMBER(Z127)),IFERROR(Z257/Z127,""),"")</f>
        <v>0.932708864246849</v>
      </c>
      <c r="AA258" s="215">
        <f>IF(AND(ISNUMBER(AA257),ISNUMBER(AA127)),IFERROR(AA257/AA127,""),"")</f>
        <v>0.979879157623042</v>
      </c>
      <c r="AB258" s="215">
        <f>IF(AND(ISNUMBER(AB257),ISNUMBER(AB127)),IFERROR(AB257/AB127,""),"")</f>
        <v>0.810135277953921</v>
      </c>
      <c r="AC258" s="215">
        <f>IF(AND(ISNUMBER(AC257),ISNUMBER(AC127)),IFERROR(AC257/AC127,""),"")</f>
        <v>0.978120011268664</v>
      </c>
      <c r="AD258" s="215">
        <f>IF(AND(ISNUMBER(AD257),ISNUMBER(AD127)),IFERROR(AD257/AD127,""),"")</f>
        <v>0.77860310421286</v>
      </c>
      <c r="AE258" s="215">
        <f>IF(AND(ISNUMBER(AE257),ISNUMBER(AE127)),IFERROR(AE257/AE127,""),"")</f>
        <v>0.814461268378319</v>
      </c>
      <c r="AF258" s="215">
        <f>IF(AND(ISNUMBER(AF257),ISNUMBER(AF127)),IFERROR(AF257/AF127,""),"")</f>
        <v>2.44855129209084</v>
      </c>
      <c r="AG258" s="215">
        <f>IF(AND(ISNUMBER(AG257),ISNUMBER(AG127)),IFERROR(AG257/AG127,""),"")</f>
        <v>0.935279129024786</v>
      </c>
      <c r="AH258" s="215">
        <f>IF(AND(ISNUMBER(AH257),ISNUMBER(AH127)),IFERROR(AH257/AH127,""),"")</f>
        <v>1.13770301459864</v>
      </c>
      <c r="AI258" s="215">
        <f>IF(AND(ISNUMBER(AI257),ISNUMBER(AI127)),IFERROR(AI257/AI127,""),"")</f>
        <v>1.5658673024898</v>
      </c>
      <c r="AJ258" s="215">
        <f>IF(AND(ISNUMBER(AJ257),ISNUMBER(AJ127)),IFERROR(AJ257/AJ127,""),"")</f>
        <v>1.15664845173042</v>
      </c>
      <c r="AK258" s="215">
        <f>IF(AND(ISNUMBER(AK257),ISNUMBER(AK127)),IFERROR(AK257/AK127,""),"")</f>
        <v>0.866859684457872</v>
      </c>
      <c r="AL258" s="215">
        <f>IF(AND(ISNUMBER(AL257),ISNUMBER(AL127)),IFERROR(AL257/AL127,""),"")</f>
        <v>1.13802151666229</v>
      </c>
      <c r="AM258" s="215">
        <f>IF(AND(ISNUMBER(AM257),ISNUMBER(AM127)),IFERROR(AM257/AM127,""),"")</f>
        <v>1.17410862854454</v>
      </c>
      <c r="AN258" s="215">
        <f>IF(AND(ISNUMBER(AN257),ISNUMBER(AN127)),IFERROR(AN257/AN127,""),"")</f>
        <v>0.977245421778862</v>
      </c>
      <c r="AO258" s="215">
        <f>IF(AND(ISNUMBER(AO257),ISNUMBER(AO127)),IFERROR(AO257/AO127,""),"")</f>
        <v>0.440935206402976</v>
      </c>
      <c r="AP258" s="215">
        <f>IF(AND(ISNUMBER(AP257),ISNUMBER(AP127)),IFERROR(AP257/AP127,""),"")</f>
        <v>0.598899740388182</v>
      </c>
      <c r="AQ258" s="215">
        <f>IF(AND(ISNUMBER(AQ257),ISNUMBER(AQ127)),IFERROR(AQ257/AQ127,""),"")</f>
        <v>0.55326526068009</v>
      </c>
      <c r="AR258" s="215">
        <f>IF(AND(ISNUMBER(AR257),ISNUMBER(AR127)),IFERROR(AR257/AR127,""),"")</f>
        <v>0.638835283716597</v>
      </c>
      <c r="AS258" s="215">
        <f>IF(AND(ISNUMBER(AS257),ISNUMBER(AS127)),IFERROR(AS257/AS127,""),"")</f>
        <v>0.921210531492836</v>
      </c>
      <c r="AT258" s="215">
        <f>IF(AND(ISNUMBER(AT257),ISNUMBER(AT127)),IFERROR(AT257/AT127,""),"")</f>
        <v>0.521458266709306</v>
      </c>
      <c r="AU258" s="215">
        <f>IF(AND(ISNUMBER(AU257),ISNUMBER(AU127)),IFERROR(AU257/AU127,""),"")</f>
        <v>1.28563001802392</v>
      </c>
      <c r="AV258" s="215">
        <f>IF(AND(ISNUMBER(AV257),ISNUMBER(AV127)),IFERROR(AV257/AV127,""),"")</f>
        <v>1.02782057359564</v>
      </c>
      <c r="AW258" s="215">
        <f>IF(AND(ISNUMBER(AW257),ISNUMBER(AW127)),IFERROR(AW257/AW127,""),"")</f>
        <v>0.938811133326986</v>
      </c>
      <c r="AX258" s="215">
        <f>IF(AND(ISNUMBER(AX257),ISNUMBER(AX127)),IFERROR(AX257/AX127,""),"")</f>
        <v>1.9605976464366</v>
      </c>
      <c r="AY258" s="215">
        <f>IF(AND(ISNUMBER(AY257),ISNUMBER(AY127)),IFERROR(AY257/AY127,""),"")</f>
        <v>1.17462416140248</v>
      </c>
      <c r="AZ258" s="215">
        <f>IF(AND(ISNUMBER(AZ257),ISNUMBER(AZ127)),IFERROR(AZ257/AZ127,""),"")</f>
        <v>1.54416060086235</v>
      </c>
      <c r="BA258" s="215">
        <f>IF(AND(ISNUMBER(BA257),ISNUMBER(BA127)),IFERROR(BA257/BA127,""),"")</f>
        <v>1.55902861264727</v>
      </c>
      <c r="BB258" s="215">
        <f>IF(AND(ISNUMBER(BB257),ISNUMBER(BB127)),IFERROR(BB257/BB127,""),"")</f>
        <v>1.56952238572847</v>
      </c>
      <c r="BC258" s="215">
        <f>IF(AND(ISNUMBER(BC257),ISNUMBER(BC127)),IFERROR(BC257/BC127,""),"")</f>
        <v>1.92030462710104</v>
      </c>
      <c r="BD258" s="215">
        <f>IF(AND(ISNUMBER(BD257),ISNUMBER(BD127)),IFERROR(BD257/BD127,""),"")</f>
        <v>5.29167268004041</v>
      </c>
      <c r="BE258" s="215">
        <f>IF(AND(ISNUMBER(BE257),ISNUMBER(BE127)),IFERROR(BE257/BE127,""),"")</f>
        <v>-397.984126984126</v>
      </c>
      <c r="BF258" s="215">
        <f>IF(AND(ISNUMBER(BF257),ISNUMBER(BF127)),IFERROR(BF257/BF127,""),"")</f>
        <v>1.20711180124224</v>
      </c>
      <c r="BG258" s="215">
        <f>IF(AND(ISNUMBER(BG257),ISNUMBER(BG127)),IFERROR(BG257/BG127,""),"")</f>
        <v>2.31359409820948</v>
      </c>
      <c r="BH258" s="215">
        <f>IF(AND(ISNUMBER(BH257),ISNUMBER(BH127)),IFERROR(BH257/BH127,""),"")</f>
        <v>1.36700678455046</v>
      </c>
      <c r="BI258" s="215">
        <f>IF(AND(ISNUMBER(BI257),ISNUMBER(BI127)),IFERROR(BI257/BI127,""),"")</f>
        <v>0.322496689648874</v>
      </c>
      <c r="BJ258" s="215">
        <f>IF(AND(ISNUMBER(BJ257),ISNUMBER(BJ127)),IFERROR(BJ257/BJ127,""),"")</f>
        <v>1.4994760644165</v>
      </c>
      <c r="BK258" s="215">
        <f>IF(AND(ISNUMBER(BK257),ISNUMBER(BK127)),IFERROR(BK257/BK127,""),"")</f>
        <v>1.19863696470349</v>
      </c>
      <c r="BL258" s="215">
        <f>IF(AND(ISNUMBER(BL257),ISNUMBER(BL127)),IFERROR(BL257/BL127,""),"")</f>
        <v>1.07138572285543</v>
      </c>
      <c r="BM258" s="215">
        <f>IF(AND(ISNUMBER(BM257),ISNUMBER(BM127)),IFERROR(BM257/BM127,""),"")</f>
        <v>1.09940632058688</v>
      </c>
      <c r="BN258" s="215">
        <f>IF(AND(ISNUMBER(BN257),ISNUMBER(BN127)),IFERROR(BN257/BN127,""),"")</f>
        <v>0.882814163746539</v>
      </c>
      <c r="BO258" s="215">
        <f>IF(AND(ISNUMBER(BO257),ISNUMBER(BO127)),IFERROR(BO257/BO127,""),"")</f>
        <v>1.52296258108863</v>
      </c>
      <c r="BP258" s="215">
        <f>IF(AND(ISNUMBER(BP257),ISNUMBER(BP127)),IFERROR(BP257/BP127,""),"")</f>
        <v>1.13507377979569</v>
      </c>
      <c r="BQ258" s="215">
        <f>IF(AND(ISNUMBER(BQ257),ISNUMBER(BQ127)),IFERROR(BQ257/BQ127,""),"")</f>
        <v>1.15054787994283</v>
      </c>
      <c r="BR258" s="215">
        <f>IF(AND(ISNUMBER(BR257),ISNUMBER(BR127)),IFERROR(BR257/BR127,""),"")</f>
        <v>1.43973941368078</v>
      </c>
      <c r="BS258" s="215">
        <f>IF(AND(ISNUMBER(BS257),ISNUMBER(BS127)),IFERROR(BS257/BS127,""),"")</f>
        <v>0.494464944649446</v>
      </c>
      <c r="BT258" s="215">
        <f>IF(AND(ISNUMBER(BT257),ISNUMBER(BT127)),IFERROR(BT257/BT127,""),"")</f>
        <v>1.27115716753022</v>
      </c>
      <c r="BU258" s="215">
        <f>IF(AND(ISNUMBER(BU257),ISNUMBER(BU127)),IFERROR(BU257/BU127,""),"")</f>
        <v>0.756533700137552</v>
      </c>
      <c r="BV258" s="215">
        <f>IF(AND(ISNUMBER(BV257),ISNUMBER(BV127)),IFERROR(BV257/BV127,""),"")</f>
        <v>0.990251827782291</v>
      </c>
      <c r="BW258" s="215">
        <f>IF(AND(ISNUMBER(BW257),ISNUMBER(BW127)),IFERROR(BW257/BW127,""),"")</f>
        <v>1.52262773722628</v>
      </c>
      <c r="BX258" s="215">
        <f>IF(AND(ISNUMBER(BX257),ISNUMBER(BX127)),IFERROR(BX257/BX127,""),"")</f>
        <v>1.195</v>
      </c>
      <c r="BY258" s="215">
        <f>IF(AND(ISNUMBER(BY257),ISNUMBER(BY127)),IFERROR(BY257/BY127,""),"")</f>
        <v>1.47032640949555</v>
      </c>
      <c r="BZ258" s="215">
        <f>IF(AND(ISNUMBER(BZ257),ISNUMBER(BZ127)),IFERROR(BZ257/BZ127,""),"")</f>
        <v>0.736095965103599</v>
      </c>
      <c r="CA258" s="215">
        <f>IF(AND(ISNUMBER(CA257),ISNUMBER(CA127)),IFERROR(CA257/CA127,""),"")</f>
        <v>1.19123783031989</v>
      </c>
      <c r="CB258" s="215">
        <f>IF(AND(ISNUMBER(CB257),ISNUMBER(CB127)),IFERROR(CB257/CB127,""),"")</f>
        <v>1.44729064039409</v>
      </c>
      <c r="CC258" s="24" t="n"/>
      <c r="CD258" s="24" t="n"/>
      <c r="CE258" s="24" t="n"/>
      <c r="CF258" s="256">
        <f>IF(AND(ISNUMBER(CF257),ISNUMBER(CF127)),IFERROR(CF257/CF127,""),"")</f>
        <v>0.942488722947488</v>
      </c>
      <c r="CG258" s="256">
        <f>IF(AND(ISNUMBER(CG257),ISNUMBER(CG127)),IFERROR(CG257/CG127,""),"")</f>
        <v>1.04399135827759</v>
      </c>
      <c r="CH258" s="256">
        <f>IF(AND(ISNUMBER(CH257),ISNUMBER(CH127)),IFERROR(CH257/CH127,""),"")</f>
        <v>1.03594799858161</v>
      </c>
      <c r="CI258" s="256">
        <f>IF(AND(ISNUMBER(CI257),ISNUMBER(CI127)),IFERROR(CI257/CI127,""),"")</f>
        <v>1.06121132532076</v>
      </c>
      <c r="CJ258" s="256">
        <f>IF(AND(ISNUMBER(CJ257),ISNUMBER(CJ127)),IFERROR(CJ257/CJ127,""),"")</f>
        <v>1.05533731929728</v>
      </c>
      <c r="CK258" s="256">
        <f>IF(AND(ISNUMBER(CK257),ISNUMBER(CK127)),IFERROR(CK257/CK127,""),"")</f>
        <v>1.05183936060586</v>
      </c>
      <c r="CL258" s="153" t="n"/>
      <c r="CN258" s="37">
        <f>IFERROR(AVERAGE(CG258,CH258,CI258,CJ258,CK258),"n/m")</f>
        <v>1.04966547241662</v>
      </c>
      <c r="CO258" s="37">
        <f>IFERROR(AVERAGE(BG258,BL258,BQ258,BV258,CA258),"n/m")</f>
        <v>1.34340347182198</v>
      </c>
      <c r="CP258" s="37">
        <f>IFERROR(AVERAGE(AH258,AM258,AR258,AW258,BB258,BG258,BL258,BQ258,BV258,CA258),"n/m")</f>
        <v>1.21759978050252</v>
      </c>
      <c r="CQ258" s="37">
        <f>IFERROR(AVERAGE(C258,D258,E258,F258,G258,H258,I258,N258,S258,X258,AC258,AH258,AM258,AR258,AW258,BB258,BG258,BL258,BQ258,BV258,CA258),"n/m")</f>
        <v>1.00008652510236</v>
      </c>
    </row>
    <row r="259" ht="15" customHeight="1" s="251">
      <c r="B259" s="22" t="inlineStr">
        <is>
          <t xml:space="preserve">  FCF y/y %</t>
        </is>
      </c>
      <c r="C259" s="23" t="n"/>
      <c r="D259" s="255">
        <f>IF(AND(ISNUMBER(D257),ISNUMBER(C257)),IFERROR(D257/C257-1,""),"")</f>
        <v>1.76631004824837</v>
      </c>
      <c r="E259" s="255">
        <f>IF(AND(ISNUMBER(E257),ISNUMBER(D257)),IFERROR(E257/D257-1,""),"")</f>
        <v>-0.764439725992771</v>
      </c>
      <c r="F259" s="255">
        <f>IF(AND(ISNUMBER(F257),ISNUMBER(E257)),IFERROR(F257/E257-1,""),"")</f>
        <v>0.841184676467432</v>
      </c>
      <c r="G259" s="255">
        <f>IF(AND(ISNUMBER(G257),ISNUMBER(F257)),IFERROR(G257/F257-1,""),"")</f>
        <v>0.821132999184054</v>
      </c>
      <c r="H259" s="255">
        <f>IF(AND(ISNUMBER(H257),ISNUMBER(G257)),IFERROR(H257/G257-1,""),"")</f>
        <v>0.264633404806862</v>
      </c>
      <c r="I259" s="255">
        <f>IF(AND(ISNUMBER(I257),ISNUMBER(H257)),IFERROR(I257/H257-1,""),"")</f>
        <v>-0.311974896244559</v>
      </c>
      <c r="J259" s="23" t="n"/>
      <c r="K259" s="23" t="n"/>
      <c r="L259" s="23" t="n"/>
      <c r="M259" s="23" t="n"/>
      <c r="N259" s="255">
        <f>IF(AND(ISNUMBER(N257),ISNUMBER(I257)),IFERROR(N257/I257-1,""),"")</f>
        <v>-0.108246285125791</v>
      </c>
      <c r="O259" s="255">
        <f>IF(AND(ISNUMBER(O257),ISNUMBER(J257)),IFERROR(O257/J257-1,""),"")</f>
        <v>-0.434017595307918</v>
      </c>
      <c r="P259" s="255">
        <f>IF(AND(ISNUMBER(P257),ISNUMBER(K257)),IFERROR(P257/K257-1,""),"")</f>
        <v>0.951558550968829</v>
      </c>
      <c r="Q259" s="255">
        <f>IF(AND(ISNUMBER(Q257),ISNUMBER(L257)),IFERROR(Q257/L257-1,""),"")</f>
        <v>18.1497005988024</v>
      </c>
      <c r="R259" s="255">
        <f>IF(AND(ISNUMBER(R257),ISNUMBER(M257)),IFERROR(R257/M257-1,""),"")</f>
        <v>-0.0193991416309015</v>
      </c>
      <c r="S259" s="255">
        <f>IF(AND(ISNUMBER(S257),ISNUMBER(N257)),IFERROR(S257/N257-1,""),"")</f>
        <v>-0.214064755619715</v>
      </c>
      <c r="T259" s="255">
        <f>IF(AND(ISNUMBER(T257),ISNUMBER(O257)),IFERROR(T257/O257-1,""),"")</f>
        <v>1.02357512953368</v>
      </c>
      <c r="U259" s="255">
        <f>IF(AND(ISNUMBER(U257),ISNUMBER(P257)),IFERROR(U257/P257-1,""),"")</f>
        <v>-3.12324627671055</v>
      </c>
      <c r="V259" s="255">
        <f>IF(AND(ISNUMBER(V257),ISNUMBER(Q257)),IFERROR(V257/Q257-1,""),"")</f>
        <v>1.07395247029393</v>
      </c>
      <c r="W259" s="255">
        <f>IF(AND(ISNUMBER(W257),ISNUMBER(R257)),IFERROR(W257/R257-1,""),"")</f>
        <v>-0.237044817927171</v>
      </c>
      <c r="X259" s="255">
        <f>IF(AND(ISNUMBER(X257),ISNUMBER(S257)),IFERROR(X257/S257-1,""),"")</f>
        <v>1.6708475465757</v>
      </c>
      <c r="Y259" s="255">
        <f>IF(AND(ISNUMBER(Y257),ISNUMBER(T257)),IFERROR(Y257/T257-1,""),"")</f>
        <v>-0.27798403960227</v>
      </c>
      <c r="Z259" s="255">
        <f>IF(AND(ISNUMBER(Z257),ISNUMBER(U257)),IFERROR(Z257/U257-1,""),"")</f>
        <v>0.376639219274169</v>
      </c>
      <c r="AA259" s="255">
        <f>IF(AND(ISNUMBER(AA257),ISNUMBER(V257)),IFERROR(AA257/V257-1,""),"")</f>
        <v>0.25925367508481</v>
      </c>
      <c r="AB259" s="255">
        <f>IF(AND(ISNUMBER(AB257),ISNUMBER(W257)),IFERROR(AB257/W257-1,""),"")</f>
        <v>2.51789811840294</v>
      </c>
      <c r="AC259" s="255">
        <f>IF(AND(ISNUMBER(AC257),ISNUMBER(X257)),IFERROR(AC257/X257-1,""),"")</f>
        <v>0.227988131963138</v>
      </c>
      <c r="AD259" s="255">
        <f>IF(AND(ISNUMBER(AD257),ISNUMBER(Y257)),IFERROR(AD257/Y257-1,""),"")</f>
        <v>-0.169809090371771</v>
      </c>
      <c r="AE259" s="255">
        <f>IF(AND(ISNUMBER(AE257),ISNUMBER(Z257)),IFERROR(AE257/Z257-1,""),"")</f>
        <v>0.096293014325801</v>
      </c>
      <c r="AF259" s="255">
        <f>IF(AND(ISNUMBER(AF257),ISNUMBER(AA257)),IFERROR(AF257/AA257-1,""),"")</f>
        <v>0.871886973180077</v>
      </c>
      <c r="AG259" s="255">
        <f>IF(AND(ISNUMBER(AG257),ISNUMBER(AB257)),IFERROR(AG257/AB257-1,""),"")</f>
        <v>0.316809079642554</v>
      </c>
      <c r="AH259" s="255">
        <f>IF(AND(ISNUMBER(AH257),ISNUMBER(AC257)),IFERROR(AH257/AC257-1,""),"")</f>
        <v>0.285650281618024</v>
      </c>
      <c r="AI259" s="255">
        <f>IF(AND(ISNUMBER(AI257),ISNUMBER(AD257)),IFERROR(AI257/AD257-1,""),"")</f>
        <v>1.43129716645308</v>
      </c>
      <c r="AJ259" s="255">
        <f>IF(AND(ISNUMBER(AJ257),ISNUMBER(AE257)),IFERROR(AJ257/AE257-1,""),"")</f>
        <v>0.154856527010643</v>
      </c>
      <c r="AK259" s="255">
        <f>IF(AND(ISNUMBER(AK257),ISNUMBER(AF257)),IFERROR(AK257/AF257-1,""),"")</f>
        <v>-0.339292567481131</v>
      </c>
      <c r="AL259" s="255">
        <f>IF(AND(ISNUMBER(AL257),ISNUMBER(AG257)),IFERROR(AL257/AG257-1,""),"")</f>
        <v>0.50381414701803</v>
      </c>
      <c r="AM259" s="255">
        <f>IF(AND(ISNUMBER(AM257),ISNUMBER(AH257)),IFERROR(AM257/AH257-1,""),"")</f>
        <v>0.273373326031761</v>
      </c>
      <c r="AN259" s="255">
        <f>IF(AND(ISNUMBER(AN257),ISNUMBER(AI257)),IFERROR(AN257/AI257-1,""),"")</f>
        <v>-0.213997071742313</v>
      </c>
      <c r="AO259" s="255">
        <f>IF(AND(ISNUMBER(AO257),ISNUMBER(AJ257)),IFERROR(AO257/AJ257-1,""),"")</f>
        <v>-0.225605132691747</v>
      </c>
      <c r="AP259" s="255">
        <f>IF(AND(ISNUMBER(AP257),ISNUMBER(AK257)),IFERROR(AP257/AK257-1,""),"")</f>
        <v>-0.531003436758798</v>
      </c>
      <c r="AQ259" s="255">
        <f>IF(AND(ISNUMBER(AQ257),ISNUMBER(AL257)),IFERROR(AQ257/AL257-1,""),"")</f>
        <v>-0.427089166309826</v>
      </c>
      <c r="AR259" s="255">
        <f>IF(AND(ISNUMBER(AR257),ISNUMBER(AM257)),IFERROR(AR257/AM257-1,""),"")</f>
        <v>-0.343182195810894</v>
      </c>
      <c r="AS259" s="255">
        <f>IF(AND(ISNUMBER(AS257),ISNUMBER(AN257)),IFERROR(AS257/AN257-1,""),"")</f>
        <v>0.0467178302660012</v>
      </c>
      <c r="AT259" s="255">
        <f>IF(AND(ISNUMBER(AT257),ISNUMBER(AO257)),IFERROR(AT257/AO257-1,""),"")</f>
        <v>0.228138886796716</v>
      </c>
      <c r="AU259" s="255">
        <f>IF(AND(ISNUMBER(AU257),ISNUMBER(AP257)),IFERROR(AU257/AP257-1,""),"")</f>
        <v>3.04902466714831</v>
      </c>
      <c r="AV259" s="255">
        <f>IF(AND(ISNUMBER(AV257),ISNUMBER(AQ257)),IFERROR(AV257/AQ257-1,""),"")</f>
        <v>0.994538032541827</v>
      </c>
      <c r="AW259" s="255">
        <f>IF(AND(ISNUMBER(AW257),ISNUMBER(AR257)),IFERROR(AW257/AR257-1,""),"")</f>
        <v>0.760747607922502</v>
      </c>
      <c r="AX259" s="255">
        <f>IF(AND(ISNUMBER(AX257),ISNUMBER(AS257)),IFERROR(AX257/AS257-1,""),"")</f>
        <v>0.583285876993166</v>
      </c>
      <c r="AY259" s="255">
        <f>IF(AND(ISNUMBER(AY257),ISNUMBER(AT257)),IFERROR(AY257/AT257-1,""),"")</f>
        <v>0.471053599901877</v>
      </c>
      <c r="AZ259" s="255">
        <f>IF(AND(ISNUMBER(AZ257),ISNUMBER(AU257)),IFERROR(AZ257/AU257-1,""),"")</f>
        <v>-0.151028523361627</v>
      </c>
      <c r="BA259" s="255">
        <f>IF(AND(ISNUMBER(BA257),ISNUMBER(AV257)),IFERROR(BA257/AV257-1,""),"")</f>
        <v>0.121443602086996</v>
      </c>
      <c r="BB259" s="255">
        <f>IF(AND(ISNUMBER(BB257),ISNUMBER(AW257)),IFERROR(BB257/AW257-1,""),"")</f>
        <v>0.188947297251614</v>
      </c>
      <c r="BC259" s="255">
        <f>IF(AND(ISNUMBER(BC257),ISNUMBER(AX257)),IFERROR(BC257/AX257-1,""),"")</f>
        <v>0.122336120852441</v>
      </c>
      <c r="BD259" s="255">
        <f>IF(AND(ISNUMBER(BD257),ISNUMBER(AY257)),IFERROR(BD257/AY257-1,""),"")</f>
        <v>0.528577979739025</v>
      </c>
      <c r="BE259" s="255">
        <f>IF(AND(ISNUMBER(BE257),ISNUMBER(AZ257)),IFERROR(BE257/AZ257-1,""),"")</f>
        <v>-0.24719269801237</v>
      </c>
      <c r="BF259" s="255">
        <f>IF(AND(ISNUMBER(BF257),ISNUMBER(BA257)),IFERROR(BF257/BA257-1,""),"")</f>
        <v>-0.00089965042155038</v>
      </c>
      <c r="BG259" s="255">
        <f>IF(AND(ISNUMBER(BG257),ISNUMBER(BB257)),IFERROR(BG257/BB257-1,""),"")</f>
        <v>0.0700378871347231</v>
      </c>
      <c r="BH259" s="255">
        <f>IF(AND(ISNUMBER(BH257),ISNUMBER(BC257)),IFERROR(BH257/BC257-1,""),"")</f>
        <v>0.0250771141289108</v>
      </c>
      <c r="BI259" s="255">
        <f>IF(AND(ISNUMBER(BI257),ISNUMBER(BD257)),IFERROR(BI257/BD257-1,""),"")</f>
        <v>-0.614738449789996</v>
      </c>
      <c r="BJ259" s="255">
        <f>IF(AND(ISNUMBER(BJ257),ISNUMBER(BE257)),IFERROR(BJ257/BE257-1,""),"")</f>
        <v>1.16874725800662</v>
      </c>
      <c r="BK259" s="255">
        <f>IF(AND(ISNUMBER(BK257),ISNUMBER(BF257)),IFERROR(BK257/BF257-1,""),"")</f>
        <v>0.515835241452057</v>
      </c>
      <c r="BL259" s="255">
        <f>IF(AND(ISNUMBER(BL257),ISNUMBER(BG257)),IFERROR(BL257/BG257-1,""),"")</f>
        <v>0.186442929836449</v>
      </c>
      <c r="BM259" s="255">
        <f>IF(AND(ISNUMBER(BM257),ISNUMBER(BH257)),IFERROR(BM257/BH257-1,""),"")</f>
        <v>0.0746805267888546</v>
      </c>
      <c r="BN259" s="255">
        <f>IF(AND(ISNUMBER(BN257),ISNUMBER(BI257)),IFERROR(BN257/BI257-1,""),"")</f>
        <v>2.22809004672236</v>
      </c>
      <c r="BO259" s="255">
        <f>IF(AND(ISNUMBER(BO257),ISNUMBER(BJ257)),IFERROR(BO257/BJ257-1,""),"")</f>
        <v>0.303860087904813</v>
      </c>
      <c r="BP259" s="255">
        <f>IF(AND(ISNUMBER(BP257),ISNUMBER(BK257)),IFERROR(BP257/BK257-1,""),"")</f>
        <v>0.188071759534276</v>
      </c>
      <c r="BQ259" s="255">
        <f>IF(AND(ISNUMBER(BQ257),ISNUMBER(BL257)),IFERROR(BQ257/BL257-1,""),"")</f>
        <v>0.352183650615902</v>
      </c>
      <c r="BR259" s="255">
        <f>IF(AND(ISNUMBER(BR257),ISNUMBER(BM257)),IFERROR(BR257/BM257-1,""),"")</f>
        <v>0.607272727272727</v>
      </c>
      <c r="BS259" s="255">
        <f>IF(AND(ISNUMBER(BS257),ISNUMBER(BN257)),IFERROR(BS257/BN257-1,""),"")</f>
        <v>-0.412280701754386</v>
      </c>
      <c r="BT259" s="255">
        <f>IF(AND(ISNUMBER(BT257),ISNUMBER(BO257)),IFERROR(BT257/BO257-1,""),"")</f>
        <v>0.0380818053596614</v>
      </c>
      <c r="BU259" s="255">
        <f>IF(AND(ISNUMBER(BU257),ISNUMBER(BP257)),IFERROR(BU257/BP257-1,""),"")</f>
        <v>-0.214285714285714</v>
      </c>
      <c r="BV259" s="255">
        <f>IF(AND(ISNUMBER(BV257),ISNUMBER(BQ257)),IFERROR(BV257/BQ257-1,""),"")</f>
        <v>0.00952380952380949</v>
      </c>
      <c r="BW259" s="255">
        <f>IF(AND(ISNUMBER(BW257),ISNUMBER(BR257)),IFERROR(BW257/BR257-1,""),"")</f>
        <v>0.179864253393665</v>
      </c>
      <c r="BX259" s="255">
        <f>IF(AND(ISNUMBER(BX257),ISNUMBER(BS257)),IFERROR(BX257/BS257-1,""),"")</f>
        <v>1.67537313432836</v>
      </c>
      <c r="BY259" s="255">
        <f>IF(AND(ISNUMBER(BY257),ISNUMBER(BT257)),IFERROR(BY257/BT257-1,""),"")</f>
        <v>0.346467391304348</v>
      </c>
      <c r="BZ259" s="255">
        <f>IF(AND(ISNUMBER(BZ257),ISNUMBER(BU257)),IFERROR(BZ257/BU257-1,""),"")</f>
        <v>0.227272727272727</v>
      </c>
      <c r="CA259" s="255">
        <f>IF(AND(ISNUMBER(CA257),ISNUMBER(BV257)),IFERROR(CA257/BV257-1,""),"")</f>
        <v>0.405250205086136</v>
      </c>
      <c r="CB259" s="255">
        <f>IF(AND(ISNUMBER(CB257),ISNUMBER(BW257)),IFERROR(CB257/BW257-1,""),"")</f>
        <v>0.408437200383509</v>
      </c>
      <c r="CC259" s="24" t="n"/>
      <c r="CD259" s="24" t="n"/>
      <c r="CE259" s="24" t="n"/>
      <c r="CF259" s="256">
        <f>IF(AND(ISNUMBER(CF257),ISNUMBER(CA257)),IFERROR(CF257/CA257-1,""),"")</f>
        <v>0.109907957089218</v>
      </c>
      <c r="CG259" s="256">
        <f>IF(AND(ISNUMBER(CG257),ISNUMBER(CF257)),IFERROR(CG257/CF257-1,""),"")</f>
        <v>0.254099967014751</v>
      </c>
      <c r="CH259" s="256">
        <f>IF(AND(ISNUMBER(CH257),ISNUMBER(CG257)),IFERROR(CH257/CG257-1,""),"")</f>
        <v>0.103883986211558</v>
      </c>
      <c r="CI259" s="256">
        <f>IF(AND(ISNUMBER(CI257),ISNUMBER(CH257)),IFERROR(CI257/CH257-1,""),"")</f>
        <v>0.151142946727955</v>
      </c>
      <c r="CJ259" s="256">
        <f>IF(AND(ISNUMBER(CJ257),ISNUMBER(CI257)),IFERROR(CJ257/CI257-1,""),"")</f>
        <v>0.0945982808119861</v>
      </c>
      <c r="CK259" s="256">
        <f>IF(AND(ISNUMBER(CK257),ISNUMBER(CJ257)),IFERROR(CK257/CJ257-1,""),"")</f>
        <v>0.0859366286764987</v>
      </c>
      <c r="CL259" s="153" t="n"/>
    </row>
    <row r="260" ht="15" customHeight="1" s="251">
      <c r="B260" s="25" t="inlineStr">
        <is>
          <t xml:space="preserve">  FCF % of net sales</t>
        </is>
      </c>
      <c r="C260" s="215">
        <f>IF(AND(ISNUMBER(C257),ISNUMBER(C108)),IFERROR(C257/C108,""),"")</f>
        <v>0.0520966525687682</v>
      </c>
      <c r="D260" s="215">
        <f>IF(AND(ISNUMBER(D257),ISNUMBER(D108)),IFERROR(D257/D108,""),"")</f>
        <v>0.12925812417092</v>
      </c>
      <c r="E260" s="215">
        <f>IF(AND(ISNUMBER(E257),ISNUMBER(E108)),IFERROR(E257/E108,""),"")</f>
        <v>0.0281881427707199</v>
      </c>
      <c r="F260" s="215">
        <f>IF(AND(ISNUMBER(F257),ISNUMBER(F108)),IFERROR(F257/F108,""),"")</f>
        <v>0.048224263341915</v>
      </c>
      <c r="G260" s="215">
        <f>IF(AND(ISNUMBER(G257),ISNUMBER(G108)),IFERROR(G257/G108,""),"")</f>
        <v>0.113748716791287</v>
      </c>
      <c r="H260" s="215">
        <f>IF(AND(ISNUMBER(H257),ISNUMBER(H108)),IFERROR(H257/H108,""),"")</f>
        <v>0.117738547486034</v>
      </c>
      <c r="I260" s="215">
        <f>IF(AND(ISNUMBER(I257),ISNUMBER(I108)),IFERROR(I257/I108,""),"")</f>
        <v>0.0683955915685352</v>
      </c>
      <c r="J260" s="215">
        <f>IF(AND(ISNUMBER(J257),ISNUMBER(J108)),IFERROR(J257/J108,""),"")</f>
        <v>0.197998722588887</v>
      </c>
      <c r="K260" s="215">
        <f>IF(AND(ISNUMBER(K257),ISNUMBER(K108)),IFERROR(K257/K108,""),"")</f>
        <v>-0.0236513075965131</v>
      </c>
      <c r="L260" s="215">
        <f>IF(AND(ISNUMBER(L257),ISNUMBER(L108)),IFERROR(L257/L108,""),"")</f>
        <v>0.003467032054476</v>
      </c>
      <c r="M260" s="215">
        <f>IF(AND(ISNUMBER(M257),ISNUMBER(M108)),IFERROR(M257/M108,""),"")</f>
        <v>0.056550103877444</v>
      </c>
      <c r="N260" s="215">
        <f>IF(AND(ISNUMBER(N257),ISNUMBER(N108)),IFERROR(N257/N108,""),"")</f>
        <v>0.0601536778224096</v>
      </c>
      <c r="O260" s="215">
        <f>IF(AND(ISNUMBER(O257),ISNUMBER(O108)),IFERROR(O257/O108,""),"")</f>
        <v>0.112790742977364</v>
      </c>
      <c r="P260" s="215">
        <f>IF(AND(ISNUMBER(P257),ISNUMBER(P108)),IFERROR(P257/P108,""),"")</f>
        <v>-0.0454420621064402</v>
      </c>
      <c r="Q260" s="215">
        <f>IF(AND(ISNUMBER(Q257),ISNUMBER(Q108)),IFERROR(Q257/Q108,""),"")</f>
        <v>0.0636126747956159</v>
      </c>
      <c r="R260" s="215">
        <f>IF(AND(ISNUMBER(R257),ISNUMBER(R108)),IFERROR(R257/R108,""),"")</f>
        <v>0.0502295151163404</v>
      </c>
      <c r="S260" s="215">
        <f>IF(AND(ISNUMBER(S257),ISNUMBER(S108)),IFERROR(S257/S108,""),"")</f>
        <v>0.0454897036425185</v>
      </c>
      <c r="T260" s="215">
        <f>IF(AND(ISNUMBER(T257),ISNUMBER(T108)),IFERROR(T257/T108,""),"")</f>
        <v>0.207401047935991</v>
      </c>
      <c r="U260" s="215">
        <f>IF(AND(ISNUMBER(U257),ISNUMBER(U108)),IFERROR(U257/U108,""),"")</f>
        <v>0.0873972724445827</v>
      </c>
      <c r="V260" s="215">
        <f>IF(AND(ISNUMBER(V257),ISNUMBER(V108)),IFERROR(V257/V108,""),"")</f>
        <v>0.124762513872952</v>
      </c>
      <c r="W260" s="215">
        <f>IF(AND(ISNUMBER(W257),ISNUMBER(W108)),IFERROR(W257/W108,""),"")</f>
        <v>0.0384245747991924</v>
      </c>
      <c r="X260" s="215">
        <f>IF(AND(ISNUMBER(X257),ISNUMBER(X108)),IFERROR(X257/X108,""),"")</f>
        <v>0.114294889933929</v>
      </c>
      <c r="Y260" s="215">
        <f>IF(AND(ISNUMBER(Y257),ISNUMBER(Y108)),IFERROR(Y257/Y108,""),"")</f>
        <v>0.118890013210782</v>
      </c>
      <c r="Z260" s="215">
        <f>IF(AND(ISNUMBER(Z257),ISNUMBER(Z108)),IFERROR(Z257/Z108,""),"")</f>
        <v>0.0910717167913058</v>
      </c>
      <c r="AA260" s="215">
        <f>IF(AND(ISNUMBER(AA257),ISNUMBER(AA108)),IFERROR(AA257/AA108,""),"")</f>
        <v>0.115826260609086</v>
      </c>
      <c r="AB260" s="215">
        <f>IF(AND(ISNUMBER(AB257),ISNUMBER(AB108)),IFERROR(AB257/AB108,""),"")</f>
        <v>0.094488819860464</v>
      </c>
      <c r="AC260" s="215">
        <f>IF(AND(ISNUMBER(AC257),ISNUMBER(AC108)),IFERROR(AC257/AC108,""),"")</f>
        <v>0.104600717690536</v>
      </c>
      <c r="AD260" s="215">
        <f>IF(AND(ISNUMBER(AD257),ISNUMBER(AD108)),IFERROR(AD257/AD108,""),"")</f>
        <v>0.0908661590513589</v>
      </c>
      <c r="AE260" s="215">
        <f>IF(AND(ISNUMBER(AE257),ISNUMBER(AE108)),IFERROR(AE257/AE108,""),"")</f>
        <v>0.0964382920951261</v>
      </c>
      <c r="AF260" s="215">
        <f>IF(AND(ISNUMBER(AF257),ISNUMBER(AF108)),IFERROR(AF257/AF108,""),"")</f>
        <v>0.213206415012001</v>
      </c>
      <c r="AG260" s="215">
        <f>IF(AND(ISNUMBER(AG257),ISNUMBER(AG108)),IFERROR(AG257/AG108,""),"")</f>
        <v>0.126009612383746</v>
      </c>
      <c r="AH260" s="215">
        <f>IF(AND(ISNUMBER(AH257),ISNUMBER(AH108)),IFERROR(AH257/AH108,""),"")</f>
        <v>0.1305647818937</v>
      </c>
      <c r="AI260" s="215">
        <f>IF(AND(ISNUMBER(AI257),ISNUMBER(AI108)),IFERROR(AI257/AI108,""),"")</f>
        <v>0.208362569174543</v>
      </c>
      <c r="AJ260" s="215">
        <f>IF(AND(ISNUMBER(AJ257),ISNUMBER(AJ108)),IFERROR(AJ257/AJ108,""),"")</f>
        <v>0.104340999409678</v>
      </c>
      <c r="AK260" s="215">
        <f>IF(AND(ISNUMBER(AK257),ISNUMBER(AK108)),IFERROR(AK257/AK108,""),"")</f>
        <v>0.123811863980151</v>
      </c>
      <c r="AL260" s="215">
        <f>IF(AND(ISNUMBER(AL257),ISNUMBER(AL108)),IFERROR(AL257/AL108,""),"")</f>
        <v>0.168776441679592</v>
      </c>
      <c r="AM260" s="215">
        <f>IF(AND(ISNUMBER(AM257),ISNUMBER(AM108)),IFERROR(AM257/AM108,""),"")</f>
        <v>0.151586267999508</v>
      </c>
      <c r="AN260" s="215">
        <f>IF(AND(ISNUMBER(AN257),ISNUMBER(AN108)),IFERROR(AN257/AN108,""),"")</f>
        <v>0.152524362871836</v>
      </c>
      <c r="AO260" s="215">
        <f>IF(AND(ISNUMBER(AO257),ISNUMBER(AO108)),IFERROR(AO257/AO108,""),"")</f>
        <v>0.0767829466330473</v>
      </c>
      <c r="AP260" s="215">
        <f>IF(AND(ISNUMBER(AP257),ISNUMBER(AP108)),IFERROR(AP257/AP108,""),"")</f>
        <v>0.0565111138329455</v>
      </c>
      <c r="AQ260" s="215">
        <f>IF(AND(ISNUMBER(AQ257),ISNUMBER(AQ108)),IFERROR(AQ257/AQ108,""),"")</f>
        <v>0.095480945531999</v>
      </c>
      <c r="AR260" s="215">
        <f>IF(AND(ISNUMBER(AR257),ISNUMBER(AR108)),IFERROR(AR257/AR108,""),"")</f>
        <v>0.0956576077982566</v>
      </c>
      <c r="AS260" s="215">
        <f>IF(AND(ISNUMBER(AS257),ISNUMBER(AS108)),IFERROR(AS257/AS108,""),"")</f>
        <v>0.153790574196727</v>
      </c>
      <c r="AT260" s="215">
        <f>IF(AND(ISNUMBER(AT257),ISNUMBER(AT108)),IFERROR(AT257/AT108,""),"")</f>
        <v>0.0896382257062597</v>
      </c>
      <c r="AU260" s="215">
        <f>IF(AND(ISNUMBER(AU257),ISNUMBER(AU108)),IFERROR(AU257/AU108,""),"")</f>
        <v>0.221620278049249</v>
      </c>
      <c r="AV260" s="215">
        <f>IF(AND(ISNUMBER(AV257),ISNUMBER(AV108)),IFERROR(AV257/AV108,""),"")</f>
        <v>0.186668316805045</v>
      </c>
      <c r="AW260" s="215">
        <f>IF(AND(ISNUMBER(AW257),ISNUMBER(AW108)),IFERROR(AW257/AW108,""),"")</f>
        <v>0.162653393102861</v>
      </c>
      <c r="AX260" s="215">
        <f>IF(AND(ISNUMBER(AX257),ISNUMBER(AX108)),IFERROR(AX257/AX108,""),"")</f>
        <v>0.284255525806266</v>
      </c>
      <c r="AY260" s="215">
        <f>IF(AND(ISNUMBER(AY257),ISNUMBER(AY108)),IFERROR(AY257/AY108,""),"")</f>
        <v>0.163918406396283</v>
      </c>
      <c r="AZ260" s="215">
        <f>IF(AND(ISNUMBER(AZ257),ISNUMBER(AZ108)),IFERROR(AZ257/AZ108,""),"")</f>
        <v>0.228340680510897</v>
      </c>
      <c r="BA260" s="215">
        <f>IF(AND(ISNUMBER(BA257),ISNUMBER(BA108)),IFERROR(BA257/BA108,""),"")</f>
        <v>0.24270251723385</v>
      </c>
      <c r="BB260" s="215">
        <f>IF(AND(ISNUMBER(BB257),ISNUMBER(BB108)),IFERROR(BB257/BB108,""),"")</f>
        <v>0.231009353283502</v>
      </c>
      <c r="BC260" s="215">
        <f>IF(AND(ISNUMBER(BC257),ISNUMBER(BC108)),IFERROR(BC257/BC108,""),"")</f>
        <v>0.319618450113633</v>
      </c>
      <c r="BD260" s="215">
        <f>IF(AND(ISNUMBER(BD257),ISNUMBER(BD108)),IFERROR(BD257/BD108,""),"")</f>
        <v>0.227880671224363</v>
      </c>
      <c r="BE260" s="215">
        <f>IF(AND(ISNUMBER(BE257),ISNUMBER(BE108)),IFERROR(BE257/BE108,""),"")</f>
        <v>0.0939229002858181</v>
      </c>
      <c r="BF260" s="215">
        <f>IF(AND(ISNUMBER(BF257),ISNUMBER(BF108)),IFERROR(BF257/BF108,""),"")</f>
        <v>0.108306699472524</v>
      </c>
      <c r="BG260" s="215">
        <f>IF(AND(ISNUMBER(BG257),ISNUMBER(BG108)),IFERROR(BG257/BG108,""),"")</f>
        <v>0.159643751385299</v>
      </c>
      <c r="BH260" s="215">
        <f>IF(AND(ISNUMBER(BH257),ISNUMBER(BH108)),IFERROR(BH257/BH108,""),"")</f>
        <v>0.144537957523723</v>
      </c>
      <c r="BI260" s="215">
        <f>IF(AND(ISNUMBER(BI257),ISNUMBER(BI108)),IFERROR(BI257/BI108,""),"")</f>
        <v>0.0382645252690517</v>
      </c>
      <c r="BJ260" s="215">
        <f>IF(AND(ISNUMBER(BJ257),ISNUMBER(BJ108)),IFERROR(BJ257/BJ108,""),"")</f>
        <v>0.154644863135443</v>
      </c>
      <c r="BK260" s="215">
        <f>IF(AND(ISNUMBER(BK257),ISNUMBER(BK108)),IFERROR(BK257/BK108,""),"")</f>
        <v>0.149380612643311</v>
      </c>
      <c r="BL260" s="215">
        <f>IF(AND(ISNUMBER(BL257),ISNUMBER(BL108)),IFERROR(BL257/BL108,""),"")</f>
        <v>0.121554481725992</v>
      </c>
      <c r="BM260" s="215">
        <f>IF(AND(ISNUMBER(BM257),ISNUMBER(BM108)),IFERROR(BM257/BM108,""),"")</f>
        <v>0.142074074839456</v>
      </c>
      <c r="BN260" s="215">
        <f>IF(AND(ISNUMBER(BN257),ISNUMBER(BN108)),IFERROR(BN257/BN108,""),"")</f>
        <v>0.11826584917992</v>
      </c>
      <c r="BO260" s="215">
        <f>IF(AND(ISNUMBER(BO257),ISNUMBER(BO108)),IFERROR(BO257/BO108,""),"")</f>
        <v>0.189619850978588</v>
      </c>
      <c r="BP260" s="215">
        <f>IF(AND(ISNUMBER(BP257),ISNUMBER(BP108)),IFERROR(BP257/BP108,""),"")</f>
        <v>0.169212918197641</v>
      </c>
      <c r="BQ260" s="215">
        <f>IF(AND(ISNUMBER(BQ257),ISNUMBER(BQ108)),IFERROR(BQ257/BQ108,""),"")</f>
        <v>0.154777927321669</v>
      </c>
      <c r="BR260" s="215">
        <f>IF(AND(ISNUMBER(BR257),ISNUMBER(BR108)),IFERROR(BR257/BR108,""),"")</f>
        <v>0.217573221757322</v>
      </c>
      <c r="BS260" s="215">
        <f>IF(AND(ISNUMBER(BS257),ISNUMBER(BS108)),IFERROR(BS257/BS108,""),"")</f>
        <v>0.0673536064337773</v>
      </c>
      <c r="BT260" s="215">
        <f>IF(AND(ISNUMBER(BT257),ISNUMBER(BT108)),IFERROR(BT257/BT108,""),"")</f>
        <v>0.186612576064909</v>
      </c>
      <c r="BU260" s="215">
        <f>IF(AND(ISNUMBER(BU257),ISNUMBER(BU108)),IFERROR(BU257/BU108,""),"")</f>
        <v>0.125656842586246</v>
      </c>
      <c r="BV260" s="215">
        <f>IF(AND(ISNUMBER(BV257),ISNUMBER(BV108)),IFERROR(BV257/BV108,""),"")</f>
        <v>0.148994683126566</v>
      </c>
      <c r="BW260" s="215">
        <f>IF(AND(ISNUMBER(BW257),ISNUMBER(BW108)),IFERROR(BW257/BW108,""),"")</f>
        <v>0.239220183486239</v>
      </c>
      <c r="BX260" s="215">
        <f>IF(AND(ISNUMBER(BX257),ISNUMBER(BX108)),IFERROR(BX257/BX108,""),"")</f>
        <v>0.15747858554799</v>
      </c>
      <c r="BY260" s="215">
        <f>IF(AND(ISNUMBER(BY257),ISNUMBER(BY108)),IFERROR(BY257/BY108,""),"")</f>
        <v>0.214688041594454</v>
      </c>
      <c r="BZ260" s="215">
        <f>IF(AND(ISNUMBER(BZ257),ISNUMBER(BZ108)),IFERROR(BZ257/BZ108,""),"")</f>
        <v>0.13030888030888</v>
      </c>
      <c r="CA260" s="215">
        <f>IF(AND(ISNUMBER(CA257),ISNUMBER(CA108)),IFERROR(CA257/CA108,""),"")</f>
        <v>0.183120423325672</v>
      </c>
      <c r="CB260" s="215">
        <f>IF(AND(ISNUMBER(CB257),ISNUMBER(CB108)),IFERROR(CB257/CB108,""),"")</f>
        <v>0.282771896053898</v>
      </c>
      <c r="CC260" s="24" t="n"/>
      <c r="CD260" s="24" t="n"/>
      <c r="CE260" s="24" t="n"/>
      <c r="CF260" s="256">
        <f>IF(AND(ISNUMBER(CF257),ISNUMBER(CF108)),IFERROR(CF257/CF108,""),"")</f>
        <v>0.176279096856033</v>
      </c>
      <c r="CG260" s="256">
        <f>IF(AND(ISNUMBER(CG257),ISNUMBER(CG108)),IFERROR(CG257/CG108,""),"")</f>
        <v>0.199967341717759</v>
      </c>
      <c r="CH260" s="256">
        <f>IF(AND(ISNUMBER(CH257),ISNUMBER(CH108)),IFERROR(CH257/CH108,""),"")</f>
        <v>0.197428241713933</v>
      </c>
      <c r="CI260" s="256">
        <f>IF(AND(ISNUMBER(CI257),ISNUMBER(CI108)),IFERROR(CI257/CI108,""),"")</f>
        <v>0.205465915661313</v>
      </c>
      <c r="CJ260" s="256">
        <f>IF(AND(ISNUMBER(CJ257),ISNUMBER(CJ108)),IFERROR(CJ257/CJ108,""),"")</f>
        <v>0.204864259965628</v>
      </c>
      <c r="CK260" s="256">
        <f>IF(AND(ISNUMBER(CK257),ISNUMBER(CK108)),IFERROR(CK257/CK108,""),"")</f>
        <v>0.204484806549224</v>
      </c>
      <c r="CL260" s="153" t="n"/>
      <c r="CN260" s="37">
        <f>IFERROR(AVERAGE(CG260,CH260,CI260,CJ260,CK260),"n/m")</f>
        <v>0.202442113121571</v>
      </c>
      <c r="CO260" s="37">
        <f>IFERROR(AVERAGE(BG260,BL260,BQ260,BV260,CA260),"n/m")</f>
        <v>0.15361825337704</v>
      </c>
      <c r="CP260" s="37">
        <f>IFERROR(AVERAGE(AH260,AM260,AR260,AW260,BB260,BG260,BL260,BQ260,BV260,CA260),"n/m")</f>
        <v>0.153956267096302</v>
      </c>
      <c r="CQ260" s="37">
        <f>IFERROR(AVERAGE(C260,D260,E260,F260,G260,H260,I260,N260,S260,X260,AC260,AH260,AM260,AR260,AW260,BB260,BG260,BL260,BQ260,BV260,CA260),"n/m")</f>
        <v>0.115321509464314</v>
      </c>
    </row>
    <row r="261" ht="15" customHeight="1" s="251">
      <c r="B261" s="25" t="inlineStr">
        <is>
          <t xml:space="preserve">  FCF / adjusted net income %</t>
        </is>
      </c>
      <c r="C261" s="215">
        <f>IF(AND(ISNUMBER(C257),ISNUMBER(C198)),IFERROR(C257/C198,""),"")</f>
        <v>0.740140772176793</v>
      </c>
      <c r="D261" s="215">
        <f>IF(AND(ISNUMBER(D257),ISNUMBER(D198)),IFERROR(D257/D198,""),"")</f>
        <v>1.1695441376456</v>
      </c>
      <c r="E261" s="215">
        <f>IF(AND(ISNUMBER(E257),ISNUMBER(E198)),IFERROR(E257/E198,""),"")</f>
        <v>0.228518881804806</v>
      </c>
      <c r="F261" s="215">
        <f>IF(AND(ISNUMBER(F257),ISNUMBER(F198)),IFERROR(F257/F198,""),"")</f>
        <v>0.424219947584434</v>
      </c>
      <c r="G261" s="215">
        <f>IF(AND(ISNUMBER(G257),ISNUMBER(G198)),IFERROR(G257/G198,""),"")</f>
        <v>1.28641416220667</v>
      </c>
      <c r="H261" s="215">
        <f>IF(AND(ISNUMBER(H257),ISNUMBER(H198)),IFERROR(H257/H198,""),"")</f>
        <v>1.06791341242602</v>
      </c>
      <c r="I261" s="215">
        <f>IF(AND(ISNUMBER(I257),ISNUMBER(I198)),IFERROR(I257/I198,""),"")</f>
        <v>0.543792627557654</v>
      </c>
      <c r="J261" s="215">
        <f>IF(AND(ISNUMBER(J257),ISNUMBER(J198)),IFERROR(J257/J198,""),"")</f>
        <v>1.4683507966126</v>
      </c>
      <c r="K261" s="215">
        <f>IF(AND(ISNUMBER(K257),ISNUMBER(K198)),IFERROR(K257/K198,""),"")</f>
        <v>-0.173842999414177</v>
      </c>
      <c r="L261" s="215">
        <f>IF(AND(ISNUMBER(L257),ISNUMBER(L198)),IFERROR(L257/L198,""),"")</f>
        <v>0.0278240586471176</v>
      </c>
      <c r="M261" s="215">
        <f>IF(AND(ISNUMBER(M257),ISNUMBER(M198)),IFERROR(M257/M198,""),"")</f>
        <v>0.365547536868529</v>
      </c>
      <c r="N261" s="215">
        <f>IF(AND(ISNUMBER(N257),ISNUMBER(N198)),IFERROR(N257/N198,""),"")</f>
        <v>0.436618703740388</v>
      </c>
      <c r="O261" s="215">
        <f>IF(AND(ISNUMBER(O257),ISNUMBER(O198)),IFERROR(O257/O198,""),"")</f>
        <v>0.764356435643564</v>
      </c>
      <c r="P261" s="215">
        <f>IF(AND(ISNUMBER(P257),ISNUMBER(P198)),IFERROR(P257/P198,""),"")</f>
        <v>-0.312998243480611</v>
      </c>
      <c r="Q261" s="215">
        <f>IF(AND(ISNUMBER(Q257),ISNUMBER(Q198)),IFERROR(Q257/Q198,""),"")</f>
        <v>0.50109683484801</v>
      </c>
      <c r="R261" s="215">
        <f>IF(AND(ISNUMBER(R257),ISNUMBER(R198)),IFERROR(R257/R198,""),"")</f>
        <v>0.333080646101814</v>
      </c>
      <c r="S261" s="215">
        <f>IF(AND(ISNUMBER(S257),ISNUMBER(S198)),IFERROR(S257/S198,""),"")</f>
        <v>0.318156014158819</v>
      </c>
      <c r="T261" s="215">
        <f>IF(AND(ISNUMBER(T257),ISNUMBER(T198)),IFERROR(T257/T198,""),"")</f>
        <v>1.462734082397</v>
      </c>
      <c r="U261" s="215">
        <f>IF(AND(ISNUMBER(U257),ISNUMBER(U198)),IFERROR(U257/U198,""),"")</f>
        <v>0.596217952603188</v>
      </c>
      <c r="V261" s="215">
        <f>IF(AND(ISNUMBER(V257),ISNUMBER(V198)),IFERROR(V257/V198,""),"")</f>
        <v>0.91971157179505</v>
      </c>
      <c r="W261" s="215">
        <f>IF(AND(ISNUMBER(W257),ISNUMBER(W198)),IFERROR(W257/W198,""),"")</f>
        <v>0.255541222000704</v>
      </c>
      <c r="X261" s="215">
        <f>IF(AND(ISNUMBER(X257),ISNUMBER(X198)),IFERROR(X257/X198,""),"")</f>
        <v>0.795252828301769</v>
      </c>
      <c r="Y261" s="215">
        <f>IF(AND(ISNUMBER(Y257),ISNUMBER(Y198)),IFERROR(Y257/Y198,""),"")</f>
        <v>0.916075586117278</v>
      </c>
      <c r="Z261" s="215">
        <f>IF(AND(ISNUMBER(Z257),ISNUMBER(Z198)),IFERROR(Z257/Z198,""),"")</f>
        <v>0.759634262635329</v>
      </c>
      <c r="AA261" s="215">
        <f>IF(AND(ISNUMBER(AA257),ISNUMBER(AA198)),IFERROR(AA257/AA198,""),"")</f>
        <v>0.967898945416619</v>
      </c>
      <c r="AB261" s="215">
        <f>IF(AND(ISNUMBER(AB257),ISNUMBER(AB198)),IFERROR(AB257/AB198,""),"")</f>
        <v>0.757572762761279</v>
      </c>
      <c r="AC261" s="215">
        <f>IF(AND(ISNUMBER(AC257),ISNUMBER(AC198)),IFERROR(AC257/AC198,""),"")</f>
        <v>0.846932552750335</v>
      </c>
      <c r="AD261" s="215">
        <f>IF(AND(ISNUMBER(AD257),ISNUMBER(AD198)),IFERROR(AD257/AD198,""),"")</f>
        <v>0.776794602366995</v>
      </c>
      <c r="AE261" s="215">
        <f>IF(AND(ISNUMBER(AE257),ISNUMBER(AE198)),IFERROR(AE257/AE198,""),"")</f>
        <v>0.806409560021727</v>
      </c>
      <c r="AF261" s="215">
        <f>IF(AND(ISNUMBER(AF257),ISNUMBER(AF198)),IFERROR(AF257/AF198,""),"")</f>
        <v>1.80187863769953</v>
      </c>
      <c r="AG261" s="215">
        <f>IF(AND(ISNUMBER(AG257),ISNUMBER(AG198)),IFERROR(AG257/AG198,""),"")</f>
        <v>0.935279129024786</v>
      </c>
      <c r="AH261" s="215">
        <f>IF(AND(ISNUMBER(AH257),ISNUMBER(AH198)),IFERROR(AH257/AH198,""),"")</f>
        <v>1.06519952273631</v>
      </c>
      <c r="AI261" s="215">
        <f>IF(AND(ISNUMBER(AI257),ISNUMBER(AI198)),IFERROR(AI257/AI198,""),"")</f>
        <v>1.55446310710547</v>
      </c>
      <c r="AJ261" s="215">
        <f>IF(AND(ISNUMBER(AJ257),ISNUMBER(AJ198)),IFERROR(AJ257/AJ198,""),"")</f>
        <v>0.84645766477413</v>
      </c>
      <c r="AK261" s="215">
        <f>IF(AND(ISNUMBER(AK257),ISNUMBER(AK198)),IFERROR(AK257/AK198,""),"")</f>
        <v>0.803727046374105</v>
      </c>
      <c r="AL261" s="215">
        <f>IF(AND(ISNUMBER(AL257),ISNUMBER(AL198)),IFERROR(AL257/AL198,""),"")</f>
        <v>1.15035428744648</v>
      </c>
      <c r="AM261" s="215">
        <f>IF(AND(ISNUMBER(AM257),ISNUMBER(AM198)),IFERROR(AM257/AM198,""),"")</f>
        <v>1.08475492742714</v>
      </c>
      <c r="AN261" s="215">
        <f>IF(AND(ISNUMBER(AN257),ISNUMBER(AN198)),IFERROR(AN257/AN198,""),"")</f>
        <v>0.954925468711089</v>
      </c>
      <c r="AO261" s="215">
        <f>IF(AND(ISNUMBER(AO257),ISNUMBER(AO198)),IFERROR(AO257/AO198,""),"")</f>
        <v>0.439330267032858</v>
      </c>
      <c r="AP261" s="215">
        <f>IF(AND(ISNUMBER(AP257),ISNUMBER(AP198)),IFERROR(AP257/AP198,""),"")</f>
        <v>0.340323147172462</v>
      </c>
      <c r="AQ261" s="215">
        <f>IF(AND(ISNUMBER(AQ257),ISNUMBER(AQ198)),IFERROR(AQ257/AQ198,""),"")</f>
        <v>0.52896809707734</v>
      </c>
      <c r="AR261" s="215">
        <f>IF(AND(ISNUMBER(AR257),ISNUMBER(AR198)),IFERROR(AR257/AR198,""),"")</f>
        <v>0.561500990132101</v>
      </c>
      <c r="AS261" s="215">
        <f>IF(AND(ISNUMBER(AS257),ISNUMBER(AS198)),IFERROR(AS257/AS198,""),"")</f>
        <v>0.919702772594848</v>
      </c>
      <c r="AT261" s="215">
        <f>IF(AND(ISNUMBER(AT257),ISNUMBER(AT198)),IFERROR(AT257/AT198,""),"")</f>
        <v>0.504361274358181</v>
      </c>
      <c r="AU261" s="215">
        <f>IF(AND(ISNUMBER(AU257),ISNUMBER(AU198)),IFERROR(AU257/AU198,""),"")</f>
        <v>1.29108800105312</v>
      </c>
      <c r="AV261" s="215">
        <f>IF(AND(ISNUMBER(AV257),ISNUMBER(AV198)),IFERROR(AV257/AV198,""),"")</f>
        <v>1.04702260586123</v>
      </c>
      <c r="AW261" s="215">
        <f>IF(AND(ISNUMBER(AW257),ISNUMBER(AW198)),IFERROR(AW257/AW198,""),"")</f>
        <v>0.936122407000111</v>
      </c>
      <c r="AX261" s="215">
        <f>IF(AND(ISNUMBER(AX257),ISNUMBER(AX198)),IFERROR(AX257/AX198,""),"")</f>
        <v>1.88323949028407</v>
      </c>
      <c r="AY261" s="215">
        <f>IF(AND(ISNUMBER(AY257),ISNUMBER(AY198)),IFERROR(AY257/AY198,""),"")</f>
        <v>1.03329887137073</v>
      </c>
      <c r="AZ261" s="215">
        <f>IF(AND(ISNUMBER(AZ257),ISNUMBER(AZ198)),IFERROR(AZ257/AZ198,""),"")</f>
        <v>1.46864802892671</v>
      </c>
      <c r="BA261" s="215">
        <f>IF(AND(ISNUMBER(BA257),ISNUMBER(BA198)),IFERROR(BA257/BA198,""),"")</f>
        <v>1.42115068493151</v>
      </c>
      <c r="BB261" s="215">
        <f>IF(AND(ISNUMBER(BB257),ISNUMBER(BB198)),IFERROR(BB257/BB198,""),"")</f>
        <v>1.45199611923045</v>
      </c>
      <c r="BC261" s="215">
        <f>IF(AND(ISNUMBER(BC257),ISNUMBER(BC198)),IFERROR(BC257/BC198,""),"")</f>
        <v>1.8969565712983</v>
      </c>
      <c r="BD261" s="215">
        <f>IF(AND(ISNUMBER(BD257),ISNUMBER(BD198)),IFERROR(BD257/BD198,""),"")</f>
        <v>1.55859723698193</v>
      </c>
      <c r="BE261" s="215">
        <f>IF(AND(ISNUMBER(BE257),ISNUMBER(BE198)),IFERROR(BE257/BE198,""),"")</f>
        <v>0.961166909453347</v>
      </c>
      <c r="BF261" s="215">
        <f>IF(AND(ISNUMBER(BF257),ISNUMBER(BF198)),IFERROR(BF257/BF198,""),"")</f>
        <v>0.925011899095669</v>
      </c>
      <c r="BG261" s="215">
        <f>IF(AND(ISNUMBER(BG257),ISNUMBER(BG198)),IFERROR(BG257/BG198,""),"")</f>
        <v>1.27625264942772</v>
      </c>
      <c r="BH261" s="215">
        <f>IF(AND(ISNUMBER(BH257),ISNUMBER(BH198)),IFERROR(BH257/BH198,""),"")</f>
        <v>1.2719455214236</v>
      </c>
      <c r="BI261" s="215">
        <f>IF(AND(ISNUMBER(BI257),ISNUMBER(BI198)),IFERROR(BI257/BI198,""),"")</f>
        <v>0.228188353121719</v>
      </c>
      <c r="BJ261" s="215">
        <f>IF(AND(ISNUMBER(BJ257),ISNUMBER(BJ198)),IFERROR(BJ257/BJ198,""),"")</f>
        <v>1.01932665991827</v>
      </c>
      <c r="BK261" s="215">
        <f>IF(AND(ISNUMBER(BK257),ISNUMBER(BK198)),IFERROR(BK257/BK198,""),"")</f>
        <v>0.870372558867847</v>
      </c>
      <c r="BL261" s="215">
        <f>IF(AND(ISNUMBER(BL257),ISNUMBER(BL198)),IFERROR(BL257/BL198,""),"")</f>
        <v>0.742628806180534</v>
      </c>
      <c r="BM261" s="215">
        <f>IF(AND(ISNUMBER(BM257),ISNUMBER(BM198)),IFERROR(BM257/BM198,""),"")</f>
        <v>0.812467685944309</v>
      </c>
      <c r="BN261" s="215">
        <f>IF(AND(ISNUMBER(BN257),ISNUMBER(BN198)),IFERROR(BN257/BN198,""),"")</f>
        <v>0.661944025084195</v>
      </c>
      <c r="BO261" s="215">
        <f>IF(AND(ISNUMBER(BO257),ISNUMBER(BO198)),IFERROR(BO257/BO198,""),"")</f>
        <v>1.182218368572</v>
      </c>
      <c r="BP261" s="215">
        <f>IF(AND(ISNUMBER(BP257),ISNUMBER(BP198)),IFERROR(BP257/BP198,""),"")</f>
        <v>0.896906952310176</v>
      </c>
      <c r="BQ261" s="215">
        <f>IF(AND(ISNUMBER(BQ257),ISNUMBER(BQ198)),IFERROR(BQ257/BQ198,""),"")</f>
        <v>0.879457831544678</v>
      </c>
      <c r="BR261" s="215">
        <f>IF(AND(ISNUMBER(BR257),ISNUMBER(BR198)),IFERROR(BR257/BR198,""),"")</f>
        <v>1.10224438902743</v>
      </c>
      <c r="BS261" s="215">
        <f>IF(AND(ISNUMBER(BS257),ISNUMBER(BS198)),IFERROR(BS257/BS198,""),"")</f>
        <v>0.368638239339753</v>
      </c>
      <c r="BT261" s="215">
        <f>IF(AND(ISNUMBER(BT257),ISNUMBER(BT198)),IFERROR(BT257/BT198,""),"")</f>
        <v>0.994594594594595</v>
      </c>
      <c r="BU261" s="215">
        <f>IF(AND(ISNUMBER(BU257),ISNUMBER(BU198)),IFERROR(BU257/BU198,""),"")</f>
        <v>0.615901455767077</v>
      </c>
      <c r="BV261" s="215">
        <f>IF(AND(ISNUMBER(BV257),ISNUMBER(BV198)),IFERROR(BV257/BV198,""),"")</f>
        <v>0.771030993042378</v>
      </c>
      <c r="BW261" s="215">
        <f>IF(AND(ISNUMBER(BW257),ISNUMBER(BW198)),IFERROR(BW257/BW198,""),"")</f>
        <v>1.1640625</v>
      </c>
      <c r="BX261" s="215">
        <f>IF(AND(ISNUMBER(BX257),ISNUMBER(BX198)),IFERROR(BX257/BX198,""),"")</f>
        <v>0.786184210526316</v>
      </c>
      <c r="BY261" s="215">
        <f>IF(AND(ISNUMBER(BY257),ISNUMBER(BY198)),IFERROR(BY257/BY198,""),"")</f>
        <v>1.02907580477674</v>
      </c>
      <c r="BZ261" s="215">
        <f>IF(AND(ISNUMBER(BZ257),ISNUMBER(BZ198)),IFERROR(BZ257/BZ198,""),"")</f>
        <v>0.587467362924282</v>
      </c>
      <c r="CA261" s="215">
        <f>IF(AND(ISNUMBER(CA257),ISNUMBER(CA198)),IFERROR(CA257/CA198,""),"")</f>
        <v>0.873979591836735</v>
      </c>
      <c r="CB261" s="215">
        <f>IF(AND(ISNUMBER(CB257),ISNUMBER(CB198)),IFERROR(CB257/CB198,""),"")</f>
        <v>1.19430894308943</v>
      </c>
      <c r="CC261" s="24" t="n"/>
      <c r="CD261" s="24" t="n"/>
      <c r="CE261" s="24" t="n"/>
      <c r="CF261" s="256">
        <f>IF(AND(ISNUMBER(CF257),ISNUMBER(CF198)),IFERROR(CF257/CF198,""),"")</f>
        <v>0.774244212941801</v>
      </c>
      <c r="CG261" s="256">
        <f>IF(AND(ISNUMBER(CG257),ISNUMBER(CG198)),IFERROR(CG257/CG198,""),"")</f>
        <v>0.85094389630436</v>
      </c>
      <c r="CH261" s="256">
        <f>IF(AND(ISNUMBER(CH257),ISNUMBER(CH198)),IFERROR(CH257/CH198,""),"")</f>
        <v>0.848991993920096</v>
      </c>
      <c r="CI261" s="256">
        <f>IF(AND(ISNUMBER(CI257),ISNUMBER(CI198)),IFERROR(CI257/CI198,""),"")</f>
        <v>0.879617333314942</v>
      </c>
      <c r="CJ261" s="256">
        <f>IF(AND(ISNUMBER(CJ257),ISNUMBER(CJ198)),IFERROR(CJ257/CJ198,""),"")</f>
        <v>0.879768414612006</v>
      </c>
      <c r="CK261" s="256">
        <f>IF(AND(ISNUMBER(CK257),ISNUMBER(CK198)),IFERROR(CK257/CK198,""),"")</f>
        <v>0.878008338375289</v>
      </c>
      <c r="CL261" s="153" t="n"/>
    </row>
    <row r="262" ht="15" customHeight="1" s="251">
      <c r="B262" s="25" t="inlineStr">
        <is>
          <t xml:space="preserve">  FCF per diluted share ($)</t>
        </is>
      </c>
      <c r="C262" s="278">
        <f>IF(AND(ISNUMBER(C257),ISNUMBER(C141)),IFERROR(C257/C141,""),"")</f>
        <v>0.98953354297984</v>
      </c>
      <c r="D262" s="278">
        <f>IF(AND(ISNUMBER(D257),ISNUMBER(D141)),IFERROR(D257/D141,""),"")</f>
        <v>1.85425032787201</v>
      </c>
      <c r="E262" s="278">
        <f>IF(AND(ISNUMBER(E257),ISNUMBER(E141)),IFERROR(E257/E141,""),"")</f>
        <v>0.427423910723763</v>
      </c>
      <c r="F262" s="278">
        <f>IF(AND(ISNUMBER(F257),ISNUMBER(F141)),IFERROR(F257/F141,""),"")</f>
        <v>0.789279561367015</v>
      </c>
      <c r="G262" s="278">
        <f>IF(AND(ISNUMBER(G257),ISNUMBER(G141)),IFERROR(G257/G141,""),"")</f>
        <v>1.43683644545967</v>
      </c>
      <c r="H262" s="278">
        <f>IF(AND(ISNUMBER(H257),ISNUMBER(H141)),IFERROR(H257/H141,""),"")</f>
        <v>1.78977839784216</v>
      </c>
      <c r="I262" s="278">
        <f>IF(AND(ISNUMBER(I257),ISNUMBER(I141)),IFERROR(I257/I141,""),"")</f>
        <v>1.21424252712507</v>
      </c>
      <c r="J262" s="278">
        <f>IF(AND(ISNUMBER(J257),ISNUMBER(J141)),IFERROR(J257/J141,""),"")</f>
        <v>0.905453805835654</v>
      </c>
      <c r="K262" s="278">
        <f>IF(AND(ISNUMBER(K257),ISNUMBER(K141)),IFERROR(K257/K141,""),"")</f>
        <v>-0.104516545598733</v>
      </c>
      <c r="L262" s="278">
        <f>IF(AND(ISNUMBER(L257),ISNUMBER(L141)),IFERROR(L257/L141,""),"")</f>
        <v>0.0146091737650557</v>
      </c>
      <c r="M262" s="278">
        <f>IF(AND(ISNUMBER(M257),ISNUMBER(M141)),IFERROR(M257/M141,""),"")</f>
        <v>0.252488966882333</v>
      </c>
      <c r="N262" s="278">
        <f>IF(AND(ISNUMBER(N257),ISNUMBER(N141)),IFERROR(N257/N141,""),"")</f>
        <v>1.06287405264692</v>
      </c>
      <c r="O262" s="278">
        <f>IF(AND(ISNUMBER(O257),ISNUMBER(O141)),IFERROR(O257/O141,""),"")</f>
        <v>0.501271728105713</v>
      </c>
      <c r="P262" s="278">
        <f>IF(AND(ISNUMBER(P257),ISNUMBER(P141)),IFERROR(P257/P141,""),"")</f>
        <v>-0.19965947995967</v>
      </c>
      <c r="Q262" s="278">
        <f>IF(AND(ISNUMBER(Q257),ISNUMBER(Q141)),IFERROR(Q257/Q141,""),"")</f>
        <v>0.27437223088775</v>
      </c>
      <c r="R262" s="278">
        <f>IF(AND(ISNUMBER(R257),ISNUMBER(R141)),IFERROR(R257/R141,""),"")</f>
        <v>0.244522463510737</v>
      </c>
      <c r="S262" s="278">
        <f>IF(AND(ISNUMBER(S257),ISNUMBER(S141)),IFERROR(S257/S141,""),"")</f>
        <v>0.819772949351196</v>
      </c>
      <c r="T262" s="278">
        <f>IF(AND(ISNUMBER(T257),ISNUMBER(T141)),IFERROR(T257/T141,""),"")</f>
        <v>1.00293372989013</v>
      </c>
      <c r="U262" s="278">
        <f>IF(AND(ISNUMBER(U257),ISNUMBER(U141)),IFERROR(U257/U141,""),"")</f>
        <v>0.419946345738919</v>
      </c>
      <c r="V262" s="278">
        <f>IF(AND(ISNUMBER(V257),ISNUMBER(V141)),IFERROR(V257/V141,""),"")</f>
        <v>0.567450702586531</v>
      </c>
      <c r="W262" s="278">
        <f>IF(AND(ISNUMBER(W257),ISNUMBER(W141)),IFERROR(W257/W141,""),"")</f>
        <v>0.185965120999798</v>
      </c>
      <c r="X262" s="278">
        <f>IF(AND(ISNUMBER(X257),ISNUMBER(X141)),IFERROR(X257/X141,""),"")</f>
        <v>2.17630392326109</v>
      </c>
      <c r="Y262" s="278">
        <f>IF(AND(ISNUMBER(Y257),ISNUMBER(Y141)),IFERROR(Y257/Y141,""),"")</f>
        <v>0.718845102837465</v>
      </c>
      <c r="Z262" s="278">
        <f>IF(AND(ISNUMBER(Z257),ISNUMBER(Z141)),IFERROR(Z257/Z141,""),"")</f>
        <v>0.576370961237542</v>
      </c>
      <c r="AA262" s="278">
        <f>IF(AND(ISNUMBER(AA257),ISNUMBER(AA141)),IFERROR(AA257/AA141,""),"")</f>
        <v>0.71104085458393</v>
      </c>
      <c r="AB262" s="278">
        <f>IF(AND(ISNUMBER(AB257),ISNUMBER(AB141)),IFERROR(AB257/AB141,""),"")</f>
        <v>0.652172618363949</v>
      </c>
      <c r="AC262" s="278">
        <f>IF(AND(ISNUMBER(AC257),ISNUMBER(AC141)),IFERROR(AC257/AC141,""),"")</f>
        <v>2.658451963888</v>
      </c>
      <c r="AD262" s="278">
        <f>IF(AND(ISNUMBER(AD257),ISNUMBER(AD141)),IFERROR(AD257/AD141,""),"")</f>
        <v>0.594495620663205</v>
      </c>
      <c r="AE262" s="278">
        <f>IF(AND(ISNUMBER(AE257),ISNUMBER(AE141)),IFERROR(AE257/AE141,""),"")</f>
        <v>0.626077559986061</v>
      </c>
      <c r="AF262" s="278">
        <f>IF(AND(ISNUMBER(AF257),ISNUMBER(AF141)),IFERROR(AF257/AF141,""),"")</f>
        <v>1.31302128431522</v>
      </c>
      <c r="AG262" s="278">
        <f>IF(AND(ISNUMBER(AG257),ISNUMBER(AG141)),IFERROR(AG257/AG141,""),"")</f>
        <v>0.84171736024961</v>
      </c>
      <c r="AH262" s="278">
        <f>IF(AND(ISNUMBER(AH257),ISNUMBER(AH141)),IFERROR(AH257/AH141,""),"")</f>
        <v>3.37814713666419</v>
      </c>
      <c r="AI262" s="278">
        <f>IF(AND(ISNUMBER(AI257),ISNUMBER(AI141)),IFERROR(AI257/AI141,""),"")</f>
        <v>1.41177686484252</v>
      </c>
      <c r="AJ262" s="278">
        <f>IF(AND(ISNUMBER(AJ257),ISNUMBER(AJ141)),IFERROR(AJ257/AJ141,""),"")</f>
        <v>0.705277130719548</v>
      </c>
      <c r="AK262" s="278">
        <f>IF(AND(ISNUMBER(AK257),ISNUMBER(AK141)),IFERROR(AK257/AK141,""),"")</f>
        <v>0.845083155339816</v>
      </c>
      <c r="AL262" s="278">
        <f>IF(AND(ISNUMBER(AL257),ISNUMBER(AL141)),IFERROR(AL257/AL141,""),"")</f>
        <v>1.23995312855462</v>
      </c>
      <c r="AM262" s="278">
        <f>IF(AND(ISNUMBER(AM257),ISNUMBER(AM141)),IFERROR(AM257/AM141,""),"")</f>
        <v>4.19938787025286</v>
      </c>
      <c r="AN262" s="278">
        <f>IF(AND(ISNUMBER(AN257),ISNUMBER(AN141)),IFERROR(AN257/AN141,""),"")</f>
        <v>1.0936460841159</v>
      </c>
      <c r="AO262" s="278">
        <f>IF(AND(ISNUMBER(AO257),ISNUMBER(AO141)),IFERROR(AO257/AO141,""),"")</f>
        <v>0.537115980480808</v>
      </c>
      <c r="AP262" s="278">
        <f>IF(AND(ISNUMBER(AP257),ISNUMBER(AP141)),IFERROR(AP257/AP141,""),"")</f>
        <v>0.390675291656706</v>
      </c>
      <c r="AQ262" s="278">
        <f>IF(AND(ISNUMBER(AQ257),ISNUMBER(AQ141)),IFERROR(AQ257/AQ141,""),"")</f>
        <v>0.7017013585161</v>
      </c>
      <c r="AR262" s="278">
        <f>IF(AND(ISNUMBER(AR257),ISNUMBER(AR141)),IFERROR(AR257/AR141,""),"")</f>
        <v>2.71890357960582</v>
      </c>
      <c r="AS262" s="278">
        <f>IF(AND(ISNUMBER(AS257),ISNUMBER(AS141)),IFERROR(AS257/AS141,""),"")</f>
        <v>1.13256952880859</v>
      </c>
      <c r="AT262" s="278">
        <f>IF(AND(ISNUMBER(AT257),ISNUMBER(AT141)),IFERROR(AT257/AT141,""),"")</f>
        <v>0.654723418303499</v>
      </c>
      <c r="AU262" s="278">
        <f>IF(AND(ISNUMBER(AU257),ISNUMBER(AU141)),IFERROR(AU257/AU141,""),"")</f>
        <v>1.57040335480524</v>
      </c>
      <c r="AV262" s="278">
        <f>IF(AND(ISNUMBER(AV257),ISNUMBER(AV141)),IFERROR(AV257/AV141,""),"")</f>
        <v>1.38796261803094</v>
      </c>
      <c r="AW262" s="278">
        <f>IF(AND(ISNUMBER(AW257),ISNUMBER(AW141)),IFERROR(AW257/AW141,""),"")</f>
        <v>4.74765284612207</v>
      </c>
      <c r="AX262" s="278">
        <f>IF(AND(ISNUMBER(AX257),ISNUMBER(AX141)),IFERROR(AX257/AX141,""),"")</f>
        <v>1.78407416621384</v>
      </c>
      <c r="AY262" s="278">
        <f>IF(AND(ISNUMBER(AY257),ISNUMBER(AY141)),IFERROR(AY257/AY141,""),"")</f>
        <v>0.961127064227425</v>
      </c>
      <c r="AZ262" s="278">
        <f>IF(AND(ISNUMBER(AZ257),ISNUMBER(AZ141)),IFERROR(AZ257/AZ141,""),"")</f>
        <v>1.32900721652595</v>
      </c>
      <c r="BA262" s="278">
        <f>IF(AND(ISNUMBER(BA257),ISNUMBER(BA141)),IFERROR(BA257/BA141,""),"")</f>
        <v>1.5418830877374</v>
      </c>
      <c r="BB262" s="278">
        <f>IF(AND(ISNUMBER(BB257),ISNUMBER(BB141)),IFERROR(BB257/BB141,""),"")</f>
        <v>5.61635527881545</v>
      </c>
      <c r="BC262" s="278">
        <f>IF(AND(ISNUMBER(BC257),ISNUMBER(BC141)),IFERROR(BC257/BC141,""),"")</f>
        <v>1.97267953819717</v>
      </c>
      <c r="BD262" s="278">
        <f>IF(AND(ISNUMBER(BD257),ISNUMBER(BD141)),IFERROR(BD257/BD141,""),"")</f>
        <v>1.42249740201989</v>
      </c>
      <c r="BE262" s="278">
        <f>IF(AND(ISNUMBER(BE257),ISNUMBER(BE141)),IFERROR(BE257/BE141,""),"")</f>
        <v>0.876111759196282</v>
      </c>
      <c r="BF262" s="278">
        <f>IF(AND(ISNUMBER(BF257),ISNUMBER(BF141)),IFERROR(BF257/BF141,""),"")</f>
        <v>1.34656691260362</v>
      </c>
      <c r="BG262" s="278">
        <f>IF(AND(ISNUMBER(BG257),ISNUMBER(BG141)),IFERROR(BG257/BG141,""),"")</f>
        <v>5.53144398857186</v>
      </c>
      <c r="BH262" s="278">
        <f>IF(AND(ISNUMBER(BH257),ISNUMBER(BH141)),IFERROR(BH257/BH141,""),"")</f>
        <v>1.76811468527071</v>
      </c>
      <c r="BI262" s="278">
        <f>IF(AND(ISNUMBER(BI257),ISNUMBER(BI141)),IFERROR(BI257/BI141,""),"")</f>
        <v>0.485533150355002</v>
      </c>
      <c r="BJ262" s="278">
        <f>IF(AND(ISNUMBER(BJ257),ISNUMBER(BJ141)),IFERROR(BJ257/BJ141,""),"")</f>
        <v>1.86732164119911</v>
      </c>
      <c r="BK262" s="278">
        <f>IF(AND(ISNUMBER(BK257),ISNUMBER(BK141)),IFERROR(BK257/BK141,""),"")</f>
        <v>2.02241791510987</v>
      </c>
      <c r="BL262" s="278">
        <f>IF(AND(ISNUMBER(BL257),ISNUMBER(BL141)),IFERROR(BL257/BL141,""),"")</f>
        <v>6.14327753625265</v>
      </c>
      <c r="BM262" s="278">
        <f>IF(AND(ISNUMBER(BM257),ISNUMBER(BM141)),IFERROR(BM257/BM141,""),"")</f>
        <v>1.88907236551943</v>
      </c>
      <c r="BN262" s="278">
        <f>IF(AND(ISNUMBER(BN257),ISNUMBER(BN141)),IFERROR(BN257/BN141,""),"")</f>
        <v>1.56493470035413</v>
      </c>
      <c r="BO262" s="278">
        <f>IF(AND(ISNUMBER(BO257),ISNUMBER(BO141)),IFERROR(BO257/BO141,""),"")</f>
        <v>2.4277022397522</v>
      </c>
      <c r="BP262" s="278">
        <f>IF(AND(ISNUMBER(BP257),ISNUMBER(BP141)),IFERROR(BP257/BP141,""),"")</f>
        <v>2.39023258089836</v>
      </c>
      <c r="BQ262" s="278">
        <f>IF(AND(ISNUMBER(BQ257),ISNUMBER(BQ141)),IFERROR(BQ257/BQ141,""),"")</f>
        <v>8.27364886346444</v>
      </c>
      <c r="BR262" s="278">
        <f>IF(AND(ISNUMBER(BR257),ISNUMBER(BR141)),IFERROR(BR257/BR141,""),"")</f>
        <v>3.01757999778665</v>
      </c>
      <c r="BS262" s="278">
        <f>IF(AND(ISNUMBER(BS257),ISNUMBER(BS141)),IFERROR(BS257/BS141,""),"")</f>
        <v>0.913538801844776</v>
      </c>
      <c r="BT262" s="278">
        <f>IF(AND(ISNUMBER(BT257),ISNUMBER(BT141)),IFERROR(BT257/BT141,""),"")</f>
        <v>2.3572651151058</v>
      </c>
      <c r="BU262" s="278">
        <f>IF(AND(ISNUMBER(BU257),ISNUMBER(BU141)),IFERROR(BU257/BU141,""),"")</f>
        <v>1.74343259244528</v>
      </c>
      <c r="BV262" s="278">
        <f>IF(AND(ISNUMBER(BV257),ISNUMBER(BV141)),IFERROR(BV257/BV141,""),"")</f>
        <v>8.0317659969026</v>
      </c>
      <c r="BW262" s="278">
        <f>IF(AND(ISNUMBER(BW257),ISNUMBER(BW141)),IFERROR(BW257/BW141,""),"")</f>
        <v>3.30552697420935</v>
      </c>
      <c r="BX262" s="278">
        <f>IF(AND(ISNUMBER(BX257),ISNUMBER(BX141)),IFERROR(BX257/BX141,""),"")</f>
        <v>2.26788727290762</v>
      </c>
      <c r="BY262" s="278">
        <f>IF(AND(ISNUMBER(BY257),ISNUMBER(BY141)),IFERROR(BY257/BY141,""),"")</f>
        <v>3.13165674564551</v>
      </c>
      <c r="BZ262" s="278">
        <f>IF(AND(ISNUMBER(BZ257),ISNUMBER(BZ141)),IFERROR(BZ257/BZ141,""),"")</f>
        <v>2.1286507306097</v>
      </c>
      <c r="CA262" s="278">
        <f>IF(AND(ISNUMBER(CA257),ISNUMBER(CA141)),IFERROR(CA257/CA141,""),"")</f>
        <v>10.8298154872557</v>
      </c>
      <c r="CB262" s="278">
        <f>IF(AND(ISNUMBER(CB257),ISNUMBER(CB141)),IFERROR(CB257/CB141,""),"")</f>
        <v>4.63192351959594</v>
      </c>
      <c r="CC262" s="35" t="n"/>
      <c r="CD262" s="35" t="n"/>
      <c r="CE262" s="35" t="n"/>
      <c r="CF262" s="279">
        <f>IF(AND(ISNUMBER(CF257),ISNUMBER(CF141)),IFERROR(CF257/CF141,""),"")</f>
        <v>11.9785234636993</v>
      </c>
      <c r="CG262" s="279">
        <f>IF(AND(ISNUMBER(CG257),ISNUMBER(CG141)),IFERROR(CG257/CG141,""),"")</f>
        <v>15.170195881924</v>
      </c>
      <c r="CH262" s="279">
        <f>IF(AND(ISNUMBER(CH257),ISNUMBER(CH141)),IFERROR(CH257/CH141,""),"")</f>
        <v>17.1212213193539</v>
      </c>
      <c r="CI262" s="279">
        <f>IF(AND(ISNUMBER(CI257),ISNUMBER(CI141)),IFERROR(CI257/CI141,""),"")</f>
        <v>20.0523725282501</v>
      </c>
      <c r="CJ262" s="279">
        <f>IF(AND(ISNUMBER(CJ257),ISNUMBER(CJ141)),IFERROR(CJ257/CJ141,""),"")</f>
        <v>22.3773393894991</v>
      </c>
      <c r="CK262" s="279">
        <f>IF(AND(ISNUMBER(CK257),ISNUMBER(CK141)),IFERROR(CK257/CK141,""),"")</f>
        <v>24.8018907791937</v>
      </c>
      <c r="CL262" s="19" t="n"/>
    </row>
    <row r="263" ht="15" customHeight="1" s="251">
      <c r="B263" s="25" t="inlineStr">
        <is>
          <t xml:space="preserve">  FCF / adjusted EBITDA %</t>
        </is>
      </c>
      <c r="C263" s="215">
        <f>IF(AND(ISNUMBER(C257),ISNUMBER(C179)),IFERROR(C257/C179,""),"")</f>
        <v>0.259730117506039</v>
      </c>
      <c r="D263" s="215">
        <f>IF(AND(ISNUMBER(D257),ISNUMBER(D179)),IFERROR(D257/D179,""),"")</f>
        <v>0.586149674781088</v>
      </c>
      <c r="E263" s="215">
        <f>IF(AND(ISNUMBER(E257),ISNUMBER(E179)),IFERROR(E257/E179,""),"")</f>
        <v>0.123153165058808</v>
      </c>
      <c r="F263" s="215">
        <f>IF(AND(ISNUMBER(F257),ISNUMBER(F179)),IFERROR(F257/F179,""),"")</f>
        <v>0.221085455107721</v>
      </c>
      <c r="G263" s="215">
        <f>IF(AND(ISNUMBER(G257),ISNUMBER(G179)),IFERROR(G257/G179,""),"")</f>
        <v>0.581512636319649</v>
      </c>
      <c r="H263" s="215">
        <f>IF(AND(ISNUMBER(H257),ISNUMBER(H179)),IFERROR(H257/H179,""),"")</f>
        <v>0.525178421913002</v>
      </c>
      <c r="I263" s="215">
        <f>IF(AND(ISNUMBER(I257),ISNUMBER(I179)),IFERROR(I257/I179,""),"")</f>
        <v>0.283329338571682</v>
      </c>
      <c r="J263" s="215">
        <f>IF(AND(ISNUMBER(J257),ISNUMBER(J179)),IFERROR(J257/J179,""),"")</f>
        <v>0.763318907625728</v>
      </c>
      <c r="K263" s="215">
        <f>IF(AND(ISNUMBER(K257),ISNUMBER(K179)),IFERROR(K257/K179,""),"")</f>
        <v>-0.0906072287317278</v>
      </c>
      <c r="L263" s="215">
        <f>IF(AND(ISNUMBER(L257),ISNUMBER(L179)),IFERROR(L257/L179,""),"")</f>
        <v>0.0136717151043798</v>
      </c>
      <c r="M263" s="215">
        <f>IF(AND(ISNUMBER(M257),ISNUMBER(M179)),IFERROR(M257/M179,""),"")</f>
        <v>0.211119567975064</v>
      </c>
      <c r="N263" s="215">
        <f>IF(AND(ISNUMBER(N257),ISNUMBER(N179)),IFERROR(N257/N179,""),"")</f>
        <v>0.230847599641993</v>
      </c>
      <c r="O263" s="215">
        <f>IF(AND(ISNUMBER(O257),ISNUMBER(O179)),IFERROR(O257/O179,""),"")</f>
        <v>0.41533660916036</v>
      </c>
      <c r="P263" s="215">
        <f>IF(AND(ISNUMBER(P257),ISNUMBER(P179)),IFERROR(P257/P179,""),"")</f>
        <v>-0.164424885544948</v>
      </c>
      <c r="Q263" s="215">
        <f>IF(AND(ISNUMBER(Q257),ISNUMBER(Q179)),IFERROR(Q257/Q179,""),"")</f>
        <v>0.256496631376323</v>
      </c>
      <c r="R263" s="215">
        <f>IF(AND(ISNUMBER(R257),ISNUMBER(R179)),IFERROR(R257/R179,""),"")</f>
        <v>0.187950380046724</v>
      </c>
      <c r="S263" s="215">
        <f>IF(AND(ISNUMBER(S257),ISNUMBER(S179)),IFERROR(S257/S179,""),"")</f>
        <v>0.170878470478514</v>
      </c>
      <c r="T263" s="215">
        <f>IF(AND(ISNUMBER(T257),ISNUMBER(T179)),IFERROR(T257/T179,""),"")</f>
        <v>0.780163803435877</v>
      </c>
      <c r="U263" s="215">
        <f>IF(AND(ISNUMBER(U257),ISNUMBER(U179)),IFERROR(U257/U179,""),"")</f>
        <v>0.317773614162036</v>
      </c>
      <c r="V263" s="215">
        <f>IF(AND(ISNUMBER(V257),ISNUMBER(V179)),IFERROR(V257/V179,""),"")</f>
        <v>0.470757328412237</v>
      </c>
      <c r="W263" s="215">
        <f>IF(AND(ISNUMBER(W257),ISNUMBER(W179)),IFERROR(W257/W179,""),"")</f>
        <v>0.141949773623009</v>
      </c>
      <c r="X263" s="215">
        <f>IF(AND(ISNUMBER(X257),ISNUMBER(X179)),IFERROR(X257/X179,""),"")</f>
        <v>0.424564740429295</v>
      </c>
      <c r="Y263" s="215">
        <f>IF(AND(ISNUMBER(Y257),ISNUMBER(Y179)),IFERROR(Y257/Y179,""),"")</f>
        <v>0.453896713615023</v>
      </c>
      <c r="Z263" s="215">
        <f>IF(AND(ISNUMBER(Z257),ISNUMBER(Z179)),IFERROR(Z257/Z179,""),"")</f>
        <v>0.3519047866535</v>
      </c>
      <c r="AA263" s="215">
        <f>IF(AND(ISNUMBER(AA257),ISNUMBER(AA179)),IFERROR(AA257/AA179,""),"")</f>
        <v>0.452658392499052</v>
      </c>
      <c r="AB263" s="215">
        <f>IF(AND(ISNUMBER(AB257),ISNUMBER(AB179)),IFERROR(AB257/AB179,""),"")</f>
        <v>0.363560909672983</v>
      </c>
      <c r="AC263" s="215">
        <f>IF(AND(ISNUMBER(AC257),ISNUMBER(AC179)),IFERROR(AC257/AC179,""),"")</f>
        <v>0.403647918981063</v>
      </c>
      <c r="AD263" s="215">
        <f>IF(AND(ISNUMBER(AD257),ISNUMBER(AD179)),IFERROR(AD257/AD179,""),"")</f>
        <v>0.359076616304931</v>
      </c>
      <c r="AE263" s="215">
        <f>IF(AND(ISNUMBER(AE257),ISNUMBER(AE179)),IFERROR(AE257/AE179,""),"")</f>
        <v>0.371959010848596</v>
      </c>
      <c r="AF263" s="215">
        <f>IF(AND(ISNUMBER(AF257),ISNUMBER(AF179)),IFERROR(AF257/AF179,""),"")</f>
        <v>0.837610500937584</v>
      </c>
      <c r="AG263" s="215">
        <f>IF(AND(ISNUMBER(AG257),ISNUMBER(AG179)),IFERROR(AG257/AG179,""),"")</f>
        <v>0.45386690647482</v>
      </c>
      <c r="AH263" s="215">
        <f>IF(AND(ISNUMBER(AH257),ISNUMBER(AH179)),IFERROR(AH257/AH179,""),"")</f>
        <v>0.499552350161652</v>
      </c>
      <c r="AI263" s="215">
        <f>IF(AND(ISNUMBER(AI257),ISNUMBER(AI179)),IFERROR(AI257/AI179,""),"")</f>
        <v>0.810663248350187</v>
      </c>
      <c r="AJ263" s="215">
        <f>IF(AND(ISNUMBER(AJ257),ISNUMBER(AJ179)),IFERROR(AJ257/AJ179,""),"")</f>
        <v>0.405185045138725</v>
      </c>
      <c r="AK263" s="215">
        <f>IF(AND(ISNUMBER(AK257),ISNUMBER(AK179)),IFERROR(AK257/AK179,""),"")</f>
        <v>0.464884448344922</v>
      </c>
      <c r="AL263" s="215">
        <f>IF(AND(ISNUMBER(AL257),ISNUMBER(AL179)),IFERROR(AL257/AL179,""),"")</f>
        <v>0.619482931009856</v>
      </c>
      <c r="AM263" s="215">
        <f>IF(AND(ISNUMBER(AM257),ISNUMBER(AM179)),IFERROR(AM257/AM179,""),"")</f>
        <v>0.575160496048031</v>
      </c>
      <c r="AN263" s="215">
        <f>IF(AND(ISNUMBER(AN257),ISNUMBER(AN179)),IFERROR(AN257/AN179,""),"")</f>
        <v>0.570172270960342</v>
      </c>
      <c r="AO263" s="215">
        <f>IF(AND(ISNUMBER(AO257),ISNUMBER(AO179)),IFERROR(AO257/AO179,""),"")</f>
        <v>0.27915142340524</v>
      </c>
      <c r="AP263" s="215">
        <f>IF(AND(ISNUMBER(AP257),ISNUMBER(AP179)),IFERROR(AP257/AP179,""),"")</f>
        <v>0.202470012956075</v>
      </c>
      <c r="AQ263" s="215">
        <f>IF(AND(ISNUMBER(AQ257),ISNUMBER(AQ179)),IFERROR(AQ257/AQ179,""),"")</f>
        <v>0.328101714738451</v>
      </c>
      <c r="AR263" s="215">
        <f>IF(AND(ISNUMBER(AR257),ISNUMBER(AR179)),IFERROR(AR257/AR179,""),"")</f>
        <v>0.343732097552991</v>
      </c>
      <c r="AS263" s="215">
        <f>IF(AND(ISNUMBER(AS257),ISNUMBER(AS179)),IFERROR(AS257/AS179,""),"")</f>
        <v>0.552940250334567</v>
      </c>
      <c r="AT263" s="215">
        <f>IF(AND(ISNUMBER(AT257),ISNUMBER(AT179)),IFERROR(AT257/AT179,""),"")</f>
        <v>0.318234157575284</v>
      </c>
      <c r="AU263" s="215">
        <f>IF(AND(ISNUMBER(AU257),ISNUMBER(AU179)),IFERROR(AU257/AU179,""),"")</f>
        <v>0.770928313158308</v>
      </c>
      <c r="AV263" s="215">
        <f>IF(AND(ISNUMBER(AV257),ISNUMBER(AV179)),IFERROR(AV257/AV179,""),"")</f>
        <v>0.616389189957534</v>
      </c>
      <c r="AW263" s="215">
        <f>IF(AND(ISNUMBER(AW257),ISNUMBER(AW179)),IFERROR(AW257/AW179,""),"")</f>
        <v>0.565548226746965</v>
      </c>
      <c r="AX263" s="215">
        <f>IF(AND(ISNUMBER(AX257),ISNUMBER(AX179)),IFERROR(AX257/AX179,""),"")</f>
        <v>1.01638220577147</v>
      </c>
      <c r="AY263" s="215">
        <f>IF(AND(ISNUMBER(AY257),ISNUMBER(AY179)),IFERROR(AY257/AY179,""),"")</f>
        <v>0.550855436904352</v>
      </c>
      <c r="AZ263" s="215">
        <f>IF(AND(ISNUMBER(AZ257),ISNUMBER(AZ179)),IFERROR(AZ257/AZ179,""),"")</f>
        <v>0.811668372569089</v>
      </c>
      <c r="BA263" s="215">
        <f>IF(AND(ISNUMBER(BA257),ISNUMBER(BA179)),IFERROR(BA257/BA179,""),"")</f>
        <v>0.847415539436712</v>
      </c>
      <c r="BB263" s="215">
        <f>IF(AND(ISNUMBER(BB257),ISNUMBER(BB179)),IFERROR(BB257/BB179,""),"")</f>
        <v>0.807328340650197</v>
      </c>
      <c r="BC263" s="215">
        <f>IF(AND(ISNUMBER(BC257),ISNUMBER(BC179)),IFERROR(BC257/BC179,""),"")</f>
        <v>1.10299575821845</v>
      </c>
      <c r="BD263" s="215">
        <f>IF(AND(ISNUMBER(BD257),ISNUMBER(BD179)),IFERROR(BD257/BD179,""),"")</f>
        <v>0.807407733638686</v>
      </c>
      <c r="BE263" s="215">
        <f>IF(AND(ISNUMBER(BE257),ISNUMBER(BE179)),IFERROR(BE257/BE179,""),"")</f>
        <v>0.351408549404345</v>
      </c>
      <c r="BF263" s="215">
        <f>IF(AND(ISNUMBER(BF257),ISNUMBER(BF179)),IFERROR(BF257/BF179,""),"")</f>
        <v>0.37215871009747</v>
      </c>
      <c r="BG263" s="215">
        <f>IF(AND(ISNUMBER(BG257),ISNUMBER(BG179)),IFERROR(BG257/BG179,""),"")</f>
        <v>0.564923367909092</v>
      </c>
      <c r="BH263" s="215">
        <f>IF(AND(ISNUMBER(BH257),ISNUMBER(BH179)),IFERROR(BH257/BH179,""),"")</f>
        <v>0.508131615004269</v>
      </c>
      <c r="BI263" s="215">
        <f>IF(AND(ISNUMBER(BI257),ISNUMBER(BI179)),IFERROR(BI257/BI179,""),"")</f>
        <v>0.129836945532087</v>
      </c>
      <c r="BJ263" s="215">
        <f>IF(AND(ISNUMBER(BJ257),ISNUMBER(BJ179)),IFERROR(BJ257/BJ179,""),"")</f>
        <v>0.526623150228558</v>
      </c>
      <c r="BK263" s="215">
        <f>IF(AND(ISNUMBER(BK257),ISNUMBER(BK179)),IFERROR(BK257/BK179,""),"")</f>
        <v>0.486206583540324</v>
      </c>
      <c r="BL263" s="215">
        <f>IF(AND(ISNUMBER(BL257),ISNUMBER(BL179)),IFERROR(BL257/BL179,""),"")</f>
        <v>0.411549185427564</v>
      </c>
      <c r="BM263" s="215">
        <f>IF(AND(ISNUMBER(BM257),ISNUMBER(BM179)),IFERROR(BM257/BM179,""),"")</f>
        <v>0.456795455300488</v>
      </c>
      <c r="BN263" s="215">
        <f>IF(AND(ISNUMBER(BN257),ISNUMBER(BN179)),IFERROR(BN257/BN179,""),"")</f>
        <v>0.373498021934818</v>
      </c>
      <c r="BO263" s="215">
        <f>IF(AND(ISNUMBER(BO257),ISNUMBER(BO179)),IFERROR(BO257/BO179,""),"")</f>
        <v>0.647080834907684</v>
      </c>
      <c r="BP263" s="215">
        <f>IF(AND(ISNUMBER(BP257),ISNUMBER(BP179)),IFERROR(BP257/BP179,""),"")</f>
        <v>0.538068334678504</v>
      </c>
      <c r="BQ263" s="215">
        <f>IF(AND(ISNUMBER(BQ257),ISNUMBER(BQ179)),IFERROR(BQ257/BQ179,""),"")</f>
        <v>0.500863808597436</v>
      </c>
      <c r="BR263" s="215">
        <f>IF(AND(ISNUMBER(BR257),ISNUMBER(BR179)),IFERROR(BR257/BR179,""),"")</f>
        <v>0.659701492537314</v>
      </c>
      <c r="BS263" s="215">
        <f>IF(AND(ISNUMBER(BS257),ISNUMBER(BS179)),IFERROR(BS257/BS179,""),"")</f>
        <v>0.217179902755267</v>
      </c>
      <c r="BT263" s="215">
        <f>IF(AND(ISNUMBER(BT257),ISNUMBER(BT179)),IFERROR(BT257/BT179,""),"")</f>
        <v>0.600326264274062</v>
      </c>
      <c r="BU263" s="215">
        <f>IF(AND(ISNUMBER(BU257),ISNUMBER(BU179)),IFERROR(BU257/BU179,""),"")</f>
        <v>0.393419170243205</v>
      </c>
      <c r="BV263" s="215">
        <f>IF(AND(ISNUMBER(BV257),ISNUMBER(BV179)),IFERROR(BV257/BV179,""),"")</f>
        <v>0.469026548672566</v>
      </c>
      <c r="BW263" s="215">
        <f>IF(AND(ISNUMBER(BW257),ISNUMBER(BW179)),IFERROR(BW257/BW179,""),"")</f>
        <v>0.737102473498233</v>
      </c>
      <c r="BX263" s="215">
        <f>IF(AND(ISNUMBER(BX257),ISNUMBER(BX179)),IFERROR(BX257/BX179,""),"")</f>
        <v>0.493461803165864</v>
      </c>
      <c r="BY263" s="215">
        <f>IF(AND(ISNUMBER(BY257),ISNUMBER(BY179)),IFERROR(BY257/BY179,""),"")</f>
        <v>0.662433155080214</v>
      </c>
      <c r="BZ263" s="215">
        <f>IF(AND(ISNUMBER(BZ257),ISNUMBER(BZ179)),IFERROR(BZ257/BZ179,""),"")</f>
        <v>0.399644760213144</v>
      </c>
      <c r="CA263" s="215">
        <f>IF(AND(ISNUMBER(CA257),ISNUMBER(CA179)),IFERROR(CA257/CA179,""),"")</f>
        <v>0.566000330414671</v>
      </c>
      <c r="CB263" s="215">
        <f>IF(AND(ISNUMBER(CB257),ISNUMBER(CB179)),IFERROR(CB257/CB179,""),"")</f>
        <v>0.810706401766005</v>
      </c>
      <c r="CC263" s="24" t="n"/>
      <c r="CD263" s="24" t="n"/>
      <c r="CE263" s="24" t="n"/>
      <c r="CF263" s="256">
        <f>IF(AND(ISNUMBER(CF257),ISNUMBER(CF179)),IFERROR(CF257/CF179,""),"")</f>
        <v>0.525603182223773</v>
      </c>
      <c r="CG263" s="256">
        <f>IF(AND(ISNUMBER(CG257),ISNUMBER(CG179)),IFERROR(CG257/CG179,""),"")</f>
        <v>0.583686405646775</v>
      </c>
      <c r="CH263" s="256">
        <f>IF(AND(ISNUMBER(CH257),ISNUMBER(CH179)),IFERROR(CH257/CH179,""),"")</f>
        <v>0.572708059211742</v>
      </c>
      <c r="CI263" s="256">
        <f>IF(AND(ISNUMBER(CI257),ISNUMBER(CI179)),IFERROR(CI257/CI179,""),"")</f>
        <v>0.59200335631337</v>
      </c>
      <c r="CJ263" s="256">
        <f>IF(AND(ISNUMBER(CJ257),ISNUMBER(CJ179)),IFERROR(CJ257/CJ179,""),"")</f>
        <v>0.590452993275227</v>
      </c>
      <c r="CK263" s="256">
        <f>IF(AND(ISNUMBER(CK257),ISNUMBER(CK179)),IFERROR(CK257/CK179,""),"")</f>
        <v>0.589417515888291</v>
      </c>
      <c r="CL263" s="153" t="n"/>
      <c r="CN263" s="37">
        <f>IFERROR(AVERAGE(CG263,CH263,CI263,CJ263,CK263),"n/m")</f>
        <v>0.585653666067081</v>
      </c>
      <c r="CO263" s="37">
        <f>IFERROR(AVERAGE(BG263,BL263,BQ263,BV263,CA263),"n/m")</f>
        <v>0.502472648204266</v>
      </c>
      <c r="CP263" s="37">
        <f>IFERROR(AVERAGE(AH263,AM263,AR263,AW263,BB263,BG263,BL263,BQ263,BV263,CA263),"n/m")</f>
        <v>0.530368475218117</v>
      </c>
      <c r="CQ263" s="37">
        <f>IFERROR(AVERAGE(C263,D263,E263,F263,G263,H263,I263,N263,S263,X263,AC263,AH263,AM263,AR263,AW263,BB263,BG263,BL263,BQ263,BV263,CA263),"n/m")</f>
        <v>0.433988680522382</v>
      </c>
    </row>
    <row r="264" ht="15" customHeight="1" s="251">
      <c r="B264" s="25" t="inlineStr">
        <is>
          <t>Capex ratios</t>
        </is>
      </c>
      <c r="CL264" s="153" t="n"/>
    </row>
    <row r="265" ht="15" customHeight="1" s="251">
      <c r="B265" s="25" t="inlineStr">
        <is>
          <t xml:space="preserve">  Capex % of net sales</t>
        </is>
      </c>
      <c r="C265" s="215">
        <f>IF(ISNUMBER(C240),IFERROR(-C240/C108,""),"")</f>
        <v>0.0376708960361955</v>
      </c>
      <c r="D265" s="215">
        <f>IF(ISNUMBER(D240),IFERROR(-D240/D108,""),"")</f>
        <v>0.0528455018917736</v>
      </c>
      <c r="E265" s="215">
        <f>IF(ISNUMBER(E240),IFERROR(-E240/E108,""),"")</f>
        <v>0.0537144585601936</v>
      </c>
      <c r="F265" s="215">
        <f>IF(ISNUMBER(F240),IFERROR(-F240/F108,""),"")</f>
        <v>0.0775247613801167</v>
      </c>
      <c r="G265" s="215">
        <f>IF(ISNUMBER(G240),IFERROR(-G240/G108,""),"")</f>
        <v>0.0360608950790311</v>
      </c>
      <c r="H265" s="215">
        <f>IF(ISNUMBER(H240),IFERROR(-H240/H108,""),"")</f>
        <v>0.0311061452513967</v>
      </c>
      <c r="I265" s="215">
        <f>IF(ISNUMBER(I240),IFERROR(-I240/I108,""),"")</f>
        <v>0.0448817768564895</v>
      </c>
      <c r="J265" s="215">
        <f>IF(ISNUMBER(J240),IFERROR(-J240/J108,""),"")</f>
        <v>0.0586157508661234</v>
      </c>
      <c r="K265" s="215">
        <f>IF(ISNUMBER(K240),IFERROR(-K240/K108,""),"")</f>
        <v>0.0552428393524284</v>
      </c>
      <c r="L265" s="215">
        <f>IF(ISNUMBER(L240),IFERROR(-L240/L108,""),"")</f>
        <v>0.199323202125893</v>
      </c>
      <c r="M265" s="215">
        <f>IF(ISNUMBER(M240),IFERROR(-M240/M108,""),"")</f>
        <v>0.108857736442537</v>
      </c>
      <c r="N265" s="215">
        <f>IF(ISNUMBER(N240),IFERROR(-N240/N108,""),"")</f>
        <v>0.104247353312608</v>
      </c>
      <c r="O265" s="215">
        <f>IF(ISNUMBER(O240),IFERROR(-O240/O108,""),"")</f>
        <v>0.0565025129543772</v>
      </c>
      <c r="P265" s="215">
        <f>IF(ISNUMBER(P240),IFERROR(-P240/P108,""),"")</f>
        <v>0.0862251603664398</v>
      </c>
      <c r="Q265" s="215">
        <f>IF(ISNUMBER(Q240),IFERROR(-Q240/Q108,""),"")</f>
        <v>0.0798639428719193</v>
      </c>
      <c r="R265" s="215">
        <f>IF(ISNUMBER(R240),IFERROR(-R240/R108,""),"")</f>
        <v>0.0553826131307269</v>
      </c>
      <c r="S265" s="215">
        <f>IF(ISNUMBER(S240),IFERROR(-S240/S108,""),"")</f>
        <v>0.0690402639381598</v>
      </c>
      <c r="T265" s="215">
        <f>IF(ISNUMBER(T240),IFERROR(-T240/T108,""),"")</f>
        <v>0.0308716278411102</v>
      </c>
      <c r="U265" s="215">
        <f>IF(ISNUMBER(U240),IFERROR(-U240/U108,""),"")</f>
        <v>0.0708098263071387</v>
      </c>
      <c r="V265" s="215">
        <f>IF(ISNUMBER(V240),IFERROR(-V240/V108,""),"")</f>
        <v>0.0414965858430052</v>
      </c>
      <c r="W265" s="215">
        <f>IF(ISNUMBER(W240),IFERROR(-W240/W108,""),"")</f>
        <v>0.0443231614308261</v>
      </c>
      <c r="X265" s="215">
        <f>IF(ISNUMBER(X240),IFERROR(-X240/X108,""),"")</f>
        <v>0.046930232349229</v>
      </c>
      <c r="Y265" s="215">
        <f>IF(ISNUMBER(Y240),IFERROR(-Y240/Y108,""),"")</f>
        <v>0.0370323523624814</v>
      </c>
      <c r="Z265" s="215">
        <f>IF(ISNUMBER(Z240),IFERROR(-Z240/Z108,""),"")</f>
        <v>0.0304581158874482</v>
      </c>
      <c r="AA265" s="215">
        <f>IF(ISNUMBER(AA240),IFERROR(-AA240/AA108,""),"")</f>
        <v>0.0335330337826593</v>
      </c>
      <c r="AB265" s="215">
        <f>IF(ISNUMBER(AB240),IFERROR(-AB240/AB108,""),"")</f>
        <v>0.0383908981091142</v>
      </c>
      <c r="AC265" s="215">
        <f>IF(ISNUMBER(AC240),IFERROR(-AC240/AC108,""),"")</f>
        <v>0.0349204648920786</v>
      </c>
      <c r="AD265" s="215">
        <f>IF(ISNUMBER(AD240),IFERROR(-AD240/AD108,""),"")</f>
        <v>0.0334198047600256</v>
      </c>
      <c r="AE265" s="215">
        <f>IF(ISNUMBER(AE240),IFERROR(-AE240/AE108,""),"")</f>
        <v>0.0289392827215268</v>
      </c>
      <c r="AF265" s="215">
        <f>IF(ISNUMBER(AF240),IFERROR(-AF240/AF108,""),"")</f>
        <v>0.0326887409993454</v>
      </c>
      <c r="AG265" s="215">
        <f>IF(ISNUMBER(AG240),IFERROR(-AG240/AG108,""),"")</f>
        <v>0.0404406716185007</v>
      </c>
      <c r="AH265" s="215">
        <f>IF(ISNUMBER(AH240),IFERROR(-AH240/AH108,""),"")</f>
        <v>0.0339525632609021</v>
      </c>
      <c r="AI265" s="215">
        <f>IF(ISNUMBER(AI240),IFERROR(-AI240/AI108,""),"")</f>
        <v>0.0345277826927888</v>
      </c>
      <c r="AJ265" s="215">
        <f>IF(ISNUMBER(AJ240),IFERROR(-AJ240/AJ108,""),"")</f>
        <v>0.0426492694000012</v>
      </c>
      <c r="AK265" s="215">
        <f>IF(ISNUMBER(AK240),IFERROR(-AK240/AK108,""),"")</f>
        <v>0.0471958191995589</v>
      </c>
      <c r="AL265" s="215">
        <f>IF(ISNUMBER(AL240),IFERROR(-AL240/AL108,""),"")</f>
        <v>0.0413282409646592</v>
      </c>
      <c r="AM265" s="215">
        <f>IF(ISNUMBER(AM240),IFERROR(-AM240/AM108,""),"")</f>
        <v>0.0414490576325026</v>
      </c>
      <c r="AN265" s="215">
        <f>IF(ISNUMBER(AN240),IFERROR(-AN240/AN108,""),"")</f>
        <v>0.0397363411654402</v>
      </c>
      <c r="AO265" s="215">
        <f>IF(ISNUMBER(AO240),IFERROR(-AO240/AO108,""),"")</f>
        <v>0.0621862638506558</v>
      </c>
      <c r="AP265" s="215">
        <f>IF(ISNUMBER(AP240),IFERROR(-AP240/AP108,""),"")</f>
        <v>0.0668346427300776</v>
      </c>
      <c r="AQ265" s="215">
        <f>IF(ISNUMBER(AQ240),IFERROR(-AQ240/AQ108,""),"")</f>
        <v>0.0666494658600586</v>
      </c>
      <c r="AR265" s="215">
        <f>IF(ISNUMBER(AR240),IFERROR(-AR240/AR108,""),"")</f>
        <v>0.0588541755632612</v>
      </c>
      <c r="AS265" s="215">
        <f>IF(ISNUMBER(AS240),IFERROR(-AS240/AS108,""),"")</f>
        <v>0.0659039903661941</v>
      </c>
      <c r="AT265" s="215">
        <f>IF(ISNUMBER(AT240),IFERROR(-AT240/AT108,""),"")</f>
        <v>0.0449455496979259</v>
      </c>
      <c r="AU265" s="215">
        <f>IF(ISNUMBER(AU240),IFERROR(-AU240/AU108,""),"")</f>
        <v>0.0414983702314441</v>
      </c>
      <c r="AV265" s="215">
        <f>IF(ISNUMBER(AV240),IFERROR(-AV240/AV108,""),"")</f>
        <v>0.0523829253724918</v>
      </c>
      <c r="AW265" s="215">
        <f>IF(ISNUMBER(AW240),IFERROR(-AW240/AW108,""),"")</f>
        <v>0.0512701024522277</v>
      </c>
      <c r="AX265" s="215">
        <f>IF(ISNUMBER(AX240),IFERROR(-AX240/AX108,""),"")</f>
        <v>0.0247614909293067</v>
      </c>
      <c r="AY265" s="215">
        <f>IF(ISNUMBER(AY240),IFERROR(-AY240/AY108,""),"")</f>
        <v>0.0145761437796836</v>
      </c>
      <c r="AZ265" s="215">
        <f>IF(ISNUMBER(AZ240),IFERROR(-AZ240/AZ108,""),"")</f>
        <v>0.0192032140188261</v>
      </c>
      <c r="BA265" s="215">
        <f>IF(ISNUMBER(BA240),IFERROR(-BA240/BA108,""),"")</f>
        <v>0.0184846688917309</v>
      </c>
      <c r="BB265" s="215">
        <f>IF(ISNUMBER(BB240),IFERROR(-BB240/BB108,""),"")</f>
        <v>0.0193305571246535</v>
      </c>
      <c r="BC265" s="215">
        <f>IF(ISNUMBER(BC240),IFERROR(-BC240/BC108,""),"")</f>
        <v>0.0215550078422586</v>
      </c>
      <c r="BD265" s="215">
        <f>IF(ISNUMBER(BD240),IFERROR(-BD240/BD108,""),"")</f>
        <v>0.0218458669981355</v>
      </c>
      <c r="BE265" s="215">
        <f>IF(ISNUMBER(BE240),IFERROR(-BE240/BE108,""),"")</f>
        <v>0.0557364030372388</v>
      </c>
      <c r="BF265" s="215">
        <f>IF(ISNUMBER(BF240),IFERROR(-BF240/BF108,""),"")</f>
        <v>0.0222860629905901</v>
      </c>
      <c r="BG265" s="215">
        <f>IF(ISNUMBER(BG240),IFERROR(-BG240/BG108,""),"")</f>
        <v>0.0315599027294506</v>
      </c>
      <c r="BH265" s="215">
        <f>IF(ISNUMBER(BH240),IFERROR(-BH240/BH108,""),"")</f>
        <v>0.0221899005874379</v>
      </c>
      <c r="BI265" s="215">
        <f>IF(ISNUMBER(BI240),IFERROR(-BI240/BI108,""),"")</f>
        <v>0.0412252449433454</v>
      </c>
      <c r="BJ265" s="215">
        <f>IF(ISNUMBER(BJ240),IFERROR(-BJ240/BJ108,""),"")</f>
        <v>0.0184884464984003</v>
      </c>
      <c r="BK265" s="215">
        <f>IF(ISNUMBER(BK240),IFERROR(-BK240/BK108,""),"")</f>
        <v>0.031496721785296</v>
      </c>
      <c r="BL265" s="215">
        <f>IF(ISNUMBER(BL240),IFERROR(-BL240/BL108,""),"")</f>
        <v>0.028585040495474</v>
      </c>
      <c r="BM265" s="215">
        <f>IF(ISNUMBER(BM240),IFERROR(-BM240/BM108,""),"")</f>
        <v>0.0173072054804429</v>
      </c>
      <c r="BN265" s="215">
        <f>IF(ISNUMBER(BN240),IFERROR(-BN240/BN108,""),"")</f>
        <v>0.0194516199309078</v>
      </c>
      <c r="BO265" s="215">
        <f>IF(ISNUMBER(BO240),IFERROR(-BO240/BO108,""),"")</f>
        <v>0.0254074553497403</v>
      </c>
      <c r="BP265" s="215">
        <f>IF(ISNUMBER(BP240),IFERROR(-BP240/BP108,""),"")</f>
        <v>0.0229646103268227</v>
      </c>
      <c r="BQ265" s="215">
        <f>IF(ISNUMBER(BQ240),IFERROR(-BQ240/BQ108,""),"")</f>
        <v>0.0212779593667884</v>
      </c>
      <c r="BR265" s="215">
        <f>IF(ISNUMBER(BR240),IFERROR(-BR240/BR108,""),"")</f>
        <v>0.0221511198621708</v>
      </c>
      <c r="BS265" s="215">
        <f>IF(ISNUMBER(BS240),IFERROR(-BS240/BS108,""),"")</f>
        <v>0.0407137471726564</v>
      </c>
      <c r="BT265" s="215">
        <f>IF(ISNUMBER(BT240),IFERROR(-BT240/BT108,""),"")</f>
        <v>0.026369168356998</v>
      </c>
      <c r="BU265" s="215">
        <f>IF(ISNUMBER(BU240),IFERROR(-BU240/BU108,""),"")</f>
        <v>0.0324423120859036</v>
      </c>
      <c r="BV265" s="215">
        <f>IF(ISNUMBER(BV240),IFERROR(-BV240/BV108,""),"")</f>
        <v>0.0304345168978794</v>
      </c>
      <c r="BW265" s="215">
        <f>IF(ISNUMBER(BW240),IFERROR(-BW240/BW108,""),"")</f>
        <v>0.0360091743119266</v>
      </c>
      <c r="BX265" s="215">
        <f>IF(ISNUMBER(BX240),IFERROR(-BX240/BX108,""),"")</f>
        <v>0.0366791126729629</v>
      </c>
      <c r="BY265" s="215">
        <f>IF(ISNUMBER(BY240),IFERROR(-BY240/BY108,""),"")</f>
        <v>0.0498266897746967</v>
      </c>
      <c r="BZ265" s="215">
        <f>IF(ISNUMBER(BZ240),IFERROR(-BZ240/BZ108,""),"")</f>
        <v>0.0341698841698842</v>
      </c>
      <c r="CA265" s="215">
        <f>IF(ISNUMBER(CA240),IFERROR(-CA240/CA108,""),"")</f>
        <v>0.0390721043348121</v>
      </c>
      <c r="CB265" s="215">
        <f>IF(ISNUMBER(CB240),IFERROR(-CB240/CB108,""),"")</f>
        <v>0.0479307025986526</v>
      </c>
      <c r="CC265" s="24" t="n"/>
      <c r="CD265" s="24" t="n"/>
      <c r="CE265" s="24" t="n"/>
      <c r="CF265" s="256">
        <f>IF(ISNUMBER(CF240),IFERROR(-CF240/CF108,""),"")</f>
        <v>0.0457058034786989</v>
      </c>
      <c r="CG265" s="267" t="n">
        <v>0.04</v>
      </c>
      <c r="CH265" s="267" t="n">
        <v>0.038</v>
      </c>
      <c r="CI265" s="267" t="n">
        <v>0.035</v>
      </c>
      <c r="CJ265" s="267" t="n">
        <v>0.035</v>
      </c>
      <c r="CK265" s="267" t="n">
        <v>0.035</v>
      </c>
      <c r="CL265" s="153" t="inlineStr">
        <is>
          <t>FY2028E+ input: FY2022–26 3.0–3.9% of sales; FY27 capacity additions (defense, Poland).</t>
        </is>
      </c>
      <c r="CN265" s="37">
        <f>IFERROR(AVERAGE(CG265,CH265,CI265,CJ265,CK265),"n/m")</f>
        <v>0.0366</v>
      </c>
      <c r="CO265" s="37">
        <f>IFERROR(AVERAGE(BG265,BL265,BQ265,BV265,CA265),"n/m")</f>
        <v>0.0301859047648809</v>
      </c>
      <c r="CP265" s="37">
        <f>IFERROR(AVERAGE(AH265,AM265,AR265,AW265,BB265,BG265,BL265,BQ265,BV265,CA265),"n/m")</f>
        <v>0.0355785979857952</v>
      </c>
      <c r="CQ265" s="37">
        <f>IFERROR(AVERAGE(C265,D265,E265,F265,G265,H265,I265,N265,S265,X265,AC265,AH265,AM265,AR265,AW265,BB265,BG265,BL265,BQ265,BV265,CA265),"n/m")</f>
        <v>0.0449870823526297</v>
      </c>
    </row>
    <row r="266" ht="15" customHeight="1" s="251">
      <c r="B266" s="25" t="inlineStr">
        <is>
          <t xml:space="preserve">  Capex / D&amp;A excl. M&amp;A amortization (x)</t>
        </is>
      </c>
      <c r="C266" s="284">
        <f>IF(AND(ISNUMBER(C240),ISNUMBER(C89)),IFERROR(-C240/C89,""),"")</f>
      </c>
      <c r="D266" s="284">
        <f>IF(AND(ISNUMBER(D240),ISNUMBER(D89)),IFERROR(-D240/D89,""),"")</f>
      </c>
      <c r="E266" s="284">
        <f>IF(AND(ISNUMBER(E240),ISNUMBER(E89)),IFERROR(-E240/E89,""),"")</f>
      </c>
      <c r="F266" s="284">
        <f>IF(AND(ISNUMBER(F240),ISNUMBER(F89)),IFERROR(-F240/F89,""),"")</f>
      </c>
      <c r="G266" s="284">
        <f>IF(AND(ISNUMBER(G240),ISNUMBER(G89)),IFERROR(-G240/G89,""),"")</f>
      </c>
      <c r="H266" s="284">
        <f>IF(AND(ISNUMBER(H240),ISNUMBER(H89)),IFERROR(-H240/H89,""),"")</f>
      </c>
      <c r="I266" s="284">
        <f>IF(AND(ISNUMBER(I240),ISNUMBER(I89)),IFERROR(-I240/I89,""),"")</f>
      </c>
      <c r="J266" s="284">
        <f>IF(AND(ISNUMBER(J240),ISNUMBER(J89)),IFERROR(-J240/J89,""),"")</f>
      </c>
      <c r="K266" s="284">
        <f>IF(AND(ISNUMBER(K240),ISNUMBER(K89)),IFERROR(-K240/K89,""),"")</f>
      </c>
      <c r="L266" s="284">
        <f>IF(AND(ISNUMBER(L240),ISNUMBER(L89)),IFERROR(-L240/L89,""),"")</f>
      </c>
      <c r="M266" s="284">
        <f>IF(AND(ISNUMBER(M240),ISNUMBER(M89)),IFERROR(-M240/M89,""),"")</f>
      </c>
      <c r="N266" s="284">
        <f>IF(AND(ISNUMBER(N240),ISNUMBER(N89)),IFERROR(-N240/N89,""),"")</f>
      </c>
      <c r="O266" s="284">
        <f>IF(AND(ISNUMBER(O240),ISNUMBER(O89)),IFERROR(-O240/O89,""),"")</f>
      </c>
      <c r="P266" s="284">
        <f>IF(AND(ISNUMBER(P240),ISNUMBER(P89)),IFERROR(-P240/P89,""),"")</f>
      </c>
      <c r="Q266" s="284">
        <f>IF(AND(ISNUMBER(Q240),ISNUMBER(Q89)),IFERROR(-Q240/Q89,""),"")</f>
      </c>
      <c r="R266" s="284">
        <f>IF(AND(ISNUMBER(R240),ISNUMBER(R89)),IFERROR(-R240/R89,""),"")</f>
      </c>
      <c r="S266" s="284">
        <f>IF(AND(ISNUMBER(S240),ISNUMBER(S89)),IFERROR(-S240/S89,""),"")</f>
      </c>
      <c r="T266" s="284">
        <f>IF(AND(ISNUMBER(T240),ISNUMBER(T89)),IFERROR(-T240/T89,""),"")</f>
      </c>
      <c r="U266" s="284">
        <f>IF(AND(ISNUMBER(U240),ISNUMBER(U89)),IFERROR(-U240/U89,""),"")</f>
      </c>
      <c r="V266" s="284">
        <f>IF(AND(ISNUMBER(V240),ISNUMBER(V89)),IFERROR(-V240/V89,""),"")</f>
      </c>
      <c r="W266" s="284">
        <f>IF(AND(ISNUMBER(W240),ISNUMBER(W89)),IFERROR(-W240/W89,""),"")</f>
      </c>
      <c r="X266" s="284">
        <f>IF(AND(ISNUMBER(X240),ISNUMBER(X89)),IFERROR(-X240/X89,""),"")</f>
      </c>
      <c r="Y266" s="284">
        <f>IF(AND(ISNUMBER(Y240),ISNUMBER(Y89)),IFERROR(-Y240/Y89,""),"")</f>
      </c>
      <c r="Z266" s="284">
        <f>IF(AND(ISNUMBER(Z240),ISNUMBER(Z89)),IFERROR(-Z240/Z89,""),"")</f>
      </c>
      <c r="AA266" s="284">
        <f>IF(AND(ISNUMBER(AA240),ISNUMBER(AA89)),IFERROR(-AA240/AA89,""),"")</f>
      </c>
      <c r="AB266" s="284">
        <f>IF(AND(ISNUMBER(AB240),ISNUMBER(AB89)),IFERROR(-AB240/AB89,""),"")</f>
      </c>
      <c r="AC266" s="284">
        <f>IF(AND(ISNUMBER(AC240),ISNUMBER(AC89)),IFERROR(-AC240/AC89,""),"")</f>
      </c>
      <c r="AD266" s="284">
        <f>IF(AND(ISNUMBER(AD240),ISNUMBER(AD89)),IFERROR(-AD240/AD89,""),"")</f>
      </c>
      <c r="AE266" s="284">
        <f>IF(AND(ISNUMBER(AE240),ISNUMBER(AE89)),IFERROR(-AE240/AE89,""),"")</f>
      </c>
      <c r="AF266" s="284">
        <f>IF(AND(ISNUMBER(AF240),ISNUMBER(AF89)),IFERROR(-AF240/AF89,""),"")</f>
      </c>
      <c r="AG266" s="284">
        <f>IF(AND(ISNUMBER(AG240),ISNUMBER(AG89)),IFERROR(-AG240/AG89,""),"")</f>
      </c>
      <c r="AH266" s="284">
        <f>IF(AND(ISNUMBER(AH240),ISNUMBER(AH89)),IFERROR(-AH240/AH89,""),"")</f>
      </c>
      <c r="AI266" s="284">
        <f>IF(AND(ISNUMBER(AI240),ISNUMBER(AI89)),IFERROR(-AI240/AI89,""),"")</f>
      </c>
      <c r="AJ266" s="284">
        <f>IF(AND(ISNUMBER(AJ240),ISNUMBER(AJ89)),IFERROR(-AJ240/AJ89,""),"")</f>
      </c>
      <c r="AK266" s="284">
        <f>IF(AND(ISNUMBER(AK240),ISNUMBER(AK89)),IFERROR(-AK240/AK89,""),"")</f>
      </c>
      <c r="AL266" s="284">
        <f>IF(AND(ISNUMBER(AL240),ISNUMBER(AL89)),IFERROR(-AL240/AL89,""),"")</f>
      </c>
      <c r="AM266" s="284">
        <f>IF(AND(ISNUMBER(AM240),ISNUMBER(AM89)),IFERROR(-AM240/AM89,""),"")</f>
      </c>
      <c r="AN266" s="284">
        <f>IF(AND(ISNUMBER(AN240),ISNUMBER(AN89)),IFERROR(-AN240/AN89,""),"")</f>
      </c>
      <c r="AO266" s="284">
        <f>IF(AND(ISNUMBER(AO240),ISNUMBER(AO89)),IFERROR(-AO240/AO89,""),"")</f>
      </c>
      <c r="AP266" s="284">
        <f>IF(AND(ISNUMBER(AP240),ISNUMBER(AP89)),IFERROR(-AP240/AP89,""),"")</f>
      </c>
      <c r="AQ266" s="284">
        <f>IF(AND(ISNUMBER(AQ240),ISNUMBER(AQ89)),IFERROR(-AQ240/AQ89,""),"")</f>
      </c>
      <c r="AR266" s="284">
        <f>IF(AND(ISNUMBER(AR240),ISNUMBER(AR89)),IFERROR(-AR240/AR89,""),"")</f>
      </c>
      <c r="AS266" s="284">
        <f>IF(AND(ISNUMBER(AS240),ISNUMBER(AS89)),IFERROR(-AS240/AS89,""),"")</f>
      </c>
      <c r="AT266" s="284">
        <f>IF(AND(ISNUMBER(AT240),ISNUMBER(AT89)),IFERROR(-AT240/AT89,""),"")</f>
      </c>
      <c r="AU266" s="284">
        <f>IF(AND(ISNUMBER(AU240),ISNUMBER(AU89)),IFERROR(-AU240/AU89,""),"")</f>
      </c>
      <c r="AV266" s="284">
        <f>IF(AND(ISNUMBER(AV240),ISNUMBER(AV89)),IFERROR(-AV240/AV89,""),"")</f>
      </c>
      <c r="AW266" s="284">
        <f>IF(AND(ISNUMBER(AW240),ISNUMBER(AW89)),IFERROR(-AW240/AW89,""),"")</f>
      </c>
      <c r="AX266" s="284">
        <f>IF(AND(ISNUMBER(AX240),ISNUMBER(AX89)),IFERROR(-AX240/AX89,""),"")</f>
      </c>
      <c r="AY266" s="284">
        <f>IF(AND(ISNUMBER(AY240),ISNUMBER(AY89)),IFERROR(-AY240/AY89,""),"")</f>
      </c>
      <c r="AZ266" s="284">
        <f>IF(AND(ISNUMBER(AZ240),ISNUMBER(AZ89)),IFERROR(-AZ240/AZ89,""),"")</f>
      </c>
      <c r="BA266" s="284">
        <f>IF(AND(ISNUMBER(BA240),ISNUMBER(BA89)),IFERROR(-BA240/BA89,""),"")</f>
      </c>
      <c r="BB266" s="284">
        <f>IF(AND(ISNUMBER(BB240),ISNUMBER(BB89)),IFERROR(-BB240/BB89,""),"")</f>
      </c>
      <c r="BC266" s="284">
        <f>IF(AND(ISNUMBER(BC240),ISNUMBER(BC89)),IFERROR(-BC240/BC89,""),"")</f>
      </c>
      <c r="BD266" s="284">
        <f>IF(AND(ISNUMBER(BD240),ISNUMBER(BD89)),IFERROR(-BD240/BD89,""),"")</f>
      </c>
      <c r="BE266" s="284">
        <f>IF(AND(ISNUMBER(BE240),ISNUMBER(BE89)),IFERROR(-BE240/BE89,""),"")</f>
      </c>
      <c r="BF266" s="284">
        <f>IF(AND(ISNUMBER(BF240),ISNUMBER(BF89)),IFERROR(-BF240/BF89,""),"")</f>
      </c>
      <c r="BG266" s="284">
        <f>IF(AND(ISNUMBER(BG240),ISNUMBER(BG89)),IFERROR(-BG240/BG89,""),"")</f>
      </c>
      <c r="BH266" s="284">
        <f>IF(AND(ISNUMBER(BH240),ISNUMBER(BH89)),IFERROR(-BH240/BH89,""),"")</f>
      </c>
      <c r="BI266" s="284">
        <f>IF(AND(ISNUMBER(BI240),ISNUMBER(BI89)),IFERROR(-BI240/BI89,""),"")</f>
        <v>1.23923133295334</v>
      </c>
      <c r="BJ266" s="284">
        <f>IF(AND(ISNUMBER(BJ240),ISNUMBER(BJ89)),IFERROR(-BJ240/BJ89,""),"")</f>
        <v>0.521456645544237</v>
      </c>
      <c r="BK266" s="284">
        <f>IF(AND(ISNUMBER(BK240),ISNUMBER(BK89)),IFERROR(-BK240/BK89,""),"")</f>
        <v>0.933288257831868</v>
      </c>
      <c r="BL266" s="284">
        <f>IF(AND(ISNUMBER(BL240),ISNUMBER(BL89)),IFERROR(-BL240/BL89,""),"")</f>
        <v>0.835156094651024</v>
      </c>
      <c r="BM266" s="284">
        <f>IF(AND(ISNUMBER(BM240),ISNUMBER(BM89)),IFERROR(-BM240/BM89,""),"")</f>
        <v>0.498437732480286</v>
      </c>
      <c r="BN266" s="284">
        <f>IF(AND(ISNUMBER(BN240),ISNUMBER(BN89)),IFERROR(-BN240/BN89,""),"")</f>
        <v>0.549329817622501</v>
      </c>
      <c r="BO266" s="284">
        <f>IF(AND(ISNUMBER(BO240),ISNUMBER(BO89)),IFERROR(-BO240/BO89,""),"")</f>
        <v>0.707003051276327</v>
      </c>
      <c r="BP266" s="284">
        <f>IF(AND(ISNUMBER(BP240),ISNUMBER(BP89)),IFERROR(-BP240/BP89,""),"")</f>
        <v>0.714769392822211</v>
      </c>
      <c r="BQ266" s="284">
        <f>IF(AND(ISNUMBER(BQ240),ISNUMBER(BQ89)),IFERROR(-BQ240/BQ89,""),"")</f>
        <v>0.616836668338814</v>
      </c>
      <c r="BR266" s="284">
        <f>IF(AND(ISNUMBER(BR240),ISNUMBER(BR89)),IFERROR(-BR240/BR89,""),"")</f>
        <v>0.661764705882353</v>
      </c>
      <c r="BS266" s="284">
        <f>IF(AND(ISNUMBER(BS240),ISNUMBER(BS89)),IFERROR(-BS240/BS89,""),"")</f>
        <v>1.17391304347826</v>
      </c>
      <c r="BT266" s="284">
        <f>IF(AND(ISNUMBER(BT240),ISNUMBER(BT89)),IFERROR(-BT240/BT89,""),"")</f>
        <v>0.781954887218045</v>
      </c>
      <c r="BU266" s="284">
        <f>IF(AND(ISNUMBER(BU240),ISNUMBER(BU89)),IFERROR(-BU240/BU89,""),"")</f>
        <v>1.03649635036496</v>
      </c>
      <c r="BV266" s="284">
        <f>IF(AND(ISNUMBER(BV240),ISNUMBER(BV89)),IFERROR(-BV240/BV89,""),"")</f>
        <v>0.915441176470588</v>
      </c>
      <c r="BW266" s="284">
        <f>IF(AND(ISNUMBER(BW240),ISNUMBER(BW89)),IFERROR(-BW240/BW89,""),"")</f>
        <v>1.17164179104478</v>
      </c>
      <c r="BX266" s="284">
        <f>IF(AND(ISNUMBER(BX240),ISNUMBER(BX89)),IFERROR(-BX240/BX89,""),"")</f>
        <v>1.14383561643836</v>
      </c>
      <c r="BY266" s="284">
        <f>IF(AND(ISNUMBER(BY240),ISNUMBER(BY89)),IFERROR(-BY240/BY89,""),"")</f>
        <v>1.74242424242424</v>
      </c>
      <c r="BZ266" s="284">
        <f>IF(AND(ISNUMBER(BZ240),ISNUMBER(BZ89)),IFERROR(-BZ240/BZ89,""),"")</f>
        <v>1.27338129496403</v>
      </c>
      <c r="CA266" s="284">
        <f>IF(AND(ISNUMBER(CA240),ISNUMBER(CA89)),IFERROR(-CA240/CA89,""),"")</f>
        <v>1.32667876588022</v>
      </c>
      <c r="CB266" s="284">
        <f>IF(AND(ISNUMBER(CB240),ISNUMBER(CB89)),IFERROR(-CB240/CB89,""),"")</f>
        <v>1.80434782608696</v>
      </c>
      <c r="CC266" s="35" t="n"/>
      <c r="CD266" s="35" t="n"/>
      <c r="CE266" s="35" t="n"/>
      <c r="CF266" s="285">
        <f>IF(AND(ISNUMBER(CF240),ISNUMBER(CF89)),IFERROR(-CF240/CF89,""),"")</f>
        <v>1.72059165994088</v>
      </c>
      <c r="CG266" s="285">
        <f>IF(AND(ISNUMBER(CG240),ISNUMBER(CG89)),IFERROR(-CG240/CG89,""),"")</f>
        <v>1.42857142857143</v>
      </c>
      <c r="CH266" s="285">
        <f>IF(AND(ISNUMBER(CH240),ISNUMBER(CH89)),IFERROR(-CH240/CH89,""),"")</f>
        <v>1.35714285714286</v>
      </c>
      <c r="CI266" s="285">
        <f>IF(AND(ISNUMBER(CI240),ISNUMBER(CI89)),IFERROR(-CI240/CI89,""),"")</f>
        <v>1.25</v>
      </c>
      <c r="CJ266" s="285">
        <f>IF(AND(ISNUMBER(CJ240),ISNUMBER(CJ89)),IFERROR(-CJ240/CJ89,""),"")</f>
        <v>1.25</v>
      </c>
      <c r="CK266" s="285">
        <f>IF(AND(ISNUMBER(CK240),ISNUMBER(CK89)),IFERROR(-CK240/CK89,""),"")</f>
        <v>1.25</v>
      </c>
      <c r="CL266" s="19" t="n"/>
    </row>
    <row r="267" ht="15" customHeight="1" s="251">
      <c r="CT267" s="11" t="n"/>
      <c r="CU267" s="12" t="n"/>
      <c r="CV267" s="12" t="n"/>
      <c r="CW267" s="12" t="n"/>
      <c r="CX267" s="13" t="n"/>
    </row>
    <row r="268" ht="15" customHeight="1" s="251">
      <c r="B268" s="10" t="inlineStr">
        <is>
          <t>SHARE BUYBACK SCHEDULE</t>
        </is>
      </c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  <c r="AC268" s="10" t="n"/>
      <c r="AD268" s="10" t="n"/>
      <c r="AE268" s="10" t="n"/>
      <c r="AF268" s="10" t="n"/>
      <c r="AG268" s="10" t="n"/>
      <c r="AH268" s="10" t="n"/>
      <c r="AI268" s="10" t="n"/>
      <c r="AJ268" s="10" t="n"/>
      <c r="AK268" s="10" t="n"/>
      <c r="AL268" s="10" t="n"/>
      <c r="AM268" s="10" t="n"/>
      <c r="AN268" s="10" t="n"/>
      <c r="AO268" s="10" t="n"/>
      <c r="AP268" s="10" t="n"/>
      <c r="AQ268" s="10" t="n"/>
      <c r="AR268" s="10" t="n"/>
      <c r="AS268" s="10" t="n"/>
      <c r="AT268" s="10" t="n"/>
      <c r="AU268" s="10" t="n"/>
      <c r="AV268" s="10" t="n"/>
      <c r="AW268" s="10" t="n"/>
      <c r="AX268" s="10" t="n"/>
      <c r="AY268" s="10" t="n"/>
      <c r="AZ268" s="10" t="n"/>
      <c r="BA268" s="10" t="n"/>
      <c r="BB268" s="10" t="n"/>
      <c r="BC268" s="10" t="n"/>
      <c r="BD268" s="10" t="n"/>
      <c r="BE268" s="10" t="n"/>
      <c r="BF268" s="10" t="n"/>
      <c r="BG268" s="10" t="n"/>
      <c r="BH268" s="10" t="n"/>
      <c r="BI268" s="10" t="n"/>
      <c r="BJ268" s="10" t="n"/>
      <c r="BK268" s="10" t="n"/>
      <c r="BL268" s="10" t="n"/>
      <c r="BM268" s="10" t="n"/>
      <c r="BN268" s="10" t="n"/>
      <c r="BO268" s="10" t="n"/>
      <c r="BP268" s="10" t="n"/>
      <c r="BQ268" s="10" t="n"/>
      <c r="BR268" s="10" t="n"/>
      <c r="BS268" s="10" t="n"/>
      <c r="BT268" s="10" t="n"/>
      <c r="BU268" s="10" t="n"/>
      <c r="BV268" s="10" t="n"/>
      <c r="BW268" s="10" t="n"/>
      <c r="BX268" s="10" t="n"/>
      <c r="BY268" s="10" t="n"/>
      <c r="BZ268" s="10" t="n"/>
      <c r="CA268" s="10" t="n"/>
      <c r="CB268" s="10" t="n"/>
      <c r="CC268" s="10" t="n"/>
      <c r="CD268" s="10" t="n"/>
      <c r="CE268" s="10" t="n"/>
      <c r="CF268" s="10" t="n"/>
      <c r="CG268" s="10" t="n"/>
      <c r="CH268" s="10" t="n"/>
      <c r="CI268" s="10" t="n"/>
      <c r="CJ268" s="10" t="n"/>
      <c r="CK268" s="10" t="n"/>
      <c r="CL268" s="10" t="inlineStr">
        <is>
          <t>SHARES — FY2027E from shares outstanding at 27-Jun-2026; FY2028E+ buybacks via the leverage plug</t>
        </is>
      </c>
    </row>
    <row r="269" ht="15" customHeight="1" s="251">
      <c r="B269" s="25" t="inlineStr">
        <is>
          <t xml:space="preserve">  Avg buyback price ($)</t>
        </is>
      </c>
      <c r="C269" s="34" t="n"/>
      <c r="D269" s="34" t="n"/>
      <c r="E269" s="34" t="n"/>
      <c r="F269" s="34" t="n"/>
      <c r="G269" s="34" t="n"/>
      <c r="H269" s="34" t="n"/>
      <c r="I269" s="34" t="n"/>
      <c r="J269" s="34" t="n"/>
      <c r="K269" s="34" t="n"/>
      <c r="L269" s="34" t="n"/>
      <c r="M269" s="34" t="n"/>
      <c r="N269" s="34" t="n"/>
      <c r="O269" s="34" t="n"/>
      <c r="P269" s="34" t="n"/>
      <c r="Q269" s="34" t="n"/>
      <c r="R269" s="34" t="n"/>
      <c r="S269" s="34" t="n"/>
      <c r="T269" s="34" t="n"/>
      <c r="U269" s="34" t="n"/>
      <c r="V269" s="34" t="n"/>
      <c r="W269" s="34" t="n"/>
      <c r="X269" s="34" t="n"/>
      <c r="Y269" s="34" t="n"/>
      <c r="Z269" s="34" t="n"/>
      <c r="AA269" s="34" t="n"/>
      <c r="AB269" s="34" t="n"/>
      <c r="AC269" s="34" t="n"/>
      <c r="AD269" s="34" t="n"/>
      <c r="AE269" s="34" t="n"/>
      <c r="AF269" s="34" t="n"/>
      <c r="AG269" s="34" t="n"/>
      <c r="AH269" s="34" t="n"/>
      <c r="AI269" s="34" t="n"/>
      <c r="AJ269" s="34" t="n"/>
      <c r="AK269" s="34" t="n"/>
      <c r="AL269" s="34" t="n"/>
      <c r="AM269" s="34" t="n"/>
      <c r="AN269" s="34" t="n"/>
      <c r="AO269" s="34" t="n"/>
      <c r="AP269" s="34" t="n"/>
      <c r="AQ269" s="34" t="n"/>
      <c r="AR269" s="34" t="n"/>
      <c r="AS269" s="34" t="n"/>
      <c r="AT269" s="34" t="n"/>
      <c r="AU269" s="34" t="n"/>
      <c r="AV269" s="34" t="n"/>
      <c r="AW269" s="34" t="n"/>
      <c r="AX269" s="34" t="n"/>
      <c r="AY269" s="34" t="n"/>
      <c r="AZ269" s="34" t="n"/>
      <c r="BA269" s="34" t="n"/>
      <c r="BB269" s="34" t="n"/>
      <c r="BC269" s="34" t="n"/>
      <c r="BD269" s="34" t="n"/>
      <c r="BE269" s="34" t="n"/>
      <c r="BF269" s="34" t="n"/>
      <c r="BG269" s="34" t="n"/>
      <c r="BH269" s="34" t="n"/>
      <c r="BI269" s="34" t="n"/>
      <c r="BJ269" s="34" t="n"/>
      <c r="BK269" s="34" t="n"/>
      <c r="BL269" s="34" t="n"/>
      <c r="BM269" s="34" t="n"/>
      <c r="BN269" s="34" t="n"/>
      <c r="BO269" s="34" t="n"/>
      <c r="BP269" s="34" t="n"/>
      <c r="BQ269" s="34" t="n"/>
      <c r="BR269" s="34" t="n"/>
      <c r="BS269" s="34" t="n"/>
      <c r="BT269" s="34" t="n"/>
      <c r="BU269" s="34" t="n"/>
      <c r="BV269" s="34" t="n"/>
      <c r="BW269" s="34" t="n"/>
      <c r="BX269" s="34" t="n"/>
      <c r="BY269" s="34" t="n"/>
      <c r="BZ269" s="34" t="n"/>
      <c r="CA269" s="34" t="n"/>
      <c r="CB269" s="34" t="n"/>
      <c r="CC269" s="35" t="n"/>
      <c r="CD269" s="35" t="n"/>
      <c r="CE269" s="35" t="n"/>
      <c r="CF269" s="286">
        <f>CF393</f>
        <v>510</v>
      </c>
      <c r="CG269" s="286">
        <f>CF269*(1+CG336)</f>
        <v>550.8</v>
      </c>
      <c r="CH269" s="286">
        <f>CG269*(1+CH336)</f>
        <v>594.864</v>
      </c>
      <c r="CI269" s="286">
        <f>CH269*(1+CI336)</f>
        <v>642.45312</v>
      </c>
      <c r="CJ269" s="286">
        <f>CI269*(1+CJ336)</f>
        <v>693.8493696</v>
      </c>
      <c r="CK269" s="286">
        <f>CJ269*(1+CK336)</f>
        <v>749.357319168</v>
      </c>
      <c r="CL269" s="19" t="n"/>
    </row>
    <row r="270" ht="15" customHeight="1" s="251">
      <c r="B270" s="25" t="inlineStr">
        <is>
          <t xml:space="preserve">  Buyback cash deployed (USDm; open market, ex withholding)</t>
        </is>
      </c>
      <c r="C270" s="34" t="n"/>
      <c r="D270" s="34" t="n"/>
      <c r="E270" s="34" t="n"/>
      <c r="F270" s="34" t="n"/>
      <c r="G270" s="34" t="n"/>
      <c r="H270" s="34" t="n"/>
      <c r="I270" s="34" t="n"/>
      <c r="J270" s="34" t="n"/>
      <c r="K270" s="34" t="n"/>
      <c r="L270" s="34" t="n"/>
      <c r="M270" s="34" t="n"/>
      <c r="N270" s="34" t="n"/>
      <c r="O270" s="34" t="n"/>
      <c r="P270" s="34" t="n"/>
      <c r="Q270" s="34" t="n"/>
      <c r="R270" s="34" t="n"/>
      <c r="S270" s="34" t="n"/>
      <c r="T270" s="34" t="n"/>
      <c r="U270" s="34" t="n"/>
      <c r="V270" s="34" t="n"/>
      <c r="W270" s="34" t="n"/>
      <c r="X270" s="34" t="n"/>
      <c r="Y270" s="34" t="n"/>
      <c r="Z270" s="34" t="n"/>
      <c r="AA270" s="34" t="n"/>
      <c r="AB270" s="34" t="n"/>
      <c r="AC270" s="34" t="n"/>
      <c r="AD270" s="34" t="n"/>
      <c r="AE270" s="34" t="n"/>
      <c r="AF270" s="34" t="n"/>
      <c r="AG270" s="34" t="n"/>
      <c r="AH270" s="34" t="n"/>
      <c r="AI270" s="34" t="n"/>
      <c r="AJ270" s="34" t="n"/>
      <c r="AK270" s="34" t="n"/>
      <c r="AL270" s="34" t="n"/>
      <c r="AM270" s="34" t="n"/>
      <c r="AN270" s="34" t="n"/>
      <c r="AO270" s="34" t="n"/>
      <c r="AP270" s="34" t="n"/>
      <c r="AQ270" s="34" t="n"/>
      <c r="AR270" s="34" t="n"/>
      <c r="AS270" s="34" t="n"/>
      <c r="AT270" s="34" t="n"/>
      <c r="AU270" s="34" t="n"/>
      <c r="AV270" s="34" t="n"/>
      <c r="AW270" s="34" t="n"/>
      <c r="AX270" s="34" t="n"/>
      <c r="AY270" s="34" t="n"/>
      <c r="AZ270" s="34" t="n"/>
      <c r="BA270" s="34" t="n"/>
      <c r="BB270" s="34" t="n"/>
      <c r="BC270" s="34" t="n"/>
      <c r="BD270" s="34" t="n"/>
      <c r="BE270" s="34" t="n"/>
      <c r="BF270" s="34" t="n"/>
      <c r="BG270" s="34" t="n"/>
      <c r="BH270" s="34" t="n"/>
      <c r="BI270" s="34" t="n"/>
      <c r="BJ270" s="34" t="n"/>
      <c r="BK270" s="34" t="n"/>
      <c r="BL270" s="34" t="n"/>
      <c r="BM270" s="34" t="n"/>
      <c r="BN270" s="34" t="n"/>
      <c r="BO270" s="34" t="n"/>
      <c r="BP270" s="34" t="n"/>
      <c r="BQ270" s="34" t="n"/>
      <c r="BR270" s="34" t="n"/>
      <c r="BS270" s="34" t="n"/>
      <c r="BT270" s="34" t="n"/>
      <c r="BU270" s="34" t="n"/>
      <c r="BV270" s="34" t="n"/>
      <c r="BW270" s="34" t="n"/>
      <c r="BX270" s="34" t="n"/>
      <c r="BY270" s="34" t="n"/>
      <c r="BZ270" s="34" t="n"/>
      <c r="CA270" s="34" t="n"/>
      <c r="CB270" s="34" t="n"/>
      <c r="CC270" s="35" t="n"/>
      <c r="CD270" s="35" t="n"/>
      <c r="CE270" s="35" t="n"/>
      <c r="CF270" s="266">
        <f>0</f>
        <v>0</v>
      </c>
      <c r="CG270" s="266">
        <f>CG356</f>
        <v>573.340693936499</v>
      </c>
      <c r="CH270" s="266">
        <f>CH356</f>
        <v>378.579539371443</v>
      </c>
      <c r="CI270" s="266">
        <f>CI356</f>
        <v>460.420715674665</v>
      </c>
      <c r="CJ270" s="266">
        <f>CJ356</f>
        <v>513.079829823395</v>
      </c>
      <c r="CK270" s="266">
        <f>CK356</f>
        <v>568.991347567914</v>
      </c>
      <c r="CL270" s="19" t="n"/>
    </row>
    <row r="271" ht="15" customHeight="1" s="251">
      <c r="B271" s="25" t="inlineStr">
        <is>
          <t xml:space="preserve">  Implied shares repurchased (m)</t>
        </is>
      </c>
      <c r="C271" s="34" t="n"/>
      <c r="D271" s="34" t="n"/>
      <c r="E271" s="34" t="n"/>
      <c r="F271" s="34" t="n"/>
      <c r="G271" s="34" t="n"/>
      <c r="H271" s="34" t="n"/>
      <c r="I271" s="34" t="n"/>
      <c r="J271" s="34" t="n"/>
      <c r="K271" s="34" t="n"/>
      <c r="L271" s="34" t="n"/>
      <c r="M271" s="34" t="n"/>
      <c r="N271" s="34" t="n"/>
      <c r="O271" s="34" t="n"/>
      <c r="P271" s="34" t="n"/>
      <c r="Q271" s="34" t="n"/>
      <c r="R271" s="34" t="n"/>
      <c r="S271" s="34" t="n"/>
      <c r="T271" s="34" t="n"/>
      <c r="U271" s="34" t="n"/>
      <c r="V271" s="34" t="n"/>
      <c r="W271" s="34" t="n"/>
      <c r="X271" s="34" t="n"/>
      <c r="Y271" s="34" t="n"/>
      <c r="Z271" s="34" t="n"/>
      <c r="AA271" s="34" t="n"/>
      <c r="AB271" s="34" t="n"/>
      <c r="AC271" s="34" t="n"/>
      <c r="AD271" s="34" t="n"/>
      <c r="AE271" s="34" t="n"/>
      <c r="AF271" s="34" t="n"/>
      <c r="AG271" s="34" t="n"/>
      <c r="AH271" s="34" t="n"/>
      <c r="AI271" s="34" t="n"/>
      <c r="AJ271" s="34" t="n"/>
      <c r="AK271" s="34" t="n"/>
      <c r="AL271" s="34" t="n"/>
      <c r="AM271" s="34" t="n"/>
      <c r="AN271" s="34" t="n"/>
      <c r="AO271" s="34" t="n"/>
      <c r="AP271" s="34" t="n"/>
      <c r="AQ271" s="34" t="n"/>
      <c r="AR271" s="34" t="n"/>
      <c r="AS271" s="34" t="n"/>
      <c r="AT271" s="34" t="n"/>
      <c r="AU271" s="34" t="n"/>
      <c r="AV271" s="34" t="n"/>
      <c r="AW271" s="34" t="n"/>
      <c r="AX271" s="34" t="n"/>
      <c r="AY271" s="34" t="n"/>
      <c r="AZ271" s="34" t="n"/>
      <c r="BA271" s="34" t="n"/>
      <c r="BB271" s="34" t="n"/>
      <c r="BC271" s="34" t="n"/>
      <c r="BD271" s="34" t="n"/>
      <c r="BE271" s="34" t="n"/>
      <c r="BF271" s="34" t="n"/>
      <c r="BG271" s="34" t="n"/>
      <c r="BH271" s="34" t="n"/>
      <c r="BI271" s="34" t="n"/>
      <c r="BJ271" s="34" t="n"/>
      <c r="BK271" s="34" t="n"/>
      <c r="BL271" s="34" t="n"/>
      <c r="BM271" s="34" t="n"/>
      <c r="BN271" s="34" t="n"/>
      <c r="BO271" s="34" t="n"/>
      <c r="BP271" s="34" t="n"/>
      <c r="BQ271" s="34" t="n"/>
      <c r="BR271" s="34" t="n"/>
      <c r="BS271" s="34" t="n"/>
      <c r="BT271" s="34" t="n"/>
      <c r="BU271" s="34" t="n"/>
      <c r="BV271" s="34" t="n"/>
      <c r="BW271" s="34" t="n"/>
      <c r="BX271" s="34" t="n"/>
      <c r="BY271" s="34" t="n"/>
      <c r="BZ271" s="34" t="n"/>
      <c r="CA271" s="34" t="n"/>
      <c r="CB271" s="34" t="n"/>
      <c r="CC271" s="35" t="n"/>
      <c r="CD271" s="35" t="n"/>
      <c r="CE271" s="35" t="n"/>
      <c r="CF271" s="286">
        <f>IFERROR(CF270/CF269,0)</f>
        <v>0</v>
      </c>
      <c r="CG271" s="286">
        <f>IFERROR(CG270/CG269,0)</f>
        <v>1.04092355471405</v>
      </c>
      <c r="CH271" s="286">
        <f>IFERROR(CH270/CH269,0)</f>
        <v>0.636413599362951</v>
      </c>
      <c r="CI271" s="286">
        <f>IFERROR(CI270/CI269,0)</f>
        <v>0.716660408894371</v>
      </c>
      <c r="CJ271" s="286">
        <f>IFERROR(CJ270/CJ269,0)</f>
        <v>0.739468611348861</v>
      </c>
      <c r="CK271" s="286">
        <f>IFERROR(CK270/CK269,0)</f>
        <v>0.759305785122185</v>
      </c>
      <c r="CL271" s="19" t="n"/>
    </row>
    <row r="272" ht="15" customHeight="1" s="251">
      <c r="B272" s="25" t="inlineStr">
        <is>
          <t xml:space="preserve">  Net shares issued under equity plans (m)</t>
        </is>
      </c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  <c r="AP272" s="36" t="n"/>
      <c r="AQ272" s="36" t="n"/>
      <c r="AR272" s="36" t="n"/>
      <c r="AS272" s="36" t="n"/>
      <c r="AT272" s="36" t="n"/>
      <c r="AU272" s="36" t="n"/>
      <c r="AV272" s="36" t="n"/>
      <c r="AW272" s="36" t="n"/>
      <c r="AX272" s="36" t="n"/>
      <c r="AY272" s="36" t="n"/>
      <c r="AZ272" s="36" t="n"/>
      <c r="BA272" s="36" t="n"/>
      <c r="BB272" s="36" t="n"/>
      <c r="BC272" s="36" t="n"/>
      <c r="BD272" s="36" t="n"/>
      <c r="BE272" s="36" t="n"/>
      <c r="BF272" s="36" t="n"/>
      <c r="BG272" s="36" t="n"/>
      <c r="BH272" s="36" t="n"/>
      <c r="BI272" s="36" t="n"/>
      <c r="BJ272" s="36" t="n"/>
      <c r="BK272" s="36" t="n"/>
      <c r="BL272" s="36" t="n"/>
      <c r="BM272" s="36" t="n"/>
      <c r="BN272" s="36" t="n"/>
      <c r="BO272" s="36" t="n"/>
      <c r="BP272" s="36" t="n"/>
      <c r="BQ272" s="36" t="n"/>
      <c r="BR272" s="36" t="n"/>
      <c r="BS272" s="36" t="n"/>
      <c r="BT272" s="36" t="n"/>
      <c r="BU272" s="36" t="n"/>
      <c r="BV272" s="36" t="n"/>
      <c r="BW272" s="36" t="n"/>
      <c r="BX272" s="36" t="n"/>
      <c r="BY272" s="36" t="n"/>
      <c r="BZ272" s="36" t="n"/>
      <c r="CA272" s="36" t="n"/>
      <c r="CB272" s="36" t="n"/>
      <c r="CC272" s="24" t="n"/>
      <c r="CD272" s="24" t="n"/>
      <c r="CE272" s="24" t="n"/>
      <c r="CF272" s="286">
        <f>SUM(CC140:CE140)</f>
        <v>0.06</v>
      </c>
      <c r="CG272" s="275" t="n">
        <v>0.15</v>
      </c>
      <c r="CH272" s="275" t="n">
        <v>0.15</v>
      </c>
      <c r="CI272" s="275" t="n">
        <v>0.15</v>
      </c>
      <c r="CJ272" s="275" t="n">
        <v>0.15</v>
      </c>
      <c r="CK272" s="275" t="n">
        <v>0.15</v>
      </c>
      <c r="CL272" s="19" t="n"/>
    </row>
    <row r="273" ht="15" customHeight="1" s="251">
      <c r="B273" s="25" t="inlineStr">
        <is>
          <t xml:space="preserve">  Beginning shares outstanding (m)</t>
        </is>
      </c>
      <c r="C273" s="34" t="n"/>
      <c r="D273" s="34" t="n"/>
      <c r="E273" s="34" t="n"/>
      <c r="F273" s="34" t="n"/>
      <c r="G273" s="34" t="n"/>
      <c r="H273" s="34" t="n"/>
      <c r="I273" s="34" t="n"/>
      <c r="J273" s="34" t="n"/>
      <c r="K273" s="34" t="n"/>
      <c r="L273" s="34" t="n"/>
      <c r="M273" s="34" t="n"/>
      <c r="N273" s="34" t="n"/>
      <c r="O273" s="34" t="n"/>
      <c r="P273" s="34" t="n"/>
      <c r="Q273" s="34" t="n"/>
      <c r="R273" s="34" t="n"/>
      <c r="S273" s="34" t="n"/>
      <c r="T273" s="34" t="n"/>
      <c r="U273" s="34" t="n"/>
      <c r="V273" s="34" t="n"/>
      <c r="W273" s="34" t="n"/>
      <c r="X273" s="34" t="n"/>
      <c r="Y273" s="34" t="n"/>
      <c r="Z273" s="34" t="n"/>
      <c r="AA273" s="34" t="n"/>
      <c r="AB273" s="34" t="n"/>
      <c r="AC273" s="34" t="n"/>
      <c r="AD273" s="34" t="n"/>
      <c r="AE273" s="34" t="n"/>
      <c r="AF273" s="34" t="n"/>
      <c r="AG273" s="34" t="n"/>
      <c r="AH273" s="34" t="n"/>
      <c r="AI273" s="34" t="n"/>
      <c r="AJ273" s="34" t="n"/>
      <c r="AK273" s="34" t="n"/>
      <c r="AL273" s="34" t="n"/>
      <c r="AM273" s="34" t="n"/>
      <c r="AN273" s="34" t="n"/>
      <c r="AO273" s="34" t="n"/>
      <c r="AP273" s="34" t="n"/>
      <c r="AQ273" s="34" t="n"/>
      <c r="AR273" s="34" t="n"/>
      <c r="AS273" s="34" t="n"/>
      <c r="AT273" s="34" t="n"/>
      <c r="AU273" s="34" t="n"/>
      <c r="AV273" s="34" t="n"/>
      <c r="AW273" s="34" t="n"/>
      <c r="AX273" s="34" t="n"/>
      <c r="AY273" s="34" t="n"/>
      <c r="AZ273" s="34" t="n"/>
      <c r="BA273" s="34" t="n"/>
      <c r="BB273" s="34" t="n"/>
      <c r="BC273" s="34" t="n"/>
      <c r="BD273" s="34" t="n"/>
      <c r="BE273" s="34" t="n"/>
      <c r="BF273" s="34" t="n"/>
      <c r="BG273" s="34" t="n"/>
      <c r="BH273" s="34" t="n"/>
      <c r="BI273" s="34" t="n"/>
      <c r="BJ273" s="34" t="n"/>
      <c r="BK273" s="34" t="n"/>
      <c r="BL273" s="34" t="n"/>
      <c r="BM273" s="34" t="n"/>
      <c r="BN273" s="34" t="n"/>
      <c r="BO273" s="34" t="n"/>
      <c r="BP273" s="34" t="n"/>
      <c r="BQ273" s="34" t="n"/>
      <c r="BR273" s="34" t="n"/>
      <c r="BS273" s="34" t="n"/>
      <c r="BT273" s="34" t="n"/>
      <c r="BU273" s="34" t="n"/>
      <c r="BV273" s="34" t="n"/>
      <c r="BW273" s="34" t="n"/>
      <c r="BX273" s="34" t="n"/>
      <c r="BY273" s="34" t="n"/>
      <c r="BZ273" s="34" t="n"/>
      <c r="CA273" s="34" t="n"/>
      <c r="CB273" s="34" t="n"/>
      <c r="CC273" s="35" t="n"/>
      <c r="CD273" s="35" t="n"/>
      <c r="CE273" s="35" t="n"/>
      <c r="CF273" s="261">
        <f>CB304</f>
        <v>31.660594</v>
      </c>
      <c r="CG273" s="261">
        <f>CF274</f>
        <v>31.720594</v>
      </c>
      <c r="CH273" s="261">
        <f>CG274</f>
        <v>30.8296704452859</v>
      </c>
      <c r="CI273" s="261">
        <f>CH274</f>
        <v>30.343256845923</v>
      </c>
      <c r="CJ273" s="261">
        <f>CI274</f>
        <v>29.7765964370286</v>
      </c>
      <c r="CK273" s="261">
        <f>CJ274</f>
        <v>29.1871278256798</v>
      </c>
      <c r="CL273" s="19" t="inlineStr">
        <is>
          <t>FY2027E begins from shares outstanding at 27-Jun-2026 (issued less treasury, Q1 FY27 10-Q XBRL).</t>
        </is>
      </c>
    </row>
    <row r="274" ht="15" customHeight="1" s="251">
      <c r="B274" s="25" t="inlineStr">
        <is>
          <t xml:space="preserve">  Ending shares outstanding (m)</t>
        </is>
      </c>
      <c r="C274" s="34" t="n"/>
      <c r="D274" s="34" t="n"/>
      <c r="E274" s="34" t="n"/>
      <c r="F274" s="34" t="n"/>
      <c r="G274" s="34" t="n"/>
      <c r="H274" s="34" t="n"/>
      <c r="I274" s="34" t="n"/>
      <c r="J274" s="34" t="n"/>
      <c r="K274" s="34" t="n"/>
      <c r="L274" s="34" t="n"/>
      <c r="M274" s="34" t="n"/>
      <c r="N274" s="34" t="n"/>
      <c r="O274" s="34" t="n"/>
      <c r="P274" s="34" t="n"/>
      <c r="Q274" s="34" t="n"/>
      <c r="R274" s="34" t="n"/>
      <c r="S274" s="34" t="n"/>
      <c r="T274" s="34" t="n"/>
      <c r="U274" s="34" t="n"/>
      <c r="V274" s="34" t="n"/>
      <c r="W274" s="34" t="n"/>
      <c r="X274" s="34" t="n"/>
      <c r="Y274" s="34" t="n"/>
      <c r="Z274" s="34" t="n"/>
      <c r="AA274" s="34" t="n"/>
      <c r="AB274" s="34" t="n"/>
      <c r="AC274" s="34" t="n"/>
      <c r="AD274" s="34" t="n"/>
      <c r="AE274" s="34" t="n"/>
      <c r="AF274" s="34" t="n"/>
      <c r="AG274" s="34" t="n"/>
      <c r="AH274" s="34" t="n"/>
      <c r="AI274" s="34" t="n"/>
      <c r="AJ274" s="34" t="n"/>
      <c r="AK274" s="34" t="n"/>
      <c r="AL274" s="34" t="n"/>
      <c r="AM274" s="34" t="n"/>
      <c r="AN274" s="34" t="n"/>
      <c r="AO274" s="34" t="n"/>
      <c r="AP274" s="34" t="n"/>
      <c r="AQ274" s="34" t="n"/>
      <c r="AR274" s="34" t="n"/>
      <c r="AS274" s="34" t="n"/>
      <c r="AT274" s="34" t="n"/>
      <c r="AU274" s="34" t="n"/>
      <c r="AV274" s="34" t="n"/>
      <c r="AW274" s="34" t="n"/>
      <c r="AX274" s="34" t="n"/>
      <c r="AY274" s="34" t="n"/>
      <c r="AZ274" s="34" t="n"/>
      <c r="BA274" s="34" t="n"/>
      <c r="BB274" s="34" t="n"/>
      <c r="BC274" s="34" t="n"/>
      <c r="BD274" s="34" t="n"/>
      <c r="BE274" s="34" t="n"/>
      <c r="BF274" s="34" t="n"/>
      <c r="BG274" s="34" t="n"/>
      <c r="BH274" s="34" t="n"/>
      <c r="BI274" s="34" t="n"/>
      <c r="BJ274" s="34" t="n"/>
      <c r="BK274" s="34" t="n"/>
      <c r="BL274" s="34" t="n"/>
      <c r="BM274" s="34" t="n"/>
      <c r="BN274" s="34" t="n"/>
      <c r="BO274" s="34" t="n"/>
      <c r="BP274" s="34" t="n"/>
      <c r="BQ274" s="34" t="n"/>
      <c r="BR274" s="34" t="n"/>
      <c r="BS274" s="34" t="n"/>
      <c r="BT274" s="34" t="n"/>
      <c r="BU274" s="34" t="n"/>
      <c r="BV274" s="34" t="n"/>
      <c r="BW274" s="34" t="n"/>
      <c r="BX274" s="34" t="n"/>
      <c r="BY274" s="34" t="n"/>
      <c r="BZ274" s="34" t="n"/>
      <c r="CA274" s="34" t="n"/>
      <c r="CB274" s="34" t="n"/>
      <c r="CC274" s="35" t="n"/>
      <c r="CD274" s="35" t="n"/>
      <c r="CE274" s="35" t="n"/>
      <c r="CF274" s="261">
        <f>CF273-CF271+CF272</f>
        <v>31.720594</v>
      </c>
      <c r="CG274" s="261">
        <f>CG273-CG271+CG272</f>
        <v>30.8296704452859</v>
      </c>
      <c r="CH274" s="261">
        <f>CH273-CH271+CH272</f>
        <v>30.343256845923</v>
      </c>
      <c r="CI274" s="261">
        <f>CI273-CI271+CI272</f>
        <v>29.7765964370286</v>
      </c>
      <c r="CJ274" s="261">
        <f>CJ273-CJ271+CJ272</f>
        <v>29.1871278256798</v>
      </c>
      <c r="CK274" s="261">
        <f>CK273-CK271+CK272</f>
        <v>28.5778220405576</v>
      </c>
      <c r="CL274" s="19" t="n"/>
    </row>
    <row r="275" ht="15" customHeight="1" s="251">
      <c r="B275" s="25" t="inlineStr">
        <is>
          <t xml:space="preserve">  % of shares repurchased</t>
        </is>
      </c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  <c r="AP275" s="36" t="n"/>
      <c r="AQ275" s="36" t="n"/>
      <c r="AR275" s="36" t="n"/>
      <c r="AS275" s="36" t="n"/>
      <c r="AT275" s="36" t="n"/>
      <c r="AU275" s="36" t="n"/>
      <c r="AV275" s="36" t="n"/>
      <c r="AW275" s="36" t="n"/>
      <c r="AX275" s="36" t="n"/>
      <c r="AY275" s="36" t="n"/>
      <c r="AZ275" s="36" t="n"/>
      <c r="BA275" s="36" t="n"/>
      <c r="BB275" s="36" t="n"/>
      <c r="BC275" s="36" t="n"/>
      <c r="BD275" s="36" t="n"/>
      <c r="BE275" s="36" t="n"/>
      <c r="BF275" s="36" t="n"/>
      <c r="BG275" s="36" t="n"/>
      <c r="BH275" s="36" t="n"/>
      <c r="BI275" s="36" t="n"/>
      <c r="BJ275" s="36" t="n"/>
      <c r="BK275" s="36" t="n"/>
      <c r="BL275" s="36" t="n"/>
      <c r="BM275" s="36" t="n"/>
      <c r="BN275" s="36" t="n"/>
      <c r="BO275" s="36" t="n"/>
      <c r="BP275" s="36" t="n"/>
      <c r="BQ275" s="36" t="n"/>
      <c r="BR275" s="36" t="n"/>
      <c r="BS275" s="36" t="n"/>
      <c r="BT275" s="36" t="n"/>
      <c r="BU275" s="36" t="n"/>
      <c r="BV275" s="36" t="n"/>
      <c r="BW275" s="36" t="n"/>
      <c r="BX275" s="36" t="n"/>
      <c r="BY275" s="36" t="n"/>
      <c r="BZ275" s="36" t="n"/>
      <c r="CA275" s="36" t="n"/>
      <c r="CB275" s="36" t="n"/>
      <c r="CC275" s="24" t="n"/>
      <c r="CD275" s="24" t="n"/>
      <c r="CE275" s="24" t="n"/>
      <c r="CF275" s="256">
        <f>IF(AND(ISNUMBER(CF271),ISNUMBER(CF273)),IFERROR(CF271/CF273,""),"")</f>
        <v>0</v>
      </c>
      <c r="CG275" s="256">
        <f>IF(AND(ISNUMBER(CG271),ISNUMBER(CG273)),IFERROR(CG271/CG273,""),"")</f>
        <v>0.0328153865817913</v>
      </c>
      <c r="CH275" s="256">
        <f>IF(AND(ISNUMBER(CH271),ISNUMBER(CH273)),IFERROR(CH271/CH273,""),"")</f>
        <v>0.0206428933611992</v>
      </c>
      <c r="CI275" s="256">
        <f>IF(AND(ISNUMBER(CI271),ISNUMBER(CI273)),IFERROR(CI271/CI273,""),"")</f>
        <v>0.0236184405824803</v>
      </c>
      <c r="CJ275" s="256">
        <f>IF(AND(ISNUMBER(CJ271),ISNUMBER(CJ273)),IFERROR(CJ271/CJ273,""),"")</f>
        <v>0.0248338863346147</v>
      </c>
      <c r="CK275" s="256">
        <f>IF(AND(ISNUMBER(CK271),ISNUMBER(CK273)),IFERROR(CK271/CK273,""),"")</f>
        <v>0.0260150909557508</v>
      </c>
      <c r="CL275" s="153" t="n"/>
    </row>
    <row r="276" ht="15" customHeight="1" s="251">
      <c r="B276" s="156" t="inlineStr">
        <is>
          <t xml:space="preserve">  Memo: cumulative shares repurchased since Q2/27 (m)</t>
        </is>
      </c>
      <c r="C276" s="34" t="n"/>
      <c r="D276" s="34" t="n"/>
      <c r="E276" s="34" t="n"/>
      <c r="F276" s="34" t="n"/>
      <c r="G276" s="34" t="n"/>
      <c r="H276" s="34" t="n"/>
      <c r="I276" s="34" t="n"/>
      <c r="J276" s="34" t="n"/>
      <c r="K276" s="34" t="n"/>
      <c r="L276" s="34" t="n"/>
      <c r="M276" s="34" t="n"/>
      <c r="N276" s="34" t="n"/>
      <c r="O276" s="34" t="n"/>
      <c r="P276" s="34" t="n"/>
      <c r="Q276" s="34" t="n"/>
      <c r="R276" s="34" t="n"/>
      <c r="S276" s="34" t="n"/>
      <c r="T276" s="34" t="n"/>
      <c r="U276" s="34" t="n"/>
      <c r="V276" s="34" t="n"/>
      <c r="W276" s="34" t="n"/>
      <c r="X276" s="34" t="n"/>
      <c r="Y276" s="34" t="n"/>
      <c r="Z276" s="34" t="n"/>
      <c r="AA276" s="34" t="n"/>
      <c r="AB276" s="34" t="n"/>
      <c r="AC276" s="34" t="n"/>
      <c r="AD276" s="34" t="n"/>
      <c r="AE276" s="34" t="n"/>
      <c r="AF276" s="34" t="n"/>
      <c r="AG276" s="34" t="n"/>
      <c r="AH276" s="34" t="n"/>
      <c r="AI276" s="34" t="n"/>
      <c r="AJ276" s="34" t="n"/>
      <c r="AK276" s="34" t="n"/>
      <c r="AL276" s="34" t="n"/>
      <c r="AM276" s="34" t="n"/>
      <c r="AN276" s="34" t="n"/>
      <c r="AO276" s="34" t="n"/>
      <c r="AP276" s="34" t="n"/>
      <c r="AQ276" s="34" t="n"/>
      <c r="AR276" s="34" t="n"/>
      <c r="AS276" s="34" t="n"/>
      <c r="AT276" s="34" t="n"/>
      <c r="AU276" s="34" t="n"/>
      <c r="AV276" s="34" t="n"/>
      <c r="AW276" s="34" t="n"/>
      <c r="AX276" s="34" t="n"/>
      <c r="AY276" s="34" t="n"/>
      <c r="AZ276" s="34" t="n"/>
      <c r="BA276" s="34" t="n"/>
      <c r="BB276" s="34" t="n"/>
      <c r="BC276" s="34" t="n"/>
      <c r="BD276" s="34" t="n"/>
      <c r="BE276" s="34" t="n"/>
      <c r="BF276" s="34" t="n"/>
      <c r="BG276" s="34" t="n"/>
      <c r="BH276" s="34" t="n"/>
      <c r="BI276" s="34" t="n"/>
      <c r="BJ276" s="34" t="n"/>
      <c r="BK276" s="34" t="n"/>
      <c r="BL276" s="34" t="n"/>
      <c r="BM276" s="34" t="n"/>
      <c r="BN276" s="34" t="n"/>
      <c r="BO276" s="34" t="n"/>
      <c r="BP276" s="34" t="n"/>
      <c r="BQ276" s="34" t="n"/>
      <c r="BR276" s="34" t="n"/>
      <c r="BS276" s="34" t="n"/>
      <c r="BT276" s="34" t="n"/>
      <c r="BU276" s="34" t="n"/>
      <c r="BV276" s="34" t="n"/>
      <c r="BW276" s="34" t="n"/>
      <c r="BX276" s="34" t="n"/>
      <c r="BY276" s="34" t="n"/>
      <c r="BZ276" s="34" t="n"/>
      <c r="CA276" s="34" t="n"/>
      <c r="CB276" s="34" t="n"/>
      <c r="CC276" s="153" t="n"/>
      <c r="CD276" s="153" t="n"/>
      <c r="CE276" s="153" t="n"/>
      <c r="CF276" s="272">
        <f>CF271</f>
        <v>0</v>
      </c>
      <c r="CG276" s="272">
        <f>CF276+CG271</f>
        <v>1.04092355471405</v>
      </c>
      <c r="CH276" s="272">
        <f>CG276+CH271</f>
        <v>1.677337154077</v>
      </c>
      <c r="CI276" s="272">
        <f>CH276+CI271</f>
        <v>2.39399756297137</v>
      </c>
      <c r="CJ276" s="272">
        <f>CI276+CJ271</f>
        <v>3.13346617432023</v>
      </c>
      <c r="CK276" s="272">
        <f>CJ276+CK271</f>
        <v>3.89277195944242</v>
      </c>
      <c r="CL276" s="153" t="n"/>
    </row>
    <row r="277" ht="15" customHeight="1" s="251">
      <c r="CT277" s="11" t="n"/>
      <c r="CU277" s="12" t="n"/>
      <c r="CV277" s="12" t="n"/>
      <c r="CW277" s="12" t="n"/>
      <c r="CX277" s="13" t="n"/>
    </row>
    <row r="278" ht="15" customHeight="1" s="251">
      <c r="B278" s="10" t="inlineStr">
        <is>
          <t>CONSOLIDATED BALANCE SHEET (condensed)</t>
        </is>
      </c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  <c r="AC278" s="10" t="n"/>
      <c r="AD278" s="10" t="n"/>
      <c r="AE278" s="10" t="n"/>
      <c r="AF278" s="10" t="n"/>
      <c r="AG278" s="10" t="n"/>
      <c r="AH278" s="10" t="n"/>
      <c r="AI278" s="10" t="n"/>
      <c r="AJ278" s="10" t="n"/>
      <c r="AK278" s="10" t="n"/>
      <c r="AL278" s="10" t="n"/>
      <c r="AM278" s="10" t="n"/>
      <c r="AN278" s="10" t="n"/>
      <c r="AO278" s="10" t="n"/>
      <c r="AP278" s="10" t="n"/>
      <c r="AQ278" s="10" t="n"/>
      <c r="AR278" s="10" t="n"/>
      <c r="AS278" s="10" t="n"/>
      <c r="AT278" s="10" t="n"/>
      <c r="AU278" s="10" t="n"/>
      <c r="AV278" s="10" t="n"/>
      <c r="AW278" s="10" t="n"/>
      <c r="AX278" s="10" t="n"/>
      <c r="AY278" s="10" t="n"/>
      <c r="AZ278" s="10" t="n"/>
      <c r="BA278" s="10" t="n"/>
      <c r="BB278" s="10" t="n"/>
      <c r="BC278" s="10" t="n"/>
      <c r="BD278" s="10" t="n"/>
      <c r="BE278" s="10" t="n"/>
      <c r="BF278" s="10" t="n"/>
      <c r="BG278" s="10" t="n"/>
      <c r="BH278" s="10" t="n"/>
      <c r="BI278" s="10" t="n"/>
      <c r="BJ278" s="10" t="n"/>
      <c r="BK278" s="10" t="n"/>
      <c r="BL278" s="10" t="n"/>
      <c r="BM278" s="10" t="n"/>
      <c r="BN278" s="10" t="n"/>
      <c r="BO278" s="10" t="n"/>
      <c r="BP278" s="10" t="n"/>
      <c r="BQ278" s="10" t="n"/>
      <c r="BR278" s="10" t="n"/>
      <c r="BS278" s="10" t="n"/>
      <c r="BT278" s="10" t="n"/>
      <c r="BU278" s="10" t="n"/>
      <c r="BV278" s="10" t="n"/>
      <c r="BW278" s="10" t="n"/>
      <c r="BX278" s="10" t="n"/>
      <c r="BY278" s="10" t="n"/>
      <c r="BZ278" s="10" t="n"/>
      <c r="CA278" s="10" t="n"/>
      <c r="CB278" s="10" t="n"/>
      <c r="CC278" s="10" t="n"/>
      <c r="CD278" s="10" t="n"/>
      <c r="CE278" s="10" t="n"/>
      <c r="CF278" s="10" t="n"/>
      <c r="CG278" s="10" t="n"/>
      <c r="CH278" s="10" t="n"/>
      <c r="CI278" s="10" t="n"/>
      <c r="CJ278" s="10" t="n"/>
      <c r="CK278" s="10" t="n"/>
      <c r="CL278" s="10" t="inlineStr">
        <is>
          <t>BS FORECAST — FY2027E rolled forward from the 27-Jun-2026 balance sheet + Q2–Q4 flows; FY2028E+ from prior year end</t>
        </is>
      </c>
    </row>
    <row r="279" ht="15" customHeight="1" s="251">
      <c r="B279" s="25" t="inlineStr">
        <is>
          <t>ASSETS</t>
        </is>
      </c>
      <c r="CL279" s="153" t="n"/>
    </row>
    <row r="280" ht="15" customHeight="1" s="251">
      <c r="B280" s="25" t="inlineStr">
        <is>
          <t xml:space="preserve">  Cash</t>
        </is>
      </c>
      <c r="C280" s="259" t="n">
        <v>16.126</v>
      </c>
      <c r="D280" s="259" t="n">
        <v>5.184</v>
      </c>
      <c r="E280" s="259" t="n">
        <v>9.859</v>
      </c>
      <c r="F280" s="259" t="n">
        <v>30.557</v>
      </c>
      <c r="G280" s="259" t="n">
        <v>21.389</v>
      </c>
      <c r="H280" s="259" t="n">
        <v>63.975</v>
      </c>
      <c r="I280" s="259" t="n">
        <v>68.621</v>
      </c>
      <c r="J280" s="259" t="n">
        <v>90.92100000000001</v>
      </c>
      <c r="K280" s="259" t="n">
        <v>99.184</v>
      </c>
      <c r="L280" s="259" t="n">
        <v>111.955</v>
      </c>
      <c r="M280" s="259" t="n">
        <v>114.48</v>
      </c>
      <c r="N280" s="259" t="n">
        <v>114.48</v>
      </c>
      <c r="O280" s="259" t="n">
        <v>126.081</v>
      </c>
      <c r="P280" s="259" t="n">
        <v>110.202</v>
      </c>
      <c r="Q280" s="259" t="n">
        <v>115.989</v>
      </c>
      <c r="R280" s="259" t="n">
        <v>121.207</v>
      </c>
      <c r="S280" s="259" t="n">
        <v>121.207</v>
      </c>
      <c r="T280" s="259" t="n">
        <v>102.154</v>
      </c>
      <c r="U280" s="259" t="n">
        <v>109.447</v>
      </c>
      <c r="V280" s="259" t="n">
        <v>119.24</v>
      </c>
      <c r="W280" s="259" t="n">
        <v>125.455</v>
      </c>
      <c r="X280" s="259" t="n">
        <v>125.455</v>
      </c>
      <c r="Y280" s="259" t="n">
        <v>61.562</v>
      </c>
      <c r="Z280" s="259" t="n">
        <v>44.077</v>
      </c>
      <c r="AA280" s="259" t="n">
        <v>44.403</v>
      </c>
      <c r="AB280" s="259" t="n">
        <v>39.208</v>
      </c>
      <c r="AC280" s="259" t="n">
        <v>39.208</v>
      </c>
      <c r="AD280" s="259" t="n">
        <v>37.261</v>
      </c>
      <c r="AE280" s="259" t="n">
        <v>37.462</v>
      </c>
      <c r="AF280" s="259" t="n">
        <v>39.472</v>
      </c>
      <c r="AG280" s="259" t="n">
        <v>38.923</v>
      </c>
      <c r="AH280" s="259" t="n">
        <v>38.923</v>
      </c>
      <c r="AI280" s="259" t="n">
        <v>45.463</v>
      </c>
      <c r="AJ280" s="259" t="n">
        <v>42.885</v>
      </c>
      <c r="AK280" s="259" t="n">
        <v>43.822</v>
      </c>
      <c r="AL280" s="259" t="n">
        <v>54.163</v>
      </c>
      <c r="AM280" s="259" t="n">
        <v>54.163</v>
      </c>
      <c r="AN280" s="259" t="n">
        <v>55.656</v>
      </c>
      <c r="AO280" s="259" t="n">
        <v>60.365</v>
      </c>
      <c r="AP280" s="259" t="n">
        <v>81.697</v>
      </c>
      <c r="AQ280" s="259" t="n">
        <v>29.884</v>
      </c>
      <c r="AR280" s="259" t="n">
        <v>29.884</v>
      </c>
      <c r="AS280" s="259" t="n">
        <v>32.713</v>
      </c>
      <c r="AT280" s="259" t="n">
        <v>36.398</v>
      </c>
      <c r="AU280" s="259" t="n">
        <v>60.328</v>
      </c>
      <c r="AV280" s="259" t="n">
        <v>103.255</v>
      </c>
      <c r="AW280" s="259" t="n">
        <v>103.255</v>
      </c>
      <c r="AX280" s="259" t="n">
        <v>143.615</v>
      </c>
      <c r="AY280" s="259" t="n">
        <v>166.352</v>
      </c>
      <c r="AZ280" s="259" t="n">
        <v>126.192</v>
      </c>
      <c r="BA280" s="259" t="n">
        <v>151.086</v>
      </c>
      <c r="BB280" s="259" t="n">
        <v>151.086</v>
      </c>
      <c r="BC280" s="259" t="n">
        <v>175.771</v>
      </c>
      <c r="BD280" s="259" t="n">
        <v>1348.611</v>
      </c>
      <c r="BE280" s="259" t="n">
        <v>255.503</v>
      </c>
      <c r="BF280" s="259" t="n">
        <v>182.862</v>
      </c>
      <c r="BG280" s="259" t="n">
        <v>182.862</v>
      </c>
      <c r="BH280" s="259" t="n">
        <v>119.587</v>
      </c>
      <c r="BI280" s="259" t="n">
        <v>88.495</v>
      </c>
      <c r="BJ280" s="259" t="n">
        <v>82.036</v>
      </c>
      <c r="BK280" s="259" t="n">
        <v>65.40000000000001</v>
      </c>
      <c r="BL280" s="259" t="n">
        <v>65.40000000000001</v>
      </c>
      <c r="BM280" s="259" t="n">
        <v>56.7</v>
      </c>
      <c r="BN280" s="259" t="n">
        <v>56.6</v>
      </c>
      <c r="BO280" s="259" t="n">
        <v>71.59999999999999</v>
      </c>
      <c r="BP280" s="259" t="n">
        <v>63.5</v>
      </c>
      <c r="BQ280" s="259" t="n">
        <v>63.5</v>
      </c>
      <c r="BR280" s="259" t="n">
        <v>76.8</v>
      </c>
      <c r="BS280" s="259" t="n">
        <v>89.09999999999999</v>
      </c>
      <c r="BT280" s="259" t="n">
        <v>60.6</v>
      </c>
      <c r="BU280" s="259" t="n">
        <v>36.8</v>
      </c>
      <c r="BV280" s="259" t="n">
        <v>36.8</v>
      </c>
      <c r="BW280" s="259" t="n">
        <v>132.9</v>
      </c>
      <c r="BX280" s="259" t="n">
        <v>91.2</v>
      </c>
      <c r="BY280" s="259" t="n">
        <v>107.6</v>
      </c>
      <c r="BZ280" s="259" t="n">
        <v>57.3</v>
      </c>
      <c r="CA280" s="259" t="n">
        <v>57.3</v>
      </c>
      <c r="CB280" s="259" t="n">
        <v>124.5</v>
      </c>
      <c r="CC280" s="35" t="n"/>
      <c r="CD280" s="35" t="n"/>
      <c r="CE280" s="35" t="n"/>
      <c r="CF280" s="261">
        <f>CF253</f>
        <v>75.0000000000001</v>
      </c>
      <c r="CG280" s="261">
        <f>CG253</f>
        <v>75.0000000000001</v>
      </c>
      <c r="CH280" s="261">
        <f>CH253</f>
        <v>75.0000000000001</v>
      </c>
      <c r="CI280" s="261">
        <f>CI253</f>
        <v>75.0000000000001</v>
      </c>
      <c r="CJ280" s="261">
        <f>CJ253</f>
        <v>75.0000000000001</v>
      </c>
      <c r="CK280" s="261">
        <f>CK253</f>
        <v>75.0000000000001</v>
      </c>
      <c r="CL280" s="19" t="n"/>
    </row>
    <row r="281" ht="15" customHeight="1" s="251">
      <c r="B281" s="25" t="inlineStr">
        <is>
          <t xml:space="preserve">  Accounts receivable, net</t>
        </is>
      </c>
      <c r="C281" s="259" t="n">
        <v>50.935</v>
      </c>
      <c r="D281" s="259" t="n">
        <v>54.636</v>
      </c>
      <c r="E281" s="259" t="n">
        <v>66.137</v>
      </c>
      <c r="F281" s="259" t="n">
        <v>63.692</v>
      </c>
      <c r="G281" s="259" t="n">
        <v>53.978</v>
      </c>
      <c r="H281" s="259" t="n">
        <v>60.095</v>
      </c>
      <c r="I281" s="259" t="n">
        <v>72.56</v>
      </c>
      <c r="J281" s="259" t="n">
        <v>69.371</v>
      </c>
      <c r="K281" s="259" t="n">
        <v>69.48699999999999</v>
      </c>
      <c r="L281" s="259" t="n">
        <v>61.831</v>
      </c>
      <c r="M281" s="259" t="n">
        <v>69.715</v>
      </c>
      <c r="N281" s="259" t="n">
        <v>69.715</v>
      </c>
      <c r="O281" s="259" t="n">
        <v>69.58</v>
      </c>
      <c r="P281" s="259" t="n">
        <v>72.051</v>
      </c>
      <c r="Q281" s="259" t="n">
        <v>67.29600000000001</v>
      </c>
      <c r="R281" s="259" t="n">
        <v>75.642</v>
      </c>
      <c r="S281" s="259" t="n">
        <v>75.642</v>
      </c>
      <c r="T281" s="259" t="n">
        <v>73.08199999999999</v>
      </c>
      <c r="U281" s="259" t="n">
        <v>72.001</v>
      </c>
      <c r="V281" s="259" t="n">
        <v>66.58</v>
      </c>
      <c r="W281" s="259" t="n">
        <v>76.651</v>
      </c>
      <c r="X281" s="259" t="n">
        <v>76.651</v>
      </c>
      <c r="Y281" s="259" t="n">
        <v>101.961</v>
      </c>
      <c r="Z281" s="259" t="n">
        <v>97.13200000000001</v>
      </c>
      <c r="AA281" s="259" t="n">
        <v>90.33199999999999</v>
      </c>
      <c r="AB281" s="259" t="n">
        <v>102.351</v>
      </c>
      <c r="AC281" s="259" t="n">
        <v>102.351</v>
      </c>
      <c r="AD281" s="259" t="n">
        <v>101.508</v>
      </c>
      <c r="AE281" s="259" t="n">
        <v>103.942</v>
      </c>
      <c r="AF281" s="259" t="n">
        <v>98.312</v>
      </c>
      <c r="AG281" s="259" t="n">
        <v>109.7</v>
      </c>
      <c r="AH281" s="259" t="n">
        <v>109.7</v>
      </c>
      <c r="AI281" s="259" t="n">
        <v>112.64</v>
      </c>
      <c r="AJ281" s="259" t="n">
        <v>109.688</v>
      </c>
      <c r="AK281" s="259" t="n">
        <v>109.923</v>
      </c>
      <c r="AL281" s="259" t="n">
        <v>116.89</v>
      </c>
      <c r="AM281" s="259" t="n">
        <v>116.89</v>
      </c>
      <c r="AN281" s="259" t="n">
        <v>116.211</v>
      </c>
      <c r="AO281" s="259" t="n">
        <v>119.521</v>
      </c>
      <c r="AP281" s="259" t="n">
        <v>116.673</v>
      </c>
      <c r="AQ281" s="259" t="n">
        <v>130.735</v>
      </c>
      <c r="AR281" s="259" t="n">
        <v>130.735</v>
      </c>
      <c r="AS281" s="259" t="n">
        <v>130.088</v>
      </c>
      <c r="AT281" s="259" t="n">
        <v>129.618</v>
      </c>
      <c r="AU281" s="259" t="n">
        <v>121.847</v>
      </c>
      <c r="AV281" s="259" t="n">
        <v>128.995</v>
      </c>
      <c r="AW281" s="259" t="n">
        <v>128.995</v>
      </c>
      <c r="AX281" s="259" t="n">
        <v>113.184</v>
      </c>
      <c r="AY281" s="259" t="n">
        <v>108.078</v>
      </c>
      <c r="AZ281" s="259" t="n">
        <v>106.506</v>
      </c>
      <c r="BA281" s="259" t="n">
        <v>110.472</v>
      </c>
      <c r="BB281" s="259" t="n">
        <v>110.472</v>
      </c>
      <c r="BC281" s="259" t="n">
        <v>105.756</v>
      </c>
      <c r="BD281" s="259" t="n">
        <v>109.65</v>
      </c>
      <c r="BE281" s="259" t="n">
        <v>199.785</v>
      </c>
      <c r="BF281" s="259" t="n">
        <v>247.487</v>
      </c>
      <c r="BG281" s="259" t="n">
        <v>247.487</v>
      </c>
      <c r="BH281" s="259" t="n">
        <v>234.987</v>
      </c>
      <c r="BI281" s="259" t="n">
        <v>236.527</v>
      </c>
      <c r="BJ281" s="259" t="n">
        <v>214.536</v>
      </c>
      <c r="BK281" s="259" t="n">
        <v>239.6</v>
      </c>
      <c r="BL281" s="259" t="n">
        <v>239.6</v>
      </c>
      <c r="BM281" s="259" t="n">
        <v>251.8</v>
      </c>
      <c r="BN281" s="259" t="n">
        <v>244.6</v>
      </c>
      <c r="BO281" s="259" t="n">
        <v>229.8</v>
      </c>
      <c r="BP281" s="259" t="n">
        <v>255.2</v>
      </c>
      <c r="BQ281" s="259" t="n">
        <v>255.2</v>
      </c>
      <c r="BR281" s="259" t="n">
        <v>254.7</v>
      </c>
      <c r="BS281" s="259" t="n">
        <v>255.4</v>
      </c>
      <c r="BT281" s="259" t="n">
        <v>256.1</v>
      </c>
      <c r="BU281" s="259" t="n">
        <v>307.6</v>
      </c>
      <c r="BV281" s="259" t="n">
        <v>307.6</v>
      </c>
      <c r="BW281" s="259" t="n">
        <v>292.5</v>
      </c>
      <c r="BX281" s="259" t="n">
        <v>279.2</v>
      </c>
      <c r="BY281" s="259" t="n">
        <v>285.8</v>
      </c>
      <c r="BZ281" s="259" t="n">
        <v>340.6</v>
      </c>
      <c r="CA281" s="259" t="n">
        <v>340.6</v>
      </c>
      <c r="CB281" s="259" t="n">
        <v>326.2</v>
      </c>
      <c r="CC281" s="35" t="n"/>
      <c r="CD281" s="35" t="n"/>
      <c r="CE281" s="35" t="n"/>
      <c r="CF281" s="261">
        <f>CF307*CF309/365</f>
        <v>390.053858009461</v>
      </c>
      <c r="CG281" s="261">
        <f>CG307*CG309/365</f>
        <v>431.219585466302</v>
      </c>
      <c r="CH281" s="261">
        <f>CH307*CH309/365</f>
        <v>482.138382448615</v>
      </c>
      <c r="CI281" s="261">
        <f>CI307*CI309/365</f>
        <v>533.298611750258</v>
      </c>
      <c r="CJ281" s="261">
        <f>CJ307*CJ309/365</f>
        <v>585.462123409276</v>
      </c>
      <c r="CK281" s="261">
        <f>CK307*CK309/365</f>
        <v>636.954543639378</v>
      </c>
      <c r="CL281" s="19" t="n"/>
    </row>
    <row r="282" ht="15" customHeight="1" s="251">
      <c r="B282" s="25" t="inlineStr">
        <is>
          <t xml:space="preserve">  Inventory, net</t>
        </is>
      </c>
      <c r="C282" s="259" t="n">
        <v>103.148</v>
      </c>
      <c r="D282" s="259" t="n">
        <v>103.022</v>
      </c>
      <c r="E282" s="259" t="n">
        <v>123.82</v>
      </c>
      <c r="F282" s="259" t="n">
        <v>134.275</v>
      </c>
      <c r="G282" s="259" t="n">
        <v>136.366</v>
      </c>
      <c r="H282" s="259" t="n">
        <v>144.175</v>
      </c>
      <c r="I282" s="259" t="n">
        <v>158.805</v>
      </c>
      <c r="J282" s="259" t="n">
        <v>161.517</v>
      </c>
      <c r="K282" s="259" t="n">
        <v>167.181</v>
      </c>
      <c r="L282" s="259" t="n">
        <v>172.625</v>
      </c>
      <c r="M282" s="259" t="n">
        <v>174.585</v>
      </c>
      <c r="N282" s="259" t="n">
        <v>174.585</v>
      </c>
      <c r="O282" s="259" t="n">
        <v>180.649</v>
      </c>
      <c r="P282" s="259" t="n">
        <v>193.179</v>
      </c>
      <c r="Q282" s="259" t="n">
        <v>198.425</v>
      </c>
      <c r="R282" s="259" t="n">
        <v>198.021</v>
      </c>
      <c r="S282" s="259" t="n">
        <v>198.021</v>
      </c>
      <c r="T282" s="259" t="n">
        <v>201.362</v>
      </c>
      <c r="U282" s="259" t="n">
        <v>199.332</v>
      </c>
      <c r="V282" s="259" t="n">
        <v>205.198</v>
      </c>
      <c r="W282" s="259" t="n">
        <v>206.158</v>
      </c>
      <c r="X282" s="259" t="n">
        <v>206.158</v>
      </c>
      <c r="Y282" s="259" t="n">
        <v>255.518</v>
      </c>
      <c r="Z282" s="259" t="n">
        <v>262.883</v>
      </c>
      <c r="AA282" s="259" t="n">
        <v>274.522</v>
      </c>
      <c r="AB282" s="259" t="n">
        <v>280.537</v>
      </c>
      <c r="AC282" s="259" t="n">
        <v>280.537</v>
      </c>
      <c r="AD282" s="259" t="n">
        <v>284.341</v>
      </c>
      <c r="AE282" s="259" t="n">
        <v>287.173</v>
      </c>
      <c r="AF282" s="259" t="n">
        <v>287.374</v>
      </c>
      <c r="AG282" s="259" t="n">
        <v>289.594</v>
      </c>
      <c r="AH282" s="259" t="n">
        <v>289.594</v>
      </c>
      <c r="AI282" s="259" t="n">
        <v>292.435</v>
      </c>
      <c r="AJ282" s="259" t="n">
        <v>297.259</v>
      </c>
      <c r="AK282" s="259" t="n">
        <v>303.013</v>
      </c>
      <c r="AL282" s="259" t="n">
        <v>306.124</v>
      </c>
      <c r="AM282" s="259" t="n">
        <v>306.124</v>
      </c>
      <c r="AN282" s="259" t="n">
        <v>311.305</v>
      </c>
      <c r="AO282" s="259" t="n">
        <v>324.238</v>
      </c>
      <c r="AP282" s="259" t="n">
        <v>329.496</v>
      </c>
      <c r="AQ282" s="259" t="n">
        <v>335.001</v>
      </c>
      <c r="AR282" s="259" t="n">
        <v>335.001</v>
      </c>
      <c r="AS282" s="259" t="n">
        <v>342.921</v>
      </c>
      <c r="AT282" s="259" t="n">
        <v>353.995</v>
      </c>
      <c r="AU282" s="259" t="n">
        <v>362.138</v>
      </c>
      <c r="AV282" s="259" t="n">
        <v>367.494</v>
      </c>
      <c r="AW282" s="259" t="n">
        <v>367.494</v>
      </c>
      <c r="AX282" s="259" t="n">
        <v>371.009</v>
      </c>
      <c r="AY282" s="259" t="n">
        <v>371.546</v>
      </c>
      <c r="AZ282" s="259" t="n">
        <v>372.104</v>
      </c>
      <c r="BA282" s="259" t="n">
        <v>364.147</v>
      </c>
      <c r="BB282" s="259" t="n">
        <v>364.147</v>
      </c>
      <c r="BC282" s="259" t="n">
        <v>369.854</v>
      </c>
      <c r="BD282" s="259" t="n">
        <v>370.745</v>
      </c>
      <c r="BE282" s="259" t="n">
        <v>510.175</v>
      </c>
      <c r="BF282" s="259" t="n">
        <v>516.14</v>
      </c>
      <c r="BG282" s="259" t="n">
        <v>516.14</v>
      </c>
      <c r="BH282" s="259" t="n">
        <v>542.05</v>
      </c>
      <c r="BI282" s="259" t="n">
        <v>557.801</v>
      </c>
      <c r="BJ282" s="259" t="n">
        <v>577.627</v>
      </c>
      <c r="BK282" s="259" t="n">
        <v>587.2</v>
      </c>
      <c r="BL282" s="259" t="n">
        <v>587.2</v>
      </c>
      <c r="BM282" s="259" t="n">
        <v>603.3</v>
      </c>
      <c r="BN282" s="259" t="n">
        <v>615</v>
      </c>
      <c r="BO282" s="259" t="n">
        <v>629.6</v>
      </c>
      <c r="BP282" s="259" t="n">
        <v>622.8</v>
      </c>
      <c r="BQ282" s="259" t="n">
        <v>622.8</v>
      </c>
      <c r="BR282" s="259" t="n">
        <v>635</v>
      </c>
      <c r="BS282" s="259" t="n">
        <v>646.7</v>
      </c>
      <c r="BT282" s="259" t="n">
        <v>656.9</v>
      </c>
      <c r="BU282" s="259" t="n">
        <v>654.5</v>
      </c>
      <c r="BV282" s="259" t="n">
        <v>654.5</v>
      </c>
      <c r="BW282" s="259" t="n">
        <v>679.7</v>
      </c>
      <c r="BX282" s="259" t="n">
        <v>768.7</v>
      </c>
      <c r="BY282" s="259" t="n">
        <v>781.5</v>
      </c>
      <c r="BZ282" s="259" t="n">
        <v>762.8</v>
      </c>
      <c r="CA282" s="259" t="n">
        <v>762.8</v>
      </c>
      <c r="CB282" s="259" t="n">
        <v>776.4</v>
      </c>
      <c r="CC282" s="35" t="n"/>
      <c r="CD282" s="35" t="n"/>
      <c r="CE282" s="35" t="n"/>
      <c r="CF282" s="261">
        <f>CF308*CF310/365</f>
        <v>849.474040929076</v>
      </c>
      <c r="CG282" s="261">
        <f>CG308*CG310/365</f>
        <v>926.960321077657</v>
      </c>
      <c r="CH282" s="261">
        <f>CH308*CH310/365</f>
        <v>1018.55998755245</v>
      </c>
      <c r="CI282" s="261">
        <f>CI308*CI310/365</f>
        <v>1106.53303177103</v>
      </c>
      <c r="CJ282" s="261">
        <f>CJ308*CJ310/365</f>
        <v>1203.0166599899</v>
      </c>
      <c r="CK282" s="261">
        <f>CK308*CK310/365</f>
        <v>1308.90769231994</v>
      </c>
      <c r="CL282" s="19" t="n"/>
    </row>
    <row r="283" ht="15" customHeight="1" s="251">
      <c r="B283" s="25" t="inlineStr">
        <is>
          <t xml:space="preserve">  Prepaid expenses &amp; other current assets (incl. short-term investments, deferred taxes to FY2016)</t>
        </is>
      </c>
      <c r="C283" s="259" t="n">
        <v>7.865</v>
      </c>
      <c r="D283" s="259" t="n">
        <v>10.029</v>
      </c>
      <c r="E283" s="259" t="n">
        <v>15.543</v>
      </c>
      <c r="F283" s="259" t="n">
        <v>15.589</v>
      </c>
      <c r="G283" s="259" t="n">
        <v>22.77</v>
      </c>
      <c r="H283" s="259" t="n">
        <v>17.097</v>
      </c>
      <c r="I283" s="259" t="n">
        <v>14.312</v>
      </c>
      <c r="J283" s="259" t="n">
        <v>14.1</v>
      </c>
      <c r="K283" s="259" t="n">
        <v>19.398</v>
      </c>
      <c r="L283" s="259" t="n">
        <v>19.659</v>
      </c>
      <c r="M283" s="259" t="n">
        <v>14.741</v>
      </c>
      <c r="N283" s="259" t="n">
        <v>14.741</v>
      </c>
      <c r="O283" s="259" t="n">
        <v>16.599</v>
      </c>
      <c r="P283" s="259" t="n">
        <v>17.682</v>
      </c>
      <c r="Q283" s="259" t="n">
        <v>21.581</v>
      </c>
      <c r="R283" s="259" t="n">
        <v>22.675</v>
      </c>
      <c r="S283" s="259" t="n">
        <v>22.675</v>
      </c>
      <c r="T283" s="259" t="n">
        <v>20.654</v>
      </c>
      <c r="U283" s="259" t="n">
        <v>22.839</v>
      </c>
      <c r="V283" s="259" t="n">
        <v>22.408</v>
      </c>
      <c r="W283" s="259" t="n">
        <v>17.12</v>
      </c>
      <c r="X283" s="259" t="n">
        <v>17.12</v>
      </c>
      <c r="Y283" s="259" t="n">
        <v>19.679</v>
      </c>
      <c r="Z283" s="259" t="n">
        <v>20.642</v>
      </c>
      <c r="AA283" s="259" t="n">
        <v>19.202</v>
      </c>
      <c r="AB283" s="259" t="n">
        <v>6.861</v>
      </c>
      <c r="AC283" s="259" t="n">
        <v>6.861</v>
      </c>
      <c r="AD283" s="259" t="n">
        <v>8.003</v>
      </c>
      <c r="AE283" s="259" t="n">
        <v>8.832000000000001</v>
      </c>
      <c r="AF283" s="259" t="n">
        <v>12.074</v>
      </c>
      <c r="AG283" s="259" t="n">
        <v>9.743</v>
      </c>
      <c r="AH283" s="259" t="n">
        <v>9.743</v>
      </c>
      <c r="AI283" s="259" t="n">
        <v>8.526999999999999</v>
      </c>
      <c r="AJ283" s="259" t="n">
        <v>8.026999999999999</v>
      </c>
      <c r="AK283" s="259" t="n">
        <v>13.304</v>
      </c>
      <c r="AL283" s="259" t="n">
        <v>6.473</v>
      </c>
      <c r="AM283" s="259" t="n">
        <v>6.473</v>
      </c>
      <c r="AN283" s="259" t="n">
        <v>7.626</v>
      </c>
      <c r="AO283" s="259" t="n">
        <v>12.969</v>
      </c>
      <c r="AP283" s="259" t="n">
        <v>10.424</v>
      </c>
      <c r="AQ283" s="259" t="n">
        <v>7.661</v>
      </c>
      <c r="AR283" s="259" t="n">
        <v>7.661</v>
      </c>
      <c r="AS283" s="259" t="n">
        <v>8.718999999999999</v>
      </c>
      <c r="AT283" s="259" t="n">
        <v>13.939</v>
      </c>
      <c r="AU283" s="259" t="n">
        <v>10.423</v>
      </c>
      <c r="AV283" s="259" t="n">
        <v>12.262</v>
      </c>
      <c r="AW283" s="259" t="n">
        <v>12.262</v>
      </c>
      <c r="AX283" s="259" t="n">
        <v>11.041</v>
      </c>
      <c r="AY283" s="259" t="n">
        <v>15.038</v>
      </c>
      <c r="AZ283" s="259" t="n">
        <v>87.54000000000001</v>
      </c>
      <c r="BA283" s="259" t="n">
        <v>102.497</v>
      </c>
      <c r="BB283" s="259" t="n">
        <v>102.497</v>
      </c>
      <c r="BC283" s="259" t="n">
        <v>134.743</v>
      </c>
      <c r="BD283" s="259" t="n">
        <v>30.875</v>
      </c>
      <c r="BE283" s="259" t="n">
        <v>21.774</v>
      </c>
      <c r="BF283" s="259" t="n">
        <v>15.748</v>
      </c>
      <c r="BG283" s="259" t="n">
        <v>15.748</v>
      </c>
      <c r="BH283" s="259" t="n">
        <v>19.456</v>
      </c>
      <c r="BI283" s="259" t="n">
        <v>28.708</v>
      </c>
      <c r="BJ283" s="259" t="n">
        <v>27.572</v>
      </c>
      <c r="BK283" s="259" t="n">
        <v>21.1</v>
      </c>
      <c r="BL283" s="259" t="n">
        <v>21.1</v>
      </c>
      <c r="BM283" s="259" t="n">
        <v>23.7</v>
      </c>
      <c r="BN283" s="259" t="n">
        <v>22</v>
      </c>
      <c r="BO283" s="259" t="n">
        <v>26.3</v>
      </c>
      <c r="BP283" s="259" t="n">
        <v>24</v>
      </c>
      <c r="BQ283" s="259" t="n">
        <v>24</v>
      </c>
      <c r="BR283" s="259" t="n">
        <v>27.7</v>
      </c>
      <c r="BS283" s="259" t="n">
        <v>31</v>
      </c>
      <c r="BT283" s="259" t="n">
        <v>29.7</v>
      </c>
      <c r="BU283" s="259" t="n">
        <v>28.4</v>
      </c>
      <c r="BV283" s="259" t="n">
        <v>28.4</v>
      </c>
      <c r="BW283" s="259" t="n">
        <v>30.1</v>
      </c>
      <c r="BX283" s="259" t="n">
        <v>54.2</v>
      </c>
      <c r="BY283" s="259" t="n">
        <v>45.9</v>
      </c>
      <c r="BZ283" s="259" t="n">
        <v>29.1</v>
      </c>
      <c r="CA283" s="259" t="n">
        <v>29.1</v>
      </c>
      <c r="CB283" s="259" t="n">
        <v>39.8</v>
      </c>
      <c r="CC283" s="35" t="n"/>
      <c r="CD283" s="35" t="n"/>
      <c r="CE283" s="35" t="n"/>
      <c r="CF283" s="261">
        <f>CB283</f>
        <v>39.8</v>
      </c>
      <c r="CG283" s="261">
        <f>CF283</f>
        <v>39.8</v>
      </c>
      <c r="CH283" s="261">
        <f>CG283</f>
        <v>39.8</v>
      </c>
      <c r="CI283" s="261">
        <f>CH283</f>
        <v>39.8</v>
      </c>
      <c r="CJ283" s="261">
        <f>CI283</f>
        <v>39.8</v>
      </c>
      <c r="CK283" s="261">
        <f>CJ283</f>
        <v>39.8</v>
      </c>
      <c r="CL283" s="19" t="n"/>
    </row>
    <row r="284" ht="15" customHeight="1" s="251">
      <c r="B284" s="16" t="inlineStr">
        <is>
          <t>Total current assets</t>
        </is>
      </c>
      <c r="C284" s="280">
        <f>IF(ISNUMBER(C280),SUM(C280:C283),"")</f>
        <v>178.074</v>
      </c>
      <c r="D284" s="280">
        <f>IF(ISNUMBER(D280),SUM(D280:D283),"")</f>
        <v>172.871</v>
      </c>
      <c r="E284" s="280">
        <f>IF(ISNUMBER(E280),SUM(E280:E283),"")</f>
        <v>215.359</v>
      </c>
      <c r="F284" s="280">
        <f>IF(ISNUMBER(F280),SUM(F280:F283),"")</f>
        <v>244.113</v>
      </c>
      <c r="G284" s="280">
        <f>IF(ISNUMBER(G280),SUM(G280:G283),"")</f>
        <v>234.503</v>
      </c>
      <c r="H284" s="280">
        <f>IF(ISNUMBER(H280),SUM(H280:H283),"")</f>
        <v>285.342</v>
      </c>
      <c r="I284" s="280">
        <f>IF(ISNUMBER(I280),SUM(I280:I283),"")</f>
        <v>314.298</v>
      </c>
      <c r="J284" s="280">
        <f>IF(ISNUMBER(J280),SUM(J280:J283),"")</f>
        <v>335.909</v>
      </c>
      <c r="K284" s="280">
        <f>IF(ISNUMBER(K280),SUM(K280:K283),"")</f>
        <v>355.25</v>
      </c>
      <c r="L284" s="280">
        <f>IF(ISNUMBER(L280),SUM(L280:L283),"")</f>
        <v>366.07</v>
      </c>
      <c r="M284" s="280">
        <f>IF(ISNUMBER(M280),SUM(M280:M283),"")</f>
        <v>373.521</v>
      </c>
      <c r="N284" s="280">
        <f>IF(ISNUMBER(N280),SUM(N280:N283),"")</f>
        <v>373.521</v>
      </c>
      <c r="O284" s="280">
        <f>IF(ISNUMBER(O280),SUM(O280:O283),"")</f>
        <v>392.909</v>
      </c>
      <c r="P284" s="280">
        <f>IF(ISNUMBER(P280),SUM(P280:P283),"")</f>
        <v>393.114</v>
      </c>
      <c r="Q284" s="280">
        <f>IF(ISNUMBER(Q280),SUM(Q280:Q283),"")</f>
        <v>403.291</v>
      </c>
      <c r="R284" s="280">
        <f>IF(ISNUMBER(R280),SUM(R280:R283),"")</f>
        <v>417.545</v>
      </c>
      <c r="S284" s="280">
        <f>IF(ISNUMBER(S280),SUM(S280:S283),"")</f>
        <v>417.545</v>
      </c>
      <c r="T284" s="280">
        <f>IF(ISNUMBER(T280),SUM(T280:T283),"")</f>
        <v>397.252</v>
      </c>
      <c r="U284" s="280">
        <f>IF(ISNUMBER(U280),SUM(U280:U283),"")</f>
        <v>403.619</v>
      </c>
      <c r="V284" s="280">
        <f>IF(ISNUMBER(V280),SUM(V280:V283),"")</f>
        <v>413.426</v>
      </c>
      <c r="W284" s="280">
        <f>IF(ISNUMBER(W280),SUM(W280:W283),"")</f>
        <v>425.384</v>
      </c>
      <c r="X284" s="280">
        <f>IF(ISNUMBER(X280),SUM(X280:X283),"")</f>
        <v>425.384</v>
      </c>
      <c r="Y284" s="280">
        <f>IF(ISNUMBER(Y280),SUM(Y280:Y283),"")</f>
        <v>438.72</v>
      </c>
      <c r="Z284" s="280">
        <f>IF(ISNUMBER(Z280),SUM(Z280:Z283),"")</f>
        <v>424.734</v>
      </c>
      <c r="AA284" s="280">
        <f>IF(ISNUMBER(AA280),SUM(AA280:AA283),"")</f>
        <v>428.459</v>
      </c>
      <c r="AB284" s="280">
        <f>IF(ISNUMBER(AB280),SUM(AB280:AB283),"")</f>
        <v>428.957</v>
      </c>
      <c r="AC284" s="280">
        <f>IF(ISNUMBER(AC280),SUM(AC280:AC283),"")</f>
        <v>428.957</v>
      </c>
      <c r="AD284" s="280">
        <f>IF(ISNUMBER(AD280),SUM(AD280:AD283),"")</f>
        <v>431.113</v>
      </c>
      <c r="AE284" s="280">
        <f>IF(ISNUMBER(AE280),SUM(AE280:AE283),"")</f>
        <v>437.409</v>
      </c>
      <c r="AF284" s="280">
        <f>IF(ISNUMBER(AF280),SUM(AF280:AF283),"")</f>
        <v>437.232</v>
      </c>
      <c r="AG284" s="280">
        <f>IF(ISNUMBER(AG280),SUM(AG280:AG283),"")</f>
        <v>447.96</v>
      </c>
      <c r="AH284" s="280">
        <f>IF(ISNUMBER(AH280),SUM(AH280:AH283),"")</f>
        <v>447.96</v>
      </c>
      <c r="AI284" s="280">
        <f>IF(ISNUMBER(AI280),SUM(AI280:AI283),"")</f>
        <v>459.065</v>
      </c>
      <c r="AJ284" s="280">
        <f>IF(ISNUMBER(AJ280),SUM(AJ280:AJ283),"")</f>
        <v>457.859</v>
      </c>
      <c r="AK284" s="280">
        <f>IF(ISNUMBER(AK280),SUM(AK280:AK283),"")</f>
        <v>470.062</v>
      </c>
      <c r="AL284" s="280">
        <f>IF(ISNUMBER(AL280),SUM(AL280:AL283),"")</f>
        <v>483.65</v>
      </c>
      <c r="AM284" s="280">
        <f>IF(ISNUMBER(AM280),SUM(AM280:AM283),"")</f>
        <v>483.65</v>
      </c>
      <c r="AN284" s="280">
        <f>IF(ISNUMBER(AN280),SUM(AN280:AN283),"")</f>
        <v>490.798</v>
      </c>
      <c r="AO284" s="280">
        <f>IF(ISNUMBER(AO280),SUM(AO280:AO283),"")</f>
        <v>517.093</v>
      </c>
      <c r="AP284" s="280">
        <f>IF(ISNUMBER(AP280),SUM(AP280:AP283),"")</f>
        <v>538.29</v>
      </c>
      <c r="AQ284" s="280">
        <f>IF(ISNUMBER(AQ280),SUM(AQ280:AQ283),"")</f>
        <v>503.281</v>
      </c>
      <c r="AR284" s="280">
        <f>IF(ISNUMBER(AR280),SUM(AR280:AR283),"")</f>
        <v>503.281</v>
      </c>
      <c r="AS284" s="280">
        <f>IF(ISNUMBER(AS280),SUM(AS280:AS283),"")</f>
        <v>514.441</v>
      </c>
      <c r="AT284" s="280">
        <f>IF(ISNUMBER(AT280),SUM(AT280:AT283),"")</f>
        <v>533.95</v>
      </c>
      <c r="AU284" s="280">
        <f>IF(ISNUMBER(AU280),SUM(AU280:AU283),"")</f>
        <v>554.736</v>
      </c>
      <c r="AV284" s="280">
        <f>IF(ISNUMBER(AV280),SUM(AV280:AV283),"")</f>
        <v>612.006</v>
      </c>
      <c r="AW284" s="280">
        <f>IF(ISNUMBER(AW280),SUM(AW280:AW283),"")</f>
        <v>612.006</v>
      </c>
      <c r="AX284" s="280">
        <f>IF(ISNUMBER(AX280),SUM(AX280:AX283),"")</f>
        <v>638.849</v>
      </c>
      <c r="AY284" s="280">
        <f>IF(ISNUMBER(AY280),SUM(AY280:AY283),"")</f>
        <v>661.014</v>
      </c>
      <c r="AZ284" s="280">
        <f>IF(ISNUMBER(AZ280),SUM(AZ280:AZ283),"")</f>
        <v>692.342</v>
      </c>
      <c r="BA284" s="280">
        <f>IF(ISNUMBER(BA280),SUM(BA280:BA283),"")</f>
        <v>728.202</v>
      </c>
      <c r="BB284" s="280">
        <f>IF(ISNUMBER(BB280),SUM(BB280:BB283),"")</f>
        <v>728.202</v>
      </c>
      <c r="BC284" s="280">
        <f>IF(ISNUMBER(BC280),SUM(BC280:BC283),"")</f>
        <v>786.124</v>
      </c>
      <c r="BD284" s="280">
        <f>IF(ISNUMBER(BD280),SUM(BD280:BD283),"")</f>
        <v>1859.881</v>
      </c>
      <c r="BE284" s="280">
        <f>IF(ISNUMBER(BE280),SUM(BE280:BE283),"")</f>
        <v>987.237</v>
      </c>
      <c r="BF284" s="280">
        <f>IF(ISNUMBER(BF280),SUM(BF280:BF283),"")</f>
        <v>962.237</v>
      </c>
      <c r="BG284" s="280">
        <f>IF(ISNUMBER(BG280),SUM(BG280:BG283),"")</f>
        <v>962.237</v>
      </c>
      <c r="BH284" s="280">
        <f>IF(ISNUMBER(BH280),SUM(BH280:BH283),"")</f>
        <v>916.08</v>
      </c>
      <c r="BI284" s="280">
        <f>IF(ISNUMBER(BI280),SUM(BI280:BI283),"")</f>
        <v>911.531</v>
      </c>
      <c r="BJ284" s="280">
        <f>IF(ISNUMBER(BJ280),SUM(BJ280:BJ283),"")</f>
        <v>901.771</v>
      </c>
      <c r="BK284" s="280">
        <f>IF(ISNUMBER(BK280),SUM(BK280:BK283),"")</f>
        <v>913.3</v>
      </c>
      <c r="BL284" s="280">
        <f>IF(ISNUMBER(BL280),SUM(BL280:BL283),"")</f>
        <v>913.3</v>
      </c>
      <c r="BM284" s="280">
        <f>IF(ISNUMBER(BM280),SUM(BM280:BM283),"")</f>
        <v>935.5</v>
      </c>
      <c r="BN284" s="280">
        <f>IF(ISNUMBER(BN280),SUM(BN280:BN283),"")</f>
        <v>938.2</v>
      </c>
      <c r="BO284" s="280">
        <f>IF(ISNUMBER(BO280),SUM(BO280:BO283),"")</f>
        <v>957.3</v>
      </c>
      <c r="BP284" s="280">
        <f>IF(ISNUMBER(BP280),SUM(BP280:BP283),"")</f>
        <v>965.5</v>
      </c>
      <c r="BQ284" s="280">
        <f>IF(ISNUMBER(BQ280),SUM(BQ280:BQ283),"")</f>
        <v>965.5</v>
      </c>
      <c r="BR284" s="280">
        <f>IF(ISNUMBER(BR280),SUM(BR280:BR283),"")</f>
        <v>994.2</v>
      </c>
      <c r="BS284" s="280">
        <f>IF(ISNUMBER(BS280),SUM(BS280:BS283),"")</f>
        <v>1022.2</v>
      </c>
      <c r="BT284" s="280">
        <f>IF(ISNUMBER(BT280),SUM(BT280:BT283),"")</f>
        <v>1003.3</v>
      </c>
      <c r="BU284" s="280">
        <f>IF(ISNUMBER(BU280),SUM(BU280:BU283),"")</f>
        <v>1027.3</v>
      </c>
      <c r="BV284" s="280">
        <f>IF(ISNUMBER(BV280),SUM(BV280:BV283),"")</f>
        <v>1027.3</v>
      </c>
      <c r="BW284" s="280">
        <f>IF(ISNUMBER(BW280),SUM(BW280:BW283),"")</f>
        <v>1135.2</v>
      </c>
      <c r="BX284" s="280">
        <f>IF(ISNUMBER(BX280),SUM(BX280:BX283),"")</f>
        <v>1193.3</v>
      </c>
      <c r="BY284" s="280">
        <f>IF(ISNUMBER(BY280),SUM(BY280:BY283),"")</f>
        <v>1220.8</v>
      </c>
      <c r="BZ284" s="280">
        <f>IF(ISNUMBER(BZ280),SUM(BZ280:BZ283),"")</f>
        <v>1189.8</v>
      </c>
      <c r="CA284" s="280">
        <f>IF(ISNUMBER(CA280),SUM(CA280:CA283),"")</f>
        <v>1189.8</v>
      </c>
      <c r="CB284" s="280">
        <f>IF(ISNUMBER(CB280),SUM(CB280:CB283),"")</f>
        <v>1266.9</v>
      </c>
      <c r="CC284" s="32" t="n"/>
      <c r="CD284" s="32" t="n"/>
      <c r="CE284" s="32" t="n"/>
      <c r="CF284" s="254">
        <f>IF(ISNUMBER(CF280),SUM(CF280:CF283),"")</f>
        <v>1354.32789893854</v>
      </c>
      <c r="CG284" s="254">
        <f>IF(ISNUMBER(CG280),SUM(CG280:CG283),"")</f>
        <v>1472.97990654396</v>
      </c>
      <c r="CH284" s="254">
        <f>IF(ISNUMBER(CH280),SUM(CH280:CH283),"")</f>
        <v>1615.49837000107</v>
      </c>
      <c r="CI284" s="254">
        <f>IF(ISNUMBER(CI280),SUM(CI280:CI283),"")</f>
        <v>1754.63164352128</v>
      </c>
      <c r="CJ284" s="254">
        <f>IF(ISNUMBER(CJ280),SUM(CJ280:CJ283),"")</f>
        <v>1903.27878339917</v>
      </c>
      <c r="CK284" s="254">
        <f>IF(ISNUMBER(CK280),SUM(CK280:CK283),"")</f>
        <v>2060.66223595932</v>
      </c>
      <c r="CL284" s="153" t="n"/>
    </row>
    <row r="285" ht="15" customHeight="1" s="251">
      <c r="B285" s="25" t="inlineStr">
        <is>
          <t xml:space="preserve">  Property, plant &amp; equipment, net</t>
        </is>
      </c>
      <c r="C285" s="259" t="n">
        <v>58.028</v>
      </c>
      <c r="D285" s="259" t="n">
        <v>61.209</v>
      </c>
      <c r="E285" s="259" t="n">
        <v>73.24299999999999</v>
      </c>
      <c r="F285" s="259" t="n">
        <v>87.697</v>
      </c>
      <c r="G285" s="259" t="n">
        <v>89.53700000000001</v>
      </c>
      <c r="H285" s="259" t="n">
        <v>88.408</v>
      </c>
      <c r="I285" s="259" t="n">
        <v>93.373</v>
      </c>
      <c r="J285" s="259" t="n">
        <v>95.95099999999999</v>
      </c>
      <c r="K285" s="259" t="n">
        <v>98.249</v>
      </c>
      <c r="L285" s="259" t="n">
        <v>114.558</v>
      </c>
      <c r="M285" s="259" t="n">
        <v>116.118</v>
      </c>
      <c r="N285" s="259" t="n">
        <v>116.118</v>
      </c>
      <c r="O285" s="259" t="n">
        <v>118.643</v>
      </c>
      <c r="P285" s="259" t="n">
        <v>127.252</v>
      </c>
      <c r="Q285" s="259" t="n">
        <v>133.795</v>
      </c>
      <c r="R285" s="259" t="n">
        <v>137.154</v>
      </c>
      <c r="S285" s="259" t="n">
        <v>137.154</v>
      </c>
      <c r="T285" s="259" t="n">
        <v>136.94</v>
      </c>
      <c r="U285" s="259" t="n">
        <v>138.678</v>
      </c>
      <c r="V285" s="259" t="n">
        <v>138.837</v>
      </c>
      <c r="W285" s="259" t="n">
        <v>141.649</v>
      </c>
      <c r="X285" s="259" t="n">
        <v>141.649</v>
      </c>
      <c r="Y285" s="259" t="n">
        <v>185.313</v>
      </c>
      <c r="Z285" s="259" t="n">
        <v>184.102</v>
      </c>
      <c r="AA285" s="259" t="n">
        <v>184.031</v>
      </c>
      <c r="AB285" s="259" t="n">
        <v>184.744</v>
      </c>
      <c r="AC285" s="259" t="n">
        <v>184.744</v>
      </c>
      <c r="AD285" s="259" t="n">
        <v>184.799</v>
      </c>
      <c r="AE285" s="259" t="n">
        <v>184.783</v>
      </c>
      <c r="AF285" s="259" t="n">
        <v>181.142</v>
      </c>
      <c r="AG285" s="259" t="n">
        <v>183.625</v>
      </c>
      <c r="AH285" s="259" t="n">
        <v>183.625</v>
      </c>
      <c r="AI285" s="259" t="n">
        <v>185.853</v>
      </c>
      <c r="AJ285" s="259" t="n">
        <v>186.703</v>
      </c>
      <c r="AK285" s="259" t="n">
        <v>190.313</v>
      </c>
      <c r="AL285" s="259" t="n">
        <v>192.513</v>
      </c>
      <c r="AM285" s="259" t="n">
        <v>192.513</v>
      </c>
      <c r="AN285" s="259" t="n">
        <v>191.636</v>
      </c>
      <c r="AO285" s="259" t="n">
        <v>197.449</v>
      </c>
      <c r="AP285" s="259" t="n">
        <v>202.08</v>
      </c>
      <c r="AQ285" s="259" t="n">
        <v>207.895</v>
      </c>
      <c r="AR285" s="259" t="n">
        <v>207.895</v>
      </c>
      <c r="AS285" s="259" t="n">
        <v>215.189</v>
      </c>
      <c r="AT285" s="259" t="n">
        <v>220.063</v>
      </c>
      <c r="AU285" s="259" t="n">
        <v>222.599</v>
      </c>
      <c r="AV285" s="259" t="n">
        <v>219.846</v>
      </c>
      <c r="AW285" s="259" t="n">
        <v>219.846</v>
      </c>
      <c r="AX285" s="259" t="n">
        <v>218.128</v>
      </c>
      <c r="AY285" s="259" t="n">
        <v>214.347</v>
      </c>
      <c r="AZ285" s="259" t="n">
        <v>212.702</v>
      </c>
      <c r="BA285" s="259" t="n">
        <v>208.264</v>
      </c>
      <c r="BB285" s="259" t="n">
        <v>208.264</v>
      </c>
      <c r="BC285" s="259" t="n">
        <v>206.276</v>
      </c>
      <c r="BD285" s="259" t="n">
        <v>203.166</v>
      </c>
      <c r="BE285" s="259" t="n">
        <v>396.164</v>
      </c>
      <c r="BF285" s="259" t="n">
        <v>386.732</v>
      </c>
      <c r="BG285" s="259" t="n">
        <v>386.732</v>
      </c>
      <c r="BH285" s="259" t="n">
        <v>384.497</v>
      </c>
      <c r="BI285" s="259" t="n">
        <v>378.291</v>
      </c>
      <c r="BJ285" s="259" t="n">
        <v>375.763</v>
      </c>
      <c r="BK285" s="259" t="n">
        <v>375.3</v>
      </c>
      <c r="BL285" s="259" t="n">
        <v>375.3</v>
      </c>
      <c r="BM285" s="259" t="n">
        <v>370.5</v>
      </c>
      <c r="BN285" s="259" t="n">
        <v>365.7</v>
      </c>
      <c r="BO285" s="259" t="n">
        <v>365</v>
      </c>
      <c r="BP285" s="259" t="n">
        <v>361</v>
      </c>
      <c r="BQ285" s="259" t="n">
        <v>361</v>
      </c>
      <c r="BR285" s="259" t="n">
        <v>356.8</v>
      </c>
      <c r="BS285" s="259" t="n">
        <v>362.5</v>
      </c>
      <c r="BT285" s="259" t="n">
        <v>357.7</v>
      </c>
      <c r="BU285" s="259" t="n">
        <v>359</v>
      </c>
      <c r="BV285" s="259" t="n">
        <v>359</v>
      </c>
      <c r="BW285" s="259" t="n">
        <v>363.9</v>
      </c>
      <c r="BX285" s="259" t="n">
        <v>407.6</v>
      </c>
      <c r="BY285" s="259" t="n">
        <v>416.7</v>
      </c>
      <c r="BZ285" s="259" t="n">
        <v>419</v>
      </c>
      <c r="CA285" s="259" t="n">
        <v>419</v>
      </c>
      <c r="CB285" s="259" t="n">
        <v>430</v>
      </c>
      <c r="CC285" s="35" t="n"/>
      <c r="CD285" s="35" t="n"/>
      <c r="CE285" s="35" t="n"/>
      <c r="CF285" s="261">
        <f>CB285-(CF240-SUM(CB240:CB240))-SUM(CC89:CE89)+CF331*CF332</f>
        <v>462.611082878533</v>
      </c>
      <c r="CG285" s="261">
        <f>CF285-CG240-CG89+CG50*CG58</f>
        <v>521.228382641296</v>
      </c>
      <c r="CH285" s="261">
        <f>CG285-CH240-CH89+CH50*CH58</f>
        <v>577.892096216106</v>
      </c>
      <c r="CI285" s="261">
        <f>CH285-CI240-CI89+CI50*CI58</f>
        <v>628.537216716438</v>
      </c>
      <c r="CJ285" s="261">
        <f>CI285-CJ240-CJ89+CJ50*CJ58</f>
        <v>681.201697402964</v>
      </c>
      <c r="CK285" s="261">
        <f>CJ285-CK240-CK89+CK50*CK58</f>
        <v>735.859558902943</v>
      </c>
      <c r="CL285" s="19" t="inlineStr">
        <is>
          <t>Roll-forward: prior − capex (negative cash flow) − D&amp;A excl. M&amp;A amortization + acquired PP&amp;E.</t>
        </is>
      </c>
    </row>
    <row r="286" ht="15" customHeight="1" s="251">
      <c r="B286" s="25" t="inlineStr">
        <is>
          <t xml:space="preserve">  Goodwill</t>
        </is>
      </c>
      <c r="C286" s="259" t="n">
        <v>25.15</v>
      </c>
      <c r="D286" s="259" t="n">
        <v>29.631</v>
      </c>
      <c r="E286" s="259" t="n">
        <v>31.821</v>
      </c>
      <c r="F286" s="259" t="n">
        <v>32.999</v>
      </c>
      <c r="G286" s="259" t="n">
        <v>34.713</v>
      </c>
      <c r="H286" s="259" t="n">
        <v>34.713</v>
      </c>
      <c r="I286" s="259" t="n">
        <v>34.713</v>
      </c>
      <c r="J286" s="259" t="n">
        <v>34.713</v>
      </c>
      <c r="K286" s="259" t="n">
        <v>34.713</v>
      </c>
      <c r="L286" s="259" t="n">
        <v>34.713</v>
      </c>
      <c r="M286" s="259" t="n">
        <v>34.713</v>
      </c>
      <c r="N286" s="259" t="n">
        <v>34.713</v>
      </c>
      <c r="O286" s="259" t="n">
        <v>34.713</v>
      </c>
      <c r="P286" s="259" t="n">
        <v>40.252</v>
      </c>
      <c r="Q286" s="259" t="n">
        <v>43.073</v>
      </c>
      <c r="R286" s="259" t="n">
        <v>43.452</v>
      </c>
      <c r="S286" s="259" t="n">
        <v>43.452</v>
      </c>
      <c r="T286" s="259" t="n">
        <v>43.452</v>
      </c>
      <c r="U286" s="259" t="n">
        <v>43.439</v>
      </c>
      <c r="V286" s="259" t="n">
        <v>43.439</v>
      </c>
      <c r="W286" s="259" t="n">
        <v>43.439</v>
      </c>
      <c r="X286" s="259" t="n">
        <v>43.439</v>
      </c>
      <c r="Y286" s="259" t="n">
        <v>259.312</v>
      </c>
      <c r="Z286" s="259" t="n">
        <v>269.901</v>
      </c>
      <c r="AA286" s="259" t="n">
        <v>267.44</v>
      </c>
      <c r="AB286" s="259" t="n">
        <v>267.259</v>
      </c>
      <c r="AC286" s="259" t="n">
        <v>267.259</v>
      </c>
      <c r="AD286" s="259" t="n">
        <v>268.08</v>
      </c>
      <c r="AE286" s="259" t="n">
        <v>268.059</v>
      </c>
      <c r="AF286" s="259" t="n">
        <v>268.031</v>
      </c>
      <c r="AG286" s="259" t="n">
        <v>268.042</v>
      </c>
      <c r="AH286" s="259" t="n">
        <v>268.042</v>
      </c>
      <c r="AI286" s="259" t="n">
        <v>268.075</v>
      </c>
      <c r="AJ286" s="259" t="n">
        <v>268.123</v>
      </c>
      <c r="AK286" s="259" t="n">
        <v>268.123</v>
      </c>
      <c r="AL286" s="259" t="n">
        <v>268.124</v>
      </c>
      <c r="AM286" s="259" t="n">
        <v>268.124</v>
      </c>
      <c r="AN286" s="259" t="n">
        <v>268.122</v>
      </c>
      <c r="AO286" s="259" t="n">
        <v>268.123</v>
      </c>
      <c r="AP286" s="259" t="n">
        <v>261.431</v>
      </c>
      <c r="AQ286" s="259" t="n">
        <v>261.431</v>
      </c>
      <c r="AR286" s="259" t="n">
        <v>261.431</v>
      </c>
      <c r="AS286" s="259" t="n">
        <v>261.432</v>
      </c>
      <c r="AT286" s="259" t="n">
        <v>276.798</v>
      </c>
      <c r="AU286" s="259" t="n">
        <v>277.381</v>
      </c>
      <c r="AV286" s="259" t="n">
        <v>277.776</v>
      </c>
      <c r="AW286" s="259" t="n">
        <v>277.776</v>
      </c>
      <c r="AX286" s="259" t="n">
        <v>277.455</v>
      </c>
      <c r="AY286" s="259" t="n">
        <v>277.784</v>
      </c>
      <c r="AZ286" s="259" t="n">
        <v>278.472</v>
      </c>
      <c r="BA286" s="259" t="n">
        <v>277.536</v>
      </c>
      <c r="BB286" s="259" t="n">
        <v>277.536</v>
      </c>
      <c r="BC286" s="259" t="n">
        <v>277.93</v>
      </c>
      <c r="BD286" s="259" t="n">
        <v>277.758</v>
      </c>
      <c r="BE286" s="259" t="n">
        <v>1886.874</v>
      </c>
      <c r="BF286" s="259" t="n">
        <v>1902.104</v>
      </c>
      <c r="BG286" s="259" t="n">
        <v>1902.104</v>
      </c>
      <c r="BH286" s="259" t="n">
        <v>1876.642</v>
      </c>
      <c r="BI286" s="259" t="n">
        <v>1872.689</v>
      </c>
      <c r="BJ286" s="259" t="n">
        <v>1869.238</v>
      </c>
      <c r="BK286" s="259" t="n">
        <v>1869.8</v>
      </c>
      <c r="BL286" s="259" t="n">
        <v>1869.8</v>
      </c>
      <c r="BM286" s="259" t="n">
        <v>1870.9</v>
      </c>
      <c r="BN286" s="259" t="n">
        <v>1873.9</v>
      </c>
      <c r="BO286" s="259" t="n">
        <v>1876.7</v>
      </c>
      <c r="BP286" s="259" t="n">
        <v>1874.9</v>
      </c>
      <c r="BQ286" s="259" t="n">
        <v>1874.9</v>
      </c>
      <c r="BR286" s="259" t="n">
        <v>1874.2</v>
      </c>
      <c r="BS286" s="259" t="n">
        <v>1875.9</v>
      </c>
      <c r="BT286" s="259" t="n">
        <v>1871.6</v>
      </c>
      <c r="BU286" s="259" t="n">
        <v>1872.2</v>
      </c>
      <c r="BV286" s="259" t="n">
        <v>1872.2</v>
      </c>
      <c r="BW286" s="259" t="n">
        <v>1876.2</v>
      </c>
      <c r="BX286" s="259" t="n">
        <v>1985.2</v>
      </c>
      <c r="BY286" s="259" t="n">
        <v>1987.7</v>
      </c>
      <c r="BZ286" s="259" t="n">
        <v>2003.4</v>
      </c>
      <c r="CA286" s="259" t="n">
        <v>2003.4</v>
      </c>
      <c r="CB286" s="259" t="n">
        <v>2002.5</v>
      </c>
      <c r="CC286" s="35" t="n"/>
      <c r="CD286" s="35" t="n"/>
      <c r="CE286" s="35" t="n"/>
      <c r="CF286" s="261">
        <f>CB286+CF331*(1-CF332-CF333)</f>
        <v>2014.6</v>
      </c>
      <c r="CG286" s="261">
        <f>CF286+CG50*(1-CG58-CG59)</f>
        <v>2122.1</v>
      </c>
      <c r="CH286" s="261">
        <f>CG286+CH50*(1-CH58-CH59)</f>
        <v>2229.6</v>
      </c>
      <c r="CI286" s="261">
        <f>CH286+CI50*(1-CI58-CI59)</f>
        <v>2337.1</v>
      </c>
      <c r="CJ286" s="261">
        <f>CI286+CJ50*(1-CJ58-CJ59)</f>
        <v>2444.6</v>
      </c>
      <c r="CK286" s="261">
        <f>CJ286+CK50*(1-CK58-CK59)</f>
        <v>2552.1</v>
      </c>
      <c r="CL286" s="19" t="n"/>
    </row>
    <row r="287" ht="15" customHeight="1" s="251">
      <c r="B287" s="25" t="inlineStr">
        <is>
          <t xml:space="preserve">  Intangible assets, net</t>
        </is>
      </c>
      <c r="C287" s="259" t="n">
        <v>3.981</v>
      </c>
      <c r="D287" s="259" t="n">
        <v>5.793</v>
      </c>
      <c r="E287" s="259" t="n">
        <v>11.404</v>
      </c>
      <c r="F287" s="259" t="n">
        <v>12.673</v>
      </c>
      <c r="G287" s="259" t="n">
        <v>12.665</v>
      </c>
      <c r="H287" s="259" t="n">
        <v>12.121</v>
      </c>
      <c r="I287" s="259" t="n">
        <v>11.38</v>
      </c>
      <c r="J287" s="259" t="n">
        <v>11.028</v>
      </c>
      <c r="K287" s="259" t="n">
        <v>10.978</v>
      </c>
      <c r="L287" s="259" t="n">
        <v>10.847</v>
      </c>
      <c r="M287" s="259" t="n">
        <v>11.158</v>
      </c>
      <c r="N287" s="259" t="n">
        <v>11.158</v>
      </c>
      <c r="O287" s="259" t="n">
        <v>10.784</v>
      </c>
      <c r="P287" s="259" t="n">
        <v>14.576</v>
      </c>
      <c r="Q287" s="259" t="n">
        <v>14.872</v>
      </c>
      <c r="R287" s="259" t="n">
        <v>14.617</v>
      </c>
      <c r="S287" s="259" t="n">
        <v>14.617</v>
      </c>
      <c r="T287" s="259" t="n">
        <v>14.376</v>
      </c>
      <c r="U287" s="259" t="n">
        <v>12.774</v>
      </c>
      <c r="V287" s="259" t="n">
        <v>12.383</v>
      </c>
      <c r="W287" s="259" t="n">
        <v>12.028</v>
      </c>
      <c r="X287" s="259" t="n">
        <v>12.028</v>
      </c>
      <c r="Y287" s="259" t="n">
        <v>212.913</v>
      </c>
      <c r="Z287" s="259" t="n">
        <v>208.553</v>
      </c>
      <c r="AA287" s="259" t="n">
        <v>208.733</v>
      </c>
      <c r="AB287" s="259" t="n">
        <v>207.252</v>
      </c>
      <c r="AC287" s="259" t="n">
        <v>207.252</v>
      </c>
      <c r="AD287" s="259" t="n">
        <v>203.894</v>
      </c>
      <c r="AE287" s="259" t="n">
        <v>201.573</v>
      </c>
      <c r="AF287" s="259" t="n">
        <v>199.107</v>
      </c>
      <c r="AG287" s="259" t="n">
        <v>196.801</v>
      </c>
      <c r="AH287" s="259" t="n">
        <v>196.801</v>
      </c>
      <c r="AI287" s="259" t="n">
        <v>194.984</v>
      </c>
      <c r="AJ287" s="259" t="n">
        <v>187.988</v>
      </c>
      <c r="AK287" s="259" t="n">
        <v>185.923</v>
      </c>
      <c r="AL287" s="259" t="n">
        <v>183.764</v>
      </c>
      <c r="AM287" s="259" t="n">
        <v>183.764</v>
      </c>
      <c r="AN287" s="259" t="n">
        <v>181.867</v>
      </c>
      <c r="AO287" s="259" t="n">
        <v>180.105</v>
      </c>
      <c r="AP287" s="259" t="n">
        <v>157.681</v>
      </c>
      <c r="AQ287" s="259" t="n">
        <v>155.641</v>
      </c>
      <c r="AR287" s="259" t="n">
        <v>155.641</v>
      </c>
      <c r="AS287" s="259" t="n">
        <v>154.113</v>
      </c>
      <c r="AT287" s="259" t="n">
        <v>165.733</v>
      </c>
      <c r="AU287" s="259" t="n">
        <v>163.86</v>
      </c>
      <c r="AV287" s="259" t="n">
        <v>162.747</v>
      </c>
      <c r="AW287" s="259" t="n">
        <v>162.747</v>
      </c>
      <c r="AX287" s="259" t="n">
        <v>161.06</v>
      </c>
      <c r="AY287" s="259" t="n">
        <v>159.034</v>
      </c>
      <c r="AZ287" s="259" t="n">
        <v>157.32</v>
      </c>
      <c r="BA287" s="259" t="n">
        <v>154.399</v>
      </c>
      <c r="BB287" s="259" t="n">
        <v>154.399</v>
      </c>
      <c r="BC287" s="259" t="n">
        <v>153.756</v>
      </c>
      <c r="BD287" s="259" t="n">
        <v>150.952</v>
      </c>
      <c r="BE287" s="259" t="n">
        <v>1524.715</v>
      </c>
      <c r="BF287" s="259" t="n">
        <v>1511.515</v>
      </c>
      <c r="BG287" s="259" t="n">
        <v>1511.515</v>
      </c>
      <c r="BH287" s="259" t="n">
        <v>1500.714</v>
      </c>
      <c r="BI287" s="259" t="n">
        <v>1485.016</v>
      </c>
      <c r="BJ287" s="259" t="n">
        <v>1468.673</v>
      </c>
      <c r="BK287" s="259" t="n">
        <v>1452.9</v>
      </c>
      <c r="BL287" s="259" t="n">
        <v>1452.9</v>
      </c>
      <c r="BM287" s="259" t="n">
        <v>1435.9</v>
      </c>
      <c r="BN287" s="259" t="n">
        <v>1427.6</v>
      </c>
      <c r="BO287" s="259" t="n">
        <v>1411.6</v>
      </c>
      <c r="BP287" s="259" t="n">
        <v>1391.9</v>
      </c>
      <c r="BQ287" s="259" t="n">
        <v>1391.9</v>
      </c>
      <c r="BR287" s="259" t="n">
        <v>1375.9</v>
      </c>
      <c r="BS287" s="259" t="n">
        <v>1359.5</v>
      </c>
      <c r="BT287" s="259" t="n">
        <v>1341.6</v>
      </c>
      <c r="BU287" s="259" t="n">
        <v>1325.1</v>
      </c>
      <c r="BV287" s="259" t="n">
        <v>1325.1</v>
      </c>
      <c r="BW287" s="259" t="n">
        <v>1311</v>
      </c>
      <c r="BX287" s="259" t="n">
        <v>1414.3</v>
      </c>
      <c r="BY287" s="259" t="n">
        <v>1395.9</v>
      </c>
      <c r="BZ287" s="259" t="n">
        <v>1378.2</v>
      </c>
      <c r="CA287" s="259" t="n">
        <v>1378.2</v>
      </c>
      <c r="CB287" s="259" t="n">
        <v>1358.7</v>
      </c>
      <c r="CC287" s="35" t="n"/>
      <c r="CD287" s="35" t="n"/>
      <c r="CE287" s="35" t="n"/>
      <c r="CF287" s="261">
        <f>CB287-SUM(CC86:CE86)+CF331*CF333</f>
        <v>1310.162</v>
      </c>
      <c r="CG287" s="261">
        <f>CF287-CG86+CG50*CG59</f>
        <v>1343.303</v>
      </c>
      <c r="CH287" s="261">
        <f>CG287-CH86+CH50*CH59</f>
        <v>1371.269</v>
      </c>
      <c r="CI287" s="261">
        <f>CH287-CI86+CI50*CI59</f>
        <v>1397.129</v>
      </c>
      <c r="CJ287" s="261">
        <f>CI287-CJ86+CJ50*CJ59</f>
        <v>1418.93</v>
      </c>
      <c r="CK287" s="261">
        <f>CJ287-CK86+CK50*CK59</f>
        <v>1433.231</v>
      </c>
      <c r="CL287" s="19" t="inlineStr">
        <is>
          <t>Roll-forward: prior − M&amp;A-related amortization + acquired intangibles (the non-M&amp;A amortization runs through D&amp;A excl. M&amp;A amortization / PP&amp;E).</t>
        </is>
      </c>
    </row>
    <row r="288" ht="15" customHeight="1" s="251">
      <c r="B288" s="25" t="inlineStr">
        <is>
          <t xml:space="preserve">  Operating lease assets &amp; other noncurrent assets (derived)</t>
        </is>
      </c>
      <c r="C288" s="259" t="n">
        <v>10.69</v>
      </c>
      <c r="D288" s="259" t="n">
        <v>4.209</v>
      </c>
      <c r="E288" s="259" t="n">
        <v>5.285</v>
      </c>
      <c r="F288" s="259" t="n">
        <v>4.585</v>
      </c>
      <c r="G288" s="259" t="n">
        <v>4.537</v>
      </c>
      <c r="H288" s="259" t="n">
        <v>5.398</v>
      </c>
      <c r="I288" s="259" t="n">
        <v>5.754</v>
      </c>
      <c r="J288" s="259" t="n">
        <v>5.62</v>
      </c>
      <c r="K288" s="259" t="n">
        <v>6.142</v>
      </c>
      <c r="L288" s="259" t="n">
        <v>6.496</v>
      </c>
      <c r="M288" s="259" t="n">
        <v>6.932</v>
      </c>
      <c r="N288" s="259" t="n">
        <v>6.932</v>
      </c>
      <c r="O288" s="259" t="n">
        <v>6.853</v>
      </c>
      <c r="P288" s="259" t="n">
        <v>7.474</v>
      </c>
      <c r="Q288" s="259" t="n">
        <v>7.994</v>
      </c>
      <c r="R288" s="259" t="n">
        <v>8.225</v>
      </c>
      <c r="S288" s="259" t="n">
        <v>8.225</v>
      </c>
      <c r="T288" s="259" t="n">
        <v>8.493</v>
      </c>
      <c r="U288" s="259" t="n">
        <v>8.478999999999999</v>
      </c>
      <c r="V288" s="259" t="n">
        <v>9.162000000000001</v>
      </c>
      <c r="W288" s="259" t="n">
        <v>9.573</v>
      </c>
      <c r="X288" s="259" t="n">
        <v>9.573</v>
      </c>
      <c r="Y288" s="259" t="n">
        <v>9.82</v>
      </c>
      <c r="Z288" s="259" t="n">
        <v>9.169</v>
      </c>
      <c r="AA288" s="259" t="n">
        <v>10.231</v>
      </c>
      <c r="AB288" s="259" t="n">
        <v>10.298</v>
      </c>
      <c r="AC288" s="259" t="n">
        <v>10.298</v>
      </c>
      <c r="AD288" s="259" t="n">
        <v>10.754</v>
      </c>
      <c r="AE288" s="259" t="n">
        <v>11.692</v>
      </c>
      <c r="AF288" s="259" t="n">
        <v>12.197</v>
      </c>
      <c r="AG288" s="259" t="n">
        <v>12.419</v>
      </c>
      <c r="AH288" s="259" t="n">
        <v>12.419</v>
      </c>
      <c r="AI288" s="259" t="n">
        <v>12.627</v>
      </c>
      <c r="AJ288" s="259" t="n">
        <v>13.973</v>
      </c>
      <c r="AK288" s="259" t="n">
        <v>14.729</v>
      </c>
      <c r="AL288" s="259" t="n">
        <v>14.7</v>
      </c>
      <c r="AM288" s="259" t="n">
        <v>14.7</v>
      </c>
      <c r="AN288" s="259" t="n">
        <v>15.54</v>
      </c>
      <c r="AO288" s="259" t="n">
        <v>16.528</v>
      </c>
      <c r="AP288" s="259" t="n">
        <v>15.443</v>
      </c>
      <c r="AQ288" s="259" t="n">
        <v>19.119</v>
      </c>
      <c r="AR288" s="259" t="n">
        <v>19.119</v>
      </c>
      <c r="AS288" s="259" t="n">
        <v>46.759</v>
      </c>
      <c r="AT288" s="259" t="n">
        <v>50.016</v>
      </c>
      <c r="AU288" s="259" t="n">
        <v>53.941</v>
      </c>
      <c r="AV288" s="259" t="n">
        <v>49.537</v>
      </c>
      <c r="AW288" s="259" t="n">
        <v>49.537</v>
      </c>
      <c r="AX288" s="259" t="n">
        <v>53.717</v>
      </c>
      <c r="AY288" s="259" t="n">
        <v>55.706</v>
      </c>
      <c r="AZ288" s="259" t="n">
        <v>68.146</v>
      </c>
      <c r="BA288" s="259" t="n">
        <v>65.85899999999999</v>
      </c>
      <c r="BB288" s="259" t="n">
        <v>65.85899999999999</v>
      </c>
      <c r="BC288" s="259" t="n">
        <v>66.51300000000001</v>
      </c>
      <c r="BD288" s="259" t="n">
        <v>76.04000000000001</v>
      </c>
      <c r="BE288" s="259" t="n">
        <v>80.06</v>
      </c>
      <c r="BF288" s="259" t="n">
        <v>82.82899999999999</v>
      </c>
      <c r="BG288" s="259" t="n">
        <v>82.82899999999999</v>
      </c>
      <c r="BH288" s="259" t="n">
        <v>80.084</v>
      </c>
      <c r="BI288" s="259" t="n">
        <v>79.533</v>
      </c>
      <c r="BJ288" s="259" t="n">
        <v>77.43600000000001</v>
      </c>
      <c r="BK288" s="259" t="n">
        <v>79.09999999999999</v>
      </c>
      <c r="BL288" s="259" t="n">
        <v>79.09999999999999</v>
      </c>
      <c r="BM288" s="259" t="n">
        <v>84.59999999999999</v>
      </c>
      <c r="BN288" s="259" t="n">
        <v>86.3</v>
      </c>
      <c r="BO288" s="259" t="n">
        <v>83.59999999999999</v>
      </c>
      <c r="BP288" s="259" t="n">
        <v>85.3</v>
      </c>
      <c r="BQ288" s="259" t="n">
        <v>85.3</v>
      </c>
      <c r="BR288" s="259" t="n">
        <v>95.40000000000001</v>
      </c>
      <c r="BS288" s="259" t="n">
        <v>92.7</v>
      </c>
      <c r="BT288" s="259" t="n">
        <v>91.5</v>
      </c>
      <c r="BU288" s="259" t="n">
        <v>101.6</v>
      </c>
      <c r="BV288" s="259" t="n">
        <v>101.6</v>
      </c>
      <c r="BW288" s="259" t="n">
        <v>103.4</v>
      </c>
      <c r="BX288" s="259" t="n">
        <v>110.4</v>
      </c>
      <c r="BY288" s="259" t="n">
        <v>120.5</v>
      </c>
      <c r="BZ288" s="259" t="n">
        <v>132.3</v>
      </c>
      <c r="CA288" s="259" t="n">
        <v>132.3</v>
      </c>
      <c r="CB288" s="259" t="n">
        <v>138</v>
      </c>
      <c r="CC288" s="35" t="n"/>
      <c r="CD288" s="35" t="n"/>
      <c r="CE288" s="35" t="n"/>
      <c r="CF288" s="261">
        <f>CB288</f>
        <v>138</v>
      </c>
      <c r="CG288" s="261">
        <f>CF288</f>
        <v>138</v>
      </c>
      <c r="CH288" s="261">
        <f>CG288</f>
        <v>138</v>
      </c>
      <c r="CI288" s="261">
        <f>CH288</f>
        <v>138</v>
      </c>
      <c r="CJ288" s="261">
        <f>CI288</f>
        <v>138</v>
      </c>
      <c r="CK288" s="261">
        <f>CJ288</f>
        <v>138</v>
      </c>
      <c r="CL288" s="19" t="n"/>
    </row>
    <row r="289" ht="15" customHeight="1" s="251">
      <c r="B289" s="55" t="inlineStr">
        <is>
          <t>TOTAL ASSETS</t>
        </is>
      </c>
      <c r="C289" s="271">
        <f>IF(ISNUMBER(C280),C284+SUM(C285:C288),"")</f>
        <v>275.923</v>
      </c>
      <c r="D289" s="271">
        <f>IF(ISNUMBER(D280),D284+SUM(D285:D288),"")</f>
        <v>273.713</v>
      </c>
      <c r="E289" s="271">
        <f>IF(ISNUMBER(E280),E284+SUM(E285:E288),"")</f>
        <v>337.112</v>
      </c>
      <c r="F289" s="271">
        <f>IF(ISNUMBER(F280),F284+SUM(F285:F288),"")</f>
        <v>382.067</v>
      </c>
      <c r="G289" s="271">
        <f>IF(ISNUMBER(G280),G284+SUM(G285:G288),"")</f>
        <v>375.955</v>
      </c>
      <c r="H289" s="271">
        <f>IF(ISNUMBER(H280),H284+SUM(H285:H288),"")</f>
        <v>425.982</v>
      </c>
      <c r="I289" s="271">
        <f>IF(ISNUMBER(I280),I284+SUM(I285:I288),"")</f>
        <v>459.518</v>
      </c>
      <c r="J289" s="271">
        <f>IF(ISNUMBER(J280),J284+SUM(J285:J288),"")</f>
        <v>483.221</v>
      </c>
      <c r="K289" s="271">
        <f>IF(ISNUMBER(K280),K284+SUM(K285:K288),"")</f>
        <v>505.332</v>
      </c>
      <c r="L289" s="271">
        <f>IF(ISNUMBER(L280),L284+SUM(L285:L288),"")</f>
        <v>532.684</v>
      </c>
      <c r="M289" s="271">
        <f>IF(ISNUMBER(M280),M284+SUM(M285:M288),"")</f>
        <v>542.442</v>
      </c>
      <c r="N289" s="271">
        <f>IF(ISNUMBER(N280),N284+SUM(N285:N288),"")</f>
        <v>542.442</v>
      </c>
      <c r="O289" s="271">
        <f>IF(ISNUMBER(O280),O284+SUM(O285:O288),"")</f>
        <v>563.902</v>
      </c>
      <c r="P289" s="271">
        <f>IF(ISNUMBER(P280),P284+SUM(P285:P288),"")</f>
        <v>582.668</v>
      </c>
      <c r="Q289" s="271">
        <f>IF(ISNUMBER(Q280),Q284+SUM(Q285:Q288),"")</f>
        <v>603.025</v>
      </c>
      <c r="R289" s="271">
        <f>IF(ISNUMBER(R280),R284+SUM(R285:R288),"")</f>
        <v>620.993</v>
      </c>
      <c r="S289" s="271">
        <f>IF(ISNUMBER(S280),S284+SUM(S285:S288),"")</f>
        <v>620.993</v>
      </c>
      <c r="T289" s="271">
        <f>IF(ISNUMBER(T280),T284+SUM(T285:T288),"")</f>
        <v>600.513</v>
      </c>
      <c r="U289" s="271">
        <f>IF(ISNUMBER(U280),U284+SUM(U285:U288),"")</f>
        <v>606.989</v>
      </c>
      <c r="V289" s="271">
        <f>IF(ISNUMBER(V280),V284+SUM(V285:V288),"")</f>
        <v>617.247</v>
      </c>
      <c r="W289" s="271">
        <f>IF(ISNUMBER(W280),W284+SUM(W285:W288),"")</f>
        <v>632.073</v>
      </c>
      <c r="X289" s="271">
        <f>IF(ISNUMBER(X280),X284+SUM(X285:X288),"")</f>
        <v>632.073</v>
      </c>
      <c r="Y289" s="271">
        <f>IF(ISNUMBER(Y280),Y284+SUM(Y285:Y288),"")</f>
        <v>1106.078</v>
      </c>
      <c r="Z289" s="271">
        <f>IF(ISNUMBER(Z280),Z284+SUM(Z285:Z288),"")</f>
        <v>1096.459</v>
      </c>
      <c r="AA289" s="271">
        <f>IF(ISNUMBER(AA280),AA284+SUM(AA285:AA288),"")</f>
        <v>1098.894</v>
      </c>
      <c r="AB289" s="271">
        <f>IF(ISNUMBER(AB280),AB284+SUM(AB285:AB288),"")</f>
        <v>1098.51</v>
      </c>
      <c r="AC289" s="271">
        <f>IF(ISNUMBER(AC280),AC284+SUM(AC285:AC288),"")</f>
        <v>1098.51</v>
      </c>
      <c r="AD289" s="271">
        <f>IF(ISNUMBER(AD280),AD284+SUM(AD285:AD288),"")</f>
        <v>1098.64</v>
      </c>
      <c r="AE289" s="271">
        <f>IF(ISNUMBER(AE280),AE284+SUM(AE285:AE288),"")</f>
        <v>1103.516</v>
      </c>
      <c r="AF289" s="271">
        <f>IF(ISNUMBER(AF280),AF284+SUM(AF285:AF288),"")</f>
        <v>1097.709</v>
      </c>
      <c r="AG289" s="271">
        <f>IF(ISNUMBER(AG280),AG284+SUM(AG285:AG288),"")</f>
        <v>1108.847</v>
      </c>
      <c r="AH289" s="271">
        <f>IF(ISNUMBER(AH280),AH284+SUM(AH285:AH288),"")</f>
        <v>1108.847</v>
      </c>
      <c r="AI289" s="271">
        <f>IF(ISNUMBER(AI280),AI284+SUM(AI285:AI288),"")</f>
        <v>1120.604</v>
      </c>
      <c r="AJ289" s="271">
        <f>IF(ISNUMBER(AJ280),AJ284+SUM(AJ285:AJ288),"")</f>
        <v>1114.646</v>
      </c>
      <c r="AK289" s="271">
        <f>IF(ISNUMBER(AK280),AK284+SUM(AK285:AK288),"")</f>
        <v>1129.15</v>
      </c>
      <c r="AL289" s="271">
        <f>IF(ISNUMBER(AL280),AL284+SUM(AL285:AL288),"")</f>
        <v>1142.751</v>
      </c>
      <c r="AM289" s="271">
        <f>IF(ISNUMBER(AM280),AM284+SUM(AM285:AM288),"")</f>
        <v>1142.751</v>
      </c>
      <c r="AN289" s="271">
        <f>IF(ISNUMBER(AN280),AN284+SUM(AN285:AN288),"")</f>
        <v>1147.963</v>
      </c>
      <c r="AO289" s="271">
        <f>IF(ISNUMBER(AO280),AO284+SUM(AO285:AO288),"")</f>
        <v>1179.298</v>
      </c>
      <c r="AP289" s="271">
        <f>IF(ISNUMBER(AP280),AP284+SUM(AP285:AP288),"")</f>
        <v>1174.925</v>
      </c>
      <c r="AQ289" s="271">
        <f>IF(ISNUMBER(AQ280),AQ284+SUM(AQ285:AQ288),"")</f>
        <v>1147.367</v>
      </c>
      <c r="AR289" s="271">
        <f>IF(ISNUMBER(AR280),AR284+SUM(AR285:AR288),"")</f>
        <v>1147.367</v>
      </c>
      <c r="AS289" s="271">
        <f>IF(ISNUMBER(AS280),AS284+SUM(AS285:AS288),"")</f>
        <v>1191.934</v>
      </c>
      <c r="AT289" s="271">
        <f>IF(ISNUMBER(AT280),AT284+SUM(AT285:AT288),"")</f>
        <v>1246.56</v>
      </c>
      <c r="AU289" s="271">
        <f>IF(ISNUMBER(AU280),AU284+SUM(AU285:AU288),"")</f>
        <v>1272.517</v>
      </c>
      <c r="AV289" s="271">
        <f>IF(ISNUMBER(AV280),AV284+SUM(AV285:AV288),"")</f>
        <v>1321.912</v>
      </c>
      <c r="AW289" s="271">
        <f>IF(ISNUMBER(AW280),AW284+SUM(AW285:AW288),"")</f>
        <v>1321.912</v>
      </c>
      <c r="AX289" s="271">
        <f>IF(ISNUMBER(AX280),AX284+SUM(AX285:AX288),"")</f>
        <v>1349.209</v>
      </c>
      <c r="AY289" s="271">
        <f>IF(ISNUMBER(AY280),AY284+SUM(AY285:AY288),"")</f>
        <v>1367.885</v>
      </c>
      <c r="AZ289" s="271">
        <f>IF(ISNUMBER(AZ280),AZ284+SUM(AZ285:AZ288),"")</f>
        <v>1408.982</v>
      </c>
      <c r="BA289" s="271">
        <f>IF(ISNUMBER(BA280),BA284+SUM(BA285:BA288),"")</f>
        <v>1434.26</v>
      </c>
      <c r="BB289" s="271">
        <f>IF(ISNUMBER(BB280),BB284+SUM(BB285:BB288),"")</f>
        <v>1434.26</v>
      </c>
      <c r="BC289" s="271">
        <f>IF(ISNUMBER(BC280),BC284+SUM(BC285:BC288),"")</f>
        <v>1490.599</v>
      </c>
      <c r="BD289" s="271">
        <f>IF(ISNUMBER(BD280),BD284+SUM(BD285:BD288),"")</f>
        <v>2567.797</v>
      </c>
      <c r="BE289" s="271">
        <f>IF(ISNUMBER(BE280),BE284+SUM(BE285:BE288),"")</f>
        <v>4875.05</v>
      </c>
      <c r="BF289" s="271">
        <f>IF(ISNUMBER(BF280),BF284+SUM(BF285:BF288),"")</f>
        <v>4845.417</v>
      </c>
      <c r="BG289" s="271">
        <f>IF(ISNUMBER(BG280),BG284+SUM(BG285:BG288),"")</f>
        <v>4845.417</v>
      </c>
      <c r="BH289" s="271">
        <f>IF(ISNUMBER(BH280),BH284+SUM(BH285:BH288),"")</f>
        <v>4758.017</v>
      </c>
      <c r="BI289" s="271">
        <f>IF(ISNUMBER(BI280),BI284+SUM(BI285:BI288),"")</f>
        <v>4727.06</v>
      </c>
      <c r="BJ289" s="271">
        <f>IF(ISNUMBER(BJ280),BJ284+SUM(BJ285:BJ288),"")</f>
        <v>4692.881</v>
      </c>
      <c r="BK289" s="271">
        <f>IF(ISNUMBER(BK280),BK284+SUM(BK285:BK288),"")</f>
        <v>4690.4</v>
      </c>
      <c r="BL289" s="271">
        <f>IF(ISNUMBER(BL280),BL284+SUM(BL285:BL288),"")</f>
        <v>4690.4</v>
      </c>
      <c r="BM289" s="271">
        <f>IF(ISNUMBER(BM280),BM284+SUM(BM285:BM288),"")</f>
        <v>4697.4</v>
      </c>
      <c r="BN289" s="271">
        <f>IF(ISNUMBER(BN280),BN284+SUM(BN285:BN288),"")</f>
        <v>4691.7</v>
      </c>
      <c r="BO289" s="271">
        <f>IF(ISNUMBER(BO280),BO284+SUM(BO285:BO288),"")</f>
        <v>4694.2</v>
      </c>
      <c r="BP289" s="271">
        <f>IF(ISNUMBER(BP280),BP284+SUM(BP285:BP288),"")</f>
        <v>4678.6</v>
      </c>
      <c r="BQ289" s="271">
        <f>IF(ISNUMBER(BQ280),BQ284+SUM(BQ285:BQ288),"")</f>
        <v>4678.6</v>
      </c>
      <c r="BR289" s="271">
        <f>IF(ISNUMBER(BR280),BR284+SUM(BR285:BR288),"")</f>
        <v>4696.5</v>
      </c>
      <c r="BS289" s="271">
        <f>IF(ISNUMBER(BS280),BS284+SUM(BS285:BS288),"")</f>
        <v>4712.8</v>
      </c>
      <c r="BT289" s="271">
        <f>IF(ISNUMBER(BT280),BT284+SUM(BT285:BT288),"")</f>
        <v>4665.7</v>
      </c>
      <c r="BU289" s="271">
        <f>IF(ISNUMBER(BU280),BU284+SUM(BU285:BU288),"")</f>
        <v>4685.2</v>
      </c>
      <c r="BV289" s="271">
        <f>IF(ISNUMBER(BV280),BV284+SUM(BV285:BV288),"")</f>
        <v>4685.2</v>
      </c>
      <c r="BW289" s="271">
        <f>IF(ISNUMBER(BW280),BW284+SUM(BW285:BW288),"")</f>
        <v>4789.7</v>
      </c>
      <c r="BX289" s="271">
        <f>IF(ISNUMBER(BX280),BX284+SUM(BX285:BX288),"")</f>
        <v>5110.8</v>
      </c>
      <c r="BY289" s="271">
        <f>IF(ISNUMBER(BY280),BY284+SUM(BY285:BY288),"")</f>
        <v>5141.6</v>
      </c>
      <c r="BZ289" s="271">
        <f>IF(ISNUMBER(BZ280),BZ284+SUM(BZ285:BZ288),"")</f>
        <v>5122.7</v>
      </c>
      <c r="CA289" s="271">
        <f>IF(ISNUMBER(CA280),CA284+SUM(CA285:CA288),"")</f>
        <v>5122.7</v>
      </c>
      <c r="CB289" s="271">
        <f>IF(ISNUMBER(CB280),CB284+SUM(CB285:CB288),"")</f>
        <v>5196.1</v>
      </c>
      <c r="CC289" s="56" t="n"/>
      <c r="CD289" s="56" t="n"/>
      <c r="CE289" s="56" t="n"/>
      <c r="CF289" s="271">
        <f>IF(ISNUMBER(CF280),CF284+SUM(CF285:CF288),"")</f>
        <v>5279.70098181707</v>
      </c>
      <c r="CG289" s="271">
        <f>IF(ISNUMBER(CG280),CG284+SUM(CG285:CG288),"")</f>
        <v>5597.61128918526</v>
      </c>
      <c r="CH289" s="271">
        <f>IF(ISNUMBER(CH280),CH284+SUM(CH285:CH288),"")</f>
        <v>5932.25946621718</v>
      </c>
      <c r="CI289" s="271">
        <f>IF(ISNUMBER(CI280),CI284+SUM(CI285:CI288),"")</f>
        <v>6255.39786023772</v>
      </c>
      <c r="CJ289" s="271">
        <f>IF(ISNUMBER(CJ280),CJ284+SUM(CJ285:CJ288),"")</f>
        <v>6586.01048080214</v>
      </c>
      <c r="CK289" s="271">
        <f>IF(ISNUMBER(CK280),CK284+SUM(CK285:CK288),"")</f>
        <v>6919.85279486226</v>
      </c>
      <c r="CL289" s="153" t="n"/>
      <c r="CN289" s="20">
        <f>IFERROR((CK289/CF289)^(1/5)-1,"n/m")</f>
        <v>0.0555954408452652</v>
      </c>
      <c r="CO289" s="20">
        <f>IFERROR((CA289/BB289)^(1/5)-1,"n/m")</f>
        <v>0.289953951737294</v>
      </c>
      <c r="CP289" s="20">
        <f>IFERROR((CA289/AC289)^(1/10)-1,"n/m")</f>
        <v>0.16645903357617</v>
      </c>
      <c r="CQ289" s="20">
        <f>IFERROR((CA289/C289)^(1/20)-1,"n/m")</f>
        <v>0.157272280917444</v>
      </c>
    </row>
    <row r="290" ht="15" customHeight="1" s="251">
      <c r="B290" s="25" t="inlineStr">
        <is>
          <t>LIABILITIES AND STOCKHOLDERS' EQUITY</t>
        </is>
      </c>
      <c r="CL290" s="153" t="n"/>
    </row>
    <row r="291" ht="15" customHeight="1" s="251">
      <c r="B291" s="25" t="inlineStr">
        <is>
          <t xml:space="preserve">  Accounts payable</t>
        </is>
      </c>
      <c r="C291" s="259" t="n">
        <v>19.436</v>
      </c>
      <c r="D291" s="259" t="n">
        <v>21.299</v>
      </c>
      <c r="E291" s="259" t="n">
        <v>24.851</v>
      </c>
      <c r="F291" s="259" t="n">
        <v>20.525</v>
      </c>
      <c r="G291" s="259" t="n">
        <v>18.897</v>
      </c>
      <c r="H291" s="259" t="n">
        <v>24.245</v>
      </c>
      <c r="I291" s="259" t="n">
        <v>24.72</v>
      </c>
      <c r="J291" s="259" t="n">
        <v>25.066</v>
      </c>
      <c r="K291" s="259" t="n">
        <v>24.335</v>
      </c>
      <c r="L291" s="259" t="n">
        <v>23.989</v>
      </c>
      <c r="M291" s="259" t="n">
        <v>25.259</v>
      </c>
      <c r="N291" s="259" t="n">
        <v>25.259</v>
      </c>
      <c r="O291" s="259" t="n">
        <v>23.495</v>
      </c>
      <c r="P291" s="259" t="n">
        <v>25.822</v>
      </c>
      <c r="Q291" s="259" t="n">
        <v>26.739</v>
      </c>
      <c r="R291" s="259" t="n">
        <v>24.326</v>
      </c>
      <c r="S291" s="259" t="n">
        <v>24.326</v>
      </c>
      <c r="T291" s="259" t="n">
        <v>23.508</v>
      </c>
      <c r="U291" s="259" t="n">
        <v>23.562</v>
      </c>
      <c r="V291" s="259" t="n">
        <v>22.946</v>
      </c>
      <c r="W291" s="259" t="n">
        <v>23.459</v>
      </c>
      <c r="X291" s="259" t="n">
        <v>23.459</v>
      </c>
      <c r="Y291" s="259" t="n">
        <v>39.552</v>
      </c>
      <c r="Z291" s="259" t="n">
        <v>37.092</v>
      </c>
      <c r="AA291" s="259" t="n">
        <v>34.764</v>
      </c>
      <c r="AB291" s="259" t="n">
        <v>35.597</v>
      </c>
      <c r="AC291" s="259" t="n">
        <v>35.597</v>
      </c>
      <c r="AD291" s="259" t="n">
        <v>32.493</v>
      </c>
      <c r="AE291" s="259" t="n">
        <v>35.506</v>
      </c>
      <c r="AF291" s="259" t="n">
        <v>37.196</v>
      </c>
      <c r="AG291" s="259" t="n">
        <v>34.392</v>
      </c>
      <c r="AH291" s="259" t="n">
        <v>34.392</v>
      </c>
      <c r="AI291" s="259" t="n">
        <v>37.516</v>
      </c>
      <c r="AJ291" s="259" t="n">
        <v>38.544</v>
      </c>
      <c r="AK291" s="259" t="n">
        <v>43.643</v>
      </c>
      <c r="AL291" s="259" t="n">
        <v>45.188</v>
      </c>
      <c r="AM291" s="259" t="n">
        <v>45.188</v>
      </c>
      <c r="AN291" s="259" t="n">
        <v>44.058</v>
      </c>
      <c r="AO291" s="259" t="n">
        <v>48.247</v>
      </c>
      <c r="AP291" s="259" t="n">
        <v>43.449</v>
      </c>
      <c r="AQ291" s="259" t="n">
        <v>49.592</v>
      </c>
      <c r="AR291" s="259" t="n">
        <v>49.592</v>
      </c>
      <c r="AS291" s="259" t="n">
        <v>51.635</v>
      </c>
      <c r="AT291" s="259" t="n">
        <v>50.788</v>
      </c>
      <c r="AU291" s="259" t="n">
        <v>50.209</v>
      </c>
      <c r="AV291" s="259" t="n">
        <v>51.038</v>
      </c>
      <c r="AW291" s="259" t="n">
        <v>51.038</v>
      </c>
      <c r="AX291" s="259" t="n">
        <v>51.812</v>
      </c>
      <c r="AY291" s="259" t="n">
        <v>39.6</v>
      </c>
      <c r="AZ291" s="259" t="n">
        <v>39.936</v>
      </c>
      <c r="BA291" s="259" t="n">
        <v>36.336</v>
      </c>
      <c r="BB291" s="259" t="n">
        <v>36.336</v>
      </c>
      <c r="BC291" s="259" t="n">
        <v>42.687</v>
      </c>
      <c r="BD291" s="259" t="n">
        <v>47.594</v>
      </c>
      <c r="BE291" s="259" t="n">
        <v>140.374</v>
      </c>
      <c r="BF291" s="259" t="n">
        <v>158.606</v>
      </c>
      <c r="BG291" s="259" t="n">
        <v>158.606</v>
      </c>
      <c r="BH291" s="259" t="n">
        <v>161.834</v>
      </c>
      <c r="BI291" s="259" t="n">
        <v>148.87</v>
      </c>
      <c r="BJ291" s="259" t="n">
        <v>136.722</v>
      </c>
      <c r="BK291" s="259" t="n">
        <v>146.8</v>
      </c>
      <c r="BL291" s="259" t="n">
        <v>146.8</v>
      </c>
      <c r="BM291" s="259" t="n">
        <v>140</v>
      </c>
      <c r="BN291" s="259" t="n">
        <v>130.6</v>
      </c>
      <c r="BO291" s="259" t="n">
        <v>123.7</v>
      </c>
      <c r="BP291" s="259" t="n">
        <v>116.2</v>
      </c>
      <c r="BQ291" s="259" t="n">
        <v>116.2</v>
      </c>
      <c r="BR291" s="259" t="n">
        <v>127.5</v>
      </c>
      <c r="BS291" s="259" t="n">
        <v>127.4</v>
      </c>
      <c r="BT291" s="259" t="n">
        <v>130.1</v>
      </c>
      <c r="BU291" s="259" t="n">
        <v>138.4</v>
      </c>
      <c r="BV291" s="259" t="n">
        <v>138.4</v>
      </c>
      <c r="BW291" s="259" t="n">
        <v>140.7</v>
      </c>
      <c r="BX291" s="259" t="n">
        <v>144.1</v>
      </c>
      <c r="BY291" s="259" t="n">
        <v>141.7</v>
      </c>
      <c r="BZ291" s="259" t="n">
        <v>147</v>
      </c>
      <c r="CA291" s="259" t="n">
        <v>147</v>
      </c>
      <c r="CB291" s="259" t="n">
        <v>149.9</v>
      </c>
      <c r="CC291" s="35" t="n"/>
      <c r="CD291" s="35" t="n"/>
      <c r="CE291" s="35" t="n"/>
      <c r="CF291" s="261">
        <f>CF308*CF311/365</f>
        <v>164.823321374298</v>
      </c>
      <c r="CG291" s="261">
        <f>CG308*CG311/365</f>
        <v>182.583093545599</v>
      </c>
      <c r="CH291" s="261">
        <f>CH308*CH311/365</f>
        <v>203.711997510491</v>
      </c>
      <c r="CI291" s="261">
        <f>CI308*CI311/365</f>
        <v>224.76452207849</v>
      </c>
      <c r="CJ291" s="261">
        <f>CJ308*CJ311/365</f>
        <v>247.260341183694</v>
      </c>
      <c r="CK291" s="261">
        <f>CK308*CK311/365</f>
        <v>269.024505931371</v>
      </c>
      <c r="CL291" s="19" t="n"/>
    </row>
    <row r="292" ht="15" customHeight="1" s="251">
      <c r="B292" s="25" t="inlineStr">
        <is>
          <t xml:space="preserve">  Current portion of long-term debt</t>
        </is>
      </c>
      <c r="C292" s="259" t="n">
        <v>3.217</v>
      </c>
      <c r="D292" s="259" t="n">
        <v>0.75</v>
      </c>
      <c r="E292" s="259" t="n">
        <v>0.75</v>
      </c>
      <c r="F292" s="259" t="n">
        <v>1.151</v>
      </c>
      <c r="G292" s="259" t="n">
        <v>1.453</v>
      </c>
      <c r="H292" s="259" t="n">
        <v>30.546</v>
      </c>
      <c r="I292" s="259" t="n">
        <v>1.041</v>
      </c>
      <c r="J292" s="259" t="n">
        <v>0.992</v>
      </c>
      <c r="K292" s="259" t="n">
        <v>0.9399999999999999</v>
      </c>
      <c r="L292" s="259" t="n">
        <v>1.36</v>
      </c>
      <c r="M292" s="259" t="n">
        <v>1.24</v>
      </c>
      <c r="N292" s="259" t="n">
        <v>1.24</v>
      </c>
      <c r="O292" s="259" t="n">
        <v>1.242</v>
      </c>
      <c r="P292" s="259" t="n">
        <v>1.262</v>
      </c>
      <c r="Q292" s="259" t="n">
        <v>1.272</v>
      </c>
      <c r="R292" s="259" t="n">
        <v>1.274</v>
      </c>
      <c r="S292" s="259" t="n">
        <v>1.274</v>
      </c>
      <c r="T292" s="259" t="n">
        <v>1.271</v>
      </c>
      <c r="U292" s="259" t="n">
        <v>1.24</v>
      </c>
      <c r="V292" s="259" t="n">
        <v>1.222</v>
      </c>
      <c r="W292" s="259" t="n">
        <v>1.233</v>
      </c>
      <c r="X292" s="259" t="n">
        <v>1.233</v>
      </c>
      <c r="Y292" s="259" t="n">
        <v>8.747</v>
      </c>
      <c r="Z292" s="259" t="n">
        <v>8.725</v>
      </c>
      <c r="AA292" s="259" t="n">
        <v>8.721</v>
      </c>
      <c r="AB292" s="259" t="n">
        <v>10.486</v>
      </c>
      <c r="AC292" s="259" t="n">
        <v>10.486</v>
      </c>
      <c r="AD292" s="259" t="n">
        <v>10.478</v>
      </c>
      <c r="AE292" s="259" t="n">
        <v>11.729</v>
      </c>
      <c r="AF292" s="259" t="n">
        <v>12.957</v>
      </c>
      <c r="AG292" s="259" t="n">
        <v>14.214</v>
      </c>
      <c r="AH292" s="259" t="n">
        <v>14.214</v>
      </c>
      <c r="AI292" s="259" t="n">
        <v>15.485</v>
      </c>
      <c r="AJ292" s="259" t="n">
        <v>16.727</v>
      </c>
      <c r="AK292" s="259" t="n">
        <v>17.976</v>
      </c>
      <c r="AL292" s="259" t="n">
        <v>19.238</v>
      </c>
      <c r="AM292" s="259" t="n">
        <v>19.238</v>
      </c>
      <c r="AN292" s="259" t="n">
        <v>0.47</v>
      </c>
      <c r="AO292" s="259" t="n">
        <v>0.474</v>
      </c>
      <c r="AP292" s="259" t="n">
        <v>0.473</v>
      </c>
      <c r="AQ292" s="259" t="n">
        <v>0.467</v>
      </c>
      <c r="AR292" s="259" t="n">
        <v>0.467</v>
      </c>
      <c r="AS292" s="259" t="n">
        <v>0</v>
      </c>
      <c r="AT292" s="259" t="n">
        <v>12.774</v>
      </c>
      <c r="AU292" s="259" t="n">
        <v>6.649</v>
      </c>
      <c r="AV292" s="259" t="n">
        <v>6.429</v>
      </c>
      <c r="AW292" s="259" t="n">
        <v>6.429</v>
      </c>
      <c r="AX292" s="259" t="n">
        <v>6.489</v>
      </c>
      <c r="AY292" s="259" t="n">
        <v>6.634</v>
      </c>
      <c r="AZ292" s="259" t="n">
        <v>6.127</v>
      </c>
      <c r="BA292" s="259" t="n">
        <v>2.612</v>
      </c>
      <c r="BB292" s="259" t="n">
        <v>2.612</v>
      </c>
      <c r="BC292" s="259" t="n">
        <v>0.505</v>
      </c>
      <c r="BD292" s="259" t="n">
        <v>0.5</v>
      </c>
      <c r="BE292" s="259" t="n">
        <v>63.519</v>
      </c>
      <c r="BF292" s="259" t="n">
        <v>1.543</v>
      </c>
      <c r="BG292" s="259" t="n">
        <v>1.543</v>
      </c>
      <c r="BH292" s="259" t="n">
        <v>1.525</v>
      </c>
      <c r="BI292" s="259" t="n">
        <v>1.512</v>
      </c>
      <c r="BJ292" s="259" t="n">
        <v>1.544</v>
      </c>
      <c r="BK292" s="259" t="n">
        <v>1.5</v>
      </c>
      <c r="BL292" s="259" t="n">
        <v>1.5</v>
      </c>
      <c r="BM292" s="259" t="n">
        <v>1.6</v>
      </c>
      <c r="BN292" s="259" t="n">
        <v>1.6</v>
      </c>
      <c r="BO292" s="259" t="n">
        <v>1.6</v>
      </c>
      <c r="BP292" s="259" t="n">
        <v>3.8</v>
      </c>
      <c r="BQ292" s="259" t="n">
        <v>3.8</v>
      </c>
      <c r="BR292" s="259" t="n">
        <v>3.8</v>
      </c>
      <c r="BS292" s="259" t="n">
        <v>1.8</v>
      </c>
      <c r="BT292" s="259" t="n">
        <v>1.7</v>
      </c>
      <c r="BU292" s="259" t="n">
        <v>1.7</v>
      </c>
      <c r="BV292" s="259" t="n">
        <v>1.7</v>
      </c>
      <c r="BW292" s="259" t="n">
        <v>1.8</v>
      </c>
      <c r="BX292" s="259" t="n">
        <v>1.8</v>
      </c>
      <c r="BY292" s="259" t="n">
        <v>288.6</v>
      </c>
      <c r="BZ292" s="259" t="n">
        <v>173.8</v>
      </c>
      <c r="CA292" s="259" t="n">
        <v>173.8</v>
      </c>
      <c r="CB292" s="259" t="n">
        <v>96.2</v>
      </c>
      <c r="CC292" s="35" t="n"/>
      <c r="CD292" s="35" t="n"/>
      <c r="CE292" s="35" t="n"/>
      <c r="CF292" s="261">
        <f>MIN(CF339,CF342)</f>
        <v>0</v>
      </c>
      <c r="CG292" s="261">
        <f>MIN(CG339,CG342)</f>
        <v>0</v>
      </c>
      <c r="CH292" s="261">
        <f>MIN(CH339,CH342)</f>
        <v>500</v>
      </c>
      <c r="CI292" s="261">
        <f>MIN(CI339,CI342)</f>
        <v>0</v>
      </c>
      <c r="CJ292" s="261">
        <f>MIN(CJ339,CJ342)</f>
        <v>0</v>
      </c>
      <c r="CK292" s="261">
        <f>MIN(CK339,CK342)</f>
        <v>0</v>
      </c>
      <c r="CL292" s="19" t="inlineStr">
        <is>
          <t>Notes / term debt maturing in the next fiscal year (the revolver is long-term: it expires Oct-2030).</t>
        </is>
      </c>
    </row>
    <row r="293" ht="15" customHeight="1" s="251">
      <c r="B293" s="25" t="inlineStr">
        <is>
          <t xml:space="preserve">  Accrued expenses, operating leases &amp; other current liabilities</t>
        </is>
      </c>
      <c r="C293" s="259" t="n">
        <v>8.808999999999999</v>
      </c>
      <c r="D293" s="259" t="n">
        <v>11.852</v>
      </c>
      <c r="E293" s="259" t="n">
        <v>13.489</v>
      </c>
      <c r="F293" s="259" t="n">
        <v>16.533</v>
      </c>
      <c r="G293" s="259" t="n">
        <v>11.439</v>
      </c>
      <c r="H293" s="259" t="n">
        <v>14.76</v>
      </c>
      <c r="I293" s="259" t="n">
        <v>18.103</v>
      </c>
      <c r="J293" s="259" t="n">
        <v>22.977</v>
      </c>
      <c r="K293" s="259" t="n">
        <v>17.854</v>
      </c>
      <c r="L293" s="259" t="n">
        <v>17.914</v>
      </c>
      <c r="M293" s="259" t="n">
        <v>20.069</v>
      </c>
      <c r="N293" s="259" t="n">
        <v>20.069</v>
      </c>
      <c r="O293" s="259" t="n">
        <v>26.277</v>
      </c>
      <c r="P293" s="259" t="n">
        <v>20.558</v>
      </c>
      <c r="Q293" s="259" t="n">
        <v>19.039</v>
      </c>
      <c r="R293" s="259" t="n">
        <v>17.22</v>
      </c>
      <c r="S293" s="259" t="n">
        <v>17.22</v>
      </c>
      <c r="T293" s="259" t="n">
        <v>22.716</v>
      </c>
      <c r="U293" s="259" t="n">
        <v>21.518</v>
      </c>
      <c r="V293" s="259" t="n">
        <v>21.072</v>
      </c>
      <c r="W293" s="259" t="n">
        <v>17.326</v>
      </c>
      <c r="X293" s="259" t="n">
        <v>17.326</v>
      </c>
      <c r="Y293" s="259" t="n">
        <v>34.629</v>
      </c>
      <c r="Z293" s="259" t="n">
        <v>30.311</v>
      </c>
      <c r="AA293" s="259" t="n">
        <v>29.199</v>
      </c>
      <c r="AB293" s="259" t="n">
        <v>42.234</v>
      </c>
      <c r="AC293" s="259" t="n">
        <v>42.234</v>
      </c>
      <c r="AD293" s="259" t="n">
        <v>42.616</v>
      </c>
      <c r="AE293" s="259" t="n">
        <v>35.823</v>
      </c>
      <c r="AF293" s="259" t="n">
        <v>41.038</v>
      </c>
      <c r="AG293" s="259" t="n">
        <v>44.532</v>
      </c>
      <c r="AH293" s="259" t="n">
        <v>44.532</v>
      </c>
      <c r="AI293" s="259" t="n">
        <v>48.596</v>
      </c>
      <c r="AJ293" s="259" t="n">
        <v>42.626</v>
      </c>
      <c r="AK293" s="259" t="n">
        <v>39.521</v>
      </c>
      <c r="AL293" s="259" t="n">
        <v>40.777</v>
      </c>
      <c r="AM293" s="259" t="n">
        <v>40.777</v>
      </c>
      <c r="AN293" s="259" t="n">
        <v>40.251</v>
      </c>
      <c r="AO293" s="259" t="n">
        <v>41.783</v>
      </c>
      <c r="AP293" s="259" t="n">
        <v>39.681</v>
      </c>
      <c r="AQ293" s="259" t="n">
        <v>40.07</v>
      </c>
      <c r="AR293" s="259" t="n">
        <v>40.07</v>
      </c>
      <c r="AS293" s="259" t="n">
        <v>48.216</v>
      </c>
      <c r="AT293" s="259" t="n">
        <v>40.342</v>
      </c>
      <c r="AU293" s="259" t="n">
        <v>42.144</v>
      </c>
      <c r="AV293" s="259" t="n">
        <v>46.288</v>
      </c>
      <c r="AW293" s="259" t="n">
        <v>46.288</v>
      </c>
      <c r="AX293" s="259" t="n">
        <v>41.989</v>
      </c>
      <c r="AY293" s="259" t="n">
        <v>42.276</v>
      </c>
      <c r="AZ293" s="259" t="n">
        <v>42.349</v>
      </c>
      <c r="BA293" s="259" t="n">
        <v>49.29</v>
      </c>
      <c r="BB293" s="259" t="n">
        <v>49.29</v>
      </c>
      <c r="BC293" s="259" t="n">
        <v>52.31</v>
      </c>
      <c r="BD293" s="259" t="n">
        <v>64.197</v>
      </c>
      <c r="BE293" s="259" t="n">
        <v>139.143</v>
      </c>
      <c r="BF293" s="259" t="n">
        <v>153.311</v>
      </c>
      <c r="BG293" s="259" t="n">
        <v>153.311</v>
      </c>
      <c r="BH293" s="259" t="n">
        <v>167.046</v>
      </c>
      <c r="BI293" s="259" t="n">
        <v>155.867</v>
      </c>
      <c r="BJ293" s="259" t="n">
        <v>144.406</v>
      </c>
      <c r="BK293" s="259" t="n">
        <v>161</v>
      </c>
      <c r="BL293" s="259" t="n">
        <v>161</v>
      </c>
      <c r="BM293" s="259" t="n">
        <v>174.4</v>
      </c>
      <c r="BN293" s="259" t="n">
        <v>156.1</v>
      </c>
      <c r="BO293" s="259" t="n">
        <v>166.3</v>
      </c>
      <c r="BP293" s="259" t="n">
        <v>174.3</v>
      </c>
      <c r="BQ293" s="259" t="n">
        <v>174.3</v>
      </c>
      <c r="BR293" s="259" t="n">
        <v>199</v>
      </c>
      <c r="BS293" s="259" t="n">
        <v>164.7</v>
      </c>
      <c r="BT293" s="259" t="n">
        <v>160.9</v>
      </c>
      <c r="BU293" s="259" t="n">
        <v>175.2</v>
      </c>
      <c r="BV293" s="259" t="n">
        <v>175.2</v>
      </c>
      <c r="BW293" s="259" t="n">
        <v>198.8</v>
      </c>
      <c r="BX293" s="259" t="n">
        <v>229.2</v>
      </c>
      <c r="BY293" s="259" t="n">
        <v>226.1</v>
      </c>
      <c r="BZ293" s="259" t="n">
        <v>225.4</v>
      </c>
      <c r="CA293" s="259" t="n">
        <v>225.4</v>
      </c>
      <c r="CB293" s="259" t="n">
        <v>254.6</v>
      </c>
      <c r="CC293" s="35" t="n"/>
      <c r="CD293" s="35" t="n"/>
      <c r="CE293" s="35" t="n"/>
      <c r="CF293" s="261">
        <f>CF307*CF312</f>
        <v>258.853923951733</v>
      </c>
      <c r="CG293" s="261">
        <f>CG307*CG312</f>
        <v>286.172997627637</v>
      </c>
      <c r="CH293" s="261">
        <f>CH307*CH312</f>
        <v>319.964562897717</v>
      </c>
      <c r="CI293" s="261">
        <f>CI307*CI312</f>
        <v>353.916351434262</v>
      </c>
      <c r="CJ293" s="261">
        <f>CJ307*CJ312</f>
        <v>388.533954626156</v>
      </c>
      <c r="CK293" s="261">
        <f>CK307*CK312</f>
        <v>422.706197142496</v>
      </c>
      <c r="CL293" s="19" t="n"/>
    </row>
    <row r="294" ht="15" customHeight="1" s="251">
      <c r="B294" s="16" t="inlineStr">
        <is>
          <t>Total current liabilities</t>
        </is>
      </c>
      <c r="C294" s="280">
        <f>IF(ISNUMBER(C291),SUM(C291:C293),"")</f>
        <v>31.462</v>
      </c>
      <c r="D294" s="280">
        <f>IF(ISNUMBER(D291),SUM(D291:D293),"")</f>
        <v>33.901</v>
      </c>
      <c r="E294" s="280">
        <f>IF(ISNUMBER(E291),SUM(E291:E293),"")</f>
        <v>39.09</v>
      </c>
      <c r="F294" s="280">
        <f>IF(ISNUMBER(F291),SUM(F291:F293),"")</f>
        <v>38.209</v>
      </c>
      <c r="G294" s="280">
        <f>IF(ISNUMBER(G291),SUM(G291:G293),"")</f>
        <v>31.789</v>
      </c>
      <c r="H294" s="280">
        <f>IF(ISNUMBER(H291),SUM(H291:H293),"")</f>
        <v>69.551</v>
      </c>
      <c r="I294" s="280">
        <f>IF(ISNUMBER(I291),SUM(I291:I293),"")</f>
        <v>43.864</v>
      </c>
      <c r="J294" s="280">
        <f>IF(ISNUMBER(J291),SUM(J291:J293),"")</f>
        <v>49.035</v>
      </c>
      <c r="K294" s="280">
        <f>IF(ISNUMBER(K291),SUM(K291:K293),"")</f>
        <v>43.129</v>
      </c>
      <c r="L294" s="280">
        <f>IF(ISNUMBER(L291),SUM(L291:L293),"")</f>
        <v>43.263</v>
      </c>
      <c r="M294" s="280">
        <f>IF(ISNUMBER(M291),SUM(M291:M293),"")</f>
        <v>46.568</v>
      </c>
      <c r="N294" s="280">
        <f>IF(ISNUMBER(N291),SUM(N291:N293),"")</f>
        <v>46.568</v>
      </c>
      <c r="O294" s="280">
        <f>IF(ISNUMBER(O291),SUM(O291:O293),"")</f>
        <v>51.014</v>
      </c>
      <c r="P294" s="280">
        <f>IF(ISNUMBER(P291),SUM(P291:P293),"")</f>
        <v>47.642</v>
      </c>
      <c r="Q294" s="280">
        <f>IF(ISNUMBER(Q291),SUM(Q291:Q293),"")</f>
        <v>47.05</v>
      </c>
      <c r="R294" s="280">
        <f>IF(ISNUMBER(R291),SUM(R291:R293),"")</f>
        <v>42.82</v>
      </c>
      <c r="S294" s="280">
        <f>IF(ISNUMBER(S291),SUM(S291:S293),"")</f>
        <v>42.82</v>
      </c>
      <c r="T294" s="280">
        <f>IF(ISNUMBER(T291),SUM(T291:T293),"")</f>
        <v>47.495</v>
      </c>
      <c r="U294" s="280">
        <f>IF(ISNUMBER(U291),SUM(U291:U293),"")</f>
        <v>46.32</v>
      </c>
      <c r="V294" s="280">
        <f>IF(ISNUMBER(V291),SUM(V291:V293),"")</f>
        <v>45.24</v>
      </c>
      <c r="W294" s="280">
        <f>IF(ISNUMBER(W291),SUM(W291:W293),"")</f>
        <v>42.018</v>
      </c>
      <c r="X294" s="280">
        <f>IF(ISNUMBER(X291),SUM(X291:X293),"")</f>
        <v>42.018</v>
      </c>
      <c r="Y294" s="280">
        <f>IF(ISNUMBER(Y291),SUM(Y291:Y293),"")</f>
        <v>82.928</v>
      </c>
      <c r="Z294" s="280">
        <f>IF(ISNUMBER(Z291),SUM(Z291:Z293),"")</f>
        <v>76.128</v>
      </c>
      <c r="AA294" s="280">
        <f>IF(ISNUMBER(AA291),SUM(AA291:AA293),"")</f>
        <v>72.684</v>
      </c>
      <c r="AB294" s="280">
        <f>IF(ISNUMBER(AB291),SUM(AB291:AB293),"")</f>
        <v>88.317</v>
      </c>
      <c r="AC294" s="280">
        <f>IF(ISNUMBER(AC291),SUM(AC291:AC293),"")</f>
        <v>88.317</v>
      </c>
      <c r="AD294" s="280">
        <f>IF(ISNUMBER(AD291),SUM(AD291:AD293),"")</f>
        <v>85.587</v>
      </c>
      <c r="AE294" s="280">
        <f>IF(ISNUMBER(AE291),SUM(AE291:AE293),"")</f>
        <v>83.058</v>
      </c>
      <c r="AF294" s="280">
        <f>IF(ISNUMBER(AF291),SUM(AF291:AF293),"")</f>
        <v>91.191</v>
      </c>
      <c r="AG294" s="280">
        <f>IF(ISNUMBER(AG291),SUM(AG291:AG293),"")</f>
        <v>93.138</v>
      </c>
      <c r="AH294" s="280">
        <f>IF(ISNUMBER(AH291),SUM(AH291:AH293),"")</f>
        <v>93.138</v>
      </c>
      <c r="AI294" s="280">
        <f>IF(ISNUMBER(AI291),SUM(AI291:AI293),"")</f>
        <v>101.597</v>
      </c>
      <c r="AJ294" s="280">
        <f>IF(ISNUMBER(AJ291),SUM(AJ291:AJ293),"")</f>
        <v>97.897</v>
      </c>
      <c r="AK294" s="280">
        <f>IF(ISNUMBER(AK291),SUM(AK291:AK293),"")</f>
        <v>101.14</v>
      </c>
      <c r="AL294" s="280">
        <f>IF(ISNUMBER(AL291),SUM(AL291:AL293),"")</f>
        <v>105.203</v>
      </c>
      <c r="AM294" s="280">
        <f>IF(ISNUMBER(AM291),SUM(AM291:AM293),"")</f>
        <v>105.203</v>
      </c>
      <c r="AN294" s="280">
        <f>IF(ISNUMBER(AN291),SUM(AN291:AN293),"")</f>
        <v>84.779</v>
      </c>
      <c r="AO294" s="280">
        <f>IF(ISNUMBER(AO291),SUM(AO291:AO293),"")</f>
        <v>90.504</v>
      </c>
      <c r="AP294" s="280">
        <f>IF(ISNUMBER(AP291),SUM(AP291:AP293),"")</f>
        <v>83.603</v>
      </c>
      <c r="AQ294" s="280">
        <f>IF(ISNUMBER(AQ291),SUM(AQ291:AQ293),"")</f>
        <v>90.129</v>
      </c>
      <c r="AR294" s="280">
        <f>IF(ISNUMBER(AR291),SUM(AR291:AR293),"")</f>
        <v>90.129</v>
      </c>
      <c r="AS294" s="280">
        <f>IF(ISNUMBER(AS291),SUM(AS291:AS293),"")</f>
        <v>99.851</v>
      </c>
      <c r="AT294" s="280">
        <f>IF(ISNUMBER(AT291),SUM(AT291:AT293),"")</f>
        <v>103.904</v>
      </c>
      <c r="AU294" s="280">
        <f>IF(ISNUMBER(AU291),SUM(AU291:AU293),"")</f>
        <v>99.002</v>
      </c>
      <c r="AV294" s="280">
        <f>IF(ISNUMBER(AV291),SUM(AV291:AV293),"")</f>
        <v>103.755</v>
      </c>
      <c r="AW294" s="280">
        <f>IF(ISNUMBER(AW291),SUM(AW291:AW293),"")</f>
        <v>103.755</v>
      </c>
      <c r="AX294" s="280">
        <f>IF(ISNUMBER(AX291),SUM(AX291:AX293),"")</f>
        <v>100.29</v>
      </c>
      <c r="AY294" s="280">
        <f>IF(ISNUMBER(AY291),SUM(AY291:AY293),"")</f>
        <v>88.51</v>
      </c>
      <c r="AZ294" s="280">
        <f>IF(ISNUMBER(AZ291),SUM(AZ291:AZ293),"")</f>
        <v>88.412</v>
      </c>
      <c r="BA294" s="280">
        <f>IF(ISNUMBER(BA291),SUM(BA291:BA293),"")</f>
        <v>88.238</v>
      </c>
      <c r="BB294" s="280">
        <f>IF(ISNUMBER(BB291),SUM(BB291:BB293),"")</f>
        <v>88.238</v>
      </c>
      <c r="BC294" s="280">
        <f>IF(ISNUMBER(BC291),SUM(BC291:BC293),"")</f>
        <v>95.502</v>
      </c>
      <c r="BD294" s="280">
        <f>IF(ISNUMBER(BD291),SUM(BD291:BD293),"")</f>
        <v>112.291</v>
      </c>
      <c r="BE294" s="280">
        <f>IF(ISNUMBER(BE291),SUM(BE291:BE293),"")</f>
        <v>343.036</v>
      </c>
      <c r="BF294" s="280">
        <f>IF(ISNUMBER(BF291),SUM(BF291:BF293),"")</f>
        <v>313.46</v>
      </c>
      <c r="BG294" s="280">
        <f>IF(ISNUMBER(BG291),SUM(BG291:BG293),"")</f>
        <v>313.46</v>
      </c>
      <c r="BH294" s="280">
        <f>IF(ISNUMBER(BH291),SUM(BH291:BH293),"")</f>
        <v>330.405</v>
      </c>
      <c r="BI294" s="280">
        <f>IF(ISNUMBER(BI291),SUM(BI291:BI293),"")</f>
        <v>306.249</v>
      </c>
      <c r="BJ294" s="280">
        <f>IF(ISNUMBER(BJ291),SUM(BJ291:BJ293),"")</f>
        <v>282.672</v>
      </c>
      <c r="BK294" s="280">
        <f>IF(ISNUMBER(BK291),SUM(BK291:BK293),"")</f>
        <v>309.3</v>
      </c>
      <c r="BL294" s="280">
        <f>IF(ISNUMBER(BL291),SUM(BL291:BL293),"")</f>
        <v>309.3</v>
      </c>
      <c r="BM294" s="280">
        <f>IF(ISNUMBER(BM291),SUM(BM291:BM293),"")</f>
        <v>316</v>
      </c>
      <c r="BN294" s="280">
        <f>IF(ISNUMBER(BN291),SUM(BN291:BN293),"")</f>
        <v>288.3</v>
      </c>
      <c r="BO294" s="280">
        <f>IF(ISNUMBER(BO291),SUM(BO291:BO293),"")</f>
        <v>291.6</v>
      </c>
      <c r="BP294" s="280">
        <f>IF(ISNUMBER(BP291),SUM(BP291:BP293),"")</f>
        <v>294.3</v>
      </c>
      <c r="BQ294" s="280">
        <f>IF(ISNUMBER(BQ291),SUM(BQ291:BQ293),"")</f>
        <v>294.3</v>
      </c>
      <c r="BR294" s="280">
        <f>IF(ISNUMBER(BR291),SUM(BR291:BR293),"")</f>
        <v>330.3</v>
      </c>
      <c r="BS294" s="280">
        <f>IF(ISNUMBER(BS291),SUM(BS291:BS293),"")</f>
        <v>293.9</v>
      </c>
      <c r="BT294" s="280">
        <f>IF(ISNUMBER(BT291),SUM(BT291:BT293),"")</f>
        <v>292.7</v>
      </c>
      <c r="BU294" s="280">
        <f>IF(ISNUMBER(BU291),SUM(BU291:BU293),"")</f>
        <v>315.3</v>
      </c>
      <c r="BV294" s="280">
        <f>IF(ISNUMBER(BV291),SUM(BV291:BV293),"")</f>
        <v>315.3</v>
      </c>
      <c r="BW294" s="280">
        <f>IF(ISNUMBER(BW291),SUM(BW291:BW293),"")</f>
        <v>341.3</v>
      </c>
      <c r="BX294" s="280">
        <f>IF(ISNUMBER(BX291),SUM(BX291:BX293),"")</f>
        <v>375.1</v>
      </c>
      <c r="BY294" s="280">
        <f>IF(ISNUMBER(BY291),SUM(BY291:BY293),"")</f>
        <v>656.4</v>
      </c>
      <c r="BZ294" s="280">
        <f>IF(ISNUMBER(BZ291),SUM(BZ291:BZ293),"")</f>
        <v>546.2</v>
      </c>
      <c r="CA294" s="280">
        <f>IF(ISNUMBER(CA291),SUM(CA291:CA293),"")</f>
        <v>546.2</v>
      </c>
      <c r="CB294" s="280">
        <f>IF(ISNUMBER(CB291),SUM(CB291:CB293),"")</f>
        <v>500.7</v>
      </c>
      <c r="CC294" s="32" t="n"/>
      <c r="CD294" s="32" t="n"/>
      <c r="CE294" s="32" t="n"/>
      <c r="CF294" s="254">
        <f>IF(ISNUMBER(CF291),SUM(CF291:CF293),"")</f>
        <v>423.677245326032</v>
      </c>
      <c r="CG294" s="254">
        <f>IF(ISNUMBER(CG291),SUM(CG291:CG293),"")</f>
        <v>468.756091173236</v>
      </c>
      <c r="CH294" s="254">
        <f>IF(ISNUMBER(CH291),SUM(CH291:CH293),"")</f>
        <v>1023.67656040821</v>
      </c>
      <c r="CI294" s="254">
        <f>IF(ISNUMBER(CI291),SUM(CI291:CI293),"")</f>
        <v>578.680873512752</v>
      </c>
      <c r="CJ294" s="254">
        <f>IF(ISNUMBER(CJ291),SUM(CJ291:CJ293),"")</f>
        <v>635.79429580985</v>
      </c>
      <c r="CK294" s="254">
        <f>IF(ISNUMBER(CK291),SUM(CK291:CK293),"")</f>
        <v>691.730703073867</v>
      </c>
      <c r="CL294" s="153" t="n"/>
    </row>
    <row r="295" ht="15" customHeight="1" s="251">
      <c r="B295" s="25" t="inlineStr">
        <is>
          <t xml:space="preserve">  Long-term debt, less current portion</t>
        </is>
      </c>
      <c r="C295" s="259" t="n">
        <v>162.53</v>
      </c>
      <c r="D295" s="259" t="n">
        <v>58.655</v>
      </c>
      <c r="E295" s="259" t="n">
        <v>57</v>
      </c>
      <c r="F295" s="259" t="n">
        <v>67</v>
      </c>
      <c r="G295" s="259" t="n">
        <v>37</v>
      </c>
      <c r="H295" s="259" t="n">
        <v>0.75</v>
      </c>
      <c r="I295" s="259" t="n">
        <v>0</v>
      </c>
      <c r="J295" s="259" t="n">
        <v>0</v>
      </c>
      <c r="K295" s="259" t="n">
        <v>0</v>
      </c>
      <c r="L295" s="259" t="n">
        <v>9.541</v>
      </c>
      <c r="M295" s="259" t="n">
        <v>9.06</v>
      </c>
      <c r="N295" s="259" t="n">
        <v>9.06</v>
      </c>
      <c r="O295" s="259" t="n">
        <v>8.981</v>
      </c>
      <c r="P295" s="259" t="n">
        <v>9.220000000000001</v>
      </c>
      <c r="Q295" s="259" t="n">
        <v>9.393000000000001</v>
      </c>
      <c r="R295" s="259" t="n">
        <v>9.173</v>
      </c>
      <c r="S295" s="259" t="n">
        <v>9.173</v>
      </c>
      <c r="T295" s="259" t="n">
        <v>8.987</v>
      </c>
      <c r="U295" s="259" t="n">
        <v>8.334</v>
      </c>
      <c r="V295" s="259" t="n">
        <v>7.899</v>
      </c>
      <c r="W295" s="259" t="n">
        <v>7.965</v>
      </c>
      <c r="X295" s="259" t="n">
        <v>7.965</v>
      </c>
      <c r="Y295" s="259" t="n">
        <v>418.699</v>
      </c>
      <c r="Z295" s="259" t="n">
        <v>393.573</v>
      </c>
      <c r="AA295" s="259" t="n">
        <v>376.253</v>
      </c>
      <c r="AB295" s="259" t="n">
        <v>353.21</v>
      </c>
      <c r="AC295" s="259" t="n">
        <v>353.21</v>
      </c>
      <c r="AD295" s="259" t="n">
        <v>333.33</v>
      </c>
      <c r="AE295" s="259" t="n">
        <v>318.33</v>
      </c>
      <c r="AF295" s="259" t="n">
        <v>281.986</v>
      </c>
      <c r="AG295" s="259" t="n">
        <v>255.586</v>
      </c>
      <c r="AH295" s="259" t="n">
        <v>255.586</v>
      </c>
      <c r="AI295" s="259" t="n">
        <v>222.38</v>
      </c>
      <c r="AJ295" s="259" t="n">
        <v>203.501</v>
      </c>
      <c r="AK295" s="259" t="n">
        <v>179.977</v>
      </c>
      <c r="AL295" s="259" t="n">
        <v>154.117</v>
      </c>
      <c r="AM295" s="259" t="n">
        <v>154.117</v>
      </c>
      <c r="AN295" s="259" t="n">
        <v>143.823</v>
      </c>
      <c r="AO295" s="259" t="n">
        <v>123.984</v>
      </c>
      <c r="AP295" s="259" t="n">
        <v>114.078</v>
      </c>
      <c r="AQ295" s="259" t="n">
        <v>43.179</v>
      </c>
      <c r="AR295" s="259" t="n">
        <v>43.179</v>
      </c>
      <c r="AS295" s="259" t="n">
        <v>26.267</v>
      </c>
      <c r="AT295" s="259" t="n">
        <v>25.003</v>
      </c>
      <c r="AU295" s="259" t="n">
        <v>16.16</v>
      </c>
      <c r="AV295" s="259" t="n">
        <v>16.583</v>
      </c>
      <c r="AW295" s="259" t="n">
        <v>16.583</v>
      </c>
      <c r="AX295" s="259" t="n">
        <v>16.635</v>
      </c>
      <c r="AY295" s="259" t="n">
        <v>13.758</v>
      </c>
      <c r="AZ295" s="259" t="n">
        <v>14.366</v>
      </c>
      <c r="BA295" s="259" t="n">
        <v>13.495</v>
      </c>
      <c r="BB295" s="259" t="n">
        <v>13.495</v>
      </c>
      <c r="BC295" s="259" t="n">
        <v>10.249</v>
      </c>
      <c r="BD295" s="259" t="n">
        <v>7.105</v>
      </c>
      <c r="BE295" s="259" t="n">
        <v>1726.734</v>
      </c>
      <c r="BF295" s="259" t="n">
        <v>1686.798</v>
      </c>
      <c r="BG295" s="259" t="n">
        <v>1686.798</v>
      </c>
      <c r="BH295" s="259" t="n">
        <v>1563.805</v>
      </c>
      <c r="BI295" s="259" t="n">
        <v>1520.602</v>
      </c>
      <c r="BJ295" s="259" t="n">
        <v>1462.534</v>
      </c>
      <c r="BK295" s="259" t="n">
        <v>1393.5</v>
      </c>
      <c r="BL295" s="259" t="n">
        <v>1393.5</v>
      </c>
      <c r="BM295" s="259" t="n">
        <v>1343.3</v>
      </c>
      <c r="BN295" s="259" t="n">
        <v>1321.9</v>
      </c>
      <c r="BO295" s="259" t="n">
        <v>1262.8</v>
      </c>
      <c r="BP295" s="259" t="n">
        <v>1188.1</v>
      </c>
      <c r="BQ295" s="259" t="n">
        <v>1188.1</v>
      </c>
      <c r="BR295" s="259" t="n">
        <v>1127.6</v>
      </c>
      <c r="BS295" s="259" t="n">
        <v>1099.7</v>
      </c>
      <c r="BT295" s="259" t="n">
        <v>999.7</v>
      </c>
      <c r="BU295" s="259" t="n">
        <v>918.4</v>
      </c>
      <c r="BV295" s="259" t="n">
        <v>918.4</v>
      </c>
      <c r="BW295" s="259" t="n">
        <v>913.8</v>
      </c>
      <c r="BX295" s="259" t="n">
        <v>1069.3</v>
      </c>
      <c r="BY295" s="259" t="n">
        <v>701.6</v>
      </c>
      <c r="BZ295" s="259" t="n">
        <v>701.7</v>
      </c>
      <c r="CA295" s="259" t="n">
        <v>701.7</v>
      </c>
      <c r="CB295" s="259" t="n">
        <v>710</v>
      </c>
      <c r="CC295" s="35" t="n"/>
      <c r="CD295" s="35" t="n"/>
      <c r="CE295" s="35" t="n"/>
      <c r="CF295" s="261">
        <f>CF338-CF292</f>
        <v>545.545533901234</v>
      </c>
      <c r="CG295" s="261">
        <f>CG338-CG292</f>
        <v>892.009114446059</v>
      </c>
      <c r="CH295" s="261">
        <f>CH338-CH292</f>
        <v>494.171644953639</v>
      </c>
      <c r="CI295" s="261">
        <f>CI338-CI292</f>
        <v>1098.61113383704</v>
      </c>
      <c r="CJ295" s="261">
        <f>CJ338-CJ292</f>
        <v>1198.38495461038</v>
      </c>
      <c r="CK295" s="261">
        <f>CK338-CK292</f>
        <v>1297.06801092962</v>
      </c>
      <c r="CL295" s="19" t="n"/>
    </row>
    <row r="296" ht="15" customHeight="1" s="251">
      <c r="B296" s="25" t="inlineStr">
        <is>
          <t xml:space="preserve">  Deferred income taxes, lease &amp; other noncurrent liabilities (derived)</t>
        </is>
      </c>
      <c r="C296" s="259" t="n">
        <v>8.590999999999999</v>
      </c>
      <c r="D296" s="259" t="n">
        <v>12.986</v>
      </c>
      <c r="E296" s="259" t="n">
        <v>17.112</v>
      </c>
      <c r="F296" s="259" t="n">
        <v>20.847</v>
      </c>
      <c r="G296" s="259" t="n">
        <v>23.619</v>
      </c>
      <c r="H296" s="259" t="n">
        <v>25.614</v>
      </c>
      <c r="I296" s="259" t="n">
        <v>29.839</v>
      </c>
      <c r="J296" s="259" t="n">
        <v>29.868</v>
      </c>
      <c r="K296" s="259" t="n">
        <v>27.828</v>
      </c>
      <c r="L296" s="259" t="n">
        <v>28.297</v>
      </c>
      <c r="M296" s="259" t="n">
        <v>24.619</v>
      </c>
      <c r="N296" s="259" t="n">
        <v>24.619</v>
      </c>
      <c r="O296" s="259" t="n">
        <v>24.214</v>
      </c>
      <c r="P296" s="259" t="n">
        <v>26.995</v>
      </c>
      <c r="Q296" s="259" t="n">
        <v>29.427</v>
      </c>
      <c r="R296" s="259" t="n">
        <v>30.548</v>
      </c>
      <c r="S296" s="259" t="n">
        <v>30.548</v>
      </c>
      <c r="T296" s="259" t="n">
        <v>30.481</v>
      </c>
      <c r="U296" s="259" t="n">
        <v>31.391</v>
      </c>
      <c r="V296" s="259" t="n">
        <v>31.337</v>
      </c>
      <c r="W296" s="259" t="n">
        <v>32.657</v>
      </c>
      <c r="X296" s="259" t="n">
        <v>32.657</v>
      </c>
      <c r="Y296" s="259" t="n">
        <v>37.534</v>
      </c>
      <c r="Z296" s="259" t="n">
        <v>51.083</v>
      </c>
      <c r="AA296" s="259" t="n">
        <v>54.585</v>
      </c>
      <c r="AB296" s="259" t="n">
        <v>36.036</v>
      </c>
      <c r="AC296" s="259" t="n">
        <v>36.036</v>
      </c>
      <c r="AD296" s="259" t="n">
        <v>34.953</v>
      </c>
      <c r="AE296" s="259" t="n">
        <v>36.033</v>
      </c>
      <c r="AF296" s="259" t="n">
        <v>39.004</v>
      </c>
      <c r="AG296" s="259" t="n">
        <v>43.079</v>
      </c>
      <c r="AH296" s="259" t="n">
        <v>43.079</v>
      </c>
      <c r="AI296" s="259" t="n">
        <v>44.942</v>
      </c>
      <c r="AJ296" s="259" t="n">
        <v>43.928</v>
      </c>
      <c r="AK296" s="259" t="n">
        <v>49.489</v>
      </c>
      <c r="AL296" s="259" t="n">
        <v>48.879</v>
      </c>
      <c r="AM296" s="259" t="n">
        <v>48.879</v>
      </c>
      <c r="AN296" s="259" t="n">
        <v>52.793</v>
      </c>
      <c r="AO296" s="259" t="n">
        <v>52.507</v>
      </c>
      <c r="AP296" s="259" t="n">
        <v>45.576</v>
      </c>
      <c r="AQ296" s="259" t="n">
        <v>45.493</v>
      </c>
      <c r="AR296" s="259" t="n">
        <v>45.493</v>
      </c>
      <c r="AS296" s="259" t="n">
        <v>68.467</v>
      </c>
      <c r="AT296" s="259" t="n">
        <v>75.815</v>
      </c>
      <c r="AU296" s="259" t="n">
        <v>78.149</v>
      </c>
      <c r="AV296" s="259" t="n">
        <v>83.575</v>
      </c>
      <c r="AW296" s="259" t="n">
        <v>83.575</v>
      </c>
      <c r="AX296" s="259" t="n">
        <v>89.649</v>
      </c>
      <c r="AY296" s="259" t="n">
        <v>93.51300000000001</v>
      </c>
      <c r="AZ296" s="259" t="n">
        <v>101.397</v>
      </c>
      <c r="BA296" s="259" t="n">
        <v>102.576</v>
      </c>
      <c r="BB296" s="259" t="n">
        <v>102.576</v>
      </c>
      <c r="BC296" s="259" t="n">
        <v>110.472</v>
      </c>
      <c r="BD296" s="259" t="n">
        <v>111.304</v>
      </c>
      <c r="BE296" s="259" t="n">
        <v>470.306</v>
      </c>
      <c r="BF296" s="259" t="n">
        <v>473.312</v>
      </c>
      <c r="BG296" s="259" t="n">
        <v>473.312</v>
      </c>
      <c r="BH296" s="259" t="n">
        <v>466.166</v>
      </c>
      <c r="BI296" s="259" t="n">
        <v>460.072</v>
      </c>
      <c r="BJ296" s="259" t="n">
        <v>466.749</v>
      </c>
      <c r="BK296" s="259" t="n">
        <v>451.7</v>
      </c>
      <c r="BL296" s="259" t="n">
        <v>451.7</v>
      </c>
      <c r="BM296" s="259" t="n">
        <v>450.4</v>
      </c>
      <c r="BN296" s="259" t="n">
        <v>447.3</v>
      </c>
      <c r="BO296" s="259" t="n">
        <v>443.2</v>
      </c>
      <c r="BP296" s="259" t="n">
        <v>444.3</v>
      </c>
      <c r="BQ296" s="259" t="n">
        <v>444.3</v>
      </c>
      <c r="BR296" s="259" t="n">
        <v>434.7</v>
      </c>
      <c r="BS296" s="259" t="n">
        <v>435.9</v>
      </c>
      <c r="BT296" s="259" t="n">
        <v>434.1</v>
      </c>
      <c r="BU296" s="259" t="n">
        <v>420.1</v>
      </c>
      <c r="BV296" s="259" t="n">
        <v>420.1</v>
      </c>
      <c r="BW296" s="259" t="n">
        <v>418.2</v>
      </c>
      <c r="BX296" s="259" t="n">
        <v>479.2</v>
      </c>
      <c r="BY296" s="259" t="n">
        <v>522.5</v>
      </c>
      <c r="BZ296" s="259" t="n">
        <v>513.8</v>
      </c>
      <c r="CA296" s="259" t="n">
        <v>513.8</v>
      </c>
      <c r="CB296" s="259" t="n">
        <v>523.4</v>
      </c>
      <c r="CC296" s="35" t="n"/>
      <c r="CD296" s="35" t="n"/>
      <c r="CE296" s="35" t="n"/>
      <c r="CF296" s="261">
        <f>CB296+(CF237-SUM(CB237:CB237))</f>
        <v>523.4</v>
      </c>
      <c r="CG296" s="261">
        <f>CF296+CG237</f>
        <v>523.4</v>
      </c>
      <c r="CH296" s="261">
        <f>CG296+CH237</f>
        <v>523.4</v>
      </c>
      <c r="CI296" s="261">
        <f>CH296+CI237</f>
        <v>523.4</v>
      </c>
      <c r="CJ296" s="261">
        <f>CI296+CJ237</f>
        <v>523.4</v>
      </c>
      <c r="CK296" s="261">
        <f>CJ296+CK237</f>
        <v>523.4</v>
      </c>
      <c r="CL296" s="19" t="n"/>
    </row>
    <row r="297" ht="15" customHeight="1" s="251">
      <c r="B297" s="16" t="inlineStr">
        <is>
          <t>Total liabilities</t>
        </is>
      </c>
      <c r="C297" s="280">
        <f>IF(ISNUMBER(C291),C294+SUM(C295:C296),"")</f>
        <v>202.583</v>
      </c>
      <c r="D297" s="280">
        <f>IF(ISNUMBER(D291),D294+SUM(D295:D296),"")</f>
        <v>105.542</v>
      </c>
      <c r="E297" s="280">
        <f>IF(ISNUMBER(E291),E294+SUM(E295:E296),"")</f>
        <v>113.202</v>
      </c>
      <c r="F297" s="280">
        <f>IF(ISNUMBER(F291),F294+SUM(F295:F296),"")</f>
        <v>126.056</v>
      </c>
      <c r="G297" s="280">
        <f>IF(ISNUMBER(G291),G294+SUM(G295:G296),"")</f>
        <v>92.408</v>
      </c>
      <c r="H297" s="280">
        <f>IF(ISNUMBER(H291),H294+SUM(H295:H296),"")</f>
        <v>95.915</v>
      </c>
      <c r="I297" s="280">
        <f>IF(ISNUMBER(I291),I294+SUM(I295:I296),"")</f>
        <v>73.703</v>
      </c>
      <c r="J297" s="280">
        <f>IF(ISNUMBER(J291),J294+SUM(J295:J296),"")</f>
        <v>78.903</v>
      </c>
      <c r="K297" s="280">
        <f>IF(ISNUMBER(K291),K294+SUM(K295:K296),"")</f>
        <v>70.957</v>
      </c>
      <c r="L297" s="280">
        <f>IF(ISNUMBER(L291),L294+SUM(L295:L296),"")</f>
        <v>81.101</v>
      </c>
      <c r="M297" s="280">
        <f>IF(ISNUMBER(M291),M294+SUM(M295:M296),"")</f>
        <v>80.247</v>
      </c>
      <c r="N297" s="280">
        <f>IF(ISNUMBER(N291),N294+SUM(N295:N296),"")</f>
        <v>80.247</v>
      </c>
      <c r="O297" s="280">
        <f>IF(ISNUMBER(O291),O294+SUM(O295:O296),"")</f>
        <v>84.209</v>
      </c>
      <c r="P297" s="280">
        <f>IF(ISNUMBER(P291),P294+SUM(P295:P296),"")</f>
        <v>83.857</v>
      </c>
      <c r="Q297" s="280">
        <f>IF(ISNUMBER(Q291),Q294+SUM(Q295:Q296),"")</f>
        <v>85.87</v>
      </c>
      <c r="R297" s="280">
        <f>IF(ISNUMBER(R291),R294+SUM(R295:R296),"")</f>
        <v>82.541</v>
      </c>
      <c r="S297" s="280">
        <f>IF(ISNUMBER(S291),S294+SUM(S295:S296),"")</f>
        <v>82.541</v>
      </c>
      <c r="T297" s="280">
        <f>IF(ISNUMBER(T291),T294+SUM(T295:T296),"")</f>
        <v>86.963</v>
      </c>
      <c r="U297" s="280">
        <f>IF(ISNUMBER(U291),U294+SUM(U295:U296),"")</f>
        <v>86.045</v>
      </c>
      <c r="V297" s="280">
        <f>IF(ISNUMBER(V291),V294+SUM(V295:V296),"")</f>
        <v>84.476</v>
      </c>
      <c r="W297" s="280">
        <f>IF(ISNUMBER(W291),W294+SUM(W295:W296),"")</f>
        <v>82.64</v>
      </c>
      <c r="X297" s="280">
        <f>IF(ISNUMBER(X291),X294+SUM(X295:X296),"")</f>
        <v>82.64</v>
      </c>
      <c r="Y297" s="280">
        <f>IF(ISNUMBER(Y291),Y294+SUM(Y295:Y296),"")</f>
        <v>539.161</v>
      </c>
      <c r="Z297" s="280">
        <f>IF(ISNUMBER(Z291),Z294+SUM(Z295:Z296),"")</f>
        <v>520.784</v>
      </c>
      <c r="AA297" s="280">
        <f>IF(ISNUMBER(AA291),AA294+SUM(AA295:AA296),"")</f>
        <v>503.522</v>
      </c>
      <c r="AB297" s="280">
        <f>IF(ISNUMBER(AB291),AB294+SUM(AB295:AB296),"")</f>
        <v>477.563</v>
      </c>
      <c r="AC297" s="280">
        <f>IF(ISNUMBER(AC291),AC294+SUM(AC295:AC296),"")</f>
        <v>477.563</v>
      </c>
      <c r="AD297" s="280">
        <f>IF(ISNUMBER(AD291),AD294+SUM(AD295:AD296),"")</f>
        <v>453.87</v>
      </c>
      <c r="AE297" s="280">
        <f>IF(ISNUMBER(AE291),AE294+SUM(AE295:AE296),"")</f>
        <v>437.421</v>
      </c>
      <c r="AF297" s="280">
        <f>IF(ISNUMBER(AF291),AF294+SUM(AF295:AF296),"")</f>
        <v>412.181</v>
      </c>
      <c r="AG297" s="280">
        <f>IF(ISNUMBER(AG291),AG294+SUM(AG295:AG296),"")</f>
        <v>391.803</v>
      </c>
      <c r="AH297" s="280">
        <f>IF(ISNUMBER(AH291),AH294+SUM(AH295:AH296),"")</f>
        <v>391.803</v>
      </c>
      <c r="AI297" s="280">
        <f>IF(ISNUMBER(AI291),AI294+SUM(AI295:AI296),"")</f>
        <v>368.919</v>
      </c>
      <c r="AJ297" s="280">
        <f>IF(ISNUMBER(AJ291),AJ294+SUM(AJ295:AJ296),"")</f>
        <v>345.326</v>
      </c>
      <c r="AK297" s="280">
        <f>IF(ISNUMBER(AK291),AK294+SUM(AK295:AK296),"")</f>
        <v>330.606</v>
      </c>
      <c r="AL297" s="280">
        <f>IF(ISNUMBER(AL291),AL294+SUM(AL295:AL296),"")</f>
        <v>308.199</v>
      </c>
      <c r="AM297" s="280">
        <f>IF(ISNUMBER(AM291),AM294+SUM(AM295:AM296),"")</f>
        <v>308.199</v>
      </c>
      <c r="AN297" s="280">
        <f>IF(ISNUMBER(AN291),AN294+SUM(AN295:AN296),"")</f>
        <v>281.395</v>
      </c>
      <c r="AO297" s="280">
        <f>IF(ISNUMBER(AO291),AO294+SUM(AO295:AO296),"")</f>
        <v>266.995</v>
      </c>
      <c r="AP297" s="280">
        <f>IF(ISNUMBER(AP291),AP294+SUM(AP295:AP296),"")</f>
        <v>243.257</v>
      </c>
      <c r="AQ297" s="280">
        <f>IF(ISNUMBER(AQ291),AQ294+SUM(AQ295:AQ296),"")</f>
        <v>178.801</v>
      </c>
      <c r="AR297" s="280">
        <f>IF(ISNUMBER(AR291),AR294+SUM(AR295:AR296),"")</f>
        <v>178.801</v>
      </c>
      <c r="AS297" s="280">
        <f>IF(ISNUMBER(AS291),AS294+SUM(AS295:AS296),"")</f>
        <v>194.585</v>
      </c>
      <c r="AT297" s="280">
        <f>IF(ISNUMBER(AT291),AT294+SUM(AT295:AT296),"")</f>
        <v>204.722</v>
      </c>
      <c r="AU297" s="280">
        <f>IF(ISNUMBER(AU291),AU294+SUM(AU295:AU296),"")</f>
        <v>193.311</v>
      </c>
      <c r="AV297" s="280">
        <f>IF(ISNUMBER(AV291),AV294+SUM(AV295:AV296),"")</f>
        <v>203.913</v>
      </c>
      <c r="AW297" s="280">
        <f>IF(ISNUMBER(AW291),AW294+SUM(AW295:AW296),"")</f>
        <v>203.913</v>
      </c>
      <c r="AX297" s="280">
        <f>IF(ISNUMBER(AX291),AX294+SUM(AX295:AX296),"")</f>
        <v>206.574</v>
      </c>
      <c r="AY297" s="280">
        <f>IF(ISNUMBER(AY291),AY294+SUM(AY295:AY296),"")</f>
        <v>195.781</v>
      </c>
      <c r="AZ297" s="280">
        <f>IF(ISNUMBER(AZ291),AZ294+SUM(AZ295:AZ296),"")</f>
        <v>204.175</v>
      </c>
      <c r="BA297" s="280">
        <f>IF(ISNUMBER(BA291),BA294+SUM(BA295:BA296),"")</f>
        <v>204.309</v>
      </c>
      <c r="BB297" s="280">
        <f>IF(ISNUMBER(BB291),BB294+SUM(BB295:BB296),"")</f>
        <v>204.309</v>
      </c>
      <c r="BC297" s="280">
        <f>IF(ISNUMBER(BC291),BC294+SUM(BC295:BC296),"")</f>
        <v>216.223</v>
      </c>
      <c r="BD297" s="280">
        <f>IF(ISNUMBER(BD291),BD294+SUM(BD295:BD296),"")</f>
        <v>230.7</v>
      </c>
      <c r="BE297" s="280">
        <f>IF(ISNUMBER(BE291),BE294+SUM(BE295:BE296),"")</f>
        <v>2540.076</v>
      </c>
      <c r="BF297" s="280">
        <f>IF(ISNUMBER(BF291),BF294+SUM(BF295:BF296),"")</f>
        <v>2473.57</v>
      </c>
      <c r="BG297" s="280">
        <f>IF(ISNUMBER(BG291),BG294+SUM(BG295:BG296),"")</f>
        <v>2473.57</v>
      </c>
      <c r="BH297" s="280">
        <f>IF(ISNUMBER(BH291),BH294+SUM(BH295:BH296),"")</f>
        <v>2360.376</v>
      </c>
      <c r="BI297" s="280">
        <f>IF(ISNUMBER(BI291),BI294+SUM(BI295:BI296),"")</f>
        <v>2286.923</v>
      </c>
      <c r="BJ297" s="280">
        <f>IF(ISNUMBER(BJ291),BJ294+SUM(BJ295:BJ296),"")</f>
        <v>2211.955</v>
      </c>
      <c r="BK297" s="280">
        <f>IF(ISNUMBER(BK291),BK294+SUM(BK295:BK296),"")</f>
        <v>2154.5</v>
      </c>
      <c r="BL297" s="280">
        <f>IF(ISNUMBER(BL291),BL294+SUM(BL295:BL296),"")</f>
        <v>2154.5</v>
      </c>
      <c r="BM297" s="280">
        <f>IF(ISNUMBER(BM291),BM294+SUM(BM295:BM296),"")</f>
        <v>2109.7</v>
      </c>
      <c r="BN297" s="280">
        <f>IF(ISNUMBER(BN291),BN294+SUM(BN295:BN296),"")</f>
        <v>2057.5</v>
      </c>
      <c r="BO297" s="280">
        <f>IF(ISNUMBER(BO291),BO294+SUM(BO295:BO296),"")</f>
        <v>1997.6</v>
      </c>
      <c r="BP297" s="280">
        <f>IF(ISNUMBER(BP291),BP294+SUM(BP295:BP296),"")</f>
        <v>1926.7</v>
      </c>
      <c r="BQ297" s="280">
        <f>IF(ISNUMBER(BQ291),BQ294+SUM(BQ295:BQ296),"")</f>
        <v>1926.7</v>
      </c>
      <c r="BR297" s="280">
        <f>IF(ISNUMBER(BR291),BR294+SUM(BR295:BR296),"")</f>
        <v>1892.6</v>
      </c>
      <c r="BS297" s="280">
        <f>IF(ISNUMBER(BS291),BS294+SUM(BS295:BS296),"")</f>
        <v>1829.5</v>
      </c>
      <c r="BT297" s="280">
        <f>IF(ISNUMBER(BT291),BT294+SUM(BT295:BT296),"")</f>
        <v>1726.5</v>
      </c>
      <c r="BU297" s="280">
        <f>IF(ISNUMBER(BU291),BU294+SUM(BU295:BU296),"")</f>
        <v>1653.8</v>
      </c>
      <c r="BV297" s="280">
        <f>IF(ISNUMBER(BV291),BV294+SUM(BV295:BV296),"")</f>
        <v>1653.8</v>
      </c>
      <c r="BW297" s="280">
        <f>IF(ISNUMBER(BW291),BW294+SUM(BW295:BW296),"")</f>
        <v>1673.3</v>
      </c>
      <c r="BX297" s="280">
        <f>IF(ISNUMBER(BX291),BX294+SUM(BX295:BX296),"")</f>
        <v>1923.6</v>
      </c>
      <c r="BY297" s="280">
        <f>IF(ISNUMBER(BY291),BY294+SUM(BY295:BY296),"")</f>
        <v>1880.5</v>
      </c>
      <c r="BZ297" s="280">
        <f>IF(ISNUMBER(BZ291),BZ294+SUM(BZ295:BZ296),"")</f>
        <v>1761.7</v>
      </c>
      <c r="CA297" s="280">
        <f>IF(ISNUMBER(CA291),CA294+SUM(CA295:CA296),"")</f>
        <v>1761.7</v>
      </c>
      <c r="CB297" s="280">
        <f>IF(ISNUMBER(CB291),CB294+SUM(CB295:CB296),"")</f>
        <v>1734.1</v>
      </c>
      <c r="CC297" s="32" t="n"/>
      <c r="CD297" s="32" t="n"/>
      <c r="CE297" s="32" t="n"/>
      <c r="CF297" s="254">
        <f>IF(ISNUMBER(CF291),CF294+SUM(CF295:CF296),"")</f>
        <v>1492.62277922727</v>
      </c>
      <c r="CG297" s="254">
        <f>IF(ISNUMBER(CG291),CG294+SUM(CG295:CG296),"")</f>
        <v>1884.16520561929</v>
      </c>
      <c r="CH297" s="254">
        <f>IF(ISNUMBER(CH291),CH294+SUM(CH295:CH296),"")</f>
        <v>2041.24820536185</v>
      </c>
      <c r="CI297" s="254">
        <f>IF(ISNUMBER(CI291),CI294+SUM(CI295:CI296),"")</f>
        <v>2200.69200734979</v>
      </c>
      <c r="CJ297" s="254">
        <f>IF(ISNUMBER(CJ291),CJ294+SUM(CJ295:CJ296),"")</f>
        <v>2357.57925042023</v>
      </c>
      <c r="CK297" s="254">
        <f>IF(ISNUMBER(CK291),CK294+SUM(CK295:CK296),"")</f>
        <v>2512.19871400348</v>
      </c>
      <c r="CL297" s="153" t="n"/>
    </row>
    <row r="298" ht="15" customHeight="1" s="251">
      <c r="B298" s="25" t="inlineStr">
        <is>
          <t xml:space="preserve">  Total stockholders' equity (incl. Series A MCPS FY2022–FY2025)</t>
        </is>
      </c>
      <c r="C298" s="259" t="n">
        <v>73.34</v>
      </c>
      <c r="D298" s="259" t="n">
        <v>168.171</v>
      </c>
      <c r="E298" s="259" t="n">
        <v>223.91</v>
      </c>
      <c r="F298" s="259" t="n">
        <v>256.011</v>
      </c>
      <c r="G298" s="259" t="n">
        <v>283.547</v>
      </c>
      <c r="H298" s="259" t="n">
        <v>330.067</v>
      </c>
      <c r="I298" s="259" t="n">
        <v>385.815</v>
      </c>
      <c r="J298" s="259" t="n">
        <v>404.318</v>
      </c>
      <c r="K298" s="259" t="n">
        <v>434.375</v>
      </c>
      <c r="L298" s="259" t="n">
        <v>451.583</v>
      </c>
      <c r="M298" s="259" t="n">
        <v>462.195</v>
      </c>
      <c r="N298" s="259" t="n">
        <v>462.195</v>
      </c>
      <c r="O298" s="259" t="n">
        <v>479.693</v>
      </c>
      <c r="P298" s="259" t="n">
        <v>498.811</v>
      </c>
      <c r="Q298" s="259" t="n">
        <v>517.155</v>
      </c>
      <c r="R298" s="259" t="n">
        <v>538.452</v>
      </c>
      <c r="S298" s="259" t="n">
        <v>538.452</v>
      </c>
      <c r="T298" s="259" t="n">
        <v>513.55</v>
      </c>
      <c r="U298" s="259" t="n">
        <v>520.944</v>
      </c>
      <c r="V298" s="259" t="n">
        <v>532.771</v>
      </c>
      <c r="W298" s="259" t="n">
        <v>549.433</v>
      </c>
      <c r="X298" s="259" t="n">
        <v>549.433</v>
      </c>
      <c r="Y298" s="259" t="n">
        <v>566.917</v>
      </c>
      <c r="Z298" s="259" t="n">
        <v>575.675</v>
      </c>
      <c r="AA298" s="259" t="n">
        <v>595.372</v>
      </c>
      <c r="AB298" s="259" t="n">
        <v>620.947</v>
      </c>
      <c r="AC298" s="259" t="n">
        <v>620.947</v>
      </c>
      <c r="AD298" s="259" t="n">
        <v>644.77</v>
      </c>
      <c r="AE298" s="259" t="n">
        <v>666.095</v>
      </c>
      <c r="AF298" s="259" t="n">
        <v>685.528</v>
      </c>
      <c r="AG298" s="259" t="n">
        <v>717.044</v>
      </c>
      <c r="AH298" s="259" t="n">
        <v>717.044</v>
      </c>
      <c r="AI298" s="259" t="n">
        <v>751.6849999999999</v>
      </c>
      <c r="AJ298" s="259" t="n">
        <v>769.3200000000001</v>
      </c>
      <c r="AK298" s="259" t="n">
        <v>798.544</v>
      </c>
      <c r="AL298" s="259" t="n">
        <v>834.552</v>
      </c>
      <c r="AM298" s="259" t="n">
        <v>834.552</v>
      </c>
      <c r="AN298" s="259" t="n">
        <v>866.568</v>
      </c>
      <c r="AO298" s="259" t="n">
        <v>912.303</v>
      </c>
      <c r="AP298" s="259" t="n">
        <v>931.668</v>
      </c>
      <c r="AQ298" s="259" t="n">
        <v>968.566</v>
      </c>
      <c r="AR298" s="259" t="n">
        <v>968.566</v>
      </c>
      <c r="AS298" s="259" t="n">
        <v>997.349</v>
      </c>
      <c r="AT298" s="259" t="n">
        <v>1041.838</v>
      </c>
      <c r="AU298" s="259" t="n">
        <v>1079.206</v>
      </c>
      <c r="AV298" s="259" t="n">
        <v>1117.999</v>
      </c>
      <c r="AW298" s="259" t="n">
        <v>1117.999</v>
      </c>
      <c r="AX298" s="259" t="n">
        <v>1142.635</v>
      </c>
      <c r="AY298" s="259" t="n">
        <v>1172.104</v>
      </c>
      <c r="AZ298" s="259" t="n">
        <v>1204.807</v>
      </c>
      <c r="BA298" s="259" t="n">
        <v>1229.951</v>
      </c>
      <c r="BB298" s="259" t="n">
        <v>1229.951</v>
      </c>
      <c r="BC298" s="259" t="n">
        <v>1274.376</v>
      </c>
      <c r="BD298" s="259" t="n">
        <v>2337.097</v>
      </c>
      <c r="BE298" s="259" t="n">
        <v>2334.974</v>
      </c>
      <c r="BF298" s="259" t="n">
        <v>2371.847</v>
      </c>
      <c r="BG298" s="259" t="n">
        <v>2371.847</v>
      </c>
      <c r="BH298" s="259" t="n">
        <v>2397.641</v>
      </c>
      <c r="BI298" s="259" t="n">
        <v>2440.137</v>
      </c>
      <c r="BJ298" s="259" t="n">
        <v>2480.926</v>
      </c>
      <c r="BK298" s="259" t="n">
        <v>2535.9</v>
      </c>
      <c r="BL298" s="259" t="n">
        <v>2535.9</v>
      </c>
      <c r="BM298" s="259" t="n">
        <v>2587.7</v>
      </c>
      <c r="BN298" s="259" t="n">
        <v>2634.2</v>
      </c>
      <c r="BO298" s="259" t="n">
        <v>2696.6</v>
      </c>
      <c r="BP298" s="259" t="n">
        <v>2751.9</v>
      </c>
      <c r="BQ298" s="259" t="n">
        <v>2751.9</v>
      </c>
      <c r="BR298" s="259" t="n">
        <v>2803.9</v>
      </c>
      <c r="BS298" s="259" t="n">
        <v>2883.3</v>
      </c>
      <c r="BT298" s="259" t="n">
        <v>2939.2</v>
      </c>
      <c r="BU298" s="259" t="n">
        <v>3031.4</v>
      </c>
      <c r="BV298" s="259" t="n">
        <v>3031.4</v>
      </c>
      <c r="BW298" s="259" t="n">
        <v>3116.4</v>
      </c>
      <c r="BX298" s="259" t="n">
        <v>3187.2</v>
      </c>
      <c r="BY298" s="259" t="n">
        <v>3261.1</v>
      </c>
      <c r="BZ298" s="259" t="n">
        <v>3361</v>
      </c>
      <c r="CA298" s="259" t="n">
        <v>3361</v>
      </c>
      <c r="CB298" s="259" t="n">
        <v>3462</v>
      </c>
      <c r="CC298" s="35" t="n"/>
      <c r="CD298" s="35" t="n"/>
      <c r="CE298" s="35" t="n"/>
      <c r="CF298" s="261">
        <f>CB298+SUM(CC127:CE127)+(CF245-SUM(CB245:CB245))+(CF244-SUM(CB244:CB244))+SUM(CC91:CE91)+(CF246-SUM(CB246:CB246))</f>
        <v>3787.0782025898</v>
      </c>
      <c r="CG298" s="261">
        <f>CF298+CG127+CG245+CG244+CG236+CG246</f>
        <v>3713.44608356596</v>
      </c>
      <c r="CH298" s="261">
        <f>CG298+CH127+CH245+CH244+CH236+CH246</f>
        <v>3891.01126085533</v>
      </c>
      <c r="CI298" s="261">
        <f>CH298+CI127+CI245+CI244+CI236+CI246</f>
        <v>4054.70585288793</v>
      </c>
      <c r="CJ298" s="261">
        <f>CI298+CJ127+CJ245+CJ244+CJ236+CJ246</f>
        <v>4228.4312303819</v>
      </c>
      <c r="CK298" s="261">
        <f>CJ298+CK127+CK245+CK244+CK236+CK246</f>
        <v>4407.65408085878</v>
      </c>
      <c r="CL298" s="19" t="inlineStr">
        <is>
          <t>+ net income − dividends − repurchases (incl. withholding) + stock-based compensation + equity issued (OCI / FX translation held flat).</t>
        </is>
      </c>
      <c r="CN298" s="20">
        <f>IFERROR((CK298/CF298)^(1/5)-1,"n/m")</f>
        <v>0.030814801467705</v>
      </c>
      <c r="CO298" s="20">
        <f>IFERROR((CA298/BB298)^(1/5)-1,"n/m")</f>
        <v>0.222689381314898</v>
      </c>
      <c r="CP298" s="20">
        <f>IFERROR((CA298/AC298)^(1/10)-1,"n/m")</f>
        <v>0.183971907687398</v>
      </c>
      <c r="CQ298" s="20">
        <f>IFERROR((CA298/C298)^(1/20)-1,"n/m")</f>
        <v>0.210755304250336</v>
      </c>
    </row>
    <row r="299" ht="15" customHeight="1" s="251">
      <c r="B299" s="55" t="inlineStr">
        <is>
          <t>TOTAL LIABILITIES AND STOCKHOLDERS' EQUITY</t>
        </is>
      </c>
      <c r="C299" s="271">
        <f>IF(ISNUMBER(C297),C297+C298,"")</f>
        <v>275.923</v>
      </c>
      <c r="D299" s="271">
        <f>IF(ISNUMBER(D297),D297+D298,"")</f>
        <v>273.713</v>
      </c>
      <c r="E299" s="271">
        <f>IF(ISNUMBER(E297),E297+E298,"")</f>
        <v>337.112</v>
      </c>
      <c r="F299" s="271">
        <f>IF(ISNUMBER(F297),F297+F298,"")</f>
        <v>382.067</v>
      </c>
      <c r="G299" s="271">
        <f>IF(ISNUMBER(G297),G297+G298,"")</f>
        <v>375.955</v>
      </c>
      <c r="H299" s="271">
        <f>IF(ISNUMBER(H297),H297+H298,"")</f>
        <v>425.982</v>
      </c>
      <c r="I299" s="271">
        <f>IF(ISNUMBER(I297),I297+I298,"")</f>
        <v>459.518</v>
      </c>
      <c r="J299" s="271">
        <f>IF(ISNUMBER(J297),J297+J298,"")</f>
        <v>483.221</v>
      </c>
      <c r="K299" s="271">
        <f>IF(ISNUMBER(K297),K297+K298,"")</f>
        <v>505.332</v>
      </c>
      <c r="L299" s="271">
        <f>IF(ISNUMBER(L297),L297+L298,"")</f>
        <v>532.684</v>
      </c>
      <c r="M299" s="271">
        <f>IF(ISNUMBER(M297),M297+M298,"")</f>
        <v>542.442</v>
      </c>
      <c r="N299" s="271">
        <f>IF(ISNUMBER(N297),N297+N298,"")</f>
        <v>542.442</v>
      </c>
      <c r="O299" s="271">
        <f>IF(ISNUMBER(O297),O297+O298,"")</f>
        <v>563.902</v>
      </c>
      <c r="P299" s="271">
        <f>IF(ISNUMBER(P297),P297+P298,"")</f>
        <v>582.668</v>
      </c>
      <c r="Q299" s="271">
        <f>IF(ISNUMBER(Q297),Q297+Q298,"")</f>
        <v>603.025</v>
      </c>
      <c r="R299" s="271">
        <f>IF(ISNUMBER(R297),R297+R298,"")</f>
        <v>620.993</v>
      </c>
      <c r="S299" s="271">
        <f>IF(ISNUMBER(S297),S297+S298,"")</f>
        <v>620.993</v>
      </c>
      <c r="T299" s="271">
        <f>IF(ISNUMBER(T297),T297+T298,"")</f>
        <v>600.513</v>
      </c>
      <c r="U299" s="271">
        <f>IF(ISNUMBER(U297),U297+U298,"")</f>
        <v>606.989</v>
      </c>
      <c r="V299" s="271">
        <f>IF(ISNUMBER(V297),V297+V298,"")</f>
        <v>617.247</v>
      </c>
      <c r="W299" s="271">
        <f>IF(ISNUMBER(W297),W297+W298,"")</f>
        <v>632.073</v>
      </c>
      <c r="X299" s="271">
        <f>IF(ISNUMBER(X297),X297+X298,"")</f>
        <v>632.073</v>
      </c>
      <c r="Y299" s="271">
        <f>IF(ISNUMBER(Y297),Y297+Y298,"")</f>
        <v>1106.078</v>
      </c>
      <c r="Z299" s="271">
        <f>IF(ISNUMBER(Z297),Z297+Z298,"")</f>
        <v>1096.459</v>
      </c>
      <c r="AA299" s="271">
        <f>IF(ISNUMBER(AA297),AA297+AA298,"")</f>
        <v>1098.894</v>
      </c>
      <c r="AB299" s="271">
        <f>IF(ISNUMBER(AB297),AB297+AB298,"")</f>
        <v>1098.51</v>
      </c>
      <c r="AC299" s="271">
        <f>IF(ISNUMBER(AC297),AC297+AC298,"")</f>
        <v>1098.51</v>
      </c>
      <c r="AD299" s="271">
        <f>IF(ISNUMBER(AD297),AD297+AD298,"")</f>
        <v>1098.64</v>
      </c>
      <c r="AE299" s="271">
        <f>IF(ISNUMBER(AE297),AE297+AE298,"")</f>
        <v>1103.516</v>
      </c>
      <c r="AF299" s="271">
        <f>IF(ISNUMBER(AF297),AF297+AF298,"")</f>
        <v>1097.709</v>
      </c>
      <c r="AG299" s="271">
        <f>IF(ISNUMBER(AG297),AG297+AG298,"")</f>
        <v>1108.847</v>
      </c>
      <c r="AH299" s="271">
        <f>IF(ISNUMBER(AH297),AH297+AH298,"")</f>
        <v>1108.847</v>
      </c>
      <c r="AI299" s="271">
        <f>IF(ISNUMBER(AI297),AI297+AI298,"")</f>
        <v>1120.604</v>
      </c>
      <c r="AJ299" s="271">
        <f>IF(ISNUMBER(AJ297),AJ297+AJ298,"")</f>
        <v>1114.646</v>
      </c>
      <c r="AK299" s="271">
        <f>IF(ISNUMBER(AK297),AK297+AK298,"")</f>
        <v>1129.15</v>
      </c>
      <c r="AL299" s="271">
        <f>IF(ISNUMBER(AL297),AL297+AL298,"")</f>
        <v>1142.751</v>
      </c>
      <c r="AM299" s="271">
        <f>IF(ISNUMBER(AM297),AM297+AM298,"")</f>
        <v>1142.751</v>
      </c>
      <c r="AN299" s="271">
        <f>IF(ISNUMBER(AN297),AN297+AN298,"")</f>
        <v>1147.963</v>
      </c>
      <c r="AO299" s="271">
        <f>IF(ISNUMBER(AO297),AO297+AO298,"")</f>
        <v>1179.298</v>
      </c>
      <c r="AP299" s="271">
        <f>IF(ISNUMBER(AP297),AP297+AP298,"")</f>
        <v>1174.925</v>
      </c>
      <c r="AQ299" s="271">
        <f>IF(ISNUMBER(AQ297),AQ297+AQ298,"")</f>
        <v>1147.367</v>
      </c>
      <c r="AR299" s="271">
        <f>IF(ISNUMBER(AR297),AR297+AR298,"")</f>
        <v>1147.367</v>
      </c>
      <c r="AS299" s="271">
        <f>IF(ISNUMBER(AS297),AS297+AS298,"")</f>
        <v>1191.934</v>
      </c>
      <c r="AT299" s="271">
        <f>IF(ISNUMBER(AT297),AT297+AT298,"")</f>
        <v>1246.56</v>
      </c>
      <c r="AU299" s="271">
        <f>IF(ISNUMBER(AU297),AU297+AU298,"")</f>
        <v>1272.517</v>
      </c>
      <c r="AV299" s="271">
        <f>IF(ISNUMBER(AV297),AV297+AV298,"")</f>
        <v>1321.912</v>
      </c>
      <c r="AW299" s="271">
        <f>IF(ISNUMBER(AW297),AW297+AW298,"")</f>
        <v>1321.912</v>
      </c>
      <c r="AX299" s="271">
        <f>IF(ISNUMBER(AX297),AX297+AX298,"")</f>
        <v>1349.209</v>
      </c>
      <c r="AY299" s="271">
        <f>IF(ISNUMBER(AY297),AY297+AY298,"")</f>
        <v>1367.885</v>
      </c>
      <c r="AZ299" s="271">
        <f>IF(ISNUMBER(AZ297),AZ297+AZ298,"")</f>
        <v>1408.982</v>
      </c>
      <c r="BA299" s="271">
        <f>IF(ISNUMBER(BA297),BA297+BA298,"")</f>
        <v>1434.26</v>
      </c>
      <c r="BB299" s="271">
        <f>IF(ISNUMBER(BB297),BB297+BB298,"")</f>
        <v>1434.26</v>
      </c>
      <c r="BC299" s="271">
        <f>IF(ISNUMBER(BC297),BC297+BC298,"")</f>
        <v>1490.599</v>
      </c>
      <c r="BD299" s="271">
        <f>IF(ISNUMBER(BD297),BD297+BD298,"")</f>
        <v>2567.797</v>
      </c>
      <c r="BE299" s="271">
        <f>IF(ISNUMBER(BE297),BE297+BE298,"")</f>
        <v>4875.05</v>
      </c>
      <c r="BF299" s="271">
        <f>IF(ISNUMBER(BF297),BF297+BF298,"")</f>
        <v>4845.417</v>
      </c>
      <c r="BG299" s="271">
        <f>IF(ISNUMBER(BG297),BG297+BG298,"")</f>
        <v>4845.417</v>
      </c>
      <c r="BH299" s="271">
        <f>IF(ISNUMBER(BH297),BH297+BH298,"")</f>
        <v>4758.017</v>
      </c>
      <c r="BI299" s="271">
        <f>IF(ISNUMBER(BI297),BI297+BI298,"")</f>
        <v>4727.06</v>
      </c>
      <c r="BJ299" s="271">
        <f>IF(ISNUMBER(BJ297),BJ297+BJ298,"")</f>
        <v>4692.881</v>
      </c>
      <c r="BK299" s="271">
        <f>IF(ISNUMBER(BK297),BK297+BK298,"")</f>
        <v>4690.4</v>
      </c>
      <c r="BL299" s="271">
        <f>IF(ISNUMBER(BL297),BL297+BL298,"")</f>
        <v>4690.4</v>
      </c>
      <c r="BM299" s="271">
        <f>IF(ISNUMBER(BM297),BM297+BM298,"")</f>
        <v>4697.4</v>
      </c>
      <c r="BN299" s="271">
        <f>IF(ISNUMBER(BN297),BN297+BN298,"")</f>
        <v>4691.7</v>
      </c>
      <c r="BO299" s="271">
        <f>IF(ISNUMBER(BO297),BO297+BO298,"")</f>
        <v>4694.2</v>
      </c>
      <c r="BP299" s="271">
        <f>IF(ISNUMBER(BP297),BP297+BP298,"")</f>
        <v>4678.6</v>
      </c>
      <c r="BQ299" s="271">
        <f>IF(ISNUMBER(BQ297),BQ297+BQ298,"")</f>
        <v>4678.6</v>
      </c>
      <c r="BR299" s="271">
        <f>IF(ISNUMBER(BR297),BR297+BR298,"")</f>
        <v>4696.5</v>
      </c>
      <c r="BS299" s="271">
        <f>IF(ISNUMBER(BS297),BS297+BS298,"")</f>
        <v>4712.8</v>
      </c>
      <c r="BT299" s="271">
        <f>IF(ISNUMBER(BT297),BT297+BT298,"")</f>
        <v>4665.7</v>
      </c>
      <c r="BU299" s="271">
        <f>IF(ISNUMBER(BU297),BU297+BU298,"")</f>
        <v>4685.2</v>
      </c>
      <c r="BV299" s="271">
        <f>IF(ISNUMBER(BV297),BV297+BV298,"")</f>
        <v>4685.2</v>
      </c>
      <c r="BW299" s="271">
        <f>IF(ISNUMBER(BW297),BW297+BW298,"")</f>
        <v>4789.7</v>
      </c>
      <c r="BX299" s="271">
        <f>IF(ISNUMBER(BX297),BX297+BX298,"")</f>
        <v>5110.8</v>
      </c>
      <c r="BY299" s="271">
        <f>IF(ISNUMBER(BY297),BY297+BY298,"")</f>
        <v>5141.6</v>
      </c>
      <c r="BZ299" s="271">
        <f>IF(ISNUMBER(BZ297),BZ297+BZ298,"")</f>
        <v>5122.7</v>
      </c>
      <c r="CA299" s="271">
        <f>IF(ISNUMBER(CA297),CA297+CA298,"")</f>
        <v>5122.7</v>
      </c>
      <c r="CB299" s="271">
        <f>IF(ISNUMBER(CB297),CB297+CB298,"")</f>
        <v>5196.1</v>
      </c>
      <c r="CC299" s="56" t="n"/>
      <c r="CD299" s="56" t="n"/>
      <c r="CE299" s="56" t="n"/>
      <c r="CF299" s="271">
        <f>IF(ISNUMBER(CF297),CF297+CF298,"")</f>
        <v>5279.70098181707</v>
      </c>
      <c r="CG299" s="271">
        <f>IF(ISNUMBER(CG297),CG297+CG298,"")</f>
        <v>5597.61128918525</v>
      </c>
      <c r="CH299" s="271">
        <f>IF(ISNUMBER(CH297),CH297+CH298,"")</f>
        <v>5932.25946621717</v>
      </c>
      <c r="CI299" s="271">
        <f>IF(ISNUMBER(CI297),CI297+CI298,"")</f>
        <v>6255.39786023772</v>
      </c>
      <c r="CJ299" s="271">
        <f>IF(ISNUMBER(CJ297),CJ297+CJ298,"")</f>
        <v>6586.01048080214</v>
      </c>
      <c r="CK299" s="271">
        <f>IF(ISNUMBER(CK297),CK297+CK298,"")</f>
        <v>6919.85279486226</v>
      </c>
      <c r="CL299" s="153" t="n"/>
    </row>
    <row r="300" ht="15" customHeight="1" s="251">
      <c r="B300" s="57" t="inlineStr">
        <is>
          <t>BS tie-out check (TA − TL&amp;E)</t>
        </is>
      </c>
      <c r="C300" s="264">
        <f>IF(ISNUMBER(C289),IF(ABS(C289-C299)&lt;=0.15,0,ROUND(C289-C299,1)),"")</f>
        <v>0</v>
      </c>
      <c r="D300" s="264">
        <f>IF(ISNUMBER(D289),IF(ABS(D289-D299)&lt;=0.15,0,ROUND(D289-D299,1)),"")</f>
        <v>0</v>
      </c>
      <c r="E300" s="264">
        <f>IF(ISNUMBER(E289),IF(ABS(E289-E299)&lt;=0.15,0,ROUND(E289-E299,1)),"")</f>
        <v>0</v>
      </c>
      <c r="F300" s="264">
        <f>IF(ISNUMBER(F289),IF(ABS(F289-F299)&lt;=0.15,0,ROUND(F289-F299,1)),"")</f>
        <v>0</v>
      </c>
      <c r="G300" s="264">
        <f>IF(ISNUMBER(G289),IF(ABS(G289-G299)&lt;=0.15,0,ROUND(G289-G299,1)),"")</f>
        <v>0</v>
      </c>
      <c r="H300" s="264">
        <f>IF(ISNUMBER(H289),IF(ABS(H289-H299)&lt;=0.15,0,ROUND(H289-H299,1)),"")</f>
        <v>0</v>
      </c>
      <c r="I300" s="264">
        <f>IF(ISNUMBER(I289),IF(ABS(I289-I299)&lt;=0.15,0,ROUND(I289-I299,1)),"")</f>
        <v>0</v>
      </c>
      <c r="J300" s="264">
        <f>IF(ISNUMBER(J289),IF(ABS(J289-J299)&lt;=0.15,0,ROUND(J289-J299,1)),"")</f>
        <v>0</v>
      </c>
      <c r="K300" s="264">
        <f>IF(ISNUMBER(K289),IF(ABS(K289-K299)&lt;=0.15,0,ROUND(K289-K299,1)),"")</f>
        <v>0</v>
      </c>
      <c r="L300" s="264">
        <f>IF(ISNUMBER(L289),IF(ABS(L289-L299)&lt;=0.15,0,ROUND(L289-L299,1)),"")</f>
        <v>0</v>
      </c>
      <c r="M300" s="264">
        <f>IF(ISNUMBER(M289),IF(ABS(M289-M299)&lt;=0.15,0,ROUND(M289-M299,1)),"")</f>
        <v>0</v>
      </c>
      <c r="N300" s="264">
        <f>IF(ISNUMBER(N289),IF(ABS(N289-N299)&lt;=0.15,0,ROUND(N289-N299,1)),"")</f>
        <v>0</v>
      </c>
      <c r="O300" s="264">
        <f>IF(ISNUMBER(O289),IF(ABS(O289-O299)&lt;=0.15,0,ROUND(O289-O299,1)),"")</f>
        <v>0</v>
      </c>
      <c r="P300" s="264">
        <f>IF(ISNUMBER(P289),IF(ABS(P289-P299)&lt;=0.15,0,ROUND(P289-P299,1)),"")</f>
        <v>0</v>
      </c>
      <c r="Q300" s="264">
        <f>IF(ISNUMBER(Q289),IF(ABS(Q289-Q299)&lt;=0.15,0,ROUND(Q289-Q299,1)),"")</f>
        <v>0</v>
      </c>
      <c r="R300" s="264">
        <f>IF(ISNUMBER(R289),IF(ABS(R289-R299)&lt;=0.15,0,ROUND(R289-R299,1)),"")</f>
        <v>0</v>
      </c>
      <c r="S300" s="264">
        <f>IF(ISNUMBER(S289),IF(ABS(S289-S299)&lt;=0.15,0,ROUND(S289-S299,1)),"")</f>
        <v>0</v>
      </c>
      <c r="T300" s="264">
        <f>IF(ISNUMBER(T289),IF(ABS(T289-T299)&lt;=0.15,0,ROUND(T289-T299,1)),"")</f>
        <v>0</v>
      </c>
      <c r="U300" s="264">
        <f>IF(ISNUMBER(U289),IF(ABS(U289-U299)&lt;=0.15,0,ROUND(U289-U299,1)),"")</f>
        <v>0</v>
      </c>
      <c r="V300" s="264">
        <f>IF(ISNUMBER(V289),IF(ABS(V289-V299)&lt;=0.15,0,ROUND(V289-V299,1)),"")</f>
        <v>0</v>
      </c>
      <c r="W300" s="264">
        <f>IF(ISNUMBER(W289),IF(ABS(W289-W299)&lt;=0.15,0,ROUND(W289-W299,1)),"")</f>
        <v>0</v>
      </c>
      <c r="X300" s="264">
        <f>IF(ISNUMBER(X289),IF(ABS(X289-X299)&lt;=0.15,0,ROUND(X289-X299,1)),"")</f>
        <v>0</v>
      </c>
      <c r="Y300" s="264">
        <f>IF(ISNUMBER(Y289),IF(ABS(Y289-Y299)&lt;=0.15,0,ROUND(Y289-Y299,1)),"")</f>
        <v>0</v>
      </c>
      <c r="Z300" s="264">
        <f>IF(ISNUMBER(Z289),IF(ABS(Z289-Z299)&lt;=0.15,0,ROUND(Z289-Z299,1)),"")</f>
        <v>0</v>
      </c>
      <c r="AA300" s="264">
        <f>IF(ISNUMBER(AA289),IF(ABS(AA289-AA299)&lt;=0.15,0,ROUND(AA289-AA299,1)),"")</f>
        <v>0</v>
      </c>
      <c r="AB300" s="264">
        <f>IF(ISNUMBER(AB289),IF(ABS(AB289-AB299)&lt;=0.15,0,ROUND(AB289-AB299,1)),"")</f>
        <v>0</v>
      </c>
      <c r="AC300" s="264">
        <f>IF(ISNUMBER(AC289),IF(ABS(AC289-AC299)&lt;=0.15,0,ROUND(AC289-AC299,1)),"")</f>
        <v>0</v>
      </c>
      <c r="AD300" s="264">
        <f>IF(ISNUMBER(AD289),IF(ABS(AD289-AD299)&lt;=0.15,0,ROUND(AD289-AD299,1)),"")</f>
        <v>0</v>
      </c>
      <c r="AE300" s="264">
        <f>IF(ISNUMBER(AE289),IF(ABS(AE289-AE299)&lt;=0.15,0,ROUND(AE289-AE299,1)),"")</f>
        <v>0</v>
      </c>
      <c r="AF300" s="264">
        <f>IF(ISNUMBER(AF289),IF(ABS(AF289-AF299)&lt;=0.15,0,ROUND(AF289-AF299,1)),"")</f>
        <v>0</v>
      </c>
      <c r="AG300" s="264">
        <f>IF(ISNUMBER(AG289),IF(ABS(AG289-AG299)&lt;=0.15,0,ROUND(AG289-AG299,1)),"")</f>
        <v>0</v>
      </c>
      <c r="AH300" s="264">
        <f>IF(ISNUMBER(AH289),IF(ABS(AH289-AH299)&lt;=0.15,0,ROUND(AH289-AH299,1)),"")</f>
        <v>0</v>
      </c>
      <c r="AI300" s="264">
        <f>IF(ISNUMBER(AI289),IF(ABS(AI289-AI299)&lt;=0.15,0,ROUND(AI289-AI299,1)),"")</f>
        <v>0</v>
      </c>
      <c r="AJ300" s="264">
        <f>IF(ISNUMBER(AJ289),IF(ABS(AJ289-AJ299)&lt;=0.15,0,ROUND(AJ289-AJ299,1)),"")</f>
        <v>0</v>
      </c>
      <c r="AK300" s="264">
        <f>IF(ISNUMBER(AK289),IF(ABS(AK289-AK299)&lt;=0.15,0,ROUND(AK289-AK299,1)),"")</f>
        <v>0</v>
      </c>
      <c r="AL300" s="264">
        <f>IF(ISNUMBER(AL289),IF(ABS(AL289-AL299)&lt;=0.15,0,ROUND(AL289-AL299,1)),"")</f>
        <v>0</v>
      </c>
      <c r="AM300" s="264">
        <f>IF(ISNUMBER(AM289),IF(ABS(AM289-AM299)&lt;=0.15,0,ROUND(AM289-AM299,1)),"")</f>
        <v>0</v>
      </c>
      <c r="AN300" s="264">
        <f>IF(ISNUMBER(AN289),IF(ABS(AN289-AN299)&lt;=0.15,0,ROUND(AN289-AN299,1)),"")</f>
        <v>0</v>
      </c>
      <c r="AO300" s="264">
        <f>IF(ISNUMBER(AO289),IF(ABS(AO289-AO299)&lt;=0.15,0,ROUND(AO289-AO299,1)),"")</f>
        <v>0</v>
      </c>
      <c r="AP300" s="264">
        <f>IF(ISNUMBER(AP289),IF(ABS(AP289-AP299)&lt;=0.15,0,ROUND(AP289-AP299,1)),"")</f>
        <v>0</v>
      </c>
      <c r="AQ300" s="264">
        <f>IF(ISNUMBER(AQ289),IF(ABS(AQ289-AQ299)&lt;=0.15,0,ROUND(AQ289-AQ299,1)),"")</f>
        <v>0</v>
      </c>
      <c r="AR300" s="264">
        <f>IF(ISNUMBER(AR289),IF(ABS(AR289-AR299)&lt;=0.15,0,ROUND(AR289-AR299,1)),"")</f>
        <v>0</v>
      </c>
      <c r="AS300" s="264">
        <f>IF(ISNUMBER(AS289),IF(ABS(AS289-AS299)&lt;=0.15,0,ROUND(AS289-AS299,1)),"")</f>
        <v>0</v>
      </c>
      <c r="AT300" s="264">
        <f>IF(ISNUMBER(AT289),IF(ABS(AT289-AT299)&lt;=0.15,0,ROUND(AT289-AT299,1)),"")</f>
        <v>0</v>
      </c>
      <c r="AU300" s="264">
        <f>IF(ISNUMBER(AU289),IF(ABS(AU289-AU299)&lt;=0.15,0,ROUND(AU289-AU299,1)),"")</f>
        <v>0</v>
      </c>
      <c r="AV300" s="264">
        <f>IF(ISNUMBER(AV289),IF(ABS(AV289-AV299)&lt;=0.15,0,ROUND(AV289-AV299,1)),"")</f>
        <v>0</v>
      </c>
      <c r="AW300" s="264">
        <f>IF(ISNUMBER(AW289),IF(ABS(AW289-AW299)&lt;=0.15,0,ROUND(AW289-AW299,1)),"")</f>
        <v>0</v>
      </c>
      <c r="AX300" s="264">
        <f>IF(ISNUMBER(AX289),IF(ABS(AX289-AX299)&lt;=0.15,0,ROUND(AX289-AX299,1)),"")</f>
        <v>0</v>
      </c>
      <c r="AY300" s="264">
        <f>IF(ISNUMBER(AY289),IF(ABS(AY289-AY299)&lt;=0.15,0,ROUND(AY289-AY299,1)),"")</f>
        <v>0</v>
      </c>
      <c r="AZ300" s="264">
        <f>IF(ISNUMBER(AZ289),IF(ABS(AZ289-AZ299)&lt;=0.15,0,ROUND(AZ289-AZ299,1)),"")</f>
        <v>0</v>
      </c>
      <c r="BA300" s="264">
        <f>IF(ISNUMBER(BA289),IF(ABS(BA289-BA299)&lt;=0.15,0,ROUND(BA289-BA299,1)),"")</f>
        <v>0</v>
      </c>
      <c r="BB300" s="264">
        <f>IF(ISNUMBER(BB289),IF(ABS(BB289-BB299)&lt;=0.15,0,ROUND(BB289-BB299,1)),"")</f>
        <v>0</v>
      </c>
      <c r="BC300" s="264">
        <f>IF(ISNUMBER(BC289),IF(ABS(BC289-BC299)&lt;=0.15,0,ROUND(BC289-BC299,1)),"")</f>
        <v>0</v>
      </c>
      <c r="BD300" s="264">
        <f>IF(ISNUMBER(BD289),IF(ABS(BD289-BD299)&lt;=0.15,0,ROUND(BD289-BD299,1)),"")</f>
        <v>0</v>
      </c>
      <c r="BE300" s="264">
        <f>IF(ISNUMBER(BE289),IF(ABS(BE289-BE299)&lt;=0.15,0,ROUND(BE289-BE299,1)),"")</f>
        <v>0</v>
      </c>
      <c r="BF300" s="264">
        <f>IF(ISNUMBER(BF289),IF(ABS(BF289-BF299)&lt;=0.15,0,ROUND(BF289-BF299,1)),"")</f>
        <v>0</v>
      </c>
      <c r="BG300" s="264">
        <f>IF(ISNUMBER(BG289),IF(ABS(BG289-BG299)&lt;=0.15,0,ROUND(BG289-BG299,1)),"")</f>
        <v>0</v>
      </c>
      <c r="BH300" s="264">
        <f>IF(ISNUMBER(BH289),IF(ABS(BH289-BH299)&lt;=0.15,0,ROUND(BH289-BH299,1)),"")</f>
        <v>0</v>
      </c>
      <c r="BI300" s="264">
        <f>IF(ISNUMBER(BI289),IF(ABS(BI289-BI299)&lt;=0.15,0,ROUND(BI289-BI299,1)),"")</f>
        <v>0</v>
      </c>
      <c r="BJ300" s="264">
        <f>IF(ISNUMBER(BJ289),IF(ABS(BJ289-BJ299)&lt;=0.15,0,ROUND(BJ289-BJ299,1)),"")</f>
        <v>0</v>
      </c>
      <c r="BK300" s="264">
        <f>IF(ISNUMBER(BK289),IF(ABS(BK289-BK299)&lt;=0.15,0,ROUND(BK289-BK299,1)),"")</f>
        <v>0</v>
      </c>
      <c r="BL300" s="264">
        <f>IF(ISNUMBER(BL289),IF(ABS(BL289-BL299)&lt;=0.15,0,ROUND(BL289-BL299,1)),"")</f>
        <v>0</v>
      </c>
      <c r="BM300" s="264">
        <f>IF(ISNUMBER(BM289),IF(ABS(BM289-BM299)&lt;=0.15,0,ROUND(BM289-BM299,1)),"")</f>
        <v>0</v>
      </c>
      <c r="BN300" s="264">
        <f>IF(ISNUMBER(BN289),IF(ABS(BN289-BN299)&lt;=0.15,0,ROUND(BN289-BN299,1)),"")</f>
        <v>0</v>
      </c>
      <c r="BO300" s="264">
        <f>IF(ISNUMBER(BO289),IF(ABS(BO289-BO299)&lt;=0.15,0,ROUND(BO289-BO299,1)),"")</f>
        <v>0</v>
      </c>
      <c r="BP300" s="264">
        <f>IF(ISNUMBER(BP289),IF(ABS(BP289-BP299)&lt;=0.15,0,ROUND(BP289-BP299,1)),"")</f>
        <v>0</v>
      </c>
      <c r="BQ300" s="264">
        <f>IF(ISNUMBER(BQ289),IF(ABS(BQ289-BQ299)&lt;=0.15,0,ROUND(BQ289-BQ299,1)),"")</f>
        <v>0</v>
      </c>
      <c r="BR300" s="264">
        <f>IF(ISNUMBER(BR289),IF(ABS(BR289-BR299)&lt;=0.15,0,ROUND(BR289-BR299,1)),"")</f>
        <v>0</v>
      </c>
      <c r="BS300" s="264">
        <f>IF(ISNUMBER(BS289),IF(ABS(BS289-BS299)&lt;=0.15,0,ROUND(BS289-BS299,1)),"")</f>
        <v>0</v>
      </c>
      <c r="BT300" s="264">
        <f>IF(ISNUMBER(BT289),IF(ABS(BT289-BT299)&lt;=0.15,0,ROUND(BT289-BT299,1)),"")</f>
        <v>0</v>
      </c>
      <c r="BU300" s="264">
        <f>IF(ISNUMBER(BU289),IF(ABS(BU289-BU299)&lt;=0.15,0,ROUND(BU289-BU299,1)),"")</f>
        <v>0</v>
      </c>
      <c r="BV300" s="264">
        <f>IF(ISNUMBER(BV289),IF(ABS(BV289-BV299)&lt;=0.15,0,ROUND(BV289-BV299,1)),"")</f>
        <v>0</v>
      </c>
      <c r="BW300" s="264">
        <f>IF(ISNUMBER(BW289),IF(ABS(BW289-BW299)&lt;=0.15,0,ROUND(BW289-BW299,1)),"")</f>
        <v>0</v>
      </c>
      <c r="BX300" s="264">
        <f>IF(ISNUMBER(BX289),IF(ABS(BX289-BX299)&lt;=0.15,0,ROUND(BX289-BX299,1)),"")</f>
        <v>0</v>
      </c>
      <c r="BY300" s="264">
        <f>IF(ISNUMBER(BY289),IF(ABS(BY289-BY299)&lt;=0.15,0,ROUND(BY289-BY299,1)),"")</f>
        <v>0</v>
      </c>
      <c r="BZ300" s="264">
        <f>IF(ISNUMBER(BZ289),IF(ABS(BZ289-BZ299)&lt;=0.15,0,ROUND(BZ289-BZ299,1)),"")</f>
        <v>0</v>
      </c>
      <c r="CA300" s="264">
        <f>IF(ISNUMBER(CA289),IF(ABS(CA289-CA299)&lt;=0.15,0,ROUND(CA289-CA299,1)),"")</f>
        <v>0</v>
      </c>
      <c r="CB300" s="264">
        <f>IF(ISNUMBER(CB289),IF(ABS(CB289-CB299)&lt;=0.15,0,ROUND(CB289-CB299,1)),"")</f>
        <v>0</v>
      </c>
      <c r="CC300" s="153" t="n"/>
      <c r="CD300" s="153" t="n"/>
      <c r="CE300" s="153" t="n"/>
      <c r="CF300" s="272">
        <f>IF(ISNUMBER(CF289),IF(ABS(CF289-CF299)&lt;=0.15,0,ROUND(CF289-CF299,1)),"")</f>
        <v>0</v>
      </c>
      <c r="CG300" s="272">
        <f>IF(ISNUMBER(CG289),IF(ABS(CG289-CG299)&lt;=0.15,0,ROUND(CG289-CG299,1)),"")</f>
        <v>0</v>
      </c>
      <c r="CH300" s="272">
        <f>IF(ISNUMBER(CH289),IF(ABS(CH289-CH299)&lt;=0.15,0,ROUND(CH289-CH299,1)),"")</f>
        <v>0</v>
      </c>
      <c r="CI300" s="272">
        <f>IF(ISNUMBER(CI289),IF(ABS(CI289-CI299)&lt;=0.15,0,ROUND(CI289-CI299,1)),"")</f>
        <v>0</v>
      </c>
      <c r="CJ300" s="272">
        <f>IF(ISNUMBER(CJ289),IF(ABS(CJ289-CJ299)&lt;=0.15,0,ROUND(CJ289-CJ299,1)),"")</f>
        <v>0</v>
      </c>
      <c r="CK300" s="272">
        <f>IF(ISNUMBER(CK289),IF(ABS(CK289-CK299)&lt;=0.15,0,ROUND(CK289-CK299,1)),"")</f>
        <v>0</v>
      </c>
      <c r="CL300" s="153" t="n"/>
    </row>
    <row r="301" ht="15" customHeight="1" s="251">
      <c r="B301" s="57" t="inlineStr">
        <is>
          <t xml:space="preserve">  Check: model total assets vs reported (should be 0)</t>
        </is>
      </c>
      <c r="C301" s="264">
        <f>IF(ISNUMBER(C302),IF(ABS(C289-C302)&lt;=0.15,0,ROUND(C289-C302,1)),"")</f>
        <v>0</v>
      </c>
      <c r="D301" s="264">
        <f>IF(ISNUMBER(D302),IF(ABS(D289-D302)&lt;=0.15,0,ROUND(D289-D302,1)),"")</f>
        <v>0</v>
      </c>
      <c r="E301" s="264">
        <f>IF(ISNUMBER(E302),IF(ABS(E289-E302)&lt;=0.15,0,ROUND(E289-E302,1)),"")</f>
        <v>0</v>
      </c>
      <c r="F301" s="264">
        <f>IF(ISNUMBER(F302),IF(ABS(F289-F302)&lt;=0.15,0,ROUND(F289-F302,1)),"")</f>
        <v>0</v>
      </c>
      <c r="G301" s="264">
        <f>IF(ISNUMBER(G302),IF(ABS(G289-G302)&lt;=0.15,0,ROUND(G289-G302,1)),"")</f>
        <v>0</v>
      </c>
      <c r="H301" s="264">
        <f>IF(ISNUMBER(H302),IF(ABS(H289-H302)&lt;=0.15,0,ROUND(H289-H302,1)),"")</f>
        <v>0</v>
      </c>
      <c r="I301" s="264">
        <f>IF(ISNUMBER(I302),IF(ABS(I289-I302)&lt;=0.15,0,ROUND(I289-I302,1)),"")</f>
        <v>0</v>
      </c>
      <c r="J301" s="264">
        <f>IF(ISNUMBER(J302),IF(ABS(J289-J302)&lt;=0.15,0,ROUND(J289-J302,1)),"")</f>
        <v>0</v>
      </c>
      <c r="K301" s="264">
        <f>IF(ISNUMBER(K302),IF(ABS(K289-K302)&lt;=0.15,0,ROUND(K289-K302,1)),"")</f>
        <v>0</v>
      </c>
      <c r="L301" s="264">
        <f>IF(ISNUMBER(L302),IF(ABS(L289-L302)&lt;=0.15,0,ROUND(L289-L302,1)),"")</f>
        <v>0</v>
      </c>
      <c r="M301" s="264">
        <f>IF(ISNUMBER(M302),IF(ABS(M289-M302)&lt;=0.15,0,ROUND(M289-M302,1)),"")</f>
        <v>0</v>
      </c>
      <c r="N301" s="264">
        <f>IF(ISNUMBER(N302),IF(ABS(N289-N302)&lt;=0.15,0,ROUND(N289-N302,1)),"")</f>
        <v>0</v>
      </c>
      <c r="O301" s="264">
        <f>IF(ISNUMBER(O302),IF(ABS(O289-O302)&lt;=0.15,0,ROUND(O289-O302,1)),"")</f>
        <v>0</v>
      </c>
      <c r="P301" s="264">
        <f>IF(ISNUMBER(P302),IF(ABS(P289-P302)&lt;=0.15,0,ROUND(P289-P302,1)),"")</f>
        <v>0</v>
      </c>
      <c r="Q301" s="264">
        <f>IF(ISNUMBER(Q302),IF(ABS(Q289-Q302)&lt;=0.15,0,ROUND(Q289-Q302,1)),"")</f>
        <v>0</v>
      </c>
      <c r="R301" s="264">
        <f>IF(ISNUMBER(R302),IF(ABS(R289-R302)&lt;=0.15,0,ROUND(R289-R302,1)),"")</f>
        <v>0</v>
      </c>
      <c r="S301" s="264">
        <f>IF(ISNUMBER(S302),IF(ABS(S289-S302)&lt;=0.15,0,ROUND(S289-S302,1)),"")</f>
        <v>0</v>
      </c>
      <c r="T301" s="264">
        <f>IF(ISNUMBER(T302),IF(ABS(T289-T302)&lt;=0.15,0,ROUND(T289-T302,1)),"")</f>
        <v>0</v>
      </c>
      <c r="U301" s="264">
        <f>IF(ISNUMBER(U302),IF(ABS(U289-U302)&lt;=0.15,0,ROUND(U289-U302,1)),"")</f>
        <v>0</v>
      </c>
      <c r="V301" s="264">
        <f>IF(ISNUMBER(V302),IF(ABS(V289-V302)&lt;=0.15,0,ROUND(V289-V302,1)),"")</f>
        <v>0</v>
      </c>
      <c r="W301" s="264">
        <f>IF(ISNUMBER(W302),IF(ABS(W289-W302)&lt;=0.15,0,ROUND(W289-W302,1)),"")</f>
        <v>0</v>
      </c>
      <c r="X301" s="264">
        <f>IF(ISNUMBER(X302),IF(ABS(X289-X302)&lt;=0.15,0,ROUND(X289-X302,1)),"")</f>
        <v>0</v>
      </c>
      <c r="Y301" s="264">
        <f>IF(ISNUMBER(Y302),IF(ABS(Y289-Y302)&lt;=0.15,0,ROUND(Y289-Y302,1)),"")</f>
        <v>0</v>
      </c>
      <c r="Z301" s="264">
        <f>IF(ISNUMBER(Z302),IF(ABS(Z289-Z302)&lt;=0.15,0,ROUND(Z289-Z302,1)),"")</f>
        <v>0</v>
      </c>
      <c r="AA301" s="264">
        <f>IF(ISNUMBER(AA302),IF(ABS(AA289-AA302)&lt;=0.15,0,ROUND(AA289-AA302,1)),"")</f>
        <v>0</v>
      </c>
      <c r="AB301" s="264">
        <f>IF(ISNUMBER(AB302),IF(ABS(AB289-AB302)&lt;=0.15,0,ROUND(AB289-AB302,1)),"")</f>
        <v>0</v>
      </c>
      <c r="AC301" s="264">
        <f>IF(ISNUMBER(AC302),IF(ABS(AC289-AC302)&lt;=0.15,0,ROUND(AC289-AC302,1)),"")</f>
        <v>0</v>
      </c>
      <c r="AD301" s="264">
        <f>IF(ISNUMBER(AD302),IF(ABS(AD289-AD302)&lt;=0.15,0,ROUND(AD289-AD302,1)),"")</f>
        <v>0</v>
      </c>
      <c r="AE301" s="264">
        <f>IF(ISNUMBER(AE302),IF(ABS(AE289-AE302)&lt;=0.15,0,ROUND(AE289-AE302,1)),"")</f>
        <v>0</v>
      </c>
      <c r="AF301" s="264">
        <f>IF(ISNUMBER(AF302),IF(ABS(AF289-AF302)&lt;=0.15,0,ROUND(AF289-AF302,1)),"")</f>
        <v>0</v>
      </c>
      <c r="AG301" s="264">
        <f>IF(ISNUMBER(AG302),IF(ABS(AG289-AG302)&lt;=0.15,0,ROUND(AG289-AG302,1)),"")</f>
        <v>0</v>
      </c>
      <c r="AH301" s="264">
        <f>IF(ISNUMBER(AH302),IF(ABS(AH289-AH302)&lt;=0.15,0,ROUND(AH289-AH302,1)),"")</f>
        <v>0</v>
      </c>
      <c r="AI301" s="264">
        <f>IF(ISNUMBER(AI302),IF(ABS(AI289-AI302)&lt;=0.15,0,ROUND(AI289-AI302,1)),"")</f>
        <v>0</v>
      </c>
      <c r="AJ301" s="264">
        <f>IF(ISNUMBER(AJ302),IF(ABS(AJ289-AJ302)&lt;=0.15,0,ROUND(AJ289-AJ302,1)),"")</f>
        <v>0</v>
      </c>
      <c r="AK301" s="264">
        <f>IF(ISNUMBER(AK302),IF(ABS(AK289-AK302)&lt;=0.15,0,ROUND(AK289-AK302,1)),"")</f>
        <v>0</v>
      </c>
      <c r="AL301" s="264">
        <f>IF(ISNUMBER(AL302),IF(ABS(AL289-AL302)&lt;=0.15,0,ROUND(AL289-AL302,1)),"")</f>
        <v>0</v>
      </c>
      <c r="AM301" s="264">
        <f>IF(ISNUMBER(AM302),IF(ABS(AM289-AM302)&lt;=0.15,0,ROUND(AM289-AM302,1)),"")</f>
        <v>0</v>
      </c>
      <c r="AN301" s="264">
        <f>IF(ISNUMBER(AN302),IF(ABS(AN289-AN302)&lt;=0.15,0,ROUND(AN289-AN302,1)),"")</f>
        <v>0</v>
      </c>
      <c r="AO301" s="264">
        <f>IF(ISNUMBER(AO302),IF(ABS(AO289-AO302)&lt;=0.15,0,ROUND(AO289-AO302,1)),"")</f>
        <v>0</v>
      </c>
      <c r="AP301" s="264">
        <f>IF(ISNUMBER(AP302),IF(ABS(AP289-AP302)&lt;=0.15,0,ROUND(AP289-AP302,1)),"")</f>
        <v>0</v>
      </c>
      <c r="AQ301" s="264">
        <f>IF(ISNUMBER(AQ302),IF(ABS(AQ289-AQ302)&lt;=0.15,0,ROUND(AQ289-AQ302,1)),"")</f>
        <v>0</v>
      </c>
      <c r="AR301" s="264">
        <f>IF(ISNUMBER(AR302),IF(ABS(AR289-AR302)&lt;=0.15,0,ROUND(AR289-AR302,1)),"")</f>
        <v>0</v>
      </c>
      <c r="AS301" s="264">
        <f>IF(ISNUMBER(AS302),IF(ABS(AS289-AS302)&lt;=0.15,0,ROUND(AS289-AS302,1)),"")</f>
        <v>0</v>
      </c>
      <c r="AT301" s="264">
        <f>IF(ISNUMBER(AT302),IF(ABS(AT289-AT302)&lt;=0.15,0,ROUND(AT289-AT302,1)),"")</f>
        <v>0</v>
      </c>
      <c r="AU301" s="264">
        <f>IF(ISNUMBER(AU302),IF(ABS(AU289-AU302)&lt;=0.15,0,ROUND(AU289-AU302,1)),"")</f>
        <v>0</v>
      </c>
      <c r="AV301" s="264">
        <f>IF(ISNUMBER(AV302),IF(ABS(AV289-AV302)&lt;=0.15,0,ROUND(AV289-AV302,1)),"")</f>
        <v>0</v>
      </c>
      <c r="AW301" s="264">
        <f>IF(ISNUMBER(AW302),IF(ABS(AW289-AW302)&lt;=0.15,0,ROUND(AW289-AW302,1)),"")</f>
        <v>0</v>
      </c>
      <c r="AX301" s="264">
        <f>IF(ISNUMBER(AX302),IF(ABS(AX289-AX302)&lt;=0.15,0,ROUND(AX289-AX302,1)),"")</f>
        <v>0</v>
      </c>
      <c r="AY301" s="264">
        <f>IF(ISNUMBER(AY302),IF(ABS(AY289-AY302)&lt;=0.15,0,ROUND(AY289-AY302,1)),"")</f>
        <v>0</v>
      </c>
      <c r="AZ301" s="264">
        <f>IF(ISNUMBER(AZ302),IF(ABS(AZ289-AZ302)&lt;=0.15,0,ROUND(AZ289-AZ302,1)),"")</f>
        <v>0</v>
      </c>
      <c r="BA301" s="264">
        <f>IF(ISNUMBER(BA302),IF(ABS(BA289-BA302)&lt;=0.15,0,ROUND(BA289-BA302,1)),"")</f>
        <v>0</v>
      </c>
      <c r="BB301" s="264">
        <f>IF(ISNUMBER(BB302),IF(ABS(BB289-BB302)&lt;=0.15,0,ROUND(BB289-BB302,1)),"")</f>
        <v>0</v>
      </c>
      <c r="BC301" s="264">
        <f>IF(ISNUMBER(BC302),IF(ABS(BC289-BC302)&lt;=0.15,0,ROUND(BC289-BC302,1)),"")</f>
        <v>0</v>
      </c>
      <c r="BD301" s="264">
        <f>IF(ISNUMBER(BD302),IF(ABS(BD289-BD302)&lt;=0.15,0,ROUND(BD289-BD302,1)),"")</f>
        <v>0</v>
      </c>
      <c r="BE301" s="264">
        <f>IF(ISNUMBER(BE302),IF(ABS(BE289-BE302)&lt;=0.15,0,ROUND(BE289-BE302,1)),"")</f>
        <v>0</v>
      </c>
      <c r="BF301" s="264">
        <f>IF(ISNUMBER(BF302),IF(ABS(BF289-BF302)&lt;=0.15,0,ROUND(BF289-BF302,1)),"")</f>
        <v>0</v>
      </c>
      <c r="BG301" s="264">
        <f>IF(ISNUMBER(BG302),IF(ABS(BG289-BG302)&lt;=0.15,0,ROUND(BG289-BG302,1)),"")</f>
        <v>0</v>
      </c>
      <c r="BH301" s="264">
        <f>IF(ISNUMBER(BH302),IF(ABS(BH289-BH302)&lt;=0.15,0,ROUND(BH289-BH302,1)),"")</f>
        <v>0</v>
      </c>
      <c r="BI301" s="264">
        <f>IF(ISNUMBER(BI302),IF(ABS(BI289-BI302)&lt;=0.15,0,ROUND(BI289-BI302,1)),"")</f>
        <v>0</v>
      </c>
      <c r="BJ301" s="264">
        <f>IF(ISNUMBER(BJ302),IF(ABS(BJ289-BJ302)&lt;=0.15,0,ROUND(BJ289-BJ302,1)),"")</f>
        <v>0</v>
      </c>
      <c r="BK301" s="264">
        <f>IF(ISNUMBER(BK302),IF(ABS(BK289-BK302)&lt;=0.15,0,ROUND(BK289-BK302,1)),"")</f>
        <v>0</v>
      </c>
      <c r="BL301" s="264">
        <f>IF(ISNUMBER(BL302),IF(ABS(BL289-BL302)&lt;=0.15,0,ROUND(BL289-BL302,1)),"")</f>
        <v>0</v>
      </c>
      <c r="BM301" s="264">
        <f>IF(ISNUMBER(BM302),IF(ABS(BM289-BM302)&lt;=0.15,0,ROUND(BM289-BM302,1)),"")</f>
        <v>0</v>
      </c>
      <c r="BN301" s="264">
        <f>IF(ISNUMBER(BN302),IF(ABS(BN289-BN302)&lt;=0.15,0,ROUND(BN289-BN302,1)),"")</f>
        <v>0</v>
      </c>
      <c r="BO301" s="264">
        <f>IF(ISNUMBER(BO302),IF(ABS(BO289-BO302)&lt;=0.15,0,ROUND(BO289-BO302,1)),"")</f>
        <v>0</v>
      </c>
      <c r="BP301" s="264">
        <f>IF(ISNUMBER(BP302),IF(ABS(BP289-BP302)&lt;=0.15,0,ROUND(BP289-BP302,1)),"")</f>
        <v>0</v>
      </c>
      <c r="BQ301" s="264">
        <f>IF(ISNUMBER(BQ302),IF(ABS(BQ289-BQ302)&lt;=0.15,0,ROUND(BQ289-BQ302,1)),"")</f>
        <v>0</v>
      </c>
      <c r="BR301" s="264">
        <f>IF(ISNUMBER(BR302),IF(ABS(BR289-BR302)&lt;=0.15,0,ROUND(BR289-BR302,1)),"")</f>
        <v>0</v>
      </c>
      <c r="BS301" s="264">
        <f>IF(ISNUMBER(BS302),IF(ABS(BS289-BS302)&lt;=0.15,0,ROUND(BS289-BS302,1)),"")</f>
        <v>0</v>
      </c>
      <c r="BT301" s="264">
        <f>IF(ISNUMBER(BT302),IF(ABS(BT289-BT302)&lt;=0.15,0,ROUND(BT289-BT302,1)),"")</f>
        <v>0</v>
      </c>
      <c r="BU301" s="264">
        <f>IF(ISNUMBER(BU302),IF(ABS(BU289-BU302)&lt;=0.15,0,ROUND(BU289-BU302,1)),"")</f>
        <v>0</v>
      </c>
      <c r="BV301" s="264">
        <f>IF(ISNUMBER(BV302),IF(ABS(BV289-BV302)&lt;=0.15,0,ROUND(BV289-BV302,1)),"")</f>
        <v>0</v>
      </c>
      <c r="BW301" s="264">
        <f>IF(ISNUMBER(BW302),IF(ABS(BW289-BW302)&lt;=0.15,0,ROUND(BW289-BW302,1)),"")</f>
        <v>0</v>
      </c>
      <c r="BX301" s="264">
        <f>IF(ISNUMBER(BX302),IF(ABS(BX289-BX302)&lt;=0.15,0,ROUND(BX289-BX302,1)),"")</f>
        <v>0</v>
      </c>
      <c r="BY301" s="264">
        <f>IF(ISNUMBER(BY302),IF(ABS(BY289-BY302)&lt;=0.15,0,ROUND(BY289-BY302,1)),"")</f>
        <v>0</v>
      </c>
      <c r="BZ301" s="264">
        <f>IF(ISNUMBER(BZ302),IF(ABS(BZ289-BZ302)&lt;=0.15,0,ROUND(BZ289-BZ302,1)),"")</f>
        <v>0</v>
      </c>
      <c r="CA301" s="264">
        <f>IF(ISNUMBER(CA302),IF(ABS(CA289-CA302)&lt;=0.15,0,ROUND(CA289-CA302,1)),"")</f>
        <v>0</v>
      </c>
      <c r="CB301" s="264">
        <f>IF(ISNUMBER(CB302),IF(ABS(CB289-CB302)&lt;=0.15,0,ROUND(CB289-CB302,1)),"")</f>
        <v>0</v>
      </c>
      <c r="CC301" s="153" t="n"/>
      <c r="CD301" s="153" t="n"/>
      <c r="CE301" s="153" t="n"/>
      <c r="CF301" s="153" t="n"/>
      <c r="CG301" s="153" t="n"/>
      <c r="CH301" s="153" t="n"/>
      <c r="CI301" s="153" t="n"/>
      <c r="CJ301" s="153" t="n"/>
      <c r="CK301" s="153" t="n"/>
      <c r="CL301" s="153" t="n"/>
    </row>
    <row r="302" ht="15" customHeight="1" s="251">
      <c r="B302" s="156" t="inlineStr">
        <is>
          <t xml:space="preserve">  Memo: total assets as reported</t>
        </is>
      </c>
      <c r="C302" s="259" t="n">
        <v>275.923</v>
      </c>
      <c r="D302" s="259" t="n">
        <v>273.713</v>
      </c>
      <c r="E302" s="259" t="n">
        <v>337.112</v>
      </c>
      <c r="F302" s="259" t="n">
        <v>382.067</v>
      </c>
      <c r="G302" s="259" t="n">
        <v>375.955</v>
      </c>
      <c r="H302" s="259" t="n">
        <v>425.982</v>
      </c>
      <c r="I302" s="259" t="n">
        <v>459.518</v>
      </c>
      <c r="J302" s="259" t="n">
        <v>483.221</v>
      </c>
      <c r="K302" s="259" t="n">
        <v>505.332</v>
      </c>
      <c r="L302" s="259" t="n">
        <v>532.684</v>
      </c>
      <c r="M302" s="259" t="n">
        <v>542.442</v>
      </c>
      <c r="N302" s="259" t="n">
        <v>542.442</v>
      </c>
      <c r="O302" s="259" t="n">
        <v>563.902</v>
      </c>
      <c r="P302" s="259" t="n">
        <v>582.668</v>
      </c>
      <c r="Q302" s="259" t="n">
        <v>603.025</v>
      </c>
      <c r="R302" s="259" t="n">
        <v>620.9930000000001</v>
      </c>
      <c r="S302" s="259" t="n">
        <v>620.9930000000001</v>
      </c>
      <c r="T302" s="259" t="n">
        <v>600.513</v>
      </c>
      <c r="U302" s="259" t="n">
        <v>606.989</v>
      </c>
      <c r="V302" s="259" t="n">
        <v>617.247</v>
      </c>
      <c r="W302" s="259" t="n">
        <v>632.073</v>
      </c>
      <c r="X302" s="259" t="n">
        <v>632.073</v>
      </c>
      <c r="Y302" s="259" t="n">
        <v>1106.078</v>
      </c>
      <c r="Z302" s="259" t="n">
        <v>1096.459</v>
      </c>
      <c r="AA302" s="259" t="n">
        <v>1098.894</v>
      </c>
      <c r="AB302" s="259" t="n">
        <v>1098.51</v>
      </c>
      <c r="AC302" s="259" t="n">
        <v>1098.51</v>
      </c>
      <c r="AD302" s="259" t="n">
        <v>1098.64</v>
      </c>
      <c r="AE302" s="259" t="n">
        <v>1103.516</v>
      </c>
      <c r="AF302" s="259" t="n">
        <v>1097.709</v>
      </c>
      <c r="AG302" s="259" t="n">
        <v>1108.847</v>
      </c>
      <c r="AH302" s="259" t="n">
        <v>1108.847</v>
      </c>
      <c r="AI302" s="259" t="n">
        <v>1120.604</v>
      </c>
      <c r="AJ302" s="259" t="n">
        <v>1114.646</v>
      </c>
      <c r="AK302" s="259" t="n">
        <v>1129.15</v>
      </c>
      <c r="AL302" s="259" t="n">
        <v>1142.751</v>
      </c>
      <c r="AM302" s="259" t="n">
        <v>1142.751</v>
      </c>
      <c r="AN302" s="259" t="n">
        <v>1147.963</v>
      </c>
      <c r="AO302" s="259" t="n">
        <v>1179.298</v>
      </c>
      <c r="AP302" s="259" t="n">
        <v>1174.925</v>
      </c>
      <c r="AQ302" s="259" t="n">
        <v>1147.367</v>
      </c>
      <c r="AR302" s="259" t="n">
        <v>1147.367</v>
      </c>
      <c r="AS302" s="259" t="n">
        <v>1191.934</v>
      </c>
      <c r="AT302" s="259" t="n">
        <v>1246.56</v>
      </c>
      <c r="AU302" s="259" t="n">
        <v>1272.517</v>
      </c>
      <c r="AV302" s="259" t="n">
        <v>1321.912</v>
      </c>
      <c r="AW302" s="259" t="n">
        <v>1321.912</v>
      </c>
      <c r="AX302" s="259" t="n">
        <v>1349.209</v>
      </c>
      <c r="AY302" s="259" t="n">
        <v>1367.885</v>
      </c>
      <c r="AZ302" s="259" t="n">
        <v>1408.982</v>
      </c>
      <c r="BA302" s="259" t="n">
        <v>1434.26</v>
      </c>
      <c r="BB302" s="259" t="n">
        <v>1434.26</v>
      </c>
      <c r="BC302" s="259" t="n">
        <v>1490.599</v>
      </c>
      <c r="BD302" s="259" t="n">
        <v>2567.797</v>
      </c>
      <c r="BE302" s="259" t="n">
        <v>4875.05</v>
      </c>
      <c r="BF302" s="259" t="n">
        <v>4845.417</v>
      </c>
      <c r="BG302" s="259" t="n">
        <v>4845.417</v>
      </c>
      <c r="BH302" s="259" t="n">
        <v>4758.017</v>
      </c>
      <c r="BI302" s="259" t="n">
        <v>4727.06</v>
      </c>
      <c r="BJ302" s="259" t="n">
        <v>4692.881</v>
      </c>
      <c r="BK302" s="259" t="n">
        <v>4690.4</v>
      </c>
      <c r="BL302" s="259" t="n">
        <v>4690.4</v>
      </c>
      <c r="BM302" s="259" t="n">
        <v>4697.4</v>
      </c>
      <c r="BN302" s="259" t="n">
        <v>4691.7</v>
      </c>
      <c r="BO302" s="259" t="n">
        <v>4694.2</v>
      </c>
      <c r="BP302" s="259" t="n">
        <v>4678.6</v>
      </c>
      <c r="BQ302" s="259" t="n">
        <v>4678.6</v>
      </c>
      <c r="BR302" s="259" t="n">
        <v>4696.5</v>
      </c>
      <c r="BS302" s="259" t="n">
        <v>4712.8</v>
      </c>
      <c r="BT302" s="259" t="n">
        <v>4665.7</v>
      </c>
      <c r="BU302" s="259" t="n">
        <v>4685.2</v>
      </c>
      <c r="BV302" s="259" t="n">
        <v>4685.2</v>
      </c>
      <c r="BW302" s="259" t="n">
        <v>4789.7</v>
      </c>
      <c r="BX302" s="259" t="n">
        <v>5110.8</v>
      </c>
      <c r="BY302" s="259" t="n">
        <v>5141.6</v>
      </c>
      <c r="BZ302" s="259" t="n">
        <v>5122.7</v>
      </c>
      <c r="CA302" s="259" t="n">
        <v>5122.7</v>
      </c>
      <c r="CB302" s="259" t="n">
        <v>5196.1</v>
      </c>
      <c r="CC302" s="153" t="n"/>
      <c r="CD302" s="153" t="n"/>
      <c r="CE302" s="153" t="n"/>
      <c r="CF302" s="153" t="n"/>
      <c r="CG302" s="153" t="n"/>
      <c r="CH302" s="153" t="n"/>
      <c r="CI302" s="153" t="n"/>
      <c r="CJ302" s="153" t="n"/>
      <c r="CK302" s="153" t="n"/>
      <c r="CL302" s="153" t="n"/>
    </row>
    <row r="303" ht="15" customHeight="1" s="251">
      <c r="B303" s="57" t="inlineStr">
        <is>
          <t xml:space="preserve">  Check: BS cash vs cash-flow ending cash (should be 0)</t>
        </is>
      </c>
      <c r="C303" s="264">
        <f>IF(AND(ISNUMBER(C280),ISNUMBER(C253)),IF(ABS(C280-C253)&lt;=0.15,0,ROUND(C280-C253,1)),"")</f>
        <v>0</v>
      </c>
      <c r="D303" s="264">
        <f>IF(AND(ISNUMBER(D280),ISNUMBER(D253)),IF(ABS(D280-D253)&lt;=0.15,0,ROUND(D280-D253,1)),"")</f>
        <v>0</v>
      </c>
      <c r="E303" s="264">
        <f>IF(AND(ISNUMBER(E280),ISNUMBER(E253)),IF(ABS(E280-E253)&lt;=0.15,0,ROUND(E280-E253,1)),"")</f>
        <v>0</v>
      </c>
      <c r="F303" s="264">
        <f>IF(AND(ISNUMBER(F280),ISNUMBER(F253)),IF(ABS(F280-F253)&lt;=0.15,0,ROUND(F280-F253,1)),"")</f>
        <v>0</v>
      </c>
      <c r="G303" s="264">
        <f>IF(AND(ISNUMBER(G280),ISNUMBER(G253)),IF(ABS(G280-G253)&lt;=0.15,0,ROUND(G280-G253,1)),"")</f>
        <v>0</v>
      </c>
      <c r="H303" s="264">
        <f>IF(AND(ISNUMBER(H280),ISNUMBER(H253)),IF(ABS(H280-H253)&lt;=0.15,0,ROUND(H280-H253,1)),"")</f>
        <v>0</v>
      </c>
      <c r="I303" s="264">
        <f>IF(AND(ISNUMBER(I280),ISNUMBER(I253)),IF(ABS(I280-I253)&lt;=0.15,0,ROUND(I280-I253,1)),"")</f>
        <v>0</v>
      </c>
      <c r="J303" s="264">
        <f>IF(AND(ISNUMBER(J280),ISNUMBER(J253)),IF(ABS(J280-J253)&lt;=0.15,0,ROUND(J280-J253,1)),"")</f>
        <v>0</v>
      </c>
      <c r="K303" s="264">
        <f>IF(AND(ISNUMBER(K280),ISNUMBER(K253)),IF(ABS(K280-K253)&lt;=0.15,0,ROUND(K280-K253,1)),"")</f>
        <v>0</v>
      </c>
      <c r="L303" s="264">
        <f>IF(AND(ISNUMBER(L280),ISNUMBER(L253)),IF(ABS(L280-L253)&lt;=0.15,0,ROUND(L280-L253,1)),"")</f>
        <v>0</v>
      </c>
      <c r="M303" s="264">
        <f>IF(AND(ISNUMBER(M280),ISNUMBER(M253)),IF(ABS(M280-M253)&lt;=0.15,0,ROUND(M280-M253,1)),"")</f>
        <v>0</v>
      </c>
      <c r="N303" s="264">
        <f>IF(AND(ISNUMBER(N280),ISNUMBER(N253)),IF(ABS(N280-N253)&lt;=0.15,0,ROUND(N280-N253,1)),"")</f>
        <v>0</v>
      </c>
      <c r="O303" s="264">
        <f>IF(AND(ISNUMBER(O280),ISNUMBER(O253)),IF(ABS(O280-O253)&lt;=0.15,0,ROUND(O280-O253,1)),"")</f>
        <v>0</v>
      </c>
      <c r="P303" s="264">
        <f>IF(AND(ISNUMBER(P280),ISNUMBER(P253)),IF(ABS(P280-P253)&lt;=0.15,0,ROUND(P280-P253,1)),"")</f>
        <v>0</v>
      </c>
      <c r="Q303" s="264">
        <f>IF(AND(ISNUMBER(Q280),ISNUMBER(Q253)),IF(ABS(Q280-Q253)&lt;=0.15,0,ROUND(Q280-Q253,1)),"")</f>
        <v>0</v>
      </c>
      <c r="R303" s="264">
        <f>IF(AND(ISNUMBER(R280),ISNUMBER(R253)),IF(ABS(R280-R253)&lt;=0.15,0,ROUND(R280-R253,1)),"")</f>
        <v>0</v>
      </c>
      <c r="S303" s="264">
        <f>IF(AND(ISNUMBER(S280),ISNUMBER(S253)),IF(ABS(S280-S253)&lt;=0.15,0,ROUND(S280-S253,1)),"")</f>
        <v>0</v>
      </c>
      <c r="T303" s="264">
        <f>IF(AND(ISNUMBER(T280),ISNUMBER(T253)),IF(ABS(T280-T253)&lt;=0.15,0,ROUND(T280-T253,1)),"")</f>
        <v>0</v>
      </c>
      <c r="U303" s="264">
        <f>IF(AND(ISNUMBER(U280),ISNUMBER(U253)),IF(ABS(U280-U253)&lt;=0.15,0,ROUND(U280-U253,1)),"")</f>
        <v>0</v>
      </c>
      <c r="V303" s="264">
        <f>IF(AND(ISNUMBER(V280),ISNUMBER(V253)),IF(ABS(V280-V253)&lt;=0.15,0,ROUND(V280-V253,1)),"")</f>
        <v>0</v>
      </c>
      <c r="W303" s="264">
        <f>IF(AND(ISNUMBER(W280),ISNUMBER(W253)),IF(ABS(W280-W253)&lt;=0.15,0,ROUND(W280-W253,1)),"")</f>
        <v>0</v>
      </c>
      <c r="X303" s="264">
        <f>IF(AND(ISNUMBER(X280),ISNUMBER(X253)),IF(ABS(X280-X253)&lt;=0.15,0,ROUND(X280-X253,1)),"")</f>
        <v>0</v>
      </c>
      <c r="Y303" s="264">
        <f>IF(AND(ISNUMBER(Y280),ISNUMBER(Y253)),IF(ABS(Y280-Y253)&lt;=0.15,0,ROUND(Y280-Y253,1)),"")</f>
        <v>0</v>
      </c>
      <c r="Z303" s="264">
        <f>IF(AND(ISNUMBER(Z280),ISNUMBER(Z253)),IF(ABS(Z280-Z253)&lt;=0.15,0,ROUND(Z280-Z253,1)),"")</f>
        <v>0</v>
      </c>
      <c r="AA303" s="264">
        <f>IF(AND(ISNUMBER(AA280),ISNUMBER(AA253)),IF(ABS(AA280-AA253)&lt;=0.15,0,ROUND(AA280-AA253,1)),"")</f>
        <v>0</v>
      </c>
      <c r="AB303" s="264">
        <f>IF(AND(ISNUMBER(AB280),ISNUMBER(AB253)),IF(ABS(AB280-AB253)&lt;=0.15,0,ROUND(AB280-AB253,1)),"")</f>
        <v>0</v>
      </c>
      <c r="AC303" s="264">
        <f>IF(AND(ISNUMBER(AC280),ISNUMBER(AC253)),IF(ABS(AC280-AC253)&lt;=0.15,0,ROUND(AC280-AC253,1)),"")</f>
        <v>0</v>
      </c>
      <c r="AD303" s="264">
        <f>IF(AND(ISNUMBER(AD280),ISNUMBER(AD253)),IF(ABS(AD280-AD253)&lt;=0.15,0,ROUND(AD280-AD253,1)),"")</f>
        <v>0</v>
      </c>
      <c r="AE303" s="264">
        <f>IF(AND(ISNUMBER(AE280),ISNUMBER(AE253)),IF(ABS(AE280-AE253)&lt;=0.15,0,ROUND(AE280-AE253,1)),"")</f>
        <v>0</v>
      </c>
      <c r="AF303" s="264">
        <f>IF(AND(ISNUMBER(AF280),ISNUMBER(AF253)),IF(ABS(AF280-AF253)&lt;=0.15,0,ROUND(AF280-AF253,1)),"")</f>
        <v>0</v>
      </c>
      <c r="AG303" s="264">
        <f>IF(AND(ISNUMBER(AG280),ISNUMBER(AG253)),IF(ABS(AG280-AG253)&lt;=0.15,0,ROUND(AG280-AG253,1)),"")</f>
        <v>0</v>
      </c>
      <c r="AH303" s="264">
        <f>IF(AND(ISNUMBER(AH280),ISNUMBER(AH253)),IF(ABS(AH280-AH253)&lt;=0.15,0,ROUND(AH280-AH253,1)),"")</f>
        <v>0</v>
      </c>
      <c r="AI303" s="264">
        <f>IF(AND(ISNUMBER(AI280),ISNUMBER(AI253)),IF(ABS(AI280-AI253)&lt;=0.15,0,ROUND(AI280-AI253,1)),"")</f>
        <v>0</v>
      </c>
      <c r="AJ303" s="264">
        <f>IF(AND(ISNUMBER(AJ280),ISNUMBER(AJ253)),IF(ABS(AJ280-AJ253)&lt;=0.15,0,ROUND(AJ280-AJ253,1)),"")</f>
        <v>0</v>
      </c>
      <c r="AK303" s="264">
        <f>IF(AND(ISNUMBER(AK280),ISNUMBER(AK253)),IF(ABS(AK280-AK253)&lt;=0.15,0,ROUND(AK280-AK253,1)),"")</f>
        <v>0</v>
      </c>
      <c r="AL303" s="264">
        <f>IF(AND(ISNUMBER(AL280),ISNUMBER(AL253)),IF(ABS(AL280-AL253)&lt;=0.15,0,ROUND(AL280-AL253,1)),"")</f>
        <v>0</v>
      </c>
      <c r="AM303" s="264">
        <f>IF(AND(ISNUMBER(AM280),ISNUMBER(AM253)),IF(ABS(AM280-AM253)&lt;=0.15,0,ROUND(AM280-AM253,1)),"")</f>
        <v>0</v>
      </c>
      <c r="AN303" s="264">
        <f>IF(AND(ISNUMBER(AN280),ISNUMBER(AN253)),IF(ABS(AN280-AN253)&lt;=0.15,0,ROUND(AN280-AN253,1)),"")</f>
        <v>0</v>
      </c>
      <c r="AO303" s="264">
        <f>IF(AND(ISNUMBER(AO280),ISNUMBER(AO253)),IF(ABS(AO280-AO253)&lt;=0.15,0,ROUND(AO280-AO253,1)),"")</f>
        <v>0</v>
      </c>
      <c r="AP303" s="264">
        <f>IF(AND(ISNUMBER(AP280),ISNUMBER(AP253)),IF(ABS(AP280-AP253)&lt;=0.15,0,ROUND(AP280-AP253,1)),"")</f>
        <v>0</v>
      </c>
      <c r="AQ303" s="264">
        <f>IF(AND(ISNUMBER(AQ280),ISNUMBER(AQ253)),IF(ABS(AQ280-AQ253)&lt;=0.15,0,ROUND(AQ280-AQ253,1)),"")</f>
        <v>0</v>
      </c>
      <c r="AR303" s="264">
        <f>IF(AND(ISNUMBER(AR280),ISNUMBER(AR253)),IF(ABS(AR280-AR253)&lt;=0.15,0,ROUND(AR280-AR253,1)),"")</f>
        <v>0</v>
      </c>
      <c r="AS303" s="264">
        <f>IF(AND(ISNUMBER(AS280),ISNUMBER(AS253)),IF(ABS(AS280-AS253)&lt;=0.15,0,ROUND(AS280-AS253,1)),"")</f>
        <v>0</v>
      </c>
      <c r="AT303" s="264">
        <f>IF(AND(ISNUMBER(AT280),ISNUMBER(AT253)),IF(ABS(AT280-AT253)&lt;=0.15,0,ROUND(AT280-AT253,1)),"")</f>
        <v>0</v>
      </c>
      <c r="AU303" s="264">
        <f>IF(AND(ISNUMBER(AU280),ISNUMBER(AU253)),IF(ABS(AU280-AU253)&lt;=0.15,0,ROUND(AU280-AU253,1)),"")</f>
        <v>0</v>
      </c>
      <c r="AV303" s="264">
        <f>IF(AND(ISNUMBER(AV280),ISNUMBER(AV253)),IF(ABS(AV280-AV253)&lt;=0.15,0,ROUND(AV280-AV253,1)),"")</f>
        <v>0</v>
      </c>
      <c r="AW303" s="264">
        <f>IF(AND(ISNUMBER(AW280),ISNUMBER(AW253)),IF(ABS(AW280-AW253)&lt;=0.15,0,ROUND(AW280-AW253,1)),"")</f>
        <v>0</v>
      </c>
      <c r="AX303" s="264">
        <f>IF(AND(ISNUMBER(AX280),ISNUMBER(AX253)),IF(ABS(AX280-AX253)&lt;=0.15,0,ROUND(AX280-AX253,1)),"")</f>
        <v>0</v>
      </c>
      <c r="AY303" s="264">
        <f>IF(AND(ISNUMBER(AY280),ISNUMBER(AY253)),IF(ABS(AY280-AY253)&lt;=0.15,0,ROUND(AY280-AY253,1)),"")</f>
        <v>0</v>
      </c>
      <c r="AZ303" s="264">
        <f>IF(AND(ISNUMBER(AZ280),ISNUMBER(AZ253)),IF(ABS(AZ280-AZ253)&lt;=0.15,0,ROUND(AZ280-AZ253,1)),"")</f>
        <v>0</v>
      </c>
      <c r="BA303" s="264">
        <f>IF(AND(ISNUMBER(BA280),ISNUMBER(BA253)),IF(ABS(BA280-BA253)&lt;=0.15,0,ROUND(BA280-BA253,1)),"")</f>
        <v>0</v>
      </c>
      <c r="BB303" s="264">
        <f>IF(AND(ISNUMBER(BB280),ISNUMBER(BB253)),IF(ABS(BB280-BB253)&lt;=0.15,0,ROUND(BB280-BB253,1)),"")</f>
        <v>0</v>
      </c>
      <c r="BC303" s="264">
        <f>IF(AND(ISNUMBER(BC280),ISNUMBER(BC253)),IF(ABS(BC280-BC253)&lt;=0.15,0,ROUND(BC280-BC253,1)),"")</f>
        <v>0</v>
      </c>
      <c r="BD303" s="264">
        <f>IF(AND(ISNUMBER(BD280),ISNUMBER(BD253)),IF(ABS(BD280-BD253)&lt;=0.15,0,ROUND(BD280-BD253,1)),"")</f>
        <v>0</v>
      </c>
      <c r="BE303" s="264">
        <f>IF(AND(ISNUMBER(BE280),ISNUMBER(BE253)),IF(ABS(BE280-BE253)&lt;=0.15,0,ROUND(BE280-BE253,1)),"")</f>
        <v>0</v>
      </c>
      <c r="BF303" s="264">
        <f>IF(AND(ISNUMBER(BF280),ISNUMBER(BF253)),IF(ABS(BF280-BF253)&lt;=0.15,0,ROUND(BF280-BF253,1)),"")</f>
        <v>0</v>
      </c>
      <c r="BG303" s="264">
        <f>IF(AND(ISNUMBER(BG280),ISNUMBER(BG253)),IF(ABS(BG280-BG253)&lt;=0.15,0,ROUND(BG280-BG253,1)),"")</f>
        <v>0</v>
      </c>
      <c r="BH303" s="264">
        <f>IF(AND(ISNUMBER(BH280),ISNUMBER(BH253)),IF(ABS(BH280-BH253)&lt;=0.15,0,ROUND(BH280-BH253,1)),"")</f>
        <v>0</v>
      </c>
      <c r="BI303" s="264">
        <f>IF(AND(ISNUMBER(BI280),ISNUMBER(BI253)),IF(ABS(BI280-BI253)&lt;=0.15,0,ROUND(BI280-BI253,1)),"")</f>
        <v>0</v>
      </c>
      <c r="BJ303" s="264">
        <f>IF(AND(ISNUMBER(BJ280),ISNUMBER(BJ253)),IF(ABS(BJ280-BJ253)&lt;=0.15,0,ROUND(BJ280-BJ253,1)),"")</f>
        <v>0</v>
      </c>
      <c r="BK303" s="264">
        <f>IF(AND(ISNUMBER(BK280),ISNUMBER(BK253)),IF(ABS(BK280-BK253)&lt;=0.15,0,ROUND(BK280-BK253,1)),"")</f>
        <v>0</v>
      </c>
      <c r="BL303" s="264">
        <f>IF(AND(ISNUMBER(BL280),ISNUMBER(BL253)),IF(ABS(BL280-BL253)&lt;=0.15,0,ROUND(BL280-BL253,1)),"")</f>
        <v>0</v>
      </c>
      <c r="BM303" s="264">
        <f>IF(AND(ISNUMBER(BM280),ISNUMBER(BM253)),IF(ABS(BM280-BM253)&lt;=0.15,0,ROUND(BM280-BM253,1)),"")</f>
        <v>0</v>
      </c>
      <c r="BN303" s="264">
        <f>IF(AND(ISNUMBER(BN280),ISNUMBER(BN253)),IF(ABS(BN280-BN253)&lt;=0.15,0,ROUND(BN280-BN253,1)),"")</f>
        <v>0</v>
      </c>
      <c r="BO303" s="264">
        <f>IF(AND(ISNUMBER(BO280),ISNUMBER(BO253)),IF(ABS(BO280-BO253)&lt;=0.15,0,ROUND(BO280-BO253,1)),"")</f>
        <v>0</v>
      </c>
      <c r="BP303" s="264">
        <f>IF(AND(ISNUMBER(BP280),ISNUMBER(BP253)),IF(ABS(BP280-BP253)&lt;=0.15,0,ROUND(BP280-BP253,1)),"")</f>
        <v>0</v>
      </c>
      <c r="BQ303" s="264">
        <f>IF(AND(ISNUMBER(BQ280),ISNUMBER(BQ253)),IF(ABS(BQ280-BQ253)&lt;=0.15,0,ROUND(BQ280-BQ253,1)),"")</f>
        <v>0</v>
      </c>
      <c r="BR303" s="264">
        <f>IF(AND(ISNUMBER(BR280),ISNUMBER(BR253)),IF(ABS(BR280-BR253)&lt;=0.15,0,ROUND(BR280-BR253,1)),"")</f>
        <v>0</v>
      </c>
      <c r="BS303" s="264">
        <f>IF(AND(ISNUMBER(BS280),ISNUMBER(BS253)),IF(ABS(BS280-BS253)&lt;=0.15,0,ROUND(BS280-BS253,1)),"")</f>
        <v>0</v>
      </c>
      <c r="BT303" s="264">
        <f>IF(AND(ISNUMBER(BT280),ISNUMBER(BT253)),IF(ABS(BT280-BT253)&lt;=0.15,0,ROUND(BT280-BT253,1)),"")</f>
        <v>0</v>
      </c>
      <c r="BU303" s="264">
        <f>IF(AND(ISNUMBER(BU280),ISNUMBER(BU253)),IF(ABS(BU280-BU253)&lt;=0.15,0,ROUND(BU280-BU253,1)),"")</f>
        <v>0</v>
      </c>
      <c r="BV303" s="264">
        <f>IF(AND(ISNUMBER(BV280),ISNUMBER(BV253)),IF(ABS(BV280-BV253)&lt;=0.15,0,ROUND(BV280-BV253,1)),"")</f>
        <v>0</v>
      </c>
      <c r="BW303" s="264">
        <f>IF(AND(ISNUMBER(BW280),ISNUMBER(BW253)),IF(ABS(BW280-BW253)&lt;=0.15,0,ROUND(BW280-BW253,1)),"")</f>
        <v>0</v>
      </c>
      <c r="BX303" s="264">
        <f>IF(AND(ISNUMBER(BX280),ISNUMBER(BX253)),IF(ABS(BX280-BX253)&lt;=0.15,0,ROUND(BX280-BX253,1)),"")</f>
        <v>0</v>
      </c>
      <c r="BY303" s="264">
        <f>IF(AND(ISNUMBER(BY280),ISNUMBER(BY253)),IF(ABS(BY280-BY253)&lt;=0.15,0,ROUND(BY280-BY253,1)),"")</f>
        <v>0</v>
      </c>
      <c r="BZ303" s="264">
        <f>IF(AND(ISNUMBER(BZ280),ISNUMBER(BZ253)),IF(ABS(BZ280-BZ253)&lt;=0.15,0,ROUND(BZ280-BZ253,1)),"")</f>
        <v>0</v>
      </c>
      <c r="CA303" s="264">
        <f>IF(AND(ISNUMBER(CA280),ISNUMBER(CA253)),IF(ABS(CA280-CA253)&lt;=0.15,0,ROUND(CA280-CA253,1)),"")</f>
        <v>0</v>
      </c>
      <c r="CB303" s="264">
        <f>IF(AND(ISNUMBER(CB280),ISNUMBER(CB253)),IF(ABS(CB280-CB253)&lt;=0.15,0,ROUND(CB280-CB253,1)),"")</f>
        <v>0</v>
      </c>
      <c r="CC303" s="153" t="n"/>
      <c r="CD303" s="153" t="n"/>
      <c r="CE303" s="153" t="n"/>
      <c r="CF303" s="272">
        <f>IF(AND(ISNUMBER(CF280),ISNUMBER(CF253)),IF(ABS(CF280-CF253)&lt;=0.15,0,ROUND(CF280-CF253,1)),"")</f>
        <v>0</v>
      </c>
      <c r="CG303" s="272">
        <f>IF(AND(ISNUMBER(CG280),ISNUMBER(CG253)),IF(ABS(CG280-CG253)&lt;=0.15,0,ROUND(CG280-CG253,1)),"")</f>
        <v>0</v>
      </c>
      <c r="CH303" s="272">
        <f>IF(AND(ISNUMBER(CH280),ISNUMBER(CH253)),IF(ABS(CH280-CH253)&lt;=0.15,0,ROUND(CH280-CH253,1)),"")</f>
        <v>0</v>
      </c>
      <c r="CI303" s="272">
        <f>IF(AND(ISNUMBER(CI280),ISNUMBER(CI253)),IF(ABS(CI280-CI253)&lt;=0.15,0,ROUND(CI280-CI253,1)),"")</f>
        <v>0</v>
      </c>
      <c r="CJ303" s="272">
        <f>IF(AND(ISNUMBER(CJ280),ISNUMBER(CJ253)),IF(ABS(CJ280-CJ253)&lt;=0.15,0,ROUND(CJ280-CJ253,1)),"")</f>
        <v>0</v>
      </c>
      <c r="CK303" s="272">
        <f>IF(AND(ISNUMBER(CK280),ISNUMBER(CK253)),IF(ABS(CK280-CK253)&lt;=0.15,0,ROUND(CK280-CK253,1)),"")</f>
        <v>0</v>
      </c>
      <c r="CL303" s="153" t="n"/>
    </row>
    <row r="304" ht="15" customHeight="1" s="251">
      <c r="B304" s="156" t="inlineStr">
        <is>
          <t xml:space="preserve">  Memo: shares outstanding at period end (issued less treasury, m; XBRL from FY2011)</t>
        </is>
      </c>
      <c r="C304" s="34" t="n"/>
      <c r="D304" s="34" t="n"/>
      <c r="E304" s="34" t="n"/>
      <c r="F304" s="34" t="n"/>
      <c r="G304" s="259" t="n">
        <v>21.732423</v>
      </c>
      <c r="H304" s="259" t="n">
        <v>21.905353</v>
      </c>
      <c r="I304" s="259" t="n">
        <v>22.125024</v>
      </c>
      <c r="J304" s="259" t="n">
        <v>22.295704</v>
      </c>
      <c r="K304" s="259" t="n">
        <v>22.678207</v>
      </c>
      <c r="L304" s="259" t="n">
        <v>22.955248</v>
      </c>
      <c r="M304" s="259" t="n">
        <v>22.988694</v>
      </c>
      <c r="N304" s="259" t="n">
        <v>22.988694</v>
      </c>
      <c r="O304" s="259" t="n">
        <v>23.051501</v>
      </c>
      <c r="P304" s="259" t="n">
        <v>23.091101</v>
      </c>
      <c r="Q304" s="259" t="n">
        <v>23.157665</v>
      </c>
      <c r="R304" s="259" t="n">
        <v>23.206211</v>
      </c>
      <c r="S304" s="259" t="n">
        <v>23.206211</v>
      </c>
      <c r="T304" s="259" t="n">
        <v>23.350942</v>
      </c>
      <c r="U304" s="259" t="n">
        <v>23.382894</v>
      </c>
      <c r="V304" s="259" t="n">
        <v>23.359265</v>
      </c>
      <c r="W304" s="259" t="n">
        <v>23.393321</v>
      </c>
      <c r="X304" s="259" t="n">
        <v>23.393321</v>
      </c>
      <c r="Y304" s="259" t="n">
        <v>23.437402</v>
      </c>
      <c r="Z304" s="259" t="n">
        <v>23.4298</v>
      </c>
      <c r="AA304" s="259" t="n">
        <v>23.523035</v>
      </c>
      <c r="AB304" s="259" t="n">
        <v>23.543732</v>
      </c>
      <c r="AC304" s="259" t="n">
        <v>23.543732</v>
      </c>
      <c r="AD304" s="259" t="n">
        <v>23.680238</v>
      </c>
      <c r="AE304" s="259" t="n">
        <v>23.754397</v>
      </c>
      <c r="AF304" s="259" t="n">
        <v>23.98541</v>
      </c>
      <c r="AG304" s="259" t="n">
        <v>24.089872</v>
      </c>
      <c r="AH304" s="259" t="n">
        <v>24.089872</v>
      </c>
      <c r="AI304" s="259" t="n">
        <v>24.303655</v>
      </c>
      <c r="AJ304" s="259" t="n">
        <v>24.247444</v>
      </c>
      <c r="AK304" s="259" t="n">
        <v>24.287471</v>
      </c>
      <c r="AL304" s="259" t="n">
        <v>24.410007</v>
      </c>
      <c r="AM304" s="259" t="n">
        <v>24.410007</v>
      </c>
      <c r="AN304" s="259" t="n">
        <v>24.585629</v>
      </c>
      <c r="AO304" s="259" t="n">
        <v>24.768617</v>
      </c>
      <c r="AP304" s="259" t="n">
        <v>24.817846</v>
      </c>
      <c r="AQ304" s="259" t="n">
        <v>24.854283</v>
      </c>
      <c r="AR304" s="259" t="n">
        <v>24.854283</v>
      </c>
      <c r="AS304" s="259" t="n">
        <v>24.875252</v>
      </c>
      <c r="AT304" s="259" t="n">
        <v>25.017779</v>
      </c>
      <c r="AU304" s="259" t="n">
        <v>25.028059</v>
      </c>
      <c r="AV304" s="259" t="n">
        <v>25.042433</v>
      </c>
      <c r="AW304" s="259" t="n">
        <v>25.042433</v>
      </c>
      <c r="AX304" s="259" t="n">
        <v>25.071611</v>
      </c>
      <c r="AY304" s="259" t="n">
        <v>25.10045</v>
      </c>
      <c r="AZ304" s="259" t="n">
        <v>25.130002</v>
      </c>
      <c r="BA304" s="259" t="n">
        <v>25.225619</v>
      </c>
      <c r="BB304" s="259" t="n">
        <v>25.225619</v>
      </c>
      <c r="BC304" s="259" t="n">
        <v>25.420621</v>
      </c>
      <c r="BD304" s="259" t="n">
        <v>28.870483</v>
      </c>
      <c r="BE304" s="259" t="n">
        <v>28.8749</v>
      </c>
      <c r="BF304" s="259" t="n">
        <v>28.878886</v>
      </c>
      <c r="BG304" s="259" t="n">
        <v>28.878886</v>
      </c>
      <c r="BH304" s="259" t="n">
        <v>28.919085</v>
      </c>
      <c r="BI304" s="259" t="n">
        <v>29.01706</v>
      </c>
      <c r="BJ304" s="259" t="n">
        <v>29.018896</v>
      </c>
      <c r="BK304" s="259" t="n">
        <v>29.02355</v>
      </c>
      <c r="BL304" s="259" t="n">
        <v>29.02355</v>
      </c>
      <c r="BM304" s="259" t="n">
        <v>29.057145</v>
      </c>
      <c r="BN304" s="259" t="n">
        <v>29.084307</v>
      </c>
      <c r="BO304" s="259" t="n">
        <v>29.171185</v>
      </c>
      <c r="BP304" s="259" t="n">
        <v>29.212391</v>
      </c>
      <c r="BQ304" s="259" t="n">
        <v>29.212391</v>
      </c>
      <c r="BR304" s="259" t="n">
        <v>29.221224</v>
      </c>
      <c r="BS304" s="259" t="n">
        <v>29.367631</v>
      </c>
      <c r="BT304" s="259" t="n">
        <v>31.444545</v>
      </c>
      <c r="BU304" s="259" t="n">
        <v>31.47562</v>
      </c>
      <c r="BV304" s="259" t="n">
        <v>31.47562</v>
      </c>
      <c r="BW304" s="259" t="n">
        <v>31.563187</v>
      </c>
      <c r="BX304" s="259" t="n">
        <v>31.612254</v>
      </c>
      <c r="BY304" s="259" t="n">
        <v>31.618707</v>
      </c>
      <c r="BZ304" s="259" t="n">
        <v>31.635265</v>
      </c>
      <c r="CA304" s="259" t="n">
        <v>31.635265</v>
      </c>
      <c r="CB304" s="259" t="n">
        <v>31.660594</v>
      </c>
      <c r="CC304" s="153" t="n"/>
      <c r="CD304" s="153" t="n"/>
      <c r="CE304" s="153" t="n"/>
      <c r="CF304" s="272">
        <f>CF274</f>
        <v>31.720594</v>
      </c>
      <c r="CG304" s="272">
        <f>CG274</f>
        <v>30.8296704452859</v>
      </c>
      <c r="CH304" s="272">
        <f>CH274</f>
        <v>30.343256845923</v>
      </c>
      <c r="CI304" s="272">
        <f>CI274</f>
        <v>29.7765964370286</v>
      </c>
      <c r="CJ304" s="272">
        <f>CJ274</f>
        <v>29.1871278256798</v>
      </c>
      <c r="CK304" s="272">
        <f>CK274</f>
        <v>28.5778220405576</v>
      </c>
      <c r="CL304" s="153" t="n"/>
    </row>
    <row r="305" ht="15" customHeight="1" s="251">
      <c r="CT305" s="11" t="n"/>
      <c r="CU305" s="12" t="n"/>
      <c r="CV305" s="12" t="n"/>
      <c r="CW305" s="12" t="n"/>
      <c r="CX305" s="13" t="n"/>
    </row>
    <row r="306" ht="15" customHeight="1" s="251">
      <c r="B306" s="10" t="inlineStr">
        <is>
          <t>WORKING CAPITAL &amp; CASH CONVERSION</t>
        </is>
      </c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  <c r="AC306" s="10" t="n"/>
      <c r="AD306" s="10" t="n"/>
      <c r="AE306" s="10" t="n"/>
      <c r="AF306" s="10" t="n"/>
      <c r="AG306" s="10" t="n"/>
      <c r="AH306" s="10" t="n"/>
      <c r="AI306" s="10" t="n"/>
      <c r="AJ306" s="10" t="n"/>
      <c r="AK306" s="10" t="n"/>
      <c r="AL306" s="10" t="n"/>
      <c r="AM306" s="10" t="n"/>
      <c r="AN306" s="10" t="n"/>
      <c r="AO306" s="10" t="n"/>
      <c r="AP306" s="10" t="n"/>
      <c r="AQ306" s="10" t="n"/>
      <c r="AR306" s="10" t="n"/>
      <c r="AS306" s="10" t="n"/>
      <c r="AT306" s="10" t="n"/>
      <c r="AU306" s="10" t="n"/>
      <c r="AV306" s="10" t="n"/>
      <c r="AW306" s="10" t="n"/>
      <c r="AX306" s="10" t="n"/>
      <c r="AY306" s="10" t="n"/>
      <c r="AZ306" s="10" t="n"/>
      <c r="BA306" s="10" t="n"/>
      <c r="BB306" s="10" t="n"/>
      <c r="BC306" s="10" t="n"/>
      <c r="BD306" s="10" t="n"/>
      <c r="BE306" s="10" t="n"/>
      <c r="BF306" s="10" t="n"/>
      <c r="BG306" s="10" t="n"/>
      <c r="BH306" s="10" t="n"/>
      <c r="BI306" s="10" t="n"/>
      <c r="BJ306" s="10" t="n"/>
      <c r="BK306" s="10" t="n"/>
      <c r="BL306" s="10" t="n"/>
      <c r="BM306" s="10" t="n"/>
      <c r="BN306" s="10" t="n"/>
      <c r="BO306" s="10" t="n"/>
      <c r="BP306" s="10" t="n"/>
      <c r="BQ306" s="10" t="n"/>
      <c r="BR306" s="10" t="n"/>
      <c r="BS306" s="10" t="n"/>
      <c r="BT306" s="10" t="n"/>
      <c r="BU306" s="10" t="n"/>
      <c r="BV306" s="10" t="n"/>
      <c r="BW306" s="10" t="n"/>
      <c r="BX306" s="10" t="n"/>
      <c r="BY306" s="10" t="n"/>
      <c r="BZ306" s="10" t="n"/>
      <c r="CA306" s="10" t="n"/>
      <c r="CB306" s="10" t="n"/>
      <c r="CC306" s="10" t="n"/>
      <c r="CD306" s="10" t="n"/>
      <c r="CE306" s="10" t="n"/>
      <c r="CF306" s="10" t="n"/>
      <c r="CG306" s="10" t="n"/>
      <c r="CH306" s="10" t="n"/>
      <c r="CI306" s="10" t="n"/>
      <c r="CJ306" s="10" t="n"/>
      <c r="CK306" s="10" t="n"/>
      <c r="CL306" s="10" t="inlineStr">
        <is>
          <t>WORKING CAPITAL — forecast drivers (blue = input)</t>
        </is>
      </c>
    </row>
    <row r="307" ht="15" customHeight="1" s="251">
      <c r="B307" s="25" t="inlineStr">
        <is>
          <t xml:space="preserve">  Net sales — annualised (quarters × 4)</t>
        </is>
      </c>
      <c r="C307" s="264">
        <f>IF(ISNUMBER(C108),C108*1,"")</f>
        <v>274.509</v>
      </c>
      <c r="D307" s="264">
        <f>IF(ISNUMBER(D108),D108*1,"")</f>
        <v>306.062</v>
      </c>
      <c r="E307" s="264">
        <f>IF(ISNUMBER(E108),E108*1,"")</f>
        <v>330.6</v>
      </c>
      <c r="F307" s="264">
        <f>IF(ISNUMBER(F108),F108*1,"")</f>
        <v>355.796</v>
      </c>
      <c r="G307" s="264">
        <f>IF(ISNUMBER(G108),G108*1,"")</f>
        <v>274.702</v>
      </c>
      <c r="H307" s="264">
        <f>IF(ISNUMBER(H108),H108*1,"")</f>
        <v>335.625</v>
      </c>
      <c r="I307" s="264">
        <f>IF(ISNUMBER(I108),I108*1,"")</f>
        <v>397.511</v>
      </c>
      <c r="J307" s="264">
        <f>IF(ISNUMBER(J108),J108*4,"")</f>
        <v>413.336</v>
      </c>
      <c r="K307" s="264">
        <f>IF(ISNUMBER(K108),K108*4,"")</f>
        <v>401.5</v>
      </c>
      <c r="L307" s="264">
        <f>IF(ISNUMBER(L108),L108*4,"")</f>
        <v>385.344</v>
      </c>
      <c r="M307" s="264">
        <f>IF(ISNUMBER(M108),M108*4,"")</f>
        <v>412.024</v>
      </c>
      <c r="N307" s="264">
        <f>IF(ISNUMBER(N108),N108*1,"")</f>
        <v>403.051</v>
      </c>
      <c r="O307" s="264">
        <f>IF(ISNUMBER(O108),O108*4,"")</f>
        <v>410.672</v>
      </c>
      <c r="P307" s="264">
        <f>IF(ISNUMBER(P108),P108*4,"")</f>
        <v>407.816</v>
      </c>
      <c r="Q307" s="264">
        <f>IF(ISNUMBER(Q108),Q108*4,"")</f>
        <v>402.184</v>
      </c>
      <c r="R307" s="264">
        <f>IF(ISNUMBER(R108),R108*4,"")</f>
        <v>454.872</v>
      </c>
      <c r="S307" s="264">
        <f>IF(ISNUMBER(S108),S108*1,"")</f>
        <v>418.886</v>
      </c>
      <c r="T307" s="264">
        <f>IF(ISNUMBER(T108),T108*4,"")</f>
        <v>451.936</v>
      </c>
      <c r="U307" s="264">
        <f>IF(ISNUMBER(U108),U108*4,"")</f>
        <v>450.22</v>
      </c>
      <c r="V307" s="264">
        <f>IF(ISNUMBER(V108),V108*4,"")</f>
        <v>425.288</v>
      </c>
      <c r="W307" s="264">
        <f>IF(ISNUMBER(W108),W108*4,"")</f>
        <v>453.668</v>
      </c>
      <c r="X307" s="264">
        <f>IF(ISNUMBER(X108),X108*1,"")</f>
        <v>445.278</v>
      </c>
      <c r="Y307" s="264">
        <f>IF(ISNUMBER(Y108),Y108*4,"")</f>
        <v>569.232</v>
      </c>
      <c r="Z307" s="264">
        <f>IF(ISNUMBER(Z108),Z108*4,"")</f>
        <v>594.784</v>
      </c>
      <c r="AA307" s="264">
        <f>IF(ISNUMBER(AA108),AA108*4,"")</f>
        <v>576.864</v>
      </c>
      <c r="AB307" s="264">
        <f>IF(ISNUMBER(AB108),AB108*4,"")</f>
        <v>649.008</v>
      </c>
      <c r="AC307" s="264">
        <f>IF(ISNUMBER(AC108),AC108*1,"")</f>
        <v>597.472</v>
      </c>
      <c r="AD307" s="264">
        <f>IF(ISNUMBER(AD108),AD108*4,"")</f>
        <v>618.316</v>
      </c>
      <c r="AE307" s="264">
        <f>IF(ISNUMBER(AE108),AE108*4,"")</f>
        <v>615.772</v>
      </c>
      <c r="AF307" s="264">
        <f>IF(ISNUMBER(AF108),AF108*4,"")</f>
        <v>586.624</v>
      </c>
      <c r="AG307" s="264">
        <f>IF(ISNUMBER(AG108),AG108*4,"")</f>
        <v>640.84</v>
      </c>
      <c r="AH307" s="264">
        <f>IF(ISNUMBER(AH108),AH108*1,"")</f>
        <v>615.388</v>
      </c>
      <c r="AI307" s="264">
        <f>IF(ISNUMBER(AI108),AI108*4,"")</f>
        <v>655.588</v>
      </c>
      <c r="AJ307" s="264">
        <f>IF(ISNUMBER(AJ108),AJ108*4,"")</f>
        <v>657.268</v>
      </c>
      <c r="AK307" s="264">
        <f>IF(ISNUMBER(AK108),AK108*4,"")</f>
        <v>667.432</v>
      </c>
      <c r="AL307" s="264">
        <f>IF(ISNUMBER(AL108),AL108*4,"")</f>
        <v>719.508</v>
      </c>
      <c r="AM307" s="264">
        <f>IF(ISNUMBER(AM108),AM108*1,"")</f>
        <v>674.949</v>
      </c>
      <c r="AN307" s="264">
        <f>IF(ISNUMBER(AN108),AN108*4,"")</f>
        <v>703.94</v>
      </c>
      <c r="AO307" s="264">
        <f>IF(ISNUMBER(AO108),AO108*4,"")</f>
        <v>691.664</v>
      </c>
      <c r="AP307" s="264">
        <f>IF(ISNUMBER(AP108),AP108*4,"")</f>
        <v>685.812</v>
      </c>
      <c r="AQ307" s="264">
        <f>IF(ISNUMBER(AQ108),AQ108*4,"")</f>
        <v>728.648</v>
      </c>
      <c r="AR307" s="264">
        <f>IF(ISNUMBER(AR108),AR108*1,"")</f>
        <v>702.516</v>
      </c>
      <c r="AS307" s="264">
        <f>IF(ISNUMBER(AS108),AS108*4,"")</f>
        <v>730.76</v>
      </c>
      <c r="AT307" s="264">
        <f>IF(ISNUMBER(AT108),AT108*4,"")</f>
        <v>727.636</v>
      </c>
      <c r="AU307" s="264">
        <f>IF(ISNUMBER(AU108),AU108*4,"")</f>
        <v>708.076</v>
      </c>
      <c r="AV307" s="264">
        <f>IF(ISNUMBER(AV108),AV108*4,"")</f>
        <v>743.372</v>
      </c>
      <c r="AW307" s="264">
        <f>IF(ISNUMBER(AW108),AW108*1,"")</f>
        <v>727.461</v>
      </c>
      <c r="AX307" s="264">
        <f>IF(ISNUMBER(AX108),AX108*4,"")</f>
        <v>625.972</v>
      </c>
      <c r="AY307" s="264">
        <f>IF(ISNUMBER(AY108),AY108*4,"")</f>
        <v>585.34</v>
      </c>
      <c r="AZ307" s="264">
        <f>IF(ISNUMBER(AZ108),AZ108*4,"")</f>
        <v>583.444</v>
      </c>
      <c r="BA307" s="264">
        <f>IF(ISNUMBER(BA108),BA108*4,"")</f>
        <v>641.18</v>
      </c>
      <c r="BB307" s="264">
        <f>IF(ISNUMBER(BB108),BB108*1,"")</f>
        <v>608.984</v>
      </c>
      <c r="BC307" s="264">
        <f>IF(ISNUMBER(BC108),BC108*4,"")</f>
        <v>624.82</v>
      </c>
      <c r="BD307" s="264">
        <f>IF(ISNUMBER(BD108),BD108*4,"")</f>
        <v>643.6</v>
      </c>
      <c r="BE307" s="264">
        <f>IF(ISNUMBER(BE108),BE108*4,"")</f>
        <v>1067.812</v>
      </c>
      <c r="BF307" s="264">
        <f>IF(ISNUMBER(BF108),BF108*4,"")</f>
        <v>1435.516</v>
      </c>
      <c r="BG307" s="264">
        <f>IF(ISNUMBER(BG108),BG108*1,"")</f>
        <v>942.937</v>
      </c>
      <c r="BH307" s="264">
        <f>IF(ISNUMBER(BH108),BH108*4,"")</f>
        <v>1416.32</v>
      </c>
      <c r="BI307" s="264">
        <f>IF(ISNUMBER(BI108),BI108*4,"")</f>
        <v>1476.668</v>
      </c>
      <c r="BJ307" s="264">
        <f>IF(ISNUMBER(BJ108),BJ108*4,"")</f>
        <v>1406.5</v>
      </c>
      <c r="BK307" s="264">
        <f>IF(ISNUMBER(BK108),BK108*4,"")</f>
        <v>1577.688</v>
      </c>
      <c r="BL307" s="264">
        <f>IF(ISNUMBER(BL108),BL108*1,"")</f>
        <v>1469.3</v>
      </c>
      <c r="BM307" s="264">
        <f>IF(ISNUMBER(BM108),BM108*4,"")</f>
        <v>1548.488</v>
      </c>
      <c r="BN307" s="264">
        <f>IF(ISNUMBER(BN108),BN108*4,"")</f>
        <v>1542.288</v>
      </c>
      <c r="BO307" s="264">
        <f>IF(ISNUMBER(BO108),BO108*4,"")</f>
        <v>1495.624</v>
      </c>
      <c r="BP307" s="264">
        <f>IF(ISNUMBER(BP108),BP108*4,"")</f>
        <v>1654.72</v>
      </c>
      <c r="BQ307" s="264">
        <f>IF(ISNUMBER(BQ108),BQ108*1,"")</f>
        <v>1560.3</v>
      </c>
      <c r="BR307" s="264">
        <f>IF(ISNUMBER(BR108),BR108*4,"")</f>
        <v>1625.2</v>
      </c>
      <c r="BS307" s="264">
        <f>IF(ISNUMBER(BS108),BS108*4,"")</f>
        <v>1591.6</v>
      </c>
      <c r="BT307" s="264">
        <f>IF(ISNUMBER(BT108),BT108*4,"")</f>
        <v>1577.6</v>
      </c>
      <c r="BU307" s="264">
        <f>IF(ISNUMBER(BU108),BU108*4,"")</f>
        <v>1750.8</v>
      </c>
      <c r="BV307" s="264">
        <f>IF(ISNUMBER(BV108),BV108*1,"")</f>
        <v>1636.3</v>
      </c>
      <c r="BW307" s="264">
        <f>IF(ISNUMBER(BW108),BW108*4,"")</f>
        <v>1744</v>
      </c>
      <c r="BX307" s="264">
        <f>IF(ISNUMBER(BX108),BX108*4,"")</f>
        <v>1821.2</v>
      </c>
      <c r="BY307" s="264">
        <f>IF(ISNUMBER(BY108),BY108*4,"")</f>
        <v>1846.4</v>
      </c>
      <c r="BZ307" s="264">
        <f>IF(ISNUMBER(BZ108),BZ108*4,"")</f>
        <v>2072</v>
      </c>
      <c r="CA307" s="264">
        <f>IF(ISNUMBER(CA108),CA108*1,"")</f>
        <v>1870.9</v>
      </c>
      <c r="CB307" s="264">
        <f>IF(ISNUMBER(CB108),CB108*4,"")</f>
        <v>2078</v>
      </c>
      <c r="CC307" s="35" t="n"/>
      <c r="CD307" s="35" t="n"/>
      <c r="CE307" s="35" t="n"/>
      <c r="CF307" s="261">
        <f>IF(ISNUMBER(CF108),CF108*1,"")</f>
        <v>2157.11603293111</v>
      </c>
      <c r="CG307" s="261">
        <f>IF(ISNUMBER(CG108),CG108*1,"")</f>
        <v>2384.77498023031</v>
      </c>
      <c r="CH307" s="261">
        <f>IF(ISNUMBER(CH108),CH108*1,"")</f>
        <v>2666.37135748097</v>
      </c>
      <c r="CI307" s="261">
        <f>IF(ISNUMBER(CI108),CI108*1,"")</f>
        <v>2949.30292861885</v>
      </c>
      <c r="CJ307" s="261">
        <f>IF(ISNUMBER(CJ108),CJ108*1,"")</f>
        <v>3237.78295521797</v>
      </c>
      <c r="CK307" s="261">
        <f>IF(ISNUMBER(CK108),CK108*1,"")</f>
        <v>3522.55164285414</v>
      </c>
      <c r="CL307" s="19" t="n"/>
    </row>
    <row r="308" ht="15" customHeight="1" s="251">
      <c r="B308" s="25" t="inlineStr">
        <is>
          <t xml:space="preserve">  Cost of sales — annualised</t>
        </is>
      </c>
      <c r="C308" s="264">
        <f>IF(ISNUMBER(C109),C109*1,"")</f>
        <v>191.561</v>
      </c>
      <c r="D308" s="264">
        <f>IF(ISNUMBER(D109),D109*1,"")</f>
        <v>205.953</v>
      </c>
      <c r="E308" s="264">
        <f>IF(ISNUMBER(E109),E109*1,"")</f>
        <v>217.022</v>
      </c>
      <c r="F308" s="264">
        <f>IF(ISNUMBER(F109),F109*1,"")</f>
        <v>237.576</v>
      </c>
      <c r="G308" s="264">
        <f>IF(ISNUMBER(G109),G109*1,"")</f>
        <v>190.136</v>
      </c>
      <c r="H308" s="264">
        <f>IF(ISNUMBER(H109),H109*1,"")</f>
        <v>225.851</v>
      </c>
      <c r="I308" s="264">
        <f>IF(ISNUMBER(I109),I109*1,"")</f>
        <v>256.931</v>
      </c>
      <c r="J308" s="264">
        <f>IF(ISNUMBER(J109),J109*4,"")</f>
        <v>259.564</v>
      </c>
      <c r="K308" s="264">
        <f>IF(ISNUMBER(K109),K109*4,"")</f>
        <v>251.38</v>
      </c>
      <c r="L308" s="264">
        <f>IF(ISNUMBER(L109),L109*4,"")</f>
        <v>240.24</v>
      </c>
      <c r="M308" s="264">
        <f>IF(ISNUMBER(M109),M109*4,"")</f>
        <v>249.304</v>
      </c>
      <c r="N308" s="264">
        <f>IF(ISNUMBER(N109),N109*1,"")</f>
        <v>250.122</v>
      </c>
      <c r="O308" s="264">
        <f>IF(ISNUMBER(O109),O109*4,"")</f>
        <v>248.796</v>
      </c>
      <c r="P308" s="264">
        <f>IF(ISNUMBER(P109),P109*4,"")</f>
        <v>245.452</v>
      </c>
      <c r="Q308" s="264">
        <f>IF(ISNUMBER(Q109),Q109*4,"")</f>
        <v>248.2</v>
      </c>
      <c r="R308" s="264">
        <f>IF(ISNUMBER(R109),R109*4,"")</f>
        <v>273.908</v>
      </c>
      <c r="S308" s="264">
        <f>IF(ISNUMBER(S109),S109*1,"")</f>
        <v>254.089</v>
      </c>
      <c r="T308" s="264">
        <f>IF(ISNUMBER(T109),T109*4,"")</f>
        <v>276.652</v>
      </c>
      <c r="U308" s="264">
        <f>IF(ISNUMBER(U109),U109*4,"")</f>
        <v>291.216</v>
      </c>
      <c r="V308" s="264">
        <f>IF(ISNUMBER(V109),V109*4,"")</f>
        <v>258.676</v>
      </c>
      <c r="W308" s="264">
        <f>IF(ISNUMBER(W109),W109*4,"")</f>
        <v>274.008</v>
      </c>
      <c r="X308" s="264">
        <f>IF(ISNUMBER(X109),X109*1,"")</f>
        <v>275.138</v>
      </c>
      <c r="Y308" s="264">
        <f>IF(ISNUMBER(Y109),Y109*4,"")</f>
        <v>358.176</v>
      </c>
      <c r="Z308" s="264">
        <f>IF(ISNUMBER(Z109),Z109*4,"")</f>
        <v>386.312</v>
      </c>
      <c r="AA308" s="264">
        <f>IF(ISNUMBER(AA109),AA109*4,"")</f>
        <v>362.78</v>
      </c>
      <c r="AB308" s="264">
        <f>IF(ISNUMBER(AB109),AB109*4,"")</f>
        <v>407.508</v>
      </c>
      <c r="AC308" s="264">
        <f>IF(ISNUMBER(AC109),AC109*1,"")</f>
        <v>378.694</v>
      </c>
      <c r="AD308" s="264">
        <f>IF(ISNUMBER(AD109),AD109*4,"")</f>
        <v>389.312</v>
      </c>
      <c r="AE308" s="264">
        <f>IF(ISNUMBER(AE109),AE109*4,"")</f>
        <v>388.848</v>
      </c>
      <c r="AF308" s="264">
        <f>IF(ISNUMBER(AF109),AF109*4,"")</f>
        <v>377.084</v>
      </c>
      <c r="AG308" s="264">
        <f>IF(ISNUMBER(AG109),AG109*4,"")</f>
        <v>387.924</v>
      </c>
      <c r="AH308" s="264">
        <f>IF(ISNUMBER(AH109),AH109*1,"")</f>
        <v>385.792</v>
      </c>
      <c r="AI308" s="264">
        <f>IF(ISNUMBER(AI109),AI109*4,"")</f>
        <v>407.952</v>
      </c>
      <c r="AJ308" s="264">
        <f>IF(ISNUMBER(AJ109),AJ109*4,"")</f>
        <v>410.024</v>
      </c>
      <c r="AK308" s="264">
        <f>IF(ISNUMBER(AK109),AK109*4,"")</f>
        <v>408.772</v>
      </c>
      <c r="AL308" s="264">
        <f>IF(ISNUMBER(AL109),AL109*4,"")</f>
        <v>440.604</v>
      </c>
      <c r="AM308" s="264">
        <f>IF(ISNUMBER(AM109),AM109*1,"")</f>
        <v>416.838</v>
      </c>
      <c r="AN308" s="264">
        <f>IF(ISNUMBER(AN109),AN109*4,"")</f>
        <v>432.984</v>
      </c>
      <c r="AO308" s="264">
        <f>IF(ISNUMBER(AO109),AO109*4,"")</f>
        <v>420.388</v>
      </c>
      <c r="AP308" s="264">
        <f>IF(ISNUMBER(AP109),AP109*4,"")</f>
        <v>413.304</v>
      </c>
      <c r="AQ308" s="264">
        <f>IF(ISNUMBER(AQ109),AQ109*4,"")</f>
        <v>436.776</v>
      </c>
      <c r="AR308" s="264">
        <f>IF(ISNUMBER(AR109),AR109*1,"")</f>
        <v>425.863</v>
      </c>
      <c r="AS308" s="264">
        <f>IF(ISNUMBER(AS109),AS109*4,"")</f>
        <v>447.984</v>
      </c>
      <c r="AT308" s="264">
        <f>IF(ISNUMBER(AT109),AT109*4,"")</f>
        <v>443.18</v>
      </c>
      <c r="AU308" s="264">
        <f>IF(ISNUMBER(AU109),AU109*4,"")</f>
        <v>425.232</v>
      </c>
      <c r="AV308" s="264">
        <f>IF(ISNUMBER(AV109),AV109*4,"")</f>
        <v>437.036</v>
      </c>
      <c r="AW308" s="264">
        <f>IF(ISNUMBER(AW109),AW109*1,"")</f>
        <v>438.358</v>
      </c>
      <c r="AX308" s="264">
        <f>IF(ISNUMBER(AX109),AX109*4,"")</f>
        <v>388.16</v>
      </c>
      <c r="AY308" s="264">
        <f>IF(ISNUMBER(AY109),AY109*4,"")</f>
        <v>358.956</v>
      </c>
      <c r="AZ308" s="264">
        <f>IF(ISNUMBER(AZ109),AZ109*4,"")</f>
        <v>361.092</v>
      </c>
      <c r="BA308" s="264">
        <f>IF(ISNUMBER(BA109),BA109*4,"")</f>
        <v>391.304</v>
      </c>
      <c r="BB308" s="264">
        <f>IF(ISNUMBER(BB109),BB109*1,"")</f>
        <v>374.878</v>
      </c>
      <c r="BC308" s="264">
        <f>IF(ISNUMBER(BC109),BC109*4,"")</f>
        <v>369.728</v>
      </c>
      <c r="BD308" s="264">
        <f>IF(ISNUMBER(BD109),BD109*4,"")</f>
        <v>393.744</v>
      </c>
      <c r="BE308" s="264">
        <f>IF(ISNUMBER(BE109),BE109*4,"")</f>
        <v>694.432</v>
      </c>
      <c r="BF308" s="264">
        <f>IF(ISNUMBER(BF109),BF109*4,"")</f>
        <v>885.572</v>
      </c>
      <c r="BG308" s="264">
        <f>IF(ISNUMBER(BG109),BG109*1,"")</f>
        <v>585.869</v>
      </c>
      <c r="BH308" s="264">
        <f>IF(ISNUMBER(BH109),BH109*4,"")</f>
        <v>851.712</v>
      </c>
      <c r="BI308" s="264">
        <f>IF(ISNUMBER(BI109),BI109*4,"")</f>
        <v>872.08</v>
      </c>
      <c r="BJ308" s="264">
        <f>IF(ISNUMBER(BJ109),BJ109*4,"")</f>
        <v>822.34</v>
      </c>
      <c r="BK308" s="264">
        <f>IF(ISNUMBER(BK109),BK109*4,"")</f>
        <v>912.04</v>
      </c>
      <c r="BL308" s="264">
        <f>IF(ISNUMBER(BL109),BL109*1,"")</f>
        <v>864.5</v>
      </c>
      <c r="BM308" s="264">
        <f>IF(ISNUMBER(BM109),BM109*4,"")</f>
        <v>877.084</v>
      </c>
      <c r="BN308" s="264">
        <f>IF(ISNUMBER(BN109),BN109*4,"")</f>
        <v>876.988</v>
      </c>
      <c r="BO308" s="264">
        <f>IF(ISNUMBER(BO109),BO109*4,"")</f>
        <v>863.444</v>
      </c>
      <c r="BP308" s="264">
        <f>IF(ISNUMBER(BP109),BP109*4,"")</f>
        <v>941.596</v>
      </c>
      <c r="BQ308" s="264">
        <f>IF(ISNUMBER(BQ109),BQ109*1,"")</f>
        <v>889.8</v>
      </c>
      <c r="BR308" s="264">
        <f>IF(ISNUMBER(BR109),BR109*4,"")</f>
        <v>889.2</v>
      </c>
      <c r="BS308" s="264">
        <f>IF(ISNUMBER(BS109),BS109*4,"")</f>
        <v>896.4</v>
      </c>
      <c r="BT308" s="264">
        <f>IF(ISNUMBER(BT109),BT109*4,"")</f>
        <v>878</v>
      </c>
      <c r="BU308" s="264">
        <f>IF(ISNUMBER(BU109),BU109*4,"")</f>
        <v>977.2</v>
      </c>
      <c r="BV308" s="264">
        <f>IF(ISNUMBER(BV109),BV109*1,"")</f>
        <v>910.2</v>
      </c>
      <c r="BW308" s="264">
        <f>IF(ISNUMBER(BW109),BW109*4,"")</f>
        <v>963.2</v>
      </c>
      <c r="BX308" s="264">
        <f>IF(ISNUMBER(BX109),BX109*4,"")</f>
        <v>1018.8</v>
      </c>
      <c r="BY308" s="264">
        <f>IF(ISNUMBER(BY109),BY109*4,"")</f>
        <v>1028.8</v>
      </c>
      <c r="BZ308" s="264">
        <f>IF(ISNUMBER(BZ109),BZ109*4,"")</f>
        <v>1152</v>
      </c>
      <c r="CA308" s="264">
        <f>IF(ISNUMBER(CA109),CA109*1,"")</f>
        <v>1040.7</v>
      </c>
      <c r="CB308" s="264">
        <f>IF(ISNUMBER(CB109),CB109*4,"")</f>
        <v>1086.8</v>
      </c>
      <c r="CC308" s="35" t="n"/>
      <c r="CD308" s="35" t="n"/>
      <c r="CE308" s="35" t="n"/>
      <c r="CF308" s="261">
        <f>IF(ISNUMBER(CF109),CF109*1,"")</f>
        <v>1156.93292887729</v>
      </c>
      <c r="CG308" s="261">
        <f>IF(ISNUMBER(CG109),CG109*1,"")</f>
        <v>1281.59286815661</v>
      </c>
      <c r="CH308" s="261">
        <f>IF(ISNUMBER(CH109),CH109*1,"")</f>
        <v>1429.9015209871</v>
      </c>
      <c r="CI308" s="261">
        <f>IF(ISNUMBER(CI109),CI109*1,"")</f>
        <v>1577.67404920478</v>
      </c>
      <c r="CJ308" s="261">
        <f>IF(ISNUMBER(CJ109),CJ109*1,"")</f>
        <v>1735.57739484708</v>
      </c>
      <c r="CK308" s="261">
        <f>IF(ISNUMBER(CK109),CK109*1,"")</f>
        <v>1888.34508971059</v>
      </c>
      <c r="CL308" s="19" t="n"/>
    </row>
    <row r="309" ht="15" customHeight="1" s="251">
      <c r="B309" s="25" t="inlineStr">
        <is>
          <t xml:space="preserve">  DSO — receivables / net sales × 365</t>
        </is>
      </c>
      <c r="C309" s="287">
        <f>IFERROR(C281/C307*365,"")</f>
        <v>67.7255572677034</v>
      </c>
      <c r="D309" s="287">
        <f>IFERROR(D281/D307*365,"")</f>
        <v>65.1571903731924</v>
      </c>
      <c r="E309" s="287">
        <f>IFERROR(E281/E307*365,"")</f>
        <v>73.0187689050212</v>
      </c>
      <c r="F309" s="287">
        <f>IFERROR(F281/F307*365,"")</f>
        <v>65.3396328233033</v>
      </c>
      <c r="G309" s="287">
        <f>IFERROR(G281/G307*365,"")</f>
        <v>71.7212470240479</v>
      </c>
      <c r="H309" s="287">
        <f>IFERROR(H281/H307*365,"")</f>
        <v>65.3547113594041</v>
      </c>
      <c r="I309" s="287">
        <f>IFERROR(I281/I307*365,"")</f>
        <v>66.6255776569705</v>
      </c>
      <c r="J309" s="287">
        <f>IFERROR(J281/J307*365,"")</f>
        <v>61.2586733311398</v>
      </c>
      <c r="K309" s="287">
        <f>IFERROR(K281/K307*365,"")</f>
        <v>63.17</v>
      </c>
      <c r="L309" s="287">
        <f>IFERROR(L281/L307*365,"")</f>
        <v>58.5666702997841</v>
      </c>
      <c r="M309" s="287">
        <f>IFERROR(M281/M307*365,"")</f>
        <v>61.7584776614955</v>
      </c>
      <c r="N309" s="287">
        <f>IFERROR(N281/N307*365,"")</f>
        <v>63.1333875861864</v>
      </c>
      <c r="O309" s="287">
        <f>IFERROR(O281/O307*365,"")</f>
        <v>61.8418104959676</v>
      </c>
      <c r="P309" s="287">
        <f>IFERROR(P281/P307*365,"")</f>
        <v>64.4864718402417</v>
      </c>
      <c r="Q309" s="287">
        <f>IFERROR(Q281/Q307*365,"")</f>
        <v>61.0741352216896</v>
      </c>
      <c r="R309" s="287">
        <f>IFERROR(R281/R307*365,"")</f>
        <v>60.6969213317153</v>
      </c>
      <c r="S309" s="287">
        <f>IFERROR(S281/S307*365,"")</f>
        <v>65.9113219348462</v>
      </c>
      <c r="T309" s="287">
        <f>IFERROR(T281/T307*365,"")</f>
        <v>59.0236891949303</v>
      </c>
      <c r="U309" s="287">
        <f>IFERROR(U281/U307*365,"")</f>
        <v>58.3722735551508</v>
      </c>
      <c r="V309" s="287">
        <f>IFERROR(V281/V307*365,"")</f>
        <v>57.1417486503264</v>
      </c>
      <c r="W309" s="287">
        <f>IFERROR(W281/W307*365,"")</f>
        <v>61.6698003826587</v>
      </c>
      <c r="X309" s="287">
        <f>IFERROR(X281/X307*365,"")</f>
        <v>62.8317927227485</v>
      </c>
      <c r="Y309" s="287">
        <f>IFERROR(Y281/Y307*365,"")</f>
        <v>65.3789052618265</v>
      </c>
      <c r="Z309" s="287">
        <f>IFERROR(Z281/Z307*365,"")</f>
        <v>59.6068152472158</v>
      </c>
      <c r="AA309" s="287">
        <f>IFERROR(AA281/AA307*365,"")</f>
        <v>57.1558980972985</v>
      </c>
      <c r="AB309" s="287">
        <f>IFERROR(AB281/AB307*365,"")</f>
        <v>57.5618713482731</v>
      </c>
      <c r="AC309" s="287">
        <f>IFERROR(AC281/AC307*365,"")</f>
        <v>62.5269719752558</v>
      </c>
      <c r="AD309" s="287">
        <f>IFERROR(AD281/AD307*365,"")</f>
        <v>59.9214964516525</v>
      </c>
      <c r="AE309" s="287">
        <f>IFERROR(AE281/AE307*365,"")</f>
        <v>61.6118141130158</v>
      </c>
      <c r="AF309" s="287">
        <f>IFERROR(AF281/AF307*365,"")</f>
        <v>61.1701532838752</v>
      </c>
      <c r="AG309" s="287">
        <f>IFERROR(AG281/AG307*365,"")</f>
        <v>62.4812745771175</v>
      </c>
      <c r="AH309" s="287">
        <f>IFERROR(AH281/AH307*365,"")</f>
        <v>65.0654546399995</v>
      </c>
      <c r="AI309" s="287">
        <f>IFERROR(AI281/AI307*365,"")</f>
        <v>62.7125572768263</v>
      </c>
      <c r="AJ309" s="287">
        <f>IFERROR(AJ281/AJ307*365,"")</f>
        <v>60.9129304941059</v>
      </c>
      <c r="AK309" s="287">
        <f>IFERROR(AK281/AK307*365,"")</f>
        <v>60.1138318210694</v>
      </c>
      <c r="AL309" s="287">
        <f>IFERROR(AL281/AL307*365,"")</f>
        <v>59.2972559026446</v>
      </c>
      <c r="AM309" s="287">
        <f>IFERROR(AM281/AM307*365,"")</f>
        <v>63.2119612000314</v>
      </c>
      <c r="AN309" s="287">
        <f>IFERROR(AN281/AN307*365,"")</f>
        <v>60.2565772651078</v>
      </c>
      <c r="AO309" s="287">
        <f>IFERROR(AO281/AO307*365,"")</f>
        <v>63.0727708829721</v>
      </c>
      <c r="AP309" s="287">
        <f>IFERROR(AP281/AP307*365,"")</f>
        <v>62.0952170565694</v>
      </c>
      <c r="AQ309" s="287">
        <f>IFERROR(AQ281/AQ307*365,"")</f>
        <v>65.4887888253313</v>
      </c>
      <c r="AR309" s="287">
        <f>IFERROR(AR281/AR307*365,"")</f>
        <v>67.9248230645281</v>
      </c>
      <c r="AS309" s="287">
        <f>IFERROR(AS281/AS307*365,"")</f>
        <v>64.9763533855165</v>
      </c>
      <c r="AT309" s="287">
        <f>IFERROR(AT281/AT307*365,"")</f>
        <v>65.0195564815375</v>
      </c>
      <c r="AU309" s="287">
        <f>IFERROR(AU281/AU307*365,"")</f>
        <v>62.8098608059022</v>
      </c>
      <c r="AV309" s="287">
        <f>IFERROR(AV281/AV307*365,"")</f>
        <v>63.3372994947348</v>
      </c>
      <c r="AW309" s="287">
        <f>IFERROR(AW281/AW307*365,"")</f>
        <v>64.7226105591915</v>
      </c>
      <c r="AX309" s="287">
        <f>IFERROR(AX281/AX307*365,"")</f>
        <v>65.9968177490367</v>
      </c>
      <c r="AY309" s="287">
        <f>IFERROR(AY281/AY307*365,"")</f>
        <v>67.3941128233164</v>
      </c>
      <c r="AZ309" s="287">
        <f>IFERROR(AZ281/AZ307*365,"")</f>
        <v>66.6296851111675</v>
      </c>
      <c r="BA309" s="287">
        <f>IFERROR(BA281/BA307*365,"")</f>
        <v>62.8876134626782</v>
      </c>
      <c r="BB309" s="287">
        <f>IFERROR(BB281/BB307*365,"")</f>
        <v>66.2123799640056</v>
      </c>
      <c r="BC309" s="287">
        <f>IFERROR(BC281/BC307*365,"")</f>
        <v>61.779296437374</v>
      </c>
      <c r="BD309" s="287">
        <f>IFERROR(BD281/BD307*365,"")</f>
        <v>62.1849751398384</v>
      </c>
      <c r="BE309" s="287">
        <f>IFERROR(BE281/BE307*365,"")</f>
        <v>68.2906026529014</v>
      </c>
      <c r="BF309" s="287">
        <f>IFERROR(BF281/BF307*365,"")</f>
        <v>62.9270276332692</v>
      </c>
      <c r="BG309" s="287">
        <f>IFERROR(BG281/BG307*365,"")</f>
        <v>95.7993535093012</v>
      </c>
      <c r="BH309" s="287">
        <f>IFERROR(BH281/BH307*365,"")</f>
        <v>60.5585284399006</v>
      </c>
      <c r="BI309" s="287">
        <f>IFERROR(BI281/BI307*365,"")</f>
        <v>58.464295969033</v>
      </c>
      <c r="BJ309" s="287">
        <f>IFERROR(BJ281/BJ307*365,"")</f>
        <v>55.6741130465695</v>
      </c>
      <c r="BK309" s="287">
        <f>IFERROR(BK281/BK307*365,"")</f>
        <v>55.4317456936986</v>
      </c>
      <c r="BL309" s="287">
        <f>IFERROR(BL281/BL307*365,"")</f>
        <v>59.5208602735997</v>
      </c>
      <c r="BM309" s="287">
        <f>IFERROR(BM281/BM307*365,"")</f>
        <v>59.3527363466814</v>
      </c>
      <c r="BN309" s="287">
        <f>IFERROR(BN281/BN307*365,"")</f>
        <v>57.8873725270507</v>
      </c>
      <c r="BO309" s="287">
        <f>IFERROR(BO281/BO307*365,"")</f>
        <v>56.0816087465834</v>
      </c>
      <c r="BP309" s="287">
        <f>IFERROR(BP281/BP307*365,"")</f>
        <v>56.2923032295494</v>
      </c>
      <c r="BQ309" s="287">
        <f>IFERROR(BQ281/BQ307*365,"")</f>
        <v>59.698775876434</v>
      </c>
      <c r="BR309" s="287">
        <f>IFERROR(BR281/BR307*365,"")</f>
        <v>57.2024981540733</v>
      </c>
      <c r="BS309" s="287">
        <f>IFERROR(BS281/BS307*365,"")</f>
        <v>58.5706207589847</v>
      </c>
      <c r="BT309" s="287">
        <f>IFERROR(BT281/BT307*365,"")</f>
        <v>59.2523453346856</v>
      </c>
      <c r="BU309" s="287">
        <f>IFERROR(BU281/BU307*365,"")</f>
        <v>64.1272561114919</v>
      </c>
      <c r="BV309" s="287">
        <f>IFERROR(BV281/BV307*365,"")</f>
        <v>68.6145572327813</v>
      </c>
      <c r="BW309" s="287">
        <f>IFERROR(BW281/BW307*365,"")</f>
        <v>61.2170298165138</v>
      </c>
      <c r="BX309" s="287">
        <f>IFERROR(BX281/BX307*365,"")</f>
        <v>55.956512189765</v>
      </c>
      <c r="BY309" s="287">
        <f>IFERROR(BY281/BY307*365,"")</f>
        <v>56.4975086655113</v>
      </c>
      <c r="BZ309" s="287">
        <f>IFERROR(BZ281/BZ307*365,"")</f>
        <v>59.9995173745174</v>
      </c>
      <c r="CA309" s="287">
        <f>IFERROR(CA281/CA307*365,"")</f>
        <v>66.4487679726335</v>
      </c>
      <c r="CB309" s="287">
        <f>IFERROR(CB281/CB307*365,"")</f>
        <v>57.2969201154957</v>
      </c>
      <c r="CC309" s="35" t="n"/>
      <c r="CD309" s="35" t="n"/>
      <c r="CE309" s="35" t="n"/>
      <c r="CF309" s="288" t="n">
        <v>66</v>
      </c>
      <c r="CG309" s="288" t="n">
        <v>66</v>
      </c>
      <c r="CH309" s="288" t="n">
        <v>66</v>
      </c>
      <c r="CI309" s="288" t="n">
        <v>66</v>
      </c>
      <c r="CJ309" s="288" t="n">
        <v>66</v>
      </c>
      <c r="CK309" s="288" t="n">
        <v>66</v>
      </c>
      <c r="CL309" s="19" t="n"/>
    </row>
    <row r="310" ht="15" customHeight="1" s="251">
      <c r="B310" s="25" t="inlineStr">
        <is>
          <t xml:space="preserve">  Inventory days — inventory / cost of sales × 365</t>
        </is>
      </c>
      <c r="C310" s="287">
        <f>IFERROR(C282/C308*365,"")</f>
        <v>196.538021831166</v>
      </c>
      <c r="D310" s="287">
        <f>IFERROR(D282/D308*365,"")</f>
        <v>182.580637329876</v>
      </c>
      <c r="E310" s="287">
        <f>IFERROR(E282/E308*365,"")</f>
        <v>208.247550939536</v>
      </c>
      <c r="F310" s="287">
        <f>IFERROR(F282/F308*365,"")</f>
        <v>206.293459777082</v>
      </c>
      <c r="G310" s="287">
        <f>IFERROR(G282/G308*365,"")</f>
        <v>261.778884587874</v>
      </c>
      <c r="H310" s="287">
        <f>IFERROR(H282/H308*365,"")</f>
        <v>233.002621197161</v>
      </c>
      <c r="I310" s="287">
        <f>IFERROR(I282/I308*365,"")</f>
        <v>225.600744947087</v>
      </c>
      <c r="J310" s="287">
        <f>IFERROR(J282/J308*365,"")</f>
        <v>227.12589188023</v>
      </c>
      <c r="K310" s="287">
        <f>IFERROR(K282/K308*365,"")</f>
        <v>242.744311401066</v>
      </c>
      <c r="L310" s="287">
        <f>IFERROR(L282/L308*365,"")</f>
        <v>262.271582584083</v>
      </c>
      <c r="M310" s="287">
        <f>IFERROR(M282/M308*365,"")</f>
        <v>255.605706286301</v>
      </c>
      <c r="N310" s="287">
        <f>IFERROR(N282/N308*365,"")</f>
        <v>254.769772351093</v>
      </c>
      <c r="O310" s="287">
        <f>IFERROR(O282/O308*365,"")</f>
        <v>265.023895078699</v>
      </c>
      <c r="P310" s="287">
        <f>IFERROR(P282/P308*365,"")</f>
        <v>287.267306846145</v>
      </c>
      <c r="Q310" s="287">
        <f>IFERROR(Q282/Q308*365,"")</f>
        <v>291.801470588235</v>
      </c>
      <c r="R310" s="287">
        <f>IFERROR(R282/R308*365,"")</f>
        <v>263.875699139857</v>
      </c>
      <c r="S310" s="287">
        <f>IFERROR(S282/S308*365,"")</f>
        <v>284.458063906741</v>
      </c>
      <c r="T310" s="287">
        <f>IFERROR(T282/T308*365,"")</f>
        <v>265.666360626346</v>
      </c>
      <c r="U310" s="287">
        <f>IFERROR(U282/U308*365,"")</f>
        <v>249.835791989451</v>
      </c>
      <c r="V310" s="287">
        <f>IFERROR(V282/V308*365,"")</f>
        <v>289.540854195983</v>
      </c>
      <c r="W310" s="287">
        <f>IFERROR(W282/W308*365,"")</f>
        <v>274.618514787889</v>
      </c>
      <c r="X310" s="287">
        <f>IFERROR(X282/X308*365,"")</f>
        <v>273.490648329202</v>
      </c>
      <c r="Y310" s="287">
        <f>IFERROR(Y282/Y308*365,"")</f>
        <v>260.386150942553</v>
      </c>
      <c r="Z310" s="287">
        <f>IFERROR(Z282/Z308*365,"")</f>
        <v>248.380311768726</v>
      </c>
      <c r="AA310" s="287">
        <f>IFERROR(AA282/AA308*365,"")</f>
        <v>276.201913005127</v>
      </c>
      <c r="AB310" s="287">
        <f>IFERROR(AB282/AB308*365,"")</f>
        <v>251.273606898515</v>
      </c>
      <c r="AC310" s="287">
        <f>IFERROR(AC282/AC308*365,"")</f>
        <v>270.392467269088</v>
      </c>
      <c r="AD310" s="287">
        <f>IFERROR(AD282/AD308*365,"")</f>
        <v>266.584294858622</v>
      </c>
      <c r="AE310" s="287">
        <f>IFERROR(AE282/AE308*365,"")</f>
        <v>269.560715240917</v>
      </c>
      <c r="AF310" s="287">
        <f>IFERROR(AF282/AF308*365,"")</f>
        <v>278.1648386036</v>
      </c>
      <c r="AG310" s="287">
        <f>IFERROR(AG282/AG308*365,"")</f>
        <v>272.480717872573</v>
      </c>
      <c r="AH310" s="287">
        <f>IFERROR(AH282/AH308*365,"")</f>
        <v>273.986526418381</v>
      </c>
      <c r="AI310" s="287">
        <f>IFERROR(AI282/AI308*365,"")</f>
        <v>261.645426422716</v>
      </c>
      <c r="AJ310" s="287">
        <f>IFERROR(AJ282/AJ308*365,"")</f>
        <v>264.617522388933</v>
      </c>
      <c r="AK310" s="287">
        <f>IFERROR(AK282/AK308*365,"")</f>
        <v>270.565853336334</v>
      </c>
      <c r="AL310" s="287">
        <f>IFERROR(AL282/AL308*365,"")</f>
        <v>253.595655055333</v>
      </c>
      <c r="AM310" s="287">
        <f>IFERROR(AM282/AM308*365,"")</f>
        <v>268.054400030707</v>
      </c>
      <c r="AN310" s="287">
        <f>IFERROR(AN282/AN308*365,"")</f>
        <v>262.426152005617</v>
      </c>
      <c r="AO310" s="287">
        <f>IFERROR(AO282/AO308*365,"")</f>
        <v>281.518192717204</v>
      </c>
      <c r="AP310" s="287">
        <f>IFERROR(AP282/AP308*365,"")</f>
        <v>290.986876488009</v>
      </c>
      <c r="AQ310" s="287">
        <f>IFERROR(AQ282/AQ308*365,"")</f>
        <v>279.949825539865</v>
      </c>
      <c r="AR310" s="287">
        <f>IFERROR(AR282/AR308*365,"")</f>
        <v>287.123711146542</v>
      </c>
      <c r="AS310" s="287">
        <f>IFERROR(AS282/AS308*365,"")</f>
        <v>279.398739687132</v>
      </c>
      <c r="AT310" s="287">
        <f>IFERROR(AT282/AT308*365,"")</f>
        <v>291.547847375784</v>
      </c>
      <c r="AU310" s="287">
        <f>IFERROR(AU282/AU308*365,"")</f>
        <v>310.842951612296</v>
      </c>
      <c r="AV310" s="287">
        <f>IFERROR(AV282/AV308*365,"")</f>
        <v>306.920505404589</v>
      </c>
      <c r="AW310" s="287">
        <f>IFERROR(AW282/AW308*365,"")</f>
        <v>305.994894583879</v>
      </c>
      <c r="AX310" s="287">
        <f>IFERROR(AX282/AX308*365,"")</f>
        <v>348.872333573784</v>
      </c>
      <c r="AY310" s="287">
        <f>IFERROR(AY282/AY308*365,"")</f>
        <v>377.801986873043</v>
      </c>
      <c r="AZ310" s="287">
        <f>IFERROR(AZ282/AZ308*365,"")</f>
        <v>376.131179865519</v>
      </c>
      <c r="BA310" s="287">
        <f>IFERROR(BA282/BA308*365,"")</f>
        <v>339.668531372028</v>
      </c>
      <c r="BB310" s="287">
        <f>IFERROR(BB282/BB308*365,"")</f>
        <v>354.551760839527</v>
      </c>
      <c r="BC310" s="287">
        <f>IFERROR(BC282/BC308*365,"")</f>
        <v>365.12438873983</v>
      </c>
      <c r="BD310" s="287">
        <f>IFERROR(BD282/BD308*365,"")</f>
        <v>343.679967186802</v>
      </c>
      <c r="BE310" s="287">
        <f>IFERROR(BE282/BE308*365,"")</f>
        <v>268.152785297913</v>
      </c>
      <c r="BF310" s="287">
        <f>IFERROR(BF282/BF308*365,"")</f>
        <v>212.733803688464</v>
      </c>
      <c r="BG310" s="287">
        <f>IFERROR(BG282/BG308*365,"")</f>
        <v>321.558402987699</v>
      </c>
      <c r="BH310" s="287">
        <f>IFERROR(BH282/BH308*365,"")</f>
        <v>232.294778047039</v>
      </c>
      <c r="BI310" s="287">
        <f>IFERROR(BI282/BI308*365,"")</f>
        <v>233.46179822952</v>
      </c>
      <c r="BJ310" s="287">
        <f>IFERROR(BJ282/BJ308*365,"")</f>
        <v>256.382828270545</v>
      </c>
      <c r="BK310" s="287">
        <f>IFERROR(BK282/BK308*365,"")</f>
        <v>234.998464979606</v>
      </c>
      <c r="BL310" s="287">
        <f>IFERROR(BL282/BL308*365,"")</f>
        <v>247.921341816079</v>
      </c>
      <c r="BM310" s="287">
        <f>IFERROR(BM282/BM308*365,"")</f>
        <v>251.064322231394</v>
      </c>
      <c r="BN310" s="287">
        <f>IFERROR(BN282/BN308*365,"")</f>
        <v>255.961313039631</v>
      </c>
      <c r="BO310" s="287">
        <f>IFERROR(BO282/BO308*365,"")</f>
        <v>266.148123097734</v>
      </c>
      <c r="BP310" s="287">
        <f>IFERROR(BP282/BP308*365,"")</f>
        <v>241.422011138535</v>
      </c>
      <c r="BQ310" s="287">
        <f>IFERROR(BQ282/BQ308*365,"")</f>
        <v>255.475387727579</v>
      </c>
      <c r="BR310" s="287">
        <f>IFERROR(BR282/BR308*365,"")</f>
        <v>260.655645524067</v>
      </c>
      <c r="BS310" s="287">
        <f>IFERROR(BS282/BS308*365,"")</f>
        <v>263.326082106203</v>
      </c>
      <c r="BT310" s="287">
        <f>IFERROR(BT282/BT308*365,"")</f>
        <v>273.084851936219</v>
      </c>
      <c r="BU310" s="287">
        <f>IFERROR(BU282/BU308*365,"")</f>
        <v>244.466332378223</v>
      </c>
      <c r="BV310" s="287">
        <f>IFERROR(BV282/BV308*365,"")</f>
        <v>262.461546912766</v>
      </c>
      <c r="BW310" s="287">
        <f>IFERROR(BW282/BW308*365,"")</f>
        <v>257.569040697674</v>
      </c>
      <c r="BX310" s="287">
        <f>IFERROR(BX282/BX308*365,"")</f>
        <v>275.398017275226</v>
      </c>
      <c r="BY310" s="287">
        <f>IFERROR(BY282/BY308*365,"")</f>
        <v>277.262344479005</v>
      </c>
      <c r="BZ310" s="287">
        <f>IFERROR(BZ282/BZ308*365,"")</f>
        <v>241.685763888889</v>
      </c>
      <c r="CA310" s="287">
        <f>IFERROR(CA282/CA308*365,"")</f>
        <v>267.533390986836</v>
      </c>
      <c r="CB310" s="287">
        <f>IFERROR(CB282/CB308*365,"")</f>
        <v>260.752668384247</v>
      </c>
      <c r="CC310" s="35" t="n"/>
      <c r="CD310" s="35" t="n"/>
      <c r="CE310" s="35" t="n"/>
      <c r="CF310" s="288" t="n">
        <v>268</v>
      </c>
      <c r="CG310" s="288" t="n">
        <v>264</v>
      </c>
      <c r="CH310" s="288" t="n">
        <v>260</v>
      </c>
      <c r="CI310" s="288" t="n">
        <v>256</v>
      </c>
      <c r="CJ310" s="288" t="n">
        <v>253</v>
      </c>
      <c r="CK310" s="288" t="n">
        <v>253</v>
      </c>
      <c r="CL310" s="19" t="n"/>
    </row>
    <row r="311" ht="15" customHeight="1" s="251">
      <c r="B311" s="25" t="inlineStr">
        <is>
          <t xml:space="preserve">  Payable days — payables / cost of sales × 365</t>
        </is>
      </c>
      <c r="C311" s="287">
        <f>IFERROR(C291/C308*365,"")</f>
        <v>37.0333209786961</v>
      </c>
      <c r="D311" s="287">
        <f>IFERROR(D291/D308*365,"")</f>
        <v>37.7471316271188</v>
      </c>
      <c r="E311" s="287">
        <f>IFERROR(E291/E308*365,"")</f>
        <v>41.7958317589922</v>
      </c>
      <c r="F311" s="287">
        <f>IFERROR(F291/F308*365,"")</f>
        <v>31.5335934606189</v>
      </c>
      <c r="G311" s="287">
        <f>IFERROR(G291/G308*365,"")</f>
        <v>36.27616548155</v>
      </c>
      <c r="H311" s="287">
        <f>IFERROR(H291/H308*365,"")</f>
        <v>39.1825805508942</v>
      </c>
      <c r="I311" s="287">
        <f>IFERROR(I291/I308*365,"")</f>
        <v>35.1175996668366</v>
      </c>
      <c r="J311" s="287">
        <f>IFERROR(J291/J308*365,"")</f>
        <v>35.2479157356182</v>
      </c>
      <c r="K311" s="287">
        <f>IFERROR(K291/K308*365,"")</f>
        <v>35.3340560108203</v>
      </c>
      <c r="L311" s="287">
        <f>IFERROR(L291/L308*365,"")</f>
        <v>36.446824009324</v>
      </c>
      <c r="M311" s="287">
        <f>IFERROR(M291/M308*365,"")</f>
        <v>36.9810953695087</v>
      </c>
      <c r="N311" s="287">
        <f>IFERROR(N291/N308*365,"")</f>
        <v>36.8601522457041</v>
      </c>
      <c r="O311" s="287">
        <f>IFERROR(O291/O308*365,"")</f>
        <v>34.4687012652937</v>
      </c>
      <c r="P311" s="287">
        <f>IFERROR(P291/P308*365,"")</f>
        <v>38.3986685787853</v>
      </c>
      <c r="Q311" s="287">
        <f>IFERROR(Q291/Q308*365,"")</f>
        <v>39.3220588235294</v>
      </c>
      <c r="R311" s="287">
        <f>IFERROR(R291/R308*365,"")</f>
        <v>32.4159571827037</v>
      </c>
      <c r="S311" s="287">
        <f>IFERROR(S291/S308*365,"")</f>
        <v>34.9444092424308</v>
      </c>
      <c r="T311" s="287">
        <f>IFERROR(T291/T308*365,"")</f>
        <v>31.0152104448911</v>
      </c>
      <c r="U311" s="287">
        <f>IFERROR(U291/U308*365,"")</f>
        <v>29.5317908356684</v>
      </c>
      <c r="V311" s="287">
        <f>IFERROR(V291/V308*365,"")</f>
        <v>32.3775301922096</v>
      </c>
      <c r="W311" s="287">
        <f>IFERROR(W291/W308*365,"")</f>
        <v>31.2492153513766</v>
      </c>
      <c r="X311" s="287">
        <f>IFERROR(X291/X308*365,"")</f>
        <v>31.1208738887395</v>
      </c>
      <c r="Y311" s="287">
        <f>IFERROR(Y291/Y308*365,"")</f>
        <v>40.3055481104262</v>
      </c>
      <c r="Z311" s="287">
        <f>IFERROR(Z291/Z308*365,"")</f>
        <v>35.0457143448819</v>
      </c>
      <c r="AA311" s="287">
        <f>IFERROR(AA291/AA308*365,"")</f>
        <v>34.9767352114229</v>
      </c>
      <c r="AB311" s="287">
        <f>IFERROR(AB291/AB308*365,"")</f>
        <v>31.883803508152</v>
      </c>
      <c r="AC311" s="287">
        <f>IFERROR(AC291/AC308*365,"")</f>
        <v>34.3097725340248</v>
      </c>
      <c r="AD311" s="287">
        <f>IFERROR(AD291/AD308*365,"")</f>
        <v>30.4638567524248</v>
      </c>
      <c r="AE311" s="287">
        <f>IFERROR(AE291/AE308*365,"")</f>
        <v>33.328421388306</v>
      </c>
      <c r="AF311" s="287">
        <f>IFERROR(AF291/AF308*365,"")</f>
        <v>36.004020324384</v>
      </c>
      <c r="AG311" s="287">
        <f>IFERROR(AG291/AG308*365,"")</f>
        <v>32.3596374547592</v>
      </c>
      <c r="AH311" s="287">
        <f>IFERROR(AH291/AH308*365,"")</f>
        <v>32.5384663238222</v>
      </c>
      <c r="AI311" s="287">
        <f>IFERROR(AI291/AI308*365,"")</f>
        <v>33.566056790995</v>
      </c>
      <c r="AJ311" s="287">
        <f>IFERROR(AJ291/AJ308*365,"")</f>
        <v>34.3115524944881</v>
      </c>
      <c r="AK311" s="287">
        <f>IFERROR(AK291/AK308*365,"")</f>
        <v>38.9696334386895</v>
      </c>
      <c r="AL311" s="287">
        <f>IFERROR(AL291/AL308*365,"")</f>
        <v>37.4341131719186</v>
      </c>
      <c r="AM311" s="287">
        <f>IFERROR(AM291/AM308*365,"")</f>
        <v>39.5684174667377</v>
      </c>
      <c r="AN311" s="287">
        <f>IFERROR(AN291/AN308*365,"")</f>
        <v>37.1403331300926</v>
      </c>
      <c r="AO311" s="287">
        <f>IFERROR(AO291/AO308*365,"")</f>
        <v>41.8902418717946</v>
      </c>
      <c r="AP311" s="287">
        <f>IFERROR(AP291/AP308*365,"")</f>
        <v>38.3709932640381</v>
      </c>
      <c r="AQ311" s="287">
        <f>IFERROR(AQ291/AQ308*365,"")</f>
        <v>41.4424785244611</v>
      </c>
      <c r="AR311" s="287">
        <f>IFERROR(AR291/AR308*365,"")</f>
        <v>42.5044673991401</v>
      </c>
      <c r="AS311" s="287">
        <f>IFERROR(AS291/AS308*365,"")</f>
        <v>42.0701967034537</v>
      </c>
      <c r="AT311" s="287">
        <f>IFERROR(AT291/AT308*365,"")</f>
        <v>41.8286475021436</v>
      </c>
      <c r="AU311" s="287">
        <f>IFERROR(AU291/AU308*365,"")</f>
        <v>43.0971446175264</v>
      </c>
      <c r="AV311" s="287">
        <f>IFERROR(AV291/AV308*365,"")</f>
        <v>42.6254816536853</v>
      </c>
      <c r="AW311" s="287">
        <f>IFERROR(AW291/AW308*365,"")</f>
        <v>42.4969317315984</v>
      </c>
      <c r="AX311" s="287">
        <f>IFERROR(AX291/AX308*365,"")</f>
        <v>48.7205791426216</v>
      </c>
      <c r="AY311" s="287">
        <f>IFERROR(AY291/AY308*365,"")</f>
        <v>40.2667736435663</v>
      </c>
      <c r="AZ311" s="287">
        <f>IFERROR(AZ291/AZ308*365,"")</f>
        <v>40.3682164102223</v>
      </c>
      <c r="BA311" s="287">
        <f>IFERROR(BA291/BA308*365,"")</f>
        <v>33.8934434608386</v>
      </c>
      <c r="BB311" s="287">
        <f>IFERROR(BB291/BB308*365,"")</f>
        <v>35.3785498215419</v>
      </c>
      <c r="BC311" s="287">
        <f>IFERROR(BC291/BC308*365,"")</f>
        <v>42.141128072529</v>
      </c>
      <c r="BD311" s="287">
        <f>IFERROR(BD291/BD308*365,"")</f>
        <v>44.119554837661</v>
      </c>
      <c r="BE311" s="287">
        <f>IFERROR(BE291/BE308*365,"")</f>
        <v>73.7818965715866</v>
      </c>
      <c r="BF311" s="287">
        <f>IFERROR(BF291/BF308*365,"")</f>
        <v>65.3715225865316</v>
      </c>
      <c r="BG311" s="287">
        <f>IFERROR(BG291/BG308*365,"")</f>
        <v>98.8125161085498</v>
      </c>
      <c r="BH311" s="287">
        <f>IFERROR(BH291/BH308*365,"")</f>
        <v>69.3537369439435</v>
      </c>
      <c r="BI311" s="287">
        <f>IFERROR(BI291/BI308*365,"")</f>
        <v>62.3079877992845</v>
      </c>
      <c r="BJ311" s="287">
        <f>IFERROR(BJ291/BJ308*365,"")</f>
        <v>60.6847897463336</v>
      </c>
      <c r="BK311" s="287">
        <f>IFERROR(BK291/BK308*365,"")</f>
        <v>58.7496162449015</v>
      </c>
      <c r="BL311" s="287">
        <f>IFERROR(BL291/BL308*365,"")</f>
        <v>61.9803354540197</v>
      </c>
      <c r="BM311" s="287">
        <f>IFERROR(BM291/BM308*365,"")</f>
        <v>58.2612383762559</v>
      </c>
      <c r="BN311" s="287">
        <f>IFERROR(BN291/BN308*365,"")</f>
        <v>54.3553617609363</v>
      </c>
      <c r="BO311" s="287">
        <f>IFERROR(BO291/BO308*365,"")</f>
        <v>52.2911734866419</v>
      </c>
      <c r="BP311" s="287">
        <f>IFERROR(BP291/BP308*365,"")</f>
        <v>45.0437342554556</v>
      </c>
      <c r="BQ311" s="287">
        <f>IFERROR(BQ291/BQ308*365,"")</f>
        <v>47.6657675882221</v>
      </c>
      <c r="BR311" s="287">
        <f>IFERROR(BR291/BR308*365,"")</f>
        <v>52.3363697705803</v>
      </c>
      <c r="BS311" s="287">
        <f>IFERROR(BS291/BS308*365,"")</f>
        <v>51.8752788933512</v>
      </c>
      <c r="BT311" s="287">
        <f>IFERROR(BT291/BT308*365,"")</f>
        <v>54.0848519362187</v>
      </c>
      <c r="BU311" s="287">
        <f>IFERROR(BU291/BU308*365,"")</f>
        <v>51.694637740483</v>
      </c>
      <c r="BV311" s="287">
        <f>IFERROR(BV291/BV308*365,"")</f>
        <v>55.4998901340365</v>
      </c>
      <c r="BW311" s="287">
        <f>IFERROR(BW291/BW308*365,"")</f>
        <v>53.3175872093023</v>
      </c>
      <c r="BX311" s="287">
        <f>IFERROR(BX291/BX308*365,"")</f>
        <v>51.625932469572</v>
      </c>
      <c r="BY311" s="287">
        <f>IFERROR(BY291/BY308*365,"")</f>
        <v>50.2726477449456</v>
      </c>
      <c r="BZ311" s="287">
        <f>IFERROR(BZ291/BZ308*365,"")</f>
        <v>46.5755208333333</v>
      </c>
      <c r="CA311" s="287">
        <f>IFERROR(CA291/CA308*365,"")</f>
        <v>51.5566445661574</v>
      </c>
      <c r="CB311" s="287">
        <f>IFERROR(CB291/CB308*365,"")</f>
        <v>50.3436694884063</v>
      </c>
      <c r="CC311" s="35" t="n"/>
      <c r="CD311" s="35" t="n"/>
      <c r="CE311" s="35" t="n"/>
      <c r="CF311" s="288" t="n">
        <v>52</v>
      </c>
      <c r="CG311" s="288" t="n">
        <v>52</v>
      </c>
      <c r="CH311" s="288" t="n">
        <v>52</v>
      </c>
      <c r="CI311" s="288" t="n">
        <v>52</v>
      </c>
      <c r="CJ311" s="288" t="n">
        <v>52</v>
      </c>
      <c r="CK311" s="288" t="n">
        <v>52</v>
      </c>
      <c r="CL311" s="19" t="n"/>
    </row>
    <row r="312" ht="15" customHeight="1" s="251">
      <c r="B312" s="25" t="inlineStr">
        <is>
          <t xml:space="preserve">  Accrued &amp; other current liabilities % of net sales</t>
        </is>
      </c>
      <c r="C312" s="215">
        <f>IFERROR(C293/C307,"")</f>
        <v>0.0320900225493518</v>
      </c>
      <c r="D312" s="215">
        <f>IFERROR(D293/D307,"")</f>
        <v>0.0387241800680908</v>
      </c>
      <c r="E312" s="215">
        <f>IFERROR(E293/E307,"")</f>
        <v>0.0408015728977616</v>
      </c>
      <c r="F312" s="215">
        <f>IFERROR(F293/F307,"")</f>
        <v>0.046467638759289</v>
      </c>
      <c r="G312" s="215">
        <f>IFERROR(G293/G307,"")</f>
        <v>0.0416414878668521</v>
      </c>
      <c r="H312" s="215">
        <f>IFERROR(H293/H307,"")</f>
        <v>0.0439776536312849</v>
      </c>
      <c r="I312" s="215">
        <f>IFERROR(I293/I307,"")</f>
        <v>0.0455408781140648</v>
      </c>
      <c r="J312" s="215">
        <f>IFERROR(J293/J307,"")</f>
        <v>0.0555891574893065</v>
      </c>
      <c r="K312" s="215">
        <f>IFERROR(K293/K307,"")</f>
        <v>0.0444682440846824</v>
      </c>
      <c r="L312" s="215">
        <f>IFERROR(L293/L307,"")</f>
        <v>0.0464883325029065</v>
      </c>
      <c r="M312" s="215">
        <f>IFERROR(M293/M307,"")</f>
        <v>0.0487083276702328</v>
      </c>
      <c r="N312" s="215">
        <f>IFERROR(N293/N307,"")</f>
        <v>0.0497927061339632</v>
      </c>
      <c r="O312" s="215">
        <f>IFERROR(O293/O307,"")</f>
        <v>0.063985370319866</v>
      </c>
      <c r="P312" s="215">
        <f>IFERROR(P293/P307,"")</f>
        <v>0.0504099888184868</v>
      </c>
      <c r="Q312" s="215">
        <f>IFERROR(Q293/Q307,"")</f>
        <v>0.047339028902194</v>
      </c>
      <c r="R312" s="215">
        <f>IFERROR(R293/R307,"")</f>
        <v>0.0378568036722419</v>
      </c>
      <c r="S312" s="215">
        <f>IFERROR(S293/S307,"")</f>
        <v>0.0411090368262487</v>
      </c>
      <c r="T312" s="215">
        <f>IFERROR(T293/T307,"")</f>
        <v>0.0502637541598811</v>
      </c>
      <c r="U312" s="215">
        <f>IFERROR(U293/U307,"")</f>
        <v>0.0477944116209853</v>
      </c>
      <c r="V312" s="215">
        <f>IFERROR(V293/V307,"")</f>
        <v>0.0495476006847125</v>
      </c>
      <c r="W312" s="215">
        <f>IFERROR(W293/W307,"")</f>
        <v>0.0381909237592248</v>
      </c>
      <c r="X312" s="215">
        <f>IFERROR(X293/X307,"")</f>
        <v>0.0389105233135255</v>
      </c>
      <c r="Y312" s="215">
        <f>IFERROR(Y293/Y307,"")</f>
        <v>0.0608345981954634</v>
      </c>
      <c r="Z312" s="215">
        <f>IFERROR(Z293/Z307,"")</f>
        <v>0.0509613574003336</v>
      </c>
      <c r="AA312" s="215">
        <f>IFERROR(AA293/AA307,"")</f>
        <v>0.0506167831585954</v>
      </c>
      <c r="AB312" s="215">
        <f>IFERROR(AB293/AB307,"")</f>
        <v>0.0650746986169662</v>
      </c>
      <c r="AC312" s="215">
        <f>IFERROR(AC293/AC307,"")</f>
        <v>0.070687831396283</v>
      </c>
      <c r="AD312" s="215">
        <f>IFERROR(AD293/AD307,"")</f>
        <v>0.0689226867815162</v>
      </c>
      <c r="AE312" s="215">
        <f>IFERROR(AE293/AE307,"")</f>
        <v>0.0581757533632578</v>
      </c>
      <c r="AF312" s="215">
        <f>IFERROR(AF293/AF307,"")</f>
        <v>0.0699562240890247</v>
      </c>
      <c r="AG312" s="215">
        <f>IFERROR(AG293/AG307,"")</f>
        <v>0.0694900443168341</v>
      </c>
      <c r="AH312" s="215">
        <f>IFERROR(AH293/AH307,"")</f>
        <v>0.072364101997439</v>
      </c>
      <c r="AI312" s="215">
        <f>IFERROR(AI293/AI307,"")</f>
        <v>0.0741258229253739</v>
      </c>
      <c r="AJ312" s="215">
        <f>IFERROR(AJ293/AJ307,"")</f>
        <v>0.0648533018494739</v>
      </c>
      <c r="AK312" s="215">
        <f>IFERROR(AK293/AK307,"")</f>
        <v>0.0592135228757387</v>
      </c>
      <c r="AL312" s="215">
        <f>IFERROR(AL293/AL307,"")</f>
        <v>0.0566734490790929</v>
      </c>
      <c r="AM312" s="215">
        <f>IFERROR(AM293/AM307,"")</f>
        <v>0.0604149350543523</v>
      </c>
      <c r="AN312" s="215">
        <f>IFERROR(AN293/AN307,"")</f>
        <v>0.0571795891695315</v>
      </c>
      <c r="AO312" s="215">
        <f>IFERROR(AO293/AO307,"")</f>
        <v>0.0604093895301765</v>
      </c>
      <c r="AP312" s="215">
        <f>IFERROR(AP293/AP307,"")</f>
        <v>0.0578598799671047</v>
      </c>
      <c r="AQ312" s="215">
        <f>IFERROR(AQ293/AQ307,"")</f>
        <v>0.0549922596370264</v>
      </c>
      <c r="AR312" s="215">
        <f>IFERROR(AR293/AR307,"")</f>
        <v>0.057037846824841</v>
      </c>
      <c r="AS312" s="215">
        <f>IFERROR(AS293/AS307,"")</f>
        <v>0.0659806229131315</v>
      </c>
      <c r="AT312" s="215">
        <f>IFERROR(AT293/AT307,"")</f>
        <v>0.0554425564430567</v>
      </c>
      <c r="AU312" s="215">
        <f>IFERROR(AU293/AU307,"")</f>
        <v>0.0595190346798931</v>
      </c>
      <c r="AV312" s="215">
        <f>IFERROR(AV293/AV307,"")</f>
        <v>0.0622676129851541</v>
      </c>
      <c r="AW312" s="215">
        <f>IFERROR(AW293/AW307,"")</f>
        <v>0.0636295279059633</v>
      </c>
      <c r="AX312" s="215">
        <f>IFERROR(AX293/AX307,"")</f>
        <v>0.0670780801697201</v>
      </c>
      <c r="AY312" s="215">
        <f>IFERROR(AY293/AY307,"")</f>
        <v>0.072224689923805</v>
      </c>
      <c r="AZ312" s="215">
        <f>IFERROR(AZ293/AZ307,"")</f>
        <v>0.0725845153947937</v>
      </c>
      <c r="BA312" s="215">
        <f>IFERROR(BA293/BA307,"")</f>
        <v>0.0768738887675848</v>
      </c>
      <c r="BB312" s="215">
        <f>IFERROR(BB293/BB307,"")</f>
        <v>0.0809380870433378</v>
      </c>
      <c r="BC312" s="215">
        <f>IFERROR(BC293/BC307,"")</f>
        <v>0.0837201113920809</v>
      </c>
      <c r="BD312" s="215">
        <f>IFERROR(BD293/BD307,"")</f>
        <v>0.0997467371037912</v>
      </c>
      <c r="BE312" s="215">
        <f>IFERROR(BE293/BE307,"")</f>
        <v>0.130306645739138</v>
      </c>
      <c r="BF312" s="215">
        <f>IFERROR(BF293/BF307,"")</f>
        <v>0.106798530981194</v>
      </c>
      <c r="BG312" s="215">
        <f>IFERROR(BG293/BG307,"")</f>
        <v>0.162588804978487</v>
      </c>
      <c r="BH312" s="215">
        <f>IFERROR(BH293/BH307,"")</f>
        <v>0.117943685042928</v>
      </c>
      <c r="BI312" s="215">
        <f>IFERROR(BI293/BI307,"")</f>
        <v>0.105553177830088</v>
      </c>
      <c r="BJ312" s="215">
        <f>IFERROR(BJ293/BJ307,"")</f>
        <v>0.10267045858514</v>
      </c>
      <c r="BK312" s="215">
        <f>IFERROR(BK293/BK307,"")</f>
        <v>0.102048060199482</v>
      </c>
      <c r="BL312" s="215">
        <f>IFERROR(BL293/BL307,"")</f>
        <v>0.109575988565984</v>
      </c>
      <c r="BM312" s="215">
        <f>IFERROR(BM293/BM307,"")</f>
        <v>0.112625993872733</v>
      </c>
      <c r="BN312" s="215">
        <f>IFERROR(BN293/BN307,"")</f>
        <v>0.101213262373824</v>
      </c>
      <c r="BO312" s="215">
        <f>IFERROR(BO293/BO307,"")</f>
        <v>0.111191048017416</v>
      </c>
      <c r="BP312" s="215">
        <f>IFERROR(BP293/BP307,"")</f>
        <v>0.105335041578031</v>
      </c>
      <c r="BQ312" s="215">
        <f>IFERROR(BQ293/BQ307,"")</f>
        <v>0.111709286675639</v>
      </c>
      <c r="BR312" s="215">
        <f>IFERROR(BR293/BR307,"")</f>
        <v>0.122446468127</v>
      </c>
      <c r="BS312" s="215">
        <f>IFERROR(BS293/BS307,"")</f>
        <v>0.103480774063835</v>
      </c>
      <c r="BT312" s="215">
        <f>IFERROR(BT293/BT307,"")</f>
        <v>0.101990365111562</v>
      </c>
      <c r="BU312" s="215">
        <f>IFERROR(BU293/BU307,"")</f>
        <v>0.100068540095956</v>
      </c>
      <c r="BV312" s="215">
        <f>IFERROR(BV293/BV307,"")</f>
        <v>0.107070830532298</v>
      </c>
      <c r="BW312" s="215">
        <f>IFERROR(BW293/BW307,"")</f>
        <v>0.113990825688073</v>
      </c>
      <c r="BX312" s="215">
        <f>IFERROR(BX293/BX307,"")</f>
        <v>0.125851087195256</v>
      </c>
      <c r="BY312" s="215">
        <f>IFERROR(BY293/BY307,"")</f>
        <v>0.122454506065858</v>
      </c>
      <c r="BZ312" s="215">
        <f>IFERROR(BZ293/BZ307,"")</f>
        <v>0.108783783783784</v>
      </c>
      <c r="CA312" s="215">
        <f>IFERROR(CA293/CA307,"")</f>
        <v>0.120476775883265</v>
      </c>
      <c r="CB312" s="215">
        <f>IFERROR(CB293/CB307,"")</f>
        <v>0.122521655437921</v>
      </c>
      <c r="CC312" s="24" t="n"/>
      <c r="CD312" s="24" t="n"/>
      <c r="CE312" s="24" t="n"/>
      <c r="CF312" s="267" t="n">
        <v>0.12</v>
      </c>
      <c r="CG312" s="267" t="n">
        <v>0.12</v>
      </c>
      <c r="CH312" s="267" t="n">
        <v>0.12</v>
      </c>
      <c r="CI312" s="267" t="n">
        <v>0.12</v>
      </c>
      <c r="CJ312" s="267" t="n">
        <v>0.12</v>
      </c>
      <c r="CK312" s="267" t="n">
        <v>0.12</v>
      </c>
      <c r="CL312" s="153" t="inlineStr">
        <is>
          <t>Forecast inputs at fiscal-year-end (28-Mar-2026) levels on FY2026 net sales / cost of sales (DSO 66d, inventory 268d, payables 52d, accrued &amp; other current liabilities 12.0% of sales); year ends are compared with year ends. Inventory days ease 4–15 days by FY2031E (assumption: aerospace &amp; defense ramp absorbs the inventory built in FY2025–26).</t>
        </is>
      </c>
    </row>
    <row r="313" ht="15" customHeight="1" s="251">
      <c r="B313" s="25" t="inlineStr">
        <is>
          <t xml:space="preserve">  Operating NWC (receivables + inventory + other current assets − payables − accrued &amp; other current liabilities)</t>
        </is>
      </c>
      <c r="C313" s="264">
        <f>IF(ISNUMBER(C281),C281+C282+C283-C291-C293,"")</f>
        <v>133.703</v>
      </c>
      <c r="D313" s="264">
        <f>IF(ISNUMBER(D281),D281+D282+D283-D291-D293,"")</f>
        <v>134.536</v>
      </c>
      <c r="E313" s="264">
        <f>IF(ISNUMBER(E281),E281+E282+E283-E291-E293,"")</f>
        <v>167.16</v>
      </c>
      <c r="F313" s="264">
        <f>IF(ISNUMBER(F281),F281+F282+F283-F291-F293,"")</f>
        <v>176.498</v>
      </c>
      <c r="G313" s="264">
        <f>IF(ISNUMBER(G281),G281+G282+G283-G291-G293,"")</f>
        <v>182.778</v>
      </c>
      <c r="H313" s="264">
        <f>IF(ISNUMBER(H281),H281+H282+H283-H291-H293,"")</f>
        <v>182.362</v>
      </c>
      <c r="I313" s="264">
        <f>IF(ISNUMBER(I281),I281+I282+I283-I291-I293,"")</f>
        <v>202.854</v>
      </c>
      <c r="J313" s="264">
        <f>IF(ISNUMBER(J281),J281+J282+J283-J291-J293,"")</f>
        <v>196.945</v>
      </c>
      <c r="K313" s="264">
        <f>IF(ISNUMBER(K281),K281+K282+K283-K291-K293,"")</f>
        <v>213.877</v>
      </c>
      <c r="L313" s="264">
        <f>IF(ISNUMBER(L281),L281+L282+L283-L291-L293,"")</f>
        <v>212.212</v>
      </c>
      <c r="M313" s="264">
        <f>IF(ISNUMBER(M281),M281+M282+M283-M291-M293,"")</f>
        <v>213.713</v>
      </c>
      <c r="N313" s="264">
        <f>IF(ISNUMBER(N281),N281+N282+N283-N291-N293,"")</f>
        <v>213.713</v>
      </c>
      <c r="O313" s="264">
        <f>IF(ISNUMBER(O281),O281+O282+O283-O291-O293,"")</f>
        <v>217.056</v>
      </c>
      <c r="P313" s="264">
        <f>IF(ISNUMBER(P281),P281+P282+P283-P291-P293,"")</f>
        <v>236.532</v>
      </c>
      <c r="Q313" s="264">
        <f>IF(ISNUMBER(Q281),Q281+Q282+Q283-Q291-Q293,"")</f>
        <v>241.524</v>
      </c>
      <c r="R313" s="264">
        <f>IF(ISNUMBER(R281),R281+R282+R283-R291-R293,"")</f>
        <v>254.792</v>
      </c>
      <c r="S313" s="264">
        <f>IF(ISNUMBER(S281),S281+S282+S283-S291-S293,"")</f>
        <v>254.792</v>
      </c>
      <c r="T313" s="264">
        <f>IF(ISNUMBER(T281),T281+T282+T283-T291-T293,"")</f>
        <v>248.874</v>
      </c>
      <c r="U313" s="264">
        <f>IF(ISNUMBER(U281),U281+U282+U283-U291-U293,"")</f>
        <v>249.092</v>
      </c>
      <c r="V313" s="264">
        <f>IF(ISNUMBER(V281),V281+V282+V283-V291-V293,"")</f>
        <v>250.168</v>
      </c>
      <c r="W313" s="264">
        <f>IF(ISNUMBER(W281),W281+W282+W283-W291-W293,"")</f>
        <v>259.144</v>
      </c>
      <c r="X313" s="264">
        <f>IF(ISNUMBER(X281),X281+X282+X283-X291-X293,"")</f>
        <v>259.144</v>
      </c>
      <c r="Y313" s="264">
        <f>IF(ISNUMBER(Y281),Y281+Y282+Y283-Y291-Y293,"")</f>
        <v>302.977</v>
      </c>
      <c r="Z313" s="264">
        <f>IF(ISNUMBER(Z281),Z281+Z282+Z283-Z291-Z293,"")</f>
        <v>313.254</v>
      </c>
      <c r="AA313" s="264">
        <f>IF(ISNUMBER(AA281),AA281+AA282+AA283-AA291-AA293,"")</f>
        <v>320.093</v>
      </c>
      <c r="AB313" s="264">
        <f>IF(ISNUMBER(AB281),AB281+AB282+AB283-AB291-AB293,"")</f>
        <v>311.918</v>
      </c>
      <c r="AC313" s="264">
        <f>IF(ISNUMBER(AC281),AC281+AC282+AC283-AC291-AC293,"")</f>
        <v>311.918</v>
      </c>
      <c r="AD313" s="264">
        <f>IF(ISNUMBER(AD281),AD281+AD282+AD283-AD291-AD293,"")</f>
        <v>318.743</v>
      </c>
      <c r="AE313" s="264">
        <f>IF(ISNUMBER(AE281),AE281+AE282+AE283-AE291-AE293,"")</f>
        <v>328.618</v>
      </c>
      <c r="AF313" s="264">
        <f>IF(ISNUMBER(AF281),AF281+AF282+AF283-AF291-AF293,"")</f>
        <v>319.526</v>
      </c>
      <c r="AG313" s="264">
        <f>IF(ISNUMBER(AG281),AG281+AG282+AG283-AG291-AG293,"")</f>
        <v>330.113</v>
      </c>
      <c r="AH313" s="264">
        <f>IF(ISNUMBER(AH281),AH281+AH282+AH283-AH291-AH293,"")</f>
        <v>330.113</v>
      </c>
      <c r="AI313" s="264">
        <f>IF(ISNUMBER(AI281),AI281+AI282+AI283-AI291-AI293,"")</f>
        <v>327.49</v>
      </c>
      <c r="AJ313" s="264">
        <f>IF(ISNUMBER(AJ281),AJ281+AJ282+AJ283-AJ291-AJ293,"")</f>
        <v>333.804</v>
      </c>
      <c r="AK313" s="264">
        <f>IF(ISNUMBER(AK281),AK281+AK282+AK283-AK291-AK293,"")</f>
        <v>343.076</v>
      </c>
      <c r="AL313" s="264">
        <f>IF(ISNUMBER(AL281),AL281+AL282+AL283-AL291-AL293,"")</f>
        <v>343.522</v>
      </c>
      <c r="AM313" s="264">
        <f>IF(ISNUMBER(AM281),AM281+AM282+AM283-AM291-AM293,"")</f>
        <v>343.522</v>
      </c>
      <c r="AN313" s="264">
        <f>IF(ISNUMBER(AN281),AN281+AN282+AN283-AN291-AN293,"")</f>
        <v>350.833</v>
      </c>
      <c r="AO313" s="264">
        <f>IF(ISNUMBER(AO281),AO281+AO282+AO283-AO291-AO293,"")</f>
        <v>366.698</v>
      </c>
      <c r="AP313" s="264">
        <f>IF(ISNUMBER(AP281),AP281+AP282+AP283-AP291-AP293,"")</f>
        <v>373.463</v>
      </c>
      <c r="AQ313" s="264">
        <f>IF(ISNUMBER(AQ281),AQ281+AQ282+AQ283-AQ291-AQ293,"")</f>
        <v>383.735</v>
      </c>
      <c r="AR313" s="264">
        <f>IF(ISNUMBER(AR281),AR281+AR282+AR283-AR291-AR293,"")</f>
        <v>383.735</v>
      </c>
      <c r="AS313" s="264">
        <f>IF(ISNUMBER(AS281),AS281+AS282+AS283-AS291-AS293,"")</f>
        <v>381.877</v>
      </c>
      <c r="AT313" s="264">
        <f>IF(ISNUMBER(AT281),AT281+AT282+AT283-AT291-AT293,"")</f>
        <v>406.422</v>
      </c>
      <c r="AU313" s="264">
        <f>IF(ISNUMBER(AU281),AU281+AU282+AU283-AU291-AU293,"")</f>
        <v>402.055</v>
      </c>
      <c r="AV313" s="264">
        <f>IF(ISNUMBER(AV281),AV281+AV282+AV283-AV291-AV293,"")</f>
        <v>411.425</v>
      </c>
      <c r="AW313" s="264">
        <f>IF(ISNUMBER(AW281),AW281+AW282+AW283-AW291-AW293,"")</f>
        <v>411.425</v>
      </c>
      <c r="AX313" s="264">
        <f>IF(ISNUMBER(AX281),AX281+AX282+AX283-AX291-AX293,"")</f>
        <v>401.433</v>
      </c>
      <c r="AY313" s="264">
        <f>IF(ISNUMBER(AY281),AY281+AY282+AY283-AY291-AY293,"")</f>
        <v>412.786</v>
      </c>
      <c r="AZ313" s="264">
        <f>IF(ISNUMBER(AZ281),AZ281+AZ282+AZ283-AZ291-AZ293,"")</f>
        <v>483.865</v>
      </c>
      <c r="BA313" s="264">
        <f>IF(ISNUMBER(BA281),BA281+BA282+BA283-BA291-BA293,"")</f>
        <v>491.49</v>
      </c>
      <c r="BB313" s="264">
        <f>IF(ISNUMBER(BB281),BB281+BB282+BB283-BB291-BB293,"")</f>
        <v>491.49</v>
      </c>
      <c r="BC313" s="264">
        <f>IF(ISNUMBER(BC281),BC281+BC282+BC283-BC291-BC293,"")</f>
        <v>515.356</v>
      </c>
      <c r="BD313" s="264">
        <f>IF(ISNUMBER(BD281),BD281+BD282+BD283-BD291-BD293,"")</f>
        <v>399.479</v>
      </c>
      <c r="BE313" s="264">
        <f>IF(ISNUMBER(BE281),BE281+BE282+BE283-BE291-BE293,"")</f>
        <v>452.217</v>
      </c>
      <c r="BF313" s="264">
        <f>IF(ISNUMBER(BF281),BF281+BF282+BF283-BF291-BF293,"")</f>
        <v>467.458</v>
      </c>
      <c r="BG313" s="264">
        <f>IF(ISNUMBER(BG281),BG281+BG282+BG283-BG291-BG293,"")</f>
        <v>467.458</v>
      </c>
      <c r="BH313" s="264">
        <f>IF(ISNUMBER(BH281),BH281+BH282+BH283-BH291-BH293,"")</f>
        <v>467.613</v>
      </c>
      <c r="BI313" s="264">
        <f>IF(ISNUMBER(BI281),BI281+BI282+BI283-BI291-BI293,"")</f>
        <v>518.299</v>
      </c>
      <c r="BJ313" s="264">
        <f>IF(ISNUMBER(BJ281),BJ281+BJ282+BJ283-BJ291-BJ293,"")</f>
        <v>538.607</v>
      </c>
      <c r="BK313" s="264">
        <f>IF(ISNUMBER(BK281),BK281+BK282+BK283-BK291-BK293,"")</f>
        <v>540.1</v>
      </c>
      <c r="BL313" s="264">
        <f>IF(ISNUMBER(BL281),BL281+BL282+BL283-BL291-BL293,"")</f>
        <v>540.1</v>
      </c>
      <c r="BM313" s="264">
        <f>IF(ISNUMBER(BM281),BM281+BM282+BM283-BM291-BM293,"")</f>
        <v>564.4</v>
      </c>
      <c r="BN313" s="264">
        <f>IF(ISNUMBER(BN281),BN281+BN282+BN283-BN291-BN293,"")</f>
        <v>594.9</v>
      </c>
      <c r="BO313" s="264">
        <f>IF(ISNUMBER(BO281),BO281+BO282+BO283-BO291-BO293,"")</f>
        <v>595.7</v>
      </c>
      <c r="BP313" s="264">
        <f>IF(ISNUMBER(BP281),BP281+BP282+BP283-BP291-BP293,"")</f>
        <v>611.5</v>
      </c>
      <c r="BQ313" s="264">
        <f>IF(ISNUMBER(BQ281),BQ281+BQ282+BQ283-BQ291-BQ293,"")</f>
        <v>611.5</v>
      </c>
      <c r="BR313" s="264">
        <f>IF(ISNUMBER(BR281),BR281+BR282+BR283-BR291-BR293,"")</f>
        <v>590.9</v>
      </c>
      <c r="BS313" s="264">
        <f>IF(ISNUMBER(BS281),BS281+BS282+BS283-BS291-BS293,"")</f>
        <v>641</v>
      </c>
      <c r="BT313" s="264">
        <f>IF(ISNUMBER(BT281),BT281+BT282+BT283-BT291-BT293,"")</f>
        <v>651.7</v>
      </c>
      <c r="BU313" s="264">
        <f>IF(ISNUMBER(BU281),BU281+BU282+BU283-BU291-BU293,"")</f>
        <v>676.9</v>
      </c>
      <c r="BV313" s="264">
        <f>IF(ISNUMBER(BV281),BV281+BV282+BV283-BV291-BV293,"")</f>
        <v>676.9</v>
      </c>
      <c r="BW313" s="264">
        <f>IF(ISNUMBER(BW281),BW281+BW282+BW283-BW291-BW293,"")</f>
        <v>662.8</v>
      </c>
      <c r="BX313" s="264">
        <f>IF(ISNUMBER(BX281),BX281+BX282+BX283-BX291-BX293,"")</f>
        <v>728.8</v>
      </c>
      <c r="BY313" s="264">
        <f>IF(ISNUMBER(BY281),BY281+BY282+BY283-BY291-BY293,"")</f>
        <v>745.4</v>
      </c>
      <c r="BZ313" s="264">
        <f>IF(ISNUMBER(BZ281),BZ281+BZ282+BZ283-BZ291-BZ293,"")</f>
        <v>760.1</v>
      </c>
      <c r="CA313" s="264">
        <f>IF(ISNUMBER(CA281),CA281+CA282+CA283-CA291-CA293,"")</f>
        <v>760.1</v>
      </c>
      <c r="CB313" s="264">
        <f>IF(ISNUMBER(CB281),CB281+CB282+CB283-CB291-CB293,"")</f>
        <v>737.9</v>
      </c>
      <c r="CC313" s="35" t="n"/>
      <c r="CD313" s="35" t="n"/>
      <c r="CE313" s="35" t="n"/>
      <c r="CF313" s="261">
        <f>IF(ISNUMBER(CF281),CF281+CF282+CF283-CF291-CF293,"")</f>
        <v>855.650653612506</v>
      </c>
      <c r="CG313" s="261">
        <f>IF(ISNUMBER(CG281),CG281+CG282+CG283-CG291-CG293,"")</f>
        <v>929.223815370723</v>
      </c>
      <c r="CH313" s="261">
        <f>IF(ISNUMBER(CH281),CH281+CH282+CH283-CH291-CH293,"")</f>
        <v>1016.82180959286</v>
      </c>
      <c r="CI313" s="261">
        <f>IF(ISNUMBER(CI281),CI281+CI282+CI283-CI291-CI293,"")</f>
        <v>1100.95077000853</v>
      </c>
      <c r="CJ313" s="261">
        <f>IF(ISNUMBER(CJ281),CJ281+CJ282+CJ283-CJ291-CJ293,"")</f>
        <v>1192.48448758932</v>
      </c>
      <c r="CK313" s="261">
        <f>IF(ISNUMBER(CK281),CK281+CK282+CK283-CK291-CK293,"")</f>
        <v>1293.93153288545</v>
      </c>
      <c r="CL313" s="19" t="n"/>
    </row>
    <row r="314" ht="15" customHeight="1" s="251">
      <c r="B314" s="25" t="inlineStr">
        <is>
          <t xml:space="preserve">  NWC % of net sales</t>
        </is>
      </c>
      <c r="C314" s="215">
        <f>IF(ISNUMBER(C313),IFERROR(C313/C307,""),"")</f>
        <v>0.487062354968325</v>
      </c>
      <c r="D314" s="215">
        <f>IF(ISNUMBER(D313),IFERROR(D313/D307,""),"")</f>
        <v>0.43957106730009</v>
      </c>
      <c r="E314" s="215">
        <f>IF(ISNUMBER(E313),IFERROR(E313/E307,""),"")</f>
        <v>0.50562613430127</v>
      </c>
      <c r="F314" s="215">
        <f>IF(ISNUMBER(F313),IFERROR(F313/F307,""),"")</f>
        <v>0.496065160934918</v>
      </c>
      <c r="G314" s="215">
        <f>IF(ISNUMBER(G313),IFERROR(G313/G307,""),"")</f>
        <v>0.665368290001529</v>
      </c>
      <c r="H314" s="215">
        <f>IF(ISNUMBER(H313),IFERROR(H313/H307,""),"")</f>
        <v>0.543350465549348</v>
      </c>
      <c r="I314" s="215">
        <f>IF(ISNUMBER(I313),IFERROR(I313/I307,""),"")</f>
        <v>0.510310406504474</v>
      </c>
      <c r="J314" s="215">
        <f>IF(ISNUMBER(J313),IFERROR(J313/J307,""),"")</f>
        <v>0.476476764666034</v>
      </c>
      <c r="K314" s="215">
        <f>IF(ISNUMBER(K313),IFERROR(K313/K307,""),"")</f>
        <v>0.532694894146949</v>
      </c>
      <c r="L314" s="215">
        <f>IF(ISNUMBER(L313),IFERROR(L313/L307,""),"")</f>
        <v>0.550707938880585</v>
      </c>
      <c r="M314" s="215">
        <f>IF(ISNUMBER(M313),IFERROR(M313/M307,""),"")</f>
        <v>0.518690658796575</v>
      </c>
      <c r="N314" s="215">
        <f>IF(ISNUMBER(N313),IFERROR(N313/N307,""),"")</f>
        <v>0.530238108824938</v>
      </c>
      <c r="O314" s="215">
        <f>IF(ISNUMBER(O313),IFERROR(O313/O307,""),"")</f>
        <v>0.528538590407917</v>
      </c>
      <c r="P314" s="215">
        <f>IF(ISNUMBER(P313),IFERROR(P313/P307,""),"")</f>
        <v>0.579996861329619</v>
      </c>
      <c r="Q314" s="215">
        <f>IF(ISNUMBER(Q313),IFERROR(Q313/Q307,""),"")</f>
        <v>0.600531100192947</v>
      </c>
      <c r="R314" s="215">
        <f>IF(ISNUMBER(R313),IFERROR(R313/R307,""),"")</f>
        <v>0.560139995427285</v>
      </c>
      <c r="S314" s="215">
        <f>IF(ISNUMBER(S313),IFERROR(S313/S307,""),"")</f>
        <v>0.608260958828894</v>
      </c>
      <c r="T314" s="215">
        <f>IF(ISNUMBER(T313),IFERROR(T313/T307,""),"")</f>
        <v>0.550684167669759</v>
      </c>
      <c r="U314" s="215">
        <f>IF(ISNUMBER(U313),IFERROR(U313/U307,""),"")</f>
        <v>0.553267291546355</v>
      </c>
      <c r="V314" s="215">
        <f>IF(ISNUMBER(V313),IFERROR(V313/V307,""),"")</f>
        <v>0.588231974567822</v>
      </c>
      <c r="W314" s="215">
        <f>IF(ISNUMBER(W313),IFERROR(W313/W307,""),"")</f>
        <v>0.571219482088223</v>
      </c>
      <c r="X314" s="215">
        <f>IF(ISNUMBER(X313),IFERROR(X313/X307,""),"")</f>
        <v>0.58198249183656</v>
      </c>
      <c r="Y314" s="215">
        <f>IF(ISNUMBER(Y313),IFERROR(Y313/Y307,""),"")</f>
        <v>0.532255741068668</v>
      </c>
      <c r="Z314" s="215">
        <f>IF(ISNUMBER(Z313),IFERROR(Z313/Z307,""),"")</f>
        <v>0.526668504868995</v>
      </c>
      <c r="AA314" s="215">
        <f>IF(ISNUMBER(AA313),IFERROR(AA313/AA307,""),"")</f>
        <v>0.554884686858601</v>
      </c>
      <c r="AB314" s="215">
        <f>IF(ISNUMBER(AB313),IFERROR(AB313/AB307,""),"")</f>
        <v>0.480607326874245</v>
      </c>
      <c r="AC314" s="215">
        <f>IF(ISNUMBER(AC313),IFERROR(AC313/AC307,""),"")</f>
        <v>0.522062958598897</v>
      </c>
      <c r="AD314" s="215">
        <f>IF(ISNUMBER(AD313),IFERROR(AD313/AD307,""),"")</f>
        <v>0.515501782260204</v>
      </c>
      <c r="AE314" s="215">
        <f>IF(ISNUMBER(AE313),IFERROR(AE313/AE307,""),"")</f>
        <v>0.533668305801498</v>
      </c>
      <c r="AF314" s="215">
        <f>IF(ISNUMBER(AF313),IFERROR(AF313/AF307,""),"")</f>
        <v>0.544686204451233</v>
      </c>
      <c r="AG314" s="215">
        <f>IF(ISNUMBER(AG313),IFERROR(AG313/AG307,""),"")</f>
        <v>0.515125460333313</v>
      </c>
      <c r="AH314" s="215">
        <f>IF(ISNUMBER(AH313),IFERROR(AH313/AH307,""),"")</f>
        <v>0.53643067463129</v>
      </c>
      <c r="AI314" s="215">
        <f>IF(ISNUMBER(AI313),IFERROR(AI313/AI307,""),"")</f>
        <v>0.499536294135951</v>
      </c>
      <c r="AJ314" s="215">
        <f>IF(ISNUMBER(AJ313),IFERROR(AJ313/AJ307,""),"")</f>
        <v>0.507865893364655</v>
      </c>
      <c r="AK314" s="215">
        <f>IF(ISNUMBER(AK313),IFERROR(AK313/AK307,""),"")</f>
        <v>0.514023900562155</v>
      </c>
      <c r="AL314" s="215">
        <f>IF(ISNUMBER(AL313),IFERROR(AL313/AL307,""),"")</f>
        <v>0.477440139650984</v>
      </c>
      <c r="AM314" s="215">
        <f>IF(ISNUMBER(AM313),IFERROR(AM313/AM307,""),"")</f>
        <v>0.508959936232219</v>
      </c>
      <c r="AN314" s="215">
        <f>IF(ISNUMBER(AN313),IFERROR(AN313/AN307,""),"")</f>
        <v>0.498384805523198</v>
      </c>
      <c r="AO314" s="215">
        <f>IF(ISNUMBER(AO313),IFERROR(AO313/AO307,""),"")</f>
        <v>0.530167827153069</v>
      </c>
      <c r="AP314" s="215">
        <f>IF(ISNUMBER(AP313),IFERROR(AP313/AP307,""),"")</f>
        <v>0.544555942444868</v>
      </c>
      <c r="AQ314" s="215">
        <f>IF(ISNUMBER(AQ313),IFERROR(AQ313/AQ307,""),"")</f>
        <v>0.526639749234198</v>
      </c>
      <c r="AR314" s="215">
        <f>IF(ISNUMBER(AR313),IFERROR(AR313/AR307,""),"")</f>
        <v>0.546229552067142</v>
      </c>
      <c r="AS314" s="215">
        <f>IF(ISNUMBER(AS313),IFERROR(AS313/AS307,""),"")</f>
        <v>0.522575127264766</v>
      </c>
      <c r="AT314" s="215">
        <f>IF(ISNUMBER(AT313),IFERROR(AT313/AT307,""),"")</f>
        <v>0.558551253648803</v>
      </c>
      <c r="AU314" s="215">
        <f>IF(ISNUMBER(AU313),IFERROR(AU313/AU307,""),"")</f>
        <v>0.567813342070625</v>
      </c>
      <c r="AV314" s="215">
        <f>IF(ISNUMBER(AV313),IFERROR(AV313/AV307,""),"")</f>
        <v>0.553457757354326</v>
      </c>
      <c r="AW314" s="215">
        <f>IF(ISNUMBER(AW313),IFERROR(AW313/AW307,""),"")</f>
        <v>0.565562964887465</v>
      </c>
      <c r="AX314" s="215">
        <f>IF(ISNUMBER(AX313),IFERROR(AX313/AX307,""),"")</f>
        <v>0.6412954573048</v>
      </c>
      <c r="AY314" s="215">
        <f>IF(ISNUMBER(AY313),IFERROR(AY313/AY307,""),"")</f>
        <v>0.705207229985991</v>
      </c>
      <c r="AZ314" s="215">
        <f>IF(ISNUMBER(AZ313),IFERROR(AZ313/AZ307,""),"")</f>
        <v>0.82932552224378</v>
      </c>
      <c r="BA314" s="215">
        <f>IF(ISNUMBER(BA313),IFERROR(BA313/BA307,""),"")</f>
        <v>0.766539817212015</v>
      </c>
      <c r="BB314" s="215">
        <f>IF(ISNUMBER(BB313),IFERROR(BB313/BB307,""),"")</f>
        <v>0.807065538667683</v>
      </c>
      <c r="BC314" s="215">
        <f>IF(ISNUMBER(BC313),IFERROR(BC313/BC307,""),"")</f>
        <v>0.824807144457604</v>
      </c>
      <c r="BD314" s="215">
        <f>IF(ISNUMBER(BD313),IFERROR(BD313/BD307,""),"")</f>
        <v>0.62069453076445</v>
      </c>
      <c r="BE314" s="215">
        <f>IF(ISNUMBER(BE313),IFERROR(BE313/BE307,""),"")</f>
        <v>0.423498705764685</v>
      </c>
      <c r="BF314" s="215">
        <f>IF(ISNUMBER(BF313),IFERROR(BF313/BF307,""),"")</f>
        <v>0.32563761044809</v>
      </c>
      <c r="BG314" s="215">
        <f>IF(ISNUMBER(BG313),IFERROR(BG313/BG307,""),"")</f>
        <v>0.495746799627122</v>
      </c>
      <c r="BH314" s="215">
        <f>IF(ISNUMBER(BH313),IFERROR(BH313/BH307,""),"")</f>
        <v>0.330160556936286</v>
      </c>
      <c r="BI314" s="215">
        <f>IF(ISNUMBER(BI313),IFERROR(BI313/BI307,""),"")</f>
        <v>0.350992233867057</v>
      </c>
      <c r="BJ314" s="215">
        <f>IF(ISNUMBER(BJ313),IFERROR(BJ313/BJ307,""),"")</f>
        <v>0.382941343761109</v>
      </c>
      <c r="BK314" s="215">
        <f>IF(ISNUMBER(BK313),IFERROR(BK313/BK307,""),"")</f>
        <v>0.342336380830684</v>
      </c>
      <c r="BL314" s="215">
        <f>IF(ISNUMBER(BL313),IFERROR(BL313/BL307,""),"")</f>
        <v>0.367590008847751</v>
      </c>
      <c r="BM314" s="215">
        <f>IF(ISNUMBER(BM313),IFERROR(BM313/BM307,""),"")</f>
        <v>0.364484581088132</v>
      </c>
      <c r="BN314" s="215">
        <f>IF(ISNUMBER(BN313),IFERROR(BN313/BN307,""),"")</f>
        <v>0.385725623229903</v>
      </c>
      <c r="BO314" s="215">
        <f>IF(ISNUMBER(BO313),IFERROR(BO313/BO307,""),"")</f>
        <v>0.398295293469482</v>
      </c>
      <c r="BP314" s="215">
        <f>IF(ISNUMBER(BP313),IFERROR(BP313/BP307,""),"")</f>
        <v>0.369548926706633</v>
      </c>
      <c r="BQ314" s="215">
        <f>IF(ISNUMBER(BQ313),IFERROR(BQ313/BQ307,""),"")</f>
        <v>0.391911811831058</v>
      </c>
      <c r="BR314" s="215">
        <f>IF(ISNUMBER(BR313),IFERROR(BR313/BR307,""),"")</f>
        <v>0.363586020182132</v>
      </c>
      <c r="BS314" s="215">
        <f>IF(ISNUMBER(BS313),IFERROR(BS313/BS307,""),"")</f>
        <v>0.40273938175421</v>
      </c>
      <c r="BT314" s="215">
        <f>IF(ISNUMBER(BT313),IFERROR(BT313/BT307,""),"")</f>
        <v>0.41309584178499</v>
      </c>
      <c r="BU314" s="215">
        <f>IF(ISNUMBER(BU313),IFERROR(BU313/BU307,""),"")</f>
        <v>0.386623257939228</v>
      </c>
      <c r="BV314" s="215">
        <f>IF(ISNUMBER(BV313),IFERROR(BV313/BV307,""),"")</f>
        <v>0.413677198557722</v>
      </c>
      <c r="BW314" s="215">
        <f>IF(ISNUMBER(BW313),IFERROR(BW313/BW307,""),"")</f>
        <v>0.380045871559633</v>
      </c>
      <c r="BX314" s="215">
        <f>IF(ISNUMBER(BX313),IFERROR(BX313/BX307,""),"")</f>
        <v>0.400175708324182</v>
      </c>
      <c r="BY314" s="215">
        <f>IF(ISNUMBER(BY313),IFERROR(BY313/BY307,""),"")</f>
        <v>0.403704506065858</v>
      </c>
      <c r="BZ314" s="215">
        <f>IF(ISNUMBER(BZ313),IFERROR(BZ313/BZ307,""),"")</f>
        <v>0.366843629343629</v>
      </c>
      <c r="CA314" s="215">
        <f>IF(ISNUMBER(CA313),IFERROR(CA313/CA307,""),"")</f>
        <v>0.406275054786466</v>
      </c>
      <c r="CB314" s="215">
        <f>IF(ISNUMBER(CB313),IFERROR(CB313/CB307,""),"")</f>
        <v>0.355101058710298</v>
      </c>
      <c r="CC314" s="24" t="n"/>
      <c r="CD314" s="24" t="n"/>
      <c r="CE314" s="24" t="n"/>
      <c r="CF314" s="256">
        <f>IF(ISNUMBER(CF313),IFERROR(CF313/CF307,""),"")</f>
        <v>0.396664175941356</v>
      </c>
      <c r="CG314" s="256">
        <f>IF(ISNUMBER(CG313),IFERROR(CG313/CG307,""),"")</f>
        <v>0.389648425144491</v>
      </c>
      <c r="CH314" s="256">
        <f>IF(ISNUMBER(CH313),IFERROR(CH313/CH307,""),"")</f>
        <v>0.38135040970193</v>
      </c>
      <c r="CI314" s="256">
        <f>IF(ISNUMBER(CI313),IFERROR(CI313/CI307,""),"")</f>
        <v>0.37329185799307</v>
      </c>
      <c r="CJ314" s="256">
        <f>IF(ISNUMBER(CJ313),IFERROR(CJ313/CJ307,""),"")</f>
        <v>0.36830278745755</v>
      </c>
      <c r="CK314" s="256">
        <f>IF(ISNUMBER(CK313),IFERROR(CK313/CK307,""),"")</f>
        <v>0.367327910013846</v>
      </c>
      <c r="CL314" s="153" t="n"/>
      <c r="CN314" s="37">
        <f>IFERROR(AVERAGE(CG314,CH314,CI314,CJ314,CK314),"n/m")</f>
        <v>0.375984278062178</v>
      </c>
      <c r="CO314" s="37">
        <f>IFERROR(AVERAGE(BG314,BL314,BQ314,BV314,CA314),"n/m")</f>
        <v>0.415040174730024</v>
      </c>
      <c r="CP314" s="37">
        <f>IFERROR(AVERAGE(AH314,AM314,AR314,AW314,BB314,BG314,BL314,BQ314,BV314,CA314),"n/m")</f>
        <v>0.503944954013592</v>
      </c>
      <c r="CQ314" s="37">
        <f>IFERROR(AVERAGE(C314,D314,E314,F314,G314,H314,I314,N314,S314,X314,AC314,AH314,AM314,AR314,AW314,BB314,BG314,BL314,BQ314,BV314,CA314),"n/m")</f>
        <v>0.520445139894531</v>
      </c>
    </row>
    <row r="315" ht="15" customHeight="1" s="251">
      <c r="B315" s="25" t="inlineStr">
        <is>
          <t xml:space="preserve">  ΔNWC (y/y)</t>
        </is>
      </c>
      <c r="C315" s="34" t="n"/>
      <c r="D315" s="264">
        <f>IF(AND(ISNUMBER(D313),ISNUMBER(C313)),D313-C313,"")</f>
        <v>0.832999999999998</v>
      </c>
      <c r="E315" s="264">
        <f>IF(AND(ISNUMBER(E313),ISNUMBER(D313)),E313-D313,"")</f>
        <v>32.624</v>
      </c>
      <c r="F315" s="264">
        <f>IF(AND(ISNUMBER(F313),ISNUMBER(E313)),F313-E313,"")</f>
        <v>9.33799999999999</v>
      </c>
      <c r="G315" s="264">
        <f>IF(AND(ISNUMBER(G313),ISNUMBER(F313)),G313-F313,"")</f>
        <v>6.28000000000006</v>
      </c>
      <c r="H315" s="264">
        <f>IF(AND(ISNUMBER(H313),ISNUMBER(G313)),H313-G313,"")</f>
        <v>-0.416000000000025</v>
      </c>
      <c r="I315" s="264">
        <f>IF(AND(ISNUMBER(I313),ISNUMBER(H313)),I313-H313,"")</f>
        <v>20.492</v>
      </c>
      <c r="J315" s="34" t="n"/>
      <c r="K315" s="34" t="n"/>
      <c r="L315" s="34" t="n"/>
      <c r="M315" s="34" t="n"/>
      <c r="N315" s="264">
        <f>IF(AND(ISNUMBER(N313),ISNUMBER(I313)),N313-I313,"")</f>
        <v>10.859</v>
      </c>
      <c r="O315" s="264">
        <f>IF(AND(ISNUMBER(O313),ISNUMBER(J313)),O313-J313,"")</f>
        <v>20.111</v>
      </c>
      <c r="P315" s="264">
        <f>IF(AND(ISNUMBER(P313),ISNUMBER(K313)),P313-K313,"")</f>
        <v>22.655</v>
      </c>
      <c r="Q315" s="264">
        <f>IF(AND(ISNUMBER(Q313),ISNUMBER(L313)),Q313-L313,"")</f>
        <v>29.3120000000001</v>
      </c>
      <c r="R315" s="264">
        <f>IF(AND(ISNUMBER(R313),ISNUMBER(M313)),R313-M313,"")</f>
        <v>41.079</v>
      </c>
      <c r="S315" s="264">
        <f>IF(AND(ISNUMBER(S313),ISNUMBER(N313)),S313-N313,"")</f>
        <v>41.079</v>
      </c>
      <c r="T315" s="264">
        <f>IF(AND(ISNUMBER(T313),ISNUMBER(O313)),T313-O313,"")</f>
        <v>31.818</v>
      </c>
      <c r="U315" s="264">
        <f>IF(AND(ISNUMBER(U313),ISNUMBER(P313)),U313-P313,"")</f>
        <v>12.5599999999999</v>
      </c>
      <c r="V315" s="264">
        <f>IF(AND(ISNUMBER(V313),ISNUMBER(Q313)),V313-Q313,"")</f>
        <v>8.64399999999995</v>
      </c>
      <c r="W315" s="264">
        <f>IF(AND(ISNUMBER(W313),ISNUMBER(R313)),W313-R313,"")</f>
        <v>4.35199999999995</v>
      </c>
      <c r="X315" s="264">
        <f>IF(AND(ISNUMBER(X313),ISNUMBER(S313)),X313-S313,"")</f>
        <v>4.35199999999995</v>
      </c>
      <c r="Y315" s="264">
        <f>IF(AND(ISNUMBER(Y313),ISNUMBER(T313)),Y313-T313,"")</f>
        <v>54.103</v>
      </c>
      <c r="Z315" s="264">
        <f>IF(AND(ISNUMBER(Z313),ISNUMBER(U313)),Z313-U313,"")</f>
        <v>64.1620000000001</v>
      </c>
      <c r="AA315" s="264">
        <f>IF(AND(ISNUMBER(AA313),ISNUMBER(V313)),AA313-V313,"")</f>
        <v>69.925</v>
      </c>
      <c r="AB315" s="264">
        <f>IF(AND(ISNUMBER(AB313),ISNUMBER(W313)),AB313-W313,"")</f>
        <v>52.7740000000001</v>
      </c>
      <c r="AC315" s="264">
        <f>IF(AND(ISNUMBER(AC313),ISNUMBER(X313)),AC313-X313,"")</f>
        <v>52.7740000000001</v>
      </c>
      <c r="AD315" s="264">
        <f>IF(AND(ISNUMBER(AD313),ISNUMBER(Y313)),AD313-Y313,"")</f>
        <v>15.7660000000001</v>
      </c>
      <c r="AE315" s="264">
        <f>IF(AND(ISNUMBER(AE313),ISNUMBER(Z313)),AE313-Z313,"")</f>
        <v>15.364</v>
      </c>
      <c r="AF315" s="264">
        <f>IF(AND(ISNUMBER(AF313),ISNUMBER(AA313)),AF313-AA313,"")</f>
        <v>-0.566999999999894</v>
      </c>
      <c r="AG315" s="264">
        <f>IF(AND(ISNUMBER(AG313),ISNUMBER(AB313)),AG313-AB313,"")</f>
        <v>18.195</v>
      </c>
      <c r="AH315" s="264">
        <f>IF(AND(ISNUMBER(AH313),ISNUMBER(AC313)),AH313-AC313,"")</f>
        <v>18.195</v>
      </c>
      <c r="AI315" s="264">
        <f>IF(AND(ISNUMBER(AI313),ISNUMBER(AD313)),AI313-AD313,"")</f>
        <v>8.74699999999996</v>
      </c>
      <c r="AJ315" s="264">
        <f>IF(AND(ISNUMBER(AJ313),ISNUMBER(AE313)),AJ313-AE313,"")</f>
        <v>5.18599999999998</v>
      </c>
      <c r="AK315" s="264">
        <f>IF(AND(ISNUMBER(AK313),ISNUMBER(AF313)),AK313-AF313,"")</f>
        <v>23.5499999999999</v>
      </c>
      <c r="AL315" s="264">
        <f>IF(AND(ISNUMBER(AL313),ISNUMBER(AG313)),AL313-AG313,"")</f>
        <v>13.409</v>
      </c>
      <c r="AM315" s="264">
        <f>IF(AND(ISNUMBER(AM313),ISNUMBER(AH313)),AM313-AH313,"")</f>
        <v>13.409</v>
      </c>
      <c r="AN315" s="264">
        <f>IF(AND(ISNUMBER(AN313),ISNUMBER(AI313)),AN313-AI313,"")</f>
        <v>23.3430000000001</v>
      </c>
      <c r="AO315" s="264">
        <f>IF(AND(ISNUMBER(AO313),ISNUMBER(AJ313)),AO313-AJ313,"")</f>
        <v>32.894</v>
      </c>
      <c r="AP315" s="264">
        <f>IF(AND(ISNUMBER(AP313),ISNUMBER(AK313)),AP313-AK313,"")</f>
        <v>30.387</v>
      </c>
      <c r="AQ315" s="264">
        <f>IF(AND(ISNUMBER(AQ313),ISNUMBER(AL313)),AQ313-AL313,"")</f>
        <v>40.213</v>
      </c>
      <c r="AR315" s="264">
        <f>IF(AND(ISNUMBER(AR313),ISNUMBER(AM313)),AR313-AM313,"")</f>
        <v>40.213</v>
      </c>
      <c r="AS315" s="264">
        <f>IF(AND(ISNUMBER(AS313),ISNUMBER(AN313)),AS313-AN313,"")</f>
        <v>31.044</v>
      </c>
      <c r="AT315" s="264">
        <f>IF(AND(ISNUMBER(AT313),ISNUMBER(AO313)),AT313-AO313,"")</f>
        <v>39.724</v>
      </c>
      <c r="AU315" s="264">
        <f>IF(AND(ISNUMBER(AU313),ISNUMBER(AP313)),AU313-AP313,"")</f>
        <v>28.592</v>
      </c>
      <c r="AV315" s="264">
        <f>IF(AND(ISNUMBER(AV313),ISNUMBER(AQ313)),AV313-AQ313,"")</f>
        <v>27.69</v>
      </c>
      <c r="AW315" s="264">
        <f>IF(AND(ISNUMBER(AW313),ISNUMBER(AR313)),AW313-AR313,"")</f>
        <v>27.69</v>
      </c>
      <c r="AX315" s="264">
        <f>IF(AND(ISNUMBER(AX313),ISNUMBER(AS313)),AX313-AS313,"")</f>
        <v>19.556</v>
      </c>
      <c r="AY315" s="264">
        <f>IF(AND(ISNUMBER(AY313),ISNUMBER(AT313)),AY313-AT313,"")</f>
        <v>6.36399999999998</v>
      </c>
      <c r="AZ315" s="264">
        <f>IF(AND(ISNUMBER(AZ313),ISNUMBER(AU313)),AZ313-AU313,"")</f>
        <v>81.81</v>
      </c>
      <c r="BA315" s="264">
        <f>IF(AND(ISNUMBER(BA313),ISNUMBER(AV313)),BA313-AV313,"")</f>
        <v>80.0649999999999</v>
      </c>
      <c r="BB315" s="264">
        <f>IF(AND(ISNUMBER(BB313),ISNUMBER(AW313)),BB313-AW313,"")</f>
        <v>80.0649999999999</v>
      </c>
      <c r="BC315" s="264">
        <f>IF(AND(ISNUMBER(BC313),ISNUMBER(AX313)),BC313-AX313,"")</f>
        <v>113.923</v>
      </c>
      <c r="BD315" s="264">
        <f>IF(AND(ISNUMBER(BD313),ISNUMBER(AY313)),BD313-AY313,"")</f>
        <v>-13.307</v>
      </c>
      <c r="BE315" s="264">
        <f>IF(AND(ISNUMBER(BE313),ISNUMBER(AZ313)),BE313-AZ313,"")</f>
        <v>-31.648</v>
      </c>
      <c r="BF315" s="264">
        <f>IF(AND(ISNUMBER(BF313),ISNUMBER(BA313)),BF313-BA313,"")</f>
        <v>-24.032</v>
      </c>
      <c r="BG315" s="264">
        <f>IF(AND(ISNUMBER(BG313),ISNUMBER(BB313)),BG313-BB313,"")</f>
        <v>-24.032</v>
      </c>
      <c r="BH315" s="264">
        <f>IF(AND(ISNUMBER(BH313),ISNUMBER(BC313)),BH313-BC313,"")</f>
        <v>-47.7430000000001</v>
      </c>
      <c r="BI315" s="264">
        <f>IF(AND(ISNUMBER(BI313),ISNUMBER(BD313)),BI313-BD313,"")</f>
        <v>118.82</v>
      </c>
      <c r="BJ315" s="264">
        <f>IF(AND(ISNUMBER(BJ313),ISNUMBER(BE313)),BJ313-BE313,"")</f>
        <v>86.39</v>
      </c>
      <c r="BK315" s="264">
        <f>IF(AND(ISNUMBER(BK313),ISNUMBER(BF313)),BK313-BF313,"")</f>
        <v>72.6420000000002</v>
      </c>
      <c r="BL315" s="264">
        <f>IF(AND(ISNUMBER(BL313),ISNUMBER(BG313)),BL313-BG313,"")</f>
        <v>72.6420000000002</v>
      </c>
      <c r="BM315" s="264">
        <f>IF(AND(ISNUMBER(BM313),ISNUMBER(BH313)),BM313-BH313,"")</f>
        <v>96.7870000000001</v>
      </c>
      <c r="BN315" s="264">
        <f>IF(AND(ISNUMBER(BN313),ISNUMBER(BI313)),BN313-BI313,"")</f>
        <v>76.601</v>
      </c>
      <c r="BO315" s="264">
        <f>IF(AND(ISNUMBER(BO313),ISNUMBER(BJ313)),BO313-BJ313,"")</f>
        <v>57.0930000000001</v>
      </c>
      <c r="BP315" s="264">
        <f>IF(AND(ISNUMBER(BP313),ISNUMBER(BK313)),BP313-BK313,"")</f>
        <v>71.3999999999999</v>
      </c>
      <c r="BQ315" s="264">
        <f>IF(AND(ISNUMBER(BQ313),ISNUMBER(BL313)),BQ313-BL313,"")</f>
        <v>71.3999999999999</v>
      </c>
      <c r="BR315" s="264">
        <f>IF(AND(ISNUMBER(BR313),ISNUMBER(BM313)),BR313-BM313,"")</f>
        <v>26.5000000000001</v>
      </c>
      <c r="BS315" s="264">
        <f>IF(AND(ISNUMBER(BS313),ISNUMBER(BN313)),BS313-BN313,"")</f>
        <v>46.1</v>
      </c>
      <c r="BT315" s="264">
        <f>IF(AND(ISNUMBER(BT313),ISNUMBER(BO313)),BT313-BO313,"")</f>
        <v>56</v>
      </c>
      <c r="BU315" s="264">
        <f>IF(AND(ISNUMBER(BU313),ISNUMBER(BP313)),BU313-BP313,"")</f>
        <v>65.4000000000001</v>
      </c>
      <c r="BV315" s="264">
        <f>IF(AND(ISNUMBER(BV313),ISNUMBER(BQ313)),BV313-BQ313,"")</f>
        <v>65.4000000000001</v>
      </c>
      <c r="BW315" s="264">
        <f>IF(AND(ISNUMBER(BW313),ISNUMBER(BR313)),BW313-BR313,"")</f>
        <v>71.9000000000001</v>
      </c>
      <c r="BX315" s="264">
        <f>IF(AND(ISNUMBER(BX313),ISNUMBER(BS313)),BX313-BS313,"")</f>
        <v>87.8000000000002</v>
      </c>
      <c r="BY315" s="264">
        <f>IF(AND(ISNUMBER(BY313),ISNUMBER(BT313)),BY313-BT313,"")</f>
        <v>93.6999999999999</v>
      </c>
      <c r="BZ315" s="264">
        <f>IF(AND(ISNUMBER(BZ313),ISNUMBER(BU313)),BZ313-BU313,"")</f>
        <v>83.1999999999999</v>
      </c>
      <c r="CA315" s="264">
        <f>IF(AND(ISNUMBER(CA313),ISNUMBER(BV313)),CA313-BV313,"")</f>
        <v>83.1999999999999</v>
      </c>
      <c r="CB315" s="264">
        <f>IF(AND(ISNUMBER(CB313),ISNUMBER(BW313)),CB313-BW313,"")</f>
        <v>75.0999999999997</v>
      </c>
      <c r="CC315" s="35" t="n"/>
      <c r="CD315" s="35" t="n"/>
      <c r="CE315" s="35" t="n"/>
      <c r="CF315" s="261">
        <f>IF(AND(ISNUMBER(CF313),ISNUMBER(CA313)),CF313-CA313,"")</f>
        <v>95.5506536125056</v>
      </c>
      <c r="CG315" s="261">
        <f>IF(AND(ISNUMBER(CG313),ISNUMBER(CF313)),CG313-CF313,"")</f>
        <v>73.5731617582176</v>
      </c>
      <c r="CH315" s="261">
        <f>IF(AND(ISNUMBER(CH313),ISNUMBER(CG313)),CH313-CG313,"")</f>
        <v>87.5979942221383</v>
      </c>
      <c r="CI315" s="261">
        <f>IF(AND(ISNUMBER(CI313),ISNUMBER(CH313)),CI313-CH313,"")</f>
        <v>84.1289604156709</v>
      </c>
      <c r="CJ315" s="261">
        <f>IF(AND(ISNUMBER(CJ313),ISNUMBER(CI313)),CJ313-CI313,"")</f>
        <v>91.5337175807904</v>
      </c>
      <c r="CK315" s="261">
        <f>IF(AND(ISNUMBER(CK313),ISNUMBER(CJ313)),CK313-CJ313,"")</f>
        <v>101.447045296128</v>
      </c>
      <c r="CL315" s="19" t="n"/>
    </row>
    <row r="316" ht="15" customHeight="1" s="251">
      <c r="CT316" s="11" t="n"/>
      <c r="CU316" s="12" t="n"/>
      <c r="CV316" s="12" t="n"/>
      <c r="CW316" s="12" t="n"/>
      <c r="CX316" s="13" t="n"/>
    </row>
    <row r="317" ht="15" customHeight="1" s="251">
      <c r="B317" s="10" t="inlineStr">
        <is>
          <t>BALANCE SHEET FORECAST SCHEDULES</t>
        </is>
      </c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  <c r="AA317" s="10" t="n"/>
      <c r="AB317" s="10" t="n"/>
      <c r="AC317" s="10" t="n"/>
      <c r="AD317" s="10" t="n"/>
      <c r="AE317" s="10" t="n"/>
      <c r="AF317" s="10" t="n"/>
      <c r="AG317" s="10" t="n"/>
      <c r="AH317" s="10" t="n"/>
      <c r="AI317" s="10" t="n"/>
      <c r="AJ317" s="10" t="n"/>
      <c r="AK317" s="10" t="n"/>
      <c r="AL317" s="10" t="n"/>
      <c r="AM317" s="10" t="n"/>
      <c r="AN317" s="10" t="n"/>
      <c r="AO317" s="10" t="n"/>
      <c r="AP317" s="10" t="n"/>
      <c r="AQ317" s="10" t="n"/>
      <c r="AR317" s="10" t="n"/>
      <c r="AS317" s="10" t="n"/>
      <c r="AT317" s="10" t="n"/>
      <c r="AU317" s="10" t="n"/>
      <c r="AV317" s="10" t="n"/>
      <c r="AW317" s="10" t="n"/>
      <c r="AX317" s="10" t="n"/>
      <c r="AY317" s="10" t="n"/>
      <c r="AZ317" s="10" t="n"/>
      <c r="BA317" s="10" t="n"/>
      <c r="BB317" s="10" t="n"/>
      <c r="BC317" s="10" t="n"/>
      <c r="BD317" s="10" t="n"/>
      <c r="BE317" s="10" t="n"/>
      <c r="BF317" s="10" t="n"/>
      <c r="BG317" s="10" t="n"/>
      <c r="BH317" s="10" t="n"/>
      <c r="BI317" s="10" t="n"/>
      <c r="BJ317" s="10" t="n"/>
      <c r="BK317" s="10" t="n"/>
      <c r="BL317" s="10" t="n"/>
      <c r="BM317" s="10" t="n"/>
      <c r="BN317" s="10" t="n"/>
      <c r="BO317" s="10" t="n"/>
      <c r="BP317" s="10" t="n"/>
      <c r="BQ317" s="10" t="n"/>
      <c r="BR317" s="10" t="n"/>
      <c r="BS317" s="10" t="n"/>
      <c r="BT317" s="10" t="n"/>
      <c r="BU317" s="10" t="n"/>
      <c r="BV317" s="10" t="n"/>
      <c r="BW317" s="10" t="n"/>
      <c r="BX317" s="10" t="n"/>
      <c r="BY317" s="10" t="n"/>
      <c r="BZ317" s="10" t="n"/>
      <c r="CA317" s="10" t="n"/>
      <c r="CB317" s="10" t="n"/>
      <c r="CC317" s="10" t="n"/>
      <c r="CD317" s="10" t="n"/>
      <c r="CE317" s="10" t="n"/>
      <c r="CF317" s="10" t="n"/>
      <c r="CG317" s="10" t="n"/>
      <c r="CH317" s="10" t="n"/>
      <c r="CI317" s="10" t="n"/>
      <c r="CJ317" s="10" t="n"/>
      <c r="CK317" s="10" t="n"/>
      <c r="CL317" s="10" t="inlineStr">
        <is>
          <t>BS FORECAST SCHEDULES — explicit driver assumptions</t>
        </is>
      </c>
    </row>
    <row r="318" ht="15" customHeight="1" s="251">
      <c r="B318" s="25" t="inlineStr">
        <is>
          <t>Acquisitions — consideration &amp; purchase-price allocation (closing-period column)</t>
        </is>
      </c>
      <c r="CL318" s="153" t="n"/>
    </row>
    <row r="319" ht="15" customHeight="1" s="251">
      <c r="B319" s="69" t="inlineStr">
        <is>
          <t xml:space="preserve">  Consideration — net assets acquired (net of cash acquired)</t>
        </is>
      </c>
      <c r="C319" s="44" t="n"/>
      <c r="D319" s="44" t="n"/>
      <c r="E319" s="44" t="n"/>
      <c r="F319" s="44" t="n"/>
      <c r="G319" s="44" t="n"/>
      <c r="H319" s="44" t="n"/>
      <c r="I319" s="44" t="n"/>
      <c r="J319" s="44" t="n"/>
      <c r="K319" s="44" t="n"/>
      <c r="L319" s="44" t="n"/>
      <c r="M319" s="44" t="n"/>
      <c r="N319" s="44" t="n"/>
      <c r="O319" s="44" t="n"/>
      <c r="P319" s="44" t="n"/>
      <c r="Q319" s="44" t="n"/>
      <c r="R319" s="44" t="n"/>
      <c r="S319" s="44" t="n"/>
      <c r="T319" s="44" t="n"/>
      <c r="U319" s="44" t="n"/>
      <c r="V319" s="44" t="n"/>
      <c r="W319" s="44" t="n"/>
      <c r="X319" s="44" t="n"/>
      <c r="Y319" s="44" t="n"/>
      <c r="Z319" s="44" t="n"/>
      <c r="AA319" s="44" t="n"/>
      <c r="AB319" s="44" t="n"/>
      <c r="AC319" s="44" t="n"/>
      <c r="AD319" s="44" t="n"/>
      <c r="AE319" s="44" t="n"/>
      <c r="AF319" s="44" t="n"/>
      <c r="AG319" s="44" t="n"/>
      <c r="AH319" s="44" t="n"/>
      <c r="AI319" s="44" t="n"/>
      <c r="AJ319" s="44" t="n"/>
      <c r="AK319" s="44" t="n"/>
      <c r="AL319" s="44" t="n"/>
      <c r="AM319" s="44" t="n"/>
      <c r="AN319" s="44" t="n"/>
      <c r="AO319" s="44" t="n"/>
      <c r="AP319" s="44" t="n"/>
      <c r="AQ319" s="44" t="n"/>
      <c r="AR319" s="44" t="n"/>
      <c r="AS319" s="44" t="n"/>
      <c r="AT319" s="44" t="n"/>
      <c r="AU319" s="44" t="n"/>
      <c r="AV319" s="44" t="n"/>
      <c r="AW319" s="44" t="n"/>
      <c r="AX319" s="44" t="n"/>
      <c r="AY319" s="44" t="n"/>
      <c r="AZ319" s="44" t="n"/>
      <c r="BA319" s="44" t="n"/>
      <c r="BB319" s="44" t="n"/>
      <c r="BC319" s="44" t="n"/>
      <c r="BD319" s="44" t="n"/>
      <c r="BE319" s="259" t="n">
        <v>2880.8</v>
      </c>
      <c r="BF319" s="44" t="n"/>
      <c r="BG319" s="44" t="n"/>
      <c r="BH319" s="44" t="n"/>
      <c r="BI319" s="44" t="n"/>
      <c r="BJ319" s="44" t="n"/>
      <c r="BK319" s="44" t="n"/>
      <c r="BL319" s="44" t="n"/>
      <c r="BM319" s="44" t="n"/>
      <c r="BN319" s="44" t="n"/>
      <c r="BO319" s="44" t="n"/>
      <c r="BP319" s="44" t="n"/>
      <c r="BQ319" s="44" t="n"/>
      <c r="BR319" s="44" t="n"/>
      <c r="BS319" s="44" t="n"/>
      <c r="BT319" s="44" t="n"/>
      <c r="BU319" s="44" t="n"/>
      <c r="BV319" s="44" t="n"/>
      <c r="BW319" s="44" t="n"/>
      <c r="BX319" s="259" t="n">
        <v>276.7</v>
      </c>
      <c r="BY319" s="44" t="n"/>
      <c r="BZ319" s="44" t="n"/>
      <c r="CA319" s="44" t="n"/>
      <c r="CB319" s="44" t="n"/>
      <c r="CC319" s="153" t="n"/>
      <c r="CD319" s="153" t="n"/>
      <c r="CE319" s="153" t="n"/>
      <c r="CF319" s="35" t="n"/>
      <c r="CG319" s="35" t="n"/>
      <c r="CH319" s="35" t="n"/>
      <c r="CI319" s="35" t="n"/>
      <c r="CJ319" s="35" t="n"/>
      <c r="CK319" s="35" t="n"/>
      <c r="CL319" s="19" t="n"/>
    </row>
    <row r="320" ht="15" customHeight="1" s="251">
      <c r="B320" s="69" t="inlineStr">
        <is>
          <t xml:space="preserve">  Current assets acquired (receivables, contract assets, inventory, prepaid)</t>
        </is>
      </c>
      <c r="C320" s="44" t="n"/>
      <c r="D320" s="44" t="n"/>
      <c r="E320" s="44" t="n"/>
      <c r="F320" s="44" t="n"/>
      <c r="G320" s="44" t="n"/>
      <c r="H320" s="44" t="n"/>
      <c r="I320" s="44" t="n"/>
      <c r="J320" s="44" t="n"/>
      <c r="K320" s="44" t="n"/>
      <c r="L320" s="44" t="n"/>
      <c r="M320" s="44" t="n"/>
      <c r="N320" s="44" t="n"/>
      <c r="O320" s="44" t="n"/>
      <c r="P320" s="44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  <c r="AC320" s="44" t="n"/>
      <c r="AD320" s="44" t="n"/>
      <c r="AE320" s="44" t="n"/>
      <c r="AF320" s="44" t="n"/>
      <c r="AG320" s="44" t="n"/>
      <c r="AH320" s="44" t="n"/>
      <c r="AI320" s="44" t="n"/>
      <c r="AJ320" s="44" t="n"/>
      <c r="AK320" s="44" t="n"/>
      <c r="AL320" s="44" t="n"/>
      <c r="AM320" s="44" t="n"/>
      <c r="AN320" s="44" t="n"/>
      <c r="AO320" s="44" t="n"/>
      <c r="AP320" s="44" t="n"/>
      <c r="AQ320" s="44" t="n"/>
      <c r="AR320" s="44" t="n"/>
      <c r="AS320" s="44" t="n"/>
      <c r="AT320" s="44" t="n"/>
      <c r="AU320" s="44" t="n"/>
      <c r="AV320" s="44" t="n"/>
      <c r="AW320" s="44" t="n"/>
      <c r="AX320" s="44" t="n"/>
      <c r="AY320" s="44" t="n"/>
      <c r="AZ320" s="44" t="n"/>
      <c r="BA320" s="44" t="n"/>
      <c r="BB320" s="44" t="n"/>
      <c r="BC320" s="44" t="n"/>
      <c r="BD320" s="44" t="n"/>
      <c r="BE320" s="259" t="n">
        <v>220.9</v>
      </c>
      <c r="BF320" s="44" t="n"/>
      <c r="BG320" s="44" t="n"/>
      <c r="BH320" s="44" t="n"/>
      <c r="BI320" s="44" t="n"/>
      <c r="BJ320" s="44" t="n"/>
      <c r="BK320" s="44" t="n"/>
      <c r="BL320" s="44" t="n"/>
      <c r="BM320" s="44" t="n"/>
      <c r="BN320" s="44" t="n"/>
      <c r="BO320" s="44" t="n"/>
      <c r="BP320" s="44" t="n"/>
      <c r="BQ320" s="44" t="n"/>
      <c r="BR320" s="44" t="n"/>
      <c r="BS320" s="44" t="n"/>
      <c r="BT320" s="44" t="n"/>
      <c r="BU320" s="44" t="n"/>
      <c r="BV320" s="44" t="n"/>
      <c r="BW320" s="44" t="n"/>
      <c r="BX320" s="259" t="n">
        <v>83.3</v>
      </c>
      <c r="BY320" s="44" t="n"/>
      <c r="BZ320" s="44" t="n"/>
      <c r="CA320" s="44" t="n"/>
      <c r="CB320" s="44" t="n"/>
      <c r="CC320" s="153" t="n"/>
      <c r="CD320" s="153" t="n"/>
      <c r="CE320" s="153" t="n"/>
      <c r="CF320" s="35" t="n"/>
      <c r="CG320" s="35" t="n"/>
      <c r="CH320" s="35" t="n"/>
      <c r="CI320" s="35" t="n"/>
      <c r="CJ320" s="35" t="n"/>
      <c r="CK320" s="35" t="n"/>
      <c r="CL320" s="19" t="n"/>
    </row>
    <row r="321" ht="15" customHeight="1" s="251">
      <c r="B321" s="69" t="inlineStr">
        <is>
          <t xml:space="preserve">  Property, plant &amp; equipment</t>
        </is>
      </c>
      <c r="C321" s="44" t="n"/>
      <c r="D321" s="44" t="n"/>
      <c r="E321" s="44" t="n"/>
      <c r="F321" s="44" t="n"/>
      <c r="G321" s="44" t="n"/>
      <c r="H321" s="44" t="n"/>
      <c r="I321" s="44" t="n"/>
      <c r="J321" s="44" t="n"/>
      <c r="K321" s="44" t="n"/>
      <c r="L321" s="44" t="n"/>
      <c r="M321" s="44" t="n"/>
      <c r="N321" s="44" t="n"/>
      <c r="O321" s="44" t="n"/>
      <c r="P321" s="44" t="n"/>
      <c r="Q321" s="44" t="n"/>
      <c r="R321" s="44" t="n"/>
      <c r="S321" s="44" t="n"/>
      <c r="T321" s="44" t="n"/>
      <c r="U321" s="44" t="n"/>
      <c r="V321" s="44" t="n"/>
      <c r="W321" s="44" t="n"/>
      <c r="X321" s="44" t="n"/>
      <c r="Y321" s="44" t="n"/>
      <c r="Z321" s="44" t="n"/>
      <c r="AA321" s="44" t="n"/>
      <c r="AB321" s="44" t="n"/>
      <c r="AC321" s="44" t="n"/>
      <c r="AD321" s="44" t="n"/>
      <c r="AE321" s="44" t="n"/>
      <c r="AF321" s="44" t="n"/>
      <c r="AG321" s="44" t="n"/>
      <c r="AH321" s="44" t="n"/>
      <c r="AI321" s="44" t="n"/>
      <c r="AJ321" s="44" t="n"/>
      <c r="AK321" s="44" t="n"/>
      <c r="AL321" s="44" t="n"/>
      <c r="AM321" s="44" t="n"/>
      <c r="AN321" s="44" t="n"/>
      <c r="AO321" s="44" t="n"/>
      <c r="AP321" s="44" t="n"/>
      <c r="AQ321" s="44" t="n"/>
      <c r="AR321" s="44" t="n"/>
      <c r="AS321" s="44" t="n"/>
      <c r="AT321" s="44" t="n"/>
      <c r="AU321" s="44" t="n"/>
      <c r="AV321" s="44" t="n"/>
      <c r="AW321" s="44" t="n"/>
      <c r="AX321" s="44" t="n"/>
      <c r="AY321" s="44" t="n"/>
      <c r="AZ321" s="44" t="n"/>
      <c r="BA321" s="44" t="n"/>
      <c r="BB321" s="44" t="n"/>
      <c r="BC321" s="44" t="n"/>
      <c r="BD321" s="44" t="n"/>
      <c r="BE321" s="259" t="n">
        <v>165.1</v>
      </c>
      <c r="BF321" s="44" t="n"/>
      <c r="BG321" s="44" t="n"/>
      <c r="BH321" s="44" t="n"/>
      <c r="BI321" s="44" t="n"/>
      <c r="BJ321" s="44" t="n"/>
      <c r="BK321" s="44" t="n"/>
      <c r="BL321" s="44" t="n"/>
      <c r="BM321" s="44" t="n"/>
      <c r="BN321" s="44" t="n"/>
      <c r="BO321" s="44" t="n"/>
      <c r="BP321" s="44" t="n"/>
      <c r="BQ321" s="44" t="n"/>
      <c r="BR321" s="44" t="n"/>
      <c r="BS321" s="44" t="n"/>
      <c r="BT321" s="44" t="n"/>
      <c r="BU321" s="44" t="n"/>
      <c r="BV321" s="44" t="n"/>
      <c r="BW321" s="44" t="n"/>
      <c r="BX321" s="259" t="n">
        <v>40.6</v>
      </c>
      <c r="BY321" s="44" t="n"/>
      <c r="BZ321" s="44" t="n"/>
      <c r="CA321" s="44" t="n"/>
      <c r="CB321" s="44" t="n"/>
      <c r="CC321" s="153" t="n"/>
      <c r="CD321" s="153" t="n"/>
      <c r="CE321" s="153" t="n"/>
      <c r="CF321" s="35" t="n"/>
      <c r="CG321" s="35" t="n"/>
      <c r="CH321" s="35" t="n"/>
      <c r="CI321" s="35" t="n"/>
      <c r="CJ321" s="35" t="n"/>
      <c r="CK321" s="35" t="n"/>
      <c r="CL321" s="19" t="n"/>
    </row>
    <row r="322" ht="15" customHeight="1" s="251">
      <c r="B322" s="69" t="inlineStr">
        <is>
          <t xml:space="preserve">  Intangible assets (customer relationships, trade names, technology, backlog)</t>
        </is>
      </c>
      <c r="C322" s="44" t="n"/>
      <c r="D322" s="44" t="n"/>
      <c r="E322" s="44" t="n"/>
      <c r="F322" s="44" t="n"/>
      <c r="G322" s="44" t="n"/>
      <c r="H322" s="44" t="n"/>
      <c r="I322" s="44" t="n"/>
      <c r="J322" s="44" t="n"/>
      <c r="K322" s="44" t="n"/>
      <c r="L322" s="44" t="n"/>
      <c r="M322" s="44" t="n"/>
      <c r="N322" s="44" t="n"/>
      <c r="O322" s="44" t="n"/>
      <c r="P322" s="44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  <c r="AC322" s="44" t="n"/>
      <c r="AD322" s="44" t="n"/>
      <c r="AE322" s="44" t="n"/>
      <c r="AF322" s="44" t="n"/>
      <c r="AG322" s="44" t="n"/>
      <c r="AH322" s="44" t="n"/>
      <c r="AI322" s="44" t="n"/>
      <c r="AJ322" s="44" t="n"/>
      <c r="AK322" s="44" t="n"/>
      <c r="AL322" s="44" t="n"/>
      <c r="AM322" s="44" t="n"/>
      <c r="AN322" s="44" t="n"/>
      <c r="AO322" s="44" t="n"/>
      <c r="AP322" s="44" t="n"/>
      <c r="AQ322" s="44" t="n"/>
      <c r="AR322" s="44" t="n"/>
      <c r="AS322" s="44" t="n"/>
      <c r="AT322" s="44" t="n"/>
      <c r="AU322" s="44" t="n"/>
      <c r="AV322" s="44" t="n"/>
      <c r="AW322" s="44" t="n"/>
      <c r="AX322" s="44" t="n"/>
      <c r="AY322" s="44" t="n"/>
      <c r="AZ322" s="44" t="n"/>
      <c r="BA322" s="44" t="n"/>
      <c r="BB322" s="44" t="n"/>
      <c r="BC322" s="44" t="n"/>
      <c r="BD322" s="44" t="n"/>
      <c r="BE322" s="259" t="n">
        <v>1385.1</v>
      </c>
      <c r="BF322" s="44" t="n"/>
      <c r="BG322" s="44" t="n"/>
      <c r="BH322" s="44" t="n"/>
      <c r="BI322" s="44" t="n"/>
      <c r="BJ322" s="44" t="n"/>
      <c r="BK322" s="44" t="n"/>
      <c r="BL322" s="44" t="n"/>
      <c r="BM322" s="44" t="n"/>
      <c r="BN322" s="44" t="n"/>
      <c r="BO322" s="44" t="n"/>
      <c r="BP322" s="44" t="n"/>
      <c r="BQ322" s="44" t="n"/>
      <c r="BR322" s="44" t="n"/>
      <c r="BS322" s="44" t="n"/>
      <c r="BT322" s="44" t="n"/>
      <c r="BU322" s="44" t="n"/>
      <c r="BV322" s="44" t="n"/>
      <c r="BW322" s="44" t="n"/>
      <c r="BX322" s="259" t="n">
        <v>123.8</v>
      </c>
      <c r="BY322" s="44" t="n"/>
      <c r="BZ322" s="44" t="n"/>
      <c r="CA322" s="44" t="n"/>
      <c r="CB322" s="44" t="n"/>
      <c r="CC322" s="153" t="n"/>
      <c r="CD322" s="153" t="n"/>
      <c r="CE322" s="153" t="n"/>
      <c r="CF322" s="35" t="n"/>
      <c r="CG322" s="35" t="n"/>
      <c r="CH322" s="35" t="n"/>
      <c r="CI322" s="35" t="n"/>
      <c r="CJ322" s="35" t="n"/>
      <c r="CK322" s="35" t="n"/>
      <c r="CL322" s="19" t="n"/>
    </row>
    <row r="323" ht="15" customHeight="1" s="251">
      <c r="B323" s="69" t="inlineStr">
        <is>
          <t xml:space="preserve">  Goodwill</t>
        </is>
      </c>
      <c r="C323" s="44" t="n"/>
      <c r="D323" s="44" t="n"/>
      <c r="E323" s="44" t="n"/>
      <c r="F323" s="44" t="n"/>
      <c r="G323" s="44" t="n"/>
      <c r="H323" s="44" t="n"/>
      <c r="I323" s="44" t="n"/>
      <c r="J323" s="44" t="n"/>
      <c r="K323" s="44" t="n"/>
      <c r="L323" s="44" t="n"/>
      <c r="M323" s="44" t="n"/>
      <c r="N323" s="44" t="n"/>
      <c r="O323" s="44" t="n"/>
      <c r="P323" s="44" t="n"/>
      <c r="Q323" s="44" t="n"/>
      <c r="R323" s="44" t="n"/>
      <c r="S323" s="44" t="n"/>
      <c r="T323" s="44" t="n"/>
      <c r="U323" s="44" t="n"/>
      <c r="V323" s="44" t="n"/>
      <c r="W323" s="44" t="n"/>
      <c r="X323" s="44" t="n"/>
      <c r="Y323" s="44" t="n"/>
      <c r="Z323" s="44" t="n"/>
      <c r="AA323" s="44" t="n"/>
      <c r="AB323" s="44" t="n"/>
      <c r="AC323" s="44" t="n"/>
      <c r="AD323" s="44" t="n"/>
      <c r="AE323" s="44" t="n"/>
      <c r="AF323" s="44" t="n"/>
      <c r="AG323" s="44" t="n"/>
      <c r="AH323" s="44" t="n"/>
      <c r="AI323" s="44" t="n"/>
      <c r="AJ323" s="44" t="n"/>
      <c r="AK323" s="44" t="n"/>
      <c r="AL323" s="44" t="n"/>
      <c r="AM323" s="44" t="n"/>
      <c r="AN323" s="44" t="n"/>
      <c r="AO323" s="44" t="n"/>
      <c r="AP323" s="44" t="n"/>
      <c r="AQ323" s="44" t="n"/>
      <c r="AR323" s="44" t="n"/>
      <c r="AS323" s="44" t="n"/>
      <c r="AT323" s="44" t="n"/>
      <c r="AU323" s="44" t="n"/>
      <c r="AV323" s="44" t="n"/>
      <c r="AW323" s="44" t="n"/>
      <c r="AX323" s="44" t="n"/>
      <c r="AY323" s="44" t="n"/>
      <c r="AZ323" s="44" t="n"/>
      <c r="BA323" s="44" t="n"/>
      <c r="BB323" s="44" t="n"/>
      <c r="BC323" s="44" t="n"/>
      <c r="BD323" s="44" t="n"/>
      <c r="BE323" s="259" t="n">
        <v>1596.1</v>
      </c>
      <c r="BF323" s="44" t="n"/>
      <c r="BG323" s="44" t="n"/>
      <c r="BH323" s="44" t="n"/>
      <c r="BI323" s="44" t="n"/>
      <c r="BJ323" s="44" t="n"/>
      <c r="BK323" s="44" t="n"/>
      <c r="BL323" s="44" t="n"/>
      <c r="BM323" s="44" t="n"/>
      <c r="BN323" s="44" t="n"/>
      <c r="BO323" s="44" t="n"/>
      <c r="BP323" s="44" t="n"/>
      <c r="BQ323" s="44" t="n"/>
      <c r="BR323" s="44" t="n"/>
      <c r="BS323" s="44" t="n"/>
      <c r="BT323" s="44" t="n"/>
      <c r="BU323" s="44" t="n"/>
      <c r="BV323" s="44" t="n"/>
      <c r="BW323" s="44" t="n"/>
      <c r="BX323" s="259" t="n">
        <v>127.9</v>
      </c>
      <c r="BY323" s="44" t="n"/>
      <c r="BZ323" s="44" t="n"/>
      <c r="CA323" s="44" t="n"/>
      <c r="CB323" s="44" t="n"/>
      <c r="CC323" s="153" t="n"/>
      <c r="CD323" s="153" t="n"/>
      <c r="CE323" s="153" t="n"/>
      <c r="CF323" s="35" t="n"/>
      <c r="CG323" s="35" t="n"/>
      <c r="CH323" s="35" t="n"/>
      <c r="CI323" s="35" t="n"/>
      <c r="CJ323" s="35" t="n"/>
      <c r="CK323" s="35" t="n"/>
      <c r="CL323" s="19" t="n"/>
    </row>
    <row r="324" ht="15" customHeight="1" s="251">
      <c r="B324" s="69" t="inlineStr">
        <is>
          <t xml:space="preserve">  Operating lease &amp; other noncurrent assets</t>
        </is>
      </c>
      <c r="C324" s="44" t="n"/>
      <c r="D324" s="44" t="n"/>
      <c r="E324" s="44" t="n"/>
      <c r="F324" s="44" t="n"/>
      <c r="G324" s="44" t="n"/>
      <c r="H324" s="44" t="n"/>
      <c r="I324" s="44" t="n"/>
      <c r="J324" s="44" t="n"/>
      <c r="K324" s="44" t="n"/>
      <c r="L324" s="44" t="n"/>
      <c r="M324" s="44" t="n"/>
      <c r="N324" s="44" t="n"/>
      <c r="O324" s="44" t="n"/>
      <c r="P324" s="44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  <c r="AC324" s="44" t="n"/>
      <c r="AD324" s="44" t="n"/>
      <c r="AE324" s="44" t="n"/>
      <c r="AF324" s="44" t="n"/>
      <c r="AG324" s="44" t="n"/>
      <c r="AH324" s="44" t="n"/>
      <c r="AI324" s="44" t="n"/>
      <c r="AJ324" s="44" t="n"/>
      <c r="AK324" s="44" t="n"/>
      <c r="AL324" s="44" t="n"/>
      <c r="AM324" s="44" t="n"/>
      <c r="AN324" s="44" t="n"/>
      <c r="AO324" s="44" t="n"/>
      <c r="AP324" s="44" t="n"/>
      <c r="AQ324" s="44" t="n"/>
      <c r="AR324" s="44" t="n"/>
      <c r="AS324" s="44" t="n"/>
      <c r="AT324" s="44" t="n"/>
      <c r="AU324" s="44" t="n"/>
      <c r="AV324" s="44" t="n"/>
      <c r="AW324" s="44" t="n"/>
      <c r="AX324" s="44" t="n"/>
      <c r="AY324" s="44" t="n"/>
      <c r="AZ324" s="44" t="n"/>
      <c r="BA324" s="44" t="n"/>
      <c r="BB324" s="44" t="n"/>
      <c r="BC324" s="44" t="n"/>
      <c r="BD324" s="44" t="n"/>
      <c r="BE324" s="259" t="n">
        <v>13.5</v>
      </c>
      <c r="BF324" s="44" t="n"/>
      <c r="BG324" s="44" t="n"/>
      <c r="BH324" s="44" t="n"/>
      <c r="BI324" s="44" t="n"/>
      <c r="BJ324" s="44" t="n"/>
      <c r="BK324" s="44" t="n"/>
      <c r="BL324" s="44" t="n"/>
      <c r="BM324" s="44" t="n"/>
      <c r="BN324" s="44" t="n"/>
      <c r="BO324" s="44" t="n"/>
      <c r="BP324" s="44" t="n"/>
      <c r="BQ324" s="44" t="n"/>
      <c r="BR324" s="44" t="n"/>
      <c r="BS324" s="44" t="n"/>
      <c r="BT324" s="44" t="n"/>
      <c r="BU324" s="44" t="n"/>
      <c r="BV324" s="44" t="n"/>
      <c r="BW324" s="44" t="n"/>
      <c r="BX324" s="259" t="n">
        <v>3.3</v>
      </c>
      <c r="BY324" s="44" t="n"/>
      <c r="BZ324" s="44" t="n"/>
      <c r="CA324" s="44" t="n"/>
      <c r="CB324" s="44" t="n"/>
      <c r="CC324" s="153" t="n"/>
      <c r="CD324" s="153" t="n"/>
      <c r="CE324" s="153" t="n"/>
      <c r="CF324" s="35" t="n"/>
      <c r="CG324" s="35" t="n"/>
      <c r="CH324" s="35" t="n"/>
      <c r="CI324" s="35" t="n"/>
      <c r="CJ324" s="35" t="n"/>
      <c r="CK324" s="35" t="n"/>
      <c r="CL324" s="19" t="n"/>
    </row>
    <row r="325" ht="15" customHeight="1" s="251">
      <c r="B325" s="69" t="inlineStr">
        <is>
          <t xml:space="preserve">  Current liabilities assumed (incl. contract liabilities)</t>
        </is>
      </c>
      <c r="C325" s="44" t="n"/>
      <c r="D325" s="44" t="n"/>
      <c r="E325" s="44" t="n"/>
      <c r="F325" s="44" t="n"/>
      <c r="G325" s="44" t="n"/>
      <c r="H325" s="44" t="n"/>
      <c r="I325" s="44" t="n"/>
      <c r="J325" s="44" t="n"/>
      <c r="K325" s="44" t="n"/>
      <c r="L325" s="44" t="n"/>
      <c r="M325" s="44" t="n"/>
      <c r="N325" s="44" t="n"/>
      <c r="O325" s="44" t="n"/>
      <c r="P325" s="44" t="n"/>
      <c r="Q325" s="44" t="n"/>
      <c r="R325" s="44" t="n"/>
      <c r="S325" s="44" t="n"/>
      <c r="T325" s="44" t="n"/>
      <c r="U325" s="44" t="n"/>
      <c r="V325" s="44" t="n"/>
      <c r="W325" s="44" t="n"/>
      <c r="X325" s="44" t="n"/>
      <c r="Y325" s="44" t="n"/>
      <c r="Z325" s="44" t="n"/>
      <c r="AA325" s="44" t="n"/>
      <c r="AB325" s="44" t="n"/>
      <c r="AC325" s="44" t="n"/>
      <c r="AD325" s="44" t="n"/>
      <c r="AE325" s="44" t="n"/>
      <c r="AF325" s="44" t="n"/>
      <c r="AG325" s="44" t="n"/>
      <c r="AH325" s="44" t="n"/>
      <c r="AI325" s="44" t="n"/>
      <c r="AJ325" s="44" t="n"/>
      <c r="AK325" s="44" t="n"/>
      <c r="AL325" s="44" t="n"/>
      <c r="AM325" s="44" t="n"/>
      <c r="AN325" s="44" t="n"/>
      <c r="AO325" s="44" t="n"/>
      <c r="AP325" s="44" t="n"/>
      <c r="AQ325" s="44" t="n"/>
      <c r="AR325" s="44" t="n"/>
      <c r="AS325" s="44" t="n"/>
      <c r="AT325" s="44" t="n"/>
      <c r="AU325" s="44" t="n"/>
      <c r="AV325" s="44" t="n"/>
      <c r="AW325" s="44" t="n"/>
      <c r="AX325" s="44" t="n"/>
      <c r="AY325" s="44" t="n"/>
      <c r="AZ325" s="44" t="n"/>
      <c r="BA325" s="44" t="n"/>
      <c r="BB325" s="44" t="n"/>
      <c r="BC325" s="44" t="n"/>
      <c r="BD325" s="44" t="n"/>
      <c r="BE325" s="259" t="n">
        <v>144.3</v>
      </c>
      <c r="BF325" s="44" t="n"/>
      <c r="BG325" s="44" t="n"/>
      <c r="BH325" s="44" t="n"/>
      <c r="BI325" s="44" t="n"/>
      <c r="BJ325" s="44" t="n"/>
      <c r="BK325" s="44" t="n"/>
      <c r="BL325" s="44" t="n"/>
      <c r="BM325" s="44" t="n"/>
      <c r="BN325" s="44" t="n"/>
      <c r="BO325" s="44" t="n"/>
      <c r="BP325" s="44" t="n"/>
      <c r="BQ325" s="44" t="n"/>
      <c r="BR325" s="44" t="n"/>
      <c r="BS325" s="44" t="n"/>
      <c r="BT325" s="44" t="n"/>
      <c r="BU325" s="44" t="n"/>
      <c r="BV325" s="44" t="n"/>
      <c r="BW325" s="44" t="n"/>
      <c r="BX325" s="259" t="n">
        <v>67.40000000000001</v>
      </c>
      <c r="BY325" s="44" t="n"/>
      <c r="BZ325" s="44" t="n"/>
      <c r="CA325" s="44" t="n"/>
      <c r="CB325" s="44" t="n"/>
      <c r="CC325" s="153" t="n"/>
      <c r="CD325" s="153" t="n"/>
      <c r="CE325" s="153" t="n"/>
      <c r="CF325" s="35" t="n"/>
      <c r="CG325" s="35" t="n"/>
      <c r="CH325" s="35" t="n"/>
      <c r="CI325" s="35" t="n"/>
      <c r="CJ325" s="35" t="n"/>
      <c r="CK325" s="35" t="n"/>
      <c r="CL325" s="19" t="n"/>
    </row>
    <row r="326" ht="15" customHeight="1" s="251">
      <c r="B326" s="69" t="inlineStr">
        <is>
          <t xml:space="preserve">  Debt assumed</t>
        </is>
      </c>
      <c r="C326" s="44" t="n"/>
      <c r="D326" s="44" t="n"/>
      <c r="E326" s="44" t="n"/>
      <c r="F326" s="44" t="n"/>
      <c r="G326" s="44" t="n"/>
      <c r="H326" s="44" t="n"/>
      <c r="I326" s="44" t="n"/>
      <c r="J326" s="44" t="n"/>
      <c r="K326" s="44" t="n"/>
      <c r="L326" s="44" t="n"/>
      <c r="M326" s="44" t="n"/>
      <c r="N326" s="44" t="n"/>
      <c r="O326" s="44" t="n"/>
      <c r="P326" s="44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  <c r="AC326" s="44" t="n"/>
      <c r="AD326" s="44" t="n"/>
      <c r="AE326" s="44" t="n"/>
      <c r="AF326" s="44" t="n"/>
      <c r="AG326" s="44" t="n"/>
      <c r="AH326" s="44" t="n"/>
      <c r="AI326" s="44" t="n"/>
      <c r="AJ326" s="44" t="n"/>
      <c r="AK326" s="44" t="n"/>
      <c r="AL326" s="44" t="n"/>
      <c r="AM326" s="44" t="n"/>
      <c r="AN326" s="44" t="n"/>
      <c r="AO326" s="44" t="n"/>
      <c r="AP326" s="44" t="n"/>
      <c r="AQ326" s="44" t="n"/>
      <c r="AR326" s="44" t="n"/>
      <c r="AS326" s="44" t="n"/>
      <c r="AT326" s="44" t="n"/>
      <c r="AU326" s="44" t="n"/>
      <c r="AV326" s="44" t="n"/>
      <c r="AW326" s="44" t="n"/>
      <c r="AX326" s="44" t="n"/>
      <c r="AY326" s="44" t="n"/>
      <c r="AZ326" s="44" t="n"/>
      <c r="BA326" s="44" t="n"/>
      <c r="BB326" s="44" t="n"/>
      <c r="BC326" s="44" t="n"/>
      <c r="BD326" s="44" t="n"/>
      <c r="BE326" s="259" t="n">
        <v>0</v>
      </c>
      <c r="BF326" s="44" t="n"/>
      <c r="BG326" s="44" t="n"/>
      <c r="BH326" s="44" t="n"/>
      <c r="BI326" s="44" t="n"/>
      <c r="BJ326" s="44" t="n"/>
      <c r="BK326" s="44" t="n"/>
      <c r="BL326" s="44" t="n"/>
      <c r="BM326" s="44" t="n"/>
      <c r="BN326" s="44" t="n"/>
      <c r="BO326" s="44" t="n"/>
      <c r="BP326" s="44" t="n"/>
      <c r="BQ326" s="44" t="n"/>
      <c r="BR326" s="44" t="n"/>
      <c r="BS326" s="44" t="n"/>
      <c r="BT326" s="44" t="n"/>
      <c r="BU326" s="44" t="n"/>
      <c r="BV326" s="44" t="n"/>
      <c r="BW326" s="44" t="n"/>
      <c r="BX326" s="259" t="n">
        <v>0</v>
      </c>
      <c r="BY326" s="44" t="n"/>
      <c r="BZ326" s="44" t="n"/>
      <c r="CA326" s="44" t="n"/>
      <c r="CB326" s="44" t="n"/>
      <c r="CC326" s="153" t="n"/>
      <c r="CD326" s="153" t="n"/>
      <c r="CE326" s="153" t="n"/>
      <c r="CF326" s="35" t="n"/>
      <c r="CG326" s="35" t="n"/>
      <c r="CH326" s="35" t="n"/>
      <c r="CI326" s="35" t="n"/>
      <c r="CJ326" s="35" t="n"/>
      <c r="CK326" s="35" t="n"/>
      <c r="CL326" s="19" t="n"/>
    </row>
    <row r="327" ht="15" customHeight="1" s="251">
      <c r="B327" s="69" t="inlineStr">
        <is>
          <t xml:space="preserve">  Noncurrent liabilities assumed (deferred taxes, contract liabilities, other)</t>
        </is>
      </c>
      <c r="C327" s="44" t="n"/>
      <c r="D327" s="44" t="n"/>
      <c r="E327" s="44" t="n"/>
      <c r="F327" s="44" t="n"/>
      <c r="G327" s="44" t="n"/>
      <c r="H327" s="44" t="n"/>
      <c r="I327" s="44" t="n"/>
      <c r="J327" s="44" t="n"/>
      <c r="K327" s="44" t="n"/>
      <c r="L327" s="44" t="n"/>
      <c r="M327" s="44" t="n"/>
      <c r="N327" s="44" t="n"/>
      <c r="O327" s="44" t="n"/>
      <c r="P327" s="44" t="n"/>
      <c r="Q327" s="44" t="n"/>
      <c r="R327" s="44" t="n"/>
      <c r="S327" s="44" t="n"/>
      <c r="T327" s="44" t="n"/>
      <c r="U327" s="44" t="n"/>
      <c r="V327" s="44" t="n"/>
      <c r="W327" s="44" t="n"/>
      <c r="X327" s="44" t="n"/>
      <c r="Y327" s="44" t="n"/>
      <c r="Z327" s="44" t="n"/>
      <c r="AA327" s="44" t="n"/>
      <c r="AB327" s="44" t="n"/>
      <c r="AC327" s="44" t="n"/>
      <c r="AD327" s="44" t="n"/>
      <c r="AE327" s="44" t="n"/>
      <c r="AF327" s="44" t="n"/>
      <c r="AG327" s="44" t="n"/>
      <c r="AH327" s="44" t="n"/>
      <c r="AI327" s="44" t="n"/>
      <c r="AJ327" s="44" t="n"/>
      <c r="AK327" s="44" t="n"/>
      <c r="AL327" s="44" t="n"/>
      <c r="AM327" s="44" t="n"/>
      <c r="AN327" s="44" t="n"/>
      <c r="AO327" s="44" t="n"/>
      <c r="AP327" s="44" t="n"/>
      <c r="AQ327" s="44" t="n"/>
      <c r="AR327" s="44" t="n"/>
      <c r="AS327" s="44" t="n"/>
      <c r="AT327" s="44" t="n"/>
      <c r="AU327" s="44" t="n"/>
      <c r="AV327" s="44" t="n"/>
      <c r="AW327" s="44" t="n"/>
      <c r="AX327" s="44" t="n"/>
      <c r="AY327" s="44" t="n"/>
      <c r="AZ327" s="44" t="n"/>
      <c r="BA327" s="44" t="n"/>
      <c r="BB327" s="44" t="n"/>
      <c r="BC327" s="44" t="n"/>
      <c r="BD327" s="44" t="n"/>
      <c r="BE327" s="259" t="n">
        <v>355.6</v>
      </c>
      <c r="BF327" s="44" t="n"/>
      <c r="BG327" s="44" t="n"/>
      <c r="BH327" s="44" t="n"/>
      <c r="BI327" s="44" t="n"/>
      <c r="BJ327" s="44" t="n"/>
      <c r="BK327" s="44" t="n"/>
      <c r="BL327" s="44" t="n"/>
      <c r="BM327" s="44" t="n"/>
      <c r="BN327" s="44" t="n"/>
      <c r="BO327" s="44" t="n"/>
      <c r="BP327" s="44" t="n"/>
      <c r="BQ327" s="44" t="n"/>
      <c r="BR327" s="44" t="n"/>
      <c r="BS327" s="44" t="n"/>
      <c r="BT327" s="44" t="n"/>
      <c r="BU327" s="44" t="n"/>
      <c r="BV327" s="44" t="n"/>
      <c r="BW327" s="44" t="n"/>
      <c r="BX327" s="259" t="n">
        <v>34.8</v>
      </c>
      <c r="BY327" s="44" t="n"/>
      <c r="BZ327" s="44" t="n"/>
      <c r="CA327" s="44" t="n"/>
      <c r="CB327" s="44" t="n"/>
      <c r="CC327" s="153" t="n"/>
      <c r="CD327" s="153" t="n"/>
      <c r="CE327" s="153" t="n"/>
      <c r="CF327" s="35" t="n"/>
      <c r="CG327" s="35" t="n"/>
      <c r="CH327" s="35" t="n"/>
      <c r="CI327" s="35" t="n"/>
      <c r="CJ327" s="35" t="n"/>
      <c r="CK327" s="35" t="n"/>
      <c r="CL327" s="19" t="n"/>
    </row>
    <row r="328" ht="15" customHeight="1" s="251">
      <c r="B328" s="57" t="inlineStr">
        <is>
          <t xml:space="preserve">  Check: assets acquired − liabilities assumed − consideration (should be 0)</t>
        </is>
      </c>
      <c r="C328" s="264">
        <f>IF(ISNUMBER(C319),ROUND(N(C320)+N(C321)+N(C322)+N(C323)+N(C324)-N(C325)-N(C326)-N(C327)-C319,1),"")</f>
      </c>
      <c r="D328" s="264">
        <f>IF(ISNUMBER(D319),ROUND(N(D320)+N(D321)+N(D322)+N(D323)+N(D324)-N(D325)-N(D326)-N(D327)-D319,1),"")</f>
      </c>
      <c r="E328" s="264">
        <f>IF(ISNUMBER(E319),ROUND(N(E320)+N(E321)+N(E322)+N(E323)+N(E324)-N(E325)-N(E326)-N(E327)-E319,1),"")</f>
      </c>
      <c r="F328" s="264">
        <f>IF(ISNUMBER(F319),ROUND(N(F320)+N(F321)+N(F322)+N(F323)+N(F324)-N(F325)-N(F326)-N(F327)-F319,1),"")</f>
      </c>
      <c r="G328" s="264">
        <f>IF(ISNUMBER(G319),ROUND(N(G320)+N(G321)+N(G322)+N(G323)+N(G324)-N(G325)-N(G326)-N(G327)-G319,1),"")</f>
      </c>
      <c r="H328" s="264">
        <f>IF(ISNUMBER(H319),ROUND(N(H320)+N(H321)+N(H322)+N(H323)+N(H324)-N(H325)-N(H326)-N(H327)-H319,1),"")</f>
      </c>
      <c r="I328" s="264">
        <f>IF(ISNUMBER(I319),ROUND(N(I320)+N(I321)+N(I322)+N(I323)+N(I324)-N(I325)-N(I326)-N(I327)-I319,1),"")</f>
      </c>
      <c r="J328" s="264">
        <f>IF(ISNUMBER(J319),ROUND(N(J320)+N(J321)+N(J322)+N(J323)+N(J324)-N(J325)-N(J326)-N(J327)-J319,1),"")</f>
      </c>
      <c r="K328" s="264">
        <f>IF(ISNUMBER(K319),ROUND(N(K320)+N(K321)+N(K322)+N(K323)+N(K324)-N(K325)-N(K326)-N(K327)-K319,1),"")</f>
      </c>
      <c r="L328" s="264">
        <f>IF(ISNUMBER(L319),ROUND(N(L320)+N(L321)+N(L322)+N(L323)+N(L324)-N(L325)-N(L326)-N(L327)-L319,1),"")</f>
      </c>
      <c r="M328" s="264">
        <f>IF(ISNUMBER(M319),ROUND(N(M320)+N(M321)+N(M322)+N(M323)+N(M324)-N(M325)-N(M326)-N(M327)-M319,1),"")</f>
      </c>
      <c r="N328" s="264">
        <f>IF(ISNUMBER(N319),ROUND(N(N320)+N(N321)+N(N322)+N(N323)+N(N324)-N(N325)-N(N326)-N(N327)-N319,1),"")</f>
      </c>
      <c r="O328" s="264">
        <f>IF(ISNUMBER(O319),ROUND(N(O320)+N(O321)+N(O322)+N(O323)+N(O324)-N(O325)-N(O326)-N(O327)-O319,1),"")</f>
      </c>
      <c r="P328" s="264">
        <f>IF(ISNUMBER(P319),ROUND(N(P320)+N(P321)+N(P322)+N(P323)+N(P324)-N(P325)-N(P326)-N(P327)-P319,1),"")</f>
      </c>
      <c r="Q328" s="264">
        <f>IF(ISNUMBER(Q319),ROUND(N(Q320)+N(Q321)+N(Q322)+N(Q323)+N(Q324)-N(Q325)-N(Q326)-N(Q327)-Q319,1),"")</f>
      </c>
      <c r="R328" s="264">
        <f>IF(ISNUMBER(R319),ROUND(N(R320)+N(R321)+N(R322)+N(R323)+N(R324)-N(R325)-N(R326)-N(R327)-R319,1),"")</f>
      </c>
      <c r="S328" s="264">
        <f>IF(ISNUMBER(S319),ROUND(N(S320)+N(S321)+N(S322)+N(S323)+N(S324)-N(S325)-N(S326)-N(S327)-S319,1),"")</f>
      </c>
      <c r="T328" s="264">
        <f>IF(ISNUMBER(T319),ROUND(N(T320)+N(T321)+N(T322)+N(T323)+N(T324)-N(T325)-N(T326)-N(T327)-T319,1),"")</f>
      </c>
      <c r="U328" s="264">
        <f>IF(ISNUMBER(U319),ROUND(N(U320)+N(U321)+N(U322)+N(U323)+N(U324)-N(U325)-N(U326)-N(U327)-U319,1),"")</f>
      </c>
      <c r="V328" s="264">
        <f>IF(ISNUMBER(V319),ROUND(N(V320)+N(V321)+N(V322)+N(V323)+N(V324)-N(V325)-N(V326)-N(V327)-V319,1),"")</f>
      </c>
      <c r="W328" s="264">
        <f>IF(ISNUMBER(W319),ROUND(N(W320)+N(W321)+N(W322)+N(W323)+N(W324)-N(W325)-N(W326)-N(W327)-W319,1),"")</f>
      </c>
      <c r="X328" s="264">
        <f>IF(ISNUMBER(X319),ROUND(N(X320)+N(X321)+N(X322)+N(X323)+N(X324)-N(X325)-N(X326)-N(X327)-X319,1),"")</f>
      </c>
      <c r="Y328" s="264">
        <f>IF(ISNUMBER(Y319),ROUND(N(Y320)+N(Y321)+N(Y322)+N(Y323)+N(Y324)-N(Y325)-N(Y326)-N(Y327)-Y319,1),"")</f>
      </c>
      <c r="Z328" s="264">
        <f>IF(ISNUMBER(Z319),ROUND(N(Z320)+N(Z321)+N(Z322)+N(Z323)+N(Z324)-N(Z325)-N(Z326)-N(Z327)-Z319,1),"")</f>
      </c>
      <c r="AA328" s="264">
        <f>IF(ISNUMBER(AA319),ROUND(N(AA320)+N(AA321)+N(AA322)+N(AA323)+N(AA324)-N(AA325)-N(AA326)-N(AA327)-AA319,1),"")</f>
      </c>
      <c r="AB328" s="264">
        <f>IF(ISNUMBER(AB319),ROUND(N(AB320)+N(AB321)+N(AB322)+N(AB323)+N(AB324)-N(AB325)-N(AB326)-N(AB327)-AB319,1),"")</f>
      </c>
      <c r="AC328" s="264">
        <f>IF(ISNUMBER(AC319),ROUND(N(AC320)+N(AC321)+N(AC322)+N(AC323)+N(AC324)-N(AC325)-N(AC326)-N(AC327)-AC319,1),"")</f>
      </c>
      <c r="AD328" s="264">
        <f>IF(ISNUMBER(AD319),ROUND(N(AD320)+N(AD321)+N(AD322)+N(AD323)+N(AD324)-N(AD325)-N(AD326)-N(AD327)-AD319,1),"")</f>
      </c>
      <c r="AE328" s="264">
        <f>IF(ISNUMBER(AE319),ROUND(N(AE320)+N(AE321)+N(AE322)+N(AE323)+N(AE324)-N(AE325)-N(AE326)-N(AE327)-AE319,1),"")</f>
      </c>
      <c r="AF328" s="264">
        <f>IF(ISNUMBER(AF319),ROUND(N(AF320)+N(AF321)+N(AF322)+N(AF323)+N(AF324)-N(AF325)-N(AF326)-N(AF327)-AF319,1),"")</f>
      </c>
      <c r="AG328" s="264">
        <f>IF(ISNUMBER(AG319),ROUND(N(AG320)+N(AG321)+N(AG322)+N(AG323)+N(AG324)-N(AG325)-N(AG326)-N(AG327)-AG319,1),"")</f>
      </c>
      <c r="AH328" s="264">
        <f>IF(ISNUMBER(AH319),ROUND(N(AH320)+N(AH321)+N(AH322)+N(AH323)+N(AH324)-N(AH325)-N(AH326)-N(AH327)-AH319,1),"")</f>
      </c>
      <c r="AI328" s="264">
        <f>IF(ISNUMBER(AI319),ROUND(N(AI320)+N(AI321)+N(AI322)+N(AI323)+N(AI324)-N(AI325)-N(AI326)-N(AI327)-AI319,1),"")</f>
      </c>
      <c r="AJ328" s="264">
        <f>IF(ISNUMBER(AJ319),ROUND(N(AJ320)+N(AJ321)+N(AJ322)+N(AJ323)+N(AJ324)-N(AJ325)-N(AJ326)-N(AJ327)-AJ319,1),"")</f>
      </c>
      <c r="AK328" s="264">
        <f>IF(ISNUMBER(AK319),ROUND(N(AK320)+N(AK321)+N(AK322)+N(AK323)+N(AK324)-N(AK325)-N(AK326)-N(AK327)-AK319,1),"")</f>
      </c>
      <c r="AL328" s="264">
        <f>IF(ISNUMBER(AL319),ROUND(N(AL320)+N(AL321)+N(AL322)+N(AL323)+N(AL324)-N(AL325)-N(AL326)-N(AL327)-AL319,1),"")</f>
      </c>
      <c r="AM328" s="264">
        <f>IF(ISNUMBER(AM319),ROUND(N(AM320)+N(AM321)+N(AM322)+N(AM323)+N(AM324)-N(AM325)-N(AM326)-N(AM327)-AM319,1),"")</f>
      </c>
      <c r="AN328" s="264">
        <f>IF(ISNUMBER(AN319),ROUND(N(AN320)+N(AN321)+N(AN322)+N(AN323)+N(AN324)-N(AN325)-N(AN326)-N(AN327)-AN319,1),"")</f>
      </c>
      <c r="AO328" s="264">
        <f>IF(ISNUMBER(AO319),ROUND(N(AO320)+N(AO321)+N(AO322)+N(AO323)+N(AO324)-N(AO325)-N(AO326)-N(AO327)-AO319,1),"")</f>
      </c>
      <c r="AP328" s="264">
        <f>IF(ISNUMBER(AP319),ROUND(N(AP320)+N(AP321)+N(AP322)+N(AP323)+N(AP324)-N(AP325)-N(AP326)-N(AP327)-AP319,1),"")</f>
      </c>
      <c r="AQ328" s="264">
        <f>IF(ISNUMBER(AQ319),ROUND(N(AQ320)+N(AQ321)+N(AQ322)+N(AQ323)+N(AQ324)-N(AQ325)-N(AQ326)-N(AQ327)-AQ319,1),"")</f>
      </c>
      <c r="AR328" s="264">
        <f>IF(ISNUMBER(AR319),ROUND(N(AR320)+N(AR321)+N(AR322)+N(AR323)+N(AR324)-N(AR325)-N(AR326)-N(AR327)-AR319,1),"")</f>
      </c>
      <c r="AS328" s="264">
        <f>IF(ISNUMBER(AS319),ROUND(N(AS320)+N(AS321)+N(AS322)+N(AS323)+N(AS324)-N(AS325)-N(AS326)-N(AS327)-AS319,1),"")</f>
      </c>
      <c r="AT328" s="264">
        <f>IF(ISNUMBER(AT319),ROUND(N(AT320)+N(AT321)+N(AT322)+N(AT323)+N(AT324)-N(AT325)-N(AT326)-N(AT327)-AT319,1),"")</f>
      </c>
      <c r="AU328" s="264">
        <f>IF(ISNUMBER(AU319),ROUND(N(AU320)+N(AU321)+N(AU322)+N(AU323)+N(AU324)-N(AU325)-N(AU326)-N(AU327)-AU319,1),"")</f>
      </c>
      <c r="AV328" s="264">
        <f>IF(ISNUMBER(AV319),ROUND(N(AV320)+N(AV321)+N(AV322)+N(AV323)+N(AV324)-N(AV325)-N(AV326)-N(AV327)-AV319,1),"")</f>
      </c>
      <c r="AW328" s="264">
        <f>IF(ISNUMBER(AW319),ROUND(N(AW320)+N(AW321)+N(AW322)+N(AW323)+N(AW324)-N(AW325)-N(AW326)-N(AW327)-AW319,1),"")</f>
      </c>
      <c r="AX328" s="264">
        <f>IF(ISNUMBER(AX319),ROUND(N(AX320)+N(AX321)+N(AX322)+N(AX323)+N(AX324)-N(AX325)-N(AX326)-N(AX327)-AX319,1),"")</f>
      </c>
      <c r="AY328" s="264">
        <f>IF(ISNUMBER(AY319),ROUND(N(AY320)+N(AY321)+N(AY322)+N(AY323)+N(AY324)-N(AY325)-N(AY326)-N(AY327)-AY319,1),"")</f>
      </c>
      <c r="AZ328" s="264">
        <f>IF(ISNUMBER(AZ319),ROUND(N(AZ320)+N(AZ321)+N(AZ322)+N(AZ323)+N(AZ324)-N(AZ325)-N(AZ326)-N(AZ327)-AZ319,1),"")</f>
      </c>
      <c r="BA328" s="264">
        <f>IF(ISNUMBER(BA319),ROUND(N(BA320)+N(BA321)+N(BA322)+N(BA323)+N(BA324)-N(BA325)-N(BA326)-N(BA327)-BA319,1),"")</f>
      </c>
      <c r="BB328" s="264">
        <f>IF(ISNUMBER(BB319),ROUND(N(BB320)+N(BB321)+N(BB322)+N(BB323)+N(BB324)-N(BB325)-N(BB326)-N(BB327)-BB319,1),"")</f>
      </c>
      <c r="BC328" s="264">
        <f>IF(ISNUMBER(BC319),ROUND(N(BC320)+N(BC321)+N(BC322)+N(BC323)+N(BC324)-N(BC325)-N(BC326)-N(BC327)-BC319,1),"")</f>
      </c>
      <c r="BD328" s="264">
        <f>IF(ISNUMBER(BD319),ROUND(N(BD320)+N(BD321)+N(BD322)+N(BD323)+N(BD324)-N(BD325)-N(BD326)-N(BD327)-BD319,1),"")</f>
      </c>
      <c r="BE328" s="264">
        <f>IF(ISNUMBER(BE319),ROUND(N(BE320)+N(BE321)+N(BE322)+N(BE323)+N(BE324)-N(BE325)-N(BE326)-N(BE327)-BE319,1),"")</f>
        <v>0</v>
      </c>
      <c r="BF328" s="264">
        <f>IF(ISNUMBER(BF319),ROUND(N(BF320)+N(BF321)+N(BF322)+N(BF323)+N(BF324)-N(BF325)-N(BF326)-N(BF327)-BF319,1),"")</f>
      </c>
      <c r="BG328" s="264">
        <f>IF(ISNUMBER(BG319),ROUND(N(BG320)+N(BG321)+N(BG322)+N(BG323)+N(BG324)-N(BG325)-N(BG326)-N(BG327)-BG319,1),"")</f>
      </c>
      <c r="BH328" s="264">
        <f>IF(ISNUMBER(BH319),ROUND(N(BH320)+N(BH321)+N(BH322)+N(BH323)+N(BH324)-N(BH325)-N(BH326)-N(BH327)-BH319,1),"")</f>
      </c>
      <c r="BI328" s="264">
        <f>IF(ISNUMBER(BI319),ROUND(N(BI320)+N(BI321)+N(BI322)+N(BI323)+N(BI324)-N(BI325)-N(BI326)-N(BI327)-BI319,1),"")</f>
      </c>
      <c r="BJ328" s="264">
        <f>IF(ISNUMBER(BJ319),ROUND(N(BJ320)+N(BJ321)+N(BJ322)+N(BJ323)+N(BJ324)-N(BJ325)-N(BJ326)-N(BJ327)-BJ319,1),"")</f>
      </c>
      <c r="BK328" s="264">
        <f>IF(ISNUMBER(BK319),ROUND(N(BK320)+N(BK321)+N(BK322)+N(BK323)+N(BK324)-N(BK325)-N(BK326)-N(BK327)-BK319,1),"")</f>
      </c>
      <c r="BL328" s="264">
        <f>IF(ISNUMBER(BL319),ROUND(N(BL320)+N(BL321)+N(BL322)+N(BL323)+N(BL324)-N(BL325)-N(BL326)-N(BL327)-BL319,1),"")</f>
      </c>
      <c r="BM328" s="264">
        <f>IF(ISNUMBER(BM319),ROUND(N(BM320)+N(BM321)+N(BM322)+N(BM323)+N(BM324)-N(BM325)-N(BM326)-N(BM327)-BM319,1),"")</f>
      </c>
      <c r="BN328" s="264">
        <f>IF(ISNUMBER(BN319),ROUND(N(BN320)+N(BN321)+N(BN322)+N(BN323)+N(BN324)-N(BN325)-N(BN326)-N(BN327)-BN319,1),"")</f>
      </c>
      <c r="BO328" s="264">
        <f>IF(ISNUMBER(BO319),ROUND(N(BO320)+N(BO321)+N(BO322)+N(BO323)+N(BO324)-N(BO325)-N(BO326)-N(BO327)-BO319,1),"")</f>
      </c>
      <c r="BP328" s="264">
        <f>IF(ISNUMBER(BP319),ROUND(N(BP320)+N(BP321)+N(BP322)+N(BP323)+N(BP324)-N(BP325)-N(BP326)-N(BP327)-BP319,1),"")</f>
      </c>
      <c r="BQ328" s="264">
        <f>IF(ISNUMBER(BQ319),ROUND(N(BQ320)+N(BQ321)+N(BQ322)+N(BQ323)+N(BQ324)-N(BQ325)-N(BQ326)-N(BQ327)-BQ319,1),"")</f>
      </c>
      <c r="BR328" s="264">
        <f>IF(ISNUMBER(BR319),ROUND(N(BR320)+N(BR321)+N(BR322)+N(BR323)+N(BR324)-N(BR325)-N(BR326)-N(BR327)-BR319,1),"")</f>
      </c>
      <c r="BS328" s="264">
        <f>IF(ISNUMBER(BS319),ROUND(N(BS320)+N(BS321)+N(BS322)+N(BS323)+N(BS324)-N(BS325)-N(BS326)-N(BS327)-BS319,1),"")</f>
      </c>
      <c r="BT328" s="264">
        <f>IF(ISNUMBER(BT319),ROUND(N(BT320)+N(BT321)+N(BT322)+N(BT323)+N(BT324)-N(BT325)-N(BT326)-N(BT327)-BT319,1),"")</f>
      </c>
      <c r="BU328" s="264">
        <f>IF(ISNUMBER(BU319),ROUND(N(BU320)+N(BU321)+N(BU322)+N(BU323)+N(BU324)-N(BU325)-N(BU326)-N(BU327)-BU319,1),"")</f>
      </c>
      <c r="BV328" s="264">
        <f>IF(ISNUMBER(BV319),ROUND(N(BV320)+N(BV321)+N(BV322)+N(BV323)+N(BV324)-N(BV325)-N(BV326)-N(BV327)-BV319,1),"")</f>
      </c>
      <c r="BW328" s="264">
        <f>IF(ISNUMBER(BW319),ROUND(N(BW320)+N(BW321)+N(BW322)+N(BW323)+N(BW324)-N(BW325)-N(BW326)-N(BW327)-BW319,1),"")</f>
      </c>
      <c r="BX328" s="264">
        <f>IF(ISNUMBER(BX319),ROUND(N(BX320)+N(BX321)+N(BX322)+N(BX323)+N(BX324)-N(BX325)-N(BX326)-N(BX327)-BX319,1),"")</f>
        <v>0</v>
      </c>
      <c r="BY328" s="264">
        <f>IF(ISNUMBER(BY319),ROUND(N(BY320)+N(BY321)+N(BY322)+N(BY323)+N(BY324)-N(BY325)-N(BY326)-N(BY327)-BY319,1),"")</f>
      </c>
      <c r="BZ328" s="264">
        <f>IF(ISNUMBER(BZ319),ROUND(N(BZ320)+N(BZ321)+N(BZ322)+N(BZ323)+N(BZ324)-N(BZ325)-N(BZ326)-N(BZ327)-BZ319,1),"")</f>
      </c>
      <c r="CA328" s="264">
        <f>IF(ISNUMBER(CA319),ROUND(N(CA320)+N(CA321)+N(CA322)+N(CA323)+N(CA324)-N(CA325)-N(CA326)-N(CA327)-CA319,1),"")</f>
      </c>
      <c r="CB328" s="264">
        <f>IF(ISNUMBER(CB319),ROUND(N(CB320)+N(CB321)+N(CB322)+N(CB323)+N(CB324)-N(CB325)-N(CB326)-N(CB327)-CB319,1),"")</f>
      </c>
      <c r="CC328" s="153" t="n"/>
      <c r="CD328" s="153" t="n"/>
      <c r="CE328" s="153" t="n"/>
      <c r="CF328" s="153" t="n"/>
      <c r="CG328" s="153" t="n"/>
      <c r="CH328" s="153" t="n"/>
      <c r="CI328" s="153" t="n"/>
      <c r="CJ328" s="153" t="n"/>
      <c r="CK328" s="153" t="n"/>
      <c r="CL328" s="153" t="n"/>
    </row>
    <row r="329" ht="15" customHeight="1" s="251">
      <c r="B329" s="158" t="inlineStr">
        <is>
          <t xml:space="preserve">  Deal closed in the period</t>
        </is>
      </c>
      <c r="BE329" s="282" t="inlineStr">
        <is>
          <t>Dodge Industrial (1-Nov-2021; final allocation, FY2023 10-K)</t>
        </is>
      </c>
      <c r="BX329" s="282" t="inlineStr">
        <is>
          <t>VACCO Industries (18-Jul-2025; final allocation, FY2026 10-K)</t>
        </is>
      </c>
      <c r="CC329" s="153" t="n"/>
      <c r="CD329" s="153" t="n"/>
      <c r="CE329" s="153" t="n"/>
      <c r="CF329" s="153" t="n"/>
      <c r="CG329" s="153" t="n"/>
      <c r="CH329" s="153" t="n"/>
      <c r="CI329" s="153" t="n"/>
      <c r="CJ329" s="153" t="n"/>
      <c r="CK329" s="153" t="n"/>
      <c r="CL329" s="19" t="n"/>
    </row>
    <row r="330" ht="15" customHeight="1" s="251">
      <c r="B330" s="25" t="inlineStr">
        <is>
          <t>PSC Couplings (Industrial; closed 10-Aug-2026, after the Q2 outlook; allocation not yet published)</t>
        </is>
      </c>
      <c r="CL330" s="153" t="n"/>
    </row>
    <row r="331" ht="15" customHeight="1" s="251">
      <c r="B331" s="69" t="inlineStr">
        <is>
          <t xml:space="preserve">  Cash consideration (8-K 11-Aug-2026)</t>
        </is>
      </c>
      <c r="C331" s="44" t="n"/>
      <c r="D331" s="44" t="n"/>
      <c r="E331" s="44" t="n"/>
      <c r="F331" s="44" t="n"/>
      <c r="G331" s="44" t="n"/>
      <c r="H331" s="44" t="n"/>
      <c r="I331" s="44" t="n"/>
      <c r="J331" s="44" t="n"/>
      <c r="K331" s="44" t="n"/>
      <c r="L331" s="44" t="n"/>
      <c r="M331" s="44" t="n"/>
      <c r="N331" s="44" t="n"/>
      <c r="O331" s="44" t="n"/>
      <c r="P331" s="44" t="n"/>
      <c r="Q331" s="44" t="n"/>
      <c r="R331" s="44" t="n"/>
      <c r="S331" s="44" t="n"/>
      <c r="T331" s="44" t="n"/>
      <c r="U331" s="44" t="n"/>
      <c r="V331" s="44" t="n"/>
      <c r="W331" s="44" t="n"/>
      <c r="X331" s="44" t="n"/>
      <c r="Y331" s="44" t="n"/>
      <c r="Z331" s="44" t="n"/>
      <c r="AA331" s="44" t="n"/>
      <c r="AB331" s="44" t="n"/>
      <c r="AC331" s="44" t="n"/>
      <c r="AD331" s="44" t="n"/>
      <c r="AE331" s="44" t="n"/>
      <c r="AF331" s="44" t="n"/>
      <c r="AG331" s="44" t="n"/>
      <c r="AH331" s="44" t="n"/>
      <c r="AI331" s="44" t="n"/>
      <c r="AJ331" s="44" t="n"/>
      <c r="AK331" s="44" t="n"/>
      <c r="AL331" s="44" t="n"/>
      <c r="AM331" s="44" t="n"/>
      <c r="AN331" s="44" t="n"/>
      <c r="AO331" s="44" t="n"/>
      <c r="AP331" s="44" t="n"/>
      <c r="AQ331" s="44" t="n"/>
      <c r="AR331" s="44" t="n"/>
      <c r="AS331" s="44" t="n"/>
      <c r="AT331" s="44" t="n"/>
      <c r="AU331" s="44" t="n"/>
      <c r="AV331" s="44" t="n"/>
      <c r="AW331" s="44" t="n"/>
      <c r="AX331" s="44" t="n"/>
      <c r="AY331" s="44" t="n"/>
      <c r="AZ331" s="44" t="n"/>
      <c r="BA331" s="44" t="n"/>
      <c r="BB331" s="44" t="n"/>
      <c r="BC331" s="44" t="n"/>
      <c r="BD331" s="44" t="n"/>
      <c r="BE331" s="44" t="n"/>
      <c r="BF331" s="44" t="n"/>
      <c r="BG331" s="44" t="n"/>
      <c r="BH331" s="44" t="n"/>
      <c r="BI331" s="44" t="n"/>
      <c r="BJ331" s="44" t="n"/>
      <c r="BK331" s="44" t="n"/>
      <c r="BL331" s="44" t="n"/>
      <c r="BM331" s="44" t="n"/>
      <c r="BN331" s="44" t="n"/>
      <c r="BO331" s="44" t="n"/>
      <c r="BP331" s="44" t="n"/>
      <c r="BQ331" s="44" t="n"/>
      <c r="BR331" s="44" t="n"/>
      <c r="BS331" s="44" t="n"/>
      <c r="BT331" s="44" t="n"/>
      <c r="BU331" s="44" t="n"/>
      <c r="BV331" s="44" t="n"/>
      <c r="BW331" s="44" t="n"/>
      <c r="BX331" s="44" t="n"/>
      <c r="BY331" s="44" t="n"/>
      <c r="BZ331" s="44" t="n"/>
      <c r="CA331" s="44" t="n"/>
      <c r="CB331" s="44" t="n"/>
      <c r="CC331" s="153" t="n"/>
      <c r="CD331" s="153" t="n"/>
      <c r="CE331" s="153" t="n"/>
      <c r="CF331" s="260" t="n">
        <v>24.2</v>
      </c>
      <c r="CG331" s="35" t="n"/>
      <c r="CH331" s="35" t="n"/>
      <c r="CI331" s="35" t="n"/>
      <c r="CJ331" s="35" t="n"/>
      <c r="CK331" s="35" t="n"/>
      <c r="CL331" s="19" t="inlineStr">
        <is>
          <t>8-K 11-Aug-2026 Ex. 99.1: Dodge Industrial acquired the business assets of PSC Couplings, LLC (disc couplings, Richfield, WI) for $24.2m cash; LTM net sales ~$15.1m. Closed after the Q2 FY27 outlook (31-Jul-2026), so it is modelled on top of the guidance calibration.</t>
        </is>
      </c>
    </row>
    <row r="332" ht="15" customHeight="1" s="251">
      <c r="B332" s="69" t="inlineStr">
        <is>
          <t xml:space="preserve">  PP&amp;E % of consideration (assumption; replace with the Q2 FY27 10-Q allocation)</t>
        </is>
      </c>
      <c r="C332" s="44" t="n"/>
      <c r="D332" s="44" t="n"/>
      <c r="E332" s="44" t="n"/>
      <c r="F332" s="44" t="n"/>
      <c r="G332" s="44" t="n"/>
      <c r="H332" s="44" t="n"/>
      <c r="I332" s="44" t="n"/>
      <c r="J332" s="44" t="n"/>
      <c r="K332" s="44" t="n"/>
      <c r="L332" s="44" t="n"/>
      <c r="M332" s="44" t="n"/>
      <c r="N332" s="44" t="n"/>
      <c r="O332" s="44" t="n"/>
      <c r="P332" s="44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  <c r="AC332" s="44" t="n"/>
      <c r="AD332" s="44" t="n"/>
      <c r="AE332" s="44" t="n"/>
      <c r="AF332" s="44" t="n"/>
      <c r="AG332" s="44" t="n"/>
      <c r="AH332" s="44" t="n"/>
      <c r="AI332" s="44" t="n"/>
      <c r="AJ332" s="44" t="n"/>
      <c r="AK332" s="44" t="n"/>
      <c r="AL332" s="44" t="n"/>
      <c r="AM332" s="44" t="n"/>
      <c r="AN332" s="44" t="n"/>
      <c r="AO332" s="44" t="n"/>
      <c r="AP332" s="44" t="n"/>
      <c r="AQ332" s="44" t="n"/>
      <c r="AR332" s="44" t="n"/>
      <c r="AS332" s="44" t="n"/>
      <c r="AT332" s="44" t="n"/>
      <c r="AU332" s="44" t="n"/>
      <c r="AV332" s="44" t="n"/>
      <c r="AW332" s="44" t="n"/>
      <c r="AX332" s="44" t="n"/>
      <c r="AY332" s="44" t="n"/>
      <c r="AZ332" s="44" t="n"/>
      <c r="BA332" s="44" t="n"/>
      <c r="BB332" s="44" t="n"/>
      <c r="BC332" s="44" t="n"/>
      <c r="BD332" s="44" t="n"/>
      <c r="BE332" s="44" t="n"/>
      <c r="BF332" s="44" t="n"/>
      <c r="BG332" s="44" t="n"/>
      <c r="BH332" s="44" t="n"/>
      <c r="BI332" s="44" t="n"/>
      <c r="BJ332" s="44" t="n"/>
      <c r="BK332" s="44" t="n"/>
      <c r="BL332" s="44" t="n"/>
      <c r="BM332" s="44" t="n"/>
      <c r="BN332" s="44" t="n"/>
      <c r="BO332" s="44" t="n"/>
      <c r="BP332" s="44" t="n"/>
      <c r="BQ332" s="44" t="n"/>
      <c r="BR332" s="44" t="n"/>
      <c r="BS332" s="44" t="n"/>
      <c r="BT332" s="44" t="n"/>
      <c r="BU332" s="44" t="n"/>
      <c r="BV332" s="44" t="n"/>
      <c r="BW332" s="44" t="n"/>
      <c r="BX332" s="44" t="n"/>
      <c r="BY332" s="44" t="n"/>
      <c r="BZ332" s="44" t="n"/>
      <c r="CA332" s="44" t="n"/>
      <c r="CB332" s="44" t="n"/>
      <c r="CC332" s="153" t="n"/>
      <c r="CD332" s="153" t="n"/>
      <c r="CE332" s="153" t="n"/>
      <c r="CF332" s="267" t="n">
        <v>0.1</v>
      </c>
      <c r="CG332" s="35" t="n"/>
      <c r="CH332" s="35" t="n"/>
      <c r="CI332" s="35" t="n"/>
      <c r="CJ332" s="35" t="n"/>
      <c r="CK332" s="35" t="n"/>
      <c r="CL332" s="19" t="n"/>
    </row>
    <row r="333" ht="15" customHeight="1" s="251">
      <c r="B333" s="69" t="inlineStr">
        <is>
          <t xml:space="preserve">  Intangibles % of consideration (assumption; replace with the Q2 FY27 10-Q allocation)</t>
        </is>
      </c>
      <c r="C333" s="44" t="n"/>
      <c r="D333" s="44" t="n"/>
      <c r="E333" s="44" t="n"/>
      <c r="F333" s="44" t="n"/>
      <c r="G333" s="44" t="n"/>
      <c r="H333" s="44" t="n"/>
      <c r="I333" s="44" t="n"/>
      <c r="J333" s="44" t="n"/>
      <c r="K333" s="44" t="n"/>
      <c r="L333" s="44" t="n"/>
      <c r="M333" s="44" t="n"/>
      <c r="N333" s="44" t="n"/>
      <c r="O333" s="44" t="n"/>
      <c r="P333" s="44" t="n"/>
      <c r="Q333" s="44" t="n"/>
      <c r="R333" s="44" t="n"/>
      <c r="S333" s="44" t="n"/>
      <c r="T333" s="44" t="n"/>
      <c r="U333" s="44" t="n"/>
      <c r="V333" s="44" t="n"/>
      <c r="W333" s="44" t="n"/>
      <c r="X333" s="44" t="n"/>
      <c r="Y333" s="44" t="n"/>
      <c r="Z333" s="44" t="n"/>
      <c r="AA333" s="44" t="n"/>
      <c r="AB333" s="44" t="n"/>
      <c r="AC333" s="44" t="n"/>
      <c r="AD333" s="44" t="n"/>
      <c r="AE333" s="44" t="n"/>
      <c r="AF333" s="44" t="n"/>
      <c r="AG333" s="44" t="n"/>
      <c r="AH333" s="44" t="n"/>
      <c r="AI333" s="44" t="n"/>
      <c r="AJ333" s="44" t="n"/>
      <c r="AK333" s="44" t="n"/>
      <c r="AL333" s="44" t="n"/>
      <c r="AM333" s="44" t="n"/>
      <c r="AN333" s="44" t="n"/>
      <c r="AO333" s="44" t="n"/>
      <c r="AP333" s="44" t="n"/>
      <c r="AQ333" s="44" t="n"/>
      <c r="AR333" s="44" t="n"/>
      <c r="AS333" s="44" t="n"/>
      <c r="AT333" s="44" t="n"/>
      <c r="AU333" s="44" t="n"/>
      <c r="AV333" s="44" t="n"/>
      <c r="AW333" s="44" t="n"/>
      <c r="AX333" s="44" t="n"/>
      <c r="AY333" s="44" t="n"/>
      <c r="AZ333" s="44" t="n"/>
      <c r="BA333" s="44" t="n"/>
      <c r="BB333" s="44" t="n"/>
      <c r="BC333" s="44" t="n"/>
      <c r="BD333" s="44" t="n"/>
      <c r="BE333" s="44" t="n"/>
      <c r="BF333" s="44" t="n"/>
      <c r="BG333" s="44" t="n"/>
      <c r="BH333" s="44" t="n"/>
      <c r="BI333" s="44" t="n"/>
      <c r="BJ333" s="44" t="n"/>
      <c r="BK333" s="44" t="n"/>
      <c r="BL333" s="44" t="n"/>
      <c r="BM333" s="44" t="n"/>
      <c r="BN333" s="44" t="n"/>
      <c r="BO333" s="44" t="n"/>
      <c r="BP333" s="44" t="n"/>
      <c r="BQ333" s="44" t="n"/>
      <c r="BR333" s="44" t="n"/>
      <c r="BS333" s="44" t="n"/>
      <c r="BT333" s="44" t="n"/>
      <c r="BU333" s="44" t="n"/>
      <c r="BV333" s="44" t="n"/>
      <c r="BW333" s="44" t="n"/>
      <c r="BX333" s="44" t="n"/>
      <c r="BY333" s="44" t="n"/>
      <c r="BZ333" s="44" t="n"/>
      <c r="CA333" s="44" t="n"/>
      <c r="CB333" s="44" t="n"/>
      <c r="CC333" s="153" t="n"/>
      <c r="CD333" s="153" t="n"/>
      <c r="CE333" s="153" t="n"/>
      <c r="CF333" s="267" t="n">
        <v>0.4</v>
      </c>
      <c r="CG333" s="35" t="n"/>
      <c r="CH333" s="35" t="n"/>
      <c r="CI333" s="35" t="n"/>
      <c r="CJ333" s="35" t="n"/>
      <c r="CK333" s="35" t="n"/>
      <c r="CL333" s="19" t="n"/>
    </row>
    <row r="334" ht="15" customHeight="1" s="251">
      <c r="B334" s="25" t="inlineStr">
        <is>
          <t>Share count &amp; pricing</t>
        </is>
      </c>
      <c r="CL334" s="153" t="n"/>
    </row>
    <row r="335" ht="15" customHeight="1" s="251">
      <c r="B335" s="69" t="inlineStr">
        <is>
          <t xml:space="preserve">  Dilutive securities (m shares; options &amp; restricted stock)</t>
        </is>
      </c>
      <c r="C335" s="44" t="n"/>
      <c r="D335" s="44" t="n"/>
      <c r="E335" s="44" t="n"/>
      <c r="F335" s="44" t="n"/>
      <c r="G335" s="44" t="n"/>
      <c r="H335" s="44" t="n"/>
      <c r="I335" s="44" t="n"/>
      <c r="J335" s="44" t="n"/>
      <c r="K335" s="44" t="n"/>
      <c r="L335" s="44" t="n"/>
      <c r="M335" s="44" t="n"/>
      <c r="N335" s="44" t="n"/>
      <c r="O335" s="44" t="n"/>
      <c r="P335" s="44" t="n"/>
      <c r="Q335" s="44" t="n"/>
      <c r="R335" s="44" t="n"/>
      <c r="S335" s="44" t="n"/>
      <c r="T335" s="44" t="n"/>
      <c r="U335" s="44" t="n"/>
      <c r="V335" s="44" t="n"/>
      <c r="W335" s="44" t="n"/>
      <c r="X335" s="44" t="n"/>
      <c r="Y335" s="44" t="n"/>
      <c r="Z335" s="44" t="n"/>
      <c r="AA335" s="44" t="n"/>
      <c r="AB335" s="44" t="n"/>
      <c r="AC335" s="44" t="n"/>
      <c r="AD335" s="44" t="n"/>
      <c r="AE335" s="44" t="n"/>
      <c r="AF335" s="44" t="n"/>
      <c r="AG335" s="44" t="n"/>
      <c r="AH335" s="44" t="n"/>
      <c r="AI335" s="44" t="n"/>
      <c r="AJ335" s="44" t="n"/>
      <c r="AK335" s="44" t="n"/>
      <c r="AL335" s="44" t="n"/>
      <c r="AM335" s="44" t="n"/>
      <c r="AN335" s="44" t="n"/>
      <c r="AO335" s="44" t="n"/>
      <c r="AP335" s="44" t="n"/>
      <c r="AQ335" s="44" t="n"/>
      <c r="AR335" s="44" t="n"/>
      <c r="AS335" s="44" t="n"/>
      <c r="AT335" s="44" t="n"/>
      <c r="AU335" s="44" t="n"/>
      <c r="AV335" s="44" t="n"/>
      <c r="AW335" s="44" t="n"/>
      <c r="AX335" s="44" t="n"/>
      <c r="AY335" s="44" t="n"/>
      <c r="AZ335" s="44" t="n"/>
      <c r="BA335" s="44" t="n"/>
      <c r="BB335" s="44" t="n"/>
      <c r="BC335" s="44" t="n"/>
      <c r="BD335" s="44" t="n"/>
      <c r="BE335" s="44" t="n"/>
      <c r="BF335" s="44" t="n"/>
      <c r="BG335" s="44" t="n"/>
      <c r="BH335" s="44" t="n"/>
      <c r="BI335" s="44" t="n"/>
      <c r="BJ335" s="44" t="n"/>
      <c r="BK335" s="44" t="n"/>
      <c r="BL335" s="44" t="n"/>
      <c r="BM335" s="44" t="n"/>
      <c r="BN335" s="44" t="n"/>
      <c r="BO335" s="44" t="n"/>
      <c r="BP335" s="44" t="n"/>
      <c r="BQ335" s="44" t="n"/>
      <c r="BR335" s="44" t="n"/>
      <c r="BS335" s="44" t="n"/>
      <c r="BT335" s="44" t="n"/>
      <c r="BU335" s="44" t="n"/>
      <c r="BV335" s="44" t="n"/>
      <c r="BW335" s="44" t="n"/>
      <c r="BX335" s="44" t="n"/>
      <c r="BY335" s="44" t="n"/>
      <c r="BZ335" s="44" t="n"/>
      <c r="CA335" s="44" t="n"/>
      <c r="CB335" s="44" t="n"/>
      <c r="CC335" s="153" t="n"/>
      <c r="CD335" s="153" t="n"/>
      <c r="CE335" s="153" t="n"/>
      <c r="CF335" s="35" t="n"/>
      <c r="CG335" s="260" t="n">
        <v>0.16</v>
      </c>
      <c r="CH335" s="260" t="n">
        <v>0.16</v>
      </c>
      <c r="CI335" s="260" t="n">
        <v>0.16</v>
      </c>
      <c r="CJ335" s="260" t="n">
        <v>0.16</v>
      </c>
      <c r="CK335" s="260" t="n">
        <v>0.16</v>
      </c>
      <c r="CL335" s="19" t="n"/>
    </row>
    <row r="336" ht="15" customHeight="1" s="251">
      <c r="B336" s="69" t="inlineStr">
        <is>
          <t xml:space="preserve">  Share-price appreciation % (buyback pricing)</t>
        </is>
      </c>
      <c r="C336" s="44" t="n"/>
      <c r="D336" s="44" t="n"/>
      <c r="E336" s="44" t="n"/>
      <c r="F336" s="44" t="n"/>
      <c r="G336" s="44" t="n"/>
      <c r="H336" s="44" t="n"/>
      <c r="I336" s="44" t="n"/>
      <c r="J336" s="44" t="n"/>
      <c r="K336" s="44" t="n"/>
      <c r="L336" s="44" t="n"/>
      <c r="M336" s="44" t="n"/>
      <c r="N336" s="44" t="n"/>
      <c r="O336" s="44" t="n"/>
      <c r="P336" s="44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  <c r="AC336" s="44" t="n"/>
      <c r="AD336" s="44" t="n"/>
      <c r="AE336" s="44" t="n"/>
      <c r="AF336" s="44" t="n"/>
      <c r="AG336" s="44" t="n"/>
      <c r="AH336" s="44" t="n"/>
      <c r="AI336" s="44" t="n"/>
      <c r="AJ336" s="44" t="n"/>
      <c r="AK336" s="44" t="n"/>
      <c r="AL336" s="44" t="n"/>
      <c r="AM336" s="44" t="n"/>
      <c r="AN336" s="44" t="n"/>
      <c r="AO336" s="44" t="n"/>
      <c r="AP336" s="44" t="n"/>
      <c r="AQ336" s="44" t="n"/>
      <c r="AR336" s="44" t="n"/>
      <c r="AS336" s="44" t="n"/>
      <c r="AT336" s="44" t="n"/>
      <c r="AU336" s="44" t="n"/>
      <c r="AV336" s="44" t="n"/>
      <c r="AW336" s="44" t="n"/>
      <c r="AX336" s="44" t="n"/>
      <c r="AY336" s="44" t="n"/>
      <c r="AZ336" s="44" t="n"/>
      <c r="BA336" s="44" t="n"/>
      <c r="BB336" s="44" t="n"/>
      <c r="BC336" s="44" t="n"/>
      <c r="BD336" s="44" t="n"/>
      <c r="BE336" s="44" t="n"/>
      <c r="BF336" s="44" t="n"/>
      <c r="BG336" s="44" t="n"/>
      <c r="BH336" s="44" t="n"/>
      <c r="BI336" s="44" t="n"/>
      <c r="BJ336" s="44" t="n"/>
      <c r="BK336" s="44" t="n"/>
      <c r="BL336" s="44" t="n"/>
      <c r="BM336" s="44" t="n"/>
      <c r="BN336" s="44" t="n"/>
      <c r="BO336" s="44" t="n"/>
      <c r="BP336" s="44" t="n"/>
      <c r="BQ336" s="44" t="n"/>
      <c r="BR336" s="44" t="n"/>
      <c r="BS336" s="44" t="n"/>
      <c r="BT336" s="44" t="n"/>
      <c r="BU336" s="44" t="n"/>
      <c r="BV336" s="44" t="n"/>
      <c r="BW336" s="44" t="n"/>
      <c r="BX336" s="44" t="n"/>
      <c r="BY336" s="44" t="n"/>
      <c r="BZ336" s="44" t="n"/>
      <c r="CA336" s="44" t="n"/>
      <c r="CB336" s="44" t="n"/>
      <c r="CC336" s="153" t="n"/>
      <c r="CD336" s="153" t="n"/>
      <c r="CE336" s="153" t="n"/>
      <c r="CF336" s="35" t="n"/>
      <c r="CG336" s="267" t="n">
        <v>0.08</v>
      </c>
      <c r="CH336" s="267" t="n">
        <v>0.08</v>
      </c>
      <c r="CI336" s="267" t="n">
        <v>0.08</v>
      </c>
      <c r="CJ336" s="267" t="n">
        <v>0.08</v>
      </c>
      <c r="CK336" s="267" t="n">
        <v>0.08</v>
      </c>
      <c r="CL336" s="19" t="n"/>
    </row>
    <row r="337" ht="15" customHeight="1" s="251">
      <c r="B337" s="25" t="inlineStr">
        <is>
          <t>Debt schedule (term loan and notes repaid at maturity; revolver drawn or repaid to a minimum cash balance)</t>
        </is>
      </c>
      <c r="CL337" s="153" t="n"/>
    </row>
    <row r="338" ht="15" customHeight="1" s="251">
      <c r="B338" s="69" t="inlineStr">
        <is>
          <t xml:space="preserve">  Total debt (current portion + long-term debt; carrying amounts)</t>
        </is>
      </c>
      <c r="C338" s="264">
        <f>IF(ISNUMBER(C295),N(C292)+C295,"")</f>
        <v>165.747</v>
      </c>
      <c r="D338" s="264">
        <f>IF(ISNUMBER(D295),N(D292)+D295,"")</f>
        <v>59.405</v>
      </c>
      <c r="E338" s="264">
        <f>IF(ISNUMBER(E295),N(E292)+E295,"")</f>
        <v>57.75</v>
      </c>
      <c r="F338" s="264">
        <f>IF(ISNUMBER(F295),N(F292)+F295,"")</f>
        <v>68.151</v>
      </c>
      <c r="G338" s="264">
        <f>IF(ISNUMBER(G295),N(G292)+G295,"")</f>
        <v>38.453</v>
      </c>
      <c r="H338" s="264">
        <f>IF(ISNUMBER(H295),N(H292)+H295,"")</f>
        <v>31.296</v>
      </c>
      <c r="I338" s="264">
        <f>IF(ISNUMBER(I295),N(I292)+I295,"")</f>
        <v>1.041</v>
      </c>
      <c r="J338" s="264">
        <f>IF(ISNUMBER(J295),N(J292)+J295,"")</f>
        <v>0.992</v>
      </c>
      <c r="K338" s="264">
        <f>IF(ISNUMBER(K295),N(K292)+K295,"")</f>
        <v>0.94</v>
      </c>
      <c r="L338" s="264">
        <f>IF(ISNUMBER(L295),N(L292)+L295,"")</f>
        <v>10.901</v>
      </c>
      <c r="M338" s="264">
        <f>IF(ISNUMBER(M295),N(M292)+M295,"")</f>
        <v>10.3</v>
      </c>
      <c r="N338" s="264">
        <f>IF(ISNUMBER(N295),N(N292)+N295,"")</f>
        <v>10.3</v>
      </c>
      <c r="O338" s="264">
        <f>IF(ISNUMBER(O295),N(O292)+O295,"")</f>
        <v>10.223</v>
      </c>
      <c r="P338" s="264">
        <f>IF(ISNUMBER(P295),N(P292)+P295,"")</f>
        <v>10.482</v>
      </c>
      <c r="Q338" s="264">
        <f>IF(ISNUMBER(Q295),N(Q292)+Q295,"")</f>
        <v>10.665</v>
      </c>
      <c r="R338" s="264">
        <f>IF(ISNUMBER(R295),N(R292)+R295,"")</f>
        <v>10.447</v>
      </c>
      <c r="S338" s="264">
        <f>IF(ISNUMBER(S295),N(S292)+S295,"")</f>
        <v>10.447</v>
      </c>
      <c r="T338" s="264">
        <f>IF(ISNUMBER(T295),N(T292)+T295,"")</f>
        <v>10.258</v>
      </c>
      <c r="U338" s="264">
        <f>IF(ISNUMBER(U295),N(U292)+U295,"")</f>
        <v>9.574</v>
      </c>
      <c r="V338" s="264">
        <f>IF(ISNUMBER(V295),N(V292)+V295,"")</f>
        <v>9.121</v>
      </c>
      <c r="W338" s="264">
        <f>IF(ISNUMBER(W295),N(W292)+W295,"")</f>
        <v>9.198</v>
      </c>
      <c r="X338" s="264">
        <f>IF(ISNUMBER(X295),N(X292)+X295,"")</f>
        <v>9.198</v>
      </c>
      <c r="Y338" s="264">
        <f>IF(ISNUMBER(Y295),N(Y292)+Y295,"")</f>
        <v>427.446</v>
      </c>
      <c r="Z338" s="264">
        <f>IF(ISNUMBER(Z295),N(Z292)+Z295,"")</f>
        <v>402.298</v>
      </c>
      <c r="AA338" s="264">
        <f>IF(ISNUMBER(AA295),N(AA292)+AA295,"")</f>
        <v>384.974</v>
      </c>
      <c r="AB338" s="264">
        <f>IF(ISNUMBER(AB295),N(AB292)+AB295,"")</f>
        <v>363.696</v>
      </c>
      <c r="AC338" s="264">
        <f>IF(ISNUMBER(AC295),N(AC292)+AC295,"")</f>
        <v>363.696</v>
      </c>
      <c r="AD338" s="264">
        <f>IF(ISNUMBER(AD295),N(AD292)+AD295,"")</f>
        <v>343.808</v>
      </c>
      <c r="AE338" s="264">
        <f>IF(ISNUMBER(AE295),N(AE292)+AE295,"")</f>
        <v>330.059</v>
      </c>
      <c r="AF338" s="264">
        <f>IF(ISNUMBER(AF295),N(AF292)+AF295,"")</f>
        <v>294.943</v>
      </c>
      <c r="AG338" s="264">
        <f>IF(ISNUMBER(AG295),N(AG292)+AG295,"")</f>
        <v>269.8</v>
      </c>
      <c r="AH338" s="264">
        <f>IF(ISNUMBER(AH295),N(AH292)+AH295,"")</f>
        <v>269.8</v>
      </c>
      <c r="AI338" s="264">
        <f>IF(ISNUMBER(AI295),N(AI292)+AI295,"")</f>
        <v>237.865</v>
      </c>
      <c r="AJ338" s="264">
        <f>IF(ISNUMBER(AJ295),N(AJ292)+AJ295,"")</f>
        <v>220.228</v>
      </c>
      <c r="AK338" s="264">
        <f>IF(ISNUMBER(AK295),N(AK292)+AK295,"")</f>
        <v>197.953</v>
      </c>
      <c r="AL338" s="264">
        <f>IF(ISNUMBER(AL295),N(AL292)+AL295,"")</f>
        <v>173.355</v>
      </c>
      <c r="AM338" s="264">
        <f>IF(ISNUMBER(AM295),N(AM292)+AM295,"")</f>
        <v>173.355</v>
      </c>
      <c r="AN338" s="264">
        <f>IF(ISNUMBER(AN295),N(AN292)+AN295,"")</f>
        <v>144.293</v>
      </c>
      <c r="AO338" s="264">
        <f>IF(ISNUMBER(AO295),N(AO292)+AO295,"")</f>
        <v>124.458</v>
      </c>
      <c r="AP338" s="264">
        <f>IF(ISNUMBER(AP295),N(AP292)+AP295,"")</f>
        <v>114.551</v>
      </c>
      <c r="AQ338" s="264">
        <f>IF(ISNUMBER(AQ295),N(AQ292)+AQ295,"")</f>
        <v>43.646</v>
      </c>
      <c r="AR338" s="264">
        <f>IF(ISNUMBER(AR295),N(AR292)+AR295,"")</f>
        <v>43.646</v>
      </c>
      <c r="AS338" s="264">
        <f>IF(ISNUMBER(AS295),N(AS292)+AS295,"")</f>
        <v>26.267</v>
      </c>
      <c r="AT338" s="264">
        <f>IF(ISNUMBER(AT295),N(AT292)+AT295,"")</f>
        <v>37.777</v>
      </c>
      <c r="AU338" s="264">
        <f>IF(ISNUMBER(AU295),N(AU292)+AU295,"")</f>
        <v>22.809</v>
      </c>
      <c r="AV338" s="264">
        <f>IF(ISNUMBER(AV295),N(AV292)+AV295,"")</f>
        <v>23.012</v>
      </c>
      <c r="AW338" s="264">
        <f>IF(ISNUMBER(AW295),N(AW292)+AW295,"")</f>
        <v>23.012</v>
      </c>
      <c r="AX338" s="264">
        <f>IF(ISNUMBER(AX295),N(AX292)+AX295,"")</f>
        <v>23.124</v>
      </c>
      <c r="AY338" s="264">
        <f>IF(ISNUMBER(AY295),N(AY292)+AY295,"")</f>
        <v>20.392</v>
      </c>
      <c r="AZ338" s="264">
        <f>IF(ISNUMBER(AZ295),N(AZ292)+AZ295,"")</f>
        <v>20.493</v>
      </c>
      <c r="BA338" s="264">
        <f>IF(ISNUMBER(BA295),N(BA292)+BA295,"")</f>
        <v>16.107</v>
      </c>
      <c r="BB338" s="264">
        <f>IF(ISNUMBER(BB295),N(BB292)+BB295,"")</f>
        <v>16.107</v>
      </c>
      <c r="BC338" s="264">
        <f>IF(ISNUMBER(BC295),N(BC292)+BC295,"")</f>
        <v>10.754</v>
      </c>
      <c r="BD338" s="264">
        <f>IF(ISNUMBER(BD295),N(BD292)+BD295,"")</f>
        <v>7.605</v>
      </c>
      <c r="BE338" s="264">
        <f>IF(ISNUMBER(BE295),N(BE292)+BE295,"")</f>
        <v>1790.253</v>
      </c>
      <c r="BF338" s="264">
        <f>IF(ISNUMBER(BF295),N(BF292)+BF295,"")</f>
        <v>1688.341</v>
      </c>
      <c r="BG338" s="264">
        <f>IF(ISNUMBER(BG295),N(BG292)+BG295,"")</f>
        <v>1688.341</v>
      </c>
      <c r="BH338" s="264">
        <f>IF(ISNUMBER(BH295),N(BH292)+BH295,"")</f>
        <v>1565.33</v>
      </c>
      <c r="BI338" s="264">
        <f>IF(ISNUMBER(BI295),N(BI292)+BI295,"")</f>
        <v>1522.114</v>
      </c>
      <c r="BJ338" s="264">
        <f>IF(ISNUMBER(BJ295),N(BJ292)+BJ295,"")</f>
        <v>1464.078</v>
      </c>
      <c r="BK338" s="264">
        <f>IF(ISNUMBER(BK295),N(BK292)+BK295,"")</f>
        <v>1395</v>
      </c>
      <c r="BL338" s="264">
        <f>IF(ISNUMBER(BL295),N(BL292)+BL295,"")</f>
        <v>1395</v>
      </c>
      <c r="BM338" s="264">
        <f>IF(ISNUMBER(BM295),N(BM292)+BM295,"")</f>
        <v>1344.9</v>
      </c>
      <c r="BN338" s="264">
        <f>IF(ISNUMBER(BN295),N(BN292)+BN295,"")</f>
        <v>1323.5</v>
      </c>
      <c r="BO338" s="264">
        <f>IF(ISNUMBER(BO295),N(BO292)+BO295,"")</f>
        <v>1264.4</v>
      </c>
      <c r="BP338" s="264">
        <f>IF(ISNUMBER(BP295),N(BP292)+BP295,"")</f>
        <v>1191.9</v>
      </c>
      <c r="BQ338" s="264">
        <f>IF(ISNUMBER(BQ295),N(BQ292)+BQ295,"")</f>
        <v>1191.9</v>
      </c>
      <c r="BR338" s="264">
        <f>IF(ISNUMBER(BR295),N(BR292)+BR295,"")</f>
        <v>1131.4</v>
      </c>
      <c r="BS338" s="264">
        <f>IF(ISNUMBER(BS295),N(BS292)+BS295,"")</f>
        <v>1101.5</v>
      </c>
      <c r="BT338" s="264">
        <f>IF(ISNUMBER(BT295),N(BT292)+BT295,"")</f>
        <v>1001.4</v>
      </c>
      <c r="BU338" s="264">
        <f>IF(ISNUMBER(BU295),N(BU292)+BU295,"")</f>
        <v>920.1</v>
      </c>
      <c r="BV338" s="264">
        <f>IF(ISNUMBER(BV295),N(BV292)+BV295,"")</f>
        <v>920.1</v>
      </c>
      <c r="BW338" s="264">
        <f>IF(ISNUMBER(BW295),N(BW292)+BW295,"")</f>
        <v>915.6</v>
      </c>
      <c r="BX338" s="264">
        <f>IF(ISNUMBER(BX295),N(BX292)+BX295,"")</f>
        <v>1071.1</v>
      </c>
      <c r="BY338" s="264">
        <f>IF(ISNUMBER(BY295),N(BY292)+BY295,"")</f>
        <v>990.2</v>
      </c>
      <c r="BZ338" s="264">
        <f>IF(ISNUMBER(BZ295),N(BZ292)+BZ295,"")</f>
        <v>875.5</v>
      </c>
      <c r="CA338" s="264">
        <f>IF(ISNUMBER(CA295),N(CA292)+CA295,"")</f>
        <v>875.5</v>
      </c>
      <c r="CB338" s="264">
        <f>IF(ISNUMBER(CB295),N(CB292)+CB295,"")</f>
        <v>806.2</v>
      </c>
      <c r="CC338" s="153" t="n"/>
      <c r="CD338" s="153" t="n"/>
      <c r="CE338" s="153" t="n"/>
      <c r="CF338" s="261">
        <f>CF339+CF345</f>
        <v>545.545533901234</v>
      </c>
      <c r="CG338" s="261">
        <f>CG339+CG345</f>
        <v>892.009114446059</v>
      </c>
      <c r="CH338" s="261">
        <f>CH339+CH345</f>
        <v>994.171644953639</v>
      </c>
      <c r="CI338" s="261">
        <f>CI339+CI345</f>
        <v>1098.61113383704</v>
      </c>
      <c r="CJ338" s="261">
        <f>CJ339+CJ345</f>
        <v>1198.38495461038</v>
      </c>
      <c r="CK338" s="261">
        <f>CK339+CK345</f>
        <v>1297.06801092962</v>
      </c>
      <c r="CL338" s="19" t="inlineStr">
        <is>
          <t>Term loan $96.0m (matures 2-Nov-2026; $50.0m repaid after quarter end, $46.0m outstanding); revolver $200.0m drawn of $500.0m (expires Oct-2030; $3.7m letters of credit; $296.3m available); 4.375% senior notes $500.0m due 15-Oct-2029; Schaublin UBS line CHF 6.7m (~$8.3m, 2.00% fixed, to Apr-2036); finance leases. Balance sheet debt $806.2m (net of issuance costs). SOFR + 0.10% CSA + 0.75% margin; commitment fee 0.175% (Q1 FY27 10-Q Note 10).</t>
        </is>
      </c>
    </row>
    <row r="339" ht="15" customHeight="1" s="251">
      <c r="B339" s="69" t="inlineStr">
        <is>
          <t xml:space="preserve">  Senior notes, term loan, foreign borrowings &amp; finance leases (excl. revolver)</t>
        </is>
      </c>
      <c r="C339" s="44" t="n"/>
      <c r="D339" s="44" t="n"/>
      <c r="E339" s="44" t="n"/>
      <c r="F339" s="44" t="n"/>
      <c r="G339" s="44" t="n"/>
      <c r="H339" s="44" t="n"/>
      <c r="I339" s="44" t="n"/>
      <c r="J339" s="44" t="n"/>
      <c r="K339" s="44" t="n"/>
      <c r="L339" s="44" t="n"/>
      <c r="M339" s="44" t="n"/>
      <c r="N339" s="44" t="n"/>
      <c r="O339" s="44" t="n"/>
      <c r="P339" s="44" t="n"/>
      <c r="Q339" s="44" t="n"/>
      <c r="R339" s="44" t="n"/>
      <c r="S339" s="44" t="n"/>
      <c r="T339" s="44" t="n"/>
      <c r="U339" s="44" t="n"/>
      <c r="V339" s="44" t="n"/>
      <c r="W339" s="44" t="n"/>
      <c r="X339" s="44" t="n"/>
      <c r="Y339" s="44" t="n"/>
      <c r="Z339" s="44" t="n"/>
      <c r="AA339" s="44" t="n"/>
      <c r="AB339" s="44" t="n"/>
      <c r="AC339" s="44" t="n"/>
      <c r="AD339" s="44" t="n"/>
      <c r="AE339" s="44" t="n"/>
      <c r="AF339" s="44" t="n"/>
      <c r="AG339" s="44" t="n"/>
      <c r="AH339" s="44" t="n"/>
      <c r="AI339" s="44" t="n"/>
      <c r="AJ339" s="44" t="n"/>
      <c r="AK339" s="44" t="n"/>
      <c r="AL339" s="44" t="n"/>
      <c r="AM339" s="44" t="n"/>
      <c r="AN339" s="44" t="n"/>
      <c r="AO339" s="44" t="n"/>
      <c r="AP339" s="44" t="n"/>
      <c r="AQ339" s="44" t="n"/>
      <c r="AR339" s="44" t="n"/>
      <c r="AS339" s="44" t="n"/>
      <c r="AT339" s="44" t="n"/>
      <c r="AU339" s="44" t="n"/>
      <c r="AV339" s="44" t="n"/>
      <c r="AW339" s="44" t="n"/>
      <c r="AX339" s="44" t="n"/>
      <c r="AY339" s="44" t="n"/>
      <c r="AZ339" s="44" t="n"/>
      <c r="BA339" s="44" t="n"/>
      <c r="BB339" s="44" t="n"/>
      <c r="BC339" s="44" t="n"/>
      <c r="BD339" s="44" t="n"/>
      <c r="BE339" s="44" t="n"/>
      <c r="BF339" s="44" t="n"/>
      <c r="BG339" s="44" t="n"/>
      <c r="BH339" s="44" t="n"/>
      <c r="BI339" s="44" t="n"/>
      <c r="BJ339" s="44" t="n"/>
      <c r="BK339" s="44" t="n"/>
      <c r="BL339" s="44" t="n"/>
      <c r="BM339" s="44" t="n"/>
      <c r="BN339" s="44" t="n"/>
      <c r="BO339" s="44" t="n"/>
      <c r="BP339" s="44" t="n"/>
      <c r="BQ339" s="44" t="n"/>
      <c r="BR339" s="44" t="n"/>
      <c r="BS339" s="44" t="n"/>
      <c r="BT339" s="44" t="n"/>
      <c r="BU339" s="44" t="n"/>
      <c r="BV339" s="44" t="n"/>
      <c r="BW339" s="44" t="n"/>
      <c r="BX339" s="44" t="n"/>
      <c r="BY339" s="44" t="n"/>
      <c r="BZ339" s="44" t="n"/>
      <c r="CA339" s="44" t="n"/>
      <c r="CB339" s="264">
        <f>CB338-CB345</f>
        <v>606.2</v>
      </c>
      <c r="CC339" s="153" t="n"/>
      <c r="CD339" s="153" t="n"/>
      <c r="CE339" s="153" t="n"/>
      <c r="CF339" s="261">
        <f>CB339-CF341+CF340</f>
        <v>510.2</v>
      </c>
      <c r="CG339" s="261">
        <f>CF339-CG341+CG340</f>
        <v>510.2</v>
      </c>
      <c r="CH339" s="261">
        <f>CG339-CH341+CH340</f>
        <v>510.2</v>
      </c>
      <c r="CI339" s="261">
        <f>CH339-CI341+CI340</f>
        <v>510.2</v>
      </c>
      <c r="CJ339" s="261">
        <f>CI339-CJ341+CJ340</f>
        <v>510.2</v>
      </c>
      <c r="CK339" s="261">
        <f>CJ339-CK341+CK340</f>
        <v>510.2</v>
      </c>
      <c r="CL339" s="19" t="n"/>
    </row>
    <row r="340" ht="15" customHeight="1" s="251">
      <c r="B340" s="69" t="inlineStr">
        <is>
          <t xml:space="preserve">  New notes issued (input)</t>
        </is>
      </c>
      <c r="C340" s="44" t="n"/>
      <c r="D340" s="44" t="n"/>
      <c r="E340" s="44" t="n"/>
      <c r="F340" s="44" t="n"/>
      <c r="G340" s="44" t="n"/>
      <c r="H340" s="44" t="n"/>
      <c r="I340" s="44" t="n"/>
      <c r="J340" s="44" t="n"/>
      <c r="K340" s="44" t="n"/>
      <c r="L340" s="44" t="n"/>
      <c r="M340" s="44" t="n"/>
      <c r="N340" s="44" t="n"/>
      <c r="O340" s="44" t="n"/>
      <c r="P340" s="44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  <c r="AC340" s="44" t="n"/>
      <c r="AD340" s="44" t="n"/>
      <c r="AE340" s="44" t="n"/>
      <c r="AF340" s="44" t="n"/>
      <c r="AG340" s="44" t="n"/>
      <c r="AH340" s="44" t="n"/>
      <c r="AI340" s="44" t="n"/>
      <c r="AJ340" s="44" t="n"/>
      <c r="AK340" s="44" t="n"/>
      <c r="AL340" s="44" t="n"/>
      <c r="AM340" s="44" t="n"/>
      <c r="AN340" s="44" t="n"/>
      <c r="AO340" s="44" t="n"/>
      <c r="AP340" s="44" t="n"/>
      <c r="AQ340" s="44" t="n"/>
      <c r="AR340" s="44" t="n"/>
      <c r="AS340" s="44" t="n"/>
      <c r="AT340" s="44" t="n"/>
      <c r="AU340" s="44" t="n"/>
      <c r="AV340" s="44" t="n"/>
      <c r="AW340" s="44" t="n"/>
      <c r="AX340" s="44" t="n"/>
      <c r="AY340" s="44" t="n"/>
      <c r="AZ340" s="44" t="n"/>
      <c r="BA340" s="44" t="n"/>
      <c r="BB340" s="44" t="n"/>
      <c r="BC340" s="44" t="n"/>
      <c r="BD340" s="44" t="n"/>
      <c r="BE340" s="44" t="n"/>
      <c r="BF340" s="44" t="n"/>
      <c r="BG340" s="44" t="n"/>
      <c r="BH340" s="44" t="n"/>
      <c r="BI340" s="44" t="n"/>
      <c r="BJ340" s="44" t="n"/>
      <c r="BK340" s="44" t="n"/>
      <c r="BL340" s="44" t="n"/>
      <c r="BM340" s="44" t="n"/>
      <c r="BN340" s="44" t="n"/>
      <c r="BO340" s="44" t="n"/>
      <c r="BP340" s="44" t="n"/>
      <c r="BQ340" s="44" t="n"/>
      <c r="BR340" s="44" t="n"/>
      <c r="BS340" s="44" t="n"/>
      <c r="BT340" s="44" t="n"/>
      <c r="BU340" s="44" t="n"/>
      <c r="BV340" s="44" t="n"/>
      <c r="BW340" s="44" t="n"/>
      <c r="BX340" s="44" t="n"/>
      <c r="BY340" s="44" t="n"/>
      <c r="BZ340" s="44" t="n"/>
      <c r="CA340" s="44" t="n"/>
      <c r="CB340" s="44" t="n"/>
      <c r="CC340" s="153" t="n"/>
      <c r="CD340" s="153" t="n"/>
      <c r="CE340" s="153" t="n"/>
      <c r="CF340" s="260" t="n">
        <v>0</v>
      </c>
      <c r="CG340" s="260" t="n">
        <v>0</v>
      </c>
      <c r="CH340" s="260" t="n">
        <v>0</v>
      </c>
      <c r="CI340" s="260" t="n">
        <v>500</v>
      </c>
      <c r="CJ340" s="260" t="n">
        <v>0</v>
      </c>
      <c r="CK340" s="260" t="n">
        <v>0</v>
      </c>
      <c r="CL340" s="19" t="inlineStr">
        <is>
          <t>FY2030E: the $500m 4.375% notes due 15-Oct-2029 assumed refinanced with new notes (assumption).</t>
        </is>
      </c>
    </row>
    <row r="341" ht="15" customHeight="1" s="251">
      <c r="B341" s="69" t="inlineStr">
        <is>
          <t xml:space="preserve">  Notes / term loan repaid at maturity (input)</t>
        </is>
      </c>
      <c r="C341" s="44" t="n"/>
      <c r="D341" s="44" t="n"/>
      <c r="E341" s="44" t="n"/>
      <c r="F341" s="44" t="n"/>
      <c r="G341" s="44" t="n"/>
      <c r="H341" s="44" t="n"/>
      <c r="I341" s="44" t="n"/>
      <c r="J341" s="44" t="n"/>
      <c r="K341" s="44" t="n"/>
      <c r="L341" s="44" t="n"/>
      <c r="M341" s="44" t="n"/>
      <c r="N341" s="44" t="n"/>
      <c r="O341" s="44" t="n"/>
      <c r="P341" s="44" t="n"/>
      <c r="Q341" s="44" t="n"/>
      <c r="R341" s="44" t="n"/>
      <c r="S341" s="44" t="n"/>
      <c r="T341" s="44" t="n"/>
      <c r="U341" s="44" t="n"/>
      <c r="V341" s="44" t="n"/>
      <c r="W341" s="44" t="n"/>
      <c r="X341" s="44" t="n"/>
      <c r="Y341" s="44" t="n"/>
      <c r="Z341" s="44" t="n"/>
      <c r="AA341" s="44" t="n"/>
      <c r="AB341" s="44" t="n"/>
      <c r="AC341" s="44" t="n"/>
      <c r="AD341" s="44" t="n"/>
      <c r="AE341" s="44" t="n"/>
      <c r="AF341" s="44" t="n"/>
      <c r="AG341" s="44" t="n"/>
      <c r="AH341" s="44" t="n"/>
      <c r="AI341" s="44" t="n"/>
      <c r="AJ341" s="44" t="n"/>
      <c r="AK341" s="44" t="n"/>
      <c r="AL341" s="44" t="n"/>
      <c r="AM341" s="44" t="n"/>
      <c r="AN341" s="44" t="n"/>
      <c r="AO341" s="44" t="n"/>
      <c r="AP341" s="44" t="n"/>
      <c r="AQ341" s="44" t="n"/>
      <c r="AR341" s="44" t="n"/>
      <c r="AS341" s="44" t="n"/>
      <c r="AT341" s="44" t="n"/>
      <c r="AU341" s="44" t="n"/>
      <c r="AV341" s="44" t="n"/>
      <c r="AW341" s="44" t="n"/>
      <c r="AX341" s="44" t="n"/>
      <c r="AY341" s="44" t="n"/>
      <c r="AZ341" s="44" t="n"/>
      <c r="BA341" s="44" t="n"/>
      <c r="BB341" s="44" t="n"/>
      <c r="BC341" s="44" t="n"/>
      <c r="BD341" s="44" t="n"/>
      <c r="BE341" s="44" t="n"/>
      <c r="BF341" s="44" t="n"/>
      <c r="BG341" s="44" t="n"/>
      <c r="BH341" s="44" t="n"/>
      <c r="BI341" s="44" t="n"/>
      <c r="BJ341" s="44" t="n"/>
      <c r="BK341" s="44" t="n"/>
      <c r="BL341" s="44" t="n"/>
      <c r="BM341" s="44" t="n"/>
      <c r="BN341" s="44" t="n"/>
      <c r="BO341" s="44" t="n"/>
      <c r="BP341" s="44" t="n"/>
      <c r="BQ341" s="44" t="n"/>
      <c r="BR341" s="44" t="n"/>
      <c r="BS341" s="44" t="n"/>
      <c r="BT341" s="44" t="n"/>
      <c r="BU341" s="44" t="n"/>
      <c r="BV341" s="44" t="n"/>
      <c r="BW341" s="44" t="n"/>
      <c r="BX341" s="44" t="n"/>
      <c r="BY341" s="44" t="n"/>
      <c r="BZ341" s="44" t="n"/>
      <c r="CA341" s="44" t="n"/>
      <c r="CB341" s="44" t="n"/>
      <c r="CC341" s="153" t="n"/>
      <c r="CD341" s="153" t="n"/>
      <c r="CE341" s="153" t="n"/>
      <c r="CF341" s="260" t="n">
        <v>96</v>
      </c>
      <c r="CG341" s="260" t="n">
        <v>0</v>
      </c>
      <c r="CH341" s="260" t="n">
        <v>0</v>
      </c>
      <c r="CI341" s="260" t="n">
        <v>500</v>
      </c>
      <c r="CJ341" s="260" t="n">
        <v>0</v>
      </c>
      <c r="CK341" s="260" t="n">
        <v>0</v>
      </c>
      <c r="CL341" s="19" t="inlineStr">
        <is>
          <t>FY2027E: term loan $96.0m ($50.0m repaid Jul-2026, $46.0m at the 2-Nov-2026 maturity; 10-Q Note 10 and MD&amp;A). FY2030E: $500m 4.375% senior notes due 15-Oct-2029, assumed refinanced (input row above). Schaublin borrowings (to 2036) and finance leases held flat.</t>
        </is>
      </c>
    </row>
    <row r="342" ht="15" customHeight="1" s="251">
      <c r="B342" s="69" t="inlineStr">
        <is>
          <t xml:space="preserve">  Maturities in the following fiscal year (current portion)</t>
        </is>
      </c>
      <c r="C342" s="44" t="n"/>
      <c r="D342" s="44" t="n"/>
      <c r="E342" s="44" t="n"/>
      <c r="F342" s="44" t="n"/>
      <c r="G342" s="44" t="n"/>
      <c r="H342" s="44" t="n"/>
      <c r="I342" s="44" t="n"/>
      <c r="J342" s="44" t="n"/>
      <c r="K342" s="44" t="n"/>
      <c r="L342" s="44" t="n"/>
      <c r="M342" s="44" t="n"/>
      <c r="N342" s="44" t="n"/>
      <c r="O342" s="44" t="n"/>
      <c r="P342" s="44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  <c r="AC342" s="44" t="n"/>
      <c r="AD342" s="44" t="n"/>
      <c r="AE342" s="44" t="n"/>
      <c r="AF342" s="44" t="n"/>
      <c r="AG342" s="44" t="n"/>
      <c r="AH342" s="44" t="n"/>
      <c r="AI342" s="44" t="n"/>
      <c r="AJ342" s="44" t="n"/>
      <c r="AK342" s="44" t="n"/>
      <c r="AL342" s="44" t="n"/>
      <c r="AM342" s="44" t="n"/>
      <c r="AN342" s="44" t="n"/>
      <c r="AO342" s="44" t="n"/>
      <c r="AP342" s="44" t="n"/>
      <c r="AQ342" s="44" t="n"/>
      <c r="AR342" s="44" t="n"/>
      <c r="AS342" s="44" t="n"/>
      <c r="AT342" s="44" t="n"/>
      <c r="AU342" s="44" t="n"/>
      <c r="AV342" s="44" t="n"/>
      <c r="AW342" s="44" t="n"/>
      <c r="AX342" s="44" t="n"/>
      <c r="AY342" s="44" t="n"/>
      <c r="AZ342" s="44" t="n"/>
      <c r="BA342" s="44" t="n"/>
      <c r="BB342" s="44" t="n"/>
      <c r="BC342" s="44" t="n"/>
      <c r="BD342" s="44" t="n"/>
      <c r="BE342" s="44" t="n"/>
      <c r="BF342" s="44" t="n"/>
      <c r="BG342" s="44" t="n"/>
      <c r="BH342" s="44" t="n"/>
      <c r="BI342" s="44" t="n"/>
      <c r="BJ342" s="44" t="n"/>
      <c r="BK342" s="44" t="n"/>
      <c r="BL342" s="44" t="n"/>
      <c r="BM342" s="44" t="n"/>
      <c r="BN342" s="44" t="n"/>
      <c r="BO342" s="44" t="n"/>
      <c r="BP342" s="44" t="n"/>
      <c r="BQ342" s="44" t="n"/>
      <c r="BR342" s="44" t="n"/>
      <c r="BS342" s="44" t="n"/>
      <c r="BT342" s="44" t="n"/>
      <c r="BU342" s="44" t="n"/>
      <c r="BV342" s="44" t="n"/>
      <c r="BW342" s="44" t="n"/>
      <c r="BX342" s="44" t="n"/>
      <c r="BY342" s="44" t="n"/>
      <c r="BZ342" s="44" t="n"/>
      <c r="CA342" s="44" t="n"/>
      <c r="CB342" s="44" t="n"/>
      <c r="CC342" s="153" t="n"/>
      <c r="CD342" s="153" t="n"/>
      <c r="CE342" s="153" t="n"/>
      <c r="CF342" s="260" t="n">
        <v>0</v>
      </c>
      <c r="CG342" s="260" t="n">
        <v>0</v>
      </c>
      <c r="CH342" s="260" t="n">
        <v>500</v>
      </c>
      <c r="CI342" s="260" t="n">
        <v>0</v>
      </c>
      <c r="CJ342" s="260" t="n">
        <v>0</v>
      </c>
      <c r="CK342" s="260" t="n">
        <v>0</v>
      </c>
      <c r="CL342" s="19" t="n"/>
    </row>
    <row r="343" ht="15" customHeight="1" s="251">
      <c r="B343" s="69" t="inlineStr">
        <is>
          <t xml:space="preserve">  Cash before revolver draws / repayments (opening cash + CFO + CFI + repurchases, dividends, equity, other financing + FX − notes repaid + issued)</t>
        </is>
      </c>
      <c r="C343" s="44" t="n"/>
      <c r="D343" s="44" t="n"/>
      <c r="E343" s="44" t="n"/>
      <c r="F343" s="44" t="n"/>
      <c r="G343" s="44" t="n"/>
      <c r="H343" s="44" t="n"/>
      <c r="I343" s="44" t="n"/>
      <c r="J343" s="44" t="n"/>
      <c r="K343" s="44" t="n"/>
      <c r="L343" s="44" t="n"/>
      <c r="M343" s="44" t="n"/>
      <c r="N343" s="44" t="n"/>
      <c r="O343" s="44" t="n"/>
      <c r="P343" s="44" t="n"/>
      <c r="Q343" s="44" t="n"/>
      <c r="R343" s="44" t="n"/>
      <c r="S343" s="44" t="n"/>
      <c r="T343" s="44" t="n"/>
      <c r="U343" s="44" t="n"/>
      <c r="V343" s="44" t="n"/>
      <c r="W343" s="44" t="n"/>
      <c r="X343" s="44" t="n"/>
      <c r="Y343" s="44" t="n"/>
      <c r="Z343" s="44" t="n"/>
      <c r="AA343" s="44" t="n"/>
      <c r="AB343" s="44" t="n"/>
      <c r="AC343" s="44" t="n"/>
      <c r="AD343" s="44" t="n"/>
      <c r="AE343" s="44" t="n"/>
      <c r="AF343" s="44" t="n"/>
      <c r="AG343" s="44" t="n"/>
      <c r="AH343" s="44" t="n"/>
      <c r="AI343" s="44" t="n"/>
      <c r="AJ343" s="44" t="n"/>
      <c r="AK343" s="44" t="n"/>
      <c r="AL343" s="44" t="n"/>
      <c r="AM343" s="44" t="n"/>
      <c r="AN343" s="44" t="n"/>
      <c r="AO343" s="44" t="n"/>
      <c r="AP343" s="44" t="n"/>
      <c r="AQ343" s="44" t="n"/>
      <c r="AR343" s="44" t="n"/>
      <c r="AS343" s="44" t="n"/>
      <c r="AT343" s="44" t="n"/>
      <c r="AU343" s="44" t="n"/>
      <c r="AV343" s="44" t="n"/>
      <c r="AW343" s="44" t="n"/>
      <c r="AX343" s="44" t="n"/>
      <c r="AY343" s="44" t="n"/>
      <c r="AZ343" s="44" t="n"/>
      <c r="BA343" s="44" t="n"/>
      <c r="BB343" s="44" t="n"/>
      <c r="BC343" s="44" t="n"/>
      <c r="BD343" s="44" t="n"/>
      <c r="BE343" s="44" t="n"/>
      <c r="BF343" s="44" t="n"/>
      <c r="BG343" s="44" t="n"/>
      <c r="BH343" s="44" t="n"/>
      <c r="BI343" s="44" t="n"/>
      <c r="BJ343" s="44" t="n"/>
      <c r="BK343" s="44" t="n"/>
      <c r="BL343" s="44" t="n"/>
      <c r="BM343" s="44" t="n"/>
      <c r="BN343" s="44" t="n"/>
      <c r="BO343" s="44" t="n"/>
      <c r="BP343" s="44" t="n"/>
      <c r="BQ343" s="44" t="n"/>
      <c r="BR343" s="44" t="n"/>
      <c r="BS343" s="44" t="n"/>
      <c r="BT343" s="44" t="n"/>
      <c r="BU343" s="44" t="n"/>
      <c r="BV343" s="44" t="n"/>
      <c r="BW343" s="44" t="n"/>
      <c r="BX343" s="44" t="n"/>
      <c r="BY343" s="44" t="n"/>
      <c r="BZ343" s="44" t="n"/>
      <c r="CA343" s="44" t="n"/>
      <c r="CB343" s="44" t="n"/>
      <c r="CC343" s="153" t="n"/>
      <c r="CD343" s="153" t="n"/>
      <c r="CE343" s="153" t="n"/>
      <c r="CF343" s="261">
        <f>CB280+(CF239-SUM(CB239:CB239))+(CF243-SUM(CB243:CB243))+(CF244-SUM(CB244:CB244))+(CF245-SUM(CB245:CB245))+(CF246-SUM(CB246:CB246))+(CF248-SUM(CB248:CB248))+(CF250-SUM(CB250:CB250))-CF341+CF340</f>
        <v>239.654466098766</v>
      </c>
      <c r="CG343" s="261">
        <f>CG252+CG239+CG243+CG244+CG245+CG246+CG248+CG250-CG341+CG340</f>
        <v>-271.463580544825</v>
      </c>
      <c r="CH343" s="261">
        <f>CH252+CH239+CH243+CH244+CH245+CH246+CH248+CH250-CH341+CH340</f>
        <v>-27.1625305075802</v>
      </c>
      <c r="CI343" s="261">
        <f>CI252+CI239+CI243+CI244+CI245+CI246+CI248+CI250-CI341+CI340</f>
        <v>-29.4394888834017</v>
      </c>
      <c r="CJ343" s="261">
        <f>CJ252+CJ239+CJ243+CJ244+CJ245+CJ246+CJ248+CJ250-CJ341+CJ340</f>
        <v>-24.7738207733405</v>
      </c>
      <c r="CK343" s="261">
        <f>CK252+CK239+CK243+CK244+CK245+CK246+CK248+CK250-CK341+CK340</f>
        <v>-23.683056319235</v>
      </c>
      <c r="CL343" s="19" t="n"/>
    </row>
    <row r="344" ht="15" customHeight="1" s="251">
      <c r="B344" s="69" t="inlineStr">
        <is>
          <t xml:space="preserve">  Minimum cash balance</t>
        </is>
      </c>
      <c r="C344" s="44" t="n"/>
      <c r="D344" s="44" t="n"/>
      <c r="E344" s="44" t="n"/>
      <c r="F344" s="44" t="n"/>
      <c r="G344" s="44" t="n"/>
      <c r="H344" s="44" t="n"/>
      <c r="I344" s="44" t="n"/>
      <c r="J344" s="44" t="n"/>
      <c r="K344" s="44" t="n"/>
      <c r="L344" s="44" t="n"/>
      <c r="M344" s="44" t="n"/>
      <c r="N344" s="44" t="n"/>
      <c r="O344" s="44" t="n"/>
      <c r="P344" s="44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  <c r="AC344" s="44" t="n"/>
      <c r="AD344" s="44" t="n"/>
      <c r="AE344" s="44" t="n"/>
      <c r="AF344" s="44" t="n"/>
      <c r="AG344" s="44" t="n"/>
      <c r="AH344" s="44" t="n"/>
      <c r="AI344" s="44" t="n"/>
      <c r="AJ344" s="44" t="n"/>
      <c r="AK344" s="44" t="n"/>
      <c r="AL344" s="44" t="n"/>
      <c r="AM344" s="44" t="n"/>
      <c r="AN344" s="44" t="n"/>
      <c r="AO344" s="44" t="n"/>
      <c r="AP344" s="44" t="n"/>
      <c r="AQ344" s="44" t="n"/>
      <c r="AR344" s="44" t="n"/>
      <c r="AS344" s="44" t="n"/>
      <c r="AT344" s="44" t="n"/>
      <c r="AU344" s="44" t="n"/>
      <c r="AV344" s="44" t="n"/>
      <c r="AW344" s="44" t="n"/>
      <c r="AX344" s="44" t="n"/>
      <c r="AY344" s="44" t="n"/>
      <c r="AZ344" s="44" t="n"/>
      <c r="BA344" s="44" t="n"/>
      <c r="BB344" s="44" t="n"/>
      <c r="BC344" s="44" t="n"/>
      <c r="BD344" s="44" t="n"/>
      <c r="BE344" s="44" t="n"/>
      <c r="BF344" s="44" t="n"/>
      <c r="BG344" s="44" t="n"/>
      <c r="BH344" s="44" t="n"/>
      <c r="BI344" s="44" t="n"/>
      <c r="BJ344" s="44" t="n"/>
      <c r="BK344" s="44" t="n"/>
      <c r="BL344" s="44" t="n"/>
      <c r="BM344" s="44" t="n"/>
      <c r="BN344" s="44" t="n"/>
      <c r="BO344" s="44" t="n"/>
      <c r="BP344" s="44" t="n"/>
      <c r="BQ344" s="44" t="n"/>
      <c r="BR344" s="44" t="n"/>
      <c r="BS344" s="44" t="n"/>
      <c r="BT344" s="44" t="n"/>
      <c r="BU344" s="44" t="n"/>
      <c r="BV344" s="44" t="n"/>
      <c r="BW344" s="44" t="n"/>
      <c r="BX344" s="44" t="n"/>
      <c r="BY344" s="44" t="n"/>
      <c r="BZ344" s="44" t="n"/>
      <c r="CA344" s="44" t="n"/>
      <c r="CB344" s="44" t="n"/>
      <c r="CC344" s="153" t="n"/>
      <c r="CD344" s="153" t="n"/>
      <c r="CE344" s="153" t="n"/>
      <c r="CF344" s="260" t="n">
        <v>75</v>
      </c>
      <c r="CG344" s="260" t="n">
        <v>75</v>
      </c>
      <c r="CH344" s="260" t="n">
        <v>75</v>
      </c>
      <c r="CI344" s="260" t="n">
        <v>75</v>
      </c>
      <c r="CJ344" s="260" t="n">
        <v>75</v>
      </c>
      <c r="CK344" s="260" t="n">
        <v>75</v>
      </c>
      <c r="CL344" s="19" t="n"/>
    </row>
    <row r="345" ht="15" customHeight="1" s="251">
      <c r="B345" s="69" t="inlineStr">
        <is>
          <t xml:space="preserve">  Revolving credit facility (year end)</t>
        </is>
      </c>
      <c r="C345" s="44" t="n"/>
      <c r="D345" s="44" t="n"/>
      <c r="E345" s="44" t="n"/>
      <c r="F345" s="44" t="n"/>
      <c r="G345" s="44" t="n"/>
      <c r="H345" s="44" t="n"/>
      <c r="I345" s="44" t="n"/>
      <c r="J345" s="44" t="n"/>
      <c r="K345" s="44" t="n"/>
      <c r="L345" s="44" t="n"/>
      <c r="M345" s="44" t="n"/>
      <c r="N345" s="44" t="n"/>
      <c r="O345" s="44" t="n"/>
      <c r="P345" s="44" t="n"/>
      <c r="Q345" s="44" t="n"/>
      <c r="R345" s="44" t="n"/>
      <c r="S345" s="44" t="n"/>
      <c r="T345" s="44" t="n"/>
      <c r="U345" s="44" t="n"/>
      <c r="V345" s="44" t="n"/>
      <c r="W345" s="44" t="n"/>
      <c r="X345" s="44" t="n"/>
      <c r="Y345" s="44" t="n"/>
      <c r="Z345" s="44" t="n"/>
      <c r="AA345" s="44" t="n"/>
      <c r="AB345" s="44" t="n"/>
      <c r="AC345" s="44" t="n"/>
      <c r="AD345" s="44" t="n"/>
      <c r="AE345" s="44" t="n"/>
      <c r="AF345" s="44" t="n"/>
      <c r="AG345" s="44" t="n"/>
      <c r="AH345" s="44" t="n"/>
      <c r="AI345" s="44" t="n"/>
      <c r="AJ345" s="44" t="n"/>
      <c r="AK345" s="44" t="n"/>
      <c r="AL345" s="44" t="n"/>
      <c r="AM345" s="44" t="n"/>
      <c r="AN345" s="44" t="n"/>
      <c r="AO345" s="44" t="n"/>
      <c r="AP345" s="44" t="n"/>
      <c r="AQ345" s="44" t="n"/>
      <c r="AR345" s="44" t="n"/>
      <c r="AS345" s="44" t="n"/>
      <c r="AT345" s="44" t="n"/>
      <c r="AU345" s="44" t="n"/>
      <c r="AV345" s="44" t="n"/>
      <c r="AW345" s="44" t="n"/>
      <c r="AX345" s="44" t="n"/>
      <c r="AY345" s="44" t="n"/>
      <c r="AZ345" s="44" t="n"/>
      <c r="BA345" s="44" t="n"/>
      <c r="BB345" s="44" t="n"/>
      <c r="BC345" s="44" t="n"/>
      <c r="BD345" s="44" t="n"/>
      <c r="BE345" s="44" t="n"/>
      <c r="BF345" s="44" t="n"/>
      <c r="BG345" s="44" t="n"/>
      <c r="BH345" s="44" t="n"/>
      <c r="BI345" s="44" t="n"/>
      <c r="BJ345" s="44" t="n"/>
      <c r="BK345" s="44" t="n"/>
      <c r="BL345" s="44" t="n"/>
      <c r="BM345" s="44" t="n"/>
      <c r="BN345" s="44" t="n"/>
      <c r="BO345" s="44" t="n"/>
      <c r="BP345" s="44" t="n"/>
      <c r="BQ345" s="44" t="n"/>
      <c r="BR345" s="44" t="n"/>
      <c r="BS345" s="44" t="n"/>
      <c r="BT345" s="44" t="n"/>
      <c r="BU345" s="44" t="n"/>
      <c r="BV345" s="44" t="n"/>
      <c r="BW345" s="44" t="n"/>
      <c r="BX345" s="44" t="n"/>
      <c r="BY345" s="44" t="n"/>
      <c r="BZ345" s="44" t="n"/>
      <c r="CA345" s="44" t="n"/>
      <c r="CB345" s="264">
        <f>200.0</f>
        <v>200</v>
      </c>
      <c r="CC345" s="153" t="n"/>
      <c r="CD345" s="153" t="n"/>
      <c r="CE345" s="153" t="n"/>
      <c r="CF345" s="261">
        <f>MAX(0,CB345+CF344-CF343)</f>
        <v>35.3455339012338</v>
      </c>
      <c r="CG345" s="261">
        <f>MAX(0,CF345+CG344-CG343)</f>
        <v>381.809114446059</v>
      </c>
      <c r="CH345" s="261">
        <f>MAX(0,CG345+CH344-CH343)</f>
        <v>483.971644953639</v>
      </c>
      <c r="CI345" s="261">
        <f>MAX(0,CH345+CI344-CI343)</f>
        <v>588.411133837041</v>
      </c>
      <c r="CJ345" s="261">
        <f>MAX(0,CI345+CJ344-CJ343)</f>
        <v>688.184954610381</v>
      </c>
      <c r="CK345" s="261">
        <f>MAX(0,CJ345+CK344-CK343)</f>
        <v>786.868010929616</v>
      </c>
      <c r="CL345" s="19" t="inlineStr">
        <is>
          <t>$500m revolver (expires 28-Oct-2030; $200.0m drawn at 27-Jun-2026 for VACCO). Shortfalls below the minimum cash balance are drawn; surplus repays the revolver.</t>
        </is>
      </c>
    </row>
    <row r="346" ht="15" customHeight="1" s="251">
      <c r="B346" s="156" t="inlineStr">
        <is>
          <t xml:space="preserve">  Memo: revolver headroom vs the $500m commitment (negative = would need other financing)</t>
        </is>
      </c>
      <c r="C346" s="44" t="n"/>
      <c r="D346" s="44" t="n"/>
      <c r="E346" s="44" t="n"/>
      <c r="F346" s="44" t="n"/>
      <c r="G346" s="44" t="n"/>
      <c r="H346" s="44" t="n"/>
      <c r="I346" s="44" t="n"/>
      <c r="J346" s="44" t="n"/>
      <c r="K346" s="44" t="n"/>
      <c r="L346" s="44" t="n"/>
      <c r="M346" s="44" t="n"/>
      <c r="N346" s="44" t="n"/>
      <c r="O346" s="44" t="n"/>
      <c r="P346" s="44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  <c r="AC346" s="44" t="n"/>
      <c r="AD346" s="44" t="n"/>
      <c r="AE346" s="44" t="n"/>
      <c r="AF346" s="44" t="n"/>
      <c r="AG346" s="44" t="n"/>
      <c r="AH346" s="44" t="n"/>
      <c r="AI346" s="44" t="n"/>
      <c r="AJ346" s="44" t="n"/>
      <c r="AK346" s="44" t="n"/>
      <c r="AL346" s="44" t="n"/>
      <c r="AM346" s="44" t="n"/>
      <c r="AN346" s="44" t="n"/>
      <c r="AO346" s="44" t="n"/>
      <c r="AP346" s="44" t="n"/>
      <c r="AQ346" s="44" t="n"/>
      <c r="AR346" s="44" t="n"/>
      <c r="AS346" s="44" t="n"/>
      <c r="AT346" s="44" t="n"/>
      <c r="AU346" s="44" t="n"/>
      <c r="AV346" s="44" t="n"/>
      <c r="AW346" s="44" t="n"/>
      <c r="AX346" s="44" t="n"/>
      <c r="AY346" s="44" t="n"/>
      <c r="AZ346" s="44" t="n"/>
      <c r="BA346" s="44" t="n"/>
      <c r="BB346" s="44" t="n"/>
      <c r="BC346" s="44" t="n"/>
      <c r="BD346" s="44" t="n"/>
      <c r="BE346" s="44" t="n"/>
      <c r="BF346" s="44" t="n"/>
      <c r="BG346" s="44" t="n"/>
      <c r="BH346" s="44" t="n"/>
      <c r="BI346" s="44" t="n"/>
      <c r="BJ346" s="44" t="n"/>
      <c r="BK346" s="44" t="n"/>
      <c r="BL346" s="44" t="n"/>
      <c r="BM346" s="44" t="n"/>
      <c r="BN346" s="44" t="n"/>
      <c r="BO346" s="44" t="n"/>
      <c r="BP346" s="44" t="n"/>
      <c r="BQ346" s="44" t="n"/>
      <c r="BR346" s="44" t="n"/>
      <c r="BS346" s="44" t="n"/>
      <c r="BT346" s="44" t="n"/>
      <c r="BU346" s="44" t="n"/>
      <c r="BV346" s="44" t="n"/>
      <c r="BW346" s="44" t="n"/>
      <c r="BX346" s="44" t="n"/>
      <c r="BY346" s="44" t="n"/>
      <c r="BZ346" s="44" t="n"/>
      <c r="CA346" s="44" t="n"/>
      <c r="CB346" s="44" t="n"/>
      <c r="CC346" s="35" t="n"/>
      <c r="CD346" s="35" t="n"/>
      <c r="CE346" s="35" t="n"/>
      <c r="CF346" s="261">
        <f>500-CF345</f>
        <v>464.654466098766</v>
      </c>
      <c r="CG346" s="261">
        <f>500-CG345</f>
        <v>118.190885553941</v>
      </c>
      <c r="CH346" s="261">
        <f>500-CH345</f>
        <v>16.0283550463612</v>
      </c>
      <c r="CI346" s="261">
        <f>500-CI345</f>
        <v>-88.4111338370406</v>
      </c>
      <c r="CJ346" s="261">
        <f>500-CJ345</f>
        <v>-188.184954610381</v>
      </c>
      <c r="CK346" s="261">
        <f>500-CK345</f>
        <v>-286.868010929616</v>
      </c>
      <c r="CL346" s="153" t="n"/>
    </row>
    <row r="347" ht="15" customHeight="1" s="251">
      <c r="B347" s="69" t="inlineStr">
        <is>
          <t xml:space="preserve">  Net issuance / (repayment)</t>
        </is>
      </c>
      <c r="C347" s="44" t="n"/>
      <c r="D347" s="44" t="n"/>
      <c r="E347" s="44" t="n"/>
      <c r="F347" s="44" t="n"/>
      <c r="G347" s="44" t="n"/>
      <c r="H347" s="44" t="n"/>
      <c r="I347" s="44" t="n"/>
      <c r="J347" s="44" t="n"/>
      <c r="K347" s="44" t="n"/>
      <c r="L347" s="44" t="n"/>
      <c r="M347" s="44" t="n"/>
      <c r="N347" s="44" t="n"/>
      <c r="O347" s="44" t="n"/>
      <c r="P347" s="44" t="n"/>
      <c r="Q347" s="44" t="n"/>
      <c r="R347" s="44" t="n"/>
      <c r="S347" s="44" t="n"/>
      <c r="T347" s="44" t="n"/>
      <c r="U347" s="44" t="n"/>
      <c r="V347" s="44" t="n"/>
      <c r="W347" s="44" t="n"/>
      <c r="X347" s="44" t="n"/>
      <c r="Y347" s="44" t="n"/>
      <c r="Z347" s="44" t="n"/>
      <c r="AA347" s="44" t="n"/>
      <c r="AB347" s="44" t="n"/>
      <c r="AC347" s="44" t="n"/>
      <c r="AD347" s="44" t="n"/>
      <c r="AE347" s="44" t="n"/>
      <c r="AF347" s="44" t="n"/>
      <c r="AG347" s="44" t="n"/>
      <c r="AH347" s="44" t="n"/>
      <c r="AI347" s="44" t="n"/>
      <c r="AJ347" s="44" t="n"/>
      <c r="AK347" s="44" t="n"/>
      <c r="AL347" s="44" t="n"/>
      <c r="AM347" s="44" t="n"/>
      <c r="AN347" s="44" t="n"/>
      <c r="AO347" s="44" t="n"/>
      <c r="AP347" s="44" t="n"/>
      <c r="AQ347" s="44" t="n"/>
      <c r="AR347" s="44" t="n"/>
      <c r="AS347" s="44" t="n"/>
      <c r="AT347" s="44" t="n"/>
      <c r="AU347" s="44" t="n"/>
      <c r="AV347" s="44" t="n"/>
      <c r="AW347" s="44" t="n"/>
      <c r="AX347" s="44" t="n"/>
      <c r="AY347" s="44" t="n"/>
      <c r="AZ347" s="44" t="n"/>
      <c r="BA347" s="44" t="n"/>
      <c r="BB347" s="44" t="n"/>
      <c r="BC347" s="44" t="n"/>
      <c r="BD347" s="44" t="n"/>
      <c r="BE347" s="44" t="n"/>
      <c r="BF347" s="44" t="n"/>
      <c r="BG347" s="44" t="n"/>
      <c r="BH347" s="44" t="n"/>
      <c r="BI347" s="44" t="n"/>
      <c r="BJ347" s="44" t="n"/>
      <c r="BK347" s="44" t="n"/>
      <c r="BL347" s="44" t="n"/>
      <c r="BM347" s="44" t="n"/>
      <c r="BN347" s="44" t="n"/>
      <c r="BO347" s="44" t="n"/>
      <c r="BP347" s="44" t="n"/>
      <c r="BQ347" s="44" t="n"/>
      <c r="BR347" s="44" t="n"/>
      <c r="BS347" s="44" t="n"/>
      <c r="BT347" s="44" t="n"/>
      <c r="BU347" s="44" t="n"/>
      <c r="BV347" s="44" t="n"/>
      <c r="BW347" s="44" t="n"/>
      <c r="BX347" s="44" t="n"/>
      <c r="BY347" s="44" t="n"/>
      <c r="BZ347" s="44" t="n"/>
      <c r="CA347" s="44" t="n"/>
      <c r="CB347" s="44" t="n"/>
      <c r="CC347" s="153" t="n"/>
      <c r="CD347" s="153" t="n"/>
      <c r="CE347" s="153" t="n"/>
      <c r="CF347" s="261">
        <f>IFERROR(CF338-CA338,"")</f>
        <v>-329.954466098766</v>
      </c>
      <c r="CG347" s="261">
        <f>IFERROR(CG338-CF338,"")</f>
        <v>346.463580544825</v>
      </c>
      <c r="CH347" s="261">
        <f>IFERROR(CH338-CG338,"")</f>
        <v>102.16253050758</v>
      </c>
      <c r="CI347" s="261">
        <f>IFERROR(CI338-CH338,"")</f>
        <v>104.439488883402</v>
      </c>
      <c r="CJ347" s="261">
        <f>IFERROR(CJ338-CI338,"")</f>
        <v>99.7738207733405</v>
      </c>
      <c r="CK347" s="261">
        <f>IFERROR(CK338-CJ338,"")</f>
        <v>98.683056319235</v>
      </c>
      <c r="CL347" s="19" t="n"/>
    </row>
    <row r="348" ht="15" customHeight="1" s="251">
      <c r="B348" s="69" t="inlineStr">
        <is>
          <t xml:space="preserve">  Interest rate on opening notes &amp; term debt %</t>
        </is>
      </c>
      <c r="C348" s="44" t="n"/>
      <c r="D348" s="44" t="n"/>
      <c r="E348" s="44" t="n"/>
      <c r="F348" s="44" t="n"/>
      <c r="G348" s="44" t="n"/>
      <c r="H348" s="44" t="n"/>
      <c r="I348" s="44" t="n"/>
      <c r="J348" s="44" t="n"/>
      <c r="K348" s="44" t="n"/>
      <c r="L348" s="44" t="n"/>
      <c r="M348" s="44" t="n"/>
      <c r="N348" s="44" t="n"/>
      <c r="O348" s="44" t="n"/>
      <c r="P348" s="44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  <c r="AC348" s="44" t="n"/>
      <c r="AD348" s="44" t="n"/>
      <c r="AE348" s="44" t="n"/>
      <c r="AF348" s="44" t="n"/>
      <c r="AG348" s="44" t="n"/>
      <c r="AH348" s="44" t="n"/>
      <c r="AI348" s="44" t="n"/>
      <c r="AJ348" s="44" t="n"/>
      <c r="AK348" s="44" t="n"/>
      <c r="AL348" s="44" t="n"/>
      <c r="AM348" s="44" t="n"/>
      <c r="AN348" s="44" t="n"/>
      <c r="AO348" s="44" t="n"/>
      <c r="AP348" s="44" t="n"/>
      <c r="AQ348" s="44" t="n"/>
      <c r="AR348" s="44" t="n"/>
      <c r="AS348" s="44" t="n"/>
      <c r="AT348" s="44" t="n"/>
      <c r="AU348" s="44" t="n"/>
      <c r="AV348" s="44" t="n"/>
      <c r="AW348" s="44" t="n"/>
      <c r="AX348" s="44" t="n"/>
      <c r="AY348" s="44" t="n"/>
      <c r="AZ348" s="44" t="n"/>
      <c r="BA348" s="44" t="n"/>
      <c r="BB348" s="44" t="n"/>
      <c r="BC348" s="44" t="n"/>
      <c r="BD348" s="44" t="n"/>
      <c r="BE348" s="44" t="n"/>
      <c r="BF348" s="44" t="n"/>
      <c r="BG348" s="44" t="n"/>
      <c r="BH348" s="44" t="n"/>
      <c r="BI348" s="44" t="n"/>
      <c r="BJ348" s="44" t="n"/>
      <c r="BK348" s="44" t="n"/>
      <c r="BL348" s="44" t="n"/>
      <c r="BM348" s="44" t="n"/>
      <c r="BN348" s="44" t="n"/>
      <c r="BO348" s="44" t="n"/>
      <c r="BP348" s="44" t="n"/>
      <c r="BQ348" s="44" t="n"/>
      <c r="BR348" s="44" t="n"/>
      <c r="BS348" s="44" t="n"/>
      <c r="BT348" s="44" t="n"/>
      <c r="BU348" s="44" t="n"/>
      <c r="BV348" s="44" t="n"/>
      <c r="BW348" s="44" t="n"/>
      <c r="BX348" s="44" t="n"/>
      <c r="BY348" s="44" t="n"/>
      <c r="BZ348" s="44" t="n"/>
      <c r="CA348" s="44" t="n"/>
      <c r="CB348" s="44" t="n"/>
      <c r="CC348" s="153" t="n"/>
      <c r="CD348" s="153" t="n"/>
      <c r="CE348" s="153" t="n"/>
      <c r="CF348" s="35" t="n"/>
      <c r="CG348" s="267" t="n">
        <v>0.045</v>
      </c>
      <c r="CH348" s="267" t="n">
        <v>0.045</v>
      </c>
      <c r="CI348" s="267" t="n">
        <v>0.05</v>
      </c>
      <c r="CJ348" s="267" t="n">
        <v>0.055</v>
      </c>
      <c r="CK348" s="267" t="n">
        <v>0.055</v>
      </c>
      <c r="CL348" s="19" t="inlineStr">
        <is>
          <t>4.375% senior notes + 2.00% Schaublin line + finance leases ≈ 4.5%; the 2029 notes are assumed refinanced at ~5.5% (assumption) from FY2030E.</t>
        </is>
      </c>
    </row>
    <row r="349" ht="15" customHeight="1" s="251">
      <c r="B349" s="69" t="inlineStr">
        <is>
          <t xml:space="preserve">  Interest rate on opening revolver %</t>
        </is>
      </c>
      <c r="C349" s="44" t="n"/>
      <c r="D349" s="44" t="n"/>
      <c r="E349" s="44" t="n"/>
      <c r="F349" s="44" t="n"/>
      <c r="G349" s="44" t="n"/>
      <c r="H349" s="44" t="n"/>
      <c r="I349" s="44" t="n"/>
      <c r="J349" s="44" t="n"/>
      <c r="K349" s="44" t="n"/>
      <c r="L349" s="44" t="n"/>
      <c r="M349" s="44" t="n"/>
      <c r="N349" s="44" t="n"/>
      <c r="O349" s="44" t="n"/>
      <c r="P349" s="44" t="n"/>
      <c r="Q349" s="44" t="n"/>
      <c r="R349" s="44" t="n"/>
      <c r="S349" s="44" t="n"/>
      <c r="T349" s="44" t="n"/>
      <c r="U349" s="44" t="n"/>
      <c r="V349" s="44" t="n"/>
      <c r="W349" s="44" t="n"/>
      <c r="X349" s="44" t="n"/>
      <c r="Y349" s="44" t="n"/>
      <c r="Z349" s="44" t="n"/>
      <c r="AA349" s="44" t="n"/>
      <c r="AB349" s="44" t="n"/>
      <c r="AC349" s="44" t="n"/>
      <c r="AD349" s="44" t="n"/>
      <c r="AE349" s="44" t="n"/>
      <c r="AF349" s="44" t="n"/>
      <c r="AG349" s="44" t="n"/>
      <c r="AH349" s="44" t="n"/>
      <c r="AI349" s="44" t="n"/>
      <c r="AJ349" s="44" t="n"/>
      <c r="AK349" s="44" t="n"/>
      <c r="AL349" s="44" t="n"/>
      <c r="AM349" s="44" t="n"/>
      <c r="AN349" s="44" t="n"/>
      <c r="AO349" s="44" t="n"/>
      <c r="AP349" s="44" t="n"/>
      <c r="AQ349" s="44" t="n"/>
      <c r="AR349" s="44" t="n"/>
      <c r="AS349" s="44" t="n"/>
      <c r="AT349" s="44" t="n"/>
      <c r="AU349" s="44" t="n"/>
      <c r="AV349" s="44" t="n"/>
      <c r="AW349" s="44" t="n"/>
      <c r="AX349" s="44" t="n"/>
      <c r="AY349" s="44" t="n"/>
      <c r="AZ349" s="44" t="n"/>
      <c r="BA349" s="44" t="n"/>
      <c r="BB349" s="44" t="n"/>
      <c r="BC349" s="44" t="n"/>
      <c r="BD349" s="44" t="n"/>
      <c r="BE349" s="44" t="n"/>
      <c r="BF349" s="44" t="n"/>
      <c r="BG349" s="44" t="n"/>
      <c r="BH349" s="44" t="n"/>
      <c r="BI349" s="44" t="n"/>
      <c r="BJ349" s="44" t="n"/>
      <c r="BK349" s="44" t="n"/>
      <c r="BL349" s="44" t="n"/>
      <c r="BM349" s="44" t="n"/>
      <c r="BN349" s="44" t="n"/>
      <c r="BO349" s="44" t="n"/>
      <c r="BP349" s="44" t="n"/>
      <c r="BQ349" s="44" t="n"/>
      <c r="BR349" s="44" t="n"/>
      <c r="BS349" s="44" t="n"/>
      <c r="BT349" s="44" t="n"/>
      <c r="BU349" s="44" t="n"/>
      <c r="BV349" s="44" t="n"/>
      <c r="BW349" s="44" t="n"/>
      <c r="BX349" s="44" t="n"/>
      <c r="BY349" s="44" t="n"/>
      <c r="BZ349" s="44" t="n"/>
      <c r="CA349" s="44" t="n"/>
      <c r="CB349" s="44" t="n"/>
      <c r="CC349" s="153" t="n"/>
      <c r="CD349" s="153" t="n"/>
      <c r="CE349" s="153" t="n"/>
      <c r="CF349" s="35" t="n"/>
      <c r="CG349" s="267" t="n">
        <v>0.05</v>
      </c>
      <c r="CH349" s="267" t="n">
        <v>0.05</v>
      </c>
      <c r="CI349" s="267" t="n">
        <v>0.05</v>
      </c>
      <c r="CJ349" s="267" t="n">
        <v>0.05</v>
      </c>
      <c r="CK349" s="267" t="n">
        <v>0.05</v>
      </c>
      <c r="CL349" s="19" t="inlineStr">
        <is>
          <t>SOFR + 0.10% CSA + 0.75% margin (27-Jun-2026); ~5.0% implied by Q1 FY27 interest (assumption).</t>
        </is>
      </c>
    </row>
    <row r="350" ht="15" customHeight="1" s="251">
      <c r="B350" s="69" t="inlineStr">
        <is>
          <t xml:space="preserve">  Commitment fees, finance-lease interest &amp; deferred-fee amortization ($m)</t>
        </is>
      </c>
      <c r="C350" s="44" t="n"/>
      <c r="D350" s="44" t="n"/>
      <c r="E350" s="44" t="n"/>
      <c r="F350" s="44" t="n"/>
      <c r="G350" s="44" t="n"/>
      <c r="H350" s="44" t="n"/>
      <c r="I350" s="44" t="n"/>
      <c r="J350" s="44" t="n"/>
      <c r="K350" s="44" t="n"/>
      <c r="L350" s="44" t="n"/>
      <c r="M350" s="44" t="n"/>
      <c r="N350" s="44" t="n"/>
      <c r="O350" s="44" t="n"/>
      <c r="P350" s="44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  <c r="AC350" s="44" t="n"/>
      <c r="AD350" s="44" t="n"/>
      <c r="AE350" s="44" t="n"/>
      <c r="AF350" s="44" t="n"/>
      <c r="AG350" s="44" t="n"/>
      <c r="AH350" s="44" t="n"/>
      <c r="AI350" s="44" t="n"/>
      <c r="AJ350" s="44" t="n"/>
      <c r="AK350" s="44" t="n"/>
      <c r="AL350" s="44" t="n"/>
      <c r="AM350" s="44" t="n"/>
      <c r="AN350" s="44" t="n"/>
      <c r="AO350" s="44" t="n"/>
      <c r="AP350" s="44" t="n"/>
      <c r="AQ350" s="44" t="n"/>
      <c r="AR350" s="44" t="n"/>
      <c r="AS350" s="44" t="n"/>
      <c r="AT350" s="44" t="n"/>
      <c r="AU350" s="44" t="n"/>
      <c r="AV350" s="44" t="n"/>
      <c r="AW350" s="44" t="n"/>
      <c r="AX350" s="44" t="n"/>
      <c r="AY350" s="44" t="n"/>
      <c r="AZ350" s="44" t="n"/>
      <c r="BA350" s="44" t="n"/>
      <c r="BB350" s="44" t="n"/>
      <c r="BC350" s="44" t="n"/>
      <c r="BD350" s="44" t="n"/>
      <c r="BE350" s="44" t="n"/>
      <c r="BF350" s="44" t="n"/>
      <c r="BG350" s="44" t="n"/>
      <c r="BH350" s="44" t="n"/>
      <c r="BI350" s="44" t="n"/>
      <c r="BJ350" s="44" t="n"/>
      <c r="BK350" s="44" t="n"/>
      <c r="BL350" s="44" t="n"/>
      <c r="BM350" s="44" t="n"/>
      <c r="BN350" s="44" t="n"/>
      <c r="BO350" s="44" t="n"/>
      <c r="BP350" s="44" t="n"/>
      <c r="BQ350" s="44" t="n"/>
      <c r="BR350" s="44" t="n"/>
      <c r="BS350" s="44" t="n"/>
      <c r="BT350" s="44" t="n"/>
      <c r="BU350" s="44" t="n"/>
      <c r="BV350" s="44" t="n"/>
      <c r="BW350" s="44" t="n"/>
      <c r="BX350" s="44" t="n"/>
      <c r="BY350" s="44" t="n"/>
      <c r="BZ350" s="44" t="n"/>
      <c r="CA350" s="44" t="n"/>
      <c r="CB350" s="44" t="n"/>
      <c r="CC350" s="153" t="n"/>
      <c r="CD350" s="153" t="n"/>
      <c r="CE350" s="153" t="n"/>
      <c r="CF350" s="35" t="n"/>
      <c r="CG350" s="260" t="n">
        <v>2.5</v>
      </c>
      <c r="CH350" s="260" t="n">
        <v>2.5</v>
      </c>
      <c r="CI350" s="260" t="n">
        <v>2.5</v>
      </c>
      <c r="CJ350" s="260" t="n">
        <v>2.5</v>
      </c>
      <c r="CK350" s="260" t="n">
        <v>2.5</v>
      </c>
      <c r="CL350" s="19" t="n"/>
    </row>
    <row r="351" ht="15" customHeight="1" s="251">
      <c r="B351" s="69" t="inlineStr">
        <is>
          <t xml:space="preserve">  Interest income yield on opening cash %</t>
        </is>
      </c>
      <c r="C351" s="44" t="n"/>
      <c r="D351" s="44" t="n"/>
      <c r="E351" s="44" t="n"/>
      <c r="F351" s="44" t="n"/>
      <c r="G351" s="44" t="n"/>
      <c r="H351" s="44" t="n"/>
      <c r="I351" s="44" t="n"/>
      <c r="J351" s="44" t="n"/>
      <c r="K351" s="44" t="n"/>
      <c r="L351" s="44" t="n"/>
      <c r="M351" s="44" t="n"/>
      <c r="N351" s="44" t="n"/>
      <c r="O351" s="44" t="n"/>
      <c r="P351" s="44" t="n"/>
      <c r="Q351" s="44" t="n"/>
      <c r="R351" s="44" t="n"/>
      <c r="S351" s="44" t="n"/>
      <c r="T351" s="44" t="n"/>
      <c r="U351" s="44" t="n"/>
      <c r="V351" s="44" t="n"/>
      <c r="W351" s="44" t="n"/>
      <c r="X351" s="44" t="n"/>
      <c r="Y351" s="44" t="n"/>
      <c r="Z351" s="44" t="n"/>
      <c r="AA351" s="44" t="n"/>
      <c r="AB351" s="44" t="n"/>
      <c r="AC351" s="44" t="n"/>
      <c r="AD351" s="44" t="n"/>
      <c r="AE351" s="44" t="n"/>
      <c r="AF351" s="44" t="n"/>
      <c r="AG351" s="44" t="n"/>
      <c r="AH351" s="44" t="n"/>
      <c r="AI351" s="44" t="n"/>
      <c r="AJ351" s="44" t="n"/>
      <c r="AK351" s="44" t="n"/>
      <c r="AL351" s="44" t="n"/>
      <c r="AM351" s="44" t="n"/>
      <c r="AN351" s="44" t="n"/>
      <c r="AO351" s="44" t="n"/>
      <c r="AP351" s="44" t="n"/>
      <c r="AQ351" s="44" t="n"/>
      <c r="AR351" s="44" t="n"/>
      <c r="AS351" s="44" t="n"/>
      <c r="AT351" s="44" t="n"/>
      <c r="AU351" s="44" t="n"/>
      <c r="AV351" s="44" t="n"/>
      <c r="AW351" s="44" t="n"/>
      <c r="AX351" s="44" t="n"/>
      <c r="AY351" s="44" t="n"/>
      <c r="AZ351" s="44" t="n"/>
      <c r="BA351" s="44" t="n"/>
      <c r="BB351" s="44" t="n"/>
      <c r="BC351" s="44" t="n"/>
      <c r="BD351" s="44" t="n"/>
      <c r="BE351" s="44" t="n"/>
      <c r="BF351" s="44" t="n"/>
      <c r="BG351" s="44" t="n"/>
      <c r="BH351" s="44" t="n"/>
      <c r="BI351" s="44" t="n"/>
      <c r="BJ351" s="44" t="n"/>
      <c r="BK351" s="44" t="n"/>
      <c r="BL351" s="44" t="n"/>
      <c r="BM351" s="44" t="n"/>
      <c r="BN351" s="44" t="n"/>
      <c r="BO351" s="44" t="n"/>
      <c r="BP351" s="44" t="n"/>
      <c r="BQ351" s="44" t="n"/>
      <c r="BR351" s="44" t="n"/>
      <c r="BS351" s="44" t="n"/>
      <c r="BT351" s="44" t="n"/>
      <c r="BU351" s="44" t="n"/>
      <c r="BV351" s="44" t="n"/>
      <c r="BW351" s="44" t="n"/>
      <c r="BX351" s="44" t="n"/>
      <c r="BY351" s="44" t="n"/>
      <c r="BZ351" s="44" t="n"/>
      <c r="CA351" s="44" t="n"/>
      <c r="CB351" s="44" t="n"/>
      <c r="CC351" s="153" t="n"/>
      <c r="CD351" s="153" t="n"/>
      <c r="CE351" s="153" t="n"/>
      <c r="CF351" s="35" t="n"/>
      <c r="CG351" s="267" t="n">
        <v>0.02</v>
      </c>
      <c r="CH351" s="267" t="n">
        <v>0.02</v>
      </c>
      <c r="CI351" s="267" t="n">
        <v>0.02</v>
      </c>
      <c r="CJ351" s="267" t="n">
        <v>0.02</v>
      </c>
      <c r="CK351" s="267" t="n">
        <v>0.02</v>
      </c>
      <c r="CL351" s="19" t="inlineStr">
        <is>
          <t>Interest expense is reported net of interest income (assumption).</t>
        </is>
      </c>
    </row>
    <row r="352" ht="15" customHeight="1" s="251">
      <c r="B352" s="25" t="inlineStr">
        <is>
          <t>Leverage-targeted buybacks (repurchases plug to a target net debt / adjusted EBITDA, FY2028E+)</t>
        </is>
      </c>
      <c r="CL352" s="153" t="n"/>
    </row>
    <row r="353" ht="15" customHeight="1" s="251">
      <c r="B353" s="69" t="inlineStr">
        <is>
          <t xml:space="preserve">  Target net debt / adjusted EBITDA (x) (scenario)</t>
        </is>
      </c>
      <c r="C353" s="44" t="n"/>
      <c r="D353" s="44" t="n"/>
      <c r="E353" s="44" t="n"/>
      <c r="F353" s="44" t="n"/>
      <c r="G353" s="44" t="n"/>
      <c r="H353" s="44" t="n"/>
      <c r="I353" s="44" t="n"/>
      <c r="J353" s="44" t="n"/>
      <c r="K353" s="44" t="n"/>
      <c r="L353" s="44" t="n"/>
      <c r="M353" s="44" t="n"/>
      <c r="N353" s="44" t="n"/>
      <c r="O353" s="44" t="n"/>
      <c r="P353" s="44" t="n"/>
      <c r="Q353" s="44" t="n"/>
      <c r="R353" s="44" t="n"/>
      <c r="S353" s="44" t="n"/>
      <c r="T353" s="44" t="n"/>
      <c r="U353" s="44" t="n"/>
      <c r="V353" s="44" t="n"/>
      <c r="W353" s="44" t="n"/>
      <c r="X353" s="44" t="n"/>
      <c r="Y353" s="44" t="n"/>
      <c r="Z353" s="44" t="n"/>
      <c r="AA353" s="44" t="n"/>
      <c r="AB353" s="44" t="n"/>
      <c r="AC353" s="44" t="n"/>
      <c r="AD353" s="44" t="n"/>
      <c r="AE353" s="44" t="n"/>
      <c r="AF353" s="44" t="n"/>
      <c r="AG353" s="44" t="n"/>
      <c r="AH353" s="44" t="n"/>
      <c r="AI353" s="44" t="n"/>
      <c r="AJ353" s="44" t="n"/>
      <c r="AK353" s="44" t="n"/>
      <c r="AL353" s="44" t="n"/>
      <c r="AM353" s="44" t="n"/>
      <c r="AN353" s="44" t="n"/>
      <c r="AO353" s="44" t="n"/>
      <c r="AP353" s="44" t="n"/>
      <c r="AQ353" s="44" t="n"/>
      <c r="AR353" s="44" t="n"/>
      <c r="AS353" s="44" t="n"/>
      <c r="AT353" s="44" t="n"/>
      <c r="AU353" s="44" t="n"/>
      <c r="AV353" s="44" t="n"/>
      <c r="AW353" s="44" t="n"/>
      <c r="AX353" s="44" t="n"/>
      <c r="AY353" s="44" t="n"/>
      <c r="AZ353" s="44" t="n"/>
      <c r="BA353" s="44" t="n"/>
      <c r="BB353" s="44" t="n"/>
      <c r="BC353" s="44" t="n"/>
      <c r="BD353" s="44" t="n"/>
      <c r="BE353" s="44" t="n"/>
      <c r="BF353" s="44" t="n"/>
      <c r="BG353" s="44" t="n"/>
      <c r="BH353" s="44" t="n"/>
      <c r="BI353" s="44" t="n"/>
      <c r="BJ353" s="44" t="n"/>
      <c r="BK353" s="44" t="n"/>
      <c r="BL353" s="44" t="n"/>
      <c r="BM353" s="44" t="n"/>
      <c r="BN353" s="44" t="n"/>
      <c r="BO353" s="44" t="n"/>
      <c r="BP353" s="44" t="n"/>
      <c r="BQ353" s="44" t="n"/>
      <c r="BR353" s="44" t="n"/>
      <c r="BS353" s="44" t="n"/>
      <c r="BT353" s="44" t="n"/>
      <c r="BU353" s="44" t="n"/>
      <c r="BV353" s="44" t="n"/>
      <c r="BW353" s="44" t="n"/>
      <c r="BX353" s="44" t="n"/>
      <c r="BY353" s="44" t="n"/>
      <c r="BZ353" s="44" t="n"/>
      <c r="CA353" s="44" t="n"/>
      <c r="CB353" s="44" t="n"/>
      <c r="CC353" s="153" t="n"/>
      <c r="CD353" s="153" t="n"/>
      <c r="CE353" s="153" t="n"/>
      <c r="CF353" s="35" t="n"/>
      <c r="CG353" s="289">
        <f>CHOOSE(MATCH($CL$2,{"Bull","Base","Bear"},0),$CU$24,$CV$24,$CW$24)</f>
        <v>1</v>
      </c>
      <c r="CH353" s="289">
        <f>CHOOSE(MATCH($CL$2,{"Bull","Base","Bear"},0),$CU$24,$CV$24,$CW$24)</f>
        <v>1</v>
      </c>
      <c r="CI353" s="289">
        <f>CHOOSE(MATCH($CL$2,{"Bull","Base","Bear"},0),$CU$24,$CV$24,$CW$24)</f>
        <v>1</v>
      </c>
      <c r="CJ353" s="289">
        <f>CHOOSE(MATCH($CL$2,{"Bull","Base","Bear"},0),$CU$24,$CV$24,$CW$24)</f>
        <v>1</v>
      </c>
      <c r="CK353" s="289">
        <f>CHOOSE(MATCH($CL$2,{"Bull","Base","Bear"},0),$CU$24,$CV$24,$CW$24)</f>
        <v>1</v>
      </c>
      <c r="CL353" s="19" t="inlineStr">
        <is>
          <t>Net debt $682m at 27-Jun-2026 ≈ 1.0x LTM adjusted EBITDA (FY2026 $605m); the credit agreement allows up to 4.5x. RBC has made no open-market buybacks (the $100m 2019 authorization is unused) and has deployed cash to debt reduction and acquisitions. Target = leverage up to which surplus cash after the M&amp;A lever is returned via buybacks (assumption).</t>
        </is>
      </c>
    </row>
    <row r="354" ht="15" customHeight="1" s="251">
      <c r="B354" s="69" t="inlineStr">
        <is>
          <t xml:space="preserve">  Net debt before buybacks (year end)</t>
        </is>
      </c>
      <c r="C354" s="44" t="n"/>
      <c r="D354" s="44" t="n"/>
      <c r="E354" s="44" t="n"/>
      <c r="F354" s="44" t="n"/>
      <c r="G354" s="44" t="n"/>
      <c r="H354" s="44" t="n"/>
      <c r="I354" s="44" t="n"/>
      <c r="J354" s="44" t="n"/>
      <c r="K354" s="44" t="n"/>
      <c r="L354" s="44" t="n"/>
      <c r="M354" s="44" t="n"/>
      <c r="N354" s="44" t="n"/>
      <c r="O354" s="44" t="n"/>
      <c r="P354" s="44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  <c r="AC354" s="44" t="n"/>
      <c r="AD354" s="44" t="n"/>
      <c r="AE354" s="44" t="n"/>
      <c r="AF354" s="44" t="n"/>
      <c r="AG354" s="44" t="n"/>
      <c r="AH354" s="44" t="n"/>
      <c r="AI354" s="44" t="n"/>
      <c r="AJ354" s="44" t="n"/>
      <c r="AK354" s="44" t="n"/>
      <c r="AL354" s="44" t="n"/>
      <c r="AM354" s="44" t="n"/>
      <c r="AN354" s="44" t="n"/>
      <c r="AO354" s="44" t="n"/>
      <c r="AP354" s="44" t="n"/>
      <c r="AQ354" s="44" t="n"/>
      <c r="AR354" s="44" t="n"/>
      <c r="AS354" s="44" t="n"/>
      <c r="AT354" s="44" t="n"/>
      <c r="AU354" s="44" t="n"/>
      <c r="AV354" s="44" t="n"/>
      <c r="AW354" s="44" t="n"/>
      <c r="AX354" s="44" t="n"/>
      <c r="AY354" s="44" t="n"/>
      <c r="AZ354" s="44" t="n"/>
      <c r="BA354" s="44" t="n"/>
      <c r="BB354" s="44" t="n"/>
      <c r="BC354" s="44" t="n"/>
      <c r="BD354" s="44" t="n"/>
      <c r="BE354" s="44" t="n"/>
      <c r="BF354" s="44" t="n"/>
      <c r="BG354" s="44" t="n"/>
      <c r="BH354" s="44" t="n"/>
      <c r="BI354" s="44" t="n"/>
      <c r="BJ354" s="44" t="n"/>
      <c r="BK354" s="44" t="n"/>
      <c r="BL354" s="44" t="n"/>
      <c r="BM354" s="44" t="n"/>
      <c r="BN354" s="44" t="n"/>
      <c r="BO354" s="44" t="n"/>
      <c r="BP354" s="44" t="n"/>
      <c r="BQ354" s="44" t="n"/>
      <c r="BR354" s="44" t="n"/>
      <c r="BS354" s="44" t="n"/>
      <c r="BT354" s="44" t="n"/>
      <c r="BU354" s="44" t="n"/>
      <c r="BV354" s="44" t="n"/>
      <c r="BW354" s="44" t="n"/>
      <c r="BX354" s="44" t="n"/>
      <c r="BY354" s="44" t="n"/>
      <c r="BZ354" s="44" t="n"/>
      <c r="CA354" s="44" t="n"/>
      <c r="CB354" s="44" t="n"/>
      <c r="CC354" s="153" t="n"/>
      <c r="CD354" s="153" t="n"/>
      <c r="CE354" s="153" t="n"/>
      <c r="CF354" s="35" t="n"/>
      <c r="CG354" s="261">
        <f>CF338-CF253-CG239-CG243-CG245-CG246-CG248-CG250+12.0</f>
        <v>243.668420509559</v>
      </c>
      <c r="CH354" s="261">
        <f>CG338-CG253-CH239-CH243-CH245-CH246-CH248-CH250+12.0</f>
        <v>540.592105582196</v>
      </c>
      <c r="CI354" s="261">
        <f>CH338-CH253-CI239-CI243-CI245-CI246-CI248-CI250+12.0</f>
        <v>563.190418162376</v>
      </c>
      <c r="CJ354" s="261">
        <f>CI338-CI253-CJ239-CJ243-CJ245-CJ246-CJ248-CJ250+12.0</f>
        <v>610.305124786986</v>
      </c>
      <c r="CK354" s="261">
        <f>CJ338-CJ253-CK239-CK243-CK245-CK246-CK248-CK250+12.0</f>
        <v>653.076663361702</v>
      </c>
      <c r="CL354" s="19" t="n"/>
    </row>
    <row r="355" ht="15" customHeight="1" s="251">
      <c r="B355" s="69" t="inlineStr">
        <is>
          <t xml:space="preserve">  Target net debt = target leverage × adjusted EBITDA</t>
        </is>
      </c>
      <c r="C355" s="44" t="n"/>
      <c r="D355" s="44" t="n"/>
      <c r="E355" s="44" t="n"/>
      <c r="F355" s="44" t="n"/>
      <c r="G355" s="44" t="n"/>
      <c r="H355" s="44" t="n"/>
      <c r="I355" s="44" t="n"/>
      <c r="J355" s="44" t="n"/>
      <c r="K355" s="44" t="n"/>
      <c r="L355" s="44" t="n"/>
      <c r="M355" s="44" t="n"/>
      <c r="N355" s="44" t="n"/>
      <c r="O355" s="44" t="n"/>
      <c r="P355" s="44" t="n"/>
      <c r="Q355" s="44" t="n"/>
      <c r="R355" s="44" t="n"/>
      <c r="S355" s="44" t="n"/>
      <c r="T355" s="44" t="n"/>
      <c r="U355" s="44" t="n"/>
      <c r="V355" s="44" t="n"/>
      <c r="W355" s="44" t="n"/>
      <c r="X355" s="44" t="n"/>
      <c r="Y355" s="44" t="n"/>
      <c r="Z355" s="44" t="n"/>
      <c r="AA355" s="44" t="n"/>
      <c r="AB355" s="44" t="n"/>
      <c r="AC355" s="44" t="n"/>
      <c r="AD355" s="44" t="n"/>
      <c r="AE355" s="44" t="n"/>
      <c r="AF355" s="44" t="n"/>
      <c r="AG355" s="44" t="n"/>
      <c r="AH355" s="44" t="n"/>
      <c r="AI355" s="44" t="n"/>
      <c r="AJ355" s="44" t="n"/>
      <c r="AK355" s="44" t="n"/>
      <c r="AL355" s="44" t="n"/>
      <c r="AM355" s="44" t="n"/>
      <c r="AN355" s="44" t="n"/>
      <c r="AO355" s="44" t="n"/>
      <c r="AP355" s="44" t="n"/>
      <c r="AQ355" s="44" t="n"/>
      <c r="AR355" s="44" t="n"/>
      <c r="AS355" s="44" t="n"/>
      <c r="AT355" s="44" t="n"/>
      <c r="AU355" s="44" t="n"/>
      <c r="AV355" s="44" t="n"/>
      <c r="AW355" s="44" t="n"/>
      <c r="AX355" s="44" t="n"/>
      <c r="AY355" s="44" t="n"/>
      <c r="AZ355" s="44" t="n"/>
      <c r="BA355" s="44" t="n"/>
      <c r="BB355" s="44" t="n"/>
      <c r="BC355" s="44" t="n"/>
      <c r="BD355" s="44" t="n"/>
      <c r="BE355" s="44" t="n"/>
      <c r="BF355" s="44" t="n"/>
      <c r="BG355" s="44" t="n"/>
      <c r="BH355" s="44" t="n"/>
      <c r="BI355" s="44" t="n"/>
      <c r="BJ355" s="44" t="n"/>
      <c r="BK355" s="44" t="n"/>
      <c r="BL355" s="44" t="n"/>
      <c r="BM355" s="44" t="n"/>
      <c r="BN355" s="44" t="n"/>
      <c r="BO355" s="44" t="n"/>
      <c r="BP355" s="44" t="n"/>
      <c r="BQ355" s="44" t="n"/>
      <c r="BR355" s="44" t="n"/>
      <c r="BS355" s="44" t="n"/>
      <c r="BT355" s="44" t="n"/>
      <c r="BU355" s="44" t="n"/>
      <c r="BV355" s="44" t="n"/>
      <c r="BW355" s="44" t="n"/>
      <c r="BX355" s="44" t="n"/>
      <c r="BY355" s="44" t="n"/>
      <c r="BZ355" s="44" t="n"/>
      <c r="CA355" s="44" t="n"/>
      <c r="CB355" s="44" t="n"/>
      <c r="CC355" s="153" t="n"/>
      <c r="CD355" s="153" t="n"/>
      <c r="CE355" s="153" t="n"/>
      <c r="CF355" s="35" t="n"/>
      <c r="CG355" s="261">
        <f>CG353*CG179</f>
        <v>817.009114446059</v>
      </c>
      <c r="CH355" s="261">
        <f>CH353*CH179</f>
        <v>919.171644953639</v>
      </c>
      <c r="CI355" s="261">
        <f>CI353*CI179</f>
        <v>1023.61113383704</v>
      </c>
      <c r="CJ355" s="261">
        <f>CJ353*CJ179</f>
        <v>1123.38495461038</v>
      </c>
      <c r="CK355" s="261">
        <f>CK353*CK179</f>
        <v>1222.06801092962</v>
      </c>
      <c r="CL355" s="19" t="n"/>
    </row>
    <row r="356" ht="15" customHeight="1" s="251">
      <c r="B356" s="69" t="inlineStr">
        <is>
          <t xml:space="preserve">  Share repurchases: plug to target leverage</t>
        </is>
      </c>
      <c r="C356" s="44" t="n"/>
      <c r="D356" s="44" t="n"/>
      <c r="E356" s="44" t="n"/>
      <c r="F356" s="44" t="n"/>
      <c r="G356" s="44" t="n"/>
      <c r="H356" s="44" t="n"/>
      <c r="I356" s="44" t="n"/>
      <c r="J356" s="44" t="n"/>
      <c r="K356" s="44" t="n"/>
      <c r="L356" s="44" t="n"/>
      <c r="M356" s="44" t="n"/>
      <c r="N356" s="44" t="n"/>
      <c r="O356" s="44" t="n"/>
      <c r="P356" s="44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  <c r="AC356" s="44" t="n"/>
      <c r="AD356" s="44" t="n"/>
      <c r="AE356" s="44" t="n"/>
      <c r="AF356" s="44" t="n"/>
      <c r="AG356" s="44" t="n"/>
      <c r="AH356" s="44" t="n"/>
      <c r="AI356" s="44" t="n"/>
      <c r="AJ356" s="44" t="n"/>
      <c r="AK356" s="44" t="n"/>
      <c r="AL356" s="44" t="n"/>
      <c r="AM356" s="44" t="n"/>
      <c r="AN356" s="44" t="n"/>
      <c r="AO356" s="44" t="n"/>
      <c r="AP356" s="44" t="n"/>
      <c r="AQ356" s="44" t="n"/>
      <c r="AR356" s="44" t="n"/>
      <c r="AS356" s="44" t="n"/>
      <c r="AT356" s="44" t="n"/>
      <c r="AU356" s="44" t="n"/>
      <c r="AV356" s="44" t="n"/>
      <c r="AW356" s="44" t="n"/>
      <c r="AX356" s="44" t="n"/>
      <c r="AY356" s="44" t="n"/>
      <c r="AZ356" s="44" t="n"/>
      <c r="BA356" s="44" t="n"/>
      <c r="BB356" s="44" t="n"/>
      <c r="BC356" s="44" t="n"/>
      <c r="BD356" s="44" t="n"/>
      <c r="BE356" s="44" t="n"/>
      <c r="BF356" s="44" t="n"/>
      <c r="BG356" s="44" t="n"/>
      <c r="BH356" s="44" t="n"/>
      <c r="BI356" s="44" t="n"/>
      <c r="BJ356" s="44" t="n"/>
      <c r="BK356" s="44" t="n"/>
      <c r="BL356" s="44" t="n"/>
      <c r="BM356" s="44" t="n"/>
      <c r="BN356" s="44" t="n"/>
      <c r="BO356" s="44" t="n"/>
      <c r="BP356" s="44" t="n"/>
      <c r="BQ356" s="44" t="n"/>
      <c r="BR356" s="44" t="n"/>
      <c r="BS356" s="44" t="n"/>
      <c r="BT356" s="44" t="n"/>
      <c r="BU356" s="44" t="n"/>
      <c r="BV356" s="44" t="n"/>
      <c r="BW356" s="44" t="n"/>
      <c r="BX356" s="44" t="n"/>
      <c r="BY356" s="44" t="n"/>
      <c r="BZ356" s="44" t="n"/>
      <c r="CA356" s="44" t="n"/>
      <c r="CB356" s="44" t="n"/>
      <c r="CC356" s="153" t="n"/>
      <c r="CD356" s="153" t="n"/>
      <c r="CE356" s="153" t="n"/>
      <c r="CF356" s="35" t="n"/>
      <c r="CG356" s="261">
        <f>MAX(0,CG355-CG354)</f>
        <v>573.340693936499</v>
      </c>
      <c r="CH356" s="261">
        <f>MAX(0,CH355-CH354)</f>
        <v>378.579539371443</v>
      </c>
      <c r="CI356" s="261">
        <f>MAX(0,CI355-CI354)</f>
        <v>460.420715674665</v>
      </c>
      <c r="CJ356" s="261">
        <f>MAX(0,CJ355-CJ354)</f>
        <v>513.079829823395</v>
      </c>
      <c r="CK356" s="261">
        <f>MAX(0,CK355-CK354)</f>
        <v>568.991347567914</v>
      </c>
      <c r="CL356" s="19" t="inlineStr">
        <is>
          <t>Surplus cash beyond the leverage target (after M&amp;A) is returned via buybacks; feeds the cash-flow repurchase line.</t>
        </is>
      </c>
    </row>
    <row r="357" ht="15" customHeight="1" s="251">
      <c r="B357" s="25" t="inlineStr">
        <is>
          <t>Historical reference (driver context)</t>
        </is>
      </c>
      <c r="CL357" s="153" t="n"/>
    </row>
    <row r="358" ht="15" customHeight="1" s="251">
      <c r="B358" s="25" t="inlineStr">
        <is>
          <t xml:space="preserve">  Total D&amp;A % of net sales</t>
        </is>
      </c>
      <c r="C358" s="215">
        <f>IF(AND(ISNUMBER(C136),ISNUMBER(C108)),IFERROR(C136/C108,""),"")</f>
        <v>0.0339915995468272</v>
      </c>
      <c r="D358" s="215">
        <f>IF(AND(ISNUMBER(D136),ISNUMBER(D108)),IFERROR(D136/D108,""),"")</f>
        <v>0.0315164901229163</v>
      </c>
      <c r="E358" s="215">
        <f>IF(AND(ISNUMBER(E136),ISNUMBER(E108)),IFERROR(E136/E108,""),"")</f>
        <v>0.0316545674531156</v>
      </c>
      <c r="F358" s="215">
        <f>IF(AND(ISNUMBER(F136),ISNUMBER(F108)),IFERROR(F136/F108,""),"")</f>
        <v>0.0341768878795714</v>
      </c>
      <c r="G358" s="215">
        <f>IF(AND(ISNUMBER(G136),ISNUMBER(G108)),IFERROR(G136/G108,""),"")</f>
        <v>0.043064848453961</v>
      </c>
      <c r="H358" s="215">
        <f>IF(AND(ISNUMBER(H136),ISNUMBER(H108)),IFERROR(H136/H108,""),"")</f>
        <v>0.0386472998137803</v>
      </c>
      <c r="I358" s="215">
        <f>IF(AND(ISNUMBER(I136),ISNUMBER(I108)),IFERROR(I136/I108,""),"")</f>
        <v>0.0356971253625686</v>
      </c>
      <c r="J358" s="215">
        <f>IF(AND(ISNUMBER(J136),ISNUMBER(J108)),IFERROR(J136/J108,""),"")</f>
        <v>0.0356417055373836</v>
      </c>
      <c r="K358" s="215">
        <f>IF(AND(ISNUMBER(K136),ISNUMBER(K108)),IFERROR(K136/K108,""),"")</f>
        <v>0.0367920298879203</v>
      </c>
      <c r="L358" s="215">
        <f>IF(AND(ISNUMBER(L136),ISNUMBER(L108)),IFERROR(L136/L108,""),"")</f>
        <v>0.0383864806510546</v>
      </c>
      <c r="M358" s="215">
        <f>IF(AND(ISNUMBER(M136),ISNUMBER(M108)),IFERROR(M136/M108,""),"")</f>
        <v>0.0353862881773877</v>
      </c>
      <c r="N358" s="215">
        <f>IF(AND(ISNUMBER(N136),ISNUMBER(N108)),IFERROR(N136/N108,""),"")</f>
        <v>0.0365189516959392</v>
      </c>
      <c r="O358" s="215">
        <f>IF(AND(ISNUMBER(O136),ISNUMBER(O108)),IFERROR(O136/O108,""),"")</f>
        <v>0.0363793976701601</v>
      </c>
      <c r="P358" s="215">
        <f>IF(AND(ISNUMBER(P136),ISNUMBER(P108)),IFERROR(P136/P108,""),"")</f>
        <v>0.0378111697432175</v>
      </c>
      <c r="Q358" s="215">
        <f>IF(AND(ISNUMBER(Q136),ISNUMBER(Q108)),IFERROR(Q136/Q108,""),"")</f>
        <v>0.0369780995763133</v>
      </c>
      <c r="R358" s="215">
        <f>IF(AND(ISNUMBER(R136),ISNUMBER(R108)),IFERROR(R136/R108,""),"")</f>
        <v>0.0323519583531191</v>
      </c>
      <c r="S358" s="215">
        <f>IF(AND(ISNUMBER(S136),ISNUMBER(S108)),IFERROR(S136/S108,""),"")</f>
        <v>0.0357782308313002</v>
      </c>
      <c r="T358" s="215">
        <f>IF(AND(ISNUMBER(T136),ISNUMBER(T108)),IFERROR(T136/T108,""),"")</f>
        <v>0.0359165899596403</v>
      </c>
      <c r="U358" s="215">
        <f>IF(AND(ISNUMBER(U136),ISNUMBER(U108)),IFERROR(U136/U108,""),"")</f>
        <v>0.0356181422415708</v>
      </c>
      <c r="V358" s="215">
        <f>IF(AND(ISNUMBER(V136),ISNUMBER(V108)),IFERROR(V136/V108,""),"")</f>
        <v>0.0355335678410865</v>
      </c>
      <c r="W358" s="215">
        <f>IF(AND(ISNUMBER(W136),ISNUMBER(W108)),IFERROR(W136/W108,""),"")</f>
        <v>0.0282144652036291</v>
      </c>
      <c r="X358" s="215">
        <f>IF(AND(ISNUMBER(X136),ISNUMBER(X108)),IFERROR(X136/X108,""),"")</f>
        <v>0.0337878808295043</v>
      </c>
      <c r="Y358" s="215">
        <f>IF(AND(ISNUMBER(Y136),ISNUMBER(Y108)),IFERROR(Y136/Y108,""),"")</f>
        <v>0.0397939680130421</v>
      </c>
      <c r="Z358" s="215">
        <f>IF(AND(ISNUMBER(Z136),ISNUMBER(Z108)),IFERROR(Z136/Z108,""),"")</f>
        <v>0.0457914133534191</v>
      </c>
      <c r="AA358" s="215">
        <f>IF(AND(ISNUMBER(AA136),ISNUMBER(AA108)),IFERROR(AA136/AA108,""),"")</f>
        <v>0.0464442225550563</v>
      </c>
      <c r="AB358" s="215">
        <f>IF(AND(ISNUMBER(AB136),ISNUMBER(AB108)),IFERROR(AB136/AB108,""),"")</f>
        <v>0.0409055050168873</v>
      </c>
      <c r="AC358" s="215">
        <f>IF(AND(ISNUMBER(AC136),ISNUMBER(AC108)),IFERROR(AC136/AC108,""),"")</f>
        <v>0.0431936559370146</v>
      </c>
      <c r="AD358" s="215">
        <f>IF(AND(ISNUMBER(AD136),ISNUMBER(AD108)),IFERROR(AD136/AD108,""),"")</f>
        <v>0.0436023004418453</v>
      </c>
      <c r="AE358" s="215">
        <f>IF(AND(ISNUMBER(AE136),ISNUMBER(AE108)),IFERROR(AE136/AE108,""),"")</f>
        <v>0.0452050434251639</v>
      </c>
      <c r="AF358" s="215">
        <f>IF(AND(ISNUMBER(AF136),ISNUMBER(AF108)),IFERROR(AF136/AF108,""),"")</f>
        <v>0.0462238162775475</v>
      </c>
      <c r="AG358" s="215">
        <f>IF(AND(ISNUMBER(AG136),ISNUMBER(AG108)),IFERROR(AG136/AG108,""),"")</f>
        <v>0.0430310217839086</v>
      </c>
      <c r="AH358" s="215">
        <f>IF(AND(ISNUMBER(AH136),ISNUMBER(AH108)),IFERROR(AH136/AH108,""),"")</f>
        <v>0.0444792553640955</v>
      </c>
      <c r="AI358" s="215">
        <f>IF(AND(ISNUMBER(AI136),ISNUMBER(AI108)),IFERROR(AI136/AI108,""),"")</f>
        <v>0.0433076871449752</v>
      </c>
      <c r="AJ358" s="215">
        <f>IF(AND(ISNUMBER(AJ136),ISNUMBER(AJ108)),IFERROR(AJ136/AJ108,""),"")</f>
        <v>0.0434525946797958</v>
      </c>
      <c r="AK358" s="215">
        <f>IF(AND(ISNUMBER(AK136),ISNUMBER(AK108)),IFERROR(AK136/AK108,""),"")</f>
        <v>0.0417001282527658</v>
      </c>
      <c r="AL358" s="215">
        <f>IF(AND(ISNUMBER(AL136),ISNUMBER(AL108)),IFERROR(AL136/AL108,""),"")</f>
        <v>0.0398272152637636</v>
      </c>
      <c r="AM358" s="215">
        <f>IF(AND(ISNUMBER(AM136),ISNUMBER(AM108)),IFERROR(AM136/AM108,""),"")</f>
        <v>0.0420179895073554</v>
      </c>
      <c r="AN358" s="215">
        <f>IF(AND(ISNUMBER(AN136),ISNUMBER(AN108)),IFERROR(AN136/AN108,""),"")</f>
        <v>0.0415546779555076</v>
      </c>
      <c r="AO358" s="215">
        <f>IF(AND(ISNUMBER(AO136),ISNUMBER(AO108)),IFERROR(AO136/AO108,""),"")</f>
        <v>0.044177519720558</v>
      </c>
      <c r="AP358" s="215">
        <f>IF(AND(ISNUMBER(AP136),ISNUMBER(AP108)),IFERROR(AP136/AP108,""),"")</f>
        <v>0.0426355910949356</v>
      </c>
      <c r="AQ358" s="215">
        <f>IF(AND(ISNUMBER(AQ136),ISNUMBER(AQ108)),IFERROR(AQ136/AQ108,""),"")</f>
        <v>0.0406012230871422</v>
      </c>
      <c r="AR358" s="215">
        <f>IF(AND(ISNUMBER(AR136),ISNUMBER(AR108)),IFERROR(AR136/AR108,""),"")</f>
        <v>0.0422168320721521</v>
      </c>
      <c r="AS358" s="215">
        <f>IF(AND(ISNUMBER(AS136),ISNUMBER(AS108)),IFERROR(AS136/AS108,""),"")</f>
        <v>0.0411626252121079</v>
      </c>
      <c r="AT358" s="215">
        <f>IF(AND(ISNUMBER(AT136),ISNUMBER(AT108)),IFERROR(AT136/AT108,""),"")</f>
        <v>0.0428895766564601</v>
      </c>
      <c r="AU358" s="215">
        <f>IF(AND(ISNUMBER(AU136),ISNUMBER(AU108)),IFERROR(AU136/AU108,""),"")</f>
        <v>0.0449273806766505</v>
      </c>
      <c r="AV358" s="215">
        <f>IF(AND(ISNUMBER(AV136),ISNUMBER(AV108)),IFERROR(AV136/AV108,""),"")</f>
        <v>0.0438273166059523</v>
      </c>
      <c r="AW358" s="215">
        <f>IF(AND(ISNUMBER(AW136),ISNUMBER(AW108)),IFERROR(AW136/AW108,""),"")</f>
        <v>0.0431913188473334</v>
      </c>
      <c r="AX358" s="215">
        <f>IF(AND(ISNUMBER(AX136),ISNUMBER(AX108)),IFERROR(AX136/AX108,""),"")</f>
        <v>0.0536509620238605</v>
      </c>
      <c r="AY358" s="215">
        <f>IF(AND(ISNUMBER(AY136),ISNUMBER(AY108)),IFERROR(AY136/AY108,""),"")</f>
        <v>0.0576553797792736</v>
      </c>
      <c r="AZ358" s="215">
        <f>IF(AND(ISNUMBER(AZ136),ISNUMBER(AZ108)),IFERROR(AZ136/AZ108,""),"")</f>
        <v>0.0547027649611617</v>
      </c>
      <c r="BA358" s="215">
        <f>IF(AND(ISNUMBER(BA136),ISNUMBER(BA108)),IFERROR(BA136/BA108,""),"")</f>
        <v>0.0494837643095543</v>
      </c>
      <c r="BB358" s="215">
        <f>IF(AND(ISNUMBER(BB136),ISNUMBER(BB108)),IFERROR(BB136/BB108,""),"")</f>
        <v>0.0537682435006503</v>
      </c>
      <c r="BC358" s="215">
        <f>IF(AND(ISNUMBER(BC136),ISNUMBER(BC108)),IFERROR(BC136/BC108,""),"")</f>
        <v>0.0525719407189271</v>
      </c>
      <c r="BD358" s="215">
        <f>IF(AND(ISNUMBER(BD136),ISNUMBER(BD108)),IFERROR(BD136/BD108,""),"")</f>
        <v>0.0537290242386575</v>
      </c>
      <c r="BE358" s="215">
        <f>IF(AND(ISNUMBER(BE136),ISNUMBER(BE108)),IFERROR(BE136/BE108,""),"")</f>
        <v>0.0767850520503609</v>
      </c>
      <c r="BF358" s="215">
        <f>IF(AND(ISNUMBER(BF136),ISNUMBER(BF108)),IFERROR(BF136/BF108,""),"")</f>
        <v>0.0785139280927555</v>
      </c>
      <c r="BG358" s="215">
        <f>IF(AND(ISNUMBER(BG136),ISNUMBER(BG108)),IFERROR(BG136/BG108,""),"")</f>
        <v>0.0694977501148009</v>
      </c>
      <c r="BH358" s="215">
        <f>IF(AND(ISNUMBER(BH136),ISNUMBER(BH108)),IFERROR(BH136/BH108,""),"")</f>
        <v>0.0808913239945775</v>
      </c>
      <c r="BI358" s="215">
        <f>IF(AND(ISNUMBER(BI136),ISNUMBER(BI108)),IFERROR(BI136/BI108,""),"")</f>
        <v>0.0770003819409644</v>
      </c>
      <c r="BJ358" s="215">
        <f>IF(AND(ISNUMBER(BJ136),ISNUMBER(BJ108)),IFERROR(BJ136/BJ108,""),"")</f>
        <v>0.0817433345183079</v>
      </c>
      <c r="BK358" s="215">
        <f>IF(AND(ISNUMBER(BK136),ISNUMBER(BK108)),IFERROR(BK136/BK108,""),"")</f>
        <v>0.0750186348631669</v>
      </c>
      <c r="BL358" s="215">
        <f>IF(AND(ISNUMBER(BL136),ISNUMBER(BL108)),IFERROR(BL136/BL108,""),"")</f>
        <v>0.0785408017423263</v>
      </c>
      <c r="BM358" s="215">
        <f>IF(AND(ISNUMBER(BM136),ISNUMBER(BM108)),IFERROR(BM136/BM108,""),"")</f>
        <v>0.0767200004133064</v>
      </c>
      <c r="BN358" s="215">
        <f>IF(AND(ISNUMBER(BN136),ISNUMBER(BN108)),IFERROR(BN136/BN108,""),"")</f>
        <v>0.0778064797236314</v>
      </c>
      <c r="BO358" s="215">
        <f>IF(AND(ISNUMBER(BO136),ISNUMBER(BO108)),IFERROR(BO136/BO108,""),"")</f>
        <v>0.0799666226270774</v>
      </c>
      <c r="BP358" s="215">
        <f>IF(AND(ISNUMBER(BP136),ISNUMBER(BP108)),IFERROR(BP136/BP108,""),"")</f>
        <v>0.0717946238638561</v>
      </c>
      <c r="BQ358" s="215">
        <f>IF(AND(ISNUMBER(BQ136),ISNUMBER(BQ108)),IFERROR(BQ136/BQ108,""),"")</f>
        <v>0.0764596551945139</v>
      </c>
      <c r="BR358" s="215">
        <f>IF(AND(ISNUMBER(BR136),ISNUMBER(BR108)),IFERROR(BR136/BR108,""),"")</f>
        <v>0.073837066207236</v>
      </c>
      <c r="BS358" s="215">
        <f>IF(AND(ISNUMBER(BS136),ISNUMBER(BS108)),IFERROR(BS136/BS108,""),"")</f>
        <v>0.0758984669514954</v>
      </c>
      <c r="BT358" s="215">
        <f>IF(AND(ISNUMBER(BT136),ISNUMBER(BT108)),IFERROR(BT136/BT108,""),"")</f>
        <v>0.0753042596348885</v>
      </c>
      <c r="BU358" s="215">
        <f>IF(AND(ISNUMBER(BU136),ISNUMBER(BU108)),IFERROR(BU136/BU108,""),"")</f>
        <v>0.0687685629426548</v>
      </c>
      <c r="BV358" s="215">
        <f>IF(AND(ISNUMBER(BV136),ISNUMBER(BV108)),IFERROR(BV136/BV108,""),"")</f>
        <v>0.0733361852960949</v>
      </c>
      <c r="BW358" s="215">
        <f>IF(AND(ISNUMBER(BW136),ISNUMBER(BW108)),IFERROR(BW136/BW108,""),"")</f>
        <v>0.0678899082568807</v>
      </c>
      <c r="BX358" s="215">
        <f>IF(AND(ISNUMBER(BX136),ISNUMBER(BX108)),IFERROR(BX136/BX108,""),"")</f>
        <v>0.0722600483197892</v>
      </c>
      <c r="BY358" s="215">
        <f>IF(AND(ISNUMBER(BY136),ISNUMBER(BY108)),IFERROR(BY136/BY108,""),"")</f>
        <v>0.0712738301559792</v>
      </c>
      <c r="BZ358" s="215">
        <f>IF(AND(ISNUMBER(BZ136),ISNUMBER(BZ108)),IFERROR(BZ136/BZ108,""),"")</f>
        <v>0.0644787644787645</v>
      </c>
      <c r="CA358" s="215">
        <f>IF(AND(ISNUMBER(CA136),ISNUMBER(CA108)),IFERROR(CA136/CA108,""),"")</f>
        <v>0.0688438719332941</v>
      </c>
      <c r="CB358" s="215">
        <f>IF(AND(ISNUMBER(CB136),ISNUMBER(CB108)),IFERROR(CB136/CB108,""),"")</f>
        <v>0.0641000962463908</v>
      </c>
      <c r="CC358" s="24" t="n"/>
      <c r="CD358" s="24" t="n"/>
      <c r="CE358" s="24" t="n"/>
      <c r="CF358" s="256">
        <f>IF(AND(ISNUMBER(CF136),ISNUMBER(CF108)),IFERROR(CF136/CF108,""),"")</f>
        <v>0.0625926637891153</v>
      </c>
      <c r="CG358" s="256">
        <f>IF(AND(ISNUMBER(CG136),ISNUMBER(CG108)),IFERROR(CG136/CG108,""),"")</f>
        <v>0.0612773534852903</v>
      </c>
      <c r="CH358" s="256">
        <f>IF(AND(ISNUMBER(CH136),ISNUMBER(CH108)),IFERROR(CH136/CH108,""),"")</f>
        <v>0.059703760904431</v>
      </c>
      <c r="CI358" s="256">
        <f>IF(AND(ISNUMBER(CI136),ISNUMBER(CI108)),IFERROR(CI136/CI108,""),"")</f>
        <v>0.0573764330409333</v>
      </c>
      <c r="CJ358" s="256">
        <f>IF(AND(ISNUMBER(CJ136),ISNUMBER(CJ108)),IFERROR(CJ136/CJ108,""),"")</f>
        <v>0.0560126868460502</v>
      </c>
      <c r="CK358" s="256">
        <f>IF(AND(ISNUMBER(CK136),ISNUMBER(CK108)),IFERROR(CK136/CK108,""),"")</f>
        <v>0.0558772350149094</v>
      </c>
      <c r="CL358" s="153" t="n"/>
    </row>
    <row r="359" ht="15" customHeight="1" s="251">
      <c r="B359" s="25" t="inlineStr">
        <is>
          <t xml:space="preserve">  M&amp;A-related amortization % of net sales</t>
        </is>
      </c>
      <c r="C359" s="215">
        <f>IF(AND(ISNUMBER(C86),ISNUMBER(C108)),IFERROR(C86/C108,""),"")</f>
      </c>
      <c r="D359" s="215">
        <f>IF(AND(ISNUMBER(D86),ISNUMBER(D108)),IFERROR(D86/D108,""),"")</f>
      </c>
      <c r="E359" s="215">
        <f>IF(AND(ISNUMBER(E86),ISNUMBER(E108)),IFERROR(E86/E108,""),"")</f>
      </c>
      <c r="F359" s="215">
        <f>IF(AND(ISNUMBER(F86),ISNUMBER(F108)),IFERROR(F86/F108,""),"")</f>
      </c>
      <c r="G359" s="215">
        <f>IF(AND(ISNUMBER(G86),ISNUMBER(G108)),IFERROR(G86/G108,""),"")</f>
      </c>
      <c r="H359" s="215">
        <f>IF(AND(ISNUMBER(H86),ISNUMBER(H108)),IFERROR(H86/H108,""),"")</f>
      </c>
      <c r="I359" s="215">
        <f>IF(AND(ISNUMBER(I86),ISNUMBER(I108)),IFERROR(I86/I108,""),"")</f>
      </c>
      <c r="J359" s="215">
        <f>IF(AND(ISNUMBER(J86),ISNUMBER(J108)),IFERROR(J86/J108,""),"")</f>
      </c>
      <c r="K359" s="215">
        <f>IF(AND(ISNUMBER(K86),ISNUMBER(K108)),IFERROR(K86/K108,""),"")</f>
      </c>
      <c r="L359" s="215">
        <f>IF(AND(ISNUMBER(L86),ISNUMBER(L108)),IFERROR(L86/L108,""),"")</f>
      </c>
      <c r="M359" s="215">
        <f>IF(AND(ISNUMBER(M86),ISNUMBER(M108)),IFERROR(M86/M108,""),"")</f>
      </c>
      <c r="N359" s="215">
        <f>IF(AND(ISNUMBER(N86),ISNUMBER(N108)),IFERROR(N86/N108,""),"")</f>
      </c>
      <c r="O359" s="215">
        <f>IF(AND(ISNUMBER(O86),ISNUMBER(O108)),IFERROR(O86/O108,""),"")</f>
      </c>
      <c r="P359" s="215">
        <f>IF(AND(ISNUMBER(P86),ISNUMBER(P108)),IFERROR(P86/P108,""),"")</f>
      </c>
      <c r="Q359" s="215">
        <f>IF(AND(ISNUMBER(Q86),ISNUMBER(Q108)),IFERROR(Q86/Q108,""),"")</f>
      </c>
      <c r="R359" s="215">
        <f>IF(AND(ISNUMBER(R86),ISNUMBER(R108)),IFERROR(R86/R108,""),"")</f>
      </c>
      <c r="S359" s="215">
        <f>IF(AND(ISNUMBER(S86),ISNUMBER(S108)),IFERROR(S86/S108,""),"")</f>
      </c>
      <c r="T359" s="215">
        <f>IF(AND(ISNUMBER(T86),ISNUMBER(T108)),IFERROR(T86/T108,""),"")</f>
      </c>
      <c r="U359" s="215">
        <f>IF(AND(ISNUMBER(U86),ISNUMBER(U108)),IFERROR(U86/U108,""),"")</f>
      </c>
      <c r="V359" s="215">
        <f>IF(AND(ISNUMBER(V86),ISNUMBER(V108)),IFERROR(V86/V108,""),"")</f>
      </c>
      <c r="W359" s="215">
        <f>IF(AND(ISNUMBER(W86),ISNUMBER(W108)),IFERROR(W86/W108,""),"")</f>
      </c>
      <c r="X359" s="215">
        <f>IF(AND(ISNUMBER(X86),ISNUMBER(X108)),IFERROR(X86/X108,""),"")</f>
      </c>
      <c r="Y359" s="215">
        <f>IF(AND(ISNUMBER(Y86),ISNUMBER(Y108)),IFERROR(Y86/Y108,""),"")</f>
      </c>
      <c r="Z359" s="215">
        <f>IF(AND(ISNUMBER(Z86),ISNUMBER(Z108)),IFERROR(Z86/Z108,""),"")</f>
      </c>
      <c r="AA359" s="215">
        <f>IF(AND(ISNUMBER(AA86),ISNUMBER(AA108)),IFERROR(AA86/AA108,""),"")</f>
      </c>
      <c r="AB359" s="215">
        <f>IF(AND(ISNUMBER(AB86),ISNUMBER(AB108)),IFERROR(AB86/AB108,""),"")</f>
      </c>
      <c r="AC359" s="215">
        <f>IF(AND(ISNUMBER(AC86),ISNUMBER(AC108)),IFERROR(AC86/AC108,""),"")</f>
      </c>
      <c r="AD359" s="215">
        <f>IF(AND(ISNUMBER(AD86),ISNUMBER(AD108)),IFERROR(AD86/AD108,""),"")</f>
      </c>
      <c r="AE359" s="215">
        <f>IF(AND(ISNUMBER(AE86),ISNUMBER(AE108)),IFERROR(AE86/AE108,""),"")</f>
      </c>
      <c r="AF359" s="215">
        <f>IF(AND(ISNUMBER(AF86),ISNUMBER(AF108)),IFERROR(AF86/AF108,""),"")</f>
      </c>
      <c r="AG359" s="215">
        <f>IF(AND(ISNUMBER(AG86),ISNUMBER(AG108)),IFERROR(AG86/AG108,""),"")</f>
      </c>
      <c r="AH359" s="215">
        <f>IF(AND(ISNUMBER(AH86),ISNUMBER(AH108)),IFERROR(AH86/AH108,""),"")</f>
      </c>
      <c r="AI359" s="215">
        <f>IF(AND(ISNUMBER(AI86),ISNUMBER(AI108)),IFERROR(AI86/AI108,""),"")</f>
      </c>
      <c r="AJ359" s="215">
        <f>IF(AND(ISNUMBER(AJ86),ISNUMBER(AJ108)),IFERROR(AJ86/AJ108,""),"")</f>
      </c>
      <c r="AK359" s="215">
        <f>IF(AND(ISNUMBER(AK86),ISNUMBER(AK108)),IFERROR(AK86/AK108,""),"")</f>
      </c>
      <c r="AL359" s="215">
        <f>IF(AND(ISNUMBER(AL86),ISNUMBER(AL108)),IFERROR(AL86/AL108,""),"")</f>
      </c>
      <c r="AM359" s="215">
        <f>IF(AND(ISNUMBER(AM86),ISNUMBER(AM108)),IFERROR(AM86/AM108,""),"")</f>
      </c>
      <c r="AN359" s="215">
        <f>IF(AND(ISNUMBER(AN86),ISNUMBER(AN108)),IFERROR(AN86/AN108,""),"")</f>
      </c>
      <c r="AO359" s="215">
        <f>IF(AND(ISNUMBER(AO86),ISNUMBER(AO108)),IFERROR(AO86/AO108,""),"")</f>
      </c>
      <c r="AP359" s="215">
        <f>IF(AND(ISNUMBER(AP86),ISNUMBER(AP108)),IFERROR(AP86/AP108,""),"")</f>
      </c>
      <c r="AQ359" s="215">
        <f>IF(AND(ISNUMBER(AQ86),ISNUMBER(AQ108)),IFERROR(AQ86/AQ108,""),"")</f>
      </c>
      <c r="AR359" s="215">
        <f>IF(AND(ISNUMBER(AR86),ISNUMBER(AR108)),IFERROR(AR86/AR108,""),"")</f>
      </c>
      <c r="AS359" s="215">
        <f>IF(AND(ISNUMBER(AS86),ISNUMBER(AS108)),IFERROR(AS86/AS108,""),"")</f>
      </c>
      <c r="AT359" s="215">
        <f>IF(AND(ISNUMBER(AT86),ISNUMBER(AT108)),IFERROR(AT86/AT108,""),"")</f>
      </c>
      <c r="AU359" s="215">
        <f>IF(AND(ISNUMBER(AU86),ISNUMBER(AU108)),IFERROR(AU86/AU108,""),"")</f>
      </c>
      <c r="AV359" s="215">
        <f>IF(AND(ISNUMBER(AV86),ISNUMBER(AV108)),IFERROR(AV86/AV108,""),"")</f>
      </c>
      <c r="AW359" s="215">
        <f>IF(AND(ISNUMBER(AW86),ISNUMBER(AW108)),IFERROR(AW86/AW108,""),"")</f>
      </c>
      <c r="AX359" s="215">
        <f>IF(AND(ISNUMBER(AX86),ISNUMBER(AX108)),IFERROR(AX86/AX108,""),"")</f>
      </c>
      <c r="AY359" s="215">
        <f>IF(AND(ISNUMBER(AY86),ISNUMBER(AY108)),IFERROR(AY86/AY108,""),"")</f>
      </c>
      <c r="AZ359" s="215">
        <f>IF(AND(ISNUMBER(AZ86),ISNUMBER(AZ108)),IFERROR(AZ86/AZ108,""),"")</f>
      </c>
      <c r="BA359" s="215">
        <f>IF(AND(ISNUMBER(BA86),ISNUMBER(BA108)),IFERROR(BA86/BA108,""),"")</f>
      </c>
      <c r="BB359" s="215">
        <f>IF(AND(ISNUMBER(BB86),ISNUMBER(BB108)),IFERROR(BB86/BB108,""),"")</f>
      </c>
      <c r="BC359" s="215">
        <f>IF(AND(ISNUMBER(BC86),ISNUMBER(BC108)),IFERROR(BC86/BC108,""),"")</f>
      </c>
      <c r="BD359" s="215">
        <f>IF(AND(ISNUMBER(BD86),ISNUMBER(BD108)),IFERROR(BD86/BD108,""),"")</f>
      </c>
      <c r="BE359" s="215">
        <f>IF(AND(ISNUMBER(BE86),ISNUMBER(BE108)),IFERROR(BE86/BE108,""),"")</f>
      </c>
      <c r="BF359" s="215">
        <f>IF(AND(ISNUMBER(BF86),ISNUMBER(BF108)),IFERROR(BF86/BF108,""),"")</f>
      </c>
      <c r="BG359" s="215">
        <f>IF(AND(ISNUMBER(BG86),ISNUMBER(BG108)),IFERROR(BG86/BG108,""),"")</f>
      </c>
      <c r="BH359" s="215">
        <f>IF(AND(ISNUMBER(BH86),ISNUMBER(BH108)),IFERROR(BH86/BH108,""),"")</f>
      </c>
      <c r="BI359" s="215">
        <f>IF(AND(ISNUMBER(BI86),ISNUMBER(BI108)),IFERROR(BI86/BI108,""),"")</f>
        <v>0.0437335948229392</v>
      </c>
      <c r="BJ359" s="215">
        <f>IF(AND(ISNUMBER(BJ86),ISNUMBER(BJ108)),IFERROR(BJ86/BJ108,""),"")</f>
        <v>0.0462879488091006</v>
      </c>
      <c r="BK359" s="215">
        <f>IF(AND(ISNUMBER(BK86),ISNUMBER(BK108)),IFERROR(BK86/BK108,""),"")</f>
        <v>0.04127051736465</v>
      </c>
      <c r="BL359" s="215">
        <f>IF(AND(ISNUMBER(BL86),ISNUMBER(BL108)),IFERROR(BL86/BL108,""),"")</f>
        <v>0.0443136187300075</v>
      </c>
      <c r="BM359" s="215">
        <f>IF(AND(ISNUMBER(BM86),ISNUMBER(BM108)),IFERROR(BM86/BM108,""),"")</f>
        <v>0.0419970965225433</v>
      </c>
      <c r="BN359" s="215">
        <f>IF(AND(ISNUMBER(BN86),ISNUMBER(BN108)),IFERROR(BN86/BN108,""),"")</f>
        <v>0.0423967508014067</v>
      </c>
      <c r="BO359" s="215">
        <f>IF(AND(ISNUMBER(BO86),ISNUMBER(BO108)),IFERROR(BO86/BO108,""),"")</f>
        <v>0.0440297828866079</v>
      </c>
      <c r="BP359" s="215">
        <f>IF(AND(ISNUMBER(BP86),ISNUMBER(BP108)),IFERROR(BP86/BP108,""),"")</f>
        <v>0.0396659253529298</v>
      </c>
      <c r="BQ359" s="215">
        <f>IF(AND(ISNUMBER(BQ86),ISNUMBER(BQ108)),IFERROR(BQ86/BQ108,""),"")</f>
        <v>0.0419643658270845</v>
      </c>
      <c r="BR359" s="215">
        <f>IF(AND(ISNUMBER(BR86),ISNUMBER(BR108)),IFERROR(BR86/BR108,""),"")</f>
        <v>0.0403642628599557</v>
      </c>
      <c r="BS359" s="215">
        <f>IF(AND(ISNUMBER(BS86),ISNUMBER(BS108)),IFERROR(BS86/BS108,""),"")</f>
        <v>0.0412163860266399</v>
      </c>
      <c r="BT359" s="215">
        <f>IF(AND(ISNUMBER(BT86),ISNUMBER(BT108)),IFERROR(BT86/BT108,""),"")</f>
        <v>0.0415821501014199</v>
      </c>
      <c r="BU359" s="215">
        <f>IF(AND(ISNUMBER(BU86),ISNUMBER(BU108)),IFERROR(BU86/BU108,""),"")</f>
        <v>0.0374685857893534</v>
      </c>
      <c r="BV359" s="215">
        <f>IF(AND(ISNUMBER(BV86),ISNUMBER(BV108)),IFERROR(BV86/BV108,""),"")</f>
        <v>0.0400904479618652</v>
      </c>
      <c r="BW359" s="215">
        <f>IF(AND(ISNUMBER(BW86),ISNUMBER(BW108)),IFERROR(BW86/BW108,""),"")</f>
        <v>0.0371559633027523</v>
      </c>
      <c r="BX359" s="215">
        <f>IF(AND(ISNUMBER(BX86),ISNUMBER(BX108)),IFERROR(BX86/BX108,""),"")</f>
        <v>0.0401932791566</v>
      </c>
      <c r="BY359" s="215">
        <f>IF(AND(ISNUMBER(BY86),ISNUMBER(BY108)),IFERROR(BY86/BY108,""),"")</f>
        <v>0.0426776429809359</v>
      </c>
      <c r="BZ359" s="215">
        <f>IF(AND(ISNUMBER(BZ86),ISNUMBER(BZ108)),IFERROR(BZ86/BZ108,""),"")</f>
        <v>0.0376447876447876</v>
      </c>
      <c r="CA359" s="215">
        <f>IF(AND(ISNUMBER(CA86),ISNUMBER(CA108)),IFERROR(CA86/CA108,""),"")</f>
        <v>0.0393928056015821</v>
      </c>
      <c r="CB359" s="215">
        <f>IF(AND(ISNUMBER(CB86),ISNUMBER(CB108)),IFERROR(CB86/CB108,""),"")</f>
        <v>0.0375360923965351</v>
      </c>
      <c r="CC359" s="24" t="n"/>
      <c r="CD359" s="24" t="n"/>
      <c r="CE359" s="24" t="n"/>
      <c r="CF359" s="256">
        <f>IF(AND(ISNUMBER(CF86),ISNUMBER(CF108)),IFERROR(CF86/CF108,""),"")</f>
        <v>0.0360286599392597</v>
      </c>
      <c r="CG359" s="256">
        <f>IF(AND(ISNUMBER(CG86),ISNUMBER(CG108)),IFERROR(CG86/CG108,""),"")</f>
        <v>0.0332773534852903</v>
      </c>
      <c r="CH359" s="256">
        <f>IF(AND(ISNUMBER(CH86),ISNUMBER(CH108)),IFERROR(CH86/CH108,""),"")</f>
        <v>0.031703760904431</v>
      </c>
      <c r="CI359" s="256">
        <f>IF(AND(ISNUMBER(CI86),ISNUMBER(CI108)),IFERROR(CI86/CI108,""),"")</f>
        <v>0.0293764330409333</v>
      </c>
      <c r="CJ359" s="256">
        <f>IF(AND(ISNUMBER(CJ86),ISNUMBER(CJ108)),IFERROR(CJ86/CJ108,""),"")</f>
        <v>0.0280126868460502</v>
      </c>
      <c r="CK359" s="256">
        <f>IF(AND(ISNUMBER(CK86),ISNUMBER(CK108)),IFERROR(CK86/CK108,""),"")</f>
        <v>0.0278772350149094</v>
      </c>
      <c r="CL359" s="153" t="n"/>
    </row>
    <row r="360" ht="15" customHeight="1" s="251">
      <c r="B360" s="25" t="inlineStr">
        <is>
          <t xml:space="preserve">  Interest expense, net ÷ average total debt %</t>
        </is>
      </c>
      <c r="C360" s="36" t="n"/>
      <c r="D360" s="215">
        <f>IFERROR(D119*1/AVERAGE(D338,C338),"")</f>
        <v>0.048900298465037</v>
      </c>
      <c r="E360" s="215">
        <f>IFERROR(E119*1/AVERAGE(E338,D338),"")</f>
        <v>0.0581622636677905</v>
      </c>
      <c r="F360" s="215">
        <f>IFERROR(F119*1/AVERAGE(F338,E338),"")</f>
        <v>0.0413817205582164</v>
      </c>
      <c r="G360" s="215">
        <f>IFERROR(G119*1/AVERAGE(G338,F338),"")</f>
        <v>0.0339011669355747</v>
      </c>
      <c r="H360" s="215">
        <f>IFERROR(H119*1/AVERAGE(H338,G338),"")</f>
        <v>0.0513555749903224</v>
      </c>
      <c r="I360" s="215">
        <f>IFERROR(I119*1/AVERAGE(I338,H338),"")</f>
        <v>0.0646318458731484</v>
      </c>
      <c r="J360" s="36" t="n"/>
      <c r="K360" s="215">
        <f>IFERROR(K119*4/AVERAGE(K338,J338),"")</f>
        <v>0.75776397515528</v>
      </c>
      <c r="L360" s="215">
        <f>IFERROR(L119*4/AVERAGE(L338,K338),"")</f>
        <v>0.189848830335276</v>
      </c>
      <c r="M360" s="215">
        <f>IFERROR(M119*4/AVERAGE(M338,L338),"")</f>
        <v>0.0713173906891184</v>
      </c>
      <c r="N360" s="215">
        <f>IFERROR(N119*1/AVERAGE(N338,I338),"")</f>
        <v>0.153072921259148</v>
      </c>
      <c r="O360" s="215">
        <f>IFERROR(O119*4/AVERAGE(O338,M338),"")</f>
        <v>0.0939433805973785</v>
      </c>
      <c r="P360" s="215">
        <f>IFERROR(P119*4/AVERAGE(P338,O338),"")</f>
        <v>0.0977541656604685</v>
      </c>
      <c r="Q360" s="215">
        <f>IFERROR(Q119*4/AVERAGE(Q338,P338),"")</f>
        <v>0.10441197332955</v>
      </c>
      <c r="R360" s="215">
        <f>IFERROR(R119*4/AVERAGE(R338,Q338),"")</f>
        <v>0.0943539219401288</v>
      </c>
      <c r="S360" s="215">
        <f>IFERROR(S119*1/AVERAGE(S338,N338),"")</f>
        <v>0.0982310695522244</v>
      </c>
      <c r="T360" s="215">
        <f>IFERROR(T119*4/AVERAGE(T338,R338),"")</f>
        <v>0.08654914271915</v>
      </c>
      <c r="U360" s="215">
        <f>IFERROR(U119*4/AVERAGE(U338,T338),"")</f>
        <v>0.124243646631706</v>
      </c>
      <c r="V360" s="215">
        <f>IFERROR(V119*4/AVERAGE(V338,U338),"")</f>
        <v>0.123241508424712</v>
      </c>
      <c r="W360" s="215">
        <f>IFERROR(W119*4/AVERAGE(W338,V338),"")</f>
        <v>0.102625689175173</v>
      </c>
      <c r="X360" s="215">
        <f>IFERROR(X119*1/AVERAGE(X338,S338),"")</f>
        <v>0.1074064647493</v>
      </c>
      <c r="Y360" s="215">
        <f>IFERROR(Y119*4/AVERAGE(Y338,W338),"")</f>
        <v>0.0313481921198963</v>
      </c>
      <c r="Z360" s="215">
        <f>IFERROR(Z119*4/AVERAGE(Z338,Y338),"")</f>
        <v>0.0219151931198056</v>
      </c>
      <c r="AA360" s="215">
        <f>IFERROR(AA119*4/AVERAGE(AA338,Z338),"")</f>
        <v>0.0227418223942932</v>
      </c>
      <c r="AB360" s="215">
        <f>IFERROR(AB119*4/AVERAGE(AB338,AA338),"")</f>
        <v>0.0267140395634926</v>
      </c>
      <c r="AC360" s="215">
        <f>IFERROR(AC119*1/AVERAGE(AC338,X338),"")</f>
        <v>0.046780050094665</v>
      </c>
      <c r="AD360" s="215">
        <f>IFERROR(AD119*4/AVERAGE(AD338,AB338),"")</f>
        <v>0.0259277686062552</v>
      </c>
      <c r="AE360" s="215">
        <f>IFERROR(AE119*4/AVERAGE(AE338,AD338),"")</f>
        <v>0.0267708613123955</v>
      </c>
      <c r="AF360" s="215">
        <f>IFERROR(AF119*4/AVERAGE(AF338,AE338),"")</f>
        <v>0.0270207135337167</v>
      </c>
      <c r="AG360" s="215">
        <f>IFERROR(AG119*4/AVERAGE(AG338,AF338),"")</f>
        <v>0.0289972607008852</v>
      </c>
      <c r="AH360" s="215">
        <f>IFERROR(AH119*1/AVERAGE(AH338,AC338),"")</f>
        <v>0.027485572126738</v>
      </c>
      <c r="AI360" s="215">
        <f>IFERROR(AI119*4/AVERAGE(AI338,AG338),"")</f>
        <v>0.0319738410172062</v>
      </c>
      <c r="AJ360" s="215">
        <f>IFERROR(AJ119*4/AVERAGE(AJ338,AI338),"")</f>
        <v>0.0334255271309538</v>
      </c>
      <c r="AK360" s="215">
        <f>IFERROR(AK119*4/AVERAGE(AK338,AJ338),"")</f>
        <v>0.0336887615649683</v>
      </c>
      <c r="AL360" s="215">
        <f>IFERROR(AL119*4/AVERAGE(AL338,AK338),"")</f>
        <v>0.0388464563112026</v>
      </c>
      <c r="AM360" s="215">
        <f>IFERROR(AM119*1/AVERAGE(AM338,AH338),"")</f>
        <v>0.0338797937516219</v>
      </c>
      <c r="AN360" s="215">
        <f>IFERROR(AN119*4/AVERAGE(AN338,AL338),"")</f>
        <v>0.0430917241726691</v>
      </c>
      <c r="AO360" s="215">
        <f>IFERROR(AO119*4/AVERAGE(AO338,AN338),"")</f>
        <v>0.043043560768146</v>
      </c>
      <c r="AP360" s="215">
        <f>IFERROR(AP119*4/AVERAGE(AP338,AO338),"")</f>
        <v>0.0400654368663942</v>
      </c>
      <c r="AQ360" s="215">
        <f>IFERROR(AQ119*4/AVERAGE(AQ338,AP338),"")</f>
        <v>0.0414167146026789</v>
      </c>
      <c r="AR360" s="215">
        <f>IFERROR(AR119*1/AVERAGE(AR338,AM338),"")</f>
        <v>0.0476771996442413</v>
      </c>
      <c r="AS360" s="215">
        <f>IFERROR(AS119*4/AVERAGE(AS338,AQ338),"")</f>
        <v>0.0625920787264171</v>
      </c>
      <c r="AT360" s="215">
        <f>IFERROR(AT119*4/AVERAGE(AT338,AS338),"")</f>
        <v>0.0590843794891012</v>
      </c>
      <c r="AU360" s="215">
        <f>IFERROR(AU119*4/AVERAGE(AU338,AT338),"")</f>
        <v>0.0615323672135477</v>
      </c>
      <c r="AV360" s="215">
        <f>IFERROR(AV119*4/AVERAGE(AV338,AU338),"")</f>
        <v>0.0696623818773052</v>
      </c>
      <c r="AW360" s="215">
        <f>IFERROR(AW119*1/AVERAGE(AW338,AR338),"")</f>
        <v>0.0565573524558193</v>
      </c>
      <c r="AX360" s="215">
        <f>IFERROR(AX119*4/AVERAGE(AX338,AV338),"")</f>
        <v>0.0736951621293567</v>
      </c>
      <c r="AY360" s="215">
        <f>IFERROR(AY119*4/AVERAGE(AY338,AX338),"")</f>
        <v>0.0630572662928578</v>
      </c>
      <c r="AZ360" s="215">
        <f>IFERROR(AZ119*4/AVERAGE(AZ338,AY338),"")</f>
        <v>0.0639843463372875</v>
      </c>
      <c r="BA360" s="215">
        <f>IFERROR(BA119*4/AVERAGE(BA338,AZ338),"")</f>
        <v>0.073224043715847</v>
      </c>
      <c r="BB360" s="215">
        <f>IFERROR(BB119*1/AVERAGE(BB338,AW338),"")</f>
        <v>0.0731102533295841</v>
      </c>
      <c r="BC360" s="215">
        <f>IFERROR(BC119*4/AVERAGE(BC338,BA338),"")</f>
        <v>0.0950076318826552</v>
      </c>
      <c r="BD360" s="215">
        <f>IFERROR(BD119*4/AVERAGE(BD338,BC338),"")</f>
        <v>6.87183397788551</v>
      </c>
      <c r="BE360" s="215">
        <f>IFERROR(BE119*4/AVERAGE(BE338,BD338),"")</f>
        <v>0.0527205151908549</v>
      </c>
      <c r="BF360" s="215">
        <f>IFERROR(BF119*4/AVERAGE(BF338,BE338),"")</f>
        <v>0.0312149103919572</v>
      </c>
      <c r="BG360" s="215">
        <f>IFERROR(BG119*1/AVERAGE(BG338,BB338),"")</f>
        <v>0.048707851456894</v>
      </c>
      <c r="BH360" s="215">
        <f>IFERROR(BH119*4/AVERAGE(BH338,BF338),"")</f>
        <v>0.0388459681387577</v>
      </c>
      <c r="BI360" s="215">
        <f>IFERROR(BI119*4/AVERAGE(BI338,BH338),"")</f>
        <v>0.0475007805809595</v>
      </c>
      <c r="BJ360" s="215">
        <f>IFERROR(BJ119*4/AVERAGE(BJ338,BI338),"")</f>
        <v>0.0559937204305684</v>
      </c>
      <c r="BK360" s="215">
        <f>IFERROR(BK119*4/AVERAGE(BK338,BJ338),"")</f>
        <v>0.060615345226678</v>
      </c>
      <c r="BL360" s="215">
        <f>IFERROR(BL119*1/AVERAGE(BL338,BG338),"")</f>
        <v>0.0497512276455961</v>
      </c>
      <c r="BM360" s="215">
        <f>IFERROR(BM119*4/AVERAGE(BM338,BK338),"")</f>
        <v>0.0597802839519691</v>
      </c>
      <c r="BN360" s="215">
        <f>IFERROR(BN119*4/AVERAGE(BN338,BM338),"")</f>
        <v>0.0603627642032679</v>
      </c>
      <c r="BO360" s="215">
        <f>IFERROR(BO119*4/AVERAGE(BO338,BN338),"")</f>
        <v>0.0596715483596739</v>
      </c>
      <c r="BP360" s="215">
        <f>IFERROR(BP119*4/AVERAGE(BP338,BO338),"")</f>
        <v>0.0611260839474006</v>
      </c>
      <c r="BQ360" s="215">
        <f>IFERROR(BQ119*1/AVERAGE(BQ338,BL338),"")</f>
        <v>0.0608450268661332</v>
      </c>
      <c r="BR360" s="215">
        <f>IFERROR(BR119*4/AVERAGE(BR338,BP338),"")</f>
        <v>0.0592261008048896</v>
      </c>
      <c r="BS360" s="215">
        <f>IFERROR(BS119*4/AVERAGE(BS338,BR338),"")</f>
        <v>0.0558914416230015</v>
      </c>
      <c r="BT360" s="215">
        <f>IFERROR(BT119*4/AVERAGE(BT338,BS338),"")</f>
        <v>0.0540206381663417</v>
      </c>
      <c r="BU360" s="215">
        <f>IFERROR(BU119*4/AVERAGE(BU338,BT338),"")</f>
        <v>0.0532916991933385</v>
      </c>
      <c r="BV360" s="215">
        <f>IFERROR(BV119*1/AVERAGE(BV338,BQ338),"")</f>
        <v>0.0566287878787879</v>
      </c>
      <c r="BW360" s="215">
        <f>IFERROR(BW119*4/AVERAGE(BW338,BU338),"")</f>
        <v>0.0531677289317427</v>
      </c>
      <c r="BX360" s="215">
        <f>IFERROR(BX119*4/AVERAGE(BX338,BW338),"")</f>
        <v>0.0539588261941914</v>
      </c>
      <c r="BY360" s="215">
        <f>IFERROR(BY119*4/AVERAGE(BY338,BX338),"")</f>
        <v>0.0504535972444574</v>
      </c>
      <c r="BZ360" s="215">
        <f>IFERROR(BZ119*4/AVERAGE(BZ338,BY338),"")</f>
        <v>0.0480248700219757</v>
      </c>
      <c r="CA360" s="215">
        <f>IFERROR(CA119*1/AVERAGE(CA338,BV338),"")</f>
        <v>0.0554689240365338</v>
      </c>
      <c r="CB360" s="215">
        <f>IFERROR(CB119*4/AVERAGE(CB338,BZ338),"")</f>
        <v>0.0480466194921805</v>
      </c>
      <c r="CC360" s="24" t="n"/>
      <c r="CD360" s="24" t="n"/>
      <c r="CE360" s="24" t="n"/>
      <c r="CF360" s="256">
        <f>IFERROR(CF119*1/AVERAGE(CF338,CA338),"")</f>
        <v>0.0515113683929903</v>
      </c>
      <c r="CG360" s="256">
        <f>IFERROR(CG119*1/AVERAGE(CG338,CF338),"")</f>
        <v>0.0357917199525435</v>
      </c>
      <c r="CH360" s="256">
        <f>IFERROR(CH119*1/AVERAGE(CH338,CG338),"")</f>
        <v>0.0456472217816536</v>
      </c>
      <c r="CI360" s="256">
        <f>IFERROR(CI119*1/AVERAGE(CI338,CH338),"")</f>
        <v>0.048460435322374</v>
      </c>
      <c r="CJ360" s="256">
        <f>IFERROR(CJ119*1/AVERAGE(CJ338,CI338),"")</f>
        <v>0.0509200315890661</v>
      </c>
      <c r="CK360" s="256">
        <f>IFERROR(CK119*1/AVERAGE(CK338,CJ338),"")</f>
        <v>0.0508687189115461</v>
      </c>
      <c r="CL360" s="153" t="n"/>
    </row>
    <row r="361" ht="15" customHeight="1" s="251">
      <c r="CT361" s="11" t="n"/>
      <c r="CU361" s="12" t="n"/>
      <c r="CV361" s="12" t="n"/>
      <c r="CW361" s="12" t="n"/>
      <c r="CX361" s="13" t="n"/>
    </row>
    <row r="362" ht="15" customHeight="1" s="251">
      <c r="B362" s="10" t="inlineStr">
        <is>
          <t>RATIO ANALYSIS</t>
        </is>
      </c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  <c r="AA362" s="10" t="n"/>
      <c r="AB362" s="10" t="n"/>
      <c r="AC362" s="10" t="n"/>
      <c r="AD362" s="10" t="n"/>
      <c r="AE362" s="10" t="n"/>
      <c r="AF362" s="10" t="n"/>
      <c r="AG362" s="10" t="n"/>
      <c r="AH362" s="10" t="n"/>
      <c r="AI362" s="10" t="n"/>
      <c r="AJ362" s="10" t="n"/>
      <c r="AK362" s="10" t="n"/>
      <c r="AL362" s="10" t="n"/>
      <c r="AM362" s="10" t="n"/>
      <c r="AN362" s="10" t="n"/>
      <c r="AO362" s="10" t="n"/>
      <c r="AP362" s="10" t="n"/>
      <c r="AQ362" s="10" t="n"/>
      <c r="AR362" s="10" t="n"/>
      <c r="AS362" s="10" t="n"/>
      <c r="AT362" s="10" t="n"/>
      <c r="AU362" s="10" t="n"/>
      <c r="AV362" s="10" t="n"/>
      <c r="AW362" s="10" t="n"/>
      <c r="AX362" s="10" t="n"/>
      <c r="AY362" s="10" t="n"/>
      <c r="AZ362" s="10" t="n"/>
      <c r="BA362" s="10" t="n"/>
      <c r="BB362" s="10" t="n"/>
      <c r="BC362" s="10" t="n"/>
      <c r="BD362" s="10" t="n"/>
      <c r="BE362" s="10" t="n"/>
      <c r="BF362" s="10" t="n"/>
      <c r="BG362" s="10" t="n"/>
      <c r="BH362" s="10" t="n"/>
      <c r="BI362" s="10" t="n"/>
      <c r="BJ362" s="10" t="n"/>
      <c r="BK362" s="10" t="n"/>
      <c r="BL362" s="10" t="n"/>
      <c r="BM362" s="10" t="n"/>
      <c r="BN362" s="10" t="n"/>
      <c r="BO362" s="10" t="n"/>
      <c r="BP362" s="10" t="n"/>
      <c r="BQ362" s="10" t="n"/>
      <c r="BR362" s="10" t="n"/>
      <c r="BS362" s="10" t="n"/>
      <c r="BT362" s="10" t="n"/>
      <c r="BU362" s="10" t="n"/>
      <c r="BV362" s="10" t="n"/>
      <c r="BW362" s="10" t="n"/>
      <c r="BX362" s="10" t="n"/>
      <c r="BY362" s="10" t="n"/>
      <c r="BZ362" s="10" t="n"/>
      <c r="CA362" s="10" t="n"/>
      <c r="CB362" s="10" t="n"/>
      <c r="CC362" s="10" t="n"/>
      <c r="CD362" s="10" t="n"/>
      <c r="CE362" s="10" t="n"/>
      <c r="CF362" s="10" t="n"/>
      <c r="CG362" s="10" t="n"/>
      <c r="CH362" s="10" t="n"/>
      <c r="CI362" s="10" t="n"/>
      <c r="CJ362" s="10" t="n"/>
      <c r="CK362" s="10" t="n"/>
      <c r="CL362" s="10" t="inlineStr">
        <is>
          <t>RETURNS — annual columns (NOPAT on adjusted EBIT, full-cost)</t>
        </is>
      </c>
    </row>
    <row r="363" ht="15" customHeight="1" s="251">
      <c r="B363" s="25" t="inlineStr">
        <is>
          <t>DuPont decomposition of ROIC</t>
        </is>
      </c>
      <c r="CL363" s="153" t="n"/>
    </row>
    <row r="364" ht="15" customHeight="1" s="251">
      <c r="B364" s="25" t="inlineStr">
        <is>
          <t>Adjusted EBIT, full-cost (= adjusted operating income)</t>
        </is>
      </c>
      <c r="C364" s="264">
        <f>C184</f>
        <v>45.365</v>
      </c>
      <c r="D364" s="264">
        <f>D184</f>
        <v>57.08</v>
      </c>
      <c r="E364" s="264">
        <f>E184</f>
        <v>63.95</v>
      </c>
      <c r="F364" s="264">
        <f>F184</f>
        <v>62.946</v>
      </c>
      <c r="G364" s="264">
        <f>G184</f>
        <v>38.722</v>
      </c>
      <c r="H364" s="264">
        <f>H184</f>
        <v>58.215</v>
      </c>
      <c r="I364" s="264">
        <f>I184</f>
        <v>77.648</v>
      </c>
      <c r="J364" s="34" t="n"/>
      <c r="K364" s="34" t="n"/>
      <c r="L364" s="34" t="n"/>
      <c r="M364" s="34" t="n"/>
      <c r="N364" s="264">
        <f>N184</f>
        <v>85.019</v>
      </c>
      <c r="O364" s="34" t="n"/>
      <c r="P364" s="34" t="n"/>
      <c r="Q364" s="34" t="n"/>
      <c r="R364" s="34" t="n"/>
      <c r="S364" s="264">
        <f>S184</f>
        <v>90.692</v>
      </c>
      <c r="T364" s="34" t="n"/>
      <c r="U364" s="34" t="n"/>
      <c r="V364" s="34" t="n"/>
      <c r="W364" s="34" t="n"/>
      <c r="X364" s="264">
        <f>X184</f>
        <v>96.487</v>
      </c>
      <c r="Y364" s="34" t="n"/>
      <c r="Z364" s="34" t="n"/>
      <c r="AA364" s="34" t="n"/>
      <c r="AB364" s="34" t="n"/>
      <c r="AC364" s="264">
        <f>AC184</f>
        <v>118.821</v>
      </c>
      <c r="AD364" s="34" t="n"/>
      <c r="AE364" s="34" t="n"/>
      <c r="AF364" s="34" t="n"/>
      <c r="AG364" s="34" t="n"/>
      <c r="AH364" s="264">
        <f>AH184</f>
        <v>121.357</v>
      </c>
      <c r="AI364" s="34" t="n"/>
      <c r="AJ364" s="34" t="n"/>
      <c r="AK364" s="34" t="n"/>
      <c r="AL364" s="34" t="n"/>
      <c r="AM364" s="264">
        <f>AM184</f>
        <v>136.123</v>
      </c>
      <c r="AN364" s="34" t="n"/>
      <c r="AO364" s="34" t="n"/>
      <c r="AP364" s="34" t="n"/>
      <c r="AQ364" s="34" t="n"/>
      <c r="AR364" s="264">
        <f>AR184</f>
        <v>149.759</v>
      </c>
      <c r="AS364" s="34" t="n"/>
      <c r="AT364" s="34" t="n"/>
      <c r="AU364" s="34" t="n"/>
      <c r="AV364" s="34" t="n"/>
      <c r="AW364" s="264">
        <f>AW184</f>
        <v>157.65</v>
      </c>
      <c r="AX364" s="34" t="n"/>
      <c r="AY364" s="34" t="n"/>
      <c r="AZ364" s="34" t="n"/>
      <c r="BA364" s="34" t="n"/>
      <c r="BB364" s="264">
        <f>BB184</f>
        <v>120.212</v>
      </c>
      <c r="BC364" s="34" t="n"/>
      <c r="BD364" s="34" t="n"/>
      <c r="BE364" s="34" t="n"/>
      <c r="BF364" s="34" t="n"/>
      <c r="BG364" s="264">
        <f>BG184</f>
        <v>177.011</v>
      </c>
      <c r="BH364" s="34" t="n"/>
      <c r="BI364" s="34" t="n"/>
      <c r="BJ364" s="34" t="n"/>
      <c r="BK364" s="34" t="n"/>
      <c r="BL364" s="264">
        <f>BL184</f>
        <v>304.57</v>
      </c>
      <c r="BM364" s="34" t="n"/>
      <c r="BN364" s="34" t="n"/>
      <c r="BO364" s="34" t="n"/>
      <c r="BP364" s="34" t="n"/>
      <c r="BQ364" s="264">
        <f>BQ184</f>
        <v>345.467</v>
      </c>
      <c r="BR364" s="34" t="n"/>
      <c r="BS364" s="34" t="n"/>
      <c r="BT364" s="34" t="n"/>
      <c r="BU364" s="34" t="n"/>
      <c r="BV364" s="264">
        <f>BV184</f>
        <v>371.4</v>
      </c>
      <c r="BW364" s="34" t="n"/>
      <c r="BX364" s="34" t="n"/>
      <c r="BY364" s="34" t="n"/>
      <c r="BZ364" s="34" t="n"/>
      <c r="CA364" s="264">
        <f>CA184</f>
        <v>442</v>
      </c>
      <c r="CB364" s="34" t="n"/>
      <c r="CC364" s="35" t="n"/>
      <c r="CD364" s="35" t="n"/>
      <c r="CE364" s="35" t="n"/>
      <c r="CF364" s="261">
        <f>CF184</f>
        <v>560.623021701425</v>
      </c>
      <c r="CG364" s="261">
        <f>CG184</f>
        <v>627.950465355465</v>
      </c>
      <c r="CH364" s="261">
        <f>CH184</f>
        <v>711.984562509514</v>
      </c>
      <c r="CI364" s="261">
        <f>CI184</f>
        <v>801.303199120574</v>
      </c>
      <c r="CJ364" s="261">
        <f>CJ184</f>
        <v>883.747938670355</v>
      </c>
      <c r="CK364" s="261">
        <f>CK184</f>
        <v>961.831635358326</v>
      </c>
      <c r="CL364" s="19" t="n"/>
    </row>
    <row r="365" ht="15" customHeight="1" s="251">
      <c r="B365" s="25" t="inlineStr">
        <is>
          <t>Effective tax rate (adjusted)</t>
        </is>
      </c>
      <c r="C365" s="215">
        <f>IFERROR(C211+0,0.23)</f>
        <v>0.317677802104668</v>
      </c>
      <c r="D365" s="215">
        <f>IFERROR(D211+0,0.23)</f>
        <v>0.343324726757392</v>
      </c>
      <c r="E365" s="215">
        <f>IFERROR(E211+0,0.23)</f>
        <v>0.329563015815605</v>
      </c>
      <c r="F365" s="215">
        <f>IFERROR(F211+0,0.23)</f>
        <v>0.326158305982707</v>
      </c>
      <c r="G365" s="215">
        <f>IFERROR(G211+0,0.23)</f>
        <v>0.372400072345813</v>
      </c>
      <c r="H365" s="215">
        <f>IFERROR(H211+0,0.23)</f>
        <v>0.335697102437974</v>
      </c>
      <c r="I365" s="215">
        <f>IFERROR(I211+0,0.23)</f>
        <v>0.341962910804301</v>
      </c>
      <c r="J365" s="34" t="n"/>
      <c r="K365" s="34" t="n"/>
      <c r="L365" s="34" t="n"/>
      <c r="M365" s="34" t="n"/>
      <c r="N365" s="215">
        <f>IFERROR(N211+0,0.23)</f>
        <v>0.362512341285331</v>
      </c>
      <c r="O365" s="34" t="n"/>
      <c r="P365" s="34" t="n"/>
      <c r="Q365" s="34" t="n"/>
      <c r="R365" s="34" t="n"/>
      <c r="S365" s="215">
        <f>IFERROR(S211+0,0.23)</f>
        <v>0.333014087644078</v>
      </c>
      <c r="T365" s="34" t="n"/>
      <c r="U365" s="34" t="n"/>
      <c r="V365" s="34" t="n"/>
      <c r="W365" s="34" t="n"/>
      <c r="X365" s="215">
        <f>IFERROR(X211+0,0.23)</f>
        <v>0.327122849812844</v>
      </c>
      <c r="Y365" s="34" t="n"/>
      <c r="Z365" s="34" t="n"/>
      <c r="AA365" s="34" t="n"/>
      <c r="AB365" s="34" t="n"/>
      <c r="AC365" s="215">
        <f>IFERROR(AC211+0,0.23)</f>
        <v>0.328317859093392</v>
      </c>
      <c r="AD365" s="34" t="n"/>
      <c r="AE365" s="34" t="n"/>
      <c r="AF365" s="34" t="n"/>
      <c r="AG365" s="34" t="n"/>
      <c r="AH365" s="215">
        <f>IFERROR(AH211+0,0.23)</f>
        <v>0.328609956474913</v>
      </c>
      <c r="AI365" s="34" t="n"/>
      <c r="AJ365" s="34" t="n"/>
      <c r="AK365" s="34" t="n"/>
      <c r="AL365" s="34" t="n"/>
      <c r="AM365" s="215">
        <f>IFERROR(AM211+0,0.23)</f>
        <v>0.264517587978883</v>
      </c>
      <c r="AN365" s="34" t="n"/>
      <c r="AO365" s="34" t="n"/>
      <c r="AP365" s="34" t="n"/>
      <c r="AQ365" s="34" t="n"/>
      <c r="AR365" s="215">
        <f>IFERROR(AR211+0,0.23)</f>
        <v>0.171860944657413</v>
      </c>
      <c r="AS365" s="34" t="n"/>
      <c r="AT365" s="34" t="n"/>
      <c r="AU365" s="34" t="n"/>
      <c r="AV365" s="34" t="n"/>
      <c r="AW365" s="215">
        <f>IFERROR(AW211+0,0.23)</f>
        <v>0.188414172156515</v>
      </c>
      <c r="AX365" s="34" t="n"/>
      <c r="AY365" s="34" t="n"/>
      <c r="AZ365" s="34" t="n"/>
      <c r="BA365" s="34" t="n"/>
      <c r="BB365" s="215">
        <f>IFERROR(BB211+0,0.23)</f>
        <v>0.18581512605042</v>
      </c>
      <c r="BC365" s="34" t="n"/>
      <c r="BD365" s="34" t="n"/>
      <c r="BE365" s="34" t="n"/>
      <c r="BF365" s="34" t="n"/>
      <c r="BG365" s="215">
        <f>IFERROR(BG211+0,0.23)</f>
        <v>0.124954559954894</v>
      </c>
      <c r="BH365" s="34" t="n"/>
      <c r="BI365" s="34" t="n"/>
      <c r="BJ365" s="34" t="n"/>
      <c r="BK365" s="34" t="n"/>
      <c r="BL365" s="215">
        <f>IFERROR(BL211+0,0.23)</f>
        <v>0.217088836296279</v>
      </c>
      <c r="BM365" s="34" t="n"/>
      <c r="BN365" s="34" t="n"/>
      <c r="BO365" s="34" t="n"/>
      <c r="BP365" s="34" t="n"/>
      <c r="BQ365" s="215">
        <f>IFERROR(BQ211+0,0.23)</f>
        <v>0.216538229999116</v>
      </c>
      <c r="BR365" s="34" t="n"/>
      <c r="BS365" s="34" t="n"/>
      <c r="BT365" s="34" t="n"/>
      <c r="BU365" s="34" t="n"/>
      <c r="BV365" s="215">
        <f>IFERROR(BV211+0,0.23)</f>
        <v>0.228404099560761</v>
      </c>
      <c r="BW365" s="34" t="n"/>
      <c r="BX365" s="34" t="n"/>
      <c r="BY365" s="34" t="n"/>
      <c r="BZ365" s="34" t="n"/>
      <c r="CA365" s="215">
        <f>IFERROR(CA211+0,0.23)</f>
        <v>0.218344965104686</v>
      </c>
      <c r="CB365" s="34" t="n"/>
      <c r="CC365" s="35" t="n"/>
      <c r="CD365" s="35" t="n"/>
      <c r="CE365" s="35" t="n"/>
      <c r="CF365" s="256">
        <f>IFERROR(CF211+0,0.23)</f>
        <v>0.219885634662474</v>
      </c>
      <c r="CG365" s="256">
        <f>IFERROR(CG211+0,0.23)</f>
        <v>0.225</v>
      </c>
      <c r="CH365" s="256">
        <f>IFERROR(CH211+0,0.23)</f>
        <v>0.225</v>
      </c>
      <c r="CI365" s="256">
        <f>IFERROR(CI211+0,0.23)</f>
        <v>0.225</v>
      </c>
      <c r="CJ365" s="256">
        <f>IFERROR(CJ211+0,0.23)</f>
        <v>0.225</v>
      </c>
      <c r="CK365" s="256">
        <f>IFERROR(CK211+0,0.23)</f>
        <v>0.225</v>
      </c>
      <c r="CL365" s="19" t="n"/>
    </row>
    <row r="366" ht="15" customHeight="1" s="251">
      <c r="B366" s="25" t="inlineStr">
        <is>
          <t>NOPAT = Adjusted EBIT × (1 − tax rate)</t>
        </is>
      </c>
      <c r="C366" s="264">
        <f>IFERROR(C364*(1-C365),"n/a")</f>
        <v>30.9535465075217</v>
      </c>
      <c r="D366" s="264">
        <f>IFERROR(D364*(1-D365),"n/a")</f>
        <v>37.4830245966881</v>
      </c>
      <c r="E366" s="264">
        <f>IFERROR(E364*(1-E365),"n/a")</f>
        <v>42.874445138592</v>
      </c>
      <c r="F366" s="264">
        <f>IFERROR(F364*(1-F365),"n/a")</f>
        <v>42.4156392716126</v>
      </c>
      <c r="G366" s="264">
        <f>IFERROR(G364*(1-G365),"n/a")</f>
        <v>24.3019243986254</v>
      </c>
      <c r="H366" s="264">
        <f>IFERROR(H364*(1-H365),"n/a")</f>
        <v>38.6723931815734</v>
      </c>
      <c r="I366" s="264">
        <f>IFERROR(I364*(1-I365),"n/a")</f>
        <v>51.0952639018676</v>
      </c>
      <c r="J366" s="34" t="n"/>
      <c r="K366" s="34" t="n"/>
      <c r="L366" s="34" t="n"/>
      <c r="M366" s="34" t="n"/>
      <c r="N366" s="264">
        <f>IFERROR(N364*(1-N365),"n/a")</f>
        <v>54.1985632562625</v>
      </c>
      <c r="O366" s="34" t="n"/>
      <c r="P366" s="34" t="n"/>
      <c r="Q366" s="34" t="n"/>
      <c r="R366" s="34" t="n"/>
      <c r="S366" s="264">
        <f>IFERROR(S364*(1-S365),"n/a")</f>
        <v>60.4902863633833</v>
      </c>
      <c r="T366" s="34" t="n"/>
      <c r="U366" s="34" t="n"/>
      <c r="V366" s="34" t="n"/>
      <c r="W366" s="34" t="n"/>
      <c r="X366" s="264">
        <f>IFERROR(X364*(1-X365),"n/a")</f>
        <v>64.9238975901081</v>
      </c>
      <c r="Y366" s="34" t="n"/>
      <c r="Z366" s="34" t="n"/>
      <c r="AA366" s="34" t="n"/>
      <c r="AB366" s="34" t="n"/>
      <c r="AC366" s="264">
        <f>IFERROR(AC364*(1-AC365),"n/a")</f>
        <v>79.8099436646641</v>
      </c>
      <c r="AD366" s="34" t="n"/>
      <c r="AE366" s="34" t="n"/>
      <c r="AF366" s="34" t="n"/>
      <c r="AG366" s="34" t="n"/>
      <c r="AH366" s="264">
        <f>IFERROR(AH364*(1-AH365),"n/a")</f>
        <v>81.477881512074</v>
      </c>
      <c r="AI366" s="34" t="n"/>
      <c r="AJ366" s="34" t="n"/>
      <c r="AK366" s="34" t="n"/>
      <c r="AL366" s="34" t="n"/>
      <c r="AM366" s="264">
        <f>IFERROR(AM364*(1-AM365),"n/a")</f>
        <v>100.11607237155</v>
      </c>
      <c r="AN366" s="34" t="n"/>
      <c r="AO366" s="34" t="n"/>
      <c r="AP366" s="34" t="n"/>
      <c r="AQ366" s="34" t="n"/>
      <c r="AR366" s="264">
        <f>IFERROR(AR364*(1-AR365),"n/a")</f>
        <v>124.02127678905</v>
      </c>
      <c r="AS366" s="34" t="n"/>
      <c r="AT366" s="34" t="n"/>
      <c r="AU366" s="34" t="n"/>
      <c r="AV366" s="34" t="n"/>
      <c r="AW366" s="264">
        <f>IFERROR(AW364*(1-AW365),"n/a")</f>
        <v>127.946505759525</v>
      </c>
      <c r="AX366" s="34" t="n"/>
      <c r="AY366" s="34" t="n"/>
      <c r="AZ366" s="34" t="n"/>
      <c r="BA366" s="34" t="n"/>
      <c r="BB366" s="264">
        <f>IFERROR(BB364*(1-BB365),"n/a")</f>
        <v>97.8747920672269</v>
      </c>
      <c r="BC366" s="34" t="n"/>
      <c r="BD366" s="34" t="n"/>
      <c r="BE366" s="34" t="n"/>
      <c r="BF366" s="34" t="n"/>
      <c r="BG366" s="264">
        <f>IFERROR(BG364*(1-BG365),"n/a")</f>
        <v>154.892668387824</v>
      </c>
      <c r="BH366" s="34" t="n"/>
      <c r="BI366" s="34" t="n"/>
      <c r="BJ366" s="34" t="n"/>
      <c r="BK366" s="34" t="n"/>
      <c r="BL366" s="264">
        <f>IFERROR(BL364*(1-BL365),"n/a")</f>
        <v>238.451253129242</v>
      </c>
      <c r="BM366" s="34" t="n"/>
      <c r="BN366" s="34" t="n"/>
      <c r="BO366" s="34" t="n"/>
      <c r="BP366" s="34" t="n"/>
      <c r="BQ366" s="264">
        <f>IFERROR(BQ364*(1-BQ365),"n/a")</f>
        <v>270.660187296896</v>
      </c>
      <c r="BR366" s="34" t="n"/>
      <c r="BS366" s="34" t="n"/>
      <c r="BT366" s="34" t="n"/>
      <c r="BU366" s="34" t="n"/>
      <c r="BV366" s="264">
        <f>IFERROR(BV364*(1-BV365),"n/a")</f>
        <v>286.570717423133</v>
      </c>
      <c r="BW366" s="34" t="n"/>
      <c r="BX366" s="34" t="n"/>
      <c r="BY366" s="34" t="n"/>
      <c r="BZ366" s="34" t="n"/>
      <c r="CA366" s="264">
        <f>IFERROR(CA364*(1-CA365),"n/a")</f>
        <v>345.491525423729</v>
      </c>
      <c r="CB366" s="34" t="n"/>
      <c r="CC366" s="35" t="n"/>
      <c r="CD366" s="35" t="n"/>
      <c r="CE366" s="35" t="n"/>
      <c r="CF366" s="261">
        <f>IFERROR(CF364*(1-CF365),"n/a")</f>
        <v>437.350072768214</v>
      </c>
      <c r="CG366" s="261">
        <f>IFERROR(CG364*(1-CG365),"n/a")</f>
        <v>486.661610650485</v>
      </c>
      <c r="CH366" s="261">
        <f>IFERROR(CH364*(1-CH365),"n/a")</f>
        <v>551.788035944874</v>
      </c>
      <c r="CI366" s="261">
        <f>IFERROR(CI364*(1-CI365),"n/a")</f>
        <v>621.009979318445</v>
      </c>
      <c r="CJ366" s="261">
        <f>IFERROR(CJ364*(1-CJ365),"n/a")</f>
        <v>684.904652469525</v>
      </c>
      <c r="CK366" s="261">
        <f>IFERROR(CK364*(1-CK365),"n/a")</f>
        <v>745.419517402703</v>
      </c>
      <c r="CL366" s="19" t="n"/>
    </row>
    <row r="367" ht="15" customHeight="1" s="251">
      <c r="B367" s="25" t="inlineStr">
        <is>
          <t>Invested capital (IC) = Equity + Net debt</t>
        </is>
      </c>
      <c r="C367" s="264">
        <f>IFERROR(C368+C369,"n/a")</f>
        <v>222.961</v>
      </c>
      <c r="D367" s="264">
        <f>IFERROR(D368+D369,"n/a")</f>
        <v>222.392</v>
      </c>
      <c r="E367" s="264">
        <f>IFERROR(E368+E369,"n/a")</f>
        <v>271.801</v>
      </c>
      <c r="F367" s="264">
        <f>IFERROR(F368+F369,"n/a")</f>
        <v>293.605</v>
      </c>
      <c r="G367" s="264">
        <f>IFERROR(G368+G369,"n/a")</f>
        <v>300.611</v>
      </c>
      <c r="H367" s="264">
        <f>IFERROR(H368+H369,"n/a")</f>
        <v>297.388</v>
      </c>
      <c r="I367" s="264">
        <f>IFERROR(I368+I369,"n/a")</f>
        <v>318.235</v>
      </c>
      <c r="J367" s="34" t="n"/>
      <c r="K367" s="34" t="n"/>
      <c r="L367" s="34" t="n"/>
      <c r="M367" s="34" t="n"/>
      <c r="N367" s="264">
        <f>IFERROR(N368+N369,"n/a")</f>
        <v>358.015</v>
      </c>
      <c r="O367" s="34" t="n"/>
      <c r="P367" s="34" t="n"/>
      <c r="Q367" s="34" t="n"/>
      <c r="R367" s="34" t="n"/>
      <c r="S367" s="264">
        <f>IFERROR(S368+S369,"n/a")</f>
        <v>427.692</v>
      </c>
      <c r="T367" s="34" t="n"/>
      <c r="U367" s="34" t="n"/>
      <c r="V367" s="34" t="n"/>
      <c r="W367" s="34" t="n"/>
      <c r="X367" s="264">
        <f>IFERROR(X368+X369,"n/a")</f>
        <v>433.176</v>
      </c>
      <c r="Y367" s="34" t="n"/>
      <c r="Z367" s="34" t="n"/>
      <c r="AA367" s="34" t="n"/>
      <c r="AB367" s="34" t="n"/>
      <c r="AC367" s="264">
        <f>IFERROR(AC368+AC369,"n/a")</f>
        <v>945.435</v>
      </c>
      <c r="AD367" s="34" t="n"/>
      <c r="AE367" s="34" t="n"/>
      <c r="AF367" s="34" t="n"/>
      <c r="AG367" s="34" t="n"/>
      <c r="AH367" s="264">
        <f>IFERROR(AH368+AH369,"n/a")</f>
        <v>947.921</v>
      </c>
      <c r="AI367" s="34" t="n"/>
      <c r="AJ367" s="34" t="n"/>
      <c r="AK367" s="34" t="n"/>
      <c r="AL367" s="34" t="n"/>
      <c r="AM367" s="264">
        <f>IFERROR(AM368+AM369,"n/a")</f>
        <v>953.744</v>
      </c>
      <c r="AN367" s="34" t="n"/>
      <c r="AO367" s="34" t="n"/>
      <c r="AP367" s="34" t="n"/>
      <c r="AQ367" s="34" t="n"/>
      <c r="AR367" s="264">
        <f>IFERROR(AR368+AR369,"n/a")</f>
        <v>982.328</v>
      </c>
      <c r="AS367" s="34" t="n"/>
      <c r="AT367" s="34" t="n"/>
      <c r="AU367" s="34" t="n"/>
      <c r="AV367" s="34" t="n"/>
      <c r="AW367" s="264">
        <f>IFERROR(AW368+AW369,"n/a")</f>
        <v>1037.756</v>
      </c>
      <c r="AX367" s="34" t="n"/>
      <c r="AY367" s="34" t="n"/>
      <c r="AZ367" s="34" t="n"/>
      <c r="BA367" s="34" t="n"/>
      <c r="BB367" s="264">
        <f>IFERROR(BB368+BB369,"n/a")</f>
        <v>1094.972</v>
      </c>
      <c r="BC367" s="34" t="n"/>
      <c r="BD367" s="34" t="n"/>
      <c r="BE367" s="34" t="n"/>
      <c r="BF367" s="34" t="n"/>
      <c r="BG367" s="264">
        <f>IFERROR(BG368+BG369,"n/a")</f>
        <v>3877.326</v>
      </c>
      <c r="BH367" s="34" t="n"/>
      <c r="BI367" s="34" t="n"/>
      <c r="BJ367" s="34" t="n"/>
      <c r="BK367" s="34" t="n"/>
      <c r="BL367" s="264">
        <f>IFERROR(BL368+BL369,"n/a")</f>
        <v>3865.5</v>
      </c>
      <c r="BM367" s="34" t="n"/>
      <c r="BN367" s="34" t="n"/>
      <c r="BO367" s="34" t="n"/>
      <c r="BP367" s="34" t="n"/>
      <c r="BQ367" s="264">
        <f>IFERROR(BQ368+BQ369,"n/a")</f>
        <v>3880.3</v>
      </c>
      <c r="BR367" s="34" t="n"/>
      <c r="BS367" s="34" t="n"/>
      <c r="BT367" s="34" t="n"/>
      <c r="BU367" s="34" t="n"/>
      <c r="BV367" s="264">
        <f>IFERROR(BV368+BV369,"n/a")</f>
        <v>3914.7</v>
      </c>
      <c r="BW367" s="34" t="n"/>
      <c r="BX367" s="34" t="n"/>
      <c r="BY367" s="34" t="n"/>
      <c r="BZ367" s="34" t="n"/>
      <c r="CA367" s="264">
        <f>IFERROR(CA368+CA369,"n/a")</f>
        <v>4179.2</v>
      </c>
      <c r="CB367" s="34" t="n"/>
      <c r="CC367" s="35" t="n"/>
      <c r="CD367" s="35" t="n"/>
      <c r="CE367" s="35" t="n"/>
      <c r="CF367" s="261">
        <f>IFERROR(CF368+CF369,"n/a")</f>
        <v>4257.62373649104</v>
      </c>
      <c r="CG367" s="261">
        <f>IFERROR(CG368+CG369,"n/a")</f>
        <v>4530.45519801202</v>
      </c>
      <c r="CH367" s="261">
        <f>IFERROR(CH368+CH369,"n/a")</f>
        <v>4810.18290580897</v>
      </c>
      <c r="CI367" s="261">
        <f>IFERROR(CI368+CI369,"n/a")</f>
        <v>5078.31698672497</v>
      </c>
      <c r="CJ367" s="261">
        <f>IFERROR(CJ368+CJ369,"n/a")</f>
        <v>5351.81618499229</v>
      </c>
      <c r="CK367" s="261">
        <f>IFERROR(CK368+CK369,"n/a")</f>
        <v>5629.72209178839</v>
      </c>
      <c r="CL367" s="19" t="n"/>
    </row>
    <row r="368" ht="15" customHeight="1" s="251">
      <c r="B368" s="25" t="inlineStr">
        <is>
          <t xml:space="preserve">  Total equity</t>
        </is>
      </c>
      <c r="C368" s="264">
        <f>IF(ISNUMBER(C298),C298,"n/a")</f>
        <v>73.34</v>
      </c>
      <c r="D368" s="264">
        <f>IF(ISNUMBER(D298),D298,"n/a")</f>
        <v>168.171</v>
      </c>
      <c r="E368" s="264">
        <f>IF(ISNUMBER(E298),E298,"n/a")</f>
        <v>223.91</v>
      </c>
      <c r="F368" s="264">
        <f>IF(ISNUMBER(F298),F298,"n/a")</f>
        <v>256.011</v>
      </c>
      <c r="G368" s="264">
        <f>IF(ISNUMBER(G298),G298,"n/a")</f>
        <v>283.547</v>
      </c>
      <c r="H368" s="264">
        <f>IF(ISNUMBER(H298),H298,"n/a")</f>
        <v>330.067</v>
      </c>
      <c r="I368" s="264">
        <f>IF(ISNUMBER(I298),I298,"n/a")</f>
        <v>385.815</v>
      </c>
      <c r="J368" s="34" t="n"/>
      <c r="K368" s="34" t="n"/>
      <c r="L368" s="34" t="n"/>
      <c r="M368" s="34" t="n"/>
      <c r="N368" s="264">
        <f>IF(ISNUMBER(N298),N298,"n/a")</f>
        <v>462.195</v>
      </c>
      <c r="O368" s="34" t="n"/>
      <c r="P368" s="34" t="n"/>
      <c r="Q368" s="34" t="n"/>
      <c r="R368" s="34" t="n"/>
      <c r="S368" s="264">
        <f>IF(ISNUMBER(S298),S298,"n/a")</f>
        <v>538.452</v>
      </c>
      <c r="T368" s="34" t="n"/>
      <c r="U368" s="34" t="n"/>
      <c r="V368" s="34" t="n"/>
      <c r="W368" s="34" t="n"/>
      <c r="X368" s="264">
        <f>IF(ISNUMBER(X298),X298,"n/a")</f>
        <v>549.433</v>
      </c>
      <c r="Y368" s="34" t="n"/>
      <c r="Z368" s="34" t="n"/>
      <c r="AA368" s="34" t="n"/>
      <c r="AB368" s="34" t="n"/>
      <c r="AC368" s="264">
        <f>IF(ISNUMBER(AC298),AC298,"n/a")</f>
        <v>620.947</v>
      </c>
      <c r="AD368" s="34" t="n"/>
      <c r="AE368" s="34" t="n"/>
      <c r="AF368" s="34" t="n"/>
      <c r="AG368" s="34" t="n"/>
      <c r="AH368" s="264">
        <f>IF(ISNUMBER(AH298),AH298,"n/a")</f>
        <v>717.044</v>
      </c>
      <c r="AI368" s="34" t="n"/>
      <c r="AJ368" s="34" t="n"/>
      <c r="AK368" s="34" t="n"/>
      <c r="AL368" s="34" t="n"/>
      <c r="AM368" s="264">
        <f>IF(ISNUMBER(AM298),AM298,"n/a")</f>
        <v>834.552</v>
      </c>
      <c r="AN368" s="34" t="n"/>
      <c r="AO368" s="34" t="n"/>
      <c r="AP368" s="34" t="n"/>
      <c r="AQ368" s="34" t="n"/>
      <c r="AR368" s="264">
        <f>IF(ISNUMBER(AR298),AR298,"n/a")</f>
        <v>968.566</v>
      </c>
      <c r="AS368" s="34" t="n"/>
      <c r="AT368" s="34" t="n"/>
      <c r="AU368" s="34" t="n"/>
      <c r="AV368" s="34" t="n"/>
      <c r="AW368" s="264">
        <f>IF(ISNUMBER(AW298),AW298,"n/a")</f>
        <v>1117.999</v>
      </c>
      <c r="AX368" s="34" t="n"/>
      <c r="AY368" s="34" t="n"/>
      <c r="AZ368" s="34" t="n"/>
      <c r="BA368" s="34" t="n"/>
      <c r="BB368" s="264">
        <f>IF(ISNUMBER(BB298),BB298,"n/a")</f>
        <v>1229.951</v>
      </c>
      <c r="BC368" s="34" t="n"/>
      <c r="BD368" s="34" t="n"/>
      <c r="BE368" s="34" t="n"/>
      <c r="BF368" s="34" t="n"/>
      <c r="BG368" s="264">
        <f>IF(ISNUMBER(BG298),BG298,"n/a")</f>
        <v>2371.847</v>
      </c>
      <c r="BH368" s="34" t="n"/>
      <c r="BI368" s="34" t="n"/>
      <c r="BJ368" s="34" t="n"/>
      <c r="BK368" s="34" t="n"/>
      <c r="BL368" s="264">
        <f>IF(ISNUMBER(BL298),BL298,"n/a")</f>
        <v>2535.9</v>
      </c>
      <c r="BM368" s="34" t="n"/>
      <c r="BN368" s="34" t="n"/>
      <c r="BO368" s="34" t="n"/>
      <c r="BP368" s="34" t="n"/>
      <c r="BQ368" s="264">
        <f>IF(ISNUMBER(BQ298),BQ298,"n/a")</f>
        <v>2751.9</v>
      </c>
      <c r="BR368" s="34" t="n"/>
      <c r="BS368" s="34" t="n"/>
      <c r="BT368" s="34" t="n"/>
      <c r="BU368" s="34" t="n"/>
      <c r="BV368" s="264">
        <f>IF(ISNUMBER(BV298),BV298,"n/a")</f>
        <v>3031.4</v>
      </c>
      <c r="BW368" s="34" t="n"/>
      <c r="BX368" s="34" t="n"/>
      <c r="BY368" s="34" t="n"/>
      <c r="BZ368" s="34" t="n"/>
      <c r="CA368" s="264">
        <f>IF(ISNUMBER(CA298),CA298,"n/a")</f>
        <v>3361</v>
      </c>
      <c r="CB368" s="34" t="n"/>
      <c r="CC368" s="35" t="n"/>
      <c r="CD368" s="35" t="n"/>
      <c r="CE368" s="35" t="n"/>
      <c r="CF368" s="261">
        <f>IF(ISNUMBER(CF298),CF298,"n/a")</f>
        <v>3787.0782025898</v>
      </c>
      <c r="CG368" s="261">
        <f>IF(ISNUMBER(CG298),CG298,"n/a")</f>
        <v>3713.44608356596</v>
      </c>
      <c r="CH368" s="261">
        <f>IF(ISNUMBER(CH298),CH298,"n/a")</f>
        <v>3891.01126085533</v>
      </c>
      <c r="CI368" s="261">
        <f>IF(ISNUMBER(CI298),CI298,"n/a")</f>
        <v>4054.70585288793</v>
      </c>
      <c r="CJ368" s="261">
        <f>IF(ISNUMBER(CJ298),CJ298,"n/a")</f>
        <v>4228.4312303819</v>
      </c>
      <c r="CK368" s="261">
        <f>IF(ISNUMBER(CK298),CK298,"n/a")</f>
        <v>4407.65408085878</v>
      </c>
      <c r="CL368" s="19" t="n"/>
    </row>
    <row r="369" ht="15" customHeight="1" s="251">
      <c r="B369" s="25" t="inlineStr">
        <is>
          <t xml:space="preserve">  Net debt = Total debt − Cash</t>
        </is>
      </c>
      <c r="C369" s="264">
        <f>IFERROR(C338-C280,"n/a")</f>
        <v>149.621</v>
      </c>
      <c r="D369" s="264">
        <f>IFERROR(D338-D280,"n/a")</f>
        <v>54.221</v>
      </c>
      <c r="E369" s="264">
        <f>IFERROR(E338-E280,"n/a")</f>
        <v>47.891</v>
      </c>
      <c r="F369" s="264">
        <f>IFERROR(F338-F280,"n/a")</f>
        <v>37.594</v>
      </c>
      <c r="G369" s="264">
        <f>IFERROR(G338-G280,"n/a")</f>
        <v>17.064</v>
      </c>
      <c r="H369" s="264">
        <f>IFERROR(H338-H280,"n/a")</f>
        <v>-32.679</v>
      </c>
      <c r="I369" s="264">
        <f>IFERROR(I338-I280,"n/a")</f>
        <v>-67.58</v>
      </c>
      <c r="J369" s="34" t="n"/>
      <c r="K369" s="34" t="n"/>
      <c r="L369" s="34" t="n"/>
      <c r="M369" s="34" t="n"/>
      <c r="N369" s="264">
        <f>IFERROR(N338-N280,"n/a")</f>
        <v>-104.18</v>
      </c>
      <c r="O369" s="34" t="n"/>
      <c r="P369" s="34" t="n"/>
      <c r="Q369" s="34" t="n"/>
      <c r="R369" s="34" t="n"/>
      <c r="S369" s="264">
        <f>IFERROR(S338-S280,"n/a")</f>
        <v>-110.76</v>
      </c>
      <c r="T369" s="34" t="n"/>
      <c r="U369" s="34" t="n"/>
      <c r="V369" s="34" t="n"/>
      <c r="W369" s="34" t="n"/>
      <c r="X369" s="264">
        <f>IFERROR(X338-X280,"n/a")</f>
        <v>-116.257</v>
      </c>
      <c r="Y369" s="34" t="n"/>
      <c r="Z369" s="34" t="n"/>
      <c r="AA369" s="34" t="n"/>
      <c r="AB369" s="34" t="n"/>
      <c r="AC369" s="264">
        <f>IFERROR(AC338-AC280,"n/a")</f>
        <v>324.488</v>
      </c>
      <c r="AD369" s="34" t="n"/>
      <c r="AE369" s="34" t="n"/>
      <c r="AF369" s="34" t="n"/>
      <c r="AG369" s="34" t="n"/>
      <c r="AH369" s="264">
        <f>IFERROR(AH338-AH280,"n/a")</f>
        <v>230.877</v>
      </c>
      <c r="AI369" s="34" t="n"/>
      <c r="AJ369" s="34" t="n"/>
      <c r="AK369" s="34" t="n"/>
      <c r="AL369" s="34" t="n"/>
      <c r="AM369" s="264">
        <f>IFERROR(AM338-AM280,"n/a")</f>
        <v>119.192</v>
      </c>
      <c r="AN369" s="34" t="n"/>
      <c r="AO369" s="34" t="n"/>
      <c r="AP369" s="34" t="n"/>
      <c r="AQ369" s="34" t="n"/>
      <c r="AR369" s="264">
        <f>IFERROR(AR338-AR280,"n/a")</f>
        <v>13.762</v>
      </c>
      <c r="AS369" s="34" t="n"/>
      <c r="AT369" s="34" t="n"/>
      <c r="AU369" s="34" t="n"/>
      <c r="AV369" s="34" t="n"/>
      <c r="AW369" s="264">
        <f>IFERROR(AW338-AW280,"n/a")</f>
        <v>-80.243</v>
      </c>
      <c r="AX369" s="34" t="n"/>
      <c r="AY369" s="34" t="n"/>
      <c r="AZ369" s="34" t="n"/>
      <c r="BA369" s="34" t="n"/>
      <c r="BB369" s="264">
        <f>IFERROR(BB338-BB280,"n/a")</f>
        <v>-134.979</v>
      </c>
      <c r="BC369" s="34" t="n"/>
      <c r="BD369" s="34" t="n"/>
      <c r="BE369" s="34" t="n"/>
      <c r="BF369" s="34" t="n"/>
      <c r="BG369" s="264">
        <f>IFERROR(BG338-BG280,"n/a")</f>
        <v>1505.479</v>
      </c>
      <c r="BH369" s="34" t="n"/>
      <c r="BI369" s="34" t="n"/>
      <c r="BJ369" s="34" t="n"/>
      <c r="BK369" s="34" t="n"/>
      <c r="BL369" s="264">
        <f>IFERROR(BL338-BL280,"n/a")</f>
        <v>1329.6</v>
      </c>
      <c r="BM369" s="34" t="n"/>
      <c r="BN369" s="34" t="n"/>
      <c r="BO369" s="34" t="n"/>
      <c r="BP369" s="34" t="n"/>
      <c r="BQ369" s="264">
        <f>IFERROR(BQ338-BQ280,"n/a")</f>
        <v>1128.4</v>
      </c>
      <c r="BR369" s="34" t="n"/>
      <c r="BS369" s="34" t="n"/>
      <c r="BT369" s="34" t="n"/>
      <c r="BU369" s="34" t="n"/>
      <c r="BV369" s="264">
        <f>IFERROR(BV338-BV280,"n/a")</f>
        <v>883.3</v>
      </c>
      <c r="BW369" s="34" t="n"/>
      <c r="BX369" s="34" t="n"/>
      <c r="BY369" s="34" t="n"/>
      <c r="BZ369" s="34" t="n"/>
      <c r="CA369" s="264">
        <f>IFERROR(CA338-CA280,"n/a")</f>
        <v>818.2</v>
      </c>
      <c r="CB369" s="34" t="n"/>
      <c r="CC369" s="35" t="n"/>
      <c r="CD369" s="35" t="n"/>
      <c r="CE369" s="35" t="n"/>
      <c r="CF369" s="261">
        <f>IFERROR(CF338-CF280,"n/a")</f>
        <v>470.545533901234</v>
      </c>
      <c r="CG369" s="261">
        <f>IFERROR(CG338-CG280,"n/a")</f>
        <v>817.009114446059</v>
      </c>
      <c r="CH369" s="261">
        <f>IFERROR(CH338-CH280,"n/a")</f>
        <v>919.171644953639</v>
      </c>
      <c r="CI369" s="261">
        <f>IFERROR(CI338-CI280,"n/a")</f>
        <v>1023.61113383704</v>
      </c>
      <c r="CJ369" s="261">
        <f>IFERROR(CJ338-CJ280,"n/a")</f>
        <v>1123.38495461038</v>
      </c>
      <c r="CK369" s="261">
        <f>IFERROR(CK338-CK280,"n/a")</f>
        <v>1222.06801092962</v>
      </c>
      <c r="CL369" s="19" t="n"/>
    </row>
    <row r="370" ht="15" customHeight="1" s="251">
      <c r="B370" s="55" t="inlineStr">
        <is>
          <t>ROIC = NOPAT / IC</t>
        </is>
      </c>
      <c r="C370" s="290">
        <f>IFERROR(C366/C367,"n/a")</f>
        <v>0.138829420874152</v>
      </c>
      <c r="D370" s="290">
        <f>IFERROR(D366/D367,"n/a")</f>
        <v>0.168544842425483</v>
      </c>
      <c r="E370" s="290">
        <f>IFERROR(E366/E367,"n/a")</f>
        <v>0.157742043401577</v>
      </c>
      <c r="F370" s="290">
        <f>IFERROR(F366/F367,"n/a")</f>
        <v>0.14446497597661</v>
      </c>
      <c r="G370" s="290">
        <f>IFERROR(G366/G367,"n/a")</f>
        <v>0.0808417669301038</v>
      </c>
      <c r="H370" s="290">
        <f>IFERROR(H366/H367,"n/a")</f>
        <v>0.13004019389341</v>
      </c>
      <c r="I370" s="290">
        <f>IFERROR(I366/I367,"n/a")</f>
        <v>0.160558278950674</v>
      </c>
      <c r="J370" s="56" t="n"/>
      <c r="K370" s="56" t="n"/>
      <c r="L370" s="56" t="n"/>
      <c r="M370" s="56" t="n"/>
      <c r="N370" s="290">
        <f>IFERROR(N366/N367,"n/a")</f>
        <v>0.151386291792977</v>
      </c>
      <c r="O370" s="56" t="n"/>
      <c r="P370" s="56" t="n"/>
      <c r="Q370" s="56" t="n"/>
      <c r="R370" s="56" t="n"/>
      <c r="S370" s="290">
        <f>IFERROR(S366/S367,"n/a")</f>
        <v>0.141434224543324</v>
      </c>
      <c r="T370" s="56" t="n"/>
      <c r="U370" s="56" t="n"/>
      <c r="V370" s="56" t="n"/>
      <c r="W370" s="56" t="n"/>
      <c r="X370" s="290">
        <f>IFERROR(X366/X367,"n/a")</f>
        <v>0.149878796586395</v>
      </c>
      <c r="Y370" s="56" t="n"/>
      <c r="Z370" s="56" t="n"/>
      <c r="AA370" s="56" t="n"/>
      <c r="AB370" s="56" t="n"/>
      <c r="AC370" s="290">
        <f>IFERROR(AC366/AC367,"n/a")</f>
        <v>0.084416108632179</v>
      </c>
      <c r="AD370" s="56" t="n"/>
      <c r="AE370" s="56" t="n"/>
      <c r="AF370" s="56" t="n"/>
      <c r="AG370" s="56" t="n"/>
      <c r="AH370" s="290">
        <f>IFERROR(AH366/AH367,"n/a")</f>
        <v>0.0859542952546404</v>
      </c>
      <c r="AI370" s="56" t="n"/>
      <c r="AJ370" s="56" t="n"/>
      <c r="AK370" s="56" t="n"/>
      <c r="AL370" s="56" t="n"/>
      <c r="AM370" s="290">
        <f>IFERROR(AM366/AM367,"n/a")</f>
        <v>0.104971640578133</v>
      </c>
      <c r="AN370" s="56" t="n"/>
      <c r="AO370" s="56" t="n"/>
      <c r="AP370" s="56" t="n"/>
      <c r="AQ370" s="56" t="n"/>
      <c r="AR370" s="290">
        <f>IFERROR(AR366/AR367,"n/a")</f>
        <v>0.126252409367391</v>
      </c>
      <c r="AS370" s="56" t="n"/>
      <c r="AT370" s="56" t="n"/>
      <c r="AU370" s="56" t="n"/>
      <c r="AV370" s="56" t="n"/>
      <c r="AW370" s="290">
        <f>IFERROR(AW366/AW367,"n/a")</f>
        <v>0.123291511453102</v>
      </c>
      <c r="AX370" s="56" t="n"/>
      <c r="AY370" s="56" t="n"/>
      <c r="AZ370" s="56" t="n"/>
      <c r="BA370" s="56" t="n"/>
      <c r="BB370" s="290">
        <f>IFERROR(BB366/BB367,"n/a")</f>
        <v>0.0893856574115383</v>
      </c>
      <c r="BC370" s="56" t="n"/>
      <c r="BD370" s="56" t="n"/>
      <c r="BE370" s="56" t="n"/>
      <c r="BF370" s="56" t="n"/>
      <c r="BG370" s="290">
        <f>IFERROR(BG366/BG367,"n/a")</f>
        <v>0.039948322216864</v>
      </c>
      <c r="BH370" s="56" t="n"/>
      <c r="BI370" s="56" t="n"/>
      <c r="BJ370" s="56" t="n"/>
      <c r="BK370" s="56" t="n"/>
      <c r="BL370" s="290">
        <f>IFERROR(BL366/BL367,"n/a")</f>
        <v>0.0616870400023909</v>
      </c>
      <c r="BM370" s="56" t="n"/>
      <c r="BN370" s="56" t="n"/>
      <c r="BO370" s="56" t="n"/>
      <c r="BP370" s="56" t="n"/>
      <c r="BQ370" s="290">
        <f>IFERROR(BQ366/BQ367,"n/a")</f>
        <v>0.0697523870053593</v>
      </c>
      <c r="BR370" s="56" t="n"/>
      <c r="BS370" s="56" t="n"/>
      <c r="BT370" s="56" t="n"/>
      <c r="BU370" s="56" t="n"/>
      <c r="BV370" s="290">
        <f>IFERROR(BV366/BV367,"n/a")</f>
        <v>0.0732037493098151</v>
      </c>
      <c r="BW370" s="56" t="n"/>
      <c r="BX370" s="56" t="n"/>
      <c r="BY370" s="56" t="n"/>
      <c r="BZ370" s="56" t="n"/>
      <c r="CA370" s="290">
        <f>IFERROR(CA366/CA367,"n/a")</f>
        <v>0.0826692968567498</v>
      </c>
      <c r="CB370" s="56" t="n"/>
      <c r="CC370" s="56" t="n"/>
      <c r="CD370" s="56" t="n"/>
      <c r="CE370" s="56" t="n"/>
      <c r="CF370" s="290">
        <f>IFERROR(CF366/CF367,"n/a")</f>
        <v>0.102721635314975</v>
      </c>
      <c r="CG370" s="290">
        <f>IFERROR(CG366/CG367,"n/a")</f>
        <v>0.107420025004117</v>
      </c>
      <c r="CH370" s="290">
        <f>IFERROR(CH366/CH367,"n/a")</f>
        <v>0.114712485314958</v>
      </c>
      <c r="CI370" s="290">
        <f>IFERROR(CI366/CI367,"n/a")</f>
        <v>0.122286572685754</v>
      </c>
      <c r="CJ370" s="290">
        <f>IFERROR(CJ366/CJ367,"n/a")</f>
        <v>0.127976116666741</v>
      </c>
      <c r="CK370" s="290">
        <f>IFERROR(CK366/CK367,"n/a")</f>
        <v>0.132407871161169</v>
      </c>
      <c r="CL370" s="153" t="n"/>
      <c r="CN370" s="37">
        <f>IFERROR(AVERAGE(CG370,CH370,CI370,CJ370,CK370),"n/m")</f>
        <v>0.120960614166548</v>
      </c>
      <c r="CO370" s="37">
        <f>IFERROR(AVERAGE(BG370,BL370,BQ370,BV370,CA370),"n/m")</f>
        <v>0.0654521590782358</v>
      </c>
      <c r="CP370" s="37">
        <f>IFERROR(AVERAGE(AH370,AM370,AR370,AW370,BB370,BG370,BL370,BQ370,BV370,CA370),"n/m")</f>
        <v>0.0857116309455983</v>
      </c>
      <c r="CQ370" s="37">
        <f>IFERROR(AVERAGE(C370,D370,E370,F370,G370,H370,I370,N370,S370,X370,AC370,AH370,AM370,AR370,AW370,BB370,BG370,BL370,BQ370,BV370,CA370),"n/m")</f>
        <v>0.112631107307756</v>
      </c>
    </row>
    <row r="371" ht="15" customHeight="1" s="251">
      <c r="B371" s="25" t="inlineStr">
        <is>
          <t xml:space="preserve">  Margin = Adjusted EBIT / Net sales</t>
        </is>
      </c>
      <c r="C371" s="215">
        <f>IFERROR(C364/C108,"n/a")</f>
        <v>0.165258698257616</v>
      </c>
      <c r="D371" s="215">
        <f>IFERROR(D364/D108,"n/a")</f>
        <v>0.186498160503427</v>
      </c>
      <c r="E371" s="215">
        <f>IFERROR(E364/E108,"n/a")</f>
        <v>0.193436176648518</v>
      </c>
      <c r="F371" s="215">
        <f>IFERROR(F364/F108,"n/a")</f>
        <v>0.176915985564762</v>
      </c>
      <c r="G371" s="215">
        <f>IFERROR(G364/G108,"n/a")</f>
        <v>0.140960022133075</v>
      </c>
      <c r="H371" s="215">
        <f>IFERROR(H364/H108,"n/a")</f>
        <v>0.17345251396648</v>
      </c>
      <c r="I371" s="215">
        <f>IFERROR(I364/I108,"n/a")</f>
        <v>0.195335474993145</v>
      </c>
      <c r="J371" s="34" t="n"/>
      <c r="K371" s="34" t="n"/>
      <c r="L371" s="34" t="n"/>
      <c r="M371" s="34" t="n"/>
      <c r="N371" s="215">
        <f>IFERROR(N364/N108,"n/a")</f>
        <v>0.21093856608717</v>
      </c>
      <c r="O371" s="34" t="n"/>
      <c r="P371" s="34" t="n"/>
      <c r="Q371" s="34" t="n"/>
      <c r="R371" s="34" t="n"/>
      <c r="S371" s="215">
        <f>IFERROR(S364/S108,"n/a")</f>
        <v>0.216507593951576</v>
      </c>
      <c r="T371" s="34" t="n"/>
      <c r="U371" s="34" t="n"/>
      <c r="V371" s="34" t="n"/>
      <c r="W371" s="34" t="n"/>
      <c r="X371" s="215">
        <f>IFERROR(X364/X108,"n/a")</f>
        <v>0.216689349125715</v>
      </c>
      <c r="Y371" s="34" t="n"/>
      <c r="Z371" s="34" t="n"/>
      <c r="AA371" s="34" t="n"/>
      <c r="AB371" s="34" t="n"/>
      <c r="AC371" s="215">
        <f>IFERROR(AC364/AC108,"n/a")</f>
        <v>0.19887291789406</v>
      </c>
      <c r="AD371" s="34" t="n"/>
      <c r="AE371" s="34" t="n"/>
      <c r="AF371" s="34" t="n"/>
      <c r="AG371" s="34" t="n"/>
      <c r="AH371" s="215">
        <f>IFERROR(AH364/AH108,"n/a")</f>
        <v>0.197204040377778</v>
      </c>
      <c r="AI371" s="34" t="n"/>
      <c r="AJ371" s="34" t="n"/>
      <c r="AK371" s="34" t="n"/>
      <c r="AL371" s="34" t="n"/>
      <c r="AM371" s="215">
        <f>IFERROR(AM364/AM108,"n/a")</f>
        <v>0.201678941668185</v>
      </c>
      <c r="AN371" s="34" t="n"/>
      <c r="AO371" s="34" t="n"/>
      <c r="AP371" s="34" t="n"/>
      <c r="AQ371" s="34" t="n"/>
      <c r="AR371" s="215">
        <f>IFERROR(AR364/AR108,"n/a")</f>
        <v>0.213175215938142</v>
      </c>
      <c r="AS371" s="34" t="n"/>
      <c r="AT371" s="34" t="n"/>
      <c r="AU371" s="34" t="n"/>
      <c r="AV371" s="34" t="n"/>
      <c r="AW371" s="215">
        <f>IFERROR(AW364/AW108,"n/a")</f>
        <v>0.216712648513116</v>
      </c>
      <c r="AX371" s="34" t="n"/>
      <c r="AY371" s="34" t="n"/>
      <c r="AZ371" s="34" t="n"/>
      <c r="BA371" s="34" t="n"/>
      <c r="BB371" s="215">
        <f>IFERROR(BB364/BB108,"n/a")</f>
        <v>0.197397632778529</v>
      </c>
      <c r="BC371" s="34" t="n"/>
      <c r="BD371" s="34" t="n"/>
      <c r="BE371" s="34" t="n"/>
      <c r="BF371" s="34" t="n"/>
      <c r="BG371" s="215">
        <f>IFERROR(BG364/BG108,"n/a")</f>
        <v>0.187723039821324</v>
      </c>
      <c r="BH371" s="34" t="n"/>
      <c r="BI371" s="34" t="n"/>
      <c r="BJ371" s="34" t="n"/>
      <c r="BK371" s="34" t="n"/>
      <c r="BL371" s="215">
        <f>IFERROR(BL364/BL108,"n/a")</f>
        <v>0.207289185326346</v>
      </c>
      <c r="BM371" s="34" t="n"/>
      <c r="BN371" s="34" t="n"/>
      <c r="BO371" s="34" t="n"/>
      <c r="BP371" s="34" t="n"/>
      <c r="BQ371" s="215">
        <f>IFERROR(BQ364/BQ108,"n/a")</f>
        <v>0.221410626161636</v>
      </c>
      <c r="BR371" s="34" t="n"/>
      <c r="BS371" s="34" t="n"/>
      <c r="BT371" s="34" t="n"/>
      <c r="BU371" s="34" t="n"/>
      <c r="BV371" s="215">
        <f>IFERROR(BV364/BV108,"n/a")</f>
        <v>0.226975493491414</v>
      </c>
      <c r="BW371" s="34" t="n"/>
      <c r="BX371" s="34" t="n"/>
      <c r="BY371" s="34" t="n"/>
      <c r="BZ371" s="34" t="n"/>
      <c r="CA371" s="215">
        <f>IFERROR(CA364/CA108,"n/a")</f>
        <v>0.236249933187236</v>
      </c>
      <c r="CB371" s="34" t="n"/>
      <c r="CC371" s="35" t="n"/>
      <c r="CD371" s="35" t="n"/>
      <c r="CE371" s="35" t="n"/>
      <c r="CF371" s="256">
        <f>IFERROR(CF364/CF108,"n/a")</f>
        <v>0.259894698821391</v>
      </c>
      <c r="CG371" s="256">
        <f>IFERROR(CG364/CG108,"n/a")</f>
        <v>0.263316443086308</v>
      </c>
      <c r="CH371" s="256">
        <f>IFERROR(CH364/CH108,"n/a")</f>
        <v>0.267023781406861</v>
      </c>
      <c r="CI371" s="256">
        <f>IFERROR(CI364/CI108,"n/a")</f>
        <v>0.271692402752206</v>
      </c>
      <c r="CJ371" s="256">
        <f>IFERROR(CJ364/CJ108,"n/a")</f>
        <v>0.272948480764011</v>
      </c>
      <c r="CK371" s="256">
        <f>IFERROR(CK364/CK108,"n/a")</f>
        <v>0.27304969035997</v>
      </c>
      <c r="CL371" s="19" t="n"/>
    </row>
    <row r="372" ht="15" customHeight="1" s="251">
      <c r="B372" s="25" t="inlineStr">
        <is>
          <t xml:space="preserve">  Capital turnover = Net sales / IC</t>
        </is>
      </c>
      <c r="C372" s="284">
        <f>IFERROR(C108/C367,"n/a")</f>
        <v>1.23119738429591</v>
      </c>
      <c r="D372" s="284">
        <f>IFERROR(D108/D367,"n/a")</f>
        <v>1.37622756214252</v>
      </c>
      <c r="E372" s="284">
        <f>IFERROR(E108/E367,"n/a")</f>
        <v>1.21633106574295</v>
      </c>
      <c r="F372" s="284">
        <f>IFERROR(F108/F367,"n/a")</f>
        <v>1.21181859981949</v>
      </c>
      <c r="G372" s="284">
        <f>IFERROR(G108/G367,"n/a")</f>
        <v>0.913812202480947</v>
      </c>
      <c r="H372" s="284">
        <f>IFERROR(H108/H367,"n/a")</f>
        <v>1.12857613622607</v>
      </c>
      <c r="I372" s="284">
        <f>IFERROR(I108/I367,"n/a")</f>
        <v>1.24911150564834</v>
      </c>
      <c r="J372" s="34" t="n"/>
      <c r="K372" s="34" t="n"/>
      <c r="L372" s="34" t="n"/>
      <c r="M372" s="34" t="n"/>
      <c r="N372" s="284">
        <f>IFERROR(N108/N367,"n/a")</f>
        <v>1.1257936119995</v>
      </c>
      <c r="O372" s="34" t="n"/>
      <c r="P372" s="34" t="n"/>
      <c r="Q372" s="34" t="n"/>
      <c r="R372" s="34" t="n"/>
      <c r="S372" s="284">
        <f>IFERROR(S108/S367,"n/a")</f>
        <v>0.979410416842027</v>
      </c>
      <c r="T372" s="34" t="n"/>
      <c r="U372" s="34" t="n"/>
      <c r="V372" s="34" t="n"/>
      <c r="W372" s="34" t="n"/>
      <c r="X372" s="284">
        <f>IFERROR(X108/X367,"n/a")</f>
        <v>1.02793783589119</v>
      </c>
      <c r="Y372" s="34" t="n"/>
      <c r="Z372" s="34" t="n"/>
      <c r="AA372" s="34" t="n"/>
      <c r="AB372" s="34" t="n"/>
      <c r="AC372" s="284">
        <f>IFERROR(AC108/AC367,"n/a")</f>
        <v>0.631954602907656</v>
      </c>
      <c r="AD372" s="34" t="n"/>
      <c r="AE372" s="34" t="n"/>
      <c r="AF372" s="34" t="n"/>
      <c r="AG372" s="34" t="n"/>
      <c r="AH372" s="284">
        <f>IFERROR(AH108/AH367,"n/a")</f>
        <v>0.649197559712255</v>
      </c>
      <c r="AI372" s="34" t="n"/>
      <c r="AJ372" s="34" t="n"/>
      <c r="AK372" s="34" t="n"/>
      <c r="AL372" s="34" t="n"/>
      <c r="AM372" s="284">
        <f>IFERROR(AM108/AM367,"n/a")</f>
        <v>0.70768361321277</v>
      </c>
      <c r="AN372" s="34" t="n"/>
      <c r="AO372" s="34" t="n"/>
      <c r="AP372" s="34" t="n"/>
      <c r="AQ372" s="34" t="n"/>
      <c r="AR372" s="284">
        <f>IFERROR(AR108/AR367,"n/a")</f>
        <v>0.715154205112753</v>
      </c>
      <c r="AS372" s="34" t="n"/>
      <c r="AT372" s="34" t="n"/>
      <c r="AU372" s="34" t="n"/>
      <c r="AV372" s="34" t="n"/>
      <c r="AW372" s="284">
        <f>IFERROR(AW108/AW367,"n/a")</f>
        <v>0.700994260693265</v>
      </c>
      <c r="AX372" s="34" t="n"/>
      <c r="AY372" s="34" t="n"/>
      <c r="AZ372" s="34" t="n"/>
      <c r="BA372" s="34" t="n"/>
      <c r="BB372" s="284">
        <f>IFERROR(BB108/BB367,"n/a")</f>
        <v>0.55616399323453</v>
      </c>
      <c r="BC372" s="34" t="n"/>
      <c r="BD372" s="34" t="n"/>
      <c r="BE372" s="34" t="n"/>
      <c r="BF372" s="34" t="n"/>
      <c r="BG372" s="284">
        <f>IFERROR(BG108/BG367,"n/a")</f>
        <v>0.243192602324385</v>
      </c>
      <c r="BH372" s="34" t="n"/>
      <c r="BI372" s="34" t="n"/>
      <c r="BJ372" s="34" t="n"/>
      <c r="BK372" s="34" t="n"/>
      <c r="BL372" s="284">
        <f>IFERROR(BL108/BL367,"n/a")</f>
        <v>0.380106066485578</v>
      </c>
      <c r="BM372" s="34" t="n"/>
      <c r="BN372" s="34" t="n"/>
      <c r="BO372" s="34" t="n"/>
      <c r="BP372" s="34" t="n"/>
      <c r="BQ372" s="284">
        <f>IFERROR(BQ108/BQ367,"n/a")</f>
        <v>0.402108084426462</v>
      </c>
      <c r="BR372" s="34" t="n"/>
      <c r="BS372" s="34" t="n"/>
      <c r="BT372" s="34" t="n"/>
      <c r="BU372" s="34" t="n"/>
      <c r="BV372" s="284">
        <f>IFERROR(BV108/BV367,"n/a")</f>
        <v>0.41798860704524</v>
      </c>
      <c r="BW372" s="34" t="n"/>
      <c r="BX372" s="34" t="n"/>
      <c r="BY372" s="34" t="n"/>
      <c r="BZ372" s="34" t="n"/>
      <c r="CA372" s="284">
        <f>IFERROR(CA108/CA367,"n/a")</f>
        <v>0.447669410413476</v>
      </c>
      <c r="CB372" s="34" t="n"/>
      <c r="CC372" s="35" t="n"/>
      <c r="CD372" s="35" t="n"/>
      <c r="CE372" s="35" t="n"/>
      <c r="CF372" s="285">
        <f>IFERROR(CF108/CF367,"n/a")</f>
        <v>0.506647878355949</v>
      </c>
      <c r="CG372" s="285">
        <f>IFERROR(CG108/CG367,"n/a")</f>
        <v>0.526387498827216</v>
      </c>
      <c r="CH372" s="285">
        <f>IFERROR(CH108/CH367,"n/a")</f>
        <v>0.554318080973794</v>
      </c>
      <c r="CI372" s="285">
        <f>IFERROR(CI108/CI367,"n/a")</f>
        <v>0.580763850765619</v>
      </c>
      <c r="CJ372" s="285">
        <f>IFERROR(CJ108/CJ367,"n/a")</f>
        <v>0.604987698250446</v>
      </c>
      <c r="CK372" s="285">
        <f>IFERROR(CK108/CK367,"n/a")</f>
        <v>0.625706133521615</v>
      </c>
      <c r="CL372" s="19" t="n"/>
    </row>
    <row r="373" ht="15" customHeight="1" s="251">
      <c r="B373" s="25" t="inlineStr">
        <is>
          <t xml:space="preserve">  Tax burden = (1 − tax rate)</t>
        </is>
      </c>
      <c r="C373" s="215">
        <f>IFERROR(1-C365,"n/a")</f>
        <v>0.682322197895332</v>
      </c>
      <c r="D373" s="215">
        <f>IFERROR(1-D365,"n/a")</f>
        <v>0.656675273242608</v>
      </c>
      <c r="E373" s="215">
        <f>IFERROR(1-E365,"n/a")</f>
        <v>0.670436984184395</v>
      </c>
      <c r="F373" s="215">
        <f>IFERROR(1-F365,"n/a")</f>
        <v>0.673841694017293</v>
      </c>
      <c r="G373" s="215">
        <f>IFERROR(1-G365,"n/a")</f>
        <v>0.627599927654187</v>
      </c>
      <c r="H373" s="215">
        <f>IFERROR(1-H365,"n/a")</f>
        <v>0.664302897562026</v>
      </c>
      <c r="I373" s="215">
        <f>IFERROR(1-I365,"n/a")</f>
        <v>0.658037089195699</v>
      </c>
      <c r="J373" s="34" t="n"/>
      <c r="K373" s="34" t="n"/>
      <c r="L373" s="34" t="n"/>
      <c r="M373" s="34" t="n"/>
      <c r="N373" s="215">
        <f>IFERROR(1-N365,"n/a")</f>
        <v>0.637487658714669</v>
      </c>
      <c r="O373" s="34" t="n"/>
      <c r="P373" s="34" t="n"/>
      <c r="Q373" s="34" t="n"/>
      <c r="R373" s="34" t="n"/>
      <c r="S373" s="215">
        <f>IFERROR(1-S365,"n/a")</f>
        <v>0.666985912355922</v>
      </c>
      <c r="T373" s="34" t="n"/>
      <c r="U373" s="34" t="n"/>
      <c r="V373" s="34" t="n"/>
      <c r="W373" s="34" t="n"/>
      <c r="X373" s="215">
        <f>IFERROR(1-X365,"n/a")</f>
        <v>0.672877150187156</v>
      </c>
      <c r="Y373" s="34" t="n"/>
      <c r="Z373" s="34" t="n"/>
      <c r="AA373" s="34" t="n"/>
      <c r="AB373" s="34" t="n"/>
      <c r="AC373" s="215">
        <f>IFERROR(1-AC365,"n/a")</f>
        <v>0.671682140906608</v>
      </c>
      <c r="AD373" s="34" t="n"/>
      <c r="AE373" s="34" t="n"/>
      <c r="AF373" s="34" t="n"/>
      <c r="AG373" s="34" t="n"/>
      <c r="AH373" s="215">
        <f>IFERROR(1-AH365,"n/a")</f>
        <v>0.671390043525087</v>
      </c>
      <c r="AI373" s="34" t="n"/>
      <c r="AJ373" s="34" t="n"/>
      <c r="AK373" s="34" t="n"/>
      <c r="AL373" s="34" t="n"/>
      <c r="AM373" s="215">
        <f>IFERROR(1-AM365,"n/a")</f>
        <v>0.735482412021117</v>
      </c>
      <c r="AN373" s="34" t="n"/>
      <c r="AO373" s="34" t="n"/>
      <c r="AP373" s="34" t="n"/>
      <c r="AQ373" s="34" t="n"/>
      <c r="AR373" s="215">
        <f>IFERROR(1-AR365,"n/a")</f>
        <v>0.828139055342587</v>
      </c>
      <c r="AS373" s="34" t="n"/>
      <c r="AT373" s="34" t="n"/>
      <c r="AU373" s="34" t="n"/>
      <c r="AV373" s="34" t="n"/>
      <c r="AW373" s="215">
        <f>IFERROR(1-AW365,"n/a")</f>
        <v>0.811585827843485</v>
      </c>
      <c r="AX373" s="34" t="n"/>
      <c r="AY373" s="34" t="n"/>
      <c r="AZ373" s="34" t="n"/>
      <c r="BA373" s="34" t="n"/>
      <c r="BB373" s="215">
        <f>IFERROR(1-BB365,"n/a")</f>
        <v>0.81418487394958</v>
      </c>
      <c r="BC373" s="34" t="n"/>
      <c r="BD373" s="34" t="n"/>
      <c r="BE373" s="34" t="n"/>
      <c r="BF373" s="34" t="n"/>
      <c r="BG373" s="215">
        <f>IFERROR(1-BG365,"n/a")</f>
        <v>0.875045440045106</v>
      </c>
      <c r="BH373" s="34" t="n"/>
      <c r="BI373" s="34" t="n"/>
      <c r="BJ373" s="34" t="n"/>
      <c r="BK373" s="34" t="n"/>
      <c r="BL373" s="215">
        <f>IFERROR(1-BL365,"n/a")</f>
        <v>0.782911163703721</v>
      </c>
      <c r="BM373" s="34" t="n"/>
      <c r="BN373" s="34" t="n"/>
      <c r="BO373" s="34" t="n"/>
      <c r="BP373" s="34" t="n"/>
      <c r="BQ373" s="215">
        <f>IFERROR(1-BQ365,"n/a")</f>
        <v>0.783461770000884</v>
      </c>
      <c r="BR373" s="34" t="n"/>
      <c r="BS373" s="34" t="n"/>
      <c r="BT373" s="34" t="n"/>
      <c r="BU373" s="34" t="n"/>
      <c r="BV373" s="215">
        <f>IFERROR(1-BV365,"n/a")</f>
        <v>0.771595900439239</v>
      </c>
      <c r="BW373" s="34" t="n"/>
      <c r="BX373" s="34" t="n"/>
      <c r="BY373" s="34" t="n"/>
      <c r="BZ373" s="34" t="n"/>
      <c r="CA373" s="215">
        <f>IFERROR(1-CA365,"n/a")</f>
        <v>0.781655034895314</v>
      </c>
      <c r="CB373" s="34" t="n"/>
      <c r="CC373" s="35" t="n"/>
      <c r="CD373" s="35" t="n"/>
      <c r="CE373" s="35" t="n"/>
      <c r="CF373" s="256">
        <f>IFERROR(1-CF365,"n/a")</f>
        <v>0.780114365337526</v>
      </c>
      <c r="CG373" s="256">
        <f>IFERROR(1-CG365,"n/a")</f>
        <v>0.775</v>
      </c>
      <c r="CH373" s="256">
        <f>IFERROR(1-CH365,"n/a")</f>
        <v>0.775</v>
      </c>
      <c r="CI373" s="256">
        <f>IFERROR(1-CI365,"n/a")</f>
        <v>0.775</v>
      </c>
      <c r="CJ373" s="256">
        <f>IFERROR(1-CJ365,"n/a")</f>
        <v>0.775</v>
      </c>
      <c r="CK373" s="256">
        <f>IFERROR(1-CK365,"n/a")</f>
        <v>0.775</v>
      </c>
      <c r="CL373" s="19" t="n"/>
    </row>
    <row r="374" ht="15" customHeight="1" s="251">
      <c r="B374" s="25" t="inlineStr">
        <is>
          <t xml:space="preserve">  Check: Margin × Turnover × Tax burden = ROIC</t>
        </is>
      </c>
      <c r="C374" s="215">
        <f>IFERROR(C371*C372*C373,"n/a")</f>
        <v>0.138829420874152</v>
      </c>
      <c r="D374" s="215">
        <f>IFERROR(D371*D372*D373,"n/a")</f>
        <v>0.168544842425483</v>
      </c>
      <c r="E374" s="215">
        <f>IFERROR(E371*E372*E373,"n/a")</f>
        <v>0.157742043401577</v>
      </c>
      <c r="F374" s="215">
        <f>IFERROR(F371*F372*F373,"n/a")</f>
        <v>0.14446497597661</v>
      </c>
      <c r="G374" s="215">
        <f>IFERROR(G371*G372*G373,"n/a")</f>
        <v>0.0808417669301038</v>
      </c>
      <c r="H374" s="215">
        <f>IFERROR(H371*H372*H373,"n/a")</f>
        <v>0.13004019389341</v>
      </c>
      <c r="I374" s="215">
        <f>IFERROR(I371*I372*I373,"n/a")</f>
        <v>0.160558278950674</v>
      </c>
      <c r="J374" s="34" t="n"/>
      <c r="K374" s="34" t="n"/>
      <c r="L374" s="34" t="n"/>
      <c r="M374" s="34" t="n"/>
      <c r="N374" s="215">
        <f>IFERROR(N371*N372*N373,"n/a")</f>
        <v>0.151386291792977</v>
      </c>
      <c r="O374" s="34" t="n"/>
      <c r="P374" s="34" t="n"/>
      <c r="Q374" s="34" t="n"/>
      <c r="R374" s="34" t="n"/>
      <c r="S374" s="215">
        <f>IFERROR(S371*S372*S373,"n/a")</f>
        <v>0.141434224543324</v>
      </c>
      <c r="T374" s="34" t="n"/>
      <c r="U374" s="34" t="n"/>
      <c r="V374" s="34" t="n"/>
      <c r="W374" s="34" t="n"/>
      <c r="X374" s="215">
        <f>IFERROR(X371*X372*X373,"n/a")</f>
        <v>0.149878796586395</v>
      </c>
      <c r="Y374" s="34" t="n"/>
      <c r="Z374" s="34" t="n"/>
      <c r="AA374" s="34" t="n"/>
      <c r="AB374" s="34" t="n"/>
      <c r="AC374" s="215">
        <f>IFERROR(AC371*AC372*AC373,"n/a")</f>
        <v>0.084416108632179</v>
      </c>
      <c r="AD374" s="34" t="n"/>
      <c r="AE374" s="34" t="n"/>
      <c r="AF374" s="34" t="n"/>
      <c r="AG374" s="34" t="n"/>
      <c r="AH374" s="215">
        <f>IFERROR(AH371*AH372*AH373,"n/a")</f>
        <v>0.0859542952546404</v>
      </c>
      <c r="AI374" s="34" t="n"/>
      <c r="AJ374" s="34" t="n"/>
      <c r="AK374" s="34" t="n"/>
      <c r="AL374" s="34" t="n"/>
      <c r="AM374" s="215">
        <f>IFERROR(AM371*AM372*AM373,"n/a")</f>
        <v>0.104971640578133</v>
      </c>
      <c r="AN374" s="34" t="n"/>
      <c r="AO374" s="34" t="n"/>
      <c r="AP374" s="34" t="n"/>
      <c r="AQ374" s="34" t="n"/>
      <c r="AR374" s="215">
        <f>IFERROR(AR371*AR372*AR373,"n/a")</f>
        <v>0.126252409367391</v>
      </c>
      <c r="AS374" s="34" t="n"/>
      <c r="AT374" s="34" t="n"/>
      <c r="AU374" s="34" t="n"/>
      <c r="AV374" s="34" t="n"/>
      <c r="AW374" s="215">
        <f>IFERROR(AW371*AW372*AW373,"n/a")</f>
        <v>0.123291511453102</v>
      </c>
      <c r="AX374" s="34" t="n"/>
      <c r="AY374" s="34" t="n"/>
      <c r="AZ374" s="34" t="n"/>
      <c r="BA374" s="34" t="n"/>
      <c r="BB374" s="215">
        <f>IFERROR(BB371*BB372*BB373,"n/a")</f>
        <v>0.0893856574115383</v>
      </c>
      <c r="BC374" s="34" t="n"/>
      <c r="BD374" s="34" t="n"/>
      <c r="BE374" s="34" t="n"/>
      <c r="BF374" s="34" t="n"/>
      <c r="BG374" s="215">
        <f>IFERROR(BG371*BG372*BG373,"n/a")</f>
        <v>0.039948322216864</v>
      </c>
      <c r="BH374" s="34" t="n"/>
      <c r="BI374" s="34" t="n"/>
      <c r="BJ374" s="34" t="n"/>
      <c r="BK374" s="34" t="n"/>
      <c r="BL374" s="215">
        <f>IFERROR(BL371*BL372*BL373,"n/a")</f>
        <v>0.0616870400023909</v>
      </c>
      <c r="BM374" s="34" t="n"/>
      <c r="BN374" s="34" t="n"/>
      <c r="BO374" s="34" t="n"/>
      <c r="BP374" s="34" t="n"/>
      <c r="BQ374" s="215">
        <f>IFERROR(BQ371*BQ372*BQ373,"n/a")</f>
        <v>0.0697523870053593</v>
      </c>
      <c r="BR374" s="34" t="n"/>
      <c r="BS374" s="34" t="n"/>
      <c r="BT374" s="34" t="n"/>
      <c r="BU374" s="34" t="n"/>
      <c r="BV374" s="215">
        <f>IFERROR(BV371*BV372*BV373,"n/a")</f>
        <v>0.0732037493098151</v>
      </c>
      <c r="BW374" s="34" t="n"/>
      <c r="BX374" s="34" t="n"/>
      <c r="BY374" s="34" t="n"/>
      <c r="BZ374" s="34" t="n"/>
      <c r="CA374" s="215">
        <f>IFERROR(CA371*CA372*CA373,"n/a")</f>
        <v>0.0826692968567498</v>
      </c>
      <c r="CB374" s="34" t="n"/>
      <c r="CC374" s="35" t="n"/>
      <c r="CD374" s="35" t="n"/>
      <c r="CE374" s="35" t="n"/>
      <c r="CF374" s="256">
        <f>IFERROR(CF371*CF372*CF373,"n/a")</f>
        <v>0.102721635314975</v>
      </c>
      <c r="CG374" s="256">
        <f>IFERROR(CG371*CG372*CG373,"n/a")</f>
        <v>0.107420025004118</v>
      </c>
      <c r="CH374" s="256">
        <f>IFERROR(CH371*CH372*CH373,"n/a")</f>
        <v>0.114712485314958</v>
      </c>
      <c r="CI374" s="256">
        <f>IFERROR(CI371*CI372*CI373,"n/a")</f>
        <v>0.122286572685754</v>
      </c>
      <c r="CJ374" s="256">
        <f>IFERROR(CJ371*CJ372*CJ373,"n/a")</f>
        <v>0.127976116666741</v>
      </c>
      <c r="CK374" s="256">
        <f>IFERROR(CK371*CK372*CK373,"n/a")</f>
        <v>0.132407871161169</v>
      </c>
      <c r="CL374" s="19" t="n"/>
    </row>
    <row r="375" ht="15" customHeight="1" s="251">
      <c r="B375" s="25" t="inlineStr">
        <is>
          <t>RONTA decomposition</t>
        </is>
      </c>
      <c r="CL375" s="153" t="n"/>
    </row>
    <row r="376" ht="15" customHeight="1" s="251">
      <c r="B376" s="25" t="inlineStr">
        <is>
          <t>NOPAT = Adjusted EBIT × (1 − tax rate)</t>
        </is>
      </c>
      <c r="C376" s="264">
        <f>C366</f>
        <v>30.9535465075217</v>
      </c>
      <c r="D376" s="264">
        <f>D366</f>
        <v>37.4830245966881</v>
      </c>
      <c r="E376" s="264">
        <f>E366</f>
        <v>42.874445138592</v>
      </c>
      <c r="F376" s="264">
        <f>F366</f>
        <v>42.4156392716126</v>
      </c>
      <c r="G376" s="264">
        <f>G366</f>
        <v>24.3019243986254</v>
      </c>
      <c r="H376" s="264">
        <f>H366</f>
        <v>38.6723931815734</v>
      </c>
      <c r="I376" s="264">
        <f>I366</f>
        <v>51.0952639018676</v>
      </c>
      <c r="J376" s="34" t="n"/>
      <c r="K376" s="34" t="n"/>
      <c r="L376" s="34" t="n"/>
      <c r="M376" s="34" t="n"/>
      <c r="N376" s="264">
        <f>N366</f>
        <v>54.1985632562625</v>
      </c>
      <c r="O376" s="34" t="n"/>
      <c r="P376" s="34" t="n"/>
      <c r="Q376" s="34" t="n"/>
      <c r="R376" s="34" t="n"/>
      <c r="S376" s="264">
        <f>S366</f>
        <v>60.4902863633833</v>
      </c>
      <c r="T376" s="34" t="n"/>
      <c r="U376" s="34" t="n"/>
      <c r="V376" s="34" t="n"/>
      <c r="W376" s="34" t="n"/>
      <c r="X376" s="264">
        <f>X366</f>
        <v>64.9238975901081</v>
      </c>
      <c r="Y376" s="34" t="n"/>
      <c r="Z376" s="34" t="n"/>
      <c r="AA376" s="34" t="n"/>
      <c r="AB376" s="34" t="n"/>
      <c r="AC376" s="264">
        <f>AC366</f>
        <v>79.8099436646641</v>
      </c>
      <c r="AD376" s="34" t="n"/>
      <c r="AE376" s="34" t="n"/>
      <c r="AF376" s="34" t="n"/>
      <c r="AG376" s="34" t="n"/>
      <c r="AH376" s="264">
        <f>AH366</f>
        <v>81.477881512074</v>
      </c>
      <c r="AI376" s="34" t="n"/>
      <c r="AJ376" s="34" t="n"/>
      <c r="AK376" s="34" t="n"/>
      <c r="AL376" s="34" t="n"/>
      <c r="AM376" s="264">
        <f>AM366</f>
        <v>100.11607237155</v>
      </c>
      <c r="AN376" s="34" t="n"/>
      <c r="AO376" s="34" t="n"/>
      <c r="AP376" s="34" t="n"/>
      <c r="AQ376" s="34" t="n"/>
      <c r="AR376" s="264">
        <f>AR366</f>
        <v>124.02127678905</v>
      </c>
      <c r="AS376" s="34" t="n"/>
      <c r="AT376" s="34" t="n"/>
      <c r="AU376" s="34" t="n"/>
      <c r="AV376" s="34" t="n"/>
      <c r="AW376" s="264">
        <f>AW366</f>
        <v>127.946505759525</v>
      </c>
      <c r="AX376" s="34" t="n"/>
      <c r="AY376" s="34" t="n"/>
      <c r="AZ376" s="34" t="n"/>
      <c r="BA376" s="34" t="n"/>
      <c r="BB376" s="264">
        <f>BB366</f>
        <v>97.8747920672269</v>
      </c>
      <c r="BC376" s="34" t="n"/>
      <c r="BD376" s="34" t="n"/>
      <c r="BE376" s="34" t="n"/>
      <c r="BF376" s="34" t="n"/>
      <c r="BG376" s="264">
        <f>BG366</f>
        <v>154.892668387824</v>
      </c>
      <c r="BH376" s="34" t="n"/>
      <c r="BI376" s="34" t="n"/>
      <c r="BJ376" s="34" t="n"/>
      <c r="BK376" s="34" t="n"/>
      <c r="BL376" s="264">
        <f>BL366</f>
        <v>238.451253129242</v>
      </c>
      <c r="BM376" s="34" t="n"/>
      <c r="BN376" s="34" t="n"/>
      <c r="BO376" s="34" t="n"/>
      <c r="BP376" s="34" t="n"/>
      <c r="BQ376" s="264">
        <f>BQ366</f>
        <v>270.660187296896</v>
      </c>
      <c r="BR376" s="34" t="n"/>
      <c r="BS376" s="34" t="n"/>
      <c r="BT376" s="34" t="n"/>
      <c r="BU376" s="34" t="n"/>
      <c r="BV376" s="264">
        <f>BV366</f>
        <v>286.570717423133</v>
      </c>
      <c r="BW376" s="34" t="n"/>
      <c r="BX376" s="34" t="n"/>
      <c r="BY376" s="34" t="n"/>
      <c r="BZ376" s="34" t="n"/>
      <c r="CA376" s="264">
        <f>CA366</f>
        <v>345.491525423729</v>
      </c>
      <c r="CB376" s="34" t="n"/>
      <c r="CC376" s="35" t="n"/>
      <c r="CD376" s="35" t="n"/>
      <c r="CE376" s="35" t="n"/>
      <c r="CF376" s="261">
        <f>CF366</f>
        <v>437.350072768214</v>
      </c>
      <c r="CG376" s="261">
        <f>CG366</f>
        <v>486.661610650485</v>
      </c>
      <c r="CH376" s="261">
        <f>CH366</f>
        <v>551.788035944874</v>
      </c>
      <c r="CI376" s="261">
        <f>CI366</f>
        <v>621.009979318445</v>
      </c>
      <c r="CJ376" s="261">
        <f>CJ366</f>
        <v>684.904652469525</v>
      </c>
      <c r="CK376" s="261">
        <f>CK366</f>
        <v>745.419517402703</v>
      </c>
      <c r="CL376" s="19" t="n"/>
    </row>
    <row r="377" ht="15" customHeight="1" s="251">
      <c r="B377" s="25" t="inlineStr">
        <is>
          <t xml:space="preserve">  Total assets</t>
        </is>
      </c>
      <c r="C377" s="264">
        <f>C289</f>
        <v>275.923</v>
      </c>
      <c r="D377" s="264">
        <f>D289</f>
        <v>273.713</v>
      </c>
      <c r="E377" s="264">
        <f>E289</f>
        <v>337.112</v>
      </c>
      <c r="F377" s="264">
        <f>F289</f>
        <v>382.067</v>
      </c>
      <c r="G377" s="264">
        <f>G289</f>
        <v>375.955</v>
      </c>
      <c r="H377" s="264">
        <f>H289</f>
        <v>425.982</v>
      </c>
      <c r="I377" s="264">
        <f>I289</f>
        <v>459.518</v>
      </c>
      <c r="J377" s="34" t="n"/>
      <c r="K377" s="34" t="n"/>
      <c r="L377" s="34" t="n"/>
      <c r="M377" s="34" t="n"/>
      <c r="N377" s="264">
        <f>N289</f>
        <v>542.442</v>
      </c>
      <c r="O377" s="34" t="n"/>
      <c r="P377" s="34" t="n"/>
      <c r="Q377" s="34" t="n"/>
      <c r="R377" s="34" t="n"/>
      <c r="S377" s="264">
        <f>S289</f>
        <v>620.993</v>
      </c>
      <c r="T377" s="34" t="n"/>
      <c r="U377" s="34" t="n"/>
      <c r="V377" s="34" t="n"/>
      <c r="W377" s="34" t="n"/>
      <c r="X377" s="264">
        <f>X289</f>
        <v>632.073</v>
      </c>
      <c r="Y377" s="34" t="n"/>
      <c r="Z377" s="34" t="n"/>
      <c r="AA377" s="34" t="n"/>
      <c r="AB377" s="34" t="n"/>
      <c r="AC377" s="264">
        <f>AC289</f>
        <v>1098.51</v>
      </c>
      <c r="AD377" s="34" t="n"/>
      <c r="AE377" s="34" t="n"/>
      <c r="AF377" s="34" t="n"/>
      <c r="AG377" s="34" t="n"/>
      <c r="AH377" s="264">
        <f>AH289</f>
        <v>1108.847</v>
      </c>
      <c r="AI377" s="34" t="n"/>
      <c r="AJ377" s="34" t="n"/>
      <c r="AK377" s="34" t="n"/>
      <c r="AL377" s="34" t="n"/>
      <c r="AM377" s="264">
        <f>AM289</f>
        <v>1142.751</v>
      </c>
      <c r="AN377" s="34" t="n"/>
      <c r="AO377" s="34" t="n"/>
      <c r="AP377" s="34" t="n"/>
      <c r="AQ377" s="34" t="n"/>
      <c r="AR377" s="264">
        <f>AR289</f>
        <v>1147.367</v>
      </c>
      <c r="AS377" s="34" t="n"/>
      <c r="AT377" s="34" t="n"/>
      <c r="AU377" s="34" t="n"/>
      <c r="AV377" s="34" t="n"/>
      <c r="AW377" s="264">
        <f>AW289</f>
        <v>1321.912</v>
      </c>
      <c r="AX377" s="34" t="n"/>
      <c r="AY377" s="34" t="n"/>
      <c r="AZ377" s="34" t="n"/>
      <c r="BA377" s="34" t="n"/>
      <c r="BB377" s="264">
        <f>BB289</f>
        <v>1434.26</v>
      </c>
      <c r="BC377" s="34" t="n"/>
      <c r="BD377" s="34" t="n"/>
      <c r="BE377" s="34" t="n"/>
      <c r="BF377" s="34" t="n"/>
      <c r="BG377" s="264">
        <f>BG289</f>
        <v>4845.417</v>
      </c>
      <c r="BH377" s="34" t="n"/>
      <c r="BI377" s="34" t="n"/>
      <c r="BJ377" s="34" t="n"/>
      <c r="BK377" s="34" t="n"/>
      <c r="BL377" s="264">
        <f>BL289</f>
        <v>4690.4</v>
      </c>
      <c r="BM377" s="34" t="n"/>
      <c r="BN377" s="34" t="n"/>
      <c r="BO377" s="34" t="n"/>
      <c r="BP377" s="34" t="n"/>
      <c r="BQ377" s="264">
        <f>BQ289</f>
        <v>4678.6</v>
      </c>
      <c r="BR377" s="34" t="n"/>
      <c r="BS377" s="34" t="n"/>
      <c r="BT377" s="34" t="n"/>
      <c r="BU377" s="34" t="n"/>
      <c r="BV377" s="264">
        <f>BV289</f>
        <v>4685.2</v>
      </c>
      <c r="BW377" s="34" t="n"/>
      <c r="BX377" s="34" t="n"/>
      <c r="BY377" s="34" t="n"/>
      <c r="BZ377" s="34" t="n"/>
      <c r="CA377" s="264">
        <f>CA289</f>
        <v>5122.7</v>
      </c>
      <c r="CB377" s="34" t="n"/>
      <c r="CC377" s="35" t="n"/>
      <c r="CD377" s="35" t="n"/>
      <c r="CE377" s="35" t="n"/>
      <c r="CF377" s="261">
        <f>CF289</f>
        <v>5279.70098181707</v>
      </c>
      <c r="CG377" s="261">
        <f>CG289</f>
        <v>5597.61128918526</v>
      </c>
      <c r="CH377" s="261">
        <f>CH289</f>
        <v>5932.25946621718</v>
      </c>
      <c r="CI377" s="261">
        <f>CI289</f>
        <v>6255.39786023772</v>
      </c>
      <c r="CJ377" s="261">
        <f>CJ289</f>
        <v>6586.01048080214</v>
      </c>
      <c r="CK377" s="261">
        <f>CK289</f>
        <v>6919.85279486226</v>
      </c>
      <c r="CL377" s="19" t="n"/>
    </row>
    <row r="378" ht="15" customHeight="1" s="251">
      <c r="B378" s="25" t="inlineStr">
        <is>
          <t xml:space="preserve">  − Goodwill &amp; intangible assets</t>
        </is>
      </c>
      <c r="C378" s="264">
        <f>IFERROR(-(C286+C287),"n/a")</f>
        <v>-29.131</v>
      </c>
      <c r="D378" s="264">
        <f>IFERROR(-(D286+D287),"n/a")</f>
        <v>-35.424</v>
      </c>
      <c r="E378" s="264">
        <f>IFERROR(-(E286+E287),"n/a")</f>
        <v>-43.225</v>
      </c>
      <c r="F378" s="264">
        <f>IFERROR(-(F286+F287),"n/a")</f>
        <v>-45.672</v>
      </c>
      <c r="G378" s="264">
        <f>IFERROR(-(G286+G287),"n/a")</f>
        <v>-47.378</v>
      </c>
      <c r="H378" s="264">
        <f>IFERROR(-(H286+H287),"n/a")</f>
        <v>-46.834</v>
      </c>
      <c r="I378" s="264">
        <f>IFERROR(-(I286+I287),"n/a")</f>
        <v>-46.093</v>
      </c>
      <c r="J378" s="34" t="n"/>
      <c r="K378" s="34" t="n"/>
      <c r="L378" s="34" t="n"/>
      <c r="M378" s="34" t="n"/>
      <c r="N378" s="264">
        <f>IFERROR(-(N286+N287),"n/a")</f>
        <v>-45.871</v>
      </c>
      <c r="O378" s="34" t="n"/>
      <c r="P378" s="34" t="n"/>
      <c r="Q378" s="34" t="n"/>
      <c r="R378" s="34" t="n"/>
      <c r="S378" s="264">
        <f>IFERROR(-(S286+S287),"n/a")</f>
        <v>-58.069</v>
      </c>
      <c r="T378" s="34" t="n"/>
      <c r="U378" s="34" t="n"/>
      <c r="V378" s="34" t="n"/>
      <c r="W378" s="34" t="n"/>
      <c r="X378" s="264">
        <f>IFERROR(-(X286+X287),"n/a")</f>
        <v>-55.467</v>
      </c>
      <c r="Y378" s="34" t="n"/>
      <c r="Z378" s="34" t="n"/>
      <c r="AA378" s="34" t="n"/>
      <c r="AB378" s="34" t="n"/>
      <c r="AC378" s="264">
        <f>IFERROR(-(AC286+AC287),"n/a")</f>
        <v>-474.511</v>
      </c>
      <c r="AD378" s="34" t="n"/>
      <c r="AE378" s="34" t="n"/>
      <c r="AF378" s="34" t="n"/>
      <c r="AG378" s="34" t="n"/>
      <c r="AH378" s="264">
        <f>IFERROR(-(AH286+AH287),"n/a")</f>
        <v>-464.843</v>
      </c>
      <c r="AI378" s="34" t="n"/>
      <c r="AJ378" s="34" t="n"/>
      <c r="AK378" s="34" t="n"/>
      <c r="AL378" s="34" t="n"/>
      <c r="AM378" s="264">
        <f>IFERROR(-(AM286+AM287),"n/a")</f>
        <v>-451.888</v>
      </c>
      <c r="AN378" s="34" t="n"/>
      <c r="AO378" s="34" t="n"/>
      <c r="AP378" s="34" t="n"/>
      <c r="AQ378" s="34" t="n"/>
      <c r="AR378" s="264">
        <f>IFERROR(-(AR286+AR287),"n/a")</f>
        <v>-417.072</v>
      </c>
      <c r="AS378" s="34" t="n"/>
      <c r="AT378" s="34" t="n"/>
      <c r="AU378" s="34" t="n"/>
      <c r="AV378" s="34" t="n"/>
      <c r="AW378" s="264">
        <f>IFERROR(-(AW286+AW287),"n/a")</f>
        <v>-440.523</v>
      </c>
      <c r="AX378" s="34" t="n"/>
      <c r="AY378" s="34" t="n"/>
      <c r="AZ378" s="34" t="n"/>
      <c r="BA378" s="34" t="n"/>
      <c r="BB378" s="264">
        <f>IFERROR(-(BB286+BB287),"n/a")</f>
        <v>-431.935</v>
      </c>
      <c r="BC378" s="34" t="n"/>
      <c r="BD378" s="34" t="n"/>
      <c r="BE378" s="34" t="n"/>
      <c r="BF378" s="34" t="n"/>
      <c r="BG378" s="264">
        <f>IFERROR(-(BG286+BG287),"n/a")</f>
        <v>-3413.619</v>
      </c>
      <c r="BH378" s="34" t="n"/>
      <c r="BI378" s="34" t="n"/>
      <c r="BJ378" s="34" t="n"/>
      <c r="BK378" s="34" t="n"/>
      <c r="BL378" s="264">
        <f>IFERROR(-(BL286+BL287),"n/a")</f>
        <v>-3322.7</v>
      </c>
      <c r="BM378" s="34" t="n"/>
      <c r="BN378" s="34" t="n"/>
      <c r="BO378" s="34" t="n"/>
      <c r="BP378" s="34" t="n"/>
      <c r="BQ378" s="264">
        <f>IFERROR(-(BQ286+BQ287),"n/a")</f>
        <v>-3266.8</v>
      </c>
      <c r="BR378" s="34" t="n"/>
      <c r="BS378" s="34" t="n"/>
      <c r="BT378" s="34" t="n"/>
      <c r="BU378" s="34" t="n"/>
      <c r="BV378" s="264">
        <f>IFERROR(-(BV286+BV287),"n/a")</f>
        <v>-3197.3</v>
      </c>
      <c r="BW378" s="34" t="n"/>
      <c r="BX378" s="34" t="n"/>
      <c r="BY378" s="34" t="n"/>
      <c r="BZ378" s="34" t="n"/>
      <c r="CA378" s="264">
        <f>IFERROR(-(CA286+CA287),"n/a")</f>
        <v>-3381.6</v>
      </c>
      <c r="CB378" s="34" t="n"/>
      <c r="CC378" s="35" t="n"/>
      <c r="CD378" s="35" t="n"/>
      <c r="CE378" s="35" t="n"/>
      <c r="CF378" s="261">
        <f>IFERROR(-(CF286+CF287),"n/a")</f>
        <v>-3324.762</v>
      </c>
      <c r="CG378" s="261">
        <f>IFERROR(-(CG286+CG287),"n/a")</f>
        <v>-3465.403</v>
      </c>
      <c r="CH378" s="261">
        <f>IFERROR(-(CH286+CH287),"n/a")</f>
        <v>-3600.869</v>
      </c>
      <c r="CI378" s="261">
        <f>IFERROR(-(CI286+CI287),"n/a")</f>
        <v>-3734.229</v>
      </c>
      <c r="CJ378" s="261">
        <f>IFERROR(-(CJ286+CJ287),"n/a")</f>
        <v>-3863.53</v>
      </c>
      <c r="CK378" s="261">
        <f>IFERROR(-(CK286+CK287),"n/a")</f>
        <v>-3985.331</v>
      </c>
      <c r="CL378" s="19" t="n"/>
    </row>
    <row r="379" ht="15" customHeight="1" s="251">
      <c r="B379" s="25" t="inlineStr">
        <is>
          <t xml:space="preserve">  − Non-interest-bearing current liabilities (total CL excl. current debt)</t>
        </is>
      </c>
      <c r="C379" s="264">
        <f>IFERROR(-(C294-N(C292)),"n/a")</f>
        <v>-28.245</v>
      </c>
      <c r="D379" s="264">
        <f>IFERROR(-(D294-N(D292)),"n/a")</f>
        <v>-33.151</v>
      </c>
      <c r="E379" s="264">
        <f>IFERROR(-(E294-N(E292)),"n/a")</f>
        <v>-38.34</v>
      </c>
      <c r="F379" s="264">
        <f>IFERROR(-(F294-N(F292)),"n/a")</f>
        <v>-37.058</v>
      </c>
      <c r="G379" s="264">
        <f>IFERROR(-(G294-N(G292)),"n/a")</f>
        <v>-30.336</v>
      </c>
      <c r="H379" s="264">
        <f>IFERROR(-(H294-N(H292)),"n/a")</f>
        <v>-39.005</v>
      </c>
      <c r="I379" s="264">
        <f>IFERROR(-(I294-N(I292)),"n/a")</f>
        <v>-42.823</v>
      </c>
      <c r="J379" s="34" t="n"/>
      <c r="K379" s="34" t="n"/>
      <c r="L379" s="34" t="n"/>
      <c r="M379" s="34" t="n"/>
      <c r="N379" s="264">
        <f>IFERROR(-(N294-N(N292)),"n/a")</f>
        <v>-45.328</v>
      </c>
      <c r="O379" s="34" t="n"/>
      <c r="P379" s="34" t="n"/>
      <c r="Q379" s="34" t="n"/>
      <c r="R379" s="34" t="n"/>
      <c r="S379" s="264">
        <f>IFERROR(-(S294-N(S292)),"n/a")</f>
        <v>-41.546</v>
      </c>
      <c r="T379" s="34" t="n"/>
      <c r="U379" s="34" t="n"/>
      <c r="V379" s="34" t="n"/>
      <c r="W379" s="34" t="n"/>
      <c r="X379" s="264">
        <f>IFERROR(-(X294-N(X292)),"n/a")</f>
        <v>-40.785</v>
      </c>
      <c r="Y379" s="34" t="n"/>
      <c r="Z379" s="34" t="n"/>
      <c r="AA379" s="34" t="n"/>
      <c r="AB379" s="34" t="n"/>
      <c r="AC379" s="264">
        <f>IFERROR(-(AC294-N(AC292)),"n/a")</f>
        <v>-77.831</v>
      </c>
      <c r="AD379" s="34" t="n"/>
      <c r="AE379" s="34" t="n"/>
      <c r="AF379" s="34" t="n"/>
      <c r="AG379" s="34" t="n"/>
      <c r="AH379" s="264">
        <f>IFERROR(-(AH294-N(AH292)),"n/a")</f>
        <v>-78.924</v>
      </c>
      <c r="AI379" s="34" t="n"/>
      <c r="AJ379" s="34" t="n"/>
      <c r="AK379" s="34" t="n"/>
      <c r="AL379" s="34" t="n"/>
      <c r="AM379" s="264">
        <f>IFERROR(-(AM294-N(AM292)),"n/a")</f>
        <v>-85.965</v>
      </c>
      <c r="AN379" s="34" t="n"/>
      <c r="AO379" s="34" t="n"/>
      <c r="AP379" s="34" t="n"/>
      <c r="AQ379" s="34" t="n"/>
      <c r="AR379" s="264">
        <f>IFERROR(-(AR294-N(AR292)),"n/a")</f>
        <v>-89.662</v>
      </c>
      <c r="AS379" s="34" t="n"/>
      <c r="AT379" s="34" t="n"/>
      <c r="AU379" s="34" t="n"/>
      <c r="AV379" s="34" t="n"/>
      <c r="AW379" s="264">
        <f>IFERROR(-(AW294-N(AW292)),"n/a")</f>
        <v>-97.326</v>
      </c>
      <c r="AX379" s="34" t="n"/>
      <c r="AY379" s="34" t="n"/>
      <c r="AZ379" s="34" t="n"/>
      <c r="BA379" s="34" t="n"/>
      <c r="BB379" s="264">
        <f>IFERROR(-(BB294-N(BB292)),"n/a")</f>
        <v>-85.626</v>
      </c>
      <c r="BC379" s="34" t="n"/>
      <c r="BD379" s="34" t="n"/>
      <c r="BE379" s="34" t="n"/>
      <c r="BF379" s="34" t="n"/>
      <c r="BG379" s="264">
        <f>IFERROR(-(BG294-N(BG292)),"n/a")</f>
        <v>-311.917</v>
      </c>
      <c r="BH379" s="34" t="n"/>
      <c r="BI379" s="34" t="n"/>
      <c r="BJ379" s="34" t="n"/>
      <c r="BK379" s="34" t="n"/>
      <c r="BL379" s="264">
        <f>IFERROR(-(BL294-N(BL292)),"n/a")</f>
        <v>-307.8</v>
      </c>
      <c r="BM379" s="34" t="n"/>
      <c r="BN379" s="34" t="n"/>
      <c r="BO379" s="34" t="n"/>
      <c r="BP379" s="34" t="n"/>
      <c r="BQ379" s="264">
        <f>IFERROR(-(BQ294-N(BQ292)),"n/a")</f>
        <v>-290.5</v>
      </c>
      <c r="BR379" s="34" t="n"/>
      <c r="BS379" s="34" t="n"/>
      <c r="BT379" s="34" t="n"/>
      <c r="BU379" s="34" t="n"/>
      <c r="BV379" s="264">
        <f>IFERROR(-(BV294-N(BV292)),"n/a")</f>
        <v>-313.6</v>
      </c>
      <c r="BW379" s="34" t="n"/>
      <c r="BX379" s="34" t="n"/>
      <c r="BY379" s="34" t="n"/>
      <c r="BZ379" s="34" t="n"/>
      <c r="CA379" s="264">
        <f>IFERROR(-(CA294-N(CA292)),"n/a")</f>
        <v>-372.4</v>
      </c>
      <c r="CB379" s="34" t="n"/>
      <c r="CC379" s="35" t="n"/>
      <c r="CD379" s="35" t="n"/>
      <c r="CE379" s="35" t="n"/>
      <c r="CF379" s="261">
        <f>IFERROR(-(CF294-N(CF292)),"n/a")</f>
        <v>-423.677245326032</v>
      </c>
      <c r="CG379" s="261">
        <f>IFERROR(-(CG294-N(CG292)),"n/a")</f>
        <v>-468.756091173236</v>
      </c>
      <c r="CH379" s="261">
        <f>IFERROR(-(CH294-N(CH292)),"n/a")</f>
        <v>-523.676560408208</v>
      </c>
      <c r="CI379" s="261">
        <f>IFERROR(-(CI294-N(CI292)),"n/a")</f>
        <v>-578.680873512752</v>
      </c>
      <c r="CJ379" s="261">
        <f>IFERROR(-(CJ294-N(CJ292)),"n/a")</f>
        <v>-635.79429580985</v>
      </c>
      <c r="CK379" s="261">
        <f>IFERROR(-(CK294-N(CK292)),"n/a")</f>
        <v>-691.730703073867</v>
      </c>
      <c r="CL379" s="19" t="n"/>
    </row>
    <row r="380" ht="15" customHeight="1" s="251">
      <c r="B380" s="25" t="inlineStr">
        <is>
          <t xml:space="preserve">  = Net tangible assets</t>
        </is>
      </c>
      <c r="C380" s="264">
        <f>IFERROR(SUM(C377:C379),"n/a")</f>
        <v>218.547</v>
      </c>
      <c r="D380" s="264">
        <f>IFERROR(SUM(D377:D379),"n/a")</f>
        <v>205.138</v>
      </c>
      <c r="E380" s="264">
        <f>IFERROR(SUM(E377:E379),"n/a")</f>
        <v>255.547</v>
      </c>
      <c r="F380" s="264">
        <f>IFERROR(SUM(F377:F379),"n/a")</f>
        <v>299.337</v>
      </c>
      <c r="G380" s="264">
        <f>IFERROR(SUM(G377:G379),"n/a")</f>
        <v>298.241</v>
      </c>
      <c r="H380" s="264">
        <f>IFERROR(SUM(H377:H379),"n/a")</f>
        <v>340.143</v>
      </c>
      <c r="I380" s="264">
        <f>IFERROR(SUM(I377:I379),"n/a")</f>
        <v>370.602</v>
      </c>
      <c r="J380" s="34" t="n"/>
      <c r="K380" s="34" t="n"/>
      <c r="L380" s="34" t="n"/>
      <c r="M380" s="34" t="n"/>
      <c r="N380" s="264">
        <f>IFERROR(SUM(N377:N379),"n/a")</f>
        <v>451.243</v>
      </c>
      <c r="O380" s="34" t="n"/>
      <c r="P380" s="34" t="n"/>
      <c r="Q380" s="34" t="n"/>
      <c r="R380" s="34" t="n"/>
      <c r="S380" s="264">
        <f>IFERROR(SUM(S377:S379),"n/a")</f>
        <v>521.378</v>
      </c>
      <c r="T380" s="34" t="n"/>
      <c r="U380" s="34" t="n"/>
      <c r="V380" s="34" t="n"/>
      <c r="W380" s="34" t="n"/>
      <c r="X380" s="264">
        <f>IFERROR(SUM(X377:X379),"n/a")</f>
        <v>535.821</v>
      </c>
      <c r="Y380" s="34" t="n"/>
      <c r="Z380" s="34" t="n"/>
      <c r="AA380" s="34" t="n"/>
      <c r="AB380" s="34" t="n"/>
      <c r="AC380" s="264">
        <f>IFERROR(SUM(AC377:AC379),"n/a")</f>
        <v>546.168</v>
      </c>
      <c r="AD380" s="34" t="n"/>
      <c r="AE380" s="34" t="n"/>
      <c r="AF380" s="34" t="n"/>
      <c r="AG380" s="34" t="n"/>
      <c r="AH380" s="264">
        <f>IFERROR(SUM(AH377:AH379),"n/a")</f>
        <v>565.08</v>
      </c>
      <c r="AI380" s="34" t="n"/>
      <c r="AJ380" s="34" t="n"/>
      <c r="AK380" s="34" t="n"/>
      <c r="AL380" s="34" t="n"/>
      <c r="AM380" s="264">
        <f>IFERROR(SUM(AM377:AM379),"n/a")</f>
        <v>604.898</v>
      </c>
      <c r="AN380" s="34" t="n"/>
      <c r="AO380" s="34" t="n"/>
      <c r="AP380" s="34" t="n"/>
      <c r="AQ380" s="34" t="n"/>
      <c r="AR380" s="264">
        <f>IFERROR(SUM(AR377:AR379),"n/a")</f>
        <v>640.633</v>
      </c>
      <c r="AS380" s="34" t="n"/>
      <c r="AT380" s="34" t="n"/>
      <c r="AU380" s="34" t="n"/>
      <c r="AV380" s="34" t="n"/>
      <c r="AW380" s="264">
        <f>IFERROR(SUM(AW377:AW379),"n/a")</f>
        <v>784.063</v>
      </c>
      <c r="AX380" s="34" t="n"/>
      <c r="AY380" s="34" t="n"/>
      <c r="AZ380" s="34" t="n"/>
      <c r="BA380" s="34" t="n"/>
      <c r="BB380" s="264">
        <f>IFERROR(SUM(BB377:BB379),"n/a")</f>
        <v>916.699</v>
      </c>
      <c r="BC380" s="34" t="n"/>
      <c r="BD380" s="34" t="n"/>
      <c r="BE380" s="34" t="n"/>
      <c r="BF380" s="34" t="n"/>
      <c r="BG380" s="264">
        <f>IFERROR(SUM(BG377:BG379),"n/a")</f>
        <v>1119.881</v>
      </c>
      <c r="BH380" s="34" t="n"/>
      <c r="BI380" s="34" t="n"/>
      <c r="BJ380" s="34" t="n"/>
      <c r="BK380" s="34" t="n"/>
      <c r="BL380" s="264">
        <f>IFERROR(SUM(BL377:BL379),"n/a")</f>
        <v>1059.9</v>
      </c>
      <c r="BM380" s="34" t="n"/>
      <c r="BN380" s="34" t="n"/>
      <c r="BO380" s="34" t="n"/>
      <c r="BP380" s="34" t="n"/>
      <c r="BQ380" s="264">
        <f>IFERROR(SUM(BQ377:BQ379),"n/a")</f>
        <v>1121.3</v>
      </c>
      <c r="BR380" s="34" t="n"/>
      <c r="BS380" s="34" t="n"/>
      <c r="BT380" s="34" t="n"/>
      <c r="BU380" s="34" t="n"/>
      <c r="BV380" s="264">
        <f>IFERROR(SUM(BV377:BV379),"n/a")</f>
        <v>1174.3</v>
      </c>
      <c r="BW380" s="34" t="n"/>
      <c r="BX380" s="34" t="n"/>
      <c r="BY380" s="34" t="n"/>
      <c r="BZ380" s="34" t="n"/>
      <c r="CA380" s="264">
        <f>IFERROR(SUM(CA377:CA379),"n/a")</f>
        <v>1368.7</v>
      </c>
      <c r="CB380" s="34" t="n"/>
      <c r="CC380" s="35" t="n"/>
      <c r="CD380" s="35" t="n"/>
      <c r="CE380" s="35" t="n"/>
      <c r="CF380" s="261">
        <f>IFERROR(SUM(CF377:CF379),"n/a")</f>
        <v>1531.26173649104</v>
      </c>
      <c r="CG380" s="261">
        <f>IFERROR(SUM(CG377:CG379),"n/a")</f>
        <v>1663.45219801202</v>
      </c>
      <c r="CH380" s="261">
        <f>IFERROR(SUM(CH377:CH379),"n/a")</f>
        <v>1807.71390580897</v>
      </c>
      <c r="CI380" s="261">
        <f>IFERROR(SUM(CI377:CI379),"n/a")</f>
        <v>1942.48798672497</v>
      </c>
      <c r="CJ380" s="261">
        <f>IFERROR(SUM(CJ377:CJ379),"n/a")</f>
        <v>2086.68618499229</v>
      </c>
      <c r="CK380" s="261">
        <f>IFERROR(SUM(CK377:CK379),"n/a")</f>
        <v>2242.79109178839</v>
      </c>
      <c r="CL380" s="19" t="n"/>
    </row>
    <row r="381" ht="15" customHeight="1" s="251">
      <c r="B381" s="55" t="inlineStr">
        <is>
          <t>RONTA = NOPAT / NTA</t>
        </is>
      </c>
      <c r="C381" s="290">
        <f>IFERROR(C376/C380,"n/a")</f>
        <v>0.141633362652069</v>
      </c>
      <c r="D381" s="290">
        <f>IFERROR(D376/D380,"n/a")</f>
        <v>0.18272101998015</v>
      </c>
      <c r="E381" s="290">
        <f>IFERROR(E376/E380,"n/a")</f>
        <v>0.167775184755024</v>
      </c>
      <c r="F381" s="290">
        <f>IFERROR(F376/F380,"n/a")</f>
        <v>0.141698618184897</v>
      </c>
      <c r="G381" s="290">
        <f>IFERROR(G376/G380,"n/a")</f>
        <v>0.0814841835918785</v>
      </c>
      <c r="H381" s="290">
        <f>IFERROR(H376/H380,"n/a")</f>
        <v>0.113694514311843</v>
      </c>
      <c r="I381" s="290">
        <f>IFERROR(I376/I380,"n/a")</f>
        <v>0.137870988019135</v>
      </c>
      <c r="J381" s="56" t="n"/>
      <c r="K381" s="56" t="n"/>
      <c r="L381" s="56" t="n"/>
      <c r="M381" s="56" t="n"/>
      <c r="N381" s="290">
        <f>IFERROR(N376/N380,"n/a")</f>
        <v>0.12010948259865</v>
      </c>
      <c r="O381" s="56" t="n"/>
      <c r="P381" s="56" t="n"/>
      <c r="Q381" s="56" t="n"/>
      <c r="R381" s="56" t="n"/>
      <c r="S381" s="290">
        <f>IFERROR(S376/S380,"n/a")</f>
        <v>0.116020020720827</v>
      </c>
      <c r="T381" s="56" t="n"/>
      <c r="U381" s="56" t="n"/>
      <c r="V381" s="56" t="n"/>
      <c r="W381" s="56" t="n"/>
      <c r="X381" s="290">
        <f>IFERROR(X376/X380,"n/a")</f>
        <v>0.121167139007445</v>
      </c>
      <c r="Y381" s="56" t="n"/>
      <c r="Z381" s="56" t="n"/>
      <c r="AA381" s="56" t="n"/>
      <c r="AB381" s="56" t="n"/>
      <c r="AC381" s="290">
        <f>IFERROR(AC376/AC380,"n/a")</f>
        <v>0.146127095810564</v>
      </c>
      <c r="AD381" s="56" t="n"/>
      <c r="AE381" s="56" t="n"/>
      <c r="AF381" s="56" t="n"/>
      <c r="AG381" s="56" t="n"/>
      <c r="AH381" s="290">
        <f>IFERROR(AH376/AH380,"n/a")</f>
        <v>0.144188223812688</v>
      </c>
      <c r="AI381" s="56" t="n"/>
      <c r="AJ381" s="56" t="n"/>
      <c r="AK381" s="56" t="n"/>
      <c r="AL381" s="56" t="n"/>
      <c r="AM381" s="290">
        <f>IFERROR(AM376/AM380,"n/a")</f>
        <v>0.165509015357218</v>
      </c>
      <c r="AN381" s="56" t="n"/>
      <c r="AO381" s="56" t="n"/>
      <c r="AP381" s="56" t="n"/>
      <c r="AQ381" s="56" t="n"/>
      <c r="AR381" s="290">
        <f>IFERROR(AR376/AR380,"n/a")</f>
        <v>0.19359177062226</v>
      </c>
      <c r="AS381" s="56" t="n"/>
      <c r="AT381" s="56" t="n"/>
      <c r="AU381" s="56" t="n"/>
      <c r="AV381" s="56" t="n"/>
      <c r="AW381" s="290">
        <f>IFERROR(AW376/AW380,"n/a")</f>
        <v>0.163183960676024</v>
      </c>
      <c r="AX381" s="56" t="n"/>
      <c r="AY381" s="56" t="n"/>
      <c r="AZ381" s="56" t="n"/>
      <c r="BA381" s="56" t="n"/>
      <c r="BB381" s="290">
        <f>IFERROR(BB376/BB380,"n/a")</f>
        <v>0.106768734412525</v>
      </c>
      <c r="BC381" s="56" t="n"/>
      <c r="BD381" s="56" t="n"/>
      <c r="BE381" s="56" t="n"/>
      <c r="BF381" s="56" t="n"/>
      <c r="BG381" s="290">
        <f>IFERROR(BG376/BG380,"n/a")</f>
        <v>0.138311720966624</v>
      </c>
      <c r="BH381" s="56" t="n"/>
      <c r="BI381" s="56" t="n"/>
      <c r="BJ381" s="56" t="n"/>
      <c r="BK381" s="56" t="n"/>
      <c r="BL381" s="290">
        <f>IFERROR(BL376/BL380,"n/a")</f>
        <v>0.224975236464989</v>
      </c>
      <c r="BM381" s="56" t="n"/>
      <c r="BN381" s="56" t="n"/>
      <c r="BO381" s="56" t="n"/>
      <c r="BP381" s="56" t="n"/>
      <c r="BQ381" s="290">
        <f>IFERROR(BQ376/BQ380,"n/a")</f>
        <v>0.241380707479618</v>
      </c>
      <c r="BR381" s="56" t="n"/>
      <c r="BS381" s="56" t="n"/>
      <c r="BT381" s="56" t="n"/>
      <c r="BU381" s="56" t="n"/>
      <c r="BV381" s="290">
        <f>IFERROR(BV376/BV380,"n/a")</f>
        <v>0.244035355039712</v>
      </c>
      <c r="BW381" s="56" t="n"/>
      <c r="BX381" s="56" t="n"/>
      <c r="BY381" s="56" t="n"/>
      <c r="BZ381" s="56" t="n"/>
      <c r="CA381" s="290">
        <f>IFERROR(CA376/CA380,"n/a")</f>
        <v>0.252423120788872</v>
      </c>
      <c r="CB381" s="56" t="n"/>
      <c r="CC381" s="56" t="n"/>
      <c r="CD381" s="56" t="n"/>
      <c r="CE381" s="56" t="n"/>
      <c r="CF381" s="290">
        <f>IFERROR(CF376/CF380,"n/a")</f>
        <v>0.285614184920746</v>
      </c>
      <c r="CG381" s="290">
        <f>IFERROR(CG376/CG380,"n/a")</f>
        <v>0.292561223720219</v>
      </c>
      <c r="CH381" s="290">
        <f>IFERROR(CH376/CH380,"n/a")</f>
        <v>0.30524079843151</v>
      </c>
      <c r="CI381" s="290">
        <f>IFERROR(CI376/CI380,"n/a")</f>
        <v>0.319698234203994</v>
      </c>
      <c r="CJ381" s="290">
        <f>IFERROR(CJ376/CJ380,"n/a")</f>
        <v>0.328225996508457</v>
      </c>
      <c r="CK381" s="290">
        <f>IFERROR(CK376/CK380,"n/a")</f>
        <v>0.332362438985928</v>
      </c>
      <c r="CL381" s="153" t="n"/>
      <c r="CN381" s="37">
        <f>IFERROR(AVERAGE(CG381,CH381,CI381,CJ381,CK381),"n/m")</f>
        <v>0.315617738370022</v>
      </c>
      <c r="CO381" s="37">
        <f>IFERROR(AVERAGE(BG381,BL381,BQ381,BV381,CA381),"n/m")</f>
        <v>0.220225228147963</v>
      </c>
      <c r="CP381" s="37">
        <f>IFERROR(AVERAGE(AH381,AM381,AR381,AW381,BB381,BG381,BL381,BQ381,BV381,CA381),"n/m")</f>
        <v>0.187436784562053</v>
      </c>
      <c r="CQ381" s="37">
        <f>IFERROR(AVERAGE(C381,D381,E381,F381,G381,H381,I381,N381,S381,X381,AC381,AH381,AM381,AR381,AW381,BB381,BG381,BL381,BQ381,BV381,CA381),"n/m")</f>
        <v>0.159269974059667</v>
      </c>
    </row>
    <row r="382" ht="15" customHeight="1" s="251">
      <c r="B382" s="25" t="inlineStr">
        <is>
          <t>Return on Equity (ROE)</t>
        </is>
      </c>
      <c r="CL382" s="153" t="n"/>
    </row>
    <row r="383" ht="15" customHeight="1" s="251">
      <c r="B383" s="25" t="inlineStr">
        <is>
          <t>Net income</t>
        </is>
      </c>
      <c r="C383" s="264">
        <f>C127</f>
        <v>12.439</v>
      </c>
      <c r="D383" s="264">
        <f>D127</f>
        <v>28.479</v>
      </c>
      <c r="E383" s="264">
        <f>E127</f>
        <v>40.194</v>
      </c>
      <c r="F383" s="264">
        <f>F127</f>
        <v>34.454</v>
      </c>
      <c r="G383" s="264">
        <f>G127</f>
        <v>24.385</v>
      </c>
      <c r="H383" s="264">
        <f>H127</f>
        <v>34.868</v>
      </c>
      <c r="I383" s="264">
        <f>I127</f>
        <v>49.997</v>
      </c>
      <c r="J383" s="34" t="n"/>
      <c r="K383" s="34" t="n"/>
      <c r="L383" s="34" t="n"/>
      <c r="M383" s="34" t="n"/>
      <c r="N383" s="264">
        <f>N127</f>
        <v>56.342</v>
      </c>
      <c r="O383" s="34" t="n"/>
      <c r="P383" s="34" t="n"/>
      <c r="Q383" s="34" t="n"/>
      <c r="R383" s="34" t="n"/>
      <c r="S383" s="264">
        <f>S127</f>
        <v>60.208</v>
      </c>
      <c r="T383" s="34" t="n"/>
      <c r="U383" s="34" t="n"/>
      <c r="V383" s="34" t="n"/>
      <c r="W383" s="34" t="n"/>
      <c r="X383" s="264">
        <f>X127</f>
        <v>58.248</v>
      </c>
      <c r="Y383" s="34" t="n"/>
      <c r="Z383" s="34" t="n"/>
      <c r="AA383" s="34" t="n"/>
      <c r="AB383" s="34" t="n"/>
      <c r="AC383" s="264">
        <f>AC127</f>
        <v>63.894</v>
      </c>
      <c r="AD383" s="34" t="n"/>
      <c r="AE383" s="34" t="n"/>
      <c r="AF383" s="34" t="n"/>
      <c r="AG383" s="34" t="n"/>
      <c r="AH383" s="264">
        <f>AH127</f>
        <v>70.623</v>
      </c>
      <c r="AI383" s="34" t="n"/>
      <c r="AJ383" s="34" t="n"/>
      <c r="AK383" s="34" t="n"/>
      <c r="AL383" s="34" t="n"/>
      <c r="AM383" s="264">
        <f>AM127</f>
        <v>87.141</v>
      </c>
      <c r="AN383" s="34" t="n"/>
      <c r="AO383" s="34" t="n"/>
      <c r="AP383" s="34" t="n"/>
      <c r="AQ383" s="34" t="n"/>
      <c r="AR383" s="264">
        <f>AR127</f>
        <v>105.193</v>
      </c>
      <c r="AS383" s="34" t="n"/>
      <c r="AT383" s="34" t="n"/>
      <c r="AU383" s="34" t="n"/>
      <c r="AV383" s="34" t="n"/>
      <c r="AW383" s="264">
        <f>AW127</f>
        <v>126.036</v>
      </c>
      <c r="AX383" s="34" t="n"/>
      <c r="AY383" s="34" t="n"/>
      <c r="AZ383" s="34" t="n"/>
      <c r="BA383" s="34" t="n"/>
      <c r="BB383" s="264">
        <f>BB127</f>
        <v>89.633</v>
      </c>
      <c r="BC383" s="34" t="n"/>
      <c r="BD383" s="34" t="n"/>
      <c r="BE383" s="34" t="n"/>
      <c r="BF383" s="34" t="n"/>
      <c r="BG383" s="264">
        <f>BG127</f>
        <v>65.065</v>
      </c>
      <c r="BH383" s="34" t="n"/>
      <c r="BI383" s="34" t="n"/>
      <c r="BJ383" s="34" t="n"/>
      <c r="BK383" s="34" t="n"/>
      <c r="BL383" s="264">
        <f>BL127</f>
        <v>166.7</v>
      </c>
      <c r="BM383" s="34" t="n"/>
      <c r="BN383" s="34" t="n"/>
      <c r="BO383" s="34" t="n"/>
      <c r="BP383" s="34" t="n"/>
      <c r="BQ383" s="264">
        <f>BQ127</f>
        <v>209.9</v>
      </c>
      <c r="BR383" s="34" t="n"/>
      <c r="BS383" s="34" t="n"/>
      <c r="BT383" s="34" t="n"/>
      <c r="BU383" s="34" t="n"/>
      <c r="BV383" s="264">
        <f>BV127</f>
        <v>246.2</v>
      </c>
      <c r="BW383" s="34" t="n"/>
      <c r="BX383" s="34" t="n"/>
      <c r="BY383" s="34" t="n"/>
      <c r="BZ383" s="34" t="n"/>
      <c r="CA383" s="264">
        <f>CA127</f>
        <v>287.6</v>
      </c>
      <c r="CB383" s="34" t="n"/>
      <c r="CC383" s="35" t="n"/>
      <c r="CD383" s="35" t="n"/>
      <c r="CE383" s="35" t="n"/>
      <c r="CF383" s="261">
        <f>CF127</f>
        <v>403.457841818604</v>
      </c>
      <c r="CG383" s="261">
        <f>CG127</f>
        <v>456.78262526851</v>
      </c>
      <c r="CH383" s="261">
        <f>CH127</f>
        <v>508.150032226153</v>
      </c>
      <c r="CI383" s="261">
        <f>CI127</f>
        <v>571.027854992127</v>
      </c>
      <c r="CJ383" s="261">
        <f>CJ127</f>
        <v>628.525114123447</v>
      </c>
      <c r="CK383" s="261">
        <f>CK127</f>
        <v>684.808268473411</v>
      </c>
      <c r="CL383" s="19" t="n"/>
    </row>
    <row r="384" ht="15" customHeight="1" s="251">
      <c r="B384" s="25" t="inlineStr">
        <is>
          <t>Stockholders' equity</t>
        </is>
      </c>
      <c r="C384" s="264">
        <f>C298</f>
        <v>73.34</v>
      </c>
      <c r="D384" s="264">
        <f>D298</f>
        <v>168.171</v>
      </c>
      <c r="E384" s="264">
        <f>E298</f>
        <v>223.91</v>
      </c>
      <c r="F384" s="264">
        <f>F298</f>
        <v>256.011</v>
      </c>
      <c r="G384" s="264">
        <f>G298</f>
        <v>283.547</v>
      </c>
      <c r="H384" s="264">
        <f>H298</f>
        <v>330.067</v>
      </c>
      <c r="I384" s="264">
        <f>I298</f>
        <v>385.815</v>
      </c>
      <c r="J384" s="34" t="n"/>
      <c r="K384" s="34" t="n"/>
      <c r="L384" s="34" t="n"/>
      <c r="M384" s="34" t="n"/>
      <c r="N384" s="264">
        <f>N298</f>
        <v>462.195</v>
      </c>
      <c r="O384" s="34" t="n"/>
      <c r="P384" s="34" t="n"/>
      <c r="Q384" s="34" t="n"/>
      <c r="R384" s="34" t="n"/>
      <c r="S384" s="264">
        <f>S298</f>
        <v>538.452</v>
      </c>
      <c r="T384" s="34" t="n"/>
      <c r="U384" s="34" t="n"/>
      <c r="V384" s="34" t="n"/>
      <c r="W384" s="34" t="n"/>
      <c r="X384" s="264">
        <f>X298</f>
        <v>549.433</v>
      </c>
      <c r="Y384" s="34" t="n"/>
      <c r="Z384" s="34" t="n"/>
      <c r="AA384" s="34" t="n"/>
      <c r="AB384" s="34" t="n"/>
      <c r="AC384" s="264">
        <f>AC298</f>
        <v>620.947</v>
      </c>
      <c r="AD384" s="34" t="n"/>
      <c r="AE384" s="34" t="n"/>
      <c r="AF384" s="34" t="n"/>
      <c r="AG384" s="34" t="n"/>
      <c r="AH384" s="264">
        <f>AH298</f>
        <v>717.044</v>
      </c>
      <c r="AI384" s="34" t="n"/>
      <c r="AJ384" s="34" t="n"/>
      <c r="AK384" s="34" t="n"/>
      <c r="AL384" s="34" t="n"/>
      <c r="AM384" s="264">
        <f>AM298</f>
        <v>834.552</v>
      </c>
      <c r="AN384" s="34" t="n"/>
      <c r="AO384" s="34" t="n"/>
      <c r="AP384" s="34" t="n"/>
      <c r="AQ384" s="34" t="n"/>
      <c r="AR384" s="264">
        <f>AR298</f>
        <v>968.566</v>
      </c>
      <c r="AS384" s="34" t="n"/>
      <c r="AT384" s="34" t="n"/>
      <c r="AU384" s="34" t="n"/>
      <c r="AV384" s="34" t="n"/>
      <c r="AW384" s="264">
        <f>AW298</f>
        <v>1117.999</v>
      </c>
      <c r="AX384" s="34" t="n"/>
      <c r="AY384" s="34" t="n"/>
      <c r="AZ384" s="34" t="n"/>
      <c r="BA384" s="34" t="n"/>
      <c r="BB384" s="264">
        <f>BB298</f>
        <v>1229.951</v>
      </c>
      <c r="BC384" s="34" t="n"/>
      <c r="BD384" s="34" t="n"/>
      <c r="BE384" s="34" t="n"/>
      <c r="BF384" s="34" t="n"/>
      <c r="BG384" s="264">
        <f>BG298</f>
        <v>2371.847</v>
      </c>
      <c r="BH384" s="34" t="n"/>
      <c r="BI384" s="34" t="n"/>
      <c r="BJ384" s="34" t="n"/>
      <c r="BK384" s="34" t="n"/>
      <c r="BL384" s="264">
        <f>BL298</f>
        <v>2535.9</v>
      </c>
      <c r="BM384" s="34" t="n"/>
      <c r="BN384" s="34" t="n"/>
      <c r="BO384" s="34" t="n"/>
      <c r="BP384" s="34" t="n"/>
      <c r="BQ384" s="264">
        <f>BQ298</f>
        <v>2751.9</v>
      </c>
      <c r="BR384" s="34" t="n"/>
      <c r="BS384" s="34" t="n"/>
      <c r="BT384" s="34" t="n"/>
      <c r="BU384" s="34" t="n"/>
      <c r="BV384" s="264">
        <f>BV298</f>
        <v>3031.4</v>
      </c>
      <c r="BW384" s="34" t="n"/>
      <c r="BX384" s="34" t="n"/>
      <c r="BY384" s="34" t="n"/>
      <c r="BZ384" s="34" t="n"/>
      <c r="CA384" s="264">
        <f>CA298</f>
        <v>3361</v>
      </c>
      <c r="CB384" s="34" t="n"/>
      <c r="CC384" s="35" t="n"/>
      <c r="CD384" s="35" t="n"/>
      <c r="CE384" s="35" t="n"/>
      <c r="CF384" s="261">
        <f>CF298</f>
        <v>3787.0782025898</v>
      </c>
      <c r="CG384" s="261">
        <f>CG298</f>
        <v>3713.44608356596</v>
      </c>
      <c r="CH384" s="261">
        <f>CH298</f>
        <v>3891.01126085533</v>
      </c>
      <c r="CI384" s="261">
        <f>CI298</f>
        <v>4054.70585288793</v>
      </c>
      <c r="CJ384" s="261">
        <f>CJ298</f>
        <v>4228.4312303819</v>
      </c>
      <c r="CK384" s="261">
        <f>CK298</f>
        <v>4407.65408085878</v>
      </c>
      <c r="CL384" s="19" t="n"/>
    </row>
    <row r="385" ht="15" customHeight="1" s="251">
      <c r="B385" s="25" t="inlineStr">
        <is>
          <t>ROE = Net income / Equity</t>
        </is>
      </c>
      <c r="C385" s="215">
        <f>IFERROR(C383/C384,"n/a")</f>
        <v>0.169607308426507</v>
      </c>
      <c r="D385" s="215">
        <f>IFERROR(D383/D384,"n/a")</f>
        <v>0.169345487628664</v>
      </c>
      <c r="E385" s="215">
        <f>IFERROR(E383/E384,"n/a")</f>
        <v>0.179509624402662</v>
      </c>
      <c r="F385" s="215">
        <f>IFERROR(F383/F384,"n/a")</f>
        <v>0.134580154758975</v>
      </c>
      <c r="G385" s="215">
        <f>IFERROR(G383/G384,"n/a")</f>
        <v>0.0859998518764085</v>
      </c>
      <c r="H385" s="215">
        <f>IFERROR(H383/H384,"n/a")</f>
        <v>0.105639158110323</v>
      </c>
      <c r="I385" s="215">
        <f>IFERROR(I383/I384,"n/a")</f>
        <v>0.129588014981273</v>
      </c>
      <c r="J385" s="34" t="n"/>
      <c r="K385" s="34" t="n"/>
      <c r="L385" s="34" t="n"/>
      <c r="M385" s="34" t="n"/>
      <c r="N385" s="215">
        <f>IFERROR(N383/N384,"n/a")</f>
        <v>0.121900929261459</v>
      </c>
      <c r="O385" s="34" t="n"/>
      <c r="P385" s="34" t="n"/>
      <c r="Q385" s="34" t="n"/>
      <c r="R385" s="34" t="n"/>
      <c r="S385" s="215">
        <f>IFERROR(S383/S384,"n/a")</f>
        <v>0.111816837898271</v>
      </c>
      <c r="T385" s="34" t="n"/>
      <c r="U385" s="34" t="n"/>
      <c r="V385" s="34" t="n"/>
      <c r="W385" s="34" t="n"/>
      <c r="X385" s="215">
        <f>IFERROR(X383/X384,"n/a")</f>
        <v>0.106014746110991</v>
      </c>
      <c r="Y385" s="34" t="n"/>
      <c r="Z385" s="34" t="n"/>
      <c r="AA385" s="34" t="n"/>
      <c r="AB385" s="34" t="n"/>
      <c r="AC385" s="215">
        <f>IFERROR(AC383/AC384,"n/a")</f>
        <v>0.102897670815706</v>
      </c>
      <c r="AD385" s="34" t="n"/>
      <c r="AE385" s="34" t="n"/>
      <c r="AF385" s="34" t="n"/>
      <c r="AG385" s="34" t="n"/>
      <c r="AH385" s="215">
        <f>IFERROR(AH383/AH384,"n/a")</f>
        <v>0.0984918638186778</v>
      </c>
      <c r="AI385" s="34" t="n"/>
      <c r="AJ385" s="34" t="n"/>
      <c r="AK385" s="34" t="n"/>
      <c r="AL385" s="34" t="n"/>
      <c r="AM385" s="215">
        <f>IFERROR(AM383/AM384,"n/a")</f>
        <v>0.104416501308486</v>
      </c>
      <c r="AN385" s="34" t="n"/>
      <c r="AO385" s="34" t="n"/>
      <c r="AP385" s="34" t="n"/>
      <c r="AQ385" s="34" t="n"/>
      <c r="AR385" s="215">
        <f>IFERROR(AR383/AR384,"n/a")</f>
        <v>0.108606950894415</v>
      </c>
      <c r="AS385" s="34" t="n"/>
      <c r="AT385" s="34" t="n"/>
      <c r="AU385" s="34" t="n"/>
      <c r="AV385" s="34" t="n"/>
      <c r="AW385" s="215">
        <f>IFERROR(AW383/AW384,"n/a")</f>
        <v>0.112733553428939</v>
      </c>
      <c r="AX385" s="34" t="n"/>
      <c r="AY385" s="34" t="n"/>
      <c r="AZ385" s="34" t="n"/>
      <c r="BA385" s="34" t="n"/>
      <c r="BB385" s="215">
        <f>IFERROR(BB383/BB384,"n/a")</f>
        <v>0.0728752608843767</v>
      </c>
      <c r="BC385" s="34" t="n"/>
      <c r="BD385" s="34" t="n"/>
      <c r="BE385" s="34" t="n"/>
      <c r="BF385" s="34" t="n"/>
      <c r="BG385" s="215">
        <f>IFERROR(BG383/BG384,"n/a")</f>
        <v>0.0274322078953659</v>
      </c>
      <c r="BH385" s="34" t="n"/>
      <c r="BI385" s="34" t="n"/>
      <c r="BJ385" s="34" t="n"/>
      <c r="BK385" s="34" t="n"/>
      <c r="BL385" s="215">
        <f>IFERROR(BL383/BL384,"n/a")</f>
        <v>0.0657360306005757</v>
      </c>
      <c r="BM385" s="34" t="n"/>
      <c r="BN385" s="34" t="n"/>
      <c r="BO385" s="34" t="n"/>
      <c r="BP385" s="34" t="n"/>
      <c r="BQ385" s="215">
        <f>IFERROR(BQ383/BQ384,"n/a")</f>
        <v>0.0762745739307388</v>
      </c>
      <c r="BR385" s="34" t="n"/>
      <c r="BS385" s="34" t="n"/>
      <c r="BT385" s="34" t="n"/>
      <c r="BU385" s="34" t="n"/>
      <c r="BV385" s="215">
        <f>IFERROR(BV383/BV384,"n/a")</f>
        <v>0.0812165995909481</v>
      </c>
      <c r="BW385" s="34" t="n"/>
      <c r="BX385" s="34" t="n"/>
      <c r="BY385" s="34" t="n"/>
      <c r="BZ385" s="34" t="n"/>
      <c r="CA385" s="215">
        <f>IFERROR(CA383/CA384,"n/a")</f>
        <v>0.0855697709015174</v>
      </c>
      <c r="CB385" s="34" t="n"/>
      <c r="CC385" s="35" t="n"/>
      <c r="CD385" s="35" t="n"/>
      <c r="CE385" s="35" t="n"/>
      <c r="CF385" s="256">
        <f>IFERROR(CF383/CF384,"n/a")</f>
        <v>0.106535386975294</v>
      </c>
      <c r="CG385" s="256">
        <f>IFERROR(CG383/CG384,"n/a")</f>
        <v>0.12300774401708</v>
      </c>
      <c r="CH385" s="256">
        <f>IFERROR(CH383/CH384,"n/a")</f>
        <v>0.130595878078865</v>
      </c>
      <c r="CI385" s="256">
        <f>IFERROR(CI383/CI384,"n/a")</f>
        <v>0.140830895189454</v>
      </c>
      <c r="CJ385" s="256">
        <f>IFERROR(CJ383/CJ384,"n/a")</f>
        <v>0.148642624150394</v>
      </c>
      <c r="CK385" s="256">
        <f>IFERROR(CK383/CK384,"n/a")</f>
        <v>0.155367970333095</v>
      </c>
      <c r="CL385" s="19" t="n"/>
      <c r="CN385" s="37">
        <f>IFERROR(AVERAGE(CG385,CH385,CI385,CJ385,CK385),"n/m")</f>
        <v>0.139689022353778</v>
      </c>
      <c r="CO385" s="37">
        <f>IFERROR(AVERAGE(BG385,BL385,BQ385,BV385,CA385),"n/m")</f>
        <v>0.0672458365838292</v>
      </c>
      <c r="CP385" s="37">
        <f>IFERROR(AVERAGE(AH385,AM385,AR385,AW385,BB385,BG385,BL385,BQ385,BV385,CA385),"n/m")</f>
        <v>0.0833353313254041</v>
      </c>
      <c r="CQ385" s="37">
        <f>IFERROR(AVERAGE(C385,D385,E385,F385,G385,H385,I385,N385,S385,X385,AC385,AH385,AM385,AR385,AW385,BB385,BG385,BL385,BQ385,BV385,CA385),"n/m")</f>
        <v>0.107154909405966</v>
      </c>
    </row>
    <row r="386" ht="15" customHeight="1" s="251">
      <c r="B386" s="25" t="inlineStr">
        <is>
          <t>Leverage</t>
        </is>
      </c>
      <c r="CL386" s="153" t="n"/>
    </row>
    <row r="387" ht="15" customHeight="1" s="251">
      <c r="B387" s="25" t="inlineStr">
        <is>
          <t>Net debt = Total debt − cash</t>
        </is>
      </c>
      <c r="C387" s="264">
        <f>C369</f>
        <v>149.621</v>
      </c>
      <c r="D387" s="264">
        <f>D369</f>
        <v>54.221</v>
      </c>
      <c r="E387" s="264">
        <f>E369</f>
        <v>47.891</v>
      </c>
      <c r="F387" s="264">
        <f>F369</f>
        <v>37.594</v>
      </c>
      <c r="G387" s="264">
        <f>G369</f>
        <v>17.064</v>
      </c>
      <c r="H387" s="264">
        <f>H369</f>
        <v>-32.679</v>
      </c>
      <c r="I387" s="264">
        <f>I369</f>
        <v>-67.58</v>
      </c>
      <c r="J387" s="34" t="n"/>
      <c r="K387" s="34" t="n"/>
      <c r="L387" s="34" t="n"/>
      <c r="M387" s="34" t="n"/>
      <c r="N387" s="264">
        <f>N369</f>
        <v>-104.18</v>
      </c>
      <c r="O387" s="34" t="n"/>
      <c r="P387" s="34" t="n"/>
      <c r="Q387" s="34" t="n"/>
      <c r="R387" s="34" t="n"/>
      <c r="S387" s="264">
        <f>S369</f>
        <v>-110.76</v>
      </c>
      <c r="T387" s="34" t="n"/>
      <c r="U387" s="34" t="n"/>
      <c r="V387" s="34" t="n"/>
      <c r="W387" s="34" t="n"/>
      <c r="X387" s="264">
        <f>X369</f>
        <v>-116.257</v>
      </c>
      <c r="Y387" s="34" t="n"/>
      <c r="Z387" s="34" t="n"/>
      <c r="AA387" s="34" t="n"/>
      <c r="AB387" s="34" t="n"/>
      <c r="AC387" s="264">
        <f>AC369</f>
        <v>324.488</v>
      </c>
      <c r="AD387" s="34" t="n"/>
      <c r="AE387" s="34" t="n"/>
      <c r="AF387" s="34" t="n"/>
      <c r="AG387" s="34" t="n"/>
      <c r="AH387" s="264">
        <f>AH369</f>
        <v>230.877</v>
      </c>
      <c r="AI387" s="34" t="n"/>
      <c r="AJ387" s="34" t="n"/>
      <c r="AK387" s="34" t="n"/>
      <c r="AL387" s="34" t="n"/>
      <c r="AM387" s="264">
        <f>AM369</f>
        <v>119.192</v>
      </c>
      <c r="AN387" s="34" t="n"/>
      <c r="AO387" s="34" t="n"/>
      <c r="AP387" s="34" t="n"/>
      <c r="AQ387" s="34" t="n"/>
      <c r="AR387" s="264">
        <f>AR369</f>
        <v>13.762</v>
      </c>
      <c r="AS387" s="34" t="n"/>
      <c r="AT387" s="34" t="n"/>
      <c r="AU387" s="34" t="n"/>
      <c r="AV387" s="34" t="n"/>
      <c r="AW387" s="264">
        <f>AW369</f>
        <v>-80.243</v>
      </c>
      <c r="AX387" s="34" t="n"/>
      <c r="AY387" s="34" t="n"/>
      <c r="AZ387" s="34" t="n"/>
      <c r="BA387" s="34" t="n"/>
      <c r="BB387" s="264">
        <f>BB369</f>
        <v>-134.979</v>
      </c>
      <c r="BC387" s="34" t="n"/>
      <c r="BD387" s="34" t="n"/>
      <c r="BE387" s="34" t="n"/>
      <c r="BF387" s="34" t="n"/>
      <c r="BG387" s="264">
        <f>BG369</f>
        <v>1505.479</v>
      </c>
      <c r="BH387" s="34" t="n"/>
      <c r="BI387" s="34" t="n"/>
      <c r="BJ387" s="34" t="n"/>
      <c r="BK387" s="34" t="n"/>
      <c r="BL387" s="264">
        <f>BL369</f>
        <v>1329.6</v>
      </c>
      <c r="BM387" s="34" t="n"/>
      <c r="BN387" s="34" t="n"/>
      <c r="BO387" s="34" t="n"/>
      <c r="BP387" s="34" t="n"/>
      <c r="BQ387" s="264">
        <f>BQ369</f>
        <v>1128.4</v>
      </c>
      <c r="BR387" s="34" t="n"/>
      <c r="BS387" s="34" t="n"/>
      <c r="BT387" s="34" t="n"/>
      <c r="BU387" s="34" t="n"/>
      <c r="BV387" s="264">
        <f>BV369</f>
        <v>883.3</v>
      </c>
      <c r="BW387" s="34" t="n"/>
      <c r="BX387" s="34" t="n"/>
      <c r="BY387" s="34" t="n"/>
      <c r="BZ387" s="34" t="n"/>
      <c r="CA387" s="264">
        <f>CA369</f>
        <v>818.2</v>
      </c>
      <c r="CB387" s="34" t="n"/>
      <c r="CC387" s="35" t="n"/>
      <c r="CD387" s="35" t="n"/>
      <c r="CE387" s="35" t="n"/>
      <c r="CF387" s="261">
        <f>CF369</f>
        <v>470.545533901234</v>
      </c>
      <c r="CG387" s="261">
        <f>CG369</f>
        <v>817.009114446059</v>
      </c>
      <c r="CH387" s="261">
        <f>CH369</f>
        <v>919.171644953639</v>
      </c>
      <c r="CI387" s="261">
        <f>CI369</f>
        <v>1023.61113383704</v>
      </c>
      <c r="CJ387" s="261">
        <f>CJ369</f>
        <v>1123.38495461038</v>
      </c>
      <c r="CK387" s="261">
        <f>CK369</f>
        <v>1222.06801092962</v>
      </c>
      <c r="CL387" s="19" t="n"/>
    </row>
    <row r="388" ht="15" customHeight="1" s="251">
      <c r="B388" s="25" t="inlineStr">
        <is>
          <t>Adjusted EBITDA</t>
        </is>
      </c>
      <c r="C388" s="264">
        <f>C179</f>
        <v>55.061</v>
      </c>
      <c r="D388" s="264">
        <f>D179</f>
        <v>67.493</v>
      </c>
      <c r="E388" s="264">
        <f>E179</f>
        <v>75.67</v>
      </c>
      <c r="F388" s="264">
        <f>F179</f>
        <v>77.608</v>
      </c>
      <c r="G388" s="264">
        <f>G179</f>
        <v>53.734</v>
      </c>
      <c r="H388" s="264">
        <f>H179</f>
        <v>75.243</v>
      </c>
      <c r="I388" s="264">
        <f>I179</f>
        <v>95.959</v>
      </c>
      <c r="J388" s="34" t="n"/>
      <c r="K388" s="34" t="n"/>
      <c r="L388" s="34" t="n"/>
      <c r="M388" s="34" t="n"/>
      <c r="N388" s="264">
        <f>N179</f>
        <v>105.026</v>
      </c>
      <c r="O388" s="34" t="n"/>
      <c r="P388" s="34" t="n"/>
      <c r="Q388" s="34" t="n"/>
      <c r="R388" s="34" t="n"/>
      <c r="S388" s="264">
        <f>S179</f>
        <v>111.512</v>
      </c>
      <c r="T388" s="34" t="n"/>
      <c r="U388" s="34" t="n"/>
      <c r="V388" s="34" t="n"/>
      <c r="W388" s="34" t="n"/>
      <c r="X388" s="264">
        <f>X179</f>
        <v>119.871</v>
      </c>
      <c r="Y388" s="34" t="n"/>
      <c r="Z388" s="34" t="n"/>
      <c r="AA388" s="34" t="n"/>
      <c r="AB388" s="34" t="n"/>
      <c r="AC388" s="264">
        <f>AC179</f>
        <v>154.828</v>
      </c>
      <c r="AD388" s="34" t="n"/>
      <c r="AE388" s="34" t="n"/>
      <c r="AF388" s="34" t="n"/>
      <c r="AG388" s="34" t="n"/>
      <c r="AH388" s="264">
        <f>AH179</f>
        <v>160.84</v>
      </c>
      <c r="AI388" s="34" t="n"/>
      <c r="AJ388" s="34" t="n"/>
      <c r="AK388" s="34" t="n"/>
      <c r="AL388" s="34" t="n"/>
      <c r="AM388" s="264">
        <f>AM179</f>
        <v>177.886</v>
      </c>
      <c r="AN388" s="34" t="n"/>
      <c r="AO388" s="34" t="n"/>
      <c r="AP388" s="34" t="n"/>
      <c r="AQ388" s="34" t="n"/>
      <c r="AR388" s="264">
        <f>AR179</f>
        <v>195.504</v>
      </c>
      <c r="AS388" s="34" t="n"/>
      <c r="AT388" s="34" t="n"/>
      <c r="AU388" s="34" t="n"/>
      <c r="AV388" s="34" t="n"/>
      <c r="AW388" s="264">
        <f>AW179</f>
        <v>209.22</v>
      </c>
      <c r="AX388" s="34" t="n"/>
      <c r="AY388" s="34" t="n"/>
      <c r="AZ388" s="34" t="n"/>
      <c r="BA388" s="34" t="n"/>
      <c r="BB388" s="264">
        <f>BB179</f>
        <v>174.255</v>
      </c>
      <c r="BC388" s="34" t="n"/>
      <c r="BD388" s="34" t="n"/>
      <c r="BE388" s="34" t="n"/>
      <c r="BF388" s="34" t="n"/>
      <c r="BG388" s="264">
        <f>BG179</f>
        <v>266.468</v>
      </c>
      <c r="BH388" s="34" t="n"/>
      <c r="BI388" s="34" t="n"/>
      <c r="BJ388" s="34" t="n"/>
      <c r="BK388" s="34" t="n"/>
      <c r="BL388" s="264">
        <f>BL179</f>
        <v>433.97</v>
      </c>
      <c r="BM388" s="34" t="n"/>
      <c r="BN388" s="34" t="n"/>
      <c r="BO388" s="34" t="n"/>
      <c r="BP388" s="34" t="n"/>
      <c r="BQ388" s="264">
        <f>BQ179</f>
        <v>482.167</v>
      </c>
      <c r="BR388" s="34" t="n"/>
      <c r="BS388" s="34" t="n"/>
      <c r="BT388" s="34" t="n"/>
      <c r="BU388" s="34" t="n"/>
      <c r="BV388" s="264">
        <f>BV179</f>
        <v>519.8</v>
      </c>
      <c r="BW388" s="34" t="n"/>
      <c r="BX388" s="34" t="n"/>
      <c r="BY388" s="34" t="n"/>
      <c r="BZ388" s="34" t="n"/>
      <c r="CA388" s="264">
        <f>CA179</f>
        <v>605.3</v>
      </c>
      <c r="CB388" s="34" t="n"/>
      <c r="CC388" s="35" t="n"/>
      <c r="CD388" s="35" t="n"/>
      <c r="CE388" s="35" t="n"/>
      <c r="CF388" s="261">
        <f>CF179</f>
        <v>723.463021075993</v>
      </c>
      <c r="CG388" s="261">
        <f>CG179</f>
        <v>817.009114446059</v>
      </c>
      <c r="CH388" s="261">
        <f>CH179</f>
        <v>919.171644953639</v>
      </c>
      <c r="CI388" s="261">
        <f>CI179</f>
        <v>1023.61113383704</v>
      </c>
      <c r="CJ388" s="261">
        <f>CJ179</f>
        <v>1123.38495461038</v>
      </c>
      <c r="CK388" s="261">
        <f>CK179</f>
        <v>1222.06801092962</v>
      </c>
      <c r="CL388" s="19" t="n"/>
    </row>
    <row r="389" ht="15" customHeight="1" s="251">
      <c r="B389" s="55" t="inlineStr">
        <is>
          <t>Net debt / adjusted EBITDA (x) — company "net debt leverage"</t>
        </is>
      </c>
      <c r="C389" s="291">
        <f>IFERROR(C387/C388,"n/a")</f>
        <v>2.71736801002525</v>
      </c>
      <c r="D389" s="291">
        <f>IFERROR(D387/D388,"n/a")</f>
        <v>0.803357385210318</v>
      </c>
      <c r="E389" s="291">
        <f>IFERROR(E387/E388,"n/a")</f>
        <v>0.632892824104665</v>
      </c>
      <c r="F389" s="291">
        <f>IFERROR(F387/F388,"n/a")</f>
        <v>0.484408823832595</v>
      </c>
      <c r="G389" s="291">
        <f>IFERROR(G387/G388,"n/a")</f>
        <v>0.3175642982097</v>
      </c>
      <c r="H389" s="291">
        <f>IFERROR(H387/H388,"n/a")</f>
        <v>-0.434312826442327</v>
      </c>
      <c r="I389" s="291">
        <f>IFERROR(I387/I388,"n/a")</f>
        <v>-0.704259110661845</v>
      </c>
      <c r="J389" s="56" t="n"/>
      <c r="K389" s="56" t="n"/>
      <c r="L389" s="56" t="n"/>
      <c r="M389" s="56" t="n"/>
      <c r="N389" s="291">
        <f>IFERROR(N387/N388,"n/a")</f>
        <v>-0.991944851750995</v>
      </c>
      <c r="O389" s="56" t="n"/>
      <c r="P389" s="56" t="n"/>
      <c r="Q389" s="56" t="n"/>
      <c r="R389" s="56" t="n"/>
      <c r="S389" s="291">
        <f>IFERROR(S387/S388,"n/a")</f>
        <v>-0.993256331157185</v>
      </c>
      <c r="T389" s="56" t="n"/>
      <c r="U389" s="56" t="n"/>
      <c r="V389" s="56" t="n"/>
      <c r="W389" s="56" t="n"/>
      <c r="X389" s="291">
        <f>IFERROR(X387/X388,"n/a")</f>
        <v>-0.96985092307564</v>
      </c>
      <c r="Y389" s="56" t="n"/>
      <c r="Z389" s="56" t="n"/>
      <c r="AA389" s="56" t="n"/>
      <c r="AB389" s="56" t="n"/>
      <c r="AC389" s="291">
        <f>IFERROR(AC387/AC388,"n/a")</f>
        <v>2.09579662593329</v>
      </c>
      <c r="AD389" s="56" t="n"/>
      <c r="AE389" s="56" t="n"/>
      <c r="AF389" s="56" t="n"/>
      <c r="AG389" s="56" t="n"/>
      <c r="AH389" s="291">
        <f>IFERROR(AH387/AH388,"n/a")</f>
        <v>1.4354451628948</v>
      </c>
      <c r="AI389" s="56" t="n"/>
      <c r="AJ389" s="56" t="n"/>
      <c r="AK389" s="56" t="n"/>
      <c r="AL389" s="56" t="n"/>
      <c r="AM389" s="291">
        <f>IFERROR(AM387/AM388,"n/a")</f>
        <v>0.670047108822504</v>
      </c>
      <c r="AN389" s="56" t="n"/>
      <c r="AO389" s="56" t="n"/>
      <c r="AP389" s="56" t="n"/>
      <c r="AQ389" s="56" t="n"/>
      <c r="AR389" s="291">
        <f>IFERROR(AR387/AR388,"n/a")</f>
        <v>0.070392421638432</v>
      </c>
      <c r="AS389" s="56" t="n"/>
      <c r="AT389" s="56" t="n"/>
      <c r="AU389" s="56" t="n"/>
      <c r="AV389" s="56" t="n"/>
      <c r="AW389" s="291">
        <f>IFERROR(AW387/AW388,"n/a")</f>
        <v>-0.383534078959946</v>
      </c>
      <c r="AX389" s="56" t="n"/>
      <c r="AY389" s="56" t="n"/>
      <c r="AZ389" s="56" t="n"/>
      <c r="BA389" s="56" t="n"/>
      <c r="BB389" s="291">
        <f>IFERROR(BB387/BB388,"n/a")</f>
        <v>-0.774606180597401</v>
      </c>
      <c r="BC389" s="56" t="n"/>
      <c r="BD389" s="56" t="n"/>
      <c r="BE389" s="56" t="n"/>
      <c r="BF389" s="56" t="n"/>
      <c r="BG389" s="291">
        <f>IFERROR(BG387/BG388,"n/a")</f>
        <v>5.6497553177117</v>
      </c>
      <c r="BH389" s="56" t="n"/>
      <c r="BI389" s="56" t="n"/>
      <c r="BJ389" s="56" t="n"/>
      <c r="BK389" s="56" t="n"/>
      <c r="BL389" s="291">
        <f>IFERROR(BL387/BL388,"n/a")</f>
        <v>3.06380625388852</v>
      </c>
      <c r="BM389" s="56" t="n"/>
      <c r="BN389" s="56" t="n"/>
      <c r="BO389" s="56" t="n"/>
      <c r="BP389" s="56" t="n"/>
      <c r="BQ389" s="291">
        <f>IFERROR(BQ387/BQ388,"n/a")</f>
        <v>2.34026799843208</v>
      </c>
      <c r="BR389" s="56" t="n"/>
      <c r="BS389" s="56" t="n"/>
      <c r="BT389" s="56" t="n"/>
      <c r="BU389" s="56" t="n"/>
      <c r="BV389" s="291">
        <f>IFERROR(BV387/BV388,"n/a")</f>
        <v>1.69930742593305</v>
      </c>
      <c r="BW389" s="56" t="n"/>
      <c r="BX389" s="56" t="n"/>
      <c r="BY389" s="56" t="n"/>
      <c r="BZ389" s="56" t="n"/>
      <c r="CA389" s="291">
        <f>IFERROR(CA387/CA388,"n/a")</f>
        <v>1.3517264166529</v>
      </c>
      <c r="CB389" s="56" t="n"/>
      <c r="CC389" s="56" t="n"/>
      <c r="CD389" s="56" t="n"/>
      <c r="CE389" s="56" t="n"/>
      <c r="CF389" s="291">
        <f>IFERROR(CF387/CF388,"n/a")</f>
        <v>0.650407166908684</v>
      </c>
      <c r="CG389" s="291">
        <f>IFERROR(CG387/CG388,"n/a")</f>
        <v>1</v>
      </c>
      <c r="CH389" s="291">
        <f>IFERROR(CH387/CH388,"n/a")</f>
        <v>1</v>
      </c>
      <c r="CI389" s="291">
        <f>IFERROR(CI387/CI388,"n/a")</f>
        <v>1</v>
      </c>
      <c r="CJ389" s="291">
        <f>IFERROR(CJ387/CJ388,"n/a")</f>
        <v>1</v>
      </c>
      <c r="CK389" s="291">
        <f>IFERROR(CK387/CK388,"n/a")</f>
        <v>1</v>
      </c>
      <c r="CL389" s="153" t="n"/>
      <c r="CN389" s="37">
        <f>IFERROR(AVERAGE(CG389,CH389,CI389,CJ389,CK389),"n/m")</f>
        <v>1</v>
      </c>
      <c r="CO389" s="37">
        <f>IFERROR(AVERAGE(BG389,BL389,BQ389,BV389,CA389),"n/m")</f>
        <v>2.82097268252365</v>
      </c>
      <c r="CP389" s="37">
        <f>IFERROR(AVERAGE(AH389,AM389,AR389,AW389,BB389,BG389,BL389,BQ389,BV389,CA389),"n/m")</f>
        <v>1.51226078464166</v>
      </c>
      <c r="CQ389" s="37">
        <f>IFERROR(AVERAGE(C389,D389,E389,F389,G389,H389,I389,N389,S389,X389,AC389,AH389,AM389,AR389,AW389,BB389,BG389,BL389,BQ389,BV389,CA389),"n/m")</f>
        <v>0.860970084316403</v>
      </c>
    </row>
    <row r="390" ht="15" customHeight="1" s="251">
      <c r="B390" s="25" t="inlineStr">
        <is>
          <t>Total debt / adjusted EBITDA (x)</t>
        </is>
      </c>
      <c r="C390" s="284">
        <f>IFERROR(C338/C179,"n/a")</f>
        <v>3.01024318483137</v>
      </c>
      <c r="D390" s="284">
        <f>IFERROR(D338/D179,"n/a")</f>
        <v>0.880165350480791</v>
      </c>
      <c r="E390" s="284">
        <f>IFERROR(E338/E179,"n/a")</f>
        <v>0.7631822386679</v>
      </c>
      <c r="F390" s="284">
        <f>IFERROR(F338/F179,"n/a")</f>
        <v>0.878144005772601</v>
      </c>
      <c r="G390" s="284">
        <f>IFERROR(G338/G179,"n/a")</f>
        <v>0.715617672237317</v>
      </c>
      <c r="H390" s="284">
        <f>IFERROR(H338/H179,"n/a")</f>
        <v>0.415932379091743</v>
      </c>
      <c r="I390" s="284">
        <f>IFERROR(I338/I179,"n/a")</f>
        <v>0.0108483831636428</v>
      </c>
      <c r="J390" s="34" t="n"/>
      <c r="K390" s="34" t="n"/>
      <c r="L390" s="34" t="n"/>
      <c r="M390" s="34" t="n"/>
      <c r="N390" s="284">
        <f>IFERROR(N338/N179,"n/a")</f>
        <v>0.0980709538590444</v>
      </c>
      <c r="O390" s="34" t="n"/>
      <c r="P390" s="34" t="n"/>
      <c r="Q390" s="34" t="n"/>
      <c r="R390" s="34" t="n"/>
      <c r="S390" s="284">
        <f>IFERROR(S338/S179,"n/a")</f>
        <v>0.093684984575651</v>
      </c>
      <c r="T390" s="34" t="n"/>
      <c r="U390" s="34" t="n"/>
      <c r="V390" s="34" t="n"/>
      <c r="W390" s="34" t="n"/>
      <c r="X390" s="284">
        <f>IFERROR(X338/X179,"n/a")</f>
        <v>0.0767324874239808</v>
      </c>
      <c r="Y390" s="34" t="n"/>
      <c r="Z390" s="34" t="n"/>
      <c r="AA390" s="34" t="n"/>
      <c r="AB390" s="34" t="n"/>
      <c r="AC390" s="284">
        <f>IFERROR(AC338/AC179,"n/a")</f>
        <v>2.34903247474617</v>
      </c>
      <c r="AD390" s="34" t="n"/>
      <c r="AE390" s="34" t="n"/>
      <c r="AF390" s="34" t="n"/>
      <c r="AG390" s="34" t="n"/>
      <c r="AH390" s="284">
        <f>IFERROR(AH338/AH179,"n/a")</f>
        <v>1.67744342203432</v>
      </c>
      <c r="AI390" s="34" t="n"/>
      <c r="AJ390" s="34" t="n"/>
      <c r="AK390" s="34" t="n"/>
      <c r="AL390" s="34" t="n"/>
      <c r="AM390" s="284">
        <f>IFERROR(AM338/AM179,"n/a")</f>
        <v>0.974528630696064</v>
      </c>
      <c r="AN390" s="34" t="n"/>
      <c r="AO390" s="34" t="n"/>
      <c r="AP390" s="34" t="n"/>
      <c r="AQ390" s="34" t="n"/>
      <c r="AR390" s="284">
        <f>IFERROR(AR338/AR179,"n/a")</f>
        <v>0.223248629184058</v>
      </c>
      <c r="AS390" s="34" t="n"/>
      <c r="AT390" s="34" t="n"/>
      <c r="AU390" s="34" t="n"/>
      <c r="AV390" s="34" t="n"/>
      <c r="AW390" s="284">
        <f>IFERROR(AW338/AW179,"n/a")</f>
        <v>0.109989484752892</v>
      </c>
      <c r="AX390" s="34" t="n"/>
      <c r="AY390" s="34" t="n"/>
      <c r="AZ390" s="34" t="n"/>
      <c r="BA390" s="34" t="n"/>
      <c r="BB390" s="284">
        <f>IFERROR(BB338/BB179,"n/a")</f>
        <v>0.0924335026254627</v>
      </c>
      <c r="BC390" s="34" t="n"/>
      <c r="BD390" s="34" t="n"/>
      <c r="BE390" s="34" t="n"/>
      <c r="BF390" s="34" t="n"/>
      <c r="BG390" s="284">
        <f>IFERROR(BG338/BG179,"n/a")</f>
        <v>6.33599906930663</v>
      </c>
      <c r="BH390" s="34" t="n"/>
      <c r="BI390" s="34" t="n"/>
      <c r="BJ390" s="34" t="n"/>
      <c r="BK390" s="34" t="n"/>
      <c r="BL390" s="284">
        <f>IFERROR(BL338/BL179,"n/a")</f>
        <v>3.21450791529368</v>
      </c>
      <c r="BM390" s="34" t="n"/>
      <c r="BN390" s="34" t="n"/>
      <c r="BO390" s="34" t="n"/>
      <c r="BP390" s="34" t="n"/>
      <c r="BQ390" s="284">
        <f>IFERROR(BQ338/BQ179,"n/a")</f>
        <v>2.47196510752499</v>
      </c>
      <c r="BR390" s="34" t="n"/>
      <c r="BS390" s="34" t="n"/>
      <c r="BT390" s="34" t="n"/>
      <c r="BU390" s="34" t="n"/>
      <c r="BV390" s="284">
        <f>IFERROR(BV338/BV179,"n/a")</f>
        <v>1.77010388611004</v>
      </c>
      <c r="BW390" s="34" t="n"/>
      <c r="BX390" s="34" t="n"/>
      <c r="BY390" s="34" t="n"/>
      <c r="BZ390" s="34" t="n"/>
      <c r="CA390" s="284">
        <f>IFERROR(CA338/CA179,"n/a")</f>
        <v>1.44639021972576</v>
      </c>
      <c r="CB390" s="34" t="n"/>
      <c r="CC390" s="35" t="n"/>
      <c r="CD390" s="35" t="n"/>
      <c r="CE390" s="35" t="n"/>
      <c r="CF390" s="285">
        <f>IFERROR(CF338/CF179,"n/a")</f>
        <v>0.754075216021207</v>
      </c>
      <c r="CG390" s="285">
        <f>IFERROR(CG338/CG179,"n/a")</f>
        <v>1.09179824150536</v>
      </c>
      <c r="CH390" s="285">
        <f>IFERROR(CH338/CH179,"n/a")</f>
        <v>1.08159520630533</v>
      </c>
      <c r="CI390" s="285">
        <f>IFERROR(CI338/CI179,"n/a")</f>
        <v>1.0732700119418</v>
      </c>
      <c r="CJ390" s="285">
        <f>IFERROR(CJ338/CJ179,"n/a")</f>
        <v>1.06676251065336</v>
      </c>
      <c r="CK390" s="285">
        <f>IFERROR(CK338/CK179,"n/a")</f>
        <v>1.06137137976711</v>
      </c>
      <c r="CL390" s="19" t="n"/>
    </row>
    <row r="391" ht="15" customHeight="1" s="251">
      <c r="CT391" s="11" t="n"/>
      <c r="CU391" s="12" t="n"/>
      <c r="CV391" s="12" t="n"/>
      <c r="CW391" s="12" t="n"/>
      <c r="CX391" s="13" t="n"/>
    </row>
    <row r="392" ht="15" customHeight="1" s="251">
      <c r="B392" s="10" t="inlineStr">
        <is>
          <t>VALUATION</t>
        </is>
      </c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  <c r="AA392" s="10" t="n"/>
      <c r="AB392" s="10" t="n"/>
      <c r="AC392" s="10" t="n"/>
      <c r="AD392" s="10" t="n"/>
      <c r="AE392" s="10" t="n"/>
      <c r="AF392" s="10" t="n"/>
      <c r="AG392" s="10" t="n"/>
      <c r="AH392" s="10" t="n"/>
      <c r="AI392" s="10" t="n"/>
      <c r="AJ392" s="10" t="n"/>
      <c r="AK392" s="10" t="n"/>
      <c r="AL392" s="10" t="n"/>
      <c r="AM392" s="10" t="n"/>
      <c r="AN392" s="10" t="n"/>
      <c r="AO392" s="10" t="n"/>
      <c r="AP392" s="10" t="n"/>
      <c r="AQ392" s="10" t="n"/>
      <c r="AR392" s="10" t="n"/>
      <c r="AS392" s="10" t="n"/>
      <c r="AT392" s="10" t="n"/>
      <c r="AU392" s="10" t="n"/>
      <c r="AV392" s="10" t="n"/>
      <c r="AW392" s="10" t="n"/>
      <c r="AX392" s="10" t="n"/>
      <c r="AY392" s="10" t="n"/>
      <c r="AZ392" s="10" t="n"/>
      <c r="BA392" s="10" t="n"/>
      <c r="BB392" s="10" t="n"/>
      <c r="BC392" s="10" t="n"/>
      <c r="BD392" s="10" t="n"/>
      <c r="BE392" s="10" t="n"/>
      <c r="BF392" s="10" t="n"/>
      <c r="BG392" s="10" t="n"/>
      <c r="BH392" s="10" t="n"/>
      <c r="BI392" s="10" t="n"/>
      <c r="BJ392" s="10" t="n"/>
      <c r="BK392" s="10" t="n"/>
      <c r="BL392" s="10" t="n"/>
      <c r="BM392" s="10" t="n"/>
      <c r="BN392" s="10" t="n"/>
      <c r="BO392" s="10" t="n"/>
      <c r="BP392" s="10" t="n"/>
      <c r="BQ392" s="10" t="n"/>
      <c r="BR392" s="10" t="n"/>
      <c r="BS392" s="10" t="n"/>
      <c r="BT392" s="10" t="n"/>
      <c r="BU392" s="10" t="n"/>
      <c r="BV392" s="10" t="n"/>
      <c r="BW392" s="10" t="n"/>
      <c r="BX392" s="10" t="n"/>
      <c r="BY392" s="10" t="n"/>
      <c r="BZ392" s="10" t="n"/>
      <c r="CA392" s="10" t="n"/>
      <c r="CB392" s="10" t="n"/>
      <c r="CC392" s="10" t="n"/>
      <c r="CD392" s="10" t="n"/>
      <c r="CE392" s="10" t="n"/>
      <c r="CF392" s="10" t="n"/>
      <c r="CG392" s="10" t="n"/>
      <c r="CH392" s="10" t="n"/>
      <c r="CI392" s="10" t="n"/>
      <c r="CJ392" s="10" t="n"/>
      <c r="CK392" s="10" t="n"/>
      <c r="CL392" s="10" t="inlineStr">
        <is>
          <t>VALUATION — share price input $510.00 (provided by the user on 13-Oct-2026; not an SEC-filed price); update to market</t>
        </is>
      </c>
    </row>
    <row r="393" ht="15" customHeight="1" s="251">
      <c r="B393" s="69" t="inlineStr">
        <is>
          <t>Share price ($) — current</t>
        </is>
      </c>
      <c r="C393" s="44" t="n"/>
      <c r="D393" s="44" t="n"/>
      <c r="E393" s="44" t="n"/>
      <c r="F393" s="44" t="n"/>
      <c r="G393" s="44" t="n"/>
      <c r="H393" s="44" t="n"/>
      <c r="I393" s="44" t="n"/>
      <c r="J393" s="44" t="n"/>
      <c r="K393" s="44" t="n"/>
      <c r="L393" s="44" t="n"/>
      <c r="M393" s="44" t="n"/>
      <c r="N393" s="44" t="n"/>
      <c r="O393" s="44" t="n"/>
      <c r="P393" s="44" t="n"/>
      <c r="Q393" s="44" t="n"/>
      <c r="R393" s="44" t="n"/>
      <c r="S393" s="44" t="n"/>
      <c r="T393" s="44" t="n"/>
      <c r="U393" s="44" t="n"/>
      <c r="V393" s="44" t="n"/>
      <c r="W393" s="44" t="n"/>
      <c r="X393" s="44" t="n"/>
      <c r="Y393" s="44" t="n"/>
      <c r="Z393" s="44" t="n"/>
      <c r="AA393" s="44" t="n"/>
      <c r="AB393" s="44" t="n"/>
      <c r="AC393" s="44" t="n"/>
      <c r="AD393" s="44" t="n"/>
      <c r="AE393" s="44" t="n"/>
      <c r="AF393" s="44" t="n"/>
      <c r="AG393" s="44" t="n"/>
      <c r="AH393" s="44" t="n"/>
      <c r="AI393" s="44" t="n"/>
      <c r="AJ393" s="44" t="n"/>
      <c r="AK393" s="44" t="n"/>
      <c r="AL393" s="44" t="n"/>
      <c r="AM393" s="44" t="n"/>
      <c r="AN393" s="44" t="n"/>
      <c r="AO393" s="44" t="n"/>
      <c r="AP393" s="44" t="n"/>
      <c r="AQ393" s="44" t="n"/>
      <c r="AR393" s="44" t="n"/>
      <c r="AS393" s="44" t="n"/>
      <c r="AT393" s="44" t="n"/>
      <c r="AU393" s="44" t="n"/>
      <c r="AV393" s="44" t="n"/>
      <c r="AW393" s="44" t="n"/>
      <c r="AX393" s="44" t="n"/>
      <c r="AY393" s="44" t="n"/>
      <c r="AZ393" s="44" t="n"/>
      <c r="BA393" s="44" t="n"/>
      <c r="BB393" s="44" t="n"/>
      <c r="BC393" s="44" t="n"/>
      <c r="BD393" s="44" t="n"/>
      <c r="BE393" s="44" t="n"/>
      <c r="BF393" s="44" t="n"/>
      <c r="BG393" s="44" t="n"/>
      <c r="BH393" s="44" t="n"/>
      <c r="BI393" s="44" t="n"/>
      <c r="BJ393" s="44" t="n"/>
      <c r="BK393" s="44" t="n"/>
      <c r="BL393" s="44" t="n"/>
      <c r="BM393" s="44" t="n"/>
      <c r="BN393" s="44" t="n"/>
      <c r="BO393" s="44" t="n"/>
      <c r="BP393" s="44" t="n"/>
      <c r="BQ393" s="44" t="n"/>
      <c r="BR393" s="44" t="n"/>
      <c r="BS393" s="44" t="n"/>
      <c r="BT393" s="44" t="n"/>
      <c r="BU393" s="44" t="n"/>
      <c r="BV393" s="44" t="n"/>
      <c r="BW393" s="44" t="n"/>
      <c r="BX393" s="44" t="n"/>
      <c r="BY393" s="44" t="n"/>
      <c r="BZ393" s="44" t="n"/>
      <c r="CA393" s="44" t="n"/>
      <c r="CB393" s="44" t="n"/>
      <c r="CC393" s="153" t="n"/>
      <c r="CD393" s="153" t="n"/>
      <c r="CE393" s="153" t="n"/>
      <c r="CF393" s="275" t="n">
        <v>510</v>
      </c>
      <c r="CG393" s="286">
        <f>CF393</f>
        <v>510</v>
      </c>
      <c r="CH393" s="286">
        <f>CG393</f>
        <v>510</v>
      </c>
      <c r="CI393" s="286">
        <f>CH393</f>
        <v>510</v>
      </c>
      <c r="CJ393" s="286">
        <f>CI393</f>
        <v>510</v>
      </c>
      <c r="CK393" s="286">
        <f>CJ393</f>
        <v>510</v>
      </c>
      <c r="CL393" s="19" t="n"/>
    </row>
    <row r="394" ht="15" customHeight="1" s="251">
      <c r="B394" s="25" t="inlineStr">
        <is>
          <t>Diluted shares at period end (m)</t>
        </is>
      </c>
      <c r="C394" s="34" t="n"/>
      <c r="D394" s="34" t="n"/>
      <c r="E394" s="34" t="n"/>
      <c r="F394" s="34" t="n"/>
      <c r="G394" s="34" t="n"/>
      <c r="H394" s="34" t="n"/>
      <c r="I394" s="34" t="n"/>
      <c r="J394" s="34" t="n"/>
      <c r="K394" s="34" t="n"/>
      <c r="L394" s="34" t="n"/>
      <c r="M394" s="34" t="n"/>
      <c r="N394" s="34" t="n"/>
      <c r="O394" s="34" t="n"/>
      <c r="P394" s="34" t="n"/>
      <c r="Q394" s="34" t="n"/>
      <c r="R394" s="34" t="n"/>
      <c r="S394" s="34" t="n"/>
      <c r="T394" s="34" t="n"/>
      <c r="U394" s="34" t="n"/>
      <c r="V394" s="34" t="n"/>
      <c r="W394" s="34" t="n"/>
      <c r="X394" s="34" t="n"/>
      <c r="Y394" s="34" t="n"/>
      <c r="Z394" s="34" t="n"/>
      <c r="AA394" s="34" t="n"/>
      <c r="AB394" s="34" t="n"/>
      <c r="AC394" s="34" t="n"/>
      <c r="AD394" s="34" t="n"/>
      <c r="AE394" s="34" t="n"/>
      <c r="AF394" s="34" t="n"/>
      <c r="AG394" s="34" t="n"/>
      <c r="AH394" s="34" t="n"/>
      <c r="AI394" s="34" t="n"/>
      <c r="AJ394" s="34" t="n"/>
      <c r="AK394" s="34" t="n"/>
      <c r="AL394" s="34" t="n"/>
      <c r="AM394" s="34" t="n"/>
      <c r="AN394" s="34" t="n"/>
      <c r="AO394" s="34" t="n"/>
      <c r="AP394" s="34" t="n"/>
      <c r="AQ394" s="34" t="n"/>
      <c r="AR394" s="34" t="n"/>
      <c r="AS394" s="34" t="n"/>
      <c r="AT394" s="34" t="n"/>
      <c r="AU394" s="34" t="n"/>
      <c r="AV394" s="34" t="n"/>
      <c r="AW394" s="34" t="n"/>
      <c r="AX394" s="34" t="n"/>
      <c r="AY394" s="34" t="n"/>
      <c r="AZ394" s="34" t="n"/>
      <c r="BA394" s="34" t="n"/>
      <c r="BB394" s="34" t="n"/>
      <c r="BC394" s="34" t="n"/>
      <c r="BD394" s="34" t="n"/>
      <c r="BE394" s="34" t="n"/>
      <c r="BF394" s="34" t="n"/>
      <c r="BG394" s="34" t="n"/>
      <c r="BH394" s="34" t="n"/>
      <c r="BI394" s="34" t="n"/>
      <c r="BJ394" s="34" t="n"/>
      <c r="BK394" s="34" t="n"/>
      <c r="BL394" s="34" t="n"/>
      <c r="BM394" s="34" t="n"/>
      <c r="BN394" s="34" t="n"/>
      <c r="BO394" s="34" t="n"/>
      <c r="BP394" s="34" t="n"/>
      <c r="BQ394" s="34" t="n"/>
      <c r="BR394" s="34" t="n"/>
      <c r="BS394" s="34" t="n"/>
      <c r="BT394" s="34" t="n"/>
      <c r="BU394" s="34" t="n"/>
      <c r="BV394" s="34" t="n"/>
      <c r="BW394" s="34" t="n"/>
      <c r="BX394" s="34" t="n"/>
      <c r="BY394" s="34" t="n"/>
      <c r="BZ394" s="34" t="n"/>
      <c r="CA394" s="34" t="n"/>
      <c r="CB394" s="34" t="n"/>
      <c r="CC394" s="35" t="n"/>
      <c r="CD394" s="35" t="n"/>
      <c r="CE394" s="35" t="n"/>
      <c r="CF394" s="261">
        <f>CF274+(CB141-CB139)</f>
        <v>31.875726</v>
      </c>
      <c r="CG394" s="261">
        <f>CG274+N(CG335)</f>
        <v>30.9896704452859</v>
      </c>
      <c r="CH394" s="261">
        <f>CH274+N(CH335)</f>
        <v>30.503256845923</v>
      </c>
      <c r="CI394" s="261">
        <f>CI274+N(CI335)</f>
        <v>29.9365964370286</v>
      </c>
      <c r="CJ394" s="261">
        <f>CJ274+N(CJ335)</f>
        <v>29.3471278256798</v>
      </c>
      <c r="CK394" s="261">
        <f>CK274+N(CK335)</f>
        <v>28.7378220405576</v>
      </c>
      <c r="CL394" s="19" t="n"/>
    </row>
    <row r="395" ht="15" customHeight="1" s="251">
      <c r="B395" s="25" t="inlineStr">
        <is>
          <t>Market capitalisation (USDm)</t>
        </is>
      </c>
      <c r="C395" s="34" t="n"/>
      <c r="D395" s="34" t="n"/>
      <c r="E395" s="34" t="n"/>
      <c r="F395" s="34" t="n"/>
      <c r="G395" s="34" t="n"/>
      <c r="H395" s="34" t="n"/>
      <c r="I395" s="34" t="n"/>
      <c r="J395" s="34" t="n"/>
      <c r="K395" s="34" t="n"/>
      <c r="L395" s="34" t="n"/>
      <c r="M395" s="34" t="n"/>
      <c r="N395" s="34" t="n"/>
      <c r="O395" s="34" t="n"/>
      <c r="P395" s="34" t="n"/>
      <c r="Q395" s="34" t="n"/>
      <c r="R395" s="34" t="n"/>
      <c r="S395" s="34" t="n"/>
      <c r="T395" s="34" t="n"/>
      <c r="U395" s="34" t="n"/>
      <c r="V395" s="34" t="n"/>
      <c r="W395" s="34" t="n"/>
      <c r="X395" s="34" t="n"/>
      <c r="Y395" s="34" t="n"/>
      <c r="Z395" s="34" t="n"/>
      <c r="AA395" s="34" t="n"/>
      <c r="AB395" s="34" t="n"/>
      <c r="AC395" s="34" t="n"/>
      <c r="AD395" s="34" t="n"/>
      <c r="AE395" s="34" t="n"/>
      <c r="AF395" s="34" t="n"/>
      <c r="AG395" s="34" t="n"/>
      <c r="AH395" s="34" t="n"/>
      <c r="AI395" s="34" t="n"/>
      <c r="AJ395" s="34" t="n"/>
      <c r="AK395" s="34" t="n"/>
      <c r="AL395" s="34" t="n"/>
      <c r="AM395" s="34" t="n"/>
      <c r="AN395" s="34" t="n"/>
      <c r="AO395" s="34" t="n"/>
      <c r="AP395" s="34" t="n"/>
      <c r="AQ395" s="34" t="n"/>
      <c r="AR395" s="34" t="n"/>
      <c r="AS395" s="34" t="n"/>
      <c r="AT395" s="34" t="n"/>
      <c r="AU395" s="34" t="n"/>
      <c r="AV395" s="34" t="n"/>
      <c r="AW395" s="34" t="n"/>
      <c r="AX395" s="34" t="n"/>
      <c r="AY395" s="34" t="n"/>
      <c r="AZ395" s="34" t="n"/>
      <c r="BA395" s="34" t="n"/>
      <c r="BB395" s="34" t="n"/>
      <c r="BC395" s="34" t="n"/>
      <c r="BD395" s="34" t="n"/>
      <c r="BE395" s="34" t="n"/>
      <c r="BF395" s="34" t="n"/>
      <c r="BG395" s="34" t="n"/>
      <c r="BH395" s="34" t="n"/>
      <c r="BI395" s="34" t="n"/>
      <c r="BJ395" s="34" t="n"/>
      <c r="BK395" s="34" t="n"/>
      <c r="BL395" s="34" t="n"/>
      <c r="BM395" s="34" t="n"/>
      <c r="BN395" s="34" t="n"/>
      <c r="BO395" s="34" t="n"/>
      <c r="BP395" s="34" t="n"/>
      <c r="BQ395" s="34" t="n"/>
      <c r="BR395" s="34" t="n"/>
      <c r="BS395" s="34" t="n"/>
      <c r="BT395" s="34" t="n"/>
      <c r="BU395" s="34" t="n"/>
      <c r="BV395" s="34" t="n"/>
      <c r="BW395" s="34" t="n"/>
      <c r="BX395" s="34" t="n"/>
      <c r="BY395" s="34" t="n"/>
      <c r="BZ395" s="34" t="n"/>
      <c r="CA395" s="34" t="n"/>
      <c r="CB395" s="34" t="n"/>
      <c r="CC395" s="35" t="n"/>
      <c r="CD395" s="35" t="n"/>
      <c r="CE395" s="35" t="n"/>
      <c r="CF395" s="266">
        <f>IFERROR(CF393*CF394,"n/a")</f>
        <v>16256.62026</v>
      </c>
      <c r="CG395" s="266">
        <f>IFERROR(CG393*CG394,"n/a")</f>
        <v>15804.7319270958</v>
      </c>
      <c r="CH395" s="266">
        <f>IFERROR(CH393*CH394,"n/a")</f>
        <v>15556.6609914207</v>
      </c>
      <c r="CI395" s="266">
        <f>IFERROR(CI393*CI394,"n/a")</f>
        <v>15267.6641828846</v>
      </c>
      <c r="CJ395" s="266">
        <f>IFERROR(CJ393*CJ394,"n/a")</f>
        <v>14967.0351910967</v>
      </c>
      <c r="CK395" s="266">
        <f>IFERROR(CK393*CK394,"n/a")</f>
        <v>14656.2892406844</v>
      </c>
      <c r="CL395" s="19" t="n"/>
    </row>
    <row r="396" ht="15" customHeight="1" s="251">
      <c r="B396" s="25" t="inlineStr">
        <is>
          <t>Net debt (USDm)</t>
        </is>
      </c>
      <c r="C396" s="34" t="n"/>
      <c r="D396" s="34" t="n"/>
      <c r="E396" s="34" t="n"/>
      <c r="F396" s="34" t="n"/>
      <c r="G396" s="34" t="n"/>
      <c r="H396" s="34" t="n"/>
      <c r="I396" s="34" t="n"/>
      <c r="J396" s="34" t="n"/>
      <c r="K396" s="34" t="n"/>
      <c r="L396" s="34" t="n"/>
      <c r="M396" s="34" t="n"/>
      <c r="N396" s="34" t="n"/>
      <c r="O396" s="34" t="n"/>
      <c r="P396" s="34" t="n"/>
      <c r="Q396" s="34" t="n"/>
      <c r="R396" s="34" t="n"/>
      <c r="S396" s="34" t="n"/>
      <c r="T396" s="34" t="n"/>
      <c r="U396" s="34" t="n"/>
      <c r="V396" s="34" t="n"/>
      <c r="W396" s="34" t="n"/>
      <c r="X396" s="34" t="n"/>
      <c r="Y396" s="34" t="n"/>
      <c r="Z396" s="34" t="n"/>
      <c r="AA396" s="34" t="n"/>
      <c r="AB396" s="34" t="n"/>
      <c r="AC396" s="34" t="n"/>
      <c r="AD396" s="34" t="n"/>
      <c r="AE396" s="34" t="n"/>
      <c r="AF396" s="34" t="n"/>
      <c r="AG396" s="34" t="n"/>
      <c r="AH396" s="34" t="n"/>
      <c r="AI396" s="34" t="n"/>
      <c r="AJ396" s="34" t="n"/>
      <c r="AK396" s="34" t="n"/>
      <c r="AL396" s="34" t="n"/>
      <c r="AM396" s="34" t="n"/>
      <c r="AN396" s="34" t="n"/>
      <c r="AO396" s="34" t="n"/>
      <c r="AP396" s="34" t="n"/>
      <c r="AQ396" s="34" t="n"/>
      <c r="AR396" s="34" t="n"/>
      <c r="AS396" s="34" t="n"/>
      <c r="AT396" s="34" t="n"/>
      <c r="AU396" s="34" t="n"/>
      <c r="AV396" s="34" t="n"/>
      <c r="AW396" s="34" t="n"/>
      <c r="AX396" s="34" t="n"/>
      <c r="AY396" s="34" t="n"/>
      <c r="AZ396" s="34" t="n"/>
      <c r="BA396" s="34" t="n"/>
      <c r="BB396" s="34" t="n"/>
      <c r="BC396" s="34" t="n"/>
      <c r="BD396" s="34" t="n"/>
      <c r="BE396" s="34" t="n"/>
      <c r="BF396" s="34" t="n"/>
      <c r="BG396" s="34" t="n"/>
      <c r="BH396" s="34" t="n"/>
      <c r="BI396" s="34" t="n"/>
      <c r="BJ396" s="34" t="n"/>
      <c r="BK396" s="34" t="n"/>
      <c r="BL396" s="34" t="n"/>
      <c r="BM396" s="34" t="n"/>
      <c r="BN396" s="34" t="n"/>
      <c r="BO396" s="34" t="n"/>
      <c r="BP396" s="34" t="n"/>
      <c r="BQ396" s="34" t="n"/>
      <c r="BR396" s="34" t="n"/>
      <c r="BS396" s="34" t="n"/>
      <c r="BT396" s="34" t="n"/>
      <c r="BU396" s="34" t="n"/>
      <c r="BV396" s="34" t="n"/>
      <c r="BW396" s="34" t="n"/>
      <c r="BX396" s="34" t="n"/>
      <c r="BY396" s="34" t="n"/>
      <c r="BZ396" s="34" t="n"/>
      <c r="CA396" s="34" t="n"/>
      <c r="CB396" s="34" t="n"/>
      <c r="CC396" s="35" t="n"/>
      <c r="CD396" s="35" t="n"/>
      <c r="CE396" s="35" t="n"/>
      <c r="CF396" s="266">
        <f>CF387</f>
        <v>470.545533901234</v>
      </c>
      <c r="CG396" s="266">
        <f>CG387</f>
        <v>817.009114446059</v>
      </c>
      <c r="CH396" s="266">
        <f>CH387</f>
        <v>919.171644953639</v>
      </c>
      <c r="CI396" s="266">
        <f>CI387</f>
        <v>1023.61113383704</v>
      </c>
      <c r="CJ396" s="266">
        <f>CJ387</f>
        <v>1123.38495461038</v>
      </c>
      <c r="CK396" s="266">
        <f>CK387</f>
        <v>1222.06801092962</v>
      </c>
      <c r="CL396" s="19" t="n"/>
    </row>
    <row r="397" ht="15" customHeight="1" s="251">
      <c r="B397" s="25" t="inlineStr">
        <is>
          <t>Noncontrolling interests (USDm; none)</t>
        </is>
      </c>
      <c r="C397" s="34" t="n"/>
      <c r="D397" s="34" t="n"/>
      <c r="E397" s="34" t="n"/>
      <c r="F397" s="34" t="n"/>
      <c r="G397" s="34" t="n"/>
      <c r="H397" s="34" t="n"/>
      <c r="I397" s="34" t="n"/>
      <c r="J397" s="34" t="n"/>
      <c r="K397" s="34" t="n"/>
      <c r="L397" s="34" t="n"/>
      <c r="M397" s="34" t="n"/>
      <c r="N397" s="34" t="n"/>
      <c r="O397" s="34" t="n"/>
      <c r="P397" s="34" t="n"/>
      <c r="Q397" s="34" t="n"/>
      <c r="R397" s="34" t="n"/>
      <c r="S397" s="34" t="n"/>
      <c r="T397" s="34" t="n"/>
      <c r="U397" s="34" t="n"/>
      <c r="V397" s="34" t="n"/>
      <c r="W397" s="34" t="n"/>
      <c r="X397" s="34" t="n"/>
      <c r="Y397" s="34" t="n"/>
      <c r="Z397" s="34" t="n"/>
      <c r="AA397" s="34" t="n"/>
      <c r="AB397" s="34" t="n"/>
      <c r="AC397" s="34" t="n"/>
      <c r="AD397" s="34" t="n"/>
      <c r="AE397" s="34" t="n"/>
      <c r="AF397" s="34" t="n"/>
      <c r="AG397" s="34" t="n"/>
      <c r="AH397" s="34" t="n"/>
      <c r="AI397" s="34" t="n"/>
      <c r="AJ397" s="34" t="n"/>
      <c r="AK397" s="34" t="n"/>
      <c r="AL397" s="34" t="n"/>
      <c r="AM397" s="34" t="n"/>
      <c r="AN397" s="34" t="n"/>
      <c r="AO397" s="34" t="n"/>
      <c r="AP397" s="34" t="n"/>
      <c r="AQ397" s="34" t="n"/>
      <c r="AR397" s="34" t="n"/>
      <c r="AS397" s="34" t="n"/>
      <c r="AT397" s="34" t="n"/>
      <c r="AU397" s="34" t="n"/>
      <c r="AV397" s="34" t="n"/>
      <c r="AW397" s="34" t="n"/>
      <c r="AX397" s="34" t="n"/>
      <c r="AY397" s="34" t="n"/>
      <c r="AZ397" s="34" t="n"/>
      <c r="BA397" s="34" t="n"/>
      <c r="BB397" s="34" t="n"/>
      <c r="BC397" s="34" t="n"/>
      <c r="BD397" s="34" t="n"/>
      <c r="BE397" s="34" t="n"/>
      <c r="BF397" s="34" t="n"/>
      <c r="BG397" s="34" t="n"/>
      <c r="BH397" s="34" t="n"/>
      <c r="BI397" s="34" t="n"/>
      <c r="BJ397" s="34" t="n"/>
      <c r="BK397" s="34" t="n"/>
      <c r="BL397" s="34" t="n"/>
      <c r="BM397" s="34" t="n"/>
      <c r="BN397" s="34" t="n"/>
      <c r="BO397" s="34" t="n"/>
      <c r="BP397" s="34" t="n"/>
      <c r="BQ397" s="34" t="n"/>
      <c r="BR397" s="34" t="n"/>
      <c r="BS397" s="34" t="n"/>
      <c r="BT397" s="34" t="n"/>
      <c r="BU397" s="34" t="n"/>
      <c r="BV397" s="34" t="n"/>
      <c r="BW397" s="34" t="n"/>
      <c r="BX397" s="34" t="n"/>
      <c r="BY397" s="34" t="n"/>
      <c r="BZ397" s="34" t="n"/>
      <c r="CA397" s="34" t="n"/>
      <c r="CB397" s="34" t="n"/>
      <c r="CC397" s="35" t="n"/>
      <c r="CD397" s="35" t="n"/>
      <c r="CE397" s="35" t="n"/>
      <c r="CF397" s="266">
        <f>0</f>
        <v>0</v>
      </c>
      <c r="CG397" s="266">
        <f>0</f>
        <v>0</v>
      </c>
      <c r="CH397" s="266">
        <f>0</f>
        <v>0</v>
      </c>
      <c r="CI397" s="266">
        <f>0</f>
        <v>0</v>
      </c>
      <c r="CJ397" s="266">
        <f>0</f>
        <v>0</v>
      </c>
      <c r="CK397" s="266">
        <f>0</f>
        <v>0</v>
      </c>
      <c r="CL397" s="19" t="n"/>
    </row>
    <row r="398" ht="15" customHeight="1" s="251">
      <c r="B398" s="16" t="inlineStr">
        <is>
          <t>Enterprise value (USDm)</t>
        </is>
      </c>
      <c r="C398" s="43" t="n"/>
      <c r="D398" s="43" t="n"/>
      <c r="E398" s="43" t="n"/>
      <c r="F398" s="43" t="n"/>
      <c r="G398" s="43" t="n"/>
      <c r="H398" s="43" t="n"/>
      <c r="I398" s="43" t="n"/>
      <c r="J398" s="43" t="n"/>
      <c r="K398" s="43" t="n"/>
      <c r="L398" s="43" t="n"/>
      <c r="M398" s="43" t="n"/>
      <c r="N398" s="43" t="n"/>
      <c r="O398" s="43" t="n"/>
      <c r="P398" s="43" t="n"/>
      <c r="Q398" s="43" t="n"/>
      <c r="R398" s="43" t="n"/>
      <c r="S398" s="43" t="n"/>
      <c r="T398" s="43" t="n"/>
      <c r="U398" s="43" t="n"/>
      <c r="V398" s="43" t="n"/>
      <c r="W398" s="43" t="n"/>
      <c r="X398" s="43" t="n"/>
      <c r="Y398" s="43" t="n"/>
      <c r="Z398" s="43" t="n"/>
      <c r="AA398" s="43" t="n"/>
      <c r="AB398" s="43" t="n"/>
      <c r="AC398" s="43" t="n"/>
      <c r="AD398" s="43" t="n"/>
      <c r="AE398" s="43" t="n"/>
      <c r="AF398" s="43" t="n"/>
      <c r="AG398" s="43" t="n"/>
      <c r="AH398" s="43" t="n"/>
      <c r="AI398" s="43" t="n"/>
      <c r="AJ398" s="43" t="n"/>
      <c r="AK398" s="43" t="n"/>
      <c r="AL398" s="43" t="n"/>
      <c r="AM398" s="43" t="n"/>
      <c r="AN398" s="43" t="n"/>
      <c r="AO398" s="43" t="n"/>
      <c r="AP398" s="43" t="n"/>
      <c r="AQ398" s="43" t="n"/>
      <c r="AR398" s="43" t="n"/>
      <c r="AS398" s="43" t="n"/>
      <c r="AT398" s="43" t="n"/>
      <c r="AU398" s="43" t="n"/>
      <c r="AV398" s="43" t="n"/>
      <c r="AW398" s="43" t="n"/>
      <c r="AX398" s="43" t="n"/>
      <c r="AY398" s="43" t="n"/>
      <c r="AZ398" s="43" t="n"/>
      <c r="BA398" s="43" t="n"/>
      <c r="BB398" s="43" t="n"/>
      <c r="BC398" s="43" t="n"/>
      <c r="BD398" s="43" t="n"/>
      <c r="BE398" s="43" t="n"/>
      <c r="BF398" s="43" t="n"/>
      <c r="BG398" s="43" t="n"/>
      <c r="BH398" s="43" t="n"/>
      <c r="BI398" s="43" t="n"/>
      <c r="BJ398" s="43" t="n"/>
      <c r="BK398" s="43" t="n"/>
      <c r="BL398" s="43" t="n"/>
      <c r="BM398" s="43" t="n"/>
      <c r="BN398" s="43" t="n"/>
      <c r="BO398" s="43" t="n"/>
      <c r="BP398" s="43" t="n"/>
      <c r="BQ398" s="43" t="n"/>
      <c r="BR398" s="43" t="n"/>
      <c r="BS398" s="43" t="n"/>
      <c r="BT398" s="43" t="n"/>
      <c r="BU398" s="43" t="n"/>
      <c r="BV398" s="43" t="n"/>
      <c r="BW398" s="43" t="n"/>
      <c r="BX398" s="43" t="n"/>
      <c r="BY398" s="43" t="n"/>
      <c r="BZ398" s="43" t="n"/>
      <c r="CA398" s="43" t="n"/>
      <c r="CB398" s="43" t="n"/>
      <c r="CC398" s="32" t="n"/>
      <c r="CD398" s="32" t="n"/>
      <c r="CE398" s="32" t="n"/>
      <c r="CF398" s="269">
        <f>IFERROR(CF395+CF396+CF397,"n/a")</f>
        <v>16727.1657939012</v>
      </c>
      <c r="CG398" s="269">
        <f>IFERROR(CG395+CG396+CG397,"n/a")</f>
        <v>16621.7410415419</v>
      </c>
      <c r="CH398" s="269">
        <f>IFERROR(CH395+CH396+CH397,"n/a")</f>
        <v>16475.8326363744</v>
      </c>
      <c r="CI398" s="269">
        <f>IFERROR(CI395+CI396+CI397,"n/a")</f>
        <v>16291.2753167216</v>
      </c>
      <c r="CJ398" s="269">
        <f>IFERROR(CJ395+CJ396+CJ397,"n/a")</f>
        <v>16090.4201457071</v>
      </c>
      <c r="CK398" s="269">
        <f>IFERROR(CK395+CK396+CK397,"n/a")</f>
        <v>15878.357251614</v>
      </c>
      <c r="CL398" s="153" t="n"/>
    </row>
    <row r="399" ht="15" customHeight="1" s="251">
      <c r="B399" s="25" t="inlineStr">
        <is>
          <t>Multiples</t>
        </is>
      </c>
      <c r="CL399" s="153" t="n"/>
    </row>
    <row r="400" ht="15" customHeight="1" s="251">
      <c r="B400" s="25" t="inlineStr">
        <is>
          <t xml:space="preserve">  EV / Net sales</t>
        </is>
      </c>
      <c r="C400" s="34" t="n"/>
      <c r="D400" s="34" t="n"/>
      <c r="E400" s="34" t="n"/>
      <c r="F400" s="34" t="n"/>
      <c r="G400" s="34" t="n"/>
      <c r="H400" s="34" t="n"/>
      <c r="I400" s="34" t="n"/>
      <c r="J400" s="34" t="n"/>
      <c r="K400" s="34" t="n"/>
      <c r="L400" s="34" t="n"/>
      <c r="M400" s="34" t="n"/>
      <c r="N400" s="34" t="n"/>
      <c r="O400" s="34" t="n"/>
      <c r="P400" s="34" t="n"/>
      <c r="Q400" s="34" t="n"/>
      <c r="R400" s="34" t="n"/>
      <c r="S400" s="34" t="n"/>
      <c r="T400" s="34" t="n"/>
      <c r="U400" s="34" t="n"/>
      <c r="V400" s="34" t="n"/>
      <c r="W400" s="34" t="n"/>
      <c r="X400" s="34" t="n"/>
      <c r="Y400" s="34" t="n"/>
      <c r="Z400" s="34" t="n"/>
      <c r="AA400" s="34" t="n"/>
      <c r="AB400" s="34" t="n"/>
      <c r="AC400" s="34" t="n"/>
      <c r="AD400" s="34" t="n"/>
      <c r="AE400" s="34" t="n"/>
      <c r="AF400" s="34" t="n"/>
      <c r="AG400" s="34" t="n"/>
      <c r="AH400" s="34" t="n"/>
      <c r="AI400" s="34" t="n"/>
      <c r="AJ400" s="34" t="n"/>
      <c r="AK400" s="34" t="n"/>
      <c r="AL400" s="34" t="n"/>
      <c r="AM400" s="34" t="n"/>
      <c r="AN400" s="34" t="n"/>
      <c r="AO400" s="34" t="n"/>
      <c r="AP400" s="34" t="n"/>
      <c r="AQ400" s="34" t="n"/>
      <c r="AR400" s="34" t="n"/>
      <c r="AS400" s="34" t="n"/>
      <c r="AT400" s="34" t="n"/>
      <c r="AU400" s="34" t="n"/>
      <c r="AV400" s="34" t="n"/>
      <c r="AW400" s="34" t="n"/>
      <c r="AX400" s="34" t="n"/>
      <c r="AY400" s="34" t="n"/>
      <c r="AZ400" s="34" t="n"/>
      <c r="BA400" s="34" t="n"/>
      <c r="BB400" s="34" t="n"/>
      <c r="BC400" s="34" t="n"/>
      <c r="BD400" s="34" t="n"/>
      <c r="BE400" s="34" t="n"/>
      <c r="BF400" s="34" t="n"/>
      <c r="BG400" s="34" t="n"/>
      <c r="BH400" s="34" t="n"/>
      <c r="BI400" s="34" t="n"/>
      <c r="BJ400" s="34" t="n"/>
      <c r="BK400" s="34" t="n"/>
      <c r="BL400" s="34" t="n"/>
      <c r="BM400" s="34" t="n"/>
      <c r="BN400" s="34" t="n"/>
      <c r="BO400" s="34" t="n"/>
      <c r="BP400" s="34" t="n"/>
      <c r="BQ400" s="34" t="n"/>
      <c r="BR400" s="34" t="n"/>
      <c r="BS400" s="34" t="n"/>
      <c r="BT400" s="34" t="n"/>
      <c r="BU400" s="34" t="n"/>
      <c r="BV400" s="34" t="n"/>
      <c r="BW400" s="34" t="n"/>
      <c r="BX400" s="34" t="n"/>
      <c r="BY400" s="34" t="n"/>
      <c r="BZ400" s="34" t="n"/>
      <c r="CA400" s="34" t="n"/>
      <c r="CB400" s="34" t="n"/>
      <c r="CC400" s="35" t="n"/>
      <c r="CD400" s="35" t="n"/>
      <c r="CE400" s="35" t="n"/>
      <c r="CF400" s="289">
        <f>IFERROR(CF398/CF108,"n/a")</f>
        <v>7.75441169530977</v>
      </c>
      <c r="CG400" s="289">
        <f>IFERROR(CG398/CG108,"n/a")</f>
        <v>6.96994105495718</v>
      </c>
      <c r="CH400" s="289">
        <f>IFERROR(CH398/CH108,"n/a")</f>
        <v>6.17912152039457</v>
      </c>
      <c r="CI400" s="289">
        <f>IFERROR(CI398/CI108,"n/a")</f>
        <v>5.52377145075118</v>
      </c>
      <c r="CJ400" s="289">
        <f>IFERROR(CJ398/CJ108,"n/a")</f>
        <v>4.96957960686523</v>
      </c>
      <c r="CK400" s="289">
        <f>IFERROR(CK398/CK108,"n/a")</f>
        <v>4.50762937253876</v>
      </c>
      <c r="CL400" s="19" t="n"/>
    </row>
    <row r="401" ht="15" customHeight="1" s="251">
      <c r="B401" s="25" t="inlineStr">
        <is>
          <t xml:space="preserve">  EV / Adjusted EBITDA</t>
        </is>
      </c>
      <c r="C401" s="34" t="n"/>
      <c r="D401" s="34" t="n"/>
      <c r="E401" s="34" t="n"/>
      <c r="F401" s="34" t="n"/>
      <c r="G401" s="34" t="n"/>
      <c r="H401" s="34" t="n"/>
      <c r="I401" s="34" t="n"/>
      <c r="J401" s="34" t="n"/>
      <c r="K401" s="34" t="n"/>
      <c r="L401" s="34" t="n"/>
      <c r="M401" s="34" t="n"/>
      <c r="N401" s="34" t="n"/>
      <c r="O401" s="34" t="n"/>
      <c r="P401" s="34" t="n"/>
      <c r="Q401" s="34" t="n"/>
      <c r="R401" s="34" t="n"/>
      <c r="S401" s="34" t="n"/>
      <c r="T401" s="34" t="n"/>
      <c r="U401" s="34" t="n"/>
      <c r="V401" s="34" t="n"/>
      <c r="W401" s="34" t="n"/>
      <c r="X401" s="34" t="n"/>
      <c r="Y401" s="34" t="n"/>
      <c r="Z401" s="34" t="n"/>
      <c r="AA401" s="34" t="n"/>
      <c r="AB401" s="34" t="n"/>
      <c r="AC401" s="34" t="n"/>
      <c r="AD401" s="34" t="n"/>
      <c r="AE401" s="34" t="n"/>
      <c r="AF401" s="34" t="n"/>
      <c r="AG401" s="34" t="n"/>
      <c r="AH401" s="34" t="n"/>
      <c r="AI401" s="34" t="n"/>
      <c r="AJ401" s="34" t="n"/>
      <c r="AK401" s="34" t="n"/>
      <c r="AL401" s="34" t="n"/>
      <c r="AM401" s="34" t="n"/>
      <c r="AN401" s="34" t="n"/>
      <c r="AO401" s="34" t="n"/>
      <c r="AP401" s="34" t="n"/>
      <c r="AQ401" s="34" t="n"/>
      <c r="AR401" s="34" t="n"/>
      <c r="AS401" s="34" t="n"/>
      <c r="AT401" s="34" t="n"/>
      <c r="AU401" s="34" t="n"/>
      <c r="AV401" s="34" t="n"/>
      <c r="AW401" s="34" t="n"/>
      <c r="AX401" s="34" t="n"/>
      <c r="AY401" s="34" t="n"/>
      <c r="AZ401" s="34" t="n"/>
      <c r="BA401" s="34" t="n"/>
      <c r="BB401" s="34" t="n"/>
      <c r="BC401" s="34" t="n"/>
      <c r="BD401" s="34" t="n"/>
      <c r="BE401" s="34" t="n"/>
      <c r="BF401" s="34" t="n"/>
      <c r="BG401" s="34" t="n"/>
      <c r="BH401" s="34" t="n"/>
      <c r="BI401" s="34" t="n"/>
      <c r="BJ401" s="34" t="n"/>
      <c r="BK401" s="34" t="n"/>
      <c r="BL401" s="34" t="n"/>
      <c r="BM401" s="34" t="n"/>
      <c r="BN401" s="34" t="n"/>
      <c r="BO401" s="34" t="n"/>
      <c r="BP401" s="34" t="n"/>
      <c r="BQ401" s="34" t="n"/>
      <c r="BR401" s="34" t="n"/>
      <c r="BS401" s="34" t="n"/>
      <c r="BT401" s="34" t="n"/>
      <c r="BU401" s="34" t="n"/>
      <c r="BV401" s="34" t="n"/>
      <c r="BW401" s="34" t="n"/>
      <c r="BX401" s="34" t="n"/>
      <c r="BY401" s="34" t="n"/>
      <c r="BZ401" s="34" t="n"/>
      <c r="CA401" s="34" t="n"/>
      <c r="CB401" s="34" t="n"/>
      <c r="CC401" s="35" t="n"/>
      <c r="CD401" s="35" t="n"/>
      <c r="CE401" s="35" t="n"/>
      <c r="CF401" s="289">
        <f>IFERROR(CF398/CF179,"n/a")</f>
        <v>23.1209686004728</v>
      </c>
      <c r="CG401" s="289">
        <f>IFERROR(CG398/CG179,"n/a")</f>
        <v>20.3446213116137</v>
      </c>
      <c r="CH401" s="289">
        <f>IFERROR(CH398/CH179,"n/a")</f>
        <v>17.924652840227</v>
      </c>
      <c r="CI401" s="289">
        <f>IFERROR(CI398/CI179,"n/a")</f>
        <v>15.9154924933781</v>
      </c>
      <c r="CJ401" s="289">
        <f>IFERROR(CJ398/CJ179,"n/a")</f>
        <v>14.3231579519308</v>
      </c>
      <c r="CK401" s="289">
        <f>IFERROR(CK398/CK179,"n/a")</f>
        <v>12.9930225728889</v>
      </c>
      <c r="CL401" s="19" t="n"/>
    </row>
    <row r="402" ht="15" customHeight="1" s="251">
      <c r="B402" s="25" t="inlineStr">
        <is>
          <t xml:space="preserve">  EV / Adjusted operating income</t>
        </is>
      </c>
      <c r="C402" s="34" t="n"/>
      <c r="D402" s="34" t="n"/>
      <c r="E402" s="34" t="n"/>
      <c r="F402" s="34" t="n"/>
      <c r="G402" s="34" t="n"/>
      <c r="H402" s="34" t="n"/>
      <c r="I402" s="34" t="n"/>
      <c r="J402" s="34" t="n"/>
      <c r="K402" s="34" t="n"/>
      <c r="L402" s="34" t="n"/>
      <c r="M402" s="34" t="n"/>
      <c r="N402" s="34" t="n"/>
      <c r="O402" s="34" t="n"/>
      <c r="P402" s="34" t="n"/>
      <c r="Q402" s="34" t="n"/>
      <c r="R402" s="34" t="n"/>
      <c r="S402" s="34" t="n"/>
      <c r="T402" s="34" t="n"/>
      <c r="U402" s="34" t="n"/>
      <c r="V402" s="34" t="n"/>
      <c r="W402" s="34" t="n"/>
      <c r="X402" s="34" t="n"/>
      <c r="Y402" s="34" t="n"/>
      <c r="Z402" s="34" t="n"/>
      <c r="AA402" s="34" t="n"/>
      <c r="AB402" s="34" t="n"/>
      <c r="AC402" s="34" t="n"/>
      <c r="AD402" s="34" t="n"/>
      <c r="AE402" s="34" t="n"/>
      <c r="AF402" s="34" t="n"/>
      <c r="AG402" s="34" t="n"/>
      <c r="AH402" s="34" t="n"/>
      <c r="AI402" s="34" t="n"/>
      <c r="AJ402" s="34" t="n"/>
      <c r="AK402" s="34" t="n"/>
      <c r="AL402" s="34" t="n"/>
      <c r="AM402" s="34" t="n"/>
      <c r="AN402" s="34" t="n"/>
      <c r="AO402" s="34" t="n"/>
      <c r="AP402" s="34" t="n"/>
      <c r="AQ402" s="34" t="n"/>
      <c r="AR402" s="34" t="n"/>
      <c r="AS402" s="34" t="n"/>
      <c r="AT402" s="34" t="n"/>
      <c r="AU402" s="34" t="n"/>
      <c r="AV402" s="34" t="n"/>
      <c r="AW402" s="34" t="n"/>
      <c r="AX402" s="34" t="n"/>
      <c r="AY402" s="34" t="n"/>
      <c r="AZ402" s="34" t="n"/>
      <c r="BA402" s="34" t="n"/>
      <c r="BB402" s="34" t="n"/>
      <c r="BC402" s="34" t="n"/>
      <c r="BD402" s="34" t="n"/>
      <c r="BE402" s="34" t="n"/>
      <c r="BF402" s="34" t="n"/>
      <c r="BG402" s="34" t="n"/>
      <c r="BH402" s="34" t="n"/>
      <c r="BI402" s="34" t="n"/>
      <c r="BJ402" s="34" t="n"/>
      <c r="BK402" s="34" t="n"/>
      <c r="BL402" s="34" t="n"/>
      <c r="BM402" s="34" t="n"/>
      <c r="BN402" s="34" t="n"/>
      <c r="BO402" s="34" t="n"/>
      <c r="BP402" s="34" t="n"/>
      <c r="BQ402" s="34" t="n"/>
      <c r="BR402" s="34" t="n"/>
      <c r="BS402" s="34" t="n"/>
      <c r="BT402" s="34" t="n"/>
      <c r="BU402" s="34" t="n"/>
      <c r="BV402" s="34" t="n"/>
      <c r="BW402" s="34" t="n"/>
      <c r="BX402" s="34" t="n"/>
      <c r="BY402" s="34" t="n"/>
      <c r="BZ402" s="34" t="n"/>
      <c r="CA402" s="34" t="n"/>
      <c r="CB402" s="34" t="n"/>
      <c r="CC402" s="35" t="n"/>
      <c r="CD402" s="35" t="n"/>
      <c r="CE402" s="35" t="n"/>
      <c r="CF402" s="289">
        <f>IFERROR(CF398/CF158,"n/a")</f>
        <v>29.8367443833046</v>
      </c>
      <c r="CG402" s="289">
        <f>IFERROR(CG398/CG158,"n/a")</f>
        <v>26.4698283679634</v>
      </c>
      <c r="CH402" s="289">
        <f>IFERROR(CH398/CH158,"n/a")</f>
        <v>23.1407161108977</v>
      </c>
      <c r="CI402" s="289">
        <f>IFERROR(CI398/CI158,"n/a")</f>
        <v>20.3309750099603</v>
      </c>
      <c r="CJ402" s="289">
        <f>IFERROR(CJ398/CJ158,"n/a")</f>
        <v>18.2070242448497</v>
      </c>
      <c r="CK402" s="289">
        <f>IFERROR(CK398/CK158,"n/a")</f>
        <v>16.5084581000484</v>
      </c>
      <c r="CL402" s="19" t="n"/>
    </row>
    <row r="403" ht="15" customHeight="1" s="251">
      <c r="B403" s="25" t="inlineStr">
        <is>
          <t xml:space="preserve">  EV / IC</t>
        </is>
      </c>
      <c r="C403" s="34" t="n"/>
      <c r="D403" s="34" t="n"/>
      <c r="E403" s="34" t="n"/>
      <c r="F403" s="34" t="n"/>
      <c r="G403" s="34" t="n"/>
      <c r="H403" s="34" t="n"/>
      <c r="I403" s="34" t="n"/>
      <c r="J403" s="34" t="n"/>
      <c r="K403" s="34" t="n"/>
      <c r="L403" s="34" t="n"/>
      <c r="M403" s="34" t="n"/>
      <c r="N403" s="34" t="n"/>
      <c r="O403" s="34" t="n"/>
      <c r="P403" s="34" t="n"/>
      <c r="Q403" s="34" t="n"/>
      <c r="R403" s="34" t="n"/>
      <c r="S403" s="34" t="n"/>
      <c r="T403" s="34" t="n"/>
      <c r="U403" s="34" t="n"/>
      <c r="V403" s="34" t="n"/>
      <c r="W403" s="34" t="n"/>
      <c r="X403" s="34" t="n"/>
      <c r="Y403" s="34" t="n"/>
      <c r="Z403" s="34" t="n"/>
      <c r="AA403" s="34" t="n"/>
      <c r="AB403" s="34" t="n"/>
      <c r="AC403" s="34" t="n"/>
      <c r="AD403" s="34" t="n"/>
      <c r="AE403" s="34" t="n"/>
      <c r="AF403" s="34" t="n"/>
      <c r="AG403" s="34" t="n"/>
      <c r="AH403" s="34" t="n"/>
      <c r="AI403" s="34" t="n"/>
      <c r="AJ403" s="34" t="n"/>
      <c r="AK403" s="34" t="n"/>
      <c r="AL403" s="34" t="n"/>
      <c r="AM403" s="34" t="n"/>
      <c r="AN403" s="34" t="n"/>
      <c r="AO403" s="34" t="n"/>
      <c r="AP403" s="34" t="n"/>
      <c r="AQ403" s="34" t="n"/>
      <c r="AR403" s="34" t="n"/>
      <c r="AS403" s="34" t="n"/>
      <c r="AT403" s="34" t="n"/>
      <c r="AU403" s="34" t="n"/>
      <c r="AV403" s="34" t="n"/>
      <c r="AW403" s="34" t="n"/>
      <c r="AX403" s="34" t="n"/>
      <c r="AY403" s="34" t="n"/>
      <c r="AZ403" s="34" t="n"/>
      <c r="BA403" s="34" t="n"/>
      <c r="BB403" s="34" t="n"/>
      <c r="BC403" s="34" t="n"/>
      <c r="BD403" s="34" t="n"/>
      <c r="BE403" s="34" t="n"/>
      <c r="BF403" s="34" t="n"/>
      <c r="BG403" s="34" t="n"/>
      <c r="BH403" s="34" t="n"/>
      <c r="BI403" s="34" t="n"/>
      <c r="BJ403" s="34" t="n"/>
      <c r="BK403" s="34" t="n"/>
      <c r="BL403" s="34" t="n"/>
      <c r="BM403" s="34" t="n"/>
      <c r="BN403" s="34" t="n"/>
      <c r="BO403" s="34" t="n"/>
      <c r="BP403" s="34" t="n"/>
      <c r="BQ403" s="34" t="n"/>
      <c r="BR403" s="34" t="n"/>
      <c r="BS403" s="34" t="n"/>
      <c r="BT403" s="34" t="n"/>
      <c r="BU403" s="34" t="n"/>
      <c r="BV403" s="34" t="n"/>
      <c r="BW403" s="34" t="n"/>
      <c r="BX403" s="34" t="n"/>
      <c r="BY403" s="34" t="n"/>
      <c r="BZ403" s="34" t="n"/>
      <c r="CA403" s="34" t="n"/>
      <c r="CB403" s="34" t="n"/>
      <c r="CC403" s="35" t="n"/>
      <c r="CD403" s="35" t="n"/>
      <c r="CE403" s="35" t="n"/>
      <c r="CF403" s="289">
        <f>IFERROR(CF398/CF367,"n/a")</f>
        <v>3.92875623332725</v>
      </c>
      <c r="CG403" s="289">
        <f>IFERROR(CG398/CG367,"n/a")</f>
        <v>3.66888983889203</v>
      </c>
      <c r="CH403" s="289">
        <f>IFERROR(CH398/CH367,"n/a")</f>
        <v>3.42519878328899</v>
      </c>
      <c r="CI403" s="289">
        <f>IFERROR(CI398/CI367,"n/a")</f>
        <v>3.20800677848745</v>
      </c>
      <c r="CJ403" s="289">
        <f>IFERROR(CJ398/CJ367,"n/a")</f>
        <v>3.00653452762976</v>
      </c>
      <c r="CK403" s="289">
        <f>IFERROR(CK398/CK367,"n/a")</f>
        <v>2.8204513460397</v>
      </c>
      <c r="CL403" s="19" t="n"/>
    </row>
    <row r="404" ht="15" customHeight="1" s="251">
      <c r="B404" s="25" t="inlineStr">
        <is>
          <t xml:space="preserve">  P / E (GAAP diluted)</t>
        </is>
      </c>
      <c r="C404" s="34" t="n"/>
      <c r="D404" s="34" t="n"/>
      <c r="E404" s="34" t="n"/>
      <c r="F404" s="34" t="n"/>
      <c r="G404" s="34" t="n"/>
      <c r="H404" s="34" t="n"/>
      <c r="I404" s="34" t="n"/>
      <c r="J404" s="34" t="n"/>
      <c r="K404" s="34" t="n"/>
      <c r="L404" s="34" t="n"/>
      <c r="M404" s="34" t="n"/>
      <c r="N404" s="34" t="n"/>
      <c r="O404" s="34" t="n"/>
      <c r="P404" s="34" t="n"/>
      <c r="Q404" s="34" t="n"/>
      <c r="R404" s="34" t="n"/>
      <c r="S404" s="34" t="n"/>
      <c r="T404" s="34" t="n"/>
      <c r="U404" s="34" t="n"/>
      <c r="V404" s="34" t="n"/>
      <c r="W404" s="34" t="n"/>
      <c r="X404" s="34" t="n"/>
      <c r="Y404" s="34" t="n"/>
      <c r="Z404" s="34" t="n"/>
      <c r="AA404" s="34" t="n"/>
      <c r="AB404" s="34" t="n"/>
      <c r="AC404" s="34" t="n"/>
      <c r="AD404" s="34" t="n"/>
      <c r="AE404" s="34" t="n"/>
      <c r="AF404" s="34" t="n"/>
      <c r="AG404" s="34" t="n"/>
      <c r="AH404" s="34" t="n"/>
      <c r="AI404" s="34" t="n"/>
      <c r="AJ404" s="34" t="n"/>
      <c r="AK404" s="34" t="n"/>
      <c r="AL404" s="34" t="n"/>
      <c r="AM404" s="34" t="n"/>
      <c r="AN404" s="34" t="n"/>
      <c r="AO404" s="34" t="n"/>
      <c r="AP404" s="34" t="n"/>
      <c r="AQ404" s="34" t="n"/>
      <c r="AR404" s="34" t="n"/>
      <c r="AS404" s="34" t="n"/>
      <c r="AT404" s="34" t="n"/>
      <c r="AU404" s="34" t="n"/>
      <c r="AV404" s="34" t="n"/>
      <c r="AW404" s="34" t="n"/>
      <c r="AX404" s="34" t="n"/>
      <c r="AY404" s="34" t="n"/>
      <c r="AZ404" s="34" t="n"/>
      <c r="BA404" s="34" t="n"/>
      <c r="BB404" s="34" t="n"/>
      <c r="BC404" s="34" t="n"/>
      <c r="BD404" s="34" t="n"/>
      <c r="BE404" s="34" t="n"/>
      <c r="BF404" s="34" t="n"/>
      <c r="BG404" s="34" t="n"/>
      <c r="BH404" s="34" t="n"/>
      <c r="BI404" s="34" t="n"/>
      <c r="BJ404" s="34" t="n"/>
      <c r="BK404" s="34" t="n"/>
      <c r="BL404" s="34" t="n"/>
      <c r="BM404" s="34" t="n"/>
      <c r="BN404" s="34" t="n"/>
      <c r="BO404" s="34" t="n"/>
      <c r="BP404" s="34" t="n"/>
      <c r="BQ404" s="34" t="n"/>
      <c r="BR404" s="34" t="n"/>
      <c r="BS404" s="34" t="n"/>
      <c r="BT404" s="34" t="n"/>
      <c r="BU404" s="34" t="n"/>
      <c r="BV404" s="34" t="n"/>
      <c r="BW404" s="34" t="n"/>
      <c r="BX404" s="34" t="n"/>
      <c r="BY404" s="34" t="n"/>
      <c r="BZ404" s="34" t="n"/>
      <c r="CA404" s="34" t="n"/>
      <c r="CB404" s="34" t="n"/>
      <c r="CC404" s="35" t="n"/>
      <c r="CD404" s="35" t="n"/>
      <c r="CE404" s="35" t="n"/>
      <c r="CF404" s="289">
        <f>IFERROR(CF393/CF142,"n/a")</f>
        <v>40.1275875244457</v>
      </c>
      <c r="CG404" s="289">
        <f>IFERROR(CG393/CG142,"n/a")</f>
        <v>35.0974764509134</v>
      </c>
      <c r="CH404" s="289">
        <f>IFERROR(CH393/CH142,"n/a")</f>
        <v>30.8583990255059</v>
      </c>
      <c r="CI404" s="289">
        <f>IFERROR(CI393/CI142,"n/a")</f>
        <v>26.9902115149272</v>
      </c>
      <c r="CJ404" s="289">
        <f>IFERROR(CJ393/CJ142,"n/a")</f>
        <v>24.0521012562459</v>
      </c>
      <c r="CK404" s="289">
        <f>IFERROR(CK393/CK142,"n/a")</f>
        <v>21.6289184838685</v>
      </c>
      <c r="CL404" s="19" t="n"/>
    </row>
    <row r="405" ht="15" customHeight="1" s="251">
      <c r="B405" s="25" t="inlineStr">
        <is>
          <t xml:space="preserve">  P / E (adjusted EPS)</t>
        </is>
      </c>
      <c r="C405" s="34" t="n"/>
      <c r="D405" s="34" t="n"/>
      <c r="E405" s="34" t="n"/>
      <c r="F405" s="34" t="n"/>
      <c r="G405" s="34" t="n"/>
      <c r="H405" s="34" t="n"/>
      <c r="I405" s="34" t="n"/>
      <c r="J405" s="34" t="n"/>
      <c r="K405" s="34" t="n"/>
      <c r="L405" s="34" t="n"/>
      <c r="M405" s="34" t="n"/>
      <c r="N405" s="34" t="n"/>
      <c r="O405" s="34" t="n"/>
      <c r="P405" s="34" t="n"/>
      <c r="Q405" s="34" t="n"/>
      <c r="R405" s="34" t="n"/>
      <c r="S405" s="34" t="n"/>
      <c r="T405" s="34" t="n"/>
      <c r="U405" s="34" t="n"/>
      <c r="V405" s="34" t="n"/>
      <c r="W405" s="34" t="n"/>
      <c r="X405" s="34" t="n"/>
      <c r="Y405" s="34" t="n"/>
      <c r="Z405" s="34" t="n"/>
      <c r="AA405" s="34" t="n"/>
      <c r="AB405" s="34" t="n"/>
      <c r="AC405" s="34" t="n"/>
      <c r="AD405" s="34" t="n"/>
      <c r="AE405" s="34" t="n"/>
      <c r="AF405" s="34" t="n"/>
      <c r="AG405" s="34" t="n"/>
      <c r="AH405" s="34" t="n"/>
      <c r="AI405" s="34" t="n"/>
      <c r="AJ405" s="34" t="n"/>
      <c r="AK405" s="34" t="n"/>
      <c r="AL405" s="34" t="n"/>
      <c r="AM405" s="34" t="n"/>
      <c r="AN405" s="34" t="n"/>
      <c r="AO405" s="34" t="n"/>
      <c r="AP405" s="34" t="n"/>
      <c r="AQ405" s="34" t="n"/>
      <c r="AR405" s="34" t="n"/>
      <c r="AS405" s="34" t="n"/>
      <c r="AT405" s="34" t="n"/>
      <c r="AU405" s="34" t="n"/>
      <c r="AV405" s="34" t="n"/>
      <c r="AW405" s="34" t="n"/>
      <c r="AX405" s="34" t="n"/>
      <c r="AY405" s="34" t="n"/>
      <c r="AZ405" s="34" t="n"/>
      <c r="BA405" s="34" t="n"/>
      <c r="BB405" s="34" t="n"/>
      <c r="BC405" s="34" t="n"/>
      <c r="BD405" s="34" t="n"/>
      <c r="BE405" s="34" t="n"/>
      <c r="BF405" s="34" t="n"/>
      <c r="BG405" s="34" t="n"/>
      <c r="BH405" s="34" t="n"/>
      <c r="BI405" s="34" t="n"/>
      <c r="BJ405" s="34" t="n"/>
      <c r="BK405" s="34" t="n"/>
      <c r="BL405" s="34" t="n"/>
      <c r="BM405" s="34" t="n"/>
      <c r="BN405" s="34" t="n"/>
      <c r="BO405" s="34" t="n"/>
      <c r="BP405" s="34" t="n"/>
      <c r="BQ405" s="34" t="n"/>
      <c r="BR405" s="34" t="n"/>
      <c r="BS405" s="34" t="n"/>
      <c r="BT405" s="34" t="n"/>
      <c r="BU405" s="34" t="n"/>
      <c r="BV405" s="34" t="n"/>
      <c r="BW405" s="34" t="n"/>
      <c r="BX405" s="34" t="n"/>
      <c r="BY405" s="34" t="n"/>
      <c r="BZ405" s="34" t="n"/>
      <c r="CA405" s="34" t="n"/>
      <c r="CB405" s="34" t="n"/>
      <c r="CC405" s="35" t="n"/>
      <c r="CD405" s="35" t="n"/>
      <c r="CE405" s="35" t="n"/>
      <c r="CF405" s="289">
        <f>IFERROR(CF393/CF203,"n/a")</f>
        <v>32.9643757677604</v>
      </c>
      <c r="CG405" s="289">
        <f>IFERROR(CG393/CG203,"n/a")</f>
        <v>28.6075005552389</v>
      </c>
      <c r="CH405" s="289">
        <f>IFERROR(CH393/CH203,"n/a")</f>
        <v>25.2894293475314</v>
      </c>
      <c r="CI405" s="289">
        <f>IFERROR(CI393/CI203,"n/a")</f>
        <v>22.3716589824281</v>
      </c>
      <c r="CJ405" s="289">
        <f>IFERROR(CJ393/CJ203,"n/a")</f>
        <v>20.0507255863793</v>
      </c>
      <c r="CK405" s="289">
        <f>IFERROR(CK393/CK203,"n/a")</f>
        <v>18.0544401456297</v>
      </c>
      <c r="CL405" s="19" t="n"/>
    </row>
    <row r="406" ht="15" customHeight="1" s="251">
      <c r="B406" s="25" t="inlineStr">
        <is>
          <t xml:space="preserve">  FCF yield</t>
        </is>
      </c>
      <c r="C406" s="34" t="n"/>
      <c r="D406" s="34" t="n"/>
      <c r="E406" s="34" t="n"/>
      <c r="F406" s="34" t="n"/>
      <c r="G406" s="34" t="n"/>
      <c r="H406" s="34" t="n"/>
      <c r="I406" s="34" t="n"/>
      <c r="J406" s="34" t="n"/>
      <c r="K406" s="34" t="n"/>
      <c r="L406" s="34" t="n"/>
      <c r="M406" s="34" t="n"/>
      <c r="N406" s="34" t="n"/>
      <c r="O406" s="34" t="n"/>
      <c r="P406" s="34" t="n"/>
      <c r="Q406" s="34" t="n"/>
      <c r="R406" s="34" t="n"/>
      <c r="S406" s="34" t="n"/>
      <c r="T406" s="34" t="n"/>
      <c r="U406" s="34" t="n"/>
      <c r="V406" s="34" t="n"/>
      <c r="W406" s="34" t="n"/>
      <c r="X406" s="34" t="n"/>
      <c r="Y406" s="34" t="n"/>
      <c r="Z406" s="34" t="n"/>
      <c r="AA406" s="34" t="n"/>
      <c r="AB406" s="34" t="n"/>
      <c r="AC406" s="34" t="n"/>
      <c r="AD406" s="34" t="n"/>
      <c r="AE406" s="34" t="n"/>
      <c r="AF406" s="34" t="n"/>
      <c r="AG406" s="34" t="n"/>
      <c r="AH406" s="34" t="n"/>
      <c r="AI406" s="34" t="n"/>
      <c r="AJ406" s="34" t="n"/>
      <c r="AK406" s="34" t="n"/>
      <c r="AL406" s="34" t="n"/>
      <c r="AM406" s="34" t="n"/>
      <c r="AN406" s="34" t="n"/>
      <c r="AO406" s="34" t="n"/>
      <c r="AP406" s="34" t="n"/>
      <c r="AQ406" s="34" t="n"/>
      <c r="AR406" s="34" t="n"/>
      <c r="AS406" s="34" t="n"/>
      <c r="AT406" s="34" t="n"/>
      <c r="AU406" s="34" t="n"/>
      <c r="AV406" s="34" t="n"/>
      <c r="AW406" s="34" t="n"/>
      <c r="AX406" s="34" t="n"/>
      <c r="AY406" s="34" t="n"/>
      <c r="AZ406" s="34" t="n"/>
      <c r="BA406" s="34" t="n"/>
      <c r="BB406" s="34" t="n"/>
      <c r="BC406" s="34" t="n"/>
      <c r="BD406" s="34" t="n"/>
      <c r="BE406" s="34" t="n"/>
      <c r="BF406" s="34" t="n"/>
      <c r="BG406" s="34" t="n"/>
      <c r="BH406" s="34" t="n"/>
      <c r="BI406" s="34" t="n"/>
      <c r="BJ406" s="34" t="n"/>
      <c r="BK406" s="34" t="n"/>
      <c r="BL406" s="34" t="n"/>
      <c r="BM406" s="34" t="n"/>
      <c r="BN406" s="34" t="n"/>
      <c r="BO406" s="34" t="n"/>
      <c r="BP406" s="34" t="n"/>
      <c r="BQ406" s="34" t="n"/>
      <c r="BR406" s="34" t="n"/>
      <c r="BS406" s="34" t="n"/>
      <c r="BT406" s="34" t="n"/>
      <c r="BU406" s="34" t="n"/>
      <c r="BV406" s="34" t="n"/>
      <c r="BW406" s="34" t="n"/>
      <c r="BX406" s="34" t="n"/>
      <c r="BY406" s="34" t="n"/>
      <c r="BZ406" s="34" t="n"/>
      <c r="CA406" s="34" t="n"/>
      <c r="CB406" s="34" t="n"/>
      <c r="CC406" s="35" t="n"/>
      <c r="CD406" s="35" t="n"/>
      <c r="CE406" s="35" t="n"/>
      <c r="CF406" s="256">
        <f>IFERROR(CF257/CF395,"n/a")</f>
        <v>0.0233907454327635</v>
      </c>
      <c r="CG406" s="256">
        <f>IFERROR(CG257/CG395,"n/a")</f>
        <v>0.0301730592832208</v>
      </c>
      <c r="CH406" s="256">
        <f>IFERROR(CH257/CH395,"n/a")</f>
        <v>0.0338386887233818</v>
      </c>
      <c r="CI406" s="256">
        <f>IFERROR(CI257/CI395,"n/a")</f>
        <v>0.0396905001008983</v>
      </c>
      <c r="CJ406" s="256">
        <f>IFERROR(CJ257/CJ395,"n/a")</f>
        <v>0.0443177957812667</v>
      </c>
      <c r="CK406" s="256">
        <f>IFERROR(CK257/CK395,"n/a")</f>
        <v>0.0491467027853938</v>
      </c>
      <c r="CL406" s="19" t="n"/>
    </row>
    <row r="407" ht="15" customHeight="1" s="251">
      <c r="B407" s="25" t="inlineStr">
        <is>
          <t xml:space="preserve">  Dividend yield</t>
        </is>
      </c>
      <c r="C407" s="34" t="n"/>
      <c r="D407" s="34" t="n"/>
      <c r="E407" s="34" t="n"/>
      <c r="F407" s="34" t="n"/>
      <c r="G407" s="34" t="n"/>
      <c r="H407" s="34" t="n"/>
      <c r="I407" s="34" t="n"/>
      <c r="J407" s="34" t="n"/>
      <c r="K407" s="34" t="n"/>
      <c r="L407" s="34" t="n"/>
      <c r="M407" s="34" t="n"/>
      <c r="N407" s="34" t="n"/>
      <c r="O407" s="34" t="n"/>
      <c r="P407" s="34" t="n"/>
      <c r="Q407" s="34" t="n"/>
      <c r="R407" s="34" t="n"/>
      <c r="S407" s="34" t="n"/>
      <c r="T407" s="34" t="n"/>
      <c r="U407" s="34" t="n"/>
      <c r="V407" s="34" t="n"/>
      <c r="W407" s="34" t="n"/>
      <c r="X407" s="34" t="n"/>
      <c r="Y407" s="34" t="n"/>
      <c r="Z407" s="34" t="n"/>
      <c r="AA407" s="34" t="n"/>
      <c r="AB407" s="34" t="n"/>
      <c r="AC407" s="34" t="n"/>
      <c r="AD407" s="34" t="n"/>
      <c r="AE407" s="34" t="n"/>
      <c r="AF407" s="34" t="n"/>
      <c r="AG407" s="34" t="n"/>
      <c r="AH407" s="34" t="n"/>
      <c r="AI407" s="34" t="n"/>
      <c r="AJ407" s="34" t="n"/>
      <c r="AK407" s="34" t="n"/>
      <c r="AL407" s="34" t="n"/>
      <c r="AM407" s="34" t="n"/>
      <c r="AN407" s="34" t="n"/>
      <c r="AO407" s="34" t="n"/>
      <c r="AP407" s="34" t="n"/>
      <c r="AQ407" s="34" t="n"/>
      <c r="AR407" s="34" t="n"/>
      <c r="AS407" s="34" t="n"/>
      <c r="AT407" s="34" t="n"/>
      <c r="AU407" s="34" t="n"/>
      <c r="AV407" s="34" t="n"/>
      <c r="AW407" s="34" t="n"/>
      <c r="AX407" s="34" t="n"/>
      <c r="AY407" s="34" t="n"/>
      <c r="AZ407" s="34" t="n"/>
      <c r="BA407" s="34" t="n"/>
      <c r="BB407" s="34" t="n"/>
      <c r="BC407" s="34" t="n"/>
      <c r="BD407" s="34" t="n"/>
      <c r="BE407" s="34" t="n"/>
      <c r="BF407" s="34" t="n"/>
      <c r="BG407" s="34" t="n"/>
      <c r="BH407" s="34" t="n"/>
      <c r="BI407" s="34" t="n"/>
      <c r="BJ407" s="34" t="n"/>
      <c r="BK407" s="34" t="n"/>
      <c r="BL407" s="34" t="n"/>
      <c r="BM407" s="34" t="n"/>
      <c r="BN407" s="34" t="n"/>
      <c r="BO407" s="34" t="n"/>
      <c r="BP407" s="34" t="n"/>
      <c r="BQ407" s="34" t="n"/>
      <c r="BR407" s="34" t="n"/>
      <c r="BS407" s="34" t="n"/>
      <c r="BT407" s="34" t="n"/>
      <c r="BU407" s="34" t="n"/>
      <c r="BV407" s="34" t="n"/>
      <c r="BW407" s="34" t="n"/>
      <c r="BX407" s="34" t="n"/>
      <c r="BY407" s="34" t="n"/>
      <c r="BZ407" s="34" t="n"/>
      <c r="CA407" s="34" t="n"/>
      <c r="CB407" s="34" t="n"/>
      <c r="CC407" s="35" t="n"/>
      <c r="CD407" s="35" t="n"/>
      <c r="CE407" s="35" t="n"/>
      <c r="CF407" s="256">
        <f>IFERROR(CF146/CF393,"n/a")</f>
        <v>0</v>
      </c>
      <c r="CG407" s="256">
        <f>IFERROR(CG146/CG393,"n/a")</f>
        <v>0</v>
      </c>
      <c r="CH407" s="256">
        <f>IFERROR(CH146/CH393,"n/a")</f>
        <v>0</v>
      </c>
      <c r="CI407" s="256">
        <f>IFERROR(CI146/CI393,"n/a")</f>
        <v>0</v>
      </c>
      <c r="CJ407" s="256">
        <f>IFERROR(CJ146/CJ393,"n/a")</f>
        <v>0</v>
      </c>
      <c r="CK407" s="256">
        <f>IFERROR(CK146/CK393,"n/a")</f>
        <v>0</v>
      </c>
      <c r="CL407" s="19" t="n"/>
    </row>
    <row r="408" ht="15" customHeight="1" s="251"/>
    <row r="409" ht="15" customHeight="1" s="251"/>
    <row r="410" ht="15" customHeight="1" s="251"/>
    <row r="411" ht="15" customHeight="1" s="251"/>
    <row r="412" ht="15" customHeight="1" s="251"/>
    <row r="413" ht="15" customHeight="1" s="251"/>
    <row r="414" ht="15" customHeight="1" s="251"/>
    <row r="415" ht="15" customHeight="1" s="251"/>
    <row r="416" ht="15" customHeight="1" s="251"/>
    <row r="417" ht="15" customHeight="1" s="251"/>
    <row r="418" ht="15" customHeight="1" s="251"/>
    <row r="419" ht="15" customHeight="1" s="251"/>
    <row r="420" ht="15" customHeight="1" s="251"/>
    <row r="421" ht="15" customHeight="1" s="251"/>
    <row r="422" ht="15" customHeight="1" s="251"/>
    <row r="423" ht="15" customHeight="1" s="251"/>
    <row r="424" ht="15" customHeight="1" s="251"/>
    <row r="425" ht="15" customHeight="1" s="251"/>
    <row r="426" ht="15" customHeight="1" s="251"/>
    <row r="427" ht="15" customHeight="1" s="251"/>
    <row r="428" ht="15" customHeight="1" s="251"/>
    <row r="429" ht="15" customHeight="1" s="251"/>
    <row r="430" ht="15" customHeight="1" s="251"/>
    <row r="431" ht="15" customHeight="1" s="251"/>
    <row r="432" ht="15" customHeight="1" s="251"/>
    <row r="433" ht="15" customHeight="1" s="251"/>
    <row r="434" ht="15" customHeight="1" s="251"/>
    <row r="435" ht="15" customHeight="1" s="251"/>
    <row r="436" ht="15" customHeight="1" s="251"/>
    <row r="437" ht="15" customHeight="1" s="251"/>
    <row r="438" ht="15" customHeight="1" s="251"/>
    <row r="439" ht="15" customHeight="1" s="251"/>
    <row r="440" ht="15" customHeight="1" s="251"/>
    <row r="441" ht="15" customHeight="1" s="251"/>
    <row r="442" ht="15" customHeight="1" s="251"/>
    <row r="443" ht="15" customHeight="1" s="251"/>
    <row r="444" ht="15" customHeight="1" s="251"/>
    <row r="445" ht="15" customHeight="1" s="251"/>
    <row r="446" ht="15" customHeight="1" s="251"/>
    <row r="447" ht="15" customHeight="1" s="251"/>
  </sheetData>
  <dataValidations count="1">
    <dataValidation sqref="CL2" showDropDown="0" showInputMessage="0" showErrorMessage="0" allowBlank="0" type="list">
      <formula1>"Bull,Base,Bear"</formula1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J50"/>
  <sheetViews>
    <sheetView showGridLines="0" zoomScale="60" zoomScaleNormal="60" workbookViewId="0">
      <selection activeCell="H26" sqref="H26"/>
    </sheetView>
  </sheetViews>
  <sheetFormatPr baseColWidth="8" defaultColWidth="8.5703125" defaultRowHeight="15"/>
  <cols>
    <col width="2.140625" customWidth="1" style="251" min="1" max="1"/>
    <col width="63.85546875" customWidth="1" style="251" min="2" max="2"/>
    <col width="11.85546875" customWidth="1" style="251" min="3" max="8"/>
    <col width="13.28515625" customWidth="1" style="251" min="9" max="9"/>
    <col width="12.5703125" customWidth="1" style="251" min="10" max="12"/>
    <col width="3.85546875" customWidth="1" style="251" min="13" max="13"/>
    <col width="63.85546875" customWidth="1" style="251" min="14" max="14"/>
    <col width="11.85546875" customWidth="1" style="251" min="15" max="20"/>
    <col width="13.28515625" customWidth="1" style="251" min="21" max="21"/>
    <col width="12.5703125" customWidth="1" style="251" min="22" max="24"/>
    <col width="3.85546875" customWidth="1" style="251" min="25" max="25"/>
    <col width="63.85546875" customWidth="1" style="251" min="26" max="26"/>
    <col width="11.85546875" customWidth="1" style="251" min="27" max="32"/>
    <col width="13.28515625" customWidth="1" style="251" min="33" max="33"/>
    <col width="12.5703125" customWidth="1" style="251" min="34" max="36"/>
  </cols>
  <sheetData>
    <row r="2" ht="19.5" customHeight="1" s="251">
      <c r="B2" s="73" t="inlineStr">
        <is>
          <t>RBC Bearings Incorporated (RBC) — Bull / Base / Bear Case P&amp;L Summary</t>
        </is>
      </c>
      <c r="J2" s="152" t="inlineStr">
        <is>
          <t>Share price ($):</t>
        </is>
      </c>
      <c r="K2" s="74">
        <f>Model!$CG$393</f>
        <v>510</v>
      </c>
    </row>
    <row r="3" ht="15" customHeight="1" s="251">
      <c r="B3" s="4" t="inlineStr">
        <is>
          <t>Adjusted figures (company definitions: adjusted operating income, adjusted EBITDA, adjusted EPS — current definition) · USD millions · fiscal years ending ~31 March · Live panel linked to Model — toggle scenario via Model!CL2. Bull and Bear panels are value snapshots generated from the Model with the switch set to each case. FY2027E = Q1 actual + Q2 calibrated to the Q2 FY27 outlook (sales $505–515m, gross margin 45.5–45.75%) + Q3–Q4 with the same Δ.</t>
        </is>
      </c>
      <c r="J3" s="152" t="inlineStr">
        <is>
          <t>As of:</t>
        </is>
      </c>
      <c r="K3" s="292" t="str">
        <f>TODAY()</f>
        <v>2026-10-13 00:00:00</v>
      </c>
    </row>
    <row r="5" ht="15" customHeight="1" s="251">
      <c r="B5" s="10" t="inlineStr">
        <is>
          <t>Scenario:</t>
        </is>
      </c>
      <c r="C5" s="75" t="str">
        <f>Model!$CL$2</f>
        <v>Base</v>
      </c>
      <c r="N5" s="76" t="inlineStr">
        <is>
          <t>Scenario:</t>
        </is>
      </c>
      <c r="O5" s="77" t="inlineStr">
        <is>
          <t>Bull</t>
        </is>
      </c>
      <c r="P5" s="4" t="inlineStr">
        <is>
          <t>Snapshot (values) — Model run with switch = Bull</t>
        </is>
      </c>
      <c r="Z5" s="76" t="inlineStr">
        <is>
          <t>Scenario:</t>
        </is>
      </c>
      <c r="AA5" s="77" t="inlineStr">
        <is>
          <t>Bear</t>
        </is>
      </c>
      <c r="AB5" s="4" t="inlineStr">
        <is>
          <t>Snapshot (values) — Model run with switch = Bear</t>
        </is>
      </c>
    </row>
    <row r="7" ht="32.1" customHeight="1" s="251">
      <c r="B7" s="78" t="inlineStr">
        <is>
          <t>(USDm, except EPS and shares)</t>
        </is>
      </c>
      <c r="C7" s="150" t="inlineStr">
        <is>
          <t>2027E</t>
        </is>
      </c>
      <c r="D7" s="150" t="inlineStr">
        <is>
          <t>2028E</t>
        </is>
      </c>
      <c r="E7" s="150" t="inlineStr">
        <is>
          <t>2029E</t>
        </is>
      </c>
      <c r="F7" s="150" t="inlineStr">
        <is>
          <t>2030E</t>
        </is>
      </c>
      <c r="G7" s="150" t="inlineStr">
        <is>
          <t>2031E</t>
        </is>
      </c>
      <c r="H7" s="150" t="inlineStr">
        <is>
          <t>2032E</t>
        </is>
      </c>
      <c r="I7" s="150" t="inlineStr">
        <is>
          <t>27-'32 CAGR</t>
        </is>
      </c>
      <c r="J7" s="151" t="inlineStr">
        <is>
          <t>LT Hist Avg</t>
        </is>
      </c>
      <c r="K7" s="151" t="inlineStr">
        <is>
          <t>LT Hist Min</t>
        </is>
      </c>
      <c r="L7" s="151" t="inlineStr">
        <is>
          <t>LT Hist Max</t>
        </is>
      </c>
      <c r="N7" s="78" t="inlineStr">
        <is>
          <t>(USDm, except EPS and shares)</t>
        </is>
      </c>
      <c r="O7" s="150" t="inlineStr">
        <is>
          <t>2027E</t>
        </is>
      </c>
      <c r="P7" s="150" t="inlineStr">
        <is>
          <t>2028E</t>
        </is>
      </c>
      <c r="Q7" s="150" t="inlineStr">
        <is>
          <t>2029E</t>
        </is>
      </c>
      <c r="R7" s="150" t="inlineStr">
        <is>
          <t>2030E</t>
        </is>
      </c>
      <c r="S7" s="150" t="inlineStr">
        <is>
          <t>2031E</t>
        </is>
      </c>
      <c r="T7" s="150" t="inlineStr">
        <is>
          <t>2032E</t>
        </is>
      </c>
      <c r="U7" s="150" t="inlineStr">
        <is>
          <t>27-'32 CAGR</t>
        </is>
      </c>
      <c r="V7" s="151" t="inlineStr">
        <is>
          <t>LT Hist Avg</t>
        </is>
      </c>
      <c r="W7" s="151" t="inlineStr">
        <is>
          <t>LT Hist Min</t>
        </is>
      </c>
      <c r="X7" s="151" t="inlineStr">
        <is>
          <t>LT Hist Max</t>
        </is>
      </c>
      <c r="Z7" s="78" t="inlineStr">
        <is>
          <t>(USDm, except EPS and shares)</t>
        </is>
      </c>
      <c r="AA7" s="150" t="inlineStr">
        <is>
          <t>2027E</t>
        </is>
      </c>
      <c r="AB7" s="150" t="inlineStr">
        <is>
          <t>2028E</t>
        </is>
      </c>
      <c r="AC7" s="150" t="inlineStr">
        <is>
          <t>2029E</t>
        </is>
      </c>
      <c r="AD7" s="150" t="inlineStr">
        <is>
          <t>2030E</t>
        </is>
      </c>
      <c r="AE7" s="150" t="inlineStr">
        <is>
          <t>2031E</t>
        </is>
      </c>
      <c r="AF7" s="150" t="inlineStr">
        <is>
          <t>2032E</t>
        </is>
      </c>
      <c r="AG7" s="150" t="inlineStr">
        <is>
          <t>27-'32 CAGR</t>
        </is>
      </c>
      <c r="AH7" s="151" t="inlineStr">
        <is>
          <t>LT Hist Avg</t>
        </is>
      </c>
      <c r="AI7" s="151" t="inlineStr">
        <is>
          <t>LT Hist Min</t>
        </is>
      </c>
      <c r="AJ7" s="151" t="inlineStr">
        <is>
          <t>LT Hist Max</t>
        </is>
      </c>
    </row>
    <row r="9" ht="15" customHeight="1" s="251">
      <c r="B9" s="79" t="inlineStr">
        <is>
          <t>Net sales</t>
        </is>
      </c>
      <c r="C9" s="80">
        <f>Model!CF108</f>
        <v>2157.11603293111</v>
      </c>
      <c r="D9" s="81">
        <f>Model!CG108</f>
        <v>2384.77498023031</v>
      </c>
      <c r="E9" s="81">
        <f>Model!CH108</f>
        <v>2666.37135748097</v>
      </c>
      <c r="F9" s="81">
        <f>Model!CI108</f>
        <v>2949.30292861885</v>
      </c>
      <c r="G9" s="81">
        <f>Model!CJ108</f>
        <v>3237.78295521797</v>
      </c>
      <c r="H9" s="81">
        <f>Model!CK108</f>
        <v>3522.55164285414</v>
      </c>
      <c r="I9" s="293">
        <f>IFERROR((H9/C9)^(1/5)-1,"n/m")</f>
        <v>0.103053996382692</v>
      </c>
      <c r="N9" s="79" t="inlineStr">
        <is>
          <t>Net sales</t>
        </is>
      </c>
      <c r="O9" s="80" t="n">
        <v>2173.31135638648</v>
      </c>
      <c r="P9" s="81" t="n">
        <v>2485.47666657952</v>
      </c>
      <c r="Q9" s="81" t="n">
        <v>2894.8113363308</v>
      </c>
      <c r="R9" s="81" t="n">
        <v>3319.0736110797</v>
      </c>
      <c r="S9" s="81" t="n">
        <v>3762.99735501564</v>
      </c>
      <c r="T9" s="81" t="n">
        <v>4216.91227225615</v>
      </c>
      <c r="U9" s="293" t="n">
        <v>0.141759209541515</v>
      </c>
      <c r="Z9" s="79" t="inlineStr">
        <is>
          <t>Net sales</t>
        </is>
      </c>
      <c r="AA9" s="80" t="n">
        <v>2140.92070947574</v>
      </c>
      <c r="AB9" s="81" t="n">
        <v>2198.37707256961</v>
      </c>
      <c r="AC9" s="81" t="n">
        <v>2243.21362001296</v>
      </c>
      <c r="AD9" s="81" t="n">
        <v>2274.0722605824</v>
      </c>
      <c r="AE9" s="81" t="n">
        <v>2295.66946424885</v>
      </c>
      <c r="AF9" s="81" t="n">
        <v>2301.193978338</v>
      </c>
      <c r="AG9" s="293" t="n">
        <v>0.0145431644958047</v>
      </c>
    </row>
    <row r="10" ht="15" customHeight="1" s="251">
      <c r="B10" s="83" t="inlineStr">
        <is>
          <t xml:space="preserve">   Net sales y/y %</t>
        </is>
      </c>
      <c r="C10" s="294" t="n"/>
      <c r="D10" s="295">
        <f>IFERROR(D9/C9-1,"")</f>
        <v>0.105538572716391</v>
      </c>
      <c r="E10" s="295">
        <f>IFERROR(E9/D9-1,"")</f>
        <v>0.118080900539922</v>
      </c>
      <c r="F10" s="295">
        <f>IFERROR(F9/E9-1,"")</f>
        <v>0.106111090019048</v>
      </c>
      <c r="G10" s="295">
        <f>IFERROR(G9/F9-1,"")</f>
        <v>0.0978129522741882</v>
      </c>
      <c r="H10" s="295">
        <f>IFERROR(H9/G9-1,"")</f>
        <v>0.0879517532752585</v>
      </c>
      <c r="N10" s="83" t="inlineStr">
        <is>
          <t xml:space="preserve">   Net sales y/y %</t>
        </is>
      </c>
      <c r="O10" s="294" t="n"/>
      <c r="P10" s="295" t="n">
        <v>0.143635797639261</v>
      </c>
      <c r="Q10" s="295" t="n">
        <v>0.164690610559864</v>
      </c>
      <c r="R10" s="295" t="n">
        <v>0.146559559659133</v>
      </c>
      <c r="S10" s="295" t="n">
        <v>0.133749291505326</v>
      </c>
      <c r="T10" s="295" t="n">
        <v>0.120625893248502</v>
      </c>
      <c r="Z10" s="83" t="inlineStr">
        <is>
          <t xml:space="preserve">   Net sales y/y %</t>
        </is>
      </c>
      <c r="AA10" s="294" t="n"/>
      <c r="AB10" s="295" t="n">
        <v>0.0268372214064554</v>
      </c>
      <c r="AC10" s="295" t="n">
        <v>0.0203952943299897</v>
      </c>
      <c r="AD10" s="295" t="n">
        <v>0.013756443119872</v>
      </c>
      <c r="AE10" s="295" t="n">
        <v>0.009497149251061821</v>
      </c>
      <c r="AF10" s="295" t="n">
        <v>0.00240649369397028</v>
      </c>
    </row>
    <row r="11" ht="15" customHeight="1" s="251">
      <c r="B11" s="79" t="inlineStr">
        <is>
          <t xml:space="preserve">   Aerospace &amp; Defense sales y/y %</t>
        </is>
      </c>
      <c r="C11" s="86">
        <f>Model!CF217</f>
        <v>0.224162064043807</v>
      </c>
      <c r="D11" s="87">
        <f>Model!CG217</f>
        <v>0.11</v>
      </c>
      <c r="E11" s="87">
        <f>Model!CH217</f>
        <v>0.1</v>
      </c>
      <c r="F11" s="87">
        <f>Model!CI217</f>
        <v>0.0900000000000001</v>
      </c>
      <c r="G11" s="87">
        <f>Model!CJ217</f>
        <v>0.0800000000000001</v>
      </c>
      <c r="H11" s="87">
        <f>Model!CK217</f>
        <v>0.0700000000000001</v>
      </c>
      <c r="N11" s="79" t="inlineStr">
        <is>
          <t xml:space="preserve">   Aerospace &amp; Defense sales y/y %</t>
        </is>
      </c>
      <c r="O11" s="86" t="n">
        <v>0.233088022041387</v>
      </c>
      <c r="P11" s="87" t="n">
        <v>0.14</v>
      </c>
      <c r="Q11" s="87" t="n">
        <v>0.13</v>
      </c>
      <c r="R11" s="87" t="n">
        <v>0.12</v>
      </c>
      <c r="S11" s="87" t="n">
        <v>0.11</v>
      </c>
      <c r="T11" s="87" t="n">
        <v>0.1</v>
      </c>
      <c r="Z11" s="79" t="inlineStr">
        <is>
          <t xml:space="preserve">   Aerospace &amp; Defense sales y/y %</t>
        </is>
      </c>
      <c r="AA11" s="86" t="n">
        <v>0.215236106046226</v>
      </c>
      <c r="AB11" s="87" t="n">
        <v>0.0600000000000001</v>
      </c>
      <c r="AC11" s="87" t="n">
        <v>0.05</v>
      </c>
      <c r="AD11" s="87" t="n">
        <v>0.04</v>
      </c>
      <c r="AE11" s="87" t="n">
        <v>0.03</v>
      </c>
      <c r="AF11" s="87" t="n">
        <v>0.02</v>
      </c>
    </row>
    <row r="12" ht="15" customHeight="1" s="251">
      <c r="B12" s="79" t="inlineStr">
        <is>
          <t>Adjusted EBITDA</t>
        </is>
      </c>
      <c r="C12" s="80">
        <f>Model!CF179</f>
        <v>723.463021075993</v>
      </c>
      <c r="D12" s="81">
        <f>Model!CG179</f>
        <v>817.009114446059</v>
      </c>
      <c r="E12" s="81">
        <f>Model!CH179</f>
        <v>919.171644953639</v>
      </c>
      <c r="F12" s="81">
        <f>Model!CI179</f>
        <v>1023.61113383704</v>
      </c>
      <c r="G12" s="81">
        <f>Model!CJ179</f>
        <v>1123.38495461038</v>
      </c>
      <c r="H12" s="81">
        <f>Model!CK179</f>
        <v>1222.06801092962</v>
      </c>
      <c r="I12" s="293">
        <f>IFERROR((H12/C12)^(1/5)-1,"n/m")</f>
        <v>0.110544096218723</v>
      </c>
      <c r="N12" s="79" t="inlineStr">
        <is>
          <t>Adjusted EBITDA</t>
        </is>
      </c>
      <c r="O12" s="80" t="n">
        <v>732.986767945879</v>
      </c>
      <c r="P12" s="81" t="n">
        <v>880.463336528849</v>
      </c>
      <c r="Q12" s="81" t="n">
        <v>1025.52062006585</v>
      </c>
      <c r="R12" s="81" t="n">
        <v>1178.30254326569</v>
      </c>
      <c r="S12" s="81" t="n">
        <v>1331.41057730965</v>
      </c>
      <c r="T12" s="81" t="n">
        <v>1488.33592228079</v>
      </c>
      <c r="U12" s="293" t="n">
        <v>0.152181680798534</v>
      </c>
      <c r="Z12" s="79" t="inlineStr">
        <is>
          <t>Adjusted EBITDA</t>
        </is>
      </c>
      <c r="AA12" s="80" t="n">
        <v>714.020243003885</v>
      </c>
      <c r="AB12" s="81" t="n">
        <v>690.778510651195</v>
      </c>
      <c r="AC12" s="81" t="n">
        <v>716.974145331817</v>
      </c>
      <c r="AD12" s="81" t="n">
        <v>739.222907365782</v>
      </c>
      <c r="AE12" s="81" t="n">
        <v>752.107740419098</v>
      </c>
      <c r="AF12" s="81" t="n">
        <v>759.917370843956</v>
      </c>
      <c r="AG12" s="293" t="n">
        <v>0.0125376234411805</v>
      </c>
    </row>
    <row r="13" ht="15" customHeight="1" s="251">
      <c r="B13" s="83" t="inlineStr">
        <is>
          <t xml:space="preserve">   Adjusted EBITDA margin %</t>
        </is>
      </c>
      <c r="C13" s="88">
        <f>IFERROR(C12/C9,"")</f>
        <v>0.335384378972393</v>
      </c>
      <c r="D13" s="89">
        <f>IFERROR(D12/D9,"")</f>
        <v>0.342593796571598</v>
      </c>
      <c r="E13" s="89">
        <f>IFERROR(E12/E9,"")</f>
        <v>0.344727542311292</v>
      </c>
      <c r="F13" s="89">
        <f>IFERROR(F12/F9,"")</f>
        <v>0.34706883579314</v>
      </c>
      <c r="G13" s="89">
        <f>IFERROR(G12/G9,"")</f>
        <v>0.346961167610061</v>
      </c>
      <c r="H13" s="89">
        <f>IFERROR(H12/H9,"")</f>
        <v>0.34692692537488</v>
      </c>
      <c r="J13" s="90">
        <f>IFERROR(AVERAGE(Model!C180,Model!D180,Model!E180,Model!F180,Model!G180,Model!H180,Model!I180,Model!N180,Model!S180,Model!X180,Model!AC180,Model!AH180,Model!AM180,Model!AR180,Model!AW180,Model!BB180,Model!BG180,Model!BL180,Model!BQ180,Model!BV180,Model!CA180),"")</f>
        <v>0.261408039257842</v>
      </c>
      <c r="K13" s="90">
        <f>IFERROR(MIN(Model!C180,Model!D180,Model!E180,Model!F180,Model!G180,Model!H180,Model!I180,Model!N180,Model!S180,Model!X180,Model!AC180,Model!AH180,Model!AM180,Model!AR180,Model!AW180,Model!BB180,Model!BG180,Model!BL180,Model!BQ180,Model!BV180,Model!CA180),"")</f>
        <v>0.195608331937882</v>
      </c>
      <c r="L13" s="90">
        <f>IFERROR(MAX(Model!C180,Model!D180,Model!E180,Model!F180,Model!G180,Model!H180,Model!I180,Model!N180,Model!S180,Model!X180,Model!AC180,Model!AH180,Model!AM180,Model!AR180,Model!AW180,Model!BB180,Model!BG180,Model!BL180,Model!BQ180,Model!BV180,Model!CA180),"")</f>
        <v>0.323534127959805</v>
      </c>
      <c r="N13" s="83" t="inlineStr">
        <is>
          <t xml:space="preserve">   Adjusted EBITDA margin %</t>
        </is>
      </c>
      <c r="O13" s="88" t="n">
        <v>0.337267260759452</v>
      </c>
      <c r="P13" s="89" t="n">
        <v>0.354243251754413</v>
      </c>
      <c r="Q13" s="89" t="n">
        <v>0.354261642959333</v>
      </c>
      <c r="R13" s="89" t="n">
        <v>0.355009463885431</v>
      </c>
      <c r="S13" s="89" t="n">
        <v>0.353816506284555</v>
      </c>
      <c r="T13" s="89" t="n">
        <v>0.352944483116908</v>
      </c>
      <c r="V13" s="90" t="n">
        <v>0.261408039257842</v>
      </c>
      <c r="W13" s="90" t="n">
        <v>0.195608331937882</v>
      </c>
      <c r="X13" s="90" t="n">
        <v>0.323534127959805</v>
      </c>
      <c r="Z13" s="83" t="inlineStr">
        <is>
          <t xml:space="preserve">   Adjusted EBITDA margin %</t>
        </is>
      </c>
      <c r="AA13" s="88" t="n">
        <v>0.3335108301039</v>
      </c>
      <c r="AB13" s="89" t="n">
        <v>0.314222031911827</v>
      </c>
      <c r="AC13" s="89" t="n">
        <v>0.319619201192115</v>
      </c>
      <c r="AD13" s="89" t="n">
        <v>0.325065707092556</v>
      </c>
      <c r="AE13" s="89" t="n">
        <v>0.327620222393467</v>
      </c>
      <c r="AF13" s="89" t="n">
        <v>0.330227428890108</v>
      </c>
      <c r="AH13" s="90" t="n">
        <v>0.261408039257842</v>
      </c>
      <c r="AI13" s="90" t="n">
        <v>0.195608331937882</v>
      </c>
      <c r="AJ13" s="90" t="n">
        <v>0.323534127959805</v>
      </c>
    </row>
    <row r="15" ht="15" customHeight="1" s="251">
      <c r="B15" s="79" t="inlineStr">
        <is>
          <t>Operating income (GAAP)</t>
        </is>
      </c>
      <c r="C15" s="80">
        <f>Model!CF116</f>
        <v>558.423021701425</v>
      </c>
      <c r="D15" s="81">
        <f>Model!CG116</f>
        <v>620.950465355465</v>
      </c>
      <c r="E15" s="81">
        <f>Model!CH116</f>
        <v>704.984562509514</v>
      </c>
      <c r="F15" s="81">
        <f>Model!CI116</f>
        <v>794.303199120574</v>
      </c>
      <c r="G15" s="81">
        <f>Model!CJ116</f>
        <v>876.747938670355</v>
      </c>
      <c r="H15" s="81">
        <f>Model!CK116</f>
        <v>954.831635358326</v>
      </c>
      <c r="I15" s="293">
        <f>IFERROR((H15/C15)^(1/5)-1,"n/m")</f>
        <v>0.113249982680563</v>
      </c>
      <c r="N15" s="79" t="inlineStr">
        <is>
          <t>Operating income (GAAP)</t>
        </is>
      </c>
      <c r="O15" s="80" t="n">
        <v>567.3076845851029</v>
      </c>
      <c r="P15" s="81" t="n">
        <v>674.522409866191</v>
      </c>
      <c r="Q15" s="81" t="n">
        <v>791.075298594632</v>
      </c>
      <c r="R15" s="81" t="n">
        <v>917.73515715602</v>
      </c>
      <c r="S15" s="81" t="n">
        <v>1041.86369897893</v>
      </c>
      <c r="T15" s="81" t="n">
        <v>1165.90895775701</v>
      </c>
      <c r="U15" s="293" t="n">
        <v>0.154965986451583</v>
      </c>
      <c r="Z15" s="79" t="inlineStr">
        <is>
          <t>Operating income (GAAP)</t>
        </is>
      </c>
      <c r="AA15" s="80" t="n">
        <v>549.619327615525</v>
      </c>
      <c r="AB15" s="81" t="n">
        <v>512.044165312993</v>
      </c>
      <c r="AC15" s="81" t="n">
        <v>538.50231881122</v>
      </c>
      <c r="AD15" s="81" t="n">
        <v>564.725583378992</v>
      </c>
      <c r="AE15" s="81" t="n">
        <v>580.057945063651</v>
      </c>
      <c r="AF15" s="81" t="n">
        <v>587.613447840408</v>
      </c>
      <c r="AG15" s="293" t="n">
        <v>0.0134584450308439</v>
      </c>
    </row>
    <row r="16" ht="15" customHeight="1" s="251">
      <c r="B16" s="83" t="inlineStr">
        <is>
          <t xml:space="preserve">   Operating income y/y %</t>
        </is>
      </c>
      <c r="C16" s="294" t="n"/>
      <c r="D16" s="295">
        <f>IFERROR(D15/C15-1,"")</f>
        <v>0.111971464685551</v>
      </c>
      <c r="E16" s="295">
        <f>IFERROR(E15/D15-1,"")</f>
        <v>0.135331402169002</v>
      </c>
      <c r="F16" s="295">
        <f>IFERROR(F15/E15-1,"")</f>
        <v>0.126695875854521</v>
      </c>
      <c r="G16" s="295">
        <f>IFERROR(G15/F15-1,"")</f>
        <v>0.103795049095939</v>
      </c>
      <c r="H16" s="295">
        <f>IFERROR(H15/G15-1,"")</f>
        <v>0.0890605991117475</v>
      </c>
      <c r="N16" s="83" t="inlineStr">
        <is>
          <t xml:space="preserve">   Operating income y/y %</t>
        </is>
      </c>
      <c r="O16" s="294" t="n"/>
      <c r="P16" s="295" t="n">
        <v>0.188988670864734</v>
      </c>
      <c r="Q16" s="295" t="n">
        <v>0.172793204530539</v>
      </c>
      <c r="R16" s="295" t="n">
        <v>0.160111001805268</v>
      </c>
      <c r="S16" s="295" t="n">
        <v>0.135255297625927</v>
      </c>
      <c r="T16" s="295" t="n">
        <v>0.11906092793102</v>
      </c>
      <c r="Z16" s="83" t="inlineStr">
        <is>
          <t xml:space="preserve">   Operating income y/y %</t>
        </is>
      </c>
      <c r="AA16" s="294" t="n"/>
      <c r="AB16" s="295" t="n">
        <v>-0.0683657950413591</v>
      </c>
      <c r="AC16" s="295" t="n">
        <v>0.0516716238374759</v>
      </c>
      <c r="AD16" s="295" t="n">
        <v>0.048696660444586</v>
      </c>
      <c r="AE16" s="295" t="n">
        <v>0.0271501099576879</v>
      </c>
      <c r="AF16" s="295" t="n">
        <v>0.0130254276164217</v>
      </c>
    </row>
    <row r="17" ht="15" customHeight="1" s="251">
      <c r="B17" s="83" t="inlineStr">
        <is>
          <t xml:space="preserve">   Operating margin (GAAP) %</t>
        </is>
      </c>
      <c r="C17" s="88">
        <f>IFERROR(C15/C9,"")</f>
        <v>0.258874818589445</v>
      </c>
      <c r="D17" s="89">
        <f>IFERROR(D15/D9,"")</f>
        <v>0.260381155665889</v>
      </c>
      <c r="E17" s="89">
        <f>IFERROR(E15/E9,"")</f>
        <v>0.264398490679686</v>
      </c>
      <c r="F17" s="89">
        <f>IFERROR(F15/F9,"")</f>
        <v>0.269318960562842</v>
      </c>
      <c r="G17" s="89">
        <f>IFERROR(G15/G9,"")</f>
        <v>0.270786507556783</v>
      </c>
      <c r="H17" s="89">
        <f>IFERROR(H15/H9,"")</f>
        <v>0.271062494511699</v>
      </c>
      <c r="J17" s="90">
        <f>IFERROR(AVERAGE(Model!C228,Model!D228,Model!E228,Model!F228,Model!G228,Model!H228,Model!I228,Model!N228,Model!S228,Model!X228,Model!AC228,Model!AH228,Model!AM228,Model!AR228,Model!AW228,Model!BB228,Model!BG228,Model!BL228,Model!BQ228,Model!BV228,Model!CA228),"")</f>
        <v>0.185257238228115</v>
      </c>
      <c r="K17" s="90">
        <f>IFERROR(MIN(Model!C228,Model!D228,Model!E228,Model!F228,Model!G228,Model!H228,Model!I228,Model!N228,Model!S228,Model!X228,Model!AC228,Model!AH228,Model!AM228,Model!AR228,Model!AW228,Model!BB228,Model!BG228,Model!BL228,Model!BQ228,Model!BV228,Model!CA228),"")</f>
        <v>0.126209492468202</v>
      </c>
      <c r="L17" s="90">
        <f>IFERROR(MAX(Model!C228,Model!D228,Model!E228,Model!F228,Model!G228,Model!H228,Model!I228,Model!N228,Model!S228,Model!X228,Model!AC228,Model!AH228,Model!AM228,Model!AR228,Model!AW228,Model!BB228,Model!BG228,Model!BL228,Model!BQ228,Model!BV228,Model!CA228),"")</f>
        <v>0.226058791175212</v>
      </c>
      <c r="N17" s="83" t="inlineStr">
        <is>
          <t xml:space="preserve">   Operating margin (GAAP) %</t>
        </is>
      </c>
      <c r="O17" s="88" t="n">
        <v>0.26103378281166</v>
      </c>
      <c r="P17" s="89" t="n">
        <v>0.271385532978855</v>
      </c>
      <c r="Q17" s="89" t="n">
        <v>0.273273525174642</v>
      </c>
      <c r="R17" s="89" t="n">
        <v>0.276503405676947</v>
      </c>
      <c r="S17" s="89" t="n">
        <v>0.27687069659782</v>
      </c>
      <c r="T17" s="89" t="n">
        <v>0.276484043888639</v>
      </c>
      <c r="V17" s="90" t="n">
        <v>0.185257238228115</v>
      </c>
      <c r="W17" s="90" t="n">
        <v>0.126209492468202</v>
      </c>
      <c r="X17" s="90" t="n">
        <v>0.226058791175212</v>
      </c>
      <c r="Z17" s="83" t="inlineStr">
        <is>
          <t xml:space="preserve">   Operating margin (GAAP) %</t>
        </is>
      </c>
      <c r="AA17" s="88" t="n">
        <v>0.256721010349848</v>
      </c>
      <c r="AB17" s="89" t="n">
        <v>0.232919171011223</v>
      </c>
      <c r="AC17" s="89" t="n">
        <v>0.240058420654609</v>
      </c>
      <c r="AD17" s="89" t="n">
        <v>0.248332294961623</v>
      </c>
      <c r="AE17" s="89" t="n">
        <v>0.252674853282264</v>
      </c>
      <c r="AF17" s="89" t="n">
        <v>0.255351549400804</v>
      </c>
      <c r="AH17" s="90" t="n">
        <v>0.185257238228115</v>
      </c>
      <c r="AI17" s="90" t="n">
        <v>0.126209492468202</v>
      </c>
      <c r="AJ17" s="90" t="n">
        <v>0.226058791175212</v>
      </c>
    </row>
    <row r="19" ht="15" customHeight="1" s="251">
      <c r="B19" s="79" t="inlineStr">
        <is>
          <t>Adjusted Net Income (to common)</t>
        </is>
      </c>
      <c r="C19" s="80">
        <f>Model!CF201</f>
        <v>491.129878328648</v>
      </c>
      <c r="D19" s="81">
        <f>Model!CG201</f>
        <v>560.409582186025</v>
      </c>
      <c r="E19" s="81">
        <f>Model!CH201</f>
        <v>620.049438196948</v>
      </c>
      <c r="F19" s="81">
        <f>Model!CI201</f>
        <v>688.914603930724</v>
      </c>
      <c r="G19" s="81">
        <f>Model!CJ201</f>
        <v>753.95524325863</v>
      </c>
      <c r="H19" s="81">
        <f>Model!CK201</f>
        <v>820.388895829365</v>
      </c>
      <c r="I19" s="293">
        <f>IFERROR((H19/C19)^(1/5)-1,"n/m")</f>
        <v>0.108063587421718</v>
      </c>
      <c r="N19" s="79" t="inlineStr">
        <is>
          <t>Adjusted Net Income (to common)</t>
        </is>
      </c>
      <c r="O19" s="80" t="n">
        <v>498.222835032156</v>
      </c>
      <c r="P19" s="81" t="n">
        <v>607.472783642912</v>
      </c>
      <c r="Q19" s="81" t="n">
        <v>677.994918116915</v>
      </c>
      <c r="R19" s="81" t="n">
        <v>776.78593762915</v>
      </c>
      <c r="S19" s="81" t="n">
        <v>874.954044483824</v>
      </c>
      <c r="T19" s="81" t="n">
        <v>977.821828653533</v>
      </c>
      <c r="U19" s="293" t="n">
        <v>0.14437199145715</v>
      </c>
      <c r="Z19" s="79" t="inlineStr">
        <is>
          <t>Adjusted Net Income (to common)</t>
        </is>
      </c>
      <c r="AA19" s="80" t="n">
        <v>484.100077287406</v>
      </c>
      <c r="AB19" s="81" t="n">
        <v>466.557652777562</v>
      </c>
      <c r="AC19" s="81" t="n">
        <v>488.71606862033</v>
      </c>
      <c r="AD19" s="81" t="n">
        <v>503.109185527522</v>
      </c>
      <c r="AE19" s="81" t="n">
        <v>510.476818918516</v>
      </c>
      <c r="AF19" s="81" t="n">
        <v>516.309543085883</v>
      </c>
      <c r="AG19" s="293" t="n">
        <v>0.0129663066387424</v>
      </c>
    </row>
    <row r="21" ht="15" customHeight="1" s="251">
      <c r="B21" s="79" t="inlineStr">
        <is>
          <t>FDSO (m)</t>
        </is>
      </c>
      <c r="C21" s="91">
        <f>Model!CF141</f>
        <v>31.744686</v>
      </c>
      <c r="D21" s="92">
        <f>Model!CG141</f>
        <v>31.435132222643</v>
      </c>
      <c r="E21" s="92">
        <f>Model!CH141</f>
        <v>30.7464636456045</v>
      </c>
      <c r="F21" s="92">
        <f>Model!CI141</f>
        <v>30.2199266414758</v>
      </c>
      <c r="G21" s="92">
        <f>Model!CJ141</f>
        <v>29.6418621313542</v>
      </c>
      <c r="H21" s="92">
        <f>Model!CK141</f>
        <v>29.0424749331187</v>
      </c>
      <c r="I21" s="293">
        <f>IFERROR((H21/C21)^(1/5)-1,"n/m")</f>
        <v>-0.0176358219755892</v>
      </c>
      <c r="N21" s="79" t="inlineStr">
        <is>
          <t>FDSO (m)</t>
        </is>
      </c>
      <c r="O21" s="91" t="n">
        <v>31.744686</v>
      </c>
      <c r="P21" s="92" t="n">
        <v>31.0905550172538</v>
      </c>
      <c r="Q21" s="92" t="n">
        <v>30.079967276389</v>
      </c>
      <c r="R21" s="92" t="n">
        <v>29.5680664810926</v>
      </c>
      <c r="S21" s="92" t="n">
        <v>28.9496954182157</v>
      </c>
      <c r="T21" s="92" t="n">
        <v>28.2631290461729</v>
      </c>
      <c r="U21" s="293" t="n">
        <v>-0.0229656308658397</v>
      </c>
      <c r="Z21" s="79" t="inlineStr">
        <is>
          <t>FDSO (m)</t>
        </is>
      </c>
      <c r="AA21" s="91" t="n">
        <v>31.744686</v>
      </c>
      <c r="AB21" s="92" t="n">
        <v>31.6870118938946</v>
      </c>
      <c r="AC21" s="92" t="n">
        <v>31.1461107197829</v>
      </c>
      <c r="AD21" s="92" t="n">
        <v>30.4644599809386</v>
      </c>
      <c r="AE21" s="92" t="n">
        <v>29.827319345608</v>
      </c>
      <c r="AF21" s="92" t="n">
        <v>29.2495994007862</v>
      </c>
      <c r="AG21" s="293" t="n">
        <v>-0.0162386016388316</v>
      </c>
    </row>
    <row r="23" ht="15" customHeight="1" s="251">
      <c r="B23" s="79" t="inlineStr">
        <is>
          <t>Adjusted EPS — Diluted ($)</t>
        </is>
      </c>
      <c r="C23" s="93">
        <f>Model!CF203</f>
        <v>15.4712470089844</v>
      </c>
      <c r="D23" s="94">
        <f>Model!CG203</f>
        <v>17.8274924443409</v>
      </c>
      <c r="E23" s="94">
        <f>Model!CH203</f>
        <v>20.1665285915114</v>
      </c>
      <c r="F23" s="94">
        <f>Model!CI203</f>
        <v>22.7967000748841</v>
      </c>
      <c r="G23" s="94">
        <f>Model!CJ203</f>
        <v>25.4354884965584</v>
      </c>
      <c r="H23" s="94">
        <f>Model!CK203</f>
        <v>28.2478989038855</v>
      </c>
      <c r="I23" s="293">
        <f>IFERROR((H23/C23)^(1/5)-1,"n/m")</f>
        <v>0.127956018968541</v>
      </c>
      <c r="N23" s="79" t="inlineStr">
        <is>
          <t>Adjusted EPS — Diluted ($)</t>
        </is>
      </c>
      <c r="O23" s="93" t="n">
        <v>15.6946846168885</v>
      </c>
      <c r="P23" s="94" t="n">
        <v>19.5388208189205</v>
      </c>
      <c r="Q23" s="94" t="n">
        <v>22.5397491921176</v>
      </c>
      <c r="R23" s="94" t="n">
        <v>26.2711103590716</v>
      </c>
      <c r="S23" s="94" t="n">
        <v>30.223255610948</v>
      </c>
      <c r="T23" s="94" t="n">
        <v>34.5970832548683</v>
      </c>
      <c r="U23" s="293" t="n">
        <v>0.171270968155688</v>
      </c>
      <c r="Z23" s="79" t="inlineStr">
        <is>
          <t>Adjusted EPS — Diluted ($)</t>
        </is>
      </c>
      <c r="AA23" s="93" t="n">
        <v>15.249798888778</v>
      </c>
      <c r="AB23" s="94" t="n">
        <v>14.7239397119505</v>
      </c>
      <c r="AC23" s="94" t="n">
        <v>15.6910785111258</v>
      </c>
      <c r="AD23" s="94" t="n">
        <v>16.5146267435009</v>
      </c>
      <c r="AE23" s="94" t="n">
        <v>17.114404851594</v>
      </c>
      <c r="AF23" s="94" t="n">
        <v>17.6518500650647</v>
      </c>
      <c r="AG23" s="293" t="n">
        <v>0.0296869833744504</v>
      </c>
    </row>
    <row r="24" ht="15" customHeight="1" s="251">
      <c r="B24" s="83" t="inlineStr">
        <is>
          <t xml:space="preserve">   EPS y/y %</t>
        </is>
      </c>
      <c r="C24" s="294" t="n"/>
      <c r="D24" s="295">
        <f>IFERROR(D23/C23-1,"")</f>
        <v>0.152298352808164</v>
      </c>
      <c r="E24" s="295">
        <f>IFERROR(E23/D23-1,"")</f>
        <v>0.131203878193929</v>
      </c>
      <c r="F24" s="295">
        <f>IFERROR(F23/E23-1,"")</f>
        <v>0.130422619413032</v>
      </c>
      <c r="G24" s="295">
        <f>IFERROR(G23/F23-1,"")</f>
        <v>0.115753087640151</v>
      </c>
      <c r="H24" s="295">
        <f>IFERROR(H23/G23-1,"")</f>
        <v>0.110570331987437</v>
      </c>
      <c r="N24" s="83" t="inlineStr">
        <is>
          <t xml:space="preserve">   EPS y/y %</t>
        </is>
      </c>
      <c r="O24" s="294" t="n"/>
      <c r="P24" s="295" t="n">
        <v>0.244932363782288</v>
      </c>
      <c r="Q24" s="295" t="n">
        <v>0.153587998017319</v>
      </c>
      <c r="R24" s="295" t="n">
        <v>0.16554581575641</v>
      </c>
      <c r="S24" s="295" t="n">
        <v>0.150436932351117</v>
      </c>
      <c r="T24" s="295" t="n">
        <v>0.14471728989831</v>
      </c>
      <c r="Z24" s="83" t="inlineStr">
        <is>
          <t xml:space="preserve">   EPS y/y %</t>
        </is>
      </c>
      <c r="AA24" s="294" t="n"/>
      <c r="AB24" s="295" t="n">
        <v>-0.0344830237213444</v>
      </c>
      <c r="AC24" s="295" t="n">
        <v>0.0656847839705765</v>
      </c>
      <c r="AD24" s="295" t="n">
        <v>0.052485125977235</v>
      </c>
      <c r="AE24" s="295" t="n">
        <v>0.0363179935828184</v>
      </c>
      <c r="AF24" s="295" t="n">
        <v>0.0314030910295218</v>
      </c>
    </row>
    <row r="26" ht="15" customHeight="1" s="251">
      <c r="B26" s="83" t="inlineStr">
        <is>
          <t>P / E (x) — assumed (adjusted EPS)</t>
        </is>
      </c>
      <c r="C26" s="296" t="n"/>
      <c r="D26" s="296" t="n"/>
      <c r="E26" s="296" t="n"/>
      <c r="F26" s="296" t="n"/>
      <c r="G26" s="296" t="n">
        <v>32</v>
      </c>
      <c r="H26" s="296" t="n">
        <v>32</v>
      </c>
      <c r="N26" s="83" t="inlineStr">
        <is>
          <t>P / E (x) — assumed (adjusted EPS)</t>
        </is>
      </c>
      <c r="O26" s="296" t="n"/>
      <c r="P26" s="296" t="n"/>
      <c r="Q26" s="296" t="n"/>
      <c r="R26" s="296" t="n"/>
      <c r="S26" s="296" t="n">
        <v>36</v>
      </c>
      <c r="T26" s="296" t="n">
        <v>36</v>
      </c>
      <c r="Z26" s="83" t="inlineStr">
        <is>
          <t>P / E (x) — assumed (adjusted EPS)</t>
        </is>
      </c>
      <c r="AA26" s="296" t="n"/>
      <c r="AB26" s="296" t="n"/>
      <c r="AC26" s="296" t="n"/>
      <c r="AD26" s="296" t="n">
        <v>25</v>
      </c>
      <c r="AE26" s="296" t="n">
        <v>25</v>
      </c>
      <c r="AF26" s="296" t="n">
        <v>25</v>
      </c>
    </row>
    <row r="27" ht="15" customHeight="1" s="251">
      <c r="B27" s="10" t="inlineStr">
        <is>
          <t>Price Target ($)</t>
        </is>
      </c>
      <c r="C27" s="96" t="n"/>
      <c r="D27" s="96" t="n"/>
      <c r="E27" s="96" t="n"/>
      <c r="F27" s="96" t="n"/>
      <c r="G27" s="96">
        <f>G26*G23</f>
        <v>813.93563188987</v>
      </c>
      <c r="H27" s="96">
        <f>H26*H23</f>
        <v>903.932764924337</v>
      </c>
      <c r="N27" s="10" t="inlineStr">
        <is>
          <t>Price Target ($)</t>
        </is>
      </c>
      <c r="O27" s="96" t="n"/>
      <c r="P27" s="96" t="n"/>
      <c r="Q27" s="96" t="n"/>
      <c r="R27" s="96" t="n"/>
      <c r="S27" s="96">
        <f>S26*S23</f>
        <v>1088.03720199413</v>
      </c>
      <c r="T27" s="96">
        <f>T26*T23</f>
        <v>1245.49499717526</v>
      </c>
      <c r="Z27" s="10" t="inlineStr">
        <is>
          <t>Price Target ($)</t>
        </is>
      </c>
      <c r="AA27" s="96" t="n"/>
      <c r="AB27" s="96" t="n"/>
      <c r="AC27" s="96" t="n"/>
      <c r="AD27" s="96">
        <f>AD26*AD23</f>
        <v>412.865668587523</v>
      </c>
      <c r="AE27" s="96">
        <f>AE26*AE23</f>
        <v>427.86012128985</v>
      </c>
      <c r="AF27" s="96">
        <f>AF26*AF23</f>
        <v>441.296251626618</v>
      </c>
    </row>
    <row r="28" ht="15" customHeight="1" s="251">
      <c r="B28" t="inlineStr">
        <is>
          <t xml:space="preserve">   Upside / (Downside) vs current</t>
        </is>
      </c>
      <c r="E28" s="297" t="n"/>
      <c r="F28" s="297" t="n"/>
      <c r="G28" s="297">
        <f>IFERROR(G27/$K$2-1,"")</f>
        <v>0.595952219391901</v>
      </c>
      <c r="H28" s="297">
        <f>IFERROR(H27/$K$2-1,"")</f>
        <v>0.77241718612615</v>
      </c>
      <c r="N28" t="inlineStr">
        <is>
          <t xml:space="preserve">   Upside / (Downside) vs current</t>
        </is>
      </c>
      <c r="O28" s="297" t="n"/>
      <c r="P28" s="297" t="n"/>
      <c r="Q28" s="297" t="n"/>
      <c r="R28" s="297" t="n"/>
      <c r="S28" s="297">
        <f>IFERROR(S27/$K$2-1,"")</f>
        <v>1.13340627841986</v>
      </c>
      <c r="T28" s="297">
        <f>IFERROR(T27/$K$2-1,"")</f>
        <v>1.44214705328482</v>
      </c>
      <c r="Z28" t="inlineStr">
        <is>
          <t xml:space="preserve">   Upside / (Downside) vs current</t>
        </is>
      </c>
      <c r="AA28" s="297" t="n"/>
      <c r="AB28" s="297" t="n"/>
      <c r="AC28" s="297" t="n"/>
      <c r="AD28" s="297">
        <f>IFERROR(AD27/$K$2-1,"")</f>
        <v>-0.190459473357799</v>
      </c>
      <c r="AE28" s="297">
        <f>IFERROR(AE27/$K$2-1,"")</f>
        <v>-0.161058585706176</v>
      </c>
      <c r="AF28" s="297">
        <f>IFERROR(AF27/$K$2-1,"")</f>
        <v>-0.134713232104672</v>
      </c>
    </row>
    <row r="29" ht="15" customHeight="1" s="251">
      <c r="B29" s="75" t="inlineStr">
        <is>
          <t>IRR (to ~31-Mar of Y-1)</t>
        </is>
      </c>
      <c r="C29" s="298" t="n"/>
      <c r="D29" s="298" t="n"/>
      <c r="E29" s="298" t="n"/>
      <c r="F29" s="298" t="n"/>
      <c r="G29" s="298">
        <f>IFERROR((G27/$K$2)^(1/((DATE(2031-1,3,31)-$K$3)/365.25))-1,"")</f>
        <v>0.144508395081296</v>
      </c>
      <c r="H29" s="298">
        <f>IFERROR((H27/$K$2)^(1/((DATE(2032-1,3,31)-$K$3)/365.25))-1,"")</f>
        <v>0.136838041165505</v>
      </c>
      <c r="N29" s="75" t="inlineStr">
        <is>
          <t>IRR (to ~31-Mar of Y-1)</t>
        </is>
      </c>
      <c r="O29" s="298" t="n"/>
      <c r="P29" s="298" t="n"/>
      <c r="Q29" s="298" t="n"/>
      <c r="R29" s="298" t="n"/>
      <c r="S29" s="298">
        <f>IFERROR((S27/$K$2)^(1/((DATE(2031-1,3,31)-$K$3)/365.25))-1,"")</f>
        <v>0.244557927317693</v>
      </c>
      <c r="T29" s="298">
        <f>IFERROR((T27/$K$2)^(1/((DATE(2032-1,3,31)-$K$3)/365.25))-1,"")</f>
        <v>0.221495333935051</v>
      </c>
      <c r="Z29" s="75" t="inlineStr">
        <is>
          <t>IRR (to ~31-Mar of Y-1)</t>
        </is>
      </c>
      <c r="AA29" s="298" t="n"/>
      <c r="AB29" s="298" t="n"/>
      <c r="AC29" s="298" t="n"/>
      <c r="AD29" s="298">
        <f>IFERROR((AD27/$K$2)^(1/((DATE(2030-1,3,31)-$K$3)/365.25))-1,"")</f>
        <v>-0.0821744079162874</v>
      </c>
      <c r="AE29" s="298">
        <f>IFERROR((AE27/$K$2)^(1/((DATE(2031-1,3,31)-$K$3)/365.25))-1,"")</f>
        <v>-0.0494419595798694</v>
      </c>
      <c r="AF29" s="298">
        <f>IFERROR((AF27/$K$2)^(1/((DATE(2032-1,3,31)-$K$3)/365.25))-1,"")</f>
        <v>-0.0319030715295747</v>
      </c>
    </row>
    <row r="31" ht="15" customHeight="1" s="251">
      <c r="B31" s="79" t="inlineStr">
        <is>
          <t>Free Cash Flow</t>
        </is>
      </c>
      <c r="C31" s="80">
        <f>Model!CF257</f>
        <v>380.254466098766</v>
      </c>
      <c r="D31" s="81">
        <f>Model!CG257</f>
        <v>476.877113391674</v>
      </c>
      <c r="E31" s="81">
        <f>Model!CH257</f>
        <v>526.417008863863</v>
      </c>
      <c r="F31" s="81">
        <f>Model!CI257</f>
        <v>605.981226791263</v>
      </c>
      <c r="G31" s="81">
        <f>Model!CJ257</f>
        <v>663.306009050054</v>
      </c>
      <c r="H31" s="81">
        <f>Model!CK257</f>
        <v>720.308291248679</v>
      </c>
      <c r="I31" s="293">
        <f>IFERROR((H31/C31)^(1/5)-1,"n/m")</f>
        <v>0.136289040828438</v>
      </c>
      <c r="N31" s="79" t="inlineStr">
        <is>
          <t>Free Cash Flow</t>
        </is>
      </c>
      <c r="O31" s="80" t="n">
        <v>382.097199943997</v>
      </c>
      <c r="P31" s="81" t="n">
        <v>500.934738655981</v>
      </c>
      <c r="Q31" s="81" t="n">
        <v>534.036707593303</v>
      </c>
      <c r="R31" s="81" t="n">
        <v>641.5551338069459</v>
      </c>
      <c r="S31" s="81" t="n">
        <v>728.2192440307761</v>
      </c>
      <c r="T31" s="81" t="n">
        <v>815.87445155895</v>
      </c>
      <c r="U31" s="293" t="n">
        <v>0.163830932396297</v>
      </c>
      <c r="Z31" s="79" t="inlineStr">
        <is>
          <t>Free Cash Flow</t>
        </is>
      </c>
      <c r="AA31" s="80" t="n">
        <v>378.498438648948</v>
      </c>
      <c r="AB31" s="81" t="n">
        <v>422.782354111212</v>
      </c>
      <c r="AC31" s="81" t="n">
        <v>489.34700280057</v>
      </c>
      <c r="AD31" s="81" t="n">
        <v>514.828437072484</v>
      </c>
      <c r="AE31" s="81" t="n">
        <v>517.842607158186</v>
      </c>
      <c r="AF31" s="81" t="n">
        <v>520.511893121417</v>
      </c>
      <c r="AG31" s="293" t="n">
        <v>0.0657941029536246</v>
      </c>
    </row>
    <row r="32" ht="15" customHeight="1" s="251">
      <c r="B32" s="83" t="inlineStr">
        <is>
          <t xml:space="preserve">   FCF %</t>
        </is>
      </c>
      <c r="C32" s="88">
        <f>IFERROR(C31/C9,"")</f>
        <v>0.176279096856033</v>
      </c>
      <c r="D32" s="89">
        <f>IFERROR(D31/D9,"")</f>
        <v>0.199967341717759</v>
      </c>
      <c r="E32" s="89">
        <f>IFERROR(E31/E9,"")</f>
        <v>0.197428241713933</v>
      </c>
      <c r="F32" s="89">
        <f>IFERROR(F31/F9,"")</f>
        <v>0.205465915661313</v>
      </c>
      <c r="G32" s="89">
        <f>IFERROR(G31/G9,"")</f>
        <v>0.204864259965628</v>
      </c>
      <c r="H32" s="89">
        <f>IFERROR(H31/H9,"")</f>
        <v>0.204484806549224</v>
      </c>
      <c r="J32" s="90">
        <f>IFERROR(AVERAGE(Model!C260,Model!D260,Model!E260,Model!F260,Model!G260,Model!H260,Model!I260,Model!N260,Model!S260,Model!X260,Model!AC260,Model!AH260,Model!AM260,Model!AR260,Model!AW260,Model!BB260,Model!BG260,Model!BL260,Model!BQ260,Model!BV260,Model!CA260),"")</f>
        <v>0.115321509464314</v>
      </c>
      <c r="K32" s="90">
        <f>IFERROR(MIN(Model!C260,Model!D260,Model!E260,Model!F260,Model!G260,Model!H260,Model!I260,Model!N260,Model!S260,Model!X260,Model!AC260,Model!AH260,Model!AM260,Model!AR260,Model!AW260,Model!BB260,Model!BG260,Model!BL260,Model!BQ260,Model!BV260,Model!CA260),"")</f>
        <v>0.0281881427707199</v>
      </c>
      <c r="L32" s="90">
        <f>IFERROR(MAX(Model!C260,Model!D260,Model!E260,Model!F260,Model!G260,Model!H260,Model!I260,Model!N260,Model!S260,Model!X260,Model!AC260,Model!AH260,Model!AM260,Model!AR260,Model!AW260,Model!BB260,Model!BG260,Model!BL260,Model!BQ260,Model!BV260,Model!CA260),"")</f>
        <v>0.231009353283502</v>
      </c>
      <c r="N32" s="83" t="inlineStr">
        <is>
          <t xml:space="preserve">   FCF %</t>
        </is>
      </c>
      <c r="O32" s="88" t="n">
        <v>0.175813372907277</v>
      </c>
      <c r="P32" s="89" t="n">
        <v>0.201544736022552</v>
      </c>
      <c r="Q32" s="89" t="n">
        <v>0.184480660584327</v>
      </c>
      <c r="R32" s="89" t="n">
        <v>0.193293433343964</v>
      </c>
      <c r="S32" s="89" t="n">
        <v>0.193521061889705</v>
      </c>
      <c r="T32" s="89" t="n">
        <v>0.193476742906591</v>
      </c>
      <c r="V32" s="90" t="n">
        <v>0.115321509464314</v>
      </c>
      <c r="W32" s="90" t="n">
        <v>0.0281881427707199</v>
      </c>
      <c r="X32" s="90" t="n">
        <v>0.231009353283502</v>
      </c>
      <c r="Z32" s="83" t="inlineStr">
        <is>
          <t xml:space="preserve">   FCF %</t>
        </is>
      </c>
      <c r="AA32" s="88" t="n">
        <v>0.176792366468178</v>
      </c>
      <c r="AB32" s="89" t="n">
        <v>0.1923156674924</v>
      </c>
      <c r="AC32" s="89" t="n">
        <v>0.218145520531273</v>
      </c>
      <c r="AD32" s="89" t="n">
        <v>0.226390535602697</v>
      </c>
      <c r="AE32" s="89" t="n">
        <v>0.225573679147937</v>
      </c>
      <c r="AF32" s="89" t="n">
        <v>0.226192097676767</v>
      </c>
      <c r="AH32" s="90" t="n">
        <v>0.115321509464314</v>
      </c>
      <c r="AI32" s="90" t="n">
        <v>0.0281881427707199</v>
      </c>
      <c r="AJ32" s="90" t="n">
        <v>0.231009353283502</v>
      </c>
    </row>
    <row r="33" ht="15" customHeight="1" s="251">
      <c r="B33" s="83" t="inlineStr">
        <is>
          <t xml:space="preserve">   FCF / share ($)</t>
        </is>
      </c>
      <c r="C33" s="99">
        <f>IFERROR(C31/C21,"")</f>
        <v>11.9785234636993</v>
      </c>
      <c r="D33" s="100">
        <f>IFERROR(D31/D21,"")</f>
        <v>15.170195881924</v>
      </c>
      <c r="E33" s="100">
        <f>IFERROR(E31/E21,"")</f>
        <v>17.1212213193539</v>
      </c>
      <c r="F33" s="100">
        <f>IFERROR(F31/F21,"")</f>
        <v>20.0523725282501</v>
      </c>
      <c r="G33" s="100">
        <f>IFERROR(G31/G21,"")</f>
        <v>22.3773393894991</v>
      </c>
      <c r="H33" s="100">
        <f>IFERROR(H31/H21,"")</f>
        <v>24.8018907791937</v>
      </c>
      <c r="N33" s="83" t="inlineStr">
        <is>
          <t xml:space="preserve">   FCF / share ($)</t>
        </is>
      </c>
      <c r="O33" s="99" t="n">
        <v>12.0365720405613</v>
      </c>
      <c r="P33" s="100" t="n">
        <v>16.1121195288404</v>
      </c>
      <c r="Q33" s="100" t="n">
        <v>17.7538992209107</v>
      </c>
      <c r="R33" s="100" t="n">
        <v>21.6975680238406</v>
      </c>
      <c r="S33" s="100" t="n">
        <v>25.1546426831339</v>
      </c>
      <c r="T33" s="100" t="n">
        <v>28.8670957212866</v>
      </c>
      <c r="Z33" s="83" t="inlineStr">
        <is>
          <t xml:space="preserve">   FCF / share ($)</t>
        </is>
      </c>
      <c r="AA33" s="99" t="n">
        <v>11.9232062540782</v>
      </c>
      <c r="AB33" s="100" t="n">
        <v>13.3424494403864</v>
      </c>
      <c r="AC33" s="100" t="n">
        <v>15.7113357492097</v>
      </c>
      <c r="AD33" s="100" t="n">
        <v>16.8993127531099</v>
      </c>
      <c r="AE33" s="100" t="n">
        <v>17.3613525626613</v>
      </c>
      <c r="AF33" s="100" t="n">
        <v>17.7955221194389</v>
      </c>
    </row>
    <row r="34" ht="15" customHeight="1" s="251">
      <c r="B34" s="83" t="inlineStr">
        <is>
          <t xml:space="preserve">   FCF Yield (on PT)</t>
        </is>
      </c>
      <c r="E34" s="101" t="n"/>
      <c r="F34" s="101">
        <f>IFERROR(F33/F$27,"")</f>
      </c>
      <c r="G34" s="101">
        <f>IFERROR(G33/G$27,"")</f>
        <v>0.0274927629566252</v>
      </c>
      <c r="H34" s="101">
        <f>IFERROR(H33/H$27,"")</f>
        <v>0.0274377605742278</v>
      </c>
      <c r="N34" s="83" t="inlineStr">
        <is>
          <t xml:space="preserve">   FCF Yield (on PT)</t>
        </is>
      </c>
      <c r="Q34" s="101" t="n"/>
      <c r="R34" s="101">
        <f>IFERROR(R33/R$27,"")</f>
      </c>
      <c r="S34" s="101">
        <f>IFERROR(S33/S$27,"")</f>
        <v>0.0231192854775839</v>
      </c>
      <c r="T34" s="101">
        <f>IFERROR(T33/T$27,"")</f>
        <v>0.0231772072844582</v>
      </c>
      <c r="Z34" s="83" t="inlineStr">
        <is>
          <t xml:space="preserve">   FCF Yield (on PT)</t>
        </is>
      </c>
      <c r="AC34" s="101" t="n"/>
      <c r="AD34" s="101">
        <f>IFERROR(AD33/AD$27,"")</f>
        <v>0.0409317461801197</v>
      </c>
      <c r="AE34" s="101">
        <f>IFERROR(AE33/AE$27,"")</f>
        <v>0.0405771692634566</v>
      </c>
      <c r="AF34" s="101">
        <f>IFERROR(AF33/AF$27,"")</f>
        <v>0.0403255682635976</v>
      </c>
    </row>
    <row r="35" ht="15" customHeight="1" s="251">
      <c r="B35" s="79" t="inlineStr">
        <is>
          <t>Adjusted EBITDA (leverage basis)</t>
        </is>
      </c>
      <c r="C35" s="80">
        <f>Model!CF179</f>
        <v>723.463021075993</v>
      </c>
      <c r="D35" s="81">
        <f>Model!CG179</f>
        <v>817.009114446059</v>
      </c>
      <c r="E35" s="81">
        <f>Model!CH179</f>
        <v>919.171644953639</v>
      </c>
      <c r="F35" s="81">
        <f>Model!CI179</f>
        <v>1023.61113383704</v>
      </c>
      <c r="G35" s="81">
        <f>Model!CJ179</f>
        <v>1123.38495461038</v>
      </c>
      <c r="H35" s="81">
        <f>Model!CK179</f>
        <v>1222.06801092962</v>
      </c>
      <c r="I35" s="293">
        <f>IFERROR((H35/C35)^(1/5)-1,"n/m")</f>
        <v>0.110544096218723</v>
      </c>
      <c r="N35" s="79" t="inlineStr">
        <is>
          <t>Adjusted EBITDA (leverage basis)</t>
        </is>
      </c>
      <c r="O35" s="80" t="n">
        <v>732.986767945879</v>
      </c>
      <c r="P35" s="81" t="n">
        <v>880.463336528849</v>
      </c>
      <c r="Q35" s="81" t="n">
        <v>1025.52062006585</v>
      </c>
      <c r="R35" s="81" t="n">
        <v>1178.30254326569</v>
      </c>
      <c r="S35" s="81" t="n">
        <v>1331.41057730965</v>
      </c>
      <c r="T35" s="81" t="n">
        <v>1488.33592228079</v>
      </c>
      <c r="U35" s="293" t="n">
        <v>0.152181680798534</v>
      </c>
      <c r="Z35" s="79" t="inlineStr">
        <is>
          <t>Adjusted EBITDA (leverage basis)</t>
        </is>
      </c>
      <c r="AA35" s="80" t="n">
        <v>714.020243003885</v>
      </c>
      <c r="AB35" s="81" t="n">
        <v>690.778510651195</v>
      </c>
      <c r="AC35" s="81" t="n">
        <v>716.974145331817</v>
      </c>
      <c r="AD35" s="81" t="n">
        <v>739.222907365782</v>
      </c>
      <c r="AE35" s="81" t="n">
        <v>752.107740419098</v>
      </c>
      <c r="AF35" s="81" t="n">
        <v>759.917370843956</v>
      </c>
      <c r="AG35" s="293" t="n">
        <v>0.0125376234411805</v>
      </c>
    </row>
    <row r="36" ht="15" customHeight="1" s="251">
      <c r="B36" s="83" t="inlineStr">
        <is>
          <t xml:space="preserve">   Adjusted EBITDA % of net sales</t>
        </is>
      </c>
      <c r="C36" s="88">
        <f>IFERROR(C35/C9,"")</f>
        <v>0.335384378972393</v>
      </c>
      <c r="D36" s="89">
        <f>IFERROR(D35/D9,"")</f>
        <v>0.342593796571598</v>
      </c>
      <c r="E36" s="89">
        <f>IFERROR(E35/E9,"")</f>
        <v>0.344727542311292</v>
      </c>
      <c r="F36" s="89">
        <f>IFERROR(F35/F9,"")</f>
        <v>0.34706883579314</v>
      </c>
      <c r="G36" s="89">
        <f>IFERROR(G35/G9,"")</f>
        <v>0.346961167610061</v>
      </c>
      <c r="H36" s="89">
        <f>IFERROR(H35/H9,"")</f>
        <v>0.34692692537488</v>
      </c>
      <c r="J36" s="90">
        <f>IFERROR(AVERAGE(Model!C227,Model!D227,Model!E227,Model!F227,Model!G227,Model!H227,Model!I227,Model!N227,Model!S227,Model!X227,Model!AC227,Model!AH227,Model!AM227,Model!AR227,Model!AW227,Model!BB227,Model!BG227,Model!BL227,Model!BQ227,Model!BV227,Model!CA227),"")</f>
        <v>0.261408039257842</v>
      </c>
      <c r="K36" s="90">
        <f>IFERROR(MIN(Model!C227,Model!D227,Model!E227,Model!F227,Model!G227,Model!H227,Model!I227,Model!N227,Model!S227,Model!X227,Model!AC227,Model!AH227,Model!AM227,Model!AR227,Model!AW227,Model!BB227,Model!BG227,Model!BL227,Model!BQ227,Model!BV227,Model!CA227),"")</f>
        <v>0.195608331937882</v>
      </c>
      <c r="L36" s="90">
        <f>IFERROR(MAX(Model!C227,Model!D227,Model!E227,Model!F227,Model!G227,Model!H227,Model!I227,Model!N227,Model!S227,Model!X227,Model!AC227,Model!AH227,Model!AM227,Model!AR227,Model!AW227,Model!BB227,Model!BG227,Model!BL227,Model!BQ227,Model!BV227,Model!CA227),"")</f>
        <v>0.323534127959805</v>
      </c>
      <c r="N36" s="83" t="inlineStr">
        <is>
          <t xml:space="preserve">   Adjusted EBITDA % of net sales</t>
        </is>
      </c>
      <c r="O36" s="88" t="n">
        <v>0.337267260759452</v>
      </c>
      <c r="P36" s="89" t="n">
        <v>0.354243251754413</v>
      </c>
      <c r="Q36" s="89" t="n">
        <v>0.354261642959333</v>
      </c>
      <c r="R36" s="89" t="n">
        <v>0.355009463885431</v>
      </c>
      <c r="S36" s="89" t="n">
        <v>0.353816506284555</v>
      </c>
      <c r="T36" s="89" t="n">
        <v>0.352944483116908</v>
      </c>
      <c r="V36" s="90" t="n">
        <v>0.261408039257842</v>
      </c>
      <c r="W36" s="90" t="n">
        <v>0.195608331937882</v>
      </c>
      <c r="X36" s="90" t="n">
        <v>0.323534127959805</v>
      </c>
      <c r="Z36" s="83" t="inlineStr">
        <is>
          <t xml:space="preserve">   Adjusted EBITDA % of net sales</t>
        </is>
      </c>
      <c r="AA36" s="88" t="n">
        <v>0.3335108301039</v>
      </c>
      <c r="AB36" s="89" t="n">
        <v>0.314222031911827</v>
      </c>
      <c r="AC36" s="89" t="n">
        <v>0.319619201192115</v>
      </c>
      <c r="AD36" s="89" t="n">
        <v>0.325065707092556</v>
      </c>
      <c r="AE36" s="89" t="n">
        <v>0.327620222393467</v>
      </c>
      <c r="AF36" s="89" t="n">
        <v>0.330227428890108</v>
      </c>
      <c r="AH36" s="90" t="n">
        <v>0.261408039257842</v>
      </c>
      <c r="AI36" s="90" t="n">
        <v>0.195608331937882</v>
      </c>
      <c r="AJ36" s="90" t="n">
        <v>0.323534127959805</v>
      </c>
    </row>
    <row r="38" ht="15" customHeight="1" s="251">
      <c r="B38" s="79" t="inlineStr">
        <is>
          <t>Net Debt</t>
        </is>
      </c>
      <c r="C38" s="80">
        <f>Model!CF387</f>
        <v>470.545533901234</v>
      </c>
      <c r="D38" s="81">
        <f>Model!CG387</f>
        <v>817.009114446059</v>
      </c>
      <c r="E38" s="81">
        <f>Model!CH387</f>
        <v>919.171644953639</v>
      </c>
      <c r="F38" s="81">
        <f>Model!CI387</f>
        <v>1023.61113383704</v>
      </c>
      <c r="G38" s="81">
        <f>Model!CJ387</f>
        <v>1123.38495461038</v>
      </c>
      <c r="H38" s="81">
        <f>Model!CK387</f>
        <v>1222.06801092962</v>
      </c>
      <c r="N38" s="79" t="inlineStr">
        <is>
          <t>Net Debt</t>
        </is>
      </c>
      <c r="O38" s="80" t="n">
        <v>468.702800056003</v>
      </c>
      <c r="P38" s="81" t="n">
        <v>1320.69500479327</v>
      </c>
      <c r="Q38" s="81" t="n">
        <v>1538.28093009877</v>
      </c>
      <c r="R38" s="81" t="n">
        <v>1767.45381489853</v>
      </c>
      <c r="S38" s="81" t="n">
        <v>1997.11586596448</v>
      </c>
      <c r="T38" s="81" t="n">
        <v>2232.50388342119</v>
      </c>
      <c r="Z38" s="79" t="inlineStr">
        <is>
          <t>Net Debt</t>
        </is>
      </c>
      <c r="AA38" s="80" t="n">
        <v>472.301561351052</v>
      </c>
      <c r="AB38" s="81" t="n">
        <v>345.389255325597</v>
      </c>
      <c r="AC38" s="81" t="n">
        <v>358.487072665908</v>
      </c>
      <c r="AD38" s="81" t="n">
        <v>369.611453682891</v>
      </c>
      <c r="AE38" s="81" t="n">
        <v>376.053870209549</v>
      </c>
      <c r="AF38" s="81" t="n">
        <v>379.958685421978</v>
      </c>
    </row>
    <row r="39" ht="15" customHeight="1" s="251">
      <c r="B39" s="83" t="inlineStr">
        <is>
          <t xml:space="preserve">   Net Debt / Adjusted EBITDA (x)</t>
        </is>
      </c>
      <c r="C39" s="102">
        <f>IFERROR(C38/C35,"")</f>
        <v>0.650407166908684</v>
      </c>
      <c r="D39" s="103">
        <f>IFERROR(D38/D35,"")</f>
        <v>1</v>
      </c>
      <c r="E39" s="103">
        <f>IFERROR(E38/E35,"")</f>
        <v>1</v>
      </c>
      <c r="F39" s="103">
        <f>IFERROR(F38/F35,"")</f>
        <v>1</v>
      </c>
      <c r="G39" s="103">
        <f>IFERROR(G38/G35,"")</f>
        <v>1</v>
      </c>
      <c r="H39" s="103">
        <f>IFERROR(H38/H35,"")</f>
        <v>1</v>
      </c>
      <c r="N39" s="83" t="inlineStr">
        <is>
          <t xml:space="preserve">   Net Debt / Adjusted EBITDA (x)</t>
        </is>
      </c>
      <c r="O39" s="102" t="n">
        <v>0.639442375432636</v>
      </c>
      <c r="P39" s="103" t="n">
        <v>1.5</v>
      </c>
      <c r="Q39" s="103" t="n">
        <v>1.5</v>
      </c>
      <c r="R39" s="103" t="n">
        <v>1.5</v>
      </c>
      <c r="S39" s="103" t="n">
        <v>1.5</v>
      </c>
      <c r="T39" s="103" t="n">
        <v>1.5</v>
      </c>
      <c r="Z39" s="83" t="inlineStr">
        <is>
          <t xml:space="preserve">   Net Debt / Adjusted EBITDA (x)</t>
        </is>
      </c>
      <c r="AA39" s="102" t="n">
        <v>0.661468026962483</v>
      </c>
      <c r="AB39" s="103" t="n">
        <v>0.5</v>
      </c>
      <c r="AC39" s="103" t="n">
        <v>0.5</v>
      </c>
      <c r="AD39" s="103" t="n">
        <v>0.5</v>
      </c>
      <c r="AE39" s="103" t="n">
        <v>0.5</v>
      </c>
      <c r="AF39" s="103" t="n">
        <v>0.5</v>
      </c>
    </row>
    <row r="40" ht="15" customHeight="1" s="251">
      <c r="B40" s="252" t="inlineStr">
        <is>
          <t xml:space="preserve">   Share repurchases ($m; open market, ex withholding)</t>
        </is>
      </c>
      <c r="C40" s="102" t="n"/>
      <c r="D40" s="248">
        <f>Model!CG270</f>
        <v>573.340693936499</v>
      </c>
      <c r="E40" s="248">
        <f>Model!CH270</f>
        <v>378.579539371443</v>
      </c>
      <c r="F40" s="248">
        <f>Model!CI270</f>
        <v>460.420715674665</v>
      </c>
      <c r="G40" s="248">
        <f>Model!CJ270</f>
        <v>513.079829823395</v>
      </c>
      <c r="H40" s="248">
        <f>Model!CK270</f>
        <v>568.991347567914</v>
      </c>
      <c r="N40" s="252" t="inlineStr">
        <is>
          <t xml:space="preserve">   Share repurchases ($m; open market, ex withholding)</t>
        </is>
      </c>
      <c r="O40" s="102" t="n"/>
      <c r="P40" s="248" t="n">
        <v>952.926943393251</v>
      </c>
      <c r="Q40" s="248" t="n">
        <v>351.622632898803</v>
      </c>
      <c r="R40" s="248" t="n">
        <v>470.728018606702</v>
      </c>
      <c r="S40" s="248" t="n">
        <v>557.881295096728</v>
      </c>
      <c r="T40" s="248" t="n">
        <v>651.262469015659</v>
      </c>
      <c r="Z40" s="83" t="n"/>
      <c r="AA40" s="102" t="n"/>
      <c r="AB40" s="103" t="n">
        <v>295.870048085757</v>
      </c>
      <c r="AC40" s="103" t="n">
        <v>502.444820140881</v>
      </c>
      <c r="AD40" s="103" t="n">
        <v>525.952818089467</v>
      </c>
      <c r="AE40" s="103" t="n">
        <v>524.285023684844</v>
      </c>
      <c r="AF40" s="103" t="n">
        <v>524.416708333846</v>
      </c>
    </row>
    <row r="41" ht="15" customHeight="1" s="251">
      <c r="B41" s="252" t="inlineStr">
        <is>
          <t xml:space="preserve">   Implied avg buyback price ($)</t>
        </is>
      </c>
      <c r="C41" s="102" t="n"/>
      <c r="D41" s="249">
        <f>Model!CG269</f>
        <v>550.8</v>
      </c>
      <c r="E41" s="249">
        <f>Model!CH269</f>
        <v>594.864</v>
      </c>
      <c r="F41" s="249">
        <f>Model!CI269</f>
        <v>642.45312</v>
      </c>
      <c r="G41" s="249">
        <f>Model!CJ269</f>
        <v>693.8493696</v>
      </c>
      <c r="H41" s="249">
        <f>Model!CK269</f>
        <v>749.357319168</v>
      </c>
      <c r="N41" s="252" t="inlineStr">
        <is>
          <t xml:space="preserve">   Implied avg buyback price ($)</t>
        </is>
      </c>
      <c r="O41" s="102" t="n"/>
      <c r="P41" s="249" t="n">
        <v>550.8</v>
      </c>
      <c r="Q41" s="249" t="n">
        <v>594.864</v>
      </c>
      <c r="R41" s="249" t="n">
        <v>642.45312</v>
      </c>
      <c r="S41" s="249" t="n">
        <v>693.8493696</v>
      </c>
      <c r="T41" s="249" t="n">
        <v>749.357319168</v>
      </c>
      <c r="Z41" s="83" t="n"/>
      <c r="AA41" s="102" t="n"/>
      <c r="AB41" s="103" t="n">
        <v>550.8</v>
      </c>
      <c r="AC41" s="103" t="n">
        <v>594.864</v>
      </c>
      <c r="AD41" s="103" t="n">
        <v>642.45312</v>
      </c>
      <c r="AE41" s="103" t="n">
        <v>693.8493696</v>
      </c>
      <c r="AF41" s="103" t="n">
        <v>749.357319168</v>
      </c>
    </row>
    <row r="42" ht="15" customHeight="1" s="251">
      <c r="B42" s="252" t="inlineStr">
        <is>
          <t xml:space="preserve">   Shares repurchased (m)</t>
        </is>
      </c>
      <c r="C42" s="102" t="n"/>
      <c r="D42" s="250">
        <f>Model!CG271</f>
        <v>1.04092355471405</v>
      </c>
      <c r="E42" s="250">
        <f>Model!CH271</f>
        <v>0.636413599362951</v>
      </c>
      <c r="F42" s="250">
        <f>Model!CI271</f>
        <v>0.716660408894371</v>
      </c>
      <c r="G42" s="250">
        <f>Model!CJ271</f>
        <v>0.739468611348861</v>
      </c>
      <c r="H42" s="250">
        <f>Model!CK271</f>
        <v>0.759305785122185</v>
      </c>
      <c r="N42" s="252" t="inlineStr">
        <is>
          <t xml:space="preserve">   Shares repurchased (m)</t>
        </is>
      </c>
      <c r="O42" s="102" t="n"/>
      <c r="P42" s="250" t="n">
        <v>1.73007796549247</v>
      </c>
      <c r="Q42" s="250" t="n">
        <v>0.591097516236993</v>
      </c>
      <c r="R42" s="250" t="n">
        <v>0.732704074355965</v>
      </c>
      <c r="S42" s="250" t="n">
        <v>0.80403805139773</v>
      </c>
      <c r="T42" s="250" t="n">
        <v>0.86909469268779</v>
      </c>
      <c r="Z42" s="83" t="n"/>
      <c r="AA42" s="102" t="n"/>
      <c r="AB42" s="103" t="n">
        <v>0.5371642122108879</v>
      </c>
      <c r="AC42" s="103" t="n">
        <v>0.8446381360124</v>
      </c>
      <c r="AD42" s="103" t="n">
        <v>0.818663341676147</v>
      </c>
      <c r="AE42" s="103" t="n">
        <v>0.755617928985208</v>
      </c>
      <c r="AF42" s="103" t="n">
        <v>0.699821960658365</v>
      </c>
    </row>
    <row r="44" ht="15" customHeight="1" s="251">
      <c r="B44" s="79" t="inlineStr">
        <is>
          <t>ROIC</t>
        </is>
      </c>
      <c r="C44" s="86">
        <f>Model!CF370</f>
        <v>0.102721635314975</v>
      </c>
      <c r="D44" s="87">
        <f>Model!CG370</f>
        <v>0.107420025004117</v>
      </c>
      <c r="E44" s="87">
        <f>Model!CH370</f>
        <v>0.114712485314958</v>
      </c>
      <c r="F44" s="87">
        <f>Model!CI370</f>
        <v>0.122286572685754</v>
      </c>
      <c r="G44" s="87">
        <f>Model!CJ370</f>
        <v>0.127976116666741</v>
      </c>
      <c r="H44" s="87">
        <f>Model!CK370</f>
        <v>0.132407871161169</v>
      </c>
      <c r="J44" s="90">
        <f>IFERROR(AVERAGE(Model!C370,Model!D370,Model!E370,Model!F370,Model!G370,Model!H370,Model!I370,Model!N370,Model!S370,Model!X370,Model!AC370,Model!AH370,Model!AM370,Model!AR370,Model!AW370,Model!BB370,Model!BG370,Model!BL370,Model!BQ370,Model!BV370,Model!CA370),"")</f>
        <v>0.112631107307756</v>
      </c>
      <c r="K44" s="90">
        <f>IFERROR(MIN(Model!C370,Model!D370,Model!E370,Model!F370,Model!G370,Model!H370,Model!I370,Model!N370,Model!S370,Model!X370,Model!AC370,Model!AH370,Model!AM370,Model!AR370,Model!AW370,Model!BB370,Model!BG370,Model!BL370,Model!BQ370,Model!BV370,Model!CA370),"")</f>
        <v>0.039948322216864</v>
      </c>
      <c r="L44" s="90">
        <f>IFERROR(MAX(Model!C370,Model!D370,Model!E370,Model!F370,Model!G370,Model!H370,Model!I370,Model!N370,Model!S370,Model!X370,Model!AC370,Model!AH370,Model!AM370,Model!AR370,Model!AW370,Model!BB370,Model!BG370,Model!BL370,Model!BQ370,Model!BV370,Model!CA370),"")</f>
        <v>0.168544842425483</v>
      </c>
      <c r="N44" s="79" t="inlineStr">
        <is>
          <t>ROIC</t>
        </is>
      </c>
      <c r="O44" s="86" t="n">
        <v>0.104220777690478</v>
      </c>
      <c r="P44" s="87" t="n">
        <v>0.112758619084388</v>
      </c>
      <c r="Q44" s="87" t="n">
        <v>0.119900580208403</v>
      </c>
      <c r="R44" s="87" t="n">
        <v>0.12751922911291</v>
      </c>
      <c r="S44" s="87" t="n">
        <v>0.133531920382397</v>
      </c>
      <c r="T44" s="87" t="n">
        <v>0.13852950996958</v>
      </c>
      <c r="V44" s="90" t="n">
        <v>0.112631107307756</v>
      </c>
      <c r="W44" s="90" t="n">
        <v>0.039948322216864</v>
      </c>
      <c r="X44" s="90" t="n">
        <v>0.168544842425483</v>
      </c>
      <c r="Z44" s="79" t="inlineStr">
        <is>
          <t>ROIC</t>
        </is>
      </c>
      <c r="AA44" s="86" t="n">
        <v>0.101234211806277</v>
      </c>
      <c r="AB44" s="87" t="n">
        <v>0.0939143862206086</v>
      </c>
      <c r="AC44" s="87" t="n">
        <v>0.0999958715719534</v>
      </c>
      <c r="AD44" s="87" t="n">
        <v>0.106366431434635</v>
      </c>
      <c r="AE44" s="87" t="n">
        <v>0.110658617142976</v>
      </c>
      <c r="AF44" s="87" t="n">
        <v>0.113476711726939</v>
      </c>
      <c r="AH44" s="90" t="n">
        <v>0.112631107307756</v>
      </c>
      <c r="AI44" s="90" t="n">
        <v>0.039948322216864</v>
      </c>
      <c r="AJ44" s="90" t="n">
        <v>0.168544842425483</v>
      </c>
    </row>
    <row r="45" ht="15" customHeight="1" s="251">
      <c r="B45" s="79" t="inlineStr">
        <is>
          <t>RONTA</t>
        </is>
      </c>
      <c r="C45" s="86">
        <f>Model!CF381</f>
        <v>0.285614184920746</v>
      </c>
      <c r="D45" s="87">
        <f>Model!CG381</f>
        <v>0.292561223720219</v>
      </c>
      <c r="E45" s="87">
        <f>Model!CH381</f>
        <v>0.30524079843151</v>
      </c>
      <c r="F45" s="87">
        <f>Model!CI381</f>
        <v>0.319698234203994</v>
      </c>
      <c r="G45" s="87">
        <f>Model!CJ381</f>
        <v>0.328225996508457</v>
      </c>
      <c r="H45" s="87">
        <f>Model!CK381</f>
        <v>0.332362438985928</v>
      </c>
      <c r="J45" s="90">
        <f>IFERROR(AVERAGE(Model!C381,Model!D381,Model!E381,Model!F381,Model!G381,Model!H381,Model!I381,Model!N381,Model!S381,Model!X381,Model!AC381,Model!AH381,Model!AM381,Model!AR381,Model!AW381,Model!BB381,Model!BG381,Model!BL381,Model!BQ381,Model!BV381,Model!CA381),"")</f>
        <v>0.159269974059667</v>
      </c>
      <c r="K45" s="90">
        <f>IFERROR(MIN(Model!C381,Model!D381,Model!E381,Model!F381,Model!G381,Model!H381,Model!I381,Model!N381,Model!S381,Model!X381,Model!AC381,Model!AH381,Model!AM381,Model!AR381,Model!AW381,Model!BB381,Model!BG381,Model!BL381,Model!BQ381,Model!BV381,Model!CA381),"")</f>
        <v>0.0814841835918785</v>
      </c>
      <c r="L45" s="90">
        <f>IFERROR(MAX(Model!C381,Model!D381,Model!E381,Model!F381,Model!G381,Model!H381,Model!I381,Model!N381,Model!S381,Model!X381,Model!AC381,Model!AH381,Model!AM381,Model!AR381,Model!AW381,Model!BB381,Model!BG381,Model!BL381,Model!BQ381,Model!BV381,Model!CA381),"")</f>
        <v>0.252423120788872</v>
      </c>
      <c r="N45" s="79" t="inlineStr">
        <is>
          <t>RONTA</t>
        </is>
      </c>
      <c r="O45" s="86" t="n">
        <v>0.289148258102731</v>
      </c>
      <c r="P45" s="87" t="n">
        <v>0.310594530213317</v>
      </c>
      <c r="Q45" s="87" t="n">
        <v>0.323277937683948</v>
      </c>
      <c r="R45" s="87" t="n">
        <v>0.338072830633073</v>
      </c>
      <c r="S45" s="87" t="n">
        <v>0.347225864838055</v>
      </c>
      <c r="T45" s="87" t="n">
        <v>0.35214836925867</v>
      </c>
      <c r="V45" s="90" t="n">
        <v>0.159269974059667</v>
      </c>
      <c r="W45" s="90" t="n">
        <v>0.08148418359187851</v>
      </c>
      <c r="X45" s="90" t="n">
        <v>0.252423120788872</v>
      </c>
      <c r="Z45" s="79" t="inlineStr">
        <is>
          <t>RONTA</t>
        </is>
      </c>
      <c r="AA45" s="86" t="n">
        <v>0.282101600368009</v>
      </c>
      <c r="AB45" s="87" t="n">
        <v>0.236985159471202</v>
      </c>
      <c r="AC45" s="87" t="n">
        <v>0.248111624408188</v>
      </c>
      <c r="AD45" s="87" t="n">
        <v>0.260621822363411</v>
      </c>
      <c r="AE45" s="87" t="n">
        <v>0.266845624757507</v>
      </c>
      <c r="AF45" s="87" t="n">
        <v>0.268576114961237</v>
      </c>
      <c r="AH45" s="90" t="n">
        <v>0.159269974059667</v>
      </c>
      <c r="AI45" s="90" t="n">
        <v>0.08148418359187851</v>
      </c>
      <c r="AJ45" s="90" t="n">
        <v>0.252423120788872</v>
      </c>
    </row>
    <row r="47" ht="15" customHeight="1" s="251">
      <c r="B47" s="83" t="inlineStr">
        <is>
          <t>Implied Market Cap (USDm)</t>
        </is>
      </c>
      <c r="E47" s="104" t="n"/>
      <c r="F47" s="104">
        <f>F27*F21</f>
        <v>0</v>
      </c>
      <c r="G47" s="104">
        <f>G27*G21</f>
        <v>24126.5677842762</v>
      </c>
      <c r="H47" s="104">
        <f>H27*H21</f>
        <v>26252.4446665397</v>
      </c>
      <c r="N47" s="83" t="inlineStr">
        <is>
          <t>Implied Market Cap (USDm)</t>
        </is>
      </c>
      <c r="Q47" s="104" t="n"/>
      <c r="R47" s="104">
        <f>R27*R21</f>
        <v>0</v>
      </c>
      <c r="S47" s="104">
        <f>S27*S21</f>
        <v>31498.3456014176</v>
      </c>
      <c r="T47" s="104">
        <f>T27*T21</f>
        <v>35201.5858315271</v>
      </c>
      <c r="Z47" s="83" t="inlineStr">
        <is>
          <t>Implied Market Cap (USDm)</t>
        </is>
      </c>
      <c r="AC47" s="104" t="n"/>
      <c r="AD47" s="104">
        <f>AD27*AD21</f>
        <v>12577.729638188</v>
      </c>
      <c r="AE47" s="104">
        <f>AE27*AE21</f>
        <v>12761.9204729629</v>
      </c>
      <c r="AF47" s="104">
        <f>AF27*AF21</f>
        <v>12907.7385771471</v>
      </c>
    </row>
    <row r="48" ht="15" customHeight="1" s="251">
      <c r="B48" s="83" t="inlineStr">
        <is>
          <t>(+) Net Debt &amp; NCI</t>
        </is>
      </c>
      <c r="E48" s="104" t="n"/>
      <c r="F48" s="104">
        <f>F38+Model!CI397</f>
        <v>1023.61113383704</v>
      </c>
      <c r="G48" s="104">
        <f>G38+Model!CJ397</f>
        <v>1123.38495461038</v>
      </c>
      <c r="H48" s="104">
        <f>H38+Model!CK397</f>
        <v>1222.06801092962</v>
      </c>
      <c r="N48" s="83" t="inlineStr">
        <is>
          <t>(+) Net Debt &amp; NCI</t>
        </is>
      </c>
      <c r="Q48" s="104" t="n"/>
      <c r="R48" s="104">
        <f>R38+Model!CI397</f>
        <v>1767.45381489853</v>
      </c>
      <c r="S48" s="104">
        <f>S38+Model!CJ397</f>
        <v>1997.11586596448</v>
      </c>
      <c r="T48" s="104">
        <f>T38+Model!CK397</f>
        <v>2232.50388342119</v>
      </c>
      <c r="Z48" s="83" t="inlineStr">
        <is>
          <t>(+) Net Debt &amp; NCI</t>
        </is>
      </c>
      <c r="AC48" s="104" t="n"/>
      <c r="AD48" s="104">
        <f>AD38+Model!CI397</f>
        <v>369.611453682891</v>
      </c>
      <c r="AE48" s="104">
        <f>AE38+Model!CJ397</f>
        <v>376.053870209549</v>
      </c>
      <c r="AF48" s="104">
        <f>AF38+Model!CK397</f>
        <v>379.958685421978</v>
      </c>
    </row>
    <row r="49" ht="15" customHeight="1" s="251">
      <c r="B49" s="83" t="inlineStr">
        <is>
          <t>Implied Enterprise Value (USDm)</t>
        </is>
      </c>
      <c r="E49" s="104" t="n"/>
      <c r="F49" s="104">
        <f>F47+F48</f>
        <v>1023.61113383704</v>
      </c>
      <c r="G49" s="104">
        <f>G47+G48</f>
        <v>25249.9527388865</v>
      </c>
      <c r="H49" s="104">
        <f>H47+H48</f>
        <v>27474.5126774693</v>
      </c>
      <c r="N49" s="83" t="inlineStr">
        <is>
          <t>Implied Enterprise Value (USDm)</t>
        </is>
      </c>
      <c r="Q49" s="104" t="n"/>
      <c r="R49" s="104">
        <f>R47+R48</f>
        <v>1767.45381489853</v>
      </c>
      <c r="S49" s="104">
        <f>S47+S48</f>
        <v>33495.4614673821</v>
      </c>
      <c r="T49" s="104">
        <f>T47+T48</f>
        <v>37434.0897149483</v>
      </c>
      <c r="Z49" s="83" t="inlineStr">
        <is>
          <t>Implied Enterprise Value (USDm)</t>
        </is>
      </c>
      <c r="AC49" s="104" t="n"/>
      <c r="AD49" s="104">
        <f>AD47+AD48</f>
        <v>12947.3410918709</v>
      </c>
      <c r="AE49" s="104">
        <f>AE47+AE48</f>
        <v>13137.9743431725</v>
      </c>
      <c r="AF49" s="104">
        <f>AF47+AF48</f>
        <v>13287.6972625691</v>
      </c>
    </row>
    <row r="50" ht="15" customHeight="1" s="251">
      <c r="B50" s="83" t="inlineStr">
        <is>
          <t>Implied EV / Adjusted EBITDA (x)</t>
        </is>
      </c>
      <c r="E50" s="105" t="n"/>
      <c r="F50" s="105">
        <f>IFERROR(F49/F35,"")</f>
        <v>1</v>
      </c>
      <c r="G50" s="105">
        <f>IFERROR(G49/G35,"")</f>
        <v>22.47666984969</v>
      </c>
      <c r="H50" s="105">
        <f>IFERROR(H49/H35,"")</f>
        <v>22.4819833526038</v>
      </c>
      <c r="N50" s="83" t="inlineStr">
        <is>
          <t>Implied EV / Adjusted EBITDA (x)</t>
        </is>
      </c>
      <c r="Q50" s="105" t="n"/>
      <c r="R50" s="105">
        <f>IFERROR(R49/R35,"")</f>
        <v>1.5</v>
      </c>
      <c r="S50" s="105">
        <f>IFERROR(S49/S35,"")</f>
        <v>25.1578754429498</v>
      </c>
      <c r="T50" s="105">
        <f>IFERROR(T49/T35,"")</f>
        <v>25.1516402678655</v>
      </c>
      <c r="Z50" s="83" t="inlineStr">
        <is>
          <t>Implied EV / Adjusted EBITDA (x)</t>
        </is>
      </c>
      <c r="AC50" s="105" t="n"/>
      <c r="AD50" s="105">
        <f>IFERROR(AD49/AD35,"")</f>
        <v>17.5147996130271</v>
      </c>
      <c r="AE50" s="105">
        <f>IFERROR(AE49/AE35,"")</f>
        <v>17.4682078605541</v>
      </c>
      <c r="AF50" s="105">
        <f>IFERROR(AF49/AF35,"")</f>
        <v>17.4857132793424</v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0"/>
  <sheetViews>
    <sheetView showGridLines="0" zoomScale="50" zoomScaleNormal="50" workbookViewId="0">
      <selection activeCell="D61" sqref="D61"/>
    </sheetView>
  </sheetViews>
  <sheetFormatPr baseColWidth="8" defaultColWidth="8.5703125" defaultRowHeight="15"/>
  <cols>
    <col width="3.42578125" customWidth="1" style="251" min="1" max="1"/>
    <col width="55.28515625" customWidth="1" style="251" min="2" max="2"/>
    <col width="12.5703125" customWidth="1" style="251" min="3" max="14"/>
    <col width="2.28515625" customWidth="1" style="251" min="15" max="15"/>
    <col width="14.85546875" customWidth="1" style="251" min="16" max="17"/>
  </cols>
  <sheetData>
    <row r="1">
      <c r="A1" s="192" t="n"/>
      <c r="B1" s="192" t="n"/>
      <c r="C1" s="192" t="n"/>
      <c r="D1" s="192" t="n"/>
      <c r="E1" s="192" t="n"/>
      <c r="F1" s="192" t="n"/>
      <c r="G1" s="192" t="n"/>
      <c r="H1" s="192" t="n"/>
      <c r="I1" s="192" t="n"/>
      <c r="J1" s="192" t="n"/>
      <c r="K1" s="192" t="n"/>
      <c r="L1" s="192" t="n"/>
      <c r="M1" s="192" t="n"/>
      <c r="N1" s="192" t="n"/>
      <c r="O1" s="192" t="n"/>
      <c r="P1" s="192" t="n"/>
      <c r="Q1" s="192" t="n"/>
    </row>
    <row r="2" ht="24" customHeight="1" s="251">
      <c r="A2" s="192" t="n"/>
      <c r="B2" s="193" t="inlineStr">
        <is>
          <t>DCF VALUATION — RBC BEARINGS INCORPORATED (RBC)</t>
        </is>
      </c>
      <c r="C2" s="194" t="n"/>
      <c r="D2" s="194" t="n"/>
      <c r="E2" s="194" t="n"/>
      <c r="F2" s="194" t="n"/>
      <c r="G2" s="194" t="n"/>
      <c r="H2" s="194" t="n"/>
      <c r="I2" s="194" t="n"/>
      <c r="J2" s="194" t="n"/>
      <c r="K2" s="194" t="n"/>
      <c r="L2" s="194" t="n"/>
      <c r="M2" s="194" t="n"/>
      <c r="N2" s="194" t="n"/>
      <c r="O2" s="192" t="n"/>
      <c r="P2" s="192" t="n"/>
      <c r="Q2" s="192" t="n"/>
    </row>
    <row r="3" ht="15" customHeight="1" s="251">
      <c r="A3" s="192" t="n"/>
      <c r="B3" s="192" t="n"/>
      <c r="C3" s="192" t="n"/>
      <c r="D3" s="192" t="n"/>
      <c r="E3" s="192" t="n"/>
      <c r="F3" s="192" t="n"/>
      <c r="G3" s="192" t="n"/>
      <c r="H3" s="192" t="n"/>
      <c r="I3" s="192" t="n"/>
      <c r="J3" s="192" t="n"/>
      <c r="K3" s="192" t="n"/>
      <c r="L3" s="192" t="n"/>
      <c r="M3" s="192" t="n"/>
      <c r="N3" s="192" t="n"/>
      <c r="O3" s="192" t="n"/>
      <c r="P3" s="192" t="n"/>
      <c r="Q3" s="192" t="n"/>
    </row>
    <row r="4" ht="15.75" customHeight="1" s="251">
      <c r="A4" s="192" t="n"/>
      <c r="B4" s="195" t="inlineStr">
        <is>
          <t>1. WACC BUILD</t>
        </is>
      </c>
      <c r="C4" s="196" t="n"/>
      <c r="D4" s="196" t="n"/>
      <c r="E4" s="196" t="n"/>
      <c r="F4" s="196" t="n"/>
      <c r="G4" s="196" t="n"/>
      <c r="H4" s="196" t="n"/>
      <c r="I4" s="196" t="n"/>
      <c r="J4" s="196" t="n"/>
      <c r="K4" s="196" t="n"/>
      <c r="L4" s="196" t="n"/>
      <c r="M4" s="196" t="n"/>
      <c r="N4" s="196" t="n"/>
      <c r="O4" s="192" t="n"/>
      <c r="P4" s="192" t="n"/>
      <c r="Q4" s="192" t="n"/>
    </row>
    <row r="5" ht="15.75" customHeight="1" s="251">
      <c r="A5" s="192" t="n"/>
      <c r="B5" s="197" t="inlineStr">
        <is>
          <t>Risk-free rate (US 10Y govt)</t>
        </is>
      </c>
      <c r="C5" s="169" t="n">
        <v>0.0425</v>
      </c>
      <c r="D5" s="198" t="inlineStr">
        <is>
          <t>Assumption (~US 10Y Treasury yield, Oct-2026; government rate sources are not reachable from the build environment); update to market</t>
        </is>
      </c>
      <c r="E5" s="192" t="n"/>
      <c r="F5" s="192" t="n"/>
      <c r="G5" s="192" t="n"/>
      <c r="H5" s="192" t="n"/>
      <c r="I5" s="192" t="n"/>
      <c r="J5" s="192" t="n"/>
      <c r="K5" s="192" t="n"/>
      <c r="L5" s="192" t="n"/>
      <c r="M5" s="192" t="n"/>
      <c r="N5" s="192" t="n"/>
      <c r="O5" s="192" t="n"/>
      <c r="P5" s="192" t="n"/>
      <c r="Q5" s="192" t="n"/>
    </row>
    <row r="6" ht="15.75" customHeight="1" s="251">
      <c r="A6" s="192" t="n"/>
      <c r="B6" s="197" t="inlineStr">
        <is>
          <t>Equity risk premium</t>
        </is>
      </c>
      <c r="C6" s="169" t="n">
        <v>0.05</v>
      </c>
      <c r="D6" s="198" t="inlineStr">
        <is>
          <t>Assumption: US implied ERP ~4.5–5.5%</t>
        </is>
      </c>
      <c r="E6" s="192" t="n"/>
      <c r="F6" s="192" t="n"/>
      <c r="G6" s="192" t="n"/>
      <c r="H6" s="192" t="n"/>
      <c r="I6" s="192" t="n"/>
      <c r="J6" s="192" t="n"/>
      <c r="K6" s="192" t="n"/>
      <c r="L6" s="192" t="n"/>
      <c r="M6" s="192" t="n"/>
      <c r="N6" s="192" t="n"/>
      <c r="O6" s="192" t="n"/>
      <c r="P6" s="192" t="n"/>
      <c r="Q6" s="192" t="n"/>
    </row>
    <row r="7" ht="15.75" customHeight="1" s="251">
      <c r="A7" s="192" t="n"/>
      <c r="B7" s="197" t="inlineStr">
        <is>
          <t>Levered beta</t>
        </is>
      </c>
      <c r="C7" s="170" t="n">
        <v>1.05</v>
      </c>
      <c r="D7" s="198" t="inlineStr">
        <is>
          <t>Assumption: precision-components / aerospace peers (TDG, HEI, CW, TKR, KMT) ~0.9–1.3; ~58% of sales Industrial (cyclical: mining, construction, oil &amp; gas)</t>
        </is>
      </c>
      <c r="E7" s="192" t="n"/>
      <c r="F7" s="192" t="n"/>
      <c r="G7" s="192" t="n"/>
      <c r="H7" s="192" t="n"/>
      <c r="I7" s="192" t="n"/>
      <c r="J7" s="192" t="n"/>
      <c r="K7" s="192" t="n"/>
      <c r="L7" s="192" t="n"/>
      <c r="M7" s="192" t="n"/>
      <c r="N7" s="192" t="n"/>
      <c r="O7" s="192" t="n"/>
      <c r="P7" s="192" t="n"/>
      <c r="Q7" s="192" t="n"/>
    </row>
    <row r="8" ht="15.75" customHeight="1" s="251">
      <c r="A8" s="192" t="n"/>
      <c r="B8" s="197" t="inlineStr">
        <is>
          <t>Cost of equity</t>
        </is>
      </c>
      <c r="C8" s="171">
        <f>C5+C7*C6</f>
        <v>0.095</v>
      </c>
      <c r="D8" s="198" t="n"/>
      <c r="E8" s="192" t="n"/>
      <c r="F8" s="192" t="n"/>
      <c r="G8" s="192" t="n"/>
      <c r="H8" s="192" t="n"/>
      <c r="I8" s="192" t="n"/>
      <c r="J8" s="192" t="n"/>
      <c r="K8" s="192" t="n"/>
      <c r="L8" s="192" t="n"/>
      <c r="M8" s="192" t="n"/>
      <c r="N8" s="192" t="n"/>
      <c r="O8" s="192" t="n"/>
      <c r="P8" s="192" t="n"/>
      <c r="Q8" s="192" t="n"/>
    </row>
    <row r="9" ht="15.75" customHeight="1" s="251">
      <c r="A9" s="192" t="n"/>
      <c r="B9" s="197" t="inlineStr">
        <is>
          <t>Pre-tax cost of debt</t>
        </is>
      </c>
      <c r="C9" s="169" t="n">
        <v>0.055</v>
      </c>
      <c r="D9" s="198" t="inlineStr">
        <is>
          <t>Assumption: 4.375% senior notes due 2029 and the revolver at SOFR + 0.85% (~5.0%); marginal cost of new notes ~5.5%</t>
        </is>
      </c>
      <c r="E9" s="192" t="n"/>
      <c r="F9" s="192" t="n"/>
      <c r="G9" s="192" t="n"/>
      <c r="H9" s="192" t="n"/>
      <c r="I9" s="192" t="n"/>
      <c r="J9" s="192" t="n"/>
      <c r="K9" s="192" t="n"/>
      <c r="L9" s="192" t="n"/>
      <c r="M9" s="192" t="n"/>
      <c r="N9" s="192" t="n"/>
      <c r="O9" s="192" t="n"/>
      <c r="P9" s="192" t="n"/>
      <c r="Q9" s="192" t="n"/>
    </row>
    <row r="10" ht="15.75" customHeight="1" s="251">
      <c r="A10" s="192" t="n"/>
      <c r="B10" s="197" t="inlineStr">
        <is>
          <t>Tax rate</t>
        </is>
      </c>
      <c r="C10" s="169" t="n">
        <v>0.23</v>
      </c>
      <c r="D10" s="198" t="inlineStr">
        <is>
          <t>Model FY2028E+ effective tax rate (FY2026 22.1%; Q1 FY27 22.1%)</t>
        </is>
      </c>
      <c r="E10" s="192" t="n"/>
      <c r="F10" s="192" t="n"/>
      <c r="G10" s="192" t="n"/>
      <c r="H10" s="192" t="n"/>
      <c r="I10" s="192" t="n"/>
      <c r="J10" s="192" t="n"/>
      <c r="K10" s="192" t="n"/>
      <c r="L10" s="192" t="n"/>
      <c r="M10" s="192" t="n"/>
      <c r="N10" s="192" t="n"/>
      <c r="O10" s="192" t="n"/>
      <c r="P10" s="192" t="n"/>
      <c r="Q10" s="192" t="n"/>
    </row>
    <row r="11" ht="15.75" customHeight="1" s="251">
      <c r="A11" s="192" t="n"/>
      <c r="B11" s="197" t="inlineStr">
        <is>
          <t>After-tax cost of debt</t>
        </is>
      </c>
      <c r="C11" s="171">
        <f>C9*(1-C10)</f>
        <v>0.04235</v>
      </c>
      <c r="D11" s="198" t="n"/>
      <c r="E11" s="192" t="n"/>
      <c r="F11" s="192" t="n"/>
      <c r="G11" s="192" t="n"/>
      <c r="H11" s="192" t="n"/>
      <c r="I11" s="192" t="n"/>
      <c r="J11" s="192" t="n"/>
      <c r="K11" s="192" t="n"/>
      <c r="L11" s="192" t="n"/>
      <c r="M11" s="192" t="n"/>
      <c r="N11" s="192" t="n"/>
      <c r="O11" s="192" t="n"/>
      <c r="P11" s="192" t="n"/>
      <c r="Q11" s="192" t="n"/>
    </row>
    <row r="12" ht="15.75" customHeight="1" s="251">
      <c r="A12" s="192" t="n"/>
      <c r="B12" s="197" t="inlineStr">
        <is>
          <t>Target D/V</t>
        </is>
      </c>
      <c r="C12" s="169" t="n">
        <v>0.05</v>
      </c>
      <c r="D12" s="198" t="inlineStr">
        <is>
          <t>Net debt ~$0.7bn at 27-Jun-2026 vs ~$16bn market cap ($510 × ~31.8m diluted shares); ~1.0x adjusted EBITDA</t>
        </is>
      </c>
      <c r="E12" s="192" t="n"/>
      <c r="F12" s="192" t="n"/>
      <c r="G12" s="192" t="n"/>
      <c r="H12" s="192" t="n"/>
      <c r="I12" s="192" t="n"/>
      <c r="J12" s="192" t="n"/>
      <c r="K12" s="192" t="n"/>
      <c r="L12" s="192" t="n"/>
      <c r="M12" s="192" t="n"/>
      <c r="N12" s="192" t="n"/>
      <c r="O12" s="192" t="n"/>
      <c r="P12" s="192" t="n"/>
      <c r="Q12" s="192" t="n"/>
    </row>
    <row r="13" ht="15.75" customHeight="1" s="251">
      <c r="A13" s="192" t="n"/>
      <c r="B13" s="199" t="inlineStr">
        <is>
          <t>WACC</t>
        </is>
      </c>
      <c r="C13" s="216">
        <f>C8*(1-C12)+C11*C12</f>
        <v>0.0923675</v>
      </c>
      <c r="D13" s="198" t="n"/>
      <c r="E13" s="192" t="n"/>
      <c r="F13" s="192" t="n"/>
      <c r="G13" s="192" t="n"/>
      <c r="H13" s="192" t="n"/>
      <c r="I13" s="192" t="n"/>
      <c r="J13" s="192" t="n"/>
      <c r="K13" s="192" t="n"/>
      <c r="L13" s="192" t="n"/>
      <c r="M13" s="192" t="n"/>
      <c r="N13" s="192" t="n"/>
      <c r="O13" s="192" t="n"/>
      <c r="P13" s="192" t="n"/>
      <c r="Q13" s="192" t="n"/>
    </row>
    <row r="14" ht="15" customHeight="1" s="251">
      <c r="A14" s="192" t="n"/>
      <c r="B14" s="192" t="n"/>
      <c r="C14" s="192" t="n"/>
      <c r="D14" s="198" t="n"/>
      <c r="E14" s="192" t="n"/>
      <c r="F14" s="192" t="n"/>
      <c r="G14" s="192" t="n"/>
      <c r="H14" s="192" t="n"/>
      <c r="I14" s="192" t="n"/>
      <c r="J14" s="192" t="n"/>
      <c r="K14" s="192" t="n"/>
      <c r="L14" s="192" t="n"/>
      <c r="M14" s="192" t="n"/>
      <c r="N14" s="192" t="n"/>
      <c r="O14" s="192" t="n"/>
      <c r="P14" s="192" t="n"/>
      <c r="Q14" s="192" t="n"/>
    </row>
    <row r="15" ht="15.75" customHeight="1" s="251">
      <c r="A15" s="192" t="n"/>
      <c r="B15" s="197" t="inlineStr">
        <is>
          <t>Valuation date (live)</t>
        </is>
      </c>
      <c r="C15" s="172" t="str">
        <f>TODAY()</f>
        <v>2026-10-13 00:00:00</v>
      </c>
      <c r="D15" s="198" t="inlineStr">
        <is>
          <t>Periods = (31-Mar of fiscal year − today) / 365.25; cash flows assumed at fiscal year end; FY2027E (ends 3-Apr-2027) is the base year — its cash flow is in the net debt below</t>
        </is>
      </c>
      <c r="E15" s="192" t="n"/>
      <c r="F15" s="192" t="n"/>
      <c r="G15" s="192" t="n"/>
      <c r="H15" s="192" t="n"/>
      <c r="I15" s="192" t="n"/>
      <c r="J15" s="192" t="n"/>
      <c r="K15" s="192" t="n"/>
      <c r="L15" s="192" t="n"/>
      <c r="M15" s="192" t="n"/>
      <c r="N15" s="192" t="n"/>
      <c r="O15" s="192" t="n"/>
      <c r="P15" s="192" t="n"/>
      <c r="Q15" s="192" t="n"/>
    </row>
    <row r="16" ht="15.75" customHeight="1" s="251">
      <c r="A16" s="192" t="n"/>
      <c r="B16" s="195" t="inlineStr">
        <is>
          <t>2. UNLEVERED FREE CASH FLOW BUILD (USDm)</t>
        </is>
      </c>
      <c r="C16" s="196" t="n"/>
      <c r="D16" s="196" t="n"/>
      <c r="E16" s="196" t="n"/>
      <c r="F16" s="196" t="n"/>
      <c r="G16" s="196" t="n"/>
      <c r="H16" s="196" t="n"/>
      <c r="I16" s="196" t="n"/>
      <c r="J16" s="196" t="n"/>
      <c r="K16" s="196" t="n"/>
      <c r="L16" s="196" t="n"/>
      <c r="M16" s="196" t="n"/>
      <c r="N16" s="196" t="n"/>
      <c r="O16" s="192" t="n"/>
      <c r="P16" s="201" t="n"/>
      <c r="Q16" s="201" t="n"/>
    </row>
    <row r="17" ht="15.75" customHeight="1" s="251">
      <c r="A17" s="192" t="n"/>
      <c r="B17" s="194" t="n"/>
      <c r="C17" s="194" t="n"/>
      <c r="D17" s="203" t="inlineStr">
        <is>
          <t>2028E</t>
        </is>
      </c>
      <c r="E17" s="203" t="inlineStr">
        <is>
          <t>2029E</t>
        </is>
      </c>
      <c r="F17" s="203" t="inlineStr">
        <is>
          <t>2030E</t>
        </is>
      </c>
      <c r="G17" s="203" t="inlineStr">
        <is>
          <t>2031E</t>
        </is>
      </c>
      <c r="H17" s="203" t="inlineStr">
        <is>
          <t>2032E</t>
        </is>
      </c>
      <c r="I17" s="203" t="inlineStr">
        <is>
          <t>2033E</t>
        </is>
      </c>
      <c r="J17" s="203" t="inlineStr">
        <is>
          <t>2034E</t>
        </is>
      </c>
      <c r="K17" s="203" t="inlineStr">
        <is>
          <t>2035E</t>
        </is>
      </c>
      <c r="L17" s="203" t="inlineStr">
        <is>
          <t>2036E</t>
        </is>
      </c>
      <c r="M17" s="203" t="inlineStr">
        <is>
          <t>2037E</t>
        </is>
      </c>
      <c r="N17" s="203" t="inlineStr">
        <is>
          <t>Terminal</t>
        </is>
      </c>
      <c r="O17" s="192" t="n"/>
      <c r="P17" s="204" t="inlineStr">
        <is>
          <t>CAGR 28–32E</t>
        </is>
      </c>
      <c r="Q17" s="204" t="inlineStr">
        <is>
          <t>CAGR 28–37E</t>
        </is>
      </c>
    </row>
    <row r="18" ht="15.75" customHeight="1" s="251">
      <c r="A18" s="192" t="n"/>
      <c r="B18" s="197" t="inlineStr">
        <is>
          <t>Adj. EBITA (after stock comp; before M&amp;A amortization) less transaction &amp; restructuring costs</t>
        </is>
      </c>
      <c r="C18" s="192" t="n"/>
      <c r="D18" s="173">
        <f>Model!CG186-Model!CG187</f>
        <v>700.309465355465</v>
      </c>
      <c r="E18" s="173">
        <f>Model!CH186-Model!CH187</f>
        <v>789.518562509514</v>
      </c>
      <c r="F18" s="173">
        <f>Model!CI186-Model!CI187</f>
        <v>880.943199120574</v>
      </c>
      <c r="G18" s="173">
        <f>Model!CJ186-Model!CJ187</f>
        <v>967.446938670355</v>
      </c>
      <c r="H18" s="173">
        <f>Model!CK186-Model!CK187</f>
        <v>1053.03063535833</v>
      </c>
      <c r="I18" s="174">
        <f>H18*(1+I$26)</f>
        <v>1126.74277983341</v>
      </c>
      <c r="J18" s="174">
        <f>I18*(1+J$26)</f>
        <v>1199.98106052258</v>
      </c>
      <c r="K18" s="174">
        <f>J18*(1+K$26)</f>
        <v>1271.97992415394</v>
      </c>
      <c r="L18" s="174">
        <f>K18*(1+L$26)</f>
        <v>1341.9388199824</v>
      </c>
      <c r="M18" s="174">
        <f>L18*(1+M$26)</f>
        <v>1409.03576098152</v>
      </c>
      <c r="N18" s="192" t="n"/>
      <c r="O18" s="192" t="n"/>
      <c r="P18" s="176">
        <f>(H18/D18)^(1/(COLUMNS(D18:H18)-1))-1</f>
        <v>0.107357247648776</v>
      </c>
      <c r="Q18" s="176">
        <f>(M18/D18)^(1/(COLUMNS(D18:M18)-1))-1</f>
        <v>0.0807789837224835</v>
      </c>
    </row>
    <row r="19" ht="15.75" customHeight="1" s="251">
      <c r="A19" s="192" t="n"/>
      <c r="B19" s="197" t="inlineStr">
        <is>
          <t>× (1 − tax rate)</t>
        </is>
      </c>
      <c r="C19" s="192" t="n"/>
      <c r="D19" s="177">
        <f>1-$C$10</f>
        <v>0.77</v>
      </c>
      <c r="E19" s="177">
        <f>1-$C$10</f>
        <v>0.77</v>
      </c>
      <c r="F19" s="177">
        <f>1-$C$10</f>
        <v>0.77</v>
      </c>
      <c r="G19" s="177">
        <f>1-$C$10</f>
        <v>0.77</v>
      </c>
      <c r="H19" s="177">
        <f>1-$C$10</f>
        <v>0.77</v>
      </c>
      <c r="I19" s="177">
        <f>1-$C$10</f>
        <v>0.77</v>
      </c>
      <c r="J19" s="177">
        <f>1-$C$10</f>
        <v>0.77</v>
      </c>
      <c r="K19" s="177">
        <f>1-$C$10</f>
        <v>0.77</v>
      </c>
      <c r="L19" s="177">
        <f>1-$C$10</f>
        <v>0.77</v>
      </c>
      <c r="M19" s="177">
        <f>1-$C$10</f>
        <v>0.77</v>
      </c>
      <c r="N19" s="192" t="n"/>
      <c r="O19" s="192" t="n"/>
      <c r="P19" s="176" t="n"/>
      <c r="Q19" s="176" t="n"/>
    </row>
    <row r="20" ht="15.75" customHeight="1" s="251">
      <c r="A20" s="192" t="n"/>
      <c r="B20" s="199" t="inlineStr">
        <is>
          <t>NOPAT</t>
        </is>
      </c>
      <c r="C20" s="192" t="n"/>
      <c r="D20" s="174">
        <f>D18*D19</f>
        <v>539.238288323708</v>
      </c>
      <c r="E20" s="174">
        <f>E18*E19</f>
        <v>607.929293132326</v>
      </c>
      <c r="F20" s="174">
        <f>F18*F19</f>
        <v>678.326263322842</v>
      </c>
      <c r="G20" s="174">
        <f>G18*G19</f>
        <v>744.934142776173</v>
      </c>
      <c r="H20" s="174">
        <f>H18*H19</f>
        <v>810.833589225911</v>
      </c>
      <c r="I20" s="174">
        <f>I18*I19</f>
        <v>867.591940471725</v>
      </c>
      <c r="J20" s="174">
        <f>J18*J19</f>
        <v>923.985416602387</v>
      </c>
      <c r="K20" s="174">
        <f>K18*K19</f>
        <v>979.42454159853</v>
      </c>
      <c r="L20" s="174">
        <f>L18*L19</f>
        <v>1033.29289138645</v>
      </c>
      <c r="M20" s="174">
        <f>M18*M19</f>
        <v>1084.95753595577</v>
      </c>
      <c r="N20" s="192" t="n"/>
      <c r="O20" s="192" t="n"/>
      <c r="P20" s="176" t="n"/>
      <c r="Q20" s="176" t="n"/>
    </row>
    <row r="21" ht="15.75" customHeight="1" s="251">
      <c r="A21" s="192" t="n"/>
      <c r="B21" s="197" t="inlineStr">
        <is>
          <t>plus D&amp;A excluding M&amp;A-related amortization (depreciation &amp; software)</t>
        </is>
      </c>
      <c r="C21" s="192" t="n"/>
      <c r="D21" s="173">
        <f>Model!CG89</f>
        <v>66.7736994464486</v>
      </c>
      <c r="E21" s="173">
        <f>Model!CH89</f>
        <v>74.6583980094673</v>
      </c>
      <c r="F21" s="173">
        <f>Model!CI89</f>
        <v>82.5804820013278</v>
      </c>
      <c r="G21" s="173">
        <f>Model!CJ89</f>
        <v>90.6579227461031</v>
      </c>
      <c r="H21" s="173">
        <f>Model!CK89</f>
        <v>98.6314459999158</v>
      </c>
      <c r="I21" s="174">
        <f>H21*(1+I$26)</f>
        <v>105.53564721991</v>
      </c>
      <c r="J21" s="174">
        <f>I21*(1+J$26)</f>
        <v>112.395464289204</v>
      </c>
      <c r="K21" s="174">
        <f>J21*(1+K$26)</f>
        <v>119.139192146556</v>
      </c>
      <c r="L21" s="174">
        <f>K21*(1+L$26)</f>
        <v>125.691847714617</v>
      </c>
      <c r="M21" s="174">
        <f>L21*(1+M$26)</f>
        <v>131.976440100348</v>
      </c>
      <c r="N21" s="192" t="n"/>
      <c r="O21" s="192" t="n"/>
      <c r="P21" s="176" t="n"/>
      <c r="Q21" s="176" t="n"/>
    </row>
    <row r="22" ht="15.75" customHeight="1" s="251">
      <c r="A22" s="192" t="n"/>
      <c r="B22" s="197" t="inlineStr">
        <is>
          <t>− Capex (PP&amp;E) and acquisitions (M&amp;A lever FY2028E–32E)</t>
        </is>
      </c>
      <c r="C22" s="192" t="n"/>
      <c r="D22" s="173">
        <f>Model!CG240+Model!CG241</f>
        <v>-345.390999209212</v>
      </c>
      <c r="E22" s="173">
        <f>Model!CH240+Model!CH241</f>
        <v>-351.322111584277</v>
      </c>
      <c r="F22" s="173">
        <f>Model!CI240+Model!CI241</f>
        <v>-353.22560250166</v>
      </c>
      <c r="G22" s="173">
        <f>Model!CJ240+Model!CJ241</f>
        <v>-363.322403432629</v>
      </c>
      <c r="H22" s="173">
        <f>Model!CK240+Model!CK241</f>
        <v>-373.289307499895</v>
      </c>
      <c r="I22" s="174">
        <f>Model!CK240*(1+I$26)</f>
        <v>-131.919559024887</v>
      </c>
      <c r="J22" s="174">
        <f>I22*(1+J$26)</f>
        <v>-140.494330361505</v>
      </c>
      <c r="K22" s="174">
        <f>J22*(1+K$26)</f>
        <v>-148.923990183195</v>
      </c>
      <c r="L22" s="174">
        <f>K22*(1+L$26)</f>
        <v>-157.114809643271</v>
      </c>
      <c r="M22" s="174">
        <f>L22*(1+M$26)</f>
        <v>-164.970550125435</v>
      </c>
      <c r="N22" s="192" t="n"/>
      <c r="O22" s="192" t="n"/>
      <c r="P22" s="176" t="n"/>
      <c r="Q22" s="176" t="n"/>
    </row>
    <row r="23" ht="15.75" customHeight="1" s="251">
      <c r="A23" s="192" t="n"/>
      <c r="B23" s="197" t="inlineStr">
        <is>
          <t>− Δ Working capital (CF statement)</t>
        </is>
      </c>
      <c r="C23" s="192" t="n"/>
      <c r="D23" s="173">
        <f>Model!CG238</f>
        <v>-73.5731617582177</v>
      </c>
      <c r="E23" s="173">
        <f>Model!CH238</f>
        <v>-87.597994222138</v>
      </c>
      <c r="F23" s="173">
        <f>Model!CI238</f>
        <v>-84.1289604156711</v>
      </c>
      <c r="G23" s="173">
        <f>Model!CJ238</f>
        <v>-91.5337175807903</v>
      </c>
      <c r="H23" s="173">
        <f>Model!CK238</f>
        <v>-101.447045296128</v>
      </c>
      <c r="I23" s="174">
        <f>H23*(1+I$26)</f>
        <v>-108.548338466857</v>
      </c>
      <c r="J23" s="174">
        <f>I23*(1+J$26)</f>
        <v>-115.603980467203</v>
      </c>
      <c r="K23" s="174">
        <f>J23*(1+K$26)</f>
        <v>-122.540219295235</v>
      </c>
      <c r="L23" s="174">
        <f>K23*(1+L$26)</f>
        <v>-129.279931356473</v>
      </c>
      <c r="M23" s="174">
        <f>L23*(1+M$26)</f>
        <v>-135.743927924296</v>
      </c>
      <c r="N23" s="192" t="n"/>
      <c r="O23" s="192" t="n"/>
      <c r="P23" s="176" t="n"/>
      <c r="Q23" s="176" t="n"/>
    </row>
    <row r="24" ht="15.75" customHeight="1" s="251">
      <c r="A24" s="192" t="n"/>
      <c r="B24" s="217" t="inlineStr">
        <is>
          <t>Unlevered FCF</t>
        </is>
      </c>
      <c r="C24" s="218" t="n"/>
      <c r="D24" s="219">
        <f>D20+D21+D22+D23</f>
        <v>187.047826802726</v>
      </c>
      <c r="E24" s="219">
        <f>E20+E21+E22+E23</f>
        <v>243.667585335378</v>
      </c>
      <c r="F24" s="219">
        <f>F20+F21+F22+F23</f>
        <v>323.552182406838</v>
      </c>
      <c r="G24" s="219">
        <f>G20+G21+G22+G23</f>
        <v>380.735944508857</v>
      </c>
      <c r="H24" s="219">
        <f>H20+H21+H22+H23</f>
        <v>434.728682429804</v>
      </c>
      <c r="I24" s="219">
        <f>I20+I21+I22+I23</f>
        <v>732.65969019989</v>
      </c>
      <c r="J24" s="219">
        <f>J20+J21+J22+J23</f>
        <v>780.282570062883</v>
      </c>
      <c r="K24" s="219">
        <f>K20+K21+K22+K23</f>
        <v>827.099524266656</v>
      </c>
      <c r="L24" s="219">
        <f>L20+L21+L22+L23</f>
        <v>872.589998101322</v>
      </c>
      <c r="M24" s="219">
        <f>M20+M21+M22+M23</f>
        <v>916.219498006388</v>
      </c>
      <c r="N24" s="219">
        <f>M24*(1+$C$27)</f>
        <v>952.868277926644</v>
      </c>
      <c r="O24" s="192" t="n"/>
      <c r="P24" s="181">
        <f>(H24/D24)^(1/(COLUMNS(D24:H24)-1))-1</f>
        <v>0.234714098230673</v>
      </c>
      <c r="Q24" s="181">
        <f>(M24/D24)^(1/(COLUMNS(D24:M24)-1))-1</f>
        <v>0.193086340814359</v>
      </c>
    </row>
    <row r="25" ht="15.75" customHeight="1" s="251">
      <c r="A25" s="192" t="n"/>
      <c r="B25" s="199" t="inlineStr">
        <is>
          <t>Terminal Value (Gordon Growth)</t>
        </is>
      </c>
      <c r="C25" s="192" t="n"/>
      <c r="D25" s="192" t="n"/>
      <c r="E25" s="192" t="n"/>
      <c r="F25" s="192" t="n"/>
      <c r="G25" s="192" t="n"/>
      <c r="H25" s="192" t="n"/>
      <c r="I25" s="192" t="n"/>
      <c r="J25" s="192" t="n"/>
      <c r="K25" s="192" t="n"/>
      <c r="L25" s="192" t="n"/>
      <c r="M25" s="192" t="n"/>
      <c r="N25" s="179">
        <f>N24/($C$13-$C$27)</f>
        <v>18195.7946804152</v>
      </c>
      <c r="O25" s="192" t="n"/>
      <c r="P25" s="192" t="n"/>
      <c r="Q25" s="192" t="n"/>
    </row>
    <row r="26" ht="15.75" customHeight="1" s="251">
      <c r="A26" s="192" t="n"/>
      <c r="B26" s="197" t="inlineStr">
        <is>
          <t>Fade-period growth (FY2033E–37E; 7.0% → 5.0% linear)</t>
        </is>
      </c>
      <c r="C26" s="192" t="n"/>
      <c r="D26" s="192" t="n"/>
      <c r="E26" s="192" t="n"/>
      <c r="F26" s="192" t="n"/>
      <c r="G26" s="192" t="n"/>
      <c r="H26" s="192" t="n"/>
      <c r="I26" s="182" t="n">
        <v>0.07000000000000001</v>
      </c>
      <c r="J26" s="183">
        <f>I26+($M$26-$I$26)/4</f>
        <v>0.065</v>
      </c>
      <c r="K26" s="183">
        <f>J26+($M$26-$I$26)/4</f>
        <v>0.06</v>
      </c>
      <c r="L26" s="183">
        <f>K26+($M$26-$I$26)/4</f>
        <v>0.055</v>
      </c>
      <c r="M26" s="182" t="n">
        <v>0.05</v>
      </c>
      <c r="N26" s="192" t="n"/>
      <c r="O26" s="192" t="n"/>
      <c r="P26" s="192" t="n"/>
      <c r="Q26" s="192" t="n"/>
    </row>
    <row r="27" ht="15.75" customHeight="1" s="251">
      <c r="A27" s="192" t="n"/>
      <c r="B27" s="197" t="inlineStr">
        <is>
          <t>Terminal growth rate</t>
        </is>
      </c>
      <c r="C27" s="184" t="n">
        <v>0.04</v>
      </c>
      <c r="D27" s="192" t="n"/>
      <c r="E27" s="192" t="n"/>
      <c r="F27" s="192" t="n"/>
      <c r="G27" s="192" t="n"/>
      <c r="H27" s="192" t="n"/>
      <c r="I27" s="192" t="n"/>
      <c r="J27" s="192" t="n"/>
      <c r="K27" s="192" t="n"/>
      <c r="L27" s="192" t="n"/>
      <c r="M27" s="192" t="n"/>
      <c r="N27" s="192" t="n"/>
      <c r="O27" s="192" t="n"/>
      <c r="P27" s="192" t="n"/>
      <c r="Q27" s="192" t="n"/>
    </row>
    <row r="28" ht="15" customHeight="1" s="251">
      <c r="A28" s="192" t="n"/>
      <c r="B28" s="192" t="n"/>
      <c r="C28" s="192" t="n"/>
      <c r="D28" s="192" t="n"/>
      <c r="E28" s="192" t="n"/>
      <c r="F28" s="192" t="n"/>
      <c r="G28" s="192" t="n"/>
      <c r="H28" s="192" t="n"/>
      <c r="I28" s="192" t="n"/>
      <c r="J28" s="192" t="n"/>
      <c r="K28" s="192" t="n"/>
      <c r="L28" s="192" t="n"/>
      <c r="M28" s="192" t="n"/>
      <c r="N28" s="192" t="n"/>
      <c r="O28" s="192" t="n"/>
      <c r="P28" s="192" t="n"/>
      <c r="Q28" s="192" t="n"/>
    </row>
    <row r="29" ht="15.75" customHeight="1" s="251">
      <c r="A29" s="192" t="n"/>
      <c r="B29" s="197" t="inlineStr">
        <is>
          <t>Discount period (years)</t>
        </is>
      </c>
      <c r="C29" s="192" t="n"/>
      <c r="D29" s="177">
        <f>(DATE(2028,3,31)-$C$15)/365.25</f>
        <v>1.46475017111567</v>
      </c>
      <c r="E29" s="177">
        <f>(DATE(2029,3,31)-$C$15)/365.25</f>
        <v>2.46406570841889</v>
      </c>
      <c r="F29" s="177">
        <f>(DATE(2030,3,31)-$C$15)/365.25</f>
        <v>3.46338124572211</v>
      </c>
      <c r="G29" s="177">
        <f>(DATE(2031,3,31)-$C$15)/365.25</f>
        <v>4.46269678302533</v>
      </c>
      <c r="H29" s="177">
        <f>(DATE(2032,3,31)-$C$15)/365.25</f>
        <v>5.46475017111567</v>
      </c>
      <c r="I29" s="177">
        <f>(DATE(2033,3,31)-$C$15)/365.25</f>
        <v>6.46406570841889</v>
      </c>
      <c r="J29" s="177">
        <f>(DATE(2034,3,31)-$C$15)/365.25</f>
        <v>7.46338124572211</v>
      </c>
      <c r="K29" s="177">
        <f>(DATE(2035,3,31)-$C$15)/365.25</f>
        <v>8.46269678302533</v>
      </c>
      <c r="L29" s="177">
        <f>(DATE(2036,3,31)-$C$15)/365.25</f>
        <v>9.46475017111568</v>
      </c>
      <c r="M29" s="177">
        <f>(DATE(2037,3,31)-$C$15)/365.25</f>
        <v>10.4640657084189</v>
      </c>
      <c r="N29" s="177">
        <f>M29</f>
        <v>10.4640657084189</v>
      </c>
      <c r="O29" s="192" t="n"/>
      <c r="P29" s="192" t="n"/>
      <c r="Q29" s="192" t="n"/>
    </row>
    <row r="30" ht="15.75" customHeight="1" s="251">
      <c r="A30" s="192" t="n"/>
      <c r="B30" s="197" t="inlineStr">
        <is>
          <t>Discount factor</t>
        </is>
      </c>
      <c r="C30" s="192" t="n"/>
      <c r="D30" s="185">
        <f>1/(1+$C$13)^D29</f>
        <v>0.878616463344948</v>
      </c>
      <c r="E30" s="185">
        <f>1/(1+$C$13)^E29</f>
        <v>0.804371784498696</v>
      </c>
      <c r="F30" s="185">
        <f>1/(1+$C$13)^F29</f>
        <v>0.736400915177931</v>
      </c>
      <c r="G30" s="185">
        <f>1/(1+$C$13)^G29</f>
        <v>0.674173707140735</v>
      </c>
      <c r="H30" s="185">
        <f>1/(1+$C$13)^H29</f>
        <v>0.617055538019368</v>
      </c>
      <c r="I30" s="185">
        <f>1/(1+$C$13)^I29</f>
        <v>0.564913230013739</v>
      </c>
      <c r="J30" s="185">
        <f>1/(1+$C$13)^J29</f>
        <v>0.517177041257733</v>
      </c>
      <c r="K30" s="185">
        <f>1/(1+$C$13)^K29</f>
        <v>0.473474646712731</v>
      </c>
      <c r="L30" s="185">
        <f>1/(1+$C$13)^L29</f>
        <v>0.433360348781542</v>
      </c>
      <c r="M30" s="185">
        <f>1/(1+$C$13)^M29</f>
        <v>0.396740616210752</v>
      </c>
      <c r="N30" s="185">
        <f>1/(1+$C$13)^N29</f>
        <v>0.396740616210752</v>
      </c>
      <c r="O30" s="192" t="n"/>
      <c r="P30" s="192" t="n"/>
      <c r="Q30" s="192" t="n"/>
    </row>
    <row r="31" ht="15.75" customHeight="1" s="251">
      <c r="A31" s="192" t="n"/>
      <c r="B31" s="220" t="inlineStr">
        <is>
          <t>PV of UFCF</t>
        </is>
      </c>
      <c r="C31" s="221" t="n"/>
      <c r="D31" s="222">
        <f>D24*D30</f>
        <v>164.34330006177</v>
      </c>
      <c r="E31" s="222">
        <f>E24*E30</f>
        <v>195.999330440706</v>
      </c>
      <c r="F31" s="222">
        <f>F24*F30</f>
        <v>238.264123232213</v>
      </c>
      <c r="G31" s="222">
        <f>G24*G30</f>
        <v>256.682163151265</v>
      </c>
      <c r="H31" s="222">
        <f>H24*H30</f>
        <v>268.251741029174</v>
      </c>
      <c r="I31" s="222">
        <f>I24*I30</f>
        <v>413.889152091685</v>
      </c>
      <c r="J31" s="222">
        <f>J24*J30</f>
        <v>403.544230930101</v>
      </c>
      <c r="K31" s="222">
        <f>K24*K30</f>
        <v>391.610655048423</v>
      </c>
      <c r="L31" s="222">
        <f>L24*L30</f>
        <v>378.145905920474</v>
      </c>
      <c r="M31" s="222">
        <f>M24*M30</f>
        <v>363.50148822336</v>
      </c>
      <c r="N31" s="222">
        <f>N25*N30</f>
        <v>7219.01079395226</v>
      </c>
      <c r="O31" s="192" t="n"/>
      <c r="P31" s="192" t="n"/>
      <c r="Q31" s="192" t="n"/>
    </row>
    <row r="32" ht="15" customHeight="1" s="251">
      <c r="A32" s="192" t="n"/>
      <c r="B32" s="192" t="n"/>
      <c r="C32" s="192" t="n"/>
      <c r="D32" s="198" t="inlineStr">
        <is>
          <t>NOPAT basis (playbook 5.7): RBC's adjusted EPS and adjusted EBITDA add back stock compensation; here it is deducted (row 18 starts from adjusted operating income, which is after stock compensation) and M&amp;A-related amortization of acquired intangibles is added back (EBITA), so the tax is charged on pre-amortization profit; row 21 adds back depreciation and non-acquired amortization only. Transaction, transition and restructuring costs (cash; adjusted out by the company) are deducted in row 18. Row 22 includes acquisitions from the M&amp;A lever in FY2028E–32E; the fade period and terminal value assume no new acquisitions. The cash tax shield on acquired-intangible amortization (e.g. VACCO, Section 338(h)(10) election per the FY2026 10-K) is not modelled separately.</t>
        </is>
      </c>
      <c r="E32" s="192" t="n"/>
      <c r="F32" s="192" t="n"/>
      <c r="G32" s="192" t="n"/>
      <c r="H32" s="192" t="n"/>
      <c r="I32" s="192" t="n"/>
      <c r="J32" s="192" t="n"/>
      <c r="K32" s="192" t="n"/>
      <c r="L32" s="192" t="n"/>
      <c r="M32" s="192" t="n"/>
      <c r="N32" s="192" t="n"/>
      <c r="O32" s="192" t="n"/>
      <c r="P32" s="192" t="n"/>
      <c r="Q32" s="192" t="n"/>
    </row>
    <row r="33" ht="15.75" customHeight="1" s="251">
      <c r="A33" s="192" t="n"/>
      <c r="B33" s="195" t="inlineStr">
        <is>
          <t>IMPLIED ROIC — invested capital roll-forward (USDm)</t>
        </is>
      </c>
      <c r="C33" s="195" t="n"/>
      <c r="D33" s="195" t="n"/>
      <c r="E33" s="195" t="n"/>
      <c r="F33" s="195" t="n"/>
      <c r="G33" s="195" t="n"/>
      <c r="H33" s="195" t="n"/>
      <c r="I33" s="195" t="n"/>
      <c r="J33" s="195" t="n"/>
      <c r="K33" s="195" t="n"/>
      <c r="L33" s="195" t="n"/>
      <c r="M33" s="195" t="n"/>
      <c r="N33" s="195" t="n"/>
      <c r="O33" s="192" t="n"/>
      <c r="P33" s="192" t="n"/>
      <c r="Q33" s="192" t="n"/>
    </row>
    <row r="34" ht="15.75" customHeight="1" s="251">
      <c r="A34" s="192" t="n"/>
      <c r="B34" s="197" t="inlineStr">
        <is>
          <t>Opening invested capital</t>
        </is>
      </c>
      <c r="C34" s="192" t="n"/>
      <c r="D34" s="173">
        <f>Model!CF367</f>
        <v>4257.62373649104</v>
      </c>
      <c r="E34" s="174">
        <f>D38</f>
        <v>4609.81419801202</v>
      </c>
      <c r="F34" s="174">
        <f>E38</f>
        <v>4974.07590580897</v>
      </c>
      <c r="G34" s="174">
        <f>F38</f>
        <v>5328.84998672497</v>
      </c>
      <c r="H34" s="174">
        <f>G38</f>
        <v>5693.04818499229</v>
      </c>
      <c r="I34" s="174">
        <f>H38</f>
        <v>6069.15309178839</v>
      </c>
      <c r="J34" s="174">
        <f>I38</f>
        <v>6204.08534206023</v>
      </c>
      <c r="K34" s="174">
        <f>J38</f>
        <v>6347.78818859973</v>
      </c>
      <c r="L34" s="174">
        <f>K38</f>
        <v>6500.11320593161</v>
      </c>
      <c r="M34" s="174">
        <f>L38</f>
        <v>6660.81609921673</v>
      </c>
      <c r="N34" s="174" t="n"/>
      <c r="O34" s="192" t="n"/>
      <c r="P34" s="192" t="n"/>
      <c r="Q34" s="192" t="n"/>
    </row>
    <row r="35" ht="15.75" customHeight="1" s="251">
      <c r="A35" s="192" t="n"/>
      <c r="B35" s="197" t="inlineStr">
        <is>
          <t>plus Capex and acquisitions</t>
        </is>
      </c>
      <c r="C35" s="192" t="n"/>
      <c r="D35" s="174">
        <f>-D22</f>
        <v>345.390999209212</v>
      </c>
      <c r="E35" s="174">
        <f>-E22</f>
        <v>351.322111584277</v>
      </c>
      <c r="F35" s="174">
        <f>-F22</f>
        <v>353.22560250166</v>
      </c>
      <c r="G35" s="174">
        <f>-G22</f>
        <v>363.322403432629</v>
      </c>
      <c r="H35" s="174">
        <f>-H22</f>
        <v>373.289307499895</v>
      </c>
      <c r="I35" s="174">
        <f>-I22</f>
        <v>131.919559024887</v>
      </c>
      <c r="J35" s="174">
        <f>-J22</f>
        <v>140.494330361505</v>
      </c>
      <c r="K35" s="174">
        <f>-K22</f>
        <v>148.923990183195</v>
      </c>
      <c r="L35" s="174">
        <f>-L22</f>
        <v>157.114809643271</v>
      </c>
      <c r="M35" s="174">
        <f>-M22</f>
        <v>164.970550125435</v>
      </c>
      <c r="N35" s="174" t="n"/>
      <c r="O35" s="192" t="n"/>
      <c r="P35" s="192" t="n"/>
      <c r="Q35" s="192" t="n"/>
    </row>
    <row r="36" ht="15.75" customHeight="1" s="251">
      <c r="A36" s="192" t="n"/>
      <c r="B36" s="197" t="inlineStr">
        <is>
          <t>less DD&amp;A</t>
        </is>
      </c>
      <c r="C36" s="192" t="n"/>
      <c r="D36" s="174">
        <f>-D21</f>
        <v>-66.7736994464486</v>
      </c>
      <c r="E36" s="174">
        <f>-E21</f>
        <v>-74.6583980094673</v>
      </c>
      <c r="F36" s="174">
        <f>-F21</f>
        <v>-82.5804820013278</v>
      </c>
      <c r="G36" s="174">
        <f>-G21</f>
        <v>-90.6579227461031</v>
      </c>
      <c r="H36" s="174">
        <f>-H21</f>
        <v>-98.6314459999158</v>
      </c>
      <c r="I36" s="174">
        <f>-I21</f>
        <v>-105.53564721991</v>
      </c>
      <c r="J36" s="174">
        <f>-J21</f>
        <v>-112.395464289204</v>
      </c>
      <c r="K36" s="174">
        <f>-K21</f>
        <v>-119.139192146556</v>
      </c>
      <c r="L36" s="174">
        <f>-L21</f>
        <v>-125.691847714617</v>
      </c>
      <c r="M36" s="174">
        <f>-M21</f>
        <v>-131.976440100348</v>
      </c>
      <c r="N36" s="174" t="n"/>
      <c r="O36" s="192" t="n"/>
      <c r="P36" s="192" t="n"/>
      <c r="Q36" s="192" t="n"/>
    </row>
    <row r="37" ht="15.75" customHeight="1" s="251">
      <c r="A37" s="192" t="n"/>
      <c r="B37" s="197" t="inlineStr">
        <is>
          <t>plus Δ Working capital investment</t>
        </is>
      </c>
      <c r="C37" s="192" t="n"/>
      <c r="D37" s="174">
        <f>-D23</f>
        <v>73.5731617582177</v>
      </c>
      <c r="E37" s="174">
        <f>-E23</f>
        <v>87.597994222138</v>
      </c>
      <c r="F37" s="174">
        <f>-F23</f>
        <v>84.1289604156711</v>
      </c>
      <c r="G37" s="174">
        <f>-G23</f>
        <v>91.5337175807903</v>
      </c>
      <c r="H37" s="174">
        <f>-H23</f>
        <v>101.447045296128</v>
      </c>
      <c r="I37" s="174">
        <f>-I23</f>
        <v>108.548338466857</v>
      </c>
      <c r="J37" s="174">
        <f>-J23</f>
        <v>115.603980467203</v>
      </c>
      <c r="K37" s="174">
        <f>-K23</f>
        <v>122.540219295235</v>
      </c>
      <c r="L37" s="174">
        <f>-L23</f>
        <v>129.279931356473</v>
      </c>
      <c r="M37" s="174">
        <f>-M23</f>
        <v>135.743927924296</v>
      </c>
      <c r="N37" s="174" t="n"/>
      <c r="O37" s="192" t="n"/>
      <c r="P37" s="192" t="n"/>
      <c r="Q37" s="192" t="n"/>
    </row>
    <row r="38" ht="15.75" customHeight="1" s="251">
      <c r="A38" s="192" t="n"/>
      <c r="B38" s="223" t="inlineStr">
        <is>
          <t>Closing invested capital</t>
        </is>
      </c>
      <c r="C38" s="223" t="n"/>
      <c r="D38" s="224">
        <f>SUM(D34:D37)</f>
        <v>4609.81419801202</v>
      </c>
      <c r="E38" s="224">
        <f>SUM(E34:E37)</f>
        <v>4974.07590580897</v>
      </c>
      <c r="F38" s="224">
        <f>SUM(F34:F37)</f>
        <v>5328.84998672497</v>
      </c>
      <c r="G38" s="224">
        <f>SUM(G34:G37)</f>
        <v>5693.04818499229</v>
      </c>
      <c r="H38" s="224">
        <f>SUM(H34:H37)</f>
        <v>6069.15309178839</v>
      </c>
      <c r="I38" s="224">
        <f>SUM(I34:I37)</f>
        <v>6204.08534206023</v>
      </c>
      <c r="J38" s="224">
        <f>SUM(J34:J37)</f>
        <v>6347.78818859973</v>
      </c>
      <c r="K38" s="224">
        <f>SUM(K34:K37)</f>
        <v>6500.11320593161</v>
      </c>
      <c r="L38" s="224">
        <f>SUM(L34:L37)</f>
        <v>6660.81609921673</v>
      </c>
      <c r="M38" s="224">
        <f>SUM(M34:M37)</f>
        <v>6829.55413716612</v>
      </c>
      <c r="N38" s="178" t="n"/>
      <c r="O38" s="192" t="n"/>
      <c r="P38" s="192" t="n"/>
      <c r="Q38" s="192" t="n"/>
    </row>
    <row r="39" ht="15.75" customHeight="1" s="251">
      <c r="A39" s="192" t="n"/>
      <c r="B39" s="197" t="inlineStr">
        <is>
          <t>NOPAT (row 20)</t>
        </is>
      </c>
      <c r="C39" s="192" t="n"/>
      <c r="D39" s="174">
        <f>D20</f>
        <v>539.238288323708</v>
      </c>
      <c r="E39" s="174">
        <f>E20</f>
        <v>607.929293132326</v>
      </c>
      <c r="F39" s="174">
        <f>F20</f>
        <v>678.326263322842</v>
      </c>
      <c r="G39" s="174">
        <f>G20</f>
        <v>744.934142776173</v>
      </c>
      <c r="H39" s="174">
        <f>H20</f>
        <v>810.833589225911</v>
      </c>
      <c r="I39" s="174">
        <f>I20</f>
        <v>867.591940471725</v>
      </c>
      <c r="J39" s="174">
        <f>J20</f>
        <v>923.985416602387</v>
      </c>
      <c r="K39" s="174">
        <f>K20</f>
        <v>979.42454159853</v>
      </c>
      <c r="L39" s="174">
        <f>L20</f>
        <v>1033.29289138645</v>
      </c>
      <c r="M39" s="174">
        <f>M20</f>
        <v>1084.95753595577</v>
      </c>
      <c r="N39" s="174" t="n"/>
      <c r="O39" s="192" t="n"/>
      <c r="P39" s="192" t="n"/>
      <c r="Q39" s="192" t="n"/>
    </row>
    <row r="40" ht="15.75" customHeight="1" s="251">
      <c r="A40" s="192" t="n"/>
      <c r="B40" s="200" t="inlineStr">
        <is>
          <t>Implied ROIC (NOPAT / avg. invested capital)</t>
        </is>
      </c>
      <c r="C40" s="200" t="n"/>
      <c r="D40" s="180">
        <f>IFERROR(D39/AVERAGE(D34,D38),"")</f>
        <v>0.121622117303024</v>
      </c>
      <c r="E40" s="180">
        <f>IFERROR(E39/AVERAGE(E34,E38),"")</f>
        <v>0.126864829739638</v>
      </c>
      <c r="F40" s="180">
        <f>IFERROR(F39/AVERAGE(F34,F38),"")</f>
        <v>0.131676432578127</v>
      </c>
      <c r="G40" s="180">
        <f>IFERROR(G39/AVERAGE(G34,G38),"")</f>
        <v>0.13517347577892</v>
      </c>
      <c r="H40" s="180">
        <f>IFERROR(H39/AVERAGE(H34,H38),"")</f>
        <v>0.137871061741912</v>
      </c>
      <c r="I40" s="180">
        <f>IFERROR(I39/AVERAGE(I34,I38),"")</f>
        <v>0.14137946478396</v>
      </c>
      <c r="J40" s="180">
        <f>IFERROR(J39/AVERAGE(J34,J38),"")</f>
        <v>0.147226693185747</v>
      </c>
      <c r="K40" s="180">
        <f>IFERROR(K39/AVERAGE(K34,K38),"")</f>
        <v>0.15246451720363</v>
      </c>
      <c r="L40" s="180">
        <f>IFERROR(L39/AVERAGE(L34,L38),"")</f>
        <v>0.15702430541622</v>
      </c>
      <c r="M40" s="180">
        <f>IFERROR(M39/AVERAGE(M34,M38),"")</f>
        <v>0.160849186040824</v>
      </c>
      <c r="N40" s="180" t="n"/>
      <c r="O40" s="192" t="n"/>
      <c r="P40" s="192" t="n"/>
      <c r="Q40" s="192" t="n"/>
    </row>
    <row r="41" ht="15.75" customHeight="1" s="251">
      <c r="A41" s="192" t="n"/>
      <c r="B41" s="197" t="inlineStr">
        <is>
          <t>Reinvestment rate (net investment / NOPAT)</t>
        </is>
      </c>
      <c r="C41" s="192" t="n"/>
      <c r="D41" s="175">
        <f>IFERROR(SUM(D35:D37)/D39,"")</f>
        <v>0.653125842780584</v>
      </c>
      <c r="E41" s="175">
        <f>IFERROR(SUM(E35:E37)/E39,"")</f>
        <v>0.599184332638599</v>
      </c>
      <c r="F41" s="175">
        <f>IFERROR(SUM(F35:F37)/F39,"")</f>
        <v>0.523013924270175</v>
      </c>
      <c r="G41" s="175">
        <f>IFERROR(SUM(G35:G37)/G39,"")</f>
        <v>0.488899860207837</v>
      </c>
      <c r="H41" s="175">
        <f>IFERROR(SUM(H35:H37)/H39,"")</f>
        <v>0.463849687276976</v>
      </c>
      <c r="I41" s="175">
        <f>IFERROR(SUM(I35:I37)/I39,"")</f>
        <v>0.155525015825377</v>
      </c>
      <c r="J41" s="175">
        <f>IFERROR(SUM(J35:J37)/J39,"")</f>
        <v>0.155525015825377</v>
      </c>
      <c r="K41" s="175">
        <f>IFERROR(SUM(K35:K37)/K39,"")</f>
        <v>0.155525015825377</v>
      </c>
      <c r="L41" s="175">
        <f>IFERROR(SUM(L35:L37)/L39,"")</f>
        <v>0.155525015825377</v>
      </c>
      <c r="M41" s="175">
        <f>IFERROR(SUM(M35:M37)/M39,"")</f>
        <v>0.155525015825377</v>
      </c>
      <c r="N41" s="175" t="n"/>
      <c r="O41" s="192" t="n"/>
      <c r="P41" s="192" t="n"/>
      <c r="Q41" s="192" t="n"/>
    </row>
    <row r="42" ht="15.75" customHeight="1" s="251">
      <c r="A42" s="192" t="n"/>
      <c r="B42" s="197" t="inlineStr">
        <is>
          <t>Implied terminal RONIC (g / reinvestment rate)</t>
        </is>
      </c>
      <c r="C42" s="192" t="n"/>
      <c r="D42" s="175" t="n"/>
      <c r="E42" s="175" t="n"/>
      <c r="F42" s="175" t="n"/>
      <c r="G42" s="175" t="n"/>
      <c r="H42" s="175" t="n"/>
      <c r="I42" s="175" t="n"/>
      <c r="J42" s="175" t="n"/>
      <c r="K42" s="175" t="n"/>
      <c r="L42" s="175" t="n"/>
      <c r="M42" s="175" t="n"/>
      <c r="N42" s="175">
        <f>IFERROR($C$27/M41,"")</f>
        <v>0.257193351099941</v>
      </c>
      <c r="O42" s="192" t="n"/>
      <c r="P42" s="192" t="n"/>
      <c r="Q42" s="192" t="n"/>
    </row>
    <row r="43" ht="15" customHeight="1" s="251">
      <c r="A43" s="192" t="n"/>
      <c r="B43" s="192" t="n"/>
      <c r="C43" s="192" t="n"/>
      <c r="D43" s="198" t="inlineStr">
        <is>
          <t>Opening IC = Model FY2027E book IC (equity + net debt at the FY2027E year end), rolled forward with capex + M&amp;A − D&amp;A excl. M&amp;A amortization + ΔWC.</t>
        </is>
      </c>
      <c r="E43" s="192" t="n"/>
      <c r="F43" s="192" t="n"/>
      <c r="G43" s="192" t="n"/>
      <c r="H43" s="192" t="n"/>
      <c r="I43" s="192" t="n"/>
      <c r="J43" s="192" t="n"/>
      <c r="K43" s="192" t="n"/>
      <c r="L43" s="192" t="n"/>
      <c r="M43" s="192" t="n"/>
      <c r="N43" s="192" t="n"/>
      <c r="O43" s="192" t="n"/>
      <c r="P43" s="192" t="n"/>
      <c r="Q43" s="192" t="n"/>
    </row>
    <row r="44" ht="15.75" customHeight="1" s="251">
      <c r="A44" s="192" t="n"/>
      <c r="B44" s="195" t="inlineStr">
        <is>
          <t>3. VALUATION SUMMARY</t>
        </is>
      </c>
      <c r="C44" s="196" t="n"/>
      <c r="D44" s="196" t="n"/>
      <c r="E44" s="196" t="n"/>
      <c r="F44" s="196" t="n"/>
      <c r="G44" s="196" t="n"/>
      <c r="H44" s="196" t="n"/>
      <c r="I44" s="196" t="n"/>
      <c r="J44" s="196" t="n"/>
      <c r="K44" s="196" t="n"/>
      <c r="L44" s="196" t="n"/>
      <c r="M44" s="196" t="n"/>
      <c r="N44" s="196" t="n"/>
      <c r="O44" s="192" t="n"/>
      <c r="P44" s="192" t="n"/>
      <c r="Q44" s="192" t="n"/>
    </row>
    <row r="45" ht="15.75" customHeight="1" s="251">
      <c r="A45" s="192" t="n"/>
      <c r="B45" s="197" t="inlineStr">
        <is>
          <t>Sum of PV (explicit + fade)</t>
        </is>
      </c>
      <c r="C45" s="174">
        <f>SUM(D31:M31)</f>
        <v>3074.23209012917</v>
      </c>
      <c r="D45" s="192" t="n"/>
      <c r="E45" s="192" t="n"/>
      <c r="F45" s="192" t="n"/>
      <c r="G45" s="192" t="n"/>
      <c r="H45" s="192" t="n"/>
      <c r="I45" s="192" t="n"/>
      <c r="J45" s="192" t="n"/>
      <c r="K45" s="192" t="n"/>
      <c r="L45" s="192" t="n"/>
      <c r="M45" s="192" t="n"/>
      <c r="N45" s="192" t="n"/>
      <c r="O45" s="192" t="n"/>
      <c r="P45" s="192" t="n"/>
      <c r="Q45" s="192" t="n"/>
    </row>
    <row r="46" ht="15.75" customHeight="1" s="251">
      <c r="A46" s="192" t="n"/>
      <c r="B46" s="197" t="inlineStr">
        <is>
          <t>PV of Terminal Value</t>
        </is>
      </c>
      <c r="C46" s="174">
        <f>N31</f>
        <v>7219.01079395226</v>
      </c>
      <c r="D46" s="192" t="n"/>
      <c r="E46" s="192" t="n"/>
      <c r="F46" s="192" t="n"/>
      <c r="G46" s="192" t="n"/>
      <c r="H46" s="192" t="n"/>
      <c r="I46" s="192" t="n"/>
      <c r="J46" s="192" t="n"/>
      <c r="K46" s="192" t="n"/>
      <c r="L46" s="192" t="n"/>
      <c r="M46" s="192" t="n"/>
      <c r="N46" s="192" t="n"/>
      <c r="O46" s="192" t="n"/>
      <c r="P46" s="192" t="n"/>
      <c r="Q46" s="192" t="n"/>
    </row>
    <row r="47" ht="15.75" customHeight="1" s="251">
      <c r="A47" s="192" t="n"/>
      <c r="B47" s="199" t="inlineStr">
        <is>
          <t>Enterprise Value</t>
        </is>
      </c>
      <c r="C47" s="219">
        <f>C45+C46</f>
        <v>10293.2428840814</v>
      </c>
      <c r="D47" s="192" t="n"/>
      <c r="E47" s="192" t="n"/>
      <c r="F47" s="192" t="n"/>
      <c r="G47" s="192" t="n"/>
      <c r="H47" s="192" t="n"/>
      <c r="I47" s="192" t="n"/>
      <c r="J47" s="192" t="n"/>
      <c r="K47" s="192" t="n"/>
      <c r="L47" s="192" t="n"/>
      <c r="M47" s="192" t="n"/>
      <c r="N47" s="192" t="n"/>
      <c r="O47" s="192" t="n"/>
      <c r="P47" s="192" t="n"/>
      <c r="Q47" s="192" t="n"/>
    </row>
    <row r="48" ht="15.75" customHeight="1" s="251">
      <c r="A48" s="192" t="n"/>
      <c r="B48" s="197" t="inlineStr">
        <is>
          <t>Less: Net debt + NCI (Model FY2027E year end)</t>
        </is>
      </c>
      <c r="C48" s="173">
        <f>Model!CF387+Model!CF397</f>
        <v>470.545533901234</v>
      </c>
      <c r="D48" s="198" t="inlineStr">
        <is>
          <t>RBC: no noncontrolling interests; net debt at the base-year end (3-Apr-2027) so that FY2028E+ cash flows are not double counted; operating leases not treated as debt.</t>
        </is>
      </c>
      <c r="E48" s="192" t="n"/>
      <c r="F48" s="192" t="n"/>
      <c r="G48" s="192" t="n"/>
      <c r="H48" s="192" t="n"/>
      <c r="I48" s="192" t="n"/>
      <c r="J48" s="192" t="n"/>
      <c r="K48" s="192" t="n"/>
      <c r="L48" s="192" t="n"/>
      <c r="M48" s="192" t="n"/>
      <c r="N48" s="192" t="n"/>
      <c r="O48" s="192" t="n"/>
      <c r="P48" s="192" t="n"/>
      <c r="Q48" s="192" t="n"/>
    </row>
    <row r="49" ht="15.75" customHeight="1" s="251">
      <c r="A49" s="192" t="n"/>
      <c r="B49" s="199" t="inlineStr">
        <is>
          <t>Equity Value</t>
        </is>
      </c>
      <c r="C49" s="178">
        <f>C47-C48</f>
        <v>9822.6973501802</v>
      </c>
      <c r="D49" s="192" t="n"/>
      <c r="E49" s="192" t="n"/>
      <c r="F49" s="192" t="n"/>
      <c r="G49" s="192" t="n"/>
      <c r="H49" s="192" t="n"/>
      <c r="I49" s="192" t="n"/>
      <c r="J49" s="192" t="n"/>
      <c r="K49" s="192" t="n"/>
      <c r="L49" s="192" t="n"/>
      <c r="M49" s="192" t="n"/>
      <c r="N49" s="192" t="n"/>
      <c r="O49" s="192" t="n"/>
      <c r="P49" s="192" t="n"/>
      <c r="Q49" s="192" t="n"/>
    </row>
    <row r="50" ht="15.75" customHeight="1" s="251">
      <c r="A50" s="192" t="n"/>
      <c r="B50" s="197" t="inlineStr">
        <is>
          <t>Diluted shares (m, Model FY2027E period end)</t>
        </is>
      </c>
      <c r="C50" s="186">
        <f>Model!CF394</f>
        <v>31.875726</v>
      </c>
      <c r="D50" s="192" t="n"/>
      <c r="E50" s="192" t="n"/>
      <c r="F50" s="192" t="n"/>
      <c r="G50" s="192" t="n"/>
      <c r="H50" s="192" t="n"/>
      <c r="I50" s="192" t="n"/>
      <c r="J50" s="192" t="n"/>
      <c r="K50" s="192" t="n"/>
      <c r="L50" s="192" t="n"/>
      <c r="M50" s="192" t="n"/>
      <c r="N50" s="192" t="n"/>
      <c r="O50" s="192" t="n"/>
      <c r="P50" s="192" t="n"/>
      <c r="Q50" s="192" t="n"/>
    </row>
    <row r="51" ht="15.75" customHeight="1" s="251">
      <c r="A51" s="192" t="n"/>
      <c r="B51" s="199" t="inlineStr">
        <is>
          <t>Implied share price ($)</t>
        </is>
      </c>
      <c r="C51" s="187">
        <f>C49/C50</f>
        <v>308.156035416423</v>
      </c>
      <c r="D51" s="192" t="n"/>
      <c r="E51" s="192" t="n"/>
      <c r="F51" s="192" t="n"/>
      <c r="G51" s="192" t="n"/>
      <c r="H51" s="192" t="n"/>
      <c r="I51" s="192" t="n"/>
      <c r="J51" s="192" t="n"/>
      <c r="K51" s="192" t="n"/>
      <c r="L51" s="192" t="n"/>
      <c r="M51" s="192" t="n"/>
      <c r="N51" s="192" t="n"/>
      <c r="O51" s="192" t="n"/>
      <c r="P51" s="192" t="n"/>
      <c r="Q51" s="192" t="n"/>
    </row>
    <row r="52" ht="15.75" customHeight="1" s="251">
      <c r="A52" s="192" t="n"/>
      <c r="B52" s="197" t="inlineStr">
        <is>
          <t>Current share price ($)</t>
        </is>
      </c>
      <c r="C52" s="188">
        <f>Model!CF393</f>
        <v>510</v>
      </c>
      <c r="D52" s="192" t="n"/>
      <c r="E52" s="192" t="n"/>
      <c r="F52" s="192" t="n"/>
      <c r="G52" s="192" t="n"/>
      <c r="H52" s="192" t="n"/>
      <c r="I52" s="192" t="n"/>
      <c r="J52" s="192" t="n"/>
      <c r="K52" s="192" t="n"/>
      <c r="L52" s="192" t="n"/>
      <c r="M52" s="192" t="n"/>
      <c r="N52" s="192" t="n"/>
      <c r="O52" s="192" t="n"/>
      <c r="P52" s="192" t="n"/>
      <c r="Q52" s="192" t="n"/>
    </row>
    <row r="53" ht="15.75" customHeight="1" s="251">
      <c r="A53" s="192" t="n"/>
      <c r="B53" s="199" t="inlineStr">
        <is>
          <t>Implied upside / (downside)</t>
        </is>
      </c>
      <c r="C53" s="189">
        <f>C51/C52-1</f>
        <v>-0.395772479575641</v>
      </c>
      <c r="D53" s="192" t="n"/>
      <c r="E53" s="192" t="n"/>
      <c r="F53" s="192" t="n"/>
      <c r="G53" s="192" t="n"/>
      <c r="H53" s="192" t="n"/>
      <c r="I53" s="192" t="n"/>
      <c r="J53" s="192" t="n"/>
      <c r="K53" s="192" t="n"/>
      <c r="L53" s="192" t="n"/>
      <c r="M53" s="192" t="n"/>
      <c r="N53" s="192" t="n"/>
      <c r="O53" s="192" t="n"/>
      <c r="P53" s="192" t="n"/>
      <c r="Q53" s="192" t="n"/>
    </row>
    <row r="54" ht="15.75" customHeight="1" s="251">
      <c r="A54" s="192" t="n"/>
      <c r="B54" s="197" t="inlineStr">
        <is>
          <t>Required discount to DCF value for target IRR</t>
        </is>
      </c>
      <c r="C54" s="175">
        <f>1-((1+C13)/(1+H54))^H55</f>
        <v>0.142936913254601</v>
      </c>
      <c r="D54" s="205" t="inlineStr">
        <is>
          <t>vs. current</t>
        </is>
      </c>
      <c r="E54" s="237" t="inlineStr">
        <is>
          <t>Target IRR</t>
        </is>
      </c>
      <c r="F54" s="192" t="n"/>
      <c r="G54" s="192" t="n"/>
      <c r="H54" s="182" t="n">
        <v>0.15</v>
      </c>
      <c r="I54" s="192" t="n"/>
      <c r="J54" s="192" t="n"/>
      <c r="K54" s="192" t="n"/>
      <c r="L54" s="192" t="n"/>
      <c r="M54" s="192" t="n"/>
      <c r="N54" s="192" t="n"/>
      <c r="O54" s="192" t="n"/>
      <c r="P54" s="192" t="n"/>
      <c r="Q54" s="192" t="n"/>
    </row>
    <row r="55" ht="15.75" customHeight="1" s="251">
      <c r="A55" s="192" t="n"/>
      <c r="B55" s="199" t="inlineStr">
        <is>
          <t>Max entry price for target IRR ($)</t>
        </is>
      </c>
      <c r="C55" s="190">
        <f>C51*(1-C54)</f>
        <v>264.109162913224</v>
      </c>
      <c r="D55" s="175">
        <f>C55/C52-1</f>
        <v>-0.48213889624858</v>
      </c>
      <c r="E55" s="237" t="inlineStr">
        <is>
          <t>Years for discount to close</t>
        </is>
      </c>
      <c r="F55" s="192" t="n"/>
      <c r="G55" s="192" t="n"/>
      <c r="H55" s="191" t="n">
        <v>3</v>
      </c>
      <c r="I55" s="192" t="n"/>
      <c r="J55" s="192" t="n"/>
      <c r="K55" s="192" t="n"/>
      <c r="L55" s="192" t="n"/>
      <c r="M55" s="192" t="n"/>
      <c r="N55" s="192" t="n"/>
      <c r="O55" s="192" t="n"/>
      <c r="P55" s="192" t="n"/>
      <c r="Q55" s="192" t="n"/>
    </row>
    <row r="56" ht="15" customHeight="1" s="251">
      <c r="A56" s="192" t="n"/>
      <c r="B56" s="192" t="n"/>
      <c r="C56" s="192" t="n"/>
      <c r="D56" s="192" t="n"/>
      <c r="E56" s="192" t="n"/>
      <c r="F56" s="192" t="n"/>
      <c r="G56" s="192" t="n"/>
      <c r="H56" s="192" t="n"/>
      <c r="I56" s="192" t="n"/>
      <c r="J56" s="192" t="n"/>
      <c r="K56" s="192" t="n"/>
      <c r="L56" s="192" t="n"/>
      <c r="M56" s="192" t="n"/>
      <c r="N56" s="192" t="n"/>
      <c r="O56" s="192" t="n"/>
      <c r="P56" s="192" t="n"/>
      <c r="Q56" s="192" t="n"/>
    </row>
    <row r="57" ht="15" customHeight="1" s="251">
      <c r="A57" s="192" t="n"/>
      <c r="B57" s="192" t="n"/>
      <c r="C57" s="192" t="n"/>
      <c r="D57" s="192" t="n"/>
      <c r="E57" s="192" t="n"/>
      <c r="F57" s="192" t="n"/>
      <c r="G57" s="192" t="n"/>
      <c r="H57" s="192" t="n"/>
      <c r="I57" s="192" t="n"/>
      <c r="J57" s="192" t="n"/>
      <c r="K57" s="192" t="n"/>
      <c r="L57" s="192" t="n"/>
      <c r="M57" s="192" t="n"/>
      <c r="N57" s="192" t="n"/>
      <c r="O57" s="192" t="n"/>
      <c r="P57" s="192" t="n"/>
      <c r="Q57" s="192" t="n"/>
    </row>
    <row r="58" ht="15.75" customHeight="1" s="251">
      <c r="A58" s="192" t="n"/>
      <c r="B58" s="195" t="inlineStr">
        <is>
          <t>4. SENSITIVITY: IMPLIED PRICE ($) — WACC × Terminal Growth</t>
        </is>
      </c>
      <c r="C58" s="196" t="n"/>
      <c r="D58" s="196" t="n"/>
      <c r="E58" s="196" t="n"/>
      <c r="F58" s="196" t="n"/>
      <c r="G58" s="196" t="n"/>
      <c r="H58" s="196" t="n"/>
      <c r="I58" s="196" t="n"/>
      <c r="J58" s="196" t="n"/>
      <c r="K58" s="196" t="n"/>
      <c r="L58" s="196" t="n"/>
      <c r="M58" s="196" t="n"/>
      <c r="N58" s="196" t="n"/>
      <c r="O58" s="192" t="n"/>
      <c r="P58" s="192" t="n"/>
      <c r="Q58" s="192" t="n"/>
    </row>
    <row r="59" ht="15" customHeight="1" s="251">
      <c r="A59" s="192" t="n"/>
      <c r="B59" s="192" t="n"/>
      <c r="C59" s="192" t="n"/>
      <c r="D59" s="192" t="n"/>
      <c r="E59" s="192" t="n"/>
      <c r="F59" s="192" t="n"/>
      <c r="G59" s="192" t="n"/>
      <c r="H59" s="192" t="n"/>
      <c r="I59" s="192" t="n"/>
      <c r="J59" s="192" t="n"/>
      <c r="K59" s="192" t="n"/>
      <c r="L59" s="192" t="n"/>
      <c r="M59" s="192" t="n"/>
      <c r="N59" s="192" t="n"/>
      <c r="O59" s="192" t="n"/>
      <c r="P59" s="192" t="n"/>
      <c r="Q59" s="192" t="n"/>
    </row>
    <row r="60" ht="15.75" customHeight="1" s="251">
      <c r="A60" s="192" t="n"/>
      <c r="B60" s="199" t="n"/>
      <c r="C60" s="192" t="n"/>
      <c r="D60" s="206" t="inlineStr">
        <is>
          <t>WACC →</t>
        </is>
      </c>
      <c r="E60" s="206" t="n"/>
      <c r="F60" s="206" t="n"/>
      <c r="G60" s="206" t="n"/>
      <c r="H60" s="206" t="n"/>
      <c r="I60" s="192" t="n"/>
      <c r="J60" s="192" t="n"/>
      <c r="K60" s="192" t="n"/>
      <c r="L60" s="192" t="n"/>
      <c r="M60" s="192" t="n"/>
      <c r="N60" s="192" t="n"/>
      <c r="O60" s="192" t="n"/>
      <c r="P60" s="192" t="n"/>
      <c r="Q60" s="192" t="n"/>
    </row>
    <row r="61" ht="15.75" customHeight="1" s="251">
      <c r="A61" s="192" t="n"/>
      <c r="B61" s="231" t="inlineStr">
        <is>
          <t>Terminal growth ↓</t>
        </is>
      </c>
      <c r="C61" s="227" t="n"/>
      <c r="D61" s="228">
        <f>F61-0.01</f>
        <v>0.0823675</v>
      </c>
      <c r="E61" s="228">
        <f>F61-0.005</f>
        <v>0.0873675</v>
      </c>
      <c r="F61" s="228">
        <f>$C$13</f>
        <v>0.0923675</v>
      </c>
      <c r="G61" s="228">
        <f>F61+0.005</f>
        <v>0.0973675</v>
      </c>
      <c r="H61" s="234">
        <f>F61+0.01</f>
        <v>0.1023675</v>
      </c>
      <c r="I61" s="192" t="n"/>
      <c r="J61" s="192" t="n"/>
      <c r="K61" s="192" t="n"/>
      <c r="L61" s="192" t="n"/>
      <c r="M61" s="192" t="n"/>
      <c r="N61" s="192" t="n"/>
      <c r="O61" s="192" t="n"/>
      <c r="P61" s="192" t="n"/>
      <c r="Q61" s="192" t="n"/>
    </row>
    <row r="62" ht="15.75" customHeight="1" s="251">
      <c r="A62" s="192" t="n"/>
      <c r="B62" s="232">
        <f>B64-0.01</f>
        <v>0.03</v>
      </c>
      <c r="C62" s="192" t="n"/>
      <c r="D62" s="225">
        <f t="array" ref="D62">IFERROR((SUMPRODUCT($D$24:$M$24/(1+D$61)^$D$29:$M$29)+($M$24*(1+$B62)/(D$61-$B62))/(1+D$61)^$M$29-$C$48)/$C$50,"")</f>
        <v>334.77979594697</v>
      </c>
      <c r="E62" s="225">
        <f t="array" ref="E62">IFERROR((SUMPRODUCT($D$24:$M$24/(1+E$61)^$D$29:$M$29)+($M$24*(1+$B62)/(E$61-$B62))/(1+E$61)^$M$29-$C$48)/$C$50,"")</f>
        <v>299.508266429345</v>
      </c>
      <c r="F62" s="225">
        <f t="array" ref="F62">IFERROR((SUMPRODUCT($D$24:$M$24/(1+F$61)^$D$29:$M$29)+($M$24*(1+$B62)/(F$61-$B62))/(1+F$61)^$M$29-$C$48)/$C$50,"")</f>
        <v>270.014804766077</v>
      </c>
      <c r="G62" s="225">
        <f t="array" ref="G62">IFERROR((SUMPRODUCT($D$24:$M$24/(1+G$61)^$D$29:$M$29)+($M$24*(1+$B62)/(G$61-$B62))/(1+G$61)^$M$29-$C$48)/$C$50,"")</f>
        <v>245.008907698618</v>
      </c>
      <c r="H62" s="235">
        <f t="array" ref="H62">IFERROR((SUMPRODUCT($D$24:$M$24/(1+H$61)^$D$29:$M$29)+($M$24*(1+$B62)/(H$61-$B62))/(1+H$61)^$M$29-$C$48)/$C$50,"")</f>
        <v>223.556875838124</v>
      </c>
      <c r="I62" s="192" t="n"/>
      <c r="J62" s="192" t="n"/>
      <c r="K62" s="192" t="n"/>
      <c r="L62" s="192" t="n"/>
      <c r="M62" s="192" t="n"/>
      <c r="N62" s="192" t="n"/>
      <c r="O62" s="192" t="n"/>
      <c r="P62" s="192" t="n"/>
      <c r="Q62" s="192" t="n"/>
    </row>
    <row r="63" ht="15.75" customHeight="1" s="251">
      <c r="A63" s="192" t="n"/>
      <c r="B63" s="232">
        <f>B64-0.005</f>
        <v>0.035</v>
      </c>
      <c r="C63" s="192" t="n"/>
      <c r="D63" s="225">
        <f t="array" ref="D63">IFERROR((SUMPRODUCT($D$24:$M$24/(1+D$61)^$D$29:$M$29)+($M$24*(1+$B63)/(D$61-$B63))/(1+D$61)^$M$29-$C$48)/$C$50,"")</f>
        <v>362.172967311105</v>
      </c>
      <c r="E63" s="225">
        <f t="array" ref="E63">IFERROR((SUMPRODUCT($D$24:$M$24/(1+E$61)^$D$29:$M$29)+($M$24*(1+$B63)/(E$61-$B63))/(1+E$61)^$M$29-$C$48)/$C$50,"")</f>
        <v>321.161039892149</v>
      </c>
      <c r="F63" s="225">
        <f t="array" ref="F63">IFERROR((SUMPRODUCT($D$24:$M$24/(1+F$61)^$D$29:$M$29)+($M$24*(1+$B63)/(F$61-$B63))/(1+F$61)^$M$29-$C$48)/$C$50,"")</f>
        <v>287.423275556002</v>
      </c>
      <c r="G63" s="225">
        <f t="array" ref="G63">IFERROR((SUMPRODUCT($D$24:$M$24/(1+G$61)^$D$29:$M$29)+($M$24*(1+$B63)/(G$61-$B63))/(1+G$61)^$M$29-$C$48)/$C$50,"")</f>
        <v>259.20620950631</v>
      </c>
      <c r="H63" s="235">
        <f t="array" ref="H63">IFERROR((SUMPRODUCT($D$24:$M$24/(1+H$61)^$D$29:$M$29)+($M$24*(1+$B63)/(H$61-$B63))/(1+H$61)^$M$29-$C$48)/$C$50,"")</f>
        <v>235.277091659906</v>
      </c>
      <c r="I63" s="192" t="n"/>
      <c r="J63" s="192" t="n"/>
      <c r="K63" s="192" t="n"/>
      <c r="L63" s="192" t="n"/>
      <c r="M63" s="192" t="n"/>
      <c r="N63" s="192" t="n"/>
      <c r="O63" s="192" t="n"/>
      <c r="P63" s="192" t="n"/>
      <c r="Q63" s="192" t="n"/>
    </row>
    <row r="64" ht="15.75" customHeight="1" s="251">
      <c r="A64" s="192" t="n"/>
      <c r="B64" s="232">
        <f>$C$27</f>
        <v>0.04</v>
      </c>
      <c r="C64" s="192" t="n"/>
      <c r="D64" s="225">
        <f t="array" ref="D64">IFERROR((SUMPRODUCT($D$24:$M$24/(1+D$61)^$D$29:$M$29)+($M$24*(1+$B64)/(D$61-$B64))/(1+D$61)^$M$29-$C$48)/$C$50,"")</f>
        <v>396.031748249592</v>
      </c>
      <c r="E64" s="225">
        <f t="array" ref="E64">IFERROR((SUMPRODUCT($D$24:$M$24/(1+E$61)^$D$29:$M$29)+($M$24*(1+$B64)/(E$61-$B64))/(1+E$61)^$M$29-$C$48)/$C$50,"")</f>
        <v>347.38504330435</v>
      </c>
      <c r="F64" s="226">
        <f t="array" ref="F64">IFERROR((SUMPRODUCT($D$24:$M$24/(1+F$61)^$D$29:$M$29)+($M$24*(1+$B64)/(F$61-$B64))/(1+F$61)^$M$29-$C$48)/$C$50,"")</f>
        <v>308.156035416423</v>
      </c>
      <c r="G64" s="225">
        <f t="array" ref="G64">IFERROR((SUMPRODUCT($D$24:$M$24/(1+G$61)^$D$29:$M$29)+($M$24*(1+$B64)/(G$61-$B64))/(1+G$61)^$M$29-$C$48)/$C$50,"")</f>
        <v>275.878310077709</v>
      </c>
      <c r="H64" s="235">
        <f t="array" ref="H64">IFERROR((SUMPRODUCT($D$24:$M$24/(1+H$61)^$D$29:$M$29)+($M$24*(1+$B64)/(H$61-$B64))/(1+H$61)^$M$29-$C$48)/$C$50,"")</f>
        <v>248.876525956339</v>
      </c>
      <c r="I64" s="192" t="n"/>
      <c r="J64" s="192" t="n"/>
      <c r="K64" s="192" t="n"/>
      <c r="L64" s="192" t="n"/>
      <c r="M64" s="192" t="n"/>
      <c r="N64" s="192" t="n"/>
      <c r="O64" s="192" t="n"/>
      <c r="P64" s="192" t="n"/>
      <c r="Q64" s="192" t="n"/>
    </row>
    <row r="65" ht="15.75" customHeight="1" s="251">
      <c r="A65" s="192" t="n"/>
      <c r="B65" s="232">
        <f>B64+0.005</f>
        <v>0.045</v>
      </c>
      <c r="C65" s="192" t="n"/>
      <c r="D65" s="225">
        <f t="array" ref="D65">IFERROR((SUMPRODUCT($D$24:$M$24/(1+D$61)^$D$29:$M$29)+($M$24*(1+$B65)/(D$61-$B65))/(1+D$61)^$M$29-$C$48)/$C$50,"")</f>
        <v>438.951553056009</v>
      </c>
      <c r="E65" s="225">
        <f t="array" ref="E65">IFERROR((SUMPRODUCT($D$24:$M$24/(1+E$61)^$D$29:$M$29)+($M$24*(1+$B65)/(E$61-$B65))/(1+E$61)^$M$29-$C$48)/$C$50,"")</f>
        <v>379.798697607492</v>
      </c>
      <c r="F65" s="225">
        <f t="array" ref="F65">IFERROR((SUMPRODUCT($D$24:$M$24/(1+F$61)^$D$29:$M$29)+($M$24*(1+$B65)/(F$61-$B65))/(1+F$61)^$M$29-$C$48)/$C$50,"")</f>
        <v>333.265796355732</v>
      </c>
      <c r="G65" s="225">
        <f t="array" ref="G65">IFERROR((SUMPRODUCT($D$24:$M$24/(1+G$61)^$D$29:$M$29)+($M$24*(1+$B65)/(G$61-$B65))/(1+G$61)^$M$29-$C$48)/$C$50,"")</f>
        <v>295.734083837898</v>
      </c>
      <c r="H65" s="235">
        <f t="array" ref="H65">IFERROR((SUMPRODUCT($D$24:$M$24/(1+H$61)^$D$29:$M$29)+($M$24*(1+$B65)/(H$61-$B65))/(1+H$61)^$M$29-$C$48)/$C$50,"")</f>
        <v>264.846541905525</v>
      </c>
      <c r="I65" s="192" t="n"/>
      <c r="J65" s="192" t="n"/>
      <c r="K65" s="192" t="n"/>
      <c r="L65" s="192" t="n"/>
      <c r="M65" s="192" t="n"/>
      <c r="N65" s="192" t="n"/>
      <c r="O65" s="192" t="n"/>
      <c r="P65" s="192" t="n"/>
      <c r="Q65" s="192" t="n"/>
    </row>
    <row r="66" ht="15.75" customHeight="1" s="251">
      <c r="A66" s="192" t="n"/>
      <c r="B66" s="233">
        <f>B64+0.01</f>
        <v>0.05</v>
      </c>
      <c r="C66" s="229" t="n"/>
      <c r="D66" s="230">
        <f t="array" ref="D66">IFERROR((SUMPRODUCT($D$24:$M$24/(1+D$61)^$D$29:$M$29)+($M$24*(1+$B66)/(D$61-$B66))/(1+D$61)^$M$29-$C$48)/$C$50,"")</f>
        <v>495.131512278558</v>
      </c>
      <c r="E66" s="230">
        <f t="array" ref="E66">IFERROR((SUMPRODUCT($D$24:$M$24/(1+E$61)^$D$29:$M$29)+($M$24*(1+$B66)/(E$61-$B66))/(1+E$61)^$M$29-$C$48)/$C$50,"")</f>
        <v>420.886642217224</v>
      </c>
      <c r="F66" s="230">
        <f t="array" ref="F66">IFERROR((SUMPRODUCT($D$24:$M$24/(1+F$61)^$D$29:$M$29)+($M$24*(1+$B66)/(F$61-$B66))/(1+F$61)^$M$29-$C$48)/$C$50,"")</f>
        <v>364.302213562064</v>
      </c>
      <c r="G66" s="230">
        <f t="array" ref="G66">IFERROR((SUMPRODUCT($D$24:$M$24/(1+G$61)^$D$29:$M$29)+($M$24*(1+$B66)/(G$61-$B66))/(1+G$61)^$M$29-$C$48)/$C$50,"")</f>
        <v>319.781713566882</v>
      </c>
      <c r="H66" s="236">
        <f t="array" ref="H66">IFERROR((SUMPRODUCT($D$24:$M$24/(1+H$61)^$D$29:$M$29)+($M$24*(1+$B66)/(H$61-$B66))/(1+H$61)^$M$29-$C$48)/$C$50,"")</f>
        <v>283.866162275237</v>
      </c>
      <c r="I66" s="192" t="n"/>
      <c r="J66" s="192" t="n"/>
      <c r="K66" s="192" t="n"/>
      <c r="L66" s="192" t="n"/>
      <c r="M66" s="192" t="n"/>
      <c r="N66" s="192" t="n"/>
      <c r="O66" s="192" t="n"/>
      <c r="P66" s="192" t="n"/>
      <c r="Q66" s="192" t="n"/>
    </row>
    <row r="67" ht="15" customHeight="1" s="251">
      <c r="A67" s="192" t="n"/>
      <c r="B67" s="192" t="n"/>
      <c r="C67" s="192" t="n"/>
      <c r="D67" s="192" t="n"/>
      <c r="E67" s="192" t="n"/>
      <c r="F67" s="192" t="n"/>
      <c r="G67" s="192" t="n"/>
      <c r="H67" s="192" t="n"/>
      <c r="I67" s="192" t="n"/>
      <c r="J67" s="192" t="n"/>
      <c r="K67" s="192" t="n"/>
      <c r="L67" s="192" t="n"/>
      <c r="M67" s="192" t="n"/>
      <c r="N67" s="192" t="n"/>
      <c r="O67" s="192" t="n"/>
      <c r="P67" s="192" t="n"/>
      <c r="Q67" s="192" t="n"/>
    </row>
    <row r="68" ht="15" customHeight="1" s="251">
      <c r="A68" s="192" t="n"/>
      <c r="B68" s="192" t="n"/>
      <c r="C68" s="192" t="n"/>
      <c r="D68" s="192" t="n"/>
      <c r="E68" s="192" t="n"/>
      <c r="F68" s="192" t="n"/>
      <c r="G68" s="192" t="n"/>
      <c r="H68" s="192" t="n"/>
      <c r="I68" s="192" t="n"/>
      <c r="J68" s="192" t="n"/>
      <c r="K68" s="192" t="n"/>
      <c r="L68" s="192" t="n"/>
      <c r="M68" s="192" t="n"/>
      <c r="N68" s="192" t="n"/>
      <c r="O68" s="192" t="n"/>
      <c r="P68" s="192" t="n"/>
      <c r="Q68" s="192" t="n"/>
    </row>
    <row r="69" ht="15.75" customHeight="1" s="251">
      <c r="A69" s="192" t="n"/>
      <c r="B69" s="195" t="inlineStr">
        <is>
          <t>5. REVERSE DCF</t>
        </is>
      </c>
      <c r="C69" s="196" t="n"/>
      <c r="D69" s="196" t="n"/>
      <c r="E69" s="196" t="n"/>
      <c r="F69" s="196" t="n"/>
      <c r="G69" s="196" t="n"/>
      <c r="H69" s="196" t="n"/>
      <c r="I69" s="196" t="n"/>
      <c r="J69" s="196" t="n"/>
      <c r="K69" s="196" t="n"/>
      <c r="L69" s="196" t="n"/>
      <c r="M69" s="196" t="n"/>
      <c r="N69" s="196" t="n"/>
      <c r="O69" s="192" t="n"/>
      <c r="P69" s="192" t="n"/>
      <c r="Q69" s="192" t="n"/>
    </row>
    <row r="70" ht="15" customHeight="1" s="251">
      <c r="A70" s="192" t="n"/>
      <c r="B70" s="198" t="inlineStr">
        <is>
          <t>To solve for the market-implied path: Data ▸ What-If Analysis ▸ Goal Seek — set C51 to the current price (C52) by changing C27 (terminal growth) or the fade-period growth inputs (I26:M26).</t>
        </is>
      </c>
      <c r="C70" s="192" t="n"/>
      <c r="D70" s="192" t="n"/>
      <c r="E70" s="192" t="n"/>
      <c r="F70" s="192" t="n"/>
      <c r="G70" s="192" t="n"/>
      <c r="H70" s="192" t="n"/>
      <c r="I70" s="192" t="n"/>
      <c r="J70" s="192" t="n"/>
      <c r="K70" s="192" t="n"/>
      <c r="L70" s="192" t="n"/>
      <c r="M70" s="192" t="n"/>
      <c r="N70" s="192" t="n"/>
      <c r="O70" s="192" t="n"/>
      <c r="P70" s="192" t="n"/>
      <c r="Q70" s="192" t="n"/>
    </row>
    <row r="71" ht="15" customHeight="1" s="251">
      <c r="A71" s="192" t="n"/>
      <c r="B71" s="192" t="n"/>
      <c r="C71" s="192" t="n"/>
      <c r="D71" s="192" t="n"/>
      <c r="E71" s="192" t="n"/>
      <c r="F71" s="192" t="n"/>
      <c r="G71" s="192" t="n"/>
      <c r="H71" s="192" t="n"/>
      <c r="I71" s="192" t="n"/>
      <c r="J71" s="192" t="n"/>
      <c r="K71" s="192" t="n"/>
      <c r="L71" s="192" t="n"/>
      <c r="M71" s="192" t="n"/>
      <c r="N71" s="192" t="n"/>
      <c r="O71" s="192" t="n"/>
      <c r="P71" s="192" t="n"/>
      <c r="Q71" s="192" t="n"/>
    </row>
    <row r="72" ht="15.75" customHeight="1" s="251">
      <c r="A72" s="192" t="n"/>
      <c r="B72" s="195" t="inlineStr">
        <is>
          <t>6. MAUBOUSSIN EV / NOPAT — TWO-STAGE FRAMEWORK</t>
        </is>
      </c>
      <c r="C72" s="196" t="n"/>
      <c r="D72" s="196" t="n"/>
      <c r="E72" s="196" t="n"/>
      <c r="F72" s="196" t="n"/>
      <c r="G72" s="196" t="n"/>
      <c r="H72" s="196" t="n"/>
      <c r="I72" s="196" t="n"/>
      <c r="J72" s="196" t="n"/>
      <c r="K72" s="196" t="n"/>
      <c r="L72" s="196" t="n"/>
      <c r="M72" s="196" t="n"/>
      <c r="N72" s="196" t="n"/>
      <c r="O72" s="192" t="n"/>
      <c r="P72" s="192" t="n"/>
      <c r="Q72" s="192" t="n"/>
    </row>
    <row r="73" ht="15" customHeight="1" s="251">
      <c r="A73" s="192" t="n"/>
      <c r="B73" s="198" t="inlineStr">
        <is>
          <t>EV/NOPAT  =  1/r  +  [g × (1 − r/ROIIC) / (r × (r − g))] × [1 − ((1+g)/(1+r))^N]</t>
        </is>
      </c>
      <c r="C73" s="192" t="n"/>
      <c r="D73" s="192" t="n"/>
      <c r="E73" s="192" t="n"/>
      <c r="F73" s="192" t="n"/>
      <c r="G73" s="192" t="n"/>
      <c r="H73" s="192" t="n"/>
      <c r="I73" s="192" t="n"/>
      <c r="J73" s="192" t="n"/>
      <c r="K73" s="192" t="n"/>
      <c r="L73" s="192" t="n"/>
      <c r="M73" s="192" t="n"/>
      <c r="N73" s="192" t="n"/>
      <c r="O73" s="192" t="n"/>
      <c r="P73" s="192" t="n"/>
      <c r="Q73" s="192" t="n"/>
    </row>
    <row r="74" ht="15" customHeight="1" s="251">
      <c r="A74" s="192" t="n"/>
      <c r="B74" s="198" t="inlineStr">
        <is>
          <t>Formula source: Mauboussin &amp; Rappaport, "Expectations Investing" (2021); Counterpoint Global, "What Does a Price-Earnings Multiple Mean?" (2020).</t>
        </is>
      </c>
      <c r="C74" s="192" t="n"/>
      <c r="D74" s="192" t="n"/>
      <c r="E74" s="192" t="n"/>
      <c r="F74" s="192" t="n"/>
      <c r="G74" s="192" t="n"/>
      <c r="H74" s="192" t="n"/>
      <c r="I74" s="192" t="n"/>
      <c r="J74" s="192" t="n"/>
      <c r="K74" s="192" t="n"/>
      <c r="L74" s="192" t="n"/>
      <c r="M74" s="192" t="n"/>
      <c r="N74" s="192" t="n"/>
      <c r="O74" s="192" t="n"/>
      <c r="P74" s="192" t="n"/>
      <c r="Q74" s="192" t="n"/>
    </row>
    <row r="75" ht="15" customHeight="1" s="251">
      <c r="A75" s="192" t="n"/>
      <c r="B75" s="192" t="n"/>
      <c r="C75" s="192" t="n"/>
      <c r="D75" s="192" t="n"/>
      <c r="E75" s="192" t="n"/>
      <c r="F75" s="192" t="n"/>
      <c r="G75" s="192" t="n"/>
      <c r="H75" s="192" t="n"/>
      <c r="I75" s="192" t="n"/>
      <c r="J75" s="192" t="n"/>
      <c r="K75" s="192" t="n"/>
      <c r="L75" s="192" t="n"/>
      <c r="M75" s="192" t="n"/>
      <c r="N75" s="192" t="n"/>
      <c r="O75" s="192" t="n"/>
      <c r="P75" s="192" t="n"/>
      <c r="Q75" s="192" t="n"/>
    </row>
    <row r="76" ht="15.75" customHeight="1" s="251">
      <c r="A76" s="192" t="n"/>
      <c r="B76" s="195" t="inlineStr">
        <is>
          <t>Input</t>
        </is>
      </c>
      <c r="C76" s="207" t="inlineStr">
        <is>
          <t>Value</t>
        </is>
      </c>
      <c r="D76" s="195" t="inlineStr">
        <is>
          <t>Rationale (RBC Bearings characteristics)</t>
        </is>
      </c>
      <c r="E76" s="196" t="n"/>
      <c r="F76" s="196" t="n"/>
      <c r="G76" s="196" t="n"/>
      <c r="H76" s="196" t="n"/>
      <c r="I76" s="196" t="n"/>
      <c r="J76" s="196" t="n"/>
      <c r="K76" s="196" t="n"/>
      <c r="L76" s="196" t="n"/>
      <c r="M76" s="196" t="n"/>
      <c r="N76" s="196" t="n"/>
      <c r="O76" s="192" t="n"/>
      <c r="P76" s="192" t="n"/>
      <c r="Q76" s="192" t="n"/>
    </row>
    <row r="77" ht="15.75" customHeight="1" s="251">
      <c r="A77" s="192" t="n"/>
      <c r="B77" s="197" t="inlineStr">
        <is>
          <t>r  (Cost of capital / WACC)</t>
        </is>
      </c>
      <c r="C77" s="238">
        <f>$C$13</f>
        <v>0.0923675</v>
      </c>
      <c r="D77" s="198" t="inlineStr">
        <is>
          <t>Linked from Section 1 WACC build</t>
        </is>
      </c>
      <c r="E77" s="192" t="n"/>
      <c r="F77" s="192" t="n"/>
      <c r="G77" s="192" t="n"/>
      <c r="H77" s="192" t="n"/>
      <c r="I77" s="192" t="n"/>
      <c r="J77" s="192" t="n"/>
      <c r="K77" s="192" t="n"/>
      <c r="L77" s="192" t="n"/>
      <c r="M77" s="192" t="n"/>
      <c r="N77" s="192" t="n"/>
      <c r="O77" s="192" t="n"/>
      <c r="P77" s="192" t="n"/>
      <c r="Q77" s="192" t="n"/>
    </row>
    <row r="78" ht="15.75" customHeight="1" s="251">
      <c r="A78" s="192" t="n"/>
      <c r="B78" s="197" t="inlineStr">
        <is>
          <t>g  (NOPAT growth, Stage 1)</t>
        </is>
      </c>
      <c r="C78" s="239" t="n">
        <v>0.09</v>
      </c>
      <c r="D78" s="198" t="inlineStr">
        <is>
          <t>Model adjusted EBITA CAGR FY2027–32E: high-single-digit sales growth (defense / space / commercial aerospace, Dodge industrial) with stable margins → ~9% NOPAT growth</t>
        </is>
      </c>
      <c r="E78" s="192" t="n"/>
      <c r="F78" s="192" t="n"/>
      <c r="G78" s="192" t="n"/>
      <c r="H78" s="192" t="n"/>
      <c r="I78" s="192" t="n"/>
      <c r="J78" s="192" t="n"/>
      <c r="K78" s="192" t="n"/>
      <c r="L78" s="192" t="n"/>
      <c r="M78" s="192" t="n"/>
      <c r="N78" s="192" t="n"/>
      <c r="O78" s="192" t="n"/>
      <c r="P78" s="192" t="n"/>
      <c r="Q78" s="192" t="n"/>
    </row>
    <row r="79" ht="15.75" customHeight="1" s="251">
      <c r="A79" s="192" t="n"/>
      <c r="B79" s="197" t="inlineStr">
        <is>
          <t>ROIIC  (Return on incremental invested capital)</t>
        </is>
      </c>
      <c r="C79" s="239" t="n">
        <v>0.15</v>
      </c>
      <c r="D79" s="198" t="inlineStr">
        <is>
          <t>Sole-source, certified bearings on long-lived aircraft and defense platforms plus Dodge replacement demand earn high incremental returns; the Dodge goodwill depresses reported ROIC (~8–10%)</t>
        </is>
      </c>
      <c r="E79" s="192" t="n"/>
      <c r="F79" s="192" t="n"/>
      <c r="G79" s="192" t="n"/>
      <c r="H79" s="192" t="n"/>
      <c r="I79" s="192" t="n"/>
      <c r="J79" s="192" t="n"/>
      <c r="K79" s="192" t="n"/>
      <c r="L79" s="192" t="n"/>
      <c r="M79" s="192" t="n"/>
      <c r="N79" s="192" t="n"/>
      <c r="O79" s="192" t="n"/>
      <c r="P79" s="192" t="n"/>
      <c r="Q79" s="192" t="n"/>
    </row>
    <row r="80" ht="15.75" customHeight="1" s="251">
      <c r="A80" s="192" t="n"/>
      <c r="B80" s="197" t="inlineStr">
        <is>
          <t>N  (Years of value creation / CAP)</t>
        </is>
      </c>
      <c r="C80" s="208" t="n">
        <v>15</v>
      </c>
      <c r="D80" s="198" t="inlineStr">
        <is>
          <t>Qualification barriers (OEM approvals, military specs) and a large aftermarket sustain a long competitive-advantage period; Industrial exposure is cyclical</t>
        </is>
      </c>
      <c r="E80" s="192" t="n"/>
      <c r="F80" s="192" t="n"/>
      <c r="G80" s="192" t="n"/>
      <c r="H80" s="192" t="n"/>
      <c r="I80" s="192" t="n"/>
      <c r="J80" s="192" t="n"/>
      <c r="K80" s="192" t="n"/>
      <c r="L80" s="192" t="n"/>
      <c r="M80" s="192" t="n"/>
      <c r="N80" s="192" t="n"/>
      <c r="O80" s="192" t="n"/>
      <c r="P80" s="192" t="n"/>
      <c r="Q80" s="192" t="n"/>
    </row>
    <row r="81" ht="15" customHeight="1" s="251">
      <c r="A81" s="192" t="n"/>
      <c r="B81" s="192" t="n"/>
      <c r="C81" s="192" t="n"/>
      <c r="D81" s="192" t="n"/>
      <c r="E81" s="192" t="n"/>
      <c r="F81" s="192" t="n"/>
      <c r="G81" s="192" t="n"/>
      <c r="H81" s="192" t="n"/>
      <c r="I81" s="192" t="n"/>
      <c r="J81" s="192" t="n"/>
      <c r="K81" s="192" t="n"/>
      <c r="L81" s="192" t="n"/>
      <c r="M81" s="192" t="n"/>
      <c r="N81" s="192" t="n"/>
      <c r="O81" s="192" t="n"/>
      <c r="P81" s="192" t="n"/>
      <c r="Q81" s="192" t="n"/>
    </row>
    <row r="82" ht="15.75" customHeight="1" s="251">
      <c r="A82" s="192" t="n"/>
      <c r="B82" s="195" t="inlineStr">
        <is>
          <t>Calculation</t>
        </is>
      </c>
      <c r="C82" s="207" t="inlineStr">
        <is>
          <t>Value</t>
        </is>
      </c>
      <c r="D82" s="192" t="n"/>
      <c r="E82" s="192" t="n"/>
      <c r="F82" s="192" t="n"/>
      <c r="G82" s="192" t="n"/>
      <c r="H82" s="192" t="n"/>
      <c r="I82" s="192" t="n"/>
      <c r="J82" s="192" t="n"/>
      <c r="K82" s="192" t="n"/>
      <c r="L82" s="192" t="n"/>
      <c r="M82" s="192" t="n"/>
      <c r="N82" s="192" t="n"/>
      <c r="O82" s="192" t="n"/>
      <c r="P82" s="192" t="n"/>
      <c r="Q82" s="192" t="n"/>
    </row>
    <row r="83" ht="15.75" customHeight="1" s="251">
      <c r="A83" s="192" t="n"/>
      <c r="B83" s="197" t="inlineStr">
        <is>
          <t>Steady-state component:  1 / r</t>
        </is>
      </c>
      <c r="C83" s="240">
        <f>1/C77</f>
        <v>10.8263187809565</v>
      </c>
      <c r="D83" s="192" t="n"/>
      <c r="E83" s="192" t="n"/>
      <c r="F83" s="192" t="n"/>
      <c r="G83" s="192" t="n"/>
      <c r="H83" s="192" t="n"/>
      <c r="I83" s="192" t="n"/>
      <c r="J83" s="192" t="n"/>
      <c r="K83" s="192" t="n"/>
      <c r="L83" s="192" t="n"/>
      <c r="M83" s="192" t="n"/>
      <c r="N83" s="192" t="n"/>
      <c r="O83" s="192" t="n"/>
      <c r="P83" s="192" t="n"/>
      <c r="Q83" s="192" t="n"/>
    </row>
    <row r="84" ht="15.75" customHeight="1" s="251">
      <c r="A84" s="192" t="n"/>
      <c r="B84" s="197" t="inlineStr">
        <is>
          <t>Value-creation factor: 1 − r / ROIIC</t>
        </is>
      </c>
      <c r="C84" s="241">
        <f>1-C77/C79</f>
        <v>0.384216666666667</v>
      </c>
      <c r="D84" s="192" t="n"/>
      <c r="E84" s="192" t="n"/>
      <c r="F84" s="192" t="n"/>
      <c r="G84" s="192" t="n"/>
      <c r="H84" s="192" t="n"/>
      <c r="I84" s="192" t="n"/>
      <c r="J84" s="192" t="n"/>
      <c r="K84" s="192" t="n"/>
      <c r="L84" s="192" t="n"/>
      <c r="M84" s="192" t="n"/>
      <c r="N84" s="192" t="n"/>
      <c r="O84" s="192" t="n"/>
      <c r="P84" s="192" t="n"/>
      <c r="Q84" s="192" t="n"/>
    </row>
    <row r="85" ht="15.75" customHeight="1" s="251">
      <c r="A85" s="192" t="n"/>
      <c r="B85" s="197" t="inlineStr">
        <is>
          <t>Growth multiplier: g × (1 − r/ROIIC) / (r × (r − g))</t>
        </is>
      </c>
      <c r="C85" s="241">
        <f>C78*C84/(C77*(C77-C78))</f>
        <v>158.128274672053</v>
      </c>
      <c r="D85" s="192" t="n"/>
      <c r="E85" s="192" t="n"/>
      <c r="F85" s="192" t="n"/>
      <c r="G85" s="192" t="n"/>
      <c r="H85" s="192" t="n"/>
      <c r="I85" s="192" t="n"/>
      <c r="J85" s="192" t="n"/>
      <c r="K85" s="192" t="n"/>
      <c r="L85" s="192" t="n"/>
      <c r="M85" s="192" t="n"/>
      <c r="N85" s="192" t="n"/>
      <c r="O85" s="192" t="n"/>
      <c r="P85" s="192" t="n"/>
      <c r="Q85" s="192" t="n"/>
    </row>
    <row r="86" ht="15.75" customHeight="1" s="251">
      <c r="A86" s="192" t="n"/>
      <c r="B86" s="197" t="inlineStr">
        <is>
          <t>Time decay: 1 − ((1+g)/(1+r))^N</t>
        </is>
      </c>
      <c r="C86" s="242">
        <f>1-((1+C78)/(1+C77))^C80</f>
        <v>0.0320210558976308</v>
      </c>
      <c r="D86" s="192" t="n"/>
      <c r="E86" s="192" t="n"/>
      <c r="F86" s="192" t="n"/>
      <c r="G86" s="192" t="n"/>
      <c r="H86" s="192" t="n"/>
      <c r="I86" s="192" t="n"/>
      <c r="J86" s="192" t="n"/>
      <c r="K86" s="192" t="n"/>
      <c r="L86" s="192" t="n"/>
      <c r="M86" s="192" t="n"/>
      <c r="N86" s="192" t="n"/>
      <c r="O86" s="192" t="n"/>
      <c r="P86" s="192" t="n"/>
      <c r="Q86" s="192" t="n"/>
    </row>
    <row r="87" ht="15.75" customHeight="1" s="251">
      <c r="A87" s="192" t="n"/>
      <c r="B87" s="197" t="inlineStr">
        <is>
          <t>PVGO component (growth value)</t>
        </is>
      </c>
      <c r="C87" s="240">
        <f>C85*C86</f>
        <v>5.06343432226974</v>
      </c>
      <c r="D87" s="192" t="n"/>
      <c r="E87" s="192" t="n"/>
      <c r="F87" s="192" t="n"/>
      <c r="G87" s="192" t="n"/>
      <c r="H87" s="192" t="n"/>
      <c r="I87" s="192" t="n"/>
      <c r="J87" s="192" t="n"/>
      <c r="K87" s="192" t="n"/>
      <c r="L87" s="192" t="n"/>
      <c r="M87" s="192" t="n"/>
      <c r="N87" s="192" t="n"/>
      <c r="O87" s="192" t="n"/>
      <c r="P87" s="192" t="n"/>
      <c r="Q87" s="192" t="n"/>
    </row>
    <row r="88" ht="15.75" customHeight="1" s="251">
      <c r="A88" s="192" t="n"/>
      <c r="B88" s="202" t="inlineStr">
        <is>
          <t>Mauboussin EV / NOPAT (steady-state + PVGO)</t>
        </is>
      </c>
      <c r="C88" s="299">
        <f>C83+C87</f>
        <v>15.8897531032262</v>
      </c>
      <c r="D88" s="192" t="n"/>
      <c r="E88" s="192" t="n"/>
      <c r="F88" s="192" t="n"/>
      <c r="G88" s="192" t="n"/>
      <c r="H88" s="192" t="n"/>
      <c r="I88" s="192" t="n"/>
      <c r="J88" s="192" t="n"/>
      <c r="K88" s="192" t="n"/>
      <c r="L88" s="192" t="n"/>
      <c r="M88" s="192" t="n"/>
      <c r="N88" s="192" t="n"/>
      <c r="O88" s="192" t="n"/>
      <c r="P88" s="192" t="n"/>
      <c r="Q88" s="192" t="n"/>
    </row>
    <row r="89" ht="15" customHeight="1" s="251">
      <c r="A89" s="192" t="n"/>
      <c r="B89" s="192" t="n"/>
      <c r="C89" s="192" t="n"/>
      <c r="D89" s="192" t="n"/>
      <c r="E89" s="192" t="n"/>
      <c r="F89" s="192" t="n"/>
      <c r="G89" s="192" t="n"/>
      <c r="H89" s="192" t="n"/>
      <c r="I89" s="192" t="n"/>
      <c r="J89" s="192" t="n"/>
      <c r="K89" s="192" t="n"/>
      <c r="L89" s="192" t="n"/>
      <c r="M89" s="192" t="n"/>
      <c r="N89" s="192" t="n"/>
      <c r="O89" s="192" t="n"/>
      <c r="P89" s="192" t="n"/>
      <c r="Q89" s="192" t="n"/>
    </row>
    <row r="90" ht="15.75" customHeight="1" s="251">
      <c r="A90" s="192" t="n"/>
      <c r="B90" s="195" t="inlineStr">
        <is>
          <t>VALUATION  —  Applied to FY2030E NOPAT</t>
        </is>
      </c>
      <c r="C90" s="207" t="inlineStr">
        <is>
          <t>USDm</t>
        </is>
      </c>
      <c r="D90" s="192" t="n"/>
      <c r="E90" s="192" t="n"/>
      <c r="F90" s="192" t="n"/>
      <c r="G90" s="192" t="n"/>
      <c r="H90" s="192" t="n"/>
      <c r="I90" s="192" t="n"/>
      <c r="J90" s="192" t="n"/>
      <c r="K90" s="192" t="n"/>
      <c r="L90" s="192" t="n"/>
      <c r="M90" s="192" t="n"/>
      <c r="N90" s="192" t="n"/>
      <c r="O90" s="192" t="n"/>
      <c r="P90" s="192" t="n"/>
      <c r="Q90" s="192" t="n"/>
    </row>
    <row r="91" ht="15.75" customHeight="1" s="251">
      <c r="A91" s="192" t="n"/>
      <c r="B91" s="197" t="inlineStr">
        <is>
          <t>FY2030E Adj. EBITA less transaction &amp; restructuring costs</t>
        </is>
      </c>
      <c r="C91" s="209">
        <f>Model!CI186-Model!CI187</f>
        <v>880.943199120574</v>
      </c>
      <c r="D91" s="192" t="n"/>
      <c r="E91" s="192" t="n"/>
      <c r="F91" s="192" t="n"/>
      <c r="G91" s="192" t="n"/>
      <c r="H91" s="192" t="n"/>
      <c r="I91" s="192" t="n"/>
      <c r="J91" s="192" t="n"/>
      <c r="K91" s="192" t="n"/>
      <c r="L91" s="192" t="n"/>
      <c r="M91" s="192" t="n"/>
      <c r="N91" s="192" t="n"/>
      <c r="O91" s="192" t="n"/>
      <c r="P91" s="192" t="n"/>
      <c r="Q91" s="192" t="n"/>
    </row>
    <row r="92" ht="15.75" customHeight="1" s="251">
      <c r="A92" s="192" t="n"/>
      <c r="B92" s="197" t="inlineStr">
        <is>
          <t>Tax rate (from WACC build)</t>
        </is>
      </c>
      <c r="C92" s="210">
        <f>$C$10</f>
        <v>0.23</v>
      </c>
      <c r="D92" s="192" t="n"/>
      <c r="E92" s="192" t="n"/>
      <c r="F92" s="192" t="n"/>
      <c r="G92" s="192" t="n"/>
      <c r="H92" s="192" t="n"/>
      <c r="I92" s="192" t="n"/>
      <c r="J92" s="192" t="n"/>
      <c r="K92" s="192" t="n"/>
      <c r="L92" s="192" t="n"/>
      <c r="M92" s="192" t="n"/>
      <c r="N92" s="192" t="n"/>
      <c r="O92" s="192" t="n"/>
      <c r="P92" s="192" t="n"/>
      <c r="Q92" s="192" t="n"/>
    </row>
    <row r="93" ht="15.75" customHeight="1" s="251">
      <c r="A93" s="192" t="n"/>
      <c r="B93" s="197" t="inlineStr">
        <is>
          <t>FY2030E NOPAT</t>
        </is>
      </c>
      <c r="C93" s="211">
        <f>C91*(1-C92)</f>
        <v>678.326263322842</v>
      </c>
      <c r="D93" s="192" t="n"/>
      <c r="E93" s="192" t="n"/>
      <c r="F93" s="192" t="n"/>
      <c r="G93" s="192" t="n"/>
      <c r="H93" s="192" t="n"/>
      <c r="I93" s="192" t="n"/>
      <c r="J93" s="192" t="n"/>
      <c r="K93" s="192" t="n"/>
      <c r="L93" s="192" t="n"/>
      <c r="M93" s="192" t="n"/>
      <c r="N93" s="192" t="n"/>
      <c r="O93" s="192" t="n"/>
      <c r="P93" s="192" t="n"/>
      <c r="Q93" s="192" t="n"/>
    </row>
    <row r="94" ht="15.75" customHeight="1" s="251">
      <c r="A94" s="192" t="n"/>
      <c r="B94" s="197" t="inlineStr">
        <is>
          <t>× Mauboussin EV/NOPAT multiple</t>
        </is>
      </c>
      <c r="C94" s="300">
        <f>C88</f>
        <v>15.8897531032262</v>
      </c>
      <c r="D94" s="192" t="n"/>
      <c r="E94" s="192" t="n"/>
      <c r="F94" s="192" t="n"/>
      <c r="G94" s="192" t="n"/>
      <c r="H94" s="192" t="n"/>
      <c r="I94" s="192" t="n"/>
      <c r="J94" s="192" t="n"/>
      <c r="K94" s="192" t="n"/>
      <c r="L94" s="192" t="n"/>
      <c r="M94" s="192" t="n"/>
      <c r="N94" s="192" t="n"/>
      <c r="O94" s="192" t="n"/>
      <c r="P94" s="192" t="n"/>
      <c r="Q94" s="192" t="n"/>
    </row>
    <row r="95" ht="15.75" customHeight="1" s="251">
      <c r="A95" s="192" t="n"/>
      <c r="B95" s="197" t="inlineStr">
        <is>
          <t>Implied Enterprise Value (FY2030E basis)</t>
        </is>
      </c>
      <c r="C95" s="211">
        <f>C93*C94</f>
        <v>10778.436847634</v>
      </c>
      <c r="D95" s="192" t="n"/>
      <c r="E95" s="192" t="n"/>
      <c r="F95" s="192" t="n"/>
      <c r="G95" s="192" t="n"/>
      <c r="H95" s="192" t="n"/>
      <c r="I95" s="192" t="n"/>
      <c r="J95" s="192" t="n"/>
      <c r="K95" s="192" t="n"/>
      <c r="L95" s="192" t="n"/>
      <c r="M95" s="192" t="n"/>
      <c r="N95" s="192" t="n"/>
      <c r="O95" s="192" t="n"/>
      <c r="P95" s="192" t="n"/>
      <c r="Q95" s="192" t="n"/>
    </row>
    <row r="96" ht="15.75" customHeight="1" s="251">
      <c r="A96" s="192" t="n"/>
      <c r="B96" s="197" t="inlineStr">
        <is>
          <t>Less: FY2029E year-end net debt + NCI (Model)</t>
        </is>
      </c>
      <c r="C96" s="209">
        <f>Model!CH387+Model!CH397</f>
        <v>919.171644953639</v>
      </c>
      <c r="D96" s="192" t="n"/>
      <c r="E96" s="192" t="n"/>
      <c r="F96" s="192" t="n"/>
      <c r="G96" s="192" t="n"/>
      <c r="H96" s="192" t="n"/>
      <c r="I96" s="192" t="n"/>
      <c r="J96" s="192" t="n"/>
      <c r="K96" s="192" t="n"/>
      <c r="L96" s="192" t="n"/>
      <c r="M96" s="192" t="n"/>
      <c r="N96" s="192" t="n"/>
      <c r="O96" s="192" t="n"/>
      <c r="P96" s="192" t="n"/>
      <c r="Q96" s="192" t="n"/>
    </row>
    <row r="97" ht="15.75" customHeight="1" s="251">
      <c r="A97" s="192" t="n"/>
      <c r="B97" s="197" t="inlineStr">
        <is>
          <t>Implied Equity Value</t>
        </is>
      </c>
      <c r="C97" s="211">
        <f>C95-C96</f>
        <v>9859.26520268035</v>
      </c>
      <c r="D97" s="192" t="n"/>
      <c r="E97" s="192" t="n"/>
      <c r="F97" s="192" t="n"/>
      <c r="G97" s="192" t="n"/>
      <c r="H97" s="192" t="n"/>
      <c r="I97" s="192" t="n"/>
      <c r="J97" s="192" t="n"/>
      <c r="K97" s="192" t="n"/>
      <c r="L97" s="192" t="n"/>
      <c r="M97" s="192" t="n"/>
      <c r="N97" s="192" t="n"/>
      <c r="O97" s="192" t="n"/>
      <c r="P97" s="192" t="n"/>
      <c r="Q97" s="192" t="n"/>
    </row>
    <row r="98" ht="15.75" customHeight="1" s="251">
      <c r="A98" s="192" t="n"/>
      <c r="B98" s="197" t="inlineStr">
        <is>
          <t>Diluted shares FY2030E (m, Model)</t>
        </is>
      </c>
      <c r="C98" s="212">
        <f>Model!CI394</f>
        <v>29.9365964370286</v>
      </c>
      <c r="D98" s="192" t="n"/>
      <c r="E98" s="192" t="n"/>
      <c r="F98" s="192" t="n"/>
      <c r="G98" s="192" t="n"/>
      <c r="H98" s="192" t="n"/>
      <c r="I98" s="192" t="n"/>
      <c r="J98" s="192" t="n"/>
      <c r="K98" s="192" t="n"/>
      <c r="L98" s="192" t="n"/>
      <c r="M98" s="192" t="n"/>
      <c r="N98" s="192" t="n"/>
      <c r="O98" s="192" t="n"/>
      <c r="P98" s="192" t="n"/>
      <c r="Q98" s="192" t="n"/>
    </row>
    <row r="99" ht="15.75" customHeight="1" s="251">
      <c r="A99" s="192" t="n"/>
      <c r="B99" s="202" t="inlineStr">
        <is>
          <t>Implied share price FY2030 ($)</t>
        </is>
      </c>
      <c r="C99" s="213">
        <f>C97/C98</f>
        <v>329.338213962273</v>
      </c>
      <c r="D99" s="192" t="n"/>
      <c r="E99" s="192" t="n"/>
      <c r="F99" s="192" t="n"/>
      <c r="G99" s="192" t="n"/>
      <c r="H99" s="192" t="n"/>
      <c r="I99" s="192" t="n"/>
      <c r="J99" s="192" t="n"/>
      <c r="K99" s="192" t="n"/>
      <c r="L99" s="192" t="n"/>
      <c r="M99" s="192" t="n"/>
      <c r="N99" s="192" t="n"/>
      <c r="O99" s="192" t="n"/>
      <c r="P99" s="192" t="n"/>
      <c r="Q99" s="192" t="n"/>
    </row>
    <row r="100" ht="15" customHeight="1" s="251">
      <c r="A100" s="192" t="n"/>
      <c r="B100" s="192" t="n"/>
      <c r="C100" s="192" t="n"/>
      <c r="D100" s="192" t="n"/>
      <c r="E100" s="192" t="n"/>
      <c r="F100" s="192" t="n"/>
      <c r="G100" s="192" t="n"/>
      <c r="H100" s="192" t="n"/>
      <c r="I100" s="192" t="n"/>
      <c r="J100" s="192" t="n"/>
      <c r="K100" s="192" t="n"/>
      <c r="L100" s="192" t="n"/>
      <c r="M100" s="192" t="n"/>
      <c r="N100" s="192" t="n"/>
      <c r="O100" s="192" t="n"/>
      <c r="P100" s="192" t="n"/>
      <c r="Q100" s="192" t="n"/>
    </row>
    <row r="101" ht="15.75" customHeight="1" s="251">
      <c r="A101" s="192" t="n"/>
      <c r="B101" s="197" t="inlineStr">
        <is>
          <t>Current share price ($)</t>
        </is>
      </c>
      <c r="C101" s="214">
        <f>C52</f>
        <v>510</v>
      </c>
      <c r="D101" s="192" t="n"/>
      <c r="E101" s="192" t="n"/>
      <c r="F101" s="192" t="n"/>
      <c r="G101" s="192" t="n"/>
      <c r="H101" s="192" t="n"/>
      <c r="I101" s="192" t="n"/>
      <c r="J101" s="192" t="n"/>
      <c r="K101" s="192" t="n"/>
      <c r="L101" s="192" t="n"/>
      <c r="M101" s="192" t="n"/>
      <c r="N101" s="192" t="n"/>
      <c r="O101" s="192" t="n"/>
      <c r="P101" s="192" t="n"/>
      <c r="Q101" s="192" t="n"/>
    </row>
    <row r="102" ht="15.75" customHeight="1" s="251">
      <c r="A102" s="192" t="n"/>
      <c r="B102" s="199" t="inlineStr">
        <is>
          <t>Implied upside / (downside)</t>
        </is>
      </c>
      <c r="C102" s="245">
        <f>C99/C101-1</f>
        <v>-0.354238796152406</v>
      </c>
      <c r="D102" s="192" t="n"/>
      <c r="E102" s="192" t="n"/>
      <c r="F102" s="192" t="n"/>
      <c r="G102" s="192" t="n"/>
      <c r="H102" s="192" t="n"/>
      <c r="I102" s="192" t="n"/>
      <c r="J102" s="192" t="n"/>
      <c r="K102" s="192" t="n"/>
      <c r="L102" s="192" t="n"/>
      <c r="M102" s="192" t="n"/>
      <c r="N102" s="192" t="n"/>
      <c r="O102" s="192" t="n"/>
      <c r="P102" s="192" t="n"/>
      <c r="Q102" s="192" t="n"/>
    </row>
    <row r="103" ht="15" customHeight="1" s="251">
      <c r="A103" s="192" t="n"/>
      <c r="B103" s="192" t="n"/>
      <c r="C103" s="192" t="n"/>
      <c r="D103" s="192" t="n"/>
      <c r="E103" s="192" t="n"/>
      <c r="F103" s="192" t="n"/>
      <c r="G103" s="192" t="n"/>
      <c r="H103" s="192" t="n"/>
      <c r="I103" s="192" t="n"/>
      <c r="J103" s="192" t="n"/>
      <c r="K103" s="192" t="n"/>
      <c r="L103" s="192" t="n"/>
      <c r="M103" s="192" t="n"/>
      <c r="N103" s="192" t="n"/>
      <c r="O103" s="192" t="n"/>
      <c r="P103" s="192" t="n"/>
      <c r="Q103" s="192" t="n"/>
    </row>
    <row r="104" ht="15.75" customHeight="1" s="251">
      <c r="A104" s="192" t="n"/>
      <c r="B104" s="195" t="inlineStr">
        <is>
          <t>MARKET-IMPLIED EV/NOPAT TODAY</t>
        </is>
      </c>
      <c r="C104" s="207" t="inlineStr">
        <is>
          <t>USDm</t>
        </is>
      </c>
      <c r="D104" s="192" t="n"/>
      <c r="E104" s="192" t="n"/>
      <c r="F104" s="192" t="n"/>
      <c r="G104" s="192" t="n"/>
      <c r="H104" s="192" t="n"/>
      <c r="I104" s="192" t="n"/>
      <c r="J104" s="192" t="n"/>
      <c r="K104" s="192" t="n"/>
      <c r="L104" s="192" t="n"/>
      <c r="M104" s="192" t="n"/>
      <c r="N104" s="192" t="n"/>
      <c r="O104" s="192" t="n"/>
      <c r="P104" s="192" t="n"/>
      <c r="Q104" s="192" t="n"/>
    </row>
    <row r="105" ht="15.75" customHeight="1" s="251">
      <c r="A105" s="192" t="n"/>
      <c r="B105" s="197" t="inlineStr">
        <is>
          <t>Current market cap (spot × diluted shares)</t>
        </is>
      </c>
      <c r="C105" s="211">
        <f>C52*C50</f>
        <v>16256.62026</v>
      </c>
      <c r="D105" s="192" t="n"/>
      <c r="E105" s="192" t="n"/>
      <c r="F105" s="192" t="n"/>
      <c r="G105" s="192" t="n"/>
      <c r="H105" s="192" t="n"/>
      <c r="I105" s="192" t="n"/>
      <c r="J105" s="192" t="n"/>
      <c r="K105" s="192" t="n"/>
      <c r="L105" s="192" t="n"/>
      <c r="M105" s="192" t="n"/>
      <c r="N105" s="192" t="n"/>
      <c r="O105" s="192" t="n"/>
      <c r="P105" s="192" t="n"/>
      <c r="Q105" s="192" t="n"/>
    </row>
    <row r="106" ht="15.75" customHeight="1" s="251">
      <c r="A106" s="192" t="n"/>
      <c r="B106" s="197" t="inlineStr">
        <is>
          <t>Plus: FY2027E year-end net debt + NCI</t>
        </is>
      </c>
      <c r="C106" s="211">
        <f>C48</f>
        <v>470.545533901234</v>
      </c>
      <c r="D106" s="192" t="n"/>
      <c r="E106" s="192" t="n"/>
      <c r="F106" s="192" t="n"/>
      <c r="G106" s="192" t="n"/>
      <c r="H106" s="192" t="n"/>
      <c r="I106" s="192" t="n"/>
      <c r="J106" s="192" t="n"/>
      <c r="K106" s="192" t="n"/>
      <c r="L106" s="192" t="n"/>
      <c r="M106" s="192" t="n"/>
      <c r="N106" s="192" t="n"/>
      <c r="O106" s="192" t="n"/>
      <c r="P106" s="192" t="n"/>
      <c r="Q106" s="192" t="n"/>
    </row>
    <row r="107" ht="15.75" customHeight="1" s="251">
      <c r="A107" s="192" t="n"/>
      <c r="B107" s="197" t="inlineStr">
        <is>
          <t>Implied Enterprise Value (today)</t>
        </is>
      </c>
      <c r="C107" s="211">
        <f>C105+C106</f>
        <v>16727.1657939012</v>
      </c>
      <c r="D107" s="192" t="n"/>
      <c r="E107" s="192" t="n"/>
      <c r="F107" s="192" t="n"/>
      <c r="G107" s="192" t="n"/>
      <c r="H107" s="192" t="n"/>
      <c r="I107" s="192" t="n"/>
      <c r="J107" s="192" t="n"/>
      <c r="K107" s="192" t="n"/>
      <c r="L107" s="192" t="n"/>
      <c r="M107" s="192" t="n"/>
      <c r="N107" s="192" t="n"/>
      <c r="O107" s="192" t="n"/>
      <c r="P107" s="192" t="n"/>
      <c r="Q107" s="192" t="n"/>
    </row>
    <row r="108" ht="15.75" customHeight="1" s="251">
      <c r="A108" s="192" t="n"/>
      <c r="B108" s="202" t="inlineStr">
        <is>
          <t>RBC market-implied EV/NOPAT (on FY2030E NOPAT)</t>
        </is>
      </c>
      <c r="C108" s="301">
        <f>C107/C93</f>
        <v>24.6594694888588</v>
      </c>
      <c r="D108" s="192" t="n"/>
      <c r="E108" s="192" t="n"/>
      <c r="F108" s="192" t="n"/>
      <c r="G108" s="192" t="n"/>
      <c r="H108" s="192" t="n"/>
      <c r="I108" s="192" t="n"/>
      <c r="J108" s="192" t="n"/>
      <c r="K108" s="192" t="n"/>
      <c r="L108" s="192" t="n"/>
      <c r="M108" s="192" t="n"/>
      <c r="N108" s="192" t="n"/>
      <c r="O108" s="192" t="n"/>
      <c r="P108" s="192" t="n"/>
      <c r="Q108" s="192" t="n"/>
    </row>
    <row r="109" ht="15" customHeight="1" s="251">
      <c r="A109" s="192" t="n"/>
      <c r="B109" s="192" t="n"/>
      <c r="C109" s="192" t="n"/>
      <c r="D109" s="192" t="n"/>
      <c r="E109" s="192" t="n"/>
      <c r="F109" s="192" t="n"/>
      <c r="G109" s="192" t="n"/>
      <c r="H109" s="192" t="n"/>
      <c r="I109" s="192" t="n"/>
      <c r="J109" s="192" t="n"/>
      <c r="K109" s="192" t="n"/>
      <c r="L109" s="192" t="n"/>
      <c r="M109" s="192" t="n"/>
      <c r="N109" s="192" t="n"/>
      <c r="O109" s="192" t="n"/>
      <c r="P109" s="192" t="n"/>
      <c r="Q109" s="192" t="n"/>
    </row>
    <row r="110" ht="15.75" customHeight="1" s="251">
      <c r="A110" s="192" t="n"/>
      <c r="B110" s="199" t="inlineStr">
        <is>
          <t>Multiple gap (Mauboussin − Market)</t>
        </is>
      </c>
      <c r="C110" s="247">
        <f>C88-C108</f>
        <v>-8.76971638563258</v>
      </c>
      <c r="D110" s="192" t="n"/>
      <c r="E110" s="192" t="n"/>
      <c r="F110" s="192" t="n"/>
      <c r="G110" s="192" t="n"/>
      <c r="H110" s="192" t="n"/>
      <c r="I110" s="192" t="n"/>
      <c r="J110" s="192" t="n"/>
      <c r="K110" s="192" t="n"/>
      <c r="L110" s="192" t="n"/>
      <c r="M110" s="192" t="n"/>
      <c r="N110" s="192" t="n"/>
      <c r="O110" s="192" t="n"/>
      <c r="P110" s="192" t="n"/>
      <c r="Q110" s="192" t="n"/>
    </row>
    <row r="111" ht="15.75" customHeight="1" s="251">
      <c r="A111" s="192" t="n"/>
      <c r="B111" s="197" t="inlineStr">
        <is>
          <t>Implied re-rating headroom</t>
        </is>
      </c>
      <c r="C111" s="215">
        <f>C88/C108-1</f>
        <v>-0.355632808304929</v>
      </c>
      <c r="D111" s="192" t="n"/>
      <c r="E111" s="192" t="n"/>
      <c r="F111" s="192" t="n"/>
      <c r="G111" s="192" t="n"/>
      <c r="H111" s="192" t="n"/>
      <c r="I111" s="192" t="n"/>
      <c r="J111" s="192" t="n"/>
      <c r="K111" s="192" t="n"/>
      <c r="L111" s="192" t="n"/>
      <c r="M111" s="192" t="n"/>
      <c r="N111" s="192" t="n"/>
      <c r="O111" s="192" t="n"/>
      <c r="P111" s="192" t="n"/>
      <c r="Q111" s="192" t="n"/>
    </row>
    <row r="112" ht="15" customHeight="1" s="251">
      <c r="A112" s="192" t="n"/>
      <c r="B112" s="192" t="n"/>
      <c r="C112" s="192" t="n"/>
      <c r="D112" s="192" t="n"/>
      <c r="E112" s="192" t="n"/>
      <c r="F112" s="192" t="n"/>
      <c r="G112" s="192" t="n"/>
      <c r="H112" s="192" t="n"/>
      <c r="I112" s="192" t="n"/>
      <c r="J112" s="192" t="n"/>
      <c r="K112" s="192" t="n"/>
      <c r="L112" s="192" t="n"/>
      <c r="M112" s="192" t="n"/>
      <c r="N112" s="192" t="n"/>
      <c r="O112" s="192" t="n"/>
      <c r="P112" s="192" t="n"/>
      <c r="Q112" s="192" t="n"/>
    </row>
    <row r="113" ht="15" customHeight="1" s="251">
      <c r="A113" s="192" t="n"/>
      <c r="B113" s="192" t="n"/>
      <c r="C113" s="192" t="n"/>
      <c r="D113" s="192" t="n"/>
      <c r="E113" s="192" t="n"/>
      <c r="F113" s="192" t="n"/>
      <c r="G113" s="192" t="n"/>
      <c r="H113" s="192" t="n"/>
      <c r="I113" s="192" t="n"/>
      <c r="J113" s="192" t="n"/>
      <c r="K113" s="192" t="n"/>
      <c r="L113" s="192" t="n"/>
      <c r="M113" s="192" t="n"/>
      <c r="N113" s="192" t="n"/>
      <c r="O113" s="192" t="n"/>
      <c r="P113" s="192" t="n"/>
      <c r="Q113" s="192" t="n"/>
    </row>
    <row r="114" ht="15" customHeight="1" s="251">
      <c r="A114" s="192" t="n"/>
      <c r="B114" s="192" t="n"/>
      <c r="C114" s="192" t="n"/>
      <c r="D114" s="192" t="n"/>
      <c r="E114" s="192" t="n"/>
      <c r="F114" s="192" t="n"/>
      <c r="G114" s="192" t="n"/>
      <c r="H114" s="192" t="n"/>
      <c r="I114" s="192" t="n"/>
      <c r="J114" s="192" t="n"/>
      <c r="K114" s="192" t="n"/>
      <c r="L114" s="192" t="n"/>
      <c r="M114" s="192" t="n"/>
      <c r="N114" s="192" t="n"/>
      <c r="O114" s="192" t="n"/>
      <c r="P114" s="192" t="n"/>
      <c r="Q114" s="192" t="n"/>
    </row>
    <row r="115" ht="15" customHeight="1" s="251">
      <c r="A115" s="192" t="n"/>
      <c r="B115" s="192" t="n"/>
      <c r="C115" s="192" t="n"/>
      <c r="D115" s="192" t="n"/>
      <c r="E115" s="192" t="n"/>
      <c r="F115" s="192" t="n"/>
      <c r="G115" s="192" t="n"/>
      <c r="H115" s="192" t="n"/>
      <c r="I115" s="192" t="n"/>
      <c r="J115" s="192" t="n"/>
      <c r="K115" s="192" t="n"/>
      <c r="L115" s="192" t="n"/>
      <c r="M115" s="192" t="n"/>
      <c r="N115" s="192" t="n"/>
      <c r="O115" s="192" t="n"/>
      <c r="P115" s="192" t="n"/>
      <c r="Q115" s="192" t="n"/>
    </row>
    <row r="116">
      <c r="A116" s="192" t="n"/>
      <c r="B116" s="192" t="n"/>
      <c r="C116" s="192" t="n"/>
      <c r="D116" s="192" t="n"/>
      <c r="E116" s="192" t="n"/>
      <c r="F116" s="192" t="n"/>
      <c r="G116" s="192" t="n"/>
      <c r="H116" s="192" t="n"/>
      <c r="I116" s="192" t="n"/>
      <c r="J116" s="192" t="n"/>
      <c r="K116" s="192" t="n"/>
      <c r="L116" s="192" t="n"/>
      <c r="M116" s="192" t="n"/>
      <c r="N116" s="192" t="n"/>
      <c r="O116" s="192" t="n"/>
      <c r="P116" s="192" t="n"/>
      <c r="Q116" s="192" t="n"/>
    </row>
    <row r="117" ht="15" customHeight="1" s="251">
      <c r="A117" s="192" t="n"/>
      <c r="B117" s="192" t="n"/>
      <c r="C117" s="192" t="n"/>
      <c r="D117" s="192" t="n"/>
      <c r="E117" s="192" t="n"/>
      <c r="F117" s="192" t="n"/>
      <c r="G117" s="192" t="n"/>
      <c r="H117" s="192" t="n"/>
      <c r="I117" s="192" t="n"/>
      <c r="J117" s="192" t="n"/>
      <c r="K117" s="192" t="n"/>
      <c r="L117" s="192" t="n"/>
      <c r="M117" s="192" t="n"/>
      <c r="N117" s="192" t="n"/>
      <c r="O117" s="192" t="n"/>
      <c r="P117" s="192" t="n"/>
      <c r="Q117" s="192" t="n"/>
    </row>
    <row r="118" ht="15" customHeight="1" s="251">
      <c r="A118" s="192" t="n"/>
      <c r="B118" s="192" t="n"/>
      <c r="C118" s="192" t="n"/>
      <c r="D118" s="192" t="n"/>
      <c r="E118" s="192" t="n"/>
      <c r="F118" s="192" t="n"/>
      <c r="G118" s="192" t="n"/>
      <c r="H118" s="192" t="n"/>
      <c r="I118" s="192" t="n"/>
      <c r="J118" s="192" t="n"/>
      <c r="K118" s="192" t="n"/>
      <c r="L118" s="192" t="n"/>
      <c r="M118" s="192" t="n"/>
      <c r="N118" s="192" t="n"/>
      <c r="O118" s="192" t="n"/>
      <c r="P118" s="192" t="n"/>
      <c r="Q118" s="192" t="n"/>
    </row>
    <row r="119">
      <c r="A119" s="192" t="n"/>
      <c r="B119" s="192" t="n"/>
      <c r="C119" s="192" t="n"/>
      <c r="D119" s="192" t="n"/>
      <c r="E119" s="192" t="n"/>
      <c r="F119" s="192" t="n"/>
      <c r="G119" s="192" t="n"/>
      <c r="H119" s="192" t="n"/>
      <c r="I119" s="192" t="n"/>
      <c r="J119" s="192" t="n"/>
      <c r="K119" s="192" t="n"/>
      <c r="L119" s="192" t="n"/>
      <c r="M119" s="192" t="n"/>
      <c r="N119" s="192" t="n"/>
      <c r="O119" s="192" t="n"/>
      <c r="P119" s="192" t="n"/>
      <c r="Q119" s="192" t="n"/>
    </row>
    <row r="120">
      <c r="A120" s="192" t="n"/>
      <c r="B120" s="192" t="n"/>
      <c r="C120" s="192" t="n"/>
      <c r="D120" s="192" t="n"/>
      <c r="E120" s="192" t="n"/>
      <c r="F120" s="192" t="n"/>
      <c r="G120" s="192" t="n"/>
      <c r="H120" s="192" t="n"/>
      <c r="I120" s="192" t="n"/>
      <c r="J120" s="192" t="n"/>
      <c r="K120" s="192" t="n"/>
      <c r="L120" s="192" t="n"/>
      <c r="M120" s="192" t="n"/>
      <c r="N120" s="192" t="n"/>
      <c r="O120" s="192" t="n"/>
      <c r="P120" s="192" t="n"/>
      <c r="Q120" s="192" t="n"/>
    </row>
    <row r="121">
      <c r="A121" s="192" t="n"/>
      <c r="B121" s="192" t="n"/>
      <c r="C121" s="192" t="n"/>
      <c r="D121" s="192" t="n"/>
      <c r="E121" s="192" t="n"/>
      <c r="F121" s="192" t="n"/>
      <c r="G121" s="192" t="n"/>
      <c r="H121" s="192" t="n"/>
      <c r="I121" s="192" t="n"/>
      <c r="J121" s="192" t="n"/>
      <c r="K121" s="192" t="n"/>
      <c r="L121" s="192" t="n"/>
      <c r="M121" s="192" t="n"/>
      <c r="N121" s="192" t="n"/>
      <c r="O121" s="192" t="n"/>
      <c r="P121" s="192" t="n"/>
      <c r="Q121" s="192" t="n"/>
    </row>
    <row r="122">
      <c r="A122" s="192" t="n"/>
      <c r="B122" s="192" t="n"/>
      <c r="C122" s="192" t="n"/>
      <c r="D122" s="192" t="n"/>
      <c r="E122" s="192" t="n"/>
      <c r="F122" s="192" t="n"/>
      <c r="G122" s="192" t="n"/>
      <c r="H122" s="192" t="n"/>
      <c r="I122" s="192" t="n"/>
      <c r="J122" s="192" t="n"/>
      <c r="K122" s="192" t="n"/>
      <c r="L122" s="192" t="n"/>
      <c r="M122" s="192" t="n"/>
      <c r="N122" s="192" t="n"/>
      <c r="O122" s="192" t="n"/>
      <c r="P122" s="192" t="n"/>
      <c r="Q122" s="192" t="n"/>
    </row>
    <row r="123">
      <c r="A123" s="192" t="n"/>
      <c r="B123" s="192" t="n"/>
      <c r="C123" s="192" t="n"/>
      <c r="D123" s="192" t="n"/>
      <c r="E123" s="192" t="n"/>
      <c r="F123" s="192" t="n"/>
      <c r="G123" s="192" t="n"/>
      <c r="H123" s="192" t="n"/>
      <c r="I123" s="192" t="n"/>
      <c r="J123" s="192" t="n"/>
      <c r="K123" s="192" t="n"/>
      <c r="L123" s="192" t="n"/>
      <c r="M123" s="192" t="n"/>
      <c r="N123" s="192" t="n"/>
      <c r="O123" s="192" t="n"/>
      <c r="P123" s="192" t="n"/>
      <c r="Q123" s="192" t="n"/>
    </row>
    <row r="124">
      <c r="A124" s="192" t="n"/>
      <c r="B124" s="192" t="n"/>
      <c r="C124" s="192" t="n"/>
      <c r="D124" s="192" t="n"/>
      <c r="E124" s="192" t="n"/>
      <c r="F124" s="192" t="n"/>
      <c r="G124" s="192" t="n"/>
      <c r="H124" s="192" t="n"/>
      <c r="I124" s="192" t="n"/>
      <c r="J124" s="192" t="n"/>
      <c r="K124" s="192" t="n"/>
      <c r="L124" s="192" t="n"/>
      <c r="M124" s="192" t="n"/>
      <c r="N124" s="192" t="n"/>
      <c r="O124" s="192" t="n"/>
      <c r="P124" s="192" t="n"/>
      <c r="Q124" s="192" t="n"/>
    </row>
    <row r="125">
      <c r="A125" s="192" t="n"/>
      <c r="B125" s="192" t="n"/>
      <c r="C125" s="192" t="n"/>
      <c r="D125" s="192" t="n"/>
      <c r="E125" s="192" t="n"/>
      <c r="F125" s="192" t="n"/>
      <c r="G125" s="192" t="n"/>
      <c r="H125" s="192" t="n"/>
      <c r="I125" s="192" t="n"/>
      <c r="J125" s="192" t="n"/>
      <c r="K125" s="192" t="n"/>
      <c r="L125" s="192" t="n"/>
      <c r="M125" s="192" t="n"/>
      <c r="N125" s="192" t="n"/>
      <c r="O125" s="192" t="n"/>
      <c r="P125" s="192" t="n"/>
      <c r="Q125" s="192" t="n"/>
    </row>
    <row r="126">
      <c r="A126" s="192" t="n"/>
      <c r="B126" s="192" t="n"/>
      <c r="C126" s="192" t="n"/>
      <c r="D126" s="192" t="n"/>
      <c r="E126" s="192" t="n"/>
      <c r="F126" s="192" t="n"/>
      <c r="G126" s="192" t="n"/>
      <c r="H126" s="192" t="n"/>
      <c r="I126" s="192" t="n"/>
      <c r="J126" s="192" t="n"/>
      <c r="K126" s="192" t="n"/>
      <c r="L126" s="192" t="n"/>
      <c r="M126" s="192" t="n"/>
      <c r="N126" s="192" t="n"/>
      <c r="O126" s="192" t="n"/>
      <c r="P126" s="192" t="n"/>
      <c r="Q126" s="192" t="n"/>
    </row>
    <row r="127">
      <c r="A127" s="192" t="n"/>
      <c r="B127" s="192" t="n"/>
      <c r="C127" s="192" t="n"/>
      <c r="D127" s="192" t="n"/>
      <c r="E127" s="192" t="n"/>
      <c r="F127" s="192" t="n"/>
      <c r="G127" s="192" t="n"/>
      <c r="H127" s="192" t="n"/>
      <c r="I127" s="192" t="n"/>
      <c r="J127" s="192" t="n"/>
      <c r="K127" s="192" t="n"/>
      <c r="L127" s="192" t="n"/>
      <c r="M127" s="192" t="n"/>
      <c r="N127" s="192" t="n"/>
      <c r="O127" s="192" t="n"/>
      <c r="P127" s="192" t="n"/>
      <c r="Q127" s="192" t="n"/>
    </row>
    <row r="128">
      <c r="A128" s="192" t="n"/>
      <c r="B128" s="192" t="n"/>
      <c r="C128" s="192" t="n"/>
      <c r="D128" s="192" t="n"/>
      <c r="E128" s="192" t="n"/>
      <c r="F128" s="192" t="n"/>
      <c r="G128" s="192" t="n"/>
      <c r="H128" s="192" t="n"/>
      <c r="I128" s="192" t="n"/>
      <c r="J128" s="192" t="n"/>
      <c r="K128" s="192" t="n"/>
      <c r="L128" s="192" t="n"/>
      <c r="M128" s="192" t="n"/>
      <c r="N128" s="192" t="n"/>
      <c r="O128" s="192" t="n"/>
      <c r="P128" s="192" t="n"/>
      <c r="Q128" s="192" t="n"/>
    </row>
    <row r="129">
      <c r="A129" s="192" t="n"/>
      <c r="B129" s="192" t="n"/>
      <c r="C129" s="192" t="n"/>
      <c r="D129" s="192" t="n"/>
      <c r="E129" s="192" t="n"/>
      <c r="F129" s="192" t="n"/>
      <c r="G129" s="192" t="n"/>
      <c r="H129" s="192" t="n"/>
      <c r="I129" s="192" t="n"/>
      <c r="J129" s="192" t="n"/>
      <c r="K129" s="192" t="n"/>
      <c r="L129" s="192" t="n"/>
      <c r="M129" s="192" t="n"/>
      <c r="N129" s="192" t="n"/>
      <c r="O129" s="192" t="n"/>
      <c r="P129" s="192" t="n"/>
      <c r="Q129" s="192" t="n"/>
    </row>
    <row r="130">
      <c r="A130" s="192" t="n"/>
      <c r="B130" s="192" t="n"/>
      <c r="C130" s="192" t="n"/>
      <c r="D130" s="192" t="n"/>
      <c r="E130" s="192" t="n"/>
      <c r="F130" s="192" t="n"/>
      <c r="G130" s="192" t="n"/>
      <c r="H130" s="192" t="n"/>
      <c r="I130" s="192" t="n"/>
      <c r="J130" s="192" t="n"/>
      <c r="K130" s="192" t="n"/>
      <c r="L130" s="192" t="n"/>
      <c r="M130" s="192" t="n"/>
      <c r="N130" s="192" t="n"/>
      <c r="O130" s="192" t="n"/>
      <c r="P130" s="192" t="n"/>
      <c r="Q130" s="192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V21"/>
  <sheetViews>
    <sheetView zoomScale="70" zoomScaleNormal="70" workbookViewId="0">
      <selection activeCell="A1" sqref="A1"/>
    </sheetView>
  </sheetViews>
  <sheetFormatPr baseColWidth="8" defaultColWidth="8.5703125" defaultRowHeight="15"/>
  <cols>
    <col width="30" customWidth="1" style="251" min="2" max="2"/>
  </cols>
  <sheetData>
    <row r="2" ht="17.25" customHeight="1" s="251">
      <c r="B2" s="107" t="inlineStr">
        <is>
          <t>RBC Bearings — Operating Performance (FY2007–FY2026) and Model Forecast (FY2027E–FY2032E)</t>
        </is>
      </c>
    </row>
    <row r="3" ht="15" customHeight="1" s="251">
      <c r="B3" s="4" t="inlineStr">
        <is>
          <t>USDm · fiscal years ending ~31 March · Linked to Model. Bars = contribution of each segment to total net-sales growth (pp; Aerospace &amp; Defense / Industrial from FY2022, total growth before). Adjusted EBITDA = company definition (adjusted operating income + D&amp;A + stock compensation). ROIC / RONTA on adjusted EBIT (full-cost).</t>
        </is>
      </c>
    </row>
    <row r="7" ht="15" customHeight="1" s="251">
      <c r="C7" s="10" t="n">
        <v>2013</v>
      </c>
      <c r="D7" s="10" t="n">
        <v>2014</v>
      </c>
      <c r="E7" s="10" t="n">
        <v>2015</v>
      </c>
      <c r="F7" s="10" t="n">
        <v>2016</v>
      </c>
      <c r="G7" s="10" t="n">
        <v>2017</v>
      </c>
      <c r="H7" s="10" t="n">
        <v>2018</v>
      </c>
      <c r="I7" s="10" t="n">
        <v>2019</v>
      </c>
      <c r="J7" s="10" t="n">
        <v>2020</v>
      </c>
      <c r="K7" s="10" t="n">
        <v>2021</v>
      </c>
      <c r="L7" s="10" t="n">
        <v>2022</v>
      </c>
      <c r="M7" s="10" t="n">
        <v>2023</v>
      </c>
      <c r="N7" s="10" t="n">
        <v>2024</v>
      </c>
      <c r="O7" s="10" t="n">
        <v>2025</v>
      </c>
      <c r="P7" s="10" t="n">
        <v>2026</v>
      </c>
      <c r="Q7" s="10" t="inlineStr">
        <is>
          <t>2027E</t>
        </is>
      </c>
      <c r="R7" s="10" t="inlineStr">
        <is>
          <t>2028E</t>
        </is>
      </c>
      <c r="S7" s="10" t="inlineStr">
        <is>
          <t>2029E</t>
        </is>
      </c>
      <c r="T7" s="10" t="inlineStr">
        <is>
          <t>2030E</t>
        </is>
      </c>
      <c r="U7" s="10" t="inlineStr">
        <is>
          <t>2031E</t>
        </is>
      </c>
      <c r="V7" s="10" t="inlineStr">
        <is>
          <t>2032E</t>
        </is>
      </c>
    </row>
    <row r="8" ht="15" customHeight="1" s="251">
      <c r="B8" t="inlineStr">
        <is>
          <t>Aerospace &amp; Defense contribution to growth (pp; total before FY2022)</t>
        </is>
      </c>
      <c r="C8" s="108">
        <f>IFERROR(Model!N44+0,IFERROR(Model!N46+0,0))</f>
        <v>0.0139367212479653</v>
      </c>
      <c r="D8" s="108">
        <f>IFERROR(Model!S44+0,IFERROR(Model!S46+0,0))</f>
        <v>0.0392878320609551</v>
      </c>
      <c r="E8" s="108">
        <f>IFERROR(Model!X44+0,IFERROR(Model!X46+0,0))</f>
        <v>0.0630052090544921</v>
      </c>
      <c r="F8" s="108">
        <f>IFERROR(Model!AC44+0,IFERROR(Model!AC46+0,0))</f>
        <v>0.341795462609875</v>
      </c>
      <c r="G8" s="108">
        <f>IFERROR(Model!AH44+0,IFERROR(Model!AH46+0,0))</f>
        <v>0.0299863424562157</v>
      </c>
      <c r="H8" s="108">
        <f>IFERROR(Model!AM44+0,IFERROR(Model!AM46+0,0))</f>
        <v>0.0967860926764901</v>
      </c>
      <c r="I8" s="108">
        <f>IFERROR(Model!AR44+0,IFERROR(Model!AR46+0,0))</f>
        <v>0.0408430859220474</v>
      </c>
      <c r="J8" s="108">
        <f>IFERROR(Model!AW44+0,IFERROR(Model!AW46+0,0))</f>
        <v>0.0355080880720156</v>
      </c>
      <c r="K8" s="108">
        <f>IFERROR(Model!BB44+0,IFERROR(Model!BB46+0,0))</f>
        <v>0</v>
      </c>
      <c r="L8" s="108">
        <f>IFERROR(Model!BG44+0,IFERROR(Model!BG46+0,0))</f>
        <v>-0.0242272374972084</v>
      </c>
      <c r="M8" s="108">
        <f>IFERROR(Model!BL44+0,IFERROR(Model!BL46+0,0))</f>
        <v>0.0517945525522914</v>
      </c>
      <c r="N8" s="108">
        <f>IFERROR(Model!BQ44+0,IFERROR(Model!BQ46+0,0))</f>
        <v>0.0606018945153251</v>
      </c>
      <c r="O8" s="108">
        <f>IFERROR(Model!BV44+0,IFERROR(Model!BV46+0,0))</f>
        <v>0.0470755249057861</v>
      </c>
      <c r="P8" s="108">
        <f>IFERROR(Model!CA44+0,IFERROR(Model!CA46+0,0))</f>
        <v>0.119293528081648</v>
      </c>
      <c r="Q8" s="108">
        <f>IFERROR(Model!CF44+0,IFERROR(Model!CF46+0,0))</f>
        <v>0.0944142960428241</v>
      </c>
      <c r="R8" s="108">
        <f>IFERROR(Model!CG44+0,IFERROR(Model!CG46+0,0))</f>
        <v>0.0491908483787649</v>
      </c>
      <c r="S8" s="108">
        <f>IFERROR(Model!CH44+0,IFERROR(Model!CH46+0,0))</f>
        <v>0.0448994174735275</v>
      </c>
      <c r="T8" s="108">
        <f>IFERROR(Model!CI44+0,IFERROR(Model!CI46+0,0))</f>
        <v>0.0397559991207498</v>
      </c>
      <c r="U8" s="108">
        <f>IFERROR(Model!CJ44+0,IFERROR(Model!CJ46+0,0))</f>
        <v>0.0348239396226536</v>
      </c>
      <c r="V8" s="108">
        <f>IFERROR(Model!CK44+0,IFERROR(Model!CK46+0,0))</f>
        <v>0.0299765300411472</v>
      </c>
    </row>
    <row r="9" ht="15" customHeight="1" s="251">
      <c r="B9" t="inlineStr">
        <is>
          <t>Industrial contribution to growth (pp)</t>
        </is>
      </c>
      <c r="C9" s="108">
        <f>IFERROR(Model!N45+0,0)</f>
        <v>0</v>
      </c>
      <c r="D9" s="108">
        <f>IFERROR(Model!S45+0,0)</f>
        <v>0</v>
      </c>
      <c r="E9" s="108">
        <f>IFERROR(Model!X45+0,0)</f>
        <v>0</v>
      </c>
      <c r="F9" s="108">
        <f>IFERROR(Model!AC45+0,0)</f>
        <v>0</v>
      </c>
      <c r="G9" s="108">
        <f>IFERROR(Model!AH45+0,0)</f>
        <v>0</v>
      </c>
      <c r="H9" s="108">
        <f>IFERROR(Model!AM45+0,0)</f>
        <v>0</v>
      </c>
      <c r="I9" s="108">
        <f>IFERROR(Model!AR45+0,0)</f>
        <v>0</v>
      </c>
      <c r="J9" s="108">
        <f>IFERROR(Model!AW45+0,0)</f>
        <v>0</v>
      </c>
      <c r="K9" s="108">
        <f>IFERROR(Model!BB45+0,0)</f>
        <v>0</v>
      </c>
      <c r="L9" s="108">
        <f>IFERROR(Model!BG45+0,0)</f>
        <v>0.572604534766102</v>
      </c>
      <c r="M9" s="108">
        <f>IFERROR(Model!BL45+0,0)</f>
        <v>0.506415592982352</v>
      </c>
      <c r="N9" s="108">
        <f>IFERROR(Model!BQ45+0,0)</f>
        <v>0.00132308442013645</v>
      </c>
      <c r="O9" s="108">
        <f>IFERROR(Model!BV45+0,0)</f>
        <v>0.00164649934627116</v>
      </c>
      <c r="P9" s="108">
        <f>IFERROR(Model!CA45+0,0)</f>
        <v>0.0240787141722179</v>
      </c>
      <c r="Q9" s="108">
        <f>IFERROR(Model!CF45+0,0)</f>
        <v>0.0585687778419972</v>
      </c>
      <c r="R9" s="108">
        <f>IFERROR(Model!CG45+0,0)</f>
        <v>0.0331686281570373</v>
      </c>
      <c r="S9" s="108">
        <f>IFERROR(Model!CH45+0,0)</f>
        <v>0.0291521717601096</v>
      </c>
      <c r="T9" s="108">
        <f>IFERROR(Model!CI45+0,0)</f>
        <v>0.0250067619452905</v>
      </c>
      <c r="U9" s="108">
        <f>IFERROR(Model!CJ45+0,0)</f>
        <v>0.0237382124449207</v>
      </c>
      <c r="V9" s="108">
        <f>IFERROR(Model!CK45+0,0)</f>
        <v>0.0204339097238555</v>
      </c>
    </row>
    <row r="11" ht="15" customHeight="1" s="251">
      <c r="C11" s="10">
        <f>C7</f>
        <v>2013</v>
      </c>
      <c r="D11" s="10">
        <f>D7</f>
        <v>2014</v>
      </c>
      <c r="E11" s="10">
        <f>E7</f>
        <v>2015</v>
      </c>
      <c r="F11" s="10">
        <f>F7</f>
        <v>2016</v>
      </c>
      <c r="G11" s="10">
        <f>G7</f>
        <v>2017</v>
      </c>
      <c r="H11" s="10">
        <f>H7</f>
        <v>2018</v>
      </c>
      <c r="I11" s="10">
        <f>I7</f>
        <v>2019</v>
      </c>
      <c r="J11" s="10">
        <f>J7</f>
        <v>2020</v>
      </c>
      <c r="K11" s="10">
        <f>K7</f>
        <v>2021</v>
      </c>
      <c r="L11" s="10">
        <f>L7</f>
        <v>2022</v>
      </c>
      <c r="M11" s="10">
        <f>M7</f>
        <v>2023</v>
      </c>
      <c r="N11" s="10">
        <f>N7</f>
        <v>2024</v>
      </c>
      <c r="O11" s="10">
        <f>O7</f>
        <v>2025</v>
      </c>
      <c r="P11" s="10">
        <f>P7</f>
        <v>2026</v>
      </c>
      <c r="Q11" s="10" t="str">
        <f>Q7</f>
        <v>2027E</v>
      </c>
      <c r="R11" s="10" t="str">
        <f>R7</f>
        <v>2028E</v>
      </c>
      <c r="S11" s="10" t="str">
        <f>S7</f>
        <v>2029E</v>
      </c>
      <c r="T11" s="10" t="str">
        <f>T7</f>
        <v>2030E</v>
      </c>
      <c r="U11" s="10" t="str">
        <f>U7</f>
        <v>2031E</v>
      </c>
      <c r="V11" s="10" t="str">
        <f>V7</f>
        <v>2032E</v>
      </c>
    </row>
    <row r="12" ht="15" customHeight="1" s="251">
      <c r="B12" t="inlineStr">
        <is>
          <t>Adjusted EBITDA</t>
        </is>
      </c>
      <c r="C12" s="106">
        <f>Model!N179</f>
        <v>105.026</v>
      </c>
      <c r="D12" s="106">
        <f>Model!S179</f>
        <v>111.512</v>
      </c>
      <c r="E12" s="106">
        <f>Model!X179</f>
        <v>119.871</v>
      </c>
      <c r="F12" s="106">
        <f>Model!AC179</f>
        <v>154.828</v>
      </c>
      <c r="G12" s="106">
        <f>Model!AH179</f>
        <v>160.84</v>
      </c>
      <c r="H12" s="106">
        <f>Model!AM179</f>
        <v>177.886</v>
      </c>
      <c r="I12" s="106">
        <f>Model!AR179</f>
        <v>195.504</v>
      </c>
      <c r="J12" s="106">
        <f>Model!AW179</f>
        <v>209.22</v>
      </c>
      <c r="K12" s="106">
        <f>Model!BB179</f>
        <v>174.255</v>
      </c>
      <c r="L12" s="106">
        <f>Model!BG179</f>
        <v>266.468</v>
      </c>
      <c r="M12" s="106">
        <f>Model!BL179</f>
        <v>433.97</v>
      </c>
      <c r="N12" s="106">
        <f>Model!BQ179</f>
        <v>482.167</v>
      </c>
      <c r="O12" s="106">
        <f>Model!BV179</f>
        <v>519.8</v>
      </c>
      <c r="P12" s="106">
        <f>Model!CA179</f>
        <v>605.3</v>
      </c>
      <c r="Q12" s="106">
        <f>Model!CF179</f>
        <v>723.463021075993</v>
      </c>
      <c r="R12" s="106">
        <f>Model!CG179</f>
        <v>817.009114446059</v>
      </c>
      <c r="S12" s="106">
        <f>Model!CH179</f>
        <v>919.171644953639</v>
      </c>
      <c r="T12" s="106">
        <f>Model!CI179</f>
        <v>1023.61113383704</v>
      </c>
      <c r="U12" s="106">
        <f>Model!CJ179</f>
        <v>1123.38495461038</v>
      </c>
      <c r="V12" s="106">
        <f>Model!CK179</f>
        <v>1222.06801092962</v>
      </c>
    </row>
    <row r="13" ht="15" customHeight="1" s="251">
      <c r="B13" t="inlineStr">
        <is>
          <t>Operating income (GAAP)</t>
        </is>
      </c>
      <c r="C13" s="106">
        <f>Model!N116</f>
        <v>78.101</v>
      </c>
      <c r="D13" s="106">
        <f>Model!S116</f>
        <v>88.65</v>
      </c>
      <c r="E13" s="106">
        <f>Model!X116</f>
        <v>88.43</v>
      </c>
      <c r="F13" s="106">
        <f>Model!AC116</f>
        <v>103.841</v>
      </c>
      <c r="G13" s="106">
        <f>Model!AH116</f>
        <v>113.693</v>
      </c>
      <c r="H13" s="106">
        <f>Model!AM116</f>
        <v>128.141</v>
      </c>
      <c r="I13" s="106">
        <f>Model!AR116</f>
        <v>132.035</v>
      </c>
      <c r="J13" s="106">
        <f>Model!AW116</f>
        <v>156.785</v>
      </c>
      <c r="K13" s="106">
        <f>Model!BB116</f>
        <v>111.458</v>
      </c>
      <c r="L13" s="106">
        <f>Model!BG116</f>
        <v>130.063</v>
      </c>
      <c r="M13" s="106">
        <f>Model!BL116</f>
        <v>293</v>
      </c>
      <c r="N13" s="106">
        <f>Model!BQ116</f>
        <v>342.2</v>
      </c>
      <c r="O13" s="106">
        <f>Model!BV116</f>
        <v>369.9</v>
      </c>
      <c r="P13" s="106">
        <f>Model!CA116</f>
        <v>421</v>
      </c>
      <c r="Q13" s="106">
        <f>Model!CF116</f>
        <v>558.423021701425</v>
      </c>
      <c r="R13" s="106">
        <f>Model!CG116</f>
        <v>620.950465355465</v>
      </c>
      <c r="S13" s="106">
        <f>Model!CH116</f>
        <v>704.984562509514</v>
      </c>
      <c r="T13" s="106">
        <f>Model!CI116</f>
        <v>794.303199120574</v>
      </c>
      <c r="U13" s="106">
        <f>Model!CJ116</f>
        <v>876.747938670355</v>
      </c>
      <c r="V13" s="106">
        <f>Model!CK116</f>
        <v>954.831635358326</v>
      </c>
    </row>
    <row r="14" ht="15" customHeight="1" s="251">
      <c r="B14" t="inlineStr">
        <is>
          <t>Adj. EBITDA Margin %</t>
        </is>
      </c>
      <c r="C14" s="108">
        <f>Model!N227</f>
        <v>0.260577445534188</v>
      </c>
      <c r="D14" s="108">
        <f>Model!S227</f>
        <v>0.266210854504567</v>
      </c>
      <c r="E14" s="108">
        <f>Model!X227</f>
        <v>0.269204856292024</v>
      </c>
      <c r="F14" s="108">
        <f>Model!AC227</f>
        <v>0.259138503561673</v>
      </c>
      <c r="G14" s="108">
        <f>Model!AH227</f>
        <v>0.261363562500406</v>
      </c>
      <c r="H14" s="108">
        <f>Model!AM227</f>
        <v>0.263554727838696</v>
      </c>
      <c r="I14" s="108">
        <f>Model!AR227</f>
        <v>0.278291170592556</v>
      </c>
      <c r="J14" s="108">
        <f>Model!AW227</f>
        <v>0.28760304676127</v>
      </c>
      <c r="K14" s="108">
        <f>Model!BB227</f>
        <v>0.286140522575306</v>
      </c>
      <c r="L14" s="108">
        <f>Model!BG227</f>
        <v>0.282593640932533</v>
      </c>
      <c r="M14" s="108">
        <f>Model!BL227</f>
        <v>0.295358333900497</v>
      </c>
      <c r="N14" s="108">
        <f>Model!BQ227</f>
        <v>0.309021982951996</v>
      </c>
      <c r="O14" s="108">
        <f>Model!BV227</f>
        <v>0.317667909307584</v>
      </c>
      <c r="P14" s="108">
        <f>Model!CA227</f>
        <v>0.323534127959805</v>
      </c>
      <c r="Q14" s="108">
        <f>Model!CF227</f>
        <v>0.335384378972393</v>
      </c>
      <c r="R14" s="108">
        <f>Model!CG227</f>
        <v>0.342593796571598</v>
      </c>
      <c r="S14" s="108">
        <f>Model!CH227</f>
        <v>0.344727542311292</v>
      </c>
      <c r="T14" s="108">
        <f>Model!CI227</f>
        <v>0.34706883579314</v>
      </c>
      <c r="U14" s="108">
        <f>Model!CJ227</f>
        <v>0.346961167610061</v>
      </c>
      <c r="V14" s="108">
        <f>Model!CK227</f>
        <v>0.34692692537488</v>
      </c>
    </row>
    <row r="15" ht="15" customHeight="1" s="251">
      <c r="B15" t="inlineStr">
        <is>
          <t>Operating Margin %</t>
        </is>
      </c>
      <c r="C15" s="108">
        <f>Model!N228</f>
        <v>0.193774485114787</v>
      </c>
      <c r="D15" s="108">
        <f>Model!S228</f>
        <v>0.211632759271019</v>
      </c>
      <c r="E15" s="108">
        <f>Model!X228</f>
        <v>0.198595035011835</v>
      </c>
      <c r="F15" s="108">
        <f>Model!AC228</f>
        <v>0.173800613250495</v>
      </c>
      <c r="G15" s="108">
        <f>Model!AH228</f>
        <v>0.184750108874401</v>
      </c>
      <c r="H15" s="108">
        <f>Model!AM228</f>
        <v>0.189852862957053</v>
      </c>
      <c r="I15" s="108">
        <f>Model!AR228</f>
        <v>0.187945897317641</v>
      </c>
      <c r="J15" s="108">
        <f>Model!AW228</f>
        <v>0.215523581332882</v>
      </c>
      <c r="K15" s="108">
        <f>Model!BB228</f>
        <v>0.183022870880023</v>
      </c>
      <c r="L15" s="108">
        <f>Model!BG228</f>
        <v>0.137933923475269</v>
      </c>
      <c r="M15" s="108">
        <f>Model!BL228</f>
        <v>0.199414687266045</v>
      </c>
      <c r="N15" s="108">
        <f>Model!BQ228</f>
        <v>0.219316798051657</v>
      </c>
      <c r="O15" s="108">
        <f>Model!BV228</f>
        <v>0.226058791175212</v>
      </c>
      <c r="P15" s="108">
        <f>Model!CA228</f>
        <v>0.225025388850286</v>
      </c>
      <c r="Q15" s="108">
        <f>Model!CF228</f>
        <v>0.258874818589445</v>
      </c>
      <c r="R15" s="108">
        <f>Model!CG228</f>
        <v>0.260381155665889</v>
      </c>
      <c r="S15" s="108">
        <f>Model!CH228</f>
        <v>0.264398490679686</v>
      </c>
      <c r="T15" s="108">
        <f>Model!CI228</f>
        <v>0.269318960562842</v>
      </c>
      <c r="U15" s="108">
        <f>Model!CJ228</f>
        <v>0.270786507556783</v>
      </c>
      <c r="V15" s="108">
        <f>Model!CK228</f>
        <v>0.271062494511699</v>
      </c>
    </row>
    <row r="17" ht="15" customHeight="1" s="251">
      <c r="C17" s="10">
        <f>C7</f>
        <v>2013</v>
      </c>
      <c r="D17" s="10">
        <f>D7</f>
        <v>2014</v>
      </c>
      <c r="E17" s="10">
        <f>E7</f>
        <v>2015</v>
      </c>
      <c r="F17" s="10">
        <f>F7</f>
        <v>2016</v>
      </c>
      <c r="G17" s="10">
        <f>G7</f>
        <v>2017</v>
      </c>
      <c r="H17" s="10">
        <f>H7</f>
        <v>2018</v>
      </c>
      <c r="I17" s="10">
        <f>I7</f>
        <v>2019</v>
      </c>
      <c r="J17" s="10">
        <f>J7</f>
        <v>2020</v>
      </c>
      <c r="K17" s="10">
        <f>K7</f>
        <v>2021</v>
      </c>
      <c r="L17" s="10">
        <f>L7</f>
        <v>2022</v>
      </c>
      <c r="M17" s="10">
        <f>M7</f>
        <v>2023</v>
      </c>
      <c r="N17" s="10">
        <f>N7</f>
        <v>2024</v>
      </c>
      <c r="O17" s="10">
        <f>O7</f>
        <v>2025</v>
      </c>
      <c r="P17" s="10">
        <f>P7</f>
        <v>2026</v>
      </c>
      <c r="Q17" s="10" t="str">
        <f>Q7</f>
        <v>2027E</v>
      </c>
      <c r="R17" s="10" t="str">
        <f>R7</f>
        <v>2028E</v>
      </c>
      <c r="S17" s="10" t="str">
        <f>S7</f>
        <v>2029E</v>
      </c>
      <c r="T17" s="10" t="str">
        <f>T7</f>
        <v>2030E</v>
      </c>
      <c r="U17" s="10" t="str">
        <f>U7</f>
        <v>2031E</v>
      </c>
      <c r="V17" s="10" t="str">
        <f>V7</f>
        <v>2032E</v>
      </c>
    </row>
    <row r="18" ht="15" customHeight="1" s="251">
      <c r="B18" t="inlineStr">
        <is>
          <t>ROIC</t>
        </is>
      </c>
      <c r="C18" s="108">
        <f>IFERROR(Model!N370+0,NA())</f>
        <v>0.151386291792977</v>
      </c>
      <c r="D18" s="108">
        <f>IFERROR(Model!S370+0,NA())</f>
        <v>0.141434224543324</v>
      </c>
      <c r="E18" s="108">
        <f>IFERROR(Model!X370+0,NA())</f>
        <v>0.149878796586395</v>
      </c>
      <c r="F18" s="108">
        <f>IFERROR(Model!AC370+0,NA())</f>
        <v>0.084416108632179</v>
      </c>
      <c r="G18" s="108">
        <f>IFERROR(Model!AH370+0,NA())</f>
        <v>0.0859542952546404</v>
      </c>
      <c r="H18" s="108">
        <f>IFERROR(Model!AM370+0,NA())</f>
        <v>0.104971640578133</v>
      </c>
      <c r="I18" s="108">
        <f>IFERROR(Model!AR370+0,NA())</f>
        <v>0.126252409367391</v>
      </c>
      <c r="J18" s="108">
        <f>IFERROR(Model!AW370+0,NA())</f>
        <v>0.123291511453102</v>
      </c>
      <c r="K18" s="108">
        <f>IFERROR(Model!BB370+0,NA())</f>
        <v>0.0893856574115383</v>
      </c>
      <c r="L18" s="108">
        <f>IFERROR(Model!BG370+0,NA())</f>
        <v>0.039948322216864</v>
      </c>
      <c r="M18" s="108">
        <f>IFERROR(Model!BL370+0,NA())</f>
        <v>0.0616870400023909</v>
      </c>
      <c r="N18" s="108">
        <f>IFERROR(Model!BQ370+0,NA())</f>
        <v>0.0697523870053593</v>
      </c>
      <c r="O18" s="108">
        <f>IFERROR(Model!BV370+0,NA())</f>
        <v>0.0732037493098151</v>
      </c>
      <c r="P18" s="108">
        <f>IFERROR(Model!CA370+0,NA())</f>
        <v>0.0826692968567498</v>
      </c>
      <c r="Q18" s="108">
        <f>IFERROR(Model!CF370+0,NA())</f>
        <v>0.102721635314975</v>
      </c>
      <c r="R18" s="108">
        <f>IFERROR(Model!CG370+0,NA())</f>
        <v>0.107420025004117</v>
      </c>
      <c r="S18" s="108">
        <f>IFERROR(Model!CH370+0,NA())</f>
        <v>0.114712485314958</v>
      </c>
      <c r="T18" s="108">
        <f>IFERROR(Model!CI370+0,NA())</f>
        <v>0.122286572685754</v>
      </c>
      <c r="U18" s="108">
        <f>IFERROR(Model!CJ370+0,NA())</f>
        <v>0.127976116666741</v>
      </c>
      <c r="V18" s="108">
        <f>IFERROR(Model!CK370+0,NA())</f>
        <v>0.132407871161169</v>
      </c>
    </row>
    <row r="19" ht="15" customHeight="1" s="251">
      <c r="B19" t="inlineStr">
        <is>
          <t>RONTA</t>
        </is>
      </c>
      <c r="C19" s="108">
        <f>IFERROR(Model!N381+0,NA())</f>
        <v>0.12010948259865</v>
      </c>
      <c r="D19" s="108">
        <f>IFERROR(Model!S381+0,NA())</f>
        <v>0.116020020720827</v>
      </c>
      <c r="E19" s="108">
        <f>IFERROR(Model!X381+0,NA())</f>
        <v>0.121167139007445</v>
      </c>
      <c r="F19" s="108">
        <f>IFERROR(Model!AC381+0,NA())</f>
        <v>0.146127095810564</v>
      </c>
      <c r="G19" s="108">
        <f>IFERROR(Model!AH381+0,NA())</f>
        <v>0.144188223812688</v>
      </c>
      <c r="H19" s="108">
        <f>IFERROR(Model!AM381+0,NA())</f>
        <v>0.165509015357218</v>
      </c>
      <c r="I19" s="108">
        <f>IFERROR(Model!AR381+0,NA())</f>
        <v>0.19359177062226</v>
      </c>
      <c r="J19" s="108">
        <f>IFERROR(Model!AW381+0,NA())</f>
        <v>0.163183960676024</v>
      </c>
      <c r="K19" s="108">
        <f>IFERROR(Model!BB381+0,NA())</f>
        <v>0.106768734412525</v>
      </c>
      <c r="L19" s="108">
        <f>IFERROR(Model!BG381+0,NA())</f>
        <v>0.138311720966624</v>
      </c>
      <c r="M19" s="108">
        <f>IFERROR(Model!BL381+0,NA())</f>
        <v>0.224975236464989</v>
      </c>
      <c r="N19" s="108">
        <f>IFERROR(Model!BQ381+0,NA())</f>
        <v>0.241380707479618</v>
      </c>
      <c r="O19" s="108">
        <f>IFERROR(Model!BV381+0,NA())</f>
        <v>0.244035355039712</v>
      </c>
      <c r="P19" s="108">
        <f>IFERROR(Model!CA381+0,NA())</f>
        <v>0.252423120788872</v>
      </c>
      <c r="Q19" s="108">
        <f>IFERROR(Model!CF381+0,NA())</f>
        <v>0.285614184920746</v>
      </c>
      <c r="R19" s="108">
        <f>IFERROR(Model!CG381+0,NA())</f>
        <v>0.292561223720219</v>
      </c>
      <c r="S19" s="108">
        <f>IFERROR(Model!CH381+0,NA())</f>
        <v>0.30524079843151</v>
      </c>
      <c r="T19" s="108">
        <f>IFERROR(Model!CI381+0,NA())</f>
        <v>0.319698234203994</v>
      </c>
      <c r="U19" s="108">
        <f>IFERROR(Model!CJ381+0,NA())</f>
        <v>0.328225996508457</v>
      </c>
      <c r="V19" s="108">
        <f>IFERROR(Model!CK381+0,NA())</f>
        <v>0.332362438985928</v>
      </c>
    </row>
    <row r="20" ht="15" customHeight="1" s="251">
      <c r="B20" t="inlineStr">
        <is>
          <t>Adj. EBITDA margin %</t>
        </is>
      </c>
      <c r="C20" s="108">
        <f>IFERROR(Model!N227+0,NA())</f>
        <v>0.260577445534188</v>
      </c>
      <c r="D20" s="108">
        <f>IFERROR(Model!S227+0,NA())</f>
        <v>0.266210854504567</v>
      </c>
      <c r="E20" s="108">
        <f>IFERROR(Model!X227+0,NA())</f>
        <v>0.269204856292024</v>
      </c>
      <c r="F20" s="108">
        <f>IFERROR(Model!AC227+0,NA())</f>
        <v>0.259138503561673</v>
      </c>
      <c r="G20" s="108">
        <f>IFERROR(Model!AH227+0,NA())</f>
        <v>0.261363562500406</v>
      </c>
      <c r="H20" s="108">
        <f>IFERROR(Model!AM227+0,NA())</f>
        <v>0.263554727838696</v>
      </c>
      <c r="I20" s="108">
        <f>IFERROR(Model!AR227+0,NA())</f>
        <v>0.278291170592556</v>
      </c>
      <c r="J20" s="108">
        <f>IFERROR(Model!AW227+0,NA())</f>
        <v>0.28760304676127</v>
      </c>
      <c r="K20" s="108">
        <f>IFERROR(Model!BB227+0,NA())</f>
        <v>0.286140522575306</v>
      </c>
      <c r="L20" s="108">
        <f>IFERROR(Model!BG227+0,NA())</f>
        <v>0.282593640932533</v>
      </c>
      <c r="M20" s="108">
        <f>IFERROR(Model!BL227+0,NA())</f>
        <v>0.295358333900497</v>
      </c>
      <c r="N20" s="108">
        <f>IFERROR(Model!BQ227+0,NA())</f>
        <v>0.309021982951996</v>
      </c>
      <c r="O20" s="108">
        <f>IFERROR(Model!BV227+0,NA())</f>
        <v>0.317667909307584</v>
      </c>
      <c r="P20" s="108">
        <f>IFERROR(Model!CA227+0,NA())</f>
        <v>0.323534127959805</v>
      </c>
      <c r="Q20" s="108">
        <f>IFERROR(Model!CF227+0,NA())</f>
        <v>0.335384378972393</v>
      </c>
      <c r="R20" s="108">
        <f>IFERROR(Model!CG227+0,NA())</f>
        <v>0.342593796571598</v>
      </c>
      <c r="S20" s="108">
        <f>IFERROR(Model!CH227+0,NA())</f>
        <v>0.344727542311292</v>
      </c>
      <c r="T20" s="108">
        <f>IFERROR(Model!CI227+0,NA())</f>
        <v>0.34706883579314</v>
      </c>
      <c r="U20" s="108">
        <f>IFERROR(Model!CJ227+0,NA())</f>
        <v>0.346961167610061</v>
      </c>
      <c r="V20" s="108">
        <f>IFERROR(Model!CK227+0,NA())</f>
        <v>0.34692692537488</v>
      </c>
    </row>
    <row r="21" ht="15" customHeight="1" s="251">
      <c r="B21" t="inlineStr">
        <is>
          <t>FCF margin %</t>
        </is>
      </c>
      <c r="C21" s="108">
        <f>IFERROR(Model!N260+0,NA())</f>
        <v>0.0601536778224096</v>
      </c>
      <c r="D21" s="108">
        <f>IFERROR(Model!S260+0,NA())</f>
        <v>0.0454897036425185</v>
      </c>
      <c r="E21" s="108">
        <f>IFERROR(Model!X260+0,NA())</f>
        <v>0.114294889933929</v>
      </c>
      <c r="F21" s="108">
        <f>IFERROR(Model!AC260+0,NA())</f>
        <v>0.104600717690536</v>
      </c>
      <c r="G21" s="108">
        <f>IFERROR(Model!AH260+0,NA())</f>
        <v>0.1305647818937</v>
      </c>
      <c r="H21" s="108">
        <f>IFERROR(Model!AM260+0,NA())</f>
        <v>0.151586267999508</v>
      </c>
      <c r="I21" s="108">
        <f>IFERROR(Model!AR260+0,NA())</f>
        <v>0.0956576077982566</v>
      </c>
      <c r="J21" s="108">
        <f>IFERROR(Model!AW260+0,NA())</f>
        <v>0.162653393102861</v>
      </c>
      <c r="K21" s="108">
        <f>IFERROR(Model!BB260+0,NA())</f>
        <v>0.231009353283502</v>
      </c>
      <c r="L21" s="108">
        <f>IFERROR(Model!BG260+0,NA())</f>
        <v>0.159643751385299</v>
      </c>
      <c r="M21" s="108">
        <f>IFERROR(Model!BL260+0,NA())</f>
        <v>0.121554481725992</v>
      </c>
      <c r="N21" s="108">
        <f>IFERROR(Model!BQ260+0,NA())</f>
        <v>0.154777927321669</v>
      </c>
      <c r="O21" s="108">
        <f>IFERROR(Model!BV260+0,NA())</f>
        <v>0.148994683126566</v>
      </c>
      <c r="P21" s="108">
        <f>IFERROR(Model!CA260+0,NA())</f>
        <v>0.183120423325672</v>
      </c>
      <c r="Q21" s="108">
        <f>IFERROR(Model!CF260+0,NA())</f>
        <v>0.176279096856033</v>
      </c>
      <c r="R21" s="108">
        <f>IFERROR(Model!CG260+0,NA())</f>
        <v>0.199967341717759</v>
      </c>
      <c r="S21" s="108">
        <f>IFERROR(Model!CH260+0,NA())</f>
        <v>0.197428241713933</v>
      </c>
      <c r="T21" s="108">
        <f>IFERROR(Model!CI260+0,NA())</f>
        <v>0.205465915661313</v>
      </c>
      <c r="U21" s="108">
        <f>IFERROR(Model!CJ260+0,NA())</f>
        <v>0.204864259965628</v>
      </c>
      <c r="V21" s="108">
        <f>IFERROR(Model!CK260+0,NA())</f>
        <v>0.204484806549224</v>
      </c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2026-10-04T02:35:31Z</dcterms:created>
  <dcterms:modified xmlns:dcterms="http://purl.org/dc/terms/" xmlns:xsi="http://www.w3.org/2001/XMLSchema-instance" xsi:type="dcterms:W3CDTF">2026-10-13T10:57:02Z</dcterms:modified>
  <cp:lastModifiedBy>Payton Liske</cp:lastModifiedBy>
  <cp:revision>3</cp:revision>
</cp:coreProperties>
</file>