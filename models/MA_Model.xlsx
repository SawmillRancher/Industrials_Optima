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7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7" fontId="46" fillId="0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66" fontId="46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6" fontId="46" fillId="0" borderId="0" pivotButton="0" quotePrefix="0" xfId="0"/>
    <xf numFmtId="166" fontId="55" fillId="0" borderId="0" applyAlignment="1" pivotButton="0" quotePrefix="0" xfId="0">
      <alignment horizontal="right"/>
    </xf>
    <xf numFmtId="166" fontId="51" fillId="2" borderId="0" applyAlignment="1" pivotButton="0" quotePrefix="0" xfId="0">
      <alignment horizontal="right"/>
    </xf>
    <xf numFmtId="167" fontId="46" fillId="0" borderId="0" pivotButton="0" quotePrefix="0" xfId="0"/>
    <xf numFmtId="186" fontId="46" fillId="0" borderId="0" applyAlignment="1" pivotButton="0" quotePrefix="0" xfId="0">
      <alignment horizontal="right"/>
    </xf>
    <xf numFmtId="167" fontId="51" fillId="0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164" fontId="45" fillId="0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76" fontId="17" fillId="0" borderId="0" pivotButton="0" quotePrefix="0" xfId="0"/>
    <xf numFmtId="0" fontId="51" fillId="2" borderId="0" applyAlignment="1" pivotButton="0" quotePrefix="0" xfId="0">
      <alignment horizontal="right"/>
    </xf>
    <xf numFmtId="0" fontId="48" fillId="2" borderId="0" applyAlignment="1" pivotButton="0" quotePrefix="0" xfId="0">
      <alignment horizontal="right"/>
    </xf>
    <xf numFmtId="167" fontId="51" fillId="2" borderId="0" applyAlignment="1" pivotButton="0" quotePrefix="0" xfId="0">
      <alignment horizontal="right"/>
    </xf>
    <xf numFmtId="166" fontId="48" fillId="2" borderId="0" applyAlignment="1" pivotButton="0" quotePrefix="0" xfId="0">
      <alignment horizontal="right"/>
    </xf>
    <xf numFmtId="173" fontId="51" fillId="2" borderId="0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167" fontId="48" fillId="6" borderId="2" applyAlignment="1" pivotButton="0" quotePrefix="0" xfId="0">
      <alignment horizontal="right"/>
    </xf>
    <xf numFmtId="167" fontId="41" fillId="2" borderId="0" pivotButton="0" quotePrefix="0" xfId="0"/>
    <xf numFmtId="167" fontId="48" fillId="0" borderId="2" applyAlignment="1" pivotButton="0" quotePrefix="0" xfId="0">
      <alignment horizontal="right"/>
    </xf>
    <xf numFmtId="168" fontId="41" fillId="2" borderId="0" pivotButton="0" quotePrefix="0" xfId="0"/>
    <xf numFmtId="167" fontId="51" fillId="6" borderId="2" applyAlignment="1" pivotButton="0" quotePrefix="0" xfId="0">
      <alignment horizontal="right"/>
    </xf>
    <xf numFmtId="164" fontId="46" fillId="0" borderId="0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51" fillId="2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0" fontId="56" fillId="0" borderId="0" pivotButton="0" quotePrefix="0" xfId="0"/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164" fontId="41" fillId="2" borderId="0" pivotButton="0" quotePrefix="0" xfId="0"/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186" fontId="45" fillId="0" borderId="0" applyAlignment="1" pivotButton="0" quotePrefix="0" xfId="0">
      <alignment horizontal="right"/>
    </xf>
    <xf numFmtId="164" fontId="51" fillId="2" borderId="0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Net Revenue Growth: Payment Network vs. Value-Added Services Contribution, 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(model)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MA model</author>
  </authors>
  <commentList>
    <comment ref="CF2" authorId="0" shapeId="0">
      <text>
        <t>Scenario toggle. Choose Bull / Base / Bear. Drives: FY26 net revenue and adjusted opex end-points (high / mid / low of the UNVERIFIED outlook), H2-26 buybacks, 2027E–2030E GDV growth, payment network yield, value-added services growth, adjusted operating margin, M&amp;A spend and the leverage target for 2027E+ buybacks (scenario table CN:CR).</t>
      </text>
    </comment>
    <comment ref="B11" authorId="0" shapeId="0">
      <text>
        <t>Source: Mastercard earnings releases (Form 8-K Item 2.02, Ex. 99.1), SEC EDGAR CIK 1141391 — "Mastercard Incorporated Operating Performance" tables (GDV, all Mastercard credit, charge and debit programs, worldwide; three months / full year).</t>
      </text>
    </comment>
    <comment ref="BV11" authorId="0" shapeId="0">
      <text>
        <t>FY2025 annual table $10,632bn vs Σ quarters $10,614bn: GDV is customer-reported and revised in later tables.</t>
      </text>
    </comment>
    <comment ref="B15" authorId="0" shapeId="0">
      <text>
        <t>Source: Mastercard earnings releases (Form 8-K Item 2.02, Ex. 99.1), SEC EDGAR CIK 1141391 — release text ("cross-border volume growth of x% on a local currency basis"; 2010–15 "cross-border volumes"). Transcribed per period (data/_agent).</t>
      </text>
    </comment>
    <comment ref="B20" authorId="0" shapeId="0">
      <text>
        <t>Source: Forms 10-Q / 10-K, net revenue by category: payment network / value-added services and solutions from the FY2022 10-K (FY2020–21 comparatives); 2021–22 quarters from the 2023 10-Q prior-year columns (Q1-21 = H1 − Q2; Q4 = FY − 9M). From 2023 the 10-Qs; Q4 = FY (10-K) − nine months (Q3 10-Q).</t>
      </text>
    </comment>
    <comment ref="B37" authorId="0" shapeId="0">
      <text>
        <t>Source: Forms 10-Q / 10-K revenue tables (domestic assessments, cross-border volume fees, transaction processing fees, other revenues, rebates and incentives), as originally presented FY2008–Q3-22; FY2007–08 from the FY2009 10-K recast (the FY2006–08 10-Ks presented operations fees / assessments); FY2006 not published on this basis.</t>
      </text>
    </comment>
    <comment ref="B46" authorId="0" shapeId="0">
      <text>
        <t>Source: Forms 10-Q / 10-K, payment network key metrics (assessments) and the rebates &amp; incentives amount in the MD&amp;A text, from FY2022.</t>
      </text>
    </comment>
    <comment ref="B114" authorId="0" shapeId="0">
      <text>
        <t>Source: Mastercard earnings releases (Form 8-K Item 2.02, Ex. 99.1), SEC EDGAR CIK 1141391 — non-GAAP reconciliation tables ("special items"); company wording per period in the cell comments.</t>
      </text>
    </comment>
    <comment ref="C114" authorId="0" shapeId="0">
      <text>
        <t>Company items (2006): Litigation settlements 25</t>
      </text>
    </comment>
    <comment ref="D114" authorId="0" shapeId="0">
      <text>
        <t>Company items (2007): Litigation settlements 3</t>
      </text>
    </comment>
    <comment ref="E114" authorId="0" shapeId="0">
      <text>
        <t>Company items (2008): Litigation settlements 2,483</t>
      </text>
    </comment>
    <comment ref="F114" authorId="0" shapeId="0">
      <text>
        <t>Company items (2009): Litigation settlements 7</t>
      </text>
    </comment>
    <comment ref="H114" authorId="0" shapeId="0">
      <text>
        <t>Company items (2011): Provision for U.S. merchant litigation settlement 770</t>
      </text>
    </comment>
    <comment ref="I114" authorId="0" shapeId="0">
      <text>
        <t>Company items (2012): Provision for litigation settlement 20</t>
      </text>
    </comment>
    <comment ref="M114" authorId="0" shapeId="0">
      <text>
        <t>Company items (Q4-13): Net incremental accrual for U.S. merchant litigations (Provision for litigation settlement) 95</t>
      </text>
    </comment>
    <comment ref="N114" authorId="0" shapeId="0">
      <text>
        <t>Company items (2013): Net incremental accrual for U.S. merchant litigations (Provision for litigation settlement) 95</t>
      </text>
    </comment>
    <comment ref="U114" authorId="0" shapeId="0">
      <text>
        <t>Company items (Q2-15): UK Merchant Litigation Settlement 61</t>
      </text>
    </comment>
    <comment ref="X114" authorId="0" shapeId="0">
      <text>
        <t>Company items (2015): U.K. Merchant Litigation Settlement 61</t>
      </text>
    </comment>
    <comment ref="Z114" authorId="0" shapeId="0">
      <text>
        <t>Company items (Q2-16): U.K. merchant litigation provisions 107</t>
      </text>
    </comment>
    <comment ref="AB114" authorId="0" shapeId="0">
      <text>
        <t>Company items (Q4-16): U.K. merchant litigation provisions (Q4 2016) 10</t>
      </text>
    </comment>
    <comment ref="AC114" authorId="0" shapeId="0">
      <text>
        <t>Company items (2016): U.K. merchant litigation provisions (Q2 2016) 107; U.K. merchant litigation provisions (Q4 2016) 10</t>
      </text>
    </comment>
    <comment ref="AD114" authorId="0" shapeId="0">
      <text>
        <t>Company items (Q1-17): Special Item 15</t>
      </text>
    </comment>
    <comment ref="AH114" authorId="0" shapeId="0">
      <text>
        <t>Company items (2017): Canadian Merchant Litigation Provision 15</t>
      </text>
    </comment>
    <comment ref="AI114" authorId="0" shapeId="0">
      <text>
        <t>Company items (Q1-18): Special Items 117</t>
      </text>
    </comment>
    <comment ref="AJ114" authorId="0" shapeId="0">
      <text>
        <t>Company items (Q2-18): Special Items 225</t>
      </text>
    </comment>
    <comment ref="AK114" authorId="0" shapeId="0">
      <text>
        <t>Company items (Q3-18): Special Items - litigation provisions 29</t>
      </text>
    </comment>
    <comment ref="AL114" authorId="0" shapeId="0">
      <text>
        <t>Company items (Q4-18): Litigation provisions 757</t>
      </text>
    </comment>
    <comment ref="AM114" authorId="0" shapeId="0">
      <text>
        <t>Company items (2018): Litigation provisions 1,128</t>
      </text>
    </comment>
    <comment ref="AS114" authorId="0" shapeId="0">
      <text>
        <t>Company items (Q1-20): Litigation provisions 6</t>
      </text>
    </comment>
    <comment ref="AT114" authorId="0" shapeId="0">
      <text>
        <t>Company items (Q2-20): Litigation provisions 22</t>
      </text>
    </comment>
    <comment ref="AV114" authorId="0" shapeId="0">
      <text>
        <t>Company items (Q4-20): Litigation provisions 45</t>
      </text>
    </comment>
    <comment ref="AW114" authorId="0" shapeId="0">
      <text>
        <t>Company items (2020): Litigation provisions 73</t>
      </text>
    </comment>
    <comment ref="AY114" authorId="0" shapeId="0">
      <text>
        <t>Company items (Q2-21): Litigation provisions 67</t>
      </text>
    </comment>
    <comment ref="AZ114" authorId="0" shapeId="0">
      <text>
        <t>Company items (Q3-21): Litigation provisions 27</t>
      </text>
    </comment>
    <comment ref="BB114" authorId="0" shapeId="0">
      <text>
        <t>Company items (2021): Litigation provisions 94</t>
      </text>
    </comment>
    <comment ref="BD114" authorId="0" shapeId="0">
      <text>
        <t>Company items (Q2-22): Litigation provisions 133</t>
      </text>
    </comment>
    <comment ref="BE114" authorId="0" shapeId="0">
      <text>
        <t>Company items (Q3-22): Litigation provisions 208</t>
      </text>
    </comment>
    <comment ref="BF114" authorId="0" shapeId="0">
      <text>
        <t>Company items (Q4-22): Litigation provisions 15</t>
      </text>
    </comment>
    <comment ref="BG114" authorId="0" shapeId="0">
      <text>
        <t>Company items (2022): Litigation Provisions 356</t>
      </text>
    </comment>
    <comment ref="BH114" authorId="0" shapeId="0">
      <text>
        <t>Company items (Q1-23): Litigation provisions 211</t>
      </text>
    </comment>
    <comment ref="BI114" authorId="0" shapeId="0">
      <text>
        <t>Company items (Q2-23): Litigation provisions 20</t>
      </text>
    </comment>
    <comment ref="BK114" authorId="0" shapeId="0">
      <text>
        <t>Company items (Q4-23): Litigation provisions 308</t>
      </text>
    </comment>
    <comment ref="BL114" authorId="0" shapeId="0">
      <text>
        <t>Company items (2023): Litigation Provisions 539</t>
      </text>
    </comment>
    <comment ref="BM114" authorId="0" shapeId="0">
      <text>
        <t>Company items (Q1-24): Litigation provisions 126</t>
      </text>
    </comment>
    <comment ref="BN114" authorId="0" shapeId="0">
      <text>
        <t>Company items (Q2-24): Litigation provisions 98</t>
      </text>
    </comment>
    <comment ref="BO114" authorId="0" shapeId="0">
      <text>
        <t>Company items (Q3-24): Litigation provisions 176</t>
      </text>
    </comment>
    <comment ref="BP114" authorId="0" shapeId="0">
      <text>
        <t>Company items (Q4-24): Litigation provisions 280</t>
      </text>
    </comment>
    <comment ref="BQ114" authorId="0" shapeId="0">
      <text>
        <t>Company items (2024): Litigation provisions 680</t>
      </text>
    </comment>
    <comment ref="BR114" authorId="0" shapeId="0">
      <text>
        <t>Company items (Q1-25): Litigation provisions 151</t>
      </text>
    </comment>
    <comment ref="BS114" authorId="0" shapeId="0">
      <text>
        <t>Company items (Q2-25): Litigation provisions 96</t>
      </text>
    </comment>
    <comment ref="BT114" authorId="0" shapeId="0">
      <text>
        <t>Company items (Q3-25): Litigation provisions 83</t>
      </text>
    </comment>
    <comment ref="BU114" authorId="0" shapeId="0">
      <text>
        <t>Company items (Q4-25): Litigation provisions 174</t>
      </text>
    </comment>
    <comment ref="BV114" authorId="0" shapeId="0">
      <text>
        <t>Company items (2025): Litigation provisions 504</t>
      </text>
    </comment>
    <comment ref="BX114" authorId="0" shapeId="0">
      <text>
        <t>Company items (Q2-26): Litigation provisions 82</t>
      </text>
    </comment>
    <comment ref="BO115" authorId="0" shapeId="0">
      <text>
        <t>Company items (Q3-24): Restructuring charge 190</t>
      </text>
    </comment>
    <comment ref="BQ115" authorId="0" shapeId="0">
      <text>
        <t>Company items (2024): Restructuring charge 190</t>
      </text>
    </comment>
    <comment ref="BW115" authorId="0" shapeId="0">
      <text>
        <t>Company items (Q1-26): Restructuring charge 202</t>
      </text>
    </comment>
    <comment ref="C116" authorId="0" shapeId="0">
      <text>
        <t>Company items (2006): Contribution of common stock to the MasterCard Foundation 395</t>
      </text>
    </comment>
    <comment ref="V116" authorId="0" shapeId="0">
      <text>
        <t>Company items (Q3-15): Termination of the U.S. employee pension plan 79</t>
      </text>
    </comment>
    <comment ref="X116" authorId="0" shapeId="0">
      <text>
        <t>Company items (2015): Termination of the U.S. employee pension plan 79</t>
      </text>
    </comment>
    <comment ref="AG116" authorId="0" shapeId="0">
      <text>
        <t>Company items (Q4-17): Venezuela Charge 167</t>
      </text>
    </comment>
    <comment ref="AH116" authorId="0" shapeId="0">
      <text>
        <t>Company items (2017): Venezuela Charge 167</t>
      </text>
    </comment>
    <comment ref="AZ116" authorId="0" shapeId="0">
      <text>
        <t>Company items (Q3-21): Indirect tax matter 82</t>
      </text>
    </comment>
    <comment ref="BB116" authorId="0" shapeId="0">
      <text>
        <t>Company items (2021): Indirect tax matter 82</t>
      </text>
    </comment>
    <comment ref="BC116" authorId="0" shapeId="0">
      <text>
        <t>Company items (Q1-22): Russia-related impacts 34</t>
      </text>
    </comment>
    <comment ref="BD116" authorId="0" shapeId="0">
      <text>
        <t>Company items (Q2-22): Russia-related impacts 33</t>
      </text>
    </comment>
    <comment ref="BG116" authorId="0" shapeId="0">
      <text>
        <t>Company items (2022): Russia-related impacts 67</t>
      </text>
    </comment>
    <comment ref="BC117" authorId="0" shapeId="0">
      <text>
        <t>Company items (Q1-22): Russia-related impacts -30</t>
      </text>
    </comment>
    <comment ref="BD117" authorId="0" shapeId="0">
      <text>
        <t>Company items (Q2-22): Russia-related impacts -6</t>
      </text>
    </comment>
    <comment ref="BG117" authorId="0" shapeId="0">
      <text>
        <t>Company items (2022): Russia-related impacts -37</t>
      </text>
    </comment>
    <comment ref="AO118" authorId="0" shapeId="0">
      <text>
        <t>Company items (Q2-19): (Gains) losses on equity investments -143</t>
      </text>
    </comment>
    <comment ref="AP118" authorId="0" shapeId="0">
      <text>
        <t>Company items (Q3-19): (Gains) losses on equity investments 100</t>
      </text>
    </comment>
    <comment ref="AQ118" authorId="0" shapeId="0">
      <text>
        <t>Company items (Q4-19): (Gains) losses on equity investments -119</t>
      </text>
    </comment>
    <comment ref="AR118" authorId="0" shapeId="0">
      <text>
        <t>Company items (2019): (Gains) losses on equity investments -167</t>
      </text>
    </comment>
    <comment ref="AS118" authorId="0" shapeId="0">
      <text>
        <t>Company items (Q1-20): (Gains) losses on equity investments 174</t>
      </text>
    </comment>
    <comment ref="AT118" authorId="0" shapeId="0">
      <text>
        <t>Company items (Q2-20): (Gains) losses on equity investments -75</t>
      </text>
    </comment>
    <comment ref="AU118" authorId="0" shapeId="0">
      <text>
        <t>Company items (Q3-20): (Gains) losses on equity investments 91</t>
      </text>
    </comment>
    <comment ref="AV118" authorId="0" shapeId="0">
      <text>
        <t>Company items (Q4-20): (Gains) losses on equity investments -220</t>
      </text>
    </comment>
    <comment ref="AW118" authorId="0" shapeId="0">
      <text>
        <t>Company items (2020): (Gains) losses on equity investments -30</t>
      </text>
    </comment>
    <comment ref="AX118" authorId="0" shapeId="0">
      <text>
        <t>Company items (Q1-21): (Gains) losses on equity investments -94</t>
      </text>
    </comment>
    <comment ref="AY118" authorId="0" shapeId="0">
      <text>
        <t>Company items (Q2-21): (Gains) losses on equity investments -243</t>
      </text>
    </comment>
    <comment ref="AZ118" authorId="0" shapeId="0">
      <text>
        <t>Company items (Q3-21): (Gains) losses on equity investments -197</t>
      </text>
    </comment>
    <comment ref="BA118" authorId="0" shapeId="0">
      <text>
        <t>Company items (Q4-21): (Gains) losses on equity investments -111</t>
      </text>
    </comment>
    <comment ref="BB118" authorId="0" shapeId="0">
      <text>
        <t>Company items (2021): (Gains) losses on equity investments -645</t>
      </text>
    </comment>
    <comment ref="BC118" authorId="0" shapeId="0">
      <text>
        <t>Company items (Q1-22): (Gains) losses on equity investments 76</t>
      </text>
    </comment>
    <comment ref="BD118" authorId="0" shapeId="0">
      <text>
        <t>Company items (Q2-22): (Gains) losses on equity investments 117</t>
      </text>
    </comment>
    <comment ref="BE118" authorId="0" shapeId="0">
      <text>
        <t>Company items (Q3-22): (Gains) losses on equity investments -60</t>
      </text>
    </comment>
    <comment ref="BF118" authorId="0" shapeId="0">
      <text>
        <t>Company items (Q4-22): (Gains) losses on equity investments 12</t>
      </text>
    </comment>
    <comment ref="BG118" authorId="0" shapeId="0">
      <text>
        <t>Company items (2022): (Gains) losses on equity investments 145</t>
      </text>
    </comment>
    <comment ref="BH118" authorId="0" shapeId="0">
      <text>
        <t>Company items (Q1-23): (Gains) losses on equity investments 212</t>
      </text>
    </comment>
    <comment ref="BI118" authorId="0" shapeId="0">
      <text>
        <t>Company items (Q2-23): (Gains) losses on equity investments -123</t>
      </text>
    </comment>
    <comment ref="BJ118" authorId="0" shapeId="0">
      <text>
        <t>Company items (Q3-23): (Gains) losses on equity investments 6</t>
      </text>
    </comment>
    <comment ref="BK118" authorId="0" shapeId="0">
      <text>
        <t>Company items (Q4-23): (Gains) losses on equity investments -34</t>
      </text>
    </comment>
    <comment ref="BL118" authorId="0" shapeId="0">
      <text>
        <t>Company items (2023): (Gains) losses on equity investments 61</t>
      </text>
    </comment>
    <comment ref="BM118" authorId="0" shapeId="0">
      <text>
        <t>Company items (Q1-24): (Gains) losses on equity investments -6</t>
      </text>
    </comment>
    <comment ref="BN118" authorId="0" shapeId="0">
      <text>
        <t>Company items (Q2-24): (Gains) losses on equity investments 13</t>
      </text>
    </comment>
    <comment ref="BO118" authorId="0" shapeId="0">
      <text>
        <t>Company items (Q3-24): (Gains) losses on equity investments 62</t>
      </text>
    </comment>
    <comment ref="BP118" authorId="0" shapeId="0">
      <text>
        <t>Company items (Q4-24): (Gains) losses on equity investments -40</t>
      </text>
    </comment>
    <comment ref="BQ118" authorId="0" shapeId="0">
      <text>
        <t>Company items (2024): (Gains) losses on equity investments 29</t>
      </text>
    </comment>
    <comment ref="BR118" authorId="0" shapeId="0">
      <text>
        <t>Company items (Q1-25): (Gains) losses on equity investments 29</t>
      </text>
    </comment>
    <comment ref="BS118" authorId="0" shapeId="0">
      <text>
        <t>Company items (Q2-25): (Gains) losses on equity investments -4</t>
      </text>
    </comment>
    <comment ref="BT118" authorId="0" shapeId="0">
      <text>
        <t>Company items (Q3-25): (Gains) losses on equity investments -41</t>
      </text>
    </comment>
    <comment ref="BU118" authorId="0" shapeId="0">
      <text>
        <t>Company items (Q4-25): (Gains) losses on equity investments 104</t>
      </text>
    </comment>
    <comment ref="BV118" authorId="0" shapeId="0">
      <text>
        <t>Company items (2025): (Gains) losses on equity investments 88</t>
      </text>
    </comment>
    <comment ref="BW118" authorId="0" shapeId="0">
      <text>
        <t>Company items (Q1-26): (Gains) losses on equity investments 66</t>
      </text>
    </comment>
    <comment ref="BX118" authorId="0" shapeId="0">
      <text>
        <t>Company items (Q2-26): (Gains) losses on equity investments 2</t>
      </text>
    </comment>
    <comment ref="C119" authorId="0" shapeId="0">
      <text>
        <t>Company items (2006): Interest income on IPO proceeds which were used for redemption -7</t>
      </text>
    </comment>
    <comment ref="D119" authorId="0" shapeId="0">
      <text>
        <t>Company items (2007): Other income related to a settlement agreement to discontinue the company's sponsorship of the 2010 and 2014 World Cup soccer events -90</t>
      </text>
    </comment>
    <comment ref="E119" authorId="0" shapeId="0">
      <text>
        <t>Company items (2008): Gain from the termination of a customer business agreement -75</t>
      </text>
    </comment>
    <comment ref="AZ119" authorId="0" shapeId="0">
      <text>
        <t>Company items (Q3-21): Indirect tax matter 6</t>
      </text>
    </comment>
    <comment ref="BB119" authorId="0" shapeId="0">
      <text>
        <t>Company items (2021): Indirect tax matter 6</t>
      </text>
    </comment>
    <comment ref="AG120" authorId="0" shapeId="0">
      <text>
        <t>Company items (Q4-17): Tax Act Impact (+873 net income)</t>
      </text>
    </comment>
    <comment ref="AH120" authorId="0" shapeId="0">
      <text>
        <t>Company items (2017): Tax Act Impact (+873 net income)</t>
      </text>
    </comment>
    <comment ref="AK120" authorId="0" shapeId="0">
      <text>
        <t>Company items (Q3-18): Special Items - discrete tax items (-65 net income)</t>
      </text>
    </comment>
    <comment ref="AL120" authorId="0" shapeId="0">
      <text>
        <t>Company items (Q4-18): Tax act (-59 net income)</t>
      </text>
    </comment>
    <comment ref="AM120" authorId="0" shapeId="0">
      <text>
        <t>Company items (2018): Tax act (-75 net income)</t>
      </text>
    </comment>
    <comment ref="AN120" authorId="0" shapeId="0">
      <text>
        <t>Company items (Q1-19): Tax act (-30 net income)</t>
      </text>
    </comment>
    <comment ref="AQ120" authorId="0" shapeId="0">
      <text>
        <t>Company items (Q4-19): Tax act (-27 net income)</t>
      </text>
    </comment>
    <comment ref="AR120" authorId="0" shapeId="0">
      <text>
        <t>Company items (2019): Tax act (-57 net income)</t>
      </text>
    </comment>
    <comment ref="B123" authorId="0" shapeId="0">
      <text>
        <t>Source: Mastercard earnings releases (Form 8-K Item 2.02, Ex. 99.1), SEC EDGAR CIK 1141391 — consolidated statements of operations, as originally reported (USD thousands to 2009). 2014 re-presented in 2015 (memo row).</t>
      </text>
    </comment>
    <comment ref="S123" authorId="0" shapeId="0">
      <text>
        <t>FY2014 as originally reported ($9,473m); re-presented as $9,441m in the 2015 releases (reclassification) — see memo row.</t>
      </text>
    </comment>
    <comment ref="AM124" authorId="0" shapeId="0">
      <text>
        <t>FY2018 from the Q4-18 release: $89m reclassified from advertising &amp; marketing to G&amp;A for the year; the 2018 quarters are as originally reported (Σ Q ≠ FY).</t>
      </text>
    </comment>
    <comment ref="B151" authorId="0" shapeId="0">
      <text>
        <t>Source: Mastercard earnings releases (Form 8-K Item 2.02, Ex. 99.1), SEC EDGAR CIK 1141391 — statements of operations (weighted-average shares). 10-for-1 split effective 21-Jan-2014: documents filed earlier restated (shares × 10, per share ÷ 10).</t>
      </text>
    </comment>
    <comment ref="E155" authorId="0" shapeId="0">
      <text>
        <t>Pre-split $9.41 restated / originally reported; 2008–09 EPS uses the two-class method (participating securities), so net income ÷ diluted shares differs by ~$0.007.</t>
      </text>
    </comment>
    <comment ref="F155" authorId="0" shapeId="0">
      <text>
        <t>Two-class method (FSP EITF 03-6-1, adopted 2009).</t>
      </text>
    </comment>
    <comment ref="B157" authorId="0" shapeId="0">
      <text>
        <t>Source: Forms 10-Q / 10-K, "dividends declared per share" table or equity-statement caption (data/_dps.json); split-adjusted; Q4 = FY − 9M.</t>
      </text>
    </comment>
    <comment ref="B166" authorId="0" shapeId="0">
      <text>
        <t>Source: Mastercard earnings releases (Form 8-K Item 2.02, Ex. 99.1), SEC EDGAR CIK 1141391 — Non-GAAP reconciliations (adjusted operating expenses / operating margin), published in periods with special items and every quarter from 2017–18.</t>
      </text>
    </comment>
    <comment ref="C174" authorId="0" shapeId="0">
      <text>
        <t>Annual non-GAAP figures from the Q4 releases (2006–09). Redecard gains (2007–08) were not treated as special items.</t>
      </text>
    </comment>
    <comment ref="J174" authorId="0" shapeId="0">
      <text>
        <t>Q1–Q3-13, 2014 (incl. the Q4-14 $87m restructuring charge, which the company did not exclude), Q1-15, Q4-15, Q1-16, Q3-16 and Q3-17 show no adjusting items.</t>
      </text>
    </comment>
    <comment ref="B202" authorId="0" shapeId="0">
      <text>
        <t>Source: Mastercard earnings releases (Form 8-K Item 2.02, Ex. 99.1), SEC EDGAR CIK 1141391 — Non-GAAP reconciliations (adjusted net income / adjusted diluted EPS); FY2006–09 "excluding special items" (annual).</t>
      </text>
    </comment>
    <comment ref="B232" authorId="0" shapeId="0">
      <text>
        <t>Source: Mastercard earnings releases (Form 8-K Item 2.02, Ex. 99.1), SEC EDGAR CIK 1141391 — condensed consolidated statements of cash flows (year to date; discrete quarters derived, Q4 = FY − 9M).</t>
      </text>
    </comment>
    <comment ref="BW252" authorId="0" shapeId="0">
      <text>
        <t>Q1-26 release (8-K 30-Apr-2026, Ex. 99.1) prints end-of-period cash, cash equivalents, restricted cash and restricted cash equivalents as 13,248 (= the beginning balance). The Q1-26 10-Q (https://www.sec.gov/Archives/edgar/data/1141391/000114139126000031/ma-20260331.htm) shows 10,764 = 13,248 − 2,484 net decrease, which also ties to the 31-Mar-2026 balance sheet (cash + restricted cash + restricted security deposits). 10-Q figure used.</t>
      </text>
    </comment>
    <comment ref="B279" authorId="0" shapeId="0">
      <text>
        <t>Source: Mastercard earnings releases (Form 8-K Item 2.02, Ex. 99.1), SEC EDGAR CIK 1141391 — consolidated balance sheets (period ends), condensed by section; "other" lines derived so totals tie.</t>
      </text>
    </comment>
    <comment ref="B337" authorId="0" shapeId="0">
      <text>
        <t>Source: release balance sheets; Q2-26 10-Q Note 9 (Debt) and Note 10 (stockholders' equity); FY2025 10-K.</t>
      </text>
    </comment>
  </commentList>
</comments>
</file>

<file path=xl/comments/comment2.xml><?xml version="1.0" encoding="utf-8"?>
<comments xmlns="http://schemas.openxmlformats.org/spreadsheetml/2006/main">
  <authors>
    <author>MA model</author>
  </authors>
  <commentList>
    <comment ref="N26" authorId="0" shapeId="0">
      <text>
        <t>P/E on adjusted EPS (company definition). MA at $595 (user price, 13-Oct-2026) trades at ~30x 2026E adjusted EPS (~$19.9) and ~26x 2027E (~$23.0). Exit multiples are assumptions: Base 33x, Bull 37x, Bear 26x applied to 2029E–30E, against MA's ~28–40x forward range over 2016–25 (not sourced from EDGAR; market data are not reachable from the build environment).</t>
      </text>
    </comment>
    <comment ref="P40" authorId="0" shapeId="0">
      <text>
        <t>Snapshot (values) of Model rows 269, 268 and 270 (Share Buyback Schedule) with the Model sheet scenario switch (cell CF2) set to Bull / Bear.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R406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width="13" customWidth="1" style="251" min="6" max="6"/>
    <col width="13" customWidth="1" style="251" min="7" max="7"/>
    <col width="13" customWidth="1" style="251" min="8" max="8"/>
    <col width="13" customWidth="1" style="251" min="9" max="9"/>
    <col hidden="1" outlineLevel="1" width="9.5703125" customWidth="1" style="251" min="10" max="10"/>
    <col hidden="1" outlineLevel="1" width="9.5703125" customWidth="1" style="251" min="11" max="11"/>
    <col hidden="1" outlineLevel="1" width="9.5703125" customWidth="1" style="251" min="12" max="12"/>
    <col hidden="1" outlineLevel="1" width="9.5703125" customWidth="1" style="251" min="13" max="13"/>
    <col width="13" customWidth="1" style="251" min="14" max="14"/>
    <col hidden="1" outlineLevel="1" width="9.5703125" customWidth="1" style="251" min="15" max="15"/>
    <col hidden="1" outlineLevel="1" width="9.5703125" customWidth="1" style="251" min="16" max="16"/>
    <col hidden="1" outlineLevel="1" width="9.5703125" customWidth="1" style="251" min="17" max="17"/>
    <col hidden="1" outlineLevel="1" width="9.5703125" customWidth="1" style="251" min="18" max="18"/>
    <col width="13" customWidth="1" style="251" min="19" max="19"/>
    <col hidden="1" outlineLevel="1" width="9.5703125" customWidth="1" style="251" min="20" max="20"/>
    <col hidden="1" outlineLevel="1" width="9.5703125" customWidth="1" style="251" min="21" max="21"/>
    <col hidden="1" outlineLevel="1" width="9.5703125" customWidth="1" style="251" min="22" max="22"/>
    <col hidden="1" outlineLevel="1" width="9.5703125" customWidth="1" style="251" min="23" max="23"/>
    <col width="13" customWidth="1" style="251" min="24" max="24"/>
    <col hidden="1" outlineLevel="1" width="9.5703125" customWidth="1" style="251" min="25" max="25"/>
    <col hidden="1" outlineLevel="1" width="9.5703125" customWidth="1" style="251" min="26" max="26"/>
    <col hidden="1" outlineLevel="1" width="9.5703125" customWidth="1" style="251" min="27" max="27"/>
    <col hidden="1" outlineLevel="1" width="9.5703125" customWidth="1" style="251" min="28" max="28"/>
    <col width="13" customWidth="1" style="251" min="29" max="29"/>
    <col hidden="1" outlineLevel="1" width="9.5703125" customWidth="1" style="251" min="30" max="30"/>
    <col hidden="1" outlineLevel="1" width="9.5703125" customWidth="1" style="251" min="31" max="31"/>
    <col hidden="1" outlineLevel="1" width="9.5703125" customWidth="1" style="251" min="32" max="32"/>
    <col hidden="1" outlineLevel="1" width="9.5703125" customWidth="1" style="251" min="33" max="33"/>
    <col width="13" customWidth="1" style="251" min="34" max="34"/>
    <col hidden="1" outlineLevel="1" width="9.5703125" customWidth="1" style="251" min="35" max="35"/>
    <col hidden="1" outlineLevel="1" width="9.5703125" customWidth="1" style="251" min="36" max="36"/>
    <col hidden="1" outlineLevel="1" width="9.5703125" customWidth="1" style="251" min="37" max="37"/>
    <col hidden="1" outlineLevel="1" width="9.5703125" customWidth="1" style="251" min="38" max="38"/>
    <col width="13" customWidth="1" style="251" min="39" max="39"/>
    <col hidden="1" outlineLevel="1" width="9.5703125" customWidth="1" style="251" min="40" max="40"/>
    <col hidden="1" outlineLevel="1" width="9.5703125" customWidth="1" style="251" min="41" max="41"/>
    <col hidden="1" outlineLevel="1" width="9.5703125" customWidth="1" style="251" min="42" max="42"/>
    <col hidden="1" outlineLevel="1" width="9.5703125" customWidth="1" style="251" min="43" max="43"/>
    <col width="13" customWidth="1" style="251" min="44" max="44"/>
    <col hidden="1" outlineLevel="1" width="9.5703125" customWidth="1" style="251" min="45" max="45"/>
    <col hidden="1" outlineLevel="1" width="9.5703125" customWidth="1" style="251" min="46" max="46"/>
    <col hidden="1" outlineLevel="1" width="9.5703125" customWidth="1" style="251" min="47" max="47"/>
    <col hidden="1" outlineLevel="1" width="9.5703125" customWidth="1" style="251" min="48" max="48"/>
    <col width="13" customWidth="1" style="251" min="49" max="49"/>
    <col hidden="1" outlineLevel="1" width="9.5703125" customWidth="1" style="251" min="50" max="50"/>
    <col hidden="1" outlineLevel="1" width="9.5703125" customWidth="1" style="251" min="51" max="51"/>
    <col hidden="1" outlineLevel="1" width="9.5703125" customWidth="1" style="251" min="52" max="52"/>
    <col hidden="1" outlineLevel="1" width="9.5703125" customWidth="1" style="251" min="53" max="53"/>
    <col width="13" customWidth="1" style="251" min="54" max="54"/>
    <col hidden="1" outlineLevel="1" width="9.5703125" customWidth="1" style="251" min="55" max="55"/>
    <col hidden="1" outlineLevel="1" width="9.5703125" customWidth="1" style="251" min="56" max="56"/>
    <col hidden="1" outlineLevel="1" width="9.5703125" customWidth="1" style="251" min="57" max="57"/>
    <col hidden="1" outlineLevel="1" width="9.5703125" customWidth="1" style="251" min="58" max="58"/>
    <col width="13" customWidth="1" style="251" min="59" max="59"/>
    <col hidden="1" outlineLevel="1" width="9.5703125" customWidth="1" style="251" min="60" max="60"/>
    <col hidden="1" outlineLevel="1" width="9.5703125" customWidth="1" style="251" min="61" max="61"/>
    <col hidden="1" outlineLevel="1" width="9.5703125" customWidth="1" style="251" min="62" max="62"/>
    <col hidden="1" outlineLevel="1" width="9.5703125" customWidth="1" style="251" min="63" max="63"/>
    <col width="13" customWidth="1" style="251" min="64" max="64"/>
    <col hidden="1" outlineLevel="1" width="9.5703125" customWidth="1" style="251" min="65" max="65"/>
    <col hidden="1" outlineLevel="1" width="9.5703125" customWidth="1" style="251" min="66" max="66"/>
    <col hidden="1" outlineLevel="1" width="9.5703125" customWidth="1" style="251" min="67" max="67"/>
    <col hidden="1" outlineLevel="1" width="9.5703125" customWidth="1" style="251" min="68" max="68"/>
    <col width="13" customWidth="1" style="251" min="69" max="69"/>
    <col hidden="1" outlineLevel="1" width="9.5703125" customWidth="1" style="251" min="70" max="70"/>
    <col hidden="1" outlineLevel="1" width="9.5703125" customWidth="1" style="251" min="71" max="71"/>
    <col hidden="1" outlineLevel="1" width="9.5703125" customWidth="1" style="251" min="72" max="72"/>
    <col hidden="1" outlineLevel="1" width="9.5703125" customWidth="1" style="251" min="73" max="73"/>
    <col width="13" customWidth="1" style="251" min="74" max="74"/>
    <col hidden="1" outlineLevel="1" width="9.5703125" customWidth="1" style="251" min="75" max="75"/>
    <col hidden="1" outlineLevel="1" width="9.5703125" customWidth="1" style="251" min="76" max="76"/>
    <col hidden="1" outlineLevel="1" width="11.42578125" customWidth="1" style="251" min="77" max="77"/>
    <col hidden="1" outlineLevel="1" width="11.42578125" customWidth="1" style="251" min="78" max="78"/>
    <col width="14.140625" customWidth="1" style="251" min="79" max="79"/>
    <col width="13" customWidth="1" style="251" min="80" max="80"/>
    <col width="13" customWidth="1" style="251" min="81" max="81"/>
    <col width="13" customWidth="1" style="251" min="82" max="82"/>
    <col width="13" customWidth="1" style="251" min="83" max="83"/>
    <col width="86.85546875" customWidth="1" style="251" min="84" max="84"/>
    <col width="2" customWidth="1" style="251" min="85" max="85"/>
    <col width="14.140625" customWidth="1" style="251" min="86" max="86"/>
    <col width="12.42578125" customWidth="1" style="251" min="87" max="87"/>
    <col width="13.42578125" customWidth="1" style="251" min="88" max="88"/>
    <col width="13" customWidth="1" style="251" min="89" max="89"/>
    <col width="2" customWidth="1" style="251" min="90" max="90"/>
    <col width="6" customWidth="1" style="251" min="91" max="91"/>
    <col width="46" customWidth="1" style="251" min="92" max="92"/>
    <col width="11.5703125" customWidth="1" style="251" min="93" max="93"/>
    <col width="13" customWidth="1" style="251" min="94" max="94"/>
    <col width="13" customWidth="1" style="251" min="95" max="95"/>
    <col width="60" customWidth="1" style="251" min="96" max="96"/>
  </cols>
  <sheetData>
    <row r="1" ht="15" customHeight="1" s="251">
      <c r="CF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Mastercard Incorporated (NYSE: MA) — 3-Statement Financial Model</t>
        </is>
      </c>
      <c r="CF2" s="3" t="inlineStr">
        <is>
          <t>Base</t>
        </is>
      </c>
    </row>
    <row r="3" ht="15" customHeight="1" s="251">
      <c r="B3" s="4" t="inlineStr">
        <is>
          <t>US GAAP as reported · USD millions (per-share data in USD; shares in millions; GDV in USD billions) · Fiscal years ended 31 December · Source: Mastercard Forms 10-K / 10-Q, Form 8-K earnings releases (Ex. 99.1), SEC EDGAR (CIK 1141391); XBRL company facts for cross-checks · FY26 outlook from the Q2-26 call is UNVERIFIED (not in an SEC filing)</t>
        </is>
      </c>
    </row>
    <row r="4" ht="15" customHeight="1" s="251">
      <c r="B4" s="5" t="inlineStr">
        <is>
          <t>Basis notes: as originally reported in each release (2014 net revenue re-presented in 2015 kept as memo; 2018 cost reclassification; Q1-26 ending cash per the 10-Q). One reportable segment; net revenue = payment network + value-added services and solutions (presentation from the FY2022 10-K; legacy categories in memo). 10-for-1 split Jan-2014. Cash flow includes restricted cash and security deposits from 2018. Acquisitions: Vocalink 2017, Finicity / Nets A2A / Ekata 2020–21, Recorded Future Dec-2024; BVNK pending (assumed 30-Sep-2026).</t>
        </is>
      </c>
    </row>
    <row r="5" ht="15" customHeight="1" s="251">
      <c r="BY5" s="153" t="n"/>
      <c r="BZ5" s="153" t="n"/>
      <c r="CA5" s="153" t="n"/>
      <c r="CB5" s="153" t="n"/>
      <c r="CC5" s="153" t="n"/>
      <c r="CD5" s="153" t="n"/>
      <c r="CE5" s="153" t="n"/>
      <c r="CH5" s="6" t="inlineStr">
        <is>
          <t>Forecast</t>
        </is>
      </c>
      <c r="CI5" s="6" t="inlineStr">
        <is>
          <t>Historical</t>
        </is>
      </c>
      <c r="CJ5" s="6" t="inlineStr">
        <is>
          <t>Historical</t>
        </is>
      </c>
      <c r="CK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2006</v>
      </c>
      <c r="D6" s="8" t="n">
        <v>2007</v>
      </c>
      <c r="E6" s="8" t="n">
        <v>2008</v>
      </c>
      <c r="F6" s="8" t="n">
        <v>2009</v>
      </c>
      <c r="G6" s="8" t="n">
        <v>2010</v>
      </c>
      <c r="H6" s="8" t="n">
        <v>2011</v>
      </c>
      <c r="I6" s="8" t="n">
        <v>2012</v>
      </c>
      <c r="J6" s="8" t="inlineStr">
        <is>
          <t>Q1/13</t>
        </is>
      </c>
      <c r="K6" s="8" t="inlineStr">
        <is>
          <t>Q2/13</t>
        </is>
      </c>
      <c r="L6" s="8" t="inlineStr">
        <is>
          <t>Q3/13</t>
        </is>
      </c>
      <c r="M6" s="8" t="inlineStr">
        <is>
          <t>Q4/13</t>
        </is>
      </c>
      <c r="N6" s="8" t="n">
        <v>2013</v>
      </c>
      <c r="O6" s="8" t="inlineStr">
        <is>
          <t>Q1/14</t>
        </is>
      </c>
      <c r="P6" s="8" t="inlineStr">
        <is>
          <t>Q2/14</t>
        </is>
      </c>
      <c r="Q6" s="8" t="inlineStr">
        <is>
          <t>Q3/14</t>
        </is>
      </c>
      <c r="R6" s="8" t="inlineStr">
        <is>
          <t>Q4/14</t>
        </is>
      </c>
      <c r="S6" s="8" t="n">
        <v>2014</v>
      </c>
      <c r="T6" s="8" t="inlineStr">
        <is>
          <t>Q1/15</t>
        </is>
      </c>
      <c r="U6" s="8" t="inlineStr">
        <is>
          <t>Q2/15</t>
        </is>
      </c>
      <c r="V6" s="8" t="inlineStr">
        <is>
          <t>Q3/15</t>
        </is>
      </c>
      <c r="W6" s="8" t="inlineStr">
        <is>
          <t>Q4/15</t>
        </is>
      </c>
      <c r="X6" s="8" t="n">
        <v>2015</v>
      </c>
      <c r="Y6" s="8" t="inlineStr">
        <is>
          <t>Q1/16</t>
        </is>
      </c>
      <c r="Z6" s="8" t="inlineStr">
        <is>
          <t>Q2/16</t>
        </is>
      </c>
      <c r="AA6" s="8" t="inlineStr">
        <is>
          <t>Q3/16</t>
        </is>
      </c>
      <c r="AB6" s="8" t="inlineStr">
        <is>
          <t>Q4/16</t>
        </is>
      </c>
      <c r="AC6" s="8" t="n">
        <v>2016</v>
      </c>
      <c r="AD6" s="8" t="inlineStr">
        <is>
          <t>Q1/17</t>
        </is>
      </c>
      <c r="AE6" s="8" t="inlineStr">
        <is>
          <t>Q2/17</t>
        </is>
      </c>
      <c r="AF6" s="8" t="inlineStr">
        <is>
          <t>Q3/17</t>
        </is>
      </c>
      <c r="AG6" s="8" t="inlineStr">
        <is>
          <t>Q4/17</t>
        </is>
      </c>
      <c r="AH6" s="8" t="n">
        <v>2017</v>
      </c>
      <c r="AI6" s="8" t="inlineStr">
        <is>
          <t>Q1/18</t>
        </is>
      </c>
      <c r="AJ6" s="8" t="inlineStr">
        <is>
          <t>Q2/18</t>
        </is>
      </c>
      <c r="AK6" s="8" t="inlineStr">
        <is>
          <t>Q3/18</t>
        </is>
      </c>
      <c r="AL6" s="8" t="inlineStr">
        <is>
          <t>Q4/18</t>
        </is>
      </c>
      <c r="AM6" s="8" t="n">
        <v>2018</v>
      </c>
      <c r="AN6" s="8" t="inlineStr">
        <is>
          <t>Q1/19</t>
        </is>
      </c>
      <c r="AO6" s="8" t="inlineStr">
        <is>
          <t>Q2/19</t>
        </is>
      </c>
      <c r="AP6" s="8" t="inlineStr">
        <is>
          <t>Q3/19</t>
        </is>
      </c>
      <c r="AQ6" s="8" t="inlineStr">
        <is>
          <t>Q4/19</t>
        </is>
      </c>
      <c r="AR6" s="8" t="n">
        <v>2019</v>
      </c>
      <c r="AS6" s="8" t="inlineStr">
        <is>
          <t>Q1/20</t>
        </is>
      </c>
      <c r="AT6" s="8" t="inlineStr">
        <is>
          <t>Q2/20</t>
        </is>
      </c>
      <c r="AU6" s="8" t="inlineStr">
        <is>
          <t>Q3/20</t>
        </is>
      </c>
      <c r="AV6" s="8" t="inlineStr">
        <is>
          <t>Q4/20</t>
        </is>
      </c>
      <c r="AW6" s="8" t="n">
        <v>2020</v>
      </c>
      <c r="AX6" s="8" t="inlineStr">
        <is>
          <t>Q1/21</t>
        </is>
      </c>
      <c r="AY6" s="8" t="inlineStr">
        <is>
          <t>Q2/21</t>
        </is>
      </c>
      <c r="AZ6" s="8" t="inlineStr">
        <is>
          <t>Q3/21</t>
        </is>
      </c>
      <c r="BA6" s="8" t="inlineStr">
        <is>
          <t>Q4/21</t>
        </is>
      </c>
      <c r="BB6" s="8" t="n">
        <v>2021</v>
      </c>
      <c r="BC6" s="8" t="inlineStr">
        <is>
          <t>Q1/22</t>
        </is>
      </c>
      <c r="BD6" s="8" t="inlineStr">
        <is>
          <t>Q2/22</t>
        </is>
      </c>
      <c r="BE6" s="8" t="inlineStr">
        <is>
          <t>Q3/22</t>
        </is>
      </c>
      <c r="BF6" s="8" t="inlineStr">
        <is>
          <t>Q4/22</t>
        </is>
      </c>
      <c r="BG6" s="8" t="n">
        <v>2022</v>
      </c>
      <c r="BH6" s="8" t="inlineStr">
        <is>
          <t>Q1/23</t>
        </is>
      </c>
      <c r="BI6" s="8" t="inlineStr">
        <is>
          <t>Q2/23</t>
        </is>
      </c>
      <c r="BJ6" s="8" t="inlineStr">
        <is>
          <t>Q3/23</t>
        </is>
      </c>
      <c r="BK6" s="8" t="inlineStr">
        <is>
          <t>Q4/23</t>
        </is>
      </c>
      <c r="BL6" s="8" t="n">
        <v>2023</v>
      </c>
      <c r="BM6" s="8" t="inlineStr">
        <is>
          <t>Q1/24</t>
        </is>
      </c>
      <c r="BN6" s="8" t="inlineStr">
        <is>
          <t>Q2/24</t>
        </is>
      </c>
      <c r="BO6" s="8" t="inlineStr">
        <is>
          <t>Q3/24</t>
        </is>
      </c>
      <c r="BP6" s="8" t="inlineStr">
        <is>
          <t>Q4/24</t>
        </is>
      </c>
      <c r="BQ6" s="8" t="n">
        <v>2024</v>
      </c>
      <c r="BR6" s="8" t="inlineStr">
        <is>
          <t>Q1/25</t>
        </is>
      </c>
      <c r="BS6" s="8" t="inlineStr">
        <is>
          <t>Q2/25</t>
        </is>
      </c>
      <c r="BT6" s="8" t="inlineStr">
        <is>
          <t>Q3/25</t>
        </is>
      </c>
      <c r="BU6" s="8" t="inlineStr">
        <is>
          <t>Q4/25</t>
        </is>
      </c>
      <c r="BV6" s="8" t="n">
        <v>2025</v>
      </c>
      <c r="BW6" s="8" t="inlineStr">
        <is>
          <t>Q1/26</t>
        </is>
      </c>
      <c r="BX6" s="8" t="inlineStr">
        <is>
          <t>Q2/26</t>
        </is>
      </c>
      <c r="BY6" s="8" t="inlineStr">
        <is>
          <t>Q3/26E</t>
        </is>
      </c>
      <c r="BZ6" s="8" t="inlineStr">
        <is>
          <t>Q4/26E</t>
        </is>
      </c>
      <c r="CA6" s="8" t="inlineStr">
        <is>
          <t>2026E</t>
        </is>
      </c>
      <c r="CB6" s="8" t="inlineStr">
        <is>
          <t>2027E</t>
        </is>
      </c>
      <c r="CC6" s="8" t="inlineStr">
        <is>
          <t>2028E</t>
        </is>
      </c>
      <c r="CD6" s="8" t="inlineStr">
        <is>
          <t>2029E</t>
        </is>
      </c>
      <c r="CE6" s="8" t="inlineStr">
        <is>
          <t>2030E</t>
        </is>
      </c>
      <c r="CF6" s="8" t="inlineStr">
        <is>
          <t>Modelling Notes</t>
        </is>
      </c>
      <c r="CH6" s="6" t="inlineStr">
        <is>
          <t>5Y CAGR</t>
        </is>
      </c>
      <c r="CI6" s="6" t="inlineStr">
        <is>
          <t>5Y CAGR</t>
        </is>
      </c>
      <c r="CJ6" s="6" t="inlineStr">
        <is>
          <t>10Y CAGR</t>
        </is>
      </c>
      <c r="CK6" s="6" t="inlineStr">
        <is>
          <t>19Y CAGR</t>
        </is>
      </c>
    </row>
    <row r="7" ht="15" customHeight="1" s="251">
      <c r="CH7" s="9" t="inlineStr">
        <is>
          <t>25-'30</t>
        </is>
      </c>
      <c r="CI7" s="9" t="inlineStr">
        <is>
          <t>20-'25</t>
        </is>
      </c>
      <c r="CJ7" s="9" t="inlineStr">
        <is>
          <t>15-'25</t>
        </is>
      </c>
      <c r="CK7" s="9" t="inlineStr">
        <is>
          <t>06-'25</t>
        </is>
      </c>
    </row>
    <row r="8" ht="15" customHeight="1" s="251">
      <c r="B8" s="10" t="inlineStr">
        <is>
          <t>NET REVENUE BUILD — PAYMENT NETWORK (GDV × YIELD) · VALUE-ADDED SERVICES &amp; SOLUTIONS (single reportable segment)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inlineStr">
        <is>
          <t>REVENUE BUILD — modelling logic (GDV → payment network net revenue at the network yield; value-added services and solutions by growth; Σ = net revenue → adjusted opex → adjusted operating income → GAAP P&amp;L)</t>
        </is>
      </c>
    </row>
    <row r="9" ht="15" customHeight="1" s="251">
      <c r="CN9" s="11" t="inlineStr">
        <is>
          <t>SCENARIO INPUT TABLE — driver assumptions per Bull / Base / Bear</t>
        </is>
      </c>
      <c r="CO9" s="12" t="inlineStr">
        <is>
          <t>Bull</t>
        </is>
      </c>
      <c r="CP9" s="12" t="inlineStr">
        <is>
          <t>Base</t>
        </is>
      </c>
      <c r="CQ9" s="12" t="inlineStr">
        <is>
          <t>Bear</t>
        </is>
      </c>
      <c r="CR9" s="13" t="inlineStr">
        <is>
          <t>Bull / Bear = Base + Δ (Δ inputs on each block header). Outlook block = high / mid / low end of the FY26 guidance (UNVERIFIED: call commentary, not in an SEC filing).</t>
        </is>
      </c>
    </row>
    <row r="10" ht="15" customHeight="1" s="251">
      <c r="B10" s="14" t="inlineStr">
        <is>
          <t>Network volume drivers (Mastercard-branded programs, worldwide; operating-performance tables in each release)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5" t="inlineStr">
        <is>
          <t>VOLUME DRIVERS — GDV in USD = prior year × (1 + local-currency growth) × (1 + FX translation)</t>
        </is>
      </c>
    </row>
    <row r="11" ht="15" customHeight="1" s="251">
      <c r="B11" s="25" t="inlineStr">
        <is>
          <t xml:space="preserve">  Gross dollar volume (GDV), USD bn</t>
        </is>
      </c>
      <c r="C11" s="253" t="n">
        <v>1956</v>
      </c>
      <c r="D11" s="253" t="n">
        <v>2276</v>
      </c>
      <c r="E11" s="253" t="n">
        <v>2533</v>
      </c>
      <c r="F11" s="253" t="n">
        <v>2454</v>
      </c>
      <c r="G11" s="253" t="n">
        <v>2727</v>
      </c>
      <c r="H11" s="253" t="n">
        <v>3249</v>
      </c>
      <c r="I11" s="253" t="n">
        <v>3647</v>
      </c>
      <c r="J11" s="253" t="n">
        <v>947</v>
      </c>
      <c r="K11" s="253" t="n">
        <v>1007</v>
      </c>
      <c r="L11" s="253" t="n">
        <v>1045</v>
      </c>
      <c r="M11" s="253" t="n">
        <v>1104</v>
      </c>
      <c r="N11" s="253" t="n">
        <v>4103</v>
      </c>
      <c r="O11" s="253" t="n">
        <v>1045</v>
      </c>
      <c r="P11" s="253" t="n">
        <v>1124</v>
      </c>
      <c r="Q11" s="253" t="n">
        <v>1157</v>
      </c>
      <c r="R11" s="253" t="n">
        <v>1172</v>
      </c>
      <c r="S11" s="253" t="n">
        <v>4499</v>
      </c>
      <c r="T11" s="253" t="n">
        <v>1063</v>
      </c>
      <c r="U11" s="253" t="n">
        <v>1141</v>
      </c>
      <c r="V11" s="253" t="n">
        <v>1159</v>
      </c>
      <c r="W11" s="253" t="n">
        <v>1199</v>
      </c>
      <c r="X11" s="253" t="n">
        <v>4564</v>
      </c>
      <c r="Y11" s="253" t="n">
        <v>1141</v>
      </c>
      <c r="Z11" s="253" t="n">
        <v>1228</v>
      </c>
      <c r="AA11" s="253" t="n">
        <v>1221</v>
      </c>
      <c r="AB11" s="253" t="n">
        <v>1232</v>
      </c>
      <c r="AC11" s="253" t="n">
        <v>4827</v>
      </c>
      <c r="AD11" s="253" t="n">
        <v>1181</v>
      </c>
      <c r="AE11" s="253" t="n">
        <v>1282</v>
      </c>
      <c r="AF11" s="253" t="n">
        <v>1353</v>
      </c>
      <c r="AG11" s="253" t="n">
        <v>1420</v>
      </c>
      <c r="AH11" s="253" t="n">
        <v>5242</v>
      </c>
      <c r="AI11" s="253" t="n">
        <v>1415</v>
      </c>
      <c r="AJ11" s="253" t="n">
        <v>1475</v>
      </c>
      <c r="AK11" s="253" t="n">
        <v>1468</v>
      </c>
      <c r="AL11" s="253" t="n">
        <v>1550</v>
      </c>
      <c r="AM11" s="253" t="n">
        <v>5901</v>
      </c>
      <c r="AN11" s="253" t="n">
        <v>1484</v>
      </c>
      <c r="AO11" s="253" t="n">
        <v>1598</v>
      </c>
      <c r="AP11" s="253" t="n">
        <v>1652</v>
      </c>
      <c r="AQ11" s="253" t="n">
        <v>1726</v>
      </c>
      <c r="AR11" s="253" t="n">
        <v>6461</v>
      </c>
      <c r="AS11" s="253" t="n">
        <v>1565</v>
      </c>
      <c r="AT11" s="253" t="n">
        <v>1383</v>
      </c>
      <c r="AU11" s="253" t="n">
        <v>1648</v>
      </c>
      <c r="AV11" s="253" t="n">
        <v>1747</v>
      </c>
      <c r="AW11" s="253" t="n">
        <v>6337</v>
      </c>
      <c r="AX11" s="253" t="n">
        <v>1711</v>
      </c>
      <c r="AY11" s="253" t="n">
        <v>1904</v>
      </c>
      <c r="AZ11" s="253" t="n">
        <v>1993</v>
      </c>
      <c r="BA11" s="253" t="n">
        <v>2113</v>
      </c>
      <c r="BB11" s="253" t="n">
        <v>7720</v>
      </c>
      <c r="BC11" s="253" t="n">
        <v>1919</v>
      </c>
      <c r="BD11" s="253" t="n">
        <v>2054</v>
      </c>
      <c r="BE11" s="253" t="n">
        <v>2069</v>
      </c>
      <c r="BF11" s="253" t="n">
        <v>2133</v>
      </c>
      <c r="BG11" s="253" t="n">
        <v>8177</v>
      </c>
      <c r="BH11" s="253" t="n">
        <v>2108</v>
      </c>
      <c r="BI11" s="253" t="n">
        <v>2267</v>
      </c>
      <c r="BJ11" s="253" t="n">
        <v>2305</v>
      </c>
      <c r="BK11" s="253" t="n">
        <v>2352</v>
      </c>
      <c r="BL11" s="253" t="n">
        <v>9030</v>
      </c>
      <c r="BM11" s="253" t="n">
        <v>2290</v>
      </c>
      <c r="BN11" s="253" t="n">
        <v>2403</v>
      </c>
      <c r="BO11" s="253" t="n">
        <v>2502</v>
      </c>
      <c r="BP11" s="253" t="n">
        <v>2561</v>
      </c>
      <c r="BQ11" s="253" t="n">
        <v>9757</v>
      </c>
      <c r="BR11" s="253" t="n">
        <v>2417</v>
      </c>
      <c r="BS11" s="253" t="n">
        <v>2631</v>
      </c>
      <c r="BT11" s="253" t="n">
        <v>2747</v>
      </c>
      <c r="BU11" s="253" t="n">
        <v>2819</v>
      </c>
      <c r="BV11" s="253" t="n">
        <v>10632</v>
      </c>
      <c r="BW11" s="253" t="n">
        <v>2703</v>
      </c>
      <c r="BX11" s="253" t="n">
        <v>2881</v>
      </c>
      <c r="BY11" s="254">
        <f>BT11*(1+BY14)</f>
        <v>2971.9312275</v>
      </c>
      <c r="BZ11" s="254">
        <f>BU11*(1+BZ14)</f>
        <v>3034.6535</v>
      </c>
      <c r="CA11" s="254">
        <f>SUM(BW11:BZ11)</f>
        <v>11590.5847275</v>
      </c>
      <c r="CB11" s="254">
        <f>CA11*(1+CB14)</f>
        <v>12575.7844293375</v>
      </c>
      <c r="CC11" s="254">
        <f>CB11*(1+CC14)</f>
        <v>13581.8471836845</v>
      </c>
      <c r="CD11" s="254">
        <f>CC11*(1+CD14)</f>
        <v>14668.3949583793</v>
      </c>
      <c r="CE11" s="254">
        <f>CD11*(1+CE14)</f>
        <v>15768.5245802577</v>
      </c>
      <c r="CF11" s="19" t="inlineStr">
        <is>
          <t>Release "Mastercard Incorporated Operating Performance" table, all programs, worldwide (three months; annual = full-year table). GDV = purchase + cash volume; customer-reported and revised over time.</t>
        </is>
      </c>
      <c r="CH11" s="20">
        <f>IFERROR((CE11/BV11)^(1/5)-1,"n/m")</f>
        <v>0.0820198255434894</v>
      </c>
      <c r="CI11" s="20">
        <f>IFERROR((BV11/AW11)^(1/5)-1,"n/m")</f>
        <v>0.109037553422673</v>
      </c>
      <c r="CJ11" s="20">
        <f>IFERROR((BV11/X11)^(1/10)-1,"n/m")</f>
        <v>0.0882456333956689</v>
      </c>
      <c r="CK11" s="20">
        <f>IFERROR((BV11/C11)^(1/19)-1,"n/m")</f>
        <v>0.0931938104016636</v>
      </c>
      <c r="CN11" s="15" t="inlineStr">
        <is>
          <t>FY26 outlook — Q2-26 earnings call (30-Jul-2026) — UNVERIFIED (not in an SEC filing)</t>
        </is>
      </c>
      <c r="CO11" s="21" t="inlineStr">
        <is>
          <t>High</t>
        </is>
      </c>
      <c r="CP11" s="21" t="inlineStr">
        <is>
          <t>Mid</t>
        </is>
      </c>
      <c r="CQ11" s="21" t="inlineStr">
        <is>
          <t>Low</t>
        </is>
      </c>
      <c r="CR11" s="13" t="inlineStr">
        <is>
          <t>Net revenue growth at the high end of a low-double-digits rate (currency-neutral, ex-acquisitions; raised), FX ~+1 ppt; adjusted opex growth low double digits (currency-neutral, ex-acquisitions), FX 0.5–1 ppt headwind; Q3 other expense ~$(125)m; non-GAAP tax rate 20–21% in Q3 and Q4. Source: third-party call transcripts (web search); Mastercard's 8-K release has no outlook. Numeric end-points are model translations of the wording.</t>
        </is>
      </c>
    </row>
    <row r="12" ht="15" customHeight="1" s="251">
      <c r="B12" s="22" t="inlineStr">
        <is>
          <t xml:space="preserve">    GDV growth, local currency %</t>
        </is>
      </c>
      <c r="C12" s="255" t="n">
        <v>14.17</v>
      </c>
      <c r="D12" s="255" t="n">
        <v>0.144</v>
      </c>
      <c r="E12" s="255" t="n">
        <v>0.107</v>
      </c>
      <c r="F12" s="255" t="n">
        <v>0.014</v>
      </c>
      <c r="G12" s="255" t="n">
        <v>0.091</v>
      </c>
      <c r="H12" s="255" t="n">
        <v>0.161</v>
      </c>
      <c r="I12" s="255" t="n">
        <v>0.154</v>
      </c>
      <c r="J12" s="255" t="n">
        <v>0.121</v>
      </c>
      <c r="K12" s="255" t="n">
        <v>0.133</v>
      </c>
      <c r="L12" s="255" t="n">
        <v>0.152</v>
      </c>
      <c r="M12" s="255" t="n">
        <v>0.138</v>
      </c>
      <c r="N12" s="255" t="n">
        <v>0.136</v>
      </c>
      <c r="O12" s="255" t="n">
        <v>0.138</v>
      </c>
      <c r="P12" s="255" t="n">
        <v>0.129</v>
      </c>
      <c r="Q12" s="255" t="n">
        <v>0.119</v>
      </c>
      <c r="R12" s="255" t="n">
        <v>0.129</v>
      </c>
      <c r="S12" s="255" t="n">
        <v>0.128</v>
      </c>
      <c r="T12" s="255" t="n">
        <v>0.121</v>
      </c>
      <c r="U12" s="255" t="n">
        <v>0.128</v>
      </c>
      <c r="V12" s="255" t="n">
        <v>0.13</v>
      </c>
      <c r="W12" s="255" t="n">
        <v>0.125</v>
      </c>
      <c r="X12" s="255" t="n">
        <v>0.126</v>
      </c>
      <c r="Y12" s="255" t="n">
        <v>0.132</v>
      </c>
      <c r="Z12" s="255" t="n">
        <v>0.114</v>
      </c>
      <c r="AA12" s="255" t="n">
        <v>0.073</v>
      </c>
      <c r="AB12" s="255" t="n">
        <v>0.053</v>
      </c>
      <c r="AC12" s="255" t="n">
        <v>0.092</v>
      </c>
      <c r="AD12" s="255" t="n">
        <v>0.047</v>
      </c>
      <c r="AE12" s="255" t="n">
        <v>0.061</v>
      </c>
      <c r="AF12" s="255" t="n">
        <v>0.101</v>
      </c>
      <c r="AG12" s="255" t="n">
        <v>0.127</v>
      </c>
      <c r="AH12" s="255" t="n">
        <v>0.08599999999999999</v>
      </c>
      <c r="AI12" s="255" t="n">
        <v>0.141</v>
      </c>
      <c r="AJ12" s="255" t="n">
        <v>0.142</v>
      </c>
      <c r="AK12" s="255" t="n">
        <v>0.133</v>
      </c>
      <c r="AL12" s="255" t="n">
        <v>0.143</v>
      </c>
      <c r="AM12" s="255" t="n">
        <v>0.14</v>
      </c>
      <c r="AN12" s="255" t="n">
        <v>0.116</v>
      </c>
      <c r="AO12" s="255" t="n">
        <v>0.129</v>
      </c>
      <c r="AP12" s="255" t="n">
        <v>0.144</v>
      </c>
      <c r="AQ12" s="255" t="n">
        <v>0.123</v>
      </c>
      <c r="AR12" s="255" t="n">
        <v>0.13</v>
      </c>
      <c r="AS12" s="255" t="n">
        <v>0.081</v>
      </c>
      <c r="AT12" s="255" t="n">
        <v>-0.1</v>
      </c>
      <c r="AU12" s="255" t="n">
        <v>0.012</v>
      </c>
      <c r="AV12" s="255" t="n">
        <v>0.014</v>
      </c>
      <c r="AW12" s="255" t="n">
        <v>0.001</v>
      </c>
      <c r="AX12" s="255" t="n">
        <v>0.075</v>
      </c>
      <c r="AY12" s="255" t="n">
        <v>0.328</v>
      </c>
      <c r="AZ12" s="255" t="n">
        <v>0.199</v>
      </c>
      <c r="BA12" s="255" t="n">
        <v>0.23</v>
      </c>
      <c r="BB12" s="255" t="n">
        <v>0.205</v>
      </c>
      <c r="BC12" s="255" t="n">
        <v>0.173</v>
      </c>
      <c r="BD12" s="255" t="n">
        <v>0.136</v>
      </c>
      <c r="BE12" s="255" t="n">
        <v>0.114</v>
      </c>
      <c r="BF12" s="255" t="n">
        <v>0.076</v>
      </c>
      <c r="BG12" s="255" t="n">
        <v>0.123</v>
      </c>
      <c r="BH12" s="255" t="n">
        <v>0.15</v>
      </c>
      <c r="BI12" s="255" t="n">
        <v>0.125</v>
      </c>
      <c r="BJ12" s="255" t="n">
        <v>0.108</v>
      </c>
      <c r="BK12" s="255" t="n">
        <v>0.099</v>
      </c>
      <c r="BL12" s="255" t="n">
        <v>0.119</v>
      </c>
      <c r="BM12" s="255" t="n">
        <v>0.104</v>
      </c>
      <c r="BN12" s="255" t="n">
        <v>0.094</v>
      </c>
      <c r="BO12" s="255" t="n">
        <v>0.105</v>
      </c>
      <c r="BP12" s="255" t="n">
        <v>0.116</v>
      </c>
      <c r="BQ12" s="255" t="n">
        <v>0.105</v>
      </c>
      <c r="BR12" s="255" t="n">
        <v>0.093</v>
      </c>
      <c r="BS12" s="255" t="n">
        <v>0.09</v>
      </c>
      <c r="BT12" s="255" t="n">
        <v>0.08699999999999999</v>
      </c>
      <c r="BU12" s="255" t="n">
        <v>0.074</v>
      </c>
      <c r="BV12" s="255" t="n">
        <v>0.08599999999999999</v>
      </c>
      <c r="BW12" s="255" t="n">
        <v>0.073</v>
      </c>
      <c r="BX12" s="255" t="n">
        <v>0.08</v>
      </c>
      <c r="BY12" s="256">
        <f>AVERAGE(BW12:BX12)</f>
        <v>0.0765</v>
      </c>
      <c r="BZ12" s="256">
        <f>AVERAGE(BW12:BX12)</f>
        <v>0.0765</v>
      </c>
      <c r="CA12" s="256">
        <f>AVERAGE(BW12:BZ12)</f>
        <v>0.0765</v>
      </c>
      <c r="CB12" s="256">
        <f>CHOOSE(MATCH($CF$2,{"Bull","Base","Bear"},0),$CO$28,$CP$28,$CQ$28)</f>
        <v>0.085</v>
      </c>
      <c r="CC12" s="256">
        <f>CHOOSE(MATCH($CF$2,{"Bull","Base","Bear"},0),$CO$29,$CP$29,$CQ$29)</f>
        <v>0.08</v>
      </c>
      <c r="CD12" s="256">
        <f>CHOOSE(MATCH($CF$2,{"Bull","Base","Bear"},0),$CO$30,$CP$30,$CQ$30)</f>
        <v>0.08</v>
      </c>
      <c r="CE12" s="256">
        <f>CHOOSE(MATCH($CF$2,{"Bull","Base","Bear"},0),$CO$31,$CP$31,$CQ$31)</f>
        <v>0.075</v>
      </c>
      <c r="CF12" s="153" t="inlineStr">
        <is>
          <t>As published (EU-rule-adjusted figures 2016–17 are in the transcription notes, not used). Q3/Q4-26E: H1-26 average (8.0%, 7.3%→8.0%); 2027E+: scenario lever.</t>
        </is>
      </c>
      <c r="CH12" s="37">
        <f>IFERROR(AVERAGE(CA12,CB12,CC12,CD12,CE12),"n/m")</f>
        <v>0.0793</v>
      </c>
      <c r="CI12" s="37">
        <f>IFERROR(AVERAGE(BB12,BG12,BL12,BQ12,BV12),"n/m")</f>
        <v>0.1276</v>
      </c>
      <c r="CJ12" s="37">
        <f>IFERROR(AVERAGE(AC12,AH12,AM12,AR12,AW12,BB12,BG12,BL12,BQ12,BV12),"n/m")</f>
        <v>0.1087</v>
      </c>
      <c r="CK12" s="37">
        <f>IFERROR(AVERAGE(C12,D12,E12,F12,G12,H12,I12,N12,S12,X12,AC12,AH12,AM12,AR12,AW12,BB12,BG12,BL12,BQ12,BV12),"n/m")</f>
        <v>0.8159</v>
      </c>
      <c r="CN12" s="25" t="inlineStr">
        <is>
          <t xml:space="preserve">  FY26 net revenue growth, reported (UNVERIFIED)</t>
        </is>
      </c>
      <c r="CO12" s="257" t="n">
        <v>0.14</v>
      </c>
      <c r="CP12" s="257" t="n">
        <v>0.135</v>
      </c>
      <c r="CQ12" s="257" t="n">
        <v>0.13</v>
      </c>
      <c r="CR12" s="13" t="inlineStr">
        <is>
          <t>Model end-points (reported USD growth): currency-neutral 13.0 / 12.5 / 12.0% (high end of low double digits) + ~1 ppt FX = 14.0 / 13.5 / 13.0% (Bull / Base / Bear). H1-26 actual +15% reported, +12% currency-neutral.</t>
        </is>
      </c>
    </row>
    <row r="13" ht="15" customHeight="1" s="251">
      <c r="B13" s="22" t="inlineStr">
        <is>
          <t xml:space="preserve">    FX translation (USD growth − local-currency growth), pp</t>
        </is>
      </c>
      <c r="C13" s="258">
        <f>IF(AND(ISNUMBER(C14),ISNUMBER(C12)),C14-C12,"")</f>
        <v>-14.021</v>
      </c>
      <c r="D13" s="258">
        <f>IF(AND(ISNUMBER(D14),ISNUMBER(D12)),D14-D12,"")</f>
        <v>0.04</v>
      </c>
      <c r="E13" s="258">
        <f>IF(AND(ISNUMBER(E14),ISNUMBER(E12)),E14-E12,"")</f>
        <v>0.00800000000000001</v>
      </c>
      <c r="F13" s="258">
        <f>IF(AND(ISNUMBER(F14),ISNUMBER(F12)),F14-F12,"")</f>
        <v>-0.047</v>
      </c>
      <c r="G13" s="258">
        <f>IF(AND(ISNUMBER(G14),ISNUMBER(G12)),G14-G12,"")</f>
        <v>0.016</v>
      </c>
      <c r="H13" s="258">
        <f>IF(AND(ISNUMBER(H14),ISNUMBER(H12)),H14-H12,"")</f>
        <v>0.032</v>
      </c>
      <c r="I13" s="258">
        <f>IF(AND(ISNUMBER(I14),ISNUMBER(I12)),I14-I12,"")</f>
        <v>-0.033</v>
      </c>
      <c r="J13" s="258">
        <f>IF(AND(ISNUMBER(J14),ISNUMBER(J12)),J14-J12,"")</f>
        <v>-0.00699999999999999</v>
      </c>
      <c r="K13" s="258">
        <f>IF(AND(ISNUMBER(K14),ISNUMBER(K12)),K14-K12,"")</f>
        <v>-0.005</v>
      </c>
      <c r="L13" s="258">
        <f>IF(AND(ISNUMBER(L14),ISNUMBER(L12)),L14-L12,"")</f>
        <v>-0.016</v>
      </c>
      <c r="M13" s="258">
        <f>IF(AND(ISNUMBER(M14),ISNUMBER(M12)),M14-M12,"")</f>
        <v>-0.02</v>
      </c>
      <c r="N13" s="258">
        <f>IF(AND(ISNUMBER(N14),ISNUMBER(N12)),N14-N12,"")</f>
        <v>-0.012</v>
      </c>
      <c r="O13" s="258">
        <f>IF(AND(ISNUMBER(O14),ISNUMBER(O12)),O14-O12,"")</f>
        <v>-0.035</v>
      </c>
      <c r="P13" s="258">
        <f>IF(AND(ISNUMBER(P14),ISNUMBER(P12)),P14-P12,"")</f>
        <v>-0.015</v>
      </c>
      <c r="Q13" s="258">
        <f>IF(AND(ISNUMBER(Q14),ISNUMBER(Q12)),Q14-Q12,"")</f>
        <v>-0.013</v>
      </c>
      <c r="R13" s="258">
        <f>IF(AND(ISNUMBER(R14),ISNUMBER(R12)),R14-R12,"")</f>
        <v>-0.069</v>
      </c>
      <c r="S13" s="258">
        <f>IF(AND(ISNUMBER(S14),ISNUMBER(S12)),S14-S12,"")</f>
        <v>-0.033</v>
      </c>
      <c r="T13" s="258">
        <f>IF(AND(ISNUMBER(T14),ISNUMBER(T12)),T14-T12,"")</f>
        <v>-0.103</v>
      </c>
      <c r="U13" s="258">
        <f>IF(AND(ISNUMBER(U14),ISNUMBER(U12)),U14-U12,"")</f>
        <v>-0.114</v>
      </c>
      <c r="V13" s="258">
        <f>IF(AND(ISNUMBER(V14),ISNUMBER(V12)),V14-V12,"")</f>
        <v>-0.13</v>
      </c>
      <c r="W13" s="258">
        <f>IF(AND(ISNUMBER(W14),ISNUMBER(W12)),W14-W12,"")</f>
        <v>-0.103</v>
      </c>
      <c r="X13" s="258">
        <f>IF(AND(ISNUMBER(X14),ISNUMBER(X12)),X14-X12,"")</f>
        <v>-0.112</v>
      </c>
      <c r="Y13" s="258">
        <f>IF(AND(ISNUMBER(Y14),ISNUMBER(Y12)),Y14-Y12,"")</f>
        <v>-0.06</v>
      </c>
      <c r="Z13" s="258">
        <f>IF(AND(ISNUMBER(Z14),ISNUMBER(Z12)),Z14-Z12,"")</f>
        <v>-0.038</v>
      </c>
      <c r="AA13" s="258">
        <f>IF(AND(ISNUMBER(AA14),ISNUMBER(AA12)),AA14-AA12,"")</f>
        <v>-0.019</v>
      </c>
      <c r="AB13" s="258">
        <f>IF(AND(ISNUMBER(AB14),ISNUMBER(AB12)),AB14-AB12,"")</f>
        <v>-0.027</v>
      </c>
      <c r="AC13" s="258">
        <f>IF(AND(ISNUMBER(AC14),ISNUMBER(AC12)),AC14-AC12,"")</f>
        <v>-0.036</v>
      </c>
      <c r="AD13" s="258">
        <f>IF(AND(ISNUMBER(AD14),ISNUMBER(AD12)),AD14-AD12,"")</f>
        <v>-0.013</v>
      </c>
      <c r="AE13" s="258">
        <f>IF(AND(ISNUMBER(AE14),ISNUMBER(AE12)),AE14-AE12,"")</f>
        <v>-0.019</v>
      </c>
      <c r="AF13" s="258">
        <f>IF(AND(ISNUMBER(AF14),ISNUMBER(AF12)),AF14-AF12,"")</f>
        <v>0.00899999999999999</v>
      </c>
      <c r="AG13" s="258">
        <f>IF(AND(ISNUMBER(AG14),ISNUMBER(AG12)),AG14-AG12,"")</f>
        <v>0.028</v>
      </c>
      <c r="AH13" s="258">
        <f>IF(AND(ISNUMBER(AH14),ISNUMBER(AH12)),AH14-AH12,"")</f>
        <v>0.001</v>
      </c>
      <c r="AI13" s="258">
        <f>IF(AND(ISNUMBER(AI14),ISNUMBER(AI12)),AI14-AI12,"")</f>
        <v>0.052</v>
      </c>
      <c r="AJ13" s="258">
        <f>IF(AND(ISNUMBER(AJ14),ISNUMBER(AJ12)),AJ14-AJ12,"")</f>
        <v>0.011</v>
      </c>
      <c r="AK13" s="258">
        <f>IF(AND(ISNUMBER(AK14),ISNUMBER(AK12)),AK14-AK12,"")</f>
        <v>-0.044</v>
      </c>
      <c r="AL13" s="258">
        <f>IF(AND(ISNUMBER(AL14),ISNUMBER(AL12)),AL14-AL12,"")</f>
        <v>-0.049</v>
      </c>
      <c r="AM13" s="258">
        <f>IF(AND(ISNUMBER(AM14),ISNUMBER(AM12)),AM14-AM12,"")</f>
        <v>-0.01</v>
      </c>
      <c r="AN13" s="258">
        <f>IF(AND(ISNUMBER(AN14),ISNUMBER(AN12)),AN14-AN12,"")</f>
        <v>-0.062</v>
      </c>
      <c r="AO13" s="258">
        <f>IF(AND(ISNUMBER(AO14),ISNUMBER(AO12)),AO14-AO12,"")</f>
        <v>-0.045</v>
      </c>
      <c r="AP13" s="258">
        <f>IF(AND(ISNUMBER(AP14),ISNUMBER(AP12)),AP14-AP12,"")</f>
        <v>-0.02</v>
      </c>
      <c r="AQ13" s="258">
        <f>IF(AND(ISNUMBER(AQ14),ISNUMBER(AQ12)),AQ14-AQ12,"")</f>
        <v>-0.00799999999999999</v>
      </c>
      <c r="AR13" s="258">
        <f>IF(AND(ISNUMBER(AR14),ISNUMBER(AR12)),AR14-AR12,"")</f>
        <v>-0.034</v>
      </c>
      <c r="AS13" s="258">
        <f>IF(AND(ISNUMBER(AS14),ISNUMBER(AS12)),AS14-AS12,"")</f>
        <v>-0.026</v>
      </c>
      <c r="AT13" s="258">
        <f>IF(AND(ISNUMBER(AT14),ISNUMBER(AT12)),AT14-AT12,"")</f>
        <v>-0.037</v>
      </c>
      <c r="AU13" s="258">
        <f>IF(AND(ISNUMBER(AU14),ISNUMBER(AU12)),AU14-AU12,"")</f>
        <v>-0.015</v>
      </c>
      <c r="AV13" s="258">
        <f>IF(AND(ISNUMBER(AV14),ISNUMBER(AV12)),AV14-AV12,"")</f>
        <v>-0.004</v>
      </c>
      <c r="AW13" s="258">
        <f>IF(AND(ISNUMBER(AW14),ISNUMBER(AW12)),AW14-AW12,"")</f>
        <v>-0.021</v>
      </c>
      <c r="AX13" s="258">
        <f>IF(AND(ISNUMBER(AX14),ISNUMBER(AX12)),AX14-AX12,"")</f>
        <v>0.018</v>
      </c>
      <c r="AY13" s="258">
        <f>IF(AND(ISNUMBER(AY14),ISNUMBER(AY12)),AY14-AY12,"")</f>
        <v>0.055</v>
      </c>
      <c r="AZ13" s="258">
        <f>IF(AND(ISNUMBER(AZ14),ISNUMBER(AZ12)),AZ14-AZ12,"")</f>
        <v>0.012</v>
      </c>
      <c r="BA13" s="258">
        <f>IF(AND(ISNUMBER(BA14),ISNUMBER(BA12)),BA14-BA12,"")</f>
        <v>-0.02</v>
      </c>
      <c r="BB13" s="258">
        <f>IF(AND(ISNUMBER(BB14),ISNUMBER(BB12)),BB14-BB12,"")</f>
        <v>0.014</v>
      </c>
      <c r="BC13" s="258">
        <f>IF(AND(ISNUMBER(BC14),ISNUMBER(BC12)),BC14-BC12,"")</f>
        <v>-0.05</v>
      </c>
      <c r="BD13" s="258">
        <f>IF(AND(ISNUMBER(BD14),ISNUMBER(BD12)),BD14-BD12,"")</f>
        <v>-0.059</v>
      </c>
      <c r="BE13" s="258">
        <f>IF(AND(ISNUMBER(BE14),ISNUMBER(BE12)),BE14-BE12,"")</f>
        <v>-0.076</v>
      </c>
      <c r="BF13" s="258">
        <f>IF(AND(ISNUMBER(BF14),ISNUMBER(BF12)),BF14-BF12,"")</f>
        <v>-0.068</v>
      </c>
      <c r="BG13" s="258">
        <f>IF(AND(ISNUMBER(BG14),ISNUMBER(BG12)),BG14-BG12,"")</f>
        <v>-0.064</v>
      </c>
      <c r="BH13" s="258">
        <f>IF(AND(ISNUMBER(BH14),ISNUMBER(BH12)),BH14-BH12,"")</f>
        <v>-0.05</v>
      </c>
      <c r="BI13" s="258">
        <f>IF(AND(ISNUMBER(BI14),ISNUMBER(BI12)),BI14-BI12,"")</f>
        <v>-0.024</v>
      </c>
      <c r="BJ13" s="258">
        <f>IF(AND(ISNUMBER(BJ14),ISNUMBER(BJ12)),BJ14-BJ12,"")</f>
        <v>0.004</v>
      </c>
      <c r="BK13" s="258">
        <f>IF(AND(ISNUMBER(BK14),ISNUMBER(BK12)),BK14-BK12,"")</f>
        <v>0.00399999999999999</v>
      </c>
      <c r="BL13" s="258">
        <f>IF(AND(ISNUMBER(BL14),ISNUMBER(BL12)),BL14-BL12,"")</f>
        <v>-0.015</v>
      </c>
      <c r="BM13" s="258">
        <f>IF(AND(ISNUMBER(BM14),ISNUMBER(BM12)),BM14-BM12,"")</f>
        <v>-0.018</v>
      </c>
      <c r="BN13" s="258">
        <f>IF(AND(ISNUMBER(BN14),ISNUMBER(BN12)),BN14-BN12,"")</f>
        <v>-0.033</v>
      </c>
      <c r="BO13" s="258">
        <f>IF(AND(ISNUMBER(BO14),ISNUMBER(BO12)),BO14-BO12,"")</f>
        <v>-0.019</v>
      </c>
      <c r="BP13" s="258">
        <f>IF(AND(ISNUMBER(BP14),ISNUMBER(BP12)),BP14-BP12,"")</f>
        <v>-0.027</v>
      </c>
      <c r="BQ13" s="258">
        <f>IF(AND(ISNUMBER(BQ14),ISNUMBER(BQ12)),BQ14-BQ12,"")</f>
        <v>-0.024</v>
      </c>
      <c r="BR13" s="258">
        <f>IF(AND(ISNUMBER(BR14),ISNUMBER(BR12)),BR14-BR12,"")</f>
        <v>-0.038</v>
      </c>
      <c r="BS13" s="258">
        <f>IF(AND(ISNUMBER(BS14),ISNUMBER(BS12)),BS14-BS12,"")</f>
        <v>0.004</v>
      </c>
      <c r="BT13" s="258">
        <f>IF(AND(ISNUMBER(BT14),ISNUMBER(BT12)),BT14-BT12,"")</f>
        <v>0.011</v>
      </c>
      <c r="BU13" s="258">
        <f>IF(AND(ISNUMBER(BU14),ISNUMBER(BU12)),BU14-BU12,"")</f>
        <v>0.024</v>
      </c>
      <c r="BV13" s="258">
        <f>IF(AND(ISNUMBER(BV14),ISNUMBER(BV12)),BV14-BV12,"")</f>
        <v>0.001</v>
      </c>
      <c r="BW13" s="258">
        <f>IF(AND(ISNUMBER(BW14),ISNUMBER(BW12)),BW14-BW12,"")</f>
        <v>0.042</v>
      </c>
      <c r="BX13" s="258">
        <f>IF(AND(ISNUMBER(BX14),ISNUMBER(BX12)),BX14-BX12,"")</f>
        <v>0.012</v>
      </c>
      <c r="BY13" s="259" t="n">
        <v>0.005</v>
      </c>
      <c r="BZ13" s="259" t="n">
        <v>0</v>
      </c>
      <c r="CA13" s="256">
        <f>CA14-CA12</f>
        <v>0.013660339305869</v>
      </c>
      <c r="CB13" s="259" t="n">
        <v>0</v>
      </c>
      <c r="CC13" s="259" t="n">
        <v>0</v>
      </c>
      <c r="CD13" s="259" t="n">
        <v>0</v>
      </c>
      <c r="CE13" s="259" t="n">
        <v>0</v>
      </c>
      <c r="CF13" s="153" t="inlineStr">
        <is>
          <t>Q3/Q4-26E: point estimates consistent with the ~1 ppt FY26 FX tailwind in the (unverified) outlook after +2.6 ppt in H1-26; 2027E+: constant currency (0).</t>
        </is>
      </c>
      <c r="CN13" s="25" t="inlineStr">
        <is>
          <t xml:space="preserve">  FY26 adjusted operating expense growth, reported (UNVERIFIED; Bull = low end)</t>
        </is>
      </c>
      <c r="CO13" s="257" t="n">
        <v>0.11</v>
      </c>
      <c r="CP13" s="257" t="n">
        <v>0.115</v>
      </c>
      <c r="CQ13" s="257" t="n">
        <v>0.12</v>
      </c>
      <c r="CR13" s="13" t="inlineStr">
        <is>
          <t>Model end-points for adjusted operating expense growth (reported USD): low double digits currency-neutral (~10–11%) + 0.5–1 ppt FX headwind = 11.0 / 11.5 / 12.0% (Bull = low end). H1-26 actual +11% reported, +9% currency-neutral.</t>
        </is>
      </c>
    </row>
    <row r="14" ht="15" customHeight="1" s="251">
      <c r="B14" s="22" t="inlineStr">
        <is>
          <t xml:space="preserve">    GDV growth, USD %</t>
        </is>
      </c>
      <c r="C14" s="255" t="n">
        <v>0.149</v>
      </c>
      <c r="D14" s="255" t="n">
        <v>0.184</v>
      </c>
      <c r="E14" s="255" t="n">
        <v>0.115</v>
      </c>
      <c r="F14" s="255" t="n">
        <v>-0.033</v>
      </c>
      <c r="G14" s="255" t="n">
        <v>0.107</v>
      </c>
      <c r="H14" s="255" t="n">
        <v>0.193</v>
      </c>
      <c r="I14" s="255" t="n">
        <v>0.121</v>
      </c>
      <c r="J14" s="255" t="n">
        <v>0.114</v>
      </c>
      <c r="K14" s="255" t="n">
        <v>0.128</v>
      </c>
      <c r="L14" s="255" t="n">
        <v>0.136</v>
      </c>
      <c r="M14" s="255" t="n">
        <v>0.118</v>
      </c>
      <c r="N14" s="255" t="n">
        <v>0.124</v>
      </c>
      <c r="O14" s="255" t="n">
        <v>0.103</v>
      </c>
      <c r="P14" s="255" t="n">
        <v>0.114</v>
      </c>
      <c r="Q14" s="255" t="n">
        <v>0.106</v>
      </c>
      <c r="R14" s="255" t="n">
        <v>0.06</v>
      </c>
      <c r="S14" s="255" t="n">
        <v>0.095</v>
      </c>
      <c r="T14" s="255" t="n">
        <v>0.018</v>
      </c>
      <c r="U14" s="255" t="n">
        <v>0.014</v>
      </c>
      <c r="V14" s="255" t="n">
        <v>0</v>
      </c>
      <c r="W14" s="255" t="n">
        <v>0.022</v>
      </c>
      <c r="X14" s="255" t="n">
        <v>0.014</v>
      </c>
      <c r="Y14" s="255" t="n">
        <v>0.07199999999999999</v>
      </c>
      <c r="Z14" s="255" t="n">
        <v>0.076</v>
      </c>
      <c r="AA14" s="255" t="n">
        <v>0.054</v>
      </c>
      <c r="AB14" s="255" t="n">
        <v>0.026</v>
      </c>
      <c r="AC14" s="255" t="n">
        <v>0.056</v>
      </c>
      <c r="AD14" s="255" t="n">
        <v>0.034</v>
      </c>
      <c r="AE14" s="255" t="n">
        <v>0.042</v>
      </c>
      <c r="AF14" s="255" t="n">
        <v>0.11</v>
      </c>
      <c r="AG14" s="255" t="n">
        <v>0.155</v>
      </c>
      <c r="AH14" s="255" t="n">
        <v>0.08699999999999999</v>
      </c>
      <c r="AI14" s="255" t="n">
        <v>0.193</v>
      </c>
      <c r="AJ14" s="255" t="n">
        <v>0.153</v>
      </c>
      <c r="AK14" s="255" t="n">
        <v>0.089</v>
      </c>
      <c r="AL14" s="255" t="n">
        <v>0.094</v>
      </c>
      <c r="AM14" s="255" t="n">
        <v>0.13</v>
      </c>
      <c r="AN14" s="255" t="n">
        <v>0.054</v>
      </c>
      <c r="AO14" s="255" t="n">
        <v>0.08400000000000001</v>
      </c>
      <c r="AP14" s="255" t="n">
        <v>0.124</v>
      </c>
      <c r="AQ14" s="255" t="n">
        <v>0.115</v>
      </c>
      <c r="AR14" s="255" t="n">
        <v>0.096</v>
      </c>
      <c r="AS14" s="255" t="n">
        <v>0.055</v>
      </c>
      <c r="AT14" s="255" t="n">
        <v>-0.137</v>
      </c>
      <c r="AU14" s="255" t="n">
        <v>-0.003</v>
      </c>
      <c r="AV14" s="255" t="n">
        <v>0.01</v>
      </c>
      <c r="AW14" s="255" t="n">
        <v>-0.02</v>
      </c>
      <c r="AX14" s="255" t="n">
        <v>0.093</v>
      </c>
      <c r="AY14" s="255" t="n">
        <v>0.383</v>
      </c>
      <c r="AZ14" s="255" t="n">
        <v>0.211</v>
      </c>
      <c r="BA14" s="255" t="n">
        <v>0.21</v>
      </c>
      <c r="BB14" s="255" t="n">
        <v>0.219</v>
      </c>
      <c r="BC14" s="255" t="n">
        <v>0.123</v>
      </c>
      <c r="BD14" s="255" t="n">
        <v>0.077</v>
      </c>
      <c r="BE14" s="255" t="n">
        <v>0.038</v>
      </c>
      <c r="BF14" s="255" t="n">
        <v>0.008</v>
      </c>
      <c r="BG14" s="255" t="n">
        <v>0.059</v>
      </c>
      <c r="BH14" s="255" t="n">
        <v>0.1</v>
      </c>
      <c r="BI14" s="255" t="n">
        <v>0.101</v>
      </c>
      <c r="BJ14" s="255" t="n">
        <v>0.112</v>
      </c>
      <c r="BK14" s="255" t="n">
        <v>0.103</v>
      </c>
      <c r="BL14" s="255" t="n">
        <v>0.104</v>
      </c>
      <c r="BM14" s="255" t="n">
        <v>0.08599999999999999</v>
      </c>
      <c r="BN14" s="255" t="n">
        <v>0.061</v>
      </c>
      <c r="BO14" s="255" t="n">
        <v>0.08599999999999999</v>
      </c>
      <c r="BP14" s="255" t="n">
        <v>0.089</v>
      </c>
      <c r="BQ14" s="255" t="n">
        <v>0.081</v>
      </c>
      <c r="BR14" s="255" t="n">
        <v>0.055</v>
      </c>
      <c r="BS14" s="255" t="n">
        <v>0.094</v>
      </c>
      <c r="BT14" s="255" t="n">
        <v>0.098</v>
      </c>
      <c r="BU14" s="255" t="n">
        <v>0.098</v>
      </c>
      <c r="BV14" s="255" t="n">
        <v>0.08699999999999999</v>
      </c>
      <c r="BW14" s="255" t="n">
        <v>0.115</v>
      </c>
      <c r="BX14" s="255" t="n">
        <v>0.092</v>
      </c>
      <c r="BY14" s="256">
        <f>(1+BY12)*(1+BY13)-1</f>
        <v>0.0818824999999999</v>
      </c>
      <c r="BZ14" s="256">
        <f>(1+BZ12)*(1+BZ13)-1</f>
        <v>0.0765</v>
      </c>
      <c r="CA14" s="256">
        <f>IF(AND(ISNUMBER(CA11),ISNUMBER(BV11)),IFERROR(CA11/BV11-1,""),"")</f>
        <v>0.090160339305869</v>
      </c>
      <c r="CB14" s="256">
        <f>(1+CB12)*(1+CB13)-1</f>
        <v>0.085</v>
      </c>
      <c r="CC14" s="256">
        <f>(1+CC12)*(1+CC13)-1</f>
        <v>0.0800000000000001</v>
      </c>
      <c r="CD14" s="256">
        <f>(1+CD12)*(1+CD13)-1</f>
        <v>0.0800000000000001</v>
      </c>
      <c r="CE14" s="256">
        <f>(1+CE12)*(1+CE13)-1</f>
        <v>0.075</v>
      </c>
      <c r="CF14" s="153" t="inlineStr">
        <is>
          <t>2026E = 2026E GDV ÷ 2025 GDV − 1; local-currency 2026E = average of the quarters (approximation).</t>
        </is>
      </c>
      <c r="CN14" s="25" t="inlineStr">
        <is>
          <t xml:space="preserve">  H2-26E share repurchases ($m)</t>
        </is>
      </c>
      <c r="CO14" s="260" t="n">
        <v>7800</v>
      </c>
      <c r="CP14" s="260" t="n">
        <v>7000</v>
      </c>
      <c r="CQ14" s="260" t="n">
        <v>6000</v>
      </c>
      <c r="CR14" s="13" t="inlineStr">
        <is>
          <t>H1-26 $8,933m (Q2 $4.9bn); $0.7bn repurchased 1–27 Jul; $7.8bn of authorization left at 27-Jul-2026 (a new program is usually approved in December). Assumption.</t>
        </is>
      </c>
    </row>
    <row r="15" ht="15" customHeight="1" s="251">
      <c r="B15" s="22" t="inlineStr">
        <is>
          <t xml:space="preserve">  Memo: cross-border volume growth, local currency % (release text)</t>
        </is>
      </c>
      <c r="C15" s="23" t="n"/>
      <c r="D15" s="23" t="n"/>
      <c r="E15" s="23" t="n"/>
      <c r="F15" s="23" t="n"/>
      <c r="G15" s="255" t="n">
        <v>0.152</v>
      </c>
      <c r="H15" s="255" t="n">
        <v>0.187</v>
      </c>
      <c r="I15" s="255" t="n">
        <v>0.16</v>
      </c>
      <c r="J15" s="255" t="n">
        <v>0.16</v>
      </c>
      <c r="K15" s="255" t="n">
        <v>0.17</v>
      </c>
      <c r="L15" s="255" t="n">
        <v>0.19</v>
      </c>
      <c r="M15" s="255" t="n">
        <v>0.18</v>
      </c>
      <c r="N15" s="255" t="n">
        <v>0.18</v>
      </c>
      <c r="O15" s="255" t="n">
        <v>0.17</v>
      </c>
      <c r="P15" s="255" t="n">
        <v>0.16</v>
      </c>
      <c r="Q15" s="255" t="n">
        <v>0.15</v>
      </c>
      <c r="R15" s="255" t="n">
        <v>0.19</v>
      </c>
      <c r="S15" s="255" t="n">
        <v>0.16</v>
      </c>
      <c r="T15" s="255" t="n">
        <v>0.19</v>
      </c>
      <c r="U15" s="255" t="n">
        <v>0.17</v>
      </c>
      <c r="V15" s="255" t="n">
        <v>0.16</v>
      </c>
      <c r="W15" s="255" t="n">
        <v>0.12</v>
      </c>
      <c r="X15" s="255" t="n">
        <v>0.16</v>
      </c>
      <c r="Y15" s="255" t="n">
        <v>0.12</v>
      </c>
      <c r="Z15" s="255" t="n">
        <v>0.1</v>
      </c>
      <c r="AA15" s="255" t="n">
        <v>0.12</v>
      </c>
      <c r="AB15" s="255" t="n">
        <v>0.13</v>
      </c>
      <c r="AC15" s="255" t="n">
        <v>0.12</v>
      </c>
      <c r="AD15" s="255" t="n">
        <v>0.13</v>
      </c>
      <c r="AE15" s="255" t="n">
        <v>0.14</v>
      </c>
      <c r="AF15" s="255" t="n">
        <v>0.15</v>
      </c>
      <c r="AG15" s="255" t="n">
        <v>0.17</v>
      </c>
      <c r="AH15" s="255" t="n">
        <v>0.15</v>
      </c>
      <c r="AI15" s="255" t="n">
        <v>0.21</v>
      </c>
      <c r="AJ15" s="255" t="n">
        <v>0.19</v>
      </c>
      <c r="AK15" s="255" t="n">
        <v>0.17</v>
      </c>
      <c r="AL15" s="255" t="n">
        <v>0.17</v>
      </c>
      <c r="AM15" s="255" t="n">
        <v>0.18</v>
      </c>
      <c r="AN15" s="255" t="n">
        <v>0.13</v>
      </c>
      <c r="AO15" s="255" t="n">
        <v>0.16</v>
      </c>
      <c r="AP15" s="255" t="n">
        <v>0.17</v>
      </c>
      <c r="AQ15" s="255" t="n">
        <v>0.16</v>
      </c>
      <c r="AR15" s="255" t="n">
        <v>0.16</v>
      </c>
      <c r="AS15" s="255" t="n">
        <v>-0.01</v>
      </c>
      <c r="AT15" s="255" t="n">
        <v>-0.45</v>
      </c>
      <c r="AU15" s="255" t="n">
        <v>-0.36</v>
      </c>
      <c r="AV15" s="255" t="n">
        <v>-0.29</v>
      </c>
      <c r="AW15" s="255" t="n">
        <v>-0.29</v>
      </c>
      <c r="AX15" s="255" t="n">
        <v>-0.17</v>
      </c>
      <c r="AY15" s="255" t="n">
        <v>0.58</v>
      </c>
      <c r="AZ15" s="255" t="n">
        <v>0.52</v>
      </c>
      <c r="BA15" s="255" t="n">
        <v>0.53</v>
      </c>
      <c r="BB15" s="255" t="n">
        <v>0.32</v>
      </c>
      <c r="BC15" s="255" t="n">
        <v>0.53</v>
      </c>
      <c r="BD15" s="255" t="n">
        <v>0.58</v>
      </c>
      <c r="BE15" s="255" t="n">
        <v>0.44</v>
      </c>
      <c r="BF15" s="255" t="n">
        <v>0.31</v>
      </c>
      <c r="BG15" s="255" t="n">
        <v>0.45</v>
      </c>
      <c r="BH15" s="255" t="n">
        <v>0.35</v>
      </c>
      <c r="BI15" s="255" t="n">
        <v>0.24</v>
      </c>
      <c r="BJ15" s="255" t="n">
        <v>0.21</v>
      </c>
      <c r="BK15" s="255" t="n">
        <v>0.18</v>
      </c>
      <c r="BL15" s="255" t="n">
        <v>0.24</v>
      </c>
      <c r="BM15" s="255" t="n">
        <v>0.18</v>
      </c>
      <c r="BN15" s="255" t="n">
        <v>0.17</v>
      </c>
      <c r="BO15" s="255" t="n">
        <v>0.17</v>
      </c>
      <c r="BP15" s="255" t="n">
        <v>0.2</v>
      </c>
      <c r="BQ15" s="255" t="n">
        <v>0.18</v>
      </c>
      <c r="BR15" s="255" t="n">
        <v>0.15</v>
      </c>
      <c r="BS15" s="255" t="n">
        <v>0.15</v>
      </c>
      <c r="BT15" s="255" t="n">
        <v>0.15</v>
      </c>
      <c r="BU15" s="255" t="n">
        <v>0.14</v>
      </c>
      <c r="BV15" s="255" t="n">
        <v>0.15</v>
      </c>
      <c r="BW15" s="255" t="n">
        <v>0.13</v>
      </c>
      <c r="BX15" s="255" t="n">
        <v>0.12</v>
      </c>
      <c r="BY15" s="24" t="n"/>
      <c r="BZ15" s="24" t="n"/>
      <c r="CA15" s="24" t="n"/>
      <c r="CB15" s="24" t="n"/>
      <c r="CC15" s="24" t="n"/>
      <c r="CD15" s="24" t="n"/>
      <c r="CE15" s="24" t="n"/>
      <c r="CF15" s="153" t="inlineStr">
        <is>
          <t>Release narrative ("cross-border volume growth of x% on a local currency basis"); 2006–09 not stated. Drives cross-border assessments inside payment network yield.</t>
        </is>
      </c>
      <c r="CH15" s="37" t="str">
        <f>IFERROR(AVERAGE(CA15,CB15,CC15,CD15,CE15),"n/m")</f>
        <v>n/m</v>
      </c>
      <c r="CI15" s="37">
        <f>IFERROR(AVERAGE(BB15,BG15,BL15,BQ15,BV15),"n/m")</f>
        <v>0.268</v>
      </c>
      <c r="CJ15" s="37">
        <f>IFERROR(AVERAGE(AC15,AH15,AM15,AR15,AW15,BB15,BG15,BL15,BQ15,BV15),"n/m")</f>
        <v>0.166</v>
      </c>
      <c r="CK15" s="37">
        <f>IFERROR(AVERAGE(C15,D15,E15,F15,G15,H15,I15,N15,S15,X15,AC15,AH15,AM15,AR15,AW15,BB15,BG15,BL15,BQ15,BV15),"n/m")</f>
        <v>0.1661875</v>
      </c>
    </row>
    <row r="16" ht="15" customHeight="1" s="251">
      <c r="B16" s="22" t="inlineStr">
        <is>
          <t xml:space="preserve">  Memo: switched transactions growth % ("processed transactions" to Q3-16; release text)</t>
        </is>
      </c>
      <c r="C16" s="23" t="n"/>
      <c r="D16" s="23" t="n"/>
      <c r="E16" s="23" t="n"/>
      <c r="F16" s="255" t="n">
        <v>0.06900000000000001</v>
      </c>
      <c r="G16" s="23" t="n"/>
      <c r="H16" s="255" t="n">
        <v>0.183</v>
      </c>
      <c r="I16" s="255" t="n">
        <v>0.25</v>
      </c>
      <c r="J16" s="255" t="n">
        <v>0.12</v>
      </c>
      <c r="K16" s="255" t="n">
        <v>0.11</v>
      </c>
      <c r="L16" s="255" t="n">
        <v>0.16</v>
      </c>
      <c r="M16" s="255" t="n">
        <v>0.13</v>
      </c>
      <c r="N16" s="255" t="n">
        <v>0.13</v>
      </c>
      <c r="O16" s="255" t="n">
        <v>0.14</v>
      </c>
      <c r="P16" s="255" t="n">
        <v>0.12</v>
      </c>
      <c r="Q16" s="255" t="n">
        <v>0.1</v>
      </c>
      <c r="R16" s="255" t="n">
        <v>0.11</v>
      </c>
      <c r="S16" s="255" t="n">
        <v>0.12</v>
      </c>
      <c r="T16" s="255" t="n">
        <v>0.12</v>
      </c>
      <c r="U16" s="255" t="n">
        <v>0.13</v>
      </c>
      <c r="V16" s="255" t="n">
        <v>0.12</v>
      </c>
      <c r="W16" s="255" t="n">
        <v>0.12</v>
      </c>
      <c r="X16" s="255" t="n">
        <v>0.12</v>
      </c>
      <c r="Y16" s="255" t="n">
        <v>0.14</v>
      </c>
      <c r="Z16" s="255" t="n">
        <v>0.14</v>
      </c>
      <c r="AA16" s="255" t="n">
        <v>0.18</v>
      </c>
      <c r="AB16" s="255" t="n">
        <v>0.17</v>
      </c>
      <c r="AC16" s="255" t="n">
        <v>0.16</v>
      </c>
      <c r="AD16" s="255" t="n">
        <v>0.17</v>
      </c>
      <c r="AE16" s="255" t="n">
        <v>0.17</v>
      </c>
      <c r="AF16" s="255" t="n">
        <v>0.17</v>
      </c>
      <c r="AG16" s="255" t="n">
        <v>0.17</v>
      </c>
      <c r="AH16" s="255" t="n">
        <v>0.17</v>
      </c>
      <c r="AI16" s="255" t="n">
        <v>0.17</v>
      </c>
      <c r="AJ16" s="255" t="n">
        <v>0.17</v>
      </c>
      <c r="AK16" s="255" t="n">
        <v>0.16</v>
      </c>
      <c r="AL16" s="255" t="n">
        <v>0.17</v>
      </c>
      <c r="AM16" s="255" t="n">
        <v>0.17</v>
      </c>
      <c r="AN16" s="255" t="n">
        <v>0.17</v>
      </c>
      <c r="AO16" s="255" t="n">
        <v>0.18</v>
      </c>
      <c r="AP16" s="255" t="n">
        <v>0.2</v>
      </c>
      <c r="AQ16" s="255" t="n">
        <v>0.19</v>
      </c>
      <c r="AR16" s="255" t="n">
        <v>0.19</v>
      </c>
      <c r="AS16" s="255" t="n">
        <v>0.13</v>
      </c>
      <c r="AT16" s="255" t="n">
        <v>-0.1</v>
      </c>
      <c r="AU16" s="255" t="n">
        <v>0.05</v>
      </c>
      <c r="AV16" s="255" t="n">
        <v>0.04</v>
      </c>
      <c r="AW16" s="255" t="n">
        <v>0.03</v>
      </c>
      <c r="AX16" s="255" t="n">
        <v>0.09</v>
      </c>
      <c r="AY16" s="255" t="n">
        <v>0.41</v>
      </c>
      <c r="AZ16" s="255" t="n">
        <v>0.25</v>
      </c>
      <c r="BA16" s="255" t="n">
        <v>0.27</v>
      </c>
      <c r="BB16" s="255" t="n">
        <v>0.25</v>
      </c>
      <c r="BC16" s="255" t="n">
        <v>0.22</v>
      </c>
      <c r="BD16" s="255" t="n">
        <v>0.12</v>
      </c>
      <c r="BE16" s="255" t="n">
        <v>0.09</v>
      </c>
      <c r="BF16" s="255" t="n">
        <v>0.08</v>
      </c>
      <c r="BG16" s="255" t="n">
        <v>0.12</v>
      </c>
      <c r="BH16" s="255" t="n">
        <v>0.12</v>
      </c>
      <c r="BI16" s="255" t="n">
        <v>0.17</v>
      </c>
      <c r="BJ16" s="255" t="n">
        <v>0.15</v>
      </c>
      <c r="BK16" s="255" t="n">
        <v>0.12</v>
      </c>
      <c r="BL16" s="255" t="n">
        <v>0.14</v>
      </c>
      <c r="BM16" s="255" t="n">
        <v>0.13</v>
      </c>
      <c r="BN16" s="255" t="n">
        <v>0.11</v>
      </c>
      <c r="BO16" s="255" t="n">
        <v>0.11</v>
      </c>
      <c r="BP16" s="255" t="n">
        <v>0.11</v>
      </c>
      <c r="BQ16" s="255" t="n">
        <v>0.11</v>
      </c>
      <c r="BR16" s="255" t="n">
        <v>0.09</v>
      </c>
      <c r="BS16" s="255" t="n">
        <v>0.1</v>
      </c>
      <c r="BT16" s="255" t="n">
        <v>0.1</v>
      </c>
      <c r="BU16" s="255" t="n">
        <v>0.1</v>
      </c>
      <c r="BV16" s="255" t="n">
        <v>0.1</v>
      </c>
      <c r="BW16" s="255" t="n">
        <v>0.09</v>
      </c>
      <c r="BX16" s="255" t="n">
        <v>0.09</v>
      </c>
      <c r="BY16" s="24" t="n"/>
      <c r="BZ16" s="24" t="n"/>
      <c r="CA16" s="24" t="n"/>
      <c r="CB16" s="24" t="n"/>
      <c r="CC16" s="24" t="n"/>
      <c r="CD16" s="24" t="n"/>
      <c r="CE16" s="24" t="n"/>
      <c r="CF16" s="153" t="n"/>
      <c r="CH16" s="37" t="str">
        <f>IFERROR(AVERAGE(CA16,CB16,CC16,CD16,CE16),"n/m")</f>
        <v>n/m</v>
      </c>
      <c r="CI16" s="37">
        <f>IFERROR(AVERAGE(BB16,BG16,BL16,BQ16,BV16),"n/m")</f>
        <v>0.144</v>
      </c>
      <c r="CJ16" s="37">
        <f>IFERROR(AVERAGE(AC16,AH16,AM16,AR16,AW16,BB16,BG16,BL16,BQ16,BV16),"n/m")</f>
        <v>0.144</v>
      </c>
      <c r="CK16" s="37">
        <f>IFERROR(AVERAGE(C16,D16,E16,F16,G16,H16,I16,N16,S16,X16,AC16,AH16,AM16,AR16,AW16,BB16,BG16,BL16,BQ16,BV16),"n/m")</f>
        <v>0.1445</v>
      </c>
      <c r="CN16" s="15" t="inlineStr">
        <is>
          <t>Q3/26E – Q4/26E and FY26 point estimates (all cases)</t>
        </is>
      </c>
      <c r="CO16" s="21" t="n"/>
      <c r="CP16" s="21" t="n"/>
      <c r="CQ16" s="21" t="n"/>
    </row>
    <row r="17" ht="15" customHeight="1" s="251">
      <c r="B17" s="156" t="inlineStr">
        <is>
          <t xml:space="preserve">  Memo: Mastercard and Maestro-branded cards issued (bn; period end, release text)</t>
        </is>
      </c>
      <c r="C17" s="261" t="n">
        <v>0.8169999999999999</v>
      </c>
      <c r="D17" s="261" t="n">
        <v>0.916</v>
      </c>
      <c r="E17" s="261" t="n">
        <v>0.981</v>
      </c>
      <c r="F17" s="261" t="n">
        <v>0.966</v>
      </c>
      <c r="G17" s="261" t="n">
        <v>1.6</v>
      </c>
      <c r="H17" s="261" t="n">
        <v>1.8</v>
      </c>
      <c r="I17" s="261" t="n">
        <v>1.9</v>
      </c>
      <c r="J17" s="261" t="n">
        <v>1.9</v>
      </c>
      <c r="K17" s="261" t="n">
        <v>1.9</v>
      </c>
      <c r="L17" s="261" t="n">
        <v>2</v>
      </c>
      <c r="M17" s="261" t="n">
        <v>2</v>
      </c>
      <c r="N17" s="261" t="n">
        <v>2</v>
      </c>
      <c r="O17" s="261" t="n">
        <v>2</v>
      </c>
      <c r="P17" s="261" t="n">
        <v>2</v>
      </c>
      <c r="Q17" s="261" t="n">
        <v>2.1</v>
      </c>
      <c r="R17" s="261" t="n">
        <v>2.1</v>
      </c>
      <c r="S17" s="261" t="n">
        <v>2.1</v>
      </c>
      <c r="T17" s="261" t="n">
        <v>2.2</v>
      </c>
      <c r="U17" s="261" t="n">
        <v>2.2</v>
      </c>
      <c r="V17" s="261" t="n">
        <v>2.2</v>
      </c>
      <c r="W17" s="261" t="n">
        <v>2.3</v>
      </c>
      <c r="X17" s="261" t="n">
        <v>2.3</v>
      </c>
      <c r="Y17" s="261" t="n">
        <v>2.3</v>
      </c>
      <c r="Z17" s="261" t="n">
        <v>2.3</v>
      </c>
      <c r="AA17" s="261" t="n">
        <v>2.3</v>
      </c>
      <c r="AB17" s="261" t="n">
        <v>2.3</v>
      </c>
      <c r="AC17" s="261" t="n">
        <v>2.3</v>
      </c>
      <c r="AD17" s="261" t="n">
        <v>2.4</v>
      </c>
      <c r="AE17" s="261" t="n">
        <v>2.4</v>
      </c>
      <c r="AF17" s="261" t="n">
        <v>2.4</v>
      </c>
      <c r="AG17" s="261" t="n">
        <v>2.4</v>
      </c>
      <c r="AH17" s="261" t="n">
        <v>2.4</v>
      </c>
      <c r="AI17" s="261" t="n">
        <v>2.4</v>
      </c>
      <c r="AJ17" s="261" t="n">
        <v>2.4</v>
      </c>
      <c r="AK17" s="261" t="n">
        <v>2.5</v>
      </c>
      <c r="AL17" s="261" t="n">
        <v>2.5</v>
      </c>
      <c r="AM17" s="261" t="n">
        <v>2.5</v>
      </c>
      <c r="AN17" s="261" t="n">
        <v>2.5</v>
      </c>
      <c r="AO17" s="261" t="n">
        <v>2.6</v>
      </c>
      <c r="AP17" s="261" t="n">
        <v>2.6</v>
      </c>
      <c r="AQ17" s="261" t="n">
        <v>2.6</v>
      </c>
      <c r="AR17" s="261" t="n">
        <v>2.6</v>
      </c>
      <c r="AS17" s="261" t="n">
        <v>2.6</v>
      </c>
      <c r="AT17" s="261" t="n">
        <v>2.6</v>
      </c>
      <c r="AU17" s="261" t="n">
        <v>2.7</v>
      </c>
      <c r="AV17" s="261" t="n">
        <v>2.8</v>
      </c>
      <c r="AW17" s="261" t="n">
        <v>2.8</v>
      </c>
      <c r="AX17" s="261" t="n">
        <v>2.8</v>
      </c>
      <c r="AY17" s="261" t="n">
        <v>2.9</v>
      </c>
      <c r="AZ17" s="261" t="n">
        <v>2.9</v>
      </c>
      <c r="BA17" s="261" t="n">
        <v>3</v>
      </c>
      <c r="BB17" s="261" t="n">
        <v>3</v>
      </c>
      <c r="BC17" s="261" t="n">
        <v>2.9</v>
      </c>
      <c r="BD17" s="261" t="n">
        <v>3</v>
      </c>
      <c r="BE17" s="261" t="n">
        <v>3</v>
      </c>
      <c r="BF17" s="261" t="n">
        <v>3.1</v>
      </c>
      <c r="BG17" s="261" t="n">
        <v>3.1</v>
      </c>
      <c r="BH17" s="261" t="n">
        <v>3.2</v>
      </c>
      <c r="BI17" s="261" t="n">
        <v>3.2</v>
      </c>
      <c r="BJ17" s="261" t="n">
        <v>3.3</v>
      </c>
      <c r="BK17" s="261" t="n">
        <v>3.3</v>
      </c>
      <c r="BL17" s="261" t="n">
        <v>3.3</v>
      </c>
      <c r="BM17" s="261" t="n">
        <v>3.4</v>
      </c>
      <c r="BN17" s="261" t="n">
        <v>3.4</v>
      </c>
      <c r="BO17" s="261" t="n">
        <v>3.4</v>
      </c>
      <c r="BP17" s="261" t="n">
        <v>3.5</v>
      </c>
      <c r="BQ17" s="261" t="n">
        <v>3.5</v>
      </c>
      <c r="BR17" s="261" t="n">
        <v>3.5</v>
      </c>
      <c r="BS17" s="261" t="n">
        <v>3.6</v>
      </c>
      <c r="BT17" s="261" t="n">
        <v>3.6</v>
      </c>
      <c r="BU17" s="261" t="n">
        <v>3.7</v>
      </c>
      <c r="BV17" s="261" t="n">
        <v>3.7</v>
      </c>
      <c r="BW17" s="261" t="n">
        <v>3.7</v>
      </c>
      <c r="BX17" s="261" t="n">
        <v>3.7</v>
      </c>
      <c r="BY17" s="153" t="n"/>
      <c r="BZ17" s="153" t="n"/>
      <c r="CA17" s="153" t="n"/>
      <c r="CB17" s="153" t="n"/>
      <c r="CC17" s="153" t="n"/>
      <c r="CD17" s="153" t="n"/>
      <c r="CE17" s="153" t="n"/>
      <c r="CF17" s="153" t="inlineStr">
        <is>
          <t>Mastercard-branded only to 2009 (0.8–1.0bn); including Maestro from 2010.</t>
        </is>
      </c>
      <c r="CH17" s="20">
        <f>IFERROR((CE17/BV17)^(1/5)-1,"n/m")</f>
        <v>-1</v>
      </c>
      <c r="CI17" s="20">
        <f>IFERROR((BV17/AW17)^(1/5)-1,"n/m")</f>
        <v>0.0573255782334066</v>
      </c>
      <c r="CJ17" s="20">
        <f>IFERROR((BV17/X17)^(1/10)-1,"n/m")</f>
        <v>0.0486906328576267</v>
      </c>
      <c r="CK17" s="20">
        <f>IFERROR((BV17/C17)^(1/19)-1,"n/m")</f>
        <v>0.0827426534312821</v>
      </c>
      <c r="CN17" s="25" t="inlineStr">
        <is>
          <t xml:space="preserve">  FY26 FX effect on net revenue growth (pp; memo)</t>
        </is>
      </c>
      <c r="CP17" s="257" t="n">
        <v>0.01</v>
      </c>
      <c r="CR17" s="13" t="inlineStr">
        <is>
          <t>Outlook: ~1 ppt FX tailwind for the year (H1-26: +2.6 ppt) — UNVERIFIED.</t>
        </is>
      </c>
    </row>
    <row r="18" ht="15" customHeight="1" s="251">
      <c r="CN18" s="25" t="inlineStr">
        <is>
          <t xml:space="preserve">  Q3/Q4-26E depreciation &amp; amortization ($m per quarter)</t>
        </is>
      </c>
      <c r="CP18" s="260" t="n">
        <v>325</v>
      </c>
      <c r="CR18" s="13" t="inlineStr">
        <is>
          <t>Q2-26 $309m, Q1-26 $299m; rising with capitalized software and the June-2026 property additions.</t>
        </is>
      </c>
    </row>
    <row r="19" ht="15" customHeight="1" s="251">
      <c r="B19" s="14" t="inlineStr">
        <is>
          <t>Payment network (assessments for switching, cross-border, scheme fees, less payment network rebates &amp; incentives)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  <c r="BP19" s="14" t="n"/>
      <c r="BQ19" s="14" t="n"/>
      <c r="BR19" s="14" t="n"/>
      <c r="BS19" s="14" t="n"/>
      <c r="BT19" s="14" t="n"/>
      <c r="BU19" s="14" t="n"/>
      <c r="BV19" s="14" t="n"/>
      <c r="BW19" s="14" t="n"/>
      <c r="BX19" s="14" t="n"/>
      <c r="BY19" s="14" t="n"/>
      <c r="BZ19" s="14" t="n"/>
      <c r="CA19" s="14" t="n"/>
      <c r="CB19" s="14" t="n"/>
      <c r="CC19" s="14" t="n"/>
      <c r="CD19" s="14" t="n"/>
      <c r="CE19" s="14" t="n"/>
      <c r="CF19" s="15" t="inlineStr">
        <is>
          <t>PAYMENT NETWORK — modelling logic (2027E+: GDV × yield; 2026E H2: prior-year quarter × (1 + H1-26 y/y + calibration Δ))</t>
        </is>
      </c>
      <c r="CN19" s="25" t="inlineStr">
        <is>
          <t xml:space="preserve">  Q3/Q4-26E investment income ($m per quarter)</t>
        </is>
      </c>
      <c r="CP19" s="260" t="n">
        <v>85</v>
      </c>
      <c r="CR19" s="13" t="inlineStr">
        <is>
          <t>Q2-26 $88m, Q1-26 $81m.</t>
        </is>
      </c>
    </row>
    <row r="20" ht="15" customHeight="1" s="251">
      <c r="B20" s="16" t="inlineStr">
        <is>
          <t xml:space="preserve">  Payment network net revenue</t>
        </is>
      </c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  <c r="AC20" s="43" t="n"/>
      <c r="AD20" s="43" t="n"/>
      <c r="AE20" s="43" t="n"/>
      <c r="AF20" s="43" t="n"/>
      <c r="AG20" s="43" t="n"/>
      <c r="AH20" s="43" t="n"/>
      <c r="AI20" s="43" t="n"/>
      <c r="AJ20" s="43" t="n"/>
      <c r="AK20" s="43" t="n"/>
      <c r="AL20" s="43" t="n"/>
      <c r="AM20" s="43" t="n"/>
      <c r="AN20" s="43" t="n"/>
      <c r="AO20" s="43" t="n"/>
      <c r="AP20" s="43" t="n"/>
      <c r="AQ20" s="43" t="n"/>
      <c r="AR20" s="43" t="n"/>
      <c r="AS20" s="43" t="n"/>
      <c r="AT20" s="43" t="n"/>
      <c r="AU20" s="43" t="n"/>
      <c r="AV20" s="43" t="n"/>
      <c r="AW20" s="262" t="n">
        <v>9897</v>
      </c>
      <c r="AX20" s="262" t="n">
        <v>2648</v>
      </c>
      <c r="AY20" s="262" t="n">
        <v>2875</v>
      </c>
      <c r="AZ20" s="262" t="n">
        <v>3234</v>
      </c>
      <c r="BA20" s="262" t="n">
        <v>3186</v>
      </c>
      <c r="BB20" s="262" t="n">
        <v>11943</v>
      </c>
      <c r="BC20" s="262" t="n">
        <v>3399</v>
      </c>
      <c r="BD20" s="262" t="n">
        <v>3609</v>
      </c>
      <c r="BE20" s="262" t="n">
        <v>3765</v>
      </c>
      <c r="BF20" s="262" t="n">
        <v>3585</v>
      </c>
      <c r="BG20" s="262" t="n">
        <v>14358</v>
      </c>
      <c r="BH20" s="262" t="n">
        <v>3650</v>
      </c>
      <c r="BI20" s="262" t="n">
        <v>4073</v>
      </c>
      <c r="BJ20" s="262" t="n">
        <v>4210</v>
      </c>
      <c r="BK20" s="262" t="n">
        <v>3891</v>
      </c>
      <c r="BL20" s="262" t="n">
        <v>15824</v>
      </c>
      <c r="BM20" s="262" t="n">
        <v>3920</v>
      </c>
      <c r="BN20" s="262" t="n">
        <v>4375</v>
      </c>
      <c r="BO20" s="262" t="n">
        <v>4629</v>
      </c>
      <c r="BP20" s="262" t="n">
        <v>4411</v>
      </c>
      <c r="BQ20" s="262" t="n">
        <v>17335</v>
      </c>
      <c r="BR20" s="262" t="n">
        <v>4432</v>
      </c>
      <c r="BS20" s="262" t="n">
        <v>4945</v>
      </c>
      <c r="BT20" s="262" t="n">
        <v>5179</v>
      </c>
      <c r="BU20" s="262" t="n">
        <v>4920</v>
      </c>
      <c r="BV20" s="262" t="n">
        <v>19476</v>
      </c>
      <c r="BW20" s="262" t="n">
        <v>4948</v>
      </c>
      <c r="BX20" s="262" t="n">
        <v>5451</v>
      </c>
      <c r="BY20" s="263">
        <f>BT20*(1+BY21)</f>
        <v>5591.30509578703</v>
      </c>
      <c r="BZ20" s="263">
        <f>BU20*(1+BZ21)</f>
        <v>5311.68586045032</v>
      </c>
      <c r="CA20" s="263">
        <f>SUM(BW20:BZ20)</f>
        <v>21301.9909562373</v>
      </c>
      <c r="CB20" s="263">
        <f>CB11*CB23/10</f>
        <v>23459.3500903303</v>
      </c>
      <c r="CC20" s="263">
        <f>CC11*CC23/10</f>
        <v>25716.13956902</v>
      </c>
      <c r="CD20" s="263">
        <f>CD11*CD23/10</f>
        <v>28051.1650418871</v>
      </c>
      <c r="CE20" s="263">
        <f>CE11*CE23/10</f>
        <v>30456.5524442289</v>
      </c>
      <c r="CF20" s="153" t="inlineStr">
        <is>
          <t>10-Q / 10-K revenue tables (current presentation from the FY2022 10-K; FY2020–21 and 2021–22 quarters from the next filings' comparatives, Q4 = FY − 9M). Before 2020 net revenue is not split this way (legacy categories in memo below).</t>
        </is>
      </c>
      <c r="CH20" s="20">
        <f>IFERROR((CE20/BV20)^(1/5)-1,"n/m")</f>
        <v>0.0935438314235644</v>
      </c>
      <c r="CI20" s="20">
        <f>IFERROR((BV20/AW20)^(1/5)-1,"n/m")</f>
        <v>0.144983528692323</v>
      </c>
      <c r="CJ20" s="20" t="str">
        <f>IFERROR((BV20/X20)^(1/10)-1,"n/m")</f>
        <v>n/m</v>
      </c>
      <c r="CK20" s="20" t="str">
        <f>IFERROR((BV20/C20)^(1/19)-1,"n/m")</f>
        <v>n/m</v>
      </c>
      <c r="CN20" s="25" t="inlineStr">
        <is>
          <t xml:space="preserve">  Q3/Q4-26E interest expense ($m per quarter)</t>
        </is>
      </c>
      <c r="CP20" s="260" t="n">
        <v>255</v>
      </c>
      <c r="CR20" s="13" t="inlineStr">
        <is>
          <t>Q2-26 $218m; + a full quarter of the $5.0bn June-2026 notes (~4.5%, ~$55m) less the Nov-2026 $750m maturity.</t>
        </is>
      </c>
    </row>
    <row r="21" ht="15" customHeight="1" s="251">
      <c r="B21" s="22" t="inlineStr">
        <is>
          <t xml:space="preserve">    y/y %</t>
        </is>
      </c>
      <c r="C21" s="23" t="n"/>
      <c r="D21" s="258">
        <f>IF(AND(ISNUMBER(D20),ISNUMBER(C20)),IFERROR(D20/C20-1,""),"")</f>
      </c>
      <c r="E21" s="258">
        <f>IF(AND(ISNUMBER(E20),ISNUMBER(D20)),IFERROR(E20/D20-1,""),"")</f>
      </c>
      <c r="F21" s="258">
        <f>IF(AND(ISNUMBER(F20),ISNUMBER(E20)),IFERROR(F20/E20-1,""),"")</f>
      </c>
      <c r="G21" s="258">
        <f>IF(AND(ISNUMBER(G20),ISNUMBER(F20)),IFERROR(G20/F20-1,""),"")</f>
      </c>
      <c r="H21" s="258">
        <f>IF(AND(ISNUMBER(H20),ISNUMBER(G20)),IFERROR(H20/G20-1,""),"")</f>
      </c>
      <c r="I21" s="258">
        <f>IF(AND(ISNUMBER(I20),ISNUMBER(H20)),IFERROR(I20/H20-1,""),"")</f>
      </c>
      <c r="J21" s="23" t="n"/>
      <c r="K21" s="23" t="n"/>
      <c r="L21" s="23" t="n"/>
      <c r="M21" s="23" t="n"/>
      <c r="N21" s="258">
        <f>IF(AND(ISNUMBER(N20),ISNUMBER(I20)),IFERROR(N20/I20-1,""),"")</f>
      </c>
      <c r="O21" s="258">
        <f>IF(AND(ISNUMBER(O20),ISNUMBER(J20)),IFERROR(O20/J20-1,""),"")</f>
      </c>
      <c r="P21" s="258">
        <f>IF(AND(ISNUMBER(P20),ISNUMBER(K20)),IFERROR(P20/K20-1,""),"")</f>
      </c>
      <c r="Q21" s="258">
        <f>IF(AND(ISNUMBER(Q20),ISNUMBER(L20)),IFERROR(Q20/L20-1,""),"")</f>
      </c>
      <c r="R21" s="258">
        <f>IF(AND(ISNUMBER(R20),ISNUMBER(M20)),IFERROR(R20/M20-1,""),"")</f>
      </c>
      <c r="S21" s="258">
        <f>IF(AND(ISNUMBER(S20),ISNUMBER(N20)),IFERROR(S20/N20-1,""),"")</f>
      </c>
      <c r="T21" s="258">
        <f>IF(AND(ISNUMBER(T20),ISNUMBER(O20)),IFERROR(T20/O20-1,""),"")</f>
      </c>
      <c r="U21" s="258">
        <f>IF(AND(ISNUMBER(U20),ISNUMBER(P20)),IFERROR(U20/P20-1,""),"")</f>
      </c>
      <c r="V21" s="258">
        <f>IF(AND(ISNUMBER(V20),ISNUMBER(Q20)),IFERROR(V20/Q20-1,""),"")</f>
      </c>
      <c r="W21" s="258">
        <f>IF(AND(ISNUMBER(W20),ISNUMBER(R20)),IFERROR(W20/R20-1,""),"")</f>
      </c>
      <c r="X21" s="258">
        <f>IF(AND(ISNUMBER(X20),ISNUMBER(S20)),IFERROR(X20/S20-1,""),"")</f>
      </c>
      <c r="Y21" s="258">
        <f>IF(AND(ISNUMBER(Y20),ISNUMBER(T20)),IFERROR(Y20/T20-1,""),"")</f>
      </c>
      <c r="Z21" s="258">
        <f>IF(AND(ISNUMBER(Z20),ISNUMBER(U20)),IFERROR(Z20/U20-1,""),"")</f>
      </c>
      <c r="AA21" s="258">
        <f>IF(AND(ISNUMBER(AA20),ISNUMBER(V20)),IFERROR(AA20/V20-1,""),"")</f>
      </c>
      <c r="AB21" s="258">
        <f>IF(AND(ISNUMBER(AB20),ISNUMBER(W20)),IFERROR(AB20/W20-1,""),"")</f>
      </c>
      <c r="AC21" s="258">
        <f>IF(AND(ISNUMBER(AC20),ISNUMBER(X20)),IFERROR(AC20/X20-1,""),"")</f>
      </c>
      <c r="AD21" s="258">
        <f>IF(AND(ISNUMBER(AD20),ISNUMBER(Y20)),IFERROR(AD20/Y20-1,""),"")</f>
      </c>
      <c r="AE21" s="258">
        <f>IF(AND(ISNUMBER(AE20),ISNUMBER(Z20)),IFERROR(AE20/Z20-1,""),"")</f>
      </c>
      <c r="AF21" s="258">
        <f>IF(AND(ISNUMBER(AF20),ISNUMBER(AA20)),IFERROR(AF20/AA20-1,""),"")</f>
      </c>
      <c r="AG21" s="258">
        <f>IF(AND(ISNUMBER(AG20),ISNUMBER(AB20)),IFERROR(AG20/AB20-1,""),"")</f>
      </c>
      <c r="AH21" s="258">
        <f>IF(AND(ISNUMBER(AH20),ISNUMBER(AC20)),IFERROR(AH20/AC20-1,""),"")</f>
      </c>
      <c r="AI21" s="258">
        <f>IF(AND(ISNUMBER(AI20),ISNUMBER(AD20)),IFERROR(AI20/AD20-1,""),"")</f>
      </c>
      <c r="AJ21" s="258">
        <f>IF(AND(ISNUMBER(AJ20),ISNUMBER(AE20)),IFERROR(AJ20/AE20-1,""),"")</f>
      </c>
      <c r="AK21" s="258">
        <f>IF(AND(ISNUMBER(AK20),ISNUMBER(AF20)),IFERROR(AK20/AF20-1,""),"")</f>
      </c>
      <c r="AL21" s="258">
        <f>IF(AND(ISNUMBER(AL20),ISNUMBER(AG20)),IFERROR(AL20/AG20-1,""),"")</f>
      </c>
      <c r="AM21" s="258">
        <f>IF(AND(ISNUMBER(AM20),ISNUMBER(AH20)),IFERROR(AM20/AH20-1,""),"")</f>
      </c>
      <c r="AN21" s="258">
        <f>IF(AND(ISNUMBER(AN20),ISNUMBER(AI20)),IFERROR(AN20/AI20-1,""),"")</f>
      </c>
      <c r="AO21" s="258">
        <f>IF(AND(ISNUMBER(AO20),ISNUMBER(AJ20)),IFERROR(AO20/AJ20-1,""),"")</f>
      </c>
      <c r="AP21" s="258">
        <f>IF(AND(ISNUMBER(AP20),ISNUMBER(AK20)),IFERROR(AP20/AK20-1,""),"")</f>
      </c>
      <c r="AQ21" s="258">
        <f>IF(AND(ISNUMBER(AQ20),ISNUMBER(AL20)),IFERROR(AQ20/AL20-1,""),"")</f>
      </c>
      <c r="AR21" s="258">
        <f>IF(AND(ISNUMBER(AR20),ISNUMBER(AM20)),IFERROR(AR20/AM20-1,""),"")</f>
      </c>
      <c r="AS21" s="258">
        <f>IF(AND(ISNUMBER(AS20),ISNUMBER(AN20)),IFERROR(AS20/AN20-1,""),"")</f>
      </c>
      <c r="AT21" s="258">
        <f>IF(AND(ISNUMBER(AT20),ISNUMBER(AO20)),IFERROR(AT20/AO20-1,""),"")</f>
      </c>
      <c r="AU21" s="258">
        <f>IF(AND(ISNUMBER(AU20),ISNUMBER(AP20)),IFERROR(AU20/AP20-1,""),"")</f>
      </c>
      <c r="AV21" s="258">
        <f>IF(AND(ISNUMBER(AV20),ISNUMBER(AQ20)),IFERROR(AV20/AQ20-1,""),"")</f>
      </c>
      <c r="AW21" s="258">
        <f>IF(AND(ISNUMBER(AW20),ISNUMBER(AR20)),IFERROR(AW20/AR20-1,""),"")</f>
      </c>
      <c r="AX21" s="258">
        <f>IF(AND(ISNUMBER(AX20),ISNUMBER(AS20)),IFERROR(AX20/AS20-1,""),"")</f>
      </c>
      <c r="AY21" s="258">
        <f>IF(AND(ISNUMBER(AY20),ISNUMBER(AT20)),IFERROR(AY20/AT20-1,""),"")</f>
      </c>
      <c r="AZ21" s="258">
        <f>IF(AND(ISNUMBER(AZ20),ISNUMBER(AU20)),IFERROR(AZ20/AU20-1,""),"")</f>
      </c>
      <c r="BA21" s="258">
        <f>IF(AND(ISNUMBER(BA20),ISNUMBER(AV20)),IFERROR(BA20/AV20-1,""),"")</f>
      </c>
      <c r="BB21" s="258">
        <f>IF(AND(ISNUMBER(BB20),ISNUMBER(AW20)),IFERROR(BB20/AW20-1,""),"")</f>
        <v>0.206729311912701</v>
      </c>
      <c r="BC21" s="258">
        <f>IF(AND(ISNUMBER(BC20),ISNUMBER(AX20)),IFERROR(BC20/AX20-1,""),"")</f>
        <v>0.283610271903323</v>
      </c>
      <c r="BD21" s="258">
        <f>IF(AND(ISNUMBER(BD20),ISNUMBER(AY20)),IFERROR(BD20/AY20-1,""),"")</f>
        <v>0.255304347826087</v>
      </c>
      <c r="BE21" s="258">
        <f>IF(AND(ISNUMBER(BE20),ISNUMBER(AZ20)),IFERROR(BE20/AZ20-1,""),"")</f>
        <v>0.164192949907236</v>
      </c>
      <c r="BF21" s="258">
        <f>IF(AND(ISNUMBER(BF20),ISNUMBER(BA20)),IFERROR(BF20/BA20-1,""),"")</f>
        <v>0.125235404896422</v>
      </c>
      <c r="BG21" s="258">
        <f>IF(AND(ISNUMBER(BG20),ISNUMBER(BB20)),IFERROR(BG20/BB20-1,""),"")</f>
        <v>0.202210499874403</v>
      </c>
      <c r="BH21" s="258">
        <f>IF(AND(ISNUMBER(BH20),ISNUMBER(BC20)),IFERROR(BH20/BC20-1,""),"")</f>
        <v>0.0738452486025301</v>
      </c>
      <c r="BI21" s="258">
        <f>IF(AND(ISNUMBER(BI20),ISNUMBER(BD20)),IFERROR(BI20/BD20-1,""),"")</f>
        <v>0.128567470213355</v>
      </c>
      <c r="BJ21" s="258">
        <f>IF(AND(ISNUMBER(BJ20),ISNUMBER(BE20)),IFERROR(BJ20/BE20-1,""),"")</f>
        <v>0.118193891102258</v>
      </c>
      <c r="BK21" s="258">
        <f>IF(AND(ISNUMBER(BK20),ISNUMBER(BF20)),IFERROR(BK20/BF20-1,""),"")</f>
        <v>0.0853556485355649</v>
      </c>
      <c r="BL21" s="258">
        <f>IF(AND(ISNUMBER(BL20),ISNUMBER(BG20)),IFERROR(BL20/BG20-1,""),"")</f>
        <v>0.102103357013512</v>
      </c>
      <c r="BM21" s="258">
        <f>IF(AND(ISNUMBER(BM20),ISNUMBER(BH20)),IFERROR(BM20/BH20-1,""),"")</f>
        <v>0.0739726027397261</v>
      </c>
      <c r="BN21" s="258">
        <f>IF(AND(ISNUMBER(BN20),ISNUMBER(BI20)),IFERROR(BN20/BI20-1,""),"")</f>
        <v>0.0741468205254112</v>
      </c>
      <c r="BO21" s="258">
        <f>IF(AND(ISNUMBER(BO20),ISNUMBER(BJ20)),IFERROR(BO20/BJ20-1,""),"")</f>
        <v>0.0995249406175771</v>
      </c>
      <c r="BP21" s="258">
        <f>IF(AND(ISNUMBER(BP20),ISNUMBER(BK20)),IFERROR(BP20/BK20-1,""),"")</f>
        <v>0.133641737342586</v>
      </c>
      <c r="BQ21" s="258">
        <f>IF(AND(ISNUMBER(BQ20),ISNUMBER(BL20)),IFERROR(BQ20/BL20-1,""),"")</f>
        <v>0.0954878665318504</v>
      </c>
      <c r="BR21" s="258">
        <f>IF(AND(ISNUMBER(BR20),ISNUMBER(BM20)),IFERROR(BR20/BM20-1,""),"")</f>
        <v>0.130612244897959</v>
      </c>
      <c r="BS21" s="258">
        <f>IF(AND(ISNUMBER(BS20),ISNUMBER(BN20)),IFERROR(BS20/BN20-1,""),"")</f>
        <v>0.130285714285714</v>
      </c>
      <c r="BT21" s="258">
        <f>IF(AND(ISNUMBER(BT20),ISNUMBER(BO20)),IFERROR(BT20/BO20-1,""),"")</f>
        <v>0.118816158997624</v>
      </c>
      <c r="BU21" s="258">
        <f>IF(AND(ISNUMBER(BU20),ISNUMBER(BP20)),IFERROR(BU20/BP20-1,""),"")</f>
        <v>0.115393334844706</v>
      </c>
      <c r="BV21" s="258">
        <f>IF(AND(ISNUMBER(BV20),ISNUMBER(BQ20)),IFERROR(BV20/BQ20-1,""),"")</f>
        <v>0.123507355062013</v>
      </c>
      <c r="BW21" s="258">
        <f>IF(AND(ISNUMBER(BW20),ISNUMBER(BR20)),IFERROR(BW20/BR20-1,""),"")</f>
        <v>0.116425992779784</v>
      </c>
      <c r="BX21" s="258">
        <f>IF(AND(ISNUMBER(BX20),ISNUMBER(BS20)),IFERROR(BX20/BS20-1,""),"")</f>
        <v>0.102325581395349</v>
      </c>
      <c r="BY21" s="256">
        <f>BY22+$CA$95</f>
        <v>0.0796109472459993</v>
      </c>
      <c r="BZ21" s="256">
        <f>BZ22+$CA$95</f>
        <v>0.0796109472459993</v>
      </c>
      <c r="CA21" s="256">
        <f>IF(AND(ISNUMBER(CA20),ISNUMBER(BV20)),IFERROR(CA20/BV20-1,""),"")</f>
        <v>0.0937559538014658</v>
      </c>
      <c r="CB21" s="256">
        <f>IF(AND(ISNUMBER(CB20),ISNUMBER(CA20)),IFERROR(CB20/CA20-1,""),"")</f>
        <v>0.101275</v>
      </c>
      <c r="CC21" s="256">
        <f>IF(AND(ISNUMBER(CC20),ISNUMBER(CB20)),IFERROR(CC20/CB20-1,""),"")</f>
        <v>0.0961999999999998</v>
      </c>
      <c r="CD21" s="256">
        <f>IF(AND(ISNUMBER(CD20),ISNUMBER(CC20)),IFERROR(CD20/CC20-1,""),"")</f>
        <v>0.0908</v>
      </c>
      <c r="CE21" s="256">
        <f>IF(AND(ISNUMBER(CE20),ISNUMBER(CD20)),IFERROR(CE20/CD20-1,""),"")</f>
        <v>0.08575</v>
      </c>
      <c r="CF21" s="153" t="inlineStr">
        <is>
          <t>Q3/Q4-26E: H1-26 y/y growth + net revenue calibration Δ (Group block).</t>
        </is>
      </c>
      <c r="CN21" s="25" t="inlineStr">
        <is>
          <t xml:space="preserve">  Q3/Q4-26E other income (expense), net ($m per quarter)</t>
        </is>
      </c>
      <c r="CP21" s="260" t="n">
        <v>45</v>
      </c>
      <c r="CR21" s="13" t="inlineStr">
        <is>
          <t>Set so total other income (expense) ≈ −$125m in Q3 (85 − 255 + 45), per the UNVERIFIED call guidance; H1-26 $106m incl. government grants.</t>
        </is>
      </c>
    </row>
    <row r="22" ht="15" customHeight="1" s="251">
      <c r="B22" s="25" t="inlineStr">
        <is>
          <t xml:space="preserve">    Q3/Q4-26E growth before revenue calibration (H1-26 y/y)</t>
        </is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  <c r="BE22" s="36" t="n"/>
      <c r="BF22" s="36" t="n"/>
      <c r="BG22" s="36" t="n"/>
      <c r="BH22" s="36" t="n"/>
      <c r="BI22" s="36" t="n"/>
      <c r="BJ22" s="36" t="n"/>
      <c r="BK22" s="36" t="n"/>
      <c r="BL22" s="36" t="n"/>
      <c r="BM22" s="36" t="n"/>
      <c r="BN22" s="36" t="n"/>
      <c r="BO22" s="36" t="n"/>
      <c r="BP22" s="36" t="n"/>
      <c r="BQ22" s="36" t="n"/>
      <c r="BR22" s="36" t="n"/>
      <c r="BS22" s="36" t="n"/>
      <c r="BT22" s="36" t="n"/>
      <c r="BU22" s="36" t="n"/>
      <c r="BV22" s="36" t="n"/>
      <c r="BW22" s="36" t="n"/>
      <c r="BX22" s="36" t="n"/>
      <c r="BY22" s="256">
        <f>IFERROR(SUM(BW20:BX20)/SUM(BR20:BS20)-1,0)</f>
        <v>0.108990082115815</v>
      </c>
      <c r="BZ22" s="256">
        <f>IFERROR(SUM(BW20:BX20)/SUM(BR20:BS20)-1,0)</f>
        <v>0.108990082115815</v>
      </c>
      <c r="CA22" s="24" t="n"/>
      <c r="CB22" s="46" t="n"/>
      <c r="CC22" s="46" t="n"/>
      <c r="CD22" s="46" t="n"/>
      <c r="CE22" s="46" t="n"/>
      <c r="CF22" s="19" t="n"/>
      <c r="CN22" s="25" t="inlineStr">
        <is>
          <t xml:space="preserve">  Q3/Q4-26E tax rate (GAAP &amp; adjusted)</t>
        </is>
      </c>
      <c r="CP22" s="257" t="n">
        <v>0.205</v>
      </c>
      <c r="CR22" s="13" t="inlineStr">
        <is>
          <t>Non-GAAP tax rate guided 20–21% for Q3 and Q4 (UNVERIFIED); H1-26 19.7%.</t>
        </is>
      </c>
    </row>
    <row r="23" ht="15" customHeight="1" s="251">
      <c r="B23" s="25" t="inlineStr">
        <is>
          <t xml:space="preserve">  Payment network yield (net revenue ÷ GDV, bps)</t>
        </is>
      </c>
      <c r="C23" s="264">
        <f>IF(AND(ISNUMBER(C20),ISNUMBER(C11)),IFERROR(C20/C11*10,""),"")</f>
      </c>
      <c r="D23" s="264">
        <f>IF(AND(ISNUMBER(D20),ISNUMBER(D11)),IFERROR(D20/D11*10,""),"")</f>
      </c>
      <c r="E23" s="264">
        <f>IF(AND(ISNUMBER(E20),ISNUMBER(E11)),IFERROR(E20/E11*10,""),"")</f>
      </c>
      <c r="F23" s="264">
        <f>IF(AND(ISNUMBER(F20),ISNUMBER(F11)),IFERROR(F20/F11*10,""),"")</f>
      </c>
      <c r="G23" s="264">
        <f>IF(AND(ISNUMBER(G20),ISNUMBER(G11)),IFERROR(G20/G11*10,""),"")</f>
      </c>
      <c r="H23" s="264">
        <f>IF(AND(ISNUMBER(H20),ISNUMBER(H11)),IFERROR(H20/H11*10,""),"")</f>
      </c>
      <c r="I23" s="264">
        <f>IF(AND(ISNUMBER(I20),ISNUMBER(I11)),IFERROR(I20/I11*10,""),"")</f>
      </c>
      <c r="J23" s="264">
        <f>IF(AND(ISNUMBER(J20),ISNUMBER(J11)),IFERROR(J20/J11*10,""),"")</f>
      </c>
      <c r="K23" s="264">
        <f>IF(AND(ISNUMBER(K20),ISNUMBER(K11)),IFERROR(K20/K11*10,""),"")</f>
      </c>
      <c r="L23" s="264">
        <f>IF(AND(ISNUMBER(L20),ISNUMBER(L11)),IFERROR(L20/L11*10,""),"")</f>
      </c>
      <c r="M23" s="264">
        <f>IF(AND(ISNUMBER(M20),ISNUMBER(M11)),IFERROR(M20/M11*10,""),"")</f>
      </c>
      <c r="N23" s="264">
        <f>IF(AND(ISNUMBER(N20),ISNUMBER(N11)),IFERROR(N20/N11*10,""),"")</f>
      </c>
      <c r="O23" s="264">
        <f>IF(AND(ISNUMBER(O20),ISNUMBER(O11)),IFERROR(O20/O11*10,""),"")</f>
      </c>
      <c r="P23" s="264">
        <f>IF(AND(ISNUMBER(P20),ISNUMBER(P11)),IFERROR(P20/P11*10,""),"")</f>
      </c>
      <c r="Q23" s="264">
        <f>IF(AND(ISNUMBER(Q20),ISNUMBER(Q11)),IFERROR(Q20/Q11*10,""),"")</f>
      </c>
      <c r="R23" s="264">
        <f>IF(AND(ISNUMBER(R20),ISNUMBER(R11)),IFERROR(R20/R11*10,""),"")</f>
      </c>
      <c r="S23" s="264">
        <f>IF(AND(ISNUMBER(S20),ISNUMBER(S11)),IFERROR(S20/S11*10,""),"")</f>
      </c>
      <c r="T23" s="264">
        <f>IF(AND(ISNUMBER(T20),ISNUMBER(T11)),IFERROR(T20/T11*10,""),"")</f>
      </c>
      <c r="U23" s="264">
        <f>IF(AND(ISNUMBER(U20),ISNUMBER(U11)),IFERROR(U20/U11*10,""),"")</f>
      </c>
      <c r="V23" s="264">
        <f>IF(AND(ISNUMBER(V20),ISNUMBER(V11)),IFERROR(V20/V11*10,""),"")</f>
      </c>
      <c r="W23" s="264">
        <f>IF(AND(ISNUMBER(W20),ISNUMBER(W11)),IFERROR(W20/W11*10,""),"")</f>
      </c>
      <c r="X23" s="264">
        <f>IF(AND(ISNUMBER(X20),ISNUMBER(X11)),IFERROR(X20/X11*10,""),"")</f>
      </c>
      <c r="Y23" s="264">
        <f>IF(AND(ISNUMBER(Y20),ISNUMBER(Y11)),IFERROR(Y20/Y11*10,""),"")</f>
      </c>
      <c r="Z23" s="264">
        <f>IF(AND(ISNUMBER(Z20),ISNUMBER(Z11)),IFERROR(Z20/Z11*10,""),"")</f>
      </c>
      <c r="AA23" s="264">
        <f>IF(AND(ISNUMBER(AA20),ISNUMBER(AA11)),IFERROR(AA20/AA11*10,""),"")</f>
      </c>
      <c r="AB23" s="264">
        <f>IF(AND(ISNUMBER(AB20),ISNUMBER(AB11)),IFERROR(AB20/AB11*10,""),"")</f>
      </c>
      <c r="AC23" s="264">
        <f>IF(AND(ISNUMBER(AC20),ISNUMBER(AC11)),IFERROR(AC20/AC11*10,""),"")</f>
      </c>
      <c r="AD23" s="264">
        <f>IF(AND(ISNUMBER(AD20),ISNUMBER(AD11)),IFERROR(AD20/AD11*10,""),"")</f>
      </c>
      <c r="AE23" s="264">
        <f>IF(AND(ISNUMBER(AE20),ISNUMBER(AE11)),IFERROR(AE20/AE11*10,""),"")</f>
      </c>
      <c r="AF23" s="264">
        <f>IF(AND(ISNUMBER(AF20),ISNUMBER(AF11)),IFERROR(AF20/AF11*10,""),"")</f>
      </c>
      <c r="AG23" s="264">
        <f>IF(AND(ISNUMBER(AG20),ISNUMBER(AG11)),IFERROR(AG20/AG11*10,""),"")</f>
      </c>
      <c r="AH23" s="264">
        <f>IF(AND(ISNUMBER(AH20),ISNUMBER(AH11)),IFERROR(AH20/AH11*10,""),"")</f>
      </c>
      <c r="AI23" s="264">
        <f>IF(AND(ISNUMBER(AI20),ISNUMBER(AI11)),IFERROR(AI20/AI11*10,""),"")</f>
      </c>
      <c r="AJ23" s="264">
        <f>IF(AND(ISNUMBER(AJ20),ISNUMBER(AJ11)),IFERROR(AJ20/AJ11*10,""),"")</f>
      </c>
      <c r="AK23" s="264">
        <f>IF(AND(ISNUMBER(AK20),ISNUMBER(AK11)),IFERROR(AK20/AK11*10,""),"")</f>
      </c>
      <c r="AL23" s="264">
        <f>IF(AND(ISNUMBER(AL20),ISNUMBER(AL11)),IFERROR(AL20/AL11*10,""),"")</f>
      </c>
      <c r="AM23" s="264">
        <f>IF(AND(ISNUMBER(AM20),ISNUMBER(AM11)),IFERROR(AM20/AM11*10,""),"")</f>
      </c>
      <c r="AN23" s="264">
        <f>IF(AND(ISNUMBER(AN20),ISNUMBER(AN11)),IFERROR(AN20/AN11*10,""),"")</f>
      </c>
      <c r="AO23" s="264">
        <f>IF(AND(ISNUMBER(AO20),ISNUMBER(AO11)),IFERROR(AO20/AO11*10,""),"")</f>
      </c>
      <c r="AP23" s="264">
        <f>IF(AND(ISNUMBER(AP20),ISNUMBER(AP11)),IFERROR(AP20/AP11*10,""),"")</f>
      </c>
      <c r="AQ23" s="264">
        <f>IF(AND(ISNUMBER(AQ20),ISNUMBER(AQ11)),IFERROR(AQ20/AQ11*10,""),"")</f>
      </c>
      <c r="AR23" s="264">
        <f>IF(AND(ISNUMBER(AR20),ISNUMBER(AR11)),IFERROR(AR20/AR11*10,""),"")</f>
      </c>
      <c r="AS23" s="264">
        <f>IF(AND(ISNUMBER(AS20),ISNUMBER(AS11)),IFERROR(AS20/AS11*10,""),"")</f>
      </c>
      <c r="AT23" s="264">
        <f>IF(AND(ISNUMBER(AT20),ISNUMBER(AT11)),IFERROR(AT20/AT11*10,""),"")</f>
      </c>
      <c r="AU23" s="264">
        <f>IF(AND(ISNUMBER(AU20),ISNUMBER(AU11)),IFERROR(AU20/AU11*10,""),"")</f>
      </c>
      <c r="AV23" s="264">
        <f>IF(AND(ISNUMBER(AV20),ISNUMBER(AV11)),IFERROR(AV20/AV11*10,""),"")</f>
      </c>
      <c r="AW23" s="264">
        <f>IF(AND(ISNUMBER(AW20),ISNUMBER(AW11)),IFERROR(AW20/AW11*10,""),"")</f>
        <v>15.6178002209247</v>
      </c>
      <c r="AX23" s="264">
        <f>IF(AND(ISNUMBER(AX20),ISNUMBER(AX11)),IFERROR(AX20/AX11*10,""),"")</f>
        <v>15.4763296317943</v>
      </c>
      <c r="AY23" s="264">
        <f>IF(AND(ISNUMBER(AY20),ISNUMBER(AY11)),IFERROR(AY20/AY11*10,""),"")</f>
        <v>15.0997899159664</v>
      </c>
      <c r="AZ23" s="264">
        <f>IF(AND(ISNUMBER(AZ20),ISNUMBER(AZ11)),IFERROR(AZ20/AZ11*10,""),"")</f>
        <v>16.2267937782238</v>
      </c>
      <c r="BA23" s="264">
        <f>IF(AND(ISNUMBER(BA20),ISNUMBER(BA11)),IFERROR(BA20/BA11*10,""),"")</f>
        <v>15.0780880265026</v>
      </c>
      <c r="BB23" s="264">
        <f>IF(AND(ISNUMBER(BB20),ISNUMBER(BB11)),IFERROR(BB20/BB11*10,""),"")</f>
        <v>15.470207253886</v>
      </c>
      <c r="BC23" s="264">
        <f>IF(AND(ISNUMBER(BC20),ISNUMBER(BC11)),IFERROR(BC20/BC11*10,""),"")</f>
        <v>17.7123501823867</v>
      </c>
      <c r="BD23" s="264">
        <f>IF(AND(ISNUMBER(BD20),ISNUMBER(BD11)),IFERROR(BD20/BD11*10,""),"")</f>
        <v>17.570593962999</v>
      </c>
      <c r="BE23" s="264">
        <f>IF(AND(ISNUMBER(BE20),ISNUMBER(BE11)),IFERROR(BE20/BE11*10,""),"")</f>
        <v>18.1971967133881</v>
      </c>
      <c r="BF23" s="264">
        <f>IF(AND(ISNUMBER(BF20),ISNUMBER(BF11)),IFERROR(BF20/BF11*10,""),"")</f>
        <v>16.8073136427567</v>
      </c>
      <c r="BG23" s="264">
        <f>IF(AND(ISNUMBER(BG20),ISNUMBER(BG11)),IFERROR(BG20/BG11*10,""),"")</f>
        <v>17.5590069707717</v>
      </c>
      <c r="BH23" s="264">
        <f>IF(AND(ISNUMBER(BH20),ISNUMBER(BH11)),IFERROR(BH20/BH11*10,""),"")</f>
        <v>17.314990512334</v>
      </c>
      <c r="BI23" s="264">
        <f>IF(AND(ISNUMBER(BI20),ISNUMBER(BI11)),IFERROR(BI20/BI11*10,""),"")</f>
        <v>17.9664755183061</v>
      </c>
      <c r="BJ23" s="264">
        <f>IF(AND(ISNUMBER(BJ20),ISNUMBER(BJ11)),IFERROR(BJ20/BJ11*10,""),"")</f>
        <v>18.2646420824295</v>
      </c>
      <c r="BK23" s="264">
        <f>IF(AND(ISNUMBER(BK20),ISNUMBER(BK11)),IFERROR(BK20/BK11*10,""),"")</f>
        <v>16.5433673469388</v>
      </c>
      <c r="BL23" s="264">
        <f>IF(AND(ISNUMBER(BL20),ISNUMBER(BL11)),IFERROR(BL20/BL11*10,""),"")</f>
        <v>17.5238095238095</v>
      </c>
      <c r="BM23" s="264">
        <f>IF(AND(ISNUMBER(BM20),ISNUMBER(BM11)),IFERROR(BM20/BM11*10,""),"")</f>
        <v>17.117903930131</v>
      </c>
      <c r="BN23" s="264">
        <f>IF(AND(ISNUMBER(BN20),ISNUMBER(BN11)),IFERROR(BN20/BN11*10,""),"")</f>
        <v>18.2064086558469</v>
      </c>
      <c r="BO23" s="264">
        <f>IF(AND(ISNUMBER(BO20),ISNUMBER(BO11)),IFERROR(BO20/BO11*10,""),"")</f>
        <v>18.5011990407674</v>
      </c>
      <c r="BP23" s="264">
        <f>IF(AND(ISNUMBER(BP20),ISNUMBER(BP11)),IFERROR(BP20/BP11*10,""),"")</f>
        <v>17.2237407262788</v>
      </c>
      <c r="BQ23" s="264">
        <f>IF(AND(ISNUMBER(BQ20),ISNUMBER(BQ11)),IFERROR(BQ20/BQ11*10,""),"")</f>
        <v>17.7667315773291</v>
      </c>
      <c r="BR23" s="264">
        <f>IF(AND(ISNUMBER(BR20),ISNUMBER(BR11)),IFERROR(BR20/BR11*10,""),"")</f>
        <v>18.3367811336367</v>
      </c>
      <c r="BS23" s="264">
        <f>IF(AND(ISNUMBER(BS20),ISNUMBER(BS11)),IFERROR(BS20/BS11*10,""),"")</f>
        <v>18.7951349296845</v>
      </c>
      <c r="BT23" s="264">
        <f>IF(AND(ISNUMBER(BT20),ISNUMBER(BT11)),IFERROR(BT20/BT11*10,""),"")</f>
        <v>18.8532945030943</v>
      </c>
      <c r="BU23" s="264">
        <f>IF(AND(ISNUMBER(BU20),ISNUMBER(BU11)),IFERROR(BU20/BU11*10,""),"")</f>
        <v>17.4529975168499</v>
      </c>
      <c r="BV23" s="264">
        <f>IF(AND(ISNUMBER(BV20),ISNUMBER(BV11)),IFERROR(BV20/BV11*10,""),"")</f>
        <v>18.3182844243792</v>
      </c>
      <c r="BW23" s="264">
        <f>IF(AND(ISNUMBER(BW20),ISNUMBER(BW11)),IFERROR(BW20/BW11*10,""),"")</f>
        <v>18.3055863854976</v>
      </c>
      <c r="BX23" s="264">
        <f>IF(AND(ISNUMBER(BX20),ISNUMBER(BX11)),IFERROR(BX20/BX11*10,""),"")</f>
        <v>18.9205137105172</v>
      </c>
      <c r="BY23" s="265">
        <f>IF(AND(ISNUMBER(BY20),ISNUMBER(BY11)),IFERROR(BY20/BY11*10,""),"")</f>
        <v>18.8137095638329</v>
      </c>
      <c r="BZ23" s="265">
        <f>IF(AND(ISNUMBER(BZ20),ISNUMBER(BZ11)),IFERROR(BZ20/BZ11*10,""),"")</f>
        <v>17.503434446306</v>
      </c>
      <c r="CA23" s="265">
        <f>IF(AND(ISNUMBER(CA20),ISNUMBER(CA11)),IFERROR(CA20/CA11*10,""),"")</f>
        <v>18.3787025909883</v>
      </c>
      <c r="CB23" s="265">
        <f>CA23*(1+CB24)</f>
        <v>18.6543831298531</v>
      </c>
      <c r="CC23" s="265">
        <f>CB23*(1+CC24)</f>
        <v>18.9341988768009</v>
      </c>
      <c r="CD23" s="265">
        <f>CC23*(1+CD24)</f>
        <v>19.1235408655689</v>
      </c>
      <c r="CE23" s="265">
        <f>CD23*(1+CE24)</f>
        <v>19.3147762742246</v>
      </c>
      <c r="CF23" s="153" t="inlineStr">
        <is>
          <t>bps of GDV (USD m ÷ USD bn × 10). Mix of cross-border (higher yield), switching, pricing, less rebates &amp; incentives on new and renewed deals. 2027E+: prior year × (1 + yield change lever).</t>
        </is>
      </c>
      <c r="CH23" s="37">
        <f>IFERROR(AVERAGE(CA23,CB23,CC23,CD23,CE23),"n/m")</f>
        <v>18.8811203474872</v>
      </c>
      <c r="CI23" s="37">
        <f>IFERROR(AVERAGE(BB23,BG23,BL23,BQ23,BV23),"n/m")</f>
        <v>17.3276079500351</v>
      </c>
      <c r="CJ23" s="37">
        <f>IFERROR(AVERAGE(AC23,AH23,AM23,AR23,AW23,BB23,BG23,BL23,BQ23,BV23),"n/m")</f>
        <v>17.0426399951834</v>
      </c>
      <c r="CK23" s="37">
        <f>IFERROR(AVERAGE(C23,D23,E23,F23,G23,H23,I23,N23,S23,X23,AC23,AH23,AM23,AR23,AW23,BB23,BG23,BL23,BQ23,BV23),"n/m")</f>
        <v>17.0426399951834</v>
      </c>
      <c r="CN23" s="25" t="inlineStr">
        <is>
          <t xml:space="preserve">  H2-26E capital expenditures incl. capitalized software ($m)</t>
        </is>
      </c>
      <c r="CP23" s="260" t="n">
        <v>700</v>
      </c>
      <c r="CR23" s="13" t="inlineStr">
        <is>
          <t>H1-26 $813m (property $445m, software $368m); FY2025 $1,215m.</t>
        </is>
      </c>
    </row>
    <row r="24" ht="15" customHeight="1" s="251">
      <c r="B24" s="22" t="inlineStr">
        <is>
          <t xml:space="preserve">  Payment network yield change y/y % (scenario lever 2027E+)</t>
        </is>
      </c>
      <c r="C24" s="23" t="n"/>
      <c r="D24" s="258">
        <f>IF(AND(ISNUMBER(D23),ISNUMBER(C23)),IFERROR(D23/C23-1,""),"")</f>
      </c>
      <c r="E24" s="258">
        <f>IF(AND(ISNUMBER(E23),ISNUMBER(D23)),IFERROR(E23/D23-1,""),"")</f>
      </c>
      <c r="F24" s="258">
        <f>IF(AND(ISNUMBER(F23),ISNUMBER(E23)),IFERROR(F23/E23-1,""),"")</f>
      </c>
      <c r="G24" s="258">
        <f>IF(AND(ISNUMBER(G23),ISNUMBER(F23)),IFERROR(G23/F23-1,""),"")</f>
      </c>
      <c r="H24" s="258">
        <f>IF(AND(ISNUMBER(H23),ISNUMBER(G23)),IFERROR(H23/G23-1,""),"")</f>
      </c>
      <c r="I24" s="258">
        <f>IF(AND(ISNUMBER(I23),ISNUMBER(H23)),IFERROR(I23/H23-1,""),"")</f>
      </c>
      <c r="J24" s="23" t="n"/>
      <c r="K24" s="23" t="n"/>
      <c r="L24" s="23" t="n"/>
      <c r="M24" s="23" t="n"/>
      <c r="N24" s="258">
        <f>IF(AND(ISNUMBER(N23),ISNUMBER(I23)),IFERROR(N23/I23-1,""),"")</f>
      </c>
      <c r="O24" s="258">
        <f>IF(AND(ISNUMBER(O23),ISNUMBER(J23)),IFERROR(O23/J23-1,""),"")</f>
      </c>
      <c r="P24" s="258">
        <f>IF(AND(ISNUMBER(P23),ISNUMBER(K23)),IFERROR(P23/K23-1,""),"")</f>
      </c>
      <c r="Q24" s="258">
        <f>IF(AND(ISNUMBER(Q23),ISNUMBER(L23)),IFERROR(Q23/L23-1,""),"")</f>
      </c>
      <c r="R24" s="258">
        <f>IF(AND(ISNUMBER(R23),ISNUMBER(M23)),IFERROR(R23/M23-1,""),"")</f>
      </c>
      <c r="S24" s="258">
        <f>IF(AND(ISNUMBER(S23),ISNUMBER(N23)),IFERROR(S23/N23-1,""),"")</f>
      </c>
      <c r="T24" s="258">
        <f>IF(AND(ISNUMBER(T23),ISNUMBER(O23)),IFERROR(T23/O23-1,""),"")</f>
      </c>
      <c r="U24" s="258">
        <f>IF(AND(ISNUMBER(U23),ISNUMBER(P23)),IFERROR(U23/P23-1,""),"")</f>
      </c>
      <c r="V24" s="258">
        <f>IF(AND(ISNUMBER(V23),ISNUMBER(Q23)),IFERROR(V23/Q23-1,""),"")</f>
      </c>
      <c r="W24" s="258">
        <f>IF(AND(ISNUMBER(W23),ISNUMBER(R23)),IFERROR(W23/R23-1,""),"")</f>
      </c>
      <c r="X24" s="258">
        <f>IF(AND(ISNUMBER(X23),ISNUMBER(S23)),IFERROR(X23/S23-1,""),"")</f>
      </c>
      <c r="Y24" s="258">
        <f>IF(AND(ISNUMBER(Y23),ISNUMBER(T23)),IFERROR(Y23/T23-1,""),"")</f>
      </c>
      <c r="Z24" s="258">
        <f>IF(AND(ISNUMBER(Z23),ISNUMBER(U23)),IFERROR(Z23/U23-1,""),"")</f>
      </c>
      <c r="AA24" s="258">
        <f>IF(AND(ISNUMBER(AA23),ISNUMBER(V23)),IFERROR(AA23/V23-1,""),"")</f>
      </c>
      <c r="AB24" s="258">
        <f>IF(AND(ISNUMBER(AB23),ISNUMBER(W23)),IFERROR(AB23/W23-1,""),"")</f>
      </c>
      <c r="AC24" s="258">
        <f>IF(AND(ISNUMBER(AC23),ISNUMBER(X23)),IFERROR(AC23/X23-1,""),"")</f>
      </c>
      <c r="AD24" s="258">
        <f>IF(AND(ISNUMBER(AD23),ISNUMBER(Y23)),IFERROR(AD23/Y23-1,""),"")</f>
      </c>
      <c r="AE24" s="258">
        <f>IF(AND(ISNUMBER(AE23),ISNUMBER(Z23)),IFERROR(AE23/Z23-1,""),"")</f>
      </c>
      <c r="AF24" s="258">
        <f>IF(AND(ISNUMBER(AF23),ISNUMBER(AA23)),IFERROR(AF23/AA23-1,""),"")</f>
      </c>
      <c r="AG24" s="258">
        <f>IF(AND(ISNUMBER(AG23),ISNUMBER(AB23)),IFERROR(AG23/AB23-1,""),"")</f>
      </c>
      <c r="AH24" s="258">
        <f>IF(AND(ISNUMBER(AH23),ISNUMBER(AC23)),IFERROR(AH23/AC23-1,""),"")</f>
      </c>
      <c r="AI24" s="258">
        <f>IF(AND(ISNUMBER(AI23),ISNUMBER(AD23)),IFERROR(AI23/AD23-1,""),"")</f>
      </c>
      <c r="AJ24" s="258">
        <f>IF(AND(ISNUMBER(AJ23),ISNUMBER(AE23)),IFERROR(AJ23/AE23-1,""),"")</f>
      </c>
      <c r="AK24" s="258">
        <f>IF(AND(ISNUMBER(AK23),ISNUMBER(AF23)),IFERROR(AK23/AF23-1,""),"")</f>
      </c>
      <c r="AL24" s="258">
        <f>IF(AND(ISNUMBER(AL23),ISNUMBER(AG23)),IFERROR(AL23/AG23-1,""),"")</f>
      </c>
      <c r="AM24" s="258">
        <f>IF(AND(ISNUMBER(AM23),ISNUMBER(AH23)),IFERROR(AM23/AH23-1,""),"")</f>
      </c>
      <c r="AN24" s="258">
        <f>IF(AND(ISNUMBER(AN23),ISNUMBER(AI23)),IFERROR(AN23/AI23-1,""),"")</f>
      </c>
      <c r="AO24" s="258">
        <f>IF(AND(ISNUMBER(AO23),ISNUMBER(AJ23)),IFERROR(AO23/AJ23-1,""),"")</f>
      </c>
      <c r="AP24" s="258">
        <f>IF(AND(ISNUMBER(AP23),ISNUMBER(AK23)),IFERROR(AP23/AK23-1,""),"")</f>
      </c>
      <c r="AQ24" s="258">
        <f>IF(AND(ISNUMBER(AQ23),ISNUMBER(AL23)),IFERROR(AQ23/AL23-1,""),"")</f>
      </c>
      <c r="AR24" s="258">
        <f>IF(AND(ISNUMBER(AR23),ISNUMBER(AM23)),IFERROR(AR23/AM23-1,""),"")</f>
      </c>
      <c r="AS24" s="258">
        <f>IF(AND(ISNUMBER(AS23),ISNUMBER(AN23)),IFERROR(AS23/AN23-1,""),"")</f>
      </c>
      <c r="AT24" s="258">
        <f>IF(AND(ISNUMBER(AT23),ISNUMBER(AO23)),IFERROR(AT23/AO23-1,""),"")</f>
      </c>
      <c r="AU24" s="258">
        <f>IF(AND(ISNUMBER(AU23),ISNUMBER(AP23)),IFERROR(AU23/AP23-1,""),"")</f>
      </c>
      <c r="AV24" s="258">
        <f>IF(AND(ISNUMBER(AV23),ISNUMBER(AQ23)),IFERROR(AV23/AQ23-1,""),"")</f>
      </c>
      <c r="AW24" s="258">
        <f>IF(AND(ISNUMBER(AW23),ISNUMBER(AR23)),IFERROR(AW23/AR23-1,""),"")</f>
      </c>
      <c r="AX24" s="258">
        <f>IF(AND(ISNUMBER(AX23),ISNUMBER(AS23)),IFERROR(AX23/AS23-1,""),"")</f>
      </c>
      <c r="AY24" s="258">
        <f>IF(AND(ISNUMBER(AY23),ISNUMBER(AT23)),IFERROR(AY23/AT23-1,""),"")</f>
      </c>
      <c r="AZ24" s="258">
        <f>IF(AND(ISNUMBER(AZ23),ISNUMBER(AU23)),IFERROR(AZ23/AU23-1,""),"")</f>
      </c>
      <c r="BA24" s="258">
        <f>IF(AND(ISNUMBER(BA23),ISNUMBER(AV23)),IFERROR(BA23/AV23-1,""),"")</f>
      </c>
      <c r="BB24" s="258">
        <f>IF(AND(ISNUMBER(BB23),ISNUMBER(AW23)),IFERROR(BB23/AW23-1,""),"")</f>
        <v>-0.00945030445715211</v>
      </c>
      <c r="BC24" s="258">
        <f>IF(AND(ISNUMBER(BC23),ISNUMBER(AX23)),IFERROR(BC23/AX23-1,""),"")</f>
        <v>0.144480028778836</v>
      </c>
      <c r="BD24" s="258">
        <f>IF(AND(ISNUMBER(BD23),ISNUMBER(AY23)),IFERROR(BD23/AY23-1,""),"")</f>
        <v>0.163631683671309</v>
      </c>
      <c r="BE24" s="258">
        <f>IF(AND(ISNUMBER(BE23),ISNUMBER(AZ23)),IFERROR(BE23/AZ23-1,""),"")</f>
        <v>0.121428974946892</v>
      </c>
      <c r="BF24" s="258">
        <f>IF(AND(ISNUMBER(BF23),ISNUMBER(BA23)),IFERROR(BF23/BA23-1,""),"")</f>
        <v>0.114684674423882</v>
      </c>
      <c r="BG24" s="258">
        <f>IF(AND(ISNUMBER(BG23),ISNUMBER(BB23)),IFERROR(BG23/BB23-1,""),"")</f>
        <v>0.135020797239867</v>
      </c>
      <c r="BH24" s="258">
        <f>IF(AND(ISNUMBER(BH23),ISNUMBER(BC23)),IFERROR(BH23/BC23-1,""),"")</f>
        <v>-0.022434045508418</v>
      </c>
      <c r="BI24" s="258">
        <f>IF(AND(ISNUMBER(BI23),ISNUMBER(BD23)),IFERROR(BI23/BD23-1,""),"")</f>
        <v>0.022530914785281</v>
      </c>
      <c r="BJ24" s="258">
        <f>IF(AND(ISNUMBER(BJ23),ISNUMBER(BE23)),IFERROR(BJ23/BE23-1,""),"")</f>
        <v>0.00370636038636496</v>
      </c>
      <c r="BK24" s="258">
        <f>IF(AND(ISNUMBER(BK23),ISNUMBER(BF23)),IFERROR(BK23/BF23-1,""),"")</f>
        <v>-0.015704252412262</v>
      </c>
      <c r="BL24" s="258">
        <f>IF(AND(ISNUMBER(BL23),ISNUMBER(BG23)),IFERROR(BL23/BG23-1,""),"")</f>
        <v>-0.00200452377635818</v>
      </c>
      <c r="BM24" s="258">
        <f>IF(AND(ISNUMBER(BM23),ISNUMBER(BH23)),IFERROR(BM23/BH23-1,""),"")</f>
        <v>-0.0113824250762696</v>
      </c>
      <c r="BN24" s="258">
        <f>IF(AND(ISNUMBER(BN23),ISNUMBER(BI23)),IFERROR(BN23/BI23-1,""),"")</f>
        <v>0.0133544911074106</v>
      </c>
      <c r="BO24" s="258">
        <f>IF(AND(ISNUMBER(BO23),ISNUMBER(BJ23)),IFERROR(BO23/BJ23-1,""),"")</f>
        <v>0.0129516339422524</v>
      </c>
      <c r="BP24" s="258">
        <f>IF(AND(ISNUMBER(BP23),ISNUMBER(BK23)),IFERROR(BP23/BK23-1,""),"")</f>
        <v>0.0411266560834678</v>
      </c>
      <c r="BQ24" s="258">
        <f>IF(AND(ISNUMBER(BQ23),ISNUMBER(BL23)),IFERROR(BQ23/BL23-1,""),"")</f>
        <v>0.0138623997932363</v>
      </c>
      <c r="BR24" s="258">
        <f>IF(AND(ISNUMBER(BR23),ISNUMBER(BM23)),IFERROR(BR23/BM23-1,""),"")</f>
        <v>0.0712048162252077</v>
      </c>
      <c r="BS24" s="258">
        <f>IF(AND(ISNUMBER(BS23),ISNUMBER(BN23)),IFERROR(BS23/BN23-1,""),"")</f>
        <v>0.0323362111093013</v>
      </c>
      <c r="BT24" s="258">
        <f>IF(AND(ISNUMBER(BT23),ISNUMBER(BO23)),IFERROR(BT23/BO23-1,""),"")</f>
        <v>0.0190309536993281</v>
      </c>
      <c r="BU24" s="258">
        <f>IF(AND(ISNUMBER(BU23),ISNUMBER(BP23)),IFERROR(BU23/BP23-1,""),"")</f>
        <v>0.0133105110100367</v>
      </c>
      <c r="BV24" s="258">
        <f>IF(AND(ISNUMBER(BV23),ISNUMBER(BQ23)),IFERROR(BV23/BQ23-1,""),"")</f>
        <v>0.0310441368830008</v>
      </c>
      <c r="BW24" s="258">
        <f>IF(AND(ISNUMBER(BW23),ISNUMBER(BR23)),IFERROR(BW23/BR23-1,""),"")</f>
        <v>-0.00170121178367144</v>
      </c>
      <c r="BX24" s="258">
        <f>IF(AND(ISNUMBER(BX23),ISNUMBER(BS23)),IFERROR(BX23/BS23-1,""),"")</f>
        <v>0.00667081036138928</v>
      </c>
      <c r="BY24" s="256">
        <f>IF(AND(ISNUMBER(BY23),ISNUMBER(BT23)),IFERROR(BY23/BT23-1,""),"")</f>
        <v>-0.00209962981562251</v>
      </c>
      <c r="BZ24" s="256">
        <f>IF(AND(ISNUMBER(BZ23),ISNUMBER(BU23)),IFERROR(BZ23/BU23-1,""),"")</f>
        <v>0.002889872035299</v>
      </c>
      <c r="CA24" s="256">
        <f>IF(AND(ISNUMBER(CA23),ISNUMBER(BV23)),IFERROR(CA23/BV23-1,""),"")</f>
        <v>0.00329824372246579</v>
      </c>
      <c r="CB24" s="256">
        <f>CHOOSE(MATCH($CF$2,{"Bull","Base","Bear"},0),$CO$33,$CP$33,$CQ$33)</f>
        <v>0.015</v>
      </c>
      <c r="CC24" s="256">
        <f>CHOOSE(MATCH($CF$2,{"Bull","Base","Bear"},0),$CO$34,$CP$34,$CQ$34)</f>
        <v>0.015</v>
      </c>
      <c r="CD24" s="256">
        <f>CHOOSE(MATCH($CF$2,{"Bull","Base","Bear"},0),$CO$35,$CP$35,$CQ$35)</f>
        <v>0.01</v>
      </c>
      <c r="CE24" s="256">
        <f>CHOOSE(MATCH($CF$2,{"Bull","Base","Bear"},0),$CO$36,$CP$36,$CQ$36)</f>
        <v>0.01</v>
      </c>
      <c r="CF24" s="153" t="n"/>
    </row>
    <row r="25" ht="15" customHeight="1" s="251">
      <c r="B25" s="22" t="inlineStr">
        <is>
          <t xml:space="preserve">  Memo: payment network rebates &amp; incentives growth % (release text, from 2020)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55" t="n">
        <v>-0.1</v>
      </c>
      <c r="AU25" s="255" t="n">
        <v>0</v>
      </c>
      <c r="AV25" s="255" t="n">
        <v>0</v>
      </c>
      <c r="AW25" s="255" t="n">
        <v>0.03</v>
      </c>
      <c r="AX25" s="255" t="n">
        <v>0.06</v>
      </c>
      <c r="AY25" s="255" t="n">
        <v>0.53</v>
      </c>
      <c r="AZ25" s="255" t="n">
        <v>0.35</v>
      </c>
      <c r="BA25" s="255" t="n">
        <v>0.37</v>
      </c>
      <c r="BB25" s="255" t="n">
        <v>0.32</v>
      </c>
      <c r="BC25" s="255" t="n">
        <v>0.26</v>
      </c>
      <c r="BD25" s="255" t="n">
        <v>0.19</v>
      </c>
      <c r="BE25" s="255" t="n">
        <v>0.2</v>
      </c>
      <c r="BF25" s="255" t="n">
        <v>0.14</v>
      </c>
      <c r="BG25" s="255" t="n">
        <v>0.19</v>
      </c>
      <c r="BH25" s="255" t="n">
        <v>0.25</v>
      </c>
      <c r="BI25" s="255" t="n">
        <v>0.22</v>
      </c>
      <c r="BJ25" s="255" t="n">
        <v>0.22</v>
      </c>
      <c r="BK25" s="255" t="n">
        <v>0.19</v>
      </c>
      <c r="BL25" s="255" t="n">
        <v>0.22</v>
      </c>
      <c r="BM25" s="255" t="n">
        <v>0.2</v>
      </c>
      <c r="BN25" s="255" t="n">
        <v>0.14</v>
      </c>
      <c r="BO25" s="255" t="n">
        <v>0.17</v>
      </c>
      <c r="BP25" s="255" t="n">
        <v>0.14</v>
      </c>
      <c r="BQ25" s="255" t="n">
        <v>0.16</v>
      </c>
      <c r="BR25" s="255" t="n">
        <v>0.12</v>
      </c>
      <c r="BS25" s="255" t="n">
        <v>0.17</v>
      </c>
      <c r="BT25" s="255" t="n">
        <v>0.16</v>
      </c>
      <c r="BU25" s="255" t="n">
        <v>0.2</v>
      </c>
      <c r="BV25" s="255" t="n">
        <v>0.16</v>
      </c>
      <c r="BW25" s="255" t="n">
        <v>0.23</v>
      </c>
      <c r="BX25" s="255" t="n">
        <v>0.22</v>
      </c>
      <c r="BY25" s="24" t="n"/>
      <c r="BZ25" s="24" t="n"/>
      <c r="CA25" s="24" t="n"/>
      <c r="CB25" s="24" t="n"/>
      <c r="CC25" s="24" t="n"/>
      <c r="CD25" s="24" t="n"/>
      <c r="CE25" s="24" t="n"/>
      <c r="CF25" s="153" t="n"/>
      <c r="CN25" s="25" t="inlineStr">
        <is>
          <t xml:space="preserve">  Target net debt / adjusted EBITDA (x) — buyback plug 2027E+</t>
        </is>
      </c>
      <c r="CO25" s="266" t="n">
        <v>0.7</v>
      </c>
      <c r="CP25" s="266" t="n">
        <v>0.5</v>
      </c>
      <c r="CQ25" s="266" t="n">
        <v>0.3</v>
      </c>
      <c r="CR25" s="13" t="inlineStr">
        <is>
          <t>Net debt (total debt − unrestricted cash − investments) $13.0bn at 30-Jun-2026 ≈ 0.6x LTM adjusted EBITDA (model); FY2023–25 0.3–0.4x. Mastercard has no stated leverage target; it returns excess capital through buybacks (FY2025 $11.7bn). Target = leverage up to which surplus cash is returned (assumption).</t>
        </is>
      </c>
    </row>
    <row r="26" ht="15" customHeight="1" s="251">
      <c r="B26" s="22" t="inlineStr">
        <is>
          <t xml:space="preserve">  Memo: payment network growth, currency-neutral % (release text)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  <c r="AZ26" s="23" t="n"/>
      <c r="BA26" s="23" t="n"/>
      <c r="BB26" s="23" t="n"/>
      <c r="BC26" s="23" t="n"/>
      <c r="BD26" s="23" t="n"/>
      <c r="BE26" s="23" t="n"/>
      <c r="BF26" s="23" t="n"/>
      <c r="BG26" s="23" t="n"/>
      <c r="BH26" s="255" t="n">
        <v>0.1</v>
      </c>
      <c r="BI26" s="255" t="n">
        <v>0.14</v>
      </c>
      <c r="BJ26" s="255" t="n">
        <v>0.1</v>
      </c>
      <c r="BK26" s="255" t="n">
        <v>0.07000000000000001</v>
      </c>
      <c r="BL26" s="255" t="n">
        <v>0.1</v>
      </c>
      <c r="BM26" s="255" t="n">
        <v>0.08</v>
      </c>
      <c r="BN26" s="255" t="n">
        <v>0.09</v>
      </c>
      <c r="BO26" s="255" t="n">
        <v>0.11</v>
      </c>
      <c r="BP26" s="255" t="n">
        <v>0.15</v>
      </c>
      <c r="BQ26" s="255" t="n">
        <v>0.11</v>
      </c>
      <c r="BR26" s="255" t="n">
        <v>0.16</v>
      </c>
      <c r="BS26" s="255" t="n">
        <v>0.13</v>
      </c>
      <c r="BT26" s="255" t="n">
        <v>0.1</v>
      </c>
      <c r="BU26" s="255" t="n">
        <v>0.09</v>
      </c>
      <c r="BV26" s="255" t="n">
        <v>0.12</v>
      </c>
      <c r="BW26" s="255" t="n">
        <v>0.08</v>
      </c>
      <c r="BX26" s="255" t="n">
        <v>0.08</v>
      </c>
      <c r="BY26" s="24" t="n"/>
      <c r="BZ26" s="24" t="n"/>
      <c r="CA26" s="24" t="n"/>
      <c r="CB26" s="24" t="n"/>
      <c r="CC26" s="24" t="n"/>
      <c r="CD26" s="24" t="n"/>
      <c r="CE26" s="24" t="n"/>
      <c r="CF26" s="153" t="n"/>
    </row>
    <row r="27" ht="15" customHeight="1" s="251">
      <c r="CN27" s="15" t="inlineStr">
        <is>
          <t>GDV (gross dollar volume growth, local currency)</t>
        </is>
      </c>
      <c r="CO27" s="41" t="n">
        <v>0.015</v>
      </c>
      <c r="CP27" s="21" t="inlineStr">
        <is>
          <t>Δ →</t>
        </is>
      </c>
      <c r="CQ27" s="41" t="n">
        <v>-0.025</v>
      </c>
      <c r="CR27" s="13" t="inlineStr">
        <is>
          <t>H1-26 +7.7% local (FY2025 +8.6%, FY2024 +9.2%); purchase volume +9–10%. Secular cash-to-card and tokenized / e-commerce shift; Bear = consumer slowdown / U.S. debit share loss.</t>
        </is>
      </c>
    </row>
    <row r="28" ht="15" customHeight="1" s="251">
      <c r="B28" s="14" t="inlineStr">
        <is>
          <t>Value-added services and solutions (cyber &amp; intelligence, data &amp; services, open banking, loyalty, processing)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  <c r="BP28" s="14" t="n"/>
      <c r="BQ28" s="14" t="n"/>
      <c r="BR28" s="14" t="n"/>
      <c r="BS28" s="14" t="n"/>
      <c r="BT28" s="14" t="n"/>
      <c r="BU28" s="14" t="n"/>
      <c r="BV28" s="14" t="n"/>
      <c r="BW28" s="14" t="n"/>
      <c r="BX28" s="14" t="n"/>
      <c r="BY28" s="14" t="n"/>
      <c r="BZ28" s="14" t="n"/>
      <c r="CA28" s="14" t="n"/>
      <c r="CB28" s="14" t="n"/>
      <c r="CC28" s="14" t="n"/>
      <c r="CD28" s="14" t="n"/>
      <c r="CE28" s="14" t="n"/>
      <c r="CF28" s="15" t="inlineStr">
        <is>
          <t>VALUE-ADDED SERVICES — prior year × (1 + growth); includes acquisitions (Recorded Future Dec-2024) — the company reports VAS growth incl. M&amp;A</t>
        </is>
      </c>
      <c r="CN28" s="25" t="inlineStr">
        <is>
          <t xml:space="preserve">  2027E</t>
        </is>
      </c>
      <c r="CO28" s="33">
        <f>CP28+$CO$27</f>
        <v>0.1</v>
      </c>
      <c r="CP28" s="42" t="n">
        <v>0.08500000000000001</v>
      </c>
      <c r="CQ28" s="33">
        <f>CP28+$CQ$27</f>
        <v>0.06</v>
      </c>
    </row>
    <row r="29" ht="15" customHeight="1" s="251">
      <c r="B29" s="16" t="inlineStr">
        <is>
          <t xml:space="preserve">  Value-added services and solutions net revenue</t>
        </is>
      </c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  <c r="AB29" s="43" t="n"/>
      <c r="AC29" s="43" t="n"/>
      <c r="AD29" s="43" t="n"/>
      <c r="AE29" s="43" t="n"/>
      <c r="AF29" s="43" t="n"/>
      <c r="AG29" s="43" t="n"/>
      <c r="AH29" s="43" t="n"/>
      <c r="AI29" s="43" t="n"/>
      <c r="AJ29" s="43" t="n"/>
      <c r="AK29" s="43" t="n"/>
      <c r="AL29" s="43" t="n"/>
      <c r="AM29" s="43" t="n"/>
      <c r="AN29" s="43" t="n"/>
      <c r="AO29" s="43" t="n"/>
      <c r="AP29" s="43" t="n"/>
      <c r="AQ29" s="43" t="n"/>
      <c r="AR29" s="43" t="n"/>
      <c r="AS29" s="43" t="n"/>
      <c r="AT29" s="43" t="n"/>
      <c r="AU29" s="43" t="n"/>
      <c r="AV29" s="43" t="n"/>
      <c r="AW29" s="262" t="n">
        <v>5404</v>
      </c>
      <c r="AX29" s="262" t="n">
        <v>1507</v>
      </c>
      <c r="AY29" s="262" t="n">
        <v>1653</v>
      </c>
      <c r="AZ29" s="262" t="n">
        <v>1751</v>
      </c>
      <c r="BA29" s="262" t="n">
        <v>2030</v>
      </c>
      <c r="BB29" s="262" t="n">
        <v>6941</v>
      </c>
      <c r="BC29" s="262" t="n">
        <v>1768</v>
      </c>
      <c r="BD29" s="262" t="n">
        <v>1888</v>
      </c>
      <c r="BE29" s="262" t="n">
        <v>1991</v>
      </c>
      <c r="BF29" s="262" t="n">
        <v>2232</v>
      </c>
      <c r="BG29" s="262" t="n">
        <v>7879</v>
      </c>
      <c r="BH29" s="262" t="n">
        <v>2098</v>
      </c>
      <c r="BI29" s="262" t="n">
        <v>2196</v>
      </c>
      <c r="BJ29" s="262" t="n">
        <v>2323</v>
      </c>
      <c r="BK29" s="262" t="n">
        <v>2657</v>
      </c>
      <c r="BL29" s="262" t="n">
        <v>9274</v>
      </c>
      <c r="BM29" s="262" t="n">
        <v>2428</v>
      </c>
      <c r="BN29" s="262" t="n">
        <v>2586</v>
      </c>
      <c r="BO29" s="262" t="n">
        <v>2740</v>
      </c>
      <c r="BP29" s="262" t="n">
        <v>3078</v>
      </c>
      <c r="BQ29" s="262" t="n">
        <v>10832</v>
      </c>
      <c r="BR29" s="262" t="n">
        <v>2818</v>
      </c>
      <c r="BS29" s="262" t="n">
        <v>3188</v>
      </c>
      <c r="BT29" s="262" t="n">
        <v>3423</v>
      </c>
      <c r="BU29" s="262" t="n">
        <v>3886</v>
      </c>
      <c r="BV29" s="262" t="n">
        <v>13315</v>
      </c>
      <c r="BW29" s="262" t="n">
        <v>3450</v>
      </c>
      <c r="BX29" s="262" t="n">
        <v>3826</v>
      </c>
      <c r="BY29" s="263">
        <f>BT29*(1+BY30)</f>
        <v>4046.24641015181</v>
      </c>
      <c r="BZ29" s="263">
        <f>BU29*(1+BZ30)</f>
        <v>4593.54763361085</v>
      </c>
      <c r="CA29" s="263">
        <f>SUM(BW29:BZ29)</f>
        <v>15915.7940437627</v>
      </c>
      <c r="CB29" s="263">
        <f>CA29*(1+CB30)</f>
        <v>18303.1631503271</v>
      </c>
      <c r="CC29" s="263">
        <f>CB29*(1+CC30)</f>
        <v>20865.6059913728</v>
      </c>
      <c r="CD29" s="263">
        <f>CC29*(1+CD30)</f>
        <v>23578.1347702513</v>
      </c>
      <c r="CE29" s="263">
        <f>CD29*(1+CE30)</f>
        <v>26407.5109426815</v>
      </c>
      <c r="CF29" s="153" t="inlineStr">
        <is>
          <t>Same sources as payment network. Q3/Q4-26E: prior-year quarter × (1 + H1-26 y/y + calibration Δ); 2027E+: scenario lever.</t>
        </is>
      </c>
      <c r="CH29" s="20">
        <f>IFERROR((CE29/BV29)^(1/5)-1,"n/m")</f>
        <v>0.146772472701807</v>
      </c>
      <c r="CI29" s="20">
        <f>IFERROR((BV29/AW29)^(1/5)-1,"n/m")</f>
        <v>0.197636893486926</v>
      </c>
      <c r="CJ29" s="20" t="str">
        <f>IFERROR((BV29/X29)^(1/10)-1,"n/m")</f>
        <v>n/m</v>
      </c>
      <c r="CK29" s="20" t="str">
        <f>IFERROR((BV29/C29)^(1/19)-1,"n/m")</f>
        <v>n/m</v>
      </c>
      <c r="CN29" s="25" t="inlineStr">
        <is>
          <t xml:space="preserve">  2028E</t>
        </is>
      </c>
      <c r="CO29" s="33">
        <f>CP29+$CO$27</f>
        <v>0.095</v>
      </c>
      <c r="CP29" s="42" t="n">
        <v>0.08</v>
      </c>
      <c r="CQ29" s="33">
        <f>CP29+$CQ$27</f>
        <v>0.055</v>
      </c>
    </row>
    <row r="30" ht="15" customHeight="1" s="251">
      <c r="B30" s="22" t="inlineStr">
        <is>
          <t xml:space="preserve">    y/y %</t>
        </is>
      </c>
      <c r="C30" s="23" t="n"/>
      <c r="D30" s="258">
        <f>IF(AND(ISNUMBER(D29),ISNUMBER(C29)),IFERROR(D29/C29-1,""),"")</f>
      </c>
      <c r="E30" s="258">
        <f>IF(AND(ISNUMBER(E29),ISNUMBER(D29)),IFERROR(E29/D29-1,""),"")</f>
      </c>
      <c r="F30" s="258">
        <f>IF(AND(ISNUMBER(F29),ISNUMBER(E29)),IFERROR(F29/E29-1,""),"")</f>
      </c>
      <c r="G30" s="258">
        <f>IF(AND(ISNUMBER(G29),ISNUMBER(F29)),IFERROR(G29/F29-1,""),"")</f>
      </c>
      <c r="H30" s="258">
        <f>IF(AND(ISNUMBER(H29),ISNUMBER(G29)),IFERROR(H29/G29-1,""),"")</f>
      </c>
      <c r="I30" s="258">
        <f>IF(AND(ISNUMBER(I29),ISNUMBER(H29)),IFERROR(I29/H29-1,""),"")</f>
      </c>
      <c r="J30" s="23" t="n"/>
      <c r="K30" s="23" t="n"/>
      <c r="L30" s="23" t="n"/>
      <c r="M30" s="23" t="n"/>
      <c r="N30" s="258">
        <f>IF(AND(ISNUMBER(N29),ISNUMBER(I29)),IFERROR(N29/I29-1,""),"")</f>
      </c>
      <c r="O30" s="258">
        <f>IF(AND(ISNUMBER(O29),ISNUMBER(J29)),IFERROR(O29/J29-1,""),"")</f>
      </c>
      <c r="P30" s="258">
        <f>IF(AND(ISNUMBER(P29),ISNUMBER(K29)),IFERROR(P29/K29-1,""),"")</f>
      </c>
      <c r="Q30" s="258">
        <f>IF(AND(ISNUMBER(Q29),ISNUMBER(L29)),IFERROR(Q29/L29-1,""),"")</f>
      </c>
      <c r="R30" s="258">
        <f>IF(AND(ISNUMBER(R29),ISNUMBER(M29)),IFERROR(R29/M29-1,""),"")</f>
      </c>
      <c r="S30" s="258">
        <f>IF(AND(ISNUMBER(S29),ISNUMBER(N29)),IFERROR(S29/N29-1,""),"")</f>
      </c>
      <c r="T30" s="258">
        <f>IF(AND(ISNUMBER(T29),ISNUMBER(O29)),IFERROR(T29/O29-1,""),"")</f>
      </c>
      <c r="U30" s="258">
        <f>IF(AND(ISNUMBER(U29),ISNUMBER(P29)),IFERROR(U29/P29-1,""),"")</f>
      </c>
      <c r="V30" s="258">
        <f>IF(AND(ISNUMBER(V29),ISNUMBER(Q29)),IFERROR(V29/Q29-1,""),"")</f>
      </c>
      <c r="W30" s="258">
        <f>IF(AND(ISNUMBER(W29),ISNUMBER(R29)),IFERROR(W29/R29-1,""),"")</f>
      </c>
      <c r="X30" s="258">
        <f>IF(AND(ISNUMBER(X29),ISNUMBER(S29)),IFERROR(X29/S29-1,""),"")</f>
      </c>
      <c r="Y30" s="258">
        <f>IF(AND(ISNUMBER(Y29),ISNUMBER(T29)),IFERROR(Y29/T29-1,""),"")</f>
      </c>
      <c r="Z30" s="258">
        <f>IF(AND(ISNUMBER(Z29),ISNUMBER(U29)),IFERROR(Z29/U29-1,""),"")</f>
      </c>
      <c r="AA30" s="258">
        <f>IF(AND(ISNUMBER(AA29),ISNUMBER(V29)),IFERROR(AA29/V29-1,""),"")</f>
      </c>
      <c r="AB30" s="258">
        <f>IF(AND(ISNUMBER(AB29),ISNUMBER(W29)),IFERROR(AB29/W29-1,""),"")</f>
      </c>
      <c r="AC30" s="258">
        <f>IF(AND(ISNUMBER(AC29),ISNUMBER(X29)),IFERROR(AC29/X29-1,""),"")</f>
      </c>
      <c r="AD30" s="258">
        <f>IF(AND(ISNUMBER(AD29),ISNUMBER(Y29)),IFERROR(AD29/Y29-1,""),"")</f>
      </c>
      <c r="AE30" s="258">
        <f>IF(AND(ISNUMBER(AE29),ISNUMBER(Z29)),IFERROR(AE29/Z29-1,""),"")</f>
      </c>
      <c r="AF30" s="258">
        <f>IF(AND(ISNUMBER(AF29),ISNUMBER(AA29)),IFERROR(AF29/AA29-1,""),"")</f>
      </c>
      <c r="AG30" s="258">
        <f>IF(AND(ISNUMBER(AG29),ISNUMBER(AB29)),IFERROR(AG29/AB29-1,""),"")</f>
      </c>
      <c r="AH30" s="258">
        <f>IF(AND(ISNUMBER(AH29),ISNUMBER(AC29)),IFERROR(AH29/AC29-1,""),"")</f>
      </c>
      <c r="AI30" s="258">
        <f>IF(AND(ISNUMBER(AI29),ISNUMBER(AD29)),IFERROR(AI29/AD29-1,""),"")</f>
      </c>
      <c r="AJ30" s="258">
        <f>IF(AND(ISNUMBER(AJ29),ISNUMBER(AE29)),IFERROR(AJ29/AE29-1,""),"")</f>
      </c>
      <c r="AK30" s="258">
        <f>IF(AND(ISNUMBER(AK29),ISNUMBER(AF29)),IFERROR(AK29/AF29-1,""),"")</f>
      </c>
      <c r="AL30" s="258">
        <f>IF(AND(ISNUMBER(AL29),ISNUMBER(AG29)),IFERROR(AL29/AG29-1,""),"")</f>
      </c>
      <c r="AM30" s="258">
        <f>IF(AND(ISNUMBER(AM29),ISNUMBER(AH29)),IFERROR(AM29/AH29-1,""),"")</f>
      </c>
      <c r="AN30" s="258">
        <f>IF(AND(ISNUMBER(AN29),ISNUMBER(AI29)),IFERROR(AN29/AI29-1,""),"")</f>
      </c>
      <c r="AO30" s="258">
        <f>IF(AND(ISNUMBER(AO29),ISNUMBER(AJ29)),IFERROR(AO29/AJ29-1,""),"")</f>
      </c>
      <c r="AP30" s="258">
        <f>IF(AND(ISNUMBER(AP29),ISNUMBER(AK29)),IFERROR(AP29/AK29-1,""),"")</f>
      </c>
      <c r="AQ30" s="258">
        <f>IF(AND(ISNUMBER(AQ29),ISNUMBER(AL29)),IFERROR(AQ29/AL29-1,""),"")</f>
      </c>
      <c r="AR30" s="258">
        <f>IF(AND(ISNUMBER(AR29),ISNUMBER(AM29)),IFERROR(AR29/AM29-1,""),"")</f>
      </c>
      <c r="AS30" s="258">
        <f>IF(AND(ISNUMBER(AS29),ISNUMBER(AN29)),IFERROR(AS29/AN29-1,""),"")</f>
      </c>
      <c r="AT30" s="258">
        <f>IF(AND(ISNUMBER(AT29),ISNUMBER(AO29)),IFERROR(AT29/AO29-1,""),"")</f>
      </c>
      <c r="AU30" s="258">
        <f>IF(AND(ISNUMBER(AU29),ISNUMBER(AP29)),IFERROR(AU29/AP29-1,""),"")</f>
      </c>
      <c r="AV30" s="258">
        <f>IF(AND(ISNUMBER(AV29),ISNUMBER(AQ29)),IFERROR(AV29/AQ29-1,""),"")</f>
      </c>
      <c r="AW30" s="258">
        <f>IF(AND(ISNUMBER(AW29),ISNUMBER(AR29)),IFERROR(AW29/AR29-1,""),"")</f>
      </c>
      <c r="AX30" s="258">
        <f>IF(AND(ISNUMBER(AX29),ISNUMBER(AS29)),IFERROR(AX29/AS29-1,""),"")</f>
      </c>
      <c r="AY30" s="258">
        <f>IF(AND(ISNUMBER(AY29),ISNUMBER(AT29)),IFERROR(AY29/AT29-1,""),"")</f>
      </c>
      <c r="AZ30" s="258">
        <f>IF(AND(ISNUMBER(AZ29),ISNUMBER(AU29)),IFERROR(AZ29/AU29-1,""),"")</f>
      </c>
      <c r="BA30" s="258">
        <f>IF(AND(ISNUMBER(BA29),ISNUMBER(AV29)),IFERROR(BA29/AV29-1,""),"")</f>
      </c>
      <c r="BB30" s="258">
        <f>IF(AND(ISNUMBER(BB29),ISNUMBER(AW29)),IFERROR(BB29/AW29-1,""),"")</f>
        <v>0.284418948926721</v>
      </c>
      <c r="BC30" s="258">
        <f>IF(AND(ISNUMBER(BC29),ISNUMBER(AX29)),IFERROR(BC29/AX29-1,""),"")</f>
        <v>0.173191771731918</v>
      </c>
      <c r="BD30" s="258">
        <f>IF(AND(ISNUMBER(BD29),ISNUMBER(AY29)),IFERROR(BD29/AY29-1,""),"")</f>
        <v>0.14216575922565</v>
      </c>
      <c r="BE30" s="258">
        <f>IF(AND(ISNUMBER(BE29),ISNUMBER(AZ29)),IFERROR(BE29/AZ29-1,""),"")</f>
        <v>0.137064534551685</v>
      </c>
      <c r="BF30" s="258">
        <f>IF(AND(ISNUMBER(BF29),ISNUMBER(BA29)),IFERROR(BF29/BA29-1,""),"")</f>
        <v>0.0995073891625615</v>
      </c>
      <c r="BG30" s="258">
        <f>IF(AND(ISNUMBER(BG29),ISNUMBER(BB29)),IFERROR(BG29/BB29-1,""),"")</f>
        <v>0.135139028958363</v>
      </c>
      <c r="BH30" s="258">
        <f>IF(AND(ISNUMBER(BH29),ISNUMBER(BC29)),IFERROR(BH29/BC29-1,""),"")</f>
        <v>0.186651583710407</v>
      </c>
      <c r="BI30" s="258">
        <f>IF(AND(ISNUMBER(BI29),ISNUMBER(BD29)),IFERROR(BI29/BD29-1,""),"")</f>
        <v>0.163135593220339</v>
      </c>
      <c r="BJ30" s="258">
        <f>IF(AND(ISNUMBER(BJ29),ISNUMBER(BE29)),IFERROR(BJ29/BE29-1,""),"")</f>
        <v>0.166750376695128</v>
      </c>
      <c r="BK30" s="258">
        <f>IF(AND(ISNUMBER(BK29),ISNUMBER(BF29)),IFERROR(BK29/BF29-1,""),"")</f>
        <v>0.190412186379928</v>
      </c>
      <c r="BL30" s="258">
        <f>IF(AND(ISNUMBER(BL29),ISNUMBER(BG29)),IFERROR(BL29/BG29-1,""),"")</f>
        <v>0.17705292549816</v>
      </c>
      <c r="BM30" s="258">
        <f>IF(AND(ISNUMBER(BM29),ISNUMBER(BH29)),IFERROR(BM29/BH29-1,""),"")</f>
        <v>0.157292659675882</v>
      </c>
      <c r="BN30" s="258">
        <f>IF(AND(ISNUMBER(BN29),ISNUMBER(BI29)),IFERROR(BN29/BI29-1,""),"")</f>
        <v>0.177595628415301</v>
      </c>
      <c r="BO30" s="258">
        <f>IF(AND(ISNUMBER(BO29),ISNUMBER(BJ29)),IFERROR(BO29/BJ29-1,""),"")</f>
        <v>0.179509255273353</v>
      </c>
      <c r="BP30" s="258">
        <f>IF(AND(ISNUMBER(BP29),ISNUMBER(BK29)),IFERROR(BP29/BK29-1,""),"")</f>
        <v>0.158449378998871</v>
      </c>
      <c r="BQ30" s="258">
        <f>IF(AND(ISNUMBER(BQ29),ISNUMBER(BL29)),IFERROR(BQ29/BL29-1,""),"")</f>
        <v>0.167996549493207</v>
      </c>
      <c r="BR30" s="258">
        <f>IF(AND(ISNUMBER(BR29),ISNUMBER(BM29)),IFERROR(BR29/BM29-1,""),"")</f>
        <v>0.160626029654036</v>
      </c>
      <c r="BS30" s="258">
        <f>IF(AND(ISNUMBER(BS29),ISNUMBER(BN29)),IFERROR(BS29/BN29-1,""),"")</f>
        <v>0.232791956689869</v>
      </c>
      <c r="BT30" s="258">
        <f>IF(AND(ISNUMBER(BT29),ISNUMBER(BO29)),IFERROR(BT29/BO29-1,""),"")</f>
        <v>0.249270072992701</v>
      </c>
      <c r="BU30" s="258">
        <f>IF(AND(ISNUMBER(BU29),ISNUMBER(BP29)),IFERROR(BU29/BP29-1,""),"")</f>
        <v>0.262508122157245</v>
      </c>
      <c r="BV30" s="258">
        <f>IF(AND(ISNUMBER(BV29),ISNUMBER(BQ29)),IFERROR(BV29/BQ29-1,""),"")</f>
        <v>0.229228212703102</v>
      </c>
      <c r="BW30" s="258">
        <f>IF(AND(ISNUMBER(BW29),ISNUMBER(BR29)),IFERROR(BW29/BR29-1,""),"")</f>
        <v>0.224272533711852</v>
      </c>
      <c r="BX30" s="258">
        <f>IF(AND(ISNUMBER(BX29),ISNUMBER(BS29)),IFERROR(BX29/BS29-1,""),"")</f>
        <v>0.200125470514429</v>
      </c>
      <c r="BY30" s="256">
        <f>BY31+$CA$95</f>
        <v>0.182076076585395</v>
      </c>
      <c r="BZ30" s="256">
        <f>BZ31+$CA$95</f>
        <v>0.182076076585395</v>
      </c>
      <c r="CA30" s="256">
        <f>IF(AND(ISNUMBER(CA29),ISNUMBER(BV29)),IFERROR(CA29/BV29-1,""),"")</f>
        <v>0.195328129460207</v>
      </c>
      <c r="CB30" s="256">
        <f>CHOOSE(MATCH($CF$2,{"Bull","Base","Bear"},0),$CO$38,$CP$38,$CQ$38)</f>
        <v>0.15</v>
      </c>
      <c r="CC30" s="256">
        <f>CHOOSE(MATCH($CF$2,{"Bull","Base","Bear"},0),$CO$39,$CP$39,$CQ$39)</f>
        <v>0.14</v>
      </c>
      <c r="CD30" s="256">
        <f>CHOOSE(MATCH($CF$2,{"Bull","Base","Bear"},0),$CO$40,$CP$40,$CQ$40)</f>
        <v>0.13</v>
      </c>
      <c r="CE30" s="256">
        <f>CHOOSE(MATCH($CF$2,{"Bull","Base","Bear"},0),$CO$41,$CP$41,$CQ$41)</f>
        <v>0.12</v>
      </c>
      <c r="CF30" s="153" t="n"/>
      <c r="CN30" s="25" t="inlineStr">
        <is>
          <t xml:space="preserve">  2029E</t>
        </is>
      </c>
      <c r="CO30" s="33">
        <f>CP30+$CO$27</f>
        <v>0.095</v>
      </c>
      <c r="CP30" s="42" t="n">
        <v>0.08</v>
      </c>
      <c r="CQ30" s="33">
        <f>CP30+$CQ$27</f>
        <v>0.055</v>
      </c>
    </row>
    <row r="31" ht="15" customHeight="1" s="251">
      <c r="B31" s="25" t="inlineStr">
        <is>
          <t xml:space="preserve">    Q3/Q4-26E growth before revenue calibration (H1-26 y/y)</t>
        </is>
      </c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  <c r="AU31" s="36" t="n"/>
      <c r="AV31" s="36" t="n"/>
      <c r="AW31" s="36" t="n"/>
      <c r="AX31" s="36" t="n"/>
      <c r="AY31" s="36" t="n"/>
      <c r="AZ31" s="36" t="n"/>
      <c r="BA31" s="36" t="n"/>
      <c r="BB31" s="36" t="n"/>
      <c r="BC31" s="36" t="n"/>
      <c r="BD31" s="36" t="n"/>
      <c r="BE31" s="36" t="n"/>
      <c r="BF31" s="36" t="n"/>
      <c r="BG31" s="36" t="n"/>
      <c r="BH31" s="36" t="n"/>
      <c r="BI31" s="36" t="n"/>
      <c r="BJ31" s="36" t="n"/>
      <c r="BK31" s="36" t="n"/>
      <c r="BL31" s="36" t="n"/>
      <c r="BM31" s="36" t="n"/>
      <c r="BN31" s="36" t="n"/>
      <c r="BO31" s="36" t="n"/>
      <c r="BP31" s="36" t="n"/>
      <c r="BQ31" s="36" t="n"/>
      <c r="BR31" s="36" t="n"/>
      <c r="BS31" s="36" t="n"/>
      <c r="BT31" s="36" t="n"/>
      <c r="BU31" s="36" t="n"/>
      <c r="BV31" s="36" t="n"/>
      <c r="BW31" s="36" t="n"/>
      <c r="BX31" s="36" t="n"/>
      <c r="BY31" s="256">
        <f>IFERROR(SUM(BW29:BX29)/SUM(BR29:BS29)-1,0)</f>
        <v>0.211455211455212</v>
      </c>
      <c r="BZ31" s="256">
        <f>IFERROR(SUM(BW29:BX29)/SUM(BR29:BS29)-1,0)</f>
        <v>0.211455211455212</v>
      </c>
      <c r="CA31" s="24" t="n"/>
      <c r="CB31" s="46" t="n"/>
      <c r="CC31" s="46" t="n"/>
      <c r="CD31" s="46" t="n"/>
      <c r="CE31" s="46" t="n"/>
      <c r="CF31" s="19" t="n"/>
      <c r="CN31" s="25" t="inlineStr">
        <is>
          <t xml:space="preserve">  2030E</t>
        </is>
      </c>
      <c r="CO31" s="33">
        <f>CP31+$CO$27</f>
        <v>0.09</v>
      </c>
      <c r="CP31" s="42" t="n">
        <v>0.075</v>
      </c>
      <c r="CQ31" s="33">
        <f>CP31+$CQ$27</f>
        <v>0.05</v>
      </c>
    </row>
    <row r="32" ht="15" customHeight="1" s="251">
      <c r="B32" s="22" t="inlineStr">
        <is>
          <t xml:space="preserve">  Memo: value-added services growth, currency-neutral % (release text)</t>
        </is>
      </c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  <c r="AZ32" s="23" t="n"/>
      <c r="BA32" s="23" t="n"/>
      <c r="BB32" s="23" t="n"/>
      <c r="BC32" s="23" t="n"/>
      <c r="BD32" s="23" t="n"/>
      <c r="BE32" s="23" t="n"/>
      <c r="BF32" s="23" t="n"/>
      <c r="BG32" s="23" t="n"/>
      <c r="BH32" s="255" t="n">
        <v>0.21</v>
      </c>
      <c r="BI32" s="255" t="n">
        <v>0.16</v>
      </c>
      <c r="BJ32" s="255" t="n">
        <v>0.14</v>
      </c>
      <c r="BK32" s="255" t="n">
        <v>0.17</v>
      </c>
      <c r="BL32" s="255" t="n">
        <v>0.17</v>
      </c>
      <c r="BM32" s="255" t="n">
        <v>0.15</v>
      </c>
      <c r="BN32" s="255" t="n">
        <v>0.19</v>
      </c>
      <c r="BO32" s="255" t="n">
        <v>0.19</v>
      </c>
      <c r="BP32" s="255" t="n">
        <v>0.17</v>
      </c>
      <c r="BQ32" s="255" t="n">
        <v>0.17</v>
      </c>
      <c r="BR32" s="255" t="n">
        <v>0.18</v>
      </c>
      <c r="BS32" s="255" t="n">
        <v>0.22</v>
      </c>
      <c r="BT32" s="255" t="n">
        <v>0.22</v>
      </c>
      <c r="BU32" s="255" t="n">
        <v>0.22</v>
      </c>
      <c r="BV32" s="255" t="n">
        <v>0.21</v>
      </c>
      <c r="BW32" s="255" t="n">
        <v>0.18</v>
      </c>
      <c r="BX32" s="255" t="n">
        <v>0.18</v>
      </c>
      <c r="BY32" s="24" t="n"/>
      <c r="BZ32" s="24" t="n"/>
      <c r="CA32" s="24" t="n"/>
      <c r="CB32" s="24" t="n"/>
      <c r="CC32" s="24" t="n"/>
      <c r="CD32" s="24" t="n"/>
      <c r="CE32" s="24" t="n"/>
      <c r="CF32" s="153" t="n"/>
      <c r="CN32" s="15" t="inlineStr">
        <is>
          <t>YLD (payment network yield change y/y)</t>
        </is>
      </c>
      <c r="CO32" s="41" t="n">
        <v>0.01</v>
      </c>
      <c r="CP32" s="21" t="inlineStr">
        <is>
          <t>Δ →</t>
        </is>
      </c>
      <c r="CQ32" s="41" t="n">
        <v>-0.015</v>
      </c>
      <c r="CR32" s="13" t="inlineStr">
        <is>
          <t>Yield 15.5 bps (2021) → 18.3 bps (2025): cross-border recovery (higher-yield), pricing and switching, partly offset by rising rebates &amp; incentives (+22% in H1-26). Bear = rebate pressure / regulation (interchange / CCCA).</t>
        </is>
      </c>
    </row>
    <row r="33" ht="15" customHeight="1" s="251">
      <c r="B33" s="25" t="inlineStr">
        <is>
          <t xml:space="preserve">  Value-added services % of net revenue</t>
        </is>
      </c>
      <c r="C33" s="215">
        <f>IF(AND(ISNUMBER(C29),ISNUMBER(C77)),IFERROR(C29/C77,""),"")</f>
      </c>
      <c r="D33" s="215">
        <f>IF(AND(ISNUMBER(D29),ISNUMBER(D77)),IFERROR(D29/D77,""),"")</f>
      </c>
      <c r="E33" s="215">
        <f>IF(AND(ISNUMBER(E29),ISNUMBER(E77)),IFERROR(E29/E77,""),"")</f>
      </c>
      <c r="F33" s="215">
        <f>IF(AND(ISNUMBER(F29),ISNUMBER(F77)),IFERROR(F29/F77,""),"")</f>
      </c>
      <c r="G33" s="215">
        <f>IF(AND(ISNUMBER(G29),ISNUMBER(G77)),IFERROR(G29/G77,""),"")</f>
      </c>
      <c r="H33" s="215">
        <f>IF(AND(ISNUMBER(H29),ISNUMBER(H77)),IFERROR(H29/H77,""),"")</f>
      </c>
      <c r="I33" s="215">
        <f>IF(AND(ISNUMBER(I29),ISNUMBER(I77)),IFERROR(I29/I77,""),"")</f>
      </c>
      <c r="J33" s="215">
        <f>IF(AND(ISNUMBER(J29),ISNUMBER(J77)),IFERROR(J29/J77,""),"")</f>
      </c>
      <c r="K33" s="215">
        <f>IF(AND(ISNUMBER(K29),ISNUMBER(K77)),IFERROR(K29/K77,""),"")</f>
      </c>
      <c r="L33" s="215">
        <f>IF(AND(ISNUMBER(L29),ISNUMBER(L77)),IFERROR(L29/L77,""),"")</f>
      </c>
      <c r="M33" s="215">
        <f>IF(AND(ISNUMBER(M29),ISNUMBER(M77)),IFERROR(M29/M77,""),"")</f>
      </c>
      <c r="N33" s="215">
        <f>IF(AND(ISNUMBER(N29),ISNUMBER(N77)),IFERROR(N29/N77,""),"")</f>
      </c>
      <c r="O33" s="215">
        <f>IF(AND(ISNUMBER(O29),ISNUMBER(O77)),IFERROR(O29/O77,""),"")</f>
      </c>
      <c r="P33" s="215">
        <f>IF(AND(ISNUMBER(P29),ISNUMBER(P77)),IFERROR(P29/P77,""),"")</f>
      </c>
      <c r="Q33" s="215">
        <f>IF(AND(ISNUMBER(Q29),ISNUMBER(Q77)),IFERROR(Q29/Q77,""),"")</f>
      </c>
      <c r="R33" s="215">
        <f>IF(AND(ISNUMBER(R29),ISNUMBER(R77)),IFERROR(R29/R77,""),"")</f>
      </c>
      <c r="S33" s="215">
        <f>IF(AND(ISNUMBER(S29),ISNUMBER(S77)),IFERROR(S29/S77,""),"")</f>
      </c>
      <c r="T33" s="215">
        <f>IF(AND(ISNUMBER(T29),ISNUMBER(T77)),IFERROR(T29/T77,""),"")</f>
      </c>
      <c r="U33" s="215">
        <f>IF(AND(ISNUMBER(U29),ISNUMBER(U77)),IFERROR(U29/U77,""),"")</f>
      </c>
      <c r="V33" s="215">
        <f>IF(AND(ISNUMBER(V29),ISNUMBER(V77)),IFERROR(V29/V77,""),"")</f>
      </c>
      <c r="W33" s="215">
        <f>IF(AND(ISNUMBER(W29),ISNUMBER(W77)),IFERROR(W29/W77,""),"")</f>
      </c>
      <c r="X33" s="215">
        <f>IF(AND(ISNUMBER(X29),ISNUMBER(X77)),IFERROR(X29/X77,""),"")</f>
      </c>
      <c r="Y33" s="215">
        <f>IF(AND(ISNUMBER(Y29),ISNUMBER(Y77)),IFERROR(Y29/Y77,""),"")</f>
      </c>
      <c r="Z33" s="215">
        <f>IF(AND(ISNUMBER(Z29),ISNUMBER(Z77)),IFERROR(Z29/Z77,""),"")</f>
      </c>
      <c r="AA33" s="215">
        <f>IF(AND(ISNUMBER(AA29),ISNUMBER(AA77)),IFERROR(AA29/AA77,""),"")</f>
      </c>
      <c r="AB33" s="215">
        <f>IF(AND(ISNUMBER(AB29),ISNUMBER(AB77)),IFERROR(AB29/AB77,""),"")</f>
      </c>
      <c r="AC33" s="215">
        <f>IF(AND(ISNUMBER(AC29),ISNUMBER(AC77)),IFERROR(AC29/AC77,""),"")</f>
      </c>
      <c r="AD33" s="215">
        <f>IF(AND(ISNUMBER(AD29),ISNUMBER(AD77)),IFERROR(AD29/AD77,""),"")</f>
      </c>
      <c r="AE33" s="215">
        <f>IF(AND(ISNUMBER(AE29),ISNUMBER(AE77)),IFERROR(AE29/AE77,""),"")</f>
      </c>
      <c r="AF33" s="215">
        <f>IF(AND(ISNUMBER(AF29),ISNUMBER(AF77)),IFERROR(AF29/AF77,""),"")</f>
      </c>
      <c r="AG33" s="215">
        <f>IF(AND(ISNUMBER(AG29),ISNUMBER(AG77)),IFERROR(AG29/AG77,""),"")</f>
      </c>
      <c r="AH33" s="215">
        <f>IF(AND(ISNUMBER(AH29),ISNUMBER(AH77)),IFERROR(AH29/AH77,""),"")</f>
      </c>
      <c r="AI33" s="215">
        <f>IF(AND(ISNUMBER(AI29),ISNUMBER(AI77)),IFERROR(AI29/AI77,""),"")</f>
      </c>
      <c r="AJ33" s="215">
        <f>IF(AND(ISNUMBER(AJ29),ISNUMBER(AJ77)),IFERROR(AJ29/AJ77,""),"")</f>
      </c>
      <c r="AK33" s="215">
        <f>IF(AND(ISNUMBER(AK29),ISNUMBER(AK77)),IFERROR(AK29/AK77,""),"")</f>
      </c>
      <c r="AL33" s="215">
        <f>IF(AND(ISNUMBER(AL29),ISNUMBER(AL77)),IFERROR(AL29/AL77,""),"")</f>
      </c>
      <c r="AM33" s="215">
        <f>IF(AND(ISNUMBER(AM29),ISNUMBER(AM77)),IFERROR(AM29/AM77,""),"")</f>
      </c>
      <c r="AN33" s="215">
        <f>IF(AND(ISNUMBER(AN29),ISNUMBER(AN77)),IFERROR(AN29/AN77,""),"")</f>
      </c>
      <c r="AO33" s="215">
        <f>IF(AND(ISNUMBER(AO29),ISNUMBER(AO77)),IFERROR(AO29/AO77,""),"")</f>
      </c>
      <c r="AP33" s="215">
        <f>IF(AND(ISNUMBER(AP29),ISNUMBER(AP77)),IFERROR(AP29/AP77,""),"")</f>
      </c>
      <c r="AQ33" s="215">
        <f>IF(AND(ISNUMBER(AQ29),ISNUMBER(AQ77)),IFERROR(AQ29/AQ77,""),"")</f>
      </c>
      <c r="AR33" s="215">
        <f>IF(AND(ISNUMBER(AR29),ISNUMBER(AR77)),IFERROR(AR29/AR77,""),"")</f>
      </c>
      <c r="AS33" s="215">
        <f>IF(AND(ISNUMBER(AS29),ISNUMBER(AS77)),IFERROR(AS29/AS77,""),"")</f>
      </c>
      <c r="AT33" s="215">
        <f>IF(AND(ISNUMBER(AT29),ISNUMBER(AT77)),IFERROR(AT29/AT77,""),"")</f>
      </c>
      <c r="AU33" s="215">
        <f>IF(AND(ISNUMBER(AU29),ISNUMBER(AU77)),IFERROR(AU29/AU77,""),"")</f>
      </c>
      <c r="AV33" s="215">
        <f>IF(AND(ISNUMBER(AV29),ISNUMBER(AV77)),IFERROR(AV29/AV77,""),"")</f>
      </c>
      <c r="AW33" s="215">
        <f>IF(AND(ISNUMBER(AW29),ISNUMBER(AW77)),IFERROR(AW29/AW77,""),"")</f>
        <v>0.353179530749624</v>
      </c>
      <c r="AX33" s="215">
        <f>IF(AND(ISNUMBER(AX29),ISNUMBER(AX77)),IFERROR(AX29/AX77,""),"")</f>
        <v>0.362695547533093</v>
      </c>
      <c r="AY33" s="215">
        <f>IF(AND(ISNUMBER(AY29),ISNUMBER(AY77)),IFERROR(AY29/AY77,""),"")</f>
        <v>0.36506183745583</v>
      </c>
      <c r="AZ33" s="215">
        <f>IF(AND(ISNUMBER(AZ29),ISNUMBER(AZ77)),IFERROR(AZ29/AZ77,""),"")</f>
        <v>0.351253761283852</v>
      </c>
      <c r="BA33" s="215">
        <f>IF(AND(ISNUMBER(BA29),ISNUMBER(BA77)),IFERROR(BA29/BA77,""),"")</f>
        <v>0.389187116564417</v>
      </c>
      <c r="BB33" s="215">
        <f>IF(AND(ISNUMBER(BB29),ISNUMBER(BB77)),IFERROR(BB29/BB77,""),"")</f>
        <v>0.367559839017157</v>
      </c>
      <c r="BC33" s="215">
        <f>IF(AND(ISNUMBER(BC29),ISNUMBER(BC77)),IFERROR(BC29/BC77,""),"")</f>
        <v>0.342171472808206</v>
      </c>
      <c r="BD33" s="215">
        <f>IF(AND(ISNUMBER(BD29),ISNUMBER(BD77)),IFERROR(BD29/BD77,""),"")</f>
        <v>0.343460069128616</v>
      </c>
      <c r="BE33" s="215">
        <f>IF(AND(ISNUMBER(BE29),ISNUMBER(BE77)),IFERROR(BE29/BE77,""),"")</f>
        <v>0.345899930507297</v>
      </c>
      <c r="BF33" s="215">
        <f>IF(AND(ISNUMBER(BF29),ISNUMBER(BF77)),IFERROR(BF29/BF77,""),"")</f>
        <v>0.383702939659618</v>
      </c>
      <c r="BG33" s="215">
        <f>IF(AND(ISNUMBER(BG29),ISNUMBER(BG77)),IFERROR(BG29/BG77,""),"")</f>
        <v>0.354319377613887</v>
      </c>
      <c r="BH33" s="215">
        <f>IF(AND(ISNUMBER(BH29),ISNUMBER(BH77)),IFERROR(BH29/BH77,""),"")</f>
        <v>0.36499652052888</v>
      </c>
      <c r="BI33" s="215">
        <f>IF(AND(ISNUMBER(BI29),ISNUMBER(BI77)),IFERROR(BI29/BI77,""),"")</f>
        <v>0.350295102887223</v>
      </c>
      <c r="BJ33" s="215">
        <f>IF(AND(ISNUMBER(BJ29),ISNUMBER(BJ77)),IFERROR(BJ29/BJ77,""),"")</f>
        <v>0.355579366294199</v>
      </c>
      <c r="BK33" s="215">
        <f>IF(AND(ISNUMBER(BK29),ISNUMBER(BK77)),IFERROR(BK29/BK77,""),"")</f>
        <v>0.405772755039707</v>
      </c>
      <c r="BL33" s="215">
        <f>IF(AND(ISNUMBER(BL29),ISNUMBER(BL77)),IFERROR(BL29/BL77,""),"")</f>
        <v>0.369511514861742</v>
      </c>
      <c r="BM33" s="215">
        <f>IF(AND(ISNUMBER(BM29),ISNUMBER(BM77)),IFERROR(BM29/BM77,""),"")</f>
        <v>0.382482671707624</v>
      </c>
      <c r="BN33" s="215">
        <f>IF(AND(ISNUMBER(BN29),ISNUMBER(BN77)),IFERROR(BN29/BN77,""),"")</f>
        <v>0.371498347938515</v>
      </c>
      <c r="BO33" s="215">
        <f>IF(AND(ISNUMBER(BO29),ISNUMBER(BO77)),IFERROR(BO29/BO77,""),"")</f>
        <v>0.371827927805672</v>
      </c>
      <c r="BP33" s="215">
        <f>IF(AND(ISNUMBER(BP29),ISNUMBER(BP77)),IFERROR(BP29/BP77,""),"")</f>
        <v>0.411002804112699</v>
      </c>
      <c r="BQ33" s="215">
        <f>IF(AND(ISNUMBER(BQ29),ISNUMBER(BQ77)),IFERROR(BQ29/BQ77,""),"")</f>
        <v>0.384563496289985</v>
      </c>
      <c r="BR33" s="215">
        <f>IF(AND(ISNUMBER(BR29),ISNUMBER(BR77)),IFERROR(BR29/BR77,""),"")</f>
        <v>0.388689655172414</v>
      </c>
      <c r="BS33" s="215">
        <f>IF(AND(ISNUMBER(BS29),ISNUMBER(BS77)),IFERROR(BS29/BS77,""),"")</f>
        <v>0.391983278003197</v>
      </c>
      <c r="BT33" s="215">
        <f>IF(AND(ISNUMBER(BT29),ISNUMBER(BT77)),IFERROR(BT29/BT77,""),"")</f>
        <v>0.397930713787491</v>
      </c>
      <c r="BU33" s="215">
        <f>IF(AND(ISNUMBER(BU29),ISNUMBER(BU77)),IFERROR(BU29/BU77,""),"")</f>
        <v>0.441290029525324</v>
      </c>
      <c r="BV33" s="215">
        <f>IF(AND(ISNUMBER(BV29),ISNUMBER(BV77)),IFERROR(BV29/BV77,""),"")</f>
        <v>0.406056539904242</v>
      </c>
      <c r="BW33" s="215">
        <f>IF(AND(ISNUMBER(BW29),ISNUMBER(BW77)),IFERROR(BW29/BW77,""),"")</f>
        <v>0.4108120981186</v>
      </c>
      <c r="BX33" s="215">
        <f>IF(AND(ISNUMBER(BX29),ISNUMBER(BX77)),IFERROR(BX29/BX77,""),"")</f>
        <v>0.412417807480867</v>
      </c>
      <c r="BY33" s="256">
        <f>IF(AND(ISNUMBER(BY29),ISNUMBER(BY77)),IFERROR(BY29/BY77,""),"")</f>
        <v>0.419841741718157</v>
      </c>
      <c r="BZ33" s="256">
        <f>IF(AND(ISNUMBER(BZ29),ISNUMBER(BZ77)),IFERROR(BZ29/BZ77,""),"")</f>
        <v>0.463749555865087</v>
      </c>
      <c r="CA33" s="256">
        <f>IF(AND(ISNUMBER(CA29),ISNUMBER(CA77)),IFERROR(CA29/CA77,""),"")</f>
        <v>0.427639475153147</v>
      </c>
      <c r="CB33" s="256">
        <f>IF(AND(ISNUMBER(CB29),ISNUMBER(CB77)),IFERROR(CB29/CB77,""),"")</f>
        <v>0.437612847723737</v>
      </c>
      <c r="CC33" s="256">
        <f>IF(AND(ISNUMBER(CC29),ISNUMBER(CC77)),IFERROR(CC29/CC77,""),"")</f>
        <v>0.445996419124422</v>
      </c>
      <c r="CD33" s="256">
        <f>IF(AND(ISNUMBER(CD29),ISNUMBER(CD77)),IFERROR(CD29/CD77,""),"")</f>
        <v>0.45352509695301</v>
      </c>
      <c r="CE33" s="256">
        <f>IF(AND(ISNUMBER(CE29),ISNUMBER(CE77)),IFERROR(CE29/CE77,""),"")</f>
        <v>0.460069346611128</v>
      </c>
      <c r="CF33" s="153" t="n"/>
      <c r="CH33" s="37">
        <f>IFERROR(AVERAGE(CA33,CB33,CC33,CD33,CE33),"n/m")</f>
        <v>0.444968637113089</v>
      </c>
      <c r="CI33" s="37">
        <f>IFERROR(AVERAGE(BB33,BG33,BL33,BQ33,BV33),"n/m")</f>
        <v>0.376402153537403</v>
      </c>
      <c r="CJ33" s="37">
        <f>IFERROR(AVERAGE(AC33,AH33,AM33,AR33,AW33,BB33,BG33,BL33,BQ33,BV33),"n/m")</f>
        <v>0.372531716406106</v>
      </c>
      <c r="CK33" s="37">
        <f>IFERROR(AVERAGE(C33,D33,E33,F33,G33,H33,I33,N33,S33,X33,AC33,AH33,AM33,AR33,AW33,BB33,BG33,BL33,BQ33,BV33),"n/m")</f>
        <v>0.372531716406106</v>
      </c>
      <c r="CN33" s="25" t="inlineStr">
        <is>
          <t xml:space="preserve">  2027E</t>
        </is>
      </c>
      <c r="CO33" s="33">
        <f>CP33+$CO$32</f>
        <v>0.025</v>
      </c>
      <c r="CP33" s="42" t="n">
        <v>0.015</v>
      </c>
      <c r="CQ33" s="33">
        <f>CP33+$CQ$32</f>
        <v>0</v>
      </c>
    </row>
    <row r="34" ht="15" customHeight="1" s="251">
      <c r="CN34" s="25" t="inlineStr">
        <is>
          <t xml:space="preserve">  2028E</t>
        </is>
      </c>
      <c r="CO34" s="33">
        <f>CP34+$CO$32</f>
        <v>0.025</v>
      </c>
      <c r="CP34" s="42" t="n">
        <v>0.015</v>
      </c>
      <c r="CQ34" s="33">
        <f>CP34+$CQ$32</f>
        <v>0</v>
      </c>
    </row>
    <row r="35" ht="15" customHeight="1" s="251">
      <c r="B35" s="25" t="inlineStr">
        <is>
          <t>Net revenue not split into payment network / value-added services (FY2006–19, Q1-13 – Q4-20)</t>
        </is>
      </c>
      <c r="C35" s="211">
        <f>IF(ISNUMBER(C20),0,C123)</f>
        <v>3326.074</v>
      </c>
      <c r="D35" s="211">
        <f>IF(ISNUMBER(D20),0,D123)</f>
        <v>4067.599</v>
      </c>
      <c r="E35" s="211">
        <f>IF(ISNUMBER(E20),0,E123)</f>
        <v>4991.6</v>
      </c>
      <c r="F35" s="211">
        <f>IF(ISNUMBER(F20),0,F123)</f>
        <v>5098.684</v>
      </c>
      <c r="G35" s="211">
        <f>IF(ISNUMBER(G20),0,G123)</f>
        <v>5539</v>
      </c>
      <c r="H35" s="211">
        <f>IF(ISNUMBER(H20),0,H123)</f>
        <v>6714</v>
      </c>
      <c r="I35" s="211">
        <f>IF(ISNUMBER(I20),0,I123)</f>
        <v>7391</v>
      </c>
      <c r="J35" s="211">
        <f>IF(ISNUMBER(J20),0,J123)</f>
        <v>1906</v>
      </c>
      <c r="K35" s="211">
        <f>IF(ISNUMBER(K20),0,K123)</f>
        <v>2096</v>
      </c>
      <c r="L35" s="211">
        <f>IF(ISNUMBER(L20),0,L123)</f>
        <v>2218</v>
      </c>
      <c r="M35" s="211">
        <f>IF(ISNUMBER(M20),0,M123)</f>
        <v>2126</v>
      </c>
      <c r="N35" s="211">
        <f>IF(ISNUMBER(N20),0,N123)</f>
        <v>8346</v>
      </c>
      <c r="O35" s="211">
        <f>IF(ISNUMBER(O20),0,O123)</f>
        <v>2177</v>
      </c>
      <c r="P35" s="211">
        <f>IF(ISNUMBER(P20),0,P123)</f>
        <v>2377</v>
      </c>
      <c r="Q35" s="211">
        <f>IF(ISNUMBER(Q20),0,Q123)</f>
        <v>2503</v>
      </c>
      <c r="R35" s="211">
        <f>IF(ISNUMBER(R20),0,R123)</f>
        <v>2416</v>
      </c>
      <c r="S35" s="211">
        <f>IF(ISNUMBER(S20),0,S123)</f>
        <v>9473</v>
      </c>
      <c r="T35" s="211">
        <f>IF(ISNUMBER(T20),0,T123)</f>
        <v>2230</v>
      </c>
      <c r="U35" s="211">
        <f>IF(ISNUMBER(U20),0,U123)</f>
        <v>2390</v>
      </c>
      <c r="V35" s="211">
        <f>IF(ISNUMBER(V20),0,V123)</f>
        <v>2530</v>
      </c>
      <c r="W35" s="211">
        <f>IF(ISNUMBER(W20),0,W123)</f>
        <v>2517</v>
      </c>
      <c r="X35" s="211">
        <f>IF(ISNUMBER(X20),0,X123)</f>
        <v>9667</v>
      </c>
      <c r="Y35" s="211">
        <f>IF(ISNUMBER(Y20),0,Y123)</f>
        <v>2446</v>
      </c>
      <c r="Z35" s="211">
        <f>IF(ISNUMBER(Z20),0,Z123)</f>
        <v>2694</v>
      </c>
      <c r="AA35" s="211">
        <f>IF(ISNUMBER(AA20),0,AA123)</f>
        <v>2880</v>
      </c>
      <c r="AB35" s="211">
        <f>IF(ISNUMBER(AB20),0,AB123)</f>
        <v>2756</v>
      </c>
      <c r="AC35" s="211">
        <f>IF(ISNUMBER(AC20),0,AC123)</f>
        <v>10776</v>
      </c>
      <c r="AD35" s="211">
        <f>IF(ISNUMBER(AD20),0,AD123)</f>
        <v>2734</v>
      </c>
      <c r="AE35" s="211">
        <f>IF(ISNUMBER(AE20),0,AE123)</f>
        <v>3053</v>
      </c>
      <c r="AF35" s="211">
        <f>IF(ISNUMBER(AF20),0,AF123)</f>
        <v>3398</v>
      </c>
      <c r="AG35" s="211">
        <f>IF(ISNUMBER(AG20),0,AG123)</f>
        <v>3312</v>
      </c>
      <c r="AH35" s="211">
        <f>IF(ISNUMBER(AH20),0,AH123)</f>
        <v>12497</v>
      </c>
      <c r="AI35" s="211">
        <f>IF(ISNUMBER(AI20),0,AI123)</f>
        <v>3580</v>
      </c>
      <c r="AJ35" s="211">
        <f>IF(ISNUMBER(AJ20),0,AJ123)</f>
        <v>3665</v>
      </c>
      <c r="AK35" s="211">
        <f>IF(ISNUMBER(AK20),0,AK123)</f>
        <v>3898</v>
      </c>
      <c r="AL35" s="211">
        <f>IF(ISNUMBER(AL20),0,AL123)</f>
        <v>3807</v>
      </c>
      <c r="AM35" s="211">
        <f>IF(ISNUMBER(AM20),0,AM123)</f>
        <v>14950</v>
      </c>
      <c r="AN35" s="211">
        <f>IF(ISNUMBER(AN20),0,AN123)</f>
        <v>3889</v>
      </c>
      <c r="AO35" s="211">
        <f>IF(ISNUMBER(AO20),0,AO123)</f>
        <v>4113</v>
      </c>
      <c r="AP35" s="211">
        <f>IF(ISNUMBER(AP20),0,AP123)</f>
        <v>4467</v>
      </c>
      <c r="AQ35" s="211">
        <f>IF(ISNUMBER(AQ20),0,AQ123)</f>
        <v>4414</v>
      </c>
      <c r="AR35" s="211">
        <f>IF(ISNUMBER(AR20),0,AR123)</f>
        <v>16883</v>
      </c>
      <c r="AS35" s="211">
        <f>IF(ISNUMBER(AS20),0,AS123)</f>
        <v>4009</v>
      </c>
      <c r="AT35" s="211">
        <f>IF(ISNUMBER(AT20),0,AT123)</f>
        <v>3335</v>
      </c>
      <c r="AU35" s="211">
        <f>IF(ISNUMBER(AU20),0,AU123)</f>
        <v>3837</v>
      </c>
      <c r="AV35" s="211">
        <f>IF(ISNUMBER(AV20),0,AV123)</f>
        <v>4120</v>
      </c>
      <c r="AW35" s="211">
        <f>IF(ISNUMBER(AW20),0,AW123)</f>
        <v>0</v>
      </c>
      <c r="AX35" s="211">
        <f>IF(ISNUMBER(AX20),0,AX123)</f>
        <v>0</v>
      </c>
      <c r="AY35" s="211">
        <f>IF(ISNUMBER(AY20),0,AY123)</f>
        <v>0</v>
      </c>
      <c r="AZ35" s="211">
        <f>IF(ISNUMBER(AZ20),0,AZ123)</f>
        <v>0</v>
      </c>
      <c r="BA35" s="211">
        <f>IF(ISNUMBER(BA20),0,BA123)</f>
        <v>0</v>
      </c>
      <c r="BB35" s="211">
        <f>IF(ISNUMBER(BB20),0,BB123)</f>
        <v>0</v>
      </c>
      <c r="BC35" s="211">
        <f>IF(ISNUMBER(BC20),0,BC123)</f>
        <v>0</v>
      </c>
      <c r="BD35" s="211">
        <f>IF(ISNUMBER(BD20),0,BD123)</f>
        <v>0</v>
      </c>
      <c r="BE35" s="211">
        <f>IF(ISNUMBER(BE20),0,BE123)</f>
        <v>0</v>
      </c>
      <c r="BF35" s="211">
        <f>IF(ISNUMBER(BF20),0,BF123)</f>
        <v>0</v>
      </c>
      <c r="BG35" s="211">
        <f>IF(ISNUMBER(BG20),0,BG123)</f>
        <v>0</v>
      </c>
      <c r="BH35" s="211">
        <f>IF(ISNUMBER(BH20),0,BH123)</f>
        <v>0</v>
      </c>
      <c r="BI35" s="211">
        <f>IF(ISNUMBER(BI20),0,BI123)</f>
        <v>0</v>
      </c>
      <c r="BJ35" s="211">
        <f>IF(ISNUMBER(BJ20),0,BJ123)</f>
        <v>0</v>
      </c>
      <c r="BK35" s="211">
        <f>IF(ISNUMBER(BK20),0,BK123)</f>
        <v>0</v>
      </c>
      <c r="BL35" s="211">
        <f>IF(ISNUMBER(BL20),0,BL123)</f>
        <v>0</v>
      </c>
      <c r="BM35" s="211">
        <f>IF(ISNUMBER(BM20),0,BM123)</f>
        <v>0</v>
      </c>
      <c r="BN35" s="211">
        <f>IF(ISNUMBER(BN20),0,BN123)</f>
        <v>0</v>
      </c>
      <c r="BO35" s="211">
        <f>IF(ISNUMBER(BO20),0,BO123)</f>
        <v>0</v>
      </c>
      <c r="BP35" s="211">
        <f>IF(ISNUMBER(BP20),0,BP123)</f>
        <v>0</v>
      </c>
      <c r="BQ35" s="211">
        <f>IF(ISNUMBER(BQ20),0,BQ123)</f>
        <v>0</v>
      </c>
      <c r="BR35" s="211">
        <f>IF(ISNUMBER(BR20),0,BR123)</f>
        <v>0</v>
      </c>
      <c r="BS35" s="211">
        <f>IF(ISNUMBER(BS20),0,BS123)</f>
        <v>0</v>
      </c>
      <c r="BT35" s="211">
        <f>IF(ISNUMBER(BT20),0,BT123)</f>
        <v>0</v>
      </c>
      <c r="BU35" s="211">
        <f>IF(ISNUMBER(BU20),0,BU123)</f>
        <v>0</v>
      </c>
      <c r="BV35" s="211">
        <f>IF(ISNUMBER(BV20),0,BV123)</f>
        <v>0</v>
      </c>
      <c r="BW35" s="211">
        <f>IF(ISNUMBER(BW20),0,BW123)</f>
        <v>0</v>
      </c>
      <c r="BX35" s="211">
        <f>IF(ISNUMBER(BX20),0,BX123)</f>
        <v>0</v>
      </c>
      <c r="BY35" s="254">
        <f>0</f>
        <v>0</v>
      </c>
      <c r="BZ35" s="254">
        <f>0</f>
        <v>0</v>
      </c>
      <c r="CA35" s="254">
        <f>SUM(BW35:BZ35)</f>
        <v>0</v>
      </c>
      <c r="CB35" s="254">
        <f>0</f>
        <v>0</v>
      </c>
      <c r="CC35" s="254">
        <f>0</f>
        <v>0</v>
      </c>
      <c r="CD35" s="254">
        <f>0</f>
        <v>0</v>
      </c>
      <c r="CE35" s="254">
        <f>0</f>
        <v>0</v>
      </c>
      <c r="CF35" s="19" t="inlineStr">
        <is>
          <t>History before the current presentation (first presented in the FY2022 10-K, with FY2020–21 comparatives): consolidated net revenue. The legacy categories are in the memo block below.</t>
        </is>
      </c>
      <c r="CN35" s="25" t="inlineStr">
        <is>
          <t xml:space="preserve">  2029E</t>
        </is>
      </c>
      <c r="CO35" s="33">
        <f>CP35+$CO$32</f>
        <v>0.02</v>
      </c>
      <c r="CP35" s="42" t="n">
        <v>0.01</v>
      </c>
      <c r="CQ35" s="33">
        <f>CP35+$CQ$32</f>
        <v>-0.005</v>
      </c>
    </row>
    <row r="36" ht="15" customHeight="1" s="251">
      <c r="B36" s="25" t="inlineStr">
        <is>
          <t xml:space="preserve">  Legacy revenue categories (as presented FY2006–Q3-22; FY2006 not published; 2007–08 recast in the FY2009 10-K) — memo:</t>
        </is>
      </c>
      <c r="CF36" s="153" t="n"/>
      <c r="CN36" s="25" t="inlineStr">
        <is>
          <t xml:space="preserve">  2030E</t>
        </is>
      </c>
      <c r="CO36" s="33">
        <f>CP36+$CO$32</f>
        <v>0.02</v>
      </c>
      <c r="CP36" s="42" t="n">
        <v>0.01</v>
      </c>
      <c r="CQ36" s="33">
        <f>CP36+$CQ$32</f>
        <v>-0.005</v>
      </c>
    </row>
    <row r="37" ht="15" customHeight="1" s="251">
      <c r="B37" s="156" t="inlineStr">
        <is>
          <t xml:space="preserve">    Domestic assessments</t>
        </is>
      </c>
      <c r="C37" s="34" t="n"/>
      <c r="D37" s="253" t="n">
        <v>2099</v>
      </c>
      <c r="E37" s="253" t="n">
        <v>2386</v>
      </c>
      <c r="F37" s="253" t="n">
        <v>2382</v>
      </c>
      <c r="G37" s="253" t="n">
        <v>2642</v>
      </c>
      <c r="H37" s="253" t="n">
        <v>3246</v>
      </c>
      <c r="I37" s="253" t="n">
        <v>3586</v>
      </c>
      <c r="J37" s="253" t="n">
        <v>901</v>
      </c>
      <c r="K37" s="253" t="n">
        <v>940</v>
      </c>
      <c r="L37" s="253" t="n">
        <v>963</v>
      </c>
      <c r="M37" s="253" t="n">
        <v>1001</v>
      </c>
      <c r="N37" s="253" t="n">
        <v>3805</v>
      </c>
      <c r="O37" s="253" t="n">
        <v>938</v>
      </c>
      <c r="P37" s="253" t="n">
        <v>1008</v>
      </c>
      <c r="Q37" s="253" t="n">
        <v>1003</v>
      </c>
      <c r="R37" s="253" t="n">
        <v>1018</v>
      </c>
      <c r="S37" s="253" t="n">
        <v>3967</v>
      </c>
      <c r="T37" s="253" t="n">
        <v>963</v>
      </c>
      <c r="U37" s="253" t="n">
        <v>1028</v>
      </c>
      <c r="V37" s="253" t="n">
        <v>1028</v>
      </c>
      <c r="W37" s="253" t="n">
        <v>1067</v>
      </c>
      <c r="X37" s="253" t="n">
        <v>4086</v>
      </c>
      <c r="Y37" s="253" t="n">
        <v>1027</v>
      </c>
      <c r="Z37" s="253" t="n">
        <v>1110</v>
      </c>
      <c r="AA37" s="253" t="n">
        <v>1132</v>
      </c>
      <c r="AB37" s="253" t="n">
        <v>1142</v>
      </c>
      <c r="AC37" s="253" t="n">
        <v>4411</v>
      </c>
      <c r="AD37" s="253" t="n">
        <v>1189</v>
      </c>
      <c r="AE37" s="253" t="n">
        <v>1260</v>
      </c>
      <c r="AF37" s="253" t="n">
        <v>1302</v>
      </c>
      <c r="AG37" s="253" t="n">
        <v>1379</v>
      </c>
      <c r="AH37" s="253" t="n">
        <v>5130</v>
      </c>
      <c r="AI37" s="253" t="n">
        <v>1458</v>
      </c>
      <c r="AJ37" s="253" t="n">
        <v>1537</v>
      </c>
      <c r="AK37" s="253" t="n">
        <v>1564</v>
      </c>
      <c r="AL37" s="253" t="n">
        <v>1579</v>
      </c>
      <c r="AM37" s="253" t="n">
        <v>6138</v>
      </c>
      <c r="AN37" s="253" t="n">
        <v>1605</v>
      </c>
      <c r="AO37" s="253" t="n">
        <v>1680</v>
      </c>
      <c r="AP37" s="253" t="n">
        <v>1722</v>
      </c>
      <c r="AQ37" s="253" t="n">
        <v>1774</v>
      </c>
      <c r="AR37" s="253" t="n">
        <v>6781</v>
      </c>
      <c r="AS37" s="253" t="n">
        <v>1683</v>
      </c>
      <c r="AT37" s="253" t="n">
        <v>1474</v>
      </c>
      <c r="AU37" s="253" t="n">
        <v>1750</v>
      </c>
      <c r="AV37" s="253" t="n">
        <v>1749</v>
      </c>
      <c r="AW37" s="253" t="n">
        <v>6656</v>
      </c>
      <c r="AX37" s="253" t="n">
        <v>1798</v>
      </c>
      <c r="AY37" s="253" t="n">
        <v>2056</v>
      </c>
      <c r="AZ37" s="253" t="n">
        <v>2139</v>
      </c>
      <c r="BA37" s="253" t="n">
        <v>2165</v>
      </c>
      <c r="BB37" s="253" t="n">
        <v>8158</v>
      </c>
      <c r="BC37" s="253" t="n">
        <v>2134</v>
      </c>
      <c r="BD37" s="253" t="n">
        <v>2283</v>
      </c>
      <c r="BE37" s="253" t="n">
        <v>2252</v>
      </c>
      <c r="BF37" s="34" t="n"/>
      <c r="BG37" s="34" t="n"/>
      <c r="BH37" s="34" t="n"/>
      <c r="BI37" s="34" t="n"/>
      <c r="BJ37" s="34" t="n"/>
      <c r="BK37" s="34" t="n"/>
      <c r="BL37" s="34" t="n"/>
      <c r="BM37" s="34" t="n"/>
      <c r="BN37" s="34" t="n"/>
      <c r="BO37" s="34" t="n"/>
      <c r="BP37" s="34" t="n"/>
      <c r="BQ37" s="34" t="n"/>
      <c r="BR37" s="34" t="n"/>
      <c r="BS37" s="34" t="n"/>
      <c r="BT37" s="34" t="n"/>
      <c r="BU37" s="34" t="n"/>
      <c r="BV37" s="34" t="n"/>
      <c r="BW37" s="34" t="n"/>
      <c r="BX37" s="34" t="n"/>
      <c r="BY37" s="153" t="n"/>
      <c r="BZ37" s="153" t="n"/>
      <c r="CA37" s="153" t="n"/>
      <c r="CB37" s="153" t="n"/>
      <c r="CC37" s="153" t="n"/>
      <c r="CD37" s="153" t="n"/>
      <c r="CE37" s="153" t="n"/>
      <c r="CF37" s="153" t="n"/>
      <c r="CH37" s="20" t="str">
        <f>IFERROR((CE37/BV37)^(1/5)-1,"n/m")</f>
        <v>n/m</v>
      </c>
      <c r="CI37" s="20">
        <f>IFERROR((BV37/AW37)^(1/5)-1,"n/m")</f>
        <v>-1</v>
      </c>
      <c r="CJ37" s="20">
        <f>IFERROR((BV37/X37)^(1/10)-1,"n/m")</f>
        <v>-1</v>
      </c>
      <c r="CK37" s="20" t="str">
        <f>IFERROR((BV37/C37)^(1/19)-1,"n/m")</f>
        <v>n/m</v>
      </c>
      <c r="CN37" s="15" t="inlineStr">
        <is>
          <t>VAS (value-added services and solutions growth)</t>
        </is>
      </c>
      <c r="CO37" s="41" t="n">
        <v>0.03</v>
      </c>
      <c r="CP37" s="21" t="inlineStr">
        <is>
          <t>Δ →</t>
        </is>
      </c>
      <c r="CQ37" s="41" t="n">
        <v>-0.05</v>
      </c>
      <c r="CR37" s="13" t="inlineStr">
        <is>
          <t>FY2025 +23% (incl. Recorded Future from Dec-2024), H1-26 +21% (+18% currency-neutral). Security, digital &amp; authentication, consumer engagement, data &amp; insights, open banking.</t>
        </is>
      </c>
    </row>
    <row r="38" ht="15" customHeight="1" s="251">
      <c r="B38" s="156" t="inlineStr">
        <is>
          <t xml:space="preserve">    Cross-border volume fees</t>
        </is>
      </c>
      <c r="C38" s="34" t="n"/>
      <c r="D38" s="253" t="n">
        <v>1180</v>
      </c>
      <c r="E38" s="253" t="n">
        <v>1547</v>
      </c>
      <c r="F38" s="253" t="n">
        <v>1509</v>
      </c>
      <c r="G38" s="253" t="n">
        <v>1927</v>
      </c>
      <c r="H38" s="253" t="n">
        <v>2094</v>
      </c>
      <c r="I38" s="253" t="n">
        <v>2343</v>
      </c>
      <c r="J38" s="253" t="n">
        <v>607</v>
      </c>
      <c r="K38" s="253" t="n">
        <v>677</v>
      </c>
      <c r="L38" s="253" t="n">
        <v>760</v>
      </c>
      <c r="M38" s="253" t="n">
        <v>749</v>
      </c>
      <c r="N38" s="253" t="n">
        <v>2793</v>
      </c>
      <c r="O38" s="253" t="n">
        <v>695</v>
      </c>
      <c r="P38" s="253" t="n">
        <v>750</v>
      </c>
      <c r="Q38" s="253" t="n">
        <v>835</v>
      </c>
      <c r="R38" s="253" t="n">
        <v>774</v>
      </c>
      <c r="S38" s="253" t="n">
        <v>3054</v>
      </c>
      <c r="T38" s="253" t="n">
        <v>724</v>
      </c>
      <c r="U38" s="253" t="n">
        <v>777</v>
      </c>
      <c r="V38" s="253" t="n">
        <v>880</v>
      </c>
      <c r="W38" s="253" t="n">
        <v>844</v>
      </c>
      <c r="X38" s="253" t="n">
        <v>3225</v>
      </c>
      <c r="Y38" s="253" t="n">
        <v>796</v>
      </c>
      <c r="Z38" s="253" t="n">
        <v>866</v>
      </c>
      <c r="AA38" s="253" t="n">
        <v>996</v>
      </c>
      <c r="AB38" s="253" t="n">
        <v>910</v>
      </c>
      <c r="AC38" s="253" t="n">
        <v>3568</v>
      </c>
      <c r="AD38" s="253" t="n">
        <v>916</v>
      </c>
      <c r="AE38" s="253" t="n">
        <v>984</v>
      </c>
      <c r="AF38" s="253" t="n">
        <v>1157</v>
      </c>
      <c r="AG38" s="253" t="n">
        <v>1117</v>
      </c>
      <c r="AH38" s="253" t="n">
        <v>4174</v>
      </c>
      <c r="AI38" s="253" t="n">
        <v>1157</v>
      </c>
      <c r="AJ38" s="253" t="n">
        <v>1198</v>
      </c>
      <c r="AK38" s="253" t="n">
        <v>1338</v>
      </c>
      <c r="AL38" s="253" t="n">
        <v>1261</v>
      </c>
      <c r="AM38" s="253" t="n">
        <v>4954</v>
      </c>
      <c r="AN38" s="253" t="n">
        <v>1263</v>
      </c>
      <c r="AO38" s="253" t="n">
        <v>1374</v>
      </c>
      <c r="AP38" s="253" t="n">
        <v>1517</v>
      </c>
      <c r="AQ38" s="253" t="n">
        <v>1452</v>
      </c>
      <c r="AR38" s="253" t="n">
        <v>5606</v>
      </c>
      <c r="AS38" s="253" t="n">
        <v>1217</v>
      </c>
      <c r="AT38" s="253" t="n">
        <v>637</v>
      </c>
      <c r="AU38" s="253" t="n">
        <v>791</v>
      </c>
      <c r="AV38" s="253" t="n">
        <v>867</v>
      </c>
      <c r="AW38" s="253" t="n">
        <v>3512</v>
      </c>
      <c r="AX38" s="253" t="n">
        <v>932</v>
      </c>
      <c r="AY38" s="253" t="n">
        <v>1076</v>
      </c>
      <c r="AZ38" s="253" t="n">
        <v>1276</v>
      </c>
      <c r="BA38" s="253" t="n">
        <v>1380</v>
      </c>
      <c r="BB38" s="253" t="n">
        <v>4664</v>
      </c>
      <c r="BC38" s="253" t="n">
        <v>1395</v>
      </c>
      <c r="BD38" s="253" t="n">
        <v>1615</v>
      </c>
      <c r="BE38" s="253" t="n">
        <v>1803</v>
      </c>
      <c r="BF38" s="34" t="n"/>
      <c r="BG38" s="34" t="n"/>
      <c r="BH38" s="34" t="n"/>
      <c r="BI38" s="34" t="n"/>
      <c r="BJ38" s="34" t="n"/>
      <c r="BK38" s="34" t="n"/>
      <c r="BL38" s="34" t="n"/>
      <c r="BM38" s="34" t="n"/>
      <c r="BN38" s="34" t="n"/>
      <c r="BO38" s="34" t="n"/>
      <c r="BP38" s="34" t="n"/>
      <c r="BQ38" s="34" t="n"/>
      <c r="BR38" s="34" t="n"/>
      <c r="BS38" s="34" t="n"/>
      <c r="BT38" s="34" t="n"/>
      <c r="BU38" s="34" t="n"/>
      <c r="BV38" s="34" t="n"/>
      <c r="BW38" s="34" t="n"/>
      <c r="BX38" s="34" t="n"/>
      <c r="BY38" s="153" t="n"/>
      <c r="BZ38" s="153" t="n"/>
      <c r="CA38" s="153" t="n"/>
      <c r="CB38" s="153" t="n"/>
      <c r="CC38" s="153" t="n"/>
      <c r="CD38" s="153" t="n"/>
      <c r="CE38" s="153" t="n"/>
      <c r="CF38" s="153" t="n"/>
      <c r="CH38" s="20" t="str">
        <f>IFERROR((CE38/BV38)^(1/5)-1,"n/m")</f>
        <v>n/m</v>
      </c>
      <c r="CI38" s="20">
        <f>IFERROR((BV38/AW38)^(1/5)-1,"n/m")</f>
        <v>-1</v>
      </c>
      <c r="CJ38" s="20">
        <f>IFERROR((BV38/X38)^(1/10)-1,"n/m")</f>
        <v>-1</v>
      </c>
      <c r="CK38" s="20" t="str">
        <f>IFERROR((BV38/C38)^(1/19)-1,"n/m")</f>
        <v>n/m</v>
      </c>
      <c r="CN38" s="25" t="inlineStr">
        <is>
          <t xml:space="preserve">  2027E</t>
        </is>
      </c>
      <c r="CO38" s="33">
        <f>CP38+$CO$37</f>
        <v>0.18</v>
      </c>
      <c r="CP38" s="42" t="n">
        <v>0.15</v>
      </c>
      <c r="CQ38" s="33">
        <f>CP38+$CQ$37</f>
        <v>0.1</v>
      </c>
    </row>
    <row r="39" ht="15" customHeight="1" s="251">
      <c r="B39" s="156" t="inlineStr">
        <is>
          <t xml:space="preserve">    Transaction processing fees</t>
        </is>
      </c>
      <c r="C39" s="34" t="n"/>
      <c r="D39" s="253" t="n">
        <v>1490</v>
      </c>
      <c r="E39" s="253" t="n">
        <v>1777</v>
      </c>
      <c r="F39" s="253" t="n">
        <v>2042</v>
      </c>
      <c r="G39" s="253" t="n">
        <v>2198</v>
      </c>
      <c r="H39" s="253" t="n">
        <v>2595</v>
      </c>
      <c r="I39" s="253" t="n">
        <v>3017</v>
      </c>
      <c r="J39" s="253" t="n">
        <v>775</v>
      </c>
      <c r="K39" s="253" t="n">
        <v>818</v>
      </c>
      <c r="L39" s="253" t="n">
        <v>865</v>
      </c>
      <c r="M39" s="253" t="n">
        <v>901</v>
      </c>
      <c r="N39" s="253" t="n">
        <v>3359</v>
      </c>
      <c r="O39" s="253" t="n">
        <v>936</v>
      </c>
      <c r="P39" s="253" t="n">
        <v>995</v>
      </c>
      <c r="Q39" s="253" t="n">
        <v>1041</v>
      </c>
      <c r="R39" s="253" t="n">
        <v>1063</v>
      </c>
      <c r="S39" s="253" t="n">
        <v>4035</v>
      </c>
      <c r="T39" s="253" t="n">
        <v>1006</v>
      </c>
      <c r="U39" s="253" t="n">
        <v>1051</v>
      </c>
      <c r="V39" s="253" t="n">
        <v>1140</v>
      </c>
      <c r="W39" s="253" t="n">
        <v>1148</v>
      </c>
      <c r="X39" s="253" t="n">
        <v>4345</v>
      </c>
      <c r="Y39" s="253" t="n">
        <v>1165</v>
      </c>
      <c r="Z39" s="253" t="n">
        <v>1271</v>
      </c>
      <c r="AA39" s="253" t="n">
        <v>1357</v>
      </c>
      <c r="AB39" s="253" t="n">
        <v>1350</v>
      </c>
      <c r="AC39" s="253" t="n">
        <v>5143</v>
      </c>
      <c r="AD39" s="253" t="n">
        <v>1347</v>
      </c>
      <c r="AE39" s="253" t="n">
        <v>1496</v>
      </c>
      <c r="AF39" s="253" t="n">
        <v>1662</v>
      </c>
      <c r="AG39" s="253" t="n">
        <v>1683</v>
      </c>
      <c r="AH39" s="253" t="n">
        <v>6188</v>
      </c>
      <c r="AI39" s="253" t="n">
        <v>1707</v>
      </c>
      <c r="AJ39" s="253" t="n">
        <v>1830</v>
      </c>
      <c r="AK39" s="253" t="n">
        <v>1912</v>
      </c>
      <c r="AL39" s="253" t="n">
        <v>1942</v>
      </c>
      <c r="AM39" s="253" t="n">
        <v>7391</v>
      </c>
      <c r="AN39" s="253" t="n">
        <v>1922</v>
      </c>
      <c r="AO39" s="253" t="n">
        <v>2053</v>
      </c>
      <c r="AP39" s="253" t="n">
        <v>2231</v>
      </c>
      <c r="AQ39" s="253" t="n">
        <v>2263</v>
      </c>
      <c r="AR39" s="253" t="n">
        <v>8469</v>
      </c>
      <c r="AS39" s="253" t="n">
        <v>2200</v>
      </c>
      <c r="AT39" s="253" t="n">
        <v>1901</v>
      </c>
      <c r="AU39" s="253" t="n">
        <v>2251</v>
      </c>
      <c r="AV39" s="253" t="n">
        <v>2379</v>
      </c>
      <c r="AW39" s="253" t="n">
        <v>8731</v>
      </c>
      <c r="AX39" s="253" t="n">
        <v>2351</v>
      </c>
      <c r="AY39" s="253" t="n">
        <v>2612</v>
      </c>
      <c r="AZ39" s="253" t="n">
        <v>2849</v>
      </c>
      <c r="BA39" s="253" t="n">
        <v>2987</v>
      </c>
      <c r="BB39" s="253" t="n">
        <v>10799</v>
      </c>
      <c r="BC39" s="253" t="n">
        <v>2912</v>
      </c>
      <c r="BD39" s="253" t="n">
        <v>3061</v>
      </c>
      <c r="BE39" s="253" t="n">
        <v>3288</v>
      </c>
      <c r="BF39" s="34" t="n"/>
      <c r="BG39" s="34" t="n"/>
      <c r="BH39" s="34" t="n"/>
      <c r="BI39" s="34" t="n"/>
      <c r="BJ39" s="34" t="n"/>
      <c r="BK39" s="34" t="n"/>
      <c r="BL39" s="34" t="n"/>
      <c r="BM39" s="34" t="n"/>
      <c r="BN39" s="34" t="n"/>
      <c r="BO39" s="34" t="n"/>
      <c r="BP39" s="34" t="n"/>
      <c r="BQ39" s="34" t="n"/>
      <c r="BR39" s="34" t="n"/>
      <c r="BS39" s="34" t="n"/>
      <c r="BT39" s="34" t="n"/>
      <c r="BU39" s="34" t="n"/>
      <c r="BV39" s="34" t="n"/>
      <c r="BW39" s="34" t="n"/>
      <c r="BX39" s="34" t="n"/>
      <c r="BY39" s="153" t="n"/>
      <c r="BZ39" s="153" t="n"/>
      <c r="CA39" s="153" t="n"/>
      <c r="CB39" s="153" t="n"/>
      <c r="CC39" s="153" t="n"/>
      <c r="CD39" s="153" t="n"/>
      <c r="CE39" s="153" t="n"/>
      <c r="CF39" s="153" t="n"/>
      <c r="CH39" s="20" t="str">
        <f>IFERROR((CE39/BV39)^(1/5)-1,"n/m")</f>
        <v>n/m</v>
      </c>
      <c r="CI39" s="20">
        <f>IFERROR((BV39/AW39)^(1/5)-1,"n/m")</f>
        <v>-1</v>
      </c>
      <c r="CJ39" s="20">
        <f>IFERROR((BV39/X39)^(1/10)-1,"n/m")</f>
        <v>-1</v>
      </c>
      <c r="CK39" s="20" t="str">
        <f>IFERROR((BV39/C39)^(1/19)-1,"n/m")</f>
        <v>n/m</v>
      </c>
      <c r="CN39" s="25" t="inlineStr">
        <is>
          <t xml:space="preserve">  2028E</t>
        </is>
      </c>
      <c r="CO39" s="33">
        <f>CP39+$CO$37</f>
        <v>0.17</v>
      </c>
      <c r="CP39" s="42" t="n">
        <v>0.14</v>
      </c>
      <c r="CQ39" s="33">
        <f>CP39+$CQ$37</f>
        <v>0.09</v>
      </c>
    </row>
    <row r="40" ht="15" customHeight="1" s="251">
      <c r="B40" s="156" t="inlineStr">
        <is>
          <t xml:space="preserve">    Other revenues</t>
        </is>
      </c>
      <c r="C40" s="34" t="n"/>
      <c r="D40" s="253" t="n">
        <v>622</v>
      </c>
      <c r="E40" s="253" t="n">
        <v>751</v>
      </c>
      <c r="F40" s="253" t="n">
        <v>784</v>
      </c>
      <c r="G40" s="253" t="n">
        <v>791</v>
      </c>
      <c r="H40" s="253" t="n">
        <v>1000</v>
      </c>
      <c r="I40" s="253" t="n">
        <v>1154</v>
      </c>
      <c r="J40" s="253" t="n">
        <v>280</v>
      </c>
      <c r="K40" s="253" t="n">
        <v>315</v>
      </c>
      <c r="L40" s="253" t="n">
        <v>336</v>
      </c>
      <c r="M40" s="253" t="n">
        <v>400</v>
      </c>
      <c r="N40" s="253" t="n">
        <v>1331</v>
      </c>
      <c r="O40" s="253" t="n">
        <v>341</v>
      </c>
      <c r="P40" s="253" t="n">
        <v>392</v>
      </c>
      <c r="Q40" s="253" t="n">
        <v>460</v>
      </c>
      <c r="R40" s="253" t="n">
        <v>495</v>
      </c>
      <c r="S40" s="253" t="n">
        <v>1688</v>
      </c>
      <c r="T40" s="253" t="n">
        <v>418</v>
      </c>
      <c r="U40" s="253" t="n">
        <v>474</v>
      </c>
      <c r="V40" s="253" t="n">
        <v>501</v>
      </c>
      <c r="W40" s="253" t="n">
        <v>598</v>
      </c>
      <c r="X40" s="253" t="n">
        <v>1991</v>
      </c>
      <c r="Y40" s="253" t="n">
        <v>497</v>
      </c>
      <c r="Z40" s="253" t="n">
        <v>590</v>
      </c>
      <c r="AA40" s="253" t="n">
        <v>620</v>
      </c>
      <c r="AB40" s="253" t="n">
        <v>724</v>
      </c>
      <c r="AC40" s="253" t="n">
        <v>2431</v>
      </c>
      <c r="AD40" s="253" t="n">
        <v>561</v>
      </c>
      <c r="AE40" s="253" t="n">
        <v>694</v>
      </c>
      <c r="AF40" s="253" t="n">
        <v>747</v>
      </c>
      <c r="AG40" s="253" t="n">
        <v>851</v>
      </c>
      <c r="AH40" s="253" t="n">
        <v>2853</v>
      </c>
      <c r="AI40" s="253" t="n">
        <v>748</v>
      </c>
      <c r="AJ40" s="253" t="n">
        <v>785</v>
      </c>
      <c r="AK40" s="253" t="n">
        <v>819</v>
      </c>
      <c r="AL40" s="253" t="n">
        <v>996</v>
      </c>
      <c r="AM40" s="253" t="n">
        <v>3348</v>
      </c>
      <c r="AN40" s="253" t="n">
        <v>842</v>
      </c>
      <c r="AO40" s="253" t="n">
        <v>962</v>
      </c>
      <c r="AP40" s="253" t="n">
        <v>1087</v>
      </c>
      <c r="AQ40" s="253" t="n">
        <v>1233</v>
      </c>
      <c r="AR40" s="253" t="n">
        <v>4124</v>
      </c>
      <c r="AS40" s="253" t="n">
        <v>1062</v>
      </c>
      <c r="AT40" s="253" t="n">
        <v>1081</v>
      </c>
      <c r="AU40" s="253" t="n">
        <v>1143</v>
      </c>
      <c r="AV40" s="253" t="n">
        <v>1431</v>
      </c>
      <c r="AW40" s="253" t="n">
        <v>4717</v>
      </c>
      <c r="AX40" s="253" t="n">
        <v>1347</v>
      </c>
      <c r="AY40" s="253" t="n">
        <v>1475</v>
      </c>
      <c r="AZ40" s="253" t="n">
        <v>1562</v>
      </c>
      <c r="BA40" s="253" t="n">
        <v>1840</v>
      </c>
      <c r="BB40" s="253" t="n">
        <v>6224</v>
      </c>
      <c r="BC40" s="253" t="n">
        <v>1584</v>
      </c>
      <c r="BD40" s="253" t="n">
        <v>1745</v>
      </c>
      <c r="BE40" s="253" t="n">
        <v>1824</v>
      </c>
      <c r="BF40" s="34" t="n"/>
      <c r="BG40" s="34" t="n"/>
      <c r="BH40" s="34" t="n"/>
      <c r="BI40" s="34" t="n"/>
      <c r="BJ40" s="34" t="n"/>
      <c r="BK40" s="34" t="n"/>
      <c r="BL40" s="34" t="n"/>
      <c r="BM40" s="34" t="n"/>
      <c r="BN40" s="34" t="n"/>
      <c r="BO40" s="34" t="n"/>
      <c r="BP40" s="34" t="n"/>
      <c r="BQ40" s="34" t="n"/>
      <c r="BR40" s="34" t="n"/>
      <c r="BS40" s="34" t="n"/>
      <c r="BT40" s="34" t="n"/>
      <c r="BU40" s="34" t="n"/>
      <c r="BV40" s="34" t="n"/>
      <c r="BW40" s="34" t="n"/>
      <c r="BX40" s="34" t="n"/>
      <c r="BY40" s="153" t="n"/>
      <c r="BZ40" s="153" t="n"/>
      <c r="CA40" s="153" t="n"/>
      <c r="CB40" s="153" t="n"/>
      <c r="CC40" s="153" t="n"/>
      <c r="CD40" s="153" t="n"/>
      <c r="CE40" s="153" t="n"/>
      <c r="CF40" s="153" t="n"/>
      <c r="CH40" s="20" t="str">
        <f>IFERROR((CE40/BV40)^(1/5)-1,"n/m")</f>
        <v>n/m</v>
      </c>
      <c r="CI40" s="20">
        <f>IFERROR((BV40/AW40)^(1/5)-1,"n/m")</f>
        <v>-1</v>
      </c>
      <c r="CJ40" s="20">
        <f>IFERROR((BV40/X40)^(1/10)-1,"n/m")</f>
        <v>-1</v>
      </c>
      <c r="CK40" s="20" t="str">
        <f>IFERROR((BV40/C40)^(1/19)-1,"n/m")</f>
        <v>n/m</v>
      </c>
      <c r="CN40" s="25" t="inlineStr">
        <is>
          <t xml:space="preserve">  2029E</t>
        </is>
      </c>
      <c r="CO40" s="33">
        <f>CP40+$CO$37</f>
        <v>0.16</v>
      </c>
      <c r="CP40" s="42" t="n">
        <v>0.13</v>
      </c>
      <c r="CQ40" s="33">
        <f>CP40+$CQ$37</f>
        <v>0.08</v>
      </c>
    </row>
    <row r="41" ht="15" customHeight="1" s="251">
      <c r="B41" s="156" t="inlineStr">
        <is>
          <t xml:space="preserve">    Rebates and incentives (contra-revenue)</t>
        </is>
      </c>
      <c r="C41" s="34" t="n"/>
      <c r="D41" s="253" t="n">
        <v>-1324</v>
      </c>
      <c r="E41" s="253" t="n">
        <v>-1469</v>
      </c>
      <c r="F41" s="253" t="n">
        <v>-1618</v>
      </c>
      <c r="G41" s="253" t="n">
        <v>-2019</v>
      </c>
      <c r="H41" s="253" t="n">
        <v>-2221</v>
      </c>
      <c r="I41" s="253" t="n">
        <v>-2709</v>
      </c>
      <c r="J41" s="253" t="n">
        <v>-657</v>
      </c>
      <c r="K41" s="253" t="n">
        <v>-654</v>
      </c>
      <c r="L41" s="253" t="n">
        <v>-706</v>
      </c>
      <c r="M41" s="253" t="n">
        <v>-925</v>
      </c>
      <c r="N41" s="253" t="n">
        <v>-2942</v>
      </c>
      <c r="O41" s="253" t="n">
        <v>-733</v>
      </c>
      <c r="P41" s="253" t="n">
        <v>-768</v>
      </c>
      <c r="Q41" s="253" t="n">
        <v>-836</v>
      </c>
      <c r="R41" s="253" t="n">
        <v>-934</v>
      </c>
      <c r="S41" s="253" t="n">
        <v>-3271</v>
      </c>
      <c r="T41" s="253" t="n">
        <v>-881</v>
      </c>
      <c r="U41" s="253" t="n">
        <v>-940</v>
      </c>
      <c r="V41" s="253" t="n">
        <v>-1019</v>
      </c>
      <c r="W41" s="253" t="n">
        <v>-1140</v>
      </c>
      <c r="X41" s="253" t="n">
        <v>-3980</v>
      </c>
      <c r="Y41" s="253" t="n">
        <v>-1039</v>
      </c>
      <c r="Z41" s="253" t="n">
        <v>-1143</v>
      </c>
      <c r="AA41" s="253" t="n">
        <v>-1225</v>
      </c>
      <c r="AB41" s="253" t="n">
        <v>-1370</v>
      </c>
      <c r="AC41" s="253" t="n">
        <v>-4777</v>
      </c>
      <c r="AD41" s="253" t="n">
        <v>-1279</v>
      </c>
      <c r="AE41" s="253" t="n">
        <v>-1381</v>
      </c>
      <c r="AF41" s="253" t="n">
        <v>-1470</v>
      </c>
      <c r="AG41" s="253" t="n">
        <v>-1718</v>
      </c>
      <c r="AH41" s="253" t="n">
        <v>-5848</v>
      </c>
      <c r="AI41" s="253" t="n">
        <v>-1490</v>
      </c>
      <c r="AJ41" s="253" t="n">
        <v>-1685</v>
      </c>
      <c r="AK41" s="253" t="n">
        <v>-1735</v>
      </c>
      <c r="AL41" s="253" t="n">
        <v>-1971</v>
      </c>
      <c r="AM41" s="253" t="n">
        <v>-6881</v>
      </c>
      <c r="AN41" s="253" t="n">
        <v>-1743</v>
      </c>
      <c r="AO41" s="253" t="n">
        <v>-1956</v>
      </c>
      <c r="AP41" s="253" t="n">
        <v>-2090</v>
      </c>
      <c r="AQ41" s="253" t="n">
        <v>-2308</v>
      </c>
      <c r="AR41" s="253" t="n">
        <v>-8097</v>
      </c>
      <c r="AS41" s="253" t="n">
        <v>-2153</v>
      </c>
      <c r="AT41" s="253" t="n">
        <v>-1758</v>
      </c>
      <c r="AU41" s="253" t="n">
        <v>-2098</v>
      </c>
      <c r="AV41" s="253" t="n">
        <v>-2306</v>
      </c>
      <c r="AW41" s="253" t="n">
        <v>-8315</v>
      </c>
      <c r="AX41" s="253" t="n">
        <v>-2273</v>
      </c>
      <c r="AY41" s="253" t="n">
        <v>-2691</v>
      </c>
      <c r="AZ41" s="253" t="n">
        <v>-2841</v>
      </c>
      <c r="BA41" s="253" t="n">
        <v>-3156</v>
      </c>
      <c r="BB41" s="253" t="n">
        <v>-10961</v>
      </c>
      <c r="BC41" s="253" t="n">
        <v>-2858</v>
      </c>
      <c r="BD41" s="253" t="n">
        <v>-3207</v>
      </c>
      <c r="BE41" s="253" t="n">
        <v>-3411</v>
      </c>
      <c r="BF41" s="34" t="n"/>
      <c r="BG41" s="34" t="n"/>
      <c r="BH41" s="34" t="n"/>
      <c r="BI41" s="34" t="n"/>
      <c r="BJ41" s="34" t="n"/>
      <c r="BK41" s="34" t="n"/>
      <c r="BL41" s="34" t="n"/>
      <c r="BM41" s="34" t="n"/>
      <c r="BN41" s="34" t="n"/>
      <c r="BO41" s="34" t="n"/>
      <c r="BP41" s="34" t="n"/>
      <c r="BQ41" s="34" t="n"/>
      <c r="BR41" s="34" t="n"/>
      <c r="BS41" s="34" t="n"/>
      <c r="BT41" s="34" t="n"/>
      <c r="BU41" s="34" t="n"/>
      <c r="BV41" s="34" t="n"/>
      <c r="BW41" s="34" t="n"/>
      <c r="BX41" s="34" t="n"/>
      <c r="BY41" s="153" t="n"/>
      <c r="BZ41" s="153" t="n"/>
      <c r="CA41" s="153" t="n"/>
      <c r="CB41" s="153" t="n"/>
      <c r="CC41" s="153" t="n"/>
      <c r="CD41" s="153" t="n"/>
      <c r="CE41" s="153" t="n"/>
      <c r="CF41" s="153" t="n"/>
      <c r="CH41" s="20" t="str">
        <f>IFERROR((CE41/BV41)^(1/5)-1,"n/m")</f>
        <v>n/m</v>
      </c>
      <c r="CI41" s="20">
        <f>IFERROR((BV41/AW41)^(1/5)-1,"n/m")</f>
        <v>-1</v>
      </c>
      <c r="CJ41" s="20">
        <f>IFERROR((BV41/X41)^(1/10)-1,"n/m")</f>
        <v>-1</v>
      </c>
      <c r="CK41" s="20" t="str">
        <f>IFERROR((BV41/C41)^(1/19)-1,"n/m")</f>
        <v>n/m</v>
      </c>
      <c r="CN41" s="25" t="inlineStr">
        <is>
          <t xml:space="preserve">  2030E</t>
        </is>
      </c>
      <c r="CO41" s="33">
        <f>CP41+$CO$37</f>
        <v>0.15</v>
      </c>
      <c r="CP41" s="42" t="n">
        <v>0.12</v>
      </c>
      <c r="CQ41" s="33">
        <f>CP41+$CQ$37</f>
        <v>0.07</v>
      </c>
    </row>
    <row r="42" ht="15" customHeight="1" s="251">
      <c r="B42" s="57" t="inlineStr">
        <is>
          <t xml:space="preserve">    Check: legacy categories vs net revenue (should be 0)</t>
        </is>
      </c>
      <c r="C42" s="211">
        <f>IF(ISNUMBER(C37),IF(ABS(N(C37)+N(C38)+N(C39)+N(C40)+N(C41)-C123)&lt;=1.1,0,ROUND(N(C37)+N(C38)+N(C39)+N(C40)+N(C41)-C123,0)),"")</f>
      </c>
      <c r="D42" s="211">
        <f>IF(ISNUMBER(D37),IF(ABS(N(D37)+N(D38)+N(D39)+N(D40)+N(D41)-D123)&lt;=1.1,0,ROUND(N(D37)+N(D38)+N(D39)+N(D40)+N(D41)-D123,0)),"")</f>
        <v>0</v>
      </c>
      <c r="E42" s="211">
        <f>IF(ISNUMBER(E37),IF(ABS(N(E37)+N(E38)+N(E39)+N(E40)+N(E41)-E123)&lt;=1.1,0,ROUND(N(E37)+N(E38)+N(E39)+N(E40)+N(E41)-E123,0)),"")</f>
        <v>0</v>
      </c>
      <c r="F42" s="211">
        <f>IF(ISNUMBER(F37),IF(ABS(N(F37)+N(F38)+N(F39)+N(F40)+N(F41)-F123)&lt;=1.1,0,ROUND(N(F37)+N(F38)+N(F39)+N(F40)+N(F41)-F123,0)),"")</f>
        <v>0</v>
      </c>
      <c r="G42" s="211">
        <f>IF(ISNUMBER(G37),IF(ABS(N(G37)+N(G38)+N(G39)+N(G40)+N(G41)-G123)&lt;=1.1,0,ROUND(N(G37)+N(G38)+N(G39)+N(G40)+N(G41)-G123,0)),"")</f>
        <v>0</v>
      </c>
      <c r="H42" s="211">
        <f>IF(ISNUMBER(H37),IF(ABS(N(H37)+N(H38)+N(H39)+N(H40)+N(H41)-H123)&lt;=1.1,0,ROUND(N(H37)+N(H38)+N(H39)+N(H40)+N(H41)-H123,0)),"")</f>
        <v>0</v>
      </c>
      <c r="I42" s="211">
        <f>IF(ISNUMBER(I37),IF(ABS(N(I37)+N(I38)+N(I39)+N(I40)+N(I41)-I123)&lt;=1.1,0,ROUND(N(I37)+N(I38)+N(I39)+N(I40)+N(I41)-I123,0)),"")</f>
        <v>0</v>
      </c>
      <c r="J42" s="211">
        <f>IF(ISNUMBER(J37),IF(ABS(N(J37)+N(J38)+N(J39)+N(J40)+N(J41)-J123)&lt;=1.1,0,ROUND(N(J37)+N(J38)+N(J39)+N(J40)+N(J41)-J123,0)),"")</f>
        <v>0</v>
      </c>
      <c r="K42" s="211">
        <f>IF(ISNUMBER(K37),IF(ABS(N(K37)+N(K38)+N(K39)+N(K40)+N(K41)-K123)&lt;=1.1,0,ROUND(N(K37)+N(K38)+N(K39)+N(K40)+N(K41)-K123,0)),"")</f>
        <v>0</v>
      </c>
      <c r="L42" s="211">
        <f>IF(ISNUMBER(L37),IF(ABS(N(L37)+N(L38)+N(L39)+N(L40)+N(L41)-L123)&lt;=1.1,0,ROUND(N(L37)+N(L38)+N(L39)+N(L40)+N(L41)-L123,0)),"")</f>
        <v>0</v>
      </c>
      <c r="M42" s="211">
        <f>IF(ISNUMBER(M37),IF(ABS(N(M37)+N(M38)+N(M39)+N(M40)+N(M41)-M123)&lt;=1.1,0,ROUND(N(M37)+N(M38)+N(M39)+N(M40)+N(M41)-M123,0)),"")</f>
        <v>0</v>
      </c>
      <c r="N42" s="211">
        <f>IF(ISNUMBER(N37),IF(ABS(N(N37)+N(N38)+N(N39)+N(N40)+N(N41)-N123)&lt;=1.1,0,ROUND(N(N37)+N(N38)+N(N39)+N(N40)+N(N41)-N123,0)),"")</f>
        <v>0</v>
      </c>
      <c r="O42" s="211">
        <f>IF(ISNUMBER(O37),IF(ABS(N(O37)+N(O38)+N(O39)+N(O40)+N(O41)-O123)&lt;=1.1,0,ROUND(N(O37)+N(O38)+N(O39)+N(O40)+N(O41)-O123,0)),"")</f>
        <v>0</v>
      </c>
      <c r="P42" s="211">
        <f>IF(ISNUMBER(P37),IF(ABS(N(P37)+N(P38)+N(P39)+N(P40)+N(P41)-P123)&lt;=1.1,0,ROUND(N(P37)+N(P38)+N(P39)+N(P40)+N(P41)-P123,0)),"")</f>
        <v>0</v>
      </c>
      <c r="Q42" s="211">
        <f>IF(ISNUMBER(Q37),IF(ABS(N(Q37)+N(Q38)+N(Q39)+N(Q40)+N(Q41)-Q123)&lt;=1.1,0,ROUND(N(Q37)+N(Q38)+N(Q39)+N(Q40)+N(Q41)-Q123,0)),"")</f>
        <v>0</v>
      </c>
      <c r="R42" s="211">
        <f>IF(ISNUMBER(R37),IF(ABS(N(R37)+N(R38)+N(R39)+N(R40)+N(R41)-R123)&lt;=1.1,0,ROUND(N(R37)+N(R38)+N(R39)+N(R40)+N(R41)-R123,0)),"")</f>
        <v>0</v>
      </c>
      <c r="S42" s="211">
        <f>IF(ISNUMBER(S37),IF(ABS(N(S37)+N(S38)+N(S39)+N(S40)+N(S41)-S123)&lt;=1.1,0,ROUND(N(S37)+N(S38)+N(S39)+N(S40)+N(S41)-S123,0)),"")</f>
        <v>0</v>
      </c>
      <c r="T42" s="211">
        <f>IF(ISNUMBER(T37),IF(ABS(N(T37)+N(T38)+N(T39)+N(T40)+N(T41)-T123)&lt;=1.1,0,ROUND(N(T37)+N(T38)+N(T39)+N(T40)+N(T41)-T123,0)),"")</f>
        <v>0</v>
      </c>
      <c r="U42" s="211">
        <f>IF(ISNUMBER(U37),IF(ABS(N(U37)+N(U38)+N(U39)+N(U40)+N(U41)-U123)&lt;=1.1,0,ROUND(N(U37)+N(U38)+N(U39)+N(U40)+N(U41)-U123,0)),"")</f>
        <v>0</v>
      </c>
      <c r="V42" s="211">
        <f>IF(ISNUMBER(V37),IF(ABS(N(V37)+N(V38)+N(V39)+N(V40)+N(V41)-V123)&lt;=1.1,0,ROUND(N(V37)+N(V38)+N(V39)+N(V40)+N(V41)-V123,0)),"")</f>
        <v>0</v>
      </c>
      <c r="W42" s="211">
        <f>IF(ISNUMBER(W37),IF(ABS(N(W37)+N(W38)+N(W39)+N(W40)+N(W41)-W123)&lt;=1.1,0,ROUND(N(W37)+N(W38)+N(W39)+N(W40)+N(W41)-W123,0)),"")</f>
        <v>0</v>
      </c>
      <c r="X42" s="211">
        <f>IF(ISNUMBER(X37),IF(ABS(N(X37)+N(X38)+N(X39)+N(X40)+N(X41)-X123)&lt;=1.1,0,ROUND(N(X37)+N(X38)+N(X39)+N(X40)+N(X41)-X123,0)),"")</f>
        <v>0</v>
      </c>
      <c r="Y42" s="211">
        <f>IF(ISNUMBER(Y37),IF(ABS(N(Y37)+N(Y38)+N(Y39)+N(Y40)+N(Y41)-Y123)&lt;=1.1,0,ROUND(N(Y37)+N(Y38)+N(Y39)+N(Y40)+N(Y41)-Y123,0)),"")</f>
        <v>0</v>
      </c>
      <c r="Z42" s="211">
        <f>IF(ISNUMBER(Z37),IF(ABS(N(Z37)+N(Z38)+N(Z39)+N(Z40)+N(Z41)-Z123)&lt;=1.1,0,ROUND(N(Z37)+N(Z38)+N(Z39)+N(Z40)+N(Z41)-Z123,0)),"")</f>
        <v>0</v>
      </c>
      <c r="AA42" s="211">
        <f>IF(ISNUMBER(AA37),IF(ABS(N(AA37)+N(AA38)+N(AA39)+N(AA40)+N(AA41)-AA123)&lt;=1.1,0,ROUND(N(AA37)+N(AA38)+N(AA39)+N(AA40)+N(AA41)-AA123,0)),"")</f>
        <v>0</v>
      </c>
      <c r="AB42" s="211">
        <f>IF(ISNUMBER(AB37),IF(ABS(N(AB37)+N(AB38)+N(AB39)+N(AB40)+N(AB41)-AB123)&lt;=1.1,0,ROUND(N(AB37)+N(AB38)+N(AB39)+N(AB40)+N(AB41)-AB123,0)),"")</f>
        <v>0</v>
      </c>
      <c r="AC42" s="211">
        <f>IF(ISNUMBER(AC37),IF(ABS(N(AC37)+N(AC38)+N(AC39)+N(AC40)+N(AC41)-AC123)&lt;=1.1,0,ROUND(N(AC37)+N(AC38)+N(AC39)+N(AC40)+N(AC41)-AC123,0)),"")</f>
        <v>0</v>
      </c>
      <c r="AD42" s="211">
        <f>IF(ISNUMBER(AD37),IF(ABS(N(AD37)+N(AD38)+N(AD39)+N(AD40)+N(AD41)-AD123)&lt;=1.1,0,ROUND(N(AD37)+N(AD38)+N(AD39)+N(AD40)+N(AD41)-AD123,0)),"")</f>
        <v>0</v>
      </c>
      <c r="AE42" s="211">
        <f>IF(ISNUMBER(AE37),IF(ABS(N(AE37)+N(AE38)+N(AE39)+N(AE40)+N(AE41)-AE123)&lt;=1.1,0,ROUND(N(AE37)+N(AE38)+N(AE39)+N(AE40)+N(AE41)-AE123,0)),"")</f>
        <v>0</v>
      </c>
      <c r="AF42" s="211">
        <f>IF(ISNUMBER(AF37),IF(ABS(N(AF37)+N(AF38)+N(AF39)+N(AF40)+N(AF41)-AF123)&lt;=1.1,0,ROUND(N(AF37)+N(AF38)+N(AF39)+N(AF40)+N(AF41)-AF123,0)),"")</f>
        <v>0</v>
      </c>
      <c r="AG42" s="211">
        <f>IF(ISNUMBER(AG37),IF(ABS(N(AG37)+N(AG38)+N(AG39)+N(AG40)+N(AG41)-AG123)&lt;=1.1,0,ROUND(N(AG37)+N(AG38)+N(AG39)+N(AG40)+N(AG41)-AG123,0)),"")</f>
        <v>0</v>
      </c>
      <c r="AH42" s="211">
        <f>IF(ISNUMBER(AH37),IF(ABS(N(AH37)+N(AH38)+N(AH39)+N(AH40)+N(AH41)-AH123)&lt;=1.1,0,ROUND(N(AH37)+N(AH38)+N(AH39)+N(AH40)+N(AH41)-AH123,0)),"")</f>
        <v>0</v>
      </c>
      <c r="AI42" s="211">
        <f>IF(ISNUMBER(AI37),IF(ABS(N(AI37)+N(AI38)+N(AI39)+N(AI40)+N(AI41)-AI123)&lt;=1.1,0,ROUND(N(AI37)+N(AI38)+N(AI39)+N(AI40)+N(AI41)-AI123,0)),"")</f>
        <v>0</v>
      </c>
      <c r="AJ42" s="211">
        <f>IF(ISNUMBER(AJ37),IF(ABS(N(AJ37)+N(AJ38)+N(AJ39)+N(AJ40)+N(AJ41)-AJ123)&lt;=1.1,0,ROUND(N(AJ37)+N(AJ38)+N(AJ39)+N(AJ40)+N(AJ41)-AJ123,0)),"")</f>
        <v>0</v>
      </c>
      <c r="AK42" s="211">
        <f>IF(ISNUMBER(AK37),IF(ABS(N(AK37)+N(AK38)+N(AK39)+N(AK40)+N(AK41)-AK123)&lt;=1.1,0,ROUND(N(AK37)+N(AK38)+N(AK39)+N(AK40)+N(AK41)-AK123,0)),"")</f>
        <v>0</v>
      </c>
      <c r="AL42" s="211">
        <f>IF(ISNUMBER(AL37),IF(ABS(N(AL37)+N(AL38)+N(AL39)+N(AL40)+N(AL41)-AL123)&lt;=1.1,0,ROUND(N(AL37)+N(AL38)+N(AL39)+N(AL40)+N(AL41)-AL123,0)),"")</f>
        <v>0</v>
      </c>
      <c r="AM42" s="211">
        <f>IF(ISNUMBER(AM37),IF(ABS(N(AM37)+N(AM38)+N(AM39)+N(AM40)+N(AM41)-AM123)&lt;=1.1,0,ROUND(N(AM37)+N(AM38)+N(AM39)+N(AM40)+N(AM41)-AM123,0)),"")</f>
        <v>0</v>
      </c>
      <c r="AN42" s="211">
        <f>IF(ISNUMBER(AN37),IF(ABS(N(AN37)+N(AN38)+N(AN39)+N(AN40)+N(AN41)-AN123)&lt;=1.1,0,ROUND(N(AN37)+N(AN38)+N(AN39)+N(AN40)+N(AN41)-AN123,0)),"")</f>
        <v>0</v>
      </c>
      <c r="AO42" s="211">
        <f>IF(ISNUMBER(AO37),IF(ABS(N(AO37)+N(AO38)+N(AO39)+N(AO40)+N(AO41)-AO123)&lt;=1.1,0,ROUND(N(AO37)+N(AO38)+N(AO39)+N(AO40)+N(AO41)-AO123,0)),"")</f>
        <v>0</v>
      </c>
      <c r="AP42" s="211">
        <f>IF(ISNUMBER(AP37),IF(ABS(N(AP37)+N(AP38)+N(AP39)+N(AP40)+N(AP41)-AP123)&lt;=1.1,0,ROUND(N(AP37)+N(AP38)+N(AP39)+N(AP40)+N(AP41)-AP123,0)),"")</f>
        <v>0</v>
      </c>
      <c r="AQ42" s="211">
        <f>IF(ISNUMBER(AQ37),IF(ABS(N(AQ37)+N(AQ38)+N(AQ39)+N(AQ40)+N(AQ41)-AQ123)&lt;=1.1,0,ROUND(N(AQ37)+N(AQ38)+N(AQ39)+N(AQ40)+N(AQ41)-AQ123,0)),"")</f>
        <v>0</v>
      </c>
      <c r="AR42" s="211">
        <f>IF(ISNUMBER(AR37),IF(ABS(N(AR37)+N(AR38)+N(AR39)+N(AR40)+N(AR41)-AR123)&lt;=1.1,0,ROUND(N(AR37)+N(AR38)+N(AR39)+N(AR40)+N(AR41)-AR123,0)),"")</f>
        <v>0</v>
      </c>
      <c r="AS42" s="211">
        <f>IF(ISNUMBER(AS37),IF(ABS(N(AS37)+N(AS38)+N(AS39)+N(AS40)+N(AS41)-AS123)&lt;=1.1,0,ROUND(N(AS37)+N(AS38)+N(AS39)+N(AS40)+N(AS41)-AS123,0)),"")</f>
        <v>0</v>
      </c>
      <c r="AT42" s="211">
        <f>IF(ISNUMBER(AT37),IF(ABS(N(AT37)+N(AT38)+N(AT39)+N(AT40)+N(AT41)-AT123)&lt;=1.1,0,ROUND(N(AT37)+N(AT38)+N(AT39)+N(AT40)+N(AT41)-AT123,0)),"")</f>
        <v>0</v>
      </c>
      <c r="AU42" s="211">
        <f>IF(ISNUMBER(AU37),IF(ABS(N(AU37)+N(AU38)+N(AU39)+N(AU40)+N(AU41)-AU123)&lt;=1.1,0,ROUND(N(AU37)+N(AU38)+N(AU39)+N(AU40)+N(AU41)-AU123,0)),"")</f>
        <v>0</v>
      </c>
      <c r="AV42" s="211">
        <f>IF(ISNUMBER(AV37),IF(ABS(N(AV37)+N(AV38)+N(AV39)+N(AV40)+N(AV41)-AV123)&lt;=1.1,0,ROUND(N(AV37)+N(AV38)+N(AV39)+N(AV40)+N(AV41)-AV123,0)),"")</f>
        <v>0</v>
      </c>
      <c r="AW42" s="211">
        <f>IF(ISNUMBER(AW37),IF(ABS(N(AW37)+N(AW38)+N(AW39)+N(AW40)+N(AW41)-AW123)&lt;=1.1,0,ROUND(N(AW37)+N(AW38)+N(AW39)+N(AW40)+N(AW41)-AW123,0)),"")</f>
        <v>0</v>
      </c>
      <c r="AX42" s="211">
        <f>IF(ISNUMBER(AX37),IF(ABS(N(AX37)+N(AX38)+N(AX39)+N(AX40)+N(AX41)-AX123)&lt;=1.1,0,ROUND(N(AX37)+N(AX38)+N(AX39)+N(AX40)+N(AX41)-AX123,0)),"")</f>
        <v>0</v>
      </c>
      <c r="AY42" s="211">
        <f>IF(ISNUMBER(AY37),IF(ABS(N(AY37)+N(AY38)+N(AY39)+N(AY40)+N(AY41)-AY123)&lt;=1.1,0,ROUND(N(AY37)+N(AY38)+N(AY39)+N(AY40)+N(AY41)-AY123,0)),"")</f>
        <v>0</v>
      </c>
      <c r="AZ42" s="211">
        <f>IF(ISNUMBER(AZ37),IF(ABS(N(AZ37)+N(AZ38)+N(AZ39)+N(AZ40)+N(AZ41)-AZ123)&lt;=1.1,0,ROUND(N(AZ37)+N(AZ38)+N(AZ39)+N(AZ40)+N(AZ41)-AZ123,0)),"")</f>
        <v>0</v>
      </c>
      <c r="BA42" s="211">
        <f>IF(ISNUMBER(BA37),IF(ABS(N(BA37)+N(BA38)+N(BA39)+N(BA40)+N(BA41)-BA123)&lt;=1.1,0,ROUND(N(BA37)+N(BA38)+N(BA39)+N(BA40)+N(BA41)-BA123,0)),"")</f>
        <v>0</v>
      </c>
      <c r="BB42" s="211">
        <f>IF(ISNUMBER(BB37),IF(ABS(N(BB37)+N(BB38)+N(BB39)+N(BB40)+N(BB41)-BB123)&lt;=1.1,0,ROUND(N(BB37)+N(BB38)+N(BB39)+N(BB40)+N(BB41)-BB123,0)),"")</f>
        <v>0</v>
      </c>
      <c r="BC42" s="211">
        <f>IF(ISNUMBER(BC37),IF(ABS(N(BC37)+N(BC38)+N(BC39)+N(BC40)+N(BC41)-BC123)&lt;=1.1,0,ROUND(N(BC37)+N(BC38)+N(BC39)+N(BC40)+N(BC41)-BC123,0)),"")</f>
        <v>0</v>
      </c>
      <c r="BD42" s="211">
        <f>IF(ISNUMBER(BD37),IF(ABS(N(BD37)+N(BD38)+N(BD39)+N(BD40)+N(BD41)-BD123)&lt;=1.1,0,ROUND(N(BD37)+N(BD38)+N(BD39)+N(BD40)+N(BD41)-BD123,0)),"")</f>
        <v>0</v>
      </c>
      <c r="BE42" s="211">
        <f>IF(ISNUMBER(BE37),IF(ABS(N(BE37)+N(BE38)+N(BE39)+N(BE40)+N(BE41)-BE123)&lt;=1.1,0,ROUND(N(BE37)+N(BE38)+N(BE39)+N(BE40)+N(BE41)-BE123,0)),"")</f>
        <v>0</v>
      </c>
      <c r="BF42" s="211">
        <f>IF(ISNUMBER(BF37),IF(ABS(N(BF37)+N(BF38)+N(BF39)+N(BF40)+N(BF41)-BF123)&lt;=1.1,0,ROUND(N(BF37)+N(BF38)+N(BF39)+N(BF40)+N(BF41)-BF123,0)),"")</f>
      </c>
      <c r="BG42" s="211">
        <f>IF(ISNUMBER(BG37),IF(ABS(N(BG37)+N(BG38)+N(BG39)+N(BG40)+N(BG41)-BG123)&lt;=1.1,0,ROUND(N(BG37)+N(BG38)+N(BG39)+N(BG40)+N(BG41)-BG123,0)),"")</f>
      </c>
      <c r="BH42" s="211">
        <f>IF(ISNUMBER(BH37),IF(ABS(N(BH37)+N(BH38)+N(BH39)+N(BH40)+N(BH41)-BH123)&lt;=1.1,0,ROUND(N(BH37)+N(BH38)+N(BH39)+N(BH40)+N(BH41)-BH123,0)),"")</f>
      </c>
      <c r="BI42" s="211">
        <f>IF(ISNUMBER(BI37),IF(ABS(N(BI37)+N(BI38)+N(BI39)+N(BI40)+N(BI41)-BI123)&lt;=1.1,0,ROUND(N(BI37)+N(BI38)+N(BI39)+N(BI40)+N(BI41)-BI123,0)),"")</f>
      </c>
      <c r="BJ42" s="211">
        <f>IF(ISNUMBER(BJ37),IF(ABS(N(BJ37)+N(BJ38)+N(BJ39)+N(BJ40)+N(BJ41)-BJ123)&lt;=1.1,0,ROUND(N(BJ37)+N(BJ38)+N(BJ39)+N(BJ40)+N(BJ41)-BJ123,0)),"")</f>
      </c>
      <c r="BK42" s="211">
        <f>IF(ISNUMBER(BK37),IF(ABS(N(BK37)+N(BK38)+N(BK39)+N(BK40)+N(BK41)-BK123)&lt;=1.1,0,ROUND(N(BK37)+N(BK38)+N(BK39)+N(BK40)+N(BK41)-BK123,0)),"")</f>
      </c>
      <c r="BL42" s="211">
        <f>IF(ISNUMBER(BL37),IF(ABS(N(BL37)+N(BL38)+N(BL39)+N(BL40)+N(BL41)-BL123)&lt;=1.1,0,ROUND(N(BL37)+N(BL38)+N(BL39)+N(BL40)+N(BL41)-BL123,0)),"")</f>
      </c>
      <c r="BM42" s="211">
        <f>IF(ISNUMBER(BM37),IF(ABS(N(BM37)+N(BM38)+N(BM39)+N(BM40)+N(BM41)-BM123)&lt;=1.1,0,ROUND(N(BM37)+N(BM38)+N(BM39)+N(BM40)+N(BM41)-BM123,0)),"")</f>
      </c>
      <c r="BN42" s="211">
        <f>IF(ISNUMBER(BN37),IF(ABS(N(BN37)+N(BN38)+N(BN39)+N(BN40)+N(BN41)-BN123)&lt;=1.1,0,ROUND(N(BN37)+N(BN38)+N(BN39)+N(BN40)+N(BN41)-BN123,0)),"")</f>
      </c>
      <c r="BO42" s="211">
        <f>IF(ISNUMBER(BO37),IF(ABS(N(BO37)+N(BO38)+N(BO39)+N(BO40)+N(BO41)-BO123)&lt;=1.1,0,ROUND(N(BO37)+N(BO38)+N(BO39)+N(BO40)+N(BO41)-BO123,0)),"")</f>
      </c>
      <c r="BP42" s="211">
        <f>IF(ISNUMBER(BP37),IF(ABS(N(BP37)+N(BP38)+N(BP39)+N(BP40)+N(BP41)-BP123)&lt;=1.1,0,ROUND(N(BP37)+N(BP38)+N(BP39)+N(BP40)+N(BP41)-BP123,0)),"")</f>
      </c>
      <c r="BQ42" s="211">
        <f>IF(ISNUMBER(BQ37),IF(ABS(N(BQ37)+N(BQ38)+N(BQ39)+N(BQ40)+N(BQ41)-BQ123)&lt;=1.1,0,ROUND(N(BQ37)+N(BQ38)+N(BQ39)+N(BQ40)+N(BQ41)-BQ123,0)),"")</f>
      </c>
      <c r="BR42" s="211">
        <f>IF(ISNUMBER(BR37),IF(ABS(N(BR37)+N(BR38)+N(BR39)+N(BR40)+N(BR41)-BR123)&lt;=1.1,0,ROUND(N(BR37)+N(BR38)+N(BR39)+N(BR40)+N(BR41)-BR123,0)),"")</f>
      </c>
      <c r="BS42" s="211">
        <f>IF(ISNUMBER(BS37),IF(ABS(N(BS37)+N(BS38)+N(BS39)+N(BS40)+N(BS41)-BS123)&lt;=1.1,0,ROUND(N(BS37)+N(BS38)+N(BS39)+N(BS40)+N(BS41)-BS123,0)),"")</f>
      </c>
      <c r="BT42" s="211">
        <f>IF(ISNUMBER(BT37),IF(ABS(N(BT37)+N(BT38)+N(BT39)+N(BT40)+N(BT41)-BT123)&lt;=1.1,0,ROUND(N(BT37)+N(BT38)+N(BT39)+N(BT40)+N(BT41)-BT123,0)),"")</f>
      </c>
      <c r="BU42" s="211">
        <f>IF(ISNUMBER(BU37),IF(ABS(N(BU37)+N(BU38)+N(BU39)+N(BU40)+N(BU41)-BU123)&lt;=1.1,0,ROUND(N(BU37)+N(BU38)+N(BU39)+N(BU40)+N(BU41)-BU123,0)),"")</f>
      </c>
      <c r="BV42" s="211">
        <f>IF(ISNUMBER(BV37),IF(ABS(N(BV37)+N(BV38)+N(BV39)+N(BV40)+N(BV41)-BV123)&lt;=1.1,0,ROUND(N(BV37)+N(BV38)+N(BV39)+N(BV40)+N(BV41)-BV123,0)),"")</f>
      </c>
      <c r="BW42" s="211">
        <f>IF(ISNUMBER(BW37),IF(ABS(N(BW37)+N(BW38)+N(BW39)+N(BW40)+N(BW41)-BW123)&lt;=1.1,0,ROUND(N(BW37)+N(BW38)+N(BW39)+N(BW40)+N(BW41)-BW123,0)),"")</f>
      </c>
      <c r="BX42" s="211">
        <f>IF(ISNUMBER(BX37),IF(ABS(N(BX37)+N(BX38)+N(BX39)+N(BX40)+N(BX41)-BX123)&lt;=1.1,0,ROUND(N(BX37)+N(BX38)+N(BX39)+N(BX40)+N(BX41)-BX123,0)),"")</f>
      </c>
      <c r="BY42" s="153" t="n"/>
      <c r="BZ42" s="153" t="n"/>
      <c r="CA42" s="153" t="n"/>
      <c r="CB42" s="153" t="n"/>
      <c r="CC42" s="153" t="n"/>
      <c r="CD42" s="153" t="n"/>
      <c r="CE42" s="153" t="n"/>
      <c r="CF42" s="153" t="n"/>
      <c r="CN42" s="15" t="inlineStr">
        <is>
          <t>OM (adjusted operating margin)</t>
        </is>
      </c>
      <c r="CO42" s="41" t="n">
        <v>0.01</v>
      </c>
      <c r="CP42" s="21" t="inlineStr">
        <is>
          <t>Δ →</t>
        </is>
      </c>
      <c r="CQ42" s="41" t="n">
        <v>-0.015</v>
      </c>
      <c r="CR42" s="13" t="inlineStr">
        <is>
          <t>Adjusted operating margin 57.0% (2022) → 59.2% (2025) → 61.0% (H1-26). Modest annual expansion; investment in VAS / talent offsets operating leverage.</t>
        </is>
      </c>
    </row>
    <row r="43" ht="15" customHeight="1" s="251">
      <c r="B43" s="22" t="inlineStr">
        <is>
          <t xml:space="preserve">    Cross-border volume fees y/y %</t>
        </is>
      </c>
      <c r="C43" s="23" t="n"/>
      <c r="D43" s="258">
        <f>IF(AND(ISNUMBER(D38),ISNUMBER(C38)),IFERROR(D38/C38-1,""),"")</f>
      </c>
      <c r="E43" s="258">
        <f>IF(AND(ISNUMBER(E38),ISNUMBER(D38)),IFERROR(E38/D38-1,""),"")</f>
        <v>0.311016949152542</v>
      </c>
      <c r="F43" s="258">
        <f>IF(AND(ISNUMBER(F38),ISNUMBER(E38)),IFERROR(F38/E38-1,""),"")</f>
        <v>-0.0245636716224952</v>
      </c>
      <c r="G43" s="258">
        <f>IF(AND(ISNUMBER(G38),ISNUMBER(F38)),IFERROR(G38/F38-1,""),"")</f>
        <v>0.277004638833665</v>
      </c>
      <c r="H43" s="258">
        <f>IF(AND(ISNUMBER(H38),ISNUMBER(G38)),IFERROR(H38/G38-1,""),"")</f>
        <v>0.0866632070576026</v>
      </c>
      <c r="I43" s="258">
        <f>IF(AND(ISNUMBER(I38),ISNUMBER(H38)),IFERROR(I38/H38-1,""),"")</f>
        <v>0.1189111747851</v>
      </c>
      <c r="J43" s="23" t="n"/>
      <c r="K43" s="23" t="n"/>
      <c r="L43" s="23" t="n"/>
      <c r="M43" s="23" t="n"/>
      <c r="N43" s="258">
        <f>IF(AND(ISNUMBER(N38),ISNUMBER(I38)),IFERROR(N38/I38-1,""),"")</f>
        <v>0.192061459667094</v>
      </c>
      <c r="O43" s="258">
        <f>IF(AND(ISNUMBER(O38),ISNUMBER(J38)),IFERROR(O38/J38-1,""),"")</f>
        <v>0.14497528830313</v>
      </c>
      <c r="P43" s="258">
        <f>IF(AND(ISNUMBER(P38),ISNUMBER(K38)),IFERROR(P38/K38-1,""),"")</f>
        <v>0.107828655834564</v>
      </c>
      <c r="Q43" s="258">
        <f>IF(AND(ISNUMBER(Q38),ISNUMBER(L38)),IFERROR(Q38/L38-1,""),"")</f>
        <v>0.0986842105263157</v>
      </c>
      <c r="R43" s="258">
        <f>IF(AND(ISNUMBER(R38),ISNUMBER(M38)),IFERROR(R38/M38-1,""),"")</f>
        <v>0.0333778371161548</v>
      </c>
      <c r="S43" s="258">
        <f>IF(AND(ISNUMBER(S38),ISNUMBER(N38)),IFERROR(S38/N38-1,""),"")</f>
        <v>0.0934479054779807</v>
      </c>
      <c r="T43" s="258">
        <f>IF(AND(ISNUMBER(T38),ISNUMBER(O38)),IFERROR(T38/O38-1,""),"")</f>
        <v>0.041726618705036</v>
      </c>
      <c r="U43" s="258">
        <f>IF(AND(ISNUMBER(U38),ISNUMBER(P38)),IFERROR(U38/P38-1,""),"")</f>
        <v>0.036</v>
      </c>
      <c r="V43" s="258">
        <f>IF(AND(ISNUMBER(V38),ISNUMBER(Q38)),IFERROR(V38/Q38-1,""),"")</f>
        <v>0.0538922155688624</v>
      </c>
      <c r="W43" s="258">
        <f>IF(AND(ISNUMBER(W38),ISNUMBER(R38)),IFERROR(W38/R38-1,""),"")</f>
        <v>0.0904392764857882</v>
      </c>
      <c r="X43" s="258">
        <f>IF(AND(ISNUMBER(X38),ISNUMBER(S38)),IFERROR(X38/S38-1,""),"")</f>
        <v>0.0559921414538311</v>
      </c>
      <c r="Y43" s="258">
        <f>IF(AND(ISNUMBER(Y38),ISNUMBER(T38)),IFERROR(Y38/T38-1,""),"")</f>
        <v>0.0994475138121547</v>
      </c>
      <c r="Z43" s="258">
        <f>IF(AND(ISNUMBER(Z38),ISNUMBER(U38)),IFERROR(Z38/U38-1,""),"")</f>
        <v>0.114543114543115</v>
      </c>
      <c r="AA43" s="258">
        <f>IF(AND(ISNUMBER(AA38),ISNUMBER(V38)),IFERROR(AA38/V38-1,""),"")</f>
        <v>0.131818181818182</v>
      </c>
      <c r="AB43" s="258">
        <f>IF(AND(ISNUMBER(AB38),ISNUMBER(W38)),IFERROR(AB38/W38-1,""),"")</f>
        <v>0.0781990521327014</v>
      </c>
      <c r="AC43" s="258">
        <f>IF(AND(ISNUMBER(AC38),ISNUMBER(X38)),IFERROR(AC38/X38-1,""),"")</f>
        <v>0.106356589147287</v>
      </c>
      <c r="AD43" s="258">
        <f>IF(AND(ISNUMBER(AD38),ISNUMBER(Y38)),IFERROR(AD38/Y38-1,""),"")</f>
        <v>0.150753768844221</v>
      </c>
      <c r="AE43" s="258">
        <f>IF(AND(ISNUMBER(AE38),ISNUMBER(Z38)),IFERROR(AE38/Z38-1,""),"")</f>
        <v>0.136258660508083</v>
      </c>
      <c r="AF43" s="258">
        <f>IF(AND(ISNUMBER(AF38),ISNUMBER(AA38)),IFERROR(AF38/AA38-1,""),"")</f>
        <v>0.161646586345382</v>
      </c>
      <c r="AG43" s="258">
        <f>IF(AND(ISNUMBER(AG38),ISNUMBER(AB38)),IFERROR(AG38/AB38-1,""),"")</f>
        <v>0.227472527472528</v>
      </c>
      <c r="AH43" s="258">
        <f>IF(AND(ISNUMBER(AH38),ISNUMBER(AC38)),IFERROR(AH38/AC38-1,""),"")</f>
        <v>0.169843049327354</v>
      </c>
      <c r="AI43" s="258">
        <f>IF(AND(ISNUMBER(AI38),ISNUMBER(AD38)),IFERROR(AI38/AD38-1,""),"")</f>
        <v>0.263100436681223</v>
      </c>
      <c r="AJ43" s="258">
        <f>IF(AND(ISNUMBER(AJ38),ISNUMBER(AE38)),IFERROR(AJ38/AE38-1,""),"")</f>
        <v>0.217479674796748</v>
      </c>
      <c r="AK43" s="258">
        <f>IF(AND(ISNUMBER(AK38),ISNUMBER(AF38)),IFERROR(AK38/AF38-1,""),"")</f>
        <v>0.156439066551426</v>
      </c>
      <c r="AL43" s="258">
        <f>IF(AND(ISNUMBER(AL38),ISNUMBER(AG38)),IFERROR(AL38/AG38-1,""),"")</f>
        <v>0.128916741271262</v>
      </c>
      <c r="AM43" s="258">
        <f>IF(AND(ISNUMBER(AM38),ISNUMBER(AH38)),IFERROR(AM38/AH38-1,""),"")</f>
        <v>0.186871106851941</v>
      </c>
      <c r="AN43" s="258">
        <f>IF(AND(ISNUMBER(AN38),ISNUMBER(AI38)),IFERROR(AN38/AI38-1,""),"")</f>
        <v>0.0916162489196197</v>
      </c>
      <c r="AO43" s="258">
        <f>IF(AND(ISNUMBER(AO38),ISNUMBER(AJ38)),IFERROR(AO38/AJ38-1,""),"")</f>
        <v>0.146911519198665</v>
      </c>
      <c r="AP43" s="258">
        <f>IF(AND(ISNUMBER(AP38),ISNUMBER(AK38)),IFERROR(AP38/AK38-1,""),"")</f>
        <v>0.133781763826607</v>
      </c>
      <c r="AQ43" s="258">
        <f>IF(AND(ISNUMBER(AQ38),ISNUMBER(AL38)),IFERROR(AQ38/AL38-1,""),"")</f>
        <v>0.151467089611419</v>
      </c>
      <c r="AR43" s="258">
        <f>IF(AND(ISNUMBER(AR38),ISNUMBER(AM38)),IFERROR(AR38/AM38-1,""),"")</f>
        <v>0.131610819539766</v>
      </c>
      <c r="AS43" s="258">
        <f>IF(AND(ISNUMBER(AS38),ISNUMBER(AN38)),IFERROR(AS38/AN38-1,""),"")</f>
        <v>-0.0364212193190816</v>
      </c>
      <c r="AT43" s="258">
        <f>IF(AND(ISNUMBER(AT38),ISNUMBER(AO38)),IFERROR(AT38/AO38-1,""),"")</f>
        <v>-0.536390101892285</v>
      </c>
      <c r="AU43" s="258">
        <f>IF(AND(ISNUMBER(AU38),ISNUMBER(AP38)),IFERROR(AU38/AP38-1,""),"")</f>
        <v>-0.478576137112723</v>
      </c>
      <c r="AV43" s="258">
        <f>IF(AND(ISNUMBER(AV38),ISNUMBER(AQ38)),IFERROR(AV38/AQ38-1,""),"")</f>
        <v>-0.402892561983471</v>
      </c>
      <c r="AW43" s="258">
        <f>IF(AND(ISNUMBER(AW38),ISNUMBER(AR38)),IFERROR(AW38/AR38-1,""),"")</f>
        <v>-0.373528362468783</v>
      </c>
      <c r="AX43" s="258">
        <f>IF(AND(ISNUMBER(AX38),ISNUMBER(AS38)),IFERROR(AX38/AS38-1,""),"")</f>
        <v>-0.2341824157765</v>
      </c>
      <c r="AY43" s="258">
        <f>IF(AND(ISNUMBER(AY38),ISNUMBER(AT38)),IFERROR(AY38/AT38-1,""),"")</f>
        <v>0.689167974882261</v>
      </c>
      <c r="AZ43" s="258">
        <f>IF(AND(ISNUMBER(AZ38),ISNUMBER(AU38)),IFERROR(AZ38/AU38-1,""),"")</f>
        <v>0.61314791403287</v>
      </c>
      <c r="BA43" s="258">
        <f>IF(AND(ISNUMBER(BA38),ISNUMBER(AV38)),IFERROR(BA38/AV38-1,""),"")</f>
        <v>0.591695501730104</v>
      </c>
      <c r="BB43" s="258">
        <f>IF(AND(ISNUMBER(BB38),ISNUMBER(AW38)),IFERROR(BB38/AW38-1,""),"")</f>
        <v>0.328018223234624</v>
      </c>
      <c r="BC43" s="258">
        <f>IF(AND(ISNUMBER(BC38),ISNUMBER(AX38)),IFERROR(BC38/AX38-1,""),"")</f>
        <v>0.496781115879828</v>
      </c>
      <c r="BD43" s="258">
        <f>IF(AND(ISNUMBER(BD38),ISNUMBER(AY38)),IFERROR(BD38/AY38-1,""),"")</f>
        <v>0.50092936802974</v>
      </c>
      <c r="BE43" s="258">
        <f>IF(AND(ISNUMBER(BE38),ISNUMBER(AZ38)),IFERROR(BE38/AZ38-1,""),"")</f>
        <v>0.413009404388715</v>
      </c>
      <c r="BF43" s="258">
        <f>IF(AND(ISNUMBER(BF38),ISNUMBER(BA38)),IFERROR(BF38/BA38-1,""),"")</f>
      </c>
      <c r="BG43" s="258">
        <f>IF(AND(ISNUMBER(BG38),ISNUMBER(BB38)),IFERROR(BG38/BB38-1,""),"")</f>
      </c>
      <c r="BH43" s="258">
        <f>IF(AND(ISNUMBER(BH38),ISNUMBER(BC38)),IFERROR(BH38/BC38-1,""),"")</f>
      </c>
      <c r="BI43" s="258">
        <f>IF(AND(ISNUMBER(BI38),ISNUMBER(BD38)),IFERROR(BI38/BD38-1,""),"")</f>
      </c>
      <c r="BJ43" s="258">
        <f>IF(AND(ISNUMBER(BJ38),ISNUMBER(BE38)),IFERROR(BJ38/BE38-1,""),"")</f>
      </c>
      <c r="BK43" s="258">
        <f>IF(AND(ISNUMBER(BK38),ISNUMBER(BF38)),IFERROR(BK38/BF38-1,""),"")</f>
      </c>
      <c r="BL43" s="258">
        <f>IF(AND(ISNUMBER(BL38),ISNUMBER(BG38)),IFERROR(BL38/BG38-1,""),"")</f>
      </c>
      <c r="BM43" s="258">
        <f>IF(AND(ISNUMBER(BM38),ISNUMBER(BH38)),IFERROR(BM38/BH38-1,""),"")</f>
      </c>
      <c r="BN43" s="258">
        <f>IF(AND(ISNUMBER(BN38),ISNUMBER(BI38)),IFERROR(BN38/BI38-1,""),"")</f>
      </c>
      <c r="BO43" s="258">
        <f>IF(AND(ISNUMBER(BO38),ISNUMBER(BJ38)),IFERROR(BO38/BJ38-1,""),"")</f>
      </c>
      <c r="BP43" s="258">
        <f>IF(AND(ISNUMBER(BP38),ISNUMBER(BK38)),IFERROR(BP38/BK38-1,""),"")</f>
      </c>
      <c r="BQ43" s="258">
        <f>IF(AND(ISNUMBER(BQ38),ISNUMBER(BL38)),IFERROR(BQ38/BL38-1,""),"")</f>
      </c>
      <c r="BR43" s="258">
        <f>IF(AND(ISNUMBER(BR38),ISNUMBER(BM38)),IFERROR(BR38/BM38-1,""),"")</f>
      </c>
      <c r="BS43" s="258">
        <f>IF(AND(ISNUMBER(BS38),ISNUMBER(BN38)),IFERROR(BS38/BN38-1,""),"")</f>
      </c>
      <c r="BT43" s="258">
        <f>IF(AND(ISNUMBER(BT38),ISNUMBER(BO38)),IFERROR(BT38/BO38-1,""),"")</f>
      </c>
      <c r="BU43" s="258">
        <f>IF(AND(ISNUMBER(BU38),ISNUMBER(BP38)),IFERROR(BU38/BP38-1,""),"")</f>
      </c>
      <c r="BV43" s="258">
        <f>IF(AND(ISNUMBER(BV38),ISNUMBER(BQ38)),IFERROR(BV38/BQ38-1,""),"")</f>
      </c>
      <c r="BW43" s="258">
        <f>IF(AND(ISNUMBER(BW38),ISNUMBER(BR38)),IFERROR(BW38/BR38-1,""),"")</f>
      </c>
      <c r="BX43" s="258">
        <f>IF(AND(ISNUMBER(BX38),ISNUMBER(BS38)),IFERROR(BX38/BS38-1,""),"")</f>
      </c>
      <c r="BY43" s="256">
        <f>IF(AND(ISNUMBER(BY38),ISNUMBER(BT38)),IFERROR(BY38/BT38-1,""),"")</f>
      </c>
      <c r="BZ43" s="256">
        <f>IF(AND(ISNUMBER(BZ38),ISNUMBER(BU38)),IFERROR(BZ38/BU38-1,""),"")</f>
      </c>
      <c r="CA43" s="256">
        <f>IF(AND(ISNUMBER(CA38),ISNUMBER(BV38)),IFERROR(CA38/BV38-1,""),"")</f>
      </c>
      <c r="CB43" s="256">
        <f>IF(AND(ISNUMBER(CB38),ISNUMBER(CA38)),IFERROR(CB38/CA38-1,""),"")</f>
      </c>
      <c r="CC43" s="256">
        <f>IF(AND(ISNUMBER(CC38),ISNUMBER(CB38)),IFERROR(CC38/CB38-1,""),"")</f>
      </c>
      <c r="CD43" s="256">
        <f>IF(AND(ISNUMBER(CD38),ISNUMBER(CC38)),IFERROR(CD38/CC38-1,""),"")</f>
      </c>
      <c r="CE43" s="256">
        <f>IF(AND(ISNUMBER(CE38),ISNUMBER(CD38)),IFERROR(CE38/CD38-1,""),"")</f>
      </c>
      <c r="CF43" s="153" t="n"/>
      <c r="CN43" s="25" t="inlineStr">
        <is>
          <t xml:space="preserve">  2027E</t>
        </is>
      </c>
      <c r="CO43" s="33">
        <f>CP43+$CO$42</f>
        <v>0.613</v>
      </c>
      <c r="CP43" s="42" t="n">
        <v>0.603</v>
      </c>
      <c r="CQ43" s="33">
        <f>CP43+$CQ$42</f>
        <v>0.588</v>
      </c>
    </row>
    <row r="44" ht="15" customHeight="1" s="251">
      <c r="B44" s="25" t="inlineStr">
        <is>
          <t xml:space="preserve">    Rebates &amp; incentives % of gross revenue</t>
        </is>
      </c>
      <c r="C44" s="215">
        <f>IF(ISNUMBER(C41),IFERROR(-C41/(C123-C41),""),"")</f>
      </c>
      <c r="D44" s="215">
        <f>IF(ISNUMBER(D41),IFERROR(-D41/(D123-D41),""),"")</f>
        <v>0.24556722412034</v>
      </c>
      <c r="E44" s="215">
        <f>IF(ISNUMBER(E41),IFERROR(-E41/(E123-E41),""),"")</f>
        <v>0.227378262080921</v>
      </c>
      <c r="F44" s="215">
        <f>IF(ISNUMBER(F41),IFERROR(-F41/(F123-F41),""),"")</f>
        <v>0.240892678589614</v>
      </c>
      <c r="G44" s="215">
        <f>IF(ISNUMBER(G41),IFERROR(-G41/(G123-G41),""),"")</f>
        <v>0.267134162476846</v>
      </c>
      <c r="H44" s="215">
        <f>IF(ISNUMBER(H41),IFERROR(-H41/(H123-H41),""),"")</f>
        <v>0.248573027420257</v>
      </c>
      <c r="I44" s="215">
        <f>IF(ISNUMBER(I41),IFERROR(-I41/(I123-I41),""),"")</f>
        <v>0.268217821782178</v>
      </c>
      <c r="J44" s="215">
        <f>IF(ISNUMBER(J41),IFERROR(-J41/(J123-J41),""),"")</f>
        <v>0.256340226297308</v>
      </c>
      <c r="K44" s="215">
        <f>IF(ISNUMBER(K41),IFERROR(-K41/(K123-K41),""),"")</f>
        <v>0.237818181818182</v>
      </c>
      <c r="L44" s="215">
        <f>IF(ISNUMBER(L41),IFERROR(-L41/(L123-L41),""),"")</f>
        <v>0.241450068399453</v>
      </c>
      <c r="M44" s="215">
        <f>IF(ISNUMBER(M41),IFERROR(-M41/(M123-M41),""),"")</f>
        <v>0.30317928548017</v>
      </c>
      <c r="N44" s="215">
        <f>IF(ISNUMBER(N41),IFERROR(-N41/(N123-N41),""),"")</f>
        <v>0.260630758327427</v>
      </c>
      <c r="O44" s="215">
        <f>IF(ISNUMBER(O41),IFERROR(-O41/(O123-O41),""),"")</f>
        <v>0.251890034364261</v>
      </c>
      <c r="P44" s="215">
        <f>IF(ISNUMBER(P41),IFERROR(-P41/(P123-P41),""),"")</f>
        <v>0.244197138314785</v>
      </c>
      <c r="Q44" s="215">
        <f>IF(ISNUMBER(Q41),IFERROR(-Q41/(Q123-Q41),""),"")</f>
        <v>0.250374363581911</v>
      </c>
      <c r="R44" s="215">
        <f>IF(ISNUMBER(R41),IFERROR(-R41/(R123-R41),""),"")</f>
        <v>0.278805970149254</v>
      </c>
      <c r="S44" s="215">
        <f>IF(ISNUMBER(S41),IFERROR(-S41/(S123-S41),""),"")</f>
        <v>0.256669805398619</v>
      </c>
      <c r="T44" s="215">
        <f>IF(ISNUMBER(T41),IFERROR(-T41/(T123-T41),""),"")</f>
        <v>0.28318868531019</v>
      </c>
      <c r="U44" s="215">
        <f>IF(ISNUMBER(U41),IFERROR(-U41/(U123-U41),""),"")</f>
        <v>0.282282282282282</v>
      </c>
      <c r="V44" s="215">
        <f>IF(ISNUMBER(V41),IFERROR(-V41/(V123-V41),""),"")</f>
        <v>0.287123133276979</v>
      </c>
      <c r="W44" s="215">
        <f>IF(ISNUMBER(W41),IFERROR(-W41/(W123-W41),""),"")</f>
        <v>0.311730926989336</v>
      </c>
      <c r="X44" s="215">
        <f>IF(ISNUMBER(X41),IFERROR(-X41/(X123-X41),""),"")</f>
        <v>0.291639188099949</v>
      </c>
      <c r="Y44" s="215">
        <f>IF(ISNUMBER(Y41),IFERROR(-Y41/(Y123-Y41),""),"")</f>
        <v>0.298134863701578</v>
      </c>
      <c r="Z44" s="215">
        <f>IF(ISNUMBER(Z41),IFERROR(-Z41/(Z123-Z41),""),"")</f>
        <v>0.297888975762314</v>
      </c>
      <c r="AA44" s="215">
        <f>IF(ISNUMBER(AA41),IFERROR(-AA41/(AA123-AA41),""),"")</f>
        <v>0.298416565164434</v>
      </c>
      <c r="AB44" s="215">
        <f>IF(ISNUMBER(AB41),IFERROR(-AB41/(AB123-AB41),""),"")</f>
        <v>0.332040717401842</v>
      </c>
      <c r="AC44" s="215">
        <f>IF(ISNUMBER(AC41),IFERROR(-AC41/(AC123-AC41),""),"")</f>
        <v>0.30714331640198</v>
      </c>
      <c r="AD44" s="215">
        <f>IF(ISNUMBER(AD41),IFERROR(-AD41/(AD123-AD41),""),"")</f>
        <v>0.318714178918515</v>
      </c>
      <c r="AE44" s="215">
        <f>IF(ISNUMBER(AE41),IFERROR(-AE41/(AE123-AE41),""),"")</f>
        <v>0.311456923770862</v>
      </c>
      <c r="AF44" s="215">
        <f>IF(ISNUMBER(AF41),IFERROR(-AF41/(AF123-AF41),""),"")</f>
        <v>0.301972062448644</v>
      </c>
      <c r="AG44" s="215">
        <f>IF(ISNUMBER(AG41),IFERROR(-AG41/(AG123-AG41),""),"")</f>
        <v>0.34155069582505</v>
      </c>
      <c r="AH44" s="215">
        <f>IF(ISNUMBER(AH41),IFERROR(-AH41/(AH123-AH41),""),"")</f>
        <v>0.318778958844372</v>
      </c>
      <c r="AI44" s="215">
        <f>IF(ISNUMBER(AI41),IFERROR(-AI41/(AI123-AI41),""),"")</f>
        <v>0.293885601577909</v>
      </c>
      <c r="AJ44" s="215">
        <f>IF(ISNUMBER(AJ41),IFERROR(-AJ41/(AJ123-AJ41),""),"")</f>
        <v>0.314953271028037</v>
      </c>
      <c r="AK44" s="215">
        <f>IF(ISNUMBER(AK41),IFERROR(-AK41/(AK123-AK41),""),"")</f>
        <v>0.308006390910705</v>
      </c>
      <c r="AL44" s="215">
        <f>IF(ISNUMBER(AL41),IFERROR(-AL41/(AL123-AL41),""),"")</f>
        <v>0.341121495327103</v>
      </c>
      <c r="AM44" s="215">
        <f>IF(ISNUMBER(AM41),IFERROR(-AM41/(AM123-AM41),""),"")</f>
        <v>0.315193990197426</v>
      </c>
      <c r="AN44" s="215">
        <f>IF(ISNUMBER(AN41),IFERROR(-AN41/(AN123-AN41),""),"")</f>
        <v>0.309481534090909</v>
      </c>
      <c r="AO44" s="215">
        <f>IF(ISNUMBER(AO41),IFERROR(-AO41/(AO123-AO41),""),"")</f>
        <v>0.322293623331686</v>
      </c>
      <c r="AP44" s="215">
        <f>IF(ISNUMBER(AP41),IFERROR(-AP41/(AP123-AP41),""),"")</f>
        <v>0.318743327741345</v>
      </c>
      <c r="AQ44" s="215">
        <f>IF(ISNUMBER(AQ41),IFERROR(-AQ41/(AQ123-AQ41),""),"")</f>
        <v>0.343350193394823</v>
      </c>
      <c r="AR44" s="215">
        <f>IF(ISNUMBER(AR41),IFERROR(-AR41/(AR123-AR41),""),"")</f>
        <v>0.324139311449159</v>
      </c>
      <c r="AS44" s="215">
        <f>IF(ISNUMBER(AS41),IFERROR(-AS41/(AS123-AS41),""),"")</f>
        <v>0.349399545602077</v>
      </c>
      <c r="AT44" s="215">
        <f>IF(ISNUMBER(AT41),IFERROR(-AT41/(AT123-AT41),""),"")</f>
        <v>0.345179658354604</v>
      </c>
      <c r="AU44" s="215">
        <f>IF(ISNUMBER(AU41),IFERROR(-AU41/(AU123-AU41),""),"")</f>
        <v>0.353496208930076</v>
      </c>
      <c r="AV44" s="215">
        <f>IF(ISNUMBER(AV41),IFERROR(-AV41/(AV123-AV41),""),"")</f>
        <v>0.3588546529723</v>
      </c>
      <c r="AW44" s="215">
        <f>IF(ISNUMBER(AW41),IFERROR(-AW41/(AW123-AW41),""),"")</f>
        <v>0.352091802168022</v>
      </c>
      <c r="AX44" s="215">
        <f>IF(ISNUMBER(AX41),IFERROR(-AX41/(AX123-AX41),""),"")</f>
        <v>0.35360920970753</v>
      </c>
      <c r="AY44" s="215">
        <f>IF(ISNUMBER(AY41),IFERROR(-AY41/(AY123-AY41),""),"")</f>
        <v>0.372766311123424</v>
      </c>
      <c r="AZ44" s="215">
        <f>IF(ISNUMBER(AZ41),IFERROR(-AZ41/(AZ123-AZ41),""),"")</f>
        <v>0.363020700230003</v>
      </c>
      <c r="BA44" s="215">
        <f>IF(ISNUMBER(BA41),IFERROR(-BA41/(BA123-BA41),""),"")</f>
        <v>0.376970855231725</v>
      </c>
      <c r="BB44" s="215">
        <f>IF(ISNUMBER(BB41),IFERROR(-BB41/(BB123-BB41),""),"")</f>
        <v>0.367264198358184</v>
      </c>
      <c r="BC44" s="215">
        <f>IF(ISNUMBER(BC41),IFERROR(-BC41/(BC123-BC41),""),"")</f>
        <v>0.35613707165109</v>
      </c>
      <c r="BD44" s="215">
        <f>IF(ISNUMBER(BD41),IFERROR(-BD41/(BD123-BD41),""),"")</f>
        <v>0.368451286764706</v>
      </c>
      <c r="BE44" s="215">
        <f>IF(ISNUMBER(BE41),IFERROR(-BE41/(BE123-BE41),""),"")</f>
        <v>0.372095560161449</v>
      </c>
      <c r="BF44" s="215">
        <f>IF(ISNUMBER(BF41),IFERROR(-BF41/(BF123-BF41),""),"")</f>
      </c>
      <c r="BG44" s="215">
        <f>IF(ISNUMBER(BG41),IFERROR(-BG41/(BG123-BG41),""),"")</f>
      </c>
      <c r="BH44" s="215">
        <f>IF(ISNUMBER(BH41),IFERROR(-BH41/(BH123-BH41),""),"")</f>
      </c>
      <c r="BI44" s="215">
        <f>IF(ISNUMBER(BI41),IFERROR(-BI41/(BI123-BI41),""),"")</f>
      </c>
      <c r="BJ44" s="215">
        <f>IF(ISNUMBER(BJ41),IFERROR(-BJ41/(BJ123-BJ41),""),"")</f>
      </c>
      <c r="BK44" s="215">
        <f>IF(ISNUMBER(BK41),IFERROR(-BK41/(BK123-BK41),""),"")</f>
      </c>
      <c r="BL44" s="215">
        <f>IF(ISNUMBER(BL41),IFERROR(-BL41/(BL123-BL41),""),"")</f>
      </c>
      <c r="BM44" s="215">
        <f>IF(ISNUMBER(BM41),IFERROR(-BM41/(BM123-BM41),""),"")</f>
      </c>
      <c r="BN44" s="215">
        <f>IF(ISNUMBER(BN41),IFERROR(-BN41/(BN123-BN41),""),"")</f>
      </c>
      <c r="BO44" s="215">
        <f>IF(ISNUMBER(BO41),IFERROR(-BO41/(BO123-BO41),""),"")</f>
      </c>
      <c r="BP44" s="215">
        <f>IF(ISNUMBER(BP41),IFERROR(-BP41/(BP123-BP41),""),"")</f>
      </c>
      <c r="BQ44" s="215">
        <f>IF(ISNUMBER(BQ41),IFERROR(-BQ41/(BQ123-BQ41),""),"")</f>
      </c>
      <c r="BR44" s="215">
        <f>IF(ISNUMBER(BR41),IFERROR(-BR41/(BR123-BR41),""),"")</f>
      </c>
      <c r="BS44" s="215">
        <f>IF(ISNUMBER(BS41),IFERROR(-BS41/(BS123-BS41),""),"")</f>
      </c>
      <c r="BT44" s="215">
        <f>IF(ISNUMBER(BT41),IFERROR(-BT41/(BT123-BT41),""),"")</f>
      </c>
      <c r="BU44" s="215">
        <f>IF(ISNUMBER(BU41),IFERROR(-BU41/(BU123-BU41),""),"")</f>
      </c>
      <c r="BV44" s="215">
        <f>IF(ISNUMBER(BV41),IFERROR(-BV41/(BV123-BV41),""),"")</f>
      </c>
      <c r="BW44" s="215">
        <f>IF(ISNUMBER(BW41),IFERROR(-BW41/(BW123-BW41),""),"")</f>
      </c>
      <c r="BX44" s="215">
        <f>IF(ISNUMBER(BX41),IFERROR(-BX41/(BX123-BX41),""),"")</f>
      </c>
      <c r="BY44" s="256">
        <f>IF(ISNUMBER(BY41),IFERROR(-BY41/(BY123-BY41),""),"")</f>
      </c>
      <c r="BZ44" s="256">
        <f>IF(ISNUMBER(BZ41),IFERROR(-BZ41/(BZ123-BZ41),""),"")</f>
      </c>
      <c r="CA44" s="256">
        <f>IF(ISNUMBER(CA41),IFERROR(-CA41/(CA123-CA41),""),"")</f>
      </c>
      <c r="CB44" s="256">
        <f>IF(ISNUMBER(CB41),IFERROR(-CB41/(CB123-CB41),""),"")</f>
      </c>
      <c r="CC44" s="256">
        <f>IF(ISNUMBER(CC41),IFERROR(-CC41/(CC123-CC41),""),"")</f>
      </c>
      <c r="CD44" s="256">
        <f>IF(ISNUMBER(CD41),IFERROR(-CD41/(CD123-CD41),""),"")</f>
      </c>
      <c r="CE44" s="256">
        <f>IF(ISNUMBER(CE41),IFERROR(-CE41/(CE123-CE41),""),"")</f>
      </c>
      <c r="CF44" s="153" t="n"/>
      <c r="CN44" s="25" t="inlineStr">
        <is>
          <t xml:space="preserve">  2028E</t>
        </is>
      </c>
      <c r="CO44" s="33">
        <f>CP44+$CO$42</f>
        <v>0.618</v>
      </c>
      <c r="CP44" s="42" t="n">
        <v>0.608</v>
      </c>
      <c r="CQ44" s="33">
        <f>CP44+$CQ$42</f>
        <v>0.593</v>
      </c>
    </row>
    <row r="45" ht="15" customHeight="1" s="251">
      <c r="B45" s="25" t="inlineStr">
        <is>
          <t xml:space="preserve">  Payment network key metrics (current presentation, from FY2022; assessments are gross of rebates) — memo:</t>
        </is>
      </c>
      <c r="CF45" s="153" t="n"/>
      <c r="CN45" s="25" t="inlineStr">
        <is>
          <t xml:space="preserve">  2029E</t>
        </is>
      </c>
      <c r="CO45" s="33">
        <f>CP45+$CO$42</f>
        <v>0.623</v>
      </c>
      <c r="CP45" s="42" t="n">
        <v>0.613</v>
      </c>
      <c r="CQ45" s="33">
        <f>CP45+$CQ$42</f>
        <v>0.598</v>
      </c>
    </row>
    <row r="46" ht="15" customHeight="1" s="251">
      <c r="B46" s="156" t="inlineStr">
        <is>
          <t xml:space="preserve">    Domestic assessments</t>
        </is>
      </c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  <c r="AB46" s="34" t="n"/>
      <c r="AC46" s="34" t="n"/>
      <c r="AD46" s="34" t="n"/>
      <c r="AE46" s="34" t="n"/>
      <c r="AF46" s="34" t="n"/>
      <c r="AG46" s="34" t="n"/>
      <c r="AH46" s="34" t="n"/>
      <c r="AI46" s="34" t="n"/>
      <c r="AJ46" s="34" t="n"/>
      <c r="AK46" s="34" t="n"/>
      <c r="AL46" s="34" t="n"/>
      <c r="AM46" s="34" t="n"/>
      <c r="AN46" s="34" t="n"/>
      <c r="AO46" s="34" t="n"/>
      <c r="AP46" s="34" t="n"/>
      <c r="AQ46" s="34" t="n"/>
      <c r="AR46" s="34" t="n"/>
      <c r="AS46" s="34" t="n"/>
      <c r="AT46" s="34" t="n"/>
      <c r="AU46" s="34" t="n"/>
      <c r="AV46" s="34" t="n"/>
      <c r="AW46" s="34" t="n"/>
      <c r="AX46" s="34" t="n"/>
      <c r="AY46" s="34" t="n"/>
      <c r="AZ46" s="34" t="n"/>
      <c r="BA46" s="34" t="n"/>
      <c r="BB46" s="34" t="n"/>
      <c r="BC46" s="34" t="n"/>
      <c r="BD46" s="34" t="n"/>
      <c r="BE46" s="34" t="n"/>
      <c r="BF46" s="34" t="n"/>
      <c r="BG46" s="253" t="n">
        <v>8794</v>
      </c>
      <c r="BH46" s="253" t="n">
        <v>2254</v>
      </c>
      <c r="BI46" s="253" t="n">
        <v>2468</v>
      </c>
      <c r="BJ46" s="253" t="n">
        <v>2460</v>
      </c>
      <c r="BK46" s="253" t="n">
        <v>2384</v>
      </c>
      <c r="BL46" s="253" t="n">
        <v>9566</v>
      </c>
      <c r="BM46" s="253" t="n">
        <v>2470</v>
      </c>
      <c r="BN46" s="253" t="n">
        <v>2596</v>
      </c>
      <c r="BO46" s="253" t="n">
        <v>2641</v>
      </c>
      <c r="BP46" s="253" t="n">
        <v>2538</v>
      </c>
      <c r="BQ46" s="253" t="n">
        <v>10245</v>
      </c>
      <c r="BR46" s="253" t="n">
        <v>2658</v>
      </c>
      <c r="BS46" s="253" t="n">
        <v>2789</v>
      </c>
      <c r="BT46" s="253" t="n">
        <v>2809</v>
      </c>
      <c r="BU46" s="253" t="n">
        <v>2773</v>
      </c>
      <c r="BV46" s="253" t="n">
        <v>11029</v>
      </c>
      <c r="BW46" s="253" t="n">
        <v>2896</v>
      </c>
      <c r="BX46" s="253" t="n">
        <v>3154</v>
      </c>
      <c r="BY46" s="153" t="n"/>
      <c r="BZ46" s="153" t="n"/>
      <c r="CA46" s="153" t="n"/>
      <c r="CB46" s="153" t="n"/>
      <c r="CC46" s="153" t="n"/>
      <c r="CD46" s="153" t="n"/>
      <c r="CE46" s="153" t="n"/>
      <c r="CF46" s="153" t="n"/>
      <c r="CN46" s="25" t="inlineStr">
        <is>
          <t xml:space="preserve">  2030E</t>
        </is>
      </c>
      <c r="CO46" s="33">
        <f>CP46+$CO$42</f>
        <v>0.628</v>
      </c>
      <c r="CP46" s="42" t="n">
        <v>0.618</v>
      </c>
      <c r="CQ46" s="33">
        <f>CP46+$CQ$42</f>
        <v>0.603</v>
      </c>
    </row>
    <row r="47" ht="15" customHeight="1" s="251">
      <c r="B47" s="156" t="inlineStr">
        <is>
          <t xml:space="preserve">    Cross-border assessments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  <c r="AD47" s="34" t="n"/>
      <c r="AE47" s="34" t="n"/>
      <c r="AF47" s="34" t="n"/>
      <c r="AG47" s="34" t="n"/>
      <c r="AH47" s="34" t="n"/>
      <c r="AI47" s="34" t="n"/>
      <c r="AJ47" s="34" t="n"/>
      <c r="AK47" s="34" t="n"/>
      <c r="AL47" s="34" t="n"/>
      <c r="AM47" s="34" t="n"/>
      <c r="AN47" s="34" t="n"/>
      <c r="AO47" s="34" t="n"/>
      <c r="AP47" s="34" t="n"/>
      <c r="AQ47" s="34" t="n"/>
      <c r="AR47" s="34" t="n"/>
      <c r="AS47" s="34" t="n"/>
      <c r="AT47" s="34" t="n"/>
      <c r="AU47" s="34" t="n"/>
      <c r="AV47" s="34" t="n"/>
      <c r="AW47" s="34" t="n"/>
      <c r="AX47" s="34" t="n"/>
      <c r="AY47" s="34" t="n"/>
      <c r="AZ47" s="34" t="n"/>
      <c r="BA47" s="34" t="n"/>
      <c r="BB47" s="34" t="n"/>
      <c r="BC47" s="34" t="n"/>
      <c r="BD47" s="34" t="n"/>
      <c r="BE47" s="34" t="n"/>
      <c r="BF47" s="34" t="n"/>
      <c r="BG47" s="253" t="n">
        <v>6597</v>
      </c>
      <c r="BH47" s="253" t="n">
        <v>1849</v>
      </c>
      <c r="BI47" s="253" t="n">
        <v>2050</v>
      </c>
      <c r="BJ47" s="253" t="n">
        <v>2313</v>
      </c>
      <c r="BK47" s="253" t="n">
        <v>2198</v>
      </c>
      <c r="BL47" s="253" t="n">
        <v>8409</v>
      </c>
      <c r="BM47" s="253" t="n">
        <v>2238</v>
      </c>
      <c r="BN47" s="253" t="n">
        <v>2433</v>
      </c>
      <c r="BO47" s="253" t="n">
        <v>2804</v>
      </c>
      <c r="BP47" s="253" t="n">
        <v>2706</v>
      </c>
      <c r="BQ47" s="253" t="n">
        <v>10181</v>
      </c>
      <c r="BR47" s="253" t="n">
        <v>2595</v>
      </c>
      <c r="BS47" s="253" t="n">
        <v>2848</v>
      </c>
      <c r="BT47" s="253" t="n">
        <v>3313</v>
      </c>
      <c r="BU47" s="253" t="n">
        <v>3265</v>
      </c>
      <c r="BV47" s="253" t="n">
        <v>12021</v>
      </c>
      <c r="BW47" s="253" t="n">
        <v>3190</v>
      </c>
      <c r="BX47" s="253" t="n">
        <v>3460</v>
      </c>
      <c r="BY47" s="153" t="n"/>
      <c r="BZ47" s="153" t="n"/>
      <c r="CA47" s="153" t="n"/>
      <c r="CB47" s="153" t="n"/>
      <c r="CC47" s="153" t="n"/>
      <c r="CD47" s="153" t="n"/>
      <c r="CE47" s="153" t="n"/>
      <c r="CF47" s="153" t="n"/>
      <c r="CN47" s="15" t="inlineStr">
        <is>
          <t>M&amp;A_spend (acquisitions, $m)</t>
        </is>
      </c>
      <c r="CO47" s="50" t="n">
        <v>500</v>
      </c>
      <c r="CP47" s="21" t="inlineStr">
        <is>
          <t>Δ →</t>
        </is>
      </c>
      <c r="CQ47" s="50" t="n">
        <v>-500</v>
      </c>
      <c r="CR47" s="13" t="inlineStr">
        <is>
          <t>Recorded Future $2.65bn (2024), none in 2025, BVNK $1.5bn (2026); Finicity, Ekata, Nets A2A (2020–21). Base $1.0bn p.a. (assumption).</t>
        </is>
      </c>
    </row>
    <row r="48" ht="15" customHeight="1" s="251">
      <c r="B48" s="156" t="inlineStr">
        <is>
          <t xml:space="preserve">    Transaction processing assessments</t>
        </is>
      </c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  <c r="AA48" s="34" t="n"/>
      <c r="AB48" s="34" t="n"/>
      <c r="AC48" s="34" t="n"/>
      <c r="AD48" s="34" t="n"/>
      <c r="AE48" s="34" t="n"/>
      <c r="AF48" s="34" t="n"/>
      <c r="AG48" s="34" t="n"/>
      <c r="AH48" s="34" t="n"/>
      <c r="AI48" s="34" t="n"/>
      <c r="AJ48" s="34" t="n"/>
      <c r="AK48" s="34" t="n"/>
      <c r="AL48" s="34" t="n"/>
      <c r="AM48" s="34" t="n"/>
      <c r="AN48" s="34" t="n"/>
      <c r="AO48" s="34" t="n"/>
      <c r="AP48" s="34" t="n"/>
      <c r="AQ48" s="34" t="n"/>
      <c r="AR48" s="34" t="n"/>
      <c r="AS48" s="34" t="n"/>
      <c r="AT48" s="34" t="n"/>
      <c r="AU48" s="34" t="n"/>
      <c r="AV48" s="34" t="n"/>
      <c r="AW48" s="34" t="n"/>
      <c r="AX48" s="34" t="n"/>
      <c r="AY48" s="34" t="n"/>
      <c r="AZ48" s="34" t="n"/>
      <c r="BA48" s="34" t="n"/>
      <c r="BB48" s="34" t="n"/>
      <c r="BC48" s="34" t="n"/>
      <c r="BD48" s="34" t="n"/>
      <c r="BE48" s="34" t="n"/>
      <c r="BF48" s="34" t="n"/>
      <c r="BG48" s="253" t="n">
        <v>10646</v>
      </c>
      <c r="BH48" s="253" t="n">
        <v>2752</v>
      </c>
      <c r="BI48" s="253" t="n">
        <v>2979</v>
      </c>
      <c r="BJ48" s="253" t="n">
        <v>3172</v>
      </c>
      <c r="BK48" s="253" t="n">
        <v>3165</v>
      </c>
      <c r="BL48" s="253" t="n">
        <v>12067</v>
      </c>
      <c r="BM48" s="253" t="n">
        <v>3086</v>
      </c>
      <c r="BN48" s="253" t="n">
        <v>3324</v>
      </c>
      <c r="BO48" s="253" t="n">
        <v>3587</v>
      </c>
      <c r="BP48" s="253" t="n">
        <v>3605</v>
      </c>
      <c r="BQ48" s="253" t="n">
        <v>13602</v>
      </c>
      <c r="BR48" s="253" t="n">
        <v>3527</v>
      </c>
      <c r="BS48" s="253" t="n">
        <v>3971</v>
      </c>
      <c r="BT48" s="253" t="n">
        <v>4191</v>
      </c>
      <c r="BU48" s="253" t="n">
        <v>4241</v>
      </c>
      <c r="BV48" s="253" t="n">
        <v>15930</v>
      </c>
      <c r="BW48" s="253" t="n">
        <v>4224</v>
      </c>
      <c r="BX48" s="253" t="n">
        <v>4508</v>
      </c>
      <c r="BY48" s="153" t="n"/>
      <c r="BZ48" s="153" t="n"/>
      <c r="CA48" s="153" t="n"/>
      <c r="CB48" s="153" t="n"/>
      <c r="CC48" s="153" t="n"/>
      <c r="CD48" s="153" t="n"/>
      <c r="CE48" s="153" t="n"/>
      <c r="CF48" s="153" t="n"/>
      <c r="CN48" s="25" t="inlineStr">
        <is>
          <t xml:space="preserve">  2027E</t>
        </is>
      </c>
      <c r="CO48" s="51">
        <f>MAX(0,CP48+$CO$47)</f>
        <v>1500</v>
      </c>
      <c r="CP48" s="26" t="n">
        <v>1000</v>
      </c>
      <c r="CQ48" s="51">
        <f>MAX(0,CP48+$CQ$47)</f>
        <v>500</v>
      </c>
    </row>
    <row r="49" ht="15" customHeight="1" s="251">
      <c r="B49" s="156" t="inlineStr">
        <is>
          <t xml:space="preserve">    Other network assessments</t>
        </is>
      </c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  <c r="AA49" s="34" t="n"/>
      <c r="AB49" s="34" t="n"/>
      <c r="AC49" s="34" t="n"/>
      <c r="AD49" s="34" t="n"/>
      <c r="AE49" s="34" t="n"/>
      <c r="AF49" s="34" t="n"/>
      <c r="AG49" s="34" t="n"/>
      <c r="AH49" s="34" t="n"/>
      <c r="AI49" s="34" t="n"/>
      <c r="AJ49" s="34" t="n"/>
      <c r="AK49" s="34" t="n"/>
      <c r="AL49" s="34" t="n"/>
      <c r="AM49" s="34" t="n"/>
      <c r="AN49" s="34" t="n"/>
      <c r="AO49" s="34" t="n"/>
      <c r="AP49" s="34" t="n"/>
      <c r="AQ49" s="34" t="n"/>
      <c r="AR49" s="34" t="n"/>
      <c r="AS49" s="34" t="n"/>
      <c r="AT49" s="34" t="n"/>
      <c r="AU49" s="34" t="n"/>
      <c r="AV49" s="34" t="n"/>
      <c r="AW49" s="34" t="n"/>
      <c r="AX49" s="34" t="n"/>
      <c r="AY49" s="34" t="n"/>
      <c r="AZ49" s="34" t="n"/>
      <c r="BA49" s="34" t="n"/>
      <c r="BB49" s="34" t="n"/>
      <c r="BC49" s="34" t="n"/>
      <c r="BD49" s="34" t="n"/>
      <c r="BE49" s="34" t="n"/>
      <c r="BF49" s="34" t="n"/>
      <c r="BG49" s="253" t="n">
        <v>766</v>
      </c>
      <c r="BH49" s="253" t="n">
        <v>212</v>
      </c>
      <c r="BI49" s="253" t="n">
        <v>270</v>
      </c>
      <c r="BJ49" s="253" t="n">
        <v>229</v>
      </c>
      <c r="BK49" s="253" t="n">
        <v>251</v>
      </c>
      <c r="BL49" s="253" t="n">
        <v>963</v>
      </c>
      <c r="BM49" s="253" t="n">
        <v>226</v>
      </c>
      <c r="BN49" s="253" t="n">
        <v>244</v>
      </c>
      <c r="BO49" s="253" t="n">
        <v>227</v>
      </c>
      <c r="BP49" s="253" t="n">
        <v>239</v>
      </c>
      <c r="BQ49" s="253" t="n">
        <v>936</v>
      </c>
      <c r="BR49" s="253" t="n">
        <v>231</v>
      </c>
      <c r="BS49" s="253" t="n">
        <v>260</v>
      </c>
      <c r="BT49" s="253" t="n">
        <v>255</v>
      </c>
      <c r="BU49" s="253" t="n">
        <v>272</v>
      </c>
      <c r="BV49" s="253" t="n">
        <v>1018</v>
      </c>
      <c r="BW49" s="253" t="n">
        <v>277</v>
      </c>
      <c r="BX49" s="253" t="n">
        <v>326</v>
      </c>
      <c r="BY49" s="153" t="n"/>
      <c r="BZ49" s="153" t="n"/>
      <c r="CA49" s="153" t="n"/>
      <c r="CB49" s="153" t="n"/>
      <c r="CC49" s="153" t="n"/>
      <c r="CD49" s="153" t="n"/>
      <c r="CE49" s="153" t="n"/>
      <c r="CF49" s="153" t="n"/>
      <c r="CN49" s="25" t="inlineStr">
        <is>
          <t xml:space="preserve">  2028E</t>
        </is>
      </c>
      <c r="CO49" s="51">
        <f>MAX(0,CP49+$CO$47)</f>
        <v>1500</v>
      </c>
      <c r="CP49" s="26" t="n">
        <v>1000</v>
      </c>
      <c r="CQ49" s="51">
        <f>MAX(0,CP49+$CQ$47)</f>
        <v>500</v>
      </c>
    </row>
    <row r="50" ht="15" customHeight="1" s="251">
      <c r="B50" s="156" t="inlineStr">
        <is>
          <t xml:space="preserve">    Payment network rebates &amp; incentives (MD&amp;A text)</t>
        </is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34" t="n"/>
      <c r="AL50" s="34" t="n"/>
      <c r="AM50" s="34" t="n"/>
      <c r="AN50" s="34" t="n"/>
      <c r="AO50" s="34" t="n"/>
      <c r="AP50" s="34" t="n"/>
      <c r="AQ50" s="34" t="n"/>
      <c r="AR50" s="34" t="n"/>
      <c r="AS50" s="34" t="n"/>
      <c r="AT50" s="34" t="n"/>
      <c r="AU50" s="34" t="n"/>
      <c r="AV50" s="34" t="n"/>
      <c r="AW50" s="34" t="n"/>
      <c r="AX50" s="34" t="n"/>
      <c r="AY50" s="34" t="n"/>
      <c r="AZ50" s="34" t="n"/>
      <c r="BA50" s="34" t="n"/>
      <c r="BB50" s="34" t="n"/>
      <c r="BC50" s="34" t="n"/>
      <c r="BD50" s="34" t="n"/>
      <c r="BE50" s="34" t="n"/>
      <c r="BF50" s="34" t="n"/>
      <c r="BG50" s="34" t="n"/>
      <c r="BH50" s="34" t="n"/>
      <c r="BI50" s="34" t="n"/>
      <c r="BJ50" s="34" t="n"/>
      <c r="BK50" s="34" t="n"/>
      <c r="BL50" s="34" t="n"/>
      <c r="BM50" s="253" t="n">
        <v>-4100</v>
      </c>
      <c r="BN50" s="253" t="n">
        <v>-4222</v>
      </c>
      <c r="BO50" s="253" t="n">
        <v>-4630</v>
      </c>
      <c r="BP50" s="253" t="n">
        <v>-4677</v>
      </c>
      <c r="BQ50" s="253" t="n">
        <v>-17629</v>
      </c>
      <c r="BR50" s="253" t="n">
        <v>-4579</v>
      </c>
      <c r="BS50" s="253" t="n">
        <v>-4923</v>
      </c>
      <c r="BT50" s="253" t="n">
        <v>-5389</v>
      </c>
      <c r="BU50" s="253" t="n">
        <v>-5631</v>
      </c>
      <c r="BV50" s="253" t="n">
        <v>-20522</v>
      </c>
      <c r="BW50" s="253" t="n">
        <v>-5639</v>
      </c>
      <c r="BX50" s="253" t="n">
        <v>-5997</v>
      </c>
      <c r="BY50" s="153" t="n"/>
      <c r="BZ50" s="153" t="n"/>
      <c r="CA50" s="153" t="n"/>
      <c r="CB50" s="153" t="n"/>
      <c r="CC50" s="153" t="n"/>
      <c r="CD50" s="153" t="n"/>
      <c r="CE50" s="153" t="n"/>
      <c r="CF50" s="153" t="n"/>
      <c r="CN50" s="25" t="inlineStr">
        <is>
          <t xml:space="preserve">  2029E</t>
        </is>
      </c>
      <c r="CO50" s="51">
        <f>MAX(0,CP50+$CO$47)</f>
        <v>1500</v>
      </c>
      <c r="CP50" s="26" t="n">
        <v>1000</v>
      </c>
      <c r="CQ50" s="51">
        <f>MAX(0,CP50+$CQ$47)</f>
        <v>500</v>
      </c>
    </row>
    <row r="51" ht="15" customHeight="1" s="251">
      <c r="B51" s="57" t="inlineStr">
        <is>
          <t xml:space="preserve">    Check: key metrics vs payment network net revenue (should be 0)</t>
        </is>
      </c>
      <c r="C51" s="211">
        <f>IF(AND(ISNUMBER(C46),ISNUMBER(C50)),IF(ABS(N(C46)+N(C47)+N(C48)+N(C49)+N(C50)-C20)&lt;=1.1,0,ROUND(N(C46)+N(C47)+N(C48)+N(C49)+N(C50)-C20,0)),"")</f>
      </c>
      <c r="D51" s="211">
        <f>IF(AND(ISNUMBER(D46),ISNUMBER(D50)),IF(ABS(N(D46)+N(D47)+N(D48)+N(D49)+N(D50)-D20)&lt;=1.1,0,ROUND(N(D46)+N(D47)+N(D48)+N(D49)+N(D50)-D20,0)),"")</f>
      </c>
      <c r="E51" s="211">
        <f>IF(AND(ISNUMBER(E46),ISNUMBER(E50)),IF(ABS(N(E46)+N(E47)+N(E48)+N(E49)+N(E50)-E20)&lt;=1.1,0,ROUND(N(E46)+N(E47)+N(E48)+N(E49)+N(E50)-E20,0)),"")</f>
      </c>
      <c r="F51" s="211">
        <f>IF(AND(ISNUMBER(F46),ISNUMBER(F50)),IF(ABS(N(F46)+N(F47)+N(F48)+N(F49)+N(F50)-F20)&lt;=1.1,0,ROUND(N(F46)+N(F47)+N(F48)+N(F49)+N(F50)-F20,0)),"")</f>
      </c>
      <c r="G51" s="211">
        <f>IF(AND(ISNUMBER(G46),ISNUMBER(G50)),IF(ABS(N(G46)+N(G47)+N(G48)+N(G49)+N(G50)-G20)&lt;=1.1,0,ROUND(N(G46)+N(G47)+N(G48)+N(G49)+N(G50)-G20,0)),"")</f>
      </c>
      <c r="H51" s="211">
        <f>IF(AND(ISNUMBER(H46),ISNUMBER(H50)),IF(ABS(N(H46)+N(H47)+N(H48)+N(H49)+N(H50)-H20)&lt;=1.1,0,ROUND(N(H46)+N(H47)+N(H48)+N(H49)+N(H50)-H20,0)),"")</f>
      </c>
      <c r="I51" s="211">
        <f>IF(AND(ISNUMBER(I46),ISNUMBER(I50)),IF(ABS(N(I46)+N(I47)+N(I48)+N(I49)+N(I50)-I20)&lt;=1.1,0,ROUND(N(I46)+N(I47)+N(I48)+N(I49)+N(I50)-I20,0)),"")</f>
      </c>
      <c r="J51" s="211">
        <f>IF(AND(ISNUMBER(J46),ISNUMBER(J50)),IF(ABS(N(J46)+N(J47)+N(J48)+N(J49)+N(J50)-J20)&lt;=1.1,0,ROUND(N(J46)+N(J47)+N(J48)+N(J49)+N(J50)-J20,0)),"")</f>
      </c>
      <c r="K51" s="211">
        <f>IF(AND(ISNUMBER(K46),ISNUMBER(K50)),IF(ABS(N(K46)+N(K47)+N(K48)+N(K49)+N(K50)-K20)&lt;=1.1,0,ROUND(N(K46)+N(K47)+N(K48)+N(K49)+N(K50)-K20,0)),"")</f>
      </c>
      <c r="L51" s="211">
        <f>IF(AND(ISNUMBER(L46),ISNUMBER(L50)),IF(ABS(N(L46)+N(L47)+N(L48)+N(L49)+N(L50)-L20)&lt;=1.1,0,ROUND(N(L46)+N(L47)+N(L48)+N(L49)+N(L50)-L20,0)),"")</f>
      </c>
      <c r="M51" s="211">
        <f>IF(AND(ISNUMBER(M46),ISNUMBER(M50)),IF(ABS(N(M46)+N(M47)+N(M48)+N(M49)+N(M50)-M20)&lt;=1.1,0,ROUND(N(M46)+N(M47)+N(M48)+N(M49)+N(M50)-M20,0)),"")</f>
      </c>
      <c r="N51" s="211">
        <f>IF(AND(ISNUMBER(N46),ISNUMBER(N50)),IF(ABS(N(N46)+N(N47)+N(N48)+N(N49)+N(N50)-N20)&lt;=1.1,0,ROUND(N(N46)+N(N47)+N(N48)+N(N49)+N(N50)-N20,0)),"")</f>
      </c>
      <c r="O51" s="211">
        <f>IF(AND(ISNUMBER(O46),ISNUMBER(O50)),IF(ABS(N(O46)+N(O47)+N(O48)+N(O49)+N(O50)-O20)&lt;=1.1,0,ROUND(N(O46)+N(O47)+N(O48)+N(O49)+N(O50)-O20,0)),"")</f>
      </c>
      <c r="P51" s="211">
        <f>IF(AND(ISNUMBER(P46),ISNUMBER(P50)),IF(ABS(N(P46)+N(P47)+N(P48)+N(P49)+N(P50)-P20)&lt;=1.1,0,ROUND(N(P46)+N(P47)+N(P48)+N(P49)+N(P50)-P20,0)),"")</f>
      </c>
      <c r="Q51" s="211">
        <f>IF(AND(ISNUMBER(Q46),ISNUMBER(Q50)),IF(ABS(N(Q46)+N(Q47)+N(Q48)+N(Q49)+N(Q50)-Q20)&lt;=1.1,0,ROUND(N(Q46)+N(Q47)+N(Q48)+N(Q49)+N(Q50)-Q20,0)),"")</f>
      </c>
      <c r="R51" s="211">
        <f>IF(AND(ISNUMBER(R46),ISNUMBER(R50)),IF(ABS(N(R46)+N(R47)+N(R48)+N(R49)+N(R50)-R20)&lt;=1.1,0,ROUND(N(R46)+N(R47)+N(R48)+N(R49)+N(R50)-R20,0)),"")</f>
      </c>
      <c r="S51" s="211">
        <f>IF(AND(ISNUMBER(S46),ISNUMBER(S50)),IF(ABS(N(S46)+N(S47)+N(S48)+N(S49)+N(S50)-S20)&lt;=1.1,0,ROUND(N(S46)+N(S47)+N(S48)+N(S49)+N(S50)-S20,0)),"")</f>
      </c>
      <c r="T51" s="211">
        <f>IF(AND(ISNUMBER(T46),ISNUMBER(T50)),IF(ABS(N(T46)+N(T47)+N(T48)+N(T49)+N(T50)-T20)&lt;=1.1,0,ROUND(N(T46)+N(T47)+N(T48)+N(T49)+N(T50)-T20,0)),"")</f>
      </c>
      <c r="U51" s="211">
        <f>IF(AND(ISNUMBER(U46),ISNUMBER(U50)),IF(ABS(N(U46)+N(U47)+N(U48)+N(U49)+N(U50)-U20)&lt;=1.1,0,ROUND(N(U46)+N(U47)+N(U48)+N(U49)+N(U50)-U20,0)),"")</f>
      </c>
      <c r="V51" s="211">
        <f>IF(AND(ISNUMBER(V46),ISNUMBER(V50)),IF(ABS(N(V46)+N(V47)+N(V48)+N(V49)+N(V50)-V20)&lt;=1.1,0,ROUND(N(V46)+N(V47)+N(V48)+N(V49)+N(V50)-V20,0)),"")</f>
      </c>
      <c r="W51" s="211">
        <f>IF(AND(ISNUMBER(W46),ISNUMBER(W50)),IF(ABS(N(W46)+N(W47)+N(W48)+N(W49)+N(W50)-W20)&lt;=1.1,0,ROUND(N(W46)+N(W47)+N(W48)+N(W49)+N(W50)-W20,0)),"")</f>
      </c>
      <c r="X51" s="211">
        <f>IF(AND(ISNUMBER(X46),ISNUMBER(X50)),IF(ABS(N(X46)+N(X47)+N(X48)+N(X49)+N(X50)-X20)&lt;=1.1,0,ROUND(N(X46)+N(X47)+N(X48)+N(X49)+N(X50)-X20,0)),"")</f>
      </c>
      <c r="Y51" s="211">
        <f>IF(AND(ISNUMBER(Y46),ISNUMBER(Y50)),IF(ABS(N(Y46)+N(Y47)+N(Y48)+N(Y49)+N(Y50)-Y20)&lt;=1.1,0,ROUND(N(Y46)+N(Y47)+N(Y48)+N(Y49)+N(Y50)-Y20,0)),"")</f>
      </c>
      <c r="Z51" s="211">
        <f>IF(AND(ISNUMBER(Z46),ISNUMBER(Z50)),IF(ABS(N(Z46)+N(Z47)+N(Z48)+N(Z49)+N(Z50)-Z20)&lt;=1.1,0,ROUND(N(Z46)+N(Z47)+N(Z48)+N(Z49)+N(Z50)-Z20,0)),"")</f>
      </c>
      <c r="AA51" s="211">
        <f>IF(AND(ISNUMBER(AA46),ISNUMBER(AA50)),IF(ABS(N(AA46)+N(AA47)+N(AA48)+N(AA49)+N(AA50)-AA20)&lt;=1.1,0,ROUND(N(AA46)+N(AA47)+N(AA48)+N(AA49)+N(AA50)-AA20,0)),"")</f>
      </c>
      <c r="AB51" s="211">
        <f>IF(AND(ISNUMBER(AB46),ISNUMBER(AB50)),IF(ABS(N(AB46)+N(AB47)+N(AB48)+N(AB49)+N(AB50)-AB20)&lt;=1.1,0,ROUND(N(AB46)+N(AB47)+N(AB48)+N(AB49)+N(AB50)-AB20,0)),"")</f>
      </c>
      <c r="AC51" s="211">
        <f>IF(AND(ISNUMBER(AC46),ISNUMBER(AC50)),IF(ABS(N(AC46)+N(AC47)+N(AC48)+N(AC49)+N(AC50)-AC20)&lt;=1.1,0,ROUND(N(AC46)+N(AC47)+N(AC48)+N(AC49)+N(AC50)-AC20,0)),"")</f>
      </c>
      <c r="AD51" s="211">
        <f>IF(AND(ISNUMBER(AD46),ISNUMBER(AD50)),IF(ABS(N(AD46)+N(AD47)+N(AD48)+N(AD49)+N(AD50)-AD20)&lt;=1.1,0,ROUND(N(AD46)+N(AD47)+N(AD48)+N(AD49)+N(AD50)-AD20,0)),"")</f>
      </c>
      <c r="AE51" s="211">
        <f>IF(AND(ISNUMBER(AE46),ISNUMBER(AE50)),IF(ABS(N(AE46)+N(AE47)+N(AE48)+N(AE49)+N(AE50)-AE20)&lt;=1.1,0,ROUND(N(AE46)+N(AE47)+N(AE48)+N(AE49)+N(AE50)-AE20,0)),"")</f>
      </c>
      <c r="AF51" s="211">
        <f>IF(AND(ISNUMBER(AF46),ISNUMBER(AF50)),IF(ABS(N(AF46)+N(AF47)+N(AF48)+N(AF49)+N(AF50)-AF20)&lt;=1.1,0,ROUND(N(AF46)+N(AF47)+N(AF48)+N(AF49)+N(AF50)-AF20,0)),"")</f>
      </c>
      <c r="AG51" s="211">
        <f>IF(AND(ISNUMBER(AG46),ISNUMBER(AG50)),IF(ABS(N(AG46)+N(AG47)+N(AG48)+N(AG49)+N(AG50)-AG20)&lt;=1.1,0,ROUND(N(AG46)+N(AG47)+N(AG48)+N(AG49)+N(AG50)-AG20,0)),"")</f>
      </c>
      <c r="AH51" s="211">
        <f>IF(AND(ISNUMBER(AH46),ISNUMBER(AH50)),IF(ABS(N(AH46)+N(AH47)+N(AH48)+N(AH49)+N(AH50)-AH20)&lt;=1.1,0,ROUND(N(AH46)+N(AH47)+N(AH48)+N(AH49)+N(AH50)-AH20,0)),"")</f>
      </c>
      <c r="AI51" s="211">
        <f>IF(AND(ISNUMBER(AI46),ISNUMBER(AI50)),IF(ABS(N(AI46)+N(AI47)+N(AI48)+N(AI49)+N(AI50)-AI20)&lt;=1.1,0,ROUND(N(AI46)+N(AI47)+N(AI48)+N(AI49)+N(AI50)-AI20,0)),"")</f>
      </c>
      <c r="AJ51" s="211">
        <f>IF(AND(ISNUMBER(AJ46),ISNUMBER(AJ50)),IF(ABS(N(AJ46)+N(AJ47)+N(AJ48)+N(AJ49)+N(AJ50)-AJ20)&lt;=1.1,0,ROUND(N(AJ46)+N(AJ47)+N(AJ48)+N(AJ49)+N(AJ50)-AJ20,0)),"")</f>
      </c>
      <c r="AK51" s="211">
        <f>IF(AND(ISNUMBER(AK46),ISNUMBER(AK50)),IF(ABS(N(AK46)+N(AK47)+N(AK48)+N(AK49)+N(AK50)-AK20)&lt;=1.1,0,ROUND(N(AK46)+N(AK47)+N(AK48)+N(AK49)+N(AK50)-AK20,0)),"")</f>
      </c>
      <c r="AL51" s="211">
        <f>IF(AND(ISNUMBER(AL46),ISNUMBER(AL50)),IF(ABS(N(AL46)+N(AL47)+N(AL48)+N(AL49)+N(AL50)-AL20)&lt;=1.1,0,ROUND(N(AL46)+N(AL47)+N(AL48)+N(AL49)+N(AL50)-AL20,0)),"")</f>
      </c>
      <c r="AM51" s="211">
        <f>IF(AND(ISNUMBER(AM46),ISNUMBER(AM50)),IF(ABS(N(AM46)+N(AM47)+N(AM48)+N(AM49)+N(AM50)-AM20)&lt;=1.1,0,ROUND(N(AM46)+N(AM47)+N(AM48)+N(AM49)+N(AM50)-AM20,0)),"")</f>
      </c>
      <c r="AN51" s="211">
        <f>IF(AND(ISNUMBER(AN46),ISNUMBER(AN50)),IF(ABS(N(AN46)+N(AN47)+N(AN48)+N(AN49)+N(AN50)-AN20)&lt;=1.1,0,ROUND(N(AN46)+N(AN47)+N(AN48)+N(AN49)+N(AN50)-AN20,0)),"")</f>
      </c>
      <c r="AO51" s="211">
        <f>IF(AND(ISNUMBER(AO46),ISNUMBER(AO50)),IF(ABS(N(AO46)+N(AO47)+N(AO48)+N(AO49)+N(AO50)-AO20)&lt;=1.1,0,ROUND(N(AO46)+N(AO47)+N(AO48)+N(AO49)+N(AO50)-AO20,0)),"")</f>
      </c>
      <c r="AP51" s="211">
        <f>IF(AND(ISNUMBER(AP46),ISNUMBER(AP50)),IF(ABS(N(AP46)+N(AP47)+N(AP48)+N(AP49)+N(AP50)-AP20)&lt;=1.1,0,ROUND(N(AP46)+N(AP47)+N(AP48)+N(AP49)+N(AP50)-AP20,0)),"")</f>
      </c>
      <c r="AQ51" s="211">
        <f>IF(AND(ISNUMBER(AQ46),ISNUMBER(AQ50)),IF(ABS(N(AQ46)+N(AQ47)+N(AQ48)+N(AQ49)+N(AQ50)-AQ20)&lt;=1.1,0,ROUND(N(AQ46)+N(AQ47)+N(AQ48)+N(AQ49)+N(AQ50)-AQ20,0)),"")</f>
      </c>
      <c r="AR51" s="211">
        <f>IF(AND(ISNUMBER(AR46),ISNUMBER(AR50)),IF(ABS(N(AR46)+N(AR47)+N(AR48)+N(AR49)+N(AR50)-AR20)&lt;=1.1,0,ROUND(N(AR46)+N(AR47)+N(AR48)+N(AR49)+N(AR50)-AR20,0)),"")</f>
      </c>
      <c r="AS51" s="211">
        <f>IF(AND(ISNUMBER(AS46),ISNUMBER(AS50)),IF(ABS(N(AS46)+N(AS47)+N(AS48)+N(AS49)+N(AS50)-AS20)&lt;=1.1,0,ROUND(N(AS46)+N(AS47)+N(AS48)+N(AS49)+N(AS50)-AS20,0)),"")</f>
      </c>
      <c r="AT51" s="211">
        <f>IF(AND(ISNUMBER(AT46),ISNUMBER(AT50)),IF(ABS(N(AT46)+N(AT47)+N(AT48)+N(AT49)+N(AT50)-AT20)&lt;=1.1,0,ROUND(N(AT46)+N(AT47)+N(AT48)+N(AT49)+N(AT50)-AT20,0)),"")</f>
      </c>
      <c r="AU51" s="211">
        <f>IF(AND(ISNUMBER(AU46),ISNUMBER(AU50)),IF(ABS(N(AU46)+N(AU47)+N(AU48)+N(AU49)+N(AU50)-AU20)&lt;=1.1,0,ROUND(N(AU46)+N(AU47)+N(AU48)+N(AU49)+N(AU50)-AU20,0)),"")</f>
      </c>
      <c r="AV51" s="211">
        <f>IF(AND(ISNUMBER(AV46),ISNUMBER(AV50)),IF(ABS(N(AV46)+N(AV47)+N(AV48)+N(AV49)+N(AV50)-AV20)&lt;=1.1,0,ROUND(N(AV46)+N(AV47)+N(AV48)+N(AV49)+N(AV50)-AV20,0)),"")</f>
      </c>
      <c r="AW51" s="211">
        <f>IF(AND(ISNUMBER(AW46),ISNUMBER(AW50)),IF(ABS(N(AW46)+N(AW47)+N(AW48)+N(AW49)+N(AW50)-AW20)&lt;=1.1,0,ROUND(N(AW46)+N(AW47)+N(AW48)+N(AW49)+N(AW50)-AW20,0)),"")</f>
      </c>
      <c r="AX51" s="211">
        <f>IF(AND(ISNUMBER(AX46),ISNUMBER(AX50)),IF(ABS(N(AX46)+N(AX47)+N(AX48)+N(AX49)+N(AX50)-AX20)&lt;=1.1,0,ROUND(N(AX46)+N(AX47)+N(AX48)+N(AX49)+N(AX50)-AX20,0)),"")</f>
      </c>
      <c r="AY51" s="211">
        <f>IF(AND(ISNUMBER(AY46),ISNUMBER(AY50)),IF(ABS(N(AY46)+N(AY47)+N(AY48)+N(AY49)+N(AY50)-AY20)&lt;=1.1,0,ROUND(N(AY46)+N(AY47)+N(AY48)+N(AY49)+N(AY50)-AY20,0)),"")</f>
      </c>
      <c r="AZ51" s="211">
        <f>IF(AND(ISNUMBER(AZ46),ISNUMBER(AZ50)),IF(ABS(N(AZ46)+N(AZ47)+N(AZ48)+N(AZ49)+N(AZ50)-AZ20)&lt;=1.1,0,ROUND(N(AZ46)+N(AZ47)+N(AZ48)+N(AZ49)+N(AZ50)-AZ20,0)),"")</f>
      </c>
      <c r="BA51" s="211">
        <f>IF(AND(ISNUMBER(BA46),ISNUMBER(BA50)),IF(ABS(N(BA46)+N(BA47)+N(BA48)+N(BA49)+N(BA50)-BA20)&lt;=1.1,0,ROUND(N(BA46)+N(BA47)+N(BA48)+N(BA49)+N(BA50)-BA20,0)),"")</f>
      </c>
      <c r="BB51" s="211">
        <f>IF(AND(ISNUMBER(BB46),ISNUMBER(BB50)),IF(ABS(N(BB46)+N(BB47)+N(BB48)+N(BB49)+N(BB50)-BB20)&lt;=1.1,0,ROUND(N(BB46)+N(BB47)+N(BB48)+N(BB49)+N(BB50)-BB20,0)),"")</f>
      </c>
      <c r="BC51" s="211">
        <f>IF(AND(ISNUMBER(BC46),ISNUMBER(BC50)),IF(ABS(N(BC46)+N(BC47)+N(BC48)+N(BC49)+N(BC50)-BC20)&lt;=1.1,0,ROUND(N(BC46)+N(BC47)+N(BC48)+N(BC49)+N(BC50)-BC20,0)),"")</f>
      </c>
      <c r="BD51" s="211">
        <f>IF(AND(ISNUMBER(BD46),ISNUMBER(BD50)),IF(ABS(N(BD46)+N(BD47)+N(BD48)+N(BD49)+N(BD50)-BD20)&lt;=1.1,0,ROUND(N(BD46)+N(BD47)+N(BD48)+N(BD49)+N(BD50)-BD20,0)),"")</f>
      </c>
      <c r="BE51" s="211">
        <f>IF(AND(ISNUMBER(BE46),ISNUMBER(BE50)),IF(ABS(N(BE46)+N(BE47)+N(BE48)+N(BE49)+N(BE50)-BE20)&lt;=1.1,0,ROUND(N(BE46)+N(BE47)+N(BE48)+N(BE49)+N(BE50)-BE20,0)),"")</f>
      </c>
      <c r="BF51" s="211">
        <f>IF(AND(ISNUMBER(BF46),ISNUMBER(BF50)),IF(ABS(N(BF46)+N(BF47)+N(BF48)+N(BF49)+N(BF50)-BF20)&lt;=1.1,0,ROUND(N(BF46)+N(BF47)+N(BF48)+N(BF49)+N(BF50)-BF20,0)),"")</f>
      </c>
      <c r="BG51" s="211">
        <f>IF(AND(ISNUMBER(BG46),ISNUMBER(BG50)),IF(ABS(N(BG46)+N(BG47)+N(BG48)+N(BG49)+N(BG50)-BG20)&lt;=1.1,0,ROUND(N(BG46)+N(BG47)+N(BG48)+N(BG49)+N(BG50)-BG20,0)),"")</f>
      </c>
      <c r="BH51" s="211">
        <f>IF(AND(ISNUMBER(BH46),ISNUMBER(BH50)),IF(ABS(N(BH46)+N(BH47)+N(BH48)+N(BH49)+N(BH50)-BH20)&lt;=1.1,0,ROUND(N(BH46)+N(BH47)+N(BH48)+N(BH49)+N(BH50)-BH20,0)),"")</f>
      </c>
      <c r="BI51" s="211">
        <f>IF(AND(ISNUMBER(BI46),ISNUMBER(BI50)),IF(ABS(N(BI46)+N(BI47)+N(BI48)+N(BI49)+N(BI50)-BI20)&lt;=1.1,0,ROUND(N(BI46)+N(BI47)+N(BI48)+N(BI49)+N(BI50)-BI20,0)),"")</f>
      </c>
      <c r="BJ51" s="211">
        <f>IF(AND(ISNUMBER(BJ46),ISNUMBER(BJ50)),IF(ABS(N(BJ46)+N(BJ47)+N(BJ48)+N(BJ49)+N(BJ50)-BJ20)&lt;=1.1,0,ROUND(N(BJ46)+N(BJ47)+N(BJ48)+N(BJ49)+N(BJ50)-BJ20,0)),"")</f>
      </c>
      <c r="BK51" s="211">
        <f>IF(AND(ISNUMBER(BK46),ISNUMBER(BK50)),IF(ABS(N(BK46)+N(BK47)+N(BK48)+N(BK49)+N(BK50)-BK20)&lt;=1.1,0,ROUND(N(BK46)+N(BK47)+N(BK48)+N(BK49)+N(BK50)-BK20,0)),"")</f>
      </c>
      <c r="BL51" s="211">
        <f>IF(AND(ISNUMBER(BL46),ISNUMBER(BL50)),IF(ABS(N(BL46)+N(BL47)+N(BL48)+N(BL49)+N(BL50)-BL20)&lt;=1.1,0,ROUND(N(BL46)+N(BL47)+N(BL48)+N(BL49)+N(BL50)-BL20,0)),"")</f>
      </c>
      <c r="BM51" s="211">
        <f>IF(AND(ISNUMBER(BM46),ISNUMBER(BM50)),IF(ABS(N(BM46)+N(BM47)+N(BM48)+N(BM49)+N(BM50)-BM20)&lt;=1.1,0,ROUND(N(BM46)+N(BM47)+N(BM48)+N(BM49)+N(BM50)-BM20,0)),"")</f>
        <v>0</v>
      </c>
      <c r="BN51" s="211">
        <f>IF(AND(ISNUMBER(BN46),ISNUMBER(BN50)),IF(ABS(N(BN46)+N(BN47)+N(BN48)+N(BN49)+N(BN50)-BN20)&lt;=1.1,0,ROUND(N(BN46)+N(BN47)+N(BN48)+N(BN49)+N(BN50)-BN20,0)),"")</f>
        <v>0</v>
      </c>
      <c r="BO51" s="211">
        <f>IF(AND(ISNUMBER(BO46),ISNUMBER(BO50)),IF(ABS(N(BO46)+N(BO47)+N(BO48)+N(BO49)+N(BO50)-BO20)&lt;=1.1,0,ROUND(N(BO46)+N(BO47)+N(BO48)+N(BO49)+N(BO50)-BO20,0)),"")</f>
        <v>0</v>
      </c>
      <c r="BP51" s="211">
        <f>IF(AND(ISNUMBER(BP46),ISNUMBER(BP50)),IF(ABS(N(BP46)+N(BP47)+N(BP48)+N(BP49)+N(BP50)-BP20)&lt;=1.1,0,ROUND(N(BP46)+N(BP47)+N(BP48)+N(BP49)+N(BP50)-BP20,0)),"")</f>
        <v>0</v>
      </c>
      <c r="BQ51" s="211">
        <f>IF(AND(ISNUMBER(BQ46),ISNUMBER(BQ50)),IF(ABS(N(BQ46)+N(BQ47)+N(BQ48)+N(BQ49)+N(BQ50)-BQ20)&lt;=1.1,0,ROUND(N(BQ46)+N(BQ47)+N(BQ48)+N(BQ49)+N(BQ50)-BQ20,0)),"")</f>
        <v>0</v>
      </c>
      <c r="BR51" s="211">
        <f>IF(AND(ISNUMBER(BR46),ISNUMBER(BR50)),IF(ABS(N(BR46)+N(BR47)+N(BR48)+N(BR49)+N(BR50)-BR20)&lt;=1.1,0,ROUND(N(BR46)+N(BR47)+N(BR48)+N(BR49)+N(BR50)-BR20,0)),"")</f>
        <v>0</v>
      </c>
      <c r="BS51" s="211">
        <f>IF(AND(ISNUMBER(BS46),ISNUMBER(BS50)),IF(ABS(N(BS46)+N(BS47)+N(BS48)+N(BS49)+N(BS50)-BS20)&lt;=1.1,0,ROUND(N(BS46)+N(BS47)+N(BS48)+N(BS49)+N(BS50)-BS20,0)),"")</f>
        <v>0</v>
      </c>
      <c r="BT51" s="211">
        <f>IF(AND(ISNUMBER(BT46),ISNUMBER(BT50)),IF(ABS(N(BT46)+N(BT47)+N(BT48)+N(BT49)+N(BT50)-BT20)&lt;=1.1,0,ROUND(N(BT46)+N(BT47)+N(BT48)+N(BT49)+N(BT50)-BT20,0)),"")</f>
        <v>0</v>
      </c>
      <c r="BU51" s="211">
        <f>IF(AND(ISNUMBER(BU46),ISNUMBER(BU50)),IF(ABS(N(BU46)+N(BU47)+N(BU48)+N(BU49)+N(BU50)-BU20)&lt;=1.1,0,ROUND(N(BU46)+N(BU47)+N(BU48)+N(BU49)+N(BU50)-BU20,0)),"")</f>
        <v>0</v>
      </c>
      <c r="BV51" s="211">
        <f>IF(AND(ISNUMBER(BV46),ISNUMBER(BV50)),IF(ABS(N(BV46)+N(BV47)+N(BV48)+N(BV49)+N(BV50)-BV20)&lt;=1.1,0,ROUND(N(BV46)+N(BV47)+N(BV48)+N(BV49)+N(BV50)-BV20,0)),"")</f>
        <v>0</v>
      </c>
      <c r="BW51" s="211">
        <f>IF(AND(ISNUMBER(BW46),ISNUMBER(BW50)),IF(ABS(N(BW46)+N(BW47)+N(BW48)+N(BW49)+N(BW50)-BW20)&lt;=1.1,0,ROUND(N(BW46)+N(BW47)+N(BW48)+N(BW49)+N(BW50)-BW20,0)),"")</f>
        <v>0</v>
      </c>
      <c r="BX51" s="211">
        <f>IF(AND(ISNUMBER(BX46),ISNUMBER(BX50)),IF(ABS(N(BX46)+N(BX47)+N(BX48)+N(BX49)+N(BX50)-BX20)&lt;=1.1,0,ROUND(N(BX46)+N(BX47)+N(BX48)+N(BX49)+N(BX50)-BX20,0)),"")</f>
        <v>0</v>
      </c>
      <c r="BY51" s="153" t="n"/>
      <c r="BZ51" s="153" t="n"/>
      <c r="CA51" s="153" t="n"/>
      <c r="CB51" s="153" t="n"/>
      <c r="CC51" s="153" t="n"/>
      <c r="CD51" s="153" t="n"/>
      <c r="CE51" s="153" t="n"/>
      <c r="CF51" s="153" t="n"/>
      <c r="CN51" s="25" t="inlineStr">
        <is>
          <t xml:space="preserve">  2030E</t>
        </is>
      </c>
      <c r="CO51" s="51">
        <f>MAX(0,CP51+$CO$47)</f>
        <v>1500</v>
      </c>
      <c r="CP51" s="26" t="n">
        <v>1000</v>
      </c>
      <c r="CQ51" s="51">
        <f>MAX(0,CP51+$CQ$47)</f>
        <v>500</v>
      </c>
    </row>
    <row r="52" ht="15" customHeight="1" s="251">
      <c r="CN52" s="11" t="n"/>
      <c r="CO52" s="12" t="n"/>
      <c r="CP52" s="12" t="n"/>
      <c r="CQ52" s="12" t="n"/>
      <c r="CR52" s="13" t="n"/>
    </row>
    <row r="53" ht="15" customHeight="1" s="251">
      <c r="B53" s="14" t="inlineStr">
        <is>
          <t>Pending acquisition — BVNK (stablecoin payments infrastructure): $1.5bn + up to $300m contingent; expected to close by end-Q3-2026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  <c r="BP53" s="14" t="n"/>
      <c r="BQ53" s="14" t="n"/>
      <c r="BR53" s="14" t="n"/>
      <c r="BS53" s="14" t="n"/>
      <c r="BT53" s="14" t="n"/>
      <c r="BU53" s="14" t="n"/>
      <c r="BV53" s="14" t="n"/>
      <c r="BW53" s="14" t="n"/>
      <c r="BX53" s="14" t="n"/>
      <c r="BY53" s="14" t="n"/>
      <c r="BZ53" s="14" t="n"/>
      <c r="CA53" s="14" t="n"/>
      <c r="CB53" s="14" t="n"/>
      <c r="CC53" s="14" t="n"/>
      <c r="CD53" s="14" t="n"/>
      <c r="CE53" s="14" t="n"/>
      <c r="CF53" s="15" t="inlineStr">
        <is>
          <t>BVNK — closing assumed 30-Sep-2026 (Q2-26 10-Q: "expected to complete before the end of the third quarter"); revenue and PPA not disclosed (flagged inputs)</t>
        </is>
      </c>
    </row>
    <row r="54" collapsed="1" ht="15" customHeight="1" s="251">
      <c r="B54" s="25" t="inlineStr">
        <is>
          <t xml:space="preserve">  Deal switch (1 = include BVNK from 30-Sep-2026; 0 = exclude)</t>
        </is>
      </c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6" t="n"/>
      <c r="AZ54" s="36" t="n"/>
      <c r="BA54" s="36" t="n"/>
      <c r="BB54" s="36" t="n"/>
      <c r="BC54" s="36" t="n"/>
      <c r="BD54" s="36" t="n"/>
      <c r="BE54" s="36" t="n"/>
      <c r="BF54" s="36" t="n"/>
      <c r="BG54" s="36" t="n"/>
      <c r="BH54" s="36" t="n"/>
      <c r="BI54" s="36" t="n"/>
      <c r="BJ54" s="36" t="n"/>
      <c r="BK54" s="36" t="n"/>
      <c r="BL54" s="36" t="n"/>
      <c r="BM54" s="36" t="n"/>
      <c r="BN54" s="36" t="n"/>
      <c r="BO54" s="36" t="n"/>
      <c r="BP54" s="36" t="n"/>
      <c r="BQ54" s="36" t="n"/>
      <c r="BR54" s="36" t="n"/>
      <c r="BS54" s="36" t="n"/>
      <c r="BT54" s="36" t="n"/>
      <c r="BU54" s="36" t="n"/>
      <c r="BV54" s="36" t="n"/>
      <c r="BW54" s="36" t="n"/>
      <c r="BX54" s="36" t="n"/>
      <c r="BY54" s="24" t="n"/>
      <c r="BZ54" s="24" t="n"/>
      <c r="CA54" s="267" t="n">
        <v>1</v>
      </c>
      <c r="CB54" s="268">
        <f>CA54</f>
        <v>1</v>
      </c>
      <c r="CC54" s="268">
        <f>CB54</f>
        <v>1</v>
      </c>
      <c r="CD54" s="268">
        <f>CC54</f>
        <v>1</v>
      </c>
      <c r="CE54" s="268">
        <f>CD54</f>
        <v>1</v>
      </c>
      <c r="CF54" s="19" t="n"/>
    </row>
    <row r="55" ht="15" customHeight="1" s="251">
      <c r="B55" s="25" t="inlineStr">
        <is>
          <t xml:space="preserve">  Cash consideration at closing (USDm)</t>
        </is>
      </c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  <c r="AA55" s="34" t="n"/>
      <c r="AB55" s="34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34" t="n"/>
      <c r="AP55" s="34" t="n"/>
      <c r="AQ55" s="34" t="n"/>
      <c r="AR55" s="34" t="n"/>
      <c r="AS55" s="34" t="n"/>
      <c r="AT55" s="34" t="n"/>
      <c r="AU55" s="34" t="n"/>
      <c r="AV55" s="34" t="n"/>
      <c r="AW55" s="34" t="n"/>
      <c r="AX55" s="34" t="n"/>
      <c r="AY55" s="34" t="n"/>
      <c r="AZ55" s="34" t="n"/>
      <c r="BA55" s="34" t="n"/>
      <c r="BB55" s="34" t="n"/>
      <c r="BC55" s="34" t="n"/>
      <c r="BD55" s="34" t="n"/>
      <c r="BE55" s="34" t="n"/>
      <c r="BF55" s="34" t="n"/>
      <c r="BG55" s="34" t="n"/>
      <c r="BH55" s="34" t="n"/>
      <c r="BI55" s="34" t="n"/>
      <c r="BJ55" s="34" t="n"/>
      <c r="BK55" s="34" t="n"/>
      <c r="BL55" s="34" t="n"/>
      <c r="BM55" s="34" t="n"/>
      <c r="BN55" s="34" t="n"/>
      <c r="BO55" s="34" t="n"/>
      <c r="BP55" s="34" t="n"/>
      <c r="BQ55" s="34" t="n"/>
      <c r="BR55" s="34" t="n"/>
      <c r="BS55" s="34" t="n"/>
      <c r="BT55" s="34" t="n"/>
      <c r="BU55" s="34" t="n"/>
      <c r="BV55" s="34" t="n"/>
      <c r="BW55" s="34" t="n"/>
      <c r="BX55" s="34" t="n"/>
      <c r="BY55" s="35" t="n"/>
      <c r="BZ55" s="35" t="n"/>
      <c r="CA55" s="254">
        <f>1500.0*CA54</f>
        <v>1500</v>
      </c>
      <c r="CB55" s="269" t="n">
        <v>0</v>
      </c>
      <c r="CC55" s="269" t="n">
        <v>0</v>
      </c>
      <c r="CD55" s="269" t="n">
        <v>0</v>
      </c>
      <c r="CE55" s="269" t="n">
        <v>0</v>
      </c>
      <c r="CF55" s="19" t="inlineStr">
        <is>
          <t>Pending at 30-Jun-2026: agreement March 2026, 100% for $1.5bn plus up to $300m contingent consideration; expected to complete before the end of Q3-2026 (Q2-26 10-Q Note 2). Closing not yet reported in an SEC filing; the model assumes 30-Sep-2026 (assumption). Revenue, profit and PPA not disclosed.</t>
        </is>
      </c>
    </row>
    <row r="56" ht="15" customHeight="1" s="251">
      <c r="B56" s="25" t="inlineStr">
        <is>
          <t xml:space="preserve">  BVNK net revenue (not disclosed — input 0; flag)</t>
        </is>
      </c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6" t="n"/>
      <c r="AZ56" s="36" t="n"/>
      <c r="BA56" s="36" t="n"/>
      <c r="BB56" s="36" t="n"/>
      <c r="BC56" s="36" t="n"/>
      <c r="BD56" s="36" t="n"/>
      <c r="BE56" s="36" t="n"/>
      <c r="BF56" s="36" t="n"/>
      <c r="BG56" s="36" t="n"/>
      <c r="BH56" s="36" t="n"/>
      <c r="BI56" s="36" t="n"/>
      <c r="BJ56" s="36" t="n"/>
      <c r="BK56" s="36" t="n"/>
      <c r="BL56" s="36" t="n"/>
      <c r="BM56" s="36" t="n"/>
      <c r="BN56" s="36" t="n"/>
      <c r="BO56" s="36" t="n"/>
      <c r="BP56" s="36" t="n"/>
      <c r="BQ56" s="36" t="n"/>
      <c r="BR56" s="36" t="n"/>
      <c r="BS56" s="36" t="n"/>
      <c r="BT56" s="36" t="n"/>
      <c r="BU56" s="36" t="n"/>
      <c r="BV56" s="36" t="n"/>
      <c r="BW56" s="36" t="n"/>
      <c r="BX56" s="36" t="n"/>
      <c r="BY56" s="269" t="n">
        <v>0</v>
      </c>
      <c r="BZ56" s="269" t="n">
        <v>0</v>
      </c>
      <c r="CA56" s="24" t="n"/>
      <c r="CB56" s="269" t="n">
        <v>0</v>
      </c>
      <c r="CC56" s="269" t="n">
        <v>0</v>
      </c>
      <c r="CD56" s="269" t="n">
        <v>0</v>
      </c>
      <c r="CE56" s="269" t="n">
        <v>0</v>
      </c>
      <c r="CF56" s="19" t="inlineStr">
        <is>
          <t>Not disclosed by Mastercard; outlook excludes acquisitions. Enter an estimate here to add BVNK revenue on top of the organic build (adjusted opex below).</t>
        </is>
      </c>
    </row>
    <row r="57" ht="15" customHeight="1" s="251">
      <c r="B57" s="25" t="inlineStr">
        <is>
          <t xml:space="preserve">  BVNK adjusted operating expenses (not disclosed — input 0; flag)</t>
        </is>
      </c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36" t="n"/>
      <c r="BE57" s="36" t="n"/>
      <c r="BF57" s="36" t="n"/>
      <c r="BG57" s="36" t="n"/>
      <c r="BH57" s="36" t="n"/>
      <c r="BI57" s="36" t="n"/>
      <c r="BJ57" s="36" t="n"/>
      <c r="BK57" s="36" t="n"/>
      <c r="BL57" s="36" t="n"/>
      <c r="BM57" s="36" t="n"/>
      <c r="BN57" s="36" t="n"/>
      <c r="BO57" s="36" t="n"/>
      <c r="BP57" s="36" t="n"/>
      <c r="BQ57" s="36" t="n"/>
      <c r="BR57" s="36" t="n"/>
      <c r="BS57" s="36" t="n"/>
      <c r="BT57" s="36" t="n"/>
      <c r="BU57" s="36" t="n"/>
      <c r="BV57" s="36" t="n"/>
      <c r="BW57" s="36" t="n"/>
      <c r="BX57" s="36" t="n"/>
      <c r="BY57" s="269" t="n">
        <v>0</v>
      </c>
      <c r="BZ57" s="269" t="n">
        <v>0</v>
      </c>
      <c r="CA57" s="24" t="n"/>
      <c r="CB57" s="269" t="n">
        <v>0</v>
      </c>
      <c r="CC57" s="269" t="n">
        <v>0</v>
      </c>
      <c r="CD57" s="269" t="n">
        <v>0</v>
      </c>
      <c r="CE57" s="269" t="n">
        <v>0</v>
      </c>
      <c r="CF57" s="19" t="n"/>
    </row>
    <row r="58" ht="15" customHeight="1" s="251">
      <c r="B58" s="25" t="inlineStr">
        <is>
          <t xml:space="preserve">  Acquired intangibles % of consideration (assumption)</t>
        </is>
      </c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6" t="n"/>
      <c r="AZ58" s="36" t="n"/>
      <c r="BA58" s="36" t="n"/>
      <c r="BB58" s="36" t="n"/>
      <c r="BC58" s="36" t="n"/>
      <c r="BD58" s="36" t="n"/>
      <c r="BE58" s="36" t="n"/>
      <c r="BF58" s="36" t="n"/>
      <c r="BG58" s="36" t="n"/>
      <c r="BH58" s="36" t="n"/>
      <c r="BI58" s="36" t="n"/>
      <c r="BJ58" s="36" t="n"/>
      <c r="BK58" s="36" t="n"/>
      <c r="BL58" s="36" t="n"/>
      <c r="BM58" s="36" t="n"/>
      <c r="BN58" s="36" t="n"/>
      <c r="BO58" s="36" t="n"/>
      <c r="BP58" s="36" t="n"/>
      <c r="BQ58" s="36" t="n"/>
      <c r="BR58" s="36" t="n"/>
      <c r="BS58" s="36" t="n"/>
      <c r="BT58" s="36" t="n"/>
      <c r="BU58" s="36" t="n"/>
      <c r="BV58" s="36" t="n"/>
      <c r="BW58" s="36" t="n"/>
      <c r="BX58" s="36" t="n"/>
      <c r="BY58" s="24" t="n"/>
      <c r="BZ58" s="24" t="n"/>
      <c r="CA58" s="259" t="n">
        <v>0.25</v>
      </c>
      <c r="CB58" s="270">
        <f>CA58</f>
        <v>0.25</v>
      </c>
      <c r="CC58" s="270">
        <f>CB58</f>
        <v>0.25</v>
      </c>
      <c r="CD58" s="270">
        <f>CC58</f>
        <v>0.25</v>
      </c>
      <c r="CE58" s="270">
        <f>CD58</f>
        <v>0.25</v>
      </c>
      <c r="CF58" s="19" t="inlineStr">
        <is>
          <t>Assumption: Recorded Future (Dec-2024) — $2.65bn with ~$1.7bn goodwill, i.e. ~35% to intangibles and other net assets; 25% assumed for an early-stage platform.</t>
        </is>
      </c>
    </row>
    <row r="59" ht="15" customHeight="1" s="251">
      <c r="B59" s="25" t="inlineStr">
        <is>
          <t xml:space="preserve">  Intangible amortization life (years, assumption)</t>
        </is>
      </c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  <c r="AU59" s="36" t="n"/>
      <c r="AV59" s="36" t="n"/>
      <c r="AW59" s="36" t="n"/>
      <c r="AX59" s="36" t="n"/>
      <c r="AY59" s="36" t="n"/>
      <c r="AZ59" s="36" t="n"/>
      <c r="BA59" s="36" t="n"/>
      <c r="BB59" s="36" t="n"/>
      <c r="BC59" s="36" t="n"/>
      <c r="BD59" s="36" t="n"/>
      <c r="BE59" s="36" t="n"/>
      <c r="BF59" s="36" t="n"/>
      <c r="BG59" s="36" t="n"/>
      <c r="BH59" s="36" t="n"/>
      <c r="BI59" s="36" t="n"/>
      <c r="BJ59" s="36" t="n"/>
      <c r="BK59" s="36" t="n"/>
      <c r="BL59" s="36" t="n"/>
      <c r="BM59" s="36" t="n"/>
      <c r="BN59" s="36" t="n"/>
      <c r="BO59" s="36" t="n"/>
      <c r="BP59" s="36" t="n"/>
      <c r="BQ59" s="36" t="n"/>
      <c r="BR59" s="36" t="n"/>
      <c r="BS59" s="36" t="n"/>
      <c r="BT59" s="36" t="n"/>
      <c r="BU59" s="36" t="n"/>
      <c r="BV59" s="36" t="n"/>
      <c r="BW59" s="36" t="n"/>
      <c r="BX59" s="36" t="n"/>
      <c r="BY59" s="24" t="n"/>
      <c r="BZ59" s="24" t="n"/>
      <c r="CA59" s="267" t="n">
        <v>8</v>
      </c>
      <c r="CB59" s="268">
        <f>CA59</f>
        <v>8</v>
      </c>
      <c r="CC59" s="268">
        <f>CB59</f>
        <v>8</v>
      </c>
      <c r="CD59" s="268">
        <f>CC59</f>
        <v>8</v>
      </c>
      <c r="CE59" s="268">
        <f>CD59</f>
        <v>8</v>
      </c>
      <c r="CF59" s="19" t="n"/>
    </row>
    <row r="60" ht="15" customHeight="1" s="251">
      <c r="B60" s="25" t="inlineStr">
        <is>
          <t xml:space="preserve">  Amortization of BVNK intangibles (in D&amp;A)</t>
        </is>
      </c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  <c r="AA60" s="34" t="n"/>
      <c r="AB60" s="34" t="n"/>
      <c r="AC60" s="34" t="n"/>
      <c r="AD60" s="34" t="n"/>
      <c r="AE60" s="34" t="n"/>
      <c r="AF60" s="34" t="n"/>
      <c r="AG60" s="34" t="n"/>
      <c r="AH60" s="34" t="n"/>
      <c r="AI60" s="34" t="n"/>
      <c r="AJ60" s="34" t="n"/>
      <c r="AK60" s="34" t="n"/>
      <c r="AL60" s="34" t="n"/>
      <c r="AM60" s="34" t="n"/>
      <c r="AN60" s="34" t="n"/>
      <c r="AO60" s="34" t="n"/>
      <c r="AP60" s="34" t="n"/>
      <c r="AQ60" s="34" t="n"/>
      <c r="AR60" s="34" t="n"/>
      <c r="AS60" s="34" t="n"/>
      <c r="AT60" s="34" t="n"/>
      <c r="AU60" s="34" t="n"/>
      <c r="AV60" s="34" t="n"/>
      <c r="AW60" s="34" t="n"/>
      <c r="AX60" s="34" t="n"/>
      <c r="AY60" s="34" t="n"/>
      <c r="AZ60" s="34" t="n"/>
      <c r="BA60" s="34" t="n"/>
      <c r="BB60" s="34" t="n"/>
      <c r="BC60" s="34" t="n"/>
      <c r="BD60" s="34" t="n"/>
      <c r="BE60" s="34" t="n"/>
      <c r="BF60" s="34" t="n"/>
      <c r="BG60" s="34" t="n"/>
      <c r="BH60" s="34" t="n"/>
      <c r="BI60" s="34" t="n"/>
      <c r="BJ60" s="34" t="n"/>
      <c r="BK60" s="34" t="n"/>
      <c r="BL60" s="34" t="n"/>
      <c r="BM60" s="34" t="n"/>
      <c r="BN60" s="34" t="n"/>
      <c r="BO60" s="34" t="n"/>
      <c r="BP60" s="34" t="n"/>
      <c r="BQ60" s="34" t="n"/>
      <c r="BR60" s="34" t="n"/>
      <c r="BS60" s="34" t="n"/>
      <c r="BT60" s="34" t="n"/>
      <c r="BU60" s="34" t="n"/>
      <c r="BV60" s="34" t="n"/>
      <c r="BW60" s="34" t="n"/>
      <c r="BX60" s="34" t="n"/>
      <c r="BY60" s="35" t="n"/>
      <c r="BZ60" s="35" t="n"/>
      <c r="CA60" s="254">
        <f>0</f>
        <v>0</v>
      </c>
      <c r="CB60" s="254">
        <f>IFERROR($CA$55*$CA$58/CB59,0)</f>
        <v>46.875</v>
      </c>
      <c r="CC60" s="254">
        <f>IFERROR($CA$55*$CA$58/CC59,0)</f>
        <v>46.875</v>
      </c>
      <c r="CD60" s="254">
        <f>IFERROR($CA$55*$CA$58/CD59,0)</f>
        <v>46.875</v>
      </c>
      <c r="CE60" s="254">
        <f>IFERROR($CA$55*$CA$58/CE59,0)</f>
        <v>46.875</v>
      </c>
      <c r="CF60" s="19" t="n"/>
    </row>
    <row r="61" ht="15" customHeight="1" s="251">
      <c r="CN61" s="11" t="n"/>
      <c r="CO61" s="12" t="n"/>
      <c r="CP61" s="12" t="n"/>
      <c r="CQ61" s="12" t="n"/>
      <c r="CR61" s="13" t="n"/>
    </row>
    <row r="62" ht="15" customHeight="1" s="251">
      <c r="B62" s="14" t="inlineStr">
        <is>
          <t>Future acquisitions (M&amp;A lever — value-added services bolt-ons; deals closed from 2027E)</t>
        </is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  <c r="BP62" s="14" t="n"/>
      <c r="BQ62" s="14" t="n"/>
      <c r="BR62" s="14" t="n"/>
      <c r="BS62" s="14" t="n"/>
      <c r="BT62" s="14" t="n"/>
      <c r="BU62" s="14" t="n"/>
      <c r="BV62" s="14" t="n"/>
      <c r="BW62" s="14" t="n"/>
      <c r="BX62" s="14" t="n"/>
      <c r="BY62" s="14" t="n"/>
      <c r="BZ62" s="14" t="n"/>
      <c r="CA62" s="14" t="n"/>
      <c r="CB62" s="14" t="n"/>
      <c r="CC62" s="14" t="n"/>
      <c r="CD62" s="14" t="n"/>
      <c r="CE62" s="14" t="n"/>
      <c r="CF62" s="15" t="inlineStr">
        <is>
          <t>M&amp;A LEVER — acquired revenue = spend ÷ EV/sales; mid-year convention</t>
        </is>
      </c>
    </row>
    <row r="63" ht="15" customHeight="1" s="251">
      <c r="B63" s="25" t="inlineStr">
        <is>
          <t xml:space="preserve">  Acquisition spend (USDm, scenario)</t>
        </is>
      </c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n"/>
      <c r="AD63" s="34" t="n"/>
      <c r="AE63" s="34" t="n"/>
      <c r="AF63" s="34" t="n"/>
      <c r="AG63" s="34" t="n"/>
      <c r="AH63" s="34" t="n"/>
      <c r="AI63" s="34" t="n"/>
      <c r="AJ63" s="34" t="n"/>
      <c r="AK63" s="34" t="n"/>
      <c r="AL63" s="34" t="n"/>
      <c r="AM63" s="34" t="n"/>
      <c r="AN63" s="34" t="n"/>
      <c r="AO63" s="34" t="n"/>
      <c r="AP63" s="34" t="n"/>
      <c r="AQ63" s="34" t="n"/>
      <c r="AR63" s="34" t="n"/>
      <c r="AS63" s="34" t="n"/>
      <c r="AT63" s="34" t="n"/>
      <c r="AU63" s="34" t="n"/>
      <c r="AV63" s="34" t="n"/>
      <c r="AW63" s="34" t="n"/>
      <c r="AX63" s="34" t="n"/>
      <c r="AY63" s="34" t="n"/>
      <c r="AZ63" s="34" t="n"/>
      <c r="BA63" s="34" t="n"/>
      <c r="BB63" s="34" t="n"/>
      <c r="BC63" s="34" t="n"/>
      <c r="BD63" s="34" t="n"/>
      <c r="BE63" s="34" t="n"/>
      <c r="BF63" s="34" t="n"/>
      <c r="BG63" s="34" t="n"/>
      <c r="BH63" s="34" t="n"/>
      <c r="BI63" s="34" t="n"/>
      <c r="BJ63" s="34" t="n"/>
      <c r="BK63" s="34" t="n"/>
      <c r="BL63" s="34" t="n"/>
      <c r="BM63" s="34" t="n"/>
      <c r="BN63" s="34" t="n"/>
      <c r="BO63" s="34" t="n"/>
      <c r="BP63" s="34" t="n"/>
      <c r="BQ63" s="34" t="n"/>
      <c r="BR63" s="34" t="n"/>
      <c r="BS63" s="34" t="n"/>
      <c r="BT63" s="34" t="n"/>
      <c r="BU63" s="34" t="n"/>
      <c r="BV63" s="34" t="n"/>
      <c r="BW63" s="34" t="n"/>
      <c r="BX63" s="34" t="n"/>
      <c r="BY63" s="35" t="n"/>
      <c r="BZ63" s="35" t="n"/>
      <c r="CA63" s="269" t="n">
        <v>0</v>
      </c>
      <c r="CB63" s="254">
        <f>MAX(0,CHOOSE(MATCH($CF$2,{"Bull","Base","Bear"},0),$CO$48,$CP$48,$CQ$48))</f>
        <v>1000</v>
      </c>
      <c r="CC63" s="254">
        <f>MAX(0,CHOOSE(MATCH($CF$2,{"Bull","Base","Bear"},0),$CO$49,$CP$49,$CQ$49))</f>
        <v>1000</v>
      </c>
      <c r="CD63" s="254">
        <f>MAX(0,CHOOSE(MATCH($CF$2,{"Bull","Base","Bear"},0),$CO$50,$CP$50,$CQ$50))</f>
        <v>1000</v>
      </c>
      <c r="CE63" s="254">
        <f>MAX(0,CHOOSE(MATCH($CF$2,{"Bull","Base","Bear"},0),$CO$51,$CP$51,$CQ$51))</f>
        <v>1000</v>
      </c>
      <c r="CF63" s="19" t="inlineStr">
        <is>
          <t>Scenario lever M&amp;A_spend (Base $1.0bn p.a. of bolt-ons). Funded from cash / commercial paper (debt schedule).</t>
        </is>
      </c>
    </row>
    <row r="64" ht="15" customHeight="1" s="251">
      <c r="B64" s="25" t="inlineStr">
        <is>
          <t xml:space="preserve">  Purchase multiple — EV / sales (x)</t>
        </is>
      </c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  <c r="AU64" s="36" t="n"/>
      <c r="AV64" s="36" t="n"/>
      <c r="AW64" s="36" t="n"/>
      <c r="AX64" s="36" t="n"/>
      <c r="AY64" s="36" t="n"/>
      <c r="AZ64" s="36" t="n"/>
      <c r="BA64" s="36" t="n"/>
      <c r="BB64" s="36" t="n"/>
      <c r="BC64" s="36" t="n"/>
      <c r="BD64" s="36" t="n"/>
      <c r="BE64" s="36" t="n"/>
      <c r="BF64" s="36" t="n"/>
      <c r="BG64" s="36" t="n"/>
      <c r="BH64" s="36" t="n"/>
      <c r="BI64" s="36" t="n"/>
      <c r="BJ64" s="36" t="n"/>
      <c r="BK64" s="36" t="n"/>
      <c r="BL64" s="36" t="n"/>
      <c r="BM64" s="36" t="n"/>
      <c r="BN64" s="36" t="n"/>
      <c r="BO64" s="36" t="n"/>
      <c r="BP64" s="36" t="n"/>
      <c r="BQ64" s="36" t="n"/>
      <c r="BR64" s="36" t="n"/>
      <c r="BS64" s="36" t="n"/>
      <c r="BT64" s="36" t="n"/>
      <c r="BU64" s="36" t="n"/>
      <c r="BV64" s="36" t="n"/>
      <c r="BW64" s="36" t="n"/>
      <c r="BX64" s="36" t="n"/>
      <c r="BY64" s="24" t="n"/>
      <c r="BZ64" s="24" t="n"/>
      <c r="CA64" s="271" t="n">
        <v>0</v>
      </c>
      <c r="CB64" s="271" t="n">
        <v>8</v>
      </c>
      <c r="CC64" s="271" t="n">
        <v>8</v>
      </c>
      <c r="CD64" s="271" t="n">
        <v>8</v>
      </c>
      <c r="CE64" s="271" t="n">
        <v>8</v>
      </c>
      <c r="CF64" s="19" t="inlineStr">
        <is>
          <t>Assumption: Recorded Future $2.65bn (~9x sales at announcement), Finicity $825m, Ekata $850m — high-growth software / data assets at high-single-digit sales multiples.</t>
        </is>
      </c>
    </row>
    <row r="65" ht="15" customHeight="1" s="251">
      <c r="B65" s="25" t="inlineStr">
        <is>
          <t xml:space="preserve">  Annualised revenue acquired in the year</t>
        </is>
      </c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  <c r="AA65" s="34" t="n"/>
      <c r="AB65" s="34" t="n"/>
      <c r="AC65" s="34" t="n"/>
      <c r="AD65" s="34" t="n"/>
      <c r="AE65" s="34" t="n"/>
      <c r="AF65" s="34" t="n"/>
      <c r="AG65" s="34" t="n"/>
      <c r="AH65" s="34" t="n"/>
      <c r="AI65" s="34" t="n"/>
      <c r="AJ65" s="34" t="n"/>
      <c r="AK65" s="34" t="n"/>
      <c r="AL65" s="34" t="n"/>
      <c r="AM65" s="34" t="n"/>
      <c r="AN65" s="34" t="n"/>
      <c r="AO65" s="34" t="n"/>
      <c r="AP65" s="34" t="n"/>
      <c r="AQ65" s="34" t="n"/>
      <c r="AR65" s="34" t="n"/>
      <c r="AS65" s="34" t="n"/>
      <c r="AT65" s="34" t="n"/>
      <c r="AU65" s="34" t="n"/>
      <c r="AV65" s="34" t="n"/>
      <c r="AW65" s="34" t="n"/>
      <c r="AX65" s="34" t="n"/>
      <c r="AY65" s="34" t="n"/>
      <c r="AZ65" s="34" t="n"/>
      <c r="BA65" s="34" t="n"/>
      <c r="BB65" s="34" t="n"/>
      <c r="BC65" s="34" t="n"/>
      <c r="BD65" s="34" t="n"/>
      <c r="BE65" s="34" t="n"/>
      <c r="BF65" s="34" t="n"/>
      <c r="BG65" s="34" t="n"/>
      <c r="BH65" s="34" t="n"/>
      <c r="BI65" s="34" t="n"/>
      <c r="BJ65" s="34" t="n"/>
      <c r="BK65" s="34" t="n"/>
      <c r="BL65" s="34" t="n"/>
      <c r="BM65" s="34" t="n"/>
      <c r="BN65" s="34" t="n"/>
      <c r="BO65" s="34" t="n"/>
      <c r="BP65" s="34" t="n"/>
      <c r="BQ65" s="34" t="n"/>
      <c r="BR65" s="34" t="n"/>
      <c r="BS65" s="34" t="n"/>
      <c r="BT65" s="34" t="n"/>
      <c r="BU65" s="34" t="n"/>
      <c r="BV65" s="34" t="n"/>
      <c r="BW65" s="34" t="n"/>
      <c r="BX65" s="34" t="n"/>
      <c r="BY65" s="35" t="n"/>
      <c r="BZ65" s="35" t="n"/>
      <c r="CA65" s="269" t="n">
        <v>0</v>
      </c>
      <c r="CB65" s="254">
        <f>IFERROR(CB63/CB64,0)</f>
        <v>125</v>
      </c>
      <c r="CC65" s="254">
        <f>IFERROR(CC63/CC64,0)</f>
        <v>125</v>
      </c>
      <c r="CD65" s="254">
        <f>IFERROR(CD63/CD64,0)</f>
        <v>125</v>
      </c>
      <c r="CE65" s="254">
        <f>IFERROR(CE63/CE64,0)</f>
        <v>125</v>
      </c>
      <c r="CF65" s="19" t="n"/>
    </row>
    <row r="66" ht="15" customHeight="1" s="251">
      <c r="B66" s="25" t="inlineStr">
        <is>
          <t xml:space="preserve">  Growth of acquired businesses after acquisition %</t>
        </is>
      </c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  <c r="AU66" s="36" t="n"/>
      <c r="AV66" s="36" t="n"/>
      <c r="AW66" s="36" t="n"/>
      <c r="AX66" s="36" t="n"/>
      <c r="AY66" s="36" t="n"/>
      <c r="AZ66" s="36" t="n"/>
      <c r="BA66" s="36" t="n"/>
      <c r="BB66" s="36" t="n"/>
      <c r="BC66" s="36" t="n"/>
      <c r="BD66" s="36" t="n"/>
      <c r="BE66" s="36" t="n"/>
      <c r="BF66" s="36" t="n"/>
      <c r="BG66" s="36" t="n"/>
      <c r="BH66" s="36" t="n"/>
      <c r="BI66" s="36" t="n"/>
      <c r="BJ66" s="36" t="n"/>
      <c r="BK66" s="36" t="n"/>
      <c r="BL66" s="36" t="n"/>
      <c r="BM66" s="36" t="n"/>
      <c r="BN66" s="36" t="n"/>
      <c r="BO66" s="36" t="n"/>
      <c r="BP66" s="36" t="n"/>
      <c r="BQ66" s="36" t="n"/>
      <c r="BR66" s="36" t="n"/>
      <c r="BS66" s="36" t="n"/>
      <c r="BT66" s="36" t="n"/>
      <c r="BU66" s="36" t="n"/>
      <c r="BV66" s="36" t="n"/>
      <c r="BW66" s="36" t="n"/>
      <c r="BX66" s="36" t="n"/>
      <c r="BY66" s="24" t="n"/>
      <c r="BZ66" s="24" t="n"/>
      <c r="CA66" s="259" t="n">
        <v>0</v>
      </c>
      <c r="CB66" s="259" t="n">
        <v>0.12</v>
      </c>
      <c r="CC66" s="259" t="n">
        <v>0.12</v>
      </c>
      <c r="CD66" s="259" t="n">
        <v>0.12</v>
      </c>
      <c r="CE66" s="259" t="n">
        <v>0.12</v>
      </c>
      <c r="CF66" s="19" t="n"/>
    </row>
    <row r="67" ht="15" customHeight="1" s="251">
      <c r="B67" s="25" t="inlineStr">
        <is>
          <t xml:space="preserve">  Run-rate revenue of businesses acquired (year end)</t>
        </is>
      </c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  <c r="AD67" s="34" t="n"/>
      <c r="AE67" s="34" t="n"/>
      <c r="AF67" s="34" t="n"/>
      <c r="AG67" s="34" t="n"/>
      <c r="AH67" s="34" t="n"/>
      <c r="AI67" s="34" t="n"/>
      <c r="AJ67" s="34" t="n"/>
      <c r="AK67" s="34" t="n"/>
      <c r="AL67" s="34" t="n"/>
      <c r="AM67" s="34" t="n"/>
      <c r="AN67" s="34" t="n"/>
      <c r="AO67" s="34" t="n"/>
      <c r="AP67" s="34" t="n"/>
      <c r="AQ67" s="34" t="n"/>
      <c r="AR67" s="34" t="n"/>
      <c r="AS67" s="34" t="n"/>
      <c r="AT67" s="34" t="n"/>
      <c r="AU67" s="34" t="n"/>
      <c r="AV67" s="34" t="n"/>
      <c r="AW67" s="34" t="n"/>
      <c r="AX67" s="34" t="n"/>
      <c r="AY67" s="34" t="n"/>
      <c r="AZ67" s="34" t="n"/>
      <c r="BA67" s="34" t="n"/>
      <c r="BB67" s="34" t="n"/>
      <c r="BC67" s="34" t="n"/>
      <c r="BD67" s="34" t="n"/>
      <c r="BE67" s="34" t="n"/>
      <c r="BF67" s="34" t="n"/>
      <c r="BG67" s="34" t="n"/>
      <c r="BH67" s="34" t="n"/>
      <c r="BI67" s="34" t="n"/>
      <c r="BJ67" s="34" t="n"/>
      <c r="BK67" s="34" t="n"/>
      <c r="BL67" s="34" t="n"/>
      <c r="BM67" s="34" t="n"/>
      <c r="BN67" s="34" t="n"/>
      <c r="BO67" s="34" t="n"/>
      <c r="BP67" s="34" t="n"/>
      <c r="BQ67" s="34" t="n"/>
      <c r="BR67" s="34" t="n"/>
      <c r="BS67" s="34" t="n"/>
      <c r="BT67" s="34" t="n"/>
      <c r="BU67" s="34" t="n"/>
      <c r="BV67" s="34" t="n"/>
      <c r="BW67" s="34" t="n"/>
      <c r="BX67" s="34" t="n"/>
      <c r="BY67" s="35" t="n"/>
      <c r="BZ67" s="35" t="n"/>
      <c r="CA67" s="269" t="n">
        <v>0</v>
      </c>
      <c r="CB67" s="254">
        <f>CA67*(1+CB66)+CB65</f>
        <v>125</v>
      </c>
      <c r="CC67" s="254">
        <f>CB67*(1+CC66)+CC65</f>
        <v>265</v>
      </c>
      <c r="CD67" s="254">
        <f>CC67*(1+CD66)+CD65</f>
        <v>421.8</v>
      </c>
      <c r="CE67" s="254">
        <f>CD67*(1+CE66)+CE65</f>
        <v>597.416</v>
      </c>
      <c r="CF67" s="19" t="n"/>
    </row>
    <row r="68" ht="15" customHeight="1" s="251">
      <c r="B68" s="16" t="inlineStr">
        <is>
          <t xml:space="preserve">  Revenue from future acquisitions</t>
        </is>
      </c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  <c r="AJ68" s="43" t="n"/>
      <c r="AK68" s="43" t="n"/>
      <c r="AL68" s="43" t="n"/>
      <c r="AM68" s="43" t="n"/>
      <c r="AN68" s="43" t="n"/>
      <c r="AO68" s="43" t="n"/>
      <c r="AP68" s="43" t="n"/>
      <c r="AQ68" s="43" t="n"/>
      <c r="AR68" s="43" t="n"/>
      <c r="AS68" s="43" t="n"/>
      <c r="AT68" s="43" t="n"/>
      <c r="AU68" s="43" t="n"/>
      <c r="AV68" s="43" t="n"/>
      <c r="AW68" s="43" t="n"/>
      <c r="AX68" s="43" t="n"/>
      <c r="AY68" s="43" t="n"/>
      <c r="AZ68" s="43" t="n"/>
      <c r="BA68" s="43" t="n"/>
      <c r="BB68" s="43" t="n"/>
      <c r="BC68" s="43" t="n"/>
      <c r="BD68" s="43" t="n"/>
      <c r="BE68" s="43" t="n"/>
      <c r="BF68" s="43" t="n"/>
      <c r="BG68" s="43" t="n"/>
      <c r="BH68" s="43" t="n"/>
      <c r="BI68" s="43" t="n"/>
      <c r="BJ68" s="43" t="n"/>
      <c r="BK68" s="43" t="n"/>
      <c r="BL68" s="43" t="n"/>
      <c r="BM68" s="43" t="n"/>
      <c r="BN68" s="43" t="n"/>
      <c r="BO68" s="43" t="n"/>
      <c r="BP68" s="43" t="n"/>
      <c r="BQ68" s="43" t="n"/>
      <c r="BR68" s="43" t="n"/>
      <c r="BS68" s="43" t="n"/>
      <c r="BT68" s="43" t="n"/>
      <c r="BU68" s="43" t="n"/>
      <c r="BV68" s="43" t="n"/>
      <c r="BW68" s="43" t="n"/>
      <c r="BX68" s="43" t="n"/>
      <c r="BY68" s="32" t="n"/>
      <c r="BZ68" s="32" t="n"/>
      <c r="CA68" s="272" t="n">
        <v>0</v>
      </c>
      <c r="CB68" s="263">
        <f>CA67*(1+CB66)+0.5*CB65</f>
        <v>62.5</v>
      </c>
      <c r="CC68" s="263">
        <f>CB67*(1+CC66)+0.5*CC65</f>
        <v>202.5</v>
      </c>
      <c r="CD68" s="263">
        <f>CC67*(1+CD66)+0.5*CD65</f>
        <v>359.3</v>
      </c>
      <c r="CE68" s="263">
        <f>CD67*(1+CE66)+0.5*CE65</f>
        <v>534.916</v>
      </c>
      <c r="CF68" s="153" t="inlineStr">
        <is>
          <t>Mid-year convention.</t>
        </is>
      </c>
    </row>
    <row r="69" ht="15" customHeight="1" s="251">
      <c r="B69" s="25" t="inlineStr">
        <is>
          <t xml:space="preserve">  Adjusted operating margin of acquired businesses (after amortization) %</t>
        </is>
      </c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  <c r="AU69" s="36" t="n"/>
      <c r="AV69" s="36" t="n"/>
      <c r="AW69" s="36" t="n"/>
      <c r="AX69" s="36" t="n"/>
      <c r="AY69" s="36" t="n"/>
      <c r="AZ69" s="36" t="n"/>
      <c r="BA69" s="36" t="n"/>
      <c r="BB69" s="36" t="n"/>
      <c r="BC69" s="36" t="n"/>
      <c r="BD69" s="36" t="n"/>
      <c r="BE69" s="36" t="n"/>
      <c r="BF69" s="36" t="n"/>
      <c r="BG69" s="36" t="n"/>
      <c r="BH69" s="36" t="n"/>
      <c r="BI69" s="36" t="n"/>
      <c r="BJ69" s="36" t="n"/>
      <c r="BK69" s="36" t="n"/>
      <c r="BL69" s="36" t="n"/>
      <c r="BM69" s="36" t="n"/>
      <c r="BN69" s="36" t="n"/>
      <c r="BO69" s="36" t="n"/>
      <c r="BP69" s="36" t="n"/>
      <c r="BQ69" s="36" t="n"/>
      <c r="BR69" s="36" t="n"/>
      <c r="BS69" s="36" t="n"/>
      <c r="BT69" s="36" t="n"/>
      <c r="BU69" s="36" t="n"/>
      <c r="BV69" s="36" t="n"/>
      <c r="BW69" s="36" t="n"/>
      <c r="BX69" s="36" t="n"/>
      <c r="BY69" s="24" t="n"/>
      <c r="BZ69" s="24" t="n"/>
      <c r="CA69" s="259" t="n">
        <v>0</v>
      </c>
      <c r="CB69" s="259" t="n">
        <v>0.15</v>
      </c>
      <c r="CC69" s="259" t="n">
        <v>0.15</v>
      </c>
      <c r="CD69" s="259" t="n">
        <v>0.15</v>
      </c>
      <c r="CE69" s="259" t="n">
        <v>0.15</v>
      </c>
      <c r="CF69" s="19" t="inlineStr">
        <is>
          <t>Assumption: acquired data / security businesses are margin-dilutive versus the ~60% group adjusted operating margin.</t>
        </is>
      </c>
    </row>
    <row r="70" ht="15" customHeight="1" s="251">
      <c r="B70" s="25" t="inlineStr">
        <is>
          <t xml:space="preserve">  Adjusted operating income from future acquisitions</t>
        </is>
      </c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  <c r="AD70" s="34" t="n"/>
      <c r="AE70" s="34" t="n"/>
      <c r="AF70" s="34" t="n"/>
      <c r="AG70" s="34" t="n"/>
      <c r="AH70" s="34" t="n"/>
      <c r="AI70" s="34" t="n"/>
      <c r="AJ70" s="34" t="n"/>
      <c r="AK70" s="34" t="n"/>
      <c r="AL70" s="34" t="n"/>
      <c r="AM70" s="34" t="n"/>
      <c r="AN70" s="34" t="n"/>
      <c r="AO70" s="34" t="n"/>
      <c r="AP70" s="34" t="n"/>
      <c r="AQ70" s="34" t="n"/>
      <c r="AR70" s="34" t="n"/>
      <c r="AS70" s="34" t="n"/>
      <c r="AT70" s="34" t="n"/>
      <c r="AU70" s="34" t="n"/>
      <c r="AV70" s="34" t="n"/>
      <c r="AW70" s="34" t="n"/>
      <c r="AX70" s="34" t="n"/>
      <c r="AY70" s="34" t="n"/>
      <c r="AZ70" s="34" t="n"/>
      <c r="BA70" s="34" t="n"/>
      <c r="BB70" s="34" t="n"/>
      <c r="BC70" s="34" t="n"/>
      <c r="BD70" s="34" t="n"/>
      <c r="BE70" s="34" t="n"/>
      <c r="BF70" s="34" t="n"/>
      <c r="BG70" s="34" t="n"/>
      <c r="BH70" s="34" t="n"/>
      <c r="BI70" s="34" t="n"/>
      <c r="BJ70" s="34" t="n"/>
      <c r="BK70" s="34" t="n"/>
      <c r="BL70" s="34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35" t="n"/>
      <c r="BZ70" s="35" t="n"/>
      <c r="CA70" s="269" t="n">
        <v>0</v>
      </c>
      <c r="CB70" s="254">
        <f>CB68*CB69</f>
        <v>9.375</v>
      </c>
      <c r="CC70" s="254">
        <f>CC68*CC69</f>
        <v>30.375</v>
      </c>
      <c r="CD70" s="254">
        <f>CD68*CD69</f>
        <v>53.895</v>
      </c>
      <c r="CE70" s="254">
        <f>CE68*CE69</f>
        <v>80.2374</v>
      </c>
      <c r="CF70" s="19" t="n"/>
    </row>
    <row r="71" ht="15" customHeight="1" s="251">
      <c r="B71" s="25" t="inlineStr">
        <is>
          <t xml:space="preserve">  Acquired intangibles % of spend</t>
        </is>
      </c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  <c r="AU71" s="36" t="n"/>
      <c r="AV71" s="36" t="n"/>
      <c r="AW71" s="36" t="n"/>
      <c r="AX71" s="36" t="n"/>
      <c r="AY71" s="36" t="n"/>
      <c r="AZ71" s="36" t="n"/>
      <c r="BA71" s="36" t="n"/>
      <c r="BB71" s="36" t="n"/>
      <c r="BC71" s="36" t="n"/>
      <c r="BD71" s="36" t="n"/>
      <c r="BE71" s="36" t="n"/>
      <c r="BF71" s="36" t="n"/>
      <c r="BG71" s="36" t="n"/>
      <c r="BH71" s="36" t="n"/>
      <c r="BI71" s="36" t="n"/>
      <c r="BJ71" s="36" t="n"/>
      <c r="BK71" s="36" t="n"/>
      <c r="BL71" s="36" t="n"/>
      <c r="BM71" s="36" t="n"/>
      <c r="BN71" s="36" t="n"/>
      <c r="BO71" s="36" t="n"/>
      <c r="BP71" s="36" t="n"/>
      <c r="BQ71" s="36" t="n"/>
      <c r="BR71" s="36" t="n"/>
      <c r="BS71" s="36" t="n"/>
      <c r="BT71" s="36" t="n"/>
      <c r="BU71" s="36" t="n"/>
      <c r="BV71" s="36" t="n"/>
      <c r="BW71" s="36" t="n"/>
      <c r="BX71" s="36" t="n"/>
      <c r="BY71" s="24" t="n"/>
      <c r="BZ71" s="24" t="n"/>
      <c r="CA71" s="259" t="n">
        <v>0</v>
      </c>
      <c r="CB71" s="259" t="n">
        <v>0.3</v>
      </c>
      <c r="CC71" s="259" t="n">
        <v>0.3</v>
      </c>
      <c r="CD71" s="259" t="n">
        <v>0.3</v>
      </c>
      <c r="CE71" s="259" t="n">
        <v>0.3</v>
      </c>
      <c r="CF71" s="19" t="n"/>
    </row>
    <row r="72" collapsed="1" ht="15" customHeight="1" s="251">
      <c r="B72" s="25" t="inlineStr">
        <is>
          <t xml:space="preserve">  Intangible amortization life (years)</t>
        </is>
      </c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  <c r="AU72" s="36" t="n"/>
      <c r="AV72" s="36" t="n"/>
      <c r="AW72" s="36" t="n"/>
      <c r="AX72" s="36" t="n"/>
      <c r="AY72" s="36" t="n"/>
      <c r="AZ72" s="36" t="n"/>
      <c r="BA72" s="36" t="n"/>
      <c r="BB72" s="36" t="n"/>
      <c r="BC72" s="36" t="n"/>
      <c r="BD72" s="36" t="n"/>
      <c r="BE72" s="36" t="n"/>
      <c r="BF72" s="36" t="n"/>
      <c r="BG72" s="36" t="n"/>
      <c r="BH72" s="36" t="n"/>
      <c r="BI72" s="36" t="n"/>
      <c r="BJ72" s="36" t="n"/>
      <c r="BK72" s="36" t="n"/>
      <c r="BL72" s="36" t="n"/>
      <c r="BM72" s="36" t="n"/>
      <c r="BN72" s="36" t="n"/>
      <c r="BO72" s="36" t="n"/>
      <c r="BP72" s="36" t="n"/>
      <c r="BQ72" s="36" t="n"/>
      <c r="BR72" s="36" t="n"/>
      <c r="BS72" s="36" t="n"/>
      <c r="BT72" s="36" t="n"/>
      <c r="BU72" s="36" t="n"/>
      <c r="BV72" s="36" t="n"/>
      <c r="BW72" s="36" t="n"/>
      <c r="BX72" s="36" t="n"/>
      <c r="BY72" s="24" t="n"/>
      <c r="BZ72" s="24" t="n"/>
      <c r="CA72" s="267" t="n">
        <v>0</v>
      </c>
      <c r="CB72" s="267" t="n">
        <v>8</v>
      </c>
      <c r="CC72" s="267" t="n">
        <v>8</v>
      </c>
      <c r="CD72" s="267" t="n">
        <v>8</v>
      </c>
      <c r="CE72" s="267" t="n">
        <v>8</v>
      </c>
      <c r="CF72" s="19" t="n"/>
    </row>
    <row r="73" ht="15" customHeight="1" s="251">
      <c r="B73" s="25" t="inlineStr">
        <is>
          <t xml:space="preserve">  Cumulative acquired intangibles (gross)</t>
        </is>
      </c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  <c r="AA73" s="34" t="n"/>
      <c r="AB73" s="34" t="n"/>
      <c r="AC73" s="34" t="n"/>
      <c r="AD73" s="34" t="n"/>
      <c r="AE73" s="34" t="n"/>
      <c r="AF73" s="34" t="n"/>
      <c r="AG73" s="34" t="n"/>
      <c r="AH73" s="34" t="n"/>
      <c r="AI73" s="34" t="n"/>
      <c r="AJ73" s="34" t="n"/>
      <c r="AK73" s="34" t="n"/>
      <c r="AL73" s="34" t="n"/>
      <c r="AM73" s="34" t="n"/>
      <c r="AN73" s="34" t="n"/>
      <c r="AO73" s="34" t="n"/>
      <c r="AP73" s="34" t="n"/>
      <c r="AQ73" s="34" t="n"/>
      <c r="AR73" s="34" t="n"/>
      <c r="AS73" s="34" t="n"/>
      <c r="AT73" s="34" t="n"/>
      <c r="AU73" s="34" t="n"/>
      <c r="AV73" s="34" t="n"/>
      <c r="AW73" s="34" t="n"/>
      <c r="AX73" s="34" t="n"/>
      <c r="AY73" s="34" t="n"/>
      <c r="AZ73" s="34" t="n"/>
      <c r="BA73" s="34" t="n"/>
      <c r="BB73" s="34" t="n"/>
      <c r="BC73" s="34" t="n"/>
      <c r="BD73" s="34" t="n"/>
      <c r="BE73" s="34" t="n"/>
      <c r="BF73" s="34" t="n"/>
      <c r="BG73" s="34" t="n"/>
      <c r="BH73" s="34" t="n"/>
      <c r="BI73" s="34" t="n"/>
      <c r="BJ73" s="34" t="n"/>
      <c r="BK73" s="34" t="n"/>
      <c r="BL73" s="34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4" t="n"/>
      <c r="BY73" s="35" t="n"/>
      <c r="BZ73" s="35" t="n"/>
      <c r="CA73" s="269" t="n">
        <v>0</v>
      </c>
      <c r="CB73" s="254">
        <f>CA73+CB63*CB71</f>
        <v>300</v>
      </c>
      <c r="CC73" s="254">
        <f>CB73+CC63*CC71</f>
        <v>600</v>
      </c>
      <c r="CD73" s="254">
        <f>CC73+CD63*CD71</f>
        <v>900</v>
      </c>
      <c r="CE73" s="254">
        <f>CD73+CE63*CE71</f>
        <v>1200</v>
      </c>
      <c r="CF73" s="19" t="n"/>
    </row>
    <row r="74" ht="15" customHeight="1" s="251">
      <c r="B74" s="25" t="inlineStr">
        <is>
          <t xml:space="preserve">  Amortization of future-acquisition intangibles (inside adjusted operating income)</t>
        </is>
      </c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  <c r="AA74" s="34" t="n"/>
      <c r="AB74" s="34" t="n"/>
      <c r="AC74" s="34" t="n"/>
      <c r="AD74" s="34" t="n"/>
      <c r="AE74" s="34" t="n"/>
      <c r="AF74" s="34" t="n"/>
      <c r="AG74" s="34" t="n"/>
      <c r="AH74" s="34" t="n"/>
      <c r="AI74" s="34" t="n"/>
      <c r="AJ74" s="34" t="n"/>
      <c r="AK74" s="34" t="n"/>
      <c r="AL74" s="34" t="n"/>
      <c r="AM74" s="34" t="n"/>
      <c r="AN74" s="34" t="n"/>
      <c r="AO74" s="34" t="n"/>
      <c r="AP74" s="34" t="n"/>
      <c r="AQ74" s="34" t="n"/>
      <c r="AR74" s="34" t="n"/>
      <c r="AS74" s="34" t="n"/>
      <c r="AT74" s="34" t="n"/>
      <c r="AU74" s="34" t="n"/>
      <c r="AV74" s="34" t="n"/>
      <c r="AW74" s="34" t="n"/>
      <c r="AX74" s="34" t="n"/>
      <c r="AY74" s="34" t="n"/>
      <c r="AZ74" s="34" t="n"/>
      <c r="BA74" s="34" t="n"/>
      <c r="BB74" s="34" t="n"/>
      <c r="BC74" s="34" t="n"/>
      <c r="BD74" s="34" t="n"/>
      <c r="BE74" s="34" t="n"/>
      <c r="BF74" s="34" t="n"/>
      <c r="BG74" s="34" t="n"/>
      <c r="BH74" s="34" t="n"/>
      <c r="BI74" s="34" t="n"/>
      <c r="BJ74" s="34" t="n"/>
      <c r="BK74" s="34" t="n"/>
      <c r="BL74" s="34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 t="n"/>
      <c r="BV74" s="34" t="n"/>
      <c r="BW74" s="34" t="n"/>
      <c r="BX74" s="34" t="n"/>
      <c r="BY74" s="35" t="n"/>
      <c r="BZ74" s="35" t="n"/>
      <c r="CA74" s="269" t="n">
        <v>0</v>
      </c>
      <c r="CB74" s="254">
        <f>IFERROR((CA73+0.5*CB63*CB71)/CB72,0)</f>
        <v>18.75</v>
      </c>
      <c r="CC74" s="254">
        <f>IFERROR((CB73+0.5*CC63*CC71)/CC72,0)</f>
        <v>56.25</v>
      </c>
      <c r="CD74" s="254">
        <f>IFERROR((CC73+0.5*CD63*CD71)/CD72,0)</f>
        <v>93.75</v>
      </c>
      <c r="CE74" s="254">
        <f>IFERROR((CD73+0.5*CE63*CE71)/CE72,0)</f>
        <v>131.25</v>
      </c>
      <c r="CF74" s="19" t="inlineStr">
        <is>
          <t>Mastercard does not adjust out amortization of acquired intangibles; the acquired-business margin above is after amortization.</t>
        </is>
      </c>
    </row>
    <row r="75" ht="15" customHeight="1" s="251">
      <c r="CN75" s="11" t="n"/>
      <c r="CO75" s="12" t="n"/>
      <c r="CP75" s="12" t="n"/>
      <c r="CQ75" s="12" t="n"/>
      <c r="CR75" s="13" t="n"/>
    </row>
    <row r="76" ht="15" customHeight="1" s="251">
      <c r="B76" s="14" t="inlineStr">
        <is>
          <t>Group Total — net revenue &amp; adjusted operating income → FY26 guidance calibration (guidance UNVERIFIED: earnings-call commentary)</t>
        </is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  <c r="BP76" s="14" t="n"/>
      <c r="BQ76" s="14" t="n"/>
      <c r="BR76" s="14" t="n"/>
      <c r="BS76" s="14" t="n"/>
      <c r="BT76" s="14" t="n"/>
      <c r="BU76" s="14" t="n"/>
      <c r="BV76" s="14" t="n"/>
      <c r="BW76" s="14" t="n"/>
      <c r="BX76" s="14" t="n"/>
      <c r="BY76" s="14" t="n"/>
      <c r="BZ76" s="14" t="n"/>
      <c r="CA76" s="14" t="n"/>
      <c r="CB76" s="14" t="n"/>
      <c r="CC76" s="14" t="n"/>
      <c r="CD76" s="14" t="n"/>
      <c r="CE76" s="14" t="n"/>
      <c r="CF76" s="15" t="inlineStr">
        <is>
          <t>GROUP TOTAL (CONSOLIDATED) — modelling logic</t>
        </is>
      </c>
    </row>
    <row r="77" ht="15" customHeight="1" s="251">
      <c r="B77" s="55" t="inlineStr">
        <is>
          <t>Net revenue (build)</t>
        </is>
      </c>
      <c r="C77" s="273">
        <f>N(C20)+N(C29)+N(C35)</f>
        <v>3326.074</v>
      </c>
      <c r="D77" s="273">
        <f>N(D20)+N(D29)+N(D35)</f>
        <v>4067.599</v>
      </c>
      <c r="E77" s="273">
        <f>N(E20)+N(E29)+N(E35)</f>
        <v>4991.6</v>
      </c>
      <c r="F77" s="273">
        <f>N(F20)+N(F29)+N(F35)</f>
        <v>5098.684</v>
      </c>
      <c r="G77" s="273">
        <f>N(G20)+N(G29)+N(G35)</f>
        <v>5539</v>
      </c>
      <c r="H77" s="273">
        <f>N(H20)+N(H29)+N(H35)</f>
        <v>6714</v>
      </c>
      <c r="I77" s="273">
        <f>N(I20)+N(I29)+N(I35)</f>
        <v>7391</v>
      </c>
      <c r="J77" s="273">
        <f>N(J20)+N(J29)+N(J35)</f>
        <v>1906</v>
      </c>
      <c r="K77" s="273">
        <f>N(K20)+N(K29)+N(K35)</f>
        <v>2096</v>
      </c>
      <c r="L77" s="273">
        <f>N(L20)+N(L29)+N(L35)</f>
        <v>2218</v>
      </c>
      <c r="M77" s="273">
        <f>N(M20)+N(M29)+N(M35)</f>
        <v>2126</v>
      </c>
      <c r="N77" s="273">
        <f>N(N20)+N(N29)+N(N35)</f>
        <v>8346</v>
      </c>
      <c r="O77" s="273">
        <f>N(O20)+N(O29)+N(O35)</f>
        <v>2177</v>
      </c>
      <c r="P77" s="273">
        <f>N(P20)+N(P29)+N(P35)</f>
        <v>2377</v>
      </c>
      <c r="Q77" s="273">
        <f>N(Q20)+N(Q29)+N(Q35)</f>
        <v>2503</v>
      </c>
      <c r="R77" s="273">
        <f>N(R20)+N(R29)+N(R35)</f>
        <v>2416</v>
      </c>
      <c r="S77" s="273">
        <f>N(S20)+N(S29)+N(S35)</f>
        <v>9473</v>
      </c>
      <c r="T77" s="273">
        <f>N(T20)+N(T29)+N(T35)</f>
        <v>2230</v>
      </c>
      <c r="U77" s="273">
        <f>N(U20)+N(U29)+N(U35)</f>
        <v>2390</v>
      </c>
      <c r="V77" s="273">
        <f>N(V20)+N(V29)+N(V35)</f>
        <v>2530</v>
      </c>
      <c r="W77" s="273">
        <f>N(W20)+N(W29)+N(W35)</f>
        <v>2517</v>
      </c>
      <c r="X77" s="273">
        <f>N(X20)+N(X29)+N(X35)</f>
        <v>9667</v>
      </c>
      <c r="Y77" s="273">
        <f>N(Y20)+N(Y29)+N(Y35)</f>
        <v>2446</v>
      </c>
      <c r="Z77" s="273">
        <f>N(Z20)+N(Z29)+N(Z35)</f>
        <v>2694</v>
      </c>
      <c r="AA77" s="273">
        <f>N(AA20)+N(AA29)+N(AA35)</f>
        <v>2880</v>
      </c>
      <c r="AB77" s="273">
        <f>N(AB20)+N(AB29)+N(AB35)</f>
        <v>2756</v>
      </c>
      <c r="AC77" s="273">
        <f>N(AC20)+N(AC29)+N(AC35)</f>
        <v>10776</v>
      </c>
      <c r="AD77" s="273">
        <f>N(AD20)+N(AD29)+N(AD35)</f>
        <v>2734</v>
      </c>
      <c r="AE77" s="273">
        <f>N(AE20)+N(AE29)+N(AE35)</f>
        <v>3053</v>
      </c>
      <c r="AF77" s="273">
        <f>N(AF20)+N(AF29)+N(AF35)</f>
        <v>3398</v>
      </c>
      <c r="AG77" s="273">
        <f>N(AG20)+N(AG29)+N(AG35)</f>
        <v>3312</v>
      </c>
      <c r="AH77" s="273">
        <f>N(AH20)+N(AH29)+N(AH35)</f>
        <v>12497</v>
      </c>
      <c r="AI77" s="273">
        <f>N(AI20)+N(AI29)+N(AI35)</f>
        <v>3580</v>
      </c>
      <c r="AJ77" s="273">
        <f>N(AJ20)+N(AJ29)+N(AJ35)</f>
        <v>3665</v>
      </c>
      <c r="AK77" s="273">
        <f>N(AK20)+N(AK29)+N(AK35)</f>
        <v>3898</v>
      </c>
      <c r="AL77" s="273">
        <f>N(AL20)+N(AL29)+N(AL35)</f>
        <v>3807</v>
      </c>
      <c r="AM77" s="273">
        <f>N(AM20)+N(AM29)+N(AM35)</f>
        <v>14950</v>
      </c>
      <c r="AN77" s="273">
        <f>N(AN20)+N(AN29)+N(AN35)</f>
        <v>3889</v>
      </c>
      <c r="AO77" s="273">
        <f>N(AO20)+N(AO29)+N(AO35)</f>
        <v>4113</v>
      </c>
      <c r="AP77" s="273">
        <f>N(AP20)+N(AP29)+N(AP35)</f>
        <v>4467</v>
      </c>
      <c r="AQ77" s="273">
        <f>N(AQ20)+N(AQ29)+N(AQ35)</f>
        <v>4414</v>
      </c>
      <c r="AR77" s="273">
        <f>N(AR20)+N(AR29)+N(AR35)</f>
        <v>16883</v>
      </c>
      <c r="AS77" s="273">
        <f>N(AS20)+N(AS29)+N(AS35)</f>
        <v>4009</v>
      </c>
      <c r="AT77" s="273">
        <f>N(AT20)+N(AT29)+N(AT35)</f>
        <v>3335</v>
      </c>
      <c r="AU77" s="273">
        <f>N(AU20)+N(AU29)+N(AU35)</f>
        <v>3837</v>
      </c>
      <c r="AV77" s="273">
        <f>N(AV20)+N(AV29)+N(AV35)</f>
        <v>4120</v>
      </c>
      <c r="AW77" s="273">
        <f>N(AW20)+N(AW29)+N(AW35)</f>
        <v>15301</v>
      </c>
      <c r="AX77" s="273">
        <f>N(AX20)+N(AX29)+N(AX35)</f>
        <v>4155</v>
      </c>
      <c r="AY77" s="273">
        <f>N(AY20)+N(AY29)+N(AY35)</f>
        <v>4528</v>
      </c>
      <c r="AZ77" s="273">
        <f>N(AZ20)+N(AZ29)+N(AZ35)</f>
        <v>4985</v>
      </c>
      <c r="BA77" s="273">
        <f>N(BA20)+N(BA29)+N(BA35)</f>
        <v>5216</v>
      </c>
      <c r="BB77" s="273">
        <f>N(BB20)+N(BB29)+N(BB35)</f>
        <v>18884</v>
      </c>
      <c r="BC77" s="273">
        <f>N(BC20)+N(BC29)+N(BC35)</f>
        <v>5167</v>
      </c>
      <c r="BD77" s="273">
        <f>N(BD20)+N(BD29)+N(BD35)</f>
        <v>5497</v>
      </c>
      <c r="BE77" s="273">
        <f>N(BE20)+N(BE29)+N(BE35)</f>
        <v>5756</v>
      </c>
      <c r="BF77" s="273">
        <f>N(BF20)+N(BF29)+N(BF35)</f>
        <v>5817</v>
      </c>
      <c r="BG77" s="273">
        <f>N(BG20)+N(BG29)+N(BG35)</f>
        <v>22237</v>
      </c>
      <c r="BH77" s="273">
        <f>N(BH20)+N(BH29)+N(BH35)</f>
        <v>5748</v>
      </c>
      <c r="BI77" s="273">
        <f>N(BI20)+N(BI29)+N(BI35)</f>
        <v>6269</v>
      </c>
      <c r="BJ77" s="273">
        <f>N(BJ20)+N(BJ29)+N(BJ35)</f>
        <v>6533</v>
      </c>
      <c r="BK77" s="273">
        <f>N(BK20)+N(BK29)+N(BK35)</f>
        <v>6548</v>
      </c>
      <c r="BL77" s="273">
        <f>N(BL20)+N(BL29)+N(BL35)</f>
        <v>25098</v>
      </c>
      <c r="BM77" s="273">
        <f>N(BM20)+N(BM29)+N(BM35)</f>
        <v>6348</v>
      </c>
      <c r="BN77" s="273">
        <f>N(BN20)+N(BN29)+N(BN35)</f>
        <v>6961</v>
      </c>
      <c r="BO77" s="273">
        <f>N(BO20)+N(BO29)+N(BO35)</f>
        <v>7369</v>
      </c>
      <c r="BP77" s="273">
        <f>N(BP20)+N(BP29)+N(BP35)</f>
        <v>7489</v>
      </c>
      <c r="BQ77" s="273">
        <f>N(BQ20)+N(BQ29)+N(BQ35)</f>
        <v>28167</v>
      </c>
      <c r="BR77" s="273">
        <f>N(BR20)+N(BR29)+N(BR35)</f>
        <v>7250</v>
      </c>
      <c r="BS77" s="273">
        <f>N(BS20)+N(BS29)+N(BS35)</f>
        <v>8133</v>
      </c>
      <c r="BT77" s="273">
        <f>N(BT20)+N(BT29)+N(BT35)</f>
        <v>8602</v>
      </c>
      <c r="BU77" s="273">
        <f>N(BU20)+N(BU29)+N(BU35)</f>
        <v>8806</v>
      </c>
      <c r="BV77" s="273">
        <f>N(BV20)+N(BV29)+N(BV35)</f>
        <v>32791</v>
      </c>
      <c r="BW77" s="273">
        <f>N(BW20)+N(BW29)+N(BW35)</f>
        <v>8398</v>
      </c>
      <c r="BX77" s="273">
        <f>N(BX20)+N(BX29)+N(BX35)</f>
        <v>9277</v>
      </c>
      <c r="BY77" s="273">
        <f>BY20+BY29+N(BY35)+N(BY68)+N(BY56)*N($CA$54)</f>
        <v>9637.55150593884</v>
      </c>
      <c r="BZ77" s="273">
        <f>BZ20+BZ29+N(BZ35)+N(BZ68)+N(BZ56)*N($CA$54)</f>
        <v>9905.23349406116</v>
      </c>
      <c r="CA77" s="273">
        <f>CA20+CA29+N(CA35)+N(CA68)+N(CA56)*N($CA$54)</f>
        <v>37217.785</v>
      </c>
      <c r="CB77" s="273">
        <f>CB20+CB29+N(CB35)+N(CB68)+N(CB56)*N($CA$54)</f>
        <v>41825.0132406573</v>
      </c>
      <c r="CC77" s="273">
        <f>CC20+CC29+N(CC35)+N(CC68)+N(CC56)*N($CA$54)</f>
        <v>46784.2455603929</v>
      </c>
      <c r="CD77" s="273">
        <f>CD20+CD29+N(CD35)+N(CD68)+N(CD56)*N($CA$54)</f>
        <v>51988.5998121384</v>
      </c>
      <c r="CE77" s="273">
        <f>CE20+CE29+N(CE35)+N(CE68)+N(CE56)*N($CA$54)</f>
        <v>57398.9793869104</v>
      </c>
      <c r="CF77" s="153" t="inlineStr">
        <is>
          <t>Payment network + value-added services (+ not split, history) (+ future acquisitions and BVNK from 2026E).</t>
        </is>
      </c>
      <c r="CH77" s="20">
        <f>IFERROR((CE77/BV77)^(1/5)-1,"n/m")</f>
        <v>0.118484324380902</v>
      </c>
      <c r="CI77" s="20">
        <f>IFERROR((BV77/AW77)^(1/5)-1,"n/m")</f>
        <v>0.164680942431242</v>
      </c>
      <c r="CJ77" s="20">
        <f>IFERROR((BV77/X77)^(1/10)-1,"n/m")</f>
        <v>0.129916353351001</v>
      </c>
      <c r="CK77" s="20">
        <f>IFERROR((BV77/C77)^(1/19)-1,"n/m")</f>
        <v>0.127993145911792</v>
      </c>
    </row>
    <row r="78" ht="15" customHeight="1" s="251">
      <c r="B78" s="22" t="inlineStr">
        <is>
          <t xml:space="preserve">  Net revenue y/y %</t>
        </is>
      </c>
      <c r="C78" s="23" t="n"/>
      <c r="D78" s="258">
        <f>IF(AND(ISNUMBER(D77),ISNUMBER(C77)),IFERROR(D77/C77-1,""),"")</f>
        <v>0.222943025320543</v>
      </c>
      <c r="E78" s="258">
        <f>IF(AND(ISNUMBER(E77),ISNUMBER(D77)),IFERROR(E77/D77-1,""),"")</f>
        <v>0.22716128113907</v>
      </c>
      <c r="F78" s="258">
        <f>IF(AND(ISNUMBER(F77),ISNUMBER(E77)),IFERROR(F77/E77-1,""),"")</f>
        <v>0.0214528407724979</v>
      </c>
      <c r="G78" s="258">
        <f>IF(AND(ISNUMBER(G77),ISNUMBER(F77)),IFERROR(G77/F77-1,""),"")</f>
        <v>0.0863587545335227</v>
      </c>
      <c r="H78" s="258">
        <f>IF(AND(ISNUMBER(H77),ISNUMBER(G77)),IFERROR(H77/G77-1,""),"")</f>
        <v>0.212132153818379</v>
      </c>
      <c r="I78" s="258">
        <f>IF(AND(ISNUMBER(I77),ISNUMBER(H77)),IFERROR(I77/H77-1,""),"")</f>
        <v>0.100834078045874</v>
      </c>
      <c r="J78" s="23" t="n"/>
      <c r="K78" s="23" t="n"/>
      <c r="L78" s="23" t="n"/>
      <c r="M78" s="23" t="n"/>
      <c r="N78" s="258">
        <f>IF(AND(ISNUMBER(N77),ISNUMBER(I77)),IFERROR(N77/I77-1,""),"")</f>
        <v>0.129211202814234</v>
      </c>
      <c r="O78" s="258">
        <f>IF(AND(ISNUMBER(O77),ISNUMBER(J77)),IFERROR(O77/J77-1,""),"")</f>
        <v>0.142182581322141</v>
      </c>
      <c r="P78" s="258">
        <f>IF(AND(ISNUMBER(P77),ISNUMBER(K77)),IFERROR(P77/K77-1,""),"")</f>
        <v>0.134064885496183</v>
      </c>
      <c r="Q78" s="258">
        <f>IF(AND(ISNUMBER(Q77),ISNUMBER(L77)),IFERROR(Q77/L77-1,""),"")</f>
        <v>0.128494138863841</v>
      </c>
      <c r="R78" s="258">
        <f>IF(AND(ISNUMBER(R77),ISNUMBER(M77)),IFERROR(R77/M77-1,""),"")</f>
        <v>0.136406396989652</v>
      </c>
      <c r="S78" s="258">
        <f>IF(AND(ISNUMBER(S77),ISNUMBER(N77)),IFERROR(S77/N77-1,""),"")</f>
        <v>0.13503474718428</v>
      </c>
      <c r="T78" s="258">
        <f>IF(AND(ISNUMBER(T77),ISNUMBER(O77)),IFERROR(T77/O77-1,""),"")</f>
        <v>0.024345429490124</v>
      </c>
      <c r="U78" s="258">
        <f>IF(AND(ISNUMBER(U77),ISNUMBER(P77)),IFERROR(U77/P77-1,""),"")</f>
        <v>0.0054690786705931</v>
      </c>
      <c r="V78" s="258">
        <f>IF(AND(ISNUMBER(V77),ISNUMBER(Q77)),IFERROR(V77/Q77-1,""),"")</f>
        <v>0.01078705553336</v>
      </c>
      <c r="W78" s="258">
        <f>IF(AND(ISNUMBER(W77),ISNUMBER(R77)),IFERROR(W77/R77-1,""),"")</f>
        <v>0.0418046357615893</v>
      </c>
      <c r="X78" s="258">
        <f>IF(AND(ISNUMBER(X77),ISNUMBER(S77)),IFERROR(X77/S77-1,""),"")</f>
        <v>0.0204792568352159</v>
      </c>
      <c r="Y78" s="258">
        <f>IF(AND(ISNUMBER(Y77),ISNUMBER(T77)),IFERROR(Y77/T77-1,""),"")</f>
        <v>0.0968609865470853</v>
      </c>
      <c r="Z78" s="258">
        <f>IF(AND(ISNUMBER(Z77),ISNUMBER(U77)),IFERROR(Z77/U77-1,""),"")</f>
        <v>0.127196652719665</v>
      </c>
      <c r="AA78" s="258">
        <f>IF(AND(ISNUMBER(AA77),ISNUMBER(V77)),IFERROR(AA77/V77-1,""),"")</f>
        <v>0.138339920948617</v>
      </c>
      <c r="AB78" s="258">
        <f>IF(AND(ISNUMBER(AB77),ISNUMBER(W77)),IFERROR(AB77/W77-1,""),"")</f>
        <v>0.0949543106873261</v>
      </c>
      <c r="AC78" s="258">
        <f>IF(AND(ISNUMBER(AC77),ISNUMBER(X77)),IFERROR(AC77/X77-1,""),"")</f>
        <v>0.114720182062688</v>
      </c>
      <c r="AD78" s="258">
        <f>IF(AND(ISNUMBER(AD77),ISNUMBER(Y77)),IFERROR(AD77/Y77-1,""),"")</f>
        <v>0.117743254292723</v>
      </c>
      <c r="AE78" s="258">
        <f>IF(AND(ISNUMBER(AE77),ISNUMBER(Z77)),IFERROR(AE77/Z77-1,""),"")</f>
        <v>0.133259094283593</v>
      </c>
      <c r="AF78" s="258">
        <f>IF(AND(ISNUMBER(AF77),ISNUMBER(AA77)),IFERROR(AF77/AA77-1,""),"")</f>
        <v>0.179861111111111</v>
      </c>
      <c r="AG78" s="258">
        <f>IF(AND(ISNUMBER(AG77),ISNUMBER(AB77)),IFERROR(AG77/AB77-1,""),"")</f>
        <v>0.201741654571843</v>
      </c>
      <c r="AH78" s="258">
        <f>IF(AND(ISNUMBER(AH77),ISNUMBER(AC77)),IFERROR(AH77/AC77-1,""),"")</f>
        <v>0.159706755753526</v>
      </c>
      <c r="AI78" s="258">
        <f>IF(AND(ISNUMBER(AI77),ISNUMBER(AD77)),IFERROR(AI77/AD77-1,""),"")</f>
        <v>0.309436722750549</v>
      </c>
      <c r="AJ78" s="258">
        <f>IF(AND(ISNUMBER(AJ77),ISNUMBER(AE77)),IFERROR(AJ77/AE77-1,""),"")</f>
        <v>0.200458565345562</v>
      </c>
      <c r="AK78" s="258">
        <f>IF(AND(ISNUMBER(AK77),ISNUMBER(AF77)),IFERROR(AK77/AF77-1,""),"")</f>
        <v>0.147145379635079</v>
      </c>
      <c r="AL78" s="258">
        <f>IF(AND(ISNUMBER(AL77),ISNUMBER(AG77)),IFERROR(AL77/AG77-1,""),"")</f>
        <v>0.14945652173913</v>
      </c>
      <c r="AM78" s="258">
        <f>IF(AND(ISNUMBER(AM77),ISNUMBER(AH77)),IFERROR(AM77/AH77-1,""),"")</f>
        <v>0.196287108906138</v>
      </c>
      <c r="AN78" s="258">
        <f>IF(AND(ISNUMBER(AN77),ISNUMBER(AI77)),IFERROR(AN77/AI77-1,""),"")</f>
        <v>0.0863128491620111</v>
      </c>
      <c r="AO78" s="258">
        <f>IF(AND(ISNUMBER(AO77),ISNUMBER(AJ77)),IFERROR(AO77/AJ77-1,""),"")</f>
        <v>0.122237380627558</v>
      </c>
      <c r="AP78" s="258">
        <f>IF(AND(ISNUMBER(AP77),ISNUMBER(AK77)),IFERROR(AP77/AK77-1,""),"")</f>
        <v>0.145972293483838</v>
      </c>
      <c r="AQ78" s="258">
        <f>IF(AND(ISNUMBER(AQ77),ISNUMBER(AL77)),IFERROR(AQ77/AL77-1,""),"")</f>
        <v>0.159443131074337</v>
      </c>
      <c r="AR78" s="258">
        <f>IF(AND(ISNUMBER(AR77),ISNUMBER(AM77)),IFERROR(AR77/AM77-1,""),"")</f>
        <v>0.129297658862876</v>
      </c>
      <c r="AS78" s="258">
        <f>IF(AND(ISNUMBER(AS77),ISNUMBER(AN77)),IFERROR(AS77/AN77-1,""),"")</f>
        <v>0.0308562612496786</v>
      </c>
      <c r="AT78" s="258">
        <f>IF(AND(ISNUMBER(AT77),ISNUMBER(AO77)),IFERROR(AT77/AO77-1,""),"")</f>
        <v>-0.189156333576465</v>
      </c>
      <c r="AU78" s="258">
        <f>IF(AND(ISNUMBER(AU77),ISNUMBER(AP77)),IFERROR(AU77/AP77-1,""),"")</f>
        <v>-0.141034251175285</v>
      </c>
      <c r="AV78" s="258">
        <f>IF(AND(ISNUMBER(AV77),ISNUMBER(AQ77)),IFERROR(AV77/AQ77-1,""),"")</f>
        <v>-0.0666062528318985</v>
      </c>
      <c r="AW78" s="258">
        <f>IF(AND(ISNUMBER(AW77),ISNUMBER(AR77)),IFERROR(AW77/AR77-1,""),"")</f>
        <v>-0.0937037256411776</v>
      </c>
      <c r="AX78" s="258">
        <f>IF(AND(ISNUMBER(AX77),ISNUMBER(AS77)),IFERROR(AX77/AS77-1,""),"")</f>
        <v>0.0364180593664256</v>
      </c>
      <c r="AY78" s="258">
        <f>IF(AND(ISNUMBER(AY77),ISNUMBER(AT77)),IFERROR(AY77/AT77-1,""),"")</f>
        <v>0.357721139430285</v>
      </c>
      <c r="AZ78" s="258">
        <f>IF(AND(ISNUMBER(AZ77),ISNUMBER(AU77)),IFERROR(AZ77/AU77-1,""),"")</f>
        <v>0.299192077143602</v>
      </c>
      <c r="BA78" s="258">
        <f>IF(AND(ISNUMBER(BA77),ISNUMBER(AV77)),IFERROR(BA77/AV77-1,""),"")</f>
        <v>0.266019417475728</v>
      </c>
      <c r="BB78" s="258">
        <f>IF(AND(ISNUMBER(BB77),ISNUMBER(AW77)),IFERROR(BB77/AW77-1,""),"")</f>
        <v>0.234167701457421</v>
      </c>
      <c r="BC78" s="258">
        <f>IF(AND(ISNUMBER(BC77),ISNUMBER(AX77)),IFERROR(BC77/AX77-1,""),"")</f>
        <v>0.243561973525873</v>
      </c>
      <c r="BD78" s="258">
        <f>IF(AND(ISNUMBER(BD77),ISNUMBER(AY77)),IFERROR(BD77/AY77-1,""),"")</f>
        <v>0.214001766784452</v>
      </c>
      <c r="BE78" s="258">
        <f>IF(AND(ISNUMBER(BE77),ISNUMBER(AZ77)),IFERROR(BE77/AZ77-1,""),"")</f>
        <v>0.154663991975928</v>
      </c>
      <c r="BF78" s="258">
        <f>IF(AND(ISNUMBER(BF77),ISNUMBER(BA77)),IFERROR(BF77/BA77-1,""),"")</f>
        <v>0.115222392638037</v>
      </c>
      <c r="BG78" s="258">
        <f>IF(AND(ISNUMBER(BG77),ISNUMBER(BB77)),IFERROR(BG77/BB77-1,""),"")</f>
        <v>0.17755772082186</v>
      </c>
      <c r="BH78" s="258">
        <f>IF(AND(ISNUMBER(BH77),ISNUMBER(BC77)),IFERROR(BH77/BC77-1,""),"")</f>
        <v>0.112444358428488</v>
      </c>
      <c r="BI78" s="258">
        <f>IF(AND(ISNUMBER(BI77),ISNUMBER(BD77)),IFERROR(BI77/BD77-1,""),"")</f>
        <v>0.140440240130981</v>
      </c>
      <c r="BJ78" s="258">
        <f>IF(AND(ISNUMBER(BJ77),ISNUMBER(BE77)),IFERROR(BJ77/BE77-1,""),"")</f>
        <v>0.13498957609451</v>
      </c>
      <c r="BK78" s="258">
        <f>IF(AND(ISNUMBER(BK77),ISNUMBER(BF77)),IFERROR(BK77/BF77-1,""),"")</f>
        <v>0.125666150936909</v>
      </c>
      <c r="BL78" s="258">
        <f>IF(AND(ISNUMBER(BL77),ISNUMBER(BG77)),IFERROR(BL77/BG77-1,""),"")</f>
        <v>0.128659441471422</v>
      </c>
      <c r="BM78" s="258">
        <f>IF(AND(ISNUMBER(BM77),ISNUMBER(BH77)),IFERROR(BM77/BH77-1,""),"")</f>
        <v>0.104384133611691</v>
      </c>
      <c r="BN78" s="258">
        <f>IF(AND(ISNUMBER(BN77),ISNUMBER(BI77)),IFERROR(BN77/BI77-1,""),"")</f>
        <v>0.110384431328761</v>
      </c>
      <c r="BO78" s="258">
        <f>IF(AND(ISNUMBER(BO77),ISNUMBER(BJ77)),IFERROR(BO77/BJ77-1,""),"")</f>
        <v>0.127965712536354</v>
      </c>
      <c r="BP78" s="258">
        <f>IF(AND(ISNUMBER(BP77),ISNUMBER(BK77)),IFERROR(BP77/BK77-1,""),"")</f>
        <v>0.143708002443494</v>
      </c>
      <c r="BQ78" s="258">
        <f>IF(AND(ISNUMBER(BQ77),ISNUMBER(BL77)),IFERROR(BQ77/BL77-1,""),"")</f>
        <v>0.122280659813531</v>
      </c>
      <c r="BR78" s="258">
        <f>IF(AND(ISNUMBER(BR77),ISNUMBER(BM77)),IFERROR(BR77/BM77-1,""),"")</f>
        <v>0.142091997479521</v>
      </c>
      <c r="BS78" s="258">
        <f>IF(AND(ISNUMBER(BS77),ISNUMBER(BN77)),IFERROR(BS77/BN77-1,""),"")</f>
        <v>0.168366613992242</v>
      </c>
      <c r="BT78" s="258">
        <f>IF(AND(ISNUMBER(BT77),ISNUMBER(BO77)),IFERROR(BT77/BO77-1,""),"")</f>
        <v>0.167322567512552</v>
      </c>
      <c r="BU78" s="258">
        <f>IF(AND(ISNUMBER(BU77),ISNUMBER(BP77)),IFERROR(BU77/BP77-1,""),"")</f>
        <v>0.175857924956603</v>
      </c>
      <c r="BV78" s="258">
        <f>IF(AND(ISNUMBER(BV77),ISNUMBER(BQ77)),IFERROR(BV77/BQ77-1,""),"")</f>
        <v>0.164163737707246</v>
      </c>
      <c r="BW78" s="258">
        <f>IF(AND(ISNUMBER(BW77),ISNUMBER(BR77)),IFERROR(BW77/BR77-1,""),"")</f>
        <v>0.158344827586207</v>
      </c>
      <c r="BX78" s="258">
        <f>IF(AND(ISNUMBER(BX77),ISNUMBER(BS77)),IFERROR(BX77/BS77-1,""),"")</f>
        <v>0.140661502520595</v>
      </c>
      <c r="BY78" s="256">
        <f>IF(AND(ISNUMBER(BY77),ISNUMBER(BT77)),IFERROR(BY77/BT77-1,""),"")</f>
        <v>0.120384969302353</v>
      </c>
      <c r="BZ78" s="256">
        <f>IF(AND(ISNUMBER(BZ77),ISNUMBER(BU77)),IFERROR(BZ77/BU77-1,""),"")</f>
        <v>0.124827787197498</v>
      </c>
      <c r="CA78" s="256">
        <f>IF(AND(ISNUMBER(CA77),ISNUMBER(BV77)),IFERROR(CA77/BV77-1,""),"")</f>
        <v>0.135</v>
      </c>
      <c r="CB78" s="256">
        <f>IF(AND(ISNUMBER(CB77),ISNUMBER(CA77)),IFERROR(CB77/CA77-1,""),"")</f>
        <v>0.123791038092604</v>
      </c>
      <c r="CC78" s="256">
        <f>IF(AND(ISNUMBER(CC77),ISNUMBER(CB77)),IFERROR(CC77/CB77-1,""),"")</f>
        <v>0.118570968315075</v>
      </c>
      <c r="CD78" s="256">
        <f>IF(AND(ISNUMBER(CD77),ISNUMBER(CC77)),IFERROR(CD77/CC77-1,""),"")</f>
        <v>0.111241598307432</v>
      </c>
      <c r="CE78" s="256">
        <f>IF(AND(ISNUMBER(CE77),ISNUMBER(CD77)),IFERROR(CE77/CD77-1,""),"")</f>
        <v>0.104068576463349</v>
      </c>
      <c r="CF78" s="153" t="n"/>
    </row>
    <row r="79" ht="15" customHeight="1" s="251">
      <c r="B79" s="57" t="inlineStr">
        <is>
          <t xml:space="preserve">  Check: build vs consolidated net revenue (should be 0)</t>
        </is>
      </c>
      <c r="C79" s="211">
        <f>IF(ISNUMBER(C77),IF(ABS(C77-C123)&lt;=1.1,0,ROUND(C77-C123,0)),"")</f>
        <v>0</v>
      </c>
      <c r="D79" s="211">
        <f>IF(ISNUMBER(D77),IF(ABS(D77-D123)&lt;=1.1,0,ROUND(D77-D123,0)),"")</f>
        <v>0</v>
      </c>
      <c r="E79" s="211">
        <f>IF(ISNUMBER(E77),IF(ABS(E77-E123)&lt;=1.1,0,ROUND(E77-E123,0)),"")</f>
        <v>0</v>
      </c>
      <c r="F79" s="211">
        <f>IF(ISNUMBER(F77),IF(ABS(F77-F123)&lt;=1.1,0,ROUND(F77-F123,0)),"")</f>
        <v>0</v>
      </c>
      <c r="G79" s="211">
        <f>IF(ISNUMBER(G77),IF(ABS(G77-G123)&lt;=1.1,0,ROUND(G77-G123,0)),"")</f>
        <v>0</v>
      </c>
      <c r="H79" s="211">
        <f>IF(ISNUMBER(H77),IF(ABS(H77-H123)&lt;=1.1,0,ROUND(H77-H123,0)),"")</f>
        <v>0</v>
      </c>
      <c r="I79" s="211">
        <f>IF(ISNUMBER(I77),IF(ABS(I77-I123)&lt;=1.1,0,ROUND(I77-I123,0)),"")</f>
        <v>0</v>
      </c>
      <c r="J79" s="211">
        <f>IF(ISNUMBER(J77),IF(ABS(J77-J123)&lt;=1.1,0,ROUND(J77-J123,0)),"")</f>
        <v>0</v>
      </c>
      <c r="K79" s="211">
        <f>IF(ISNUMBER(K77),IF(ABS(K77-K123)&lt;=1.1,0,ROUND(K77-K123,0)),"")</f>
        <v>0</v>
      </c>
      <c r="L79" s="211">
        <f>IF(ISNUMBER(L77),IF(ABS(L77-L123)&lt;=1.1,0,ROUND(L77-L123,0)),"")</f>
        <v>0</v>
      </c>
      <c r="M79" s="211">
        <f>IF(ISNUMBER(M77),IF(ABS(M77-M123)&lt;=1.1,0,ROUND(M77-M123,0)),"")</f>
        <v>0</v>
      </c>
      <c r="N79" s="211">
        <f>IF(ISNUMBER(N77),IF(ABS(N77-N123)&lt;=1.1,0,ROUND(N77-N123,0)),"")</f>
        <v>0</v>
      </c>
      <c r="O79" s="211">
        <f>IF(ISNUMBER(O77),IF(ABS(O77-O123)&lt;=1.1,0,ROUND(O77-O123,0)),"")</f>
        <v>0</v>
      </c>
      <c r="P79" s="211">
        <f>IF(ISNUMBER(P77),IF(ABS(P77-P123)&lt;=1.1,0,ROUND(P77-P123,0)),"")</f>
        <v>0</v>
      </c>
      <c r="Q79" s="211">
        <f>IF(ISNUMBER(Q77),IF(ABS(Q77-Q123)&lt;=1.1,0,ROUND(Q77-Q123,0)),"")</f>
        <v>0</v>
      </c>
      <c r="R79" s="211">
        <f>IF(ISNUMBER(R77),IF(ABS(R77-R123)&lt;=1.1,0,ROUND(R77-R123,0)),"")</f>
        <v>0</v>
      </c>
      <c r="S79" s="211">
        <f>IF(ISNUMBER(S77),IF(ABS(S77-S123)&lt;=1.1,0,ROUND(S77-S123,0)),"")</f>
        <v>0</v>
      </c>
      <c r="T79" s="211">
        <f>IF(ISNUMBER(T77),IF(ABS(T77-T123)&lt;=1.1,0,ROUND(T77-T123,0)),"")</f>
        <v>0</v>
      </c>
      <c r="U79" s="211">
        <f>IF(ISNUMBER(U77),IF(ABS(U77-U123)&lt;=1.1,0,ROUND(U77-U123,0)),"")</f>
        <v>0</v>
      </c>
      <c r="V79" s="211">
        <f>IF(ISNUMBER(V77),IF(ABS(V77-V123)&lt;=1.1,0,ROUND(V77-V123,0)),"")</f>
        <v>0</v>
      </c>
      <c r="W79" s="211">
        <f>IF(ISNUMBER(W77),IF(ABS(W77-W123)&lt;=1.1,0,ROUND(W77-W123,0)),"")</f>
        <v>0</v>
      </c>
      <c r="X79" s="211">
        <f>IF(ISNUMBER(X77),IF(ABS(X77-X123)&lt;=1.1,0,ROUND(X77-X123,0)),"")</f>
        <v>0</v>
      </c>
      <c r="Y79" s="211">
        <f>IF(ISNUMBER(Y77),IF(ABS(Y77-Y123)&lt;=1.1,0,ROUND(Y77-Y123,0)),"")</f>
        <v>0</v>
      </c>
      <c r="Z79" s="211">
        <f>IF(ISNUMBER(Z77),IF(ABS(Z77-Z123)&lt;=1.1,0,ROUND(Z77-Z123,0)),"")</f>
        <v>0</v>
      </c>
      <c r="AA79" s="211">
        <f>IF(ISNUMBER(AA77),IF(ABS(AA77-AA123)&lt;=1.1,0,ROUND(AA77-AA123,0)),"")</f>
        <v>0</v>
      </c>
      <c r="AB79" s="211">
        <f>IF(ISNUMBER(AB77),IF(ABS(AB77-AB123)&lt;=1.1,0,ROUND(AB77-AB123,0)),"")</f>
        <v>0</v>
      </c>
      <c r="AC79" s="211">
        <f>IF(ISNUMBER(AC77),IF(ABS(AC77-AC123)&lt;=1.1,0,ROUND(AC77-AC123,0)),"")</f>
        <v>0</v>
      </c>
      <c r="AD79" s="211">
        <f>IF(ISNUMBER(AD77),IF(ABS(AD77-AD123)&lt;=1.1,0,ROUND(AD77-AD123,0)),"")</f>
        <v>0</v>
      </c>
      <c r="AE79" s="211">
        <f>IF(ISNUMBER(AE77),IF(ABS(AE77-AE123)&lt;=1.1,0,ROUND(AE77-AE123,0)),"")</f>
        <v>0</v>
      </c>
      <c r="AF79" s="211">
        <f>IF(ISNUMBER(AF77),IF(ABS(AF77-AF123)&lt;=1.1,0,ROUND(AF77-AF123,0)),"")</f>
        <v>0</v>
      </c>
      <c r="AG79" s="211">
        <f>IF(ISNUMBER(AG77),IF(ABS(AG77-AG123)&lt;=1.1,0,ROUND(AG77-AG123,0)),"")</f>
        <v>0</v>
      </c>
      <c r="AH79" s="211">
        <f>IF(ISNUMBER(AH77),IF(ABS(AH77-AH123)&lt;=1.1,0,ROUND(AH77-AH123,0)),"")</f>
        <v>0</v>
      </c>
      <c r="AI79" s="211">
        <f>IF(ISNUMBER(AI77),IF(ABS(AI77-AI123)&lt;=1.1,0,ROUND(AI77-AI123,0)),"")</f>
        <v>0</v>
      </c>
      <c r="AJ79" s="211">
        <f>IF(ISNUMBER(AJ77),IF(ABS(AJ77-AJ123)&lt;=1.1,0,ROUND(AJ77-AJ123,0)),"")</f>
        <v>0</v>
      </c>
      <c r="AK79" s="211">
        <f>IF(ISNUMBER(AK77),IF(ABS(AK77-AK123)&lt;=1.1,0,ROUND(AK77-AK123,0)),"")</f>
        <v>0</v>
      </c>
      <c r="AL79" s="211">
        <f>IF(ISNUMBER(AL77),IF(ABS(AL77-AL123)&lt;=1.1,0,ROUND(AL77-AL123,0)),"")</f>
        <v>0</v>
      </c>
      <c r="AM79" s="211">
        <f>IF(ISNUMBER(AM77),IF(ABS(AM77-AM123)&lt;=1.1,0,ROUND(AM77-AM123,0)),"")</f>
        <v>0</v>
      </c>
      <c r="AN79" s="211">
        <f>IF(ISNUMBER(AN77),IF(ABS(AN77-AN123)&lt;=1.1,0,ROUND(AN77-AN123,0)),"")</f>
        <v>0</v>
      </c>
      <c r="AO79" s="211">
        <f>IF(ISNUMBER(AO77),IF(ABS(AO77-AO123)&lt;=1.1,0,ROUND(AO77-AO123,0)),"")</f>
        <v>0</v>
      </c>
      <c r="AP79" s="211">
        <f>IF(ISNUMBER(AP77),IF(ABS(AP77-AP123)&lt;=1.1,0,ROUND(AP77-AP123,0)),"")</f>
        <v>0</v>
      </c>
      <c r="AQ79" s="211">
        <f>IF(ISNUMBER(AQ77),IF(ABS(AQ77-AQ123)&lt;=1.1,0,ROUND(AQ77-AQ123,0)),"")</f>
        <v>0</v>
      </c>
      <c r="AR79" s="211">
        <f>IF(ISNUMBER(AR77),IF(ABS(AR77-AR123)&lt;=1.1,0,ROUND(AR77-AR123,0)),"")</f>
        <v>0</v>
      </c>
      <c r="AS79" s="211">
        <f>IF(ISNUMBER(AS77),IF(ABS(AS77-AS123)&lt;=1.1,0,ROUND(AS77-AS123,0)),"")</f>
        <v>0</v>
      </c>
      <c r="AT79" s="211">
        <f>IF(ISNUMBER(AT77),IF(ABS(AT77-AT123)&lt;=1.1,0,ROUND(AT77-AT123,0)),"")</f>
        <v>0</v>
      </c>
      <c r="AU79" s="211">
        <f>IF(ISNUMBER(AU77),IF(ABS(AU77-AU123)&lt;=1.1,0,ROUND(AU77-AU123,0)),"")</f>
        <v>0</v>
      </c>
      <c r="AV79" s="211">
        <f>IF(ISNUMBER(AV77),IF(ABS(AV77-AV123)&lt;=1.1,0,ROUND(AV77-AV123,0)),"")</f>
        <v>0</v>
      </c>
      <c r="AW79" s="211">
        <f>IF(ISNUMBER(AW77),IF(ABS(AW77-AW123)&lt;=1.1,0,ROUND(AW77-AW123,0)),"")</f>
        <v>0</v>
      </c>
      <c r="AX79" s="211">
        <f>IF(ISNUMBER(AX77),IF(ABS(AX77-AX123)&lt;=1.1,0,ROUND(AX77-AX123,0)),"")</f>
        <v>0</v>
      </c>
      <c r="AY79" s="211">
        <f>IF(ISNUMBER(AY77),IF(ABS(AY77-AY123)&lt;=1.1,0,ROUND(AY77-AY123,0)),"")</f>
        <v>0</v>
      </c>
      <c r="AZ79" s="211">
        <f>IF(ISNUMBER(AZ77),IF(ABS(AZ77-AZ123)&lt;=1.1,0,ROUND(AZ77-AZ123,0)),"")</f>
        <v>0</v>
      </c>
      <c r="BA79" s="211">
        <f>IF(ISNUMBER(BA77),IF(ABS(BA77-BA123)&lt;=1.1,0,ROUND(BA77-BA123,0)),"")</f>
        <v>0</v>
      </c>
      <c r="BB79" s="211">
        <f>IF(ISNUMBER(BB77),IF(ABS(BB77-BB123)&lt;=1.1,0,ROUND(BB77-BB123,0)),"")</f>
        <v>0</v>
      </c>
      <c r="BC79" s="211">
        <f>IF(ISNUMBER(BC77),IF(ABS(BC77-BC123)&lt;=1.1,0,ROUND(BC77-BC123,0)),"")</f>
        <v>0</v>
      </c>
      <c r="BD79" s="211">
        <f>IF(ISNUMBER(BD77),IF(ABS(BD77-BD123)&lt;=1.1,0,ROUND(BD77-BD123,0)),"")</f>
        <v>0</v>
      </c>
      <c r="BE79" s="211">
        <f>IF(ISNUMBER(BE77),IF(ABS(BE77-BE123)&lt;=1.1,0,ROUND(BE77-BE123,0)),"")</f>
        <v>0</v>
      </c>
      <c r="BF79" s="211">
        <f>IF(ISNUMBER(BF77),IF(ABS(BF77-BF123)&lt;=1.1,0,ROUND(BF77-BF123,0)),"")</f>
        <v>0</v>
      </c>
      <c r="BG79" s="211">
        <f>IF(ISNUMBER(BG77),IF(ABS(BG77-BG123)&lt;=1.1,0,ROUND(BG77-BG123,0)),"")</f>
        <v>0</v>
      </c>
      <c r="BH79" s="211">
        <f>IF(ISNUMBER(BH77),IF(ABS(BH77-BH123)&lt;=1.1,0,ROUND(BH77-BH123,0)),"")</f>
        <v>0</v>
      </c>
      <c r="BI79" s="211">
        <f>IF(ISNUMBER(BI77),IF(ABS(BI77-BI123)&lt;=1.1,0,ROUND(BI77-BI123,0)),"")</f>
        <v>0</v>
      </c>
      <c r="BJ79" s="211">
        <f>IF(ISNUMBER(BJ77),IF(ABS(BJ77-BJ123)&lt;=1.1,0,ROUND(BJ77-BJ123,0)),"")</f>
        <v>0</v>
      </c>
      <c r="BK79" s="211">
        <f>IF(ISNUMBER(BK77),IF(ABS(BK77-BK123)&lt;=1.1,0,ROUND(BK77-BK123,0)),"")</f>
        <v>0</v>
      </c>
      <c r="BL79" s="211">
        <f>IF(ISNUMBER(BL77),IF(ABS(BL77-BL123)&lt;=1.1,0,ROUND(BL77-BL123,0)),"")</f>
        <v>0</v>
      </c>
      <c r="BM79" s="211">
        <f>IF(ISNUMBER(BM77),IF(ABS(BM77-BM123)&lt;=1.1,0,ROUND(BM77-BM123,0)),"")</f>
        <v>0</v>
      </c>
      <c r="BN79" s="211">
        <f>IF(ISNUMBER(BN77),IF(ABS(BN77-BN123)&lt;=1.1,0,ROUND(BN77-BN123,0)),"")</f>
        <v>0</v>
      </c>
      <c r="BO79" s="211">
        <f>IF(ISNUMBER(BO77),IF(ABS(BO77-BO123)&lt;=1.1,0,ROUND(BO77-BO123,0)),"")</f>
        <v>0</v>
      </c>
      <c r="BP79" s="211">
        <f>IF(ISNUMBER(BP77),IF(ABS(BP77-BP123)&lt;=1.1,0,ROUND(BP77-BP123,0)),"")</f>
        <v>0</v>
      </c>
      <c r="BQ79" s="211">
        <f>IF(ISNUMBER(BQ77),IF(ABS(BQ77-BQ123)&lt;=1.1,0,ROUND(BQ77-BQ123,0)),"")</f>
        <v>0</v>
      </c>
      <c r="BR79" s="211">
        <f>IF(ISNUMBER(BR77),IF(ABS(BR77-BR123)&lt;=1.1,0,ROUND(BR77-BR123,0)),"")</f>
        <v>0</v>
      </c>
      <c r="BS79" s="211">
        <f>IF(ISNUMBER(BS77),IF(ABS(BS77-BS123)&lt;=1.1,0,ROUND(BS77-BS123,0)),"")</f>
        <v>0</v>
      </c>
      <c r="BT79" s="211">
        <f>IF(ISNUMBER(BT77),IF(ABS(BT77-BT123)&lt;=1.1,0,ROUND(BT77-BT123,0)),"")</f>
        <v>0</v>
      </c>
      <c r="BU79" s="211">
        <f>IF(ISNUMBER(BU77),IF(ABS(BU77-BU123)&lt;=1.1,0,ROUND(BU77-BU123,0)),"")</f>
        <v>0</v>
      </c>
      <c r="BV79" s="211">
        <f>IF(ISNUMBER(BV77),IF(ABS(BV77-BV123)&lt;=1.1,0,ROUND(BV77-BV123,0)),"")</f>
        <v>0</v>
      </c>
      <c r="BW79" s="211">
        <f>IF(ISNUMBER(BW77),IF(ABS(BW77-BW123)&lt;=1.1,0,ROUND(BW77-BW123,0)),"")</f>
        <v>0</v>
      </c>
      <c r="BX79" s="211">
        <f>IF(ISNUMBER(BX77),IF(ABS(BX77-BX123)&lt;=1.1,0,ROUND(BX77-BX123,0)),"")</f>
        <v>0</v>
      </c>
      <c r="BY79" s="274">
        <f>IF(ISNUMBER(BY77),IF(ABS(BY77-BY123)&lt;=1.1,0,ROUND(BY77-BY123,0)),"")</f>
        <v>0</v>
      </c>
      <c r="BZ79" s="274">
        <f>IF(ISNUMBER(BZ77),IF(ABS(BZ77-BZ123)&lt;=1.1,0,ROUND(BZ77-BZ123,0)),"")</f>
        <v>0</v>
      </c>
      <c r="CA79" s="274">
        <f>IF(ISNUMBER(CA77),IF(ABS(CA77-CA123)&lt;=1.1,0,ROUND(CA77-CA123,0)),"")</f>
        <v>0</v>
      </c>
      <c r="CB79" s="274">
        <f>IF(ISNUMBER(CB77),IF(ABS(CB77-CB123)&lt;=1.1,0,ROUND(CB77-CB123,0)),"")</f>
        <v>0</v>
      </c>
      <c r="CC79" s="274">
        <f>IF(ISNUMBER(CC77),IF(ABS(CC77-CC123)&lt;=1.1,0,ROUND(CC77-CC123,0)),"")</f>
        <v>0</v>
      </c>
      <c r="CD79" s="274">
        <f>IF(ISNUMBER(CD77),IF(ABS(CD77-CD123)&lt;=1.1,0,ROUND(CD77-CD123,0)),"")</f>
        <v>0</v>
      </c>
      <c r="CE79" s="274">
        <f>IF(ISNUMBER(CE77),IF(ABS(CE77-CE123)&lt;=1.1,0,ROUND(CE77-CE123,0)),"")</f>
        <v>0</v>
      </c>
      <c r="CF79" s="153" t="n"/>
    </row>
    <row r="80" collapsed="1" ht="15" customHeight="1" s="251">
      <c r="B80" s="22" t="inlineStr">
        <is>
          <t xml:space="preserve">  Memo: company currency-neutral net revenue growth % (release; 2006–08: currency effect given only in points)</t>
        </is>
      </c>
      <c r="C80" s="23" t="n"/>
      <c r="D80" s="23" t="n"/>
      <c r="E80" s="23" t="n"/>
      <c r="F80" s="255" t="n">
        <v>0.039</v>
      </c>
      <c r="G80" s="255" t="n">
        <v>0.095</v>
      </c>
      <c r="H80" s="255" t="n">
        <v>0.195</v>
      </c>
      <c r="I80" s="255" t="n">
        <v>0.13</v>
      </c>
      <c r="J80" s="255" t="n">
        <v>0.09</v>
      </c>
      <c r="K80" s="255" t="n">
        <v>0.15</v>
      </c>
      <c r="L80" s="255" t="n">
        <v>0.15</v>
      </c>
      <c r="M80" s="255" t="n">
        <v>0.11</v>
      </c>
      <c r="N80" s="255" t="n">
        <v>0.13</v>
      </c>
      <c r="O80" s="255" t="n">
        <v>0.14</v>
      </c>
      <c r="P80" s="255" t="n">
        <v>0.13</v>
      </c>
      <c r="Q80" s="255" t="n">
        <v>0.13</v>
      </c>
      <c r="R80" s="255" t="n">
        <v>0.17</v>
      </c>
      <c r="S80" s="255" t="n">
        <v>0.14</v>
      </c>
      <c r="T80" s="255" t="n">
        <v>0.08</v>
      </c>
      <c r="U80" s="255" t="n">
        <v>0.07000000000000001</v>
      </c>
      <c r="V80" s="255" t="n">
        <v>0.08</v>
      </c>
      <c r="W80" s="255" t="n">
        <v>0.09</v>
      </c>
      <c r="X80" s="255" t="n">
        <v>0.08</v>
      </c>
      <c r="Y80" s="255" t="n">
        <v>0.14</v>
      </c>
      <c r="Z80" s="255" t="n">
        <v>0.14</v>
      </c>
      <c r="AA80" s="255" t="n">
        <v>0.14</v>
      </c>
      <c r="AB80" s="255" t="n">
        <v>0.1</v>
      </c>
      <c r="AC80" s="255" t="n">
        <v>0.13</v>
      </c>
      <c r="AD80" s="255" t="n">
        <v>0.12</v>
      </c>
      <c r="AE80" s="255" t="n">
        <v>0.14</v>
      </c>
      <c r="AF80" s="255" t="n">
        <v>0.17</v>
      </c>
      <c r="AG80" s="255" t="n">
        <v>0.18</v>
      </c>
      <c r="AH80" s="255" t="n">
        <v>0.15</v>
      </c>
      <c r="AI80" s="255" t="n">
        <v>0.27</v>
      </c>
      <c r="AJ80" s="255" t="n">
        <v>0.18</v>
      </c>
      <c r="AK80" s="255" t="n">
        <v>0.17</v>
      </c>
      <c r="AL80" s="255" t="n">
        <v>0.17</v>
      </c>
      <c r="AM80" s="255" t="n">
        <v>0.2</v>
      </c>
      <c r="AN80" s="255" t="n">
        <v>0.13</v>
      </c>
      <c r="AO80" s="255" t="n">
        <v>0.15</v>
      </c>
      <c r="AP80" s="255" t="n">
        <v>0.16</v>
      </c>
      <c r="AQ80" s="255" t="n">
        <v>0.17</v>
      </c>
      <c r="AR80" s="255" t="n">
        <v>0.16</v>
      </c>
      <c r="AS80" s="255" t="n">
        <v>0.05</v>
      </c>
      <c r="AT80" s="255" t="n">
        <v>-0.17</v>
      </c>
      <c r="AU80" s="255" t="n">
        <v>-0.14</v>
      </c>
      <c r="AV80" s="255" t="n">
        <v>-0.07000000000000001</v>
      </c>
      <c r="AW80" s="255" t="n">
        <v>-0.08</v>
      </c>
      <c r="AX80" s="255" t="n">
        <v>0.02</v>
      </c>
      <c r="AY80" s="255" t="n">
        <v>0.31</v>
      </c>
      <c r="AZ80" s="255" t="n">
        <v>0.29</v>
      </c>
      <c r="BA80" s="255" t="n">
        <v>0.28</v>
      </c>
      <c r="BB80" s="255" t="n">
        <v>0.22</v>
      </c>
      <c r="BC80" s="255" t="n">
        <v>0.28</v>
      </c>
      <c r="BD80" s="255" t="n">
        <v>0.27</v>
      </c>
      <c r="BE80" s="255" t="n">
        <v>0.23</v>
      </c>
      <c r="BF80" s="255" t="n">
        <v>0.17</v>
      </c>
      <c r="BG80" s="255" t="n">
        <v>0.23</v>
      </c>
      <c r="BH80" s="255" t="n">
        <v>0.14</v>
      </c>
      <c r="BI80" s="255" t="n">
        <v>0.15</v>
      </c>
      <c r="BJ80" s="255" t="n">
        <v>0.11</v>
      </c>
      <c r="BK80" s="255" t="n">
        <v>0.11</v>
      </c>
      <c r="BL80" s="255" t="n">
        <v>0.13</v>
      </c>
      <c r="BM80" s="255" t="n">
        <v>0.11</v>
      </c>
      <c r="BN80" s="255" t="n">
        <v>0.13</v>
      </c>
      <c r="BO80" s="255" t="n">
        <v>0.14</v>
      </c>
      <c r="BP80" s="255" t="n">
        <v>0.16</v>
      </c>
      <c r="BQ80" s="255" t="n">
        <v>0.13</v>
      </c>
      <c r="BR80" s="255" t="n">
        <v>0.17</v>
      </c>
      <c r="BS80" s="255" t="n">
        <v>0.16</v>
      </c>
      <c r="BT80" s="255" t="n">
        <v>0.15</v>
      </c>
      <c r="BU80" s="255" t="n">
        <v>0.15</v>
      </c>
      <c r="BV80" s="255" t="n">
        <v>0.15</v>
      </c>
      <c r="BW80" s="255" t="n">
        <v>0.12</v>
      </c>
      <c r="BX80" s="255" t="n">
        <v>0.12</v>
      </c>
      <c r="BY80" s="24" t="n"/>
      <c r="BZ80" s="24" t="n"/>
      <c r="CA80" s="24" t="n"/>
      <c r="CB80" s="24" t="n"/>
      <c r="CC80" s="24" t="n"/>
      <c r="CD80" s="24" t="n"/>
      <c r="CE80" s="24" t="n"/>
      <c r="CF80" s="153" t="n"/>
      <c r="CH80" s="37" t="str">
        <f>IFERROR(AVERAGE(CA80,CB80,CC80,CD80,CE80),"n/m")</f>
        <v>n/m</v>
      </c>
      <c r="CI80" s="37">
        <f>IFERROR(AVERAGE(BB80,BG80,BL80,BQ80,BV80),"n/m")</f>
        <v>0.172</v>
      </c>
      <c r="CJ80" s="37">
        <f>IFERROR(AVERAGE(AC80,AH80,AM80,AR80,AW80,BB80,BG80,BL80,BQ80,BV80),"n/m")</f>
        <v>0.142</v>
      </c>
      <c r="CK80" s="37">
        <f>IFERROR(AVERAGE(C80,D80,E80,F80,G80,H80,I80,N80,S80,X80,AC80,AH80,AM80,AR80,AW80,BB80,BG80,BL80,BQ80,BV80),"n/m")</f>
        <v>0.131117647058824</v>
      </c>
    </row>
    <row r="81" ht="15" customHeight="1" s="251">
      <c r="B81" s="22" t="inlineStr">
        <is>
          <t xml:space="preserve">  Memo: currency effect on net revenue growth (reported − currency-neutral), pp</t>
        </is>
      </c>
      <c r="C81" s="258">
        <f>IF(AND(ISNUMBER(C80),ISNUMBER(C78)),C78-C80,"")</f>
      </c>
      <c r="D81" s="258">
        <f>IF(AND(ISNUMBER(D80),ISNUMBER(D78)),D78-D80,"")</f>
      </c>
      <c r="E81" s="258">
        <f>IF(AND(ISNUMBER(E80),ISNUMBER(E78)),E78-E80,"")</f>
      </c>
      <c r="F81" s="258">
        <f>IF(AND(ISNUMBER(F80),ISNUMBER(F78)),F78-F80,"")</f>
        <v>-0.0175471592275021</v>
      </c>
      <c r="G81" s="258">
        <f>IF(AND(ISNUMBER(G80),ISNUMBER(G78)),G78-G80,"")</f>
        <v>-0.00864124546647729</v>
      </c>
      <c r="H81" s="258">
        <f>IF(AND(ISNUMBER(H80),ISNUMBER(H78)),H78-H80,"")</f>
        <v>0.0171321538183787</v>
      </c>
      <c r="I81" s="258">
        <f>IF(AND(ISNUMBER(I80),ISNUMBER(I78)),I78-I80,"")</f>
        <v>-0.0291659219541257</v>
      </c>
      <c r="J81" s="258">
        <f>IF(AND(ISNUMBER(J80),ISNUMBER(J78)),J78-J80,"")</f>
      </c>
      <c r="K81" s="258">
        <f>IF(AND(ISNUMBER(K80),ISNUMBER(K78)),K78-K80,"")</f>
      </c>
      <c r="L81" s="258">
        <f>IF(AND(ISNUMBER(L80),ISNUMBER(L78)),L78-L80,"")</f>
      </c>
      <c r="M81" s="258">
        <f>IF(AND(ISNUMBER(M80),ISNUMBER(M78)),M78-M80,"")</f>
      </c>
      <c r="N81" s="258">
        <f>IF(AND(ISNUMBER(N80),ISNUMBER(N78)),N78-N80,"")</f>
        <v>-0.00078879718576641</v>
      </c>
      <c r="O81" s="258">
        <f>IF(AND(ISNUMBER(O80),ISNUMBER(O78)),O78-O80,"")</f>
        <v>0.00218258132214066</v>
      </c>
      <c r="P81" s="258">
        <f>IF(AND(ISNUMBER(P80),ISNUMBER(P78)),P78-P80,"")</f>
        <v>0.00406488549618322</v>
      </c>
      <c r="Q81" s="258">
        <f>IF(AND(ISNUMBER(Q80),ISNUMBER(Q78)),Q78-Q80,"")</f>
        <v>-0.0015058611361588</v>
      </c>
      <c r="R81" s="258">
        <f>IF(AND(ISNUMBER(R80),ISNUMBER(R78)),R78-R80,"")</f>
        <v>-0.0335936030103482</v>
      </c>
      <c r="S81" s="258">
        <f>IF(AND(ISNUMBER(S80),ISNUMBER(S78)),S78-S80,"")</f>
        <v>-0.00496525281572013</v>
      </c>
      <c r="T81" s="258">
        <f>IF(AND(ISNUMBER(T80),ISNUMBER(T78)),T78-T80,"")</f>
        <v>-0.055654570509876</v>
      </c>
      <c r="U81" s="258">
        <f>IF(AND(ISNUMBER(U80),ISNUMBER(U78)),U78-U80,"")</f>
        <v>-0.0645309213294069</v>
      </c>
      <c r="V81" s="258">
        <f>IF(AND(ISNUMBER(V80),ISNUMBER(V78)),V78-V80,"")</f>
        <v>-0.06921294446664</v>
      </c>
      <c r="W81" s="258">
        <f>IF(AND(ISNUMBER(W80),ISNUMBER(W78)),W78-W80,"")</f>
        <v>-0.0481953642384107</v>
      </c>
      <c r="X81" s="258">
        <f>IF(AND(ISNUMBER(X80),ISNUMBER(X78)),X78-X80,"")</f>
        <v>-0.0595207431647841</v>
      </c>
      <c r="Y81" s="258">
        <f>IF(AND(ISNUMBER(Y80),ISNUMBER(Y78)),Y78-Y80,"")</f>
        <v>-0.0431390134529147</v>
      </c>
      <c r="Z81" s="258">
        <f>IF(AND(ISNUMBER(Z80),ISNUMBER(Z78)),Z78-Z80,"")</f>
        <v>-0.0128033472803347</v>
      </c>
      <c r="AA81" s="258">
        <f>IF(AND(ISNUMBER(AA80),ISNUMBER(AA78)),AA78-AA80,"")</f>
        <v>-0.00166007905138332</v>
      </c>
      <c r="AB81" s="258">
        <f>IF(AND(ISNUMBER(AB80),ISNUMBER(AB78)),AB78-AB80,"")</f>
        <v>-0.00504568931267393</v>
      </c>
      <c r="AC81" s="258">
        <f>IF(AND(ISNUMBER(AC80),ISNUMBER(AC78)),AC78-AC80,"")</f>
        <v>-0.0152798179373125</v>
      </c>
      <c r="AD81" s="258">
        <f>IF(AND(ISNUMBER(AD80),ISNUMBER(AD78)),AD78-AD80,"")</f>
        <v>-0.00225674570727719</v>
      </c>
      <c r="AE81" s="258">
        <f>IF(AND(ISNUMBER(AE80),ISNUMBER(AE78)),AE78-AE80,"")</f>
        <v>-0.00674090571640684</v>
      </c>
      <c r="AF81" s="258">
        <f>IF(AND(ISNUMBER(AF80),ISNUMBER(AF78)),AF78-AF80,"")</f>
        <v>0.00986111111111102</v>
      </c>
      <c r="AG81" s="258">
        <f>IF(AND(ISNUMBER(AG80),ISNUMBER(AG78)),AG78-AG80,"")</f>
        <v>0.0217416545718434</v>
      </c>
      <c r="AH81" s="258">
        <f>IF(AND(ISNUMBER(AH80),ISNUMBER(AH78)),AH78-AH80,"")</f>
        <v>0.00970675575352634</v>
      </c>
      <c r="AI81" s="258">
        <f>IF(AND(ISNUMBER(AI80),ISNUMBER(AI78)),AI78-AI80,"")</f>
        <v>0.0394367227505486</v>
      </c>
      <c r="AJ81" s="258">
        <f>IF(AND(ISNUMBER(AJ80),ISNUMBER(AJ78)),AJ78-AJ80,"")</f>
        <v>0.0204585653455617</v>
      </c>
      <c r="AK81" s="258">
        <f>IF(AND(ISNUMBER(AK80),ISNUMBER(AK78)),AK78-AK80,"")</f>
        <v>-0.0228546203649206</v>
      </c>
      <c r="AL81" s="258">
        <f>IF(AND(ISNUMBER(AL80),ISNUMBER(AL78)),AL78-AL80,"")</f>
        <v>-0.0205434782608696</v>
      </c>
      <c r="AM81" s="258">
        <f>IF(AND(ISNUMBER(AM80),ISNUMBER(AM78)),AM78-AM80,"")</f>
        <v>-0.00371289109386247</v>
      </c>
      <c r="AN81" s="258">
        <f>IF(AND(ISNUMBER(AN80),ISNUMBER(AN78)),AN78-AN80,"")</f>
        <v>-0.0436871508379889</v>
      </c>
      <c r="AO81" s="258">
        <f>IF(AND(ISNUMBER(AO80),ISNUMBER(AO78)),AO78-AO80,"")</f>
        <v>-0.0277626193724419</v>
      </c>
      <c r="AP81" s="258">
        <f>IF(AND(ISNUMBER(AP80),ISNUMBER(AP78)),AP78-AP80,"")</f>
        <v>-0.0140277065161621</v>
      </c>
      <c r="AQ81" s="258">
        <f>IF(AND(ISNUMBER(AQ80),ISNUMBER(AQ78)),AQ78-AQ80,"")</f>
        <v>-0.0105568689256633</v>
      </c>
      <c r="AR81" s="258">
        <f>IF(AND(ISNUMBER(AR80),ISNUMBER(AR78)),AR78-AR80,"")</f>
        <v>-0.0307023411371238</v>
      </c>
      <c r="AS81" s="258">
        <f>IF(AND(ISNUMBER(AS80),ISNUMBER(AS78)),AS78-AS80,"")</f>
        <v>-0.0191437387503215</v>
      </c>
      <c r="AT81" s="258">
        <f>IF(AND(ISNUMBER(AT80),ISNUMBER(AT78)),AT78-AT80,"")</f>
        <v>-0.0191563335764649</v>
      </c>
      <c r="AU81" s="258">
        <f>IF(AND(ISNUMBER(AU80),ISNUMBER(AU78)),AU78-AU80,"")</f>
        <v>-0.00103425117528544</v>
      </c>
      <c r="AV81" s="258">
        <f>IF(AND(ISNUMBER(AV80),ISNUMBER(AV78)),AV78-AV80,"")</f>
        <v>0.00339374716810154</v>
      </c>
      <c r="AW81" s="258">
        <f>IF(AND(ISNUMBER(AW80),ISNUMBER(AW78)),AW78-AW80,"")</f>
        <v>-0.0137037256411776</v>
      </c>
      <c r="AX81" s="258">
        <f>IF(AND(ISNUMBER(AX80),ISNUMBER(AX78)),AX78-AX80,"")</f>
        <v>0.0164180593664256</v>
      </c>
      <c r="AY81" s="258">
        <f>IF(AND(ISNUMBER(AY80),ISNUMBER(AY78)),AY78-AY80,"")</f>
        <v>0.0477211394302848</v>
      </c>
      <c r="AZ81" s="258">
        <f>IF(AND(ISNUMBER(AZ80),ISNUMBER(AZ78)),AZ78-AZ80,"")</f>
        <v>0.00919207714360187</v>
      </c>
      <c r="BA81" s="258">
        <f>IF(AND(ISNUMBER(BA80),ISNUMBER(BA78)),BA78-BA80,"")</f>
        <v>-0.0139805825242718</v>
      </c>
      <c r="BB81" s="258">
        <f>IF(AND(ISNUMBER(BB80),ISNUMBER(BB78)),BB78-BB80,"")</f>
        <v>0.0141677014574211</v>
      </c>
      <c r="BC81" s="258">
        <f>IF(AND(ISNUMBER(BC80),ISNUMBER(BC78)),BC78-BC80,"")</f>
        <v>-0.0364380264741275</v>
      </c>
      <c r="BD81" s="258">
        <f>IF(AND(ISNUMBER(BD80),ISNUMBER(BD78)),BD78-BD80,"")</f>
        <v>-0.0559982332155478</v>
      </c>
      <c r="BE81" s="258">
        <f>IF(AND(ISNUMBER(BE80),ISNUMBER(BE78)),BE78-BE80,"")</f>
        <v>-0.0753360080240722</v>
      </c>
      <c r="BF81" s="258">
        <f>IF(AND(ISNUMBER(BF80),ISNUMBER(BF78)),BF78-BF80,"")</f>
        <v>-0.0547776073619631</v>
      </c>
      <c r="BG81" s="258">
        <f>IF(AND(ISNUMBER(BG80),ISNUMBER(BG78)),BG78-BG80,"")</f>
        <v>-0.0524422791781403</v>
      </c>
      <c r="BH81" s="258">
        <f>IF(AND(ISNUMBER(BH80),ISNUMBER(BH78)),BH78-BH80,"")</f>
        <v>-0.0275556415715116</v>
      </c>
      <c r="BI81" s="258">
        <f>IF(AND(ISNUMBER(BI80),ISNUMBER(BI78)),BI78-BI80,"")</f>
        <v>-0.00955975986901944</v>
      </c>
      <c r="BJ81" s="258">
        <f>IF(AND(ISNUMBER(BJ80),ISNUMBER(BJ78)),BJ78-BJ80,"")</f>
        <v>0.0249895760945101</v>
      </c>
      <c r="BK81" s="258">
        <f>IF(AND(ISNUMBER(BK80),ISNUMBER(BK78)),BK78-BK80,"")</f>
        <v>0.015666150936909</v>
      </c>
      <c r="BL81" s="258">
        <f>IF(AND(ISNUMBER(BL80),ISNUMBER(BL78)),BL78-BL80,"")</f>
        <v>-0.00134055852857851</v>
      </c>
      <c r="BM81" s="258">
        <f>IF(AND(ISNUMBER(BM80),ISNUMBER(BM78)),BM78-BM80,"")</f>
        <v>-0.00561586638830892</v>
      </c>
      <c r="BN81" s="258">
        <f>IF(AND(ISNUMBER(BN80),ISNUMBER(BN78)),BN78-BN80,"")</f>
        <v>-0.0196155686712395</v>
      </c>
      <c r="BO81" s="258">
        <f>IF(AND(ISNUMBER(BO80),ISNUMBER(BO78)),BO78-BO80,"")</f>
        <v>-0.0120342874636462</v>
      </c>
      <c r="BP81" s="258">
        <f>IF(AND(ISNUMBER(BP80),ISNUMBER(BP78)),BP78-BP80,"")</f>
        <v>-0.0162919975565058</v>
      </c>
      <c r="BQ81" s="258">
        <f>IF(AND(ISNUMBER(BQ80),ISNUMBER(BQ78)),BQ78-BQ80,"")</f>
        <v>-0.00771934018646914</v>
      </c>
      <c r="BR81" s="258">
        <f>IF(AND(ISNUMBER(BR80),ISNUMBER(BR78)),BR78-BR80,"")</f>
        <v>-0.0279080025204788</v>
      </c>
      <c r="BS81" s="258">
        <f>IF(AND(ISNUMBER(BS80),ISNUMBER(BS78)),BS78-BS80,"")</f>
        <v>0.00836661399224239</v>
      </c>
      <c r="BT81" s="258">
        <f>IF(AND(ISNUMBER(BT80),ISNUMBER(BT78)),BT78-BT80,"")</f>
        <v>0.0173225675125525</v>
      </c>
      <c r="BU81" s="258">
        <f>IF(AND(ISNUMBER(BU80),ISNUMBER(BU78)),BU78-BU80,"")</f>
        <v>0.025857924956603</v>
      </c>
      <c r="BV81" s="258">
        <f>IF(AND(ISNUMBER(BV80),ISNUMBER(BV78)),BV78-BV80,"")</f>
        <v>0.014163737707246</v>
      </c>
      <c r="BW81" s="258">
        <f>IF(AND(ISNUMBER(BW80),ISNUMBER(BW78)),BW78-BW80,"")</f>
        <v>0.0383448275862069</v>
      </c>
      <c r="BX81" s="258">
        <f>IF(AND(ISNUMBER(BX80),ISNUMBER(BX78)),BX78-BX80,"")</f>
        <v>0.0206615025205951</v>
      </c>
      <c r="BY81" s="24" t="n"/>
      <c r="BZ81" s="24" t="n"/>
      <c r="CA81" s="24" t="n"/>
      <c r="CB81" s="24" t="n"/>
      <c r="CC81" s="24" t="n"/>
      <c r="CD81" s="24" t="n"/>
      <c r="CE81" s="24" t="n"/>
      <c r="CF81" s="153" t="n"/>
    </row>
    <row r="82" ht="15" customHeight="1" s="251">
      <c r="B82" s="16" t="inlineStr">
        <is>
          <t>Adjusted operating expenses (build)</t>
        </is>
      </c>
      <c r="C82" s="275">
        <f>IF(ISNUMBER(C165),C165,"")</f>
        <v>2676.579</v>
      </c>
      <c r="D82" s="275">
        <f>IF(ISNUMBER(D165),D165,"")</f>
        <v>2956.487</v>
      </c>
      <c r="E82" s="275">
        <f>IF(ISNUMBER(E165),E165,"")</f>
        <v>3043.105</v>
      </c>
      <c r="F82" s="275">
        <f>IF(ISNUMBER(F165),F165,"")</f>
        <v>2831.576</v>
      </c>
      <c r="G82" s="275">
        <f>IF(ISNUMBER(G165),G165,"")</f>
        <v>2787</v>
      </c>
      <c r="H82" s="275">
        <f>IF(ISNUMBER(H165),H165,"")</f>
        <v>3231</v>
      </c>
      <c r="I82" s="275">
        <f>IF(ISNUMBER(I165),I165,"")</f>
        <v>3434</v>
      </c>
      <c r="J82" s="275">
        <f>IF(ISNUMBER(J165),J165,"")</f>
        <v>799</v>
      </c>
      <c r="K82" s="275">
        <f>IF(ISNUMBER(K165),K165,"")</f>
        <v>868</v>
      </c>
      <c r="L82" s="275">
        <f>IF(ISNUMBER(L165),L165,"")</f>
        <v>970</v>
      </c>
      <c r="M82" s="275">
        <f>IF(ISNUMBER(M165),M165,"")</f>
        <v>1111</v>
      </c>
      <c r="N82" s="275">
        <f>IF(ISNUMBER(N165),N165,"")</f>
        <v>3748</v>
      </c>
      <c r="O82" s="275">
        <f>IF(ISNUMBER(O165),O165,"")</f>
        <v>892</v>
      </c>
      <c r="P82" s="275">
        <f>IF(ISNUMBER(P165),P165,"")</f>
        <v>994</v>
      </c>
      <c r="Q82" s="275">
        <f>IF(ISNUMBER(Q165),Q165,"")</f>
        <v>1083</v>
      </c>
      <c r="R82" s="275">
        <f>IF(ISNUMBER(R165),R165,"")</f>
        <v>1398</v>
      </c>
      <c r="S82" s="275">
        <f>IF(ISNUMBER(S165),S165,"")</f>
        <v>4367</v>
      </c>
      <c r="T82" s="275">
        <f>IF(ISNUMBER(T165),T165,"")</f>
        <v>879</v>
      </c>
      <c r="U82" s="275">
        <f>IF(ISNUMBER(U165),U165,"")</f>
        <v>1078</v>
      </c>
      <c r="V82" s="275">
        <f>IF(ISNUMBER(V165),V165,"")</f>
        <v>1082</v>
      </c>
      <c r="W82" s="275">
        <f>IF(ISNUMBER(W165),W165,"")</f>
        <v>1410</v>
      </c>
      <c r="X82" s="275">
        <f>IF(ISNUMBER(X165),X165,"")</f>
        <v>4449</v>
      </c>
      <c r="Y82" s="275">
        <f>IF(ISNUMBER(Y165),Y165,"")</f>
        <v>1098</v>
      </c>
      <c r="Z82" s="275">
        <f>IF(ISNUMBER(Z165),Z165,"")</f>
        <v>1207</v>
      </c>
      <c r="AA82" s="275">
        <f>IF(ISNUMBER(AA165),AA165,"")</f>
        <v>1210</v>
      </c>
      <c r="AB82" s="275">
        <f>IF(ISNUMBER(AB165),AB165,"")</f>
        <v>1383</v>
      </c>
      <c r="AC82" s="275">
        <f>IF(ISNUMBER(AC165),AC165,"")</f>
        <v>4898</v>
      </c>
      <c r="AD82" s="275">
        <f>IF(ISNUMBER(AD165),AD165,"")</f>
        <v>1213</v>
      </c>
      <c r="AE82" s="275">
        <f>IF(ISNUMBER(AE165),AE165,"")</f>
        <v>1400</v>
      </c>
      <c r="AF82" s="275">
        <f>IF(ISNUMBER(AF165),AF165,"")</f>
        <v>1457</v>
      </c>
      <c r="AG82" s="275">
        <f>IF(ISNUMBER(AG165),AG165,"")</f>
        <v>1623</v>
      </c>
      <c r="AH82" s="275">
        <f>IF(ISNUMBER(AH165),AH165,"")</f>
        <v>5693</v>
      </c>
      <c r="AI82" s="275">
        <f>IF(ISNUMBER(AI165),AI165,"")</f>
        <v>1638</v>
      </c>
      <c r="AJ82" s="275">
        <f>IF(ISNUMBER(AJ165),AJ165,"")</f>
        <v>1504</v>
      </c>
      <c r="AK82" s="275">
        <f>IF(ISNUMBER(AK165),AK165,"")</f>
        <v>1582</v>
      </c>
      <c r="AL82" s="275">
        <f>IF(ISNUMBER(AL165),AL165,"")</f>
        <v>1816</v>
      </c>
      <c r="AM82" s="275">
        <f>IF(ISNUMBER(AM165),AM165,"")</f>
        <v>6540</v>
      </c>
      <c r="AN82" s="275">
        <f>IF(ISNUMBER(AN165),AN165,"")</f>
        <v>1676</v>
      </c>
      <c r="AO82" s="275">
        <f>IF(ISNUMBER(AO165),AO165,"")</f>
        <v>1716</v>
      </c>
      <c r="AP82" s="275">
        <f>IF(ISNUMBER(AP165),AP165,"")</f>
        <v>1812</v>
      </c>
      <c r="AQ82" s="275">
        <f>IF(ISNUMBER(AQ165),AQ165,"")</f>
        <v>2015</v>
      </c>
      <c r="AR82" s="275">
        <f>IF(ISNUMBER(AR165),AR165,"")</f>
        <v>7219</v>
      </c>
      <c r="AS82" s="275">
        <f>IF(ISNUMBER(AS165),AS165,"")</f>
        <v>1792</v>
      </c>
      <c r="AT82" s="275">
        <f>IF(ISNUMBER(AT165),AT165,"")</f>
        <v>1606</v>
      </c>
      <c r="AU82" s="275">
        <f>IF(ISNUMBER(AU165),AU165,"")</f>
        <v>1732</v>
      </c>
      <c r="AV82" s="275">
        <f>IF(ISNUMBER(AV165),AV165,"")</f>
        <v>2017</v>
      </c>
      <c r="AW82" s="275">
        <f>IF(ISNUMBER(AW165),AW165,"")</f>
        <v>7147</v>
      </c>
      <c r="AX82" s="275">
        <f>IF(ISNUMBER(AX165),AX165,"")</f>
        <v>1958</v>
      </c>
      <c r="AY82" s="275">
        <f>IF(ISNUMBER(AY165),AY165,"")</f>
        <v>2120</v>
      </c>
      <c r="AZ82" s="275">
        <f>IF(ISNUMBER(AZ165),AZ165,"")</f>
        <v>2159</v>
      </c>
      <c r="BA82" s="275">
        <f>IF(ISNUMBER(BA165),BA165,"")</f>
        <v>2389</v>
      </c>
      <c r="BB82" s="275">
        <f>IF(ISNUMBER(BB165),BB165,"")</f>
        <v>8626</v>
      </c>
      <c r="BC82" s="275">
        <f>IF(ISNUMBER(BC165),BC165,"")</f>
        <v>2183</v>
      </c>
      <c r="BD82" s="275">
        <f>IF(ISNUMBER(BD165),BD165,"")</f>
        <v>2313</v>
      </c>
      <c r="BE82" s="275">
        <f>IF(ISNUMBER(BE165),BE165,"")</f>
        <v>2436</v>
      </c>
      <c r="BF82" s="275">
        <f>IF(ISNUMBER(BF165),BF165,"")</f>
        <v>2618</v>
      </c>
      <c r="BG82" s="275">
        <f>IF(ISNUMBER(BG165),BG165,"")</f>
        <v>9550</v>
      </c>
      <c r="BH82" s="275">
        <f>IF(ISNUMBER(BH165),BH165,"")</f>
        <v>2401</v>
      </c>
      <c r="BI82" s="275">
        <f>IF(ISNUMBER(BI165),BI165,"")</f>
        <v>2593</v>
      </c>
      <c r="BJ82" s="275">
        <f>IF(ISNUMBER(BJ165),BJ165,"")</f>
        <v>2689</v>
      </c>
      <c r="BK82" s="275">
        <f>IF(ISNUMBER(BK165),BK165,"")</f>
        <v>2868</v>
      </c>
      <c r="BL82" s="275">
        <f>IF(ISNUMBER(BL165),BL165,"")</f>
        <v>10551</v>
      </c>
      <c r="BM82" s="275">
        <f>IF(ISNUMBER(BM165),BM165,"")</f>
        <v>2618</v>
      </c>
      <c r="BN82" s="275">
        <f>IF(ISNUMBER(BN165),BN165,"")</f>
        <v>2827</v>
      </c>
      <c r="BO82" s="275">
        <f>IF(ISNUMBER(BO165),BO165,"")</f>
        <v>2999</v>
      </c>
      <c r="BP82" s="275">
        <f>IF(ISNUMBER(BP165),BP165,"")</f>
        <v>3271</v>
      </c>
      <c r="BQ82" s="275">
        <f>IF(ISNUMBER(BQ165),BQ165,"")</f>
        <v>11715</v>
      </c>
      <c r="BR82" s="275">
        <f>IF(ISNUMBER(BR165),BR165,"")</f>
        <v>2950</v>
      </c>
      <c r="BS82" s="275">
        <f>IF(ISNUMBER(BS165),BS165,"")</f>
        <v>3260</v>
      </c>
      <c r="BT82" s="275">
        <f>IF(ISNUMBER(BT165),BT165,"")</f>
        <v>3458</v>
      </c>
      <c r="BU82" s="275">
        <f>IF(ISNUMBER(BU165),BU165,"")</f>
        <v>3722</v>
      </c>
      <c r="BV82" s="275">
        <f>IF(ISNUMBER(BV165),BV165,"")</f>
        <v>13390</v>
      </c>
      <c r="BW82" s="275">
        <f>IF(ISNUMBER(BW165),BW165,"")</f>
        <v>3289</v>
      </c>
      <c r="BX82" s="275">
        <f>IF(ISNUMBER(BX165),BX165,"")</f>
        <v>3608</v>
      </c>
      <c r="BY82" s="263">
        <f>BT82*(1+BY83)+N(BY57)*N($CA$54)</f>
        <v>3868.74586350975</v>
      </c>
      <c r="BZ82" s="263">
        <f>BU82*(1+BZ83)+N(BZ57)*N($CA$54)</f>
        <v>4164.10413649025</v>
      </c>
      <c r="CA82" s="263">
        <f>SUM(BW82:BZ82)</f>
        <v>14929.85</v>
      </c>
      <c r="CB82" s="263">
        <f>CB85*(1-CB87)</f>
        <v>16632.842756541</v>
      </c>
      <c r="CC82" s="263">
        <f>CC85*(1-CC87)</f>
        <v>18432.169259674</v>
      </c>
      <c r="CD82" s="263">
        <f>CD85*(1-CD87)</f>
        <v>20285.9440272976</v>
      </c>
      <c r="CE82" s="263">
        <f>CE85*(1-CE87)</f>
        <v>22176.7508137998</v>
      </c>
      <c r="CF82" s="153" t="inlineStr">
        <is>
          <t>Company adjusted operating expenses (GAAP less litigation provisions, restructuring and other special items). Q3/Q4-26E: prior-year quarter × (1 + H1-26 y/y + opex calibration Δ) (+ BVNK). 2027E+: adjusted net revenue × (1 − adjusted operating margin lever).</t>
        </is>
      </c>
      <c r="CH82" s="20">
        <f>IFERROR((CE82/BV82)^(1/5)-1,"n/m")</f>
        <v>0.1061740547998</v>
      </c>
      <c r="CI82" s="20">
        <f>IFERROR((BV82/AW82)^(1/5)-1,"n/m")</f>
        <v>0.133786702174275</v>
      </c>
      <c r="CJ82" s="20">
        <f>IFERROR((BV82/X82)^(1/10)-1,"n/m")</f>
        <v>0.116482234940244</v>
      </c>
      <c r="CK82" s="20">
        <f>IFERROR((BV82/C82)^(1/19)-1,"n/m")</f>
        <v>0.0884288053177234</v>
      </c>
    </row>
    <row r="83" ht="15" customHeight="1" s="251">
      <c r="B83" s="22" t="inlineStr">
        <is>
          <t xml:space="preserve">  Adjusted operating expenses y/y %</t>
        </is>
      </c>
      <c r="C83" s="23" t="n"/>
      <c r="D83" s="258">
        <f>IF(AND(ISNUMBER(D82),ISNUMBER(C82)),IFERROR(D82/C82-1,""),"")</f>
        <v>0.104576775055024</v>
      </c>
      <c r="E83" s="258">
        <f>IF(AND(ISNUMBER(E82),ISNUMBER(D82)),IFERROR(E82/D82-1,""),"")</f>
        <v>0.0292976089527874</v>
      </c>
      <c r="F83" s="258">
        <f>IF(AND(ISNUMBER(F82),ISNUMBER(E82)),IFERROR(F82/E82-1,""),"")</f>
        <v>-0.0695109107309803</v>
      </c>
      <c r="G83" s="258">
        <f>IF(AND(ISNUMBER(G82),ISNUMBER(F82)),IFERROR(G82/F82-1,""),"")</f>
        <v>-0.0157424699178126</v>
      </c>
      <c r="H83" s="258">
        <f>IF(AND(ISNUMBER(H82),ISNUMBER(G82)),IFERROR(H82/G82-1,""),"")</f>
        <v>0.159311087190527</v>
      </c>
      <c r="I83" s="258">
        <f>IF(AND(ISNUMBER(I82),ISNUMBER(H82)),IFERROR(I82/H82-1,""),"")</f>
        <v>0.0628288455586505</v>
      </c>
      <c r="J83" s="23" t="n"/>
      <c r="K83" s="23" t="n"/>
      <c r="L83" s="23" t="n"/>
      <c r="M83" s="23" t="n"/>
      <c r="N83" s="258">
        <f>IF(AND(ISNUMBER(N82),ISNUMBER(I82)),IFERROR(N82/I82-1,""),"")</f>
        <v>0.0914385556202679</v>
      </c>
      <c r="O83" s="258">
        <f>IF(AND(ISNUMBER(O82),ISNUMBER(J82)),IFERROR(O82/J82-1,""),"")</f>
        <v>0.11639549436796</v>
      </c>
      <c r="P83" s="258">
        <f>IF(AND(ISNUMBER(P82),ISNUMBER(K82)),IFERROR(P82/K82-1,""),"")</f>
        <v>0.145161290322581</v>
      </c>
      <c r="Q83" s="258">
        <f>IF(AND(ISNUMBER(Q82),ISNUMBER(L82)),IFERROR(Q82/L82-1,""),"")</f>
        <v>0.116494845360825</v>
      </c>
      <c r="R83" s="258">
        <f>IF(AND(ISNUMBER(R82),ISNUMBER(M82)),IFERROR(R82/M82-1,""),"")</f>
        <v>0.258325832583258</v>
      </c>
      <c r="S83" s="258">
        <f>IF(AND(ISNUMBER(S82),ISNUMBER(N82)),IFERROR(S82/N82-1,""),"")</f>
        <v>0.165154749199573</v>
      </c>
      <c r="T83" s="258">
        <f>IF(AND(ISNUMBER(T82),ISNUMBER(O82)),IFERROR(T82/O82-1,""),"")</f>
        <v>-0.0145739910313901</v>
      </c>
      <c r="U83" s="258">
        <f>IF(AND(ISNUMBER(U82),ISNUMBER(P82)),IFERROR(U82/P82-1,""),"")</f>
        <v>0.0845070422535212</v>
      </c>
      <c r="V83" s="258">
        <f>IF(AND(ISNUMBER(V82),ISNUMBER(Q82)),IFERROR(V82/Q82-1,""),"")</f>
        <v>-0.000923361034164349</v>
      </c>
      <c r="W83" s="258">
        <f>IF(AND(ISNUMBER(W82),ISNUMBER(R82)),IFERROR(W82/R82-1,""),"")</f>
        <v>0.00858369098712442</v>
      </c>
      <c r="X83" s="258">
        <f>IF(AND(ISNUMBER(X82),ISNUMBER(S82)),IFERROR(X82/S82-1,""),"")</f>
        <v>0.018777192580719</v>
      </c>
      <c r="Y83" s="258">
        <f>IF(AND(ISNUMBER(Y82),ISNUMBER(T82)),IFERROR(Y82/T82-1,""),"")</f>
        <v>0.249146757679181</v>
      </c>
      <c r="Z83" s="258">
        <f>IF(AND(ISNUMBER(Z82),ISNUMBER(U82)),IFERROR(Z82/U82-1,""),"")</f>
        <v>0.119666048237477</v>
      </c>
      <c r="AA83" s="258">
        <f>IF(AND(ISNUMBER(AA82),ISNUMBER(V82)),IFERROR(AA82/V82-1,""),"")</f>
        <v>0.118299445471349</v>
      </c>
      <c r="AB83" s="258">
        <f>IF(AND(ISNUMBER(AB82),ISNUMBER(W82)),IFERROR(AB82/W82-1,""),"")</f>
        <v>-0.0191489361702127</v>
      </c>
      <c r="AC83" s="258">
        <f>IF(AND(ISNUMBER(AC82),ISNUMBER(X82)),IFERROR(AC82/X82-1,""),"")</f>
        <v>0.100921555405709</v>
      </c>
      <c r="AD83" s="258">
        <f>IF(AND(ISNUMBER(AD82),ISNUMBER(Y82)),IFERROR(AD82/Y82-1,""),"")</f>
        <v>0.104735883424408</v>
      </c>
      <c r="AE83" s="258">
        <f>IF(AND(ISNUMBER(AE82),ISNUMBER(Z82)),IFERROR(AE82/Z82-1,""),"")</f>
        <v>0.15990057995029</v>
      </c>
      <c r="AF83" s="258">
        <f>IF(AND(ISNUMBER(AF82),ISNUMBER(AA82)),IFERROR(AF82/AA82-1,""),"")</f>
        <v>0.204132231404959</v>
      </c>
      <c r="AG83" s="258">
        <f>IF(AND(ISNUMBER(AG82),ISNUMBER(AB82)),IFERROR(AG82/AB82-1,""),"")</f>
        <v>0.17353579175705</v>
      </c>
      <c r="AH83" s="258">
        <f>IF(AND(ISNUMBER(AH82),ISNUMBER(AC82)),IFERROR(AH82/AC82-1,""),"")</f>
        <v>0.162311147407105</v>
      </c>
      <c r="AI83" s="258">
        <f>IF(AND(ISNUMBER(AI82),ISNUMBER(AD82)),IFERROR(AI82/AD82-1,""),"")</f>
        <v>0.350370981038747</v>
      </c>
      <c r="AJ83" s="258">
        <f>IF(AND(ISNUMBER(AJ82),ISNUMBER(AE82)),IFERROR(AJ82/AE82-1,""),"")</f>
        <v>0.0742857142857143</v>
      </c>
      <c r="AK83" s="258">
        <f>IF(AND(ISNUMBER(AK82),ISNUMBER(AF82)),IFERROR(AK82/AF82-1,""),"")</f>
        <v>0.085792724776939</v>
      </c>
      <c r="AL83" s="258">
        <f>IF(AND(ISNUMBER(AL82),ISNUMBER(AG82)),IFERROR(AL82/AG82-1,""),"")</f>
        <v>0.118915588416513</v>
      </c>
      <c r="AM83" s="258">
        <f>IF(AND(ISNUMBER(AM82),ISNUMBER(AH82)),IFERROR(AM82/AH82-1,""),"")</f>
        <v>0.148779202529422</v>
      </c>
      <c r="AN83" s="258">
        <f>IF(AND(ISNUMBER(AN82),ISNUMBER(AI82)),IFERROR(AN82/AI82-1,""),"")</f>
        <v>0.0231990231990231</v>
      </c>
      <c r="AO83" s="258">
        <f>IF(AND(ISNUMBER(AO82),ISNUMBER(AJ82)),IFERROR(AO82/AJ82-1,""),"")</f>
        <v>0.140957446808511</v>
      </c>
      <c r="AP83" s="258">
        <f>IF(AND(ISNUMBER(AP82),ISNUMBER(AK82)),IFERROR(AP82/AK82-1,""),"")</f>
        <v>0.145385587863464</v>
      </c>
      <c r="AQ83" s="258">
        <f>IF(AND(ISNUMBER(AQ82),ISNUMBER(AL82)),IFERROR(AQ82/AL82-1,""),"")</f>
        <v>0.109581497797357</v>
      </c>
      <c r="AR83" s="258">
        <f>IF(AND(ISNUMBER(AR82),ISNUMBER(AM82)),IFERROR(AR82/AM82-1,""),"")</f>
        <v>0.103822629969419</v>
      </c>
      <c r="AS83" s="258">
        <f>IF(AND(ISNUMBER(AS82),ISNUMBER(AN82)),IFERROR(AS82/AN82-1,""),"")</f>
        <v>0.0692124105011933</v>
      </c>
      <c r="AT83" s="258">
        <f>IF(AND(ISNUMBER(AT82),ISNUMBER(AO82)),IFERROR(AT82/AO82-1,""),"")</f>
        <v>-0.0641025641025641</v>
      </c>
      <c r="AU83" s="258">
        <f>IF(AND(ISNUMBER(AU82),ISNUMBER(AP82)),IFERROR(AU82/AP82-1,""),"")</f>
        <v>-0.0441501103752759</v>
      </c>
      <c r="AV83" s="258">
        <f>IF(AND(ISNUMBER(AV82),ISNUMBER(AQ82)),IFERROR(AV82/AQ82-1,""),"")</f>
        <v>0.000992555831265563</v>
      </c>
      <c r="AW83" s="258">
        <f>IF(AND(ISNUMBER(AW82),ISNUMBER(AR82)),IFERROR(AW82/AR82-1,""),"")</f>
        <v>-0.00997368056517523</v>
      </c>
      <c r="AX83" s="258">
        <f>IF(AND(ISNUMBER(AX82),ISNUMBER(AS82)),IFERROR(AX82/AS82-1,""),"")</f>
        <v>0.0926339285714286</v>
      </c>
      <c r="AY83" s="258">
        <f>IF(AND(ISNUMBER(AY82),ISNUMBER(AT82)),IFERROR(AY82/AT82-1,""),"")</f>
        <v>0.320049813200498</v>
      </c>
      <c r="AZ83" s="258">
        <f>IF(AND(ISNUMBER(AZ82),ISNUMBER(AU82)),IFERROR(AZ82/AU82-1,""),"")</f>
        <v>0.246535796766744</v>
      </c>
      <c r="BA83" s="258">
        <f>IF(AND(ISNUMBER(BA82),ISNUMBER(AV82)),IFERROR(BA82/AV82-1,""),"")</f>
        <v>0.184432325235498</v>
      </c>
      <c r="BB83" s="258">
        <f>IF(AND(ISNUMBER(BB82),ISNUMBER(AW82)),IFERROR(BB82/AW82-1,""),"")</f>
        <v>0.206939974814607</v>
      </c>
      <c r="BC83" s="258">
        <f>IF(AND(ISNUMBER(BC82),ISNUMBER(AX82)),IFERROR(BC82/AX82-1,""),"")</f>
        <v>0.114913176710929</v>
      </c>
      <c r="BD83" s="258">
        <f>IF(AND(ISNUMBER(BD82),ISNUMBER(AY82)),IFERROR(BD82/AY82-1,""),"")</f>
        <v>0.0910377358490566</v>
      </c>
      <c r="BE83" s="258">
        <f>IF(AND(ISNUMBER(BE82),ISNUMBER(AZ82)),IFERROR(BE82/AZ82-1,""),"")</f>
        <v>0.128300138953219</v>
      </c>
      <c r="BF83" s="258">
        <f>IF(AND(ISNUMBER(BF82),ISNUMBER(BA82)),IFERROR(BF82/BA82-1,""),"")</f>
        <v>0.0958560066973628</v>
      </c>
      <c r="BG83" s="258">
        <f>IF(AND(ISNUMBER(BG82),ISNUMBER(BB82)),IFERROR(BG82/BB82-1,""),"")</f>
        <v>0.107118015302574</v>
      </c>
      <c r="BH83" s="258">
        <f>IF(AND(ISNUMBER(BH82),ISNUMBER(BC82)),IFERROR(BH82/BC82-1,""),"")</f>
        <v>0.0998625744388457</v>
      </c>
      <c r="BI83" s="258">
        <f>IF(AND(ISNUMBER(BI82),ISNUMBER(BD82)),IFERROR(BI82/BD82-1,""),"")</f>
        <v>0.121054907047125</v>
      </c>
      <c r="BJ83" s="258">
        <f>IF(AND(ISNUMBER(BJ82),ISNUMBER(BE82)),IFERROR(BJ82/BE82-1,""),"")</f>
        <v>0.103858784893268</v>
      </c>
      <c r="BK83" s="258">
        <f>IF(AND(ISNUMBER(BK82),ISNUMBER(BF82)),IFERROR(BK82/BF82-1,""),"")</f>
        <v>0.0954927425515662</v>
      </c>
      <c r="BL83" s="258">
        <f>IF(AND(ISNUMBER(BL82),ISNUMBER(BG82)),IFERROR(BL82/BG82-1,""),"")</f>
        <v>0.104816753926702</v>
      </c>
      <c r="BM83" s="258">
        <f>IF(AND(ISNUMBER(BM82),ISNUMBER(BH82)),IFERROR(BM82/BH82-1,""),"")</f>
        <v>0.0903790087463556</v>
      </c>
      <c r="BN83" s="258">
        <f>IF(AND(ISNUMBER(BN82),ISNUMBER(BI82)),IFERROR(BN82/BI82-1,""),"")</f>
        <v>0.0902429618202854</v>
      </c>
      <c r="BO83" s="258">
        <f>IF(AND(ISNUMBER(BO82),ISNUMBER(BJ82)),IFERROR(BO82/BJ82-1,""),"")</f>
        <v>0.115284492376348</v>
      </c>
      <c r="BP83" s="258">
        <f>IF(AND(ISNUMBER(BP82),ISNUMBER(BK82)),IFERROR(BP82/BK82-1,""),"")</f>
        <v>0.140516039051604</v>
      </c>
      <c r="BQ83" s="258">
        <f>IF(AND(ISNUMBER(BQ82),ISNUMBER(BL82)),IFERROR(BQ82/BL82-1,""),"")</f>
        <v>0.110321296559568</v>
      </c>
      <c r="BR83" s="258">
        <f>IF(AND(ISNUMBER(BR82),ISNUMBER(BM82)),IFERROR(BR82/BM82-1,""),"")</f>
        <v>0.12681436210848</v>
      </c>
      <c r="BS83" s="258">
        <f>IF(AND(ISNUMBER(BS82),ISNUMBER(BN82)),IFERROR(BS82/BN82-1,""),"")</f>
        <v>0.153165900247612</v>
      </c>
      <c r="BT83" s="258">
        <f>IF(AND(ISNUMBER(BT82),ISNUMBER(BO82)),IFERROR(BT82/BO82-1,""),"")</f>
        <v>0.153051017005668</v>
      </c>
      <c r="BU83" s="258">
        <f>IF(AND(ISNUMBER(BU82),ISNUMBER(BP82)),IFERROR(BU82/BP82-1,""),"")</f>
        <v>0.137878324671354</v>
      </c>
      <c r="BV83" s="258">
        <f>IF(AND(ISNUMBER(BV82),ISNUMBER(BQ82)),IFERROR(BV82/BQ82-1,""),"")</f>
        <v>0.142979086641059</v>
      </c>
      <c r="BW83" s="258">
        <f>IF(AND(ISNUMBER(BW82),ISNUMBER(BR82)),IFERROR(BW82/BR82-1,""),"")</f>
        <v>0.114915254237288</v>
      </c>
      <c r="BX83" s="258">
        <f>IF(AND(ISNUMBER(BX82),ISNUMBER(BS82)),IFERROR(BX82/BS82-1,""),"")</f>
        <v>0.106748466257669</v>
      </c>
      <c r="BY83" s="256">
        <f>BY84+$CA$100</f>
        <v>0.118781337047354</v>
      </c>
      <c r="BZ83" s="256">
        <f>BZ84+$CA$100</f>
        <v>0.118781337047354</v>
      </c>
      <c r="CA83" s="256">
        <f>IF(AND(ISNUMBER(CA82),ISNUMBER(BV82)),IFERROR(CA82/BV82-1,""),"")</f>
        <v>0.115</v>
      </c>
      <c r="CB83" s="256">
        <f>IF(AND(ISNUMBER(CB82),ISNUMBER(CA82)),IFERROR(CB82/CA82-1,""),"")</f>
        <v>0.114066300501409</v>
      </c>
      <c r="CC83" s="256">
        <f>IF(AND(ISNUMBER(CC82),ISNUMBER(CB82)),IFERROR(CC82/CB82-1,""),"")</f>
        <v>0.108179132663625</v>
      </c>
      <c r="CD83" s="256">
        <f>IF(AND(ISNUMBER(CD82),ISNUMBER(CC82)),IFERROR(CD82/CC82-1,""),"")</f>
        <v>0.100572794309091</v>
      </c>
      <c r="CE83" s="256">
        <f>IF(AND(ISNUMBER(CE82),ISNUMBER(CD82)),IFERROR(CE82/CD82-1,""),"")</f>
        <v>0.0932077296456038</v>
      </c>
      <c r="CF83" s="153" t="n"/>
    </row>
    <row r="84" ht="15" customHeight="1" s="251">
      <c r="B84" s="25" t="inlineStr">
        <is>
          <t xml:space="preserve">  Q3/Q4-26E adjusted opex growth before calibration (H1-26 y/y)</t>
        </is>
      </c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  <c r="AU84" s="36" t="n"/>
      <c r="AV84" s="36" t="n"/>
      <c r="AW84" s="36" t="n"/>
      <c r="AX84" s="36" t="n"/>
      <c r="AY84" s="36" t="n"/>
      <c r="AZ84" s="36" t="n"/>
      <c r="BA84" s="36" t="n"/>
      <c r="BB84" s="36" t="n"/>
      <c r="BC84" s="36" t="n"/>
      <c r="BD84" s="36" t="n"/>
      <c r="BE84" s="36" t="n"/>
      <c r="BF84" s="36" t="n"/>
      <c r="BG84" s="36" t="n"/>
      <c r="BH84" s="36" t="n"/>
      <c r="BI84" s="36" t="n"/>
      <c r="BJ84" s="36" t="n"/>
      <c r="BK84" s="36" t="n"/>
      <c r="BL84" s="36" t="n"/>
      <c r="BM84" s="36" t="n"/>
      <c r="BN84" s="36" t="n"/>
      <c r="BO84" s="36" t="n"/>
      <c r="BP84" s="36" t="n"/>
      <c r="BQ84" s="36" t="n"/>
      <c r="BR84" s="36" t="n"/>
      <c r="BS84" s="36" t="n"/>
      <c r="BT84" s="36" t="n"/>
      <c r="BU84" s="36" t="n"/>
      <c r="BV84" s="36" t="n"/>
      <c r="BW84" s="36" t="n"/>
      <c r="BX84" s="36" t="n"/>
      <c r="BY84" s="256">
        <f>IFERROR(SUM(BW82:BX82)/SUM(BR82:BS82)-1,0)</f>
        <v>0.110628019323672</v>
      </c>
      <c r="BZ84" s="256">
        <f>IFERROR(SUM(BW82:BX82)/SUM(BR82:BS82)-1,0)</f>
        <v>0.110628019323672</v>
      </c>
      <c r="CA84" s="24" t="n"/>
      <c r="CB84" s="46" t="n"/>
      <c r="CC84" s="46" t="n"/>
      <c r="CD84" s="46" t="n"/>
      <c r="CE84" s="46" t="n"/>
      <c r="CF84" s="19" t="n"/>
    </row>
    <row r="85" ht="15" customHeight="1" s="251">
      <c r="B85" s="25" t="inlineStr">
        <is>
          <t>Adjusted net revenue (net revenue + revenue special items)</t>
        </is>
      </c>
      <c r="C85" s="211">
        <f>IF(ISNUMBER(C123),C123+N(C117),"")</f>
        <v>3326.074</v>
      </c>
      <c r="D85" s="211">
        <f>IF(ISNUMBER(D123),D123+N(D117),"")</f>
        <v>4067.599</v>
      </c>
      <c r="E85" s="211">
        <f>IF(ISNUMBER(E123),E123+N(E117),"")</f>
        <v>4991.6</v>
      </c>
      <c r="F85" s="211">
        <f>IF(ISNUMBER(F123),F123+N(F117),"")</f>
        <v>5098.684</v>
      </c>
      <c r="G85" s="211">
        <f>IF(ISNUMBER(G123),G123+N(G117),"")</f>
        <v>5539</v>
      </c>
      <c r="H85" s="211">
        <f>IF(ISNUMBER(H123),H123+N(H117),"")</f>
        <v>6714</v>
      </c>
      <c r="I85" s="211">
        <f>IF(ISNUMBER(I123),I123+N(I117),"")</f>
        <v>7391</v>
      </c>
      <c r="J85" s="211">
        <f>IF(ISNUMBER(J123),J123+N(J117),"")</f>
        <v>1906</v>
      </c>
      <c r="K85" s="211">
        <f>IF(ISNUMBER(K123),K123+N(K117),"")</f>
        <v>2096</v>
      </c>
      <c r="L85" s="211">
        <f>IF(ISNUMBER(L123),L123+N(L117),"")</f>
        <v>2218</v>
      </c>
      <c r="M85" s="211">
        <f>IF(ISNUMBER(M123),M123+N(M117),"")</f>
        <v>2126</v>
      </c>
      <c r="N85" s="211">
        <f>IF(ISNUMBER(N123),N123+N(N117),"")</f>
        <v>8346</v>
      </c>
      <c r="O85" s="211">
        <f>IF(ISNUMBER(O123),O123+N(O117),"")</f>
        <v>2177</v>
      </c>
      <c r="P85" s="211">
        <f>IF(ISNUMBER(P123),P123+N(P117),"")</f>
        <v>2377</v>
      </c>
      <c r="Q85" s="211">
        <f>IF(ISNUMBER(Q123),Q123+N(Q117),"")</f>
        <v>2503</v>
      </c>
      <c r="R85" s="211">
        <f>IF(ISNUMBER(R123),R123+N(R117),"")</f>
        <v>2416</v>
      </c>
      <c r="S85" s="211">
        <f>IF(ISNUMBER(S123),S123+N(S117),"")</f>
        <v>9473</v>
      </c>
      <c r="T85" s="211">
        <f>IF(ISNUMBER(T123),T123+N(T117),"")</f>
        <v>2230</v>
      </c>
      <c r="U85" s="211">
        <f>IF(ISNUMBER(U123),U123+N(U117),"")</f>
        <v>2390</v>
      </c>
      <c r="V85" s="211">
        <f>IF(ISNUMBER(V123),V123+N(V117),"")</f>
        <v>2530</v>
      </c>
      <c r="W85" s="211">
        <f>IF(ISNUMBER(W123),W123+N(W117),"")</f>
        <v>2517</v>
      </c>
      <c r="X85" s="211">
        <f>IF(ISNUMBER(X123),X123+N(X117),"")</f>
        <v>9667</v>
      </c>
      <c r="Y85" s="211">
        <f>IF(ISNUMBER(Y123),Y123+N(Y117),"")</f>
        <v>2446</v>
      </c>
      <c r="Z85" s="211">
        <f>IF(ISNUMBER(Z123),Z123+N(Z117),"")</f>
        <v>2694</v>
      </c>
      <c r="AA85" s="211">
        <f>IF(ISNUMBER(AA123),AA123+N(AA117),"")</f>
        <v>2880</v>
      </c>
      <c r="AB85" s="211">
        <f>IF(ISNUMBER(AB123),AB123+N(AB117),"")</f>
        <v>2756</v>
      </c>
      <c r="AC85" s="211">
        <f>IF(ISNUMBER(AC123),AC123+N(AC117),"")</f>
        <v>10776</v>
      </c>
      <c r="AD85" s="211">
        <f>IF(ISNUMBER(AD123),AD123+N(AD117),"")</f>
        <v>2734</v>
      </c>
      <c r="AE85" s="211">
        <f>IF(ISNUMBER(AE123),AE123+N(AE117),"")</f>
        <v>3053</v>
      </c>
      <c r="AF85" s="211">
        <f>IF(ISNUMBER(AF123),AF123+N(AF117),"")</f>
        <v>3398</v>
      </c>
      <c r="AG85" s="211">
        <f>IF(ISNUMBER(AG123),AG123+N(AG117),"")</f>
        <v>3312</v>
      </c>
      <c r="AH85" s="211">
        <f>IF(ISNUMBER(AH123),AH123+N(AH117),"")</f>
        <v>12497</v>
      </c>
      <c r="AI85" s="211">
        <f>IF(ISNUMBER(AI123),AI123+N(AI117),"")</f>
        <v>3580</v>
      </c>
      <c r="AJ85" s="211">
        <f>IF(ISNUMBER(AJ123),AJ123+N(AJ117),"")</f>
        <v>3665</v>
      </c>
      <c r="AK85" s="211">
        <f>IF(ISNUMBER(AK123),AK123+N(AK117),"")</f>
        <v>3898</v>
      </c>
      <c r="AL85" s="211">
        <f>IF(ISNUMBER(AL123),AL123+N(AL117),"")</f>
        <v>3807</v>
      </c>
      <c r="AM85" s="211">
        <f>IF(ISNUMBER(AM123),AM123+N(AM117),"")</f>
        <v>14950</v>
      </c>
      <c r="AN85" s="211">
        <f>IF(ISNUMBER(AN123),AN123+N(AN117),"")</f>
        <v>3889</v>
      </c>
      <c r="AO85" s="211">
        <f>IF(ISNUMBER(AO123),AO123+N(AO117),"")</f>
        <v>4113</v>
      </c>
      <c r="AP85" s="211">
        <f>IF(ISNUMBER(AP123),AP123+N(AP117),"")</f>
        <v>4467</v>
      </c>
      <c r="AQ85" s="211">
        <f>IF(ISNUMBER(AQ123),AQ123+N(AQ117),"")</f>
        <v>4414</v>
      </c>
      <c r="AR85" s="211">
        <f>IF(ISNUMBER(AR123),AR123+N(AR117),"")</f>
        <v>16883</v>
      </c>
      <c r="AS85" s="211">
        <f>IF(ISNUMBER(AS123),AS123+N(AS117),"")</f>
        <v>4009</v>
      </c>
      <c r="AT85" s="211">
        <f>IF(ISNUMBER(AT123),AT123+N(AT117),"")</f>
        <v>3335</v>
      </c>
      <c r="AU85" s="211">
        <f>IF(ISNUMBER(AU123),AU123+N(AU117),"")</f>
        <v>3837</v>
      </c>
      <c r="AV85" s="211">
        <f>IF(ISNUMBER(AV123),AV123+N(AV117),"")</f>
        <v>4120</v>
      </c>
      <c r="AW85" s="211">
        <f>IF(ISNUMBER(AW123),AW123+N(AW117),"")</f>
        <v>15301</v>
      </c>
      <c r="AX85" s="211">
        <f>IF(ISNUMBER(AX123),AX123+N(AX117),"")</f>
        <v>4155</v>
      </c>
      <c r="AY85" s="211">
        <f>IF(ISNUMBER(AY123),AY123+N(AY117),"")</f>
        <v>4528</v>
      </c>
      <c r="AZ85" s="211">
        <f>IF(ISNUMBER(AZ123),AZ123+N(AZ117),"")</f>
        <v>4985</v>
      </c>
      <c r="BA85" s="211">
        <f>IF(ISNUMBER(BA123),BA123+N(BA117),"")</f>
        <v>5216</v>
      </c>
      <c r="BB85" s="211">
        <f>IF(ISNUMBER(BB123),BB123+N(BB117),"")</f>
        <v>18884</v>
      </c>
      <c r="BC85" s="211">
        <f>IF(ISNUMBER(BC123),BC123+N(BC117),"")</f>
        <v>5137</v>
      </c>
      <c r="BD85" s="211">
        <f>IF(ISNUMBER(BD123),BD123+N(BD117),"")</f>
        <v>5491</v>
      </c>
      <c r="BE85" s="211">
        <f>IF(ISNUMBER(BE123),BE123+N(BE117),"")</f>
        <v>5756</v>
      </c>
      <c r="BF85" s="211">
        <f>IF(ISNUMBER(BF123),BF123+N(BF117),"")</f>
        <v>5817</v>
      </c>
      <c r="BG85" s="211">
        <f>IF(ISNUMBER(BG123),BG123+N(BG117),"")</f>
        <v>22200</v>
      </c>
      <c r="BH85" s="211">
        <f>IF(ISNUMBER(BH123),BH123+N(BH117),"")</f>
        <v>5748</v>
      </c>
      <c r="BI85" s="211">
        <f>IF(ISNUMBER(BI123),BI123+N(BI117),"")</f>
        <v>6269</v>
      </c>
      <c r="BJ85" s="211">
        <f>IF(ISNUMBER(BJ123),BJ123+N(BJ117),"")</f>
        <v>6533</v>
      </c>
      <c r="BK85" s="211">
        <f>IF(ISNUMBER(BK123),BK123+N(BK117),"")</f>
        <v>6548</v>
      </c>
      <c r="BL85" s="211">
        <f>IF(ISNUMBER(BL123),BL123+N(BL117),"")</f>
        <v>25098</v>
      </c>
      <c r="BM85" s="211">
        <f>IF(ISNUMBER(BM123),BM123+N(BM117),"")</f>
        <v>6348</v>
      </c>
      <c r="BN85" s="211">
        <f>IF(ISNUMBER(BN123),BN123+N(BN117),"")</f>
        <v>6961</v>
      </c>
      <c r="BO85" s="211">
        <f>IF(ISNUMBER(BO123),BO123+N(BO117),"")</f>
        <v>7369</v>
      </c>
      <c r="BP85" s="211">
        <f>IF(ISNUMBER(BP123),BP123+N(BP117),"")</f>
        <v>7489</v>
      </c>
      <c r="BQ85" s="211">
        <f>IF(ISNUMBER(BQ123),BQ123+N(BQ117),"")</f>
        <v>28167</v>
      </c>
      <c r="BR85" s="211">
        <f>IF(ISNUMBER(BR123),BR123+N(BR117),"")</f>
        <v>7250</v>
      </c>
      <c r="BS85" s="211">
        <f>IF(ISNUMBER(BS123),BS123+N(BS117),"")</f>
        <v>8133</v>
      </c>
      <c r="BT85" s="211">
        <f>IF(ISNUMBER(BT123),BT123+N(BT117),"")</f>
        <v>8602</v>
      </c>
      <c r="BU85" s="211">
        <f>IF(ISNUMBER(BU123),BU123+N(BU117),"")</f>
        <v>8806</v>
      </c>
      <c r="BV85" s="211">
        <f>IF(ISNUMBER(BV123),BV123+N(BV117),"")</f>
        <v>32791</v>
      </c>
      <c r="BW85" s="211">
        <f>IF(ISNUMBER(BW123),BW123+N(BW117),"")</f>
        <v>8398</v>
      </c>
      <c r="BX85" s="211">
        <f>IF(ISNUMBER(BX123),BX123+N(BX117),"")</f>
        <v>9277</v>
      </c>
      <c r="BY85" s="254">
        <f>BY77</f>
        <v>9637.55150593884</v>
      </c>
      <c r="BZ85" s="254">
        <f>BZ77</f>
        <v>9905.23349406116</v>
      </c>
      <c r="CA85" s="254">
        <f>SUM(BW85:BZ85)</f>
        <v>37217.785</v>
      </c>
      <c r="CB85" s="254">
        <f>CB77</f>
        <v>41825.0132406573</v>
      </c>
      <c r="CC85" s="254">
        <f>CC77</f>
        <v>46784.2455603929</v>
      </c>
      <c r="CD85" s="254">
        <f>CD77</f>
        <v>51988.5998121384</v>
      </c>
      <c r="CE85" s="254">
        <f>CE77</f>
        <v>57398.9793869104</v>
      </c>
      <c r="CF85" s="19" t="n"/>
    </row>
    <row r="86" ht="15" customHeight="1" s="251">
      <c r="B86" s="55" t="inlineStr">
        <is>
          <t>Adjusted operating income (build)</t>
        </is>
      </c>
      <c r="C86" s="273">
        <f>IF(ISNUMBER(C82),C85-C82,"")</f>
        <v>649.495</v>
      </c>
      <c r="D86" s="273">
        <f>IF(ISNUMBER(D82),D85-D82,"")</f>
        <v>1111.112</v>
      </c>
      <c r="E86" s="273">
        <f>IF(ISNUMBER(E82),E85-E82,"")</f>
        <v>1948.495</v>
      </c>
      <c r="F86" s="273">
        <f>IF(ISNUMBER(F82),F85-F82,"")</f>
        <v>2267.108</v>
      </c>
      <c r="G86" s="273">
        <f>IF(ISNUMBER(G82),G85-G82,"")</f>
        <v>2752</v>
      </c>
      <c r="H86" s="273">
        <f>IF(ISNUMBER(H82),H85-H82,"")</f>
        <v>3483</v>
      </c>
      <c r="I86" s="273">
        <f>IF(ISNUMBER(I82),I85-I82,"")</f>
        <v>3957</v>
      </c>
      <c r="J86" s="273">
        <f>IF(ISNUMBER(J82),J85-J82,"")</f>
        <v>1107</v>
      </c>
      <c r="K86" s="273">
        <f>IF(ISNUMBER(K82),K85-K82,"")</f>
        <v>1228</v>
      </c>
      <c r="L86" s="273">
        <f>IF(ISNUMBER(L82),L85-L82,"")</f>
        <v>1248</v>
      </c>
      <c r="M86" s="273">
        <f>IF(ISNUMBER(M82),M85-M82,"")</f>
        <v>1015</v>
      </c>
      <c r="N86" s="273">
        <f>IF(ISNUMBER(N82),N85-N82,"")</f>
        <v>4598</v>
      </c>
      <c r="O86" s="273">
        <f>IF(ISNUMBER(O82),O85-O82,"")</f>
        <v>1285</v>
      </c>
      <c r="P86" s="273">
        <f>IF(ISNUMBER(P82),P85-P82,"")</f>
        <v>1383</v>
      </c>
      <c r="Q86" s="273">
        <f>IF(ISNUMBER(Q82),Q85-Q82,"")</f>
        <v>1420</v>
      </c>
      <c r="R86" s="273">
        <f>IF(ISNUMBER(R82),R85-R82,"")</f>
        <v>1018</v>
      </c>
      <c r="S86" s="273">
        <f>IF(ISNUMBER(S82),S85-S82,"")</f>
        <v>5106</v>
      </c>
      <c r="T86" s="273">
        <f>IF(ISNUMBER(T82),T85-T82,"")</f>
        <v>1351</v>
      </c>
      <c r="U86" s="273">
        <f>IF(ISNUMBER(U82),U85-U82,"")</f>
        <v>1312</v>
      </c>
      <c r="V86" s="273">
        <f>IF(ISNUMBER(V82),V85-V82,"")</f>
        <v>1448</v>
      </c>
      <c r="W86" s="273">
        <f>IF(ISNUMBER(W82),W85-W82,"")</f>
        <v>1107</v>
      </c>
      <c r="X86" s="273">
        <f>IF(ISNUMBER(X82),X85-X82,"")</f>
        <v>5218</v>
      </c>
      <c r="Y86" s="273">
        <f>IF(ISNUMBER(Y82),Y85-Y82,"")</f>
        <v>1348</v>
      </c>
      <c r="Z86" s="273">
        <f>IF(ISNUMBER(Z82),Z85-Z82,"")</f>
        <v>1487</v>
      </c>
      <c r="AA86" s="273">
        <f>IF(ISNUMBER(AA82),AA85-AA82,"")</f>
        <v>1670</v>
      </c>
      <c r="AB86" s="273">
        <f>IF(ISNUMBER(AB82),AB85-AB82,"")</f>
        <v>1373</v>
      </c>
      <c r="AC86" s="273">
        <f>IF(ISNUMBER(AC82),AC85-AC82,"")</f>
        <v>5878</v>
      </c>
      <c r="AD86" s="273">
        <f>IF(ISNUMBER(AD82),AD85-AD82,"")</f>
        <v>1521</v>
      </c>
      <c r="AE86" s="273">
        <f>IF(ISNUMBER(AE82),AE85-AE82,"")</f>
        <v>1653</v>
      </c>
      <c r="AF86" s="273">
        <f>IF(ISNUMBER(AF82),AF85-AF82,"")</f>
        <v>1941</v>
      </c>
      <c r="AG86" s="273">
        <f>IF(ISNUMBER(AG82),AG85-AG82,"")</f>
        <v>1689</v>
      </c>
      <c r="AH86" s="273">
        <f>IF(ISNUMBER(AH82),AH85-AH82,"")</f>
        <v>6804</v>
      </c>
      <c r="AI86" s="273">
        <f>IF(ISNUMBER(AI82),AI85-AI82,"")</f>
        <v>1942</v>
      </c>
      <c r="AJ86" s="273">
        <f>IF(ISNUMBER(AJ82),AJ85-AJ82,"")</f>
        <v>2161</v>
      </c>
      <c r="AK86" s="273">
        <f>IF(ISNUMBER(AK82),AK85-AK82,"")</f>
        <v>2316</v>
      </c>
      <c r="AL86" s="273">
        <f>IF(ISNUMBER(AL82),AL85-AL82,"")</f>
        <v>1991</v>
      </c>
      <c r="AM86" s="273">
        <f>IF(ISNUMBER(AM82),AM85-AM82,"")</f>
        <v>8410</v>
      </c>
      <c r="AN86" s="273">
        <f>IF(ISNUMBER(AN82),AN85-AN82,"")</f>
        <v>2213</v>
      </c>
      <c r="AO86" s="273">
        <f>IF(ISNUMBER(AO82),AO85-AO82,"")</f>
        <v>2397</v>
      </c>
      <c r="AP86" s="273">
        <f>IF(ISNUMBER(AP82),AP85-AP82,"")</f>
        <v>2655</v>
      </c>
      <c r="AQ86" s="273">
        <f>IF(ISNUMBER(AQ82),AQ85-AQ82,"")</f>
        <v>2399</v>
      </c>
      <c r="AR86" s="273">
        <f>IF(ISNUMBER(AR82),AR85-AR82,"")</f>
        <v>9664</v>
      </c>
      <c r="AS86" s="273">
        <f>IF(ISNUMBER(AS82),AS85-AS82,"")</f>
        <v>2217</v>
      </c>
      <c r="AT86" s="273">
        <f>IF(ISNUMBER(AT82),AT85-AT82,"")</f>
        <v>1729</v>
      </c>
      <c r="AU86" s="273">
        <f>IF(ISNUMBER(AU82),AU85-AU82,"")</f>
        <v>2105</v>
      </c>
      <c r="AV86" s="273">
        <f>IF(ISNUMBER(AV82),AV85-AV82,"")</f>
        <v>2103</v>
      </c>
      <c r="AW86" s="273">
        <f>IF(ISNUMBER(AW82),AW85-AW82,"")</f>
        <v>8154</v>
      </c>
      <c r="AX86" s="273">
        <f>IF(ISNUMBER(AX82),AX85-AX82,"")</f>
        <v>2197</v>
      </c>
      <c r="AY86" s="273">
        <f>IF(ISNUMBER(AY82),AY85-AY82,"")</f>
        <v>2408</v>
      </c>
      <c r="AZ86" s="273">
        <f>IF(ISNUMBER(AZ82),AZ85-AZ82,"")</f>
        <v>2826</v>
      </c>
      <c r="BA86" s="273">
        <f>IF(ISNUMBER(BA82),BA85-BA82,"")</f>
        <v>2827</v>
      </c>
      <c r="BB86" s="273">
        <f>IF(ISNUMBER(BB82),BB85-BB82,"")</f>
        <v>10258</v>
      </c>
      <c r="BC86" s="273">
        <f>IF(ISNUMBER(BC82),BC85-BC82,"")</f>
        <v>2954</v>
      </c>
      <c r="BD86" s="273">
        <f>IF(ISNUMBER(BD82),BD85-BD82,"")</f>
        <v>3178</v>
      </c>
      <c r="BE86" s="273">
        <f>IF(ISNUMBER(BE82),BE85-BE82,"")</f>
        <v>3320</v>
      </c>
      <c r="BF86" s="273">
        <f>IF(ISNUMBER(BF82),BF85-BF82,"")</f>
        <v>3199</v>
      </c>
      <c r="BG86" s="273">
        <f>IF(ISNUMBER(BG82),BG85-BG82,"")</f>
        <v>12650</v>
      </c>
      <c r="BH86" s="273">
        <f>IF(ISNUMBER(BH82),BH85-BH82,"")</f>
        <v>3347</v>
      </c>
      <c r="BI86" s="273">
        <f>IF(ISNUMBER(BI82),BI85-BI82,"")</f>
        <v>3676</v>
      </c>
      <c r="BJ86" s="273">
        <f>IF(ISNUMBER(BJ82),BJ85-BJ82,"")</f>
        <v>3844</v>
      </c>
      <c r="BK86" s="273">
        <f>IF(ISNUMBER(BK82),BK85-BK82,"")</f>
        <v>3680</v>
      </c>
      <c r="BL86" s="273">
        <f>IF(ISNUMBER(BL82),BL85-BL82,"")</f>
        <v>14547</v>
      </c>
      <c r="BM86" s="273">
        <f>IF(ISNUMBER(BM82),BM85-BM82,"")</f>
        <v>3730</v>
      </c>
      <c r="BN86" s="273">
        <f>IF(ISNUMBER(BN82),BN85-BN82,"")</f>
        <v>4134</v>
      </c>
      <c r="BO86" s="273">
        <f>IF(ISNUMBER(BO82),BO85-BO82,"")</f>
        <v>4370</v>
      </c>
      <c r="BP86" s="273">
        <f>IF(ISNUMBER(BP82),BP85-BP82,"")</f>
        <v>4218</v>
      </c>
      <c r="BQ86" s="273">
        <f>IF(ISNUMBER(BQ82),BQ85-BQ82,"")</f>
        <v>16452</v>
      </c>
      <c r="BR86" s="273">
        <f>IF(ISNUMBER(BR82),BR85-BR82,"")</f>
        <v>4300</v>
      </c>
      <c r="BS86" s="273">
        <f>IF(ISNUMBER(BS82),BS85-BS82,"")</f>
        <v>4873</v>
      </c>
      <c r="BT86" s="273">
        <f>IF(ISNUMBER(BT82),BT85-BT82,"")</f>
        <v>5144</v>
      </c>
      <c r="BU86" s="273">
        <f>IF(ISNUMBER(BU82),BU85-BU82,"")</f>
        <v>5084</v>
      </c>
      <c r="BV86" s="273">
        <f>IF(ISNUMBER(BV82),BV85-BV82,"")</f>
        <v>19401</v>
      </c>
      <c r="BW86" s="273">
        <f>IF(ISNUMBER(BW82),BW85-BW82,"")</f>
        <v>5109</v>
      </c>
      <c r="BX86" s="273">
        <f>IF(ISNUMBER(BX82),BX85-BX82,"")</f>
        <v>5669</v>
      </c>
      <c r="BY86" s="273">
        <f>IF(ISNUMBER(BY82),BY85-BY82,"")</f>
        <v>5768.80564242909</v>
      </c>
      <c r="BZ86" s="273">
        <f>IF(ISNUMBER(BZ82),BZ85-BZ82,"")</f>
        <v>5741.12935757091</v>
      </c>
      <c r="CA86" s="273">
        <f>IF(ISNUMBER(CA82),CA85-CA82,"")</f>
        <v>22287.935</v>
      </c>
      <c r="CB86" s="273">
        <f>IF(ISNUMBER(CB82),CB85-CB82,"")</f>
        <v>25192.1704841164</v>
      </c>
      <c r="CC86" s="273">
        <f>IF(ISNUMBER(CC82),CC85-CC82,"")</f>
        <v>28352.0763007189</v>
      </c>
      <c r="CD86" s="273">
        <f>IF(ISNUMBER(CD82),CD85-CD82,"")</f>
        <v>31702.6557848408</v>
      </c>
      <c r="CE86" s="273">
        <f>IF(ISNUMBER(CE82),CE85-CE82,"")</f>
        <v>35222.2285731106</v>
      </c>
      <c r="CF86" s="153" t="inlineStr">
        <is>
          <t>Adjusted net revenue − adjusted operating expenses (company definition); drives the GAAP P&amp;L below.</t>
        </is>
      </c>
      <c r="CH86" s="20">
        <f>IFERROR((CE86/BV86)^(1/5)-1,"n/m")</f>
        <v>0.126674702438811</v>
      </c>
      <c r="CI86" s="20">
        <f>IFERROR((BV86/AW86)^(1/5)-1,"n/m")</f>
        <v>0.189297981279182</v>
      </c>
      <c r="CJ86" s="20">
        <f>IFERROR((BV86/X86)^(1/10)-1,"n/m")</f>
        <v>0.140333818105608</v>
      </c>
      <c r="CK86" s="20">
        <f>IFERROR((BV86/C86)^(1/19)-1,"n/m")</f>
        <v>0.195761723711314</v>
      </c>
    </row>
    <row r="87" ht="15" customHeight="1" s="251">
      <c r="B87" s="25" t="inlineStr">
        <is>
          <t xml:space="preserve">  Adjusted operating margin %</t>
        </is>
      </c>
      <c r="C87" s="215">
        <f>IF(AND(ISNUMBER(C86),ISNUMBER(C85)),IFERROR(C86/C85,""),"")</f>
        <v>0.195273767210231</v>
      </c>
      <c r="D87" s="215">
        <f>IF(AND(ISNUMBER(D86),ISNUMBER(D85)),IFERROR(D86/D85,""),"")</f>
        <v>0.27316163663134</v>
      </c>
      <c r="E87" s="215">
        <f>IF(AND(ISNUMBER(E86),ISNUMBER(E85)),IFERROR(E86/E85,""),"")</f>
        <v>0.390354796057377</v>
      </c>
      <c r="F87" s="215">
        <f>IF(AND(ISNUMBER(F86),ISNUMBER(F85)),IFERROR(F86/F85,""),"")</f>
        <v>0.444645716424081</v>
      </c>
      <c r="G87" s="215">
        <f>IF(AND(ISNUMBER(G86),ISNUMBER(G85)),IFERROR(G86/G85,""),"")</f>
        <v>0.496840584943131</v>
      </c>
      <c r="H87" s="215">
        <f>IF(AND(ISNUMBER(H86),ISNUMBER(H85)),IFERROR(H86/H85,""),"")</f>
        <v>0.518766756032172</v>
      </c>
      <c r="I87" s="215">
        <f>IF(AND(ISNUMBER(I86),ISNUMBER(I85)),IFERROR(I86/I85,""),"")</f>
        <v>0.535380868624002</v>
      </c>
      <c r="J87" s="215">
        <f>IF(AND(ISNUMBER(J86),ISNUMBER(J85)),IFERROR(J86/J85,""),"")</f>
        <v>0.580797481636936</v>
      </c>
      <c r="K87" s="215">
        <f>IF(AND(ISNUMBER(K86),ISNUMBER(K85)),IFERROR(K86/K85,""),"")</f>
        <v>0.58587786259542</v>
      </c>
      <c r="L87" s="215">
        <f>IF(AND(ISNUMBER(L86),ISNUMBER(L85)),IFERROR(L86/L85,""),"")</f>
        <v>0.562669071235347</v>
      </c>
      <c r="M87" s="215">
        <f>IF(AND(ISNUMBER(M86),ISNUMBER(M85)),IFERROR(M86/M85,""),"")</f>
        <v>0.477422389463782</v>
      </c>
      <c r="N87" s="215">
        <f>IF(AND(ISNUMBER(N86),ISNUMBER(N85)),IFERROR(N86/N85,""),"")</f>
        <v>0.55092259765157</v>
      </c>
      <c r="O87" s="215">
        <f>IF(AND(ISNUMBER(O86),ISNUMBER(O85)),IFERROR(O86/O85,""),"")</f>
        <v>0.59026182820395</v>
      </c>
      <c r="P87" s="215">
        <f>IF(AND(ISNUMBER(P86),ISNUMBER(P85)),IFERROR(P86/P85,""),"")</f>
        <v>0.58182583087926</v>
      </c>
      <c r="Q87" s="215">
        <f>IF(AND(ISNUMBER(Q86),ISNUMBER(Q85)),IFERROR(Q86/Q85,""),"")</f>
        <v>0.567319216939672</v>
      </c>
      <c r="R87" s="215">
        <f>IF(AND(ISNUMBER(R86),ISNUMBER(R85)),IFERROR(R86/R85,""),"")</f>
        <v>0.42135761589404</v>
      </c>
      <c r="S87" s="215">
        <f>IF(AND(ISNUMBER(S86),ISNUMBER(S85)),IFERROR(S86/S85,""),"")</f>
        <v>0.539005594848517</v>
      </c>
      <c r="T87" s="215">
        <f>IF(AND(ISNUMBER(T86),ISNUMBER(T85)),IFERROR(T86/T85,""),"")</f>
        <v>0.605829596412556</v>
      </c>
      <c r="U87" s="215">
        <f>IF(AND(ISNUMBER(U86),ISNUMBER(U85)),IFERROR(U86/U85,""),"")</f>
        <v>0.548953974895397</v>
      </c>
      <c r="V87" s="215">
        <f>IF(AND(ISNUMBER(V86),ISNUMBER(V85)),IFERROR(V86/V85,""),"")</f>
        <v>0.572332015810277</v>
      </c>
      <c r="W87" s="215">
        <f>IF(AND(ISNUMBER(W86),ISNUMBER(W85)),IFERROR(W86/W85,""),"")</f>
        <v>0.439809296781883</v>
      </c>
      <c r="X87" s="215">
        <f>IF(AND(ISNUMBER(X86),ISNUMBER(X85)),IFERROR(X86/X85,""),"")</f>
        <v>0.539774490534809</v>
      </c>
      <c r="Y87" s="215">
        <f>IF(AND(ISNUMBER(Y86),ISNUMBER(Y85)),IFERROR(Y86/Y85,""),"")</f>
        <v>0.551103843008994</v>
      </c>
      <c r="Z87" s="215">
        <f>IF(AND(ISNUMBER(Z86),ISNUMBER(Z85)),IFERROR(Z86/Z85,""),"")</f>
        <v>0.551967334818114</v>
      </c>
      <c r="AA87" s="215">
        <f>IF(AND(ISNUMBER(AA86),ISNUMBER(AA85)),IFERROR(AA86/AA85,""),"")</f>
        <v>0.579861111111111</v>
      </c>
      <c r="AB87" s="215">
        <f>IF(AND(ISNUMBER(AB86),ISNUMBER(AB85)),IFERROR(AB86/AB85,""),"")</f>
        <v>0.498185776487663</v>
      </c>
      <c r="AC87" s="215">
        <f>IF(AND(ISNUMBER(AC86),ISNUMBER(AC85)),IFERROR(AC86/AC85,""),"")</f>
        <v>0.54547141796585</v>
      </c>
      <c r="AD87" s="215">
        <f>IF(AND(ISNUMBER(AD86),ISNUMBER(AD85)),IFERROR(AD86/AD85,""),"")</f>
        <v>0.556327724945135</v>
      </c>
      <c r="AE87" s="215">
        <f>IF(AND(ISNUMBER(AE86),ISNUMBER(AE85)),IFERROR(AE86/AE85,""),"")</f>
        <v>0.541434654438257</v>
      </c>
      <c r="AF87" s="215">
        <f>IF(AND(ISNUMBER(AF86),ISNUMBER(AF85)),IFERROR(AF86/AF85,""),"")</f>
        <v>0.571218363743378</v>
      </c>
      <c r="AG87" s="215">
        <f>IF(AND(ISNUMBER(AG86),ISNUMBER(AG85)),IFERROR(AG86/AG85,""),"")</f>
        <v>0.509963768115942</v>
      </c>
      <c r="AH87" s="215">
        <f>IF(AND(ISNUMBER(AH86),ISNUMBER(AH85)),IFERROR(AH86/AH85,""),"")</f>
        <v>0.544450668160359</v>
      </c>
      <c r="AI87" s="215">
        <f>IF(AND(ISNUMBER(AI86),ISNUMBER(AI85)),IFERROR(AI86/AI85,""),"")</f>
        <v>0.542458100558659</v>
      </c>
      <c r="AJ87" s="215">
        <f>IF(AND(ISNUMBER(AJ86),ISNUMBER(AJ85)),IFERROR(AJ86/AJ85,""),"")</f>
        <v>0.589631650750341</v>
      </c>
      <c r="AK87" s="215">
        <f>IF(AND(ISNUMBER(AK86),ISNUMBER(AK85)),IFERROR(AK86/AK85,""),"")</f>
        <v>0.594150846587994</v>
      </c>
      <c r="AL87" s="215">
        <f>IF(AND(ISNUMBER(AL86),ISNUMBER(AL85)),IFERROR(AL86/AL85,""),"")</f>
        <v>0.522983976884686</v>
      </c>
      <c r="AM87" s="215">
        <f>IF(AND(ISNUMBER(AM86),ISNUMBER(AM85)),IFERROR(AM86/AM85,""),"")</f>
        <v>0.562541806020067</v>
      </c>
      <c r="AN87" s="215">
        <f>IF(AND(ISNUMBER(AN86),ISNUMBER(AN85)),IFERROR(AN86/AN85,""),"")</f>
        <v>0.569040884546156</v>
      </c>
      <c r="AO87" s="215">
        <f>IF(AND(ISNUMBER(AO86),ISNUMBER(AO85)),IFERROR(AO86/AO85,""),"")</f>
        <v>0.582786287381473</v>
      </c>
      <c r="AP87" s="215">
        <f>IF(AND(ISNUMBER(AP86),ISNUMBER(AP85)),IFERROR(AP86/AP85,""),"")</f>
        <v>0.594358629952989</v>
      </c>
      <c r="AQ87" s="215">
        <f>IF(AND(ISNUMBER(AQ86),ISNUMBER(AQ85)),IFERROR(AQ86/AQ85,""),"")</f>
        <v>0.543497961033077</v>
      </c>
      <c r="AR87" s="215">
        <f>IF(AND(ISNUMBER(AR86),ISNUMBER(AR85)),IFERROR(AR86/AR85,""),"")</f>
        <v>0.572410116685423</v>
      </c>
      <c r="AS87" s="215">
        <f>IF(AND(ISNUMBER(AS86),ISNUMBER(AS85)),IFERROR(AS86/AS85,""),"")</f>
        <v>0.553005737091544</v>
      </c>
      <c r="AT87" s="215">
        <f>IF(AND(ISNUMBER(AT86),ISNUMBER(AT85)),IFERROR(AT86/AT85,""),"")</f>
        <v>0.518440779610195</v>
      </c>
      <c r="AU87" s="215">
        <f>IF(AND(ISNUMBER(AU86),ISNUMBER(AU85)),IFERROR(AU86/AU85,""),"")</f>
        <v>0.548605681522022</v>
      </c>
      <c r="AV87" s="215">
        <f>IF(AND(ISNUMBER(AV86),ISNUMBER(AV85)),IFERROR(AV86/AV85,""),"")</f>
        <v>0.510436893203884</v>
      </c>
      <c r="AW87" s="215">
        <f>IF(AND(ISNUMBER(AW86),ISNUMBER(AW85)),IFERROR(AW86/AW85,""),"")</f>
        <v>0.532906345990458</v>
      </c>
      <c r="AX87" s="215">
        <f>IF(AND(ISNUMBER(AX86),ISNUMBER(AX85)),IFERROR(AX86/AX85,""),"")</f>
        <v>0.528760529482551</v>
      </c>
      <c r="AY87" s="215">
        <f>IF(AND(ISNUMBER(AY86),ISNUMBER(AY85)),IFERROR(AY86/AY85,""),"")</f>
        <v>0.531802120141343</v>
      </c>
      <c r="AZ87" s="215">
        <f>IF(AND(ISNUMBER(AZ86),ISNUMBER(AZ85)),IFERROR(AZ86/AZ85,""),"")</f>
        <v>0.566900702106319</v>
      </c>
      <c r="BA87" s="215">
        <f>IF(AND(ISNUMBER(BA86),ISNUMBER(BA85)),IFERROR(BA86/BA85,""),"")</f>
        <v>0.541986196319019</v>
      </c>
      <c r="BB87" s="215">
        <f>IF(AND(ISNUMBER(BB86),ISNUMBER(BB85)),IFERROR(BB86/BB85,""),"")</f>
        <v>0.543211184071171</v>
      </c>
      <c r="BC87" s="215">
        <f>IF(AND(ISNUMBER(BC86),ISNUMBER(BC85)),IFERROR(BC86/BC85,""),"")</f>
        <v>0.5750437998832</v>
      </c>
      <c r="BD87" s="215">
        <f>IF(AND(ISNUMBER(BD86),ISNUMBER(BD85)),IFERROR(BD86/BD85,""),"")</f>
        <v>0.578765252230923</v>
      </c>
      <c r="BE87" s="215">
        <f>IF(AND(ISNUMBER(BE86),ISNUMBER(BE85)),IFERROR(BE86/BE85,""),"")</f>
        <v>0.576789437109104</v>
      </c>
      <c r="BF87" s="215">
        <f>IF(AND(ISNUMBER(BF86),ISNUMBER(BF85)),IFERROR(BF86/BF85,""),"")</f>
        <v>0.549939831528279</v>
      </c>
      <c r="BG87" s="215">
        <f>IF(AND(ISNUMBER(BG86),ISNUMBER(BG85)),IFERROR(BG86/BG85,""),"")</f>
        <v>0.56981981981982</v>
      </c>
      <c r="BH87" s="215">
        <f>IF(AND(ISNUMBER(BH86),ISNUMBER(BH85)),IFERROR(BH86/BH85,""),"")</f>
        <v>0.582289491997217</v>
      </c>
      <c r="BI87" s="215">
        <f>IF(AND(ISNUMBER(BI86),ISNUMBER(BI85)),IFERROR(BI86/BI85,""),"")</f>
        <v>0.586377412665497</v>
      </c>
      <c r="BJ87" s="215">
        <f>IF(AND(ISNUMBER(BJ86),ISNUMBER(BJ85)),IFERROR(BJ86/BJ85,""),"")</f>
        <v>0.588397367212613</v>
      </c>
      <c r="BK87" s="215">
        <f>IF(AND(ISNUMBER(BK86),ISNUMBER(BK85)),IFERROR(BK86/BK85,""),"")</f>
        <v>0.562003665241295</v>
      </c>
      <c r="BL87" s="215">
        <f>IF(AND(ISNUMBER(BL86),ISNUMBER(BL85)),IFERROR(BL86/BL85,""),"")</f>
        <v>0.579607936887401</v>
      </c>
      <c r="BM87" s="215">
        <f>IF(AND(ISNUMBER(BM86),ISNUMBER(BM85)),IFERROR(BM86/BM85,""),"")</f>
        <v>0.587586641461878</v>
      </c>
      <c r="BN87" s="215">
        <f>IF(AND(ISNUMBER(BN86),ISNUMBER(BN85)),IFERROR(BN86/BN85,""),"")</f>
        <v>0.593880189627927</v>
      </c>
      <c r="BO87" s="215">
        <f>IF(AND(ISNUMBER(BO86),ISNUMBER(BO85)),IFERROR(BO86/BO85,""),"")</f>
        <v>0.593024833763062</v>
      </c>
      <c r="BP87" s="215">
        <f>IF(AND(ISNUMBER(BP86),ISNUMBER(BP85)),IFERROR(BP86/BP85,""),"")</f>
        <v>0.56322606489518</v>
      </c>
      <c r="BQ87" s="215">
        <f>IF(AND(ISNUMBER(BQ86),ISNUMBER(BQ85)),IFERROR(BQ86/BQ85,""),"")</f>
        <v>0.584087762275003</v>
      </c>
      <c r="BR87" s="215">
        <f>IF(AND(ISNUMBER(BR86),ISNUMBER(BR85)),IFERROR(BR86/BR85,""),"")</f>
        <v>0.593103448275862</v>
      </c>
      <c r="BS87" s="215">
        <f>IF(AND(ISNUMBER(BS86),ISNUMBER(BS85)),IFERROR(BS86/BS85,""),"")</f>
        <v>0.599163900159843</v>
      </c>
      <c r="BT87" s="215">
        <f>IF(AND(ISNUMBER(BT86),ISNUMBER(BT85)),IFERROR(BT86/BT85,""),"")</f>
        <v>0.598000465008138</v>
      </c>
      <c r="BU87" s="215">
        <f>IF(AND(ISNUMBER(BU86),ISNUMBER(BU85)),IFERROR(BU86/BU85,""),"")</f>
        <v>0.577333636157166</v>
      </c>
      <c r="BV87" s="215">
        <f>IF(AND(ISNUMBER(BV86),ISNUMBER(BV85)),IFERROR(BV86/BV85,""),"")</f>
        <v>0.591656247140984</v>
      </c>
      <c r="BW87" s="215">
        <f>IF(AND(ISNUMBER(BW86),ISNUMBER(BW85)),IFERROR(BW86/BW85,""),"")</f>
        <v>0.608359133126935</v>
      </c>
      <c r="BX87" s="215">
        <f>IF(AND(ISNUMBER(BX86),ISNUMBER(BX85)),IFERROR(BX86/BX85,""),"")</f>
        <v>0.61108116848119</v>
      </c>
      <c r="BY87" s="256">
        <f>IF(AND(ISNUMBER(BY86),ISNUMBER(BY85)),IFERROR(BY86/BY85,""),"")</f>
        <v>0.598575856001832</v>
      </c>
      <c r="BZ87" s="256">
        <f>IF(AND(ISNUMBER(BZ86),ISNUMBER(BZ85)),IFERROR(BZ86/BZ85,""),"")</f>
        <v>0.579605656041637</v>
      </c>
      <c r="CA87" s="256">
        <f>IF(AND(ISNUMBER(CA86),ISNUMBER(CA85)),IFERROR(CA86/CA85,""),"")</f>
        <v>0.598851731772861</v>
      </c>
      <c r="CB87" s="256">
        <f>CHOOSE(MATCH($CF$2,{"Bull","Base","Bear"},0),$CO$43,$CP$43,$CQ$43)+IFERROR(N(CB70)/CB85-N(CB68)/CB85*CHOOSE(MATCH($CF$2,{"Bull","Base","Bear"},0),$CO$43,$CP$43,$CQ$43),0)</f>
        <v>0.602323072539461</v>
      </c>
      <c r="CC87" s="256">
        <f>CHOOSE(MATCH($CF$2,{"Bull","Base","Bear"},0),$CO$44,$CP$44,$CQ$44)+IFERROR(N(CC70)/CC85-N(CC68)/CC85*CHOOSE(MATCH($CF$2,{"Bull","Base","Bear"},0),$CO$44,$CP$44,$CQ$44),0)</f>
        <v>0.606017601889502</v>
      </c>
      <c r="CD87" s="256">
        <f>CHOOSE(MATCH($CF$2,{"Bull","Base","Bear"},0),$CO$45,$CP$45,$CQ$45)+IFERROR(N(CD70)/CD85-N(CD68)/CD85*CHOOSE(MATCH($CF$2,{"Bull","Base","Bear"},0),$CO$45,$CP$45,$CQ$45),0)</f>
        <v>0.609800146559032</v>
      </c>
      <c r="CE87" s="256">
        <f>CHOOSE(MATCH($CF$2,{"Bull","Base","Bear"},0),$CO$46,$CP$46,$CQ$46)+IFERROR(N(CE70)/CE85-N(CE68)/CE85*CHOOSE(MATCH($CF$2,{"Bull","Base","Bear"},0),$CO$46,$CP$46,$CQ$46),0)</f>
        <v>0.61363858642307</v>
      </c>
      <c r="CF87" s="153" t="inlineStr">
        <is>
          <t>2027E+: scenario margin lever on the organic business, blended with the future-acquisition margin.</t>
        </is>
      </c>
      <c r="CH87" s="37">
        <f>IFERROR(AVERAGE(CA87,CB87,CC87,CD87,CE87),"n/m")</f>
        <v>0.606126227836785</v>
      </c>
      <c r="CI87" s="37">
        <f>IFERROR(AVERAGE(BB87,BG87,BL87,BQ87,BV87),"n/m")</f>
        <v>0.573676590038876</v>
      </c>
      <c r="CJ87" s="37">
        <f>IFERROR(AVERAGE(AC87,AH87,AM87,AR87,AW87,BB87,BG87,BL87,BQ87,BV87),"n/m")</f>
        <v>0.562616330501654</v>
      </c>
      <c r="CK87" s="37">
        <f>IFERROR(AVERAGE(C87,D87,E87,F87,G87,H87,I87,N87,S87,X87,AC87,AH87,AM87,AR87,AW87,BB87,BG87,BL87,BQ87,BV87),"n/m")</f>
        <v>0.505514505698688</v>
      </c>
    </row>
    <row r="88" collapsed="1" ht="15" customHeight="1" s="251">
      <c r="B88" s="22" t="inlineStr">
        <is>
          <t xml:space="preserve">  Adjusted operating income y/y %</t>
        </is>
      </c>
      <c r="C88" s="23" t="n"/>
      <c r="D88" s="258">
        <f>IF(AND(ISNUMBER(D86),ISNUMBER(C86)),IFERROR(D86/C86-1,""),"")</f>
        <v>0.710732184235444</v>
      </c>
      <c r="E88" s="258">
        <f>IF(AND(ISNUMBER(E86),ISNUMBER(D86)),IFERROR(E86/D86-1,""),"")</f>
        <v>0.753644097084723</v>
      </c>
      <c r="F88" s="258">
        <f>IF(AND(ISNUMBER(F86),ISNUMBER(E86)),IFERROR(F86/E86-1,""),"")</f>
        <v>0.163517484006887</v>
      </c>
      <c r="G88" s="258">
        <f>IF(AND(ISNUMBER(G86),ISNUMBER(F86)),IFERROR(G86/F86-1,""),"")</f>
        <v>0.213881297229775</v>
      </c>
      <c r="H88" s="258">
        <f>IF(AND(ISNUMBER(H86),ISNUMBER(G86)),IFERROR(H86/G86-1,""),"")</f>
        <v>0.265625</v>
      </c>
      <c r="I88" s="258">
        <f>IF(AND(ISNUMBER(I86),ISNUMBER(H86)),IFERROR(I86/H86-1,""),"")</f>
        <v>0.136089577950043</v>
      </c>
      <c r="J88" s="23" t="n"/>
      <c r="K88" s="23" t="n"/>
      <c r="L88" s="23" t="n"/>
      <c r="M88" s="23" t="n"/>
      <c r="N88" s="258">
        <f>IF(AND(ISNUMBER(N86),ISNUMBER(I86)),IFERROR(N86/I86-1,""),"")</f>
        <v>0.161991407632045</v>
      </c>
      <c r="O88" s="258">
        <f>IF(AND(ISNUMBER(O86),ISNUMBER(J86)),IFERROR(O86/J86-1,""),"")</f>
        <v>0.160794941282746</v>
      </c>
      <c r="P88" s="258">
        <f>IF(AND(ISNUMBER(P86),ISNUMBER(K86)),IFERROR(P86/K86-1,""),"")</f>
        <v>0.126221498371335</v>
      </c>
      <c r="Q88" s="258">
        <f>IF(AND(ISNUMBER(Q86),ISNUMBER(L86)),IFERROR(Q86/L86-1,""),"")</f>
        <v>0.137820512820513</v>
      </c>
      <c r="R88" s="258">
        <f>IF(AND(ISNUMBER(R86),ISNUMBER(M86)),IFERROR(R86/M86-1,""),"")</f>
        <v>0.00295566502463052</v>
      </c>
      <c r="S88" s="258">
        <f>IF(AND(ISNUMBER(S86),ISNUMBER(N86)),IFERROR(S86/N86-1,""),"")</f>
        <v>0.11048281861679</v>
      </c>
      <c r="T88" s="258">
        <f>IF(AND(ISNUMBER(T86),ISNUMBER(O86)),IFERROR(T86/O86-1,""),"")</f>
        <v>0.0513618677042802</v>
      </c>
      <c r="U88" s="258">
        <f>IF(AND(ISNUMBER(U86),ISNUMBER(P86)),IFERROR(U86/P86-1,""),"")</f>
        <v>-0.0513376717281273</v>
      </c>
      <c r="V88" s="258">
        <f>IF(AND(ISNUMBER(V86),ISNUMBER(Q86)),IFERROR(V86/Q86-1,""),"")</f>
        <v>0.0197183098591549</v>
      </c>
      <c r="W88" s="258">
        <f>IF(AND(ISNUMBER(W86),ISNUMBER(R86)),IFERROR(W86/R86-1,""),"")</f>
        <v>0.0874263261296659</v>
      </c>
      <c r="X88" s="258">
        <f>IF(AND(ISNUMBER(X86),ISNUMBER(S86)),IFERROR(X86/S86-1,""),"")</f>
        <v>0.0219349784567175</v>
      </c>
      <c r="Y88" s="258">
        <f>IF(AND(ISNUMBER(Y86),ISNUMBER(T86)),IFERROR(Y86/T86-1,""),"")</f>
        <v>-0.00222057735011105</v>
      </c>
      <c r="Z88" s="258">
        <f>IF(AND(ISNUMBER(Z86),ISNUMBER(U86)),IFERROR(Z86/U86-1,""),"")</f>
        <v>0.133384146341463</v>
      </c>
      <c r="AA88" s="258">
        <f>IF(AND(ISNUMBER(AA86),ISNUMBER(V86)),IFERROR(AA86/V86-1,""),"")</f>
        <v>0.153314917127072</v>
      </c>
      <c r="AB88" s="258">
        <f>IF(AND(ISNUMBER(AB86),ISNUMBER(W86)),IFERROR(AB86/W86-1,""),"")</f>
        <v>0.240289069557362</v>
      </c>
      <c r="AC88" s="258">
        <f>IF(AND(ISNUMBER(AC86),ISNUMBER(X86)),IFERROR(AC86/X86-1,""),"")</f>
        <v>0.126485243388271</v>
      </c>
      <c r="AD88" s="258">
        <f>IF(AND(ISNUMBER(AD86),ISNUMBER(Y86)),IFERROR(AD86/Y86-1,""),"")</f>
        <v>0.128338278931751</v>
      </c>
      <c r="AE88" s="258">
        <f>IF(AND(ISNUMBER(AE86),ISNUMBER(Z86)),IFERROR(AE86/Z86-1,""),"")</f>
        <v>0.111634162743779</v>
      </c>
      <c r="AF88" s="258">
        <f>IF(AND(ISNUMBER(AF86),ISNUMBER(AA86)),IFERROR(AF86/AA86-1,""),"")</f>
        <v>0.162275449101796</v>
      </c>
      <c r="AG88" s="258">
        <f>IF(AND(ISNUMBER(AG86),ISNUMBER(AB86)),IFERROR(AG86/AB86-1,""),"")</f>
        <v>0.230152949745084</v>
      </c>
      <c r="AH88" s="258">
        <f>IF(AND(ISNUMBER(AH86),ISNUMBER(AC86)),IFERROR(AH86/AC86-1,""),"")</f>
        <v>0.15753657706703</v>
      </c>
      <c r="AI88" s="258">
        <f>IF(AND(ISNUMBER(AI86),ISNUMBER(AD86)),IFERROR(AI86/AD86-1,""),"")</f>
        <v>0.276791584483892</v>
      </c>
      <c r="AJ88" s="258">
        <f>IF(AND(ISNUMBER(AJ86),ISNUMBER(AE86)),IFERROR(AJ86/AE86-1,""),"")</f>
        <v>0.307320024198427</v>
      </c>
      <c r="AK88" s="258">
        <f>IF(AND(ISNUMBER(AK86),ISNUMBER(AF86)),IFERROR(AK86/AF86-1,""),"")</f>
        <v>0.193199381761978</v>
      </c>
      <c r="AL88" s="258">
        <f>IF(AND(ISNUMBER(AL86),ISNUMBER(AG86)),IFERROR(AL86/AG86-1,""),"")</f>
        <v>0.178804026050918</v>
      </c>
      <c r="AM88" s="258">
        <f>IF(AND(ISNUMBER(AM86),ISNUMBER(AH86)),IFERROR(AM86/AH86-1,""),"")</f>
        <v>0.236037624926514</v>
      </c>
      <c r="AN88" s="258">
        <f>IF(AND(ISNUMBER(AN86),ISNUMBER(AI86)),IFERROR(AN86/AI86-1,""),"")</f>
        <v>0.139546858908342</v>
      </c>
      <c r="AO88" s="258">
        <f>IF(AND(ISNUMBER(AO86),ISNUMBER(AJ86)),IFERROR(AO86/AJ86-1,""),"")</f>
        <v>0.109208699676076</v>
      </c>
      <c r="AP88" s="258">
        <f>IF(AND(ISNUMBER(AP86),ISNUMBER(AK86)),IFERROR(AP86/AK86-1,""),"")</f>
        <v>0.146373056994819</v>
      </c>
      <c r="AQ88" s="258">
        <f>IF(AND(ISNUMBER(AQ86),ISNUMBER(AL86)),IFERROR(AQ86/AL86-1,""),"")</f>
        <v>0.204922149673531</v>
      </c>
      <c r="AR88" s="258">
        <f>IF(AND(ISNUMBER(AR86),ISNUMBER(AM86)),IFERROR(AR86/AM86-1,""),"")</f>
        <v>0.14910820451843</v>
      </c>
      <c r="AS88" s="258">
        <f>IF(AND(ISNUMBER(AS86),ISNUMBER(AN86)),IFERROR(AS86/AN86-1,""),"")</f>
        <v>0.0018075011296883</v>
      </c>
      <c r="AT88" s="258">
        <f>IF(AND(ISNUMBER(AT86),ISNUMBER(AO86)),IFERROR(AT86/AO86-1,""),"")</f>
        <v>-0.278681685440134</v>
      </c>
      <c r="AU88" s="258">
        <f>IF(AND(ISNUMBER(AU86),ISNUMBER(AP86)),IFERROR(AU86/AP86-1,""),"")</f>
        <v>-0.207156308851224</v>
      </c>
      <c r="AV88" s="258">
        <f>IF(AND(ISNUMBER(AV86),ISNUMBER(AQ86)),IFERROR(AV86/AQ86-1,""),"")</f>
        <v>-0.123384743643185</v>
      </c>
      <c r="AW88" s="258">
        <f>IF(AND(ISNUMBER(AW86),ISNUMBER(AR86)),IFERROR(AW86/AR86-1,""),"")</f>
        <v>-0.15625</v>
      </c>
      <c r="AX88" s="258">
        <f>IF(AND(ISNUMBER(AX86),ISNUMBER(AS86)),IFERROR(AX86/AS86-1,""),"")</f>
        <v>-0.00902119981957605</v>
      </c>
      <c r="AY88" s="258">
        <f>IF(AND(ISNUMBER(AY86),ISNUMBER(AT86)),IFERROR(AY86/AT86-1,""),"")</f>
        <v>0.392712550607288</v>
      </c>
      <c r="AZ88" s="258">
        <f>IF(AND(ISNUMBER(AZ86),ISNUMBER(AU86)),IFERROR(AZ86/AU86-1,""),"")</f>
        <v>0.342517814726841</v>
      </c>
      <c r="BA88" s="258">
        <f>IF(AND(ISNUMBER(BA86),ISNUMBER(AV86)),IFERROR(BA86/AV86-1,""),"")</f>
        <v>0.344270090347123</v>
      </c>
      <c r="BB88" s="258">
        <f>IF(AND(ISNUMBER(BB86),ISNUMBER(AW86)),IFERROR(BB86/AW86-1,""),"")</f>
        <v>0.258032867304391</v>
      </c>
      <c r="BC88" s="258">
        <f>IF(AND(ISNUMBER(BC86),ISNUMBER(AX86)),IFERROR(BC86/AX86-1,""),"")</f>
        <v>0.344560764679108</v>
      </c>
      <c r="BD88" s="258">
        <f>IF(AND(ISNUMBER(BD86),ISNUMBER(AY86)),IFERROR(BD86/AY86-1,""),"")</f>
        <v>0.319767441860465</v>
      </c>
      <c r="BE88" s="258">
        <f>IF(AND(ISNUMBER(BE86),ISNUMBER(AZ86)),IFERROR(BE86/AZ86-1,""),"")</f>
        <v>0.174805378627035</v>
      </c>
      <c r="BF88" s="258">
        <f>IF(AND(ISNUMBER(BF86),ISNUMBER(BA86)),IFERROR(BF86/BA86-1,""),"")</f>
        <v>0.131588256101875</v>
      </c>
      <c r="BG88" s="258">
        <f>IF(AND(ISNUMBER(BG86),ISNUMBER(BB86)),IFERROR(BG86/BB86-1,""),"")</f>
        <v>0.233183856502242</v>
      </c>
      <c r="BH88" s="258">
        <f>IF(AND(ISNUMBER(BH86),ISNUMBER(BC86)),IFERROR(BH86/BC86-1,""),"")</f>
        <v>0.133039945836154</v>
      </c>
      <c r="BI88" s="258">
        <f>IF(AND(ISNUMBER(BI86),ISNUMBER(BD86)),IFERROR(BI86/BD86-1,""),"")</f>
        <v>0.156702328508496</v>
      </c>
      <c r="BJ88" s="258">
        <f>IF(AND(ISNUMBER(BJ86),ISNUMBER(BE86)),IFERROR(BJ86/BE86-1,""),"")</f>
        <v>0.157831325301205</v>
      </c>
      <c r="BK88" s="258">
        <f>IF(AND(ISNUMBER(BK86),ISNUMBER(BF86)),IFERROR(BK86/BF86-1,""),"")</f>
        <v>0.150359487339794</v>
      </c>
      <c r="BL88" s="258">
        <f>IF(AND(ISNUMBER(BL86),ISNUMBER(BG86)),IFERROR(BL86/BG86-1,""),"")</f>
        <v>0.1499604743083</v>
      </c>
      <c r="BM88" s="258">
        <f>IF(AND(ISNUMBER(BM86),ISNUMBER(BH86)),IFERROR(BM86/BH86-1,""),"")</f>
        <v>0.114430833582313</v>
      </c>
      <c r="BN88" s="258">
        <f>IF(AND(ISNUMBER(BN86),ISNUMBER(BI86)),IFERROR(BN86/BI86-1,""),"")</f>
        <v>0.124591947769314</v>
      </c>
      <c r="BO88" s="258">
        <f>IF(AND(ISNUMBER(BO86),ISNUMBER(BJ86)),IFERROR(BO86/BJ86-1,""),"")</f>
        <v>0.136836628511967</v>
      </c>
      <c r="BP88" s="258">
        <f>IF(AND(ISNUMBER(BP86),ISNUMBER(BK86)),IFERROR(BP86/BK86-1,""),"")</f>
        <v>0.146195652173913</v>
      </c>
      <c r="BQ88" s="258">
        <f>IF(AND(ISNUMBER(BQ86),ISNUMBER(BL86)),IFERROR(BQ86/BL86-1,""),"")</f>
        <v>0.13095483604867</v>
      </c>
      <c r="BR88" s="258">
        <f>IF(AND(ISNUMBER(BR86),ISNUMBER(BM86)),IFERROR(BR86/BM86-1,""),"")</f>
        <v>0.152815013404826</v>
      </c>
      <c r="BS88" s="258">
        <f>IF(AND(ISNUMBER(BS86),ISNUMBER(BN86)),IFERROR(BS86/BN86-1,""),"")</f>
        <v>0.178761490082245</v>
      </c>
      <c r="BT88" s="258">
        <f>IF(AND(ISNUMBER(BT86),ISNUMBER(BO86)),IFERROR(BT86/BO86-1,""),"")</f>
        <v>0.177116704805492</v>
      </c>
      <c r="BU88" s="258">
        <f>IF(AND(ISNUMBER(BU86),ISNUMBER(BP86)),IFERROR(BU86/BP86-1,""),"")</f>
        <v>0.205310573731626</v>
      </c>
      <c r="BV88" s="258">
        <f>IF(AND(ISNUMBER(BV86),ISNUMBER(BQ86)),IFERROR(BV86/BQ86-1,""),"")</f>
        <v>0.179248723559446</v>
      </c>
      <c r="BW88" s="258">
        <f>IF(AND(ISNUMBER(BW86),ISNUMBER(BR86)),IFERROR(BW86/BR86-1,""),"")</f>
        <v>0.188139534883721</v>
      </c>
      <c r="BX88" s="258">
        <f>IF(AND(ISNUMBER(BX86),ISNUMBER(BS86)),IFERROR(BX86/BS86-1,""),"")</f>
        <v>0.163349066283603</v>
      </c>
      <c r="BY88" s="256">
        <f>IF(AND(ISNUMBER(BY86),ISNUMBER(BT86)),IFERROR(BY86/BT86-1,""),"")</f>
        <v>0.121462994251378</v>
      </c>
      <c r="BZ88" s="256">
        <f>IF(AND(ISNUMBER(BZ86),ISNUMBER(BU86)),IFERROR(BZ86/BU86-1,""),"")</f>
        <v>0.129254397633932</v>
      </c>
      <c r="CA88" s="256">
        <f>IF(AND(ISNUMBER(CA86),ISNUMBER(BV86)),IFERROR(CA86/BV86-1,""),"")</f>
        <v>0.148803412195248</v>
      </c>
      <c r="CB88" s="256">
        <f>IF(AND(ISNUMBER(CB86),ISNUMBER(CA86)),IFERROR(CB86/CA86-1,""),"")</f>
        <v>0.130305274316188</v>
      </c>
      <c r="CC88" s="256">
        <f>IF(AND(ISNUMBER(CC86),ISNUMBER(CB86)),IFERROR(CC86/CB86-1,""),"")</f>
        <v>0.12543205908339</v>
      </c>
      <c r="CD88" s="256">
        <f>IF(AND(ISNUMBER(CD86),ISNUMBER(CC86)),IFERROR(CD86/CC86-1,""),"")</f>
        <v>0.118177570086357</v>
      </c>
      <c r="CE88" s="256">
        <f>IF(AND(ISNUMBER(CE86),ISNUMBER(CD86)),IFERROR(CE86/CD86-1,""),"")</f>
        <v>0.111018231789676</v>
      </c>
      <c r="CF88" s="153" t="n"/>
    </row>
    <row r="89" ht="15" customHeight="1" s="251">
      <c r="B89" s="25" t="inlineStr">
        <is>
          <t xml:space="preserve">  Incremental adjusted operating margin (Δ adj. OI / Δ adj. net revenue)</t>
        </is>
      </c>
      <c r="C89" s="36" t="n"/>
      <c r="D89" s="215">
        <f>IFERROR((D86-C86)/(D85-C85),"")</f>
        <v>0.622523852870773</v>
      </c>
      <c r="E89" s="215">
        <f>IFERROR((E86-D86)/(E85-D85),"")</f>
        <v>0.906257677210307</v>
      </c>
      <c r="F89" s="215">
        <f>IFERROR((F86-E86)/(F85-E85),"")</f>
        <v>2.9753557954503</v>
      </c>
      <c r="G89" s="215">
        <f>IFERROR((G86-F86)/(G85-F85),"")</f>
        <v>1.1012363847782</v>
      </c>
      <c r="H89" s="215">
        <f>IFERROR((H86-G86)/(H85-G85),"")</f>
        <v>0.622127659574468</v>
      </c>
      <c r="I89" s="215">
        <f>IFERROR((I86-H86)/(I85-H85),"")</f>
        <v>0.700147710487445</v>
      </c>
      <c r="J89" s="36" t="n"/>
      <c r="K89" s="36" t="n"/>
      <c r="L89" s="36" t="n"/>
      <c r="M89" s="36" t="n"/>
      <c r="N89" s="215">
        <f>IFERROR((N86-I86)/(N85-I85),"")</f>
        <v>0.671204188481675</v>
      </c>
      <c r="O89" s="215">
        <f>IFERROR((O86-J86)/(O85-J85),"")</f>
        <v>0.656826568265683</v>
      </c>
      <c r="P89" s="215">
        <f>IFERROR((P86-K86)/(P85-K85),"")</f>
        <v>0.551601423487545</v>
      </c>
      <c r="Q89" s="215">
        <f>IFERROR((Q86-L86)/(Q85-L85),"")</f>
        <v>0.603508771929825</v>
      </c>
      <c r="R89" s="215">
        <f>IFERROR((R86-M86)/(R85-M85),"")</f>
        <v>0.0103448275862069</v>
      </c>
      <c r="S89" s="215">
        <f>IFERROR((S86-N86)/(S85-N85),"")</f>
        <v>0.45075421472937</v>
      </c>
      <c r="T89" s="215">
        <f>IFERROR((T86-O86)/(T85-O85),"")</f>
        <v>1.24528301886792</v>
      </c>
      <c r="U89" s="215">
        <f>IFERROR((U86-P86)/(U85-P85),"")</f>
        <v>-5.46153846153846</v>
      </c>
      <c r="V89" s="215">
        <f>IFERROR((V86-Q86)/(V85-Q85),"")</f>
        <v>1.03703703703704</v>
      </c>
      <c r="W89" s="215">
        <f>IFERROR((W86-R86)/(W85-R85),"")</f>
        <v>0.881188118811881</v>
      </c>
      <c r="X89" s="215">
        <f>IFERROR((X86-S86)/(X85-S85),"")</f>
        <v>0.577319587628866</v>
      </c>
      <c r="Y89" s="215">
        <f>IFERROR((Y86-T86)/(Y85-T85),"")</f>
        <v>-0.0138888888888889</v>
      </c>
      <c r="Z89" s="215">
        <f>IFERROR((Z86-U86)/(Z85-U85),"")</f>
        <v>0.575657894736842</v>
      </c>
      <c r="AA89" s="215">
        <f>IFERROR((AA86-V86)/(AA85-V85),"")</f>
        <v>0.634285714285714</v>
      </c>
      <c r="AB89" s="215">
        <f>IFERROR((AB86-W86)/(AB85-W85),"")</f>
        <v>1.11297071129707</v>
      </c>
      <c r="AC89" s="215">
        <f>IFERROR((AC86-X86)/(AC85-X85),"")</f>
        <v>0.595130748422002</v>
      </c>
      <c r="AD89" s="215">
        <f>IFERROR((AD86-Y86)/(AD85-Y85),"")</f>
        <v>0.600694444444444</v>
      </c>
      <c r="AE89" s="215">
        <f>IFERROR((AE86-Z86)/(AE85-Z85),"")</f>
        <v>0.462395543175488</v>
      </c>
      <c r="AF89" s="215">
        <f>IFERROR((AF86-AA86)/(AF85-AA85),"")</f>
        <v>0.523166023166023</v>
      </c>
      <c r="AG89" s="215">
        <f>IFERROR((AG86-AB86)/(AG85-AB85),"")</f>
        <v>0.568345323741007</v>
      </c>
      <c r="AH89" s="215">
        <f>IFERROR((AH86-AC86)/(AH85-AC85),"")</f>
        <v>0.538059267867519</v>
      </c>
      <c r="AI89" s="215">
        <f>IFERROR((AI86-AD86)/(AI85-AD85),"")</f>
        <v>0.497635933806147</v>
      </c>
      <c r="AJ89" s="215">
        <f>IFERROR((AJ86-AE86)/(AJ85-AE85),"")</f>
        <v>0.830065359477124</v>
      </c>
      <c r="AK89" s="215">
        <f>IFERROR((AK86-AF86)/(AK85-AF85),"")</f>
        <v>0.75</v>
      </c>
      <c r="AL89" s="215">
        <f>IFERROR((AL86-AG86)/(AL85-AG85),"")</f>
        <v>0.61010101010101</v>
      </c>
      <c r="AM89" s="215">
        <f>IFERROR((AM86-AH86)/(AM85-AH85),"")</f>
        <v>0.654708520179372</v>
      </c>
      <c r="AN89" s="215">
        <f>IFERROR((AN86-AI86)/(AN85-AI85),"")</f>
        <v>0.877022653721683</v>
      </c>
      <c r="AO89" s="215">
        <f>IFERROR((AO86-AJ86)/(AO85-AJ85),"")</f>
        <v>0.526785714285714</v>
      </c>
      <c r="AP89" s="215">
        <f>IFERROR((AP86-AK86)/(AP85-AK85),"")</f>
        <v>0.595782073813708</v>
      </c>
      <c r="AQ89" s="215">
        <f>IFERROR((AQ86-AL86)/(AQ85-AL85),"")</f>
        <v>0.672158154859967</v>
      </c>
      <c r="AR89" s="215">
        <f>IFERROR((AR86-AM86)/(AR85-AM85),"")</f>
        <v>0.64873254009312</v>
      </c>
      <c r="AS89" s="215">
        <f>IFERROR((AS86-AN86)/(AS85-AN85),"")</f>
        <v>0.0333333333333333</v>
      </c>
      <c r="AT89" s="215">
        <f>IFERROR((AT86-AO86)/(AT85-AO85),"")</f>
        <v>0.858611825192802</v>
      </c>
      <c r="AU89" s="215">
        <f>IFERROR((AU86-AP86)/(AU85-AP85),"")</f>
        <v>0.873015873015873</v>
      </c>
      <c r="AV89" s="215">
        <f>IFERROR((AV86-AQ86)/(AV85-AQ85),"")</f>
        <v>1.00680272108844</v>
      </c>
      <c r="AW89" s="215">
        <f>IFERROR((AW86-AR86)/(AW85-AR85),"")</f>
        <v>0.95448798988622</v>
      </c>
      <c r="AX89" s="215">
        <f>IFERROR((AX86-AS86)/(AX85-AS85),"")</f>
        <v>-0.136986301369863</v>
      </c>
      <c r="AY89" s="215">
        <f>IFERROR((AY86-AT86)/(AY85-AT85),"")</f>
        <v>0.569153394803018</v>
      </c>
      <c r="AZ89" s="215">
        <f>IFERROR((AZ86-AU86)/(AZ85-AU85),"")</f>
        <v>0.628048780487805</v>
      </c>
      <c r="BA89" s="215">
        <f>IFERROR((BA86-AV86)/(BA85-AV85),"")</f>
        <v>0.660583941605839</v>
      </c>
      <c r="BB89" s="215">
        <f>IFERROR((BB86-AW86)/(BB85-AW85),"")</f>
        <v>0.587217415573542</v>
      </c>
      <c r="BC89" s="215">
        <f>IFERROR((BC86-AX86)/(BC85-AX85),"")</f>
        <v>0.770875763747454</v>
      </c>
      <c r="BD89" s="215">
        <f>IFERROR((BD86-AY86)/(BD85-AY85),"")</f>
        <v>0.799584631360332</v>
      </c>
      <c r="BE89" s="215">
        <f>IFERROR((BE86-AZ86)/(BE85-AZ85),"")</f>
        <v>0.640726329442283</v>
      </c>
      <c r="BF89" s="215">
        <f>IFERROR((BF86-BA86)/(BF85-BA85),"")</f>
        <v>0.618968386023295</v>
      </c>
      <c r="BG89" s="215">
        <f>IFERROR((BG86-BB86)/(BG85-BB85),"")</f>
        <v>0.721351025331725</v>
      </c>
      <c r="BH89" s="215">
        <f>IFERROR((BH86-BC86)/(BH85-BC85),"")</f>
        <v>0.643207855973814</v>
      </c>
      <c r="BI89" s="215">
        <f>IFERROR((BI86-BD86)/(BI85-BD85),"")</f>
        <v>0.640102827763496</v>
      </c>
      <c r="BJ89" s="215">
        <f>IFERROR((BJ86-BE86)/(BJ85-BE85),"")</f>
        <v>0.674388674388674</v>
      </c>
      <c r="BK89" s="215">
        <f>IFERROR((BK86-BF86)/(BK85-BF85),"")</f>
        <v>0.658002735978112</v>
      </c>
      <c r="BL89" s="215">
        <f>IFERROR((BL86-BG86)/(BL85-BG85),"")</f>
        <v>0.654589371980676</v>
      </c>
      <c r="BM89" s="215">
        <f>IFERROR((BM86-BH86)/(BM85-BH85),"")</f>
        <v>0.638333333333333</v>
      </c>
      <c r="BN89" s="215">
        <f>IFERROR((BN86-BI86)/(BN85-BI85),"")</f>
        <v>0.661849710982659</v>
      </c>
      <c r="BO89" s="215">
        <f>IFERROR((BO86-BJ86)/(BO85-BJ85),"")</f>
        <v>0.629186602870813</v>
      </c>
      <c r="BP89" s="215">
        <f>IFERROR((BP86-BK86)/(BP85-BK85),"")</f>
        <v>0.57173219978746</v>
      </c>
      <c r="BQ89" s="215">
        <f>IFERROR((BQ86-BL86)/(BQ85-BL85),"")</f>
        <v>0.620723362658847</v>
      </c>
      <c r="BR89" s="215">
        <f>IFERROR((BR86-BM86)/(BR85-BM85),"")</f>
        <v>0.631929046563193</v>
      </c>
      <c r="BS89" s="215">
        <f>IFERROR((BS86-BN86)/(BS85-BN85),"")</f>
        <v>0.630546075085324</v>
      </c>
      <c r="BT89" s="215">
        <f>IFERROR((BT86-BO86)/(BT85-BO85),"")</f>
        <v>0.627737226277372</v>
      </c>
      <c r="BU89" s="215">
        <f>IFERROR((BU86-BP86)/(BU85-BP85),"")</f>
        <v>0.657555049354594</v>
      </c>
      <c r="BV89" s="215">
        <f>IFERROR((BV86-BQ86)/(BV85-BQ85),"")</f>
        <v>0.637759515570934</v>
      </c>
      <c r="BW89" s="215">
        <f>IFERROR((BW86-BR86)/(BW85-BR85),"")</f>
        <v>0.704703832752613</v>
      </c>
      <c r="BX89" s="215">
        <f>IFERROR((BX86-BS86)/(BX85-BS85),"")</f>
        <v>0.695804195804196</v>
      </c>
      <c r="BY89" s="256">
        <f>IFERROR((BY86-BT86)/(BY85-BT85),"")</f>
        <v>0.603355447648773</v>
      </c>
      <c r="BZ89" s="256">
        <f>IFERROR((BZ86-BU86)/(BZ85-BU85),"")</f>
        <v>0.597806891002858</v>
      </c>
      <c r="CA89" s="256">
        <f>IFERROR((CA86-BV86)/(CA85-BV85),"")</f>
        <v>0.652151617934912</v>
      </c>
      <c r="CB89" s="256">
        <f>IFERROR((CB86-CA86)/(CB85-CA85),"")</f>
        <v>0.63036501176291</v>
      </c>
      <c r="CC89" s="256">
        <f>IFERROR((CC86-CB86)/(CC85-CB85),"")</f>
        <v>0.637176404103408</v>
      </c>
      <c r="CD89" s="256">
        <f>IFERROR((CD86-CC86)/(CD85-CC85),"")</f>
        <v>0.64380311601544</v>
      </c>
      <c r="CE89" s="256">
        <f>IFERROR((CE86-CD86)/(CE85-CD85),"")</f>
        <v>0.650522341293976</v>
      </c>
      <c r="CF89" s="153" t="n"/>
    </row>
    <row r="90" ht="15" customHeight="1" s="251">
      <c r="B90" s="57" t="inlineStr">
        <is>
          <t xml:space="preserve">  Check: build vs adjusted operating income bridge (should be 0)</t>
        </is>
      </c>
      <c r="C90" s="211">
        <f>IF(AND(ISNUMBER(C86),ISNUMBER(C170)),IF(ABS(C86-C170)&lt;=1.1,0,ROUND(C86-C170,0)),"")</f>
        <v>0</v>
      </c>
      <c r="D90" s="211">
        <f>IF(AND(ISNUMBER(D86),ISNUMBER(D170)),IF(ABS(D86-D170)&lt;=1.1,0,ROUND(D86-D170,0)),"")</f>
        <v>0</v>
      </c>
      <c r="E90" s="211">
        <f>IF(AND(ISNUMBER(E86),ISNUMBER(E170)),IF(ABS(E86-E170)&lt;=1.1,0,ROUND(E86-E170,0)),"")</f>
        <v>0</v>
      </c>
      <c r="F90" s="211">
        <f>IF(AND(ISNUMBER(F86),ISNUMBER(F170)),IF(ABS(F86-F170)&lt;=1.1,0,ROUND(F86-F170,0)),"")</f>
        <v>0</v>
      </c>
      <c r="G90" s="211">
        <f>IF(AND(ISNUMBER(G86),ISNUMBER(G170)),IF(ABS(G86-G170)&lt;=1.1,0,ROUND(G86-G170,0)),"")</f>
        <v>0</v>
      </c>
      <c r="H90" s="211">
        <f>IF(AND(ISNUMBER(H86),ISNUMBER(H170)),IF(ABS(H86-H170)&lt;=1.1,0,ROUND(H86-H170,0)),"")</f>
        <v>0</v>
      </c>
      <c r="I90" s="211">
        <f>IF(AND(ISNUMBER(I86),ISNUMBER(I170)),IF(ABS(I86-I170)&lt;=1.1,0,ROUND(I86-I170,0)),"")</f>
        <v>0</v>
      </c>
      <c r="J90" s="211">
        <f>IF(AND(ISNUMBER(J86),ISNUMBER(J170)),IF(ABS(J86-J170)&lt;=1.1,0,ROUND(J86-J170,0)),"")</f>
        <v>0</v>
      </c>
      <c r="K90" s="211">
        <f>IF(AND(ISNUMBER(K86),ISNUMBER(K170)),IF(ABS(K86-K170)&lt;=1.1,0,ROUND(K86-K170,0)),"")</f>
        <v>0</v>
      </c>
      <c r="L90" s="211">
        <f>IF(AND(ISNUMBER(L86),ISNUMBER(L170)),IF(ABS(L86-L170)&lt;=1.1,0,ROUND(L86-L170,0)),"")</f>
        <v>0</v>
      </c>
      <c r="M90" s="211">
        <f>IF(AND(ISNUMBER(M86),ISNUMBER(M170)),IF(ABS(M86-M170)&lt;=1.1,0,ROUND(M86-M170,0)),"")</f>
        <v>0</v>
      </c>
      <c r="N90" s="211">
        <f>IF(AND(ISNUMBER(N86),ISNUMBER(N170)),IF(ABS(N86-N170)&lt;=1.1,0,ROUND(N86-N170,0)),"")</f>
        <v>0</v>
      </c>
      <c r="O90" s="211">
        <f>IF(AND(ISNUMBER(O86),ISNUMBER(O170)),IF(ABS(O86-O170)&lt;=1.1,0,ROUND(O86-O170,0)),"")</f>
        <v>0</v>
      </c>
      <c r="P90" s="211">
        <f>IF(AND(ISNUMBER(P86),ISNUMBER(P170)),IF(ABS(P86-P170)&lt;=1.1,0,ROUND(P86-P170,0)),"")</f>
        <v>0</v>
      </c>
      <c r="Q90" s="211">
        <f>IF(AND(ISNUMBER(Q86),ISNUMBER(Q170)),IF(ABS(Q86-Q170)&lt;=1.1,0,ROUND(Q86-Q170,0)),"")</f>
        <v>0</v>
      </c>
      <c r="R90" s="211">
        <f>IF(AND(ISNUMBER(R86),ISNUMBER(R170)),IF(ABS(R86-R170)&lt;=1.1,0,ROUND(R86-R170,0)),"")</f>
        <v>0</v>
      </c>
      <c r="S90" s="211">
        <f>IF(AND(ISNUMBER(S86),ISNUMBER(S170)),IF(ABS(S86-S170)&lt;=1.1,0,ROUND(S86-S170,0)),"")</f>
        <v>0</v>
      </c>
      <c r="T90" s="211">
        <f>IF(AND(ISNUMBER(T86),ISNUMBER(T170)),IF(ABS(T86-T170)&lt;=1.1,0,ROUND(T86-T170,0)),"")</f>
        <v>0</v>
      </c>
      <c r="U90" s="211">
        <f>IF(AND(ISNUMBER(U86),ISNUMBER(U170)),IF(ABS(U86-U170)&lt;=1.1,0,ROUND(U86-U170,0)),"")</f>
        <v>0</v>
      </c>
      <c r="V90" s="211">
        <f>IF(AND(ISNUMBER(V86),ISNUMBER(V170)),IF(ABS(V86-V170)&lt;=1.1,0,ROUND(V86-V170,0)),"")</f>
        <v>0</v>
      </c>
      <c r="W90" s="211">
        <f>IF(AND(ISNUMBER(W86),ISNUMBER(W170)),IF(ABS(W86-W170)&lt;=1.1,0,ROUND(W86-W170,0)),"")</f>
        <v>0</v>
      </c>
      <c r="X90" s="211">
        <f>IF(AND(ISNUMBER(X86),ISNUMBER(X170)),IF(ABS(X86-X170)&lt;=1.1,0,ROUND(X86-X170,0)),"")</f>
        <v>0</v>
      </c>
      <c r="Y90" s="211">
        <f>IF(AND(ISNUMBER(Y86),ISNUMBER(Y170)),IF(ABS(Y86-Y170)&lt;=1.1,0,ROUND(Y86-Y170,0)),"")</f>
        <v>0</v>
      </c>
      <c r="Z90" s="211">
        <f>IF(AND(ISNUMBER(Z86),ISNUMBER(Z170)),IF(ABS(Z86-Z170)&lt;=1.1,0,ROUND(Z86-Z170,0)),"")</f>
        <v>0</v>
      </c>
      <c r="AA90" s="211">
        <f>IF(AND(ISNUMBER(AA86),ISNUMBER(AA170)),IF(ABS(AA86-AA170)&lt;=1.1,0,ROUND(AA86-AA170,0)),"")</f>
        <v>0</v>
      </c>
      <c r="AB90" s="211">
        <f>IF(AND(ISNUMBER(AB86),ISNUMBER(AB170)),IF(ABS(AB86-AB170)&lt;=1.1,0,ROUND(AB86-AB170,0)),"")</f>
        <v>0</v>
      </c>
      <c r="AC90" s="211">
        <f>IF(AND(ISNUMBER(AC86),ISNUMBER(AC170)),IF(ABS(AC86-AC170)&lt;=1.1,0,ROUND(AC86-AC170,0)),"")</f>
        <v>0</v>
      </c>
      <c r="AD90" s="211">
        <f>IF(AND(ISNUMBER(AD86),ISNUMBER(AD170)),IF(ABS(AD86-AD170)&lt;=1.1,0,ROUND(AD86-AD170,0)),"")</f>
        <v>0</v>
      </c>
      <c r="AE90" s="211">
        <f>IF(AND(ISNUMBER(AE86),ISNUMBER(AE170)),IF(ABS(AE86-AE170)&lt;=1.1,0,ROUND(AE86-AE170,0)),"")</f>
        <v>0</v>
      </c>
      <c r="AF90" s="211">
        <f>IF(AND(ISNUMBER(AF86),ISNUMBER(AF170)),IF(ABS(AF86-AF170)&lt;=1.1,0,ROUND(AF86-AF170,0)),"")</f>
        <v>0</v>
      </c>
      <c r="AG90" s="211">
        <f>IF(AND(ISNUMBER(AG86),ISNUMBER(AG170)),IF(ABS(AG86-AG170)&lt;=1.1,0,ROUND(AG86-AG170,0)),"")</f>
        <v>0</v>
      </c>
      <c r="AH90" s="211">
        <f>IF(AND(ISNUMBER(AH86),ISNUMBER(AH170)),IF(ABS(AH86-AH170)&lt;=1.1,0,ROUND(AH86-AH170,0)),"")</f>
        <v>0</v>
      </c>
      <c r="AI90" s="211">
        <f>IF(AND(ISNUMBER(AI86),ISNUMBER(AI170)),IF(ABS(AI86-AI170)&lt;=1.1,0,ROUND(AI86-AI170,0)),"")</f>
        <v>0</v>
      </c>
      <c r="AJ90" s="211">
        <f>IF(AND(ISNUMBER(AJ86),ISNUMBER(AJ170)),IF(ABS(AJ86-AJ170)&lt;=1.1,0,ROUND(AJ86-AJ170,0)),"")</f>
        <v>0</v>
      </c>
      <c r="AK90" s="211">
        <f>IF(AND(ISNUMBER(AK86),ISNUMBER(AK170)),IF(ABS(AK86-AK170)&lt;=1.1,0,ROUND(AK86-AK170,0)),"")</f>
        <v>0</v>
      </c>
      <c r="AL90" s="211">
        <f>IF(AND(ISNUMBER(AL86),ISNUMBER(AL170)),IF(ABS(AL86-AL170)&lt;=1.1,0,ROUND(AL86-AL170,0)),"")</f>
        <v>0</v>
      </c>
      <c r="AM90" s="211">
        <f>IF(AND(ISNUMBER(AM86),ISNUMBER(AM170)),IF(ABS(AM86-AM170)&lt;=1.1,0,ROUND(AM86-AM170,0)),"")</f>
        <v>0</v>
      </c>
      <c r="AN90" s="211">
        <f>IF(AND(ISNUMBER(AN86),ISNUMBER(AN170)),IF(ABS(AN86-AN170)&lt;=1.1,0,ROUND(AN86-AN170,0)),"")</f>
        <v>0</v>
      </c>
      <c r="AO90" s="211">
        <f>IF(AND(ISNUMBER(AO86),ISNUMBER(AO170)),IF(ABS(AO86-AO170)&lt;=1.1,0,ROUND(AO86-AO170,0)),"")</f>
        <v>0</v>
      </c>
      <c r="AP90" s="211">
        <f>IF(AND(ISNUMBER(AP86),ISNUMBER(AP170)),IF(ABS(AP86-AP170)&lt;=1.1,0,ROUND(AP86-AP170,0)),"")</f>
        <v>0</v>
      </c>
      <c r="AQ90" s="211">
        <f>IF(AND(ISNUMBER(AQ86),ISNUMBER(AQ170)),IF(ABS(AQ86-AQ170)&lt;=1.1,0,ROUND(AQ86-AQ170,0)),"")</f>
        <v>0</v>
      </c>
      <c r="AR90" s="211">
        <f>IF(AND(ISNUMBER(AR86),ISNUMBER(AR170)),IF(ABS(AR86-AR170)&lt;=1.1,0,ROUND(AR86-AR170,0)),"")</f>
        <v>0</v>
      </c>
      <c r="AS90" s="211">
        <f>IF(AND(ISNUMBER(AS86),ISNUMBER(AS170)),IF(ABS(AS86-AS170)&lt;=1.1,0,ROUND(AS86-AS170,0)),"")</f>
        <v>0</v>
      </c>
      <c r="AT90" s="211">
        <f>IF(AND(ISNUMBER(AT86),ISNUMBER(AT170)),IF(ABS(AT86-AT170)&lt;=1.1,0,ROUND(AT86-AT170,0)),"")</f>
        <v>0</v>
      </c>
      <c r="AU90" s="211">
        <f>IF(AND(ISNUMBER(AU86),ISNUMBER(AU170)),IF(ABS(AU86-AU170)&lt;=1.1,0,ROUND(AU86-AU170,0)),"")</f>
        <v>0</v>
      </c>
      <c r="AV90" s="211">
        <f>IF(AND(ISNUMBER(AV86),ISNUMBER(AV170)),IF(ABS(AV86-AV170)&lt;=1.1,0,ROUND(AV86-AV170,0)),"")</f>
        <v>0</v>
      </c>
      <c r="AW90" s="211">
        <f>IF(AND(ISNUMBER(AW86),ISNUMBER(AW170)),IF(ABS(AW86-AW170)&lt;=1.1,0,ROUND(AW86-AW170,0)),"")</f>
        <v>0</v>
      </c>
      <c r="AX90" s="211">
        <f>IF(AND(ISNUMBER(AX86),ISNUMBER(AX170)),IF(ABS(AX86-AX170)&lt;=1.1,0,ROUND(AX86-AX170,0)),"")</f>
        <v>0</v>
      </c>
      <c r="AY90" s="211">
        <f>IF(AND(ISNUMBER(AY86),ISNUMBER(AY170)),IF(ABS(AY86-AY170)&lt;=1.1,0,ROUND(AY86-AY170,0)),"")</f>
        <v>0</v>
      </c>
      <c r="AZ90" s="211">
        <f>IF(AND(ISNUMBER(AZ86),ISNUMBER(AZ170)),IF(ABS(AZ86-AZ170)&lt;=1.1,0,ROUND(AZ86-AZ170,0)),"")</f>
        <v>0</v>
      </c>
      <c r="BA90" s="211">
        <f>IF(AND(ISNUMBER(BA86),ISNUMBER(BA170)),IF(ABS(BA86-BA170)&lt;=1.1,0,ROUND(BA86-BA170,0)),"")</f>
        <v>0</v>
      </c>
      <c r="BB90" s="211">
        <f>IF(AND(ISNUMBER(BB86),ISNUMBER(BB170)),IF(ABS(BB86-BB170)&lt;=1.1,0,ROUND(BB86-BB170,0)),"")</f>
        <v>0</v>
      </c>
      <c r="BC90" s="211">
        <f>IF(AND(ISNUMBER(BC86),ISNUMBER(BC170)),IF(ABS(BC86-BC170)&lt;=1.1,0,ROUND(BC86-BC170,0)),"")</f>
        <v>0</v>
      </c>
      <c r="BD90" s="211">
        <f>IF(AND(ISNUMBER(BD86),ISNUMBER(BD170)),IF(ABS(BD86-BD170)&lt;=1.1,0,ROUND(BD86-BD170,0)),"")</f>
        <v>0</v>
      </c>
      <c r="BE90" s="211">
        <f>IF(AND(ISNUMBER(BE86),ISNUMBER(BE170)),IF(ABS(BE86-BE170)&lt;=1.1,0,ROUND(BE86-BE170,0)),"")</f>
        <v>0</v>
      </c>
      <c r="BF90" s="211">
        <f>IF(AND(ISNUMBER(BF86),ISNUMBER(BF170)),IF(ABS(BF86-BF170)&lt;=1.1,0,ROUND(BF86-BF170,0)),"")</f>
        <v>0</v>
      </c>
      <c r="BG90" s="211">
        <f>IF(AND(ISNUMBER(BG86),ISNUMBER(BG170)),IF(ABS(BG86-BG170)&lt;=1.1,0,ROUND(BG86-BG170,0)),"")</f>
        <v>0</v>
      </c>
      <c r="BH90" s="211">
        <f>IF(AND(ISNUMBER(BH86),ISNUMBER(BH170)),IF(ABS(BH86-BH170)&lt;=1.1,0,ROUND(BH86-BH170,0)),"")</f>
        <v>0</v>
      </c>
      <c r="BI90" s="211">
        <f>IF(AND(ISNUMBER(BI86),ISNUMBER(BI170)),IF(ABS(BI86-BI170)&lt;=1.1,0,ROUND(BI86-BI170,0)),"")</f>
        <v>0</v>
      </c>
      <c r="BJ90" s="211">
        <f>IF(AND(ISNUMBER(BJ86),ISNUMBER(BJ170)),IF(ABS(BJ86-BJ170)&lt;=1.1,0,ROUND(BJ86-BJ170,0)),"")</f>
        <v>0</v>
      </c>
      <c r="BK90" s="211">
        <f>IF(AND(ISNUMBER(BK86),ISNUMBER(BK170)),IF(ABS(BK86-BK170)&lt;=1.1,0,ROUND(BK86-BK170,0)),"")</f>
        <v>0</v>
      </c>
      <c r="BL90" s="211">
        <f>IF(AND(ISNUMBER(BL86),ISNUMBER(BL170)),IF(ABS(BL86-BL170)&lt;=1.1,0,ROUND(BL86-BL170,0)),"")</f>
        <v>0</v>
      </c>
      <c r="BM90" s="211">
        <f>IF(AND(ISNUMBER(BM86),ISNUMBER(BM170)),IF(ABS(BM86-BM170)&lt;=1.1,0,ROUND(BM86-BM170,0)),"")</f>
        <v>0</v>
      </c>
      <c r="BN90" s="211">
        <f>IF(AND(ISNUMBER(BN86),ISNUMBER(BN170)),IF(ABS(BN86-BN170)&lt;=1.1,0,ROUND(BN86-BN170,0)),"")</f>
        <v>0</v>
      </c>
      <c r="BO90" s="211">
        <f>IF(AND(ISNUMBER(BO86),ISNUMBER(BO170)),IF(ABS(BO86-BO170)&lt;=1.1,0,ROUND(BO86-BO170,0)),"")</f>
        <v>0</v>
      </c>
      <c r="BP90" s="211">
        <f>IF(AND(ISNUMBER(BP86),ISNUMBER(BP170)),IF(ABS(BP86-BP170)&lt;=1.1,0,ROUND(BP86-BP170,0)),"")</f>
        <v>0</v>
      </c>
      <c r="BQ90" s="211">
        <f>IF(AND(ISNUMBER(BQ86),ISNUMBER(BQ170)),IF(ABS(BQ86-BQ170)&lt;=1.1,0,ROUND(BQ86-BQ170,0)),"")</f>
        <v>0</v>
      </c>
      <c r="BR90" s="211">
        <f>IF(AND(ISNUMBER(BR86),ISNUMBER(BR170)),IF(ABS(BR86-BR170)&lt;=1.1,0,ROUND(BR86-BR170,0)),"")</f>
        <v>0</v>
      </c>
      <c r="BS90" s="211">
        <f>IF(AND(ISNUMBER(BS86),ISNUMBER(BS170)),IF(ABS(BS86-BS170)&lt;=1.1,0,ROUND(BS86-BS170,0)),"")</f>
        <v>0</v>
      </c>
      <c r="BT90" s="211">
        <f>IF(AND(ISNUMBER(BT86),ISNUMBER(BT170)),IF(ABS(BT86-BT170)&lt;=1.1,0,ROUND(BT86-BT170,0)),"")</f>
        <v>0</v>
      </c>
      <c r="BU90" s="211">
        <f>IF(AND(ISNUMBER(BU86),ISNUMBER(BU170)),IF(ABS(BU86-BU170)&lt;=1.1,0,ROUND(BU86-BU170,0)),"")</f>
        <v>0</v>
      </c>
      <c r="BV90" s="211">
        <f>IF(AND(ISNUMBER(BV86),ISNUMBER(BV170)),IF(ABS(BV86-BV170)&lt;=1.1,0,ROUND(BV86-BV170,0)),"")</f>
        <v>0</v>
      </c>
      <c r="BW90" s="211">
        <f>IF(AND(ISNUMBER(BW86),ISNUMBER(BW170)),IF(ABS(BW86-BW170)&lt;=1.1,0,ROUND(BW86-BW170,0)),"")</f>
        <v>0</v>
      </c>
      <c r="BX90" s="211">
        <f>IF(AND(ISNUMBER(BX86),ISNUMBER(BX170)),IF(ABS(BX86-BX170)&lt;=1.1,0,ROUND(BX86-BX170,0)),"")</f>
        <v>0</v>
      </c>
      <c r="BY90" s="274">
        <f>IF(AND(ISNUMBER(BY86),ISNUMBER(BY170)),IF(ABS(BY86-BY170)&lt;=1.1,0,ROUND(BY86-BY170,0)),"")</f>
        <v>0</v>
      </c>
      <c r="BZ90" s="274">
        <f>IF(AND(ISNUMBER(BZ86),ISNUMBER(BZ170)),IF(ABS(BZ86-BZ170)&lt;=1.1,0,ROUND(BZ86-BZ170,0)),"")</f>
        <v>0</v>
      </c>
      <c r="CA90" s="274">
        <f>IF(AND(ISNUMBER(CA86),ISNUMBER(CA170)),IF(ABS(CA86-CA170)&lt;=1.1,0,ROUND(CA86-CA170,0)),"")</f>
        <v>0</v>
      </c>
      <c r="CB90" s="274">
        <f>IF(AND(ISNUMBER(CB86),ISNUMBER(CB170)),IF(ABS(CB86-CB170)&lt;=1.1,0,ROUND(CB86-CB170,0)),"")</f>
        <v>0</v>
      </c>
      <c r="CC90" s="274">
        <f>IF(AND(ISNUMBER(CC86),ISNUMBER(CC170)),IF(ABS(CC86-CC170)&lt;=1.1,0,ROUND(CC86-CC170,0)),"")</f>
        <v>0</v>
      </c>
      <c r="CD90" s="274">
        <f>IF(AND(ISNUMBER(CD86),ISNUMBER(CD170)),IF(ABS(CD86-CD170)&lt;=1.1,0,ROUND(CD86-CD170,0)),"")</f>
        <v>0</v>
      </c>
      <c r="CE90" s="274">
        <f>IF(AND(ISNUMBER(CE86),ISNUMBER(CE170)),IF(ABS(CE86-CE170)&lt;=1.1,0,ROUND(CE86-CE170,0)),"")</f>
        <v>0</v>
      </c>
      <c r="CF90" s="153" t="n"/>
    </row>
    <row r="91" ht="15" customHeight="1" s="251">
      <c r="B91" s="25" t="inlineStr">
        <is>
          <t xml:space="preserve">  FY26 calibration (Q3/Q4-26E; deltas in the 2026E column):</t>
        </is>
      </c>
      <c r="CF91" s="153" t="n"/>
    </row>
    <row r="92" ht="15" customHeight="1" s="251">
      <c r="B92" s="156" t="inlineStr">
        <is>
          <t xml:space="preserve">  Memo: FY26 net revenue end-point (FY2025 × (1 + guided reported growth); scenario) — UNVERIFIED guidance</t>
        </is>
      </c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  <c r="AA92" s="34" t="n"/>
      <c r="AB92" s="34" t="n"/>
      <c r="AC92" s="34" t="n"/>
      <c r="AD92" s="34" t="n"/>
      <c r="AE92" s="34" t="n"/>
      <c r="AF92" s="34" t="n"/>
      <c r="AG92" s="34" t="n"/>
      <c r="AH92" s="34" t="n"/>
      <c r="AI92" s="34" t="n"/>
      <c r="AJ92" s="34" t="n"/>
      <c r="AK92" s="34" t="n"/>
      <c r="AL92" s="34" t="n"/>
      <c r="AM92" s="34" t="n"/>
      <c r="AN92" s="34" t="n"/>
      <c r="AO92" s="34" t="n"/>
      <c r="AP92" s="34" t="n"/>
      <c r="AQ92" s="34" t="n"/>
      <c r="AR92" s="34" t="n"/>
      <c r="AS92" s="34" t="n"/>
      <c r="AT92" s="34" t="n"/>
      <c r="AU92" s="34" t="n"/>
      <c r="AV92" s="34" t="n"/>
      <c r="AW92" s="34" t="n"/>
      <c r="AX92" s="34" t="n"/>
      <c r="AY92" s="34" t="n"/>
      <c r="AZ92" s="34" t="n"/>
      <c r="BA92" s="34" t="n"/>
      <c r="BB92" s="34" t="n"/>
      <c r="BC92" s="34" t="n"/>
      <c r="BD92" s="34" t="n"/>
      <c r="BE92" s="34" t="n"/>
      <c r="BF92" s="34" t="n"/>
      <c r="BG92" s="34" t="n"/>
      <c r="BH92" s="34" t="n"/>
      <c r="BI92" s="34" t="n"/>
      <c r="BJ92" s="34" t="n"/>
      <c r="BK92" s="34" t="n"/>
      <c r="BL92" s="34" t="n"/>
      <c r="BM92" s="34" t="n"/>
      <c r="BN92" s="34" t="n"/>
      <c r="BO92" s="34" t="n"/>
      <c r="BP92" s="34" t="n"/>
      <c r="BQ92" s="34" t="n"/>
      <c r="BR92" s="34" t="n"/>
      <c r="BS92" s="34" t="n"/>
      <c r="BT92" s="34" t="n"/>
      <c r="BU92" s="34" t="n"/>
      <c r="BV92" s="34" t="n"/>
      <c r="BW92" s="34" t="n"/>
      <c r="BX92" s="34" t="n"/>
      <c r="BY92" s="153" t="n"/>
      <c r="BZ92" s="153" t="n"/>
      <c r="CA92" s="274">
        <f>BV123*(1+CHOOSE(MATCH($CF$2,{"Bull","Base","Bear"},0),$CO$12,$CP$12,$CQ$12))</f>
        <v>37217.785</v>
      </c>
      <c r="CB92" s="153" t="n"/>
      <c r="CC92" s="153" t="n"/>
      <c r="CD92" s="153" t="n"/>
      <c r="CE92" s="153" t="n"/>
      <c r="CF92" s="153" t="inlineStr">
        <is>
          <t>FY26 net revenue growth at the high end of a low-double-digits rate (raised: higher within the range than prior expectations), currency-neutral, excluding acquisitions; FX ~1 ppt tailwind. Q3-26: high end of low double digits currency-neutral ex-acquisitions. UNVERIFIED — given on the Q2-26 earnings call (30-Jul-2026), not in any SEC filing (the 8-K Ex. 99.1 release has no outlook; slide decks are no longer furnished). Wording from third-party call transcripts (Yahoo Finance / Motley Fool / Globe and Mail / Investing.com) found by web search; investor.mastercard.com is not reachable from the build environment.</t>
        </is>
      </c>
    </row>
    <row r="93" ht="15" customHeight="1" s="251">
      <c r="B93" s="25" t="inlineStr">
        <is>
          <t xml:space="preserve">  Net revenue before calibration (Q3/Q4-26E helper; 2026E = Σ)</t>
        </is>
      </c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  <c r="AA93" s="34" t="n"/>
      <c r="AB93" s="34" t="n"/>
      <c r="AC93" s="34" t="n"/>
      <c r="AD93" s="34" t="n"/>
      <c r="AE93" s="34" t="n"/>
      <c r="AF93" s="34" t="n"/>
      <c r="AG93" s="34" t="n"/>
      <c r="AH93" s="34" t="n"/>
      <c r="AI93" s="34" t="n"/>
      <c r="AJ93" s="34" t="n"/>
      <c r="AK93" s="34" t="n"/>
      <c r="AL93" s="34" t="n"/>
      <c r="AM93" s="34" t="n"/>
      <c r="AN93" s="34" t="n"/>
      <c r="AO93" s="34" t="n"/>
      <c r="AP93" s="34" t="n"/>
      <c r="AQ93" s="34" t="n"/>
      <c r="AR93" s="34" t="n"/>
      <c r="AS93" s="34" t="n"/>
      <c r="AT93" s="34" t="n"/>
      <c r="AU93" s="34" t="n"/>
      <c r="AV93" s="34" t="n"/>
      <c r="AW93" s="34" t="n"/>
      <c r="AX93" s="34" t="n"/>
      <c r="AY93" s="34" t="n"/>
      <c r="AZ93" s="34" t="n"/>
      <c r="BA93" s="34" t="n"/>
      <c r="BB93" s="34" t="n"/>
      <c r="BC93" s="34" t="n"/>
      <c r="BD93" s="34" t="n"/>
      <c r="BE93" s="34" t="n"/>
      <c r="BF93" s="34" t="n"/>
      <c r="BG93" s="34" t="n"/>
      <c r="BH93" s="34" t="n"/>
      <c r="BI93" s="34" t="n"/>
      <c r="BJ93" s="34" t="n"/>
      <c r="BK93" s="34" t="n"/>
      <c r="BL93" s="34" t="n"/>
      <c r="BM93" s="34" t="n"/>
      <c r="BN93" s="34" t="n"/>
      <c r="BO93" s="34" t="n"/>
      <c r="BP93" s="34" t="n"/>
      <c r="BQ93" s="34" t="n"/>
      <c r="BR93" s="34" t="n"/>
      <c r="BS93" s="34" t="n"/>
      <c r="BT93" s="34" t="n"/>
      <c r="BU93" s="34" t="n"/>
      <c r="BV93" s="34" t="n"/>
      <c r="BW93" s="34" t="n"/>
      <c r="BX93" s="34" t="n"/>
      <c r="BY93" s="254">
        <f>BT20*(1+BY22)+BT29*(1+BY31)</f>
        <v>9890.270824089</v>
      </c>
      <c r="BZ93" s="254">
        <f>BU20*(1+BZ22)+BU29*(1+BZ31)</f>
        <v>10163.9461557248</v>
      </c>
      <c r="CA93" s="254">
        <f>(BY93+BZ93)</f>
        <v>20054.2169798138</v>
      </c>
      <c r="CB93" s="35" t="n"/>
      <c r="CC93" s="35" t="n"/>
      <c r="CD93" s="35" t="n"/>
      <c r="CE93" s="35" t="n"/>
      <c r="CF93" s="19" t="n"/>
    </row>
    <row r="94" ht="15" customHeight="1" s="251">
      <c r="B94" s="25" t="inlineStr">
        <is>
          <t xml:space="preserve">  Net revenue sensitivity to +1.00 of growth (Q3/Q4-26E helper; 2026E = Σ)</t>
        </is>
      </c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254">
        <f>BT20+BT29</f>
        <v>8602</v>
      </c>
      <c r="BZ94" s="254">
        <f>BU20+BU29</f>
        <v>8806</v>
      </c>
      <c r="CA94" s="254">
        <f>(BY94+BZ94)</f>
        <v>17408</v>
      </c>
      <c r="CB94" s="35" t="n"/>
      <c r="CC94" s="35" t="n"/>
      <c r="CD94" s="35" t="n"/>
      <c r="CE94" s="35" t="n"/>
      <c r="CF94" s="19" t="n"/>
    </row>
    <row r="95" ht="15" customHeight="1" s="251">
      <c r="B95" s="25" t="inlineStr">
        <is>
          <t xml:space="preserve">  Calibration: Δ y/y growth applied to payment network and value-added services (Q3/Q4-26E)</t>
        </is>
      </c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6" t="n"/>
      <c r="AZ95" s="36" t="n"/>
      <c r="BA95" s="36" t="n"/>
      <c r="BB95" s="36" t="n"/>
      <c r="BC95" s="36" t="n"/>
      <c r="BD95" s="36" t="n"/>
      <c r="BE95" s="36" t="n"/>
      <c r="BF95" s="36" t="n"/>
      <c r="BG95" s="36" t="n"/>
      <c r="BH95" s="36" t="n"/>
      <c r="BI95" s="36" t="n"/>
      <c r="BJ95" s="36" t="n"/>
      <c r="BK95" s="36" t="n"/>
      <c r="BL95" s="36" t="n"/>
      <c r="BM95" s="36" t="n"/>
      <c r="BN95" s="36" t="n"/>
      <c r="BO95" s="36" t="n"/>
      <c r="BP95" s="36" t="n"/>
      <c r="BQ95" s="36" t="n"/>
      <c r="BR95" s="36" t="n"/>
      <c r="BS95" s="36" t="n"/>
      <c r="BT95" s="36" t="n"/>
      <c r="BU95" s="36" t="n"/>
      <c r="BV95" s="36" t="n"/>
      <c r="BW95" s="36" t="n"/>
      <c r="BX95" s="36" t="n"/>
      <c r="BY95" s="24" t="n"/>
      <c r="BZ95" s="24" t="n"/>
      <c r="CA95" s="256">
        <f>(CA92-SUM(BW77:BX77)-CA93)/CA94</f>
        <v>-0.0293791348698161</v>
      </c>
      <c r="CB95" s="46" t="n"/>
      <c r="CC95" s="46" t="n"/>
      <c r="CD95" s="46" t="n"/>
      <c r="CE95" s="46" t="n"/>
      <c r="CF95" s="19" t="inlineStr">
        <is>
          <t>Closed-form solve: the uniform growth shift (vs H1-26 y/y rates) so that FY26 organic net revenue = the guidance end-point for the active scenario.</t>
        </is>
      </c>
    </row>
    <row r="96" ht="15" customHeight="1" s="251">
      <c r="B96" s="57" t="inlineStr">
        <is>
          <t xml:space="preserve">  Check: FY26 organic net revenue vs guidance end-point (should be 0)</t>
        </is>
      </c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44" t="n"/>
      <c r="AN96" s="44" t="n"/>
      <c r="AO96" s="44" t="n"/>
      <c r="AP96" s="44" t="n"/>
      <c r="AQ96" s="44" t="n"/>
      <c r="AR96" s="44" t="n"/>
      <c r="AS96" s="44" t="n"/>
      <c r="AT96" s="44" t="n"/>
      <c r="AU96" s="44" t="n"/>
      <c r="AV96" s="44" t="n"/>
      <c r="AW96" s="44" t="n"/>
      <c r="AX96" s="44" t="n"/>
      <c r="AY96" s="44" t="n"/>
      <c r="AZ96" s="44" t="n"/>
      <c r="BA96" s="44" t="n"/>
      <c r="BB96" s="44" t="n"/>
      <c r="BC96" s="44" t="n"/>
      <c r="BD96" s="44" t="n"/>
      <c r="BE96" s="44" t="n"/>
      <c r="BF96" s="44" t="n"/>
      <c r="BG96" s="44" t="n"/>
      <c r="BH96" s="44" t="n"/>
      <c r="BI96" s="44" t="n"/>
      <c r="BJ96" s="44" t="n"/>
      <c r="BK96" s="44" t="n"/>
      <c r="BL96" s="44" t="n"/>
      <c r="BM96" s="44" t="n"/>
      <c r="BN96" s="44" t="n"/>
      <c r="BO96" s="44" t="n"/>
      <c r="BP96" s="44" t="n"/>
      <c r="BQ96" s="44" t="n"/>
      <c r="BR96" s="44" t="n"/>
      <c r="BS96" s="44" t="n"/>
      <c r="BT96" s="44" t="n"/>
      <c r="BU96" s="44" t="n"/>
      <c r="BV96" s="44" t="n"/>
      <c r="BW96" s="44" t="n"/>
      <c r="BX96" s="44" t="n"/>
      <c r="BY96" s="153" t="n"/>
      <c r="BZ96" s="153" t="n"/>
      <c r="CA96" s="274">
        <f>ROUND(CA77-N((BY56+BZ56))*N(CA54)-CA92,0)</f>
        <v>0</v>
      </c>
      <c r="CB96" s="153" t="n"/>
      <c r="CC96" s="153" t="n"/>
      <c r="CD96" s="153" t="n"/>
      <c r="CE96" s="153" t="n"/>
      <c r="CF96" s="153" t="n"/>
    </row>
    <row r="97" ht="15" customHeight="1" s="251">
      <c r="B97" s="156" t="inlineStr">
        <is>
          <t xml:space="preserve">  Memo: FY26 adjusted operating expenses end-point (FY2025 × (1 + guided growth); scenario) — UNVERIFIED guidance</t>
        </is>
      </c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  <c r="AA97" s="34" t="n"/>
      <c r="AB97" s="34" t="n"/>
      <c r="AC97" s="34" t="n"/>
      <c r="AD97" s="34" t="n"/>
      <c r="AE97" s="34" t="n"/>
      <c r="AF97" s="34" t="n"/>
      <c r="AG97" s="34" t="n"/>
      <c r="AH97" s="34" t="n"/>
      <c r="AI97" s="34" t="n"/>
      <c r="AJ97" s="34" t="n"/>
      <c r="AK97" s="34" t="n"/>
      <c r="AL97" s="34" t="n"/>
      <c r="AM97" s="34" t="n"/>
      <c r="AN97" s="34" t="n"/>
      <c r="AO97" s="34" t="n"/>
      <c r="AP97" s="34" t="n"/>
      <c r="AQ97" s="34" t="n"/>
      <c r="AR97" s="34" t="n"/>
      <c r="AS97" s="34" t="n"/>
      <c r="AT97" s="34" t="n"/>
      <c r="AU97" s="34" t="n"/>
      <c r="AV97" s="34" t="n"/>
      <c r="AW97" s="34" t="n"/>
      <c r="AX97" s="34" t="n"/>
      <c r="AY97" s="34" t="n"/>
      <c r="AZ97" s="34" t="n"/>
      <c r="BA97" s="34" t="n"/>
      <c r="BB97" s="34" t="n"/>
      <c r="BC97" s="34" t="n"/>
      <c r="BD97" s="34" t="n"/>
      <c r="BE97" s="34" t="n"/>
      <c r="BF97" s="34" t="n"/>
      <c r="BG97" s="34" t="n"/>
      <c r="BH97" s="34" t="n"/>
      <c r="BI97" s="34" t="n"/>
      <c r="BJ97" s="34" t="n"/>
      <c r="BK97" s="34" t="n"/>
      <c r="BL97" s="34" t="n"/>
      <c r="BM97" s="34" t="n"/>
      <c r="BN97" s="34" t="n"/>
      <c r="BO97" s="34" t="n"/>
      <c r="BP97" s="34" t="n"/>
      <c r="BQ97" s="34" t="n"/>
      <c r="BR97" s="34" t="n"/>
      <c r="BS97" s="34" t="n"/>
      <c r="BT97" s="34" t="n"/>
      <c r="BU97" s="34" t="n"/>
      <c r="BV97" s="34" t="n"/>
      <c r="BW97" s="34" t="n"/>
      <c r="BX97" s="34" t="n"/>
      <c r="BY97" s="153" t="n"/>
      <c r="BZ97" s="153" t="n"/>
      <c r="CA97" s="274">
        <f>BV82*(1+CHOOSE(MATCH($CF$2,{"Bull","Base","Bear"},0),$CO$13,$CP$13,$CQ$13))</f>
        <v>14929.85</v>
      </c>
      <c r="CB97" s="153" t="n"/>
      <c r="CC97" s="153" t="n"/>
      <c r="CD97" s="153" t="n"/>
      <c r="CE97" s="153" t="n"/>
      <c r="CF97" s="153" t="inlineStr">
        <is>
          <t>FY26 operating expense growth (adjusted, currency-neutral, ex-acquisitions) at a low-double-digits rate; FX 0.5–1 ppt headwind. Q3-26: low double digits. UNVERIFIED — given on the Q2-26 earnings call (30-Jul-2026), not in any SEC filing (the 8-K Ex. 99.1 release has no outlook; slide decks are no longer furnished). Wording from third-party call transcripts (Yahoo Finance / Motley Fool / Globe and Mail / Investing.com) found by web search; investor.mastercard.com is not reachable from the build environment.</t>
        </is>
      </c>
    </row>
    <row r="98" ht="15" customHeight="1" s="251">
      <c r="B98" s="25" t="inlineStr">
        <is>
          <t xml:space="preserve">  Adjusted opex before calibration (Q3/Q4-26E helper; 2026E = Σ)</t>
        </is>
      </c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  <c r="AA98" s="34" t="n"/>
      <c r="AB98" s="34" t="n"/>
      <c r="AC98" s="34" t="n"/>
      <c r="AD98" s="34" t="n"/>
      <c r="AE98" s="34" t="n"/>
      <c r="AF98" s="34" t="n"/>
      <c r="AG98" s="34" t="n"/>
      <c r="AH98" s="34" t="n"/>
      <c r="AI98" s="34" t="n"/>
      <c r="AJ98" s="34" t="n"/>
      <c r="AK98" s="34" t="n"/>
      <c r="AL98" s="34" t="n"/>
      <c r="AM98" s="34" t="n"/>
      <c r="AN98" s="34" t="n"/>
      <c r="AO98" s="34" t="n"/>
      <c r="AP98" s="34" t="n"/>
      <c r="AQ98" s="34" t="n"/>
      <c r="AR98" s="34" t="n"/>
      <c r="AS98" s="34" t="n"/>
      <c r="AT98" s="34" t="n"/>
      <c r="AU98" s="34" t="n"/>
      <c r="AV98" s="34" t="n"/>
      <c r="AW98" s="34" t="n"/>
      <c r="AX98" s="34" t="n"/>
      <c r="AY98" s="34" t="n"/>
      <c r="AZ98" s="34" t="n"/>
      <c r="BA98" s="34" t="n"/>
      <c r="BB98" s="34" t="n"/>
      <c r="BC98" s="34" t="n"/>
      <c r="BD98" s="34" t="n"/>
      <c r="BE98" s="34" t="n"/>
      <c r="BF98" s="34" t="n"/>
      <c r="BG98" s="34" t="n"/>
      <c r="BH98" s="34" t="n"/>
      <c r="BI98" s="34" t="n"/>
      <c r="BJ98" s="34" t="n"/>
      <c r="BK98" s="34" t="n"/>
      <c r="BL98" s="34" t="n"/>
      <c r="BM98" s="34" t="n"/>
      <c r="BN98" s="34" t="n"/>
      <c r="BO98" s="34" t="n"/>
      <c r="BP98" s="34" t="n"/>
      <c r="BQ98" s="34" t="n"/>
      <c r="BR98" s="34" t="n"/>
      <c r="BS98" s="34" t="n"/>
      <c r="BT98" s="34" t="n"/>
      <c r="BU98" s="34" t="n"/>
      <c r="BV98" s="34" t="n"/>
      <c r="BW98" s="34" t="n"/>
      <c r="BX98" s="34" t="n"/>
      <c r="BY98" s="254">
        <f>BT82*(1+BY84)</f>
        <v>3840.55169082126</v>
      </c>
      <c r="BZ98" s="254">
        <f>BU82*(1+BZ84)</f>
        <v>4133.75748792271</v>
      </c>
      <c r="CA98" s="254">
        <f>(BY98+BZ98)</f>
        <v>7974.30917874396</v>
      </c>
      <c r="CB98" s="35" t="n"/>
      <c r="CC98" s="35" t="n"/>
      <c r="CD98" s="35" t="n"/>
      <c r="CE98" s="35" t="n"/>
      <c r="CF98" s="19" t="n"/>
    </row>
    <row r="99" ht="15" customHeight="1" s="251">
      <c r="B99" s="25" t="inlineStr">
        <is>
          <t xml:space="preserve">  Adjusted opex sensitivity to +1.00 of growth (helper; 2026E = Σ)</t>
        </is>
      </c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  <c r="AA99" s="34" t="n"/>
      <c r="AB99" s="34" t="n"/>
      <c r="AC99" s="34" t="n"/>
      <c r="AD99" s="34" t="n"/>
      <c r="AE99" s="34" t="n"/>
      <c r="AF99" s="34" t="n"/>
      <c r="AG99" s="34" t="n"/>
      <c r="AH99" s="34" t="n"/>
      <c r="AI99" s="34" t="n"/>
      <c r="AJ99" s="34" t="n"/>
      <c r="AK99" s="34" t="n"/>
      <c r="AL99" s="34" t="n"/>
      <c r="AM99" s="34" t="n"/>
      <c r="AN99" s="34" t="n"/>
      <c r="AO99" s="34" t="n"/>
      <c r="AP99" s="34" t="n"/>
      <c r="AQ99" s="34" t="n"/>
      <c r="AR99" s="34" t="n"/>
      <c r="AS99" s="34" t="n"/>
      <c r="AT99" s="34" t="n"/>
      <c r="AU99" s="34" t="n"/>
      <c r="AV99" s="34" t="n"/>
      <c r="AW99" s="34" t="n"/>
      <c r="AX99" s="34" t="n"/>
      <c r="AY99" s="34" t="n"/>
      <c r="AZ99" s="34" t="n"/>
      <c r="BA99" s="34" t="n"/>
      <c r="BB99" s="34" t="n"/>
      <c r="BC99" s="34" t="n"/>
      <c r="BD99" s="34" t="n"/>
      <c r="BE99" s="34" t="n"/>
      <c r="BF99" s="34" t="n"/>
      <c r="BG99" s="34" t="n"/>
      <c r="BH99" s="34" t="n"/>
      <c r="BI99" s="34" t="n"/>
      <c r="BJ99" s="34" t="n"/>
      <c r="BK99" s="34" t="n"/>
      <c r="BL99" s="34" t="n"/>
      <c r="BM99" s="34" t="n"/>
      <c r="BN99" s="34" t="n"/>
      <c r="BO99" s="34" t="n"/>
      <c r="BP99" s="34" t="n"/>
      <c r="BQ99" s="34" t="n"/>
      <c r="BR99" s="34" t="n"/>
      <c r="BS99" s="34" t="n"/>
      <c r="BT99" s="34" t="n"/>
      <c r="BU99" s="34" t="n"/>
      <c r="BV99" s="34" t="n"/>
      <c r="BW99" s="34" t="n"/>
      <c r="BX99" s="34" t="n"/>
      <c r="BY99" s="254">
        <f>BT82</f>
        <v>3458</v>
      </c>
      <c r="BZ99" s="254">
        <f>BU82</f>
        <v>3722</v>
      </c>
      <c r="CA99" s="254">
        <f>(BY99+BZ99)</f>
        <v>7180</v>
      </c>
      <c r="CB99" s="35" t="n"/>
      <c r="CC99" s="35" t="n"/>
      <c r="CD99" s="35" t="n"/>
      <c r="CE99" s="35" t="n"/>
      <c r="CF99" s="19" t="n"/>
    </row>
    <row r="100" ht="15" customHeight="1" s="251">
      <c r="B100" s="25" t="inlineStr">
        <is>
          <t xml:space="preserve">  Calibration: Δ adjusted opex growth (Q3/Q4-26E)</t>
        </is>
      </c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  <c r="AV100" s="36" t="n"/>
      <c r="AW100" s="36" t="n"/>
      <c r="AX100" s="36" t="n"/>
      <c r="AY100" s="36" t="n"/>
      <c r="AZ100" s="36" t="n"/>
      <c r="BA100" s="36" t="n"/>
      <c r="BB100" s="36" t="n"/>
      <c r="BC100" s="36" t="n"/>
      <c r="BD100" s="36" t="n"/>
      <c r="BE100" s="36" t="n"/>
      <c r="BF100" s="36" t="n"/>
      <c r="BG100" s="36" t="n"/>
      <c r="BH100" s="36" t="n"/>
      <c r="BI100" s="36" t="n"/>
      <c r="BJ100" s="36" t="n"/>
      <c r="BK100" s="36" t="n"/>
      <c r="BL100" s="36" t="n"/>
      <c r="BM100" s="36" t="n"/>
      <c r="BN100" s="36" t="n"/>
      <c r="BO100" s="36" t="n"/>
      <c r="BP100" s="36" t="n"/>
      <c r="BQ100" s="36" t="n"/>
      <c r="BR100" s="36" t="n"/>
      <c r="BS100" s="36" t="n"/>
      <c r="BT100" s="36" t="n"/>
      <c r="BU100" s="36" t="n"/>
      <c r="BV100" s="36" t="n"/>
      <c r="BW100" s="36" t="n"/>
      <c r="BX100" s="36" t="n"/>
      <c r="BY100" s="24" t="n"/>
      <c r="BZ100" s="24" t="n"/>
      <c r="CA100" s="256">
        <f>(CA97-SUM(BW82:BX82)-CA98)/CA99</f>
        <v>0.0081533177236824</v>
      </c>
      <c r="CB100" s="46" t="n"/>
      <c r="CC100" s="46" t="n"/>
      <c r="CD100" s="46" t="n"/>
      <c r="CE100" s="46" t="n"/>
      <c r="CF100" s="19" t="inlineStr">
        <is>
          <t>Solves the uniform shift in adjusted opex growth so that FY26 organic adjusted opex = the guidance end-point (scenario).</t>
        </is>
      </c>
    </row>
    <row r="101" ht="15" customHeight="1" s="251">
      <c r="B101" s="57" t="inlineStr">
        <is>
          <t xml:space="preserve">  Check: FY26 organic adjusted opex vs guidance end-point (should be 0)</t>
        </is>
      </c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  <c r="AQ101" s="44" t="n"/>
      <c r="AR101" s="44" t="n"/>
      <c r="AS101" s="44" t="n"/>
      <c r="AT101" s="44" t="n"/>
      <c r="AU101" s="44" t="n"/>
      <c r="AV101" s="44" t="n"/>
      <c r="AW101" s="44" t="n"/>
      <c r="AX101" s="44" t="n"/>
      <c r="AY101" s="44" t="n"/>
      <c r="AZ101" s="44" t="n"/>
      <c r="BA101" s="44" t="n"/>
      <c r="BB101" s="44" t="n"/>
      <c r="BC101" s="44" t="n"/>
      <c r="BD101" s="44" t="n"/>
      <c r="BE101" s="44" t="n"/>
      <c r="BF101" s="44" t="n"/>
      <c r="BG101" s="44" t="n"/>
      <c r="BH101" s="44" t="n"/>
      <c r="BI101" s="44" t="n"/>
      <c r="BJ101" s="44" t="n"/>
      <c r="BK101" s="44" t="n"/>
      <c r="BL101" s="44" t="n"/>
      <c r="BM101" s="44" t="n"/>
      <c r="BN101" s="44" t="n"/>
      <c r="BO101" s="44" t="n"/>
      <c r="BP101" s="44" t="n"/>
      <c r="BQ101" s="44" t="n"/>
      <c r="BR101" s="44" t="n"/>
      <c r="BS101" s="44" t="n"/>
      <c r="BT101" s="44" t="n"/>
      <c r="BU101" s="44" t="n"/>
      <c r="BV101" s="44" t="n"/>
      <c r="BW101" s="44" t="n"/>
      <c r="BX101" s="44" t="n"/>
      <c r="BY101" s="153" t="n"/>
      <c r="BZ101" s="153" t="n"/>
      <c r="CA101" s="274">
        <f>ROUND(CA82-N((BY57+BZ57))*N(CA54)-CA97,0)</f>
        <v>0</v>
      </c>
      <c r="CB101" s="153" t="n"/>
      <c r="CC101" s="153" t="n"/>
      <c r="CD101" s="153" t="n"/>
      <c r="CE101" s="153" t="n"/>
      <c r="CF101" s="153" t="n"/>
    </row>
    <row r="102" ht="15" customHeight="1" s="251">
      <c r="B102" s="156" t="inlineStr">
        <is>
          <t xml:space="preserve">  Memo: implied FY26 currency-neutral net revenue growth (end-point − FX point estimate) — guided "high end of low double digits"</t>
        </is>
      </c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  <c r="AE102" s="44" t="n"/>
      <c r="AF102" s="44" t="n"/>
      <c r="AG102" s="44" t="n"/>
      <c r="AH102" s="44" t="n"/>
      <c r="AI102" s="44" t="n"/>
      <c r="AJ102" s="44" t="n"/>
      <c r="AK102" s="44" t="n"/>
      <c r="AL102" s="44" t="n"/>
      <c r="AM102" s="44" t="n"/>
      <c r="AN102" s="44" t="n"/>
      <c r="AO102" s="44" t="n"/>
      <c r="AP102" s="44" t="n"/>
      <c r="AQ102" s="44" t="n"/>
      <c r="AR102" s="44" t="n"/>
      <c r="AS102" s="44" t="n"/>
      <c r="AT102" s="44" t="n"/>
      <c r="AU102" s="44" t="n"/>
      <c r="AV102" s="44" t="n"/>
      <c r="AW102" s="44" t="n"/>
      <c r="AX102" s="44" t="n"/>
      <c r="AY102" s="44" t="n"/>
      <c r="AZ102" s="44" t="n"/>
      <c r="BA102" s="44" t="n"/>
      <c r="BB102" s="44" t="n"/>
      <c r="BC102" s="44" t="n"/>
      <c r="BD102" s="44" t="n"/>
      <c r="BE102" s="44" t="n"/>
      <c r="BF102" s="44" t="n"/>
      <c r="BG102" s="44" t="n"/>
      <c r="BH102" s="44" t="n"/>
      <c r="BI102" s="44" t="n"/>
      <c r="BJ102" s="44" t="n"/>
      <c r="BK102" s="44" t="n"/>
      <c r="BL102" s="44" t="n"/>
      <c r="BM102" s="44" t="n"/>
      <c r="BN102" s="44" t="n"/>
      <c r="BO102" s="44" t="n"/>
      <c r="BP102" s="44" t="n"/>
      <c r="BQ102" s="44" t="n"/>
      <c r="BR102" s="44" t="n"/>
      <c r="BS102" s="44" t="n"/>
      <c r="BT102" s="44" t="n"/>
      <c r="BU102" s="44" t="n"/>
      <c r="BV102" s="44" t="n"/>
      <c r="BW102" s="44" t="n"/>
      <c r="BX102" s="44" t="n"/>
      <c r="BY102" s="35" t="n"/>
      <c r="BZ102" s="35" t="n"/>
      <c r="CA102" s="256">
        <f>CHOOSE(MATCH($CF$2,{"Bull","Base","Bear"},0),$CO$12,$CP$12,$CQ$12)-$CP$17</f>
        <v>0.125</v>
      </c>
      <c r="CB102" s="35" t="n"/>
      <c r="CC102" s="35" t="n"/>
      <c r="CD102" s="35" t="n"/>
      <c r="CE102" s="35" t="n"/>
      <c r="CF102" s="153" t="n"/>
    </row>
    <row r="103" ht="15" customHeight="1" s="251">
      <c r="B103" s="156" t="inlineStr">
        <is>
          <t xml:space="preserve">  Memo: FY26 adjusted EPS (model output; not guided)</t>
        </is>
      </c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7" t="n"/>
      <c r="AN103" s="27" t="n"/>
      <c r="AO103" s="27" t="n"/>
      <c r="AP103" s="27" t="n"/>
      <c r="AQ103" s="27" t="n"/>
      <c r="AR103" s="27" t="n"/>
      <c r="AS103" s="27" t="n"/>
      <c r="AT103" s="27" t="n"/>
      <c r="AU103" s="27" t="n"/>
      <c r="AV103" s="27" t="n"/>
      <c r="AW103" s="27" t="n"/>
      <c r="AX103" s="27" t="n"/>
      <c r="AY103" s="27" t="n"/>
      <c r="AZ103" s="27" t="n"/>
      <c r="BA103" s="27" t="n"/>
      <c r="BB103" s="27" t="n"/>
      <c r="BC103" s="27" t="n"/>
      <c r="BD103" s="27" t="n"/>
      <c r="BE103" s="27" t="n"/>
      <c r="BF103" s="27" t="n"/>
      <c r="BG103" s="27" t="n"/>
      <c r="BH103" s="27" t="n"/>
      <c r="BI103" s="27" t="n"/>
      <c r="BJ103" s="27" t="n"/>
      <c r="BK103" s="27" t="n"/>
      <c r="BL103" s="27" t="n"/>
      <c r="BM103" s="27" t="n"/>
      <c r="BN103" s="27" t="n"/>
      <c r="BO103" s="27" t="n"/>
      <c r="BP103" s="27" t="n"/>
      <c r="BQ103" s="27" t="n"/>
      <c r="BR103" s="27" t="n"/>
      <c r="BS103" s="27" t="n"/>
      <c r="BT103" s="27" t="n"/>
      <c r="BU103" s="27" t="n"/>
      <c r="BV103" s="27" t="n"/>
      <c r="BW103" s="27" t="n"/>
      <c r="BX103" s="27" t="n"/>
      <c r="BY103" s="153" t="n"/>
      <c r="BZ103" s="153" t="n"/>
      <c r="CA103" s="276">
        <f>CA201</f>
        <v>19.8886402964953</v>
      </c>
      <c r="CB103" s="153" t="n"/>
      <c r="CC103" s="153" t="n"/>
      <c r="CD103" s="153" t="n"/>
      <c r="CE103" s="153" t="n"/>
      <c r="CF103" s="153" t="n"/>
    </row>
    <row r="104" ht="15" customHeight="1" s="251">
      <c r="CN104" s="11" t="n"/>
      <c r="CO104" s="12" t="n"/>
      <c r="CP104" s="12" t="n"/>
      <c r="CQ104" s="12" t="n"/>
      <c r="CR104" s="13" t="n"/>
    </row>
    <row r="105" ht="15" customHeight="1" s="251">
      <c r="B105" s="14" t="inlineStr">
        <is>
          <t>Cost drivers, D&amp;A, other income &amp; special items</t>
        </is>
      </c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/>
      <c r="BP105" s="14" t="n"/>
      <c r="BQ105" s="14" t="n"/>
      <c r="BR105" s="14" t="n"/>
      <c r="BS105" s="14" t="n"/>
      <c r="BT105" s="14" t="n"/>
      <c r="BU105" s="14" t="n"/>
      <c r="BV105" s="14" t="n"/>
      <c r="BW105" s="14" t="n"/>
      <c r="BX105" s="14" t="n"/>
      <c r="BY105" s="14" t="n"/>
      <c r="BZ105" s="14" t="n"/>
      <c r="CA105" s="14" t="n"/>
      <c r="CB105" s="14" t="n"/>
      <c r="CC105" s="14" t="n"/>
      <c r="CD105" s="14" t="n"/>
      <c r="CE105" s="14" t="n"/>
      <c r="CF105" s="15" t="inlineStr">
        <is>
          <t>COST DRIVERS — inputs that drive forecast cost lines (Q3/Q4-26E: point estimates or H1 trend; 2027E+: % of net revenue or schedules)</t>
        </is>
      </c>
    </row>
    <row r="106" ht="15" customHeight="1" s="251">
      <c r="B106" s="25" t="inlineStr">
        <is>
          <t xml:space="preserve">  Advertising &amp; marketing % of net revenue</t>
        </is>
      </c>
      <c r="C106" s="215">
        <f>IF(AND(ISNUMBER(C125),ISNUMBER(C123)),IFERROR(C125/C123,""),"")</f>
        <v>0.316249728659074</v>
      </c>
      <c r="D106" s="215">
        <f>IF(AND(ISNUMBER(D125),ISNUMBER(D123)),IFERROR(D125/D123,""),"")</f>
        <v>0.265526911576092</v>
      </c>
      <c r="E106" s="215">
        <f>IF(AND(ISNUMBER(E125),ISNUMBER(E123)),IFERROR(E125/E123,""),"")</f>
        <v>0.203857480567353</v>
      </c>
      <c r="F106" s="215">
        <f>IF(AND(ISNUMBER(F125),ISNUMBER(F123)),IFERROR(F125/F123,""),"")</f>
        <v>0.148171567408374</v>
      </c>
      <c r="G106" s="215">
        <f>IF(AND(ISNUMBER(G125),ISNUMBER(G123)),IFERROR(G125/G123,""),"")</f>
        <v>0.141180718541253</v>
      </c>
      <c r="H106" s="215">
        <f>IF(AND(ISNUMBER(H125),ISNUMBER(H123)),IFERROR(H125/H123,""),"")</f>
        <v>0.125260649389336</v>
      </c>
      <c r="I106" s="215">
        <f>IF(AND(ISNUMBER(I125),ISNUMBER(I123)),IFERROR(I125/I123,""),"")</f>
        <v>0.104857258828305</v>
      </c>
      <c r="J106" s="215">
        <f>IF(AND(ISNUMBER(J125),ISNUMBER(J123)),IFERROR(J125/J123,""),"")</f>
        <v>0.0676810073452256</v>
      </c>
      <c r="K106" s="215">
        <f>IF(AND(ISNUMBER(K125),ISNUMBER(K123)),IFERROR(K125/K123,""),"")</f>
        <v>0.0887404580152672</v>
      </c>
      <c r="L106" s="215">
        <f>IF(AND(ISNUMBER(L125),ISNUMBER(L123)),IFERROR(L125/L123,""),"")</f>
        <v>0.0924256086564473</v>
      </c>
      <c r="M106" s="215">
        <f>IF(AND(ISNUMBER(M125),ISNUMBER(M123)),IFERROR(M125/M123,""),"")</f>
        <v>0.15098777046096</v>
      </c>
      <c r="N106" s="215">
        <f>IF(AND(ISNUMBER(N125),ISNUMBER(N123)),IFERROR(N125/N123,""),"")</f>
        <v>0.100766834411694</v>
      </c>
      <c r="O106" s="215">
        <f>IF(AND(ISNUMBER(O125),ISNUMBER(O123)),IFERROR(O125/O123,""),"")</f>
        <v>0.0684428112080845</v>
      </c>
      <c r="P106" s="215">
        <f>IF(AND(ISNUMBER(P125),ISNUMBER(P123)),IFERROR(P125/P123,""),"")</f>
        <v>0.072780816154817</v>
      </c>
      <c r="Q106" s="215">
        <f>IF(AND(ISNUMBER(Q125),ISNUMBER(Q123)),IFERROR(Q125/Q123,""),"")</f>
        <v>0.0811026767878546</v>
      </c>
      <c r="R106" s="215">
        <f>IF(AND(ISNUMBER(R125),ISNUMBER(R123)),IFERROR(R125/R123,""),"")</f>
        <v>0.139486754966887</v>
      </c>
      <c r="S106" s="215">
        <f>IF(AND(ISNUMBER(S125),ISNUMBER(S123)),IFERROR(S125/S123,""),"")</f>
        <v>0.0909954607832788</v>
      </c>
      <c r="T106" s="215">
        <f>IF(AND(ISNUMBER(T125),ISNUMBER(T123)),IFERROR(T125/T123,""),"")</f>
        <v>0.063677130044843</v>
      </c>
      <c r="U106" s="215">
        <f>IF(AND(ISNUMBER(U125),ISNUMBER(U123)),IFERROR(U125/U123,""),"")</f>
        <v>0.0736401673640167</v>
      </c>
      <c r="V106" s="215">
        <f>IF(AND(ISNUMBER(V125),ISNUMBER(V123)),IFERROR(V125/V123,""),"")</f>
        <v>0.0727272727272727</v>
      </c>
      <c r="W106" s="215">
        <f>IF(AND(ISNUMBER(W125),ISNUMBER(W123)),IFERROR(W125/W123,""),"")</f>
        <v>0.12673818037346</v>
      </c>
      <c r="X106" s="215">
        <f>IF(AND(ISNUMBER(X125),ISNUMBER(X123)),IFERROR(X125/X123,""),"")</f>
        <v>0.0849281059273818</v>
      </c>
      <c r="Y106" s="215">
        <f>IF(AND(ISNUMBER(Y125),ISNUMBER(Y123)),IFERROR(Y125/Y123,""),"")</f>
        <v>0.0551921504497138</v>
      </c>
      <c r="Z106" s="215">
        <f>IF(AND(ISNUMBER(Z125),ISNUMBER(Z123)),IFERROR(Z125/Z123,""),"")</f>
        <v>0.0682999257609503</v>
      </c>
      <c r="AA106" s="215">
        <f>IF(AND(ISNUMBER(AA125),ISNUMBER(AA123)),IFERROR(AA125/AA123,""),"")</f>
        <v>0.0638888888888889</v>
      </c>
      <c r="AB106" s="215">
        <f>IF(AND(ISNUMBER(AB125),ISNUMBER(AB123)),IFERROR(AB125/AB123,""),"")</f>
        <v>0.111756168359942</v>
      </c>
      <c r="AC106" s="215">
        <f>IF(AND(ISNUMBER(AC125),ISNUMBER(AC123)),IFERROR(AC125/AC123,""),"")</f>
        <v>0.0752598366740906</v>
      </c>
      <c r="AD106" s="215">
        <f>IF(AND(ISNUMBER(AD125),ISNUMBER(AD123)),IFERROR(AD125/AD123,""),"")</f>
        <v>0.0621799561082663</v>
      </c>
      <c r="AE106" s="215">
        <f>IF(AND(ISNUMBER(AE125),ISNUMBER(AE123)),IFERROR(AE125/AE123,""),"")</f>
        <v>0.0700949885358664</v>
      </c>
      <c r="AF106" s="215">
        <f>IF(AND(ISNUMBER(AF125),ISNUMBER(AF123)),IFERROR(AF125/AF123,""),"")</f>
        <v>0.0597410241318423</v>
      </c>
      <c r="AG106" s="215">
        <f>IF(AND(ISNUMBER(AG125),ISNUMBER(AG123)),IFERROR(AG125/AG123,""),"")</f>
        <v>0.0939009661835749</v>
      </c>
      <c r="AH106" s="215">
        <f>IF(AND(ISNUMBER(AH125),ISNUMBER(AH123)),IFERROR(AH125/AH123,""),"")</f>
        <v>0.0718572457389774</v>
      </c>
      <c r="AI106" s="215">
        <f>IF(AND(ISNUMBER(AI125),ISNUMBER(AI123)),IFERROR(AI125/AI123,""),"")</f>
        <v>0.0625698324022346</v>
      </c>
      <c r="AJ106" s="215">
        <f>IF(AND(ISNUMBER(AJ125),ISNUMBER(AJ123)),IFERROR(AJ125/AJ123,""),"")</f>
        <v>0.0641200545702592</v>
      </c>
      <c r="AK106" s="215">
        <f>IF(AND(ISNUMBER(AK125),ISNUMBER(AK123)),IFERROR(AK125/AK123,""),"")</f>
        <v>0.060287326834274</v>
      </c>
      <c r="AL106" s="215">
        <f>IF(AND(ISNUMBER(AL125),ISNUMBER(AL123)),IFERROR(AL125/AL123,""),"")</f>
        <v>0.0793275545048595</v>
      </c>
      <c r="AM106" s="215">
        <f>IF(AND(ISNUMBER(AM125),ISNUMBER(AM123)),IFERROR(AM125/AM123,""),"")</f>
        <v>0.0606688963210702</v>
      </c>
      <c r="AN106" s="215">
        <f>IF(AND(ISNUMBER(AN125),ISNUMBER(AN123)),IFERROR(AN125/AN123,""),"")</f>
        <v>0.0493700179994857</v>
      </c>
      <c r="AO106" s="215">
        <f>IF(AND(ISNUMBER(AO125),ISNUMBER(AO123)),IFERROR(AO125/AO123,""),"")</f>
        <v>0.0547045951859956</v>
      </c>
      <c r="AP106" s="215">
        <f>IF(AND(ISNUMBER(AP125),ISNUMBER(AP123)),IFERROR(AP125/AP123,""),"")</f>
        <v>0.0508171032012536</v>
      </c>
      <c r="AQ106" s="215">
        <f>IF(AND(ISNUMBER(AQ125),ISNUMBER(AQ123)),IFERROR(AQ125/AQ123,""),"")</f>
        <v>0.0657000453103761</v>
      </c>
      <c r="AR106" s="215">
        <f>IF(AND(ISNUMBER(AR125),ISNUMBER(AR123)),IFERROR(AR125/AR123,""),"")</f>
        <v>0.0553219214594563</v>
      </c>
      <c r="AS106" s="215">
        <f>IF(AND(ISNUMBER(AS125),ISNUMBER(AS123)),IFERROR(AS125/AS123,""),"")</f>
        <v>0.0384135694686954</v>
      </c>
      <c r="AT106" s="215">
        <f>IF(AND(ISNUMBER(AT125),ISNUMBER(AT123)),IFERROR(AT125/AT123,""),"")</f>
        <v>0.0278860569715142</v>
      </c>
      <c r="AU106" s="215">
        <f>IF(AND(ISNUMBER(AU125),ISNUMBER(AU123)),IFERROR(AU125/AU123,""),"")</f>
        <v>0.0437842064112588</v>
      </c>
      <c r="AV106" s="215">
        <f>IF(AND(ISNUMBER(AV125),ISNUMBER(AV123)),IFERROR(AV125/AV123,""),"")</f>
        <v>0.0587378640776699</v>
      </c>
      <c r="AW106" s="215">
        <f>IF(AND(ISNUMBER(AW125),ISNUMBER(AW123)),IFERROR(AW125/AW123,""),"")</f>
        <v>0.0429383700411738</v>
      </c>
      <c r="AX106" s="215">
        <f>IF(AND(ISNUMBER(AX125),ISNUMBER(AX123)),IFERROR(AX125/AX123,""),"")</f>
        <v>0.0286401925391095</v>
      </c>
      <c r="AY106" s="215">
        <f>IF(AND(ISNUMBER(AY125),ISNUMBER(AY123)),IFERROR(AY125/AY123,""),"")</f>
        <v>0.0477031802120141</v>
      </c>
      <c r="AZ106" s="215">
        <f>IF(AND(ISNUMBER(AZ125),ISNUMBER(AZ123)),IFERROR(AZ125/AZ123,""),"")</f>
        <v>0.0445336008024072</v>
      </c>
      <c r="BA106" s="215">
        <f>IF(AND(ISNUMBER(BA125),ISNUMBER(BA123)),IFERROR(BA125/BA123,""),"")</f>
        <v>0.0648006134969325</v>
      </c>
      <c r="BB106" s="215">
        <f>IF(AND(ISNUMBER(BB125),ISNUMBER(BB123)),IFERROR(BB125/BB123,""),"")</f>
        <v>0.0473946197839441</v>
      </c>
      <c r="BC106" s="215">
        <f>IF(AND(ISNUMBER(BC125),ISNUMBER(BC123)),IFERROR(BC125/BC123,""),"")</f>
        <v>0.035029998064641</v>
      </c>
      <c r="BD106" s="215">
        <f>IF(AND(ISNUMBER(BD125),ISNUMBER(BD123)),IFERROR(BD125/BD123,""),"")</f>
        <v>0.0382026559941786</v>
      </c>
      <c r="BE106" s="215">
        <f>IF(AND(ISNUMBER(BE125),ISNUMBER(BE123)),IFERROR(BE125/BE123,""),"")</f>
        <v>0.0316191799861015</v>
      </c>
      <c r="BF106" s="215">
        <f>IF(AND(ISNUMBER(BF125),ISNUMBER(BF123)),IFERROR(BF125/BF123,""),"")</f>
        <v>0.037132542547705</v>
      </c>
      <c r="BG106" s="215">
        <f>IF(AND(ISNUMBER(BG125),ISNUMBER(BG123)),IFERROR(BG125/BG123,""),"")</f>
        <v>0.0354814048657643</v>
      </c>
      <c r="BH106" s="215">
        <f>IF(AND(ISNUMBER(BH125),ISNUMBER(BH123)),IFERROR(BH125/BH123,""),"")</f>
        <v>0.029053583855254</v>
      </c>
      <c r="BI106" s="215">
        <f>IF(AND(ISNUMBER(BI125),ISNUMBER(BI123)),IFERROR(BI125/BI123,""),"")</f>
        <v>0.0320625299090764</v>
      </c>
      <c r="BJ106" s="215">
        <f>IF(AND(ISNUMBER(BJ125),ISNUMBER(BJ123)),IFERROR(BJ125/BJ123,""),"")</f>
        <v>0.0295423235879382</v>
      </c>
      <c r="BK106" s="215">
        <f>IF(AND(ISNUMBER(BK125),ISNUMBER(BK123)),IFERROR(BK125/BK123,""),"")</f>
        <v>0.0403176542455712</v>
      </c>
      <c r="BL106" s="215">
        <f>IF(AND(ISNUMBER(BL125),ISNUMBER(BL123)),IFERROR(BL125/BL123,""),"")</f>
        <v>0.0328711451111642</v>
      </c>
      <c r="BM106" s="215">
        <f>IF(AND(ISNUMBER(BM125),ISNUMBER(BM123)),IFERROR(BM125/BM123,""),"")</f>
        <v>0.0182734719596723</v>
      </c>
      <c r="BN106" s="215">
        <f>IF(AND(ISNUMBER(BN125),ISNUMBER(BN123)),IFERROR(BN125/BN123,""),"")</f>
        <v>0.0264329837667002</v>
      </c>
      <c r="BO106" s="215">
        <f>IF(AND(ISNUMBER(BO125),ISNUMBER(BO123)),IFERROR(BO125/BO123,""),"")</f>
        <v>0.0298547971230832</v>
      </c>
      <c r="BP106" s="215">
        <f>IF(AND(ISNUMBER(BP125),ISNUMBER(BP123)),IFERROR(BP125/BP123,""),"")</f>
        <v>0.0393911069568701</v>
      </c>
      <c r="BQ106" s="215">
        <f>IF(AND(ISNUMBER(BQ125),ISNUMBER(BQ123)),IFERROR(BQ125/BQ123,""),"")</f>
        <v>0.0289345688216708</v>
      </c>
      <c r="BR106" s="215">
        <f>IF(AND(ISNUMBER(BR125),ISNUMBER(BR123)),IFERROR(BR125/BR123,""),"")</f>
        <v>0.0209655172413793</v>
      </c>
      <c r="BS106" s="215">
        <f>IF(AND(ISNUMBER(BS125),ISNUMBER(BS123)),IFERROR(BS125/BS123,""),"")</f>
        <v>0.0261895979343416</v>
      </c>
      <c r="BT106" s="215">
        <f>IF(AND(ISNUMBER(BT125),ISNUMBER(BT123)),IFERROR(BT125/BT123,""),"")</f>
        <v>0.0284817484305975</v>
      </c>
      <c r="BU106" s="215">
        <f>IF(AND(ISNUMBER(BU125),ISNUMBER(BU123)),IFERROR(BU125/BU123,""),"")</f>
        <v>0.0362253009311833</v>
      </c>
      <c r="BV106" s="215">
        <f>IF(AND(ISNUMBER(BV125),ISNUMBER(BV123)),IFERROR(BV125/BV123,""),"")</f>
        <v>0.0283309444664695</v>
      </c>
      <c r="BW106" s="215">
        <f>IF(AND(ISNUMBER(BW125),ISNUMBER(BW123)),IFERROR(BW125/BW123,""),"")</f>
        <v>0.0182186234817814</v>
      </c>
      <c r="BX106" s="215">
        <f>IF(AND(ISNUMBER(BX125),ISNUMBER(BX123)),IFERROR(BX125/BX123,""),"")</f>
        <v>0.0233911824943408</v>
      </c>
      <c r="BY106" s="256">
        <f>BT106+IFERROR(SUM(BW125:BX125)/SUM(BW123:BX123)-SUM(BR125:BS125)/SUM(BR123:BS123),0)</f>
        <v>0.0256877789676229</v>
      </c>
      <c r="BZ106" s="256">
        <f>BU106+IFERROR(SUM(BW125:BX125)/SUM(BW123:BX123)-SUM(BR125:BS125)/SUM(BR123:BS123),0)</f>
        <v>0.0334313314682086</v>
      </c>
      <c r="CA106" s="256">
        <f>IF(AND(ISNUMBER(CA125),ISNUMBER(CA123)),IFERROR(CA125/CA123,""),"")</f>
        <v>0.0254908355530454</v>
      </c>
      <c r="CB106" s="259" t="n">
        <v>0.027</v>
      </c>
      <c r="CC106" s="259" t="n">
        <v>0.027</v>
      </c>
      <c r="CD106" s="259" t="n">
        <v>0.027</v>
      </c>
      <c r="CE106" s="259" t="n">
        <v>0.027</v>
      </c>
      <c r="CF106" s="153" t="inlineStr">
        <is>
          <t>Q3/Q4-26E: prior-year quarter ratio + H1-26 y/y drift; 2027E+ input. G&amp;A is the balancing line to adjusted opex.</t>
        </is>
      </c>
      <c r="CH106" s="37">
        <f>IFERROR(AVERAGE(CA106,CB106,CC106,CD106,CE106),"n/m")</f>
        <v>0.0266981671106091</v>
      </c>
      <c r="CI106" s="37">
        <f>IFERROR(AVERAGE(BB106,BG106,BL106,BQ106,BV106),"n/m")</f>
        <v>0.0346025366098026</v>
      </c>
      <c r="CJ106" s="37">
        <f>IFERROR(AVERAGE(AC106,AH106,AM106,AR106,AW106,BB106,BG106,BL106,BQ106,BV106),"n/m")</f>
        <v>0.0479058953283781</v>
      </c>
      <c r="CK106" s="37">
        <f>IFERROR(AVERAGE(C106,D106,E106,F106,G106,H106,I106,N106,S106,X106,AC106,AH106,AM106,AR106,AW106,BB106,BG106,BL106,BQ106,BV106),"n/m")</f>
        <v>0.103042683468796</v>
      </c>
    </row>
    <row r="107" ht="15" customHeight="1" s="251">
      <c r="B107" s="25" t="inlineStr">
        <is>
          <t xml:space="preserve">  Depreciation &amp; amortization (IS; incl. amortization of capitalized software and acquired intangibles)</t>
        </is>
      </c>
      <c r="C107" s="253" t="n">
        <v>99.782</v>
      </c>
      <c r="D107" s="253" t="n">
        <v>97.642</v>
      </c>
      <c r="E107" s="253" t="n">
        <v>112.006</v>
      </c>
      <c r="F107" s="253" t="n">
        <v>141.377</v>
      </c>
      <c r="G107" s="253" t="n">
        <v>148</v>
      </c>
      <c r="H107" s="253" t="n">
        <v>194</v>
      </c>
      <c r="I107" s="253" t="n">
        <v>230</v>
      </c>
      <c r="J107" s="253" t="n">
        <v>62</v>
      </c>
      <c r="K107" s="253" t="n">
        <v>61</v>
      </c>
      <c r="L107" s="253" t="n">
        <v>64</v>
      </c>
      <c r="M107" s="253" t="n">
        <v>71</v>
      </c>
      <c r="N107" s="253" t="n">
        <v>258</v>
      </c>
      <c r="O107" s="253" t="n">
        <v>73</v>
      </c>
      <c r="P107" s="253" t="n">
        <v>81</v>
      </c>
      <c r="Q107" s="253" t="n">
        <v>83</v>
      </c>
      <c r="R107" s="253" t="n">
        <v>84</v>
      </c>
      <c r="S107" s="253" t="n">
        <v>321</v>
      </c>
      <c r="T107" s="253" t="n">
        <v>87</v>
      </c>
      <c r="U107" s="253" t="n">
        <v>92</v>
      </c>
      <c r="V107" s="253" t="n">
        <v>94</v>
      </c>
      <c r="W107" s="253" t="n">
        <v>93</v>
      </c>
      <c r="X107" s="253" t="n">
        <v>366</v>
      </c>
      <c r="Y107" s="253" t="n">
        <v>95</v>
      </c>
      <c r="Z107" s="253" t="n">
        <v>93</v>
      </c>
      <c r="AA107" s="253" t="n">
        <v>93</v>
      </c>
      <c r="AB107" s="253" t="n">
        <v>92</v>
      </c>
      <c r="AC107" s="253" t="n">
        <v>373</v>
      </c>
      <c r="AD107" s="253" t="n">
        <v>92</v>
      </c>
      <c r="AE107" s="253" t="n">
        <v>111</v>
      </c>
      <c r="AF107" s="253" t="n">
        <v>118</v>
      </c>
      <c r="AG107" s="253" t="n">
        <v>115</v>
      </c>
      <c r="AH107" s="253" t="n">
        <v>436</v>
      </c>
      <c r="AI107" s="253" t="n">
        <v>120</v>
      </c>
      <c r="AJ107" s="253" t="n">
        <v>115</v>
      </c>
      <c r="AK107" s="253" t="n">
        <v>111</v>
      </c>
      <c r="AL107" s="253" t="n">
        <v>113</v>
      </c>
      <c r="AM107" s="253" t="n">
        <v>459</v>
      </c>
      <c r="AN107" s="253" t="n">
        <v>117</v>
      </c>
      <c r="AO107" s="253" t="n">
        <v>122</v>
      </c>
      <c r="AP107" s="253" t="n">
        <v>137</v>
      </c>
      <c r="AQ107" s="253" t="n">
        <v>146</v>
      </c>
      <c r="AR107" s="253" t="n">
        <v>522</v>
      </c>
      <c r="AS107" s="253" t="n">
        <v>144</v>
      </c>
      <c r="AT107" s="253" t="n">
        <v>145</v>
      </c>
      <c r="AU107" s="253" t="n">
        <v>141</v>
      </c>
      <c r="AV107" s="253" t="n">
        <v>150</v>
      </c>
      <c r="AW107" s="253" t="n">
        <v>580</v>
      </c>
      <c r="AX107" s="253" t="n">
        <v>163</v>
      </c>
      <c r="AY107" s="253" t="n">
        <v>186</v>
      </c>
      <c r="AZ107" s="253" t="n">
        <v>188</v>
      </c>
      <c r="BA107" s="253" t="n">
        <v>189</v>
      </c>
      <c r="BB107" s="253" t="n">
        <v>726</v>
      </c>
      <c r="BC107" s="253" t="n">
        <v>192</v>
      </c>
      <c r="BD107" s="253" t="n">
        <v>189</v>
      </c>
      <c r="BE107" s="253" t="n">
        <v>185</v>
      </c>
      <c r="BF107" s="253" t="n">
        <v>184</v>
      </c>
      <c r="BG107" s="253" t="n">
        <v>750</v>
      </c>
      <c r="BH107" s="253" t="n">
        <v>191</v>
      </c>
      <c r="BI107" s="253" t="n">
        <v>192</v>
      </c>
      <c r="BJ107" s="253" t="n">
        <v>211</v>
      </c>
      <c r="BK107" s="253" t="n">
        <v>205</v>
      </c>
      <c r="BL107" s="253" t="n">
        <v>799</v>
      </c>
      <c r="BM107" s="253" t="n">
        <v>216</v>
      </c>
      <c r="BN107" s="253" t="n">
        <v>225</v>
      </c>
      <c r="BO107" s="253" t="n">
        <v>225</v>
      </c>
      <c r="BP107" s="253" t="n">
        <v>231</v>
      </c>
      <c r="BQ107" s="253" t="n">
        <v>897</v>
      </c>
      <c r="BR107" s="253" t="n">
        <v>275</v>
      </c>
      <c r="BS107" s="253" t="n">
        <v>281</v>
      </c>
      <c r="BT107" s="253" t="n">
        <v>290</v>
      </c>
      <c r="BU107" s="253" t="n">
        <v>297</v>
      </c>
      <c r="BV107" s="253" t="n">
        <v>1143</v>
      </c>
      <c r="BW107" s="253" t="n">
        <v>299</v>
      </c>
      <c r="BX107" s="253" t="n">
        <v>309</v>
      </c>
      <c r="BY107" s="254">
        <f>$CP$18</f>
        <v>325</v>
      </c>
      <c r="BZ107" s="254">
        <f>$CP$18</f>
        <v>325</v>
      </c>
      <c r="CA107" s="254">
        <f>SUM(BW107:BZ107)</f>
        <v>1258</v>
      </c>
      <c r="CB107" s="254">
        <f>CB123*CB108+N(CB60)+N(CB74)</f>
        <v>1487.67545018235</v>
      </c>
      <c r="CC107" s="254">
        <f>CC123*CC108+N(CC60)+N(CC74)</f>
        <v>1693.78934905336</v>
      </c>
      <c r="CD107" s="254">
        <f>CD123*CD108+N(CD60)+N(CD74)</f>
        <v>1908.23739361271</v>
      </c>
      <c r="CE107" s="254">
        <f>CE123*CE108+N(CE60)+N(CE74)</f>
        <v>2129.69029915495</v>
      </c>
      <c r="CF107" s="19" t="inlineStr">
        <is>
          <t>Q3/Q4-26E point estimate (Q2-26 $309m). 2027E+: % of net revenue + BVNK / future-acquisition amortization. FY2025 10-K schedule of finite-lived intangibles: $765m (2027) … $569m (2030) incl. capitalized software.</t>
        </is>
      </c>
    </row>
    <row r="108" ht="15" customHeight="1" s="251">
      <c r="B108" s="25" t="inlineStr">
        <is>
          <t xml:space="preserve">  D&amp;A % of net revenue (organic)</t>
        </is>
      </c>
      <c r="C108" s="215">
        <f>IF(AND(ISNUMBER(C107),ISNUMBER(C123)),IFERROR(C107/C123,""),"")</f>
        <v>0.0299999338559515</v>
      </c>
      <c r="D108" s="215">
        <f>IF(AND(ISNUMBER(D107),ISNUMBER(D123)),IFERROR(D107/D123,""),"")</f>
        <v>0.024004824467702</v>
      </c>
      <c r="E108" s="215">
        <f>IF(AND(ISNUMBER(E107),ISNUMBER(E123)),IFERROR(E107/E123,""),"")</f>
        <v>0.0224388973475439</v>
      </c>
      <c r="F108" s="215">
        <f>IF(AND(ISNUMBER(F107),ISNUMBER(F123)),IFERROR(F107/F123,""),"")</f>
        <v>0.027728135338452</v>
      </c>
      <c r="G108" s="215">
        <f>IF(AND(ISNUMBER(G107),ISNUMBER(G123)),IFERROR(G107/G123,""),"")</f>
        <v>0.0267196244809532</v>
      </c>
      <c r="H108" s="215">
        <f>IF(AND(ISNUMBER(H107),ISNUMBER(H123)),IFERROR(H107/H123,""),"")</f>
        <v>0.0288948465892166</v>
      </c>
      <c r="I108" s="215">
        <f>IF(AND(ISNUMBER(I107),ISNUMBER(I123)),IFERROR(I107/I123,""),"")</f>
        <v>0.0311189284264646</v>
      </c>
      <c r="J108" s="215">
        <f>IF(AND(ISNUMBER(J107),ISNUMBER(J123)),IFERROR(J107/J123,""),"")</f>
        <v>0.0325288562434418</v>
      </c>
      <c r="K108" s="215">
        <f>IF(AND(ISNUMBER(K107),ISNUMBER(K123)),IFERROR(K107/K123,""),"")</f>
        <v>0.0291030534351145</v>
      </c>
      <c r="L108" s="215">
        <f>IF(AND(ISNUMBER(L107),ISNUMBER(L123)),IFERROR(L107/L123,""),"")</f>
        <v>0.0288548241659152</v>
      </c>
      <c r="M108" s="215">
        <f>IF(AND(ISNUMBER(M107),ISNUMBER(M123)),IFERROR(M107/M123,""),"")</f>
        <v>0.0333960489181562</v>
      </c>
      <c r="N108" s="215">
        <f>IF(AND(ISNUMBER(N107),ISNUMBER(N123)),IFERROR(N107/N123,""),"")</f>
        <v>0.0309130122214234</v>
      </c>
      <c r="O108" s="215">
        <f>IF(AND(ISNUMBER(O107),ISNUMBER(O123)),IFERROR(O107/O123,""),"")</f>
        <v>0.0335323840146991</v>
      </c>
      <c r="P108" s="215">
        <f>IF(AND(ISNUMBER(P107),ISNUMBER(P123)),IFERROR(P107/P123,""),"")</f>
        <v>0.0340765671013883</v>
      </c>
      <c r="Q108" s="215">
        <f>IF(AND(ISNUMBER(Q107),ISNUMBER(Q123)),IFERROR(Q107/Q123,""),"")</f>
        <v>0.0331602077506992</v>
      </c>
      <c r="R108" s="215">
        <f>IF(AND(ISNUMBER(R107),ISNUMBER(R123)),IFERROR(R107/R123,""),"")</f>
        <v>0.0347682119205298</v>
      </c>
      <c r="S108" s="215">
        <f>IF(AND(ISNUMBER(S107),ISNUMBER(S123)),IFERROR(S107/S123,""),"")</f>
        <v>0.0338857806397129</v>
      </c>
      <c r="T108" s="215">
        <f>IF(AND(ISNUMBER(T107),ISNUMBER(T123)),IFERROR(T107/T123,""),"")</f>
        <v>0.0390134529147982</v>
      </c>
      <c r="U108" s="215">
        <f>IF(AND(ISNUMBER(U107),ISNUMBER(U123)),IFERROR(U107/U123,""),"")</f>
        <v>0.0384937238493724</v>
      </c>
      <c r="V108" s="215">
        <f>IF(AND(ISNUMBER(V107),ISNUMBER(V123)),IFERROR(V107/V123,""),"")</f>
        <v>0.0371541501976285</v>
      </c>
      <c r="W108" s="215">
        <f>IF(AND(ISNUMBER(W107),ISNUMBER(W123)),IFERROR(W107/W123,""),"")</f>
        <v>0.0369487485101311</v>
      </c>
      <c r="X108" s="215">
        <f>IF(AND(ISNUMBER(X107),ISNUMBER(X123)),IFERROR(X107/X123,""),"")</f>
        <v>0.037860763421951</v>
      </c>
      <c r="Y108" s="215">
        <f>IF(AND(ISNUMBER(Y107),ISNUMBER(Y123)),IFERROR(Y107/Y123,""),"")</f>
        <v>0.0388389206868357</v>
      </c>
      <c r="Z108" s="215">
        <f>IF(AND(ISNUMBER(Z107),ISNUMBER(Z123)),IFERROR(Z107/Z123,""),"")</f>
        <v>0.0345211581291759</v>
      </c>
      <c r="AA108" s="215">
        <f>IF(AND(ISNUMBER(AA107),ISNUMBER(AA123)),IFERROR(AA107/AA123,""),"")</f>
        <v>0.0322916666666667</v>
      </c>
      <c r="AB108" s="215">
        <f>IF(AND(ISNUMBER(AB107),ISNUMBER(AB123)),IFERROR(AB107/AB123,""),"")</f>
        <v>0.0333817126269956</v>
      </c>
      <c r="AC108" s="215">
        <f>IF(AND(ISNUMBER(AC107),ISNUMBER(AC123)),IFERROR(AC107/AC123,""),"")</f>
        <v>0.0346139569413512</v>
      </c>
      <c r="AD108" s="215">
        <f>IF(AND(ISNUMBER(AD107),ISNUMBER(AD123)),IFERROR(AD107/AD123,""),"")</f>
        <v>0.0336503291880029</v>
      </c>
      <c r="AE108" s="215">
        <f>IF(AND(ISNUMBER(AE107),ISNUMBER(AE123)),IFERROR(AE107/AE123,""),"")</f>
        <v>0.0363576809695382</v>
      </c>
      <c r="AF108" s="215">
        <f>IF(AND(ISNUMBER(AF107),ISNUMBER(AF123)),IFERROR(AF107/AF123,""),"")</f>
        <v>0.0347263095938788</v>
      </c>
      <c r="AG108" s="215">
        <f>IF(AND(ISNUMBER(AG107),ISNUMBER(AG123)),IFERROR(AG107/AG123,""),"")</f>
        <v>0.0347222222222222</v>
      </c>
      <c r="AH108" s="215">
        <f>IF(AND(ISNUMBER(AH107),ISNUMBER(AH123)),IFERROR(AH107/AH123,""),"")</f>
        <v>0.0348883732095703</v>
      </c>
      <c r="AI108" s="215">
        <f>IF(AND(ISNUMBER(AI107),ISNUMBER(AI123)),IFERROR(AI107/AI123,""),"")</f>
        <v>0.0335195530726257</v>
      </c>
      <c r="AJ108" s="215">
        <f>IF(AND(ISNUMBER(AJ107),ISNUMBER(AJ123)),IFERROR(AJ107/AJ123,""),"")</f>
        <v>0.0313778990450205</v>
      </c>
      <c r="AK108" s="215">
        <f>IF(AND(ISNUMBER(AK107),ISNUMBER(AK123)),IFERROR(AK107/AK123,""),"")</f>
        <v>0.0284761416110826</v>
      </c>
      <c r="AL108" s="215">
        <f>IF(AND(ISNUMBER(AL107),ISNUMBER(AL123)),IFERROR(AL107/AL123,""),"")</f>
        <v>0.0296821644339375</v>
      </c>
      <c r="AM108" s="215">
        <f>IF(AND(ISNUMBER(AM107),ISNUMBER(AM123)),IFERROR(AM107/AM123,""),"")</f>
        <v>0.0307023411371237</v>
      </c>
      <c r="AN108" s="215">
        <f>IF(AND(ISNUMBER(AN107),ISNUMBER(AN123)),IFERROR(AN107/AN123,""),"")</f>
        <v>0.0300848547184366</v>
      </c>
      <c r="AO108" s="215">
        <f>IF(AND(ISNUMBER(AO107),ISNUMBER(AO123)),IFERROR(AO107/AO123,""),"")</f>
        <v>0.0296620471675176</v>
      </c>
      <c r="AP108" s="215">
        <f>IF(AND(ISNUMBER(AP107),ISNUMBER(AP123)),IFERROR(AP107/AP123,""),"")</f>
        <v>0.0306693530333557</v>
      </c>
      <c r="AQ108" s="215">
        <f>IF(AND(ISNUMBER(AQ107),ISNUMBER(AQ123)),IFERROR(AQ107/AQ123,""),"")</f>
        <v>0.0330765745355686</v>
      </c>
      <c r="AR108" s="215">
        <f>IF(AND(ISNUMBER(AR107),ISNUMBER(AR123)),IFERROR(AR107/AR123,""),"")</f>
        <v>0.030918675590831</v>
      </c>
      <c r="AS108" s="215">
        <f>IF(AND(ISNUMBER(AS107),ISNUMBER(AS123)),IFERROR(AS107/AS123,""),"")</f>
        <v>0.0359191818408581</v>
      </c>
      <c r="AT108" s="215">
        <f>IF(AND(ISNUMBER(AT107),ISNUMBER(AT123)),IFERROR(AT107/AT123,""),"")</f>
        <v>0.0434782608695652</v>
      </c>
      <c r="AU108" s="215">
        <f>IF(AND(ISNUMBER(AU107),ISNUMBER(AU123)),IFERROR(AU107/AU123,""),"")</f>
        <v>0.0367474589523065</v>
      </c>
      <c r="AV108" s="215">
        <f>IF(AND(ISNUMBER(AV107),ISNUMBER(AV123)),IFERROR(AV107/AV123,""),"")</f>
        <v>0.0364077669902913</v>
      </c>
      <c r="AW108" s="215">
        <f>IF(AND(ISNUMBER(AW107),ISNUMBER(AW123)),IFERROR(AW107/AW123,""),"")</f>
        <v>0.0379060192144304</v>
      </c>
      <c r="AX108" s="215">
        <f>IF(AND(ISNUMBER(AX107),ISNUMBER(AX123)),IFERROR(AX107/AX123,""),"")</f>
        <v>0.0392298435619735</v>
      </c>
      <c r="AY108" s="215">
        <f>IF(AND(ISNUMBER(AY107),ISNUMBER(AY123)),IFERROR(AY107/AY123,""),"")</f>
        <v>0.0410777385159011</v>
      </c>
      <c r="AZ108" s="215">
        <f>IF(AND(ISNUMBER(AZ107),ISNUMBER(AZ123)),IFERROR(AZ107/AZ123,""),"")</f>
        <v>0.0377131394182548</v>
      </c>
      <c r="BA108" s="215">
        <f>IF(AND(ISNUMBER(BA107),ISNUMBER(BA123)),IFERROR(BA107/BA123,""),"")</f>
        <v>0.0362346625766871</v>
      </c>
      <c r="BB108" s="215">
        <f>IF(AND(ISNUMBER(BB107),ISNUMBER(BB123)),IFERROR(BB107/BB123,""),"")</f>
        <v>0.0384452446515569</v>
      </c>
      <c r="BC108" s="215">
        <f>IF(AND(ISNUMBER(BC107),ISNUMBER(BC123)),IFERROR(BC107/BC123,""),"")</f>
        <v>0.0371588929746468</v>
      </c>
      <c r="BD108" s="215">
        <f>IF(AND(ISNUMBER(BD107),ISNUMBER(BD123)),IFERROR(BD107/BD123,""),"")</f>
        <v>0.0343823903947608</v>
      </c>
      <c r="BE108" s="215">
        <f>IF(AND(ISNUMBER(BE107),ISNUMBER(BE123)),IFERROR(BE107/BE123,""),"")</f>
        <v>0.0321403752605976</v>
      </c>
      <c r="BF108" s="215">
        <f>IF(AND(ISNUMBER(BF107),ISNUMBER(BF123)),IFERROR(BF107/BF123,""),"")</f>
        <v>0.0316314251332302</v>
      </c>
      <c r="BG108" s="215">
        <f>IF(AND(ISNUMBER(BG107),ISNUMBER(BG123)),IFERROR(BG107/BG123,""),"")</f>
        <v>0.0337275711651752</v>
      </c>
      <c r="BH108" s="215">
        <f>IF(AND(ISNUMBER(BH107),ISNUMBER(BH123)),IFERROR(BH107/BH123,""),"")</f>
        <v>0.0332289491997216</v>
      </c>
      <c r="BI108" s="215">
        <f>IF(AND(ISNUMBER(BI107),ISNUMBER(BI123)),IFERROR(BI107/BI123,""),"")</f>
        <v>0.0306268942415058</v>
      </c>
      <c r="BJ108" s="215">
        <f>IF(AND(ISNUMBER(BJ107),ISNUMBER(BJ123)),IFERROR(BJ107/BJ123,""),"")</f>
        <v>0.0322975662023573</v>
      </c>
      <c r="BK108" s="215">
        <f>IF(AND(ISNUMBER(BK107),ISNUMBER(BK123)),IFERROR(BK107/BK123,""),"")</f>
        <v>0.0313072693952352</v>
      </c>
      <c r="BL108" s="215">
        <f>IF(AND(ISNUMBER(BL107),ISNUMBER(BL123)),IFERROR(BL107/BL123,""),"")</f>
        <v>0.0318352059925094</v>
      </c>
      <c r="BM108" s="215">
        <f>IF(AND(ISNUMBER(BM107),ISNUMBER(BM123)),IFERROR(BM107/BM123,""),"")</f>
        <v>0.0340264650283554</v>
      </c>
      <c r="BN108" s="215">
        <f>IF(AND(ISNUMBER(BN107),ISNUMBER(BN123)),IFERROR(BN107/BN123,""),"")</f>
        <v>0.0323229421060193</v>
      </c>
      <c r="BO108" s="215">
        <f>IF(AND(ISNUMBER(BO107),ISNUMBER(BO123)),IFERROR(BO107/BO123,""),"")</f>
        <v>0.0305333152395169</v>
      </c>
      <c r="BP108" s="215">
        <f>IF(AND(ISNUMBER(BP107),ISNUMBER(BP123)),IFERROR(BP107/BP123,""),"")</f>
        <v>0.0308452396848711</v>
      </c>
      <c r="BQ108" s="215">
        <f>IF(AND(ISNUMBER(BQ107),ISNUMBER(BQ123)),IFERROR(BQ107/BQ123,""),"")</f>
        <v>0.0318457769730536</v>
      </c>
      <c r="BR108" s="215">
        <f>IF(AND(ISNUMBER(BR107),ISNUMBER(BR123)),IFERROR(BR107/BR123,""),"")</f>
        <v>0.0379310344827586</v>
      </c>
      <c r="BS108" s="215">
        <f>IF(AND(ISNUMBER(BS107),ISNUMBER(BS123)),IFERROR(BS107/BS123,""),"")</f>
        <v>0.0345505963359154</v>
      </c>
      <c r="BT108" s="215">
        <f>IF(AND(ISNUMBER(BT107),ISNUMBER(BT123)),IFERROR(BT107/BT123,""),"")</f>
        <v>0.0337130899790746</v>
      </c>
      <c r="BU108" s="215">
        <f>IF(AND(ISNUMBER(BU107),ISNUMBER(BU123)),IFERROR(BU107/BU123,""),"")</f>
        <v>0.0337270043152396</v>
      </c>
      <c r="BV108" s="215">
        <f>IF(AND(ISNUMBER(BV107),ISNUMBER(BV123)),IFERROR(BV107/BV123,""),"")</f>
        <v>0.0348571254307584</v>
      </c>
      <c r="BW108" s="215">
        <f>IF(AND(ISNUMBER(BW107),ISNUMBER(BW123)),IFERROR(BW107/BW123,""),"")</f>
        <v>0.0356037151702786</v>
      </c>
      <c r="BX108" s="215">
        <f>IF(AND(ISNUMBER(BX107),ISNUMBER(BX123)),IFERROR(BX107/BX123,""),"")</f>
        <v>0.0333081815241996</v>
      </c>
      <c r="BY108" s="256">
        <f>IF(AND(ISNUMBER(BY107),ISNUMBER(BY123)),IFERROR(BY107/BY123,""),"")</f>
        <v>0.0337222581689684</v>
      </c>
      <c r="BZ108" s="256">
        <f>IF(AND(ISNUMBER(BZ107),ISNUMBER(BZ123)),IFERROR(BZ107/BZ123,""),"")</f>
        <v>0.0328109377931231</v>
      </c>
      <c r="CA108" s="256">
        <f>IF(AND(ISNUMBER(CA107),ISNUMBER(CA123)),IFERROR(CA107/CA123,""),"")</f>
        <v>0.0338010443125511</v>
      </c>
      <c r="CB108" s="259" t="n">
        <v>0.034</v>
      </c>
      <c r="CC108" s="259" t="n">
        <v>0.034</v>
      </c>
      <c r="CD108" s="259" t="n">
        <v>0.034</v>
      </c>
      <c r="CE108" s="259" t="n">
        <v>0.034</v>
      </c>
      <c r="CF108" s="153" t="n"/>
      <c r="CH108" s="37">
        <f>IFERROR(AVERAGE(CA108,CB108,CC108,CD108,CE108),"n/m")</f>
        <v>0.0339602088625102</v>
      </c>
      <c r="CI108" s="37">
        <f>IFERROR(AVERAGE(BB108,BG108,BL108,BQ108,BV108),"n/m")</f>
        <v>0.0341421848426107</v>
      </c>
      <c r="CJ108" s="37">
        <f>IFERROR(AVERAGE(AC108,AH108,AM108,AR108,AW108,BB108,BG108,BL108,BQ108,BV108),"n/m")</f>
        <v>0.033974029030636</v>
      </c>
      <c r="CK108" s="37">
        <f>IFERROR(AVERAGE(C108,D108,E108,F108,G108,H108,I108,N108,S108,X108,AC108,AH108,AM108,AR108,AW108,BB108,BG108,BL108,BQ108,BV108),"n/m")</f>
        <v>0.0316652518547866</v>
      </c>
    </row>
    <row r="109" ht="15" customHeight="1" s="251">
      <c r="B109" s="25" t="inlineStr">
        <is>
          <t xml:space="preserve">  Share-based compensation (cash-flow statement)</t>
        </is>
      </c>
      <c r="C109" s="253" t="n">
        <v>19.181</v>
      </c>
      <c r="D109" s="253" t="n">
        <v>58.213</v>
      </c>
      <c r="E109" s="253" t="n">
        <v>60.97</v>
      </c>
      <c r="F109" s="253" t="n">
        <v>88.43000000000001</v>
      </c>
      <c r="G109" s="253" t="n">
        <v>63</v>
      </c>
      <c r="H109" s="253" t="n">
        <v>80</v>
      </c>
      <c r="I109" s="253" t="n">
        <v>89</v>
      </c>
      <c r="J109" s="253" t="n">
        <v>-23</v>
      </c>
      <c r="K109" s="253" t="n">
        <v>22</v>
      </c>
      <c r="L109" s="253" t="n">
        <v>28</v>
      </c>
      <c r="M109" s="253" t="n">
        <v>36</v>
      </c>
      <c r="N109" s="253" t="n">
        <v>63</v>
      </c>
      <c r="O109" s="253" t="n">
        <v>-74</v>
      </c>
      <c r="P109" s="253" t="n">
        <v>28</v>
      </c>
      <c r="Q109" s="253" t="n">
        <v>3</v>
      </c>
      <c r="R109" s="253" t="n">
        <v>28</v>
      </c>
      <c r="S109" s="253" t="n">
        <v>-15</v>
      </c>
      <c r="T109" s="253" t="n">
        <v>-53</v>
      </c>
      <c r="U109" s="253" t="n">
        <v>30</v>
      </c>
      <c r="V109" s="253" t="n">
        <v>24</v>
      </c>
      <c r="W109" s="253" t="n">
        <v>21</v>
      </c>
      <c r="X109" s="253" t="n">
        <v>22</v>
      </c>
      <c r="Y109" s="253" t="n">
        <v>-40</v>
      </c>
      <c r="Z109" s="253" t="n">
        <v>29</v>
      </c>
      <c r="AA109" s="253" t="n">
        <v>26</v>
      </c>
      <c r="AB109" s="253" t="n">
        <v>35</v>
      </c>
      <c r="AC109" s="253" t="n">
        <v>50</v>
      </c>
      <c r="AD109" s="253" t="n">
        <v>39</v>
      </c>
      <c r="AE109" s="253" t="n">
        <v>49</v>
      </c>
      <c r="AF109" s="253" t="n">
        <v>49</v>
      </c>
      <c r="AG109" s="253" t="n">
        <v>39</v>
      </c>
      <c r="AH109" s="253" t="n">
        <v>176</v>
      </c>
      <c r="AI109" s="253" t="n">
        <v>43</v>
      </c>
      <c r="AJ109" s="253" t="n">
        <v>55</v>
      </c>
      <c r="AK109" s="253" t="n">
        <v>55</v>
      </c>
      <c r="AL109" s="253" t="n">
        <v>43</v>
      </c>
      <c r="AM109" s="253" t="n">
        <v>196</v>
      </c>
      <c r="AN109" s="253" t="n">
        <v>57</v>
      </c>
      <c r="AO109" s="253" t="n">
        <v>73</v>
      </c>
      <c r="AP109" s="253" t="n">
        <v>77</v>
      </c>
      <c r="AQ109" s="253" t="n">
        <v>43</v>
      </c>
      <c r="AR109" s="253" t="n">
        <v>250</v>
      </c>
      <c r="AS109" s="253" t="n">
        <v>52</v>
      </c>
      <c r="AT109" s="253" t="n">
        <v>75</v>
      </c>
      <c r="AU109" s="253" t="n">
        <v>75</v>
      </c>
      <c r="AV109" s="253" t="n">
        <v>52</v>
      </c>
      <c r="AW109" s="253" t="n">
        <v>254</v>
      </c>
      <c r="AX109" s="253" t="n">
        <v>65</v>
      </c>
      <c r="AY109" s="253" t="n">
        <v>87</v>
      </c>
      <c r="AZ109" s="253" t="n">
        <v>89</v>
      </c>
      <c r="BA109" s="253" t="n">
        <v>32</v>
      </c>
      <c r="BB109" s="253" t="n">
        <v>273</v>
      </c>
      <c r="BC109" s="253" t="n">
        <v>74</v>
      </c>
      <c r="BD109" s="253" t="n">
        <v>101</v>
      </c>
      <c r="BE109" s="253" t="n">
        <v>98</v>
      </c>
      <c r="BF109" s="253" t="n">
        <v>22</v>
      </c>
      <c r="BG109" s="253" t="n">
        <v>295</v>
      </c>
      <c r="BH109" s="253" t="n">
        <v>108</v>
      </c>
      <c r="BI109" s="253" t="n">
        <v>135</v>
      </c>
      <c r="BJ109" s="253" t="n">
        <v>131</v>
      </c>
      <c r="BK109" s="253" t="n">
        <v>86</v>
      </c>
      <c r="BL109" s="253" t="n">
        <v>460</v>
      </c>
      <c r="BM109" s="253" t="n">
        <v>108</v>
      </c>
      <c r="BN109" s="253" t="n">
        <v>155</v>
      </c>
      <c r="BO109" s="253" t="n">
        <v>155</v>
      </c>
      <c r="BP109" s="253" t="n">
        <v>108</v>
      </c>
      <c r="BQ109" s="253" t="n">
        <v>526</v>
      </c>
      <c r="BR109" s="253" t="n">
        <v>129</v>
      </c>
      <c r="BS109" s="253" t="n">
        <v>179</v>
      </c>
      <c r="BT109" s="253" t="n">
        <v>177</v>
      </c>
      <c r="BU109" s="253" t="n">
        <v>112</v>
      </c>
      <c r="BV109" s="253" t="n">
        <v>597</v>
      </c>
      <c r="BW109" s="253" t="n">
        <v>136</v>
      </c>
      <c r="BX109" s="253" t="n">
        <v>190</v>
      </c>
      <c r="BY109" s="254">
        <f>BT109*(1+IFERROR(SUM(BW109:BX109)/SUM(BR109:BS109)-1,0))</f>
        <v>187.344155844156</v>
      </c>
      <c r="BZ109" s="254">
        <f>BU109*(1+IFERROR(SUM(BW109:BX109)/SUM(BR109:BS109)-1,0))</f>
        <v>118.545454545455</v>
      </c>
      <c r="CA109" s="254">
        <f>SUM(BW109:BZ109)</f>
        <v>631.88961038961</v>
      </c>
      <c r="CB109" s="254">
        <f>CB123*CB110</f>
        <v>752.850238331832</v>
      </c>
      <c r="CC109" s="254">
        <f>CC123*CC110</f>
        <v>842.116420087072</v>
      </c>
      <c r="CD109" s="254">
        <f>CD123*CD110</f>
        <v>935.794796618491</v>
      </c>
      <c r="CE109" s="254">
        <f>CE123*CE110</f>
        <v>1033.18162896439</v>
      </c>
      <c r="CF109" s="19" t="inlineStr">
        <is>
          <t>Q3/Q4-26E: prior-year quarter × H1-26 y/y; 2027E+: % of net revenue. Mastercard does not adjust out share-based compensation.</t>
        </is>
      </c>
    </row>
    <row r="110" ht="15" customHeight="1" s="251">
      <c r="B110" s="25" t="inlineStr">
        <is>
          <t xml:space="preserve">  Share-based compensation % of net revenue</t>
        </is>
      </c>
      <c r="C110" s="215">
        <f>IF(AND(ISNUMBER(C109),ISNUMBER(C123)),IFERROR(C109/C123,""),"")</f>
        <v>0.00576685906567322</v>
      </c>
      <c r="D110" s="215">
        <f>IF(AND(ISNUMBER(D109),ISNUMBER(D123)),IFERROR(D109/D123,""),"")</f>
        <v>0.0143113910687853</v>
      </c>
      <c r="E110" s="215">
        <f>IF(AND(ISNUMBER(E109),ISNUMBER(E123)),IFERROR(E109/E123,""),"")</f>
        <v>0.0122145203942624</v>
      </c>
      <c r="F110" s="215">
        <f>IF(AND(ISNUMBER(F109),ISNUMBER(F123)),IFERROR(F109/F123,""),"")</f>
        <v>0.0173436910387072</v>
      </c>
      <c r="G110" s="215">
        <f>IF(AND(ISNUMBER(G109),ISNUMBER(G123)),IFERROR(G109/G123,""),"")</f>
        <v>0.0113738942047301</v>
      </c>
      <c r="H110" s="215">
        <f>IF(AND(ISNUMBER(H109),ISNUMBER(H123)),IFERROR(H109/H123,""),"")</f>
        <v>0.011915400655347</v>
      </c>
      <c r="I110" s="215">
        <f>IF(AND(ISNUMBER(I109),ISNUMBER(I123)),IFERROR(I109/I123,""),"")</f>
        <v>0.0120416723041537</v>
      </c>
      <c r="J110" s="215">
        <f>IF(AND(ISNUMBER(J109),ISNUMBER(J123)),IFERROR(J109/J123,""),"")</f>
        <v>-0.0120671563483736</v>
      </c>
      <c r="K110" s="215">
        <f>IF(AND(ISNUMBER(K109),ISNUMBER(K123)),IFERROR(K109/K123,""),"")</f>
        <v>0.0104961832061069</v>
      </c>
      <c r="L110" s="215">
        <f>IF(AND(ISNUMBER(L109),ISNUMBER(L123)),IFERROR(L109/L123,""),"")</f>
        <v>0.0126239855725879</v>
      </c>
      <c r="M110" s="215">
        <f>IF(AND(ISNUMBER(M109),ISNUMBER(M123)),IFERROR(M109/M123,""),"")</f>
        <v>0.0169332079021637</v>
      </c>
      <c r="N110" s="215">
        <f>IF(AND(ISNUMBER(N109),ISNUMBER(N123)),IFERROR(N109/N123,""),"")</f>
        <v>0.00754852624011503</v>
      </c>
      <c r="O110" s="215">
        <f>IF(AND(ISNUMBER(O109),ISNUMBER(O123)),IFERROR(O109/O123,""),"")</f>
        <v>-0.0339917317409279</v>
      </c>
      <c r="P110" s="215">
        <f>IF(AND(ISNUMBER(P109),ISNUMBER(P123)),IFERROR(P109/P123,""),"")</f>
        <v>0.0117795540597392</v>
      </c>
      <c r="Q110" s="215">
        <f>IF(AND(ISNUMBER(Q109),ISNUMBER(Q123)),IFERROR(Q109/Q123,""),"")</f>
        <v>0.00119856172592889</v>
      </c>
      <c r="R110" s="215">
        <f>IF(AND(ISNUMBER(R109),ISNUMBER(R123)),IFERROR(R109/R123,""),"")</f>
        <v>0.0115894039735099</v>
      </c>
      <c r="S110" s="215">
        <f>IF(AND(ISNUMBER(S109),ISNUMBER(S123)),IFERROR(S109/S123,""),"")</f>
        <v>-0.00158344769344453</v>
      </c>
      <c r="T110" s="215">
        <f>IF(AND(ISNUMBER(T109),ISNUMBER(T123)),IFERROR(T109/T123,""),"")</f>
        <v>-0.0237668161434978</v>
      </c>
      <c r="U110" s="215">
        <f>IF(AND(ISNUMBER(U109),ISNUMBER(U123)),IFERROR(U109/U123,""),"")</f>
        <v>0.0125523012552301</v>
      </c>
      <c r="V110" s="215">
        <f>IF(AND(ISNUMBER(V109),ISNUMBER(V123)),IFERROR(V109/V123,""),"")</f>
        <v>0.00948616600790514</v>
      </c>
      <c r="W110" s="215">
        <f>IF(AND(ISNUMBER(W109),ISNUMBER(W123)),IFERROR(W109/W123,""),"")</f>
        <v>0.00834326579261025</v>
      </c>
      <c r="X110" s="215">
        <f>IF(AND(ISNUMBER(X109),ISNUMBER(X123)),IFERROR(X109/X123,""),"")</f>
        <v>0.00227578359366918</v>
      </c>
      <c r="Y110" s="215">
        <f>IF(AND(ISNUMBER(Y109),ISNUMBER(Y123)),IFERROR(Y109/Y123,""),"")</f>
        <v>-0.0163532297628782</v>
      </c>
      <c r="Z110" s="215">
        <f>IF(AND(ISNUMBER(Z109),ISNUMBER(Z123)),IFERROR(Z109/Z123,""),"")</f>
        <v>0.0107646622123237</v>
      </c>
      <c r="AA110" s="215">
        <f>IF(AND(ISNUMBER(AA109),ISNUMBER(AA123)),IFERROR(AA109/AA123,""),"")</f>
        <v>0.00902777777777778</v>
      </c>
      <c r="AB110" s="215">
        <f>IF(AND(ISNUMBER(AB109),ISNUMBER(AB123)),IFERROR(AB109/AB123,""),"")</f>
        <v>0.012699564586357</v>
      </c>
      <c r="AC110" s="215">
        <f>IF(AND(ISNUMBER(AC109),ISNUMBER(AC123)),IFERROR(AC109/AC123,""),"")</f>
        <v>0.00463994060876021</v>
      </c>
      <c r="AD110" s="215">
        <f>IF(AND(ISNUMBER(AD109),ISNUMBER(AD123)),IFERROR(AD109/AD123,""),"")</f>
        <v>0.0142648134601317</v>
      </c>
      <c r="AE110" s="215">
        <f>IF(AND(ISNUMBER(AE109),ISNUMBER(AE123)),IFERROR(AE109/AE123,""),"")</f>
        <v>0.016049787094661</v>
      </c>
      <c r="AF110" s="215">
        <f>IF(AND(ISNUMBER(AF109),ISNUMBER(AF123)),IFERROR(AF109/AF123,""),"")</f>
        <v>0.0144202472042378</v>
      </c>
      <c r="AG110" s="215">
        <f>IF(AND(ISNUMBER(AG109),ISNUMBER(AG123)),IFERROR(AG109/AG123,""),"")</f>
        <v>0.0117753623188406</v>
      </c>
      <c r="AH110" s="215">
        <f>IF(AND(ISNUMBER(AH109),ISNUMBER(AH123)),IFERROR(AH109/AH123,""),"")</f>
        <v>0.0140833800112027</v>
      </c>
      <c r="AI110" s="215">
        <f>IF(AND(ISNUMBER(AI109),ISNUMBER(AI123)),IFERROR(AI109/AI123,""),"")</f>
        <v>0.0120111731843575</v>
      </c>
      <c r="AJ110" s="215">
        <f>IF(AND(ISNUMBER(AJ109),ISNUMBER(AJ123)),IFERROR(AJ109/AJ123,""),"")</f>
        <v>0.0150068212824011</v>
      </c>
      <c r="AK110" s="215">
        <f>IF(AND(ISNUMBER(AK109),ISNUMBER(AK123)),IFERROR(AK109/AK123,""),"")</f>
        <v>0.0141097998973833</v>
      </c>
      <c r="AL110" s="215">
        <f>IF(AND(ISNUMBER(AL109),ISNUMBER(AL123)),IFERROR(AL109/AL123,""),"")</f>
        <v>0.0112949829261886</v>
      </c>
      <c r="AM110" s="215">
        <f>IF(AND(ISNUMBER(AM109),ISNUMBER(AM123)),IFERROR(AM109/AM123,""),"")</f>
        <v>0.0131103678929766</v>
      </c>
      <c r="AN110" s="215">
        <f>IF(AND(ISNUMBER(AN109),ISNUMBER(AN123)),IFERROR(AN109/AN123,""),"")</f>
        <v>0.0146567240935973</v>
      </c>
      <c r="AO110" s="215">
        <f>IF(AND(ISNUMBER(AO109),ISNUMBER(AO123)),IFERROR(AO109/AO123,""),"")</f>
        <v>0.0177486019936786</v>
      </c>
      <c r="AP110" s="215">
        <f>IF(AND(ISNUMBER(AP109),ISNUMBER(AP123)),IFERROR(AP109/AP123,""),"")</f>
        <v>0.0172375195880904</v>
      </c>
      <c r="AQ110" s="215">
        <f>IF(AND(ISNUMBER(AQ109),ISNUMBER(AQ123)),IFERROR(AQ109/AQ123,""),"")</f>
        <v>0.00974173085636611</v>
      </c>
      <c r="AR110" s="215">
        <f>IF(AND(ISNUMBER(AR109),ISNUMBER(AR123)),IFERROR(AR109/AR123,""),"")</f>
        <v>0.0148077948231949</v>
      </c>
      <c r="AS110" s="215">
        <f>IF(AND(ISNUMBER(AS109),ISNUMBER(AS123)),IFERROR(AS109/AS123,""),"")</f>
        <v>0.0129708156647543</v>
      </c>
      <c r="AT110" s="215">
        <f>IF(AND(ISNUMBER(AT109),ISNUMBER(AT123)),IFERROR(AT109/AT123,""),"")</f>
        <v>0.0224887556221889</v>
      </c>
      <c r="AU110" s="215">
        <f>IF(AND(ISNUMBER(AU109),ISNUMBER(AU123)),IFERROR(AU109/AU123,""),"")</f>
        <v>0.019546520719312</v>
      </c>
      <c r="AV110" s="215">
        <f>IF(AND(ISNUMBER(AV109),ISNUMBER(AV123)),IFERROR(AV109/AV123,""),"")</f>
        <v>0.012621359223301</v>
      </c>
      <c r="AW110" s="215">
        <f>IF(AND(ISNUMBER(AW109),ISNUMBER(AW123)),IFERROR(AW109/AW123,""),"")</f>
        <v>0.0166002222076988</v>
      </c>
      <c r="AX110" s="215">
        <f>IF(AND(ISNUMBER(AX109),ISNUMBER(AX123)),IFERROR(AX109/AX123,""),"")</f>
        <v>0.0156438026474128</v>
      </c>
      <c r="AY110" s="215">
        <f>IF(AND(ISNUMBER(AY109),ISNUMBER(AY123)),IFERROR(AY109/AY123,""),"")</f>
        <v>0.0192137809187279</v>
      </c>
      <c r="AZ110" s="215">
        <f>IF(AND(ISNUMBER(AZ109),ISNUMBER(AZ123)),IFERROR(AZ109/AZ123,""),"")</f>
        <v>0.0178535606820461</v>
      </c>
      <c r="BA110" s="215">
        <f>IF(AND(ISNUMBER(BA109),ISNUMBER(BA123)),IFERROR(BA109/BA123,""),"")</f>
        <v>0.00613496932515337</v>
      </c>
      <c r="BB110" s="215">
        <f>IF(AND(ISNUMBER(BB109),ISNUMBER(BB123)),IFERROR(BB109/BB123,""),"")</f>
        <v>0.0144566829061639</v>
      </c>
      <c r="BC110" s="215">
        <f>IF(AND(ISNUMBER(BC109),ISNUMBER(BC123)),IFERROR(BC109/BC123,""),"")</f>
        <v>0.0143216566673118</v>
      </c>
      <c r="BD110" s="215">
        <f>IF(AND(ISNUMBER(BD109),ISNUMBER(BD123)),IFERROR(BD109/BD123,""),"")</f>
        <v>0.018373658359105</v>
      </c>
      <c r="BE110" s="215">
        <f>IF(AND(ISNUMBER(BE109),ISNUMBER(BE123)),IFERROR(BE109/BE123,""),"")</f>
        <v>0.0170257123002085</v>
      </c>
      <c r="BF110" s="215">
        <f>IF(AND(ISNUMBER(BF109),ISNUMBER(BF123)),IFERROR(BF109/BF123,""),"")</f>
        <v>0.00378201822245144</v>
      </c>
      <c r="BG110" s="215">
        <f>IF(AND(ISNUMBER(BG109),ISNUMBER(BG123)),IFERROR(BG109/BG123,""),"")</f>
        <v>0.0132661779916356</v>
      </c>
      <c r="BH110" s="215">
        <f>IF(AND(ISNUMBER(BH109),ISNUMBER(BH123)),IFERROR(BH109/BH123,""),"")</f>
        <v>0.0187891440501044</v>
      </c>
      <c r="BI110" s="215">
        <f>IF(AND(ISNUMBER(BI109),ISNUMBER(BI123)),IFERROR(BI109/BI123,""),"")</f>
        <v>0.0215345350135588</v>
      </c>
      <c r="BJ110" s="215">
        <f>IF(AND(ISNUMBER(BJ109),ISNUMBER(BJ123)),IFERROR(BJ109/BJ123,""),"")</f>
        <v>0.0200520434716057</v>
      </c>
      <c r="BK110" s="215">
        <f>IF(AND(ISNUMBER(BK109),ISNUMBER(BK123)),IFERROR(BK109/BK123,""),"")</f>
        <v>0.0131337813072694</v>
      </c>
      <c r="BL110" s="215">
        <f>IF(AND(ISNUMBER(BL109),ISNUMBER(BL123)),IFERROR(BL109/BL123,""),"")</f>
        <v>0.0183281536377401</v>
      </c>
      <c r="BM110" s="215">
        <f>IF(AND(ISNUMBER(BM109),ISNUMBER(BM123)),IFERROR(BM109/BM123,""),"")</f>
        <v>0.0170132325141777</v>
      </c>
      <c r="BN110" s="215">
        <f>IF(AND(ISNUMBER(BN109),ISNUMBER(BN123)),IFERROR(BN109/BN123,""),"")</f>
        <v>0.0222669156730355</v>
      </c>
      <c r="BO110" s="215">
        <f>IF(AND(ISNUMBER(BO109),ISNUMBER(BO123)),IFERROR(BO109/BO123,""),"")</f>
        <v>0.021034061609445</v>
      </c>
      <c r="BP110" s="215">
        <f>IF(AND(ISNUMBER(BP109),ISNUMBER(BP123)),IFERROR(BP109/BP123,""),"")</f>
        <v>0.0144211510214982</v>
      </c>
      <c r="BQ110" s="215">
        <f>IF(AND(ISNUMBER(BQ109),ISNUMBER(BQ123)),IFERROR(BQ109/BQ123,""),"")</f>
        <v>0.0186743352149679</v>
      </c>
      <c r="BR110" s="215">
        <f>IF(AND(ISNUMBER(BR109),ISNUMBER(BR123)),IFERROR(BR109/BR123,""),"")</f>
        <v>0.0177931034482759</v>
      </c>
      <c r="BS110" s="215">
        <f>IF(AND(ISNUMBER(BS109),ISNUMBER(BS123)),IFERROR(BS109/BS123,""),"")</f>
        <v>0.0220090987335547</v>
      </c>
      <c r="BT110" s="215">
        <f>IF(AND(ISNUMBER(BT109),ISNUMBER(BT123)),IFERROR(BT109/BT123,""),"")</f>
        <v>0.0205766100906766</v>
      </c>
      <c r="BU110" s="215">
        <f>IF(AND(ISNUMBER(BU109),ISNUMBER(BU123)),IFERROR(BU109/BU123,""),"")</f>
        <v>0.0127186009538951</v>
      </c>
      <c r="BV110" s="215">
        <f>IF(AND(ISNUMBER(BV109),ISNUMBER(BV123)),IFERROR(BV109/BV123,""),"")</f>
        <v>0.0182062151200024</v>
      </c>
      <c r="BW110" s="215">
        <f>IF(AND(ISNUMBER(BW109),ISNUMBER(BW123)),IFERROR(BW109/BW123,""),"")</f>
        <v>0.0161943319838057</v>
      </c>
      <c r="BX110" s="215">
        <f>IF(AND(ISNUMBER(BX109),ISNUMBER(BX123)),IFERROR(BX109/BX123,""),"")</f>
        <v>0.0204807588660127</v>
      </c>
      <c r="BY110" s="256">
        <f>IF(AND(ISNUMBER(BY109),ISNUMBER(BY123)),IFERROR(BY109/BY123,""),"")</f>
        <v>0.0194389784302279</v>
      </c>
      <c r="BZ110" s="256">
        <f>IF(AND(ISNUMBER(BZ109),ISNUMBER(BZ123)),IFERROR(BZ109/BZ123,""),"")</f>
        <v>0.0119679616453797</v>
      </c>
      <c r="CA110" s="256">
        <f>IF(AND(ISNUMBER(CA109),ISNUMBER(CA123)),IFERROR(CA109/CA123,""),"")</f>
        <v>0.0169781627356279</v>
      </c>
      <c r="CB110" s="259" t="n">
        <v>0.018</v>
      </c>
      <c r="CC110" s="259" t="n">
        <v>0.018</v>
      </c>
      <c r="CD110" s="259" t="n">
        <v>0.018</v>
      </c>
      <c r="CE110" s="259" t="n">
        <v>0.018</v>
      </c>
      <c r="CF110" s="153" t="n"/>
      <c r="CH110" s="37">
        <f>IFERROR(AVERAGE(CA110,CB110,CC110,CD110,CE110),"n/m")</f>
        <v>0.0177956325471256</v>
      </c>
      <c r="CI110" s="37">
        <f>IFERROR(AVERAGE(BB110,BG110,BL110,BQ110,BV110),"n/m")</f>
        <v>0.016586312974102</v>
      </c>
      <c r="CJ110" s="37">
        <f>IFERROR(AVERAGE(AC110,AH110,AM110,AR110,AW110,BB110,BG110,BL110,BQ110,BV110),"n/m")</f>
        <v>0.0146173270414343</v>
      </c>
      <c r="CK110" s="37">
        <f>IFERROR(AVERAGE(C110,D110,E110,F110,G110,H110,I110,N110,S110,X110,AC110,AH110,AM110,AR110,AW110,BB110,BG110,BL110,BQ110,BV110),"n/m")</f>
        <v>0.0119690780643171</v>
      </c>
    </row>
    <row r="111" ht="15" customHeight="1" s="251">
      <c r="B111" s="25" t="inlineStr">
        <is>
          <t xml:space="preserve">  Investment income (interest on cash &amp; investments)</t>
        </is>
      </c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  <c r="AA111" s="34" t="n"/>
      <c r="AB111" s="34" t="n"/>
      <c r="AC111" s="34" t="n"/>
      <c r="AD111" s="34" t="n"/>
      <c r="AE111" s="34" t="n"/>
      <c r="AF111" s="34" t="n"/>
      <c r="AG111" s="34" t="n"/>
      <c r="AH111" s="34" t="n"/>
      <c r="AI111" s="34" t="n"/>
      <c r="AJ111" s="34" t="n"/>
      <c r="AK111" s="34" t="n"/>
      <c r="AL111" s="34" t="n"/>
      <c r="AM111" s="34" t="n"/>
      <c r="AN111" s="34" t="n"/>
      <c r="AO111" s="34" t="n"/>
      <c r="AP111" s="34" t="n"/>
      <c r="AQ111" s="34" t="n"/>
      <c r="AR111" s="34" t="n"/>
      <c r="AS111" s="34" t="n"/>
      <c r="AT111" s="34" t="n"/>
      <c r="AU111" s="34" t="n"/>
      <c r="AV111" s="34" t="n"/>
      <c r="AW111" s="34" t="n"/>
      <c r="AX111" s="34" t="n"/>
      <c r="AY111" s="34" t="n"/>
      <c r="AZ111" s="34" t="n"/>
      <c r="BA111" s="34" t="n"/>
      <c r="BB111" s="34" t="n"/>
      <c r="BC111" s="34" t="n"/>
      <c r="BD111" s="34" t="n"/>
      <c r="BE111" s="34" t="n"/>
      <c r="BF111" s="34" t="n"/>
      <c r="BG111" s="34" t="n"/>
      <c r="BH111" s="34" t="n"/>
      <c r="BI111" s="34" t="n"/>
      <c r="BJ111" s="34" t="n"/>
      <c r="BK111" s="34" t="n"/>
      <c r="BL111" s="34" t="n"/>
      <c r="BM111" s="34" t="n"/>
      <c r="BN111" s="34" t="n"/>
      <c r="BO111" s="34" t="n"/>
      <c r="BP111" s="34" t="n"/>
      <c r="BQ111" s="34" t="n"/>
      <c r="BR111" s="34" t="n"/>
      <c r="BS111" s="34" t="n"/>
      <c r="BT111" s="34" t="n"/>
      <c r="BU111" s="34" t="n"/>
      <c r="BV111" s="34" t="n"/>
      <c r="BW111" s="34" t="n"/>
      <c r="BX111" s="34" t="n"/>
      <c r="BY111" s="254">
        <f>$CP$19</f>
        <v>85</v>
      </c>
      <c r="BZ111" s="254">
        <f>$CP$19</f>
        <v>85</v>
      </c>
      <c r="CA111" s="35" t="n"/>
      <c r="CB111" s="254">
        <f>(CA252+CA282)*CB350</f>
        <v>365.453081217474</v>
      </c>
      <c r="CC111" s="254">
        <f>(CB252+CB282)*CC350</f>
        <v>378.422156919818</v>
      </c>
      <c r="CD111" s="254">
        <f>(CC252+CC282)*CD350</f>
        <v>359.297880903189</v>
      </c>
      <c r="CE111" s="254">
        <f>(CD252+CD282)*CE350</f>
        <v>344.904</v>
      </c>
      <c r="CF111" s="19" t="inlineStr">
        <is>
          <t>Q3/Q4-26E point estimate (Q2-26 $88m); 2027E+: yield × opening cash, restricted cash and investments.</t>
        </is>
      </c>
    </row>
    <row r="112" ht="15" customHeight="1" s="251">
      <c r="B112" s="25" t="inlineStr">
        <is>
          <t xml:space="preserve">  Other income (expense), net — recurring (government grants, other)</t>
        </is>
      </c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  <c r="AA112" s="34" t="n"/>
      <c r="AB112" s="34" t="n"/>
      <c r="AC112" s="34" t="n"/>
      <c r="AD112" s="34" t="n"/>
      <c r="AE112" s="34" t="n"/>
      <c r="AF112" s="34" t="n"/>
      <c r="AG112" s="34" t="n"/>
      <c r="AH112" s="34" t="n"/>
      <c r="AI112" s="34" t="n"/>
      <c r="AJ112" s="34" t="n"/>
      <c r="AK112" s="34" t="n"/>
      <c r="AL112" s="34" t="n"/>
      <c r="AM112" s="34" t="n"/>
      <c r="AN112" s="34" t="n"/>
      <c r="AO112" s="34" t="n"/>
      <c r="AP112" s="34" t="n"/>
      <c r="AQ112" s="34" t="n"/>
      <c r="AR112" s="34" t="n"/>
      <c r="AS112" s="34" t="n"/>
      <c r="AT112" s="34" t="n"/>
      <c r="AU112" s="34" t="n"/>
      <c r="AV112" s="34" t="n"/>
      <c r="AW112" s="34" t="n"/>
      <c r="AX112" s="34" t="n"/>
      <c r="AY112" s="34" t="n"/>
      <c r="AZ112" s="34" t="n"/>
      <c r="BA112" s="34" t="n"/>
      <c r="BB112" s="34" t="n"/>
      <c r="BC112" s="34" t="n"/>
      <c r="BD112" s="34" t="n"/>
      <c r="BE112" s="34" t="n"/>
      <c r="BF112" s="34" t="n"/>
      <c r="BG112" s="34" t="n"/>
      <c r="BH112" s="34" t="n"/>
      <c r="BI112" s="34" t="n"/>
      <c r="BJ112" s="34" t="n"/>
      <c r="BK112" s="34" t="n"/>
      <c r="BL112" s="34" t="n"/>
      <c r="BM112" s="34" t="n"/>
      <c r="BN112" s="34" t="n"/>
      <c r="BO112" s="34" t="n"/>
      <c r="BP112" s="34" t="n"/>
      <c r="BQ112" s="34" t="n"/>
      <c r="BR112" s="34" t="n"/>
      <c r="BS112" s="34" t="n"/>
      <c r="BT112" s="34" t="n"/>
      <c r="BU112" s="34" t="n"/>
      <c r="BV112" s="34" t="n"/>
      <c r="BW112" s="34" t="n"/>
      <c r="BX112" s="34" t="n"/>
      <c r="BY112" s="254">
        <f>$CP$21</f>
        <v>45</v>
      </c>
      <c r="BZ112" s="254">
        <f>$CP$21</f>
        <v>45</v>
      </c>
      <c r="CA112" s="35" t="n"/>
      <c r="CB112" s="269" t="n">
        <v>150</v>
      </c>
      <c r="CC112" s="269" t="n">
        <v>150</v>
      </c>
      <c r="CD112" s="269" t="n">
        <v>150</v>
      </c>
      <c r="CE112" s="269" t="n">
        <v>150</v>
      </c>
      <c r="CF112" s="19" t="inlineStr">
        <is>
          <t>H1-26 $106m incl. government grant agreements executed in Q4-25. Q3/Q4-26E: point estimate set so total other income (expense) ≈ −$125m in Q3 (UNVERIFIED call guidance).</t>
        </is>
      </c>
    </row>
    <row r="113" ht="15" customHeight="1" s="251">
      <c r="B113" s="25" t="inlineStr">
        <is>
          <t xml:space="preserve">  Special items (pre-tax, excluded from adjusted results; forecast inputs):</t>
        </is>
      </c>
      <c r="CF113" s="153" t="n"/>
    </row>
    <row r="114" ht="15" customHeight="1" s="251">
      <c r="B114" s="25" t="inlineStr">
        <is>
          <t xml:space="preserve">  Litigation provisions excluded from adjusted results (forecast: all litigation provisions)</t>
        </is>
      </c>
      <c r="C114" s="253" t="n">
        <v>25</v>
      </c>
      <c r="D114" s="253" t="n">
        <v>3</v>
      </c>
      <c r="E114" s="253" t="n">
        <v>2483</v>
      </c>
      <c r="F114" s="253" t="n">
        <v>7</v>
      </c>
      <c r="G114" s="253" t="n">
        <v>0</v>
      </c>
      <c r="H114" s="253" t="n">
        <v>770</v>
      </c>
      <c r="I114" s="253" t="n">
        <v>20</v>
      </c>
      <c r="J114" s="253" t="n">
        <v>0</v>
      </c>
      <c r="K114" s="253" t="n">
        <v>0</v>
      </c>
      <c r="L114" s="253" t="n">
        <v>0</v>
      </c>
      <c r="M114" s="253" t="n">
        <v>95</v>
      </c>
      <c r="N114" s="253" t="n">
        <v>95</v>
      </c>
      <c r="O114" s="253" t="n">
        <v>0</v>
      </c>
      <c r="P114" s="253" t="n">
        <v>0</v>
      </c>
      <c r="Q114" s="253" t="n">
        <v>0</v>
      </c>
      <c r="R114" s="253" t="n">
        <v>0</v>
      </c>
      <c r="S114" s="253" t="n">
        <v>0</v>
      </c>
      <c r="T114" s="253" t="n">
        <v>0</v>
      </c>
      <c r="U114" s="253" t="n">
        <v>61</v>
      </c>
      <c r="V114" s="253" t="n">
        <v>0</v>
      </c>
      <c r="W114" s="253" t="n">
        <v>0</v>
      </c>
      <c r="X114" s="253" t="n">
        <v>61</v>
      </c>
      <c r="Y114" s="253" t="n">
        <v>0</v>
      </c>
      <c r="Z114" s="253" t="n">
        <v>107</v>
      </c>
      <c r="AA114" s="253" t="n">
        <v>0</v>
      </c>
      <c r="AB114" s="253" t="n">
        <v>10</v>
      </c>
      <c r="AC114" s="253" t="n">
        <v>117</v>
      </c>
      <c r="AD114" s="253" t="n">
        <v>15</v>
      </c>
      <c r="AE114" s="253" t="n">
        <v>0</v>
      </c>
      <c r="AF114" s="253" t="n">
        <v>0</v>
      </c>
      <c r="AG114" s="253" t="n">
        <v>0</v>
      </c>
      <c r="AH114" s="253" t="n">
        <v>15</v>
      </c>
      <c r="AI114" s="253" t="n">
        <v>117</v>
      </c>
      <c r="AJ114" s="253" t="n">
        <v>225</v>
      </c>
      <c r="AK114" s="253" t="n">
        <v>29</v>
      </c>
      <c r="AL114" s="253" t="n">
        <v>757</v>
      </c>
      <c r="AM114" s="253" t="n">
        <v>1128</v>
      </c>
      <c r="AN114" s="253" t="n">
        <v>0</v>
      </c>
      <c r="AO114" s="253" t="n">
        <v>0</v>
      </c>
      <c r="AP114" s="253" t="n">
        <v>0</v>
      </c>
      <c r="AQ114" s="253" t="n">
        <v>0</v>
      </c>
      <c r="AR114" s="253" t="n">
        <v>0</v>
      </c>
      <c r="AS114" s="253" t="n">
        <v>6</v>
      </c>
      <c r="AT114" s="253" t="n">
        <v>22</v>
      </c>
      <c r="AU114" s="253" t="n">
        <v>0</v>
      </c>
      <c r="AV114" s="253" t="n">
        <v>45</v>
      </c>
      <c r="AW114" s="253" t="n">
        <v>73</v>
      </c>
      <c r="AX114" s="253" t="n">
        <v>0</v>
      </c>
      <c r="AY114" s="253" t="n">
        <v>67</v>
      </c>
      <c r="AZ114" s="253" t="n">
        <v>27</v>
      </c>
      <c r="BA114" s="253" t="n">
        <v>0</v>
      </c>
      <c r="BB114" s="253" t="n">
        <v>94</v>
      </c>
      <c r="BC114" s="253" t="n">
        <v>0</v>
      </c>
      <c r="BD114" s="253" t="n">
        <v>133</v>
      </c>
      <c r="BE114" s="253" t="n">
        <v>208</v>
      </c>
      <c r="BF114" s="253" t="n">
        <v>15</v>
      </c>
      <c r="BG114" s="253" t="n">
        <v>356</v>
      </c>
      <c r="BH114" s="253" t="n">
        <v>211</v>
      </c>
      <c r="BI114" s="253" t="n">
        <v>20</v>
      </c>
      <c r="BJ114" s="253" t="n">
        <v>0</v>
      </c>
      <c r="BK114" s="253" t="n">
        <v>308</v>
      </c>
      <c r="BL114" s="253" t="n">
        <v>539</v>
      </c>
      <c r="BM114" s="253" t="n">
        <v>126</v>
      </c>
      <c r="BN114" s="253" t="n">
        <v>98</v>
      </c>
      <c r="BO114" s="253" t="n">
        <v>176</v>
      </c>
      <c r="BP114" s="253" t="n">
        <v>280</v>
      </c>
      <c r="BQ114" s="253" t="n">
        <v>680</v>
      </c>
      <c r="BR114" s="253" t="n">
        <v>151</v>
      </c>
      <c r="BS114" s="253" t="n">
        <v>96</v>
      </c>
      <c r="BT114" s="253" t="n">
        <v>83</v>
      </c>
      <c r="BU114" s="253" t="n">
        <v>174</v>
      </c>
      <c r="BV114" s="253" t="n">
        <v>504</v>
      </c>
      <c r="BW114" s="253" t="n">
        <v>0</v>
      </c>
      <c r="BX114" s="253" t="n">
        <v>82</v>
      </c>
      <c r="BY114" s="269" t="n">
        <v>100</v>
      </c>
      <c r="BZ114" s="269" t="n">
        <v>100</v>
      </c>
      <c r="CA114" s="254">
        <f>SUM(BW114:BZ114)</f>
        <v>282</v>
      </c>
      <c r="CB114" s="269" t="n">
        <v>450</v>
      </c>
      <c r="CC114" s="269" t="n">
        <v>450</v>
      </c>
      <c r="CD114" s="269" t="n">
        <v>450</v>
      </c>
      <c r="CE114" s="269" t="n">
        <v>450</v>
      </c>
      <c r="CF114" s="19" t="inlineStr">
        <is>
          <t>Litigation provisions are excluded from adjusted results (special items). FY2022–25: $356m / $539m / $680m / $504m; H1-26 $82m. Forecast: $100m a quarter in H2-26 and $450m a year from 2027E (assumption: recurring interchange / merchant / ATM litigation), deducted in the DCF as a cash cost.</t>
        </is>
      </c>
    </row>
    <row r="115" ht="15" customHeight="1" s="251">
      <c r="B115" s="25" t="inlineStr">
        <is>
          <t xml:space="preserve">  Restructuring charges</t>
        </is>
      </c>
      <c r="C115" s="253" t="n">
        <v>0</v>
      </c>
      <c r="D115" s="253" t="n">
        <v>0</v>
      </c>
      <c r="E115" s="253" t="n">
        <v>0</v>
      </c>
      <c r="F115" s="253" t="n">
        <v>0</v>
      </c>
      <c r="G115" s="253" t="n">
        <v>0</v>
      </c>
      <c r="H115" s="253" t="n">
        <v>0</v>
      </c>
      <c r="I115" s="253" t="n">
        <v>0</v>
      </c>
      <c r="J115" s="253" t="n">
        <v>0</v>
      </c>
      <c r="K115" s="253" t="n">
        <v>0</v>
      </c>
      <c r="L115" s="253" t="n">
        <v>0</v>
      </c>
      <c r="M115" s="253" t="n">
        <v>0</v>
      </c>
      <c r="N115" s="253" t="n">
        <v>0</v>
      </c>
      <c r="O115" s="253" t="n">
        <v>0</v>
      </c>
      <c r="P115" s="253" t="n">
        <v>0</v>
      </c>
      <c r="Q115" s="253" t="n">
        <v>0</v>
      </c>
      <c r="R115" s="253" t="n">
        <v>0</v>
      </c>
      <c r="S115" s="253" t="n">
        <v>0</v>
      </c>
      <c r="T115" s="253" t="n">
        <v>0</v>
      </c>
      <c r="U115" s="253" t="n">
        <v>0</v>
      </c>
      <c r="V115" s="253" t="n">
        <v>0</v>
      </c>
      <c r="W115" s="253" t="n">
        <v>0</v>
      </c>
      <c r="X115" s="253" t="n">
        <v>0</v>
      </c>
      <c r="Y115" s="253" t="n">
        <v>0</v>
      </c>
      <c r="Z115" s="253" t="n">
        <v>0</v>
      </c>
      <c r="AA115" s="253" t="n">
        <v>0</v>
      </c>
      <c r="AB115" s="253" t="n">
        <v>0</v>
      </c>
      <c r="AC115" s="253" t="n">
        <v>0</v>
      </c>
      <c r="AD115" s="253" t="n">
        <v>0</v>
      </c>
      <c r="AE115" s="253" t="n">
        <v>0</v>
      </c>
      <c r="AF115" s="253" t="n">
        <v>0</v>
      </c>
      <c r="AG115" s="253" t="n">
        <v>0</v>
      </c>
      <c r="AH115" s="253" t="n">
        <v>0</v>
      </c>
      <c r="AI115" s="253" t="n">
        <v>0</v>
      </c>
      <c r="AJ115" s="253" t="n">
        <v>0</v>
      </c>
      <c r="AK115" s="253" t="n">
        <v>0</v>
      </c>
      <c r="AL115" s="253" t="n">
        <v>0</v>
      </c>
      <c r="AM115" s="253" t="n">
        <v>0</v>
      </c>
      <c r="AN115" s="253" t="n">
        <v>0</v>
      </c>
      <c r="AO115" s="253" t="n">
        <v>0</v>
      </c>
      <c r="AP115" s="253" t="n">
        <v>0</v>
      </c>
      <c r="AQ115" s="253" t="n">
        <v>0</v>
      </c>
      <c r="AR115" s="253" t="n">
        <v>0</v>
      </c>
      <c r="AS115" s="253" t="n">
        <v>0</v>
      </c>
      <c r="AT115" s="253" t="n">
        <v>0</v>
      </c>
      <c r="AU115" s="253" t="n">
        <v>0</v>
      </c>
      <c r="AV115" s="253" t="n">
        <v>0</v>
      </c>
      <c r="AW115" s="253" t="n">
        <v>0</v>
      </c>
      <c r="AX115" s="253" t="n">
        <v>0</v>
      </c>
      <c r="AY115" s="253" t="n">
        <v>0</v>
      </c>
      <c r="AZ115" s="253" t="n">
        <v>0</v>
      </c>
      <c r="BA115" s="253" t="n">
        <v>0</v>
      </c>
      <c r="BB115" s="253" t="n">
        <v>0</v>
      </c>
      <c r="BC115" s="253" t="n">
        <v>0</v>
      </c>
      <c r="BD115" s="253" t="n">
        <v>0</v>
      </c>
      <c r="BE115" s="253" t="n">
        <v>0</v>
      </c>
      <c r="BF115" s="253" t="n">
        <v>0</v>
      </c>
      <c r="BG115" s="253" t="n">
        <v>0</v>
      </c>
      <c r="BH115" s="253" t="n">
        <v>0</v>
      </c>
      <c r="BI115" s="253" t="n">
        <v>0</v>
      </c>
      <c r="BJ115" s="253" t="n">
        <v>0</v>
      </c>
      <c r="BK115" s="253" t="n">
        <v>0</v>
      </c>
      <c r="BL115" s="253" t="n">
        <v>0</v>
      </c>
      <c r="BM115" s="253" t="n">
        <v>0</v>
      </c>
      <c r="BN115" s="253" t="n">
        <v>0</v>
      </c>
      <c r="BO115" s="253" t="n">
        <v>190</v>
      </c>
      <c r="BP115" s="253" t="n">
        <v>0</v>
      </c>
      <c r="BQ115" s="253" t="n">
        <v>190</v>
      </c>
      <c r="BR115" s="253" t="n">
        <v>0</v>
      </c>
      <c r="BS115" s="253" t="n">
        <v>0</v>
      </c>
      <c r="BT115" s="253" t="n">
        <v>0</v>
      </c>
      <c r="BU115" s="253" t="n">
        <v>0</v>
      </c>
      <c r="BV115" s="253" t="n">
        <v>0</v>
      </c>
      <c r="BW115" s="253" t="n">
        <v>202</v>
      </c>
      <c r="BX115" s="253" t="n">
        <v>0</v>
      </c>
      <c r="BY115" s="269" t="n">
        <v>0</v>
      </c>
      <c r="BZ115" s="269" t="n">
        <v>0</v>
      </c>
      <c r="CA115" s="254">
        <f>SUM(BW115:BZ115)</f>
        <v>202</v>
      </c>
      <c r="CB115" s="269" t="n">
        <v>0</v>
      </c>
      <c r="CC115" s="269" t="n">
        <v>0</v>
      </c>
      <c r="CD115" s="269" t="n">
        <v>0</v>
      </c>
      <c r="CE115" s="269" t="n">
        <v>0</v>
      </c>
      <c r="CF115" s="19" t="inlineStr">
        <is>
          <t>Q4-23 $82m, Q4-24 $190m, Q1-26 $202m (in G&amp;A). Not forecast (assumption).</t>
        </is>
      </c>
    </row>
    <row r="116" ht="15" customHeight="1" s="251">
      <c r="B116" s="25" t="inlineStr">
        <is>
          <t xml:space="preserve">  Other operating special items (Foundation 2006–08, settlements, pension termination, Venezuela, indirect tax, Russia, other)</t>
        </is>
      </c>
      <c r="C116" s="253" t="n">
        <v>395</v>
      </c>
      <c r="D116" s="253" t="n">
        <v>0</v>
      </c>
      <c r="E116" s="253" t="n">
        <v>0</v>
      </c>
      <c r="F116" s="253" t="n">
        <v>0</v>
      </c>
      <c r="G116" s="253" t="n">
        <v>0</v>
      </c>
      <c r="H116" s="253" t="n">
        <v>0</v>
      </c>
      <c r="I116" s="253" t="n">
        <v>0</v>
      </c>
      <c r="J116" s="253" t="n">
        <v>0</v>
      </c>
      <c r="K116" s="253" t="n">
        <v>0</v>
      </c>
      <c r="L116" s="253" t="n">
        <v>0</v>
      </c>
      <c r="M116" s="253" t="n">
        <v>0</v>
      </c>
      <c r="N116" s="253" t="n">
        <v>0</v>
      </c>
      <c r="O116" s="253" t="n">
        <v>0</v>
      </c>
      <c r="P116" s="253" t="n">
        <v>0</v>
      </c>
      <c r="Q116" s="253" t="n">
        <v>0</v>
      </c>
      <c r="R116" s="253" t="n">
        <v>0</v>
      </c>
      <c r="S116" s="253" t="n">
        <v>0</v>
      </c>
      <c r="T116" s="253" t="n">
        <v>0</v>
      </c>
      <c r="U116" s="253" t="n">
        <v>0</v>
      </c>
      <c r="V116" s="253" t="n">
        <v>79</v>
      </c>
      <c r="W116" s="253" t="n">
        <v>0</v>
      </c>
      <c r="X116" s="253" t="n">
        <v>79</v>
      </c>
      <c r="Y116" s="253" t="n">
        <v>0</v>
      </c>
      <c r="Z116" s="253" t="n">
        <v>0</v>
      </c>
      <c r="AA116" s="253" t="n">
        <v>0</v>
      </c>
      <c r="AB116" s="253" t="n">
        <v>0</v>
      </c>
      <c r="AC116" s="253" t="n">
        <v>0</v>
      </c>
      <c r="AD116" s="253" t="n">
        <v>0</v>
      </c>
      <c r="AE116" s="253" t="n">
        <v>0</v>
      </c>
      <c r="AF116" s="253" t="n">
        <v>0</v>
      </c>
      <c r="AG116" s="253" t="n">
        <v>167</v>
      </c>
      <c r="AH116" s="253" t="n">
        <v>167</v>
      </c>
      <c r="AI116" s="253" t="n">
        <v>0</v>
      </c>
      <c r="AJ116" s="253" t="n">
        <v>0</v>
      </c>
      <c r="AK116" s="253" t="n">
        <v>0</v>
      </c>
      <c r="AL116" s="253" t="n">
        <v>0</v>
      </c>
      <c r="AM116" s="253" t="n">
        <v>0</v>
      </c>
      <c r="AN116" s="253" t="n">
        <v>0</v>
      </c>
      <c r="AO116" s="253" t="n">
        <v>0</v>
      </c>
      <c r="AP116" s="253" t="n">
        <v>0</v>
      </c>
      <c r="AQ116" s="253" t="n">
        <v>0</v>
      </c>
      <c r="AR116" s="253" t="n">
        <v>0</v>
      </c>
      <c r="AS116" s="253" t="n">
        <v>0</v>
      </c>
      <c r="AT116" s="253" t="n">
        <v>0</v>
      </c>
      <c r="AU116" s="253" t="n">
        <v>0</v>
      </c>
      <c r="AV116" s="253" t="n">
        <v>0</v>
      </c>
      <c r="AW116" s="253" t="n">
        <v>0</v>
      </c>
      <c r="AX116" s="253" t="n">
        <v>0</v>
      </c>
      <c r="AY116" s="253" t="n">
        <v>0</v>
      </c>
      <c r="AZ116" s="253" t="n">
        <v>82</v>
      </c>
      <c r="BA116" s="253" t="n">
        <v>0</v>
      </c>
      <c r="BB116" s="253" t="n">
        <v>82</v>
      </c>
      <c r="BC116" s="253" t="n">
        <v>34</v>
      </c>
      <c r="BD116" s="253" t="n">
        <v>33</v>
      </c>
      <c r="BE116" s="253" t="n">
        <v>0</v>
      </c>
      <c r="BF116" s="253" t="n">
        <v>0</v>
      </c>
      <c r="BG116" s="253" t="n">
        <v>67</v>
      </c>
      <c r="BH116" s="253" t="n">
        <v>0</v>
      </c>
      <c r="BI116" s="253" t="n">
        <v>0</v>
      </c>
      <c r="BJ116" s="253" t="n">
        <v>0</v>
      </c>
      <c r="BK116" s="253" t="n">
        <v>0</v>
      </c>
      <c r="BL116" s="253" t="n">
        <v>0</v>
      </c>
      <c r="BM116" s="253" t="n">
        <v>0</v>
      </c>
      <c r="BN116" s="253" t="n">
        <v>0</v>
      </c>
      <c r="BO116" s="253" t="n">
        <v>0</v>
      </c>
      <c r="BP116" s="253" t="n">
        <v>0</v>
      </c>
      <c r="BQ116" s="253" t="n">
        <v>0</v>
      </c>
      <c r="BR116" s="253" t="n">
        <v>0</v>
      </c>
      <c r="BS116" s="253" t="n">
        <v>0</v>
      </c>
      <c r="BT116" s="253" t="n">
        <v>0</v>
      </c>
      <c r="BU116" s="253" t="n">
        <v>0</v>
      </c>
      <c r="BV116" s="253" t="n">
        <v>0</v>
      </c>
      <c r="BW116" s="253" t="n">
        <v>0</v>
      </c>
      <c r="BX116" s="253" t="n">
        <v>0</v>
      </c>
      <c r="BY116" s="254">
        <f>0</f>
        <v>0</v>
      </c>
      <c r="BZ116" s="254">
        <f>0</f>
        <v>0</v>
      </c>
      <c r="CA116" s="254">
        <f>SUM(BW116:BZ116)</f>
        <v>0</v>
      </c>
      <c r="CB116" s="254">
        <f>0</f>
        <v>0</v>
      </c>
      <c r="CC116" s="254">
        <f>0</f>
        <v>0</v>
      </c>
      <c r="CD116" s="254">
        <f>0</f>
        <v>0</v>
      </c>
      <c r="CE116" s="254">
        <f>0</f>
        <v>0</v>
      </c>
      <c r="CF116" s="19" t="n"/>
    </row>
    <row r="117" ht="15" customHeight="1" s="251">
      <c r="B117" s="25" t="inlineStr">
        <is>
          <t xml:space="preserve">  Revenue special items (Russia-related rebate reversals 2022; + = adjusted revenue higher)</t>
        </is>
      </c>
      <c r="C117" s="253" t="n">
        <v>0</v>
      </c>
      <c r="D117" s="253" t="n">
        <v>0</v>
      </c>
      <c r="E117" s="253" t="n">
        <v>0</v>
      </c>
      <c r="F117" s="253" t="n">
        <v>0</v>
      </c>
      <c r="G117" s="253" t="n">
        <v>0</v>
      </c>
      <c r="H117" s="253" t="n">
        <v>0</v>
      </c>
      <c r="I117" s="253" t="n">
        <v>0</v>
      </c>
      <c r="J117" s="253" t="n">
        <v>0</v>
      </c>
      <c r="K117" s="253" t="n">
        <v>0</v>
      </c>
      <c r="L117" s="253" t="n">
        <v>0</v>
      </c>
      <c r="M117" s="253" t="n">
        <v>0</v>
      </c>
      <c r="N117" s="253" t="n">
        <v>0</v>
      </c>
      <c r="O117" s="253" t="n">
        <v>0</v>
      </c>
      <c r="P117" s="253" t="n">
        <v>0</v>
      </c>
      <c r="Q117" s="253" t="n">
        <v>0</v>
      </c>
      <c r="R117" s="253" t="n">
        <v>0</v>
      </c>
      <c r="S117" s="253" t="n">
        <v>0</v>
      </c>
      <c r="T117" s="253" t="n">
        <v>0</v>
      </c>
      <c r="U117" s="253" t="n">
        <v>0</v>
      </c>
      <c r="V117" s="253" t="n">
        <v>0</v>
      </c>
      <c r="W117" s="253" t="n">
        <v>0</v>
      </c>
      <c r="X117" s="253" t="n">
        <v>0</v>
      </c>
      <c r="Y117" s="253" t="n">
        <v>0</v>
      </c>
      <c r="Z117" s="253" t="n">
        <v>0</v>
      </c>
      <c r="AA117" s="253" t="n">
        <v>0</v>
      </c>
      <c r="AB117" s="253" t="n">
        <v>0</v>
      </c>
      <c r="AC117" s="253" t="n">
        <v>0</v>
      </c>
      <c r="AD117" s="253" t="n">
        <v>0</v>
      </c>
      <c r="AE117" s="253" t="n">
        <v>0</v>
      </c>
      <c r="AF117" s="253" t="n">
        <v>0</v>
      </c>
      <c r="AG117" s="253" t="n">
        <v>0</v>
      </c>
      <c r="AH117" s="253" t="n">
        <v>0</v>
      </c>
      <c r="AI117" s="253" t="n">
        <v>0</v>
      </c>
      <c r="AJ117" s="253" t="n">
        <v>0</v>
      </c>
      <c r="AK117" s="253" t="n">
        <v>0</v>
      </c>
      <c r="AL117" s="253" t="n">
        <v>0</v>
      </c>
      <c r="AM117" s="253" t="n">
        <v>0</v>
      </c>
      <c r="AN117" s="253" t="n">
        <v>0</v>
      </c>
      <c r="AO117" s="253" t="n">
        <v>0</v>
      </c>
      <c r="AP117" s="253" t="n">
        <v>0</v>
      </c>
      <c r="AQ117" s="253" t="n">
        <v>0</v>
      </c>
      <c r="AR117" s="253" t="n">
        <v>0</v>
      </c>
      <c r="AS117" s="253" t="n">
        <v>0</v>
      </c>
      <c r="AT117" s="253" t="n">
        <v>0</v>
      </c>
      <c r="AU117" s="253" t="n">
        <v>0</v>
      </c>
      <c r="AV117" s="253" t="n">
        <v>0</v>
      </c>
      <c r="AW117" s="253" t="n">
        <v>0</v>
      </c>
      <c r="AX117" s="253" t="n">
        <v>0</v>
      </c>
      <c r="AY117" s="253" t="n">
        <v>0</v>
      </c>
      <c r="AZ117" s="253" t="n">
        <v>0</v>
      </c>
      <c r="BA117" s="253" t="n">
        <v>0</v>
      </c>
      <c r="BB117" s="253" t="n">
        <v>0</v>
      </c>
      <c r="BC117" s="253" t="n">
        <v>-30</v>
      </c>
      <c r="BD117" s="253" t="n">
        <v>-6</v>
      </c>
      <c r="BE117" s="253" t="n">
        <v>0</v>
      </c>
      <c r="BF117" s="253" t="n">
        <v>0</v>
      </c>
      <c r="BG117" s="253" t="n">
        <v>-37</v>
      </c>
      <c r="BH117" s="253" t="n">
        <v>0</v>
      </c>
      <c r="BI117" s="253" t="n">
        <v>0</v>
      </c>
      <c r="BJ117" s="253" t="n">
        <v>0</v>
      </c>
      <c r="BK117" s="253" t="n">
        <v>0</v>
      </c>
      <c r="BL117" s="253" t="n">
        <v>0</v>
      </c>
      <c r="BM117" s="253" t="n">
        <v>0</v>
      </c>
      <c r="BN117" s="253" t="n">
        <v>0</v>
      </c>
      <c r="BO117" s="253" t="n">
        <v>0</v>
      </c>
      <c r="BP117" s="253" t="n">
        <v>0</v>
      </c>
      <c r="BQ117" s="253" t="n">
        <v>0</v>
      </c>
      <c r="BR117" s="253" t="n">
        <v>0</v>
      </c>
      <c r="BS117" s="253" t="n">
        <v>0</v>
      </c>
      <c r="BT117" s="253" t="n">
        <v>0</v>
      </c>
      <c r="BU117" s="253" t="n">
        <v>0</v>
      </c>
      <c r="BV117" s="253" t="n">
        <v>0</v>
      </c>
      <c r="BW117" s="253" t="n">
        <v>0</v>
      </c>
      <c r="BX117" s="253" t="n">
        <v>0</v>
      </c>
      <c r="BY117" s="254">
        <f>0</f>
        <v>0</v>
      </c>
      <c r="BZ117" s="254">
        <f>0</f>
        <v>0</v>
      </c>
      <c r="CA117" s="254">
        <f>SUM(BW117:BZ117)</f>
        <v>0</v>
      </c>
      <c r="CB117" s="254">
        <f>0</f>
        <v>0</v>
      </c>
      <c r="CC117" s="254">
        <f>0</f>
        <v>0</v>
      </c>
      <c r="CD117" s="254">
        <f>0</f>
        <v>0</v>
      </c>
      <c r="CE117" s="254">
        <f>0</f>
        <v>0</v>
      </c>
      <c r="CF117" s="19" t="n"/>
    </row>
    <row r="118" ht="15" customHeight="1" s="251">
      <c r="B118" s="25" t="inlineStr">
        <is>
          <t xml:space="preserve">  (Gains) losses on equity investments (excluded from Q2-19; + = loss added back)</t>
        </is>
      </c>
      <c r="C118" s="253" t="n">
        <v>0</v>
      </c>
      <c r="D118" s="253" t="n">
        <v>0</v>
      </c>
      <c r="E118" s="253" t="n">
        <v>0</v>
      </c>
      <c r="F118" s="253" t="n">
        <v>0</v>
      </c>
      <c r="G118" s="253" t="n">
        <v>0</v>
      </c>
      <c r="H118" s="253" t="n">
        <v>0</v>
      </c>
      <c r="I118" s="253" t="n">
        <v>0</v>
      </c>
      <c r="J118" s="253" t="n">
        <v>0</v>
      </c>
      <c r="K118" s="253" t="n">
        <v>0</v>
      </c>
      <c r="L118" s="253" t="n">
        <v>0</v>
      </c>
      <c r="M118" s="253" t="n">
        <v>0</v>
      </c>
      <c r="N118" s="253" t="n">
        <v>0</v>
      </c>
      <c r="O118" s="253" t="n">
        <v>0</v>
      </c>
      <c r="P118" s="253" t="n">
        <v>0</v>
      </c>
      <c r="Q118" s="253" t="n">
        <v>0</v>
      </c>
      <c r="R118" s="253" t="n">
        <v>0</v>
      </c>
      <c r="S118" s="253" t="n">
        <v>0</v>
      </c>
      <c r="T118" s="253" t="n">
        <v>0</v>
      </c>
      <c r="U118" s="253" t="n">
        <v>0</v>
      </c>
      <c r="V118" s="253" t="n">
        <v>0</v>
      </c>
      <c r="W118" s="253" t="n">
        <v>0</v>
      </c>
      <c r="X118" s="253" t="n">
        <v>0</v>
      </c>
      <c r="Y118" s="253" t="n">
        <v>0</v>
      </c>
      <c r="Z118" s="253" t="n">
        <v>0</v>
      </c>
      <c r="AA118" s="253" t="n">
        <v>0</v>
      </c>
      <c r="AB118" s="253" t="n">
        <v>0</v>
      </c>
      <c r="AC118" s="253" t="n">
        <v>0</v>
      </c>
      <c r="AD118" s="253" t="n">
        <v>0</v>
      </c>
      <c r="AE118" s="253" t="n">
        <v>0</v>
      </c>
      <c r="AF118" s="253" t="n">
        <v>0</v>
      </c>
      <c r="AG118" s="253" t="n">
        <v>0</v>
      </c>
      <c r="AH118" s="253" t="n">
        <v>0</v>
      </c>
      <c r="AI118" s="253" t="n">
        <v>0</v>
      </c>
      <c r="AJ118" s="253" t="n">
        <v>0</v>
      </c>
      <c r="AK118" s="253" t="n">
        <v>0</v>
      </c>
      <c r="AL118" s="253" t="n">
        <v>0</v>
      </c>
      <c r="AM118" s="253" t="n">
        <v>0</v>
      </c>
      <c r="AN118" s="253" t="n">
        <v>0</v>
      </c>
      <c r="AO118" s="253" t="n">
        <v>-143</v>
      </c>
      <c r="AP118" s="253" t="n">
        <v>100</v>
      </c>
      <c r="AQ118" s="253" t="n">
        <v>-119</v>
      </c>
      <c r="AR118" s="253" t="n">
        <v>-167</v>
      </c>
      <c r="AS118" s="253" t="n">
        <v>174</v>
      </c>
      <c r="AT118" s="253" t="n">
        <v>-75</v>
      </c>
      <c r="AU118" s="253" t="n">
        <v>91</v>
      </c>
      <c r="AV118" s="253" t="n">
        <v>-220</v>
      </c>
      <c r="AW118" s="253" t="n">
        <v>-30</v>
      </c>
      <c r="AX118" s="253" t="n">
        <v>-94</v>
      </c>
      <c r="AY118" s="253" t="n">
        <v>-243</v>
      </c>
      <c r="AZ118" s="253" t="n">
        <v>-197</v>
      </c>
      <c r="BA118" s="253" t="n">
        <v>-111</v>
      </c>
      <c r="BB118" s="253" t="n">
        <v>-645</v>
      </c>
      <c r="BC118" s="253" t="n">
        <v>76</v>
      </c>
      <c r="BD118" s="253" t="n">
        <v>117</v>
      </c>
      <c r="BE118" s="253" t="n">
        <v>-60</v>
      </c>
      <c r="BF118" s="253" t="n">
        <v>12</v>
      </c>
      <c r="BG118" s="253" t="n">
        <v>145</v>
      </c>
      <c r="BH118" s="253" t="n">
        <v>212</v>
      </c>
      <c r="BI118" s="253" t="n">
        <v>-123</v>
      </c>
      <c r="BJ118" s="253" t="n">
        <v>6</v>
      </c>
      <c r="BK118" s="253" t="n">
        <v>-34</v>
      </c>
      <c r="BL118" s="253" t="n">
        <v>61</v>
      </c>
      <c r="BM118" s="253" t="n">
        <v>-6</v>
      </c>
      <c r="BN118" s="253" t="n">
        <v>13</v>
      </c>
      <c r="BO118" s="253" t="n">
        <v>62</v>
      </c>
      <c r="BP118" s="253" t="n">
        <v>-40</v>
      </c>
      <c r="BQ118" s="253" t="n">
        <v>29</v>
      </c>
      <c r="BR118" s="253" t="n">
        <v>29</v>
      </c>
      <c r="BS118" s="253" t="n">
        <v>-4</v>
      </c>
      <c r="BT118" s="253" t="n">
        <v>-41</v>
      </c>
      <c r="BU118" s="253" t="n">
        <v>104</v>
      </c>
      <c r="BV118" s="253" t="n">
        <v>88</v>
      </c>
      <c r="BW118" s="253" t="n">
        <v>66</v>
      </c>
      <c r="BX118" s="253" t="n">
        <v>2</v>
      </c>
      <c r="BY118" s="254">
        <f>0</f>
        <v>0</v>
      </c>
      <c r="BZ118" s="254">
        <f>0</f>
        <v>0</v>
      </c>
      <c r="CA118" s="254">
        <f>SUM(BW118:BZ118)</f>
        <v>68</v>
      </c>
      <c r="CB118" s="254">
        <f>0</f>
        <v>0</v>
      </c>
      <c r="CC118" s="254">
        <f>0</f>
        <v>0</v>
      </c>
      <c r="CD118" s="254">
        <f>0</f>
        <v>0</v>
      </c>
      <c r="CE118" s="254">
        <f>0</f>
        <v>0</v>
      </c>
      <c r="CF118" s="19" t="n"/>
    </row>
    <row r="119" ht="15" customHeight="1" s="251">
      <c r="B119" s="25" t="inlineStr">
        <is>
          <t xml:space="preserve">  Other non-operating special items (Redecard gains, customer-agreement termination, other; + = loss added back)</t>
        </is>
      </c>
      <c r="C119" s="253" t="n">
        <v>-7</v>
      </c>
      <c r="D119" s="253" t="n">
        <v>-90</v>
      </c>
      <c r="E119" s="253" t="n">
        <v>-75</v>
      </c>
      <c r="F119" s="253" t="n">
        <v>0</v>
      </c>
      <c r="G119" s="253" t="n">
        <v>0</v>
      </c>
      <c r="H119" s="253" t="n">
        <v>0</v>
      </c>
      <c r="I119" s="253" t="n">
        <v>0</v>
      </c>
      <c r="J119" s="253" t="n">
        <v>0</v>
      </c>
      <c r="K119" s="253" t="n">
        <v>0</v>
      </c>
      <c r="L119" s="253" t="n">
        <v>0</v>
      </c>
      <c r="M119" s="253" t="n">
        <v>0</v>
      </c>
      <c r="N119" s="253" t="n">
        <v>0</v>
      </c>
      <c r="O119" s="253" t="n">
        <v>0</v>
      </c>
      <c r="P119" s="253" t="n">
        <v>0</v>
      </c>
      <c r="Q119" s="253" t="n">
        <v>0</v>
      </c>
      <c r="R119" s="253" t="n">
        <v>0</v>
      </c>
      <c r="S119" s="253" t="n">
        <v>0</v>
      </c>
      <c r="T119" s="253" t="n">
        <v>0</v>
      </c>
      <c r="U119" s="253" t="n">
        <v>0</v>
      </c>
      <c r="V119" s="253" t="n">
        <v>0</v>
      </c>
      <c r="W119" s="253" t="n">
        <v>0</v>
      </c>
      <c r="X119" s="253" t="n">
        <v>0</v>
      </c>
      <c r="Y119" s="253" t="n">
        <v>0</v>
      </c>
      <c r="Z119" s="253" t="n">
        <v>0</v>
      </c>
      <c r="AA119" s="253" t="n">
        <v>0</v>
      </c>
      <c r="AB119" s="253" t="n">
        <v>0</v>
      </c>
      <c r="AC119" s="253" t="n">
        <v>0</v>
      </c>
      <c r="AD119" s="253" t="n">
        <v>0</v>
      </c>
      <c r="AE119" s="253" t="n">
        <v>0</v>
      </c>
      <c r="AF119" s="253" t="n">
        <v>0</v>
      </c>
      <c r="AG119" s="253" t="n">
        <v>0</v>
      </c>
      <c r="AH119" s="253" t="n">
        <v>0</v>
      </c>
      <c r="AI119" s="253" t="n">
        <v>0</v>
      </c>
      <c r="AJ119" s="253" t="n">
        <v>0</v>
      </c>
      <c r="AK119" s="253" t="n">
        <v>0</v>
      </c>
      <c r="AL119" s="253" t="n">
        <v>0</v>
      </c>
      <c r="AM119" s="253" t="n">
        <v>0</v>
      </c>
      <c r="AN119" s="253" t="n">
        <v>0</v>
      </c>
      <c r="AO119" s="253" t="n">
        <v>0</v>
      </c>
      <c r="AP119" s="253" t="n">
        <v>0</v>
      </c>
      <c r="AQ119" s="253" t="n">
        <v>0</v>
      </c>
      <c r="AR119" s="253" t="n">
        <v>0</v>
      </c>
      <c r="AS119" s="253" t="n">
        <v>0</v>
      </c>
      <c r="AT119" s="253" t="n">
        <v>0</v>
      </c>
      <c r="AU119" s="253" t="n">
        <v>0</v>
      </c>
      <c r="AV119" s="253" t="n">
        <v>0</v>
      </c>
      <c r="AW119" s="253" t="n">
        <v>0</v>
      </c>
      <c r="AX119" s="253" t="n">
        <v>0</v>
      </c>
      <c r="AY119" s="253" t="n">
        <v>0</v>
      </c>
      <c r="AZ119" s="253" t="n">
        <v>6</v>
      </c>
      <c r="BA119" s="253" t="n">
        <v>0</v>
      </c>
      <c r="BB119" s="253" t="n">
        <v>6</v>
      </c>
      <c r="BC119" s="253" t="n">
        <v>0</v>
      </c>
      <c r="BD119" s="253" t="n">
        <v>0</v>
      </c>
      <c r="BE119" s="253" t="n">
        <v>0</v>
      </c>
      <c r="BF119" s="253" t="n">
        <v>0</v>
      </c>
      <c r="BG119" s="253" t="n">
        <v>0</v>
      </c>
      <c r="BH119" s="253" t="n">
        <v>0</v>
      </c>
      <c r="BI119" s="253" t="n">
        <v>0</v>
      </c>
      <c r="BJ119" s="253" t="n">
        <v>0</v>
      </c>
      <c r="BK119" s="253" t="n">
        <v>0</v>
      </c>
      <c r="BL119" s="253" t="n">
        <v>0</v>
      </c>
      <c r="BM119" s="253" t="n">
        <v>0</v>
      </c>
      <c r="BN119" s="253" t="n">
        <v>0</v>
      </c>
      <c r="BO119" s="253" t="n">
        <v>0</v>
      </c>
      <c r="BP119" s="253" t="n">
        <v>0</v>
      </c>
      <c r="BQ119" s="253" t="n">
        <v>0</v>
      </c>
      <c r="BR119" s="253" t="n">
        <v>0</v>
      </c>
      <c r="BS119" s="253" t="n">
        <v>0</v>
      </c>
      <c r="BT119" s="253" t="n">
        <v>0</v>
      </c>
      <c r="BU119" s="253" t="n">
        <v>0</v>
      </c>
      <c r="BV119" s="253" t="n">
        <v>0</v>
      </c>
      <c r="BW119" s="253" t="n">
        <v>0</v>
      </c>
      <c r="BX119" s="253" t="n">
        <v>0</v>
      </c>
      <c r="BY119" s="254">
        <f>0</f>
        <v>0</v>
      </c>
      <c r="BZ119" s="254">
        <f>0</f>
        <v>0</v>
      </c>
      <c r="CA119" s="254">
        <f>SUM(BW119:BZ119)</f>
        <v>0</v>
      </c>
      <c r="CB119" s="254">
        <f>0</f>
        <v>0</v>
      </c>
      <c r="CC119" s="254">
        <f>0</f>
        <v>0</v>
      </c>
      <c r="CD119" s="254">
        <f>0</f>
        <v>0</v>
      </c>
      <c r="CE119" s="254">
        <f>0</f>
        <v>0</v>
      </c>
      <c r="CF119" s="19" t="n"/>
    </row>
    <row r="120" ht="15" customHeight="1" s="251">
      <c r="B120" s="25" t="inlineStr">
        <is>
          <t xml:space="preserve">  Discrete tax items excluded (net income effect; + = raises adjusted)</t>
        </is>
      </c>
      <c r="C120" s="253" t="n">
        <v>0</v>
      </c>
      <c r="D120" s="253" t="n">
        <v>0</v>
      </c>
      <c r="E120" s="253" t="n">
        <v>0</v>
      </c>
      <c r="F120" s="253" t="n">
        <v>0</v>
      </c>
      <c r="G120" s="253" t="n">
        <v>0</v>
      </c>
      <c r="H120" s="253" t="n">
        <v>0</v>
      </c>
      <c r="I120" s="253" t="n">
        <v>0</v>
      </c>
      <c r="J120" s="253" t="n">
        <v>0</v>
      </c>
      <c r="K120" s="253" t="n">
        <v>0</v>
      </c>
      <c r="L120" s="253" t="n">
        <v>0</v>
      </c>
      <c r="M120" s="253" t="n">
        <v>0</v>
      </c>
      <c r="N120" s="253" t="n">
        <v>0</v>
      </c>
      <c r="O120" s="253" t="n">
        <v>0</v>
      </c>
      <c r="P120" s="253" t="n">
        <v>0</v>
      </c>
      <c r="Q120" s="253" t="n">
        <v>0</v>
      </c>
      <c r="R120" s="253" t="n">
        <v>0</v>
      </c>
      <c r="S120" s="253" t="n">
        <v>0</v>
      </c>
      <c r="T120" s="253" t="n">
        <v>0</v>
      </c>
      <c r="U120" s="253" t="n">
        <v>0</v>
      </c>
      <c r="V120" s="253" t="n">
        <v>0</v>
      </c>
      <c r="W120" s="253" t="n">
        <v>0</v>
      </c>
      <c r="X120" s="253" t="n">
        <v>0</v>
      </c>
      <c r="Y120" s="253" t="n">
        <v>0</v>
      </c>
      <c r="Z120" s="253" t="n">
        <v>0</v>
      </c>
      <c r="AA120" s="253" t="n">
        <v>0</v>
      </c>
      <c r="AB120" s="253" t="n">
        <v>0</v>
      </c>
      <c r="AC120" s="253" t="n">
        <v>0</v>
      </c>
      <c r="AD120" s="253" t="n">
        <v>0</v>
      </c>
      <c r="AE120" s="253" t="n">
        <v>0</v>
      </c>
      <c r="AF120" s="253" t="n">
        <v>0</v>
      </c>
      <c r="AG120" s="253" t="n">
        <v>873</v>
      </c>
      <c r="AH120" s="253" t="n">
        <v>873</v>
      </c>
      <c r="AI120" s="253" t="n">
        <v>0</v>
      </c>
      <c r="AJ120" s="253" t="n">
        <v>0</v>
      </c>
      <c r="AK120" s="253" t="n">
        <v>-65</v>
      </c>
      <c r="AL120" s="253" t="n">
        <v>-59</v>
      </c>
      <c r="AM120" s="253" t="n">
        <v>-75</v>
      </c>
      <c r="AN120" s="253" t="n">
        <v>-30</v>
      </c>
      <c r="AO120" s="253" t="n">
        <v>0</v>
      </c>
      <c r="AP120" s="253" t="n">
        <v>0</v>
      </c>
      <c r="AQ120" s="253" t="n">
        <v>-27</v>
      </c>
      <c r="AR120" s="253" t="n">
        <v>-57</v>
      </c>
      <c r="AS120" s="253" t="n">
        <v>0</v>
      </c>
      <c r="AT120" s="253" t="n">
        <v>0</v>
      </c>
      <c r="AU120" s="253" t="n">
        <v>0</v>
      </c>
      <c r="AV120" s="253" t="n">
        <v>0</v>
      </c>
      <c r="AW120" s="253" t="n">
        <v>0</v>
      </c>
      <c r="AX120" s="253" t="n">
        <v>0</v>
      </c>
      <c r="AY120" s="253" t="n">
        <v>0</v>
      </c>
      <c r="AZ120" s="253" t="n">
        <v>0</v>
      </c>
      <c r="BA120" s="253" t="n">
        <v>0</v>
      </c>
      <c r="BB120" s="253" t="n">
        <v>0</v>
      </c>
      <c r="BC120" s="253" t="n">
        <v>0</v>
      </c>
      <c r="BD120" s="253" t="n">
        <v>0</v>
      </c>
      <c r="BE120" s="253" t="n">
        <v>0</v>
      </c>
      <c r="BF120" s="253" t="n">
        <v>0</v>
      </c>
      <c r="BG120" s="253" t="n">
        <v>0</v>
      </c>
      <c r="BH120" s="253" t="n">
        <v>0</v>
      </c>
      <c r="BI120" s="253" t="n">
        <v>0</v>
      </c>
      <c r="BJ120" s="253" t="n">
        <v>0</v>
      </c>
      <c r="BK120" s="253" t="n">
        <v>0</v>
      </c>
      <c r="BL120" s="253" t="n">
        <v>0</v>
      </c>
      <c r="BM120" s="253" t="n">
        <v>0</v>
      </c>
      <c r="BN120" s="253" t="n">
        <v>0</v>
      </c>
      <c r="BO120" s="253" t="n">
        <v>0</v>
      </c>
      <c r="BP120" s="253" t="n">
        <v>0</v>
      </c>
      <c r="BQ120" s="253" t="n">
        <v>0</v>
      </c>
      <c r="BR120" s="253" t="n">
        <v>0</v>
      </c>
      <c r="BS120" s="253" t="n">
        <v>0</v>
      </c>
      <c r="BT120" s="253" t="n">
        <v>0</v>
      </c>
      <c r="BU120" s="253" t="n">
        <v>0</v>
      </c>
      <c r="BV120" s="253" t="n">
        <v>0</v>
      </c>
      <c r="BW120" s="253" t="n">
        <v>0</v>
      </c>
      <c r="BX120" s="253" t="n">
        <v>0</v>
      </c>
      <c r="BY120" s="254">
        <f>0</f>
        <v>0</v>
      </c>
      <c r="BZ120" s="254">
        <f>0</f>
        <v>0</v>
      </c>
      <c r="CA120" s="254">
        <f>SUM(BW120:BZ120)</f>
        <v>0</v>
      </c>
      <c r="CB120" s="254">
        <f>0</f>
        <v>0</v>
      </c>
      <c r="CC120" s="254">
        <f>0</f>
        <v>0</v>
      </c>
      <c r="CD120" s="254">
        <f>0</f>
        <v>0</v>
      </c>
      <c r="CE120" s="254">
        <f>0</f>
        <v>0</v>
      </c>
      <c r="CF120" s="19" t="n"/>
    </row>
    <row r="121" ht="15" customHeight="1" s="251">
      <c r="CN121" s="11" t="n"/>
      <c r="CO121" s="12" t="n"/>
      <c r="CP121" s="12" t="n"/>
      <c r="CQ121" s="12" t="n"/>
      <c r="CR121" s="13" t="n"/>
    </row>
    <row r="122" ht="15" customHeight="1" s="251">
      <c r="B122" s="10" t="inlineStr">
        <is>
          <t>CONSOLIDATED STATEMENT OF OPERATIONS (US GAAP)</t>
        </is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inlineStr">
        <is>
          <t>CONSOLIDATED IS — forecast logic (operating income = adjusted operating income − special items; G&amp;A is the balancing line)</t>
        </is>
      </c>
    </row>
    <row r="123" ht="15" customHeight="1" s="251">
      <c r="B123" s="55" t="inlineStr">
        <is>
          <t>Net revenue</t>
        </is>
      </c>
      <c r="C123" s="277" t="n">
        <v>3326.074</v>
      </c>
      <c r="D123" s="277" t="n">
        <v>4067.599</v>
      </c>
      <c r="E123" s="277" t="n">
        <v>4991.6</v>
      </c>
      <c r="F123" s="277" t="n">
        <v>5098.684</v>
      </c>
      <c r="G123" s="277" t="n">
        <v>5539</v>
      </c>
      <c r="H123" s="277" t="n">
        <v>6714</v>
      </c>
      <c r="I123" s="277" t="n">
        <v>7391</v>
      </c>
      <c r="J123" s="277" t="n">
        <v>1906</v>
      </c>
      <c r="K123" s="277" t="n">
        <v>2096</v>
      </c>
      <c r="L123" s="277" t="n">
        <v>2218</v>
      </c>
      <c r="M123" s="277" t="n">
        <v>2126</v>
      </c>
      <c r="N123" s="277" t="n">
        <v>8346</v>
      </c>
      <c r="O123" s="277" t="n">
        <v>2177</v>
      </c>
      <c r="P123" s="277" t="n">
        <v>2377</v>
      </c>
      <c r="Q123" s="277" t="n">
        <v>2503</v>
      </c>
      <c r="R123" s="277" t="n">
        <v>2416</v>
      </c>
      <c r="S123" s="277" t="n">
        <v>9473</v>
      </c>
      <c r="T123" s="277" t="n">
        <v>2230</v>
      </c>
      <c r="U123" s="277" t="n">
        <v>2390</v>
      </c>
      <c r="V123" s="277" t="n">
        <v>2530</v>
      </c>
      <c r="W123" s="277" t="n">
        <v>2517</v>
      </c>
      <c r="X123" s="277" t="n">
        <v>9667</v>
      </c>
      <c r="Y123" s="277" t="n">
        <v>2446</v>
      </c>
      <c r="Z123" s="277" t="n">
        <v>2694</v>
      </c>
      <c r="AA123" s="277" t="n">
        <v>2880</v>
      </c>
      <c r="AB123" s="277" t="n">
        <v>2756</v>
      </c>
      <c r="AC123" s="277" t="n">
        <v>10776</v>
      </c>
      <c r="AD123" s="277" t="n">
        <v>2734</v>
      </c>
      <c r="AE123" s="277" t="n">
        <v>3053</v>
      </c>
      <c r="AF123" s="277" t="n">
        <v>3398</v>
      </c>
      <c r="AG123" s="277" t="n">
        <v>3312</v>
      </c>
      <c r="AH123" s="277" t="n">
        <v>12497</v>
      </c>
      <c r="AI123" s="277" t="n">
        <v>3580</v>
      </c>
      <c r="AJ123" s="277" t="n">
        <v>3665</v>
      </c>
      <c r="AK123" s="277" t="n">
        <v>3898</v>
      </c>
      <c r="AL123" s="277" t="n">
        <v>3807</v>
      </c>
      <c r="AM123" s="277" t="n">
        <v>14950</v>
      </c>
      <c r="AN123" s="277" t="n">
        <v>3889</v>
      </c>
      <c r="AO123" s="277" t="n">
        <v>4113</v>
      </c>
      <c r="AP123" s="277" t="n">
        <v>4467</v>
      </c>
      <c r="AQ123" s="277" t="n">
        <v>4414</v>
      </c>
      <c r="AR123" s="277" t="n">
        <v>16883</v>
      </c>
      <c r="AS123" s="277" t="n">
        <v>4009</v>
      </c>
      <c r="AT123" s="277" t="n">
        <v>3335</v>
      </c>
      <c r="AU123" s="277" t="n">
        <v>3837</v>
      </c>
      <c r="AV123" s="277" t="n">
        <v>4120</v>
      </c>
      <c r="AW123" s="277" t="n">
        <v>15301</v>
      </c>
      <c r="AX123" s="277" t="n">
        <v>4155</v>
      </c>
      <c r="AY123" s="277" t="n">
        <v>4528</v>
      </c>
      <c r="AZ123" s="277" t="n">
        <v>4985</v>
      </c>
      <c r="BA123" s="277" t="n">
        <v>5216</v>
      </c>
      <c r="BB123" s="277" t="n">
        <v>18884</v>
      </c>
      <c r="BC123" s="277" t="n">
        <v>5167</v>
      </c>
      <c r="BD123" s="277" t="n">
        <v>5497</v>
      </c>
      <c r="BE123" s="277" t="n">
        <v>5756</v>
      </c>
      <c r="BF123" s="277" t="n">
        <v>5817</v>
      </c>
      <c r="BG123" s="277" t="n">
        <v>22237</v>
      </c>
      <c r="BH123" s="277" t="n">
        <v>5748</v>
      </c>
      <c r="BI123" s="277" t="n">
        <v>6269</v>
      </c>
      <c r="BJ123" s="277" t="n">
        <v>6533</v>
      </c>
      <c r="BK123" s="277" t="n">
        <v>6548</v>
      </c>
      <c r="BL123" s="277" t="n">
        <v>25098</v>
      </c>
      <c r="BM123" s="277" t="n">
        <v>6348</v>
      </c>
      <c r="BN123" s="277" t="n">
        <v>6961</v>
      </c>
      <c r="BO123" s="277" t="n">
        <v>7369</v>
      </c>
      <c r="BP123" s="277" t="n">
        <v>7489</v>
      </c>
      <c r="BQ123" s="277" t="n">
        <v>28167</v>
      </c>
      <c r="BR123" s="277" t="n">
        <v>7250</v>
      </c>
      <c r="BS123" s="277" t="n">
        <v>8133</v>
      </c>
      <c r="BT123" s="277" t="n">
        <v>8602</v>
      </c>
      <c r="BU123" s="277" t="n">
        <v>8806</v>
      </c>
      <c r="BV123" s="277" t="n">
        <v>32791</v>
      </c>
      <c r="BW123" s="277" t="n">
        <v>8398</v>
      </c>
      <c r="BX123" s="277" t="n">
        <v>9277</v>
      </c>
      <c r="BY123" s="273">
        <f>BY77</f>
        <v>9637.55150593884</v>
      </c>
      <c r="BZ123" s="273">
        <f>BZ77</f>
        <v>9905.23349406116</v>
      </c>
      <c r="CA123" s="273">
        <f>SUM(BW123:BZ123)</f>
        <v>37217.785</v>
      </c>
      <c r="CB123" s="273">
        <f>CB77</f>
        <v>41825.0132406573</v>
      </c>
      <c r="CC123" s="273">
        <f>CC77</f>
        <v>46784.2455603929</v>
      </c>
      <c r="CD123" s="273">
        <f>CD77</f>
        <v>51988.5998121384</v>
      </c>
      <c r="CE123" s="273">
        <f>CE77</f>
        <v>57398.9793869104</v>
      </c>
      <c r="CF123" s="153" t="inlineStr">
        <is>
          <t>Forecast linked to the revenue build.</t>
        </is>
      </c>
      <c r="CH123" s="20">
        <f>IFERROR((CE123/BV123)^(1/5)-1,"n/m")</f>
        <v>0.118484324380902</v>
      </c>
      <c r="CI123" s="20">
        <f>IFERROR((BV123/AW123)^(1/5)-1,"n/m")</f>
        <v>0.164680942431242</v>
      </c>
      <c r="CJ123" s="20">
        <f>IFERROR((BV123/X123)^(1/10)-1,"n/m")</f>
        <v>0.129916353351001</v>
      </c>
      <c r="CK123" s="20">
        <f>IFERROR((BV123/C123)^(1/19)-1,"n/m")</f>
        <v>0.127993145911792</v>
      </c>
    </row>
    <row r="124" ht="15" customHeight="1" s="251">
      <c r="B124" s="25" t="inlineStr">
        <is>
          <t>General and administrative</t>
        </is>
      </c>
      <c r="C124" s="253" t="n">
        <v>1505.185</v>
      </c>
      <c r="D124" s="253" t="n">
        <v>1758.388</v>
      </c>
      <c r="E124" s="253" t="n">
        <v>1913.679</v>
      </c>
      <c r="F124" s="253" t="n">
        <v>1934.974</v>
      </c>
      <c r="G124" s="253" t="n">
        <v>1852</v>
      </c>
      <c r="H124" s="253" t="n">
        <v>2196</v>
      </c>
      <c r="I124" s="253" t="n">
        <v>2429</v>
      </c>
      <c r="J124" s="253" t="n">
        <v>608</v>
      </c>
      <c r="K124" s="253" t="n">
        <v>621</v>
      </c>
      <c r="L124" s="253" t="n">
        <v>701</v>
      </c>
      <c r="M124" s="253" t="n">
        <v>719</v>
      </c>
      <c r="N124" s="253" t="n">
        <v>2649</v>
      </c>
      <c r="O124" s="253" t="n">
        <v>670</v>
      </c>
      <c r="P124" s="253" t="n">
        <v>740</v>
      </c>
      <c r="Q124" s="253" t="n">
        <v>797</v>
      </c>
      <c r="R124" s="253" t="n">
        <v>977</v>
      </c>
      <c r="S124" s="253" t="n">
        <v>3184</v>
      </c>
      <c r="T124" s="253" t="n">
        <v>650</v>
      </c>
      <c r="U124" s="253" t="n">
        <v>810</v>
      </c>
      <c r="V124" s="253" t="n">
        <v>883</v>
      </c>
      <c r="W124" s="253" t="n">
        <v>998</v>
      </c>
      <c r="X124" s="253" t="n">
        <v>3341</v>
      </c>
      <c r="Y124" s="253" t="n">
        <v>868</v>
      </c>
      <c r="Z124" s="253" t="n">
        <v>930</v>
      </c>
      <c r="AA124" s="253" t="n">
        <v>933</v>
      </c>
      <c r="AB124" s="253" t="n">
        <v>983</v>
      </c>
      <c r="AC124" s="253" t="n">
        <v>3714</v>
      </c>
      <c r="AD124" s="253" t="n">
        <v>951</v>
      </c>
      <c r="AE124" s="253" t="n">
        <v>1075</v>
      </c>
      <c r="AF124" s="253" t="n">
        <v>1136</v>
      </c>
      <c r="AG124" s="253" t="n">
        <v>1364</v>
      </c>
      <c r="AH124" s="253" t="n">
        <v>4526</v>
      </c>
      <c r="AI124" s="253" t="n">
        <v>1294</v>
      </c>
      <c r="AJ124" s="253" t="n">
        <v>1154</v>
      </c>
      <c r="AK124" s="253" t="n">
        <v>1236</v>
      </c>
      <c r="AL124" s="253" t="n">
        <v>1401</v>
      </c>
      <c r="AM124" s="253" t="n">
        <v>5174</v>
      </c>
      <c r="AN124" s="253" t="n">
        <v>1367</v>
      </c>
      <c r="AO124" s="253" t="n">
        <v>1369</v>
      </c>
      <c r="AP124" s="253" t="n">
        <v>1448</v>
      </c>
      <c r="AQ124" s="253" t="n">
        <v>1579</v>
      </c>
      <c r="AR124" s="253" t="n">
        <v>5763</v>
      </c>
      <c r="AS124" s="253" t="n">
        <v>1494</v>
      </c>
      <c r="AT124" s="253" t="n">
        <v>1368</v>
      </c>
      <c r="AU124" s="253" t="n">
        <v>1423</v>
      </c>
      <c r="AV124" s="253" t="n">
        <v>1625</v>
      </c>
      <c r="AW124" s="253" t="n">
        <v>5910</v>
      </c>
      <c r="AX124" s="253" t="n">
        <v>1676</v>
      </c>
      <c r="AY124" s="253" t="n">
        <v>1718</v>
      </c>
      <c r="AZ124" s="253" t="n">
        <v>1831</v>
      </c>
      <c r="BA124" s="253" t="n">
        <v>1862</v>
      </c>
      <c r="BB124" s="253" t="n">
        <v>7087</v>
      </c>
      <c r="BC124" s="253" t="n">
        <v>1844</v>
      </c>
      <c r="BD124" s="253" t="n">
        <v>1947</v>
      </c>
      <c r="BE124" s="253" t="n">
        <v>2069</v>
      </c>
      <c r="BF124" s="253" t="n">
        <v>2218</v>
      </c>
      <c r="BG124" s="253" t="n">
        <v>8078</v>
      </c>
      <c r="BH124" s="253" t="n">
        <v>2043</v>
      </c>
      <c r="BI124" s="253" t="n">
        <v>2200</v>
      </c>
      <c r="BJ124" s="253" t="n">
        <v>2285</v>
      </c>
      <c r="BK124" s="253" t="n">
        <v>2399</v>
      </c>
      <c r="BL124" s="253" t="n">
        <v>8927</v>
      </c>
      <c r="BM124" s="253" t="n">
        <v>2286</v>
      </c>
      <c r="BN124" s="253" t="n">
        <v>2418</v>
      </c>
      <c r="BO124" s="253" t="n">
        <v>2744</v>
      </c>
      <c r="BP124" s="253" t="n">
        <v>2745</v>
      </c>
      <c r="BQ124" s="253" t="n">
        <v>10193</v>
      </c>
      <c r="BR124" s="253" t="n">
        <v>2523</v>
      </c>
      <c r="BS124" s="253" t="n">
        <v>2766</v>
      </c>
      <c r="BT124" s="253" t="n">
        <v>2923</v>
      </c>
      <c r="BU124" s="253" t="n">
        <v>3106</v>
      </c>
      <c r="BV124" s="253" t="n">
        <v>11318</v>
      </c>
      <c r="BW124" s="253" t="n">
        <v>3039</v>
      </c>
      <c r="BX124" s="253" t="n">
        <v>3082</v>
      </c>
      <c r="BY124" s="254">
        <f>BY82-BY125-BY126+BY115+BY116</f>
        <v>3296.17857063611</v>
      </c>
      <c r="BZ124" s="254">
        <f>BZ82-BZ125-BZ126+BZ115+BZ116</f>
        <v>3507.95899228029</v>
      </c>
      <c r="CA124" s="254">
        <f>SUM(BW124:BZ124)</f>
        <v>12925.1375629164</v>
      </c>
      <c r="CB124" s="254">
        <f>CB82-CB125-CB126+CB115+CB116</f>
        <v>14015.8919488609</v>
      </c>
      <c r="CC124" s="254">
        <f>CC82-CC125-CC126+CC115+CC116</f>
        <v>15475.2052804901</v>
      </c>
      <c r="CD124" s="254">
        <f>CD82-CD125-CD126+CD115+CD116</f>
        <v>16974.0144387571</v>
      </c>
      <c r="CE124" s="254">
        <f>CE82-CE125-CE126+CE115+CE116</f>
        <v>18497.2880711982</v>
      </c>
      <c r="CF124" s="19" t="inlineStr">
        <is>
          <t>Forecast = adjusted opex − advertising &amp; marketing − D&amp;A + restructuring and other special items booked in G&amp;A (balancing line).</t>
        </is>
      </c>
      <c r="CH124" s="20">
        <f>IFERROR((CE124/BV124)^(1/5)-1,"n/m")</f>
        <v>0.103234092581269</v>
      </c>
      <c r="CI124" s="20">
        <f>IFERROR((BV124/AW124)^(1/5)-1,"n/m")</f>
        <v>0.13877111247089</v>
      </c>
      <c r="CJ124" s="20">
        <f>IFERROR((BV124/X124)^(1/10)-1,"n/m")</f>
        <v>0.129768135147109</v>
      </c>
      <c r="CK124" s="20">
        <f>IFERROR((BV124/C124)^(1/19)-1,"n/m")</f>
        <v>0.112025450093659</v>
      </c>
    </row>
    <row r="125" ht="15" customHeight="1" s="251">
      <c r="B125" s="25" t="inlineStr">
        <is>
          <t>Advertising and marketing</t>
        </is>
      </c>
      <c r="C125" s="253" t="n">
        <v>1051.87</v>
      </c>
      <c r="D125" s="253" t="n">
        <v>1080.057</v>
      </c>
      <c r="E125" s="253" t="n">
        <v>1017.575</v>
      </c>
      <c r="F125" s="253" t="n">
        <v>755.48</v>
      </c>
      <c r="G125" s="253" t="n">
        <v>782</v>
      </c>
      <c r="H125" s="253" t="n">
        <v>841</v>
      </c>
      <c r="I125" s="253" t="n">
        <v>775</v>
      </c>
      <c r="J125" s="253" t="n">
        <v>129</v>
      </c>
      <c r="K125" s="253" t="n">
        <v>186</v>
      </c>
      <c r="L125" s="253" t="n">
        <v>205</v>
      </c>
      <c r="M125" s="253" t="n">
        <v>321</v>
      </c>
      <c r="N125" s="253" t="n">
        <v>841</v>
      </c>
      <c r="O125" s="253" t="n">
        <v>149</v>
      </c>
      <c r="P125" s="253" t="n">
        <v>173</v>
      </c>
      <c r="Q125" s="253" t="n">
        <v>203</v>
      </c>
      <c r="R125" s="253" t="n">
        <v>337</v>
      </c>
      <c r="S125" s="253" t="n">
        <v>862</v>
      </c>
      <c r="T125" s="253" t="n">
        <v>142</v>
      </c>
      <c r="U125" s="253" t="n">
        <v>176</v>
      </c>
      <c r="V125" s="253" t="n">
        <v>184</v>
      </c>
      <c r="W125" s="253" t="n">
        <v>319</v>
      </c>
      <c r="X125" s="253" t="n">
        <v>821</v>
      </c>
      <c r="Y125" s="253" t="n">
        <v>135</v>
      </c>
      <c r="Z125" s="253" t="n">
        <v>184</v>
      </c>
      <c r="AA125" s="253" t="n">
        <v>184</v>
      </c>
      <c r="AB125" s="253" t="n">
        <v>308</v>
      </c>
      <c r="AC125" s="253" t="n">
        <v>811</v>
      </c>
      <c r="AD125" s="253" t="n">
        <v>170</v>
      </c>
      <c r="AE125" s="253" t="n">
        <v>214</v>
      </c>
      <c r="AF125" s="253" t="n">
        <v>203</v>
      </c>
      <c r="AG125" s="253" t="n">
        <v>311</v>
      </c>
      <c r="AH125" s="253" t="n">
        <v>898</v>
      </c>
      <c r="AI125" s="253" t="n">
        <v>224</v>
      </c>
      <c r="AJ125" s="253" t="n">
        <v>235</v>
      </c>
      <c r="AK125" s="253" t="n">
        <v>235</v>
      </c>
      <c r="AL125" s="253" t="n">
        <v>302</v>
      </c>
      <c r="AM125" s="253" t="n">
        <v>907</v>
      </c>
      <c r="AN125" s="253" t="n">
        <v>192</v>
      </c>
      <c r="AO125" s="253" t="n">
        <v>225</v>
      </c>
      <c r="AP125" s="253" t="n">
        <v>227</v>
      </c>
      <c r="AQ125" s="253" t="n">
        <v>290</v>
      </c>
      <c r="AR125" s="253" t="n">
        <v>934</v>
      </c>
      <c r="AS125" s="253" t="n">
        <v>154</v>
      </c>
      <c r="AT125" s="253" t="n">
        <v>93</v>
      </c>
      <c r="AU125" s="253" t="n">
        <v>168</v>
      </c>
      <c r="AV125" s="253" t="n">
        <v>242</v>
      </c>
      <c r="AW125" s="253" t="n">
        <v>657</v>
      </c>
      <c r="AX125" s="253" t="n">
        <v>119</v>
      </c>
      <c r="AY125" s="253" t="n">
        <v>216</v>
      </c>
      <c r="AZ125" s="253" t="n">
        <v>222</v>
      </c>
      <c r="BA125" s="253" t="n">
        <v>338</v>
      </c>
      <c r="BB125" s="253" t="n">
        <v>895</v>
      </c>
      <c r="BC125" s="253" t="n">
        <v>181</v>
      </c>
      <c r="BD125" s="253" t="n">
        <v>210</v>
      </c>
      <c r="BE125" s="253" t="n">
        <v>182</v>
      </c>
      <c r="BF125" s="253" t="n">
        <v>216</v>
      </c>
      <c r="BG125" s="253" t="n">
        <v>789</v>
      </c>
      <c r="BH125" s="253" t="n">
        <v>167</v>
      </c>
      <c r="BI125" s="253" t="n">
        <v>201</v>
      </c>
      <c r="BJ125" s="253" t="n">
        <v>193</v>
      </c>
      <c r="BK125" s="253" t="n">
        <v>264</v>
      </c>
      <c r="BL125" s="253" t="n">
        <v>825</v>
      </c>
      <c r="BM125" s="253" t="n">
        <v>116</v>
      </c>
      <c r="BN125" s="253" t="n">
        <v>184</v>
      </c>
      <c r="BO125" s="253" t="n">
        <v>220</v>
      </c>
      <c r="BP125" s="253" t="n">
        <v>295</v>
      </c>
      <c r="BQ125" s="253" t="n">
        <v>815</v>
      </c>
      <c r="BR125" s="253" t="n">
        <v>152</v>
      </c>
      <c r="BS125" s="253" t="n">
        <v>213</v>
      </c>
      <c r="BT125" s="253" t="n">
        <v>245</v>
      </c>
      <c r="BU125" s="253" t="n">
        <v>319</v>
      </c>
      <c r="BV125" s="253" t="n">
        <v>929</v>
      </c>
      <c r="BW125" s="253" t="n">
        <v>153</v>
      </c>
      <c r="BX125" s="253" t="n">
        <v>217</v>
      </c>
      <c r="BY125" s="254">
        <f>BY123*BY106</f>
        <v>247.567292873638</v>
      </c>
      <c r="BZ125" s="254">
        <f>BZ123*BZ106</f>
        <v>331.145144209961</v>
      </c>
      <c r="CA125" s="254">
        <f>SUM(BW125:BZ125)</f>
        <v>948.712437083599</v>
      </c>
      <c r="CB125" s="254">
        <f>CB123*CB106</f>
        <v>1129.27535749775</v>
      </c>
      <c r="CC125" s="254">
        <f>CC123*CC106</f>
        <v>1263.17463013061</v>
      </c>
      <c r="CD125" s="254">
        <f>CD123*CD106</f>
        <v>1403.69219492774</v>
      </c>
      <c r="CE125" s="254">
        <f>CE123*CE106</f>
        <v>1549.77244344658</v>
      </c>
      <c r="CF125" s="19" t="n"/>
      <c r="CH125" s="20">
        <f>IFERROR((CE125/BV125)^(1/5)-1,"n/m")</f>
        <v>0.107772153926516</v>
      </c>
      <c r="CI125" s="20">
        <f>IFERROR((BV125/AW125)^(1/5)-1,"n/m")</f>
        <v>0.0717415520388316</v>
      </c>
      <c r="CJ125" s="20">
        <f>IFERROR((BV125/X125)^(1/10)-1,"n/m")</f>
        <v>0.012435245545078</v>
      </c>
      <c r="CK125" s="20">
        <f>IFERROR((BV125/C125)^(1/19)-1,"n/m")</f>
        <v>-0.00651636385018728</v>
      </c>
    </row>
    <row r="126" ht="15" customHeight="1" s="251">
      <c r="B126" s="25" t="inlineStr">
        <is>
          <t>Depreciation and amortization</t>
        </is>
      </c>
      <c r="C126" s="253" t="n">
        <v>99.782</v>
      </c>
      <c r="D126" s="253" t="n">
        <v>97.642</v>
      </c>
      <c r="E126" s="253" t="n">
        <v>112.006</v>
      </c>
      <c r="F126" s="253" t="n">
        <v>141.377</v>
      </c>
      <c r="G126" s="253" t="n">
        <v>148</v>
      </c>
      <c r="H126" s="253" t="n">
        <v>194</v>
      </c>
      <c r="I126" s="253" t="n">
        <v>230</v>
      </c>
      <c r="J126" s="253" t="n">
        <v>62</v>
      </c>
      <c r="K126" s="253" t="n">
        <v>61</v>
      </c>
      <c r="L126" s="253" t="n">
        <v>64</v>
      </c>
      <c r="M126" s="253" t="n">
        <v>71</v>
      </c>
      <c r="N126" s="253" t="n">
        <v>258</v>
      </c>
      <c r="O126" s="253" t="n">
        <v>73</v>
      </c>
      <c r="P126" s="253" t="n">
        <v>81</v>
      </c>
      <c r="Q126" s="253" t="n">
        <v>83</v>
      </c>
      <c r="R126" s="253" t="n">
        <v>84</v>
      </c>
      <c r="S126" s="253" t="n">
        <v>321</v>
      </c>
      <c r="T126" s="253" t="n">
        <v>87</v>
      </c>
      <c r="U126" s="253" t="n">
        <v>92</v>
      </c>
      <c r="V126" s="253" t="n">
        <v>94</v>
      </c>
      <c r="W126" s="253" t="n">
        <v>93</v>
      </c>
      <c r="X126" s="253" t="n">
        <v>366</v>
      </c>
      <c r="Y126" s="253" t="n">
        <v>95</v>
      </c>
      <c r="Z126" s="253" t="n">
        <v>93</v>
      </c>
      <c r="AA126" s="253" t="n">
        <v>93</v>
      </c>
      <c r="AB126" s="253" t="n">
        <v>92</v>
      </c>
      <c r="AC126" s="253" t="n">
        <v>373</v>
      </c>
      <c r="AD126" s="253" t="n">
        <v>92</v>
      </c>
      <c r="AE126" s="253" t="n">
        <v>111</v>
      </c>
      <c r="AF126" s="253" t="n">
        <v>118</v>
      </c>
      <c r="AG126" s="253" t="n">
        <v>115</v>
      </c>
      <c r="AH126" s="253" t="n">
        <v>436</v>
      </c>
      <c r="AI126" s="253" t="n">
        <v>120</v>
      </c>
      <c r="AJ126" s="253" t="n">
        <v>115</v>
      </c>
      <c r="AK126" s="253" t="n">
        <v>111</v>
      </c>
      <c r="AL126" s="253" t="n">
        <v>113</v>
      </c>
      <c r="AM126" s="253" t="n">
        <v>459</v>
      </c>
      <c r="AN126" s="253" t="n">
        <v>117</v>
      </c>
      <c r="AO126" s="253" t="n">
        <v>122</v>
      </c>
      <c r="AP126" s="253" t="n">
        <v>137</v>
      </c>
      <c r="AQ126" s="253" t="n">
        <v>146</v>
      </c>
      <c r="AR126" s="253" t="n">
        <v>522</v>
      </c>
      <c r="AS126" s="253" t="n">
        <v>144</v>
      </c>
      <c r="AT126" s="253" t="n">
        <v>145</v>
      </c>
      <c r="AU126" s="253" t="n">
        <v>141</v>
      </c>
      <c r="AV126" s="253" t="n">
        <v>150</v>
      </c>
      <c r="AW126" s="253" t="n">
        <v>580</v>
      </c>
      <c r="AX126" s="253" t="n">
        <v>163</v>
      </c>
      <c r="AY126" s="253" t="n">
        <v>186</v>
      </c>
      <c r="AZ126" s="253" t="n">
        <v>188</v>
      </c>
      <c r="BA126" s="253" t="n">
        <v>189</v>
      </c>
      <c r="BB126" s="253" t="n">
        <v>726</v>
      </c>
      <c r="BC126" s="253" t="n">
        <v>192</v>
      </c>
      <c r="BD126" s="253" t="n">
        <v>189</v>
      </c>
      <c r="BE126" s="253" t="n">
        <v>185</v>
      </c>
      <c r="BF126" s="253" t="n">
        <v>184</v>
      </c>
      <c r="BG126" s="253" t="n">
        <v>750</v>
      </c>
      <c r="BH126" s="253" t="n">
        <v>191</v>
      </c>
      <c r="BI126" s="253" t="n">
        <v>192</v>
      </c>
      <c r="BJ126" s="253" t="n">
        <v>211</v>
      </c>
      <c r="BK126" s="253" t="n">
        <v>205</v>
      </c>
      <c r="BL126" s="253" t="n">
        <v>799</v>
      </c>
      <c r="BM126" s="253" t="n">
        <v>216</v>
      </c>
      <c r="BN126" s="253" t="n">
        <v>225</v>
      </c>
      <c r="BO126" s="253" t="n">
        <v>225</v>
      </c>
      <c r="BP126" s="253" t="n">
        <v>231</v>
      </c>
      <c r="BQ126" s="253" t="n">
        <v>897</v>
      </c>
      <c r="BR126" s="253" t="n">
        <v>275</v>
      </c>
      <c r="BS126" s="253" t="n">
        <v>281</v>
      </c>
      <c r="BT126" s="253" t="n">
        <v>290</v>
      </c>
      <c r="BU126" s="253" t="n">
        <v>297</v>
      </c>
      <c r="BV126" s="253" t="n">
        <v>1143</v>
      </c>
      <c r="BW126" s="253" t="n">
        <v>299</v>
      </c>
      <c r="BX126" s="253" t="n">
        <v>309</v>
      </c>
      <c r="BY126" s="254">
        <f>BY107</f>
        <v>325</v>
      </c>
      <c r="BZ126" s="254">
        <f>BZ107</f>
        <v>325</v>
      </c>
      <c r="CA126" s="254">
        <f>SUM(BW126:BZ126)</f>
        <v>1258</v>
      </c>
      <c r="CB126" s="254">
        <f>CB107</f>
        <v>1487.67545018235</v>
      </c>
      <c r="CC126" s="254">
        <f>CC107</f>
        <v>1693.78934905336</v>
      </c>
      <c r="CD126" s="254">
        <f>CD107</f>
        <v>1908.23739361271</v>
      </c>
      <c r="CE126" s="254">
        <f>CE107</f>
        <v>2129.69029915495</v>
      </c>
      <c r="CF126" s="19" t="n"/>
      <c r="CH126" s="20">
        <f>IFERROR((CE126/BV126)^(1/5)-1,"n/m")</f>
        <v>0.132541290118115</v>
      </c>
      <c r="CI126" s="20">
        <f>IFERROR((BV126/AW126)^(1/5)-1,"n/m")</f>
        <v>0.145311568309202</v>
      </c>
      <c r="CJ126" s="20">
        <f>IFERROR((BV126/X126)^(1/10)-1,"n/m")</f>
        <v>0.120615214366549</v>
      </c>
      <c r="CK126" s="20">
        <f>IFERROR((BV126/C126)^(1/19)-1,"n/m")</f>
        <v>0.136937333689999</v>
      </c>
    </row>
    <row r="127" ht="15" customHeight="1" s="251">
      <c r="B127" s="25" t="inlineStr">
        <is>
          <t>Provision for litigation (settlements)</t>
        </is>
      </c>
      <c r="C127" s="253" t="n">
        <v>24.957</v>
      </c>
      <c r="D127" s="253" t="n">
        <v>3.4</v>
      </c>
      <c r="E127" s="253" t="n">
        <v>2482.845</v>
      </c>
      <c r="F127" s="253" t="n">
        <v>6.745</v>
      </c>
      <c r="G127" s="253" t="n">
        <v>5</v>
      </c>
      <c r="H127" s="253" t="n">
        <v>770</v>
      </c>
      <c r="I127" s="253" t="n">
        <v>20</v>
      </c>
      <c r="J127" s="253" t="n">
        <v>0</v>
      </c>
      <c r="K127" s="253" t="n">
        <v>0</v>
      </c>
      <c r="L127" s="253" t="n">
        <v>0</v>
      </c>
      <c r="M127" s="253" t="n">
        <v>95</v>
      </c>
      <c r="N127" s="253" t="n">
        <v>95</v>
      </c>
      <c r="O127" s="253" t="n">
        <v>0</v>
      </c>
      <c r="P127" s="253" t="n">
        <v>0</v>
      </c>
      <c r="Q127" s="253" t="n">
        <v>0</v>
      </c>
      <c r="R127" s="253" t="n">
        <v>0</v>
      </c>
      <c r="S127" s="253" t="n">
        <v>0</v>
      </c>
      <c r="T127" s="253" t="n">
        <v>0</v>
      </c>
      <c r="U127" s="253" t="n">
        <v>61</v>
      </c>
      <c r="V127" s="253" t="n">
        <v>0</v>
      </c>
      <c r="W127" s="253" t="n">
        <v>0</v>
      </c>
      <c r="X127" s="253" t="n">
        <v>61</v>
      </c>
      <c r="Y127" s="253" t="n">
        <v>0</v>
      </c>
      <c r="Z127" s="253" t="n">
        <v>107</v>
      </c>
      <c r="AA127" s="253" t="n">
        <v>0</v>
      </c>
      <c r="AB127" s="253" t="n">
        <v>10</v>
      </c>
      <c r="AC127" s="253" t="n">
        <v>117</v>
      </c>
      <c r="AD127" s="253" t="n">
        <v>15</v>
      </c>
      <c r="AE127" s="253" t="n">
        <v>0</v>
      </c>
      <c r="AF127" s="253" t="n">
        <v>0</v>
      </c>
      <c r="AG127" s="253" t="n">
        <v>0</v>
      </c>
      <c r="AH127" s="253" t="n">
        <v>15</v>
      </c>
      <c r="AI127" s="253" t="n">
        <v>117</v>
      </c>
      <c r="AJ127" s="253" t="n">
        <v>225</v>
      </c>
      <c r="AK127" s="253" t="n">
        <v>29</v>
      </c>
      <c r="AL127" s="253" t="n">
        <v>757</v>
      </c>
      <c r="AM127" s="253" t="n">
        <v>1128</v>
      </c>
      <c r="AN127" s="253" t="n">
        <v>0</v>
      </c>
      <c r="AO127" s="253" t="n">
        <v>0</v>
      </c>
      <c r="AP127" s="253" t="n">
        <v>0</v>
      </c>
      <c r="AQ127" s="253" t="n">
        <v>0</v>
      </c>
      <c r="AR127" s="253" t="n">
        <v>0</v>
      </c>
      <c r="AS127" s="253" t="n">
        <v>6</v>
      </c>
      <c r="AT127" s="253" t="n">
        <v>22</v>
      </c>
      <c r="AU127" s="253" t="n">
        <v>0</v>
      </c>
      <c r="AV127" s="253" t="n">
        <v>45</v>
      </c>
      <c r="AW127" s="253" t="n">
        <v>73</v>
      </c>
      <c r="AX127" s="253" t="n">
        <v>0</v>
      </c>
      <c r="AY127" s="253" t="n">
        <v>67</v>
      </c>
      <c r="AZ127" s="253" t="n">
        <v>27</v>
      </c>
      <c r="BA127" s="253" t="n">
        <v>0</v>
      </c>
      <c r="BB127" s="253" t="n">
        <v>94</v>
      </c>
      <c r="BC127" s="253" t="n">
        <v>0</v>
      </c>
      <c r="BD127" s="253" t="n">
        <v>133</v>
      </c>
      <c r="BE127" s="253" t="n">
        <v>208</v>
      </c>
      <c r="BF127" s="253" t="n">
        <v>15</v>
      </c>
      <c r="BG127" s="253" t="n">
        <v>356</v>
      </c>
      <c r="BH127" s="253" t="n">
        <v>211</v>
      </c>
      <c r="BI127" s="253" t="n">
        <v>20</v>
      </c>
      <c r="BJ127" s="253" t="n">
        <v>0</v>
      </c>
      <c r="BK127" s="253" t="n">
        <v>308</v>
      </c>
      <c r="BL127" s="253" t="n">
        <v>539</v>
      </c>
      <c r="BM127" s="253" t="n">
        <v>126</v>
      </c>
      <c r="BN127" s="253" t="n">
        <v>98</v>
      </c>
      <c r="BO127" s="253" t="n">
        <v>176</v>
      </c>
      <c r="BP127" s="253" t="n">
        <v>280</v>
      </c>
      <c r="BQ127" s="253" t="n">
        <v>680</v>
      </c>
      <c r="BR127" s="253" t="n">
        <v>151</v>
      </c>
      <c r="BS127" s="253" t="n">
        <v>96</v>
      </c>
      <c r="BT127" s="253" t="n">
        <v>83</v>
      </c>
      <c r="BU127" s="253" t="n">
        <v>174</v>
      </c>
      <c r="BV127" s="253" t="n">
        <v>504</v>
      </c>
      <c r="BW127" s="253" t="n">
        <v>0</v>
      </c>
      <c r="BX127" s="253" t="n">
        <v>82</v>
      </c>
      <c r="BY127" s="254">
        <f>BY114</f>
        <v>100</v>
      </c>
      <c r="BZ127" s="254">
        <f>BZ114</f>
        <v>100</v>
      </c>
      <c r="CA127" s="254">
        <f>SUM(BW127:BZ127)</f>
        <v>282</v>
      </c>
      <c r="CB127" s="254">
        <f>CB114</f>
        <v>450</v>
      </c>
      <c r="CC127" s="254">
        <f>CC114</f>
        <v>450</v>
      </c>
      <c r="CD127" s="254">
        <f>CD114</f>
        <v>450</v>
      </c>
      <c r="CE127" s="254">
        <f>CE114</f>
        <v>450</v>
      </c>
      <c r="CF127" s="19" t="n"/>
    </row>
    <row r="128" ht="15" customHeight="1" s="251">
      <c r="B128" s="25" t="inlineStr">
        <is>
          <t>Charitable contributions to the Mastercard Foundation (2006–08)</t>
        </is>
      </c>
      <c r="C128" s="253" t="n">
        <v>414.785</v>
      </c>
      <c r="D128" s="253" t="n">
        <v>20</v>
      </c>
      <c r="E128" s="253" t="n">
        <v>0</v>
      </c>
      <c r="F128" s="253" t="n">
        <v>0</v>
      </c>
      <c r="G128" s="253" t="n">
        <v>0</v>
      </c>
      <c r="H128" s="253" t="n">
        <v>0</v>
      </c>
      <c r="I128" s="253" t="n">
        <v>0</v>
      </c>
      <c r="J128" s="253" t="n">
        <v>0</v>
      </c>
      <c r="K128" s="253" t="n">
        <v>0</v>
      </c>
      <c r="L128" s="253" t="n">
        <v>0</v>
      </c>
      <c r="M128" s="253" t="n">
        <v>0</v>
      </c>
      <c r="N128" s="253" t="n">
        <v>0</v>
      </c>
      <c r="O128" s="253" t="n">
        <v>0</v>
      </c>
      <c r="P128" s="253" t="n">
        <v>0</v>
      </c>
      <c r="Q128" s="253" t="n">
        <v>0</v>
      </c>
      <c r="R128" s="253" t="n">
        <v>0</v>
      </c>
      <c r="S128" s="253" t="n">
        <v>0</v>
      </c>
      <c r="T128" s="253" t="n">
        <v>0</v>
      </c>
      <c r="U128" s="253" t="n">
        <v>0</v>
      </c>
      <c r="V128" s="253" t="n">
        <v>0</v>
      </c>
      <c r="W128" s="253" t="n">
        <v>0</v>
      </c>
      <c r="X128" s="253" t="n">
        <v>0</v>
      </c>
      <c r="Y128" s="253" t="n">
        <v>0</v>
      </c>
      <c r="Z128" s="253" t="n">
        <v>0</v>
      </c>
      <c r="AA128" s="253" t="n">
        <v>0</v>
      </c>
      <c r="AB128" s="253" t="n">
        <v>0</v>
      </c>
      <c r="AC128" s="253" t="n">
        <v>0</v>
      </c>
      <c r="AD128" s="253" t="n">
        <v>0</v>
      </c>
      <c r="AE128" s="253" t="n">
        <v>0</v>
      </c>
      <c r="AF128" s="253" t="n">
        <v>0</v>
      </c>
      <c r="AG128" s="253" t="n">
        <v>0</v>
      </c>
      <c r="AH128" s="253" t="n">
        <v>0</v>
      </c>
      <c r="AI128" s="253" t="n">
        <v>0</v>
      </c>
      <c r="AJ128" s="253" t="n">
        <v>0</v>
      </c>
      <c r="AK128" s="253" t="n">
        <v>0</v>
      </c>
      <c r="AL128" s="253" t="n">
        <v>0</v>
      </c>
      <c r="AM128" s="253" t="n">
        <v>0</v>
      </c>
      <c r="AN128" s="253" t="n">
        <v>0</v>
      </c>
      <c r="AO128" s="253" t="n">
        <v>0</v>
      </c>
      <c r="AP128" s="253" t="n">
        <v>0</v>
      </c>
      <c r="AQ128" s="253" t="n">
        <v>0</v>
      </c>
      <c r="AR128" s="253" t="n">
        <v>0</v>
      </c>
      <c r="AS128" s="253" t="n">
        <v>0</v>
      </c>
      <c r="AT128" s="253" t="n">
        <v>0</v>
      </c>
      <c r="AU128" s="253" t="n">
        <v>0</v>
      </c>
      <c r="AV128" s="253" t="n">
        <v>0</v>
      </c>
      <c r="AW128" s="253" t="n">
        <v>0</v>
      </c>
      <c r="AX128" s="253" t="n">
        <v>0</v>
      </c>
      <c r="AY128" s="253" t="n">
        <v>0</v>
      </c>
      <c r="AZ128" s="253" t="n">
        <v>0</v>
      </c>
      <c r="BA128" s="253" t="n">
        <v>0</v>
      </c>
      <c r="BB128" s="253" t="n">
        <v>0</v>
      </c>
      <c r="BC128" s="253" t="n">
        <v>0</v>
      </c>
      <c r="BD128" s="253" t="n">
        <v>0</v>
      </c>
      <c r="BE128" s="253" t="n">
        <v>0</v>
      </c>
      <c r="BF128" s="253" t="n">
        <v>0</v>
      </c>
      <c r="BG128" s="253" t="n">
        <v>0</v>
      </c>
      <c r="BH128" s="253" t="n">
        <v>0</v>
      </c>
      <c r="BI128" s="253" t="n">
        <v>0</v>
      </c>
      <c r="BJ128" s="253" t="n">
        <v>0</v>
      </c>
      <c r="BK128" s="253" t="n">
        <v>0</v>
      </c>
      <c r="BL128" s="253" t="n">
        <v>0</v>
      </c>
      <c r="BM128" s="253" t="n">
        <v>0</v>
      </c>
      <c r="BN128" s="253" t="n">
        <v>0</v>
      </c>
      <c r="BO128" s="253" t="n">
        <v>0</v>
      </c>
      <c r="BP128" s="253" t="n">
        <v>0</v>
      </c>
      <c r="BQ128" s="253" t="n">
        <v>0</v>
      </c>
      <c r="BR128" s="253" t="n">
        <v>0</v>
      </c>
      <c r="BS128" s="253" t="n">
        <v>0</v>
      </c>
      <c r="BT128" s="253" t="n">
        <v>0</v>
      </c>
      <c r="BU128" s="253" t="n">
        <v>0</v>
      </c>
      <c r="BV128" s="253" t="n">
        <v>0</v>
      </c>
      <c r="BW128" s="253" t="n">
        <v>0</v>
      </c>
      <c r="BX128" s="253" t="n">
        <v>0</v>
      </c>
      <c r="BY128" s="254">
        <f>0</f>
        <v>0</v>
      </c>
      <c r="BZ128" s="254">
        <f>0</f>
        <v>0</v>
      </c>
      <c r="CA128" s="254">
        <f>SUM(BW128:BZ128)</f>
        <v>0</v>
      </c>
      <c r="CB128" s="254">
        <f>0</f>
        <v>0</v>
      </c>
      <c r="CC128" s="254">
        <f>0</f>
        <v>0</v>
      </c>
      <c r="CD128" s="254">
        <f>0</f>
        <v>0</v>
      </c>
      <c r="CE128" s="254">
        <f>0</f>
        <v>0</v>
      </c>
      <c r="CF128" s="19" t="n"/>
    </row>
    <row r="129" ht="15" customHeight="1" s="251">
      <c r="B129" s="16" t="inlineStr">
        <is>
          <t>Total operating expenses</t>
        </is>
      </c>
      <c r="C129" s="275">
        <f>IF(ISNUMBER(C124),SUM(C124:C128),"")</f>
        <v>3096.579</v>
      </c>
      <c r="D129" s="275">
        <f>IF(ISNUMBER(D124),SUM(D124:D128),"")</f>
        <v>2959.487</v>
      </c>
      <c r="E129" s="275">
        <f>IF(ISNUMBER(E124),SUM(E124:E128),"")</f>
        <v>5526.105</v>
      </c>
      <c r="F129" s="275">
        <f>IF(ISNUMBER(F124),SUM(F124:F128),"")</f>
        <v>2838.576</v>
      </c>
      <c r="G129" s="275">
        <f>IF(ISNUMBER(G124),SUM(G124:G128),"")</f>
        <v>2787</v>
      </c>
      <c r="H129" s="275">
        <f>IF(ISNUMBER(H124),SUM(H124:H128),"")</f>
        <v>4001</v>
      </c>
      <c r="I129" s="275">
        <f>IF(ISNUMBER(I124),SUM(I124:I128),"")</f>
        <v>3454</v>
      </c>
      <c r="J129" s="275">
        <f>IF(ISNUMBER(J124),SUM(J124:J128),"")</f>
        <v>799</v>
      </c>
      <c r="K129" s="275">
        <f>IF(ISNUMBER(K124),SUM(K124:K128),"")</f>
        <v>868</v>
      </c>
      <c r="L129" s="275">
        <f>IF(ISNUMBER(L124),SUM(L124:L128),"")</f>
        <v>970</v>
      </c>
      <c r="M129" s="275">
        <f>IF(ISNUMBER(M124),SUM(M124:M128),"")</f>
        <v>1206</v>
      </c>
      <c r="N129" s="275">
        <f>IF(ISNUMBER(N124),SUM(N124:N128),"")</f>
        <v>3843</v>
      </c>
      <c r="O129" s="275">
        <f>IF(ISNUMBER(O124),SUM(O124:O128),"")</f>
        <v>892</v>
      </c>
      <c r="P129" s="275">
        <f>IF(ISNUMBER(P124),SUM(P124:P128),"")</f>
        <v>994</v>
      </c>
      <c r="Q129" s="275">
        <f>IF(ISNUMBER(Q124),SUM(Q124:Q128),"")</f>
        <v>1083</v>
      </c>
      <c r="R129" s="275">
        <f>IF(ISNUMBER(R124),SUM(R124:R128),"")</f>
        <v>1398</v>
      </c>
      <c r="S129" s="275">
        <f>IF(ISNUMBER(S124),SUM(S124:S128),"")</f>
        <v>4367</v>
      </c>
      <c r="T129" s="275">
        <f>IF(ISNUMBER(T124),SUM(T124:T128),"")</f>
        <v>879</v>
      </c>
      <c r="U129" s="275">
        <f>IF(ISNUMBER(U124),SUM(U124:U128),"")</f>
        <v>1139</v>
      </c>
      <c r="V129" s="275">
        <f>IF(ISNUMBER(V124),SUM(V124:V128),"")</f>
        <v>1161</v>
      </c>
      <c r="W129" s="275">
        <f>IF(ISNUMBER(W124),SUM(W124:W128),"")</f>
        <v>1410</v>
      </c>
      <c r="X129" s="275">
        <f>IF(ISNUMBER(X124),SUM(X124:X128),"")</f>
        <v>4589</v>
      </c>
      <c r="Y129" s="275">
        <f>IF(ISNUMBER(Y124),SUM(Y124:Y128),"")</f>
        <v>1098</v>
      </c>
      <c r="Z129" s="275">
        <f>IF(ISNUMBER(Z124),SUM(Z124:Z128),"")</f>
        <v>1314</v>
      </c>
      <c r="AA129" s="275">
        <f>IF(ISNUMBER(AA124),SUM(AA124:AA128),"")</f>
        <v>1210</v>
      </c>
      <c r="AB129" s="275">
        <f>IF(ISNUMBER(AB124),SUM(AB124:AB128),"")</f>
        <v>1393</v>
      </c>
      <c r="AC129" s="275">
        <f>IF(ISNUMBER(AC124),SUM(AC124:AC128),"")</f>
        <v>5015</v>
      </c>
      <c r="AD129" s="275">
        <f>IF(ISNUMBER(AD124),SUM(AD124:AD128),"")</f>
        <v>1228</v>
      </c>
      <c r="AE129" s="275">
        <f>IF(ISNUMBER(AE124),SUM(AE124:AE128),"")</f>
        <v>1400</v>
      </c>
      <c r="AF129" s="275">
        <f>IF(ISNUMBER(AF124),SUM(AF124:AF128),"")</f>
        <v>1457</v>
      </c>
      <c r="AG129" s="275">
        <f>IF(ISNUMBER(AG124),SUM(AG124:AG128),"")</f>
        <v>1790</v>
      </c>
      <c r="AH129" s="275">
        <f>IF(ISNUMBER(AH124),SUM(AH124:AH128),"")</f>
        <v>5875</v>
      </c>
      <c r="AI129" s="275">
        <f>IF(ISNUMBER(AI124),SUM(AI124:AI128),"")</f>
        <v>1755</v>
      </c>
      <c r="AJ129" s="275">
        <f>IF(ISNUMBER(AJ124),SUM(AJ124:AJ128),"")</f>
        <v>1729</v>
      </c>
      <c r="AK129" s="275">
        <f>IF(ISNUMBER(AK124),SUM(AK124:AK128),"")</f>
        <v>1611</v>
      </c>
      <c r="AL129" s="275">
        <f>IF(ISNUMBER(AL124),SUM(AL124:AL128),"")</f>
        <v>2573</v>
      </c>
      <c r="AM129" s="275">
        <f>IF(ISNUMBER(AM124),SUM(AM124:AM128),"")</f>
        <v>7668</v>
      </c>
      <c r="AN129" s="275">
        <f>IF(ISNUMBER(AN124),SUM(AN124:AN128),"")</f>
        <v>1676</v>
      </c>
      <c r="AO129" s="275">
        <f>IF(ISNUMBER(AO124),SUM(AO124:AO128),"")</f>
        <v>1716</v>
      </c>
      <c r="AP129" s="275">
        <f>IF(ISNUMBER(AP124),SUM(AP124:AP128),"")</f>
        <v>1812</v>
      </c>
      <c r="AQ129" s="275">
        <f>IF(ISNUMBER(AQ124),SUM(AQ124:AQ128),"")</f>
        <v>2015</v>
      </c>
      <c r="AR129" s="275">
        <f>IF(ISNUMBER(AR124),SUM(AR124:AR128),"")</f>
        <v>7219</v>
      </c>
      <c r="AS129" s="275">
        <f>IF(ISNUMBER(AS124),SUM(AS124:AS128),"")</f>
        <v>1798</v>
      </c>
      <c r="AT129" s="275">
        <f>IF(ISNUMBER(AT124),SUM(AT124:AT128),"")</f>
        <v>1628</v>
      </c>
      <c r="AU129" s="275">
        <f>IF(ISNUMBER(AU124),SUM(AU124:AU128),"")</f>
        <v>1732</v>
      </c>
      <c r="AV129" s="275">
        <f>IF(ISNUMBER(AV124),SUM(AV124:AV128),"")</f>
        <v>2062</v>
      </c>
      <c r="AW129" s="275">
        <f>IF(ISNUMBER(AW124),SUM(AW124:AW128),"")</f>
        <v>7220</v>
      </c>
      <c r="AX129" s="275">
        <f>IF(ISNUMBER(AX124),SUM(AX124:AX128),"")</f>
        <v>1958</v>
      </c>
      <c r="AY129" s="275">
        <f>IF(ISNUMBER(AY124),SUM(AY124:AY128),"")</f>
        <v>2187</v>
      </c>
      <c r="AZ129" s="275">
        <f>IF(ISNUMBER(AZ124),SUM(AZ124:AZ128),"")</f>
        <v>2268</v>
      </c>
      <c r="BA129" s="275">
        <f>IF(ISNUMBER(BA124),SUM(BA124:BA128),"")</f>
        <v>2389</v>
      </c>
      <c r="BB129" s="275">
        <f>IF(ISNUMBER(BB124),SUM(BB124:BB128),"")</f>
        <v>8802</v>
      </c>
      <c r="BC129" s="275">
        <f>IF(ISNUMBER(BC124),SUM(BC124:BC128),"")</f>
        <v>2217</v>
      </c>
      <c r="BD129" s="275">
        <f>IF(ISNUMBER(BD124),SUM(BD124:BD128),"")</f>
        <v>2479</v>
      </c>
      <c r="BE129" s="275">
        <f>IF(ISNUMBER(BE124),SUM(BE124:BE128),"")</f>
        <v>2644</v>
      </c>
      <c r="BF129" s="275">
        <f>IF(ISNUMBER(BF124),SUM(BF124:BF128),"")</f>
        <v>2633</v>
      </c>
      <c r="BG129" s="275">
        <f>IF(ISNUMBER(BG124),SUM(BG124:BG128),"")</f>
        <v>9973</v>
      </c>
      <c r="BH129" s="275">
        <f>IF(ISNUMBER(BH124),SUM(BH124:BH128),"")</f>
        <v>2612</v>
      </c>
      <c r="BI129" s="275">
        <f>IF(ISNUMBER(BI124),SUM(BI124:BI128),"")</f>
        <v>2613</v>
      </c>
      <c r="BJ129" s="275">
        <f>IF(ISNUMBER(BJ124),SUM(BJ124:BJ128),"")</f>
        <v>2689</v>
      </c>
      <c r="BK129" s="275">
        <f>IF(ISNUMBER(BK124),SUM(BK124:BK128),"")</f>
        <v>3176</v>
      </c>
      <c r="BL129" s="275">
        <f>IF(ISNUMBER(BL124),SUM(BL124:BL128),"")</f>
        <v>11090</v>
      </c>
      <c r="BM129" s="275">
        <f>IF(ISNUMBER(BM124),SUM(BM124:BM128),"")</f>
        <v>2744</v>
      </c>
      <c r="BN129" s="275">
        <f>IF(ISNUMBER(BN124),SUM(BN124:BN128),"")</f>
        <v>2925</v>
      </c>
      <c r="BO129" s="275">
        <f>IF(ISNUMBER(BO124),SUM(BO124:BO128),"")</f>
        <v>3365</v>
      </c>
      <c r="BP129" s="275">
        <f>IF(ISNUMBER(BP124),SUM(BP124:BP128),"")</f>
        <v>3551</v>
      </c>
      <c r="BQ129" s="275">
        <f>IF(ISNUMBER(BQ124),SUM(BQ124:BQ128),"")</f>
        <v>12585</v>
      </c>
      <c r="BR129" s="275">
        <f>IF(ISNUMBER(BR124),SUM(BR124:BR128),"")</f>
        <v>3101</v>
      </c>
      <c r="BS129" s="275">
        <f>IF(ISNUMBER(BS124),SUM(BS124:BS128),"")</f>
        <v>3356</v>
      </c>
      <c r="BT129" s="275">
        <f>IF(ISNUMBER(BT124),SUM(BT124:BT128),"")</f>
        <v>3541</v>
      </c>
      <c r="BU129" s="275">
        <f>IF(ISNUMBER(BU124),SUM(BU124:BU128),"")</f>
        <v>3896</v>
      </c>
      <c r="BV129" s="275">
        <f>IF(ISNUMBER(BV124),SUM(BV124:BV128),"")</f>
        <v>13894</v>
      </c>
      <c r="BW129" s="275">
        <f>IF(ISNUMBER(BW124),SUM(BW124:BW128),"")</f>
        <v>3491</v>
      </c>
      <c r="BX129" s="275">
        <f>IF(ISNUMBER(BX124),SUM(BX124:BX128),"")</f>
        <v>3690</v>
      </c>
      <c r="BY129" s="263">
        <f>IF(ISNUMBER(BY124),SUM(BY124:BY128),"")</f>
        <v>3968.74586350975</v>
      </c>
      <c r="BZ129" s="263">
        <f>IF(ISNUMBER(BZ124),SUM(BZ124:BZ128),"")</f>
        <v>4264.10413649025</v>
      </c>
      <c r="CA129" s="263">
        <f>IF(ISNUMBER(CA124),SUM(CA124:CA128),"")</f>
        <v>15413.85</v>
      </c>
      <c r="CB129" s="263">
        <f>IF(ISNUMBER(CB124),SUM(CB124:CB128),"")</f>
        <v>17082.842756541</v>
      </c>
      <c r="CC129" s="263">
        <f>IF(ISNUMBER(CC124),SUM(CC124:CC128),"")</f>
        <v>18882.169259674</v>
      </c>
      <c r="CD129" s="263">
        <f>IF(ISNUMBER(CD124),SUM(CD124:CD128),"")</f>
        <v>20735.9440272976</v>
      </c>
      <c r="CE129" s="263">
        <f>IF(ISNUMBER(CE124),SUM(CE124:CE128),"")</f>
        <v>22626.7508137998</v>
      </c>
      <c r="CF129" s="153" t="n"/>
    </row>
    <row r="130" ht="15" customHeight="1" s="251">
      <c r="B130" s="55" t="inlineStr">
        <is>
          <t>Operating income</t>
        </is>
      </c>
      <c r="C130" s="273">
        <f>IF(ISNUMBER(C129),C123-C129,"")</f>
        <v>229.495</v>
      </c>
      <c r="D130" s="273">
        <f>IF(ISNUMBER(D129),D123-D129,"")</f>
        <v>1108.112</v>
      </c>
      <c r="E130" s="273">
        <f>IF(ISNUMBER(E129),E123-E129,"")</f>
        <v>-534.504999999999</v>
      </c>
      <c r="F130" s="273">
        <f>IF(ISNUMBER(F129),F123-F129,"")</f>
        <v>2260.108</v>
      </c>
      <c r="G130" s="273">
        <f>IF(ISNUMBER(G129),G123-G129,"")</f>
        <v>2752</v>
      </c>
      <c r="H130" s="273">
        <f>IF(ISNUMBER(H129),H123-H129,"")</f>
        <v>2713</v>
      </c>
      <c r="I130" s="273">
        <f>IF(ISNUMBER(I129),I123-I129,"")</f>
        <v>3937</v>
      </c>
      <c r="J130" s="273">
        <f>IF(ISNUMBER(J129),J123-J129,"")</f>
        <v>1107</v>
      </c>
      <c r="K130" s="273">
        <f>IF(ISNUMBER(K129),K123-K129,"")</f>
        <v>1228</v>
      </c>
      <c r="L130" s="273">
        <f>IF(ISNUMBER(L129),L123-L129,"")</f>
        <v>1248</v>
      </c>
      <c r="M130" s="273">
        <f>IF(ISNUMBER(M129),M123-M129,"")</f>
        <v>920</v>
      </c>
      <c r="N130" s="273">
        <f>IF(ISNUMBER(N129),N123-N129,"")</f>
        <v>4503</v>
      </c>
      <c r="O130" s="273">
        <f>IF(ISNUMBER(O129),O123-O129,"")</f>
        <v>1285</v>
      </c>
      <c r="P130" s="273">
        <f>IF(ISNUMBER(P129),P123-P129,"")</f>
        <v>1383</v>
      </c>
      <c r="Q130" s="273">
        <f>IF(ISNUMBER(Q129),Q123-Q129,"")</f>
        <v>1420</v>
      </c>
      <c r="R130" s="273">
        <f>IF(ISNUMBER(R129),R123-R129,"")</f>
        <v>1018</v>
      </c>
      <c r="S130" s="273">
        <f>IF(ISNUMBER(S129),S123-S129,"")</f>
        <v>5106</v>
      </c>
      <c r="T130" s="273">
        <f>IF(ISNUMBER(T129),T123-T129,"")</f>
        <v>1351</v>
      </c>
      <c r="U130" s="273">
        <f>IF(ISNUMBER(U129),U123-U129,"")</f>
        <v>1251</v>
      </c>
      <c r="V130" s="273">
        <f>IF(ISNUMBER(V129),V123-V129,"")</f>
        <v>1369</v>
      </c>
      <c r="W130" s="273">
        <f>IF(ISNUMBER(W129),W123-W129,"")</f>
        <v>1107</v>
      </c>
      <c r="X130" s="273">
        <f>IF(ISNUMBER(X129),X123-X129,"")</f>
        <v>5078</v>
      </c>
      <c r="Y130" s="273">
        <f>IF(ISNUMBER(Y129),Y123-Y129,"")</f>
        <v>1348</v>
      </c>
      <c r="Z130" s="273">
        <f>IF(ISNUMBER(Z129),Z123-Z129,"")</f>
        <v>1380</v>
      </c>
      <c r="AA130" s="273">
        <f>IF(ISNUMBER(AA129),AA123-AA129,"")</f>
        <v>1670</v>
      </c>
      <c r="AB130" s="273">
        <f>IF(ISNUMBER(AB129),AB123-AB129,"")</f>
        <v>1363</v>
      </c>
      <c r="AC130" s="273">
        <f>IF(ISNUMBER(AC129),AC123-AC129,"")</f>
        <v>5761</v>
      </c>
      <c r="AD130" s="273">
        <f>IF(ISNUMBER(AD129),AD123-AD129,"")</f>
        <v>1506</v>
      </c>
      <c r="AE130" s="273">
        <f>IF(ISNUMBER(AE129),AE123-AE129,"")</f>
        <v>1653</v>
      </c>
      <c r="AF130" s="273">
        <f>IF(ISNUMBER(AF129),AF123-AF129,"")</f>
        <v>1941</v>
      </c>
      <c r="AG130" s="273">
        <f>IF(ISNUMBER(AG129),AG123-AG129,"")</f>
        <v>1522</v>
      </c>
      <c r="AH130" s="273">
        <f>IF(ISNUMBER(AH129),AH123-AH129,"")</f>
        <v>6622</v>
      </c>
      <c r="AI130" s="273">
        <f>IF(ISNUMBER(AI129),AI123-AI129,"")</f>
        <v>1825</v>
      </c>
      <c r="AJ130" s="273">
        <f>IF(ISNUMBER(AJ129),AJ123-AJ129,"")</f>
        <v>1936</v>
      </c>
      <c r="AK130" s="273">
        <f>IF(ISNUMBER(AK129),AK123-AK129,"")</f>
        <v>2287</v>
      </c>
      <c r="AL130" s="273">
        <f>IF(ISNUMBER(AL129),AL123-AL129,"")</f>
        <v>1234</v>
      </c>
      <c r="AM130" s="273">
        <f>IF(ISNUMBER(AM129),AM123-AM129,"")</f>
        <v>7282</v>
      </c>
      <c r="AN130" s="273">
        <f>IF(ISNUMBER(AN129),AN123-AN129,"")</f>
        <v>2213</v>
      </c>
      <c r="AO130" s="273">
        <f>IF(ISNUMBER(AO129),AO123-AO129,"")</f>
        <v>2397</v>
      </c>
      <c r="AP130" s="273">
        <f>IF(ISNUMBER(AP129),AP123-AP129,"")</f>
        <v>2655</v>
      </c>
      <c r="AQ130" s="273">
        <f>IF(ISNUMBER(AQ129),AQ123-AQ129,"")</f>
        <v>2399</v>
      </c>
      <c r="AR130" s="273">
        <f>IF(ISNUMBER(AR129),AR123-AR129,"")</f>
        <v>9664</v>
      </c>
      <c r="AS130" s="273">
        <f>IF(ISNUMBER(AS129),AS123-AS129,"")</f>
        <v>2211</v>
      </c>
      <c r="AT130" s="273">
        <f>IF(ISNUMBER(AT129),AT123-AT129,"")</f>
        <v>1707</v>
      </c>
      <c r="AU130" s="273">
        <f>IF(ISNUMBER(AU129),AU123-AU129,"")</f>
        <v>2105</v>
      </c>
      <c r="AV130" s="273">
        <f>IF(ISNUMBER(AV129),AV123-AV129,"")</f>
        <v>2058</v>
      </c>
      <c r="AW130" s="273">
        <f>IF(ISNUMBER(AW129),AW123-AW129,"")</f>
        <v>8081</v>
      </c>
      <c r="AX130" s="273">
        <f>IF(ISNUMBER(AX129),AX123-AX129,"")</f>
        <v>2197</v>
      </c>
      <c r="AY130" s="273">
        <f>IF(ISNUMBER(AY129),AY123-AY129,"")</f>
        <v>2341</v>
      </c>
      <c r="AZ130" s="273">
        <f>IF(ISNUMBER(AZ129),AZ123-AZ129,"")</f>
        <v>2717</v>
      </c>
      <c r="BA130" s="273">
        <f>IF(ISNUMBER(BA129),BA123-BA129,"")</f>
        <v>2827</v>
      </c>
      <c r="BB130" s="273">
        <f>IF(ISNUMBER(BB129),BB123-BB129,"")</f>
        <v>10082</v>
      </c>
      <c r="BC130" s="273">
        <f>IF(ISNUMBER(BC129),BC123-BC129,"")</f>
        <v>2950</v>
      </c>
      <c r="BD130" s="273">
        <f>IF(ISNUMBER(BD129),BD123-BD129,"")</f>
        <v>3018</v>
      </c>
      <c r="BE130" s="273">
        <f>IF(ISNUMBER(BE129),BE123-BE129,"")</f>
        <v>3112</v>
      </c>
      <c r="BF130" s="273">
        <f>IF(ISNUMBER(BF129),BF123-BF129,"")</f>
        <v>3184</v>
      </c>
      <c r="BG130" s="273">
        <f>IF(ISNUMBER(BG129),BG123-BG129,"")</f>
        <v>12264</v>
      </c>
      <c r="BH130" s="273">
        <f>IF(ISNUMBER(BH129),BH123-BH129,"")</f>
        <v>3136</v>
      </c>
      <c r="BI130" s="273">
        <f>IF(ISNUMBER(BI129),BI123-BI129,"")</f>
        <v>3656</v>
      </c>
      <c r="BJ130" s="273">
        <f>IF(ISNUMBER(BJ129),BJ123-BJ129,"")</f>
        <v>3844</v>
      </c>
      <c r="BK130" s="273">
        <f>IF(ISNUMBER(BK129),BK123-BK129,"")</f>
        <v>3372</v>
      </c>
      <c r="BL130" s="273">
        <f>IF(ISNUMBER(BL129),BL123-BL129,"")</f>
        <v>14008</v>
      </c>
      <c r="BM130" s="273">
        <f>IF(ISNUMBER(BM129),BM123-BM129,"")</f>
        <v>3604</v>
      </c>
      <c r="BN130" s="273">
        <f>IF(ISNUMBER(BN129),BN123-BN129,"")</f>
        <v>4036</v>
      </c>
      <c r="BO130" s="273">
        <f>IF(ISNUMBER(BO129),BO123-BO129,"")</f>
        <v>4004</v>
      </c>
      <c r="BP130" s="273">
        <f>IF(ISNUMBER(BP129),BP123-BP129,"")</f>
        <v>3938</v>
      </c>
      <c r="BQ130" s="273">
        <f>IF(ISNUMBER(BQ129),BQ123-BQ129,"")</f>
        <v>15582</v>
      </c>
      <c r="BR130" s="273">
        <f>IF(ISNUMBER(BR129),BR123-BR129,"")</f>
        <v>4149</v>
      </c>
      <c r="BS130" s="273">
        <f>IF(ISNUMBER(BS129),BS123-BS129,"")</f>
        <v>4777</v>
      </c>
      <c r="BT130" s="273">
        <f>IF(ISNUMBER(BT129),BT123-BT129,"")</f>
        <v>5061</v>
      </c>
      <c r="BU130" s="273">
        <f>IF(ISNUMBER(BU129),BU123-BU129,"")</f>
        <v>4910</v>
      </c>
      <c r="BV130" s="273">
        <f>IF(ISNUMBER(BV129),BV123-BV129,"")</f>
        <v>18897</v>
      </c>
      <c r="BW130" s="273">
        <f>IF(ISNUMBER(BW129),BW123-BW129,"")</f>
        <v>4907</v>
      </c>
      <c r="BX130" s="273">
        <f>IF(ISNUMBER(BX129),BX123-BX129,"")</f>
        <v>5587</v>
      </c>
      <c r="BY130" s="273">
        <f>IF(ISNUMBER(BY129),BY123-BY129,"")</f>
        <v>5668.80564242909</v>
      </c>
      <c r="BZ130" s="273">
        <f>IF(ISNUMBER(BZ129),BZ123-BZ129,"")</f>
        <v>5641.12935757091</v>
      </c>
      <c r="CA130" s="273">
        <f>IF(ISNUMBER(CA129),CA123-CA129,"")</f>
        <v>21803.935</v>
      </c>
      <c r="CB130" s="273">
        <f>IF(ISNUMBER(CB129),CB123-CB129,"")</f>
        <v>24742.1704841164</v>
      </c>
      <c r="CC130" s="273">
        <f>IF(ISNUMBER(CC129),CC123-CC129,"")</f>
        <v>27902.0763007189</v>
      </c>
      <c r="CD130" s="273">
        <f>IF(ISNUMBER(CD129),CD123-CD129,"")</f>
        <v>31252.6557848408</v>
      </c>
      <c r="CE130" s="273">
        <f>IF(ISNUMBER(CE129),CE123-CE129,"")</f>
        <v>34772.2285731106</v>
      </c>
      <c r="CF130" s="153" t="n"/>
      <c r="CH130" s="20">
        <f>IFERROR((CE130/BV130)^(1/5)-1,"n/m")</f>
        <v>0.129712495819857</v>
      </c>
      <c r="CI130" s="20">
        <f>IFERROR((BV130/AW130)^(1/5)-1,"n/m")</f>
        <v>0.185183376138768</v>
      </c>
      <c r="CJ130" s="20">
        <f>IFERROR((BV130/X130)^(1/10)-1,"n/m")</f>
        <v>0.14043363265518</v>
      </c>
      <c r="CK130" s="20">
        <f>IFERROR((BV130/C130)^(1/19)-1,"n/m")</f>
        <v>0.26131071767077</v>
      </c>
    </row>
    <row r="131" ht="15" customHeight="1" s="251">
      <c r="B131" s="25" t="inlineStr">
        <is>
          <t xml:space="preserve">  Operating margin %</t>
        </is>
      </c>
      <c r="C131" s="215">
        <f>IF(AND(ISNUMBER(C130),ISNUMBER(C123)),IFERROR(C130/C123,""),"")</f>
        <v>0.0689987655115311</v>
      </c>
      <c r="D131" s="215">
        <f>IF(AND(ISNUMBER(D130),ISNUMBER(D123)),IFERROR(D130/D123,""),"")</f>
        <v>0.272424100802464</v>
      </c>
      <c r="E131" s="215">
        <f>IF(AND(ISNUMBER(E130),ISNUMBER(E123)),IFERROR(E130/E123,""),"")</f>
        <v>-0.10708089590512</v>
      </c>
      <c r="F131" s="215">
        <f>IF(AND(ISNUMBER(F130),ISNUMBER(F123)),IFERROR(F130/F123,""),"")</f>
        <v>0.443272813141587</v>
      </c>
      <c r="G131" s="215">
        <f>IF(AND(ISNUMBER(G130),ISNUMBER(G123)),IFERROR(G130/G123,""),"")</f>
        <v>0.496840584943131</v>
      </c>
      <c r="H131" s="215">
        <f>IF(AND(ISNUMBER(H130),ISNUMBER(H123)),IFERROR(H130/H123,""),"")</f>
        <v>0.404081024724456</v>
      </c>
      <c r="I131" s="215">
        <f>IF(AND(ISNUMBER(I130),ISNUMBER(I123)),IFERROR(I130/I123,""),"")</f>
        <v>0.532674874847788</v>
      </c>
      <c r="J131" s="215">
        <f>IF(AND(ISNUMBER(J130),ISNUMBER(J123)),IFERROR(J130/J123,""),"")</f>
        <v>0.580797481636936</v>
      </c>
      <c r="K131" s="215">
        <f>IF(AND(ISNUMBER(K130),ISNUMBER(K123)),IFERROR(K130/K123,""),"")</f>
        <v>0.58587786259542</v>
      </c>
      <c r="L131" s="215">
        <f>IF(AND(ISNUMBER(L130),ISNUMBER(L123)),IFERROR(L130/L123,""),"")</f>
        <v>0.562669071235347</v>
      </c>
      <c r="M131" s="215">
        <f>IF(AND(ISNUMBER(M130),ISNUMBER(M123)),IFERROR(M130/M123,""),"")</f>
        <v>0.432737535277516</v>
      </c>
      <c r="N131" s="215">
        <f>IF(AND(ISNUMBER(N130),ISNUMBER(N123)),IFERROR(N130/N123,""),"")</f>
        <v>0.539539899352983</v>
      </c>
      <c r="O131" s="215">
        <f>IF(AND(ISNUMBER(O130),ISNUMBER(O123)),IFERROR(O130/O123,""),"")</f>
        <v>0.59026182820395</v>
      </c>
      <c r="P131" s="215">
        <f>IF(AND(ISNUMBER(P130),ISNUMBER(P123)),IFERROR(P130/P123,""),"")</f>
        <v>0.58182583087926</v>
      </c>
      <c r="Q131" s="215">
        <f>IF(AND(ISNUMBER(Q130),ISNUMBER(Q123)),IFERROR(Q130/Q123,""),"")</f>
        <v>0.567319216939672</v>
      </c>
      <c r="R131" s="215">
        <f>IF(AND(ISNUMBER(R130),ISNUMBER(R123)),IFERROR(R130/R123,""),"")</f>
        <v>0.42135761589404</v>
      </c>
      <c r="S131" s="215">
        <f>IF(AND(ISNUMBER(S130),ISNUMBER(S123)),IFERROR(S130/S123,""),"")</f>
        <v>0.539005594848517</v>
      </c>
      <c r="T131" s="215">
        <f>IF(AND(ISNUMBER(T130),ISNUMBER(T123)),IFERROR(T130/T123,""),"")</f>
        <v>0.605829596412556</v>
      </c>
      <c r="U131" s="215">
        <f>IF(AND(ISNUMBER(U130),ISNUMBER(U123)),IFERROR(U130/U123,""),"")</f>
        <v>0.523430962343096</v>
      </c>
      <c r="V131" s="215">
        <f>IF(AND(ISNUMBER(V130),ISNUMBER(V123)),IFERROR(V130/V123,""),"")</f>
        <v>0.541106719367589</v>
      </c>
      <c r="W131" s="215">
        <f>IF(AND(ISNUMBER(W130),ISNUMBER(W123)),IFERROR(W130/W123,""),"")</f>
        <v>0.439809296781883</v>
      </c>
      <c r="X131" s="215">
        <f>IF(AND(ISNUMBER(X130),ISNUMBER(X123)),IFERROR(X130/X123,""),"")</f>
        <v>0.525292231302369</v>
      </c>
      <c r="Y131" s="215">
        <f>IF(AND(ISNUMBER(Y130),ISNUMBER(Y123)),IFERROR(Y130/Y123,""),"")</f>
        <v>0.551103843008994</v>
      </c>
      <c r="Z131" s="215">
        <f>IF(AND(ISNUMBER(Z130),ISNUMBER(Z123)),IFERROR(Z130/Z123,""),"")</f>
        <v>0.512249443207127</v>
      </c>
      <c r="AA131" s="215">
        <f>IF(AND(ISNUMBER(AA130),ISNUMBER(AA123)),IFERROR(AA130/AA123,""),"")</f>
        <v>0.579861111111111</v>
      </c>
      <c r="AB131" s="215">
        <f>IF(AND(ISNUMBER(AB130),ISNUMBER(AB123)),IFERROR(AB130/AB123,""),"")</f>
        <v>0.49455732946299</v>
      </c>
      <c r="AC131" s="215">
        <f>IF(AND(ISNUMBER(AC130),ISNUMBER(AC123)),IFERROR(AC130/AC123,""),"")</f>
        <v>0.534613956941351</v>
      </c>
      <c r="AD131" s="215">
        <f>IF(AND(ISNUMBER(AD130),ISNUMBER(AD123)),IFERROR(AD130/AD123,""),"")</f>
        <v>0.5508412582297</v>
      </c>
      <c r="AE131" s="215">
        <f>IF(AND(ISNUMBER(AE130),ISNUMBER(AE123)),IFERROR(AE130/AE123,""),"")</f>
        <v>0.541434654438257</v>
      </c>
      <c r="AF131" s="215">
        <f>IF(AND(ISNUMBER(AF130),ISNUMBER(AF123)),IFERROR(AF130/AF123,""),"")</f>
        <v>0.571218363743378</v>
      </c>
      <c r="AG131" s="215">
        <f>IF(AND(ISNUMBER(AG130),ISNUMBER(AG123)),IFERROR(AG130/AG123,""),"")</f>
        <v>0.459541062801932</v>
      </c>
      <c r="AH131" s="215">
        <f>IF(AND(ISNUMBER(AH130),ISNUMBER(AH123)),IFERROR(AH130/AH123,""),"")</f>
        <v>0.529887172921501</v>
      </c>
      <c r="AI131" s="215">
        <f>IF(AND(ISNUMBER(AI130),ISNUMBER(AI123)),IFERROR(AI130/AI123,""),"")</f>
        <v>0.509776536312849</v>
      </c>
      <c r="AJ131" s="215">
        <f>IF(AND(ISNUMBER(AJ130),ISNUMBER(AJ123)),IFERROR(AJ130/AJ123,""),"")</f>
        <v>0.528240109140518</v>
      </c>
      <c r="AK131" s="215">
        <f>IF(AND(ISNUMBER(AK130),ISNUMBER(AK123)),IFERROR(AK130/AK123,""),"")</f>
        <v>0.586711133914828</v>
      </c>
      <c r="AL131" s="215">
        <f>IF(AND(ISNUMBER(AL130),ISNUMBER(AL123)),IFERROR(AL130/AL123,""),"")</f>
        <v>0.324139742579459</v>
      </c>
      <c r="AM131" s="215">
        <f>IF(AND(ISNUMBER(AM130),ISNUMBER(AM123)),IFERROR(AM130/AM123,""),"")</f>
        <v>0.487090301003345</v>
      </c>
      <c r="AN131" s="215">
        <f>IF(AND(ISNUMBER(AN130),ISNUMBER(AN123)),IFERROR(AN130/AN123,""),"")</f>
        <v>0.569040884546156</v>
      </c>
      <c r="AO131" s="215">
        <f>IF(AND(ISNUMBER(AO130),ISNUMBER(AO123)),IFERROR(AO130/AO123,""),"")</f>
        <v>0.582786287381473</v>
      </c>
      <c r="AP131" s="215">
        <f>IF(AND(ISNUMBER(AP130),ISNUMBER(AP123)),IFERROR(AP130/AP123,""),"")</f>
        <v>0.594358629952989</v>
      </c>
      <c r="AQ131" s="215">
        <f>IF(AND(ISNUMBER(AQ130),ISNUMBER(AQ123)),IFERROR(AQ130/AQ123,""),"")</f>
        <v>0.543497961033077</v>
      </c>
      <c r="AR131" s="215">
        <f>IF(AND(ISNUMBER(AR130),ISNUMBER(AR123)),IFERROR(AR130/AR123,""),"")</f>
        <v>0.572410116685423</v>
      </c>
      <c r="AS131" s="215">
        <f>IF(AND(ISNUMBER(AS130),ISNUMBER(AS123)),IFERROR(AS130/AS123,""),"")</f>
        <v>0.551509104514842</v>
      </c>
      <c r="AT131" s="215">
        <f>IF(AND(ISNUMBER(AT130),ISNUMBER(AT123)),IFERROR(AT130/AT123,""),"")</f>
        <v>0.51184407796102</v>
      </c>
      <c r="AU131" s="215">
        <f>IF(AND(ISNUMBER(AU130),ISNUMBER(AU123)),IFERROR(AU130/AU123,""),"")</f>
        <v>0.548605681522022</v>
      </c>
      <c r="AV131" s="215">
        <f>IF(AND(ISNUMBER(AV130),ISNUMBER(AV123)),IFERROR(AV130/AV123,""),"")</f>
        <v>0.499514563106796</v>
      </c>
      <c r="AW131" s="215">
        <f>IF(AND(ISNUMBER(AW130),ISNUMBER(AW123)),IFERROR(AW130/AW123,""),"")</f>
        <v>0.528135415985883</v>
      </c>
      <c r="AX131" s="215">
        <f>IF(AND(ISNUMBER(AX130),ISNUMBER(AX123)),IFERROR(AX130/AX123,""),"")</f>
        <v>0.528760529482551</v>
      </c>
      <c r="AY131" s="215">
        <f>IF(AND(ISNUMBER(AY130),ISNUMBER(AY123)),IFERROR(AY130/AY123,""),"")</f>
        <v>0.517005300353357</v>
      </c>
      <c r="AZ131" s="215">
        <f>IF(AND(ISNUMBER(AZ130),ISNUMBER(AZ123)),IFERROR(AZ130/AZ123,""),"")</f>
        <v>0.545035105315948</v>
      </c>
      <c r="BA131" s="215">
        <f>IF(AND(ISNUMBER(BA130),ISNUMBER(BA123)),IFERROR(BA130/BA123,""),"")</f>
        <v>0.541986196319019</v>
      </c>
      <c r="BB131" s="215">
        <f>IF(AND(ISNUMBER(BB130),ISNUMBER(BB123)),IFERROR(BB130/BB123,""),"")</f>
        <v>0.533891124761703</v>
      </c>
      <c r="BC131" s="215">
        <f>IF(AND(ISNUMBER(BC130),ISNUMBER(BC123)),IFERROR(BC130/BC123,""),"")</f>
        <v>0.570930907683375</v>
      </c>
      <c r="BD131" s="215">
        <f>IF(AND(ISNUMBER(BD130),ISNUMBER(BD123)),IFERROR(BD130/BD123,""),"")</f>
        <v>0.549026741859196</v>
      </c>
      <c r="BE131" s="215">
        <f>IF(AND(ISNUMBER(BE130),ISNUMBER(BE123)),IFERROR(BE130/BE123,""),"")</f>
        <v>0.540653231410702</v>
      </c>
      <c r="BF131" s="215">
        <f>IF(AND(ISNUMBER(BF130),ISNUMBER(BF123)),IFERROR(BF130/BF123,""),"")</f>
        <v>0.547361182740244</v>
      </c>
      <c r="BG131" s="215">
        <f>IF(AND(ISNUMBER(BG130),ISNUMBER(BG123)),IFERROR(BG130/BG123,""),"")</f>
        <v>0.551513243692944</v>
      </c>
      <c r="BH131" s="215">
        <f>IF(AND(ISNUMBER(BH130),ISNUMBER(BH123)),IFERROR(BH130/BH123,""),"")</f>
        <v>0.545581071677105</v>
      </c>
      <c r="BI131" s="215">
        <f>IF(AND(ISNUMBER(BI130),ISNUMBER(BI123)),IFERROR(BI130/BI123,""),"")</f>
        <v>0.583187111182007</v>
      </c>
      <c r="BJ131" s="215">
        <f>IF(AND(ISNUMBER(BJ130),ISNUMBER(BJ123)),IFERROR(BJ130/BJ123,""),"")</f>
        <v>0.588397367212613</v>
      </c>
      <c r="BK131" s="215">
        <f>IF(AND(ISNUMBER(BK130),ISNUMBER(BK123)),IFERROR(BK130/BK123,""),"")</f>
        <v>0.514966401954795</v>
      </c>
      <c r="BL131" s="215">
        <f>IF(AND(ISNUMBER(BL130),ISNUMBER(BL123)),IFERROR(BL130/BL123,""),"")</f>
        <v>0.558132122081441</v>
      </c>
      <c r="BM131" s="215">
        <f>IF(AND(ISNUMBER(BM130),ISNUMBER(BM123)),IFERROR(BM130/BM123,""),"")</f>
        <v>0.567737870195337</v>
      </c>
      <c r="BN131" s="215">
        <f>IF(AND(ISNUMBER(BN130),ISNUMBER(BN123)),IFERROR(BN130/BN123,""),"")</f>
        <v>0.57980175262175</v>
      </c>
      <c r="BO131" s="215">
        <f>IF(AND(ISNUMBER(BO130),ISNUMBER(BO123)),IFERROR(BO130/BO123,""),"")</f>
        <v>0.543357307640114</v>
      </c>
      <c r="BP131" s="215">
        <f>IF(AND(ISNUMBER(BP130),ISNUMBER(BP123)),IFERROR(BP130/BP123,""),"")</f>
        <v>0.525837895580184</v>
      </c>
      <c r="BQ131" s="215">
        <f>IF(AND(ISNUMBER(BQ130),ISNUMBER(BQ123)),IFERROR(BQ130/BQ123,""),"")</f>
        <v>0.5532005538396</v>
      </c>
      <c r="BR131" s="215">
        <f>IF(AND(ISNUMBER(BR130),ISNUMBER(BR123)),IFERROR(BR130/BR123,""),"")</f>
        <v>0.572275862068966</v>
      </c>
      <c r="BS131" s="215">
        <f>IF(AND(ISNUMBER(BS130),ISNUMBER(BS123)),IFERROR(BS130/BS123,""),"")</f>
        <v>0.587360137710562</v>
      </c>
      <c r="BT131" s="215">
        <f>IF(AND(ISNUMBER(BT130),ISNUMBER(BT123)),IFERROR(BT130/BT123,""),"")</f>
        <v>0.588351546152058</v>
      </c>
      <c r="BU131" s="215">
        <f>IF(AND(ISNUMBER(BU130),ISNUMBER(BU123)),IFERROR(BU130/BU123,""),"")</f>
        <v>0.557574381103793</v>
      </c>
      <c r="BV131" s="215">
        <f>IF(AND(ISNUMBER(BV130),ISNUMBER(BV123)),IFERROR(BV130/BV123,""),"")</f>
        <v>0.576286176084901</v>
      </c>
      <c r="BW131" s="215">
        <f>IF(AND(ISNUMBER(BW130),ISNUMBER(BW123)),IFERROR(BW130/BW123,""),"")</f>
        <v>0.584305787092165</v>
      </c>
      <c r="BX131" s="215">
        <f>IF(AND(ISNUMBER(BX130),ISNUMBER(BX123)),IFERROR(BX130/BX123,""),"")</f>
        <v>0.60224210412849</v>
      </c>
      <c r="BY131" s="256">
        <f>IF(AND(ISNUMBER(BY130),ISNUMBER(BY123)),IFERROR(BY130/BY123,""),"")</f>
        <v>0.588199776565227</v>
      </c>
      <c r="BZ131" s="256">
        <f>IF(AND(ISNUMBER(BZ130),ISNUMBER(BZ123)),IFERROR(BZ130/BZ123,""),"")</f>
        <v>0.569509982874522</v>
      </c>
      <c r="CA131" s="256">
        <f>IF(AND(ISNUMBER(CA130),ISNUMBER(CA123)),IFERROR(CA130/CA123,""),"")</f>
        <v>0.585847196441164</v>
      </c>
      <c r="CB131" s="256">
        <f>IF(AND(ISNUMBER(CB130),ISNUMBER(CB123)),IFERROR(CB130/CB123,""),"")</f>
        <v>0.591563960583878</v>
      </c>
      <c r="CC131" s="256">
        <f>IF(AND(ISNUMBER(CC130),ISNUMBER(CC123)),IFERROR(CC130/CC123,""),"")</f>
        <v>0.596398979325222</v>
      </c>
      <c r="CD131" s="256">
        <f>IF(AND(ISNUMBER(CD130),ISNUMBER(CD123)),IFERROR(CD130/CD123,""),"")</f>
        <v>0.601144402768545</v>
      </c>
      <c r="CE131" s="256">
        <f>IF(AND(ISNUMBER(CE130),ISNUMBER(CE123)),IFERROR(CE130/CE123,""),"")</f>
        <v>0.60579872577038</v>
      </c>
      <c r="CF131" s="153" t="n"/>
      <c r="CH131" s="37">
        <f>IFERROR(AVERAGE(CA131,CB131,CC131,CD131,CE131),"n/m")</f>
        <v>0.596150652977838</v>
      </c>
      <c r="CI131" s="37">
        <f>IFERROR(AVERAGE(BB131,BG131,BL131,BQ131,BV131),"n/m")</f>
        <v>0.554604644092118</v>
      </c>
      <c r="CJ131" s="37">
        <f>IFERROR(AVERAGE(AC131,AH131,AM131,AR131,AW131,BB131,BG131,BL131,BQ131,BV131),"n/m")</f>
        <v>0.542516018399809</v>
      </c>
      <c r="CK131" s="37">
        <f>IFERROR(AVERAGE(C131,D131,E131,F131,G131,H131,I131,N131,S131,X131,AC131,AH131,AM131,AR131,AW131,BB131,BG131,BL131,BQ131,BV131),"n/m")</f>
        <v>0.45701045887839</v>
      </c>
    </row>
    <row r="132" ht="15" customHeight="1" s="251">
      <c r="B132" s="25" t="inlineStr">
        <is>
          <t>Investment income</t>
        </is>
      </c>
      <c r="C132" s="253" t="n">
        <v>124.994</v>
      </c>
      <c r="D132" s="253" t="n">
        <v>530.4</v>
      </c>
      <c r="E132" s="253" t="n">
        <v>182.907</v>
      </c>
      <c r="F132" s="253" t="n">
        <v>57.698</v>
      </c>
      <c r="G132" s="253" t="n">
        <v>57</v>
      </c>
      <c r="H132" s="253" t="n">
        <v>52</v>
      </c>
      <c r="I132" s="253" t="n">
        <v>37</v>
      </c>
      <c r="J132" s="253" t="n">
        <v>8</v>
      </c>
      <c r="K132" s="253" t="n">
        <v>11</v>
      </c>
      <c r="L132" s="253" t="n">
        <v>11</v>
      </c>
      <c r="M132" s="253" t="n">
        <v>8</v>
      </c>
      <c r="N132" s="253" t="n">
        <v>38</v>
      </c>
      <c r="O132" s="253" t="n">
        <v>7</v>
      </c>
      <c r="P132" s="253" t="n">
        <v>6</v>
      </c>
      <c r="Q132" s="253" t="n">
        <v>8</v>
      </c>
      <c r="R132" s="253" t="n">
        <v>7</v>
      </c>
      <c r="S132" s="253" t="n">
        <v>28</v>
      </c>
      <c r="T132" s="253" t="n">
        <v>9</v>
      </c>
      <c r="U132" s="253" t="n">
        <v>6</v>
      </c>
      <c r="V132" s="253" t="n">
        <v>5</v>
      </c>
      <c r="W132" s="253" t="n">
        <v>5</v>
      </c>
      <c r="X132" s="253" t="n">
        <v>25</v>
      </c>
      <c r="Y132" s="253" t="n">
        <v>10</v>
      </c>
      <c r="Z132" s="253" t="n">
        <v>10</v>
      </c>
      <c r="AA132" s="253" t="n">
        <v>12</v>
      </c>
      <c r="AB132" s="253" t="n">
        <v>11</v>
      </c>
      <c r="AC132" s="253" t="n">
        <v>43</v>
      </c>
      <c r="AD132" s="253" t="n">
        <v>15</v>
      </c>
      <c r="AE132" s="253" t="n">
        <v>14</v>
      </c>
      <c r="AF132" s="253" t="n">
        <v>15</v>
      </c>
      <c r="AG132" s="253" t="n">
        <v>12</v>
      </c>
      <c r="AH132" s="253" t="n">
        <v>56</v>
      </c>
      <c r="AI132" s="253" t="n">
        <v>17</v>
      </c>
      <c r="AJ132" s="253" t="n">
        <v>31</v>
      </c>
      <c r="AK132" s="253" t="n">
        <v>31</v>
      </c>
      <c r="AL132" s="253" t="n">
        <v>43</v>
      </c>
      <c r="AM132" s="253" t="n">
        <v>122</v>
      </c>
      <c r="AN132" s="253" t="n">
        <v>32</v>
      </c>
      <c r="AO132" s="253" t="n">
        <v>24</v>
      </c>
      <c r="AP132" s="253" t="n">
        <v>26</v>
      </c>
      <c r="AQ132" s="253" t="n">
        <v>20</v>
      </c>
      <c r="AR132" s="253" t="n">
        <v>97</v>
      </c>
      <c r="AS132" s="253" t="n">
        <v>16</v>
      </c>
      <c r="AT132" s="253" t="n">
        <v>8</v>
      </c>
      <c r="AU132" s="253" t="n">
        <v>3</v>
      </c>
      <c r="AV132" s="253" t="n">
        <v>-3</v>
      </c>
      <c r="AW132" s="253" t="n">
        <v>24</v>
      </c>
      <c r="AX132" s="253" t="n">
        <v>1</v>
      </c>
      <c r="AY132" s="253" t="n">
        <v>3</v>
      </c>
      <c r="AZ132" s="253" t="n">
        <v>5</v>
      </c>
      <c r="BA132" s="253" t="n">
        <v>2</v>
      </c>
      <c r="BB132" s="253" t="n">
        <v>11</v>
      </c>
      <c r="BC132" s="253" t="n">
        <v>5</v>
      </c>
      <c r="BD132" s="253" t="n">
        <v>7</v>
      </c>
      <c r="BE132" s="253" t="n">
        <v>16</v>
      </c>
      <c r="BF132" s="253" t="n">
        <v>33</v>
      </c>
      <c r="BG132" s="253" t="n">
        <v>61</v>
      </c>
      <c r="BH132" s="253" t="n">
        <v>55</v>
      </c>
      <c r="BI132" s="253" t="n">
        <v>59</v>
      </c>
      <c r="BJ132" s="253" t="n">
        <v>71</v>
      </c>
      <c r="BK132" s="253" t="n">
        <v>89</v>
      </c>
      <c r="BL132" s="253" t="n">
        <v>274</v>
      </c>
      <c r="BM132" s="253" t="n">
        <v>95</v>
      </c>
      <c r="BN132" s="253" t="n">
        <v>60</v>
      </c>
      <c r="BO132" s="253" t="n">
        <v>76</v>
      </c>
      <c r="BP132" s="253" t="n">
        <v>96</v>
      </c>
      <c r="BQ132" s="253" t="n">
        <v>327</v>
      </c>
      <c r="BR132" s="253" t="n">
        <v>88</v>
      </c>
      <c r="BS132" s="253" t="n">
        <v>70</v>
      </c>
      <c r="BT132" s="253" t="n">
        <v>81</v>
      </c>
      <c r="BU132" s="253" t="n">
        <v>86</v>
      </c>
      <c r="BV132" s="253" t="n">
        <v>325</v>
      </c>
      <c r="BW132" s="253" t="n">
        <v>81</v>
      </c>
      <c r="BX132" s="253" t="n">
        <v>88</v>
      </c>
      <c r="BY132" s="254">
        <f>BY111</f>
        <v>85</v>
      </c>
      <c r="BZ132" s="254">
        <f>BZ111</f>
        <v>85</v>
      </c>
      <c r="CA132" s="254">
        <f>SUM(BW132:BZ132)</f>
        <v>339</v>
      </c>
      <c r="CB132" s="254">
        <f>CB111</f>
        <v>365.453081217474</v>
      </c>
      <c r="CC132" s="254">
        <f>CC111</f>
        <v>378.422156919818</v>
      </c>
      <c r="CD132" s="254">
        <f>CD111</f>
        <v>359.297880903189</v>
      </c>
      <c r="CE132" s="254">
        <f>CE111</f>
        <v>344.904</v>
      </c>
      <c r="CF132" s="19" t="n"/>
    </row>
    <row r="133" ht="15" customHeight="1" s="251">
      <c r="B133" s="25" t="inlineStr">
        <is>
          <t>Gains (losses) on equity investments, net</t>
        </is>
      </c>
      <c r="C133" s="253" t="n">
        <v>0</v>
      </c>
      <c r="D133" s="253" t="n">
        <v>0</v>
      </c>
      <c r="E133" s="253" t="n">
        <v>0</v>
      </c>
      <c r="F133" s="253" t="n">
        <v>0</v>
      </c>
      <c r="G133" s="253" t="n">
        <v>0</v>
      </c>
      <c r="H133" s="253" t="n">
        <v>0</v>
      </c>
      <c r="I133" s="253" t="n">
        <v>0</v>
      </c>
      <c r="J133" s="253" t="n">
        <v>0</v>
      </c>
      <c r="K133" s="253" t="n">
        <v>0</v>
      </c>
      <c r="L133" s="253" t="n">
        <v>0</v>
      </c>
      <c r="M133" s="253" t="n">
        <v>0</v>
      </c>
      <c r="N133" s="253" t="n">
        <v>0</v>
      </c>
      <c r="O133" s="253" t="n">
        <v>0</v>
      </c>
      <c r="P133" s="253" t="n">
        <v>0</v>
      </c>
      <c r="Q133" s="253" t="n">
        <v>0</v>
      </c>
      <c r="R133" s="253" t="n">
        <v>0</v>
      </c>
      <c r="S133" s="253" t="n">
        <v>0</v>
      </c>
      <c r="T133" s="253" t="n">
        <v>0</v>
      </c>
      <c r="U133" s="253" t="n">
        <v>0</v>
      </c>
      <c r="V133" s="253" t="n">
        <v>0</v>
      </c>
      <c r="W133" s="253" t="n">
        <v>0</v>
      </c>
      <c r="X133" s="253" t="n">
        <v>0</v>
      </c>
      <c r="Y133" s="253" t="n">
        <v>0</v>
      </c>
      <c r="Z133" s="253" t="n">
        <v>0</v>
      </c>
      <c r="AA133" s="253" t="n">
        <v>0</v>
      </c>
      <c r="AB133" s="253" t="n">
        <v>0</v>
      </c>
      <c r="AC133" s="253" t="n">
        <v>0</v>
      </c>
      <c r="AD133" s="253" t="n">
        <v>0</v>
      </c>
      <c r="AE133" s="253" t="n">
        <v>0</v>
      </c>
      <c r="AF133" s="253" t="n">
        <v>0</v>
      </c>
      <c r="AG133" s="253" t="n">
        <v>0</v>
      </c>
      <c r="AH133" s="253" t="n">
        <v>0</v>
      </c>
      <c r="AI133" s="253" t="n">
        <v>0</v>
      </c>
      <c r="AJ133" s="253" t="n">
        <v>0</v>
      </c>
      <c r="AK133" s="253" t="n">
        <v>0</v>
      </c>
      <c r="AL133" s="253" t="n">
        <v>0</v>
      </c>
      <c r="AM133" s="253" t="n">
        <v>0</v>
      </c>
      <c r="AN133" s="253" t="n">
        <v>0</v>
      </c>
      <c r="AO133" s="253" t="n">
        <v>143</v>
      </c>
      <c r="AP133" s="253" t="n">
        <v>-100</v>
      </c>
      <c r="AQ133" s="253" t="n">
        <v>119</v>
      </c>
      <c r="AR133" s="253" t="n">
        <v>167</v>
      </c>
      <c r="AS133" s="253" t="n">
        <v>-174</v>
      </c>
      <c r="AT133" s="253" t="n">
        <v>75</v>
      </c>
      <c r="AU133" s="253" t="n">
        <v>-91</v>
      </c>
      <c r="AV133" s="253" t="n">
        <v>220</v>
      </c>
      <c r="AW133" s="253" t="n">
        <v>30</v>
      </c>
      <c r="AX133" s="253" t="n">
        <v>94</v>
      </c>
      <c r="AY133" s="253" t="n">
        <v>243</v>
      </c>
      <c r="AZ133" s="253" t="n">
        <v>197</v>
      </c>
      <c r="BA133" s="253" t="n">
        <v>111</v>
      </c>
      <c r="BB133" s="253" t="n">
        <v>645</v>
      </c>
      <c r="BC133" s="253" t="n">
        <v>-76</v>
      </c>
      <c r="BD133" s="253" t="n">
        <v>-117</v>
      </c>
      <c r="BE133" s="253" t="n">
        <v>60</v>
      </c>
      <c r="BF133" s="253" t="n">
        <v>-12</v>
      </c>
      <c r="BG133" s="253" t="n">
        <v>-145</v>
      </c>
      <c r="BH133" s="253" t="n">
        <v>-212</v>
      </c>
      <c r="BI133" s="253" t="n">
        <v>123</v>
      </c>
      <c r="BJ133" s="253" t="n">
        <v>-6</v>
      </c>
      <c r="BK133" s="253" t="n">
        <v>34</v>
      </c>
      <c r="BL133" s="253" t="n">
        <v>-61</v>
      </c>
      <c r="BM133" s="253" t="n">
        <v>6</v>
      </c>
      <c r="BN133" s="253" t="n">
        <v>-13</v>
      </c>
      <c r="BO133" s="253" t="n">
        <v>-62</v>
      </c>
      <c r="BP133" s="253" t="n">
        <v>40</v>
      </c>
      <c r="BQ133" s="253" t="n">
        <v>-29</v>
      </c>
      <c r="BR133" s="253" t="n">
        <v>-29</v>
      </c>
      <c r="BS133" s="253" t="n">
        <v>4</v>
      </c>
      <c r="BT133" s="253" t="n">
        <v>41</v>
      </c>
      <c r="BU133" s="253" t="n">
        <v>-104</v>
      </c>
      <c r="BV133" s="253" t="n">
        <v>-88</v>
      </c>
      <c r="BW133" s="253" t="n">
        <v>-66</v>
      </c>
      <c r="BX133" s="253" t="n">
        <v>-2</v>
      </c>
      <c r="BY133" s="254">
        <f>-BY118</f>
        <v>0</v>
      </c>
      <c r="BZ133" s="254">
        <f>-BZ118</f>
        <v>0</v>
      </c>
      <c r="CA133" s="254">
        <f>SUM(BW133:BZ133)</f>
        <v>-68</v>
      </c>
      <c r="CB133" s="254">
        <f>-CB118</f>
        <v>0</v>
      </c>
      <c r="CC133" s="254">
        <f>-CC118</f>
        <v>0</v>
      </c>
      <c r="CD133" s="254">
        <f>-CD118</f>
        <v>0</v>
      </c>
      <c r="CE133" s="254">
        <f>-CE118</f>
        <v>0</v>
      </c>
      <c r="CF133" s="19" t="n"/>
    </row>
    <row r="134" ht="15" customHeight="1" s="251">
      <c r="B134" s="25" t="inlineStr">
        <is>
          <t>Interest expense</t>
        </is>
      </c>
      <c r="C134" s="253" t="n">
        <v>61.151</v>
      </c>
      <c r="D134" s="253" t="n">
        <v>57.277</v>
      </c>
      <c r="E134" s="253" t="n">
        <v>103.6</v>
      </c>
      <c r="F134" s="253" t="n">
        <v>115.109</v>
      </c>
      <c r="G134" s="253" t="n">
        <v>52</v>
      </c>
      <c r="H134" s="253" t="n">
        <v>25</v>
      </c>
      <c r="I134" s="253" t="n">
        <v>20</v>
      </c>
      <c r="J134" s="253" t="n">
        <v>5</v>
      </c>
      <c r="K134" s="253" t="n">
        <v>5</v>
      </c>
      <c r="L134" s="253" t="n">
        <v>-3</v>
      </c>
      <c r="M134" s="253" t="n">
        <v>7</v>
      </c>
      <c r="N134" s="253" t="n">
        <v>14</v>
      </c>
      <c r="O134" s="253" t="n">
        <v>6</v>
      </c>
      <c r="P134" s="253" t="n">
        <v>15</v>
      </c>
      <c r="Q134" s="253" t="n">
        <v>11</v>
      </c>
      <c r="R134" s="253" t="n">
        <v>16</v>
      </c>
      <c r="S134" s="253" t="n">
        <v>48</v>
      </c>
      <c r="T134" s="253" t="n">
        <v>17</v>
      </c>
      <c r="U134" s="253" t="n">
        <v>17</v>
      </c>
      <c r="V134" s="253" t="n">
        <v>15</v>
      </c>
      <c r="W134" s="253" t="n">
        <v>12</v>
      </c>
      <c r="X134" s="253" t="n">
        <v>61</v>
      </c>
      <c r="Y134" s="253" t="n">
        <v>20</v>
      </c>
      <c r="Z134" s="253" t="n">
        <v>22</v>
      </c>
      <c r="AA134" s="253" t="n">
        <v>23</v>
      </c>
      <c r="AB134" s="253" t="n">
        <v>30</v>
      </c>
      <c r="AC134" s="253" t="n">
        <v>95</v>
      </c>
      <c r="AD134" s="253" t="n">
        <v>39</v>
      </c>
      <c r="AE134" s="253" t="n">
        <v>39</v>
      </c>
      <c r="AF134" s="253" t="n">
        <v>35</v>
      </c>
      <c r="AG134" s="253" t="n">
        <v>41</v>
      </c>
      <c r="AH134" s="253" t="n">
        <v>154</v>
      </c>
      <c r="AI134" s="253" t="n">
        <v>43</v>
      </c>
      <c r="AJ134" s="253" t="n">
        <v>48</v>
      </c>
      <c r="AK134" s="253" t="n">
        <v>48</v>
      </c>
      <c r="AL134" s="253" t="n">
        <v>47</v>
      </c>
      <c r="AM134" s="253" t="n">
        <v>186</v>
      </c>
      <c r="AN134" s="253" t="n">
        <v>46</v>
      </c>
      <c r="AO134" s="253" t="n">
        <v>51</v>
      </c>
      <c r="AP134" s="253" t="n">
        <v>63</v>
      </c>
      <c r="AQ134" s="253" t="n">
        <v>64</v>
      </c>
      <c r="AR134" s="253" t="n">
        <v>224</v>
      </c>
      <c r="AS134" s="253" t="n">
        <v>69</v>
      </c>
      <c r="AT134" s="253" t="n">
        <v>101</v>
      </c>
      <c r="AU134" s="253" t="n">
        <v>105</v>
      </c>
      <c r="AV134" s="253" t="n">
        <v>105</v>
      </c>
      <c r="AW134" s="253" t="n">
        <v>380</v>
      </c>
      <c r="AX134" s="253" t="n">
        <v>107</v>
      </c>
      <c r="AY134" s="253" t="n">
        <v>106</v>
      </c>
      <c r="AZ134" s="253" t="n">
        <v>110</v>
      </c>
      <c r="BA134" s="253" t="n">
        <v>108</v>
      </c>
      <c r="BB134" s="253" t="n">
        <v>431</v>
      </c>
      <c r="BC134" s="253" t="n">
        <v>110</v>
      </c>
      <c r="BD134" s="253" t="n">
        <v>114</v>
      </c>
      <c r="BE134" s="253" t="n">
        <v>120</v>
      </c>
      <c r="BF134" s="253" t="n">
        <v>127</v>
      </c>
      <c r="BG134" s="253" t="n">
        <v>471</v>
      </c>
      <c r="BH134" s="253" t="n">
        <v>132</v>
      </c>
      <c r="BI134" s="253" t="n">
        <v>144</v>
      </c>
      <c r="BJ134" s="253" t="n">
        <v>151</v>
      </c>
      <c r="BK134" s="253" t="n">
        <v>148</v>
      </c>
      <c r="BL134" s="253" t="n">
        <v>575</v>
      </c>
      <c r="BM134" s="253" t="n">
        <v>150</v>
      </c>
      <c r="BN134" s="253" t="n">
        <v>153</v>
      </c>
      <c r="BO134" s="253" t="n">
        <v>159</v>
      </c>
      <c r="BP134" s="253" t="n">
        <v>184</v>
      </c>
      <c r="BQ134" s="253" t="n">
        <v>646</v>
      </c>
      <c r="BR134" s="253" t="n">
        <v>182</v>
      </c>
      <c r="BS134" s="253" t="n">
        <v>195</v>
      </c>
      <c r="BT134" s="253" t="n">
        <v>186</v>
      </c>
      <c r="BU134" s="253" t="n">
        <v>159</v>
      </c>
      <c r="BV134" s="253" t="n">
        <v>722</v>
      </c>
      <c r="BW134" s="253" t="n">
        <v>185</v>
      </c>
      <c r="BX134" s="253" t="n">
        <v>218</v>
      </c>
      <c r="BY134" s="254">
        <f>$CP$20</f>
        <v>255</v>
      </c>
      <c r="BZ134" s="254">
        <f>$CP$20</f>
        <v>255</v>
      </c>
      <c r="CA134" s="254">
        <f>SUM(BW134:BZ134)</f>
        <v>913</v>
      </c>
      <c r="CB134" s="254">
        <f>CA338*CB347+CA344*CB348+CB349</f>
        <v>944.137</v>
      </c>
      <c r="CC134" s="254">
        <f>CB338*CC347+CB344*CC348+CC349</f>
        <v>1006.84</v>
      </c>
      <c r="CD134" s="254">
        <f>CC338*CD347+CC344*CD348+CD349</f>
        <v>1072.011</v>
      </c>
      <c r="CE134" s="254">
        <f>CD338*CE347+CD344*CE348+CE349</f>
        <v>1149.90986356907</v>
      </c>
      <c r="CF134" s="19" t="inlineStr">
        <is>
          <t>Q3/Q4-26E point estimate (full quarter of the $5.0bn June-2026 notes). 2027E+ = rate × opening notes + rate × opening commercial paper + fees (no circularity).</t>
        </is>
      </c>
    </row>
    <row r="135" ht="15" customHeight="1" s="251">
      <c r="B135" s="25" t="inlineStr">
        <is>
          <t>Other income (expense), net</t>
        </is>
      </c>
      <c r="C135" s="253" t="n">
        <v>0.834</v>
      </c>
      <c r="D135" s="253" t="n">
        <v>90.197</v>
      </c>
      <c r="E135" s="253" t="n">
        <v>71.985</v>
      </c>
      <c r="F135" s="253" t="n">
        <v>15.354</v>
      </c>
      <c r="G135" s="253" t="n">
        <v>0</v>
      </c>
      <c r="H135" s="253" t="n">
        <v>6</v>
      </c>
      <c r="I135" s="253" t="n">
        <v>-22</v>
      </c>
      <c r="J135" s="253" t="n">
        <v>-8</v>
      </c>
      <c r="K135" s="253" t="n">
        <v>-1</v>
      </c>
      <c r="L135" s="253" t="n">
        <v>-8</v>
      </c>
      <c r="M135" s="253" t="n">
        <v>-10</v>
      </c>
      <c r="N135" s="253" t="n">
        <v>-27</v>
      </c>
      <c r="O135" s="253" t="n">
        <v>-5</v>
      </c>
      <c r="P135" s="253" t="n">
        <v>-1</v>
      </c>
      <c r="Q135" s="253" t="n">
        <v>1</v>
      </c>
      <c r="R135" s="253" t="n">
        <v>-2</v>
      </c>
      <c r="S135" s="253" t="n">
        <v>-7</v>
      </c>
      <c r="T135" s="253" t="n">
        <v>-3</v>
      </c>
      <c r="U135" s="253" t="n">
        <v>1</v>
      </c>
      <c r="V135" s="253" t="n">
        <v>-7</v>
      </c>
      <c r="W135" s="253" t="n">
        <v>-75</v>
      </c>
      <c r="X135" s="253" t="n">
        <v>-84</v>
      </c>
      <c r="Y135" s="253" t="n">
        <v>-1</v>
      </c>
      <c r="Z135" s="253" t="n">
        <v>-3</v>
      </c>
      <c r="AA135" s="253" t="n">
        <v>-26</v>
      </c>
      <c r="AB135" s="253" t="n">
        <v>-33</v>
      </c>
      <c r="AC135" s="253" t="n">
        <v>-63</v>
      </c>
      <c r="AD135" s="253" t="n">
        <v>-4</v>
      </c>
      <c r="AE135" s="253" t="n">
        <v>0</v>
      </c>
      <c r="AF135" s="253" t="n">
        <v>11</v>
      </c>
      <c r="AG135" s="253" t="n">
        <v>-9</v>
      </c>
      <c r="AH135" s="253" t="n">
        <v>-2</v>
      </c>
      <c r="AI135" s="253" t="n">
        <v>4</v>
      </c>
      <c r="AJ135" s="253" t="n">
        <v>3</v>
      </c>
      <c r="AK135" s="253" t="n">
        <v>-6</v>
      </c>
      <c r="AL135" s="253" t="n">
        <v>-15</v>
      </c>
      <c r="AM135" s="253" t="n">
        <v>-14</v>
      </c>
      <c r="AN135" s="253" t="n">
        <v>4</v>
      </c>
      <c r="AO135" s="253" t="n">
        <v>6</v>
      </c>
      <c r="AP135" s="253" t="n">
        <v>16</v>
      </c>
      <c r="AQ135" s="253" t="n">
        <v>1</v>
      </c>
      <c r="AR135" s="253" t="n">
        <v>27</v>
      </c>
      <c r="AS135" s="253" t="n">
        <v>3</v>
      </c>
      <c r="AT135" s="253" t="n">
        <v>1</v>
      </c>
      <c r="AU135" s="253" t="n">
        <v>3</v>
      </c>
      <c r="AV135" s="253" t="n">
        <v>-2</v>
      </c>
      <c r="AW135" s="253" t="n">
        <v>5</v>
      </c>
      <c r="AX135" s="253" t="n">
        <v>5</v>
      </c>
      <c r="AY135" s="253" t="n">
        <v>-3</v>
      </c>
      <c r="AZ135" s="253" t="n">
        <v>7</v>
      </c>
      <c r="BA135" s="253" t="n">
        <v>-9</v>
      </c>
      <c r="BB135" s="253" t="n">
        <v>0</v>
      </c>
      <c r="BC135" s="253" t="n">
        <v>4</v>
      </c>
      <c r="BD135" s="253" t="n">
        <v>4</v>
      </c>
      <c r="BE135" s="253" t="n">
        <v>4</v>
      </c>
      <c r="BF135" s="253" t="n">
        <v>11</v>
      </c>
      <c r="BG135" s="253" t="n">
        <v>23</v>
      </c>
      <c r="BH135" s="253" t="n">
        <v>6</v>
      </c>
      <c r="BI135" s="253" t="n">
        <v>10</v>
      </c>
      <c r="BJ135" s="253" t="n">
        <v>3</v>
      </c>
      <c r="BK135" s="253" t="n">
        <v>-26</v>
      </c>
      <c r="BL135" s="253" t="n">
        <v>-7</v>
      </c>
      <c r="BM135" s="253" t="n">
        <v>3</v>
      </c>
      <c r="BN135" s="253" t="n">
        <v>9</v>
      </c>
      <c r="BO135" s="253" t="n">
        <v>7</v>
      </c>
      <c r="BP135" s="253" t="n">
        <v>1</v>
      </c>
      <c r="BQ135" s="253" t="n">
        <v>20</v>
      </c>
      <c r="BR135" s="253" t="n">
        <v>5</v>
      </c>
      <c r="BS135" s="253" t="n">
        <v>16</v>
      </c>
      <c r="BT135" s="253" t="n">
        <v>2</v>
      </c>
      <c r="BU135" s="253" t="n">
        <v>143</v>
      </c>
      <c r="BV135" s="253" t="n">
        <v>166</v>
      </c>
      <c r="BW135" s="253" t="n">
        <v>75</v>
      </c>
      <c r="BX135" s="253" t="n">
        <v>31</v>
      </c>
      <c r="BY135" s="254">
        <f>BY112-BY119</f>
        <v>45</v>
      </c>
      <c r="BZ135" s="254">
        <f>BZ112-BZ119</f>
        <v>45</v>
      </c>
      <c r="CA135" s="254">
        <f>SUM(BW135:BZ135)</f>
        <v>196</v>
      </c>
      <c r="CB135" s="254">
        <f>CB112-CB119</f>
        <v>150</v>
      </c>
      <c r="CC135" s="254">
        <f>CC112-CC119</f>
        <v>150</v>
      </c>
      <c r="CD135" s="254">
        <f>CD112-CD119</f>
        <v>150</v>
      </c>
      <c r="CE135" s="254">
        <f>CE112-CE119</f>
        <v>150</v>
      </c>
      <c r="CF135" s="19" t="n"/>
    </row>
    <row r="136" ht="15" customHeight="1" s="251">
      <c r="B136" s="16" t="inlineStr">
        <is>
          <t>Total other income (expense)</t>
        </is>
      </c>
      <c r="C136" s="275">
        <f>IF(ISNUMBER(C132),C132+C133-C134+C135,"")</f>
        <v>64.677</v>
      </c>
      <c r="D136" s="275">
        <f>IF(ISNUMBER(D132),D132+D133-D134+D135,"")</f>
        <v>563.32</v>
      </c>
      <c r="E136" s="275">
        <f>IF(ISNUMBER(E132),E132+E133-E134+E135,"")</f>
        <v>151.292</v>
      </c>
      <c r="F136" s="275">
        <f>IF(ISNUMBER(F132),F132+F133-F134+F135,"")</f>
        <v>-42.057</v>
      </c>
      <c r="G136" s="275">
        <f>IF(ISNUMBER(G132),G132+G133-G134+G135,"")</f>
        <v>5</v>
      </c>
      <c r="H136" s="275">
        <f>IF(ISNUMBER(H132),H132+H133-H134+H135,"")</f>
        <v>33</v>
      </c>
      <c r="I136" s="275">
        <f>IF(ISNUMBER(I132),I132+I133-I134+I135,"")</f>
        <v>-5</v>
      </c>
      <c r="J136" s="275">
        <f>IF(ISNUMBER(J132),J132+J133-J134+J135,"")</f>
        <v>-5</v>
      </c>
      <c r="K136" s="275">
        <f>IF(ISNUMBER(K132),K132+K133-K134+K135,"")</f>
        <v>5</v>
      </c>
      <c r="L136" s="275">
        <f>IF(ISNUMBER(L132),L132+L133-L134+L135,"")</f>
        <v>6</v>
      </c>
      <c r="M136" s="275">
        <f>IF(ISNUMBER(M132),M132+M133-M134+M135,"")</f>
        <v>-9</v>
      </c>
      <c r="N136" s="275">
        <f>IF(ISNUMBER(N132),N132+N133-N134+N135,"")</f>
        <v>-3</v>
      </c>
      <c r="O136" s="275">
        <f>IF(ISNUMBER(O132),O132+O133-O134+O135,"")</f>
        <v>-4</v>
      </c>
      <c r="P136" s="275">
        <f>IF(ISNUMBER(P132),P132+P133-P134+P135,"")</f>
        <v>-10</v>
      </c>
      <c r="Q136" s="275">
        <f>IF(ISNUMBER(Q132),Q132+Q133-Q134+Q135,"")</f>
        <v>-2</v>
      </c>
      <c r="R136" s="275">
        <f>IF(ISNUMBER(R132),R132+R133-R134+R135,"")</f>
        <v>-11</v>
      </c>
      <c r="S136" s="275">
        <f>IF(ISNUMBER(S132),S132+S133-S134+S135,"")</f>
        <v>-27</v>
      </c>
      <c r="T136" s="275">
        <f>IF(ISNUMBER(T132),T132+T133-T134+T135,"")</f>
        <v>-11</v>
      </c>
      <c r="U136" s="275">
        <f>IF(ISNUMBER(U132),U132+U133-U134+U135,"")</f>
        <v>-10</v>
      </c>
      <c r="V136" s="275">
        <f>IF(ISNUMBER(V132),V132+V133-V134+V135,"")</f>
        <v>-17</v>
      </c>
      <c r="W136" s="275">
        <f>IF(ISNUMBER(W132),W132+W133-W134+W135,"")</f>
        <v>-82</v>
      </c>
      <c r="X136" s="275">
        <f>IF(ISNUMBER(X132),X132+X133-X134+X135,"")</f>
        <v>-120</v>
      </c>
      <c r="Y136" s="275">
        <f>IF(ISNUMBER(Y132),Y132+Y133-Y134+Y135,"")</f>
        <v>-11</v>
      </c>
      <c r="Z136" s="275">
        <f>IF(ISNUMBER(Z132),Z132+Z133-Z134+Z135,"")</f>
        <v>-15</v>
      </c>
      <c r="AA136" s="275">
        <f>IF(ISNUMBER(AA132),AA132+AA133-AA134+AA135,"")</f>
        <v>-37</v>
      </c>
      <c r="AB136" s="275">
        <f>IF(ISNUMBER(AB132),AB132+AB133-AB134+AB135,"")</f>
        <v>-52</v>
      </c>
      <c r="AC136" s="275">
        <f>IF(ISNUMBER(AC132),AC132+AC133-AC134+AC135,"")</f>
        <v>-115</v>
      </c>
      <c r="AD136" s="275">
        <f>IF(ISNUMBER(AD132),AD132+AD133-AD134+AD135,"")</f>
        <v>-28</v>
      </c>
      <c r="AE136" s="275">
        <f>IF(ISNUMBER(AE132),AE132+AE133-AE134+AE135,"")</f>
        <v>-25</v>
      </c>
      <c r="AF136" s="275">
        <f>IF(ISNUMBER(AF132),AF132+AF133-AF134+AF135,"")</f>
        <v>-9</v>
      </c>
      <c r="AG136" s="275">
        <f>IF(ISNUMBER(AG132),AG132+AG133-AG134+AG135,"")</f>
        <v>-38</v>
      </c>
      <c r="AH136" s="275">
        <f>IF(ISNUMBER(AH132),AH132+AH133-AH134+AH135,"")</f>
        <v>-100</v>
      </c>
      <c r="AI136" s="275">
        <f>IF(ISNUMBER(AI132),AI132+AI133-AI134+AI135,"")</f>
        <v>-22</v>
      </c>
      <c r="AJ136" s="275">
        <f>IF(ISNUMBER(AJ132),AJ132+AJ133-AJ134+AJ135,"")</f>
        <v>-14</v>
      </c>
      <c r="AK136" s="275">
        <f>IF(ISNUMBER(AK132),AK132+AK133-AK134+AK135,"")</f>
        <v>-23</v>
      </c>
      <c r="AL136" s="275">
        <f>IF(ISNUMBER(AL132),AL132+AL133-AL134+AL135,"")</f>
        <v>-19</v>
      </c>
      <c r="AM136" s="275">
        <f>IF(ISNUMBER(AM132),AM132+AM133-AM134+AM135,"")</f>
        <v>-78</v>
      </c>
      <c r="AN136" s="275">
        <f>IF(ISNUMBER(AN132),AN132+AN133-AN134+AN135,"")</f>
        <v>-10</v>
      </c>
      <c r="AO136" s="275">
        <f>IF(ISNUMBER(AO132),AO132+AO133-AO134+AO135,"")</f>
        <v>122</v>
      </c>
      <c r="AP136" s="275">
        <f>IF(ISNUMBER(AP132),AP132+AP133-AP134+AP135,"")</f>
        <v>-121</v>
      </c>
      <c r="AQ136" s="275">
        <f>IF(ISNUMBER(AQ132),AQ132+AQ133-AQ134+AQ135,"")</f>
        <v>76</v>
      </c>
      <c r="AR136" s="275">
        <f>IF(ISNUMBER(AR132),AR132+AR133-AR134+AR135,"")</f>
        <v>67</v>
      </c>
      <c r="AS136" s="275">
        <f>IF(ISNUMBER(AS132),AS132+AS133-AS134+AS135,"")</f>
        <v>-224</v>
      </c>
      <c r="AT136" s="275">
        <f>IF(ISNUMBER(AT132),AT132+AT133-AT134+AT135,"")</f>
        <v>-17</v>
      </c>
      <c r="AU136" s="275">
        <f>IF(ISNUMBER(AU132),AU132+AU133-AU134+AU135,"")</f>
        <v>-190</v>
      </c>
      <c r="AV136" s="275">
        <f>IF(ISNUMBER(AV132),AV132+AV133-AV134+AV135,"")</f>
        <v>110</v>
      </c>
      <c r="AW136" s="275">
        <f>IF(ISNUMBER(AW132),AW132+AW133-AW134+AW135,"")</f>
        <v>-321</v>
      </c>
      <c r="AX136" s="275">
        <f>IF(ISNUMBER(AX132),AX132+AX133-AX134+AX135,"")</f>
        <v>-7</v>
      </c>
      <c r="AY136" s="275">
        <f>IF(ISNUMBER(AY132),AY132+AY133-AY134+AY135,"")</f>
        <v>137</v>
      </c>
      <c r="AZ136" s="275">
        <f>IF(ISNUMBER(AZ132),AZ132+AZ133-AZ134+AZ135,"")</f>
        <v>99</v>
      </c>
      <c r="BA136" s="275">
        <f>IF(ISNUMBER(BA132),BA132+BA133-BA134+BA135,"")</f>
        <v>-4</v>
      </c>
      <c r="BB136" s="275">
        <f>IF(ISNUMBER(BB132),BB132+BB133-BB134+BB135,"")</f>
        <v>225</v>
      </c>
      <c r="BC136" s="275">
        <f>IF(ISNUMBER(BC132),BC132+BC133-BC134+BC135,"")</f>
        <v>-177</v>
      </c>
      <c r="BD136" s="275">
        <f>IF(ISNUMBER(BD132),BD132+BD133-BD134+BD135,"")</f>
        <v>-220</v>
      </c>
      <c r="BE136" s="275">
        <f>IF(ISNUMBER(BE132),BE132+BE133-BE134+BE135,"")</f>
        <v>-40</v>
      </c>
      <c r="BF136" s="275">
        <f>IF(ISNUMBER(BF132),BF132+BF133-BF134+BF135,"")</f>
        <v>-95</v>
      </c>
      <c r="BG136" s="275">
        <f>IF(ISNUMBER(BG132),BG132+BG133-BG134+BG135,"")</f>
        <v>-532</v>
      </c>
      <c r="BH136" s="275">
        <f>IF(ISNUMBER(BH132),BH132+BH133-BH134+BH135,"")</f>
        <v>-283</v>
      </c>
      <c r="BI136" s="275">
        <f>IF(ISNUMBER(BI132),BI132+BI133-BI134+BI135,"")</f>
        <v>48</v>
      </c>
      <c r="BJ136" s="275">
        <f>IF(ISNUMBER(BJ132),BJ132+BJ133-BJ134+BJ135,"")</f>
        <v>-83</v>
      </c>
      <c r="BK136" s="275">
        <f>IF(ISNUMBER(BK132),BK132+BK133-BK134+BK135,"")</f>
        <v>-51</v>
      </c>
      <c r="BL136" s="275">
        <f>IF(ISNUMBER(BL132),BL132+BL133-BL134+BL135,"")</f>
        <v>-369</v>
      </c>
      <c r="BM136" s="275">
        <f>IF(ISNUMBER(BM132),BM132+BM133-BM134+BM135,"")</f>
        <v>-46</v>
      </c>
      <c r="BN136" s="275">
        <f>IF(ISNUMBER(BN132),BN132+BN133-BN134+BN135,"")</f>
        <v>-97</v>
      </c>
      <c r="BO136" s="275">
        <f>IF(ISNUMBER(BO132),BO132+BO133-BO134+BO135,"")</f>
        <v>-138</v>
      </c>
      <c r="BP136" s="275">
        <f>IF(ISNUMBER(BP132),BP132+BP133-BP134+BP135,"")</f>
        <v>-47</v>
      </c>
      <c r="BQ136" s="275">
        <f>IF(ISNUMBER(BQ132),BQ132+BQ133-BQ134+BQ135,"")</f>
        <v>-328</v>
      </c>
      <c r="BR136" s="275">
        <f>IF(ISNUMBER(BR132),BR132+BR133-BR134+BR135,"")</f>
        <v>-118</v>
      </c>
      <c r="BS136" s="275">
        <f>IF(ISNUMBER(BS132),BS132+BS133-BS134+BS135,"")</f>
        <v>-105</v>
      </c>
      <c r="BT136" s="275">
        <f>IF(ISNUMBER(BT132),BT132+BT133-BT134+BT135,"")</f>
        <v>-62</v>
      </c>
      <c r="BU136" s="275">
        <f>IF(ISNUMBER(BU132),BU132+BU133-BU134+BU135,"")</f>
        <v>-34</v>
      </c>
      <c r="BV136" s="275">
        <f>IF(ISNUMBER(BV132),BV132+BV133-BV134+BV135,"")</f>
        <v>-319</v>
      </c>
      <c r="BW136" s="275">
        <f>IF(ISNUMBER(BW132),BW132+BW133-BW134+BW135,"")</f>
        <v>-95</v>
      </c>
      <c r="BX136" s="275">
        <f>IF(ISNUMBER(BX132),BX132+BX133-BX134+BX135,"")</f>
        <v>-101</v>
      </c>
      <c r="BY136" s="263">
        <f>IF(ISNUMBER(BY132),BY132+BY133-BY134+BY135,"")</f>
        <v>-125</v>
      </c>
      <c r="BZ136" s="263">
        <f>IF(ISNUMBER(BZ132),BZ132+BZ133-BZ134+BZ135,"")</f>
        <v>-125</v>
      </c>
      <c r="CA136" s="263">
        <f>IF(ISNUMBER(CA132),CA132+CA133-CA134+CA135,"")</f>
        <v>-446</v>
      </c>
      <c r="CB136" s="263">
        <f>IF(ISNUMBER(CB132),CB132+CB133-CB134+CB135,"")</f>
        <v>-428.683918782526</v>
      </c>
      <c r="CC136" s="263">
        <f>IF(ISNUMBER(CC132),CC132+CC133-CC134+CC135,"")</f>
        <v>-478.417843080182</v>
      </c>
      <c r="CD136" s="263">
        <f>IF(ISNUMBER(CD132),CD132+CD133-CD134+CD135,"")</f>
        <v>-562.713119096811</v>
      </c>
      <c r="CE136" s="263">
        <f>IF(ISNUMBER(CE132),CE132+CE133-CE134+CE135,"")</f>
        <v>-655.005863569071</v>
      </c>
      <c r="CF136" s="153" t="n"/>
    </row>
    <row r="137" ht="15" customHeight="1" s="251">
      <c r="B137" s="16" t="inlineStr">
        <is>
          <t>Income before income taxes</t>
        </is>
      </c>
      <c r="C137" s="275">
        <f>IF(ISNUMBER(C130),C130+C136,"")</f>
        <v>294.172</v>
      </c>
      <c r="D137" s="275">
        <f>IF(ISNUMBER(D130),D130+D136,"")</f>
        <v>1671.432</v>
      </c>
      <c r="E137" s="275">
        <f>IF(ISNUMBER(E130),E130+E136,"")</f>
        <v>-383.212999999999</v>
      </c>
      <c r="F137" s="275">
        <f>IF(ISNUMBER(F130),F130+F136,"")</f>
        <v>2218.051</v>
      </c>
      <c r="G137" s="275">
        <f>IF(ISNUMBER(G130),G130+G136,"")</f>
        <v>2757</v>
      </c>
      <c r="H137" s="275">
        <f>IF(ISNUMBER(H130),H130+H136,"")</f>
        <v>2746</v>
      </c>
      <c r="I137" s="275">
        <f>IF(ISNUMBER(I130),I130+I136,"")</f>
        <v>3932</v>
      </c>
      <c r="J137" s="275">
        <f>IF(ISNUMBER(J130),J130+J136,"")</f>
        <v>1102</v>
      </c>
      <c r="K137" s="275">
        <f>IF(ISNUMBER(K130),K130+K136,"")</f>
        <v>1233</v>
      </c>
      <c r="L137" s="275">
        <f>IF(ISNUMBER(L130),L130+L136,"")</f>
        <v>1254</v>
      </c>
      <c r="M137" s="275">
        <f>IF(ISNUMBER(M130),M130+M136,"")</f>
        <v>911</v>
      </c>
      <c r="N137" s="275">
        <f>IF(ISNUMBER(N130),N130+N136,"")</f>
        <v>4500</v>
      </c>
      <c r="O137" s="275">
        <f>IF(ISNUMBER(O130),O130+O136,"")</f>
        <v>1281</v>
      </c>
      <c r="P137" s="275">
        <f>IF(ISNUMBER(P130),P130+P136,"")</f>
        <v>1373</v>
      </c>
      <c r="Q137" s="275">
        <f>IF(ISNUMBER(Q130),Q130+Q136,"")</f>
        <v>1418</v>
      </c>
      <c r="R137" s="275">
        <f>IF(ISNUMBER(R130),R130+R136,"")</f>
        <v>1007</v>
      </c>
      <c r="S137" s="275">
        <f>IF(ISNUMBER(S130),S130+S136,"")</f>
        <v>5079</v>
      </c>
      <c r="T137" s="275">
        <f>IF(ISNUMBER(T130),T130+T136,"")</f>
        <v>1340</v>
      </c>
      <c r="U137" s="275">
        <f>IF(ISNUMBER(U130),U130+U136,"")</f>
        <v>1241</v>
      </c>
      <c r="V137" s="275">
        <f>IF(ISNUMBER(V130),V130+V136,"")</f>
        <v>1352</v>
      </c>
      <c r="W137" s="275">
        <f>IF(ISNUMBER(W130),W130+W136,"")</f>
        <v>1025</v>
      </c>
      <c r="X137" s="275">
        <f>IF(ISNUMBER(X130),X130+X136,"")</f>
        <v>4958</v>
      </c>
      <c r="Y137" s="275">
        <f>IF(ISNUMBER(Y130),Y130+Y136,"")</f>
        <v>1337</v>
      </c>
      <c r="Z137" s="275">
        <f>IF(ISNUMBER(Z130),Z130+Z136,"")</f>
        <v>1365</v>
      </c>
      <c r="AA137" s="275">
        <f>IF(ISNUMBER(AA130),AA130+AA136,"")</f>
        <v>1633</v>
      </c>
      <c r="AB137" s="275">
        <f>IF(ISNUMBER(AB130),AB130+AB136,"")</f>
        <v>1311</v>
      </c>
      <c r="AC137" s="275">
        <f>IF(ISNUMBER(AC130),AC130+AC136,"")</f>
        <v>5646</v>
      </c>
      <c r="AD137" s="275">
        <f>IF(ISNUMBER(AD130),AD130+AD136,"")</f>
        <v>1478</v>
      </c>
      <c r="AE137" s="275">
        <f>IF(ISNUMBER(AE130),AE130+AE136,"")</f>
        <v>1628</v>
      </c>
      <c r="AF137" s="275">
        <f>IF(ISNUMBER(AF130),AF130+AF136,"")</f>
        <v>1932</v>
      </c>
      <c r="AG137" s="275">
        <f>IF(ISNUMBER(AG130),AG130+AG136,"")</f>
        <v>1484</v>
      </c>
      <c r="AH137" s="275">
        <f>IF(ISNUMBER(AH130),AH130+AH136,"")</f>
        <v>6522</v>
      </c>
      <c r="AI137" s="275">
        <f>IF(ISNUMBER(AI130),AI130+AI136,"")</f>
        <v>1803</v>
      </c>
      <c r="AJ137" s="275">
        <f>IF(ISNUMBER(AJ130),AJ130+AJ136,"")</f>
        <v>1922</v>
      </c>
      <c r="AK137" s="275">
        <f>IF(ISNUMBER(AK130),AK130+AK136,"")</f>
        <v>2264</v>
      </c>
      <c r="AL137" s="275">
        <f>IF(ISNUMBER(AL130),AL130+AL136,"")</f>
        <v>1215</v>
      </c>
      <c r="AM137" s="275">
        <f>IF(ISNUMBER(AM130),AM130+AM136,"")</f>
        <v>7204</v>
      </c>
      <c r="AN137" s="275">
        <f>IF(ISNUMBER(AN130),AN130+AN136,"")</f>
        <v>2203</v>
      </c>
      <c r="AO137" s="275">
        <f>IF(ISNUMBER(AO130),AO130+AO136,"")</f>
        <v>2519</v>
      </c>
      <c r="AP137" s="275">
        <f>IF(ISNUMBER(AP130),AP130+AP136,"")</f>
        <v>2534</v>
      </c>
      <c r="AQ137" s="275">
        <f>IF(ISNUMBER(AQ130),AQ130+AQ136,"")</f>
        <v>2475</v>
      </c>
      <c r="AR137" s="275">
        <f>IF(ISNUMBER(AR130),AR130+AR136,"")</f>
        <v>9731</v>
      </c>
      <c r="AS137" s="275">
        <f>IF(ISNUMBER(AS130),AS130+AS136,"")</f>
        <v>1987</v>
      </c>
      <c r="AT137" s="275">
        <f>IF(ISNUMBER(AT130),AT130+AT136,"")</f>
        <v>1690</v>
      </c>
      <c r="AU137" s="275">
        <f>IF(ISNUMBER(AU130),AU130+AU136,"")</f>
        <v>1915</v>
      </c>
      <c r="AV137" s="275">
        <f>IF(ISNUMBER(AV130),AV130+AV136,"")</f>
        <v>2168</v>
      </c>
      <c r="AW137" s="275">
        <f>IF(ISNUMBER(AW130),AW130+AW136,"")</f>
        <v>7760</v>
      </c>
      <c r="AX137" s="275">
        <f>IF(ISNUMBER(AX130),AX130+AX136,"")</f>
        <v>2190</v>
      </c>
      <c r="AY137" s="275">
        <f>IF(ISNUMBER(AY130),AY130+AY136,"")</f>
        <v>2478</v>
      </c>
      <c r="AZ137" s="275">
        <f>IF(ISNUMBER(AZ130),AZ130+AZ136,"")</f>
        <v>2816</v>
      </c>
      <c r="BA137" s="275">
        <f>IF(ISNUMBER(BA130),BA130+BA136,"")</f>
        <v>2823</v>
      </c>
      <c r="BB137" s="275">
        <f>IF(ISNUMBER(BB130),BB130+BB136,"")</f>
        <v>10307</v>
      </c>
      <c r="BC137" s="275">
        <f>IF(ISNUMBER(BC130),BC130+BC136,"")</f>
        <v>2773</v>
      </c>
      <c r="BD137" s="275">
        <f>IF(ISNUMBER(BD130),BD130+BD136,"")</f>
        <v>2798</v>
      </c>
      <c r="BE137" s="275">
        <f>IF(ISNUMBER(BE130),BE130+BE136,"")</f>
        <v>3072</v>
      </c>
      <c r="BF137" s="275">
        <f>IF(ISNUMBER(BF130),BF130+BF136,"")</f>
        <v>3089</v>
      </c>
      <c r="BG137" s="275">
        <f>IF(ISNUMBER(BG130),BG130+BG136,"")</f>
        <v>11732</v>
      </c>
      <c r="BH137" s="275">
        <f>IF(ISNUMBER(BH130),BH130+BH136,"")</f>
        <v>2853</v>
      </c>
      <c r="BI137" s="275">
        <f>IF(ISNUMBER(BI130),BI130+BI136,"")</f>
        <v>3704</v>
      </c>
      <c r="BJ137" s="275">
        <f>IF(ISNUMBER(BJ130),BJ130+BJ136,"")</f>
        <v>3761</v>
      </c>
      <c r="BK137" s="275">
        <f>IF(ISNUMBER(BK130),BK130+BK136,"")</f>
        <v>3321</v>
      </c>
      <c r="BL137" s="275">
        <f>IF(ISNUMBER(BL130),BL130+BL136,"")</f>
        <v>13639</v>
      </c>
      <c r="BM137" s="275">
        <f>IF(ISNUMBER(BM130),BM130+BM136,"")</f>
        <v>3558</v>
      </c>
      <c r="BN137" s="275">
        <f>IF(ISNUMBER(BN130),BN130+BN136,"")</f>
        <v>3939</v>
      </c>
      <c r="BO137" s="275">
        <f>IF(ISNUMBER(BO130),BO130+BO136,"")</f>
        <v>3866</v>
      </c>
      <c r="BP137" s="275">
        <f>IF(ISNUMBER(BP130),BP130+BP136,"")</f>
        <v>3891</v>
      </c>
      <c r="BQ137" s="275">
        <f>IF(ISNUMBER(BQ130),BQ130+BQ136,"")</f>
        <v>15254</v>
      </c>
      <c r="BR137" s="275">
        <f>IF(ISNUMBER(BR130),BR130+BR136,"")</f>
        <v>4031</v>
      </c>
      <c r="BS137" s="275">
        <f>IF(ISNUMBER(BS130),BS130+BS136,"")</f>
        <v>4672</v>
      </c>
      <c r="BT137" s="275">
        <f>IF(ISNUMBER(BT130),BT130+BT136,"")</f>
        <v>4999</v>
      </c>
      <c r="BU137" s="275">
        <f>IF(ISNUMBER(BU130),BU130+BU136,"")</f>
        <v>4876</v>
      </c>
      <c r="BV137" s="275">
        <f>IF(ISNUMBER(BV130),BV130+BV136,"")</f>
        <v>18578</v>
      </c>
      <c r="BW137" s="275">
        <f>IF(ISNUMBER(BW130),BW130+BW136,"")</f>
        <v>4812</v>
      </c>
      <c r="BX137" s="275">
        <f>IF(ISNUMBER(BX130),BX130+BX136,"")</f>
        <v>5486</v>
      </c>
      <c r="BY137" s="263">
        <f>IF(ISNUMBER(BY130),BY130+BY136,"")</f>
        <v>5543.80564242909</v>
      </c>
      <c r="BZ137" s="263">
        <f>IF(ISNUMBER(BZ130),BZ130+BZ136,"")</f>
        <v>5516.12935757091</v>
      </c>
      <c r="CA137" s="263">
        <f>IF(ISNUMBER(CA130),CA130+CA136,"")</f>
        <v>21357.935</v>
      </c>
      <c r="CB137" s="263">
        <f>IF(ISNUMBER(CB130),CB130+CB136,"")</f>
        <v>24313.4865653339</v>
      </c>
      <c r="CC137" s="263">
        <f>IF(ISNUMBER(CC130),CC130+CC136,"")</f>
        <v>27423.6584576387</v>
      </c>
      <c r="CD137" s="263">
        <f>IF(ISNUMBER(CD130),CD130+CD136,"")</f>
        <v>30689.942665744</v>
      </c>
      <c r="CE137" s="263">
        <f>IF(ISNUMBER(CE130),CE130+CE136,"")</f>
        <v>34117.2227095415</v>
      </c>
      <c r="CF137" s="153" t="n"/>
    </row>
    <row r="138" ht="15" customHeight="1" s="251">
      <c r="B138" s="25" t="inlineStr">
        <is>
          <t>Income tax expense</t>
        </is>
      </c>
      <c r="C138" s="253" t="n">
        <v>243.982</v>
      </c>
      <c r="D138" s="253" t="n">
        <v>585.546</v>
      </c>
      <c r="E138" s="253" t="n">
        <v>-129.298</v>
      </c>
      <c r="F138" s="253" t="n">
        <v>755.427</v>
      </c>
      <c r="G138" s="253" t="n">
        <v>910</v>
      </c>
      <c r="H138" s="253" t="n">
        <v>842</v>
      </c>
      <c r="I138" s="253" t="n">
        <v>1174</v>
      </c>
      <c r="J138" s="253" t="n">
        <v>336</v>
      </c>
      <c r="K138" s="253" t="n">
        <v>385</v>
      </c>
      <c r="L138" s="253" t="n">
        <v>375</v>
      </c>
      <c r="M138" s="253" t="n">
        <v>288</v>
      </c>
      <c r="N138" s="253" t="n">
        <v>1384</v>
      </c>
      <c r="O138" s="253" t="n">
        <v>411</v>
      </c>
      <c r="P138" s="253" t="n">
        <v>442</v>
      </c>
      <c r="Q138" s="253" t="n">
        <v>403</v>
      </c>
      <c r="R138" s="253" t="n">
        <v>206</v>
      </c>
      <c r="S138" s="253" t="n">
        <v>1462</v>
      </c>
      <c r="T138" s="253" t="n">
        <v>320</v>
      </c>
      <c r="U138" s="253" t="n">
        <v>320</v>
      </c>
      <c r="V138" s="253" t="n">
        <v>375</v>
      </c>
      <c r="W138" s="253" t="n">
        <v>135</v>
      </c>
      <c r="X138" s="253" t="n">
        <v>1150</v>
      </c>
      <c r="Y138" s="253" t="n">
        <v>378</v>
      </c>
      <c r="Z138" s="253" t="n">
        <v>382</v>
      </c>
      <c r="AA138" s="253" t="n">
        <v>449</v>
      </c>
      <c r="AB138" s="253" t="n">
        <v>378</v>
      </c>
      <c r="AC138" s="253" t="n">
        <v>1587</v>
      </c>
      <c r="AD138" s="253" t="n">
        <v>397</v>
      </c>
      <c r="AE138" s="253" t="n">
        <v>451</v>
      </c>
      <c r="AF138" s="253" t="n">
        <v>502</v>
      </c>
      <c r="AG138" s="253" t="n">
        <v>1257</v>
      </c>
      <c r="AH138" s="253" t="n">
        <v>2607</v>
      </c>
      <c r="AI138" s="253" t="n">
        <v>311</v>
      </c>
      <c r="AJ138" s="253" t="n">
        <v>353</v>
      </c>
      <c r="AK138" s="253" t="n">
        <v>365</v>
      </c>
      <c r="AL138" s="253" t="n">
        <v>316</v>
      </c>
      <c r="AM138" s="253" t="n">
        <v>1345</v>
      </c>
      <c r="AN138" s="253" t="n">
        <v>341</v>
      </c>
      <c r="AO138" s="253" t="n">
        <v>471</v>
      </c>
      <c r="AP138" s="253" t="n">
        <v>426</v>
      </c>
      <c r="AQ138" s="253" t="n">
        <v>375</v>
      </c>
      <c r="AR138" s="253" t="n">
        <v>1613</v>
      </c>
      <c r="AS138" s="253" t="n">
        <v>294</v>
      </c>
      <c r="AT138" s="253" t="n">
        <v>270</v>
      </c>
      <c r="AU138" s="253" t="n">
        <v>402</v>
      </c>
      <c r="AV138" s="253" t="n">
        <v>383</v>
      </c>
      <c r="AW138" s="253" t="n">
        <v>1349</v>
      </c>
      <c r="AX138" s="253" t="n">
        <v>362</v>
      </c>
      <c r="AY138" s="253" t="n">
        <v>412</v>
      </c>
      <c r="AZ138" s="253" t="n">
        <v>402</v>
      </c>
      <c r="BA138" s="253" t="n">
        <v>444</v>
      </c>
      <c r="BB138" s="253" t="n">
        <v>1620</v>
      </c>
      <c r="BC138" s="253" t="n">
        <v>142</v>
      </c>
      <c r="BD138" s="253" t="n">
        <v>523</v>
      </c>
      <c r="BE138" s="253" t="n">
        <v>573</v>
      </c>
      <c r="BF138" s="253" t="n">
        <v>564</v>
      </c>
      <c r="BG138" s="253" t="n">
        <v>1802</v>
      </c>
      <c r="BH138" s="253" t="n">
        <v>492</v>
      </c>
      <c r="BI138" s="253" t="n">
        <v>859</v>
      </c>
      <c r="BJ138" s="253" t="n">
        <v>563</v>
      </c>
      <c r="BK138" s="253" t="n">
        <v>530</v>
      </c>
      <c r="BL138" s="253" t="n">
        <v>2444</v>
      </c>
      <c r="BM138" s="253" t="n">
        <v>547</v>
      </c>
      <c r="BN138" s="253" t="n">
        <v>681</v>
      </c>
      <c r="BO138" s="253" t="n">
        <v>603</v>
      </c>
      <c r="BP138" s="253" t="n">
        <v>549</v>
      </c>
      <c r="BQ138" s="253" t="n">
        <v>2380</v>
      </c>
      <c r="BR138" s="253" t="n">
        <v>751</v>
      </c>
      <c r="BS138" s="253" t="n">
        <v>971</v>
      </c>
      <c r="BT138" s="253" t="n">
        <v>1072</v>
      </c>
      <c r="BU138" s="253" t="n">
        <v>816</v>
      </c>
      <c r="BV138" s="253" t="n">
        <v>3610</v>
      </c>
      <c r="BW138" s="253" t="n">
        <v>930</v>
      </c>
      <c r="BX138" s="253" t="n">
        <v>1098</v>
      </c>
      <c r="BY138" s="254">
        <f>BY137*BY139</f>
        <v>1136.48015669796</v>
      </c>
      <c r="BZ138" s="254">
        <f>BZ137*BZ139</f>
        <v>1130.80651830204</v>
      </c>
      <c r="CA138" s="254">
        <f>SUM(BW138:BZ138)</f>
        <v>4295.286675</v>
      </c>
      <c r="CB138" s="254">
        <f>CB137*CB139</f>
        <v>4984.26474589344</v>
      </c>
      <c r="CC138" s="254">
        <f>CC137*CC139</f>
        <v>5621.84998381593</v>
      </c>
      <c r="CD138" s="254">
        <f>CD137*CD139</f>
        <v>6291.43824647752</v>
      </c>
      <c r="CE138" s="254">
        <f>CE137*CE139</f>
        <v>6994.03065545601</v>
      </c>
      <c r="CF138" s="19" t="n"/>
    </row>
    <row r="139" ht="15" customHeight="1" s="251">
      <c r="B139" s="25" t="inlineStr">
        <is>
          <t xml:space="preserve">  Effective income tax rate</t>
        </is>
      </c>
      <c r="C139" s="215">
        <f>IF(AND(ISNUMBER(C138),ISNUMBER(C137)),IFERROR(C138/C137,""),"")</f>
        <v>0.829385529554137</v>
      </c>
      <c r="D139" s="215">
        <f>IF(AND(ISNUMBER(D138),ISNUMBER(D137)),IFERROR(D138/D137,""),"")</f>
        <v>0.350325948049337</v>
      </c>
      <c r="E139" s="215">
        <f>IF(AND(ISNUMBER(E138),ISNUMBER(E137)),IFERROR(E138/E137,""),"")</f>
        <v>0.337405046279746</v>
      </c>
      <c r="F139" s="215">
        <f>IF(AND(ISNUMBER(F138),ISNUMBER(F137)),IFERROR(F138/F137,""),"")</f>
        <v>0.340581438388928</v>
      </c>
      <c r="G139" s="215">
        <f>IF(AND(ISNUMBER(G138),ISNUMBER(G137)),IFERROR(G138/G137,""),"")</f>
        <v>0.330068915487849</v>
      </c>
      <c r="H139" s="215">
        <f>IF(AND(ISNUMBER(H138),ISNUMBER(H137)),IFERROR(H138/H137,""),"")</f>
        <v>0.306627822286963</v>
      </c>
      <c r="I139" s="215">
        <f>IF(AND(ISNUMBER(I138),ISNUMBER(I137)),IFERROR(I138/I137,""),"")</f>
        <v>0.298575788402848</v>
      </c>
      <c r="J139" s="215">
        <f>IF(AND(ISNUMBER(J138),ISNUMBER(J137)),IFERROR(J138/J137,""),"")</f>
        <v>0.304900181488203</v>
      </c>
      <c r="K139" s="215">
        <f>IF(AND(ISNUMBER(K138),ISNUMBER(K137)),IFERROR(K138/K137,""),"")</f>
        <v>0.312246553122466</v>
      </c>
      <c r="L139" s="215">
        <f>IF(AND(ISNUMBER(L138),ISNUMBER(L137)),IFERROR(L138/L137,""),"")</f>
        <v>0.299043062200957</v>
      </c>
      <c r="M139" s="215">
        <f>IF(AND(ISNUMBER(M138),ISNUMBER(M137)),IFERROR(M138/M137,""),"")</f>
        <v>0.316136114160263</v>
      </c>
      <c r="N139" s="215">
        <f>IF(AND(ISNUMBER(N138),ISNUMBER(N137)),IFERROR(N138/N137,""),"")</f>
        <v>0.307555555555556</v>
      </c>
      <c r="O139" s="215">
        <f>IF(AND(ISNUMBER(O138),ISNUMBER(O137)),IFERROR(O138/O137,""),"")</f>
        <v>0.320843091334895</v>
      </c>
      <c r="P139" s="215">
        <f>IF(AND(ISNUMBER(P138),ISNUMBER(P137)),IFERROR(P138/P137,""),"")</f>
        <v>0.321922796795339</v>
      </c>
      <c r="Q139" s="215">
        <f>IF(AND(ISNUMBER(Q138),ISNUMBER(Q137)),IFERROR(Q138/Q137,""),"")</f>
        <v>0.284203102961918</v>
      </c>
      <c r="R139" s="215">
        <f>IF(AND(ISNUMBER(R138),ISNUMBER(R137)),IFERROR(R138/R137,""),"")</f>
        <v>0.204568023833168</v>
      </c>
      <c r="S139" s="215">
        <f>IF(AND(ISNUMBER(S138),ISNUMBER(S137)),IFERROR(S138/S137,""),"")</f>
        <v>0.287851939358141</v>
      </c>
      <c r="T139" s="215">
        <f>IF(AND(ISNUMBER(T138),ISNUMBER(T137)),IFERROR(T138/T137,""),"")</f>
        <v>0.238805970149254</v>
      </c>
      <c r="U139" s="215">
        <f>IF(AND(ISNUMBER(U138),ISNUMBER(U137)),IFERROR(U138/U137,""),"")</f>
        <v>0.257856567284448</v>
      </c>
      <c r="V139" s="215">
        <f>IF(AND(ISNUMBER(V138),ISNUMBER(V137)),IFERROR(V138/V137,""),"")</f>
        <v>0.277366863905325</v>
      </c>
      <c r="W139" s="215">
        <f>IF(AND(ISNUMBER(W138),ISNUMBER(W137)),IFERROR(W138/W137,""),"")</f>
        <v>0.131707317073171</v>
      </c>
      <c r="X139" s="215">
        <f>IF(AND(ISNUMBER(X138),ISNUMBER(X137)),IFERROR(X138/X137,""),"")</f>
        <v>0.231948366276725</v>
      </c>
      <c r="Y139" s="215">
        <f>IF(AND(ISNUMBER(Y138),ISNUMBER(Y137)),IFERROR(Y138/Y137,""),"")</f>
        <v>0.282722513089005</v>
      </c>
      <c r="Z139" s="215">
        <f>IF(AND(ISNUMBER(Z138),ISNUMBER(Z137)),IFERROR(Z138/Z137,""),"")</f>
        <v>0.27985347985348</v>
      </c>
      <c r="AA139" s="215">
        <f>IF(AND(ISNUMBER(AA138),ISNUMBER(AA137)),IFERROR(AA138/AA137,""),"")</f>
        <v>0.274954072259645</v>
      </c>
      <c r="AB139" s="215">
        <f>IF(AND(ISNUMBER(AB138),ISNUMBER(AB137)),IFERROR(AB138/AB137,""),"")</f>
        <v>0.288329519450801</v>
      </c>
      <c r="AC139" s="215">
        <f>IF(AND(ISNUMBER(AC138),ISNUMBER(AC137)),IFERROR(AC138/AC137,""),"")</f>
        <v>0.281083953241233</v>
      </c>
      <c r="AD139" s="215">
        <f>IF(AND(ISNUMBER(AD138),ISNUMBER(AD137)),IFERROR(AD138/AD137,""),"")</f>
        <v>0.268606224627876</v>
      </c>
      <c r="AE139" s="215">
        <f>IF(AND(ISNUMBER(AE138),ISNUMBER(AE137)),IFERROR(AE138/AE137,""),"")</f>
        <v>0.277027027027027</v>
      </c>
      <c r="AF139" s="215">
        <f>IF(AND(ISNUMBER(AF138),ISNUMBER(AF137)),IFERROR(AF138/AF137,""),"")</f>
        <v>0.259834368530021</v>
      </c>
      <c r="AG139" s="215">
        <f>IF(AND(ISNUMBER(AG138),ISNUMBER(AG137)),IFERROR(AG138/AG137,""),"")</f>
        <v>0.847035040431267</v>
      </c>
      <c r="AH139" s="215">
        <f>IF(AND(ISNUMBER(AH138),ISNUMBER(AH137)),IFERROR(AH138/AH137,""),"")</f>
        <v>0.399724011039558</v>
      </c>
      <c r="AI139" s="215">
        <f>IF(AND(ISNUMBER(AI138),ISNUMBER(AI137)),IFERROR(AI138/AI137,""),"")</f>
        <v>0.17249029395452</v>
      </c>
      <c r="AJ139" s="215">
        <f>IF(AND(ISNUMBER(AJ138),ISNUMBER(AJ137)),IFERROR(AJ138/AJ137,""),"")</f>
        <v>0.18366285119667</v>
      </c>
      <c r="AK139" s="215">
        <f>IF(AND(ISNUMBER(AK138),ISNUMBER(AK137)),IFERROR(AK138/AK137,""),"")</f>
        <v>0.161219081272085</v>
      </c>
      <c r="AL139" s="215">
        <f>IF(AND(ISNUMBER(AL138),ISNUMBER(AL137)),IFERROR(AL138/AL137,""),"")</f>
        <v>0.260082304526749</v>
      </c>
      <c r="AM139" s="215">
        <f>IF(AND(ISNUMBER(AM138),ISNUMBER(AM137)),IFERROR(AM138/AM137,""),"")</f>
        <v>0.18670183231538</v>
      </c>
      <c r="AN139" s="215">
        <f>IF(AND(ISNUMBER(AN138),ISNUMBER(AN137)),IFERROR(AN138/AN137,""),"")</f>
        <v>0.154788924194281</v>
      </c>
      <c r="AO139" s="215">
        <f>IF(AND(ISNUMBER(AO138),ISNUMBER(AO137)),IFERROR(AO138/AO137,""),"")</f>
        <v>0.186978959904724</v>
      </c>
      <c r="AP139" s="215">
        <f>IF(AND(ISNUMBER(AP138),ISNUMBER(AP137)),IFERROR(AP138/AP137,""),"")</f>
        <v>0.1681136543015</v>
      </c>
      <c r="AQ139" s="215">
        <f>IF(AND(ISNUMBER(AQ138),ISNUMBER(AQ137)),IFERROR(AQ138/AQ137,""),"")</f>
        <v>0.151515151515152</v>
      </c>
      <c r="AR139" s="215">
        <f>IF(AND(ISNUMBER(AR138),ISNUMBER(AR137)),IFERROR(AR138/AR137,""),"")</f>
        <v>0.165758914808344</v>
      </c>
      <c r="AS139" s="215">
        <f>IF(AND(ISNUMBER(AS138),ISNUMBER(AS137)),IFERROR(AS138/AS137,""),"")</f>
        <v>0.147961751383996</v>
      </c>
      <c r="AT139" s="215">
        <f>IF(AND(ISNUMBER(AT138),ISNUMBER(AT137)),IFERROR(AT138/AT137,""),"")</f>
        <v>0.159763313609467</v>
      </c>
      <c r="AU139" s="215">
        <f>IF(AND(ISNUMBER(AU138),ISNUMBER(AU137)),IFERROR(AU138/AU137,""),"")</f>
        <v>0.209921671018277</v>
      </c>
      <c r="AV139" s="215">
        <f>IF(AND(ISNUMBER(AV138),ISNUMBER(AV137)),IFERROR(AV138/AV137,""),"")</f>
        <v>0.176660516605166</v>
      </c>
      <c r="AW139" s="215">
        <f>IF(AND(ISNUMBER(AW138),ISNUMBER(AW137)),IFERROR(AW138/AW137,""),"")</f>
        <v>0.173840206185567</v>
      </c>
      <c r="AX139" s="215">
        <f>IF(AND(ISNUMBER(AX138),ISNUMBER(AX137)),IFERROR(AX138/AX137,""),"")</f>
        <v>0.165296803652968</v>
      </c>
      <c r="AY139" s="215">
        <f>IF(AND(ISNUMBER(AY138),ISNUMBER(AY137)),IFERROR(AY138/AY137,""),"")</f>
        <v>0.166263115415658</v>
      </c>
      <c r="AZ139" s="215">
        <f>IF(AND(ISNUMBER(AZ138),ISNUMBER(AZ137)),IFERROR(AZ138/AZ137,""),"")</f>
        <v>0.142755681818182</v>
      </c>
      <c r="BA139" s="215">
        <f>IF(AND(ISNUMBER(BA138),ISNUMBER(BA137)),IFERROR(BA138/BA137,""),"")</f>
        <v>0.157279489904357</v>
      </c>
      <c r="BB139" s="215">
        <f>IF(AND(ISNUMBER(BB138),ISNUMBER(BB137)),IFERROR(BB138/BB137,""),"")</f>
        <v>0.157174735616571</v>
      </c>
      <c r="BC139" s="215">
        <f>IF(AND(ISNUMBER(BC138),ISNUMBER(BC137)),IFERROR(BC138/BC137,""),"")</f>
        <v>0.0512080778939776</v>
      </c>
      <c r="BD139" s="215">
        <f>IF(AND(ISNUMBER(BD138),ISNUMBER(BD137)),IFERROR(BD138/BD137,""),"")</f>
        <v>0.186919228020014</v>
      </c>
      <c r="BE139" s="215">
        <f>IF(AND(ISNUMBER(BE138),ISNUMBER(BE137)),IFERROR(BE138/BE137,""),"")</f>
        <v>0.1865234375</v>
      </c>
      <c r="BF139" s="215">
        <f>IF(AND(ISNUMBER(BF138),ISNUMBER(BF137)),IFERROR(BF138/BF137,""),"")</f>
        <v>0.18258336031078</v>
      </c>
      <c r="BG139" s="215">
        <f>IF(AND(ISNUMBER(BG138),ISNUMBER(BG137)),IFERROR(BG138/BG137,""),"")</f>
        <v>0.153596999659052</v>
      </c>
      <c r="BH139" s="215">
        <f>IF(AND(ISNUMBER(BH138),ISNUMBER(BH137)),IFERROR(BH138/BH137,""),"")</f>
        <v>0.172450052576236</v>
      </c>
      <c r="BI139" s="215">
        <f>IF(AND(ISNUMBER(BI138),ISNUMBER(BI137)),IFERROR(BI138/BI137,""),"")</f>
        <v>0.231911447084233</v>
      </c>
      <c r="BJ139" s="215">
        <f>IF(AND(ISNUMBER(BJ138),ISNUMBER(BJ137)),IFERROR(BJ138/BJ137,""),"")</f>
        <v>0.14969423025791</v>
      </c>
      <c r="BK139" s="215">
        <f>IF(AND(ISNUMBER(BK138),ISNUMBER(BK137)),IFERROR(BK138/BK137,""),"")</f>
        <v>0.159590484793737</v>
      </c>
      <c r="BL139" s="215">
        <f>IF(AND(ISNUMBER(BL138),ISNUMBER(BL137)),IFERROR(BL138/BL137,""),"")</f>
        <v>0.179192022875577</v>
      </c>
      <c r="BM139" s="215">
        <f>IF(AND(ISNUMBER(BM138),ISNUMBER(BM137)),IFERROR(BM138/BM137,""),"")</f>
        <v>0.153738055087128</v>
      </c>
      <c r="BN139" s="215">
        <f>IF(AND(ISNUMBER(BN138),ISNUMBER(BN137)),IFERROR(BN138/BN137,""),"")</f>
        <v>0.172886519421173</v>
      </c>
      <c r="BO139" s="215">
        <f>IF(AND(ISNUMBER(BO138),ISNUMBER(BO137)),IFERROR(BO138/BO137,""),"")</f>
        <v>0.155975168132437</v>
      </c>
      <c r="BP139" s="215">
        <f>IF(AND(ISNUMBER(BP138),ISNUMBER(BP137)),IFERROR(BP138/BP137,""),"")</f>
        <v>0.141094834232845</v>
      </c>
      <c r="BQ139" s="215">
        <f>IF(AND(ISNUMBER(BQ138),ISNUMBER(BQ137)),IFERROR(BQ138/BQ137,""),"")</f>
        <v>0.156024649272322</v>
      </c>
      <c r="BR139" s="215">
        <f>IF(AND(ISNUMBER(BR138),ISNUMBER(BR137)),IFERROR(BR138/BR137,""),"")</f>
        <v>0.186306127511784</v>
      </c>
      <c r="BS139" s="215">
        <f>IF(AND(ISNUMBER(BS138),ISNUMBER(BS137)),IFERROR(BS138/BS137,""),"")</f>
        <v>0.207833904109589</v>
      </c>
      <c r="BT139" s="215">
        <f>IF(AND(ISNUMBER(BT138),ISNUMBER(BT137)),IFERROR(BT138/BT137,""),"")</f>
        <v>0.214442888577716</v>
      </c>
      <c r="BU139" s="215">
        <f>IF(AND(ISNUMBER(BU138),ISNUMBER(BU137)),IFERROR(BU138/BU137,""),"")</f>
        <v>0.167350287120591</v>
      </c>
      <c r="BV139" s="215">
        <f>IF(AND(ISNUMBER(BV138),ISNUMBER(BV137)),IFERROR(BV138/BV137,""),"")</f>
        <v>0.19431585746582</v>
      </c>
      <c r="BW139" s="215">
        <f>IF(AND(ISNUMBER(BW138),ISNUMBER(BW137)),IFERROR(BW138/BW137,""),"")</f>
        <v>0.193266832917706</v>
      </c>
      <c r="BX139" s="215">
        <f>IF(AND(ISNUMBER(BX138),ISNUMBER(BX137)),IFERROR(BX138/BX137,""),"")</f>
        <v>0.200145825738243</v>
      </c>
      <c r="BY139" s="256">
        <f>$CP$22</f>
        <v>0.205</v>
      </c>
      <c r="BZ139" s="256">
        <f>$CP$22</f>
        <v>0.205</v>
      </c>
      <c r="CA139" s="256">
        <f>IF(AND(ISNUMBER(CA138),ISNUMBER(CA137)),IFERROR(CA138/CA137,""),"")</f>
        <v>0.201109642622285</v>
      </c>
      <c r="CB139" s="259" t="n">
        <v>0.205</v>
      </c>
      <c r="CC139" s="259" t="n">
        <v>0.205</v>
      </c>
      <c r="CD139" s="259" t="n">
        <v>0.205</v>
      </c>
      <c r="CE139" s="259" t="n">
        <v>0.205</v>
      </c>
      <c r="CF139" s="153" t="inlineStr">
        <is>
          <t>Q3/Q4-26E: 20.5% (non-GAAP 20–21% guided for Q3 and Q4 — UNVERIFIED call guidance; H1-26 GAAP 19.7%). 2027E+: input.</t>
        </is>
      </c>
      <c r="CH139" s="37">
        <f>IFERROR(AVERAGE(CA139,CB139,CC139,CD139,CE139),"n/m")</f>
        <v>0.204221928524457</v>
      </c>
      <c r="CI139" s="37">
        <f>IFERROR(AVERAGE(BB139,BG139,BL139,BQ139,BV139),"n/m")</f>
        <v>0.168060852977869</v>
      </c>
      <c r="CJ139" s="37">
        <f>IFERROR(AVERAGE(AC139,AH139,AM139,AR139,AW139,BB139,BG139,BL139,BQ139,BV139),"n/m")</f>
        <v>0.204741318247943</v>
      </c>
      <c r="CK139" s="37">
        <f>IFERROR(AVERAGE(C139,D139,E139,F139,G139,H139,I139,N139,S139,X139,AC139,AH139,AM139,AR139,AW139,BB139,BG139,BL139,BQ139,BV139),"n/m")</f>
        <v>0.283386976605983</v>
      </c>
    </row>
    <row r="140" ht="15" customHeight="1" s="251">
      <c r="B140" s="16" t="inlineStr">
        <is>
          <t>Net income (incl. non-controlling interests)</t>
        </is>
      </c>
      <c r="C140" s="275">
        <f>IF(ISNUMBER(C137),C137-C138,"")</f>
        <v>50.1900000000004</v>
      </c>
      <c r="D140" s="275">
        <f>IF(ISNUMBER(D137),D137-D138,"")</f>
        <v>1085.886</v>
      </c>
      <c r="E140" s="275">
        <f>IF(ISNUMBER(E137),E137-E138,"")</f>
        <v>-253.914999999999</v>
      </c>
      <c r="F140" s="275">
        <f>IF(ISNUMBER(F137),F137-F138,"")</f>
        <v>1462.624</v>
      </c>
      <c r="G140" s="275">
        <f>IF(ISNUMBER(G137),G137-G138,"")</f>
        <v>1847</v>
      </c>
      <c r="H140" s="275">
        <f>IF(ISNUMBER(H137),H137-H138,"")</f>
        <v>1904</v>
      </c>
      <c r="I140" s="275">
        <f>IF(ISNUMBER(I137),I137-I138,"")</f>
        <v>2758</v>
      </c>
      <c r="J140" s="275">
        <f>IF(ISNUMBER(J137),J137-J138,"")</f>
        <v>766</v>
      </c>
      <c r="K140" s="275">
        <f>IF(ISNUMBER(K137),K137-K138,"")</f>
        <v>848</v>
      </c>
      <c r="L140" s="275">
        <f>IF(ISNUMBER(L137),L137-L138,"")</f>
        <v>879</v>
      </c>
      <c r="M140" s="275">
        <f>IF(ISNUMBER(M137),M137-M138,"")</f>
        <v>623</v>
      </c>
      <c r="N140" s="275">
        <f>IF(ISNUMBER(N137),N137-N138,"")</f>
        <v>3116</v>
      </c>
      <c r="O140" s="275">
        <f>IF(ISNUMBER(O137),O137-O138,"")</f>
        <v>870</v>
      </c>
      <c r="P140" s="275">
        <f>IF(ISNUMBER(P137),P137-P138,"")</f>
        <v>931</v>
      </c>
      <c r="Q140" s="275">
        <f>IF(ISNUMBER(Q137),Q137-Q138,"")</f>
        <v>1015</v>
      </c>
      <c r="R140" s="275">
        <f>IF(ISNUMBER(R137),R137-R138,"")</f>
        <v>801</v>
      </c>
      <c r="S140" s="275">
        <f>IF(ISNUMBER(S137),S137-S138,"")</f>
        <v>3617</v>
      </c>
      <c r="T140" s="275">
        <f>IF(ISNUMBER(T137),T137-T138,"")</f>
        <v>1020</v>
      </c>
      <c r="U140" s="275">
        <f>IF(ISNUMBER(U137),U137-U138,"")</f>
        <v>921</v>
      </c>
      <c r="V140" s="275">
        <f>IF(ISNUMBER(V137),V137-V138,"")</f>
        <v>977</v>
      </c>
      <c r="W140" s="275">
        <f>IF(ISNUMBER(W137),W137-W138,"")</f>
        <v>890</v>
      </c>
      <c r="X140" s="275">
        <f>IF(ISNUMBER(X137),X137-X138,"")</f>
        <v>3808</v>
      </c>
      <c r="Y140" s="275">
        <f>IF(ISNUMBER(Y137),Y137-Y138,"")</f>
        <v>959</v>
      </c>
      <c r="Z140" s="275">
        <f>IF(ISNUMBER(Z137),Z137-Z138,"")</f>
        <v>983</v>
      </c>
      <c r="AA140" s="275">
        <f>IF(ISNUMBER(AA137),AA137-AA138,"")</f>
        <v>1184</v>
      </c>
      <c r="AB140" s="275">
        <f>IF(ISNUMBER(AB137),AB137-AB138,"")</f>
        <v>933</v>
      </c>
      <c r="AC140" s="275">
        <f>IF(ISNUMBER(AC137),AC137-AC138,"")</f>
        <v>4059</v>
      </c>
      <c r="AD140" s="275">
        <f>IF(ISNUMBER(AD137),AD137-AD138,"")</f>
        <v>1081</v>
      </c>
      <c r="AE140" s="275">
        <f>IF(ISNUMBER(AE137),AE137-AE138,"")</f>
        <v>1177</v>
      </c>
      <c r="AF140" s="275">
        <f>IF(ISNUMBER(AF137),AF137-AF138,"")</f>
        <v>1430</v>
      </c>
      <c r="AG140" s="275">
        <f>IF(ISNUMBER(AG137),AG137-AG138,"")</f>
        <v>227</v>
      </c>
      <c r="AH140" s="275">
        <f>IF(ISNUMBER(AH137),AH137-AH138,"")</f>
        <v>3915</v>
      </c>
      <c r="AI140" s="275">
        <f>IF(ISNUMBER(AI137),AI137-AI138,"")</f>
        <v>1492</v>
      </c>
      <c r="AJ140" s="275">
        <f>IF(ISNUMBER(AJ137),AJ137-AJ138,"")</f>
        <v>1569</v>
      </c>
      <c r="AK140" s="275">
        <f>IF(ISNUMBER(AK137),AK137-AK138,"")</f>
        <v>1899</v>
      </c>
      <c r="AL140" s="275">
        <f>IF(ISNUMBER(AL137),AL137-AL138,"")</f>
        <v>899</v>
      </c>
      <c r="AM140" s="275">
        <f>IF(ISNUMBER(AM137),AM137-AM138,"")</f>
        <v>5859</v>
      </c>
      <c r="AN140" s="275">
        <f>IF(ISNUMBER(AN137),AN137-AN138,"")</f>
        <v>1862</v>
      </c>
      <c r="AO140" s="275">
        <f>IF(ISNUMBER(AO137),AO137-AO138,"")</f>
        <v>2048</v>
      </c>
      <c r="AP140" s="275">
        <f>IF(ISNUMBER(AP137),AP137-AP138,"")</f>
        <v>2108</v>
      </c>
      <c r="AQ140" s="275">
        <f>IF(ISNUMBER(AQ137),AQ137-AQ138,"")</f>
        <v>2100</v>
      </c>
      <c r="AR140" s="275">
        <f>IF(ISNUMBER(AR137),AR137-AR138,"")</f>
        <v>8118</v>
      </c>
      <c r="AS140" s="275">
        <f>IF(ISNUMBER(AS137),AS137-AS138,"")</f>
        <v>1693</v>
      </c>
      <c r="AT140" s="275">
        <f>IF(ISNUMBER(AT137),AT137-AT138,"")</f>
        <v>1420</v>
      </c>
      <c r="AU140" s="275">
        <f>IF(ISNUMBER(AU137),AU137-AU138,"")</f>
        <v>1513</v>
      </c>
      <c r="AV140" s="275">
        <f>IF(ISNUMBER(AV137),AV137-AV138,"")</f>
        <v>1785</v>
      </c>
      <c r="AW140" s="275">
        <f>IF(ISNUMBER(AW137),AW137-AW138,"")</f>
        <v>6411</v>
      </c>
      <c r="AX140" s="275">
        <f>IF(ISNUMBER(AX137),AX137-AX138,"")</f>
        <v>1828</v>
      </c>
      <c r="AY140" s="275">
        <f>IF(ISNUMBER(AY137),AY137-AY138,"")</f>
        <v>2066</v>
      </c>
      <c r="AZ140" s="275">
        <f>IF(ISNUMBER(AZ137),AZ137-AZ138,"")</f>
        <v>2414</v>
      </c>
      <c r="BA140" s="275">
        <f>IF(ISNUMBER(BA137),BA137-BA138,"")</f>
        <v>2379</v>
      </c>
      <c r="BB140" s="275">
        <f>IF(ISNUMBER(BB137),BB137-BB138,"")</f>
        <v>8687</v>
      </c>
      <c r="BC140" s="275">
        <f>IF(ISNUMBER(BC137),BC137-BC138,"")</f>
        <v>2631</v>
      </c>
      <c r="BD140" s="275">
        <f>IF(ISNUMBER(BD137),BD137-BD138,"")</f>
        <v>2275</v>
      </c>
      <c r="BE140" s="275">
        <f>IF(ISNUMBER(BE137),BE137-BE138,"")</f>
        <v>2499</v>
      </c>
      <c r="BF140" s="275">
        <f>IF(ISNUMBER(BF137),BF137-BF138,"")</f>
        <v>2525</v>
      </c>
      <c r="BG140" s="275">
        <f>IF(ISNUMBER(BG137),BG137-BG138,"")</f>
        <v>9930</v>
      </c>
      <c r="BH140" s="275">
        <f>IF(ISNUMBER(BH137),BH137-BH138,"")</f>
        <v>2361</v>
      </c>
      <c r="BI140" s="275">
        <f>IF(ISNUMBER(BI137),BI137-BI138,"")</f>
        <v>2845</v>
      </c>
      <c r="BJ140" s="275">
        <f>IF(ISNUMBER(BJ137),BJ137-BJ138,"")</f>
        <v>3198</v>
      </c>
      <c r="BK140" s="275">
        <f>IF(ISNUMBER(BK137),BK137-BK138,"")</f>
        <v>2791</v>
      </c>
      <c r="BL140" s="275">
        <f>IF(ISNUMBER(BL137),BL137-BL138,"")</f>
        <v>11195</v>
      </c>
      <c r="BM140" s="275">
        <f>IF(ISNUMBER(BM137),BM137-BM138,"")</f>
        <v>3011</v>
      </c>
      <c r="BN140" s="275">
        <f>IF(ISNUMBER(BN137),BN137-BN138,"")</f>
        <v>3258</v>
      </c>
      <c r="BO140" s="275">
        <f>IF(ISNUMBER(BO137),BO137-BO138,"")</f>
        <v>3263</v>
      </c>
      <c r="BP140" s="275">
        <f>IF(ISNUMBER(BP137),BP137-BP138,"")</f>
        <v>3342</v>
      </c>
      <c r="BQ140" s="275">
        <f>IF(ISNUMBER(BQ137),BQ137-BQ138,"")</f>
        <v>12874</v>
      </c>
      <c r="BR140" s="275">
        <f>IF(ISNUMBER(BR137),BR137-BR138,"")</f>
        <v>3280</v>
      </c>
      <c r="BS140" s="275">
        <f>IF(ISNUMBER(BS137),BS137-BS138,"")</f>
        <v>3701</v>
      </c>
      <c r="BT140" s="275">
        <f>IF(ISNUMBER(BT137),BT137-BT138,"")</f>
        <v>3927</v>
      </c>
      <c r="BU140" s="275">
        <f>IF(ISNUMBER(BU137),BU137-BU138,"")</f>
        <v>4060</v>
      </c>
      <c r="BV140" s="275">
        <f>IF(ISNUMBER(BV137),BV137-BV138,"")</f>
        <v>14968</v>
      </c>
      <c r="BW140" s="275">
        <f>IF(ISNUMBER(BW137),BW137-BW138,"")</f>
        <v>3882</v>
      </c>
      <c r="BX140" s="275">
        <f>IF(ISNUMBER(BX137),BX137-BX138,"")</f>
        <v>4388</v>
      </c>
      <c r="BY140" s="263">
        <f>IF(ISNUMBER(BY137),BY137-BY138,"")</f>
        <v>4407.32548573113</v>
      </c>
      <c r="BZ140" s="263">
        <f>IF(ISNUMBER(BZ137),BZ137-BZ138,"")</f>
        <v>4385.32283926888</v>
      </c>
      <c r="CA140" s="263">
        <f>IF(ISNUMBER(CA137),CA137-CA138,"")</f>
        <v>17062.648325</v>
      </c>
      <c r="CB140" s="263">
        <f>IF(ISNUMBER(CB137),CB137-CB138,"")</f>
        <v>19329.2218194404</v>
      </c>
      <c r="CC140" s="263">
        <f>IF(ISNUMBER(CC137),CC137-CC138,"")</f>
        <v>21801.8084738228</v>
      </c>
      <c r="CD140" s="263">
        <f>IF(ISNUMBER(CD137),CD137-CD138,"")</f>
        <v>24398.5044192665</v>
      </c>
      <c r="CE140" s="263">
        <f>IF(ISNUMBER(CE137),CE137-CE138,"")</f>
        <v>27123.1920540855</v>
      </c>
      <c r="CF140" s="153" t="n"/>
    </row>
    <row r="141" ht="15" customHeight="1" s="251">
      <c r="B141" s="25" t="inlineStr">
        <is>
          <t xml:space="preserve">  Less: net income (loss) attributable to non-controlling interests</t>
        </is>
      </c>
      <c r="C141" s="253" t="n">
        <v>0</v>
      </c>
      <c r="D141" s="253" t="n">
        <v>0</v>
      </c>
      <c r="E141" s="253" t="n">
        <v>0</v>
      </c>
      <c r="F141" s="253" t="n">
        <v>0.092</v>
      </c>
      <c r="G141" s="253" t="n">
        <v>1</v>
      </c>
      <c r="H141" s="253" t="n">
        <v>-2</v>
      </c>
      <c r="I141" s="253" t="n">
        <v>-1</v>
      </c>
      <c r="J141" s="253" t="n">
        <v>0</v>
      </c>
      <c r="K141" s="253" t="n">
        <v>0</v>
      </c>
      <c r="L141" s="253" t="n">
        <v>0</v>
      </c>
      <c r="M141" s="253" t="n">
        <v>0</v>
      </c>
      <c r="N141" s="253" t="n">
        <v>0</v>
      </c>
      <c r="O141" s="253" t="n">
        <v>0</v>
      </c>
      <c r="P141" s="253" t="n">
        <v>0</v>
      </c>
      <c r="Q141" s="253" t="n">
        <v>0</v>
      </c>
      <c r="R141" s="253" t="n">
        <v>0</v>
      </c>
      <c r="S141" s="253" t="n">
        <v>0</v>
      </c>
      <c r="T141" s="253" t="n">
        <v>0</v>
      </c>
      <c r="U141" s="253" t="n">
        <v>0</v>
      </c>
      <c r="V141" s="253" t="n">
        <v>0</v>
      </c>
      <c r="W141" s="253" t="n">
        <v>0</v>
      </c>
      <c r="X141" s="253" t="n">
        <v>0</v>
      </c>
      <c r="Y141" s="253" t="n">
        <v>0</v>
      </c>
      <c r="Z141" s="253" t="n">
        <v>0</v>
      </c>
      <c r="AA141" s="253" t="n">
        <v>0</v>
      </c>
      <c r="AB141" s="253" t="n">
        <v>0</v>
      </c>
      <c r="AC141" s="253" t="n">
        <v>0</v>
      </c>
      <c r="AD141" s="253" t="n">
        <v>0</v>
      </c>
      <c r="AE141" s="253" t="n">
        <v>0</v>
      </c>
      <c r="AF141" s="253" t="n">
        <v>0</v>
      </c>
      <c r="AG141" s="253" t="n">
        <v>0</v>
      </c>
      <c r="AH141" s="253" t="n">
        <v>0</v>
      </c>
      <c r="AI141" s="253" t="n">
        <v>0</v>
      </c>
      <c r="AJ141" s="253" t="n">
        <v>0</v>
      </c>
      <c r="AK141" s="253" t="n">
        <v>0</v>
      </c>
      <c r="AL141" s="253" t="n">
        <v>0</v>
      </c>
      <c r="AM141" s="253" t="n">
        <v>0</v>
      </c>
      <c r="AN141" s="253" t="n">
        <v>0</v>
      </c>
      <c r="AO141" s="253" t="n">
        <v>0</v>
      </c>
      <c r="AP141" s="253" t="n">
        <v>0</v>
      </c>
      <c r="AQ141" s="253" t="n">
        <v>0</v>
      </c>
      <c r="AR141" s="253" t="n">
        <v>0</v>
      </c>
      <c r="AS141" s="253" t="n">
        <v>0</v>
      </c>
      <c r="AT141" s="253" t="n">
        <v>0</v>
      </c>
      <c r="AU141" s="253" t="n">
        <v>0</v>
      </c>
      <c r="AV141" s="253" t="n">
        <v>0</v>
      </c>
      <c r="AW141" s="253" t="n">
        <v>0</v>
      </c>
      <c r="AX141" s="253" t="n">
        <v>0</v>
      </c>
      <c r="AY141" s="253" t="n">
        <v>0</v>
      </c>
      <c r="AZ141" s="253" t="n">
        <v>0</v>
      </c>
      <c r="BA141" s="253" t="n">
        <v>0</v>
      </c>
      <c r="BB141" s="253" t="n">
        <v>0</v>
      </c>
      <c r="BC141" s="253" t="n">
        <v>0</v>
      </c>
      <c r="BD141" s="253" t="n">
        <v>0</v>
      </c>
      <c r="BE141" s="253" t="n">
        <v>0</v>
      </c>
      <c r="BF141" s="253" t="n">
        <v>0</v>
      </c>
      <c r="BG141" s="253" t="n">
        <v>0</v>
      </c>
      <c r="BH141" s="253" t="n">
        <v>0</v>
      </c>
      <c r="BI141" s="253" t="n">
        <v>0</v>
      </c>
      <c r="BJ141" s="253" t="n">
        <v>0</v>
      </c>
      <c r="BK141" s="253" t="n">
        <v>0</v>
      </c>
      <c r="BL141" s="253" t="n">
        <v>0</v>
      </c>
      <c r="BM141" s="253" t="n">
        <v>0</v>
      </c>
      <c r="BN141" s="253" t="n">
        <v>0</v>
      </c>
      <c r="BO141" s="253" t="n">
        <v>0</v>
      </c>
      <c r="BP141" s="253" t="n">
        <v>0</v>
      </c>
      <c r="BQ141" s="253" t="n">
        <v>0</v>
      </c>
      <c r="BR141" s="253" t="n">
        <v>0</v>
      </c>
      <c r="BS141" s="253" t="n">
        <v>0</v>
      </c>
      <c r="BT141" s="253" t="n">
        <v>0</v>
      </c>
      <c r="BU141" s="253" t="n">
        <v>0</v>
      </c>
      <c r="BV141" s="253" t="n">
        <v>0</v>
      </c>
      <c r="BW141" s="253" t="n">
        <v>0</v>
      </c>
      <c r="BX141" s="253" t="n">
        <v>0</v>
      </c>
      <c r="BY141" s="254">
        <f>0</f>
        <v>0</v>
      </c>
      <c r="BZ141" s="254">
        <f>0</f>
        <v>0</v>
      </c>
      <c r="CA141" s="254">
        <f>SUM(BW141:BZ141)</f>
        <v>0</v>
      </c>
      <c r="CB141" s="254">
        <f>0</f>
        <v>0</v>
      </c>
      <c r="CC141" s="254">
        <f>0</f>
        <v>0</v>
      </c>
      <c r="CD141" s="254">
        <f>0</f>
        <v>0</v>
      </c>
      <c r="CE141" s="254">
        <f>0</f>
        <v>0</v>
      </c>
      <c r="CF141" s="19" t="n"/>
    </row>
    <row r="142" ht="15" customHeight="1" s="251">
      <c r="B142" s="55" t="inlineStr">
        <is>
          <t>Net income attributable to Mastercard</t>
        </is>
      </c>
      <c r="C142" s="273">
        <f>IF(ISNUMBER(C140),C140-N(C141),"")</f>
        <v>50.1900000000004</v>
      </c>
      <c r="D142" s="273">
        <f>IF(ISNUMBER(D140),D140-N(D141),"")</f>
        <v>1085.886</v>
      </c>
      <c r="E142" s="273">
        <f>IF(ISNUMBER(E140),E140-N(E141),"")</f>
        <v>-253.914999999999</v>
      </c>
      <c r="F142" s="273">
        <f>IF(ISNUMBER(F140),F140-N(F141),"")</f>
        <v>1462.532</v>
      </c>
      <c r="G142" s="273">
        <f>IF(ISNUMBER(G140),G140-N(G141),"")</f>
        <v>1846</v>
      </c>
      <c r="H142" s="273">
        <f>IF(ISNUMBER(H140),H140-N(H141),"")</f>
        <v>1906</v>
      </c>
      <c r="I142" s="273">
        <f>IF(ISNUMBER(I140),I140-N(I141),"")</f>
        <v>2759</v>
      </c>
      <c r="J142" s="273">
        <f>IF(ISNUMBER(J140),J140-N(J141),"")</f>
        <v>766</v>
      </c>
      <c r="K142" s="273">
        <f>IF(ISNUMBER(K140),K140-N(K141),"")</f>
        <v>848</v>
      </c>
      <c r="L142" s="273">
        <f>IF(ISNUMBER(L140),L140-N(L141),"")</f>
        <v>879</v>
      </c>
      <c r="M142" s="273">
        <f>IF(ISNUMBER(M140),M140-N(M141),"")</f>
        <v>623</v>
      </c>
      <c r="N142" s="273">
        <f>IF(ISNUMBER(N140),N140-N(N141),"")</f>
        <v>3116</v>
      </c>
      <c r="O142" s="273">
        <f>IF(ISNUMBER(O140),O140-N(O141),"")</f>
        <v>870</v>
      </c>
      <c r="P142" s="273">
        <f>IF(ISNUMBER(P140),P140-N(P141),"")</f>
        <v>931</v>
      </c>
      <c r="Q142" s="273">
        <f>IF(ISNUMBER(Q140),Q140-N(Q141),"")</f>
        <v>1015</v>
      </c>
      <c r="R142" s="273">
        <f>IF(ISNUMBER(R140),R140-N(R141),"")</f>
        <v>801</v>
      </c>
      <c r="S142" s="273">
        <f>IF(ISNUMBER(S140),S140-N(S141),"")</f>
        <v>3617</v>
      </c>
      <c r="T142" s="273">
        <f>IF(ISNUMBER(T140),T140-N(T141),"")</f>
        <v>1020</v>
      </c>
      <c r="U142" s="273">
        <f>IF(ISNUMBER(U140),U140-N(U141),"")</f>
        <v>921</v>
      </c>
      <c r="V142" s="273">
        <f>IF(ISNUMBER(V140),V140-N(V141),"")</f>
        <v>977</v>
      </c>
      <c r="W142" s="273">
        <f>IF(ISNUMBER(W140),W140-N(W141),"")</f>
        <v>890</v>
      </c>
      <c r="X142" s="273">
        <f>IF(ISNUMBER(X140),X140-N(X141),"")</f>
        <v>3808</v>
      </c>
      <c r="Y142" s="273">
        <f>IF(ISNUMBER(Y140),Y140-N(Y141),"")</f>
        <v>959</v>
      </c>
      <c r="Z142" s="273">
        <f>IF(ISNUMBER(Z140),Z140-N(Z141),"")</f>
        <v>983</v>
      </c>
      <c r="AA142" s="273">
        <f>IF(ISNUMBER(AA140),AA140-N(AA141),"")</f>
        <v>1184</v>
      </c>
      <c r="AB142" s="273">
        <f>IF(ISNUMBER(AB140),AB140-N(AB141),"")</f>
        <v>933</v>
      </c>
      <c r="AC142" s="273">
        <f>IF(ISNUMBER(AC140),AC140-N(AC141),"")</f>
        <v>4059</v>
      </c>
      <c r="AD142" s="273">
        <f>IF(ISNUMBER(AD140),AD140-N(AD141),"")</f>
        <v>1081</v>
      </c>
      <c r="AE142" s="273">
        <f>IF(ISNUMBER(AE140),AE140-N(AE141),"")</f>
        <v>1177</v>
      </c>
      <c r="AF142" s="273">
        <f>IF(ISNUMBER(AF140),AF140-N(AF141),"")</f>
        <v>1430</v>
      </c>
      <c r="AG142" s="273">
        <f>IF(ISNUMBER(AG140),AG140-N(AG141),"")</f>
        <v>227</v>
      </c>
      <c r="AH142" s="273">
        <f>IF(ISNUMBER(AH140),AH140-N(AH141),"")</f>
        <v>3915</v>
      </c>
      <c r="AI142" s="273">
        <f>IF(ISNUMBER(AI140),AI140-N(AI141),"")</f>
        <v>1492</v>
      </c>
      <c r="AJ142" s="273">
        <f>IF(ISNUMBER(AJ140),AJ140-N(AJ141),"")</f>
        <v>1569</v>
      </c>
      <c r="AK142" s="273">
        <f>IF(ISNUMBER(AK140),AK140-N(AK141),"")</f>
        <v>1899</v>
      </c>
      <c r="AL142" s="273">
        <f>IF(ISNUMBER(AL140),AL140-N(AL141),"")</f>
        <v>899</v>
      </c>
      <c r="AM142" s="273">
        <f>IF(ISNUMBER(AM140),AM140-N(AM141),"")</f>
        <v>5859</v>
      </c>
      <c r="AN142" s="273">
        <f>IF(ISNUMBER(AN140),AN140-N(AN141),"")</f>
        <v>1862</v>
      </c>
      <c r="AO142" s="273">
        <f>IF(ISNUMBER(AO140),AO140-N(AO141),"")</f>
        <v>2048</v>
      </c>
      <c r="AP142" s="273">
        <f>IF(ISNUMBER(AP140),AP140-N(AP141),"")</f>
        <v>2108</v>
      </c>
      <c r="AQ142" s="273">
        <f>IF(ISNUMBER(AQ140),AQ140-N(AQ141),"")</f>
        <v>2100</v>
      </c>
      <c r="AR142" s="273">
        <f>IF(ISNUMBER(AR140),AR140-N(AR141),"")</f>
        <v>8118</v>
      </c>
      <c r="AS142" s="273">
        <f>IF(ISNUMBER(AS140),AS140-N(AS141),"")</f>
        <v>1693</v>
      </c>
      <c r="AT142" s="273">
        <f>IF(ISNUMBER(AT140),AT140-N(AT141),"")</f>
        <v>1420</v>
      </c>
      <c r="AU142" s="273">
        <f>IF(ISNUMBER(AU140),AU140-N(AU141),"")</f>
        <v>1513</v>
      </c>
      <c r="AV142" s="273">
        <f>IF(ISNUMBER(AV140),AV140-N(AV141),"")</f>
        <v>1785</v>
      </c>
      <c r="AW142" s="273">
        <f>IF(ISNUMBER(AW140),AW140-N(AW141),"")</f>
        <v>6411</v>
      </c>
      <c r="AX142" s="273">
        <f>IF(ISNUMBER(AX140),AX140-N(AX141),"")</f>
        <v>1828</v>
      </c>
      <c r="AY142" s="273">
        <f>IF(ISNUMBER(AY140),AY140-N(AY141),"")</f>
        <v>2066</v>
      </c>
      <c r="AZ142" s="273">
        <f>IF(ISNUMBER(AZ140),AZ140-N(AZ141),"")</f>
        <v>2414</v>
      </c>
      <c r="BA142" s="273">
        <f>IF(ISNUMBER(BA140),BA140-N(BA141),"")</f>
        <v>2379</v>
      </c>
      <c r="BB142" s="273">
        <f>IF(ISNUMBER(BB140),BB140-N(BB141),"")</f>
        <v>8687</v>
      </c>
      <c r="BC142" s="273">
        <f>IF(ISNUMBER(BC140),BC140-N(BC141),"")</f>
        <v>2631</v>
      </c>
      <c r="BD142" s="273">
        <f>IF(ISNUMBER(BD140),BD140-N(BD141),"")</f>
        <v>2275</v>
      </c>
      <c r="BE142" s="273">
        <f>IF(ISNUMBER(BE140),BE140-N(BE141),"")</f>
        <v>2499</v>
      </c>
      <c r="BF142" s="273">
        <f>IF(ISNUMBER(BF140),BF140-N(BF141),"")</f>
        <v>2525</v>
      </c>
      <c r="BG142" s="273">
        <f>IF(ISNUMBER(BG140),BG140-N(BG141),"")</f>
        <v>9930</v>
      </c>
      <c r="BH142" s="273">
        <f>IF(ISNUMBER(BH140),BH140-N(BH141),"")</f>
        <v>2361</v>
      </c>
      <c r="BI142" s="273">
        <f>IF(ISNUMBER(BI140),BI140-N(BI141),"")</f>
        <v>2845</v>
      </c>
      <c r="BJ142" s="273">
        <f>IF(ISNUMBER(BJ140),BJ140-N(BJ141),"")</f>
        <v>3198</v>
      </c>
      <c r="BK142" s="273">
        <f>IF(ISNUMBER(BK140),BK140-N(BK141),"")</f>
        <v>2791</v>
      </c>
      <c r="BL142" s="273">
        <f>IF(ISNUMBER(BL140),BL140-N(BL141),"")</f>
        <v>11195</v>
      </c>
      <c r="BM142" s="273">
        <f>IF(ISNUMBER(BM140),BM140-N(BM141),"")</f>
        <v>3011</v>
      </c>
      <c r="BN142" s="273">
        <f>IF(ISNUMBER(BN140),BN140-N(BN141),"")</f>
        <v>3258</v>
      </c>
      <c r="BO142" s="273">
        <f>IF(ISNUMBER(BO140),BO140-N(BO141),"")</f>
        <v>3263</v>
      </c>
      <c r="BP142" s="273">
        <f>IF(ISNUMBER(BP140),BP140-N(BP141),"")</f>
        <v>3342</v>
      </c>
      <c r="BQ142" s="273">
        <f>IF(ISNUMBER(BQ140),BQ140-N(BQ141),"")</f>
        <v>12874</v>
      </c>
      <c r="BR142" s="273">
        <f>IF(ISNUMBER(BR140),BR140-N(BR141),"")</f>
        <v>3280</v>
      </c>
      <c r="BS142" s="273">
        <f>IF(ISNUMBER(BS140),BS140-N(BS141),"")</f>
        <v>3701</v>
      </c>
      <c r="BT142" s="273">
        <f>IF(ISNUMBER(BT140),BT140-N(BT141),"")</f>
        <v>3927</v>
      </c>
      <c r="BU142" s="273">
        <f>IF(ISNUMBER(BU140),BU140-N(BU141),"")</f>
        <v>4060</v>
      </c>
      <c r="BV142" s="273">
        <f>IF(ISNUMBER(BV140),BV140-N(BV141),"")</f>
        <v>14968</v>
      </c>
      <c r="BW142" s="273">
        <f>IF(ISNUMBER(BW140),BW140-N(BW141),"")</f>
        <v>3882</v>
      </c>
      <c r="BX142" s="273">
        <f>IF(ISNUMBER(BX140),BX140-N(BX141),"")</f>
        <v>4388</v>
      </c>
      <c r="BY142" s="273">
        <f>IF(ISNUMBER(BY140),BY140-N(BY141),"")</f>
        <v>4407.32548573113</v>
      </c>
      <c r="BZ142" s="273">
        <f>IF(ISNUMBER(BZ140),BZ140-N(BZ141),"")</f>
        <v>4385.32283926888</v>
      </c>
      <c r="CA142" s="273">
        <f>IF(ISNUMBER(CA140),CA140-N(CA141),"")</f>
        <v>17062.648325</v>
      </c>
      <c r="CB142" s="273">
        <f>IF(ISNUMBER(CB140),CB140-N(CB141),"")</f>
        <v>19329.2218194404</v>
      </c>
      <c r="CC142" s="273">
        <f>IF(ISNUMBER(CC140),CC140-N(CC141),"")</f>
        <v>21801.8084738228</v>
      </c>
      <c r="CD142" s="273">
        <f>IF(ISNUMBER(CD140),CD140-N(CD141),"")</f>
        <v>24398.5044192665</v>
      </c>
      <c r="CE142" s="273">
        <f>IF(ISNUMBER(CE140),CE140-N(CE141),"")</f>
        <v>27123.1920540855</v>
      </c>
      <c r="CF142" s="153" t="n"/>
      <c r="CH142" s="20">
        <f>IFERROR((CE142/BV142)^(1/5)-1,"n/m")</f>
        <v>0.126251558411554</v>
      </c>
      <c r="CI142" s="20">
        <f>IFERROR((BV142/AW142)^(1/5)-1,"n/m")</f>
        <v>0.184806967618253</v>
      </c>
      <c r="CJ142" s="20">
        <f>IFERROR((BV142/X142)^(1/10)-1,"n/m")</f>
        <v>0.146691738219261</v>
      </c>
      <c r="CK142" s="20">
        <f>IFERROR((BV142/C142)^(1/19)-1,"n/m")</f>
        <v>0.349706357752543</v>
      </c>
    </row>
    <row r="143" ht="15" customHeight="1" s="251">
      <c r="B143" s="57" t="inlineStr">
        <is>
          <t xml:space="preserve">  Check: net income vs reported (should be 0; ±1 rounding)</t>
        </is>
      </c>
      <c r="C143" s="211">
        <f>IF(ISNUMBER(C144),IF(ABS(C142-C144)&lt;=1.1,0,ROUND(C142-C144,0)),"")</f>
        <v>0</v>
      </c>
      <c r="D143" s="211">
        <f>IF(ISNUMBER(D144),IF(ABS(D142-D144)&lt;=1.1,0,ROUND(D142-D144,0)),"")</f>
        <v>0</v>
      </c>
      <c r="E143" s="211">
        <f>IF(ISNUMBER(E144),IF(ABS(E142-E144)&lt;=1.1,0,ROUND(E142-E144,0)),"")</f>
        <v>0</v>
      </c>
      <c r="F143" s="211">
        <f>IF(ISNUMBER(F144),IF(ABS(F142-F144)&lt;=1.1,0,ROUND(F142-F144,0)),"")</f>
        <v>0</v>
      </c>
      <c r="G143" s="211">
        <f>IF(ISNUMBER(G144),IF(ABS(G142-G144)&lt;=1.1,0,ROUND(G142-G144,0)),"")</f>
        <v>0</v>
      </c>
      <c r="H143" s="211">
        <f>IF(ISNUMBER(H144),IF(ABS(H142-H144)&lt;=1.1,0,ROUND(H142-H144,0)),"")</f>
        <v>0</v>
      </c>
      <c r="I143" s="211">
        <f>IF(ISNUMBER(I144),IF(ABS(I142-I144)&lt;=1.1,0,ROUND(I142-I144,0)),"")</f>
        <v>0</v>
      </c>
      <c r="J143" s="211">
        <f>IF(ISNUMBER(J144),IF(ABS(J142-J144)&lt;=1.1,0,ROUND(J142-J144,0)),"")</f>
        <v>0</v>
      </c>
      <c r="K143" s="211">
        <f>IF(ISNUMBER(K144),IF(ABS(K142-K144)&lt;=1.1,0,ROUND(K142-K144,0)),"")</f>
        <v>0</v>
      </c>
      <c r="L143" s="211">
        <f>IF(ISNUMBER(L144),IF(ABS(L142-L144)&lt;=1.1,0,ROUND(L142-L144,0)),"")</f>
        <v>0</v>
      </c>
      <c r="M143" s="211">
        <f>IF(ISNUMBER(M144),IF(ABS(M142-M144)&lt;=1.1,0,ROUND(M142-M144,0)),"")</f>
        <v>0</v>
      </c>
      <c r="N143" s="211">
        <f>IF(ISNUMBER(N144),IF(ABS(N142-N144)&lt;=1.1,0,ROUND(N142-N144,0)),"")</f>
        <v>0</v>
      </c>
      <c r="O143" s="211">
        <f>IF(ISNUMBER(O144),IF(ABS(O142-O144)&lt;=1.1,0,ROUND(O142-O144,0)),"")</f>
        <v>0</v>
      </c>
      <c r="P143" s="211">
        <f>IF(ISNUMBER(P144),IF(ABS(P142-P144)&lt;=1.1,0,ROUND(P142-P144,0)),"")</f>
        <v>0</v>
      </c>
      <c r="Q143" s="211">
        <f>IF(ISNUMBER(Q144),IF(ABS(Q142-Q144)&lt;=1.1,0,ROUND(Q142-Q144,0)),"")</f>
        <v>0</v>
      </c>
      <c r="R143" s="211">
        <f>IF(ISNUMBER(R144),IF(ABS(R142-R144)&lt;=1.1,0,ROUND(R142-R144,0)),"")</f>
        <v>0</v>
      </c>
      <c r="S143" s="211">
        <f>IF(ISNUMBER(S144),IF(ABS(S142-S144)&lt;=1.1,0,ROUND(S142-S144,0)),"")</f>
        <v>0</v>
      </c>
      <c r="T143" s="211">
        <f>IF(ISNUMBER(T144),IF(ABS(T142-T144)&lt;=1.1,0,ROUND(T142-T144,0)),"")</f>
        <v>0</v>
      </c>
      <c r="U143" s="211">
        <f>IF(ISNUMBER(U144),IF(ABS(U142-U144)&lt;=1.1,0,ROUND(U142-U144,0)),"")</f>
        <v>0</v>
      </c>
      <c r="V143" s="211">
        <f>IF(ISNUMBER(V144),IF(ABS(V142-V144)&lt;=1.1,0,ROUND(V142-V144,0)),"")</f>
        <v>0</v>
      </c>
      <c r="W143" s="211">
        <f>IF(ISNUMBER(W144),IF(ABS(W142-W144)&lt;=1.1,0,ROUND(W142-W144,0)),"")</f>
        <v>0</v>
      </c>
      <c r="X143" s="211">
        <f>IF(ISNUMBER(X144),IF(ABS(X142-X144)&lt;=1.1,0,ROUND(X142-X144,0)),"")</f>
        <v>0</v>
      </c>
      <c r="Y143" s="211">
        <f>IF(ISNUMBER(Y144),IF(ABS(Y142-Y144)&lt;=1.1,0,ROUND(Y142-Y144,0)),"")</f>
        <v>0</v>
      </c>
      <c r="Z143" s="211">
        <f>IF(ISNUMBER(Z144),IF(ABS(Z142-Z144)&lt;=1.1,0,ROUND(Z142-Z144,0)),"")</f>
        <v>0</v>
      </c>
      <c r="AA143" s="211">
        <f>IF(ISNUMBER(AA144),IF(ABS(AA142-AA144)&lt;=1.1,0,ROUND(AA142-AA144,0)),"")</f>
        <v>0</v>
      </c>
      <c r="AB143" s="211">
        <f>IF(ISNUMBER(AB144),IF(ABS(AB142-AB144)&lt;=1.1,0,ROUND(AB142-AB144,0)),"")</f>
        <v>0</v>
      </c>
      <c r="AC143" s="211">
        <f>IF(ISNUMBER(AC144),IF(ABS(AC142-AC144)&lt;=1.1,0,ROUND(AC142-AC144,0)),"")</f>
        <v>0</v>
      </c>
      <c r="AD143" s="211">
        <f>IF(ISNUMBER(AD144),IF(ABS(AD142-AD144)&lt;=1.1,0,ROUND(AD142-AD144,0)),"")</f>
        <v>0</v>
      </c>
      <c r="AE143" s="211">
        <f>IF(ISNUMBER(AE144),IF(ABS(AE142-AE144)&lt;=1.1,0,ROUND(AE142-AE144,0)),"")</f>
        <v>0</v>
      </c>
      <c r="AF143" s="211">
        <f>IF(ISNUMBER(AF144),IF(ABS(AF142-AF144)&lt;=1.1,0,ROUND(AF142-AF144,0)),"")</f>
        <v>0</v>
      </c>
      <c r="AG143" s="211">
        <f>IF(ISNUMBER(AG144),IF(ABS(AG142-AG144)&lt;=1.1,0,ROUND(AG142-AG144,0)),"")</f>
        <v>0</v>
      </c>
      <c r="AH143" s="211">
        <f>IF(ISNUMBER(AH144),IF(ABS(AH142-AH144)&lt;=1.1,0,ROUND(AH142-AH144,0)),"")</f>
        <v>0</v>
      </c>
      <c r="AI143" s="211">
        <f>IF(ISNUMBER(AI144),IF(ABS(AI142-AI144)&lt;=1.1,0,ROUND(AI142-AI144,0)),"")</f>
        <v>0</v>
      </c>
      <c r="AJ143" s="211">
        <f>IF(ISNUMBER(AJ144),IF(ABS(AJ142-AJ144)&lt;=1.1,0,ROUND(AJ142-AJ144,0)),"")</f>
        <v>0</v>
      </c>
      <c r="AK143" s="211">
        <f>IF(ISNUMBER(AK144),IF(ABS(AK142-AK144)&lt;=1.1,0,ROUND(AK142-AK144,0)),"")</f>
        <v>0</v>
      </c>
      <c r="AL143" s="211">
        <f>IF(ISNUMBER(AL144),IF(ABS(AL142-AL144)&lt;=1.1,0,ROUND(AL142-AL144,0)),"")</f>
        <v>0</v>
      </c>
      <c r="AM143" s="211">
        <f>IF(ISNUMBER(AM144),IF(ABS(AM142-AM144)&lt;=1.1,0,ROUND(AM142-AM144,0)),"")</f>
        <v>0</v>
      </c>
      <c r="AN143" s="211">
        <f>IF(ISNUMBER(AN144),IF(ABS(AN142-AN144)&lt;=1.1,0,ROUND(AN142-AN144,0)),"")</f>
        <v>0</v>
      </c>
      <c r="AO143" s="211">
        <f>IF(ISNUMBER(AO144),IF(ABS(AO142-AO144)&lt;=1.1,0,ROUND(AO142-AO144,0)),"")</f>
        <v>0</v>
      </c>
      <c r="AP143" s="211">
        <f>IF(ISNUMBER(AP144),IF(ABS(AP142-AP144)&lt;=1.1,0,ROUND(AP142-AP144,0)),"")</f>
        <v>0</v>
      </c>
      <c r="AQ143" s="211">
        <f>IF(ISNUMBER(AQ144),IF(ABS(AQ142-AQ144)&lt;=1.1,0,ROUND(AQ142-AQ144,0)),"")</f>
        <v>0</v>
      </c>
      <c r="AR143" s="211">
        <f>IF(ISNUMBER(AR144),IF(ABS(AR142-AR144)&lt;=1.1,0,ROUND(AR142-AR144,0)),"")</f>
        <v>0</v>
      </c>
      <c r="AS143" s="211">
        <f>IF(ISNUMBER(AS144),IF(ABS(AS142-AS144)&lt;=1.1,0,ROUND(AS142-AS144,0)),"")</f>
        <v>0</v>
      </c>
      <c r="AT143" s="211">
        <f>IF(ISNUMBER(AT144),IF(ABS(AT142-AT144)&lt;=1.1,0,ROUND(AT142-AT144,0)),"")</f>
        <v>0</v>
      </c>
      <c r="AU143" s="211">
        <f>IF(ISNUMBER(AU144),IF(ABS(AU142-AU144)&lt;=1.1,0,ROUND(AU142-AU144,0)),"")</f>
        <v>0</v>
      </c>
      <c r="AV143" s="211">
        <f>IF(ISNUMBER(AV144),IF(ABS(AV142-AV144)&lt;=1.1,0,ROUND(AV142-AV144,0)),"")</f>
        <v>0</v>
      </c>
      <c r="AW143" s="211">
        <f>IF(ISNUMBER(AW144),IF(ABS(AW142-AW144)&lt;=1.1,0,ROUND(AW142-AW144,0)),"")</f>
        <v>0</v>
      </c>
      <c r="AX143" s="211">
        <f>IF(ISNUMBER(AX144),IF(ABS(AX142-AX144)&lt;=1.1,0,ROUND(AX142-AX144,0)),"")</f>
        <v>0</v>
      </c>
      <c r="AY143" s="211">
        <f>IF(ISNUMBER(AY144),IF(ABS(AY142-AY144)&lt;=1.1,0,ROUND(AY142-AY144,0)),"")</f>
        <v>0</v>
      </c>
      <c r="AZ143" s="211">
        <f>IF(ISNUMBER(AZ144),IF(ABS(AZ142-AZ144)&lt;=1.1,0,ROUND(AZ142-AZ144,0)),"")</f>
        <v>0</v>
      </c>
      <c r="BA143" s="211">
        <f>IF(ISNUMBER(BA144),IF(ABS(BA142-BA144)&lt;=1.1,0,ROUND(BA142-BA144,0)),"")</f>
        <v>0</v>
      </c>
      <c r="BB143" s="211">
        <f>IF(ISNUMBER(BB144),IF(ABS(BB142-BB144)&lt;=1.1,0,ROUND(BB142-BB144,0)),"")</f>
        <v>0</v>
      </c>
      <c r="BC143" s="211">
        <f>IF(ISNUMBER(BC144),IF(ABS(BC142-BC144)&lt;=1.1,0,ROUND(BC142-BC144,0)),"")</f>
        <v>0</v>
      </c>
      <c r="BD143" s="211">
        <f>IF(ISNUMBER(BD144),IF(ABS(BD142-BD144)&lt;=1.1,0,ROUND(BD142-BD144,0)),"")</f>
        <v>0</v>
      </c>
      <c r="BE143" s="211">
        <f>IF(ISNUMBER(BE144),IF(ABS(BE142-BE144)&lt;=1.1,0,ROUND(BE142-BE144,0)),"")</f>
        <v>0</v>
      </c>
      <c r="BF143" s="211">
        <f>IF(ISNUMBER(BF144),IF(ABS(BF142-BF144)&lt;=1.1,0,ROUND(BF142-BF144,0)),"")</f>
        <v>0</v>
      </c>
      <c r="BG143" s="211">
        <f>IF(ISNUMBER(BG144),IF(ABS(BG142-BG144)&lt;=1.1,0,ROUND(BG142-BG144,0)),"")</f>
        <v>0</v>
      </c>
      <c r="BH143" s="211">
        <f>IF(ISNUMBER(BH144),IF(ABS(BH142-BH144)&lt;=1.1,0,ROUND(BH142-BH144,0)),"")</f>
        <v>0</v>
      </c>
      <c r="BI143" s="211">
        <f>IF(ISNUMBER(BI144),IF(ABS(BI142-BI144)&lt;=1.1,0,ROUND(BI142-BI144,0)),"")</f>
        <v>0</v>
      </c>
      <c r="BJ143" s="211">
        <f>IF(ISNUMBER(BJ144),IF(ABS(BJ142-BJ144)&lt;=1.1,0,ROUND(BJ142-BJ144,0)),"")</f>
        <v>0</v>
      </c>
      <c r="BK143" s="211">
        <f>IF(ISNUMBER(BK144),IF(ABS(BK142-BK144)&lt;=1.1,0,ROUND(BK142-BK144,0)),"")</f>
        <v>0</v>
      </c>
      <c r="BL143" s="211">
        <f>IF(ISNUMBER(BL144),IF(ABS(BL142-BL144)&lt;=1.1,0,ROUND(BL142-BL144,0)),"")</f>
        <v>0</v>
      </c>
      <c r="BM143" s="211">
        <f>IF(ISNUMBER(BM144),IF(ABS(BM142-BM144)&lt;=1.1,0,ROUND(BM142-BM144,0)),"")</f>
        <v>0</v>
      </c>
      <c r="BN143" s="211">
        <f>IF(ISNUMBER(BN144),IF(ABS(BN142-BN144)&lt;=1.1,0,ROUND(BN142-BN144,0)),"")</f>
        <v>0</v>
      </c>
      <c r="BO143" s="211">
        <f>IF(ISNUMBER(BO144),IF(ABS(BO142-BO144)&lt;=1.1,0,ROUND(BO142-BO144,0)),"")</f>
        <v>0</v>
      </c>
      <c r="BP143" s="211">
        <f>IF(ISNUMBER(BP144),IF(ABS(BP142-BP144)&lt;=1.1,0,ROUND(BP142-BP144,0)),"")</f>
        <v>0</v>
      </c>
      <c r="BQ143" s="211">
        <f>IF(ISNUMBER(BQ144),IF(ABS(BQ142-BQ144)&lt;=1.1,0,ROUND(BQ142-BQ144,0)),"")</f>
        <v>0</v>
      </c>
      <c r="BR143" s="211">
        <f>IF(ISNUMBER(BR144),IF(ABS(BR142-BR144)&lt;=1.1,0,ROUND(BR142-BR144,0)),"")</f>
        <v>0</v>
      </c>
      <c r="BS143" s="211">
        <f>IF(ISNUMBER(BS144),IF(ABS(BS142-BS144)&lt;=1.1,0,ROUND(BS142-BS144,0)),"")</f>
        <v>0</v>
      </c>
      <c r="BT143" s="211">
        <f>IF(ISNUMBER(BT144),IF(ABS(BT142-BT144)&lt;=1.1,0,ROUND(BT142-BT144,0)),"")</f>
        <v>0</v>
      </c>
      <c r="BU143" s="211">
        <f>IF(ISNUMBER(BU144),IF(ABS(BU142-BU144)&lt;=1.1,0,ROUND(BU142-BU144,0)),"")</f>
        <v>0</v>
      </c>
      <c r="BV143" s="211">
        <f>IF(ISNUMBER(BV144),IF(ABS(BV142-BV144)&lt;=1.1,0,ROUND(BV142-BV144,0)),"")</f>
        <v>0</v>
      </c>
      <c r="BW143" s="211">
        <f>IF(ISNUMBER(BW144),IF(ABS(BW142-BW144)&lt;=1.1,0,ROUND(BW142-BW144,0)),"")</f>
        <v>0</v>
      </c>
      <c r="BX143" s="211">
        <f>IF(ISNUMBER(BX144),IF(ABS(BX142-BX144)&lt;=1.1,0,ROUND(BX142-BX144,0)),"")</f>
        <v>0</v>
      </c>
      <c r="BY143" s="153" t="n"/>
      <c r="BZ143" s="153" t="n"/>
      <c r="CA143" s="153" t="n"/>
      <c r="CB143" s="153" t="n"/>
      <c r="CC143" s="153" t="n"/>
      <c r="CD143" s="153" t="n"/>
      <c r="CE143" s="153" t="n"/>
      <c r="CF143" s="153" t="n"/>
    </row>
    <row r="144" ht="15" customHeight="1" s="251">
      <c r="B144" s="156" t="inlineStr">
        <is>
          <t xml:space="preserve">  Memo: net income attributable to Mastercard as reported</t>
        </is>
      </c>
      <c r="C144" s="253" t="n">
        <v>50.19</v>
      </c>
      <c r="D144" s="253" t="n">
        <v>1085.886</v>
      </c>
      <c r="E144" s="253" t="n">
        <v>-253.915</v>
      </c>
      <c r="F144" s="253" t="n">
        <v>1462.532</v>
      </c>
      <c r="G144" s="253" t="n">
        <v>1846</v>
      </c>
      <c r="H144" s="253" t="n">
        <v>1906</v>
      </c>
      <c r="I144" s="253" t="n">
        <v>2759</v>
      </c>
      <c r="J144" s="253" t="n">
        <v>766</v>
      </c>
      <c r="K144" s="253" t="n">
        <v>848</v>
      </c>
      <c r="L144" s="253" t="n">
        <v>879</v>
      </c>
      <c r="M144" s="253" t="n">
        <v>623</v>
      </c>
      <c r="N144" s="253" t="n">
        <v>3116</v>
      </c>
      <c r="O144" s="253" t="n">
        <v>870</v>
      </c>
      <c r="P144" s="253" t="n">
        <v>931</v>
      </c>
      <c r="Q144" s="253" t="n">
        <v>1015</v>
      </c>
      <c r="R144" s="253" t="n">
        <v>801</v>
      </c>
      <c r="S144" s="253" t="n">
        <v>3617</v>
      </c>
      <c r="T144" s="253" t="n">
        <v>1020</v>
      </c>
      <c r="U144" s="253" t="n">
        <v>921</v>
      </c>
      <c r="V144" s="253" t="n">
        <v>977</v>
      </c>
      <c r="W144" s="253" t="n">
        <v>890</v>
      </c>
      <c r="X144" s="253" t="n">
        <v>3808</v>
      </c>
      <c r="Y144" s="253" t="n">
        <v>959</v>
      </c>
      <c r="Z144" s="253" t="n">
        <v>983</v>
      </c>
      <c r="AA144" s="253" t="n">
        <v>1184</v>
      </c>
      <c r="AB144" s="253" t="n">
        <v>933</v>
      </c>
      <c r="AC144" s="253" t="n">
        <v>4059</v>
      </c>
      <c r="AD144" s="253" t="n">
        <v>1081</v>
      </c>
      <c r="AE144" s="253" t="n">
        <v>1177</v>
      </c>
      <c r="AF144" s="253" t="n">
        <v>1430</v>
      </c>
      <c r="AG144" s="253" t="n">
        <v>227</v>
      </c>
      <c r="AH144" s="253" t="n">
        <v>3915</v>
      </c>
      <c r="AI144" s="253" t="n">
        <v>1492</v>
      </c>
      <c r="AJ144" s="253" t="n">
        <v>1569</v>
      </c>
      <c r="AK144" s="253" t="n">
        <v>1899</v>
      </c>
      <c r="AL144" s="253" t="n">
        <v>899</v>
      </c>
      <c r="AM144" s="253" t="n">
        <v>5859</v>
      </c>
      <c r="AN144" s="253" t="n">
        <v>1862</v>
      </c>
      <c r="AO144" s="253" t="n">
        <v>2048</v>
      </c>
      <c r="AP144" s="253" t="n">
        <v>2108</v>
      </c>
      <c r="AQ144" s="253" t="n">
        <v>2100</v>
      </c>
      <c r="AR144" s="253" t="n">
        <v>8118</v>
      </c>
      <c r="AS144" s="253" t="n">
        <v>1693</v>
      </c>
      <c r="AT144" s="253" t="n">
        <v>1420</v>
      </c>
      <c r="AU144" s="253" t="n">
        <v>1513</v>
      </c>
      <c r="AV144" s="253" t="n">
        <v>1785</v>
      </c>
      <c r="AW144" s="253" t="n">
        <v>6411</v>
      </c>
      <c r="AX144" s="253" t="n">
        <v>1828</v>
      </c>
      <c r="AY144" s="253" t="n">
        <v>2066</v>
      </c>
      <c r="AZ144" s="253" t="n">
        <v>2414</v>
      </c>
      <c r="BA144" s="253" t="n">
        <v>2379</v>
      </c>
      <c r="BB144" s="253" t="n">
        <v>8687</v>
      </c>
      <c r="BC144" s="253" t="n">
        <v>2631</v>
      </c>
      <c r="BD144" s="253" t="n">
        <v>2275</v>
      </c>
      <c r="BE144" s="253" t="n">
        <v>2499</v>
      </c>
      <c r="BF144" s="253" t="n">
        <v>2525</v>
      </c>
      <c r="BG144" s="253" t="n">
        <v>9930</v>
      </c>
      <c r="BH144" s="253" t="n">
        <v>2361</v>
      </c>
      <c r="BI144" s="253" t="n">
        <v>2845</v>
      </c>
      <c r="BJ144" s="253" t="n">
        <v>3198</v>
      </c>
      <c r="BK144" s="253" t="n">
        <v>2791</v>
      </c>
      <c r="BL144" s="253" t="n">
        <v>11195</v>
      </c>
      <c r="BM144" s="253" t="n">
        <v>3011</v>
      </c>
      <c r="BN144" s="253" t="n">
        <v>3258</v>
      </c>
      <c r="BO144" s="253" t="n">
        <v>3263</v>
      </c>
      <c r="BP144" s="253" t="n">
        <v>3342</v>
      </c>
      <c r="BQ144" s="253" t="n">
        <v>12874</v>
      </c>
      <c r="BR144" s="253" t="n">
        <v>3280</v>
      </c>
      <c r="BS144" s="253" t="n">
        <v>3701</v>
      </c>
      <c r="BT144" s="253" t="n">
        <v>3927</v>
      </c>
      <c r="BU144" s="253" t="n">
        <v>4060</v>
      </c>
      <c r="BV144" s="253" t="n">
        <v>14968</v>
      </c>
      <c r="BW144" s="253" t="n">
        <v>3882</v>
      </c>
      <c r="BX144" s="253" t="n">
        <v>4388</v>
      </c>
      <c r="BY144" s="153" t="n"/>
      <c r="BZ144" s="153" t="n"/>
      <c r="CA144" s="153" t="n"/>
      <c r="CB144" s="153" t="n"/>
      <c r="CC144" s="153" t="n"/>
      <c r="CD144" s="153" t="n"/>
      <c r="CE144" s="153" t="n"/>
      <c r="CF144" s="153" t="n"/>
    </row>
    <row r="145" ht="15" customHeight="1" s="251">
      <c r="B145" s="57" t="inlineStr">
        <is>
          <t xml:space="preserve">  Check: operating income vs reported (should be 0)</t>
        </is>
      </c>
      <c r="C145" s="211">
        <f>IF(ISNUMBER(C146),IF(ABS(C130-C146)&lt;=1.1,0,ROUND(C130-C146,0)),"")</f>
        <v>0</v>
      </c>
      <c r="D145" s="211">
        <f>IF(ISNUMBER(D146),IF(ABS(D130-D146)&lt;=1.1,0,ROUND(D130-D146,0)),"")</f>
        <v>0</v>
      </c>
      <c r="E145" s="211">
        <f>IF(ISNUMBER(E146),IF(ABS(E130-E146)&lt;=1.1,0,ROUND(E130-E146,0)),"")</f>
        <v>0</v>
      </c>
      <c r="F145" s="211">
        <f>IF(ISNUMBER(F146),IF(ABS(F130-F146)&lt;=1.1,0,ROUND(F130-F146,0)),"")</f>
        <v>0</v>
      </c>
      <c r="G145" s="211">
        <f>IF(ISNUMBER(G146),IF(ABS(G130-G146)&lt;=1.1,0,ROUND(G130-G146,0)),"")</f>
        <v>0</v>
      </c>
      <c r="H145" s="211">
        <f>IF(ISNUMBER(H146),IF(ABS(H130-H146)&lt;=1.1,0,ROUND(H130-H146,0)),"")</f>
        <v>0</v>
      </c>
      <c r="I145" s="211">
        <f>IF(ISNUMBER(I146),IF(ABS(I130-I146)&lt;=1.1,0,ROUND(I130-I146,0)),"")</f>
        <v>0</v>
      </c>
      <c r="J145" s="211">
        <f>IF(ISNUMBER(J146),IF(ABS(J130-J146)&lt;=1.1,0,ROUND(J130-J146,0)),"")</f>
        <v>0</v>
      </c>
      <c r="K145" s="211">
        <f>IF(ISNUMBER(K146),IF(ABS(K130-K146)&lt;=1.1,0,ROUND(K130-K146,0)),"")</f>
        <v>0</v>
      </c>
      <c r="L145" s="211">
        <f>IF(ISNUMBER(L146),IF(ABS(L130-L146)&lt;=1.1,0,ROUND(L130-L146,0)),"")</f>
        <v>0</v>
      </c>
      <c r="M145" s="211">
        <f>IF(ISNUMBER(M146),IF(ABS(M130-M146)&lt;=1.1,0,ROUND(M130-M146,0)),"")</f>
        <v>0</v>
      </c>
      <c r="N145" s="211">
        <f>IF(ISNUMBER(N146),IF(ABS(N130-N146)&lt;=1.1,0,ROUND(N130-N146,0)),"")</f>
        <v>0</v>
      </c>
      <c r="O145" s="211">
        <f>IF(ISNUMBER(O146),IF(ABS(O130-O146)&lt;=1.1,0,ROUND(O130-O146,0)),"")</f>
        <v>0</v>
      </c>
      <c r="P145" s="211">
        <f>IF(ISNUMBER(P146),IF(ABS(P130-P146)&lt;=1.1,0,ROUND(P130-P146,0)),"")</f>
        <v>0</v>
      </c>
      <c r="Q145" s="211">
        <f>IF(ISNUMBER(Q146),IF(ABS(Q130-Q146)&lt;=1.1,0,ROUND(Q130-Q146,0)),"")</f>
        <v>0</v>
      </c>
      <c r="R145" s="211">
        <f>IF(ISNUMBER(R146),IF(ABS(R130-R146)&lt;=1.1,0,ROUND(R130-R146,0)),"")</f>
        <v>0</v>
      </c>
      <c r="S145" s="211">
        <f>IF(ISNUMBER(S146),IF(ABS(S130-S146)&lt;=1.1,0,ROUND(S130-S146,0)),"")</f>
        <v>0</v>
      </c>
      <c r="T145" s="211">
        <f>IF(ISNUMBER(T146),IF(ABS(T130-T146)&lt;=1.1,0,ROUND(T130-T146,0)),"")</f>
        <v>0</v>
      </c>
      <c r="U145" s="211">
        <f>IF(ISNUMBER(U146),IF(ABS(U130-U146)&lt;=1.1,0,ROUND(U130-U146,0)),"")</f>
        <v>0</v>
      </c>
      <c r="V145" s="211">
        <f>IF(ISNUMBER(V146),IF(ABS(V130-V146)&lt;=1.1,0,ROUND(V130-V146,0)),"")</f>
        <v>0</v>
      </c>
      <c r="W145" s="211">
        <f>IF(ISNUMBER(W146),IF(ABS(W130-W146)&lt;=1.1,0,ROUND(W130-W146,0)),"")</f>
        <v>0</v>
      </c>
      <c r="X145" s="211">
        <f>IF(ISNUMBER(X146),IF(ABS(X130-X146)&lt;=1.1,0,ROUND(X130-X146,0)),"")</f>
        <v>0</v>
      </c>
      <c r="Y145" s="211">
        <f>IF(ISNUMBER(Y146),IF(ABS(Y130-Y146)&lt;=1.1,0,ROUND(Y130-Y146,0)),"")</f>
        <v>0</v>
      </c>
      <c r="Z145" s="211">
        <f>IF(ISNUMBER(Z146),IF(ABS(Z130-Z146)&lt;=1.1,0,ROUND(Z130-Z146,0)),"")</f>
        <v>0</v>
      </c>
      <c r="AA145" s="211">
        <f>IF(ISNUMBER(AA146),IF(ABS(AA130-AA146)&lt;=1.1,0,ROUND(AA130-AA146,0)),"")</f>
        <v>0</v>
      </c>
      <c r="AB145" s="211">
        <f>IF(ISNUMBER(AB146),IF(ABS(AB130-AB146)&lt;=1.1,0,ROUND(AB130-AB146,0)),"")</f>
        <v>0</v>
      </c>
      <c r="AC145" s="211">
        <f>IF(ISNUMBER(AC146),IF(ABS(AC130-AC146)&lt;=1.1,0,ROUND(AC130-AC146,0)),"")</f>
        <v>0</v>
      </c>
      <c r="AD145" s="211">
        <f>IF(ISNUMBER(AD146),IF(ABS(AD130-AD146)&lt;=1.1,0,ROUND(AD130-AD146,0)),"")</f>
        <v>0</v>
      </c>
      <c r="AE145" s="211">
        <f>IF(ISNUMBER(AE146),IF(ABS(AE130-AE146)&lt;=1.1,0,ROUND(AE130-AE146,0)),"")</f>
        <v>0</v>
      </c>
      <c r="AF145" s="211">
        <f>IF(ISNUMBER(AF146),IF(ABS(AF130-AF146)&lt;=1.1,0,ROUND(AF130-AF146,0)),"")</f>
        <v>0</v>
      </c>
      <c r="AG145" s="211">
        <f>IF(ISNUMBER(AG146),IF(ABS(AG130-AG146)&lt;=1.1,0,ROUND(AG130-AG146,0)),"")</f>
        <v>0</v>
      </c>
      <c r="AH145" s="211">
        <f>IF(ISNUMBER(AH146),IF(ABS(AH130-AH146)&lt;=1.1,0,ROUND(AH130-AH146,0)),"")</f>
        <v>0</v>
      </c>
      <c r="AI145" s="211">
        <f>IF(ISNUMBER(AI146),IF(ABS(AI130-AI146)&lt;=1.1,0,ROUND(AI130-AI146,0)),"")</f>
        <v>0</v>
      </c>
      <c r="AJ145" s="211">
        <f>IF(ISNUMBER(AJ146),IF(ABS(AJ130-AJ146)&lt;=1.1,0,ROUND(AJ130-AJ146,0)),"")</f>
        <v>0</v>
      </c>
      <c r="AK145" s="211">
        <f>IF(ISNUMBER(AK146),IF(ABS(AK130-AK146)&lt;=1.1,0,ROUND(AK130-AK146,0)),"")</f>
        <v>0</v>
      </c>
      <c r="AL145" s="211">
        <f>IF(ISNUMBER(AL146),IF(ABS(AL130-AL146)&lt;=1.1,0,ROUND(AL130-AL146,0)),"")</f>
        <v>0</v>
      </c>
      <c r="AM145" s="211">
        <f>IF(ISNUMBER(AM146),IF(ABS(AM130-AM146)&lt;=1.1,0,ROUND(AM130-AM146,0)),"")</f>
        <v>0</v>
      </c>
      <c r="AN145" s="211">
        <f>IF(ISNUMBER(AN146),IF(ABS(AN130-AN146)&lt;=1.1,0,ROUND(AN130-AN146,0)),"")</f>
        <v>0</v>
      </c>
      <c r="AO145" s="211">
        <f>IF(ISNUMBER(AO146),IF(ABS(AO130-AO146)&lt;=1.1,0,ROUND(AO130-AO146,0)),"")</f>
        <v>0</v>
      </c>
      <c r="AP145" s="211">
        <f>IF(ISNUMBER(AP146),IF(ABS(AP130-AP146)&lt;=1.1,0,ROUND(AP130-AP146,0)),"")</f>
        <v>0</v>
      </c>
      <c r="AQ145" s="211">
        <f>IF(ISNUMBER(AQ146),IF(ABS(AQ130-AQ146)&lt;=1.1,0,ROUND(AQ130-AQ146,0)),"")</f>
        <v>0</v>
      </c>
      <c r="AR145" s="211">
        <f>IF(ISNUMBER(AR146),IF(ABS(AR130-AR146)&lt;=1.1,0,ROUND(AR130-AR146,0)),"")</f>
        <v>0</v>
      </c>
      <c r="AS145" s="211">
        <f>IF(ISNUMBER(AS146),IF(ABS(AS130-AS146)&lt;=1.1,0,ROUND(AS130-AS146,0)),"")</f>
        <v>0</v>
      </c>
      <c r="AT145" s="211">
        <f>IF(ISNUMBER(AT146),IF(ABS(AT130-AT146)&lt;=1.1,0,ROUND(AT130-AT146,0)),"")</f>
        <v>0</v>
      </c>
      <c r="AU145" s="211">
        <f>IF(ISNUMBER(AU146),IF(ABS(AU130-AU146)&lt;=1.1,0,ROUND(AU130-AU146,0)),"")</f>
        <v>0</v>
      </c>
      <c r="AV145" s="211">
        <f>IF(ISNUMBER(AV146),IF(ABS(AV130-AV146)&lt;=1.1,0,ROUND(AV130-AV146,0)),"")</f>
        <v>0</v>
      </c>
      <c r="AW145" s="211">
        <f>IF(ISNUMBER(AW146),IF(ABS(AW130-AW146)&lt;=1.1,0,ROUND(AW130-AW146,0)),"")</f>
        <v>0</v>
      </c>
      <c r="AX145" s="211">
        <f>IF(ISNUMBER(AX146),IF(ABS(AX130-AX146)&lt;=1.1,0,ROUND(AX130-AX146,0)),"")</f>
        <v>0</v>
      </c>
      <c r="AY145" s="211">
        <f>IF(ISNUMBER(AY146),IF(ABS(AY130-AY146)&lt;=1.1,0,ROUND(AY130-AY146,0)),"")</f>
        <v>0</v>
      </c>
      <c r="AZ145" s="211">
        <f>IF(ISNUMBER(AZ146),IF(ABS(AZ130-AZ146)&lt;=1.1,0,ROUND(AZ130-AZ146,0)),"")</f>
        <v>0</v>
      </c>
      <c r="BA145" s="211">
        <f>IF(ISNUMBER(BA146),IF(ABS(BA130-BA146)&lt;=1.1,0,ROUND(BA130-BA146,0)),"")</f>
        <v>0</v>
      </c>
      <c r="BB145" s="211">
        <f>IF(ISNUMBER(BB146),IF(ABS(BB130-BB146)&lt;=1.1,0,ROUND(BB130-BB146,0)),"")</f>
        <v>0</v>
      </c>
      <c r="BC145" s="211">
        <f>IF(ISNUMBER(BC146),IF(ABS(BC130-BC146)&lt;=1.1,0,ROUND(BC130-BC146,0)),"")</f>
        <v>0</v>
      </c>
      <c r="BD145" s="211">
        <f>IF(ISNUMBER(BD146),IF(ABS(BD130-BD146)&lt;=1.1,0,ROUND(BD130-BD146,0)),"")</f>
        <v>0</v>
      </c>
      <c r="BE145" s="211">
        <f>IF(ISNUMBER(BE146),IF(ABS(BE130-BE146)&lt;=1.1,0,ROUND(BE130-BE146,0)),"")</f>
        <v>0</v>
      </c>
      <c r="BF145" s="211">
        <f>IF(ISNUMBER(BF146),IF(ABS(BF130-BF146)&lt;=1.1,0,ROUND(BF130-BF146,0)),"")</f>
        <v>0</v>
      </c>
      <c r="BG145" s="211">
        <f>IF(ISNUMBER(BG146),IF(ABS(BG130-BG146)&lt;=1.1,0,ROUND(BG130-BG146,0)),"")</f>
        <v>0</v>
      </c>
      <c r="BH145" s="211">
        <f>IF(ISNUMBER(BH146),IF(ABS(BH130-BH146)&lt;=1.1,0,ROUND(BH130-BH146,0)),"")</f>
        <v>0</v>
      </c>
      <c r="BI145" s="211">
        <f>IF(ISNUMBER(BI146),IF(ABS(BI130-BI146)&lt;=1.1,0,ROUND(BI130-BI146,0)),"")</f>
        <v>0</v>
      </c>
      <c r="BJ145" s="211">
        <f>IF(ISNUMBER(BJ146),IF(ABS(BJ130-BJ146)&lt;=1.1,0,ROUND(BJ130-BJ146,0)),"")</f>
        <v>0</v>
      </c>
      <c r="BK145" s="211">
        <f>IF(ISNUMBER(BK146),IF(ABS(BK130-BK146)&lt;=1.1,0,ROUND(BK130-BK146,0)),"")</f>
        <v>0</v>
      </c>
      <c r="BL145" s="211">
        <f>IF(ISNUMBER(BL146),IF(ABS(BL130-BL146)&lt;=1.1,0,ROUND(BL130-BL146,0)),"")</f>
        <v>0</v>
      </c>
      <c r="BM145" s="211">
        <f>IF(ISNUMBER(BM146),IF(ABS(BM130-BM146)&lt;=1.1,0,ROUND(BM130-BM146,0)),"")</f>
        <v>0</v>
      </c>
      <c r="BN145" s="211">
        <f>IF(ISNUMBER(BN146),IF(ABS(BN130-BN146)&lt;=1.1,0,ROUND(BN130-BN146,0)),"")</f>
        <v>0</v>
      </c>
      <c r="BO145" s="211">
        <f>IF(ISNUMBER(BO146),IF(ABS(BO130-BO146)&lt;=1.1,0,ROUND(BO130-BO146,0)),"")</f>
        <v>0</v>
      </c>
      <c r="BP145" s="211">
        <f>IF(ISNUMBER(BP146),IF(ABS(BP130-BP146)&lt;=1.1,0,ROUND(BP130-BP146,0)),"")</f>
        <v>0</v>
      </c>
      <c r="BQ145" s="211">
        <f>IF(ISNUMBER(BQ146),IF(ABS(BQ130-BQ146)&lt;=1.1,0,ROUND(BQ130-BQ146,0)),"")</f>
        <v>0</v>
      </c>
      <c r="BR145" s="211">
        <f>IF(ISNUMBER(BR146),IF(ABS(BR130-BR146)&lt;=1.1,0,ROUND(BR130-BR146,0)),"")</f>
        <v>0</v>
      </c>
      <c r="BS145" s="211">
        <f>IF(ISNUMBER(BS146),IF(ABS(BS130-BS146)&lt;=1.1,0,ROUND(BS130-BS146,0)),"")</f>
        <v>0</v>
      </c>
      <c r="BT145" s="211">
        <f>IF(ISNUMBER(BT146),IF(ABS(BT130-BT146)&lt;=1.1,0,ROUND(BT130-BT146,0)),"")</f>
        <v>0</v>
      </c>
      <c r="BU145" s="211">
        <f>IF(ISNUMBER(BU146),IF(ABS(BU130-BU146)&lt;=1.1,0,ROUND(BU130-BU146,0)),"")</f>
        <v>0</v>
      </c>
      <c r="BV145" s="211">
        <f>IF(ISNUMBER(BV146),IF(ABS(BV130-BV146)&lt;=1.1,0,ROUND(BV130-BV146,0)),"")</f>
        <v>0</v>
      </c>
      <c r="BW145" s="211">
        <f>IF(ISNUMBER(BW146),IF(ABS(BW130-BW146)&lt;=1.1,0,ROUND(BW130-BW146,0)),"")</f>
        <v>0</v>
      </c>
      <c r="BX145" s="211">
        <f>IF(ISNUMBER(BX146),IF(ABS(BX130-BX146)&lt;=1.1,0,ROUND(BX130-BX146,0)),"")</f>
        <v>0</v>
      </c>
      <c r="BY145" s="153" t="n"/>
      <c r="BZ145" s="153" t="n"/>
      <c r="CA145" s="153" t="n"/>
      <c r="CB145" s="153" t="n"/>
      <c r="CC145" s="153" t="n"/>
      <c r="CD145" s="153" t="n"/>
      <c r="CE145" s="153" t="n"/>
      <c r="CF145" s="153" t="n"/>
    </row>
    <row r="146" ht="15" customHeight="1" s="251">
      <c r="B146" s="156" t="inlineStr">
        <is>
          <t xml:space="preserve">  Memo: operating income as reported</t>
        </is>
      </c>
      <c r="C146" s="253" t="n">
        <v>229.495</v>
      </c>
      <c r="D146" s="253" t="n">
        <v>1108.112</v>
      </c>
      <c r="E146" s="253" t="n">
        <v>-534.505</v>
      </c>
      <c r="F146" s="253" t="n">
        <v>2260.108</v>
      </c>
      <c r="G146" s="253" t="n">
        <v>2752</v>
      </c>
      <c r="H146" s="253" t="n">
        <v>2713</v>
      </c>
      <c r="I146" s="253" t="n">
        <v>3937</v>
      </c>
      <c r="J146" s="253" t="n">
        <v>1107</v>
      </c>
      <c r="K146" s="253" t="n">
        <v>1228</v>
      </c>
      <c r="L146" s="253" t="n">
        <v>1248</v>
      </c>
      <c r="M146" s="253" t="n">
        <v>920</v>
      </c>
      <c r="N146" s="253" t="n">
        <v>4503</v>
      </c>
      <c r="O146" s="253" t="n">
        <v>1285</v>
      </c>
      <c r="P146" s="253" t="n">
        <v>1383</v>
      </c>
      <c r="Q146" s="253" t="n">
        <v>1420</v>
      </c>
      <c r="R146" s="253" t="n">
        <v>1018</v>
      </c>
      <c r="S146" s="253" t="n">
        <v>5106</v>
      </c>
      <c r="T146" s="253" t="n">
        <v>1351</v>
      </c>
      <c r="U146" s="253" t="n">
        <v>1251</v>
      </c>
      <c r="V146" s="253" t="n">
        <v>1369</v>
      </c>
      <c r="W146" s="253" t="n">
        <v>1107</v>
      </c>
      <c r="X146" s="253" t="n">
        <v>5078</v>
      </c>
      <c r="Y146" s="253" t="n">
        <v>1348</v>
      </c>
      <c r="Z146" s="253" t="n">
        <v>1380</v>
      </c>
      <c r="AA146" s="253" t="n">
        <v>1670</v>
      </c>
      <c r="AB146" s="253" t="n">
        <v>1363</v>
      </c>
      <c r="AC146" s="253" t="n">
        <v>5761</v>
      </c>
      <c r="AD146" s="253" t="n">
        <v>1506</v>
      </c>
      <c r="AE146" s="253" t="n">
        <v>1653</v>
      </c>
      <c r="AF146" s="253" t="n">
        <v>1941</v>
      </c>
      <c r="AG146" s="253" t="n">
        <v>1522</v>
      </c>
      <c r="AH146" s="253" t="n">
        <v>6622</v>
      </c>
      <c r="AI146" s="253" t="n">
        <v>1825</v>
      </c>
      <c r="AJ146" s="253" t="n">
        <v>1936</v>
      </c>
      <c r="AK146" s="253" t="n">
        <v>2287</v>
      </c>
      <c r="AL146" s="253" t="n">
        <v>1234</v>
      </c>
      <c r="AM146" s="253" t="n">
        <v>7282</v>
      </c>
      <c r="AN146" s="253" t="n">
        <v>2213</v>
      </c>
      <c r="AO146" s="253" t="n">
        <v>2397</v>
      </c>
      <c r="AP146" s="253" t="n">
        <v>2655</v>
      </c>
      <c r="AQ146" s="253" t="n">
        <v>2399</v>
      </c>
      <c r="AR146" s="253" t="n">
        <v>9664</v>
      </c>
      <c r="AS146" s="253" t="n">
        <v>2211</v>
      </c>
      <c r="AT146" s="253" t="n">
        <v>1707</v>
      </c>
      <c r="AU146" s="253" t="n">
        <v>2105</v>
      </c>
      <c r="AV146" s="253" t="n">
        <v>2058</v>
      </c>
      <c r="AW146" s="253" t="n">
        <v>8081</v>
      </c>
      <c r="AX146" s="253" t="n">
        <v>2197</v>
      </c>
      <c r="AY146" s="253" t="n">
        <v>2341</v>
      </c>
      <c r="AZ146" s="253" t="n">
        <v>2717</v>
      </c>
      <c r="BA146" s="253" t="n">
        <v>2827</v>
      </c>
      <c r="BB146" s="253" t="n">
        <v>10082</v>
      </c>
      <c r="BC146" s="253" t="n">
        <v>2950</v>
      </c>
      <c r="BD146" s="253" t="n">
        <v>3018</v>
      </c>
      <c r="BE146" s="253" t="n">
        <v>3112</v>
      </c>
      <c r="BF146" s="253" t="n">
        <v>3184</v>
      </c>
      <c r="BG146" s="253" t="n">
        <v>12264</v>
      </c>
      <c r="BH146" s="253" t="n">
        <v>3136</v>
      </c>
      <c r="BI146" s="253" t="n">
        <v>3656</v>
      </c>
      <c r="BJ146" s="253" t="n">
        <v>3844</v>
      </c>
      <c r="BK146" s="253" t="n">
        <v>3372</v>
      </c>
      <c r="BL146" s="253" t="n">
        <v>14008</v>
      </c>
      <c r="BM146" s="253" t="n">
        <v>3604</v>
      </c>
      <c r="BN146" s="253" t="n">
        <v>4036</v>
      </c>
      <c r="BO146" s="253" t="n">
        <v>4004</v>
      </c>
      <c r="BP146" s="253" t="n">
        <v>3938</v>
      </c>
      <c r="BQ146" s="253" t="n">
        <v>15582</v>
      </c>
      <c r="BR146" s="253" t="n">
        <v>4149</v>
      </c>
      <c r="BS146" s="253" t="n">
        <v>4777</v>
      </c>
      <c r="BT146" s="253" t="n">
        <v>5061</v>
      </c>
      <c r="BU146" s="253" t="n">
        <v>4910</v>
      </c>
      <c r="BV146" s="253" t="n">
        <v>18897</v>
      </c>
      <c r="BW146" s="253" t="n">
        <v>4907</v>
      </c>
      <c r="BX146" s="253" t="n">
        <v>5587</v>
      </c>
      <c r="BY146" s="153" t="n"/>
      <c r="BZ146" s="153" t="n"/>
      <c r="CA146" s="153" t="n"/>
      <c r="CB146" s="153" t="n"/>
      <c r="CC146" s="153" t="n"/>
      <c r="CD146" s="153" t="n"/>
      <c r="CE146" s="153" t="n"/>
      <c r="CF146" s="153" t="n"/>
    </row>
    <row r="147" ht="15" customHeight="1" s="251">
      <c r="B147" s="156" t="inlineStr">
        <is>
          <t xml:space="preserve">  Memo: net revenue as re-presented in the following year's release (where different)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253" t="n">
        <v>2172</v>
      </c>
      <c r="P147" s="253" t="n">
        <v>2368</v>
      </c>
      <c r="Q147" s="253" t="n">
        <v>2490</v>
      </c>
      <c r="R147" s="253" t="n">
        <v>2411</v>
      </c>
      <c r="S147" s="253" t="n">
        <v>9441</v>
      </c>
      <c r="T147" s="34" t="n"/>
      <c r="U147" s="34" t="n"/>
      <c r="V147" s="34" t="n"/>
      <c r="W147" s="34" t="n"/>
      <c r="X147" s="34" t="n"/>
      <c r="Y147" s="34" t="n"/>
      <c r="Z147" s="34" t="n"/>
      <c r="AA147" s="34" t="n"/>
      <c r="AB147" s="34" t="n"/>
      <c r="AC147" s="34" t="n"/>
      <c r="AD147" s="34" t="n"/>
      <c r="AE147" s="34" t="n"/>
      <c r="AF147" s="34" t="n"/>
      <c r="AG147" s="34" t="n"/>
      <c r="AH147" s="34" t="n"/>
      <c r="AI147" s="34" t="n"/>
      <c r="AJ147" s="34" t="n"/>
      <c r="AK147" s="34" t="n"/>
      <c r="AL147" s="34" t="n"/>
      <c r="AM147" s="34" t="n"/>
      <c r="AN147" s="34" t="n"/>
      <c r="AO147" s="34" t="n"/>
      <c r="AP147" s="34" t="n"/>
      <c r="AQ147" s="34" t="n"/>
      <c r="AR147" s="34" t="n"/>
      <c r="AS147" s="34" t="n"/>
      <c r="AT147" s="34" t="n"/>
      <c r="AU147" s="34" t="n"/>
      <c r="AV147" s="34" t="n"/>
      <c r="AW147" s="34" t="n"/>
      <c r="AX147" s="34" t="n"/>
      <c r="AY147" s="34" t="n"/>
      <c r="AZ147" s="34" t="n"/>
      <c r="BA147" s="34" t="n"/>
      <c r="BB147" s="34" t="n"/>
      <c r="BC147" s="34" t="n"/>
      <c r="BD147" s="34" t="n"/>
      <c r="BE147" s="34" t="n"/>
      <c r="BF147" s="34" t="n"/>
      <c r="BG147" s="34" t="n"/>
      <c r="BH147" s="34" t="n"/>
      <c r="BI147" s="34" t="n"/>
      <c r="BJ147" s="34" t="n"/>
      <c r="BK147" s="34" t="n"/>
      <c r="BL147" s="34" t="n"/>
      <c r="BM147" s="34" t="n"/>
      <c r="BN147" s="34" t="n"/>
      <c r="BO147" s="34" t="n"/>
      <c r="BP147" s="34" t="n"/>
      <c r="BQ147" s="34" t="n"/>
      <c r="BR147" s="34" t="n"/>
      <c r="BS147" s="34" t="n"/>
      <c r="BT147" s="34" t="n"/>
      <c r="BU147" s="34" t="n"/>
      <c r="BV147" s="34" t="n"/>
      <c r="BW147" s="34" t="n"/>
      <c r="BX147" s="34" t="n"/>
      <c r="BY147" s="153" t="n"/>
      <c r="BZ147" s="153" t="n"/>
      <c r="CA147" s="153" t="n"/>
      <c r="CB147" s="153" t="n"/>
      <c r="CC147" s="153" t="n"/>
      <c r="CD147" s="153" t="n"/>
      <c r="CE147" s="153" t="n"/>
      <c r="CF147" s="153" t="inlineStr">
        <is>
          <t>2014 net revenue re-presented in the 2015 releases (reclassification of certain customer incentives); the model keeps the originally reported figures.</t>
        </is>
      </c>
    </row>
    <row r="148" ht="15" customHeight="1" s="251">
      <c r="B148" s="156" t="inlineStr">
        <is>
          <t xml:space="preserve">  Memo: depreciation &amp; amortization</t>
        </is>
      </c>
      <c r="C148" s="211">
        <f>C126</f>
        <v>99.782</v>
      </c>
      <c r="D148" s="211">
        <f>D126</f>
        <v>97.642</v>
      </c>
      <c r="E148" s="211">
        <f>E126</f>
        <v>112.006</v>
      </c>
      <c r="F148" s="211">
        <f>F126</f>
        <v>141.377</v>
      </c>
      <c r="G148" s="211">
        <f>G126</f>
        <v>148</v>
      </c>
      <c r="H148" s="211">
        <f>H126</f>
        <v>194</v>
      </c>
      <c r="I148" s="211">
        <f>I126</f>
        <v>230</v>
      </c>
      <c r="J148" s="211">
        <f>J126</f>
        <v>62</v>
      </c>
      <c r="K148" s="211">
        <f>K126</f>
        <v>61</v>
      </c>
      <c r="L148" s="211">
        <f>L126</f>
        <v>64</v>
      </c>
      <c r="M148" s="211">
        <f>M126</f>
        <v>71</v>
      </c>
      <c r="N148" s="211">
        <f>N126</f>
        <v>258</v>
      </c>
      <c r="O148" s="211">
        <f>O126</f>
        <v>73</v>
      </c>
      <c r="P148" s="211">
        <f>P126</f>
        <v>81</v>
      </c>
      <c r="Q148" s="211">
        <f>Q126</f>
        <v>83</v>
      </c>
      <c r="R148" s="211">
        <f>R126</f>
        <v>84</v>
      </c>
      <c r="S148" s="211">
        <f>S126</f>
        <v>321</v>
      </c>
      <c r="T148" s="211">
        <f>T126</f>
        <v>87</v>
      </c>
      <c r="U148" s="211">
        <f>U126</f>
        <v>92</v>
      </c>
      <c r="V148" s="211">
        <f>V126</f>
        <v>94</v>
      </c>
      <c r="W148" s="211">
        <f>W126</f>
        <v>93</v>
      </c>
      <c r="X148" s="211">
        <f>X126</f>
        <v>366</v>
      </c>
      <c r="Y148" s="211">
        <f>Y126</f>
        <v>95</v>
      </c>
      <c r="Z148" s="211">
        <f>Z126</f>
        <v>93</v>
      </c>
      <c r="AA148" s="211">
        <f>AA126</f>
        <v>93</v>
      </c>
      <c r="AB148" s="211">
        <f>AB126</f>
        <v>92</v>
      </c>
      <c r="AC148" s="211">
        <f>AC126</f>
        <v>373</v>
      </c>
      <c r="AD148" s="211">
        <f>AD126</f>
        <v>92</v>
      </c>
      <c r="AE148" s="211">
        <f>AE126</f>
        <v>111</v>
      </c>
      <c r="AF148" s="211">
        <f>AF126</f>
        <v>118</v>
      </c>
      <c r="AG148" s="211">
        <f>AG126</f>
        <v>115</v>
      </c>
      <c r="AH148" s="211">
        <f>AH126</f>
        <v>436</v>
      </c>
      <c r="AI148" s="211">
        <f>AI126</f>
        <v>120</v>
      </c>
      <c r="AJ148" s="211">
        <f>AJ126</f>
        <v>115</v>
      </c>
      <c r="AK148" s="211">
        <f>AK126</f>
        <v>111</v>
      </c>
      <c r="AL148" s="211">
        <f>AL126</f>
        <v>113</v>
      </c>
      <c r="AM148" s="211">
        <f>AM126</f>
        <v>459</v>
      </c>
      <c r="AN148" s="211">
        <f>AN126</f>
        <v>117</v>
      </c>
      <c r="AO148" s="211">
        <f>AO126</f>
        <v>122</v>
      </c>
      <c r="AP148" s="211">
        <f>AP126</f>
        <v>137</v>
      </c>
      <c r="AQ148" s="211">
        <f>AQ126</f>
        <v>146</v>
      </c>
      <c r="AR148" s="211">
        <f>AR126</f>
        <v>522</v>
      </c>
      <c r="AS148" s="211">
        <f>AS126</f>
        <v>144</v>
      </c>
      <c r="AT148" s="211">
        <f>AT126</f>
        <v>145</v>
      </c>
      <c r="AU148" s="211">
        <f>AU126</f>
        <v>141</v>
      </c>
      <c r="AV148" s="211">
        <f>AV126</f>
        <v>150</v>
      </c>
      <c r="AW148" s="211">
        <f>AW126</f>
        <v>580</v>
      </c>
      <c r="AX148" s="211">
        <f>AX126</f>
        <v>163</v>
      </c>
      <c r="AY148" s="211">
        <f>AY126</f>
        <v>186</v>
      </c>
      <c r="AZ148" s="211">
        <f>AZ126</f>
        <v>188</v>
      </c>
      <c r="BA148" s="211">
        <f>BA126</f>
        <v>189</v>
      </c>
      <c r="BB148" s="211">
        <f>BB126</f>
        <v>726</v>
      </c>
      <c r="BC148" s="211">
        <f>BC126</f>
        <v>192</v>
      </c>
      <c r="BD148" s="211">
        <f>BD126</f>
        <v>189</v>
      </c>
      <c r="BE148" s="211">
        <f>BE126</f>
        <v>185</v>
      </c>
      <c r="BF148" s="211">
        <f>BF126</f>
        <v>184</v>
      </c>
      <c r="BG148" s="211">
        <f>BG126</f>
        <v>750</v>
      </c>
      <c r="BH148" s="211">
        <f>BH126</f>
        <v>191</v>
      </c>
      <c r="BI148" s="211">
        <f>BI126</f>
        <v>192</v>
      </c>
      <c r="BJ148" s="211">
        <f>BJ126</f>
        <v>211</v>
      </c>
      <c r="BK148" s="211">
        <f>BK126</f>
        <v>205</v>
      </c>
      <c r="BL148" s="211">
        <f>BL126</f>
        <v>799</v>
      </c>
      <c r="BM148" s="211">
        <f>BM126</f>
        <v>216</v>
      </c>
      <c r="BN148" s="211">
        <f>BN126</f>
        <v>225</v>
      </c>
      <c r="BO148" s="211">
        <f>BO126</f>
        <v>225</v>
      </c>
      <c r="BP148" s="211">
        <f>BP126</f>
        <v>231</v>
      </c>
      <c r="BQ148" s="211">
        <f>BQ126</f>
        <v>897</v>
      </c>
      <c r="BR148" s="211">
        <f>BR126</f>
        <v>275</v>
      </c>
      <c r="BS148" s="211">
        <f>BS126</f>
        <v>281</v>
      </c>
      <c r="BT148" s="211">
        <f>BT126</f>
        <v>290</v>
      </c>
      <c r="BU148" s="211">
        <f>BU126</f>
        <v>297</v>
      </c>
      <c r="BV148" s="211">
        <f>BV126</f>
        <v>1143</v>
      </c>
      <c r="BW148" s="211">
        <f>BW126</f>
        <v>299</v>
      </c>
      <c r="BX148" s="211">
        <f>BX126</f>
        <v>309</v>
      </c>
      <c r="BY148" s="254">
        <f>BY126</f>
        <v>325</v>
      </c>
      <c r="BZ148" s="254">
        <f>BZ126</f>
        <v>325</v>
      </c>
      <c r="CA148" s="254">
        <f>CA126</f>
        <v>1258</v>
      </c>
      <c r="CB148" s="254">
        <f>CB126</f>
        <v>1487.67545018235</v>
      </c>
      <c r="CC148" s="254">
        <f>CC126</f>
        <v>1693.78934905336</v>
      </c>
      <c r="CD148" s="254">
        <f>CD126</f>
        <v>1908.23739361271</v>
      </c>
      <c r="CE148" s="254">
        <f>CE126</f>
        <v>2129.69029915495</v>
      </c>
      <c r="CF148" s="153" t="n"/>
    </row>
    <row r="149" collapsed="1" ht="15" customHeight="1" s="251">
      <c r="B149" s="156" t="inlineStr">
        <is>
          <t xml:space="preserve">  Memo: share-based compensation</t>
        </is>
      </c>
      <c r="C149" s="211">
        <f>C109</f>
        <v>19.181</v>
      </c>
      <c r="D149" s="211">
        <f>D109</f>
        <v>58.213</v>
      </c>
      <c r="E149" s="211">
        <f>E109</f>
        <v>60.97</v>
      </c>
      <c r="F149" s="211">
        <f>F109</f>
        <v>88.43</v>
      </c>
      <c r="G149" s="211">
        <f>G109</f>
        <v>63</v>
      </c>
      <c r="H149" s="211">
        <f>H109</f>
        <v>80</v>
      </c>
      <c r="I149" s="211">
        <f>I109</f>
        <v>89</v>
      </c>
      <c r="J149" s="211">
        <f>J109</f>
        <v>-23</v>
      </c>
      <c r="K149" s="211">
        <f>K109</f>
        <v>22</v>
      </c>
      <c r="L149" s="211">
        <f>L109</f>
        <v>28</v>
      </c>
      <c r="M149" s="211">
        <f>M109</f>
        <v>36</v>
      </c>
      <c r="N149" s="211">
        <f>N109</f>
        <v>63</v>
      </c>
      <c r="O149" s="211">
        <f>O109</f>
        <v>-74</v>
      </c>
      <c r="P149" s="211">
        <f>P109</f>
        <v>28</v>
      </c>
      <c r="Q149" s="211">
        <f>Q109</f>
        <v>3</v>
      </c>
      <c r="R149" s="211">
        <f>R109</f>
        <v>28</v>
      </c>
      <c r="S149" s="211">
        <f>S109</f>
        <v>-15</v>
      </c>
      <c r="T149" s="211">
        <f>T109</f>
        <v>-53</v>
      </c>
      <c r="U149" s="211">
        <f>U109</f>
        <v>30</v>
      </c>
      <c r="V149" s="211">
        <f>V109</f>
        <v>24</v>
      </c>
      <c r="W149" s="211">
        <f>W109</f>
        <v>21</v>
      </c>
      <c r="X149" s="211">
        <f>X109</f>
        <v>22</v>
      </c>
      <c r="Y149" s="211">
        <f>Y109</f>
        <v>-40</v>
      </c>
      <c r="Z149" s="211">
        <f>Z109</f>
        <v>29</v>
      </c>
      <c r="AA149" s="211">
        <f>AA109</f>
        <v>26</v>
      </c>
      <c r="AB149" s="211">
        <f>AB109</f>
        <v>35</v>
      </c>
      <c r="AC149" s="211">
        <f>AC109</f>
        <v>50</v>
      </c>
      <c r="AD149" s="211">
        <f>AD109</f>
        <v>39</v>
      </c>
      <c r="AE149" s="211">
        <f>AE109</f>
        <v>49</v>
      </c>
      <c r="AF149" s="211">
        <f>AF109</f>
        <v>49</v>
      </c>
      <c r="AG149" s="211">
        <f>AG109</f>
        <v>39</v>
      </c>
      <c r="AH149" s="211">
        <f>AH109</f>
        <v>176</v>
      </c>
      <c r="AI149" s="211">
        <f>AI109</f>
        <v>43</v>
      </c>
      <c r="AJ149" s="211">
        <f>AJ109</f>
        <v>55</v>
      </c>
      <c r="AK149" s="211">
        <f>AK109</f>
        <v>55</v>
      </c>
      <c r="AL149" s="211">
        <f>AL109</f>
        <v>43</v>
      </c>
      <c r="AM149" s="211">
        <f>AM109</f>
        <v>196</v>
      </c>
      <c r="AN149" s="211">
        <f>AN109</f>
        <v>57</v>
      </c>
      <c r="AO149" s="211">
        <f>AO109</f>
        <v>73</v>
      </c>
      <c r="AP149" s="211">
        <f>AP109</f>
        <v>77</v>
      </c>
      <c r="AQ149" s="211">
        <f>AQ109</f>
        <v>43</v>
      </c>
      <c r="AR149" s="211">
        <f>AR109</f>
        <v>250</v>
      </c>
      <c r="AS149" s="211">
        <f>AS109</f>
        <v>52</v>
      </c>
      <c r="AT149" s="211">
        <f>AT109</f>
        <v>75</v>
      </c>
      <c r="AU149" s="211">
        <f>AU109</f>
        <v>75</v>
      </c>
      <c r="AV149" s="211">
        <f>AV109</f>
        <v>52</v>
      </c>
      <c r="AW149" s="211">
        <f>AW109</f>
        <v>254</v>
      </c>
      <c r="AX149" s="211">
        <f>AX109</f>
        <v>65</v>
      </c>
      <c r="AY149" s="211">
        <f>AY109</f>
        <v>87</v>
      </c>
      <c r="AZ149" s="211">
        <f>AZ109</f>
        <v>89</v>
      </c>
      <c r="BA149" s="211">
        <f>BA109</f>
        <v>32</v>
      </c>
      <c r="BB149" s="211">
        <f>BB109</f>
        <v>273</v>
      </c>
      <c r="BC149" s="211">
        <f>BC109</f>
        <v>74</v>
      </c>
      <c r="BD149" s="211">
        <f>BD109</f>
        <v>101</v>
      </c>
      <c r="BE149" s="211">
        <f>BE109</f>
        <v>98</v>
      </c>
      <c r="BF149" s="211">
        <f>BF109</f>
        <v>22</v>
      </c>
      <c r="BG149" s="211">
        <f>BG109</f>
        <v>295</v>
      </c>
      <c r="BH149" s="211">
        <f>BH109</f>
        <v>108</v>
      </c>
      <c r="BI149" s="211">
        <f>BI109</f>
        <v>135</v>
      </c>
      <c r="BJ149" s="211">
        <f>BJ109</f>
        <v>131</v>
      </c>
      <c r="BK149" s="211">
        <f>BK109</f>
        <v>86</v>
      </c>
      <c r="BL149" s="211">
        <f>BL109</f>
        <v>460</v>
      </c>
      <c r="BM149" s="211">
        <f>BM109</f>
        <v>108</v>
      </c>
      <c r="BN149" s="211">
        <f>BN109</f>
        <v>155</v>
      </c>
      <c r="BO149" s="211">
        <f>BO109</f>
        <v>155</v>
      </c>
      <c r="BP149" s="211">
        <f>BP109</f>
        <v>108</v>
      </c>
      <c r="BQ149" s="211">
        <f>BQ109</f>
        <v>526</v>
      </c>
      <c r="BR149" s="211">
        <f>BR109</f>
        <v>129</v>
      </c>
      <c r="BS149" s="211">
        <f>BS109</f>
        <v>179</v>
      </c>
      <c r="BT149" s="211">
        <f>BT109</f>
        <v>177</v>
      </c>
      <c r="BU149" s="211">
        <f>BU109</f>
        <v>112</v>
      </c>
      <c r="BV149" s="211">
        <f>BV109</f>
        <v>597</v>
      </c>
      <c r="BW149" s="211">
        <f>BW109</f>
        <v>136</v>
      </c>
      <c r="BX149" s="211">
        <f>BX109</f>
        <v>190</v>
      </c>
      <c r="BY149" s="254">
        <f>BY109</f>
        <v>187.344155844156</v>
      </c>
      <c r="BZ149" s="254">
        <f>BZ109</f>
        <v>118.545454545455</v>
      </c>
      <c r="CA149" s="254">
        <f>CA109</f>
        <v>631.88961038961</v>
      </c>
      <c r="CB149" s="254">
        <f>CB109</f>
        <v>752.850238331832</v>
      </c>
      <c r="CC149" s="254">
        <f>CC109</f>
        <v>842.116420087072</v>
      </c>
      <c r="CD149" s="254">
        <f>CD109</f>
        <v>935.794796618491</v>
      </c>
      <c r="CE149" s="254">
        <f>CE109</f>
        <v>1033.18162896439</v>
      </c>
      <c r="CF149" s="153" t="n"/>
    </row>
    <row r="150" ht="15" customHeight="1" s="251">
      <c r="B150" s="25" t="inlineStr">
        <is>
          <t>(Earnings per share — Class A and Class B common stock combined; split-adjusted for the 10-for-1 split of Jan-2014)</t>
        </is>
      </c>
      <c r="CF150" s="153" t="n"/>
    </row>
    <row r="151" ht="15" customHeight="1" s="251">
      <c r="B151" s="25" t="inlineStr">
        <is>
          <t xml:space="preserve">  Weighted-average basic shares (m)</t>
        </is>
      </c>
      <c r="C151" s="278" t="n">
        <v>1354.11</v>
      </c>
      <c r="D151" s="278" t="n">
        <v>1348.87</v>
      </c>
      <c r="E151" s="278" t="n">
        <v>1301.48</v>
      </c>
      <c r="F151" s="278" t="n">
        <v>1298.38</v>
      </c>
      <c r="G151" s="278" t="n">
        <v>1310</v>
      </c>
      <c r="H151" s="278" t="n">
        <v>1280</v>
      </c>
      <c r="I151" s="278" t="n">
        <v>1250</v>
      </c>
      <c r="J151" s="278" t="n">
        <v>1230</v>
      </c>
      <c r="K151" s="278" t="n">
        <v>1210</v>
      </c>
      <c r="L151" s="278" t="n">
        <v>1210</v>
      </c>
      <c r="M151" s="278" t="n">
        <v>1201</v>
      </c>
      <c r="N151" s="278" t="n">
        <v>1211</v>
      </c>
      <c r="O151" s="278" t="n">
        <v>1185</v>
      </c>
      <c r="P151" s="278" t="n">
        <v>1165</v>
      </c>
      <c r="Q151" s="278" t="n">
        <v>1157</v>
      </c>
      <c r="R151" s="278" t="n">
        <v>1153</v>
      </c>
      <c r="S151" s="278" t="n">
        <v>1165</v>
      </c>
      <c r="T151" s="278" t="n">
        <v>1148</v>
      </c>
      <c r="U151" s="278" t="n">
        <v>1138</v>
      </c>
      <c r="V151" s="278" t="n">
        <v>1130</v>
      </c>
      <c r="W151" s="278" t="n">
        <v>1121</v>
      </c>
      <c r="X151" s="278" t="n">
        <v>1134</v>
      </c>
      <c r="Y151" s="278" t="n">
        <v>1109</v>
      </c>
      <c r="Z151" s="278" t="n">
        <v>1098</v>
      </c>
      <c r="AA151" s="278" t="n">
        <v>1096</v>
      </c>
      <c r="AB151" s="278" t="n">
        <v>1087</v>
      </c>
      <c r="AC151" s="278" t="n">
        <v>1098</v>
      </c>
      <c r="AD151" s="278" t="n">
        <v>1078</v>
      </c>
      <c r="AE151" s="278" t="n">
        <v>1070</v>
      </c>
      <c r="AF151" s="278" t="n">
        <v>1063</v>
      </c>
      <c r="AG151" s="278" t="n">
        <v>1057</v>
      </c>
      <c r="AH151" s="278" t="n">
        <v>1067</v>
      </c>
      <c r="AI151" s="278" t="n">
        <v>1051</v>
      </c>
      <c r="AJ151" s="278" t="n">
        <v>1043</v>
      </c>
      <c r="AK151" s="278" t="n">
        <v>1037</v>
      </c>
      <c r="AL151" s="278" t="n">
        <v>1032</v>
      </c>
      <c r="AM151" s="278" t="n">
        <v>1041</v>
      </c>
      <c r="AN151" s="278" t="n">
        <v>1026</v>
      </c>
      <c r="AO151" s="278" t="n">
        <v>1020</v>
      </c>
      <c r="AP151" s="278" t="n">
        <v>1013</v>
      </c>
      <c r="AQ151" s="278" t="n">
        <v>1008</v>
      </c>
      <c r="AR151" s="278" t="n">
        <v>1017</v>
      </c>
      <c r="AS151" s="278" t="n">
        <v>1005</v>
      </c>
      <c r="AT151" s="278" t="n">
        <v>1004</v>
      </c>
      <c r="AU151" s="278" t="n">
        <v>1001</v>
      </c>
      <c r="AV151" s="278" t="n">
        <v>996</v>
      </c>
      <c r="AW151" s="278" t="n">
        <v>1002</v>
      </c>
      <c r="AX151" s="278" t="n">
        <v>994</v>
      </c>
      <c r="AY151" s="278" t="n">
        <v>990</v>
      </c>
      <c r="AZ151" s="278" t="n">
        <v>986</v>
      </c>
      <c r="BA151" s="278" t="n">
        <v>982</v>
      </c>
      <c r="BB151" s="278" t="n">
        <v>988</v>
      </c>
      <c r="BC151" s="278" t="n">
        <v>977</v>
      </c>
      <c r="BD151" s="278" t="n">
        <v>971</v>
      </c>
      <c r="BE151" s="278" t="n">
        <v>965</v>
      </c>
      <c r="BF151" s="278" t="n">
        <v>960</v>
      </c>
      <c r="BG151" s="278" t="n">
        <v>968</v>
      </c>
      <c r="BH151" s="278" t="n">
        <v>953</v>
      </c>
      <c r="BI151" s="278" t="n">
        <v>946</v>
      </c>
      <c r="BJ151" s="278" t="n">
        <v>941</v>
      </c>
      <c r="BK151" s="278" t="n">
        <v>936</v>
      </c>
      <c r="BL151" s="278" t="n">
        <v>944</v>
      </c>
      <c r="BM151" s="278" t="n">
        <v>933</v>
      </c>
      <c r="BN151" s="278" t="n">
        <v>929</v>
      </c>
      <c r="BO151" s="278" t="n">
        <v>923</v>
      </c>
      <c r="BP151" s="278" t="n">
        <v>917</v>
      </c>
      <c r="BQ151" s="278" t="n">
        <v>925</v>
      </c>
      <c r="BR151" s="278" t="n">
        <v>912</v>
      </c>
      <c r="BS151" s="278" t="n">
        <v>908</v>
      </c>
      <c r="BT151" s="278" t="n">
        <v>903</v>
      </c>
      <c r="BU151" s="278" t="n">
        <v>897</v>
      </c>
      <c r="BV151" s="278" t="n">
        <v>905</v>
      </c>
      <c r="BW151" s="278" t="n">
        <v>891</v>
      </c>
      <c r="BX151" s="278" t="n">
        <v>882</v>
      </c>
      <c r="BY151" s="265">
        <f>BX314-$CA$270*0.25+$CA$271*0.25</f>
        <v>874.383823529412</v>
      </c>
      <c r="BZ151" s="265">
        <f>BX314-$CA$270*0.75+$CA$271*0.75</f>
        <v>868.751470588235</v>
      </c>
      <c r="CA151" s="265">
        <f>AVERAGE(BW151:BZ151)</f>
        <v>879.033823529412</v>
      </c>
      <c r="CB151" s="265">
        <f>AVERAGE(CB272,CB273)</f>
        <v>855.335690842922</v>
      </c>
      <c r="CC151" s="265">
        <f>AVERAGE(CC272,CC273)</f>
        <v>832.748019034146</v>
      </c>
      <c r="CD151" s="265">
        <f>AVERAGE(CD272,CD273)</f>
        <v>808.296109221796</v>
      </c>
      <c r="CE151" s="265">
        <f>AVERAGE(CE272,CE273)</f>
        <v>783.004948980546</v>
      </c>
      <c r="CF151" s="19" t="inlineStr">
        <is>
          <t>Q3/Q4-26E: shares outstanding at 30-Jun-2026 − H2 buybacks (mid-quarter: ¼ in Q3, ¾ in Q4) + equity-plan issuance. 2027E+: average of beginning and ending shares.</t>
        </is>
      </c>
    </row>
    <row r="152" ht="15" customHeight="1" s="251">
      <c r="B152" s="25" t="inlineStr">
        <is>
          <t xml:space="preserve">  Weighted-average diluted shares (m)</t>
        </is>
      </c>
      <c r="C152" s="278" t="n">
        <v>1357.79</v>
      </c>
      <c r="D152" s="278" t="n">
        <v>1356.95</v>
      </c>
      <c r="E152" s="278" t="n">
        <v>1301.48</v>
      </c>
      <c r="F152" s="278" t="n">
        <v>1302.32</v>
      </c>
      <c r="G152" s="278" t="n">
        <v>1310</v>
      </c>
      <c r="H152" s="278" t="n">
        <v>1280</v>
      </c>
      <c r="I152" s="278" t="n">
        <v>1260</v>
      </c>
      <c r="J152" s="278" t="n">
        <v>1230</v>
      </c>
      <c r="K152" s="278" t="n">
        <v>1220</v>
      </c>
      <c r="L152" s="278" t="n">
        <v>1210</v>
      </c>
      <c r="M152" s="278" t="n">
        <v>1205</v>
      </c>
      <c r="N152" s="278" t="n">
        <v>1215</v>
      </c>
      <c r="O152" s="278" t="n">
        <v>1189</v>
      </c>
      <c r="P152" s="278" t="n">
        <v>1169</v>
      </c>
      <c r="Q152" s="278" t="n">
        <v>1160</v>
      </c>
      <c r="R152" s="278" t="n">
        <v>1157</v>
      </c>
      <c r="S152" s="278" t="n">
        <v>1169</v>
      </c>
      <c r="T152" s="278" t="n">
        <v>1152</v>
      </c>
      <c r="U152" s="278" t="n">
        <v>1141</v>
      </c>
      <c r="V152" s="278" t="n">
        <v>1133</v>
      </c>
      <c r="W152" s="278" t="n">
        <v>1124</v>
      </c>
      <c r="X152" s="278" t="n">
        <v>1137</v>
      </c>
      <c r="Y152" s="278" t="n">
        <v>1112</v>
      </c>
      <c r="Z152" s="278" t="n">
        <v>1101</v>
      </c>
      <c r="AA152" s="278" t="n">
        <v>1099</v>
      </c>
      <c r="AB152" s="278" t="n">
        <v>1090</v>
      </c>
      <c r="AC152" s="278" t="n">
        <v>1101</v>
      </c>
      <c r="AD152" s="278" t="n">
        <v>1082</v>
      </c>
      <c r="AE152" s="278" t="n">
        <v>1075</v>
      </c>
      <c r="AF152" s="278" t="n">
        <v>1068</v>
      </c>
      <c r="AG152" s="278" t="n">
        <v>1063</v>
      </c>
      <c r="AH152" s="278" t="n">
        <v>1072</v>
      </c>
      <c r="AI152" s="278" t="n">
        <v>1057</v>
      </c>
      <c r="AJ152" s="278" t="n">
        <v>1049</v>
      </c>
      <c r="AK152" s="278" t="n">
        <v>1043</v>
      </c>
      <c r="AL152" s="278" t="n">
        <v>1038</v>
      </c>
      <c r="AM152" s="278" t="n">
        <v>1047</v>
      </c>
      <c r="AN152" s="278" t="n">
        <v>1032</v>
      </c>
      <c r="AO152" s="278" t="n">
        <v>1025</v>
      </c>
      <c r="AP152" s="278" t="n">
        <v>1019</v>
      </c>
      <c r="AQ152" s="278" t="n">
        <v>1013</v>
      </c>
      <c r="AR152" s="278" t="n">
        <v>1022</v>
      </c>
      <c r="AS152" s="278" t="n">
        <v>1010</v>
      </c>
      <c r="AT152" s="278" t="n">
        <v>1008</v>
      </c>
      <c r="AU152" s="278" t="n">
        <v>1005</v>
      </c>
      <c r="AV152" s="278" t="n">
        <v>1001</v>
      </c>
      <c r="AW152" s="278" t="n">
        <v>1006</v>
      </c>
      <c r="AX152" s="278" t="n">
        <v>998</v>
      </c>
      <c r="AY152" s="278" t="n">
        <v>994</v>
      </c>
      <c r="AZ152" s="278" t="n">
        <v>990</v>
      </c>
      <c r="BA152" s="278" t="n">
        <v>986</v>
      </c>
      <c r="BB152" s="278" t="n">
        <v>992</v>
      </c>
      <c r="BC152" s="278" t="n">
        <v>981</v>
      </c>
      <c r="BD152" s="278" t="n">
        <v>974</v>
      </c>
      <c r="BE152" s="278" t="n">
        <v>968</v>
      </c>
      <c r="BF152" s="278" t="n">
        <v>963</v>
      </c>
      <c r="BG152" s="278" t="n">
        <v>971</v>
      </c>
      <c r="BH152" s="278" t="n">
        <v>956</v>
      </c>
      <c r="BI152" s="278" t="n">
        <v>949</v>
      </c>
      <c r="BJ152" s="278" t="n">
        <v>943</v>
      </c>
      <c r="BK152" s="278" t="n">
        <v>939</v>
      </c>
      <c r="BL152" s="278" t="n">
        <v>946</v>
      </c>
      <c r="BM152" s="278" t="n">
        <v>935</v>
      </c>
      <c r="BN152" s="278" t="n">
        <v>930</v>
      </c>
      <c r="BO152" s="278" t="n">
        <v>925</v>
      </c>
      <c r="BP152" s="278" t="n">
        <v>919</v>
      </c>
      <c r="BQ152" s="278" t="n">
        <v>927</v>
      </c>
      <c r="BR152" s="278" t="n">
        <v>914</v>
      </c>
      <c r="BS152" s="278" t="n">
        <v>909</v>
      </c>
      <c r="BT152" s="278" t="n">
        <v>905</v>
      </c>
      <c r="BU152" s="278" t="n">
        <v>898</v>
      </c>
      <c r="BV152" s="278" t="n">
        <v>906</v>
      </c>
      <c r="BW152" s="278" t="n">
        <v>893</v>
      </c>
      <c r="BX152" s="278" t="n">
        <v>883</v>
      </c>
      <c r="BY152" s="265">
        <f>BY151+(BX152-BX151)</f>
        <v>875.383823529412</v>
      </c>
      <c r="BZ152" s="265">
        <f>BZ151+(BX152-BX151)</f>
        <v>869.751470588235</v>
      </c>
      <c r="CA152" s="265">
        <f>AVERAGE(BW152:BZ152)</f>
        <v>880.283823529412</v>
      </c>
      <c r="CB152" s="265">
        <f>CB151+CB334</f>
        <v>856.335690842922</v>
      </c>
      <c r="CC152" s="265">
        <f>CC151+CC334</f>
        <v>833.748019034146</v>
      </c>
      <c r="CD152" s="265">
        <f>CD151+CD334</f>
        <v>809.296109221796</v>
      </c>
      <c r="CE152" s="265">
        <f>CE151+CE334</f>
        <v>784.004948980546</v>
      </c>
      <c r="CF152" s="19" t="n"/>
      <c r="CH152" s="20">
        <f>IFERROR((CE152/BV152)^(1/5)-1,"n/m")</f>
        <v>-0.0285104770685641</v>
      </c>
      <c r="CI152" s="20">
        <f>IFERROR((BV152/AW152)^(1/5)-1,"n/m")</f>
        <v>-0.0207218975573032</v>
      </c>
      <c r="CJ152" s="20">
        <f>IFERROR((BV152/X152)^(1/10)-1,"n/m")</f>
        <v>-0.0224549671487697</v>
      </c>
      <c r="CK152" s="20">
        <f>IFERROR((BV152/C152)^(1/19)-1,"n/m")</f>
        <v>-0.0210682832994211</v>
      </c>
    </row>
    <row r="153" ht="15" customHeight="1" s="251">
      <c r="B153" s="55" t="inlineStr">
        <is>
          <t>EPS – diluted ($)</t>
        </is>
      </c>
      <c r="C153" s="279">
        <f>IF(ISNUMBER(C152),IFERROR(C142/C152,""),"")</f>
        <v>0.0369644790431513</v>
      </c>
      <c r="D153" s="279">
        <f>IF(ISNUMBER(D152),IFERROR(D142/D152,""),"")</f>
        <v>0.800240244666347</v>
      </c>
      <c r="E153" s="279">
        <f>IF(ISNUMBER(E152),IFERROR(E142/E152,""),"")</f>
        <v>-0.195097120201616</v>
      </c>
      <c r="F153" s="279">
        <f>IF(ISNUMBER(F152),IFERROR(F142/F152,""),"")</f>
        <v>1.12302045580195</v>
      </c>
      <c r="G153" s="279">
        <f>IF(ISNUMBER(G152),IFERROR(G142/G152,""),"")</f>
        <v>1.40916030534351</v>
      </c>
      <c r="H153" s="279">
        <f>IF(ISNUMBER(H152),IFERROR(H142/H152,""),"")</f>
        <v>1.4890625</v>
      </c>
      <c r="I153" s="279">
        <f>IF(ISNUMBER(I152),IFERROR(I142/I152,""),"")</f>
        <v>2.18968253968254</v>
      </c>
      <c r="J153" s="279">
        <f>IF(ISNUMBER(J152),IFERROR(J142/J152,""),"")</f>
        <v>0.622764227642277</v>
      </c>
      <c r="K153" s="279">
        <f>IF(ISNUMBER(K152),IFERROR(K142/K152,""),"")</f>
        <v>0.695081967213115</v>
      </c>
      <c r="L153" s="279">
        <f>IF(ISNUMBER(L152),IFERROR(L142/L152,""),"")</f>
        <v>0.726446280991736</v>
      </c>
      <c r="M153" s="279">
        <f>IF(ISNUMBER(M152),IFERROR(M142/M152,""),"")</f>
        <v>0.51701244813278</v>
      </c>
      <c r="N153" s="279">
        <f>IF(ISNUMBER(N152),IFERROR(N142/N152,""),"")</f>
        <v>2.56460905349794</v>
      </c>
      <c r="O153" s="279">
        <f>IF(ISNUMBER(O152),IFERROR(O142/O152,""),"")</f>
        <v>0.731707317073171</v>
      </c>
      <c r="P153" s="279">
        <f>IF(ISNUMBER(P152),IFERROR(P142/P152,""),"")</f>
        <v>0.796407185628743</v>
      </c>
      <c r="Q153" s="279">
        <f>IF(ISNUMBER(Q152),IFERROR(Q142/Q152,""),"")</f>
        <v>0.875</v>
      </c>
      <c r="R153" s="279">
        <f>IF(ISNUMBER(R152),IFERROR(R142/R152,""),"")</f>
        <v>0.692307692307692</v>
      </c>
      <c r="S153" s="279">
        <f>IF(ISNUMBER(S152),IFERROR(S142/S152,""),"")</f>
        <v>3.09409751924722</v>
      </c>
      <c r="T153" s="279">
        <f>IF(ISNUMBER(T152),IFERROR(T142/T152,""),"")</f>
        <v>0.885416666666667</v>
      </c>
      <c r="U153" s="279">
        <f>IF(ISNUMBER(U152),IFERROR(U142/U152,""),"")</f>
        <v>0.807186678352323</v>
      </c>
      <c r="V153" s="279">
        <f>IF(ISNUMBER(V152),IFERROR(V142/V152,""),"")</f>
        <v>0.862312444836717</v>
      </c>
      <c r="W153" s="279">
        <f>IF(ISNUMBER(W152),IFERROR(W142/W152,""),"")</f>
        <v>0.791814946619217</v>
      </c>
      <c r="X153" s="279">
        <f>IF(ISNUMBER(X152),IFERROR(X142/X152,""),"")</f>
        <v>3.34916446789798</v>
      </c>
      <c r="Y153" s="279">
        <f>IF(ISNUMBER(Y152),IFERROR(Y142/Y152,""),"")</f>
        <v>0.862410071942446</v>
      </c>
      <c r="Z153" s="279">
        <f>IF(ISNUMBER(Z152),IFERROR(Z142/Z152,""),"")</f>
        <v>0.892824704813806</v>
      </c>
      <c r="AA153" s="279">
        <f>IF(ISNUMBER(AA152),IFERROR(AA142/AA152,""),"")</f>
        <v>1.07734303912648</v>
      </c>
      <c r="AB153" s="279">
        <f>IF(ISNUMBER(AB152),IFERROR(AB142/AB152,""),"")</f>
        <v>0.855963302752294</v>
      </c>
      <c r="AC153" s="279">
        <f>IF(ISNUMBER(AC152),IFERROR(AC142/AC152,""),"")</f>
        <v>3.6866485013624</v>
      </c>
      <c r="AD153" s="279">
        <f>IF(ISNUMBER(AD152),IFERROR(AD142/AD152,""),"")</f>
        <v>0.999075785582255</v>
      </c>
      <c r="AE153" s="279">
        <f>IF(ISNUMBER(AE152),IFERROR(AE142/AE152,""),"")</f>
        <v>1.09488372093023</v>
      </c>
      <c r="AF153" s="279">
        <f>IF(ISNUMBER(AF152),IFERROR(AF142/AF152,""),"")</f>
        <v>1.33895131086142</v>
      </c>
      <c r="AG153" s="279">
        <f>IF(ISNUMBER(AG152),IFERROR(AG142/AG152,""),"")</f>
        <v>0.213546566321731</v>
      </c>
      <c r="AH153" s="279">
        <f>IF(ISNUMBER(AH152),IFERROR(AH142/AH152,""),"")</f>
        <v>3.65205223880597</v>
      </c>
      <c r="AI153" s="279">
        <f>IF(ISNUMBER(AI152),IFERROR(AI142/AI152,""),"")</f>
        <v>1.41154210028382</v>
      </c>
      <c r="AJ153" s="279">
        <f>IF(ISNUMBER(AJ152),IFERROR(AJ142/AJ152,""),"")</f>
        <v>1.49571020019066</v>
      </c>
      <c r="AK153" s="279">
        <f>IF(ISNUMBER(AK152),IFERROR(AK142/AK152,""),"")</f>
        <v>1.82070949185043</v>
      </c>
      <c r="AL153" s="279">
        <f>IF(ISNUMBER(AL152),IFERROR(AL142/AL152,""),"")</f>
        <v>0.866088631984586</v>
      </c>
      <c r="AM153" s="279">
        <f>IF(ISNUMBER(AM152),IFERROR(AM142/AM152,""),"")</f>
        <v>5.59598853868195</v>
      </c>
      <c r="AN153" s="279">
        <f>IF(ISNUMBER(AN152),IFERROR(AN142/AN152,""),"")</f>
        <v>1.80426356589147</v>
      </c>
      <c r="AO153" s="279">
        <f>IF(ISNUMBER(AO152),IFERROR(AO142/AO152,""),"")</f>
        <v>1.9980487804878</v>
      </c>
      <c r="AP153" s="279">
        <f>IF(ISNUMBER(AP152),IFERROR(AP142/AP152,""),"")</f>
        <v>2.06869479882237</v>
      </c>
      <c r="AQ153" s="279">
        <f>IF(ISNUMBER(AQ152),IFERROR(AQ142/AQ152,""),"")</f>
        <v>2.07305034550839</v>
      </c>
      <c r="AR153" s="279">
        <f>IF(ISNUMBER(AR152),IFERROR(AR142/AR152,""),"")</f>
        <v>7.94324853228963</v>
      </c>
      <c r="AS153" s="279">
        <f>IF(ISNUMBER(AS152),IFERROR(AS142/AS152,""),"")</f>
        <v>1.67623762376238</v>
      </c>
      <c r="AT153" s="279">
        <f>IF(ISNUMBER(AT152),IFERROR(AT142/AT152,""),"")</f>
        <v>1.40873015873016</v>
      </c>
      <c r="AU153" s="279">
        <f>IF(ISNUMBER(AU152),IFERROR(AU142/AU152,""),"")</f>
        <v>1.50547263681592</v>
      </c>
      <c r="AV153" s="279">
        <f>IF(ISNUMBER(AV152),IFERROR(AV142/AV152,""),"")</f>
        <v>1.78321678321678</v>
      </c>
      <c r="AW153" s="279">
        <f>IF(ISNUMBER(AW152),IFERROR(AW142/AW152,""),"")</f>
        <v>6.3727634194831</v>
      </c>
      <c r="AX153" s="279">
        <f>IF(ISNUMBER(AX152),IFERROR(AX142/AX152,""),"")</f>
        <v>1.83166332665331</v>
      </c>
      <c r="AY153" s="279">
        <f>IF(ISNUMBER(AY152),IFERROR(AY142/AY152,""),"")</f>
        <v>2.0784708249497</v>
      </c>
      <c r="AZ153" s="279">
        <f>IF(ISNUMBER(AZ152),IFERROR(AZ142/AZ152,""),"")</f>
        <v>2.43838383838384</v>
      </c>
      <c r="BA153" s="279">
        <f>IF(ISNUMBER(BA152),IFERROR(BA142/BA152,""),"")</f>
        <v>2.41277890466531</v>
      </c>
      <c r="BB153" s="279">
        <f>IF(ISNUMBER(BB152),IFERROR(BB142/BB152,""),"")</f>
        <v>8.7570564516129</v>
      </c>
      <c r="BC153" s="279">
        <f>IF(ISNUMBER(BC152),IFERROR(BC142/BC152,""),"")</f>
        <v>2.68195718654434</v>
      </c>
      <c r="BD153" s="279">
        <f>IF(ISNUMBER(BD152),IFERROR(BD142/BD152,""),"")</f>
        <v>2.33572895277207</v>
      </c>
      <c r="BE153" s="279">
        <f>IF(ISNUMBER(BE152),IFERROR(BE142/BE152,""),"")</f>
        <v>2.58161157024793</v>
      </c>
      <c r="BF153" s="279">
        <f>IF(ISNUMBER(BF152),IFERROR(BF142/BF152,""),"")</f>
        <v>2.62201453790239</v>
      </c>
      <c r="BG153" s="279">
        <f>IF(ISNUMBER(BG152),IFERROR(BG142/BG152,""),"")</f>
        <v>10.226570545829</v>
      </c>
      <c r="BH153" s="279">
        <f>IF(ISNUMBER(BH152),IFERROR(BH142/BH152,""),"")</f>
        <v>2.46966527196653</v>
      </c>
      <c r="BI153" s="279">
        <f>IF(ISNUMBER(BI152),IFERROR(BI142/BI152,""),"")</f>
        <v>2.99789251844046</v>
      </c>
      <c r="BJ153" s="279">
        <f>IF(ISNUMBER(BJ152),IFERROR(BJ142/BJ152,""),"")</f>
        <v>3.39130434782609</v>
      </c>
      <c r="BK153" s="279">
        <f>IF(ISNUMBER(BK152),IFERROR(BK142/BK152,""),"")</f>
        <v>2.97231096911608</v>
      </c>
      <c r="BL153" s="279">
        <f>IF(ISNUMBER(BL152),IFERROR(BL142/BL152,""),"")</f>
        <v>11.8340380549683</v>
      </c>
      <c r="BM153" s="279">
        <f>IF(ISNUMBER(BM152),IFERROR(BM142/BM152,""),"")</f>
        <v>3.22032085561497</v>
      </c>
      <c r="BN153" s="279">
        <f>IF(ISNUMBER(BN152),IFERROR(BN142/BN152,""),"")</f>
        <v>3.50322580645161</v>
      </c>
      <c r="BO153" s="279">
        <f>IF(ISNUMBER(BO152),IFERROR(BO142/BO152,""),"")</f>
        <v>3.52756756756757</v>
      </c>
      <c r="BP153" s="279">
        <f>IF(ISNUMBER(BP152),IFERROR(BP142/BP152,""),"")</f>
        <v>3.63656147986942</v>
      </c>
      <c r="BQ153" s="279">
        <f>IF(ISNUMBER(BQ152),IFERROR(BQ142/BQ152,""),"")</f>
        <v>13.8878101402373</v>
      </c>
      <c r="BR153" s="279">
        <f>IF(ISNUMBER(BR152),IFERROR(BR142/BR152,""),"")</f>
        <v>3.58862144420131</v>
      </c>
      <c r="BS153" s="279">
        <f>IF(ISNUMBER(BS152),IFERROR(BS142/BS152,""),"")</f>
        <v>4.07150715071507</v>
      </c>
      <c r="BT153" s="279">
        <f>IF(ISNUMBER(BT152),IFERROR(BT142/BT152,""),"")</f>
        <v>4.33922651933702</v>
      </c>
      <c r="BU153" s="279">
        <f>IF(ISNUMBER(BU152),IFERROR(BU142/BU152,""),"")</f>
        <v>4.52115812917595</v>
      </c>
      <c r="BV153" s="279">
        <f>IF(ISNUMBER(BV152),IFERROR(BV142/BV152,""),"")</f>
        <v>16.5209713024283</v>
      </c>
      <c r="BW153" s="279">
        <f>IF(ISNUMBER(BW152),IFERROR(BW142/BW152,""),"")</f>
        <v>4.3471444568869</v>
      </c>
      <c r="BX153" s="279">
        <f>IF(ISNUMBER(BX152),IFERROR(BX142/BX152,""),"")</f>
        <v>4.96942242355606</v>
      </c>
      <c r="BY153" s="279">
        <f>IF(ISNUMBER(BY152),IFERROR(BY142/BY152,""),"")</f>
        <v>5.03473489830035</v>
      </c>
      <c r="BZ153" s="279">
        <f>IF(ISNUMBER(BZ152),IFERROR(BZ142/BZ152,""),"")</f>
        <v>5.0420413044004</v>
      </c>
      <c r="CA153" s="279">
        <f>IF(ISNUMBER(CA152),IFERROR(CA142/CA152,""),"")</f>
        <v>19.3831215216349</v>
      </c>
      <c r="CB153" s="279">
        <f>IF(ISNUMBER(CB152),IFERROR(CB142/CB152,""),"")</f>
        <v>22.5720147205519</v>
      </c>
      <c r="CC153" s="279">
        <f>IF(ISNUMBER(CC152),IFERROR(CC142/CC152,""),"")</f>
        <v>26.1491577504184</v>
      </c>
      <c r="CD153" s="279">
        <f>IF(ISNUMBER(CD152),IFERROR(CD142/CD152,""),"")</f>
        <v>30.1478088690277</v>
      </c>
      <c r="CE153" s="279">
        <f>IF(ISNUMBER(CE152),IFERROR(CE142/CE152,""),"")</f>
        <v>34.5956898478182</v>
      </c>
      <c r="CF153" s="19" t="inlineStr">
        <is>
          <t>Net income / weighted diluted shares (±$0.01 vs reported; 2008–09 two-class method ±$0.007).</t>
        </is>
      </c>
      <c r="CH153" s="20">
        <f>IFERROR((CE153/BV153)^(1/5)-1,"n/m")</f>
        <v>0.159303864660454</v>
      </c>
      <c r="CI153" s="20">
        <f>IFERROR((BV153/AW153)^(1/5)-1,"n/m")</f>
        <v>0.209877934228171</v>
      </c>
      <c r="CJ153" s="20">
        <f>IFERROR((BV153/X153)^(1/10)-1,"n/m")</f>
        <v>0.173032136304428</v>
      </c>
      <c r="CK153" s="20">
        <f>IFERROR((BV153/C153)^(1/19)-1,"n/m")</f>
        <v>0.378754344891014</v>
      </c>
    </row>
    <row r="154" ht="15" customHeight="1" s="251">
      <c r="B154" s="22" t="inlineStr">
        <is>
          <t xml:space="preserve">  EPS – diluted y/y %</t>
        </is>
      </c>
      <c r="C154" s="23" t="n"/>
      <c r="D154" s="258">
        <f>IF(AND(ISNUMBER(D153),ISNUMBER(C153)),IFERROR(D153/C153-1,""),"")</f>
        <v>20.6488982228634</v>
      </c>
      <c r="E154" s="258">
        <f>IF(AND(ISNUMBER(E153),ISNUMBER(D153)),IFERROR(E153/D153-1,""),"")</f>
        <v>-1.24379818623464</v>
      </c>
      <c r="F154" s="258">
        <f>IF(AND(ISNUMBER(F153),ISNUMBER(E153)),IFERROR(F153/E153-1,""),"")</f>
        <v>-6.75621236562287</v>
      </c>
      <c r="G154" s="258">
        <f>IF(AND(ISNUMBER(G153),ISNUMBER(F153)),IFERROR(G153/F153-1,""),"")</f>
        <v>0.254794868662676</v>
      </c>
      <c r="H154" s="258">
        <f>IF(AND(ISNUMBER(H153),ISNUMBER(G153)),IFERROR(H153/G153-1,""),"")</f>
        <v>0.0567019907908992</v>
      </c>
      <c r="I154" s="258">
        <f>IF(AND(ISNUMBER(I153),ISNUMBER(H153)),IFERROR(I153/H153-1,""),"")</f>
        <v>0.470510834624161</v>
      </c>
      <c r="J154" s="23" t="n"/>
      <c r="K154" s="23" t="n"/>
      <c r="L154" s="23" t="n"/>
      <c r="M154" s="23" t="n"/>
      <c r="N154" s="258">
        <f>IF(AND(ISNUMBER(N153),ISNUMBER(I153)),IFERROR(N153/I153-1,""),"")</f>
        <v>0.171224141865679</v>
      </c>
      <c r="O154" s="258">
        <f>IF(AND(ISNUMBER(O153),ISNUMBER(J153)),IFERROR(O153/J153-1,""),"")</f>
        <v>0.174934725848564</v>
      </c>
      <c r="P154" s="258">
        <f>IF(AND(ISNUMBER(P153),ISNUMBER(K153)),IFERROR(P153/K153-1,""),"")</f>
        <v>0.145774488758332</v>
      </c>
      <c r="Q154" s="258">
        <f>IF(AND(ISNUMBER(Q153),ISNUMBER(L153)),IFERROR(Q153/L153-1,""),"")</f>
        <v>0.204493742889647</v>
      </c>
      <c r="R154" s="258">
        <f>IF(AND(ISNUMBER(R153),ISNUMBER(M153)),IFERROR(R153/M153-1,""),"")</f>
        <v>0.339054204222743</v>
      </c>
      <c r="S154" s="258">
        <f>IF(AND(ISNUMBER(S153),ISNUMBER(N153)),IFERROR(S153/N153-1,""),"")</f>
        <v>0.206459719475408</v>
      </c>
      <c r="T154" s="258">
        <f>IF(AND(ISNUMBER(T153),ISNUMBER(O153)),IFERROR(T153/O153-1,""),"")</f>
        <v>0.210069444444444</v>
      </c>
      <c r="U154" s="258">
        <f>IF(AND(ISNUMBER(U153),ISNUMBER(P153)),IFERROR(U153/P153-1,""),"")</f>
        <v>0.013535152517578</v>
      </c>
      <c r="V154" s="258">
        <f>IF(AND(ISNUMBER(V153),ISNUMBER(Q153)),IFERROR(V153/Q153-1,""),"")</f>
        <v>-0.0145000630437524</v>
      </c>
      <c r="W154" s="258">
        <f>IF(AND(ISNUMBER(W153),ISNUMBER(R153)),IFERROR(W153/R153-1,""),"")</f>
        <v>0.143732700672202</v>
      </c>
      <c r="X154" s="258">
        <f>IF(AND(ISNUMBER(X153),ISNUMBER(S153)),IFERROR(X153/S153-1,""),"")</f>
        <v>0.082436622331417</v>
      </c>
      <c r="Y154" s="258">
        <f>IF(AND(ISNUMBER(Y153),ISNUMBER(T153)),IFERROR(Y153/T153-1,""),"")</f>
        <v>-0.0259839187473551</v>
      </c>
      <c r="Z154" s="258">
        <f>IF(AND(ISNUMBER(Z153),ISNUMBER(U153)),IFERROR(Z153/U153-1,""),"")</f>
        <v>0.106094449720469</v>
      </c>
      <c r="AA154" s="258">
        <f>IF(AND(ISNUMBER(AA153),ISNUMBER(V153)),IFERROR(AA153/V153-1,""),"")</f>
        <v>0.24936505970348</v>
      </c>
      <c r="AB154" s="258">
        <f>IF(AND(ISNUMBER(AB153),ISNUMBER(W153)),IFERROR(AB153/W153-1,""),"")</f>
        <v>0.0810143284197507</v>
      </c>
      <c r="AC154" s="258">
        <f>IF(AND(ISNUMBER(AC153),ISNUMBER(X153)),IFERROR(AC153/X153-1,""),"")</f>
        <v>0.100766634991871</v>
      </c>
      <c r="AD154" s="258">
        <f>IF(AND(ISNUMBER(AD153),ISNUMBER(Y153)),IFERROR(AD153/Y153-1,""),"")</f>
        <v>0.158469524053668</v>
      </c>
      <c r="AE154" s="258">
        <f>IF(AND(ISNUMBER(AE153),ISNUMBER(Z153)),IFERROR(AE153/Z153-1,""),"")</f>
        <v>0.226314320187371</v>
      </c>
      <c r="AF154" s="258">
        <f>IF(AND(ISNUMBER(AF153),ISNUMBER(AA153)),IFERROR(AF153/AA153-1,""),"")</f>
        <v>0.242827272497216</v>
      </c>
      <c r="AG154" s="258">
        <f>IF(AND(ISNUMBER(AG153),ISNUMBER(AB153)),IFERROR(AG153/AB153-1,""),"")</f>
        <v>-0.750519016837421</v>
      </c>
      <c r="AH154" s="258">
        <f>IF(AND(ISNUMBER(AH153),ISNUMBER(AC153)),IFERROR(AH153/AC153-1,""),"")</f>
        <v>-0.00938420425588249</v>
      </c>
      <c r="AI154" s="258">
        <f>IF(AND(ISNUMBER(AI153),ISNUMBER(AD153)),IFERROR(AI153/AD153-1,""),"")</f>
        <v>0.412847874659663</v>
      </c>
      <c r="AJ154" s="258">
        <f>IF(AND(ISNUMBER(AJ153),ISNUMBER(AE153)),IFERROR(AJ153/AE153-1,""),"")</f>
        <v>0.36609045471959</v>
      </c>
      <c r="AK154" s="258">
        <f>IF(AND(ISNUMBER(AK153),ISNUMBER(AF153)),IFERROR(AK153/AF153-1,""),"")</f>
        <v>0.359802613493889</v>
      </c>
      <c r="AL154" s="258">
        <f>IF(AND(ISNUMBER(AL153),ISNUMBER(AG153)),IFERROR(AL153/AG153-1,""),"")</f>
        <v>3.05573663347848</v>
      </c>
      <c r="AM154" s="258">
        <f>IF(AND(ISNUMBER(AM153),ISNUMBER(AH153)),IFERROR(AM153/AH153-1,""),"")</f>
        <v>0.532286005994138</v>
      </c>
      <c r="AN154" s="258">
        <f>IF(AND(ISNUMBER(AN153),ISNUMBER(AI153)),IFERROR(AN153/AI153-1,""),"")</f>
        <v>0.278221574495501</v>
      </c>
      <c r="AO154" s="258">
        <f>IF(AND(ISNUMBER(AO153),ISNUMBER(AJ153)),IFERROR(AO153/AJ153-1,""),"")</f>
        <v>0.335852881282159</v>
      </c>
      <c r="AP154" s="258">
        <f>IF(AND(ISNUMBER(AP153),ISNUMBER(AK153)),IFERROR(AP153/AK153-1,""),"")</f>
        <v>0.136202567231036</v>
      </c>
      <c r="AQ154" s="258">
        <f>IF(AND(ISNUMBER(AQ153),ISNUMBER(AL153)),IFERROR(AQ153/AL153-1,""),"")</f>
        <v>1.39357759581503</v>
      </c>
      <c r="AR154" s="258">
        <f>IF(AND(ISNUMBER(AR153),ISNUMBER(AM153)),IFERROR(AR153/AM153-1,""),"")</f>
        <v>0.419454038796252</v>
      </c>
      <c r="AS154" s="258">
        <f>IF(AND(ISNUMBER(AS153),ISNUMBER(AN153)),IFERROR(AS153/AN153-1,""),"")</f>
        <v>-0.0709574502025928</v>
      </c>
      <c r="AT154" s="258">
        <f>IF(AND(ISNUMBER(AT153),ISNUMBER(AO153)),IFERROR(AT153/AO153-1,""),"")</f>
        <v>-0.294947064112103</v>
      </c>
      <c r="AU154" s="258">
        <f>IF(AND(ISNUMBER(AU153),ISNUMBER(AP153)),IFERROR(AU153/AP153-1,""),"")</f>
        <v>-0.272259669394961</v>
      </c>
      <c r="AV154" s="258">
        <f>IF(AND(ISNUMBER(AV153),ISNUMBER(AQ153)),IFERROR(AV153/AQ153-1,""),"")</f>
        <v>-0.13981018981019</v>
      </c>
      <c r="AW154" s="258">
        <f>IF(AND(ISNUMBER(AW153),ISNUMBER(AR153)),IFERROR(AW153/AR153-1,""),"")</f>
        <v>-0.197713203410726</v>
      </c>
      <c r="AX154" s="258">
        <f>IF(AND(ISNUMBER(AX153),ISNUMBER(AS153)),IFERROR(AX153/AS153-1,""),"")</f>
        <v>0.0927229532899232</v>
      </c>
      <c r="AY154" s="258">
        <f>IF(AND(ISNUMBER(AY153),ISNUMBER(AT153)),IFERROR(AY153/AT153-1,""),"")</f>
        <v>0.475421543344574</v>
      </c>
      <c r="AZ154" s="258">
        <f>IF(AND(ISNUMBER(AZ153),ISNUMBER(AU153)),IFERROR(AZ153/AU153-1,""),"")</f>
        <v>0.619679945522642</v>
      </c>
      <c r="BA154" s="258">
        <f>IF(AND(ISNUMBER(BA153),ISNUMBER(AV153)),IFERROR(BA153/AV153-1,""),"")</f>
        <v>0.353048562224078</v>
      </c>
      <c r="BB154" s="258">
        <f>IF(AND(ISNUMBER(BB153),ISNUMBER(AW153)),IFERROR(BB153/AW153-1,""),"")</f>
        <v>0.374138011281014</v>
      </c>
      <c r="BC154" s="258">
        <f>IF(AND(ISNUMBER(BC153),ISNUMBER(AX153)),IFERROR(BC153/AX153-1,""),"")</f>
        <v>0.464219514316878</v>
      </c>
      <c r="BD154" s="258">
        <f>IF(AND(ISNUMBER(BD153),ISNUMBER(AY153)),IFERROR(BD153/AY153-1,""),"")</f>
        <v>0.123772787538936</v>
      </c>
      <c r="BE154" s="258">
        <f>IF(AND(ISNUMBER(BE153),ISNUMBER(AZ153)),IFERROR(BE153/AZ153-1,""),"")</f>
        <v>0.0587387964148527</v>
      </c>
      <c r="BF154" s="258">
        <f>IF(AND(ISNUMBER(BF153),ISNUMBER(BA153)),IFERROR(BF153/BA153-1,""),"")</f>
        <v>0.0867197706480685</v>
      </c>
      <c r="BG154" s="258">
        <f>IF(AND(ISNUMBER(BG153),ISNUMBER(BB153)),IFERROR(BG153/BB153-1,""),"")</f>
        <v>0.167809137960448</v>
      </c>
      <c r="BH154" s="258">
        <f>IF(AND(ISNUMBER(BH153),ISNUMBER(BC153)),IFERROR(BH153/BC153-1,""),"")</f>
        <v>-0.0791555941470303</v>
      </c>
      <c r="BI154" s="258">
        <f>IF(AND(ISNUMBER(BI153),ISNUMBER(BD153)),IFERROR(BI153/BD153-1,""),"")</f>
        <v>0.283493324378467</v>
      </c>
      <c r="BJ154" s="258">
        <f>IF(AND(ISNUMBER(BJ153),ISNUMBER(BE153)),IFERROR(BJ153/BE153-1,""),"")</f>
        <v>0.313638498877812</v>
      </c>
      <c r="BK154" s="258">
        <f>IF(AND(ISNUMBER(BK153),ISNUMBER(BF153)),IFERROR(BK153/BF153-1,""),"")</f>
        <v>0.133598203270806</v>
      </c>
      <c r="BL154" s="258">
        <f>IF(AND(ISNUMBER(BL153),ISNUMBER(BG153)),IFERROR(BL153/BG153-1,""),"")</f>
        <v>0.157185392887634</v>
      </c>
      <c r="BM154" s="258">
        <f>IF(AND(ISNUMBER(BM153),ISNUMBER(BH153)),IFERROR(BM153/BH153-1,""),"")</f>
        <v>0.303950333743293</v>
      </c>
      <c r="BN154" s="258">
        <f>IF(AND(ISNUMBER(BN153),ISNUMBER(BI153)),IFERROR(BN153/BI153-1,""),"")</f>
        <v>0.168562843698622</v>
      </c>
      <c r="BO154" s="258">
        <f>IF(AND(ISNUMBER(BO153),ISNUMBER(BJ153)),IFERROR(BO153/BJ153-1,""),"")</f>
        <v>0.0401801801801802</v>
      </c>
      <c r="BP154" s="258">
        <f>IF(AND(ISNUMBER(BP153),ISNUMBER(BK153)),IFERROR(BP153/BK153-1,""),"")</f>
        <v>0.223479480328695</v>
      </c>
      <c r="BQ154" s="258">
        <f>IF(AND(ISNUMBER(BQ153),ISNUMBER(BL153)),IFERROR(BQ153/BL153-1,""),"")</f>
        <v>0.173547868929389</v>
      </c>
      <c r="BR154" s="258">
        <f>IF(AND(ISNUMBER(BR153),ISNUMBER(BM153)),IFERROR(BR153/BM153-1,""),"")</f>
        <v>0.114367668657664</v>
      </c>
      <c r="BS154" s="258">
        <f>IF(AND(ISNUMBER(BS153),ISNUMBER(BN153)),IFERROR(BS153/BN153-1,""),"")</f>
        <v>0.162216589983123</v>
      </c>
      <c r="BT154" s="258">
        <f>IF(AND(ISNUMBER(BT153),ISNUMBER(BO153)),IFERROR(BT153/BO153-1,""),"")</f>
        <v>0.230090263679663</v>
      </c>
      <c r="BU154" s="258">
        <f>IF(AND(ISNUMBER(BU153),ISNUMBER(BP153)),IFERROR(BU153/BP153-1,""),"")</f>
        <v>0.243250844019358</v>
      </c>
      <c r="BV154" s="258">
        <f>IF(AND(ISNUMBER(BV153),ISNUMBER(BQ153)),IFERROR(BV153/BQ153-1,""),"")</f>
        <v>0.189602330072316</v>
      </c>
      <c r="BW154" s="258">
        <f>IF(AND(ISNUMBER(BW153),ISNUMBER(BR153)),IFERROR(BW153/BR153-1,""),"")</f>
        <v>0.211368912681288</v>
      </c>
      <c r="BX154" s="258">
        <f>IF(AND(ISNUMBER(BX153),ISNUMBER(BS153)),IFERROR(BX153/BS153-1,""),"")</f>
        <v>0.220536336939329</v>
      </c>
      <c r="BY154" s="256">
        <f>IF(AND(ISNUMBER(BY153),ISNUMBER(BT153)),IFERROR(BY153/BT153-1,""),"")</f>
        <v>0.160283952880524</v>
      </c>
      <c r="BZ154" s="256">
        <f>IF(AND(ISNUMBER(BZ153),ISNUMBER(BU153)),IFERROR(BZ153/BU153-1,""),"")</f>
        <v>0.115210121022552</v>
      </c>
      <c r="CA154" s="256">
        <f>IF(AND(ISNUMBER(CA153),ISNUMBER(BV153)),IFERROR(CA153/BV153-1,""),"")</f>
        <v>0.17324345928656</v>
      </c>
      <c r="CB154" s="256">
        <f>IF(AND(ISNUMBER(CB153),ISNUMBER(CA153)),IFERROR(CB153/CA153-1,""),"")</f>
        <v>0.164519073739368</v>
      </c>
      <c r="CC154" s="256">
        <f>IF(AND(ISNUMBER(CC153),ISNUMBER(CB153)),IFERROR(CC153/CB153-1,""),"")</f>
        <v>0.158476904882112</v>
      </c>
      <c r="CD154" s="256">
        <f>IF(AND(ISNUMBER(CD153),ISNUMBER(CC153)),IFERROR(CD153/CC153-1,""),"")</f>
        <v>0.152917013877638</v>
      </c>
      <c r="CE154" s="256">
        <f>IF(AND(ISNUMBER(CE153),ISNUMBER(CD153)),IFERROR(CE153/CD153-1,""),"")</f>
        <v>0.147535795988146</v>
      </c>
      <c r="CF154" s="153" t="n"/>
    </row>
    <row r="155" ht="15" customHeight="1" s="251">
      <c r="B155" s="156" t="inlineStr">
        <is>
          <t xml:space="preserve">  Memo: EPS – diluted as reported ($, split-adjusted)</t>
        </is>
      </c>
      <c r="C155" s="280" t="n">
        <v>0.037</v>
      </c>
      <c r="D155" s="280" t="n">
        <v>0.8</v>
      </c>
      <c r="E155" s="280" t="n">
        <v>-0.195</v>
      </c>
      <c r="F155" s="280" t="n">
        <v>1.116</v>
      </c>
      <c r="G155" s="280" t="n">
        <v>1.405</v>
      </c>
      <c r="H155" s="280" t="n">
        <v>1.485</v>
      </c>
      <c r="I155" s="280" t="n">
        <v>2.194</v>
      </c>
      <c r="J155" s="280" t="n">
        <v>0.623</v>
      </c>
      <c r="K155" s="280" t="n">
        <v>0.696</v>
      </c>
      <c r="L155" s="280" t="n">
        <v>0.727</v>
      </c>
      <c r="M155" s="280" t="n">
        <v>0.52</v>
      </c>
      <c r="N155" s="280" t="n">
        <v>2.56</v>
      </c>
      <c r="O155" s="280" t="n">
        <v>0.73</v>
      </c>
      <c r="P155" s="280" t="n">
        <v>0.8</v>
      </c>
      <c r="Q155" s="280" t="n">
        <v>0.87</v>
      </c>
      <c r="R155" s="280" t="n">
        <v>0.6899999999999999</v>
      </c>
      <c r="S155" s="280" t="n">
        <v>3.1</v>
      </c>
      <c r="T155" s="280" t="n">
        <v>0.89</v>
      </c>
      <c r="U155" s="280" t="n">
        <v>0.8100000000000001</v>
      </c>
      <c r="V155" s="280" t="n">
        <v>0.86</v>
      </c>
      <c r="W155" s="280" t="n">
        <v>0.79</v>
      </c>
      <c r="X155" s="280" t="n">
        <v>3.35</v>
      </c>
      <c r="Y155" s="280" t="n">
        <v>0.86</v>
      </c>
      <c r="Z155" s="280" t="n">
        <v>0.89</v>
      </c>
      <c r="AA155" s="280" t="n">
        <v>1.08</v>
      </c>
      <c r="AB155" s="280" t="n">
        <v>0.86</v>
      </c>
      <c r="AC155" s="280" t="n">
        <v>3.69</v>
      </c>
      <c r="AD155" s="280" t="n">
        <v>1</v>
      </c>
      <c r="AE155" s="280" t="n">
        <v>1.1</v>
      </c>
      <c r="AF155" s="280" t="n">
        <v>1.34</v>
      </c>
      <c r="AG155" s="280" t="n">
        <v>0.21</v>
      </c>
      <c r="AH155" s="280" t="n">
        <v>3.65</v>
      </c>
      <c r="AI155" s="280" t="n">
        <v>1.41</v>
      </c>
      <c r="AJ155" s="280" t="n">
        <v>1.5</v>
      </c>
      <c r="AK155" s="280" t="n">
        <v>1.82</v>
      </c>
      <c r="AL155" s="280" t="n">
        <v>0.87</v>
      </c>
      <c r="AM155" s="280" t="n">
        <v>5.6</v>
      </c>
      <c r="AN155" s="280" t="n">
        <v>1.8</v>
      </c>
      <c r="AO155" s="280" t="n">
        <v>2</v>
      </c>
      <c r="AP155" s="280" t="n">
        <v>2.07</v>
      </c>
      <c r="AQ155" s="280" t="n">
        <v>2.07</v>
      </c>
      <c r="AR155" s="280" t="n">
        <v>7.94</v>
      </c>
      <c r="AS155" s="280" t="n">
        <v>1.68</v>
      </c>
      <c r="AT155" s="280" t="n">
        <v>1.41</v>
      </c>
      <c r="AU155" s="280" t="n">
        <v>1.51</v>
      </c>
      <c r="AV155" s="280" t="n">
        <v>1.78</v>
      </c>
      <c r="AW155" s="280" t="n">
        <v>6.37</v>
      </c>
      <c r="AX155" s="280" t="n">
        <v>1.83</v>
      </c>
      <c r="AY155" s="280" t="n">
        <v>2.08</v>
      </c>
      <c r="AZ155" s="280" t="n">
        <v>2.44</v>
      </c>
      <c r="BA155" s="280" t="n">
        <v>2.41</v>
      </c>
      <c r="BB155" s="280" t="n">
        <v>8.76</v>
      </c>
      <c r="BC155" s="280" t="n">
        <v>2.68</v>
      </c>
      <c r="BD155" s="280" t="n">
        <v>2.34</v>
      </c>
      <c r="BE155" s="280" t="n">
        <v>2.58</v>
      </c>
      <c r="BF155" s="280" t="n">
        <v>2.62</v>
      </c>
      <c r="BG155" s="280" t="n">
        <v>10.22</v>
      </c>
      <c r="BH155" s="280" t="n">
        <v>2.47</v>
      </c>
      <c r="BI155" s="280" t="n">
        <v>3</v>
      </c>
      <c r="BJ155" s="280" t="n">
        <v>3.39</v>
      </c>
      <c r="BK155" s="280" t="n">
        <v>2.97</v>
      </c>
      <c r="BL155" s="280" t="n">
        <v>11.83</v>
      </c>
      <c r="BM155" s="280" t="n">
        <v>3.22</v>
      </c>
      <c r="BN155" s="280" t="n">
        <v>3.5</v>
      </c>
      <c r="BO155" s="280" t="n">
        <v>3.53</v>
      </c>
      <c r="BP155" s="280" t="n">
        <v>3.64</v>
      </c>
      <c r="BQ155" s="280" t="n">
        <v>13.89</v>
      </c>
      <c r="BR155" s="280" t="n">
        <v>3.59</v>
      </c>
      <c r="BS155" s="280" t="n">
        <v>4.07</v>
      </c>
      <c r="BT155" s="280" t="n">
        <v>4.34</v>
      </c>
      <c r="BU155" s="280" t="n">
        <v>4.52</v>
      </c>
      <c r="BV155" s="280" t="n">
        <v>16.52</v>
      </c>
      <c r="BW155" s="280" t="n">
        <v>4.35</v>
      </c>
      <c r="BX155" s="280" t="n">
        <v>4.97</v>
      </c>
      <c r="BY155" s="153" t="n"/>
      <c r="BZ155" s="153" t="n"/>
      <c r="CA155" s="153" t="n"/>
      <c r="CB155" s="153" t="n"/>
      <c r="CC155" s="153" t="n"/>
      <c r="CD155" s="153" t="n"/>
      <c r="CE155" s="153" t="n"/>
      <c r="CF155" s="153" t="n"/>
    </row>
    <row r="156" collapsed="1" ht="15" customHeight="1" s="251">
      <c r="B156" s="57" t="inlineStr">
        <is>
          <t xml:space="preserve">  Check: model vs reported diluted EPS (should be 0.00; ±0.01, 2008–09 ±0.008 two-class)</t>
        </is>
      </c>
      <c r="C156" s="281">
        <f>IF(AND(ISNUMBER(C155),ISNUMBER(C153)),IF(ABS(C153-C155)&lt;=0.0101,0,ROUND(C153-C155,2)),"n/p")</f>
        <v>0</v>
      </c>
      <c r="D156" s="281">
        <f>IF(AND(ISNUMBER(D155),ISNUMBER(D153)),IF(ABS(D153-D155)&lt;=0.0101,0,ROUND(D153-D155,2)),"n/p")</f>
        <v>0</v>
      </c>
      <c r="E156" s="281">
        <f>IF(AND(ISNUMBER(E155),ISNUMBER(E153)),IF(ABS(E153-E155)&lt;=0.0101,0,ROUND(E153-E155,2)),"n/p")</f>
        <v>0</v>
      </c>
      <c r="F156" s="281">
        <f>IF(AND(ISNUMBER(F155),ISNUMBER(F153)),IF(ABS(F153-F155)&lt;=0.0101,0,ROUND(F153-F155,2)),"n/p")</f>
        <v>0</v>
      </c>
      <c r="G156" s="281">
        <f>IF(AND(ISNUMBER(G155),ISNUMBER(G153)),IF(ABS(G153-G155)&lt;=0.0101,0,ROUND(G153-G155,2)),"n/p")</f>
        <v>0</v>
      </c>
      <c r="H156" s="281">
        <f>IF(AND(ISNUMBER(H155),ISNUMBER(H153)),IF(ABS(H153-H155)&lt;=0.0101,0,ROUND(H153-H155,2)),"n/p")</f>
        <v>0</v>
      </c>
      <c r="I156" s="281">
        <f>IF(AND(ISNUMBER(I155),ISNUMBER(I153)),IF(ABS(I153-I155)&lt;=0.0101,0,ROUND(I153-I155,2)),"n/p")</f>
        <v>0</v>
      </c>
      <c r="J156" s="281">
        <f>IF(AND(ISNUMBER(J155),ISNUMBER(J153)),IF(ABS(J153-J155)&lt;=0.0101,0,ROUND(J153-J155,2)),"n/p")</f>
        <v>0</v>
      </c>
      <c r="K156" s="281">
        <f>IF(AND(ISNUMBER(K155),ISNUMBER(K153)),IF(ABS(K153-K155)&lt;=0.0101,0,ROUND(K153-K155,2)),"n/p")</f>
        <v>0</v>
      </c>
      <c r="L156" s="281">
        <f>IF(AND(ISNUMBER(L155),ISNUMBER(L153)),IF(ABS(L153-L155)&lt;=0.0101,0,ROUND(L153-L155,2)),"n/p")</f>
        <v>0</v>
      </c>
      <c r="M156" s="281">
        <f>IF(AND(ISNUMBER(M155),ISNUMBER(M153)),IF(ABS(M153-M155)&lt;=0.0101,0,ROUND(M153-M155,2)),"n/p")</f>
        <v>0</v>
      </c>
      <c r="N156" s="281">
        <f>IF(AND(ISNUMBER(N155),ISNUMBER(N153)),IF(ABS(N153-N155)&lt;=0.0101,0,ROUND(N153-N155,2)),"n/p")</f>
        <v>0</v>
      </c>
      <c r="O156" s="281">
        <f>IF(AND(ISNUMBER(O155),ISNUMBER(O153)),IF(ABS(O153-O155)&lt;=0.0101,0,ROUND(O153-O155,2)),"n/p")</f>
        <v>0</v>
      </c>
      <c r="P156" s="281">
        <f>IF(AND(ISNUMBER(P155),ISNUMBER(P153)),IF(ABS(P153-P155)&lt;=0.0101,0,ROUND(P153-P155,2)),"n/p")</f>
        <v>0</v>
      </c>
      <c r="Q156" s="281">
        <f>IF(AND(ISNUMBER(Q155),ISNUMBER(Q153)),IF(ABS(Q153-Q155)&lt;=0.0101,0,ROUND(Q153-Q155,2)),"n/p")</f>
        <v>0</v>
      </c>
      <c r="R156" s="281">
        <f>IF(AND(ISNUMBER(R155),ISNUMBER(R153)),IF(ABS(R153-R155)&lt;=0.0101,0,ROUND(R153-R155,2)),"n/p")</f>
        <v>0</v>
      </c>
      <c r="S156" s="281">
        <f>IF(AND(ISNUMBER(S155),ISNUMBER(S153)),IF(ABS(S153-S155)&lt;=0.0101,0,ROUND(S153-S155,2)),"n/p")</f>
        <v>0</v>
      </c>
      <c r="T156" s="281">
        <f>IF(AND(ISNUMBER(T155),ISNUMBER(T153)),IF(ABS(T153-T155)&lt;=0.0101,0,ROUND(T153-T155,2)),"n/p")</f>
        <v>0</v>
      </c>
      <c r="U156" s="281">
        <f>IF(AND(ISNUMBER(U155),ISNUMBER(U153)),IF(ABS(U153-U155)&lt;=0.0101,0,ROUND(U153-U155,2)),"n/p")</f>
        <v>0</v>
      </c>
      <c r="V156" s="281">
        <f>IF(AND(ISNUMBER(V155),ISNUMBER(V153)),IF(ABS(V153-V155)&lt;=0.0101,0,ROUND(V153-V155,2)),"n/p")</f>
        <v>0</v>
      </c>
      <c r="W156" s="281">
        <f>IF(AND(ISNUMBER(W155),ISNUMBER(W153)),IF(ABS(W153-W155)&lt;=0.0101,0,ROUND(W153-W155,2)),"n/p")</f>
        <v>0</v>
      </c>
      <c r="X156" s="281">
        <f>IF(AND(ISNUMBER(X155),ISNUMBER(X153)),IF(ABS(X153-X155)&lt;=0.0101,0,ROUND(X153-X155,2)),"n/p")</f>
        <v>0</v>
      </c>
      <c r="Y156" s="281">
        <f>IF(AND(ISNUMBER(Y155),ISNUMBER(Y153)),IF(ABS(Y153-Y155)&lt;=0.0101,0,ROUND(Y153-Y155,2)),"n/p")</f>
        <v>0</v>
      </c>
      <c r="Z156" s="281">
        <f>IF(AND(ISNUMBER(Z155),ISNUMBER(Z153)),IF(ABS(Z153-Z155)&lt;=0.0101,0,ROUND(Z153-Z155,2)),"n/p")</f>
        <v>0</v>
      </c>
      <c r="AA156" s="281">
        <f>IF(AND(ISNUMBER(AA155),ISNUMBER(AA153)),IF(ABS(AA153-AA155)&lt;=0.0101,0,ROUND(AA153-AA155,2)),"n/p")</f>
        <v>0</v>
      </c>
      <c r="AB156" s="281">
        <f>IF(AND(ISNUMBER(AB155),ISNUMBER(AB153)),IF(ABS(AB153-AB155)&lt;=0.0101,0,ROUND(AB153-AB155,2)),"n/p")</f>
        <v>0</v>
      </c>
      <c r="AC156" s="281">
        <f>IF(AND(ISNUMBER(AC155),ISNUMBER(AC153)),IF(ABS(AC153-AC155)&lt;=0.0101,0,ROUND(AC153-AC155,2)),"n/p")</f>
        <v>0</v>
      </c>
      <c r="AD156" s="281">
        <f>IF(AND(ISNUMBER(AD155),ISNUMBER(AD153)),IF(ABS(AD153-AD155)&lt;=0.0101,0,ROUND(AD153-AD155,2)),"n/p")</f>
        <v>0</v>
      </c>
      <c r="AE156" s="281">
        <f>IF(AND(ISNUMBER(AE155),ISNUMBER(AE153)),IF(ABS(AE153-AE155)&lt;=0.0101,0,ROUND(AE153-AE155,2)),"n/p")</f>
        <v>0</v>
      </c>
      <c r="AF156" s="281">
        <f>IF(AND(ISNUMBER(AF155),ISNUMBER(AF153)),IF(ABS(AF153-AF155)&lt;=0.0101,0,ROUND(AF153-AF155,2)),"n/p")</f>
        <v>0</v>
      </c>
      <c r="AG156" s="281">
        <f>IF(AND(ISNUMBER(AG155),ISNUMBER(AG153)),IF(ABS(AG153-AG155)&lt;=0.0101,0,ROUND(AG153-AG155,2)),"n/p")</f>
        <v>0</v>
      </c>
      <c r="AH156" s="281">
        <f>IF(AND(ISNUMBER(AH155),ISNUMBER(AH153)),IF(ABS(AH153-AH155)&lt;=0.0101,0,ROUND(AH153-AH155,2)),"n/p")</f>
        <v>0</v>
      </c>
      <c r="AI156" s="281">
        <f>IF(AND(ISNUMBER(AI155),ISNUMBER(AI153)),IF(ABS(AI153-AI155)&lt;=0.0101,0,ROUND(AI153-AI155,2)),"n/p")</f>
        <v>0</v>
      </c>
      <c r="AJ156" s="281">
        <f>IF(AND(ISNUMBER(AJ155),ISNUMBER(AJ153)),IF(ABS(AJ153-AJ155)&lt;=0.0101,0,ROUND(AJ153-AJ155,2)),"n/p")</f>
        <v>0</v>
      </c>
      <c r="AK156" s="281">
        <f>IF(AND(ISNUMBER(AK155),ISNUMBER(AK153)),IF(ABS(AK153-AK155)&lt;=0.0101,0,ROUND(AK153-AK155,2)),"n/p")</f>
        <v>0</v>
      </c>
      <c r="AL156" s="281">
        <f>IF(AND(ISNUMBER(AL155),ISNUMBER(AL153)),IF(ABS(AL153-AL155)&lt;=0.0101,0,ROUND(AL153-AL155,2)),"n/p")</f>
        <v>0</v>
      </c>
      <c r="AM156" s="281">
        <f>IF(AND(ISNUMBER(AM155),ISNUMBER(AM153)),IF(ABS(AM153-AM155)&lt;=0.0101,0,ROUND(AM153-AM155,2)),"n/p")</f>
        <v>0</v>
      </c>
      <c r="AN156" s="281">
        <f>IF(AND(ISNUMBER(AN155),ISNUMBER(AN153)),IF(ABS(AN153-AN155)&lt;=0.0101,0,ROUND(AN153-AN155,2)),"n/p")</f>
        <v>0</v>
      </c>
      <c r="AO156" s="281">
        <f>IF(AND(ISNUMBER(AO155),ISNUMBER(AO153)),IF(ABS(AO153-AO155)&lt;=0.0101,0,ROUND(AO153-AO155,2)),"n/p")</f>
        <v>0</v>
      </c>
      <c r="AP156" s="281">
        <f>IF(AND(ISNUMBER(AP155),ISNUMBER(AP153)),IF(ABS(AP153-AP155)&lt;=0.0101,0,ROUND(AP153-AP155,2)),"n/p")</f>
        <v>0</v>
      </c>
      <c r="AQ156" s="281">
        <f>IF(AND(ISNUMBER(AQ155),ISNUMBER(AQ153)),IF(ABS(AQ153-AQ155)&lt;=0.0101,0,ROUND(AQ153-AQ155,2)),"n/p")</f>
        <v>0</v>
      </c>
      <c r="AR156" s="281">
        <f>IF(AND(ISNUMBER(AR155),ISNUMBER(AR153)),IF(ABS(AR153-AR155)&lt;=0.0101,0,ROUND(AR153-AR155,2)),"n/p")</f>
        <v>0</v>
      </c>
      <c r="AS156" s="281">
        <f>IF(AND(ISNUMBER(AS155),ISNUMBER(AS153)),IF(ABS(AS153-AS155)&lt;=0.0101,0,ROUND(AS153-AS155,2)),"n/p")</f>
        <v>0</v>
      </c>
      <c r="AT156" s="281">
        <f>IF(AND(ISNUMBER(AT155),ISNUMBER(AT153)),IF(ABS(AT153-AT155)&lt;=0.0101,0,ROUND(AT153-AT155,2)),"n/p")</f>
        <v>0</v>
      </c>
      <c r="AU156" s="281">
        <f>IF(AND(ISNUMBER(AU155),ISNUMBER(AU153)),IF(ABS(AU153-AU155)&lt;=0.0101,0,ROUND(AU153-AU155,2)),"n/p")</f>
        <v>0</v>
      </c>
      <c r="AV156" s="281">
        <f>IF(AND(ISNUMBER(AV155),ISNUMBER(AV153)),IF(ABS(AV153-AV155)&lt;=0.0101,0,ROUND(AV153-AV155,2)),"n/p")</f>
        <v>0</v>
      </c>
      <c r="AW156" s="281">
        <f>IF(AND(ISNUMBER(AW155),ISNUMBER(AW153)),IF(ABS(AW153-AW155)&lt;=0.0101,0,ROUND(AW153-AW155,2)),"n/p")</f>
        <v>0</v>
      </c>
      <c r="AX156" s="281">
        <f>IF(AND(ISNUMBER(AX155),ISNUMBER(AX153)),IF(ABS(AX153-AX155)&lt;=0.0101,0,ROUND(AX153-AX155,2)),"n/p")</f>
        <v>0</v>
      </c>
      <c r="AY156" s="281">
        <f>IF(AND(ISNUMBER(AY155),ISNUMBER(AY153)),IF(ABS(AY153-AY155)&lt;=0.0101,0,ROUND(AY153-AY155,2)),"n/p")</f>
        <v>0</v>
      </c>
      <c r="AZ156" s="281">
        <f>IF(AND(ISNUMBER(AZ155),ISNUMBER(AZ153)),IF(ABS(AZ153-AZ155)&lt;=0.0101,0,ROUND(AZ153-AZ155,2)),"n/p")</f>
        <v>0</v>
      </c>
      <c r="BA156" s="281">
        <f>IF(AND(ISNUMBER(BA155),ISNUMBER(BA153)),IF(ABS(BA153-BA155)&lt;=0.0101,0,ROUND(BA153-BA155,2)),"n/p")</f>
        <v>0</v>
      </c>
      <c r="BB156" s="281">
        <f>IF(AND(ISNUMBER(BB155),ISNUMBER(BB153)),IF(ABS(BB153-BB155)&lt;=0.0101,0,ROUND(BB153-BB155,2)),"n/p")</f>
        <v>0</v>
      </c>
      <c r="BC156" s="281">
        <f>IF(AND(ISNUMBER(BC155),ISNUMBER(BC153)),IF(ABS(BC153-BC155)&lt;=0.0101,0,ROUND(BC153-BC155,2)),"n/p")</f>
        <v>0</v>
      </c>
      <c r="BD156" s="281">
        <f>IF(AND(ISNUMBER(BD155),ISNUMBER(BD153)),IF(ABS(BD153-BD155)&lt;=0.0101,0,ROUND(BD153-BD155,2)),"n/p")</f>
        <v>0</v>
      </c>
      <c r="BE156" s="281">
        <f>IF(AND(ISNUMBER(BE155),ISNUMBER(BE153)),IF(ABS(BE153-BE155)&lt;=0.0101,0,ROUND(BE153-BE155,2)),"n/p")</f>
        <v>0</v>
      </c>
      <c r="BF156" s="281">
        <f>IF(AND(ISNUMBER(BF155),ISNUMBER(BF153)),IF(ABS(BF153-BF155)&lt;=0.0101,0,ROUND(BF153-BF155,2)),"n/p")</f>
        <v>0</v>
      </c>
      <c r="BG156" s="281">
        <f>IF(AND(ISNUMBER(BG155),ISNUMBER(BG153)),IF(ABS(BG153-BG155)&lt;=0.0101,0,ROUND(BG153-BG155,2)),"n/p")</f>
        <v>0</v>
      </c>
      <c r="BH156" s="281">
        <f>IF(AND(ISNUMBER(BH155),ISNUMBER(BH153)),IF(ABS(BH153-BH155)&lt;=0.0101,0,ROUND(BH153-BH155,2)),"n/p")</f>
        <v>0</v>
      </c>
      <c r="BI156" s="281">
        <f>IF(AND(ISNUMBER(BI155),ISNUMBER(BI153)),IF(ABS(BI153-BI155)&lt;=0.0101,0,ROUND(BI153-BI155,2)),"n/p")</f>
        <v>0</v>
      </c>
      <c r="BJ156" s="281">
        <f>IF(AND(ISNUMBER(BJ155),ISNUMBER(BJ153)),IF(ABS(BJ153-BJ155)&lt;=0.0101,0,ROUND(BJ153-BJ155,2)),"n/p")</f>
        <v>0</v>
      </c>
      <c r="BK156" s="281">
        <f>IF(AND(ISNUMBER(BK155),ISNUMBER(BK153)),IF(ABS(BK153-BK155)&lt;=0.0101,0,ROUND(BK153-BK155,2)),"n/p")</f>
        <v>0</v>
      </c>
      <c r="BL156" s="281">
        <f>IF(AND(ISNUMBER(BL155),ISNUMBER(BL153)),IF(ABS(BL153-BL155)&lt;=0.0101,0,ROUND(BL153-BL155,2)),"n/p")</f>
        <v>0</v>
      </c>
      <c r="BM156" s="281">
        <f>IF(AND(ISNUMBER(BM155),ISNUMBER(BM153)),IF(ABS(BM153-BM155)&lt;=0.0101,0,ROUND(BM153-BM155,2)),"n/p")</f>
        <v>0</v>
      </c>
      <c r="BN156" s="281">
        <f>IF(AND(ISNUMBER(BN155),ISNUMBER(BN153)),IF(ABS(BN153-BN155)&lt;=0.0101,0,ROUND(BN153-BN155,2)),"n/p")</f>
        <v>0</v>
      </c>
      <c r="BO156" s="281">
        <f>IF(AND(ISNUMBER(BO155),ISNUMBER(BO153)),IF(ABS(BO153-BO155)&lt;=0.0101,0,ROUND(BO153-BO155,2)),"n/p")</f>
        <v>0</v>
      </c>
      <c r="BP156" s="281">
        <f>IF(AND(ISNUMBER(BP155),ISNUMBER(BP153)),IF(ABS(BP153-BP155)&lt;=0.0101,0,ROUND(BP153-BP155,2)),"n/p")</f>
        <v>0</v>
      </c>
      <c r="BQ156" s="281">
        <f>IF(AND(ISNUMBER(BQ155),ISNUMBER(BQ153)),IF(ABS(BQ153-BQ155)&lt;=0.0101,0,ROUND(BQ153-BQ155,2)),"n/p")</f>
        <v>0</v>
      </c>
      <c r="BR156" s="281">
        <f>IF(AND(ISNUMBER(BR155),ISNUMBER(BR153)),IF(ABS(BR153-BR155)&lt;=0.0101,0,ROUND(BR153-BR155,2)),"n/p")</f>
        <v>0</v>
      </c>
      <c r="BS156" s="281">
        <f>IF(AND(ISNUMBER(BS155),ISNUMBER(BS153)),IF(ABS(BS153-BS155)&lt;=0.0101,0,ROUND(BS153-BS155,2)),"n/p")</f>
        <v>0</v>
      </c>
      <c r="BT156" s="281">
        <f>IF(AND(ISNUMBER(BT155),ISNUMBER(BT153)),IF(ABS(BT153-BT155)&lt;=0.0101,0,ROUND(BT153-BT155,2)),"n/p")</f>
        <v>0</v>
      </c>
      <c r="BU156" s="281">
        <f>IF(AND(ISNUMBER(BU155),ISNUMBER(BU153)),IF(ABS(BU153-BU155)&lt;=0.0101,0,ROUND(BU153-BU155,2)),"n/p")</f>
        <v>0</v>
      </c>
      <c r="BV156" s="281">
        <f>IF(AND(ISNUMBER(BV155),ISNUMBER(BV153)),IF(ABS(BV153-BV155)&lt;=0.0101,0,ROUND(BV153-BV155,2)),"n/p")</f>
        <v>0</v>
      </c>
      <c r="BW156" s="281">
        <f>IF(AND(ISNUMBER(BW155),ISNUMBER(BW153)),IF(ABS(BW153-BW155)&lt;=0.0101,0,ROUND(BW153-BW155,2)),"n/p")</f>
        <v>0</v>
      </c>
      <c r="BX156" s="281">
        <f>IF(AND(ISNUMBER(BX155),ISNUMBER(BX153)),IF(ABS(BX153-BX155)&lt;=0.0101,0,ROUND(BX153-BX155,2)),"n/p")</f>
        <v>0</v>
      </c>
      <c r="BY156" s="153" t="n"/>
      <c r="BZ156" s="153" t="n"/>
      <c r="CA156" s="153" t="n"/>
      <c r="CB156" s="153" t="n"/>
      <c r="CC156" s="153" t="n"/>
      <c r="CD156" s="153" t="n"/>
      <c r="CE156" s="153" t="n"/>
      <c r="CF156" s="153" t="n"/>
    </row>
    <row r="157" ht="15" customHeight="1" s="251">
      <c r="B157" s="25" t="inlineStr">
        <is>
          <t xml:space="preserve">  Dividends declared per share ($)</t>
        </is>
      </c>
      <c r="C157" s="280" t="n">
        <v>0.018</v>
      </c>
      <c r="D157" s="280" t="n">
        <v>0.06</v>
      </c>
      <c r="E157" s="280" t="n">
        <v>0.06</v>
      </c>
      <c r="F157" s="280" t="n">
        <v>0.06</v>
      </c>
      <c r="G157" s="280" t="n">
        <v>0.06</v>
      </c>
      <c r="H157" s="280" t="n">
        <v>0.06</v>
      </c>
      <c r="I157" s="280" t="n">
        <v>0.12</v>
      </c>
      <c r="J157" s="280" t="n">
        <v>0.06</v>
      </c>
      <c r="K157" s="280" t="n">
        <v>0.06</v>
      </c>
      <c r="L157" s="280" t="n">
        <v>0.06</v>
      </c>
      <c r="M157" s="280" t="n">
        <v>0.11</v>
      </c>
      <c r="N157" s="280" t="n">
        <v>0.29</v>
      </c>
      <c r="O157" s="280" t="n">
        <v>0.11</v>
      </c>
      <c r="P157" s="280" t="n">
        <v>0.11</v>
      </c>
      <c r="Q157" s="280" t="n">
        <v>0.11</v>
      </c>
      <c r="R157" s="280" t="n">
        <v>0.16</v>
      </c>
      <c r="S157" s="280" t="n">
        <v>0.49</v>
      </c>
      <c r="T157" s="280" t="n">
        <v>0.16</v>
      </c>
      <c r="U157" s="280" t="n">
        <v>0.16</v>
      </c>
      <c r="V157" s="280" t="n">
        <v>0.16</v>
      </c>
      <c r="W157" s="280" t="n">
        <v>0.19</v>
      </c>
      <c r="X157" s="280" t="n">
        <v>0.67</v>
      </c>
      <c r="Y157" s="280" t="n">
        <v>0.19</v>
      </c>
      <c r="Z157" s="280" t="n">
        <v>0.19</v>
      </c>
      <c r="AA157" s="280" t="n">
        <v>0.19</v>
      </c>
      <c r="AB157" s="280" t="n">
        <v>0.22</v>
      </c>
      <c r="AC157" s="280" t="n">
        <v>0.79</v>
      </c>
      <c r="AD157" s="280" t="n">
        <v>0.22</v>
      </c>
      <c r="AE157" s="280" t="n">
        <v>0.22</v>
      </c>
      <c r="AF157" s="280" t="n">
        <v>0.22</v>
      </c>
      <c r="AG157" s="280" t="n">
        <v>0.25</v>
      </c>
      <c r="AH157" s="280" t="n">
        <v>0.91</v>
      </c>
      <c r="AI157" s="280" t="n">
        <v>0.25</v>
      </c>
      <c r="AJ157" s="280" t="n">
        <v>0.25</v>
      </c>
      <c r="AK157" s="280" t="n">
        <v>0.25</v>
      </c>
      <c r="AL157" s="280" t="n">
        <v>0.33</v>
      </c>
      <c r="AM157" s="280" t="n">
        <v>1.08</v>
      </c>
      <c r="AN157" s="280" t="n">
        <v>0.33</v>
      </c>
      <c r="AO157" s="280" t="n">
        <v>0.33</v>
      </c>
      <c r="AP157" s="280" t="n">
        <v>0.33</v>
      </c>
      <c r="AQ157" s="280" t="n">
        <v>0.4</v>
      </c>
      <c r="AR157" s="280" t="n">
        <v>1.39</v>
      </c>
      <c r="AS157" s="280" t="n">
        <v>0.4</v>
      </c>
      <c r="AT157" s="280" t="n">
        <v>0.4</v>
      </c>
      <c r="AU157" s="280" t="n">
        <v>0.4</v>
      </c>
      <c r="AV157" s="280" t="n">
        <v>0.44</v>
      </c>
      <c r="AW157" s="280" t="n">
        <v>1.64</v>
      </c>
      <c r="AX157" s="280" t="n">
        <v>0.44</v>
      </c>
      <c r="AY157" s="280" t="n">
        <v>0.44</v>
      </c>
      <c r="AZ157" s="280" t="n">
        <v>0.44</v>
      </c>
      <c r="BA157" s="280" t="n">
        <v>0.49</v>
      </c>
      <c r="BB157" s="280" t="n">
        <v>1.81</v>
      </c>
      <c r="BC157" s="280" t="n">
        <v>0.49</v>
      </c>
      <c r="BD157" s="280" t="n">
        <v>0.49</v>
      </c>
      <c r="BE157" s="280" t="n">
        <v>0.49</v>
      </c>
      <c r="BF157" s="280" t="n">
        <v>0.57</v>
      </c>
      <c r="BG157" s="280" t="n">
        <v>2.04</v>
      </c>
      <c r="BH157" s="280" t="n">
        <v>0.57</v>
      </c>
      <c r="BI157" s="280" t="n">
        <v>0.57</v>
      </c>
      <c r="BJ157" s="280" t="n">
        <v>0.57</v>
      </c>
      <c r="BK157" s="280" t="n">
        <v>0.66</v>
      </c>
      <c r="BL157" s="280" t="n">
        <v>2.37</v>
      </c>
      <c r="BM157" s="280" t="n">
        <v>0.66</v>
      </c>
      <c r="BN157" s="280" t="n">
        <v>0.66</v>
      </c>
      <c r="BO157" s="280" t="n">
        <v>0.66</v>
      </c>
      <c r="BP157" s="280" t="n">
        <v>0.76</v>
      </c>
      <c r="BQ157" s="280" t="n">
        <v>2.74</v>
      </c>
      <c r="BR157" s="280" t="n">
        <v>0.76</v>
      </c>
      <c r="BS157" s="280" t="n">
        <v>0.76</v>
      </c>
      <c r="BT157" s="280" t="n">
        <v>0.76</v>
      </c>
      <c r="BU157" s="280" t="n">
        <v>0.87</v>
      </c>
      <c r="BV157" s="280" t="n">
        <v>3.15</v>
      </c>
      <c r="BW157" s="280" t="n">
        <v>0.87</v>
      </c>
      <c r="BX157" s="280" t="n">
        <v>0.87</v>
      </c>
      <c r="BY157" s="282" t="n">
        <v>0.87</v>
      </c>
      <c r="BZ157" s="282" t="n">
        <v>0.99</v>
      </c>
      <c r="CA157" s="283">
        <f>SUM(BW157:BZ157)</f>
        <v>3.6</v>
      </c>
      <c r="CB157" s="283">
        <f>CA157*(1+CB158)</f>
        <v>4.068</v>
      </c>
      <c r="CC157" s="283">
        <f>CB157*(1+CC158)</f>
        <v>4.59684</v>
      </c>
      <c r="CD157" s="283">
        <f>CC157*(1+CD158)</f>
        <v>5.1944292</v>
      </c>
      <c r="CE157" s="283">
        <f>CD157*(1+CE158)</f>
        <v>5.869704996</v>
      </c>
      <c r="CF157" s="19" t="inlineStr">
        <is>
          <t>10-Q / 10-K "dividends declared per share" (split-adjusted). Mastercard declares the next year's higher quarterly rate in December (Q4). Q3-26E $0.87; Q4-26E $0.99 (assumption: +14%, 2025 +14.5%). 2027E+: prior year × (1 + growth).</t>
        </is>
      </c>
      <c r="CH157" s="20">
        <f>IFERROR((CE157/BV157)^(1/5)-1,"n/m")</f>
        <v>0.132559804746898</v>
      </c>
      <c r="CI157" s="20">
        <f>IFERROR((BV157/AW157)^(1/5)-1,"n/m")</f>
        <v>0.139444932140629</v>
      </c>
      <c r="CJ157" s="20">
        <f>IFERROR((BV157/X157)^(1/10)-1,"n/m")</f>
        <v>0.16741044612395</v>
      </c>
      <c r="CK157" s="20">
        <f>IFERROR((BV157/C157)^(1/19)-1,"n/m")</f>
        <v>0.312364983834538</v>
      </c>
    </row>
    <row r="158" ht="15" customHeight="1" s="251">
      <c r="B158" s="25" t="inlineStr">
        <is>
          <t xml:space="preserve">  Dividend per share growth %</t>
        </is>
      </c>
      <c r="C158" s="36" t="n"/>
      <c r="D158" s="215">
        <f>IF(AND(ISNUMBER(D157),ISNUMBER(C157)),IFERROR(D157/C157-1,""),"")</f>
        <v>2.33333333333333</v>
      </c>
      <c r="E158" s="215">
        <f>IF(AND(ISNUMBER(E157),ISNUMBER(D157)),IFERROR(E157/D157-1,""),"")</f>
        <v>0</v>
      </c>
      <c r="F158" s="215">
        <f>IF(AND(ISNUMBER(F157),ISNUMBER(E157)),IFERROR(F157/E157-1,""),"")</f>
        <v>0</v>
      </c>
      <c r="G158" s="215">
        <f>IF(AND(ISNUMBER(G157),ISNUMBER(F157)),IFERROR(G157/F157-1,""),"")</f>
        <v>0</v>
      </c>
      <c r="H158" s="215">
        <f>IF(AND(ISNUMBER(H157),ISNUMBER(G157)),IFERROR(H157/G157-1,""),"")</f>
        <v>0</v>
      </c>
      <c r="I158" s="215">
        <f>IF(AND(ISNUMBER(I157),ISNUMBER(H157)),IFERROR(I157/H157-1,""),"")</f>
        <v>1</v>
      </c>
      <c r="J158" s="36" t="n"/>
      <c r="K158" s="36" t="n"/>
      <c r="L158" s="36" t="n"/>
      <c r="M158" s="36" t="n"/>
      <c r="N158" s="215">
        <f>IF(AND(ISNUMBER(N157),ISNUMBER(I157)),IFERROR(N157/I157-1,""),"")</f>
        <v>1.41666666666667</v>
      </c>
      <c r="O158" s="215">
        <f>IF(AND(ISNUMBER(O157),ISNUMBER(J157)),IFERROR(O157/J157-1,""),"")</f>
        <v>0.833333333333334</v>
      </c>
      <c r="P158" s="215">
        <f>IF(AND(ISNUMBER(P157),ISNUMBER(K157)),IFERROR(P157/K157-1,""),"")</f>
        <v>0.833333333333334</v>
      </c>
      <c r="Q158" s="215">
        <f>IF(AND(ISNUMBER(Q157),ISNUMBER(L157)),IFERROR(Q157/L157-1,""),"")</f>
        <v>0.833333333333334</v>
      </c>
      <c r="R158" s="215">
        <f>IF(AND(ISNUMBER(R157),ISNUMBER(M157)),IFERROR(R157/M157-1,""),"")</f>
        <v>0.454545454545455</v>
      </c>
      <c r="S158" s="215">
        <f>IF(AND(ISNUMBER(S157),ISNUMBER(N157)),IFERROR(S157/N157-1,""),"")</f>
        <v>0.689655172413793</v>
      </c>
      <c r="T158" s="215">
        <f>IF(AND(ISNUMBER(T157),ISNUMBER(O157)),IFERROR(T157/O157-1,""),"")</f>
        <v>0.454545454545455</v>
      </c>
      <c r="U158" s="215">
        <f>IF(AND(ISNUMBER(U157),ISNUMBER(P157)),IFERROR(U157/P157-1,""),"")</f>
        <v>0.454545454545455</v>
      </c>
      <c r="V158" s="215">
        <f>IF(AND(ISNUMBER(V157),ISNUMBER(Q157)),IFERROR(V157/Q157-1,""),"")</f>
        <v>0.454545454545455</v>
      </c>
      <c r="W158" s="215">
        <f>IF(AND(ISNUMBER(W157),ISNUMBER(R157)),IFERROR(W157/R157-1,""),"")</f>
        <v>0.1875</v>
      </c>
      <c r="X158" s="215">
        <f>IF(AND(ISNUMBER(X157),ISNUMBER(S157)),IFERROR(X157/S157-1,""),"")</f>
        <v>0.36734693877551</v>
      </c>
      <c r="Y158" s="215">
        <f>IF(AND(ISNUMBER(Y157),ISNUMBER(T157)),IFERROR(Y157/T157-1,""),"")</f>
        <v>0.1875</v>
      </c>
      <c r="Z158" s="215">
        <f>IF(AND(ISNUMBER(Z157),ISNUMBER(U157)),IFERROR(Z157/U157-1,""),"")</f>
        <v>0.1875</v>
      </c>
      <c r="AA158" s="215">
        <f>IF(AND(ISNUMBER(AA157),ISNUMBER(V157)),IFERROR(AA157/V157-1,""),"")</f>
        <v>0.1875</v>
      </c>
      <c r="AB158" s="215">
        <f>IF(AND(ISNUMBER(AB157),ISNUMBER(W157)),IFERROR(AB157/W157-1,""),"")</f>
        <v>0.157894736842105</v>
      </c>
      <c r="AC158" s="215">
        <f>IF(AND(ISNUMBER(AC157),ISNUMBER(X157)),IFERROR(AC157/X157-1,""),"")</f>
        <v>0.17910447761194</v>
      </c>
      <c r="AD158" s="215">
        <f>IF(AND(ISNUMBER(AD157),ISNUMBER(Y157)),IFERROR(AD157/Y157-1,""),"")</f>
        <v>0.157894736842105</v>
      </c>
      <c r="AE158" s="215">
        <f>IF(AND(ISNUMBER(AE157),ISNUMBER(Z157)),IFERROR(AE157/Z157-1,""),"")</f>
        <v>0.157894736842105</v>
      </c>
      <c r="AF158" s="215">
        <f>IF(AND(ISNUMBER(AF157),ISNUMBER(AA157)),IFERROR(AF157/AA157-1,""),"")</f>
        <v>0.157894736842105</v>
      </c>
      <c r="AG158" s="215">
        <f>IF(AND(ISNUMBER(AG157),ISNUMBER(AB157)),IFERROR(AG157/AB157-1,""),"")</f>
        <v>0.136363636363636</v>
      </c>
      <c r="AH158" s="215">
        <f>IF(AND(ISNUMBER(AH157),ISNUMBER(AC157)),IFERROR(AH157/AC157-1,""),"")</f>
        <v>0.151898734177215</v>
      </c>
      <c r="AI158" s="215">
        <f>IF(AND(ISNUMBER(AI157),ISNUMBER(AD157)),IFERROR(AI157/AD157-1,""),"")</f>
        <v>0.136363636363636</v>
      </c>
      <c r="AJ158" s="215">
        <f>IF(AND(ISNUMBER(AJ157),ISNUMBER(AE157)),IFERROR(AJ157/AE157-1,""),"")</f>
        <v>0.136363636363636</v>
      </c>
      <c r="AK158" s="215">
        <f>IF(AND(ISNUMBER(AK157),ISNUMBER(AF157)),IFERROR(AK157/AF157-1,""),"")</f>
        <v>0.136363636363636</v>
      </c>
      <c r="AL158" s="215">
        <f>IF(AND(ISNUMBER(AL157),ISNUMBER(AG157)),IFERROR(AL157/AG157-1,""),"")</f>
        <v>0.32</v>
      </c>
      <c r="AM158" s="215">
        <f>IF(AND(ISNUMBER(AM157),ISNUMBER(AH157)),IFERROR(AM157/AH157-1,""),"")</f>
        <v>0.186813186813187</v>
      </c>
      <c r="AN158" s="215">
        <f>IF(AND(ISNUMBER(AN157),ISNUMBER(AI157)),IFERROR(AN157/AI157-1,""),"")</f>
        <v>0.32</v>
      </c>
      <c r="AO158" s="215">
        <f>IF(AND(ISNUMBER(AO157),ISNUMBER(AJ157)),IFERROR(AO157/AJ157-1,""),"")</f>
        <v>0.32</v>
      </c>
      <c r="AP158" s="215">
        <f>IF(AND(ISNUMBER(AP157),ISNUMBER(AK157)),IFERROR(AP157/AK157-1,""),"")</f>
        <v>0.32</v>
      </c>
      <c r="AQ158" s="215">
        <f>IF(AND(ISNUMBER(AQ157),ISNUMBER(AL157)),IFERROR(AQ157/AL157-1,""),"")</f>
        <v>0.212121212121212</v>
      </c>
      <c r="AR158" s="215">
        <f>IF(AND(ISNUMBER(AR157),ISNUMBER(AM157)),IFERROR(AR157/AM157-1,""),"")</f>
        <v>0.287037037037037</v>
      </c>
      <c r="AS158" s="215">
        <f>IF(AND(ISNUMBER(AS157),ISNUMBER(AN157)),IFERROR(AS157/AN157-1,""),"")</f>
        <v>0.212121212121212</v>
      </c>
      <c r="AT158" s="215">
        <f>IF(AND(ISNUMBER(AT157),ISNUMBER(AO157)),IFERROR(AT157/AO157-1,""),"")</f>
        <v>0.212121212121212</v>
      </c>
      <c r="AU158" s="215">
        <f>IF(AND(ISNUMBER(AU157),ISNUMBER(AP157)),IFERROR(AU157/AP157-1,""),"")</f>
        <v>0.212121212121212</v>
      </c>
      <c r="AV158" s="215">
        <f>IF(AND(ISNUMBER(AV157),ISNUMBER(AQ157)),IFERROR(AV157/AQ157-1,""),"")</f>
        <v>0.0999999999999999</v>
      </c>
      <c r="AW158" s="215">
        <f>IF(AND(ISNUMBER(AW157),ISNUMBER(AR157)),IFERROR(AW157/AR157-1,""),"")</f>
        <v>0.179856115107914</v>
      </c>
      <c r="AX158" s="215">
        <f>IF(AND(ISNUMBER(AX157),ISNUMBER(AS157)),IFERROR(AX157/AS157-1,""),"")</f>
        <v>0.0999999999999999</v>
      </c>
      <c r="AY158" s="215">
        <f>IF(AND(ISNUMBER(AY157),ISNUMBER(AT157)),IFERROR(AY157/AT157-1,""),"")</f>
        <v>0.0999999999999999</v>
      </c>
      <c r="AZ158" s="215">
        <f>IF(AND(ISNUMBER(AZ157),ISNUMBER(AU157)),IFERROR(AZ157/AU157-1,""),"")</f>
        <v>0.0999999999999999</v>
      </c>
      <c r="BA158" s="215">
        <f>IF(AND(ISNUMBER(BA157),ISNUMBER(AV157)),IFERROR(BA157/AV157-1,""),"")</f>
        <v>0.113636363636364</v>
      </c>
      <c r="BB158" s="215">
        <f>IF(AND(ISNUMBER(BB157),ISNUMBER(AW157)),IFERROR(BB157/AW157-1,""),"")</f>
        <v>0.103658536585366</v>
      </c>
      <c r="BC158" s="215">
        <f>IF(AND(ISNUMBER(BC157),ISNUMBER(AX157)),IFERROR(BC157/AX157-1,""),"")</f>
        <v>0.113636363636364</v>
      </c>
      <c r="BD158" s="215">
        <f>IF(AND(ISNUMBER(BD157),ISNUMBER(AY157)),IFERROR(BD157/AY157-1,""),"")</f>
        <v>0.113636363636364</v>
      </c>
      <c r="BE158" s="215">
        <f>IF(AND(ISNUMBER(BE157),ISNUMBER(AZ157)),IFERROR(BE157/AZ157-1,""),"")</f>
        <v>0.113636363636364</v>
      </c>
      <c r="BF158" s="215">
        <f>IF(AND(ISNUMBER(BF157),ISNUMBER(BA157)),IFERROR(BF157/BA157-1,""),"")</f>
        <v>0.163265306122449</v>
      </c>
      <c r="BG158" s="215">
        <f>IF(AND(ISNUMBER(BG157),ISNUMBER(BB157)),IFERROR(BG157/BB157-1,""),"")</f>
        <v>0.12707182320442</v>
      </c>
      <c r="BH158" s="215">
        <f>IF(AND(ISNUMBER(BH157),ISNUMBER(BC157)),IFERROR(BH157/BC157-1,""),"")</f>
        <v>0.163265306122449</v>
      </c>
      <c r="BI158" s="215">
        <f>IF(AND(ISNUMBER(BI157),ISNUMBER(BD157)),IFERROR(BI157/BD157-1,""),"")</f>
        <v>0.163265306122449</v>
      </c>
      <c r="BJ158" s="215">
        <f>IF(AND(ISNUMBER(BJ157),ISNUMBER(BE157)),IFERROR(BJ157/BE157-1,""),"")</f>
        <v>0.163265306122449</v>
      </c>
      <c r="BK158" s="215">
        <f>IF(AND(ISNUMBER(BK157),ISNUMBER(BF157)),IFERROR(BK157/BF157-1,""),"")</f>
        <v>0.157894736842105</v>
      </c>
      <c r="BL158" s="215">
        <f>IF(AND(ISNUMBER(BL157),ISNUMBER(BG157)),IFERROR(BL157/BG157-1,""),"")</f>
        <v>0.161764705882353</v>
      </c>
      <c r="BM158" s="215">
        <f>IF(AND(ISNUMBER(BM157),ISNUMBER(BH157)),IFERROR(BM157/BH157-1,""),"")</f>
        <v>0.157894736842105</v>
      </c>
      <c r="BN158" s="215">
        <f>IF(AND(ISNUMBER(BN157),ISNUMBER(BI157)),IFERROR(BN157/BI157-1,""),"")</f>
        <v>0.157894736842105</v>
      </c>
      <c r="BO158" s="215">
        <f>IF(AND(ISNUMBER(BO157),ISNUMBER(BJ157)),IFERROR(BO157/BJ157-1,""),"")</f>
        <v>0.157894736842105</v>
      </c>
      <c r="BP158" s="215">
        <f>IF(AND(ISNUMBER(BP157),ISNUMBER(BK157)),IFERROR(BP157/BK157-1,""),"")</f>
        <v>0.151515151515151</v>
      </c>
      <c r="BQ158" s="215">
        <f>IF(AND(ISNUMBER(BQ157),ISNUMBER(BL157)),IFERROR(BQ157/BL157-1,""),"")</f>
        <v>0.156118143459916</v>
      </c>
      <c r="BR158" s="215">
        <f>IF(AND(ISNUMBER(BR157),ISNUMBER(BM157)),IFERROR(BR157/BM157-1,""),"")</f>
        <v>0.151515151515151</v>
      </c>
      <c r="BS158" s="215">
        <f>IF(AND(ISNUMBER(BS157),ISNUMBER(BN157)),IFERROR(BS157/BN157-1,""),"")</f>
        <v>0.151515151515151</v>
      </c>
      <c r="BT158" s="215">
        <f>IF(AND(ISNUMBER(BT157),ISNUMBER(BO157)),IFERROR(BT157/BO157-1,""),"")</f>
        <v>0.151515151515151</v>
      </c>
      <c r="BU158" s="215">
        <f>IF(AND(ISNUMBER(BU157),ISNUMBER(BP157)),IFERROR(BU157/BP157-1,""),"")</f>
        <v>0.144736842105263</v>
      </c>
      <c r="BV158" s="215">
        <f>IF(AND(ISNUMBER(BV157),ISNUMBER(BQ157)),IFERROR(BV157/BQ157-1,""),"")</f>
        <v>0.14963503649635</v>
      </c>
      <c r="BW158" s="215">
        <f>IF(AND(ISNUMBER(BW157),ISNUMBER(BR157)),IFERROR(BW157/BR157-1,""),"")</f>
        <v>0.144736842105263</v>
      </c>
      <c r="BX158" s="215">
        <f>IF(AND(ISNUMBER(BX157),ISNUMBER(BS157)),IFERROR(BX157/BS157-1,""),"")</f>
        <v>0.144736842105263</v>
      </c>
      <c r="BY158" s="256">
        <f>IF(AND(ISNUMBER(BY157),ISNUMBER(BT157)),IFERROR(BY157/BT157-1,""),"")</f>
        <v>0.144736842105263</v>
      </c>
      <c r="BZ158" s="256">
        <f>IF(AND(ISNUMBER(BZ157),ISNUMBER(BU157)),IFERROR(BZ157/BU157-1,""),"")</f>
        <v>0.137931034482759</v>
      </c>
      <c r="CA158" s="256">
        <f>IF(AND(ISNUMBER(CA157),ISNUMBER(BV157)),IFERROR(CA157/BV157-1,""),"")</f>
        <v>0.142857142857143</v>
      </c>
      <c r="CB158" s="259" t="n">
        <v>0.13</v>
      </c>
      <c r="CC158" s="259" t="n">
        <v>0.13</v>
      </c>
      <c r="CD158" s="259" t="n">
        <v>0.13</v>
      </c>
      <c r="CE158" s="259" t="n">
        <v>0.13</v>
      </c>
      <c r="CF158" s="19" t="n"/>
    </row>
    <row r="159" ht="15" customHeight="1" s="251">
      <c r="CN159" s="11" t="n"/>
      <c r="CO159" s="12" t="n"/>
      <c r="CP159" s="12" t="n"/>
      <c r="CQ159" s="12" t="n"/>
      <c r="CR159" s="13" t="n"/>
    </row>
    <row r="160" ht="15" customHeight="1" s="251">
      <c r="B160" s="10" t="inlineStr">
        <is>
          <t>RECONCILIATION: GAAP OPERATING EXPENSES → ADJUSTED OPERATING EXPENSES → ADJUSTED OPERATING INCOME (company definitions)</t>
        </is>
      </c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inlineStr">
        <is>
          <t>ADJUSTED OPEX / MARGIN — per the release non-GAAP reconciliations ("special items"); item wording per period in the cell comments of the special-item rows</t>
        </is>
      </c>
    </row>
    <row r="161" ht="15" customHeight="1" s="251">
      <c r="B161" s="16" t="inlineStr">
        <is>
          <t>Total operating expenses (GAAP)</t>
        </is>
      </c>
      <c r="C161" s="275">
        <f>C129</f>
        <v>3096.579</v>
      </c>
      <c r="D161" s="275">
        <f>D129</f>
        <v>2959.487</v>
      </c>
      <c r="E161" s="275">
        <f>E129</f>
        <v>5526.105</v>
      </c>
      <c r="F161" s="275">
        <f>F129</f>
        <v>2838.576</v>
      </c>
      <c r="G161" s="275">
        <f>G129</f>
        <v>2787</v>
      </c>
      <c r="H161" s="275">
        <f>H129</f>
        <v>4001</v>
      </c>
      <c r="I161" s="275">
        <f>I129</f>
        <v>3454</v>
      </c>
      <c r="J161" s="275">
        <f>J129</f>
        <v>799</v>
      </c>
      <c r="K161" s="275">
        <f>K129</f>
        <v>868</v>
      </c>
      <c r="L161" s="275">
        <f>L129</f>
        <v>970</v>
      </c>
      <c r="M161" s="275">
        <f>M129</f>
        <v>1206</v>
      </c>
      <c r="N161" s="275">
        <f>N129</f>
        <v>3843</v>
      </c>
      <c r="O161" s="275">
        <f>O129</f>
        <v>892</v>
      </c>
      <c r="P161" s="275">
        <f>P129</f>
        <v>994</v>
      </c>
      <c r="Q161" s="275">
        <f>Q129</f>
        <v>1083</v>
      </c>
      <c r="R161" s="275">
        <f>R129</f>
        <v>1398</v>
      </c>
      <c r="S161" s="275">
        <f>S129</f>
        <v>4367</v>
      </c>
      <c r="T161" s="275">
        <f>T129</f>
        <v>879</v>
      </c>
      <c r="U161" s="275">
        <f>U129</f>
        <v>1139</v>
      </c>
      <c r="V161" s="275">
        <f>V129</f>
        <v>1161</v>
      </c>
      <c r="W161" s="275">
        <f>W129</f>
        <v>1410</v>
      </c>
      <c r="X161" s="275">
        <f>X129</f>
        <v>4589</v>
      </c>
      <c r="Y161" s="275">
        <f>Y129</f>
        <v>1098</v>
      </c>
      <c r="Z161" s="275">
        <f>Z129</f>
        <v>1314</v>
      </c>
      <c r="AA161" s="275">
        <f>AA129</f>
        <v>1210</v>
      </c>
      <c r="AB161" s="275">
        <f>AB129</f>
        <v>1393</v>
      </c>
      <c r="AC161" s="275">
        <f>AC129</f>
        <v>5015</v>
      </c>
      <c r="AD161" s="275">
        <f>AD129</f>
        <v>1228</v>
      </c>
      <c r="AE161" s="275">
        <f>AE129</f>
        <v>1400</v>
      </c>
      <c r="AF161" s="275">
        <f>AF129</f>
        <v>1457</v>
      </c>
      <c r="AG161" s="275">
        <f>AG129</f>
        <v>1790</v>
      </c>
      <c r="AH161" s="275">
        <f>AH129</f>
        <v>5875</v>
      </c>
      <c r="AI161" s="275">
        <f>AI129</f>
        <v>1755</v>
      </c>
      <c r="AJ161" s="275">
        <f>AJ129</f>
        <v>1729</v>
      </c>
      <c r="AK161" s="275">
        <f>AK129</f>
        <v>1611</v>
      </c>
      <c r="AL161" s="275">
        <f>AL129</f>
        <v>2573</v>
      </c>
      <c r="AM161" s="275">
        <f>AM129</f>
        <v>7668</v>
      </c>
      <c r="AN161" s="275">
        <f>AN129</f>
        <v>1676</v>
      </c>
      <c r="AO161" s="275">
        <f>AO129</f>
        <v>1716</v>
      </c>
      <c r="AP161" s="275">
        <f>AP129</f>
        <v>1812</v>
      </c>
      <c r="AQ161" s="275">
        <f>AQ129</f>
        <v>2015</v>
      </c>
      <c r="AR161" s="275">
        <f>AR129</f>
        <v>7219</v>
      </c>
      <c r="AS161" s="275">
        <f>AS129</f>
        <v>1798</v>
      </c>
      <c r="AT161" s="275">
        <f>AT129</f>
        <v>1628</v>
      </c>
      <c r="AU161" s="275">
        <f>AU129</f>
        <v>1732</v>
      </c>
      <c r="AV161" s="275">
        <f>AV129</f>
        <v>2062</v>
      </c>
      <c r="AW161" s="275">
        <f>AW129</f>
        <v>7220</v>
      </c>
      <c r="AX161" s="275">
        <f>AX129</f>
        <v>1958</v>
      </c>
      <c r="AY161" s="275">
        <f>AY129</f>
        <v>2187</v>
      </c>
      <c r="AZ161" s="275">
        <f>AZ129</f>
        <v>2268</v>
      </c>
      <c r="BA161" s="275">
        <f>BA129</f>
        <v>2389</v>
      </c>
      <c r="BB161" s="275">
        <f>BB129</f>
        <v>8802</v>
      </c>
      <c r="BC161" s="275">
        <f>BC129</f>
        <v>2217</v>
      </c>
      <c r="BD161" s="275">
        <f>BD129</f>
        <v>2479</v>
      </c>
      <c r="BE161" s="275">
        <f>BE129</f>
        <v>2644</v>
      </c>
      <c r="BF161" s="275">
        <f>BF129</f>
        <v>2633</v>
      </c>
      <c r="BG161" s="275">
        <f>BG129</f>
        <v>9973</v>
      </c>
      <c r="BH161" s="275">
        <f>BH129</f>
        <v>2612</v>
      </c>
      <c r="BI161" s="275">
        <f>BI129</f>
        <v>2613</v>
      </c>
      <c r="BJ161" s="275">
        <f>BJ129</f>
        <v>2689</v>
      </c>
      <c r="BK161" s="275">
        <f>BK129</f>
        <v>3176</v>
      </c>
      <c r="BL161" s="275">
        <f>BL129</f>
        <v>11090</v>
      </c>
      <c r="BM161" s="275">
        <f>BM129</f>
        <v>2744</v>
      </c>
      <c r="BN161" s="275">
        <f>BN129</f>
        <v>2925</v>
      </c>
      <c r="BO161" s="275">
        <f>BO129</f>
        <v>3365</v>
      </c>
      <c r="BP161" s="275">
        <f>BP129</f>
        <v>3551</v>
      </c>
      <c r="BQ161" s="275">
        <f>BQ129</f>
        <v>12585</v>
      </c>
      <c r="BR161" s="275">
        <f>BR129</f>
        <v>3101</v>
      </c>
      <c r="BS161" s="275">
        <f>BS129</f>
        <v>3356</v>
      </c>
      <c r="BT161" s="275">
        <f>BT129</f>
        <v>3541</v>
      </c>
      <c r="BU161" s="275">
        <f>BU129</f>
        <v>3896</v>
      </c>
      <c r="BV161" s="275">
        <f>BV129</f>
        <v>13894</v>
      </c>
      <c r="BW161" s="275">
        <f>BW129</f>
        <v>3491</v>
      </c>
      <c r="BX161" s="275">
        <f>BX129</f>
        <v>3690</v>
      </c>
      <c r="BY161" s="263">
        <f>BY129</f>
        <v>3968.74586350975</v>
      </c>
      <c r="BZ161" s="263">
        <f>BZ129</f>
        <v>4264.10413649025</v>
      </c>
      <c r="CA161" s="263">
        <f>CA129</f>
        <v>15413.85</v>
      </c>
      <c r="CB161" s="263">
        <f>CB129</f>
        <v>17082.842756541</v>
      </c>
      <c r="CC161" s="263">
        <f>CC129</f>
        <v>18882.169259674</v>
      </c>
      <c r="CD161" s="263">
        <f>CD129</f>
        <v>20735.9440272976</v>
      </c>
      <c r="CE161" s="263">
        <f>CE129</f>
        <v>22626.7508137998</v>
      </c>
      <c r="CF161" s="153" t="n"/>
    </row>
    <row r="162" ht="15" customHeight="1" s="251">
      <c r="B162" s="25" t="inlineStr">
        <is>
          <t xml:space="preserve">  (−) Litigation provisions</t>
        </is>
      </c>
      <c r="C162" s="211">
        <f>-C114</f>
        <v>-25</v>
      </c>
      <c r="D162" s="211">
        <f>-D114</f>
        <v>-3</v>
      </c>
      <c r="E162" s="211">
        <f>-E114</f>
        <v>-2483</v>
      </c>
      <c r="F162" s="211">
        <f>-F114</f>
        <v>-7</v>
      </c>
      <c r="G162" s="211">
        <f>-G114</f>
        <v>0</v>
      </c>
      <c r="H162" s="211">
        <f>-H114</f>
        <v>-770</v>
      </c>
      <c r="I162" s="211">
        <f>-I114</f>
        <v>-20</v>
      </c>
      <c r="J162" s="211">
        <f>-J114</f>
        <v>0</v>
      </c>
      <c r="K162" s="211">
        <f>-K114</f>
        <v>0</v>
      </c>
      <c r="L162" s="211">
        <f>-L114</f>
        <v>0</v>
      </c>
      <c r="M162" s="211">
        <f>-M114</f>
        <v>-95</v>
      </c>
      <c r="N162" s="211">
        <f>-N114</f>
        <v>-95</v>
      </c>
      <c r="O162" s="211">
        <f>-O114</f>
        <v>0</v>
      </c>
      <c r="P162" s="211">
        <f>-P114</f>
        <v>0</v>
      </c>
      <c r="Q162" s="211">
        <f>-Q114</f>
        <v>0</v>
      </c>
      <c r="R162" s="211">
        <f>-R114</f>
        <v>0</v>
      </c>
      <c r="S162" s="211">
        <f>-S114</f>
        <v>0</v>
      </c>
      <c r="T162" s="211">
        <f>-T114</f>
        <v>0</v>
      </c>
      <c r="U162" s="211">
        <f>-U114</f>
        <v>-61</v>
      </c>
      <c r="V162" s="211">
        <f>-V114</f>
        <v>0</v>
      </c>
      <c r="W162" s="211">
        <f>-W114</f>
        <v>0</v>
      </c>
      <c r="X162" s="211">
        <f>-X114</f>
        <v>-61</v>
      </c>
      <c r="Y162" s="211">
        <f>-Y114</f>
        <v>0</v>
      </c>
      <c r="Z162" s="211">
        <f>-Z114</f>
        <v>-107</v>
      </c>
      <c r="AA162" s="211">
        <f>-AA114</f>
        <v>0</v>
      </c>
      <c r="AB162" s="211">
        <f>-AB114</f>
        <v>-10</v>
      </c>
      <c r="AC162" s="211">
        <f>-AC114</f>
        <v>-117</v>
      </c>
      <c r="AD162" s="211">
        <f>-AD114</f>
        <v>-15</v>
      </c>
      <c r="AE162" s="211">
        <f>-AE114</f>
        <v>0</v>
      </c>
      <c r="AF162" s="211">
        <f>-AF114</f>
        <v>0</v>
      </c>
      <c r="AG162" s="211">
        <f>-AG114</f>
        <v>0</v>
      </c>
      <c r="AH162" s="211">
        <f>-AH114</f>
        <v>-15</v>
      </c>
      <c r="AI162" s="211">
        <f>-AI114</f>
        <v>-117</v>
      </c>
      <c r="AJ162" s="211">
        <f>-AJ114</f>
        <v>-225</v>
      </c>
      <c r="AK162" s="211">
        <f>-AK114</f>
        <v>-29</v>
      </c>
      <c r="AL162" s="211">
        <f>-AL114</f>
        <v>-757</v>
      </c>
      <c r="AM162" s="211">
        <f>-AM114</f>
        <v>-1128</v>
      </c>
      <c r="AN162" s="211">
        <f>-AN114</f>
        <v>0</v>
      </c>
      <c r="AO162" s="211">
        <f>-AO114</f>
        <v>0</v>
      </c>
      <c r="AP162" s="211">
        <f>-AP114</f>
        <v>0</v>
      </c>
      <c r="AQ162" s="211">
        <f>-AQ114</f>
        <v>0</v>
      </c>
      <c r="AR162" s="211">
        <f>-AR114</f>
        <v>0</v>
      </c>
      <c r="AS162" s="211">
        <f>-AS114</f>
        <v>-6</v>
      </c>
      <c r="AT162" s="211">
        <f>-AT114</f>
        <v>-22</v>
      </c>
      <c r="AU162" s="211">
        <f>-AU114</f>
        <v>0</v>
      </c>
      <c r="AV162" s="211">
        <f>-AV114</f>
        <v>-45</v>
      </c>
      <c r="AW162" s="211">
        <f>-AW114</f>
        <v>-73</v>
      </c>
      <c r="AX162" s="211">
        <f>-AX114</f>
        <v>0</v>
      </c>
      <c r="AY162" s="211">
        <f>-AY114</f>
        <v>-67</v>
      </c>
      <c r="AZ162" s="211">
        <f>-AZ114</f>
        <v>-27</v>
      </c>
      <c r="BA162" s="211">
        <f>-BA114</f>
        <v>0</v>
      </c>
      <c r="BB162" s="211">
        <f>-BB114</f>
        <v>-94</v>
      </c>
      <c r="BC162" s="211">
        <f>-BC114</f>
        <v>0</v>
      </c>
      <c r="BD162" s="211">
        <f>-BD114</f>
        <v>-133</v>
      </c>
      <c r="BE162" s="211">
        <f>-BE114</f>
        <v>-208</v>
      </c>
      <c r="BF162" s="211">
        <f>-BF114</f>
        <v>-15</v>
      </c>
      <c r="BG162" s="211">
        <f>-BG114</f>
        <v>-356</v>
      </c>
      <c r="BH162" s="211">
        <f>-BH114</f>
        <v>-211</v>
      </c>
      <c r="BI162" s="211">
        <f>-BI114</f>
        <v>-20</v>
      </c>
      <c r="BJ162" s="211">
        <f>-BJ114</f>
        <v>0</v>
      </c>
      <c r="BK162" s="211">
        <f>-BK114</f>
        <v>-308</v>
      </c>
      <c r="BL162" s="211">
        <f>-BL114</f>
        <v>-539</v>
      </c>
      <c r="BM162" s="211">
        <f>-BM114</f>
        <v>-126</v>
      </c>
      <c r="BN162" s="211">
        <f>-BN114</f>
        <v>-98</v>
      </c>
      <c r="BO162" s="211">
        <f>-BO114</f>
        <v>-176</v>
      </c>
      <c r="BP162" s="211">
        <f>-BP114</f>
        <v>-280</v>
      </c>
      <c r="BQ162" s="211">
        <f>-BQ114</f>
        <v>-680</v>
      </c>
      <c r="BR162" s="211">
        <f>-BR114</f>
        <v>-151</v>
      </c>
      <c r="BS162" s="211">
        <f>-BS114</f>
        <v>-96</v>
      </c>
      <c r="BT162" s="211">
        <f>-BT114</f>
        <v>-83</v>
      </c>
      <c r="BU162" s="211">
        <f>-BU114</f>
        <v>-174</v>
      </c>
      <c r="BV162" s="211">
        <f>-BV114</f>
        <v>-504</v>
      </c>
      <c r="BW162" s="211">
        <f>-BW114</f>
        <v>0</v>
      </c>
      <c r="BX162" s="211">
        <f>-BX114</f>
        <v>-82</v>
      </c>
      <c r="BY162" s="254">
        <f>-BY114</f>
        <v>-100</v>
      </c>
      <c r="BZ162" s="254">
        <f>-BZ114</f>
        <v>-100</v>
      </c>
      <c r="CA162" s="254">
        <f>-CA114</f>
        <v>-282</v>
      </c>
      <c r="CB162" s="254">
        <f>-CB114</f>
        <v>-450</v>
      </c>
      <c r="CC162" s="254">
        <f>-CC114</f>
        <v>-450</v>
      </c>
      <c r="CD162" s="254">
        <f>-CD114</f>
        <v>-450</v>
      </c>
      <c r="CE162" s="254">
        <f>-CE114</f>
        <v>-450</v>
      </c>
      <c r="CF162" s="19" t="n"/>
    </row>
    <row r="163" ht="15" customHeight="1" s="251">
      <c r="B163" s="25" t="inlineStr">
        <is>
          <t xml:space="preserve">  (−) Restructuring charges</t>
        </is>
      </c>
      <c r="C163" s="211">
        <f>-C115</f>
        <v>0</v>
      </c>
      <c r="D163" s="211">
        <f>-D115</f>
        <v>0</v>
      </c>
      <c r="E163" s="211">
        <f>-E115</f>
        <v>0</v>
      </c>
      <c r="F163" s="211">
        <f>-F115</f>
        <v>0</v>
      </c>
      <c r="G163" s="211">
        <f>-G115</f>
        <v>0</v>
      </c>
      <c r="H163" s="211">
        <f>-H115</f>
        <v>0</v>
      </c>
      <c r="I163" s="211">
        <f>-I115</f>
        <v>0</v>
      </c>
      <c r="J163" s="211">
        <f>-J115</f>
        <v>0</v>
      </c>
      <c r="K163" s="211">
        <f>-K115</f>
        <v>0</v>
      </c>
      <c r="L163" s="211">
        <f>-L115</f>
        <v>0</v>
      </c>
      <c r="M163" s="211">
        <f>-M115</f>
        <v>0</v>
      </c>
      <c r="N163" s="211">
        <f>-N115</f>
        <v>0</v>
      </c>
      <c r="O163" s="211">
        <f>-O115</f>
        <v>0</v>
      </c>
      <c r="P163" s="211">
        <f>-P115</f>
        <v>0</v>
      </c>
      <c r="Q163" s="211">
        <f>-Q115</f>
        <v>0</v>
      </c>
      <c r="R163" s="211">
        <f>-R115</f>
        <v>0</v>
      </c>
      <c r="S163" s="211">
        <f>-S115</f>
        <v>0</v>
      </c>
      <c r="T163" s="211">
        <f>-T115</f>
        <v>0</v>
      </c>
      <c r="U163" s="211">
        <f>-U115</f>
        <v>0</v>
      </c>
      <c r="V163" s="211">
        <f>-V115</f>
        <v>0</v>
      </c>
      <c r="W163" s="211">
        <f>-W115</f>
        <v>0</v>
      </c>
      <c r="X163" s="211">
        <f>-X115</f>
        <v>0</v>
      </c>
      <c r="Y163" s="211">
        <f>-Y115</f>
        <v>0</v>
      </c>
      <c r="Z163" s="211">
        <f>-Z115</f>
        <v>0</v>
      </c>
      <c r="AA163" s="211">
        <f>-AA115</f>
        <v>0</v>
      </c>
      <c r="AB163" s="211">
        <f>-AB115</f>
        <v>0</v>
      </c>
      <c r="AC163" s="211">
        <f>-AC115</f>
        <v>0</v>
      </c>
      <c r="AD163" s="211">
        <f>-AD115</f>
        <v>0</v>
      </c>
      <c r="AE163" s="211">
        <f>-AE115</f>
        <v>0</v>
      </c>
      <c r="AF163" s="211">
        <f>-AF115</f>
        <v>0</v>
      </c>
      <c r="AG163" s="211">
        <f>-AG115</f>
        <v>0</v>
      </c>
      <c r="AH163" s="211">
        <f>-AH115</f>
        <v>0</v>
      </c>
      <c r="AI163" s="211">
        <f>-AI115</f>
        <v>0</v>
      </c>
      <c r="AJ163" s="211">
        <f>-AJ115</f>
        <v>0</v>
      </c>
      <c r="AK163" s="211">
        <f>-AK115</f>
        <v>0</v>
      </c>
      <c r="AL163" s="211">
        <f>-AL115</f>
        <v>0</v>
      </c>
      <c r="AM163" s="211">
        <f>-AM115</f>
        <v>0</v>
      </c>
      <c r="AN163" s="211">
        <f>-AN115</f>
        <v>0</v>
      </c>
      <c r="AO163" s="211">
        <f>-AO115</f>
        <v>0</v>
      </c>
      <c r="AP163" s="211">
        <f>-AP115</f>
        <v>0</v>
      </c>
      <c r="AQ163" s="211">
        <f>-AQ115</f>
        <v>0</v>
      </c>
      <c r="AR163" s="211">
        <f>-AR115</f>
        <v>0</v>
      </c>
      <c r="AS163" s="211">
        <f>-AS115</f>
        <v>0</v>
      </c>
      <c r="AT163" s="211">
        <f>-AT115</f>
        <v>0</v>
      </c>
      <c r="AU163" s="211">
        <f>-AU115</f>
        <v>0</v>
      </c>
      <c r="AV163" s="211">
        <f>-AV115</f>
        <v>0</v>
      </c>
      <c r="AW163" s="211">
        <f>-AW115</f>
        <v>0</v>
      </c>
      <c r="AX163" s="211">
        <f>-AX115</f>
        <v>0</v>
      </c>
      <c r="AY163" s="211">
        <f>-AY115</f>
        <v>0</v>
      </c>
      <c r="AZ163" s="211">
        <f>-AZ115</f>
        <v>0</v>
      </c>
      <c r="BA163" s="211">
        <f>-BA115</f>
        <v>0</v>
      </c>
      <c r="BB163" s="211">
        <f>-BB115</f>
        <v>0</v>
      </c>
      <c r="BC163" s="211">
        <f>-BC115</f>
        <v>0</v>
      </c>
      <c r="BD163" s="211">
        <f>-BD115</f>
        <v>0</v>
      </c>
      <c r="BE163" s="211">
        <f>-BE115</f>
        <v>0</v>
      </c>
      <c r="BF163" s="211">
        <f>-BF115</f>
        <v>0</v>
      </c>
      <c r="BG163" s="211">
        <f>-BG115</f>
        <v>0</v>
      </c>
      <c r="BH163" s="211">
        <f>-BH115</f>
        <v>0</v>
      </c>
      <c r="BI163" s="211">
        <f>-BI115</f>
        <v>0</v>
      </c>
      <c r="BJ163" s="211">
        <f>-BJ115</f>
        <v>0</v>
      </c>
      <c r="BK163" s="211">
        <f>-BK115</f>
        <v>0</v>
      </c>
      <c r="BL163" s="211">
        <f>-BL115</f>
        <v>0</v>
      </c>
      <c r="BM163" s="211">
        <f>-BM115</f>
        <v>0</v>
      </c>
      <c r="BN163" s="211">
        <f>-BN115</f>
        <v>0</v>
      </c>
      <c r="BO163" s="211">
        <f>-BO115</f>
        <v>-190</v>
      </c>
      <c r="BP163" s="211">
        <f>-BP115</f>
        <v>0</v>
      </c>
      <c r="BQ163" s="211">
        <f>-BQ115</f>
        <v>-190</v>
      </c>
      <c r="BR163" s="211">
        <f>-BR115</f>
        <v>0</v>
      </c>
      <c r="BS163" s="211">
        <f>-BS115</f>
        <v>0</v>
      </c>
      <c r="BT163" s="211">
        <f>-BT115</f>
        <v>0</v>
      </c>
      <c r="BU163" s="211">
        <f>-BU115</f>
        <v>0</v>
      </c>
      <c r="BV163" s="211">
        <f>-BV115</f>
        <v>0</v>
      </c>
      <c r="BW163" s="211">
        <f>-BW115</f>
        <v>-202</v>
      </c>
      <c r="BX163" s="211">
        <f>-BX115</f>
        <v>0</v>
      </c>
      <c r="BY163" s="254">
        <f>-BY115</f>
        <v>0</v>
      </c>
      <c r="BZ163" s="254">
        <f>-BZ115</f>
        <v>0</v>
      </c>
      <c r="CA163" s="254">
        <f>-CA115</f>
        <v>-202</v>
      </c>
      <c r="CB163" s="254">
        <f>-CB115</f>
        <v>0</v>
      </c>
      <c r="CC163" s="254">
        <f>-CC115</f>
        <v>0</v>
      </c>
      <c r="CD163" s="254">
        <f>-CD115</f>
        <v>0</v>
      </c>
      <c r="CE163" s="254">
        <f>-CE115</f>
        <v>0</v>
      </c>
      <c r="CF163" s="19" t="n"/>
    </row>
    <row r="164" ht="15" customHeight="1" s="251">
      <c r="B164" s="25" t="inlineStr">
        <is>
          <t xml:space="preserve">  (−) Other operating special items</t>
        </is>
      </c>
      <c r="C164" s="211">
        <f>-C116</f>
        <v>-395</v>
      </c>
      <c r="D164" s="211">
        <f>-D116</f>
        <v>0</v>
      </c>
      <c r="E164" s="211">
        <f>-E116</f>
        <v>0</v>
      </c>
      <c r="F164" s="211">
        <f>-F116</f>
        <v>0</v>
      </c>
      <c r="G164" s="211">
        <f>-G116</f>
        <v>0</v>
      </c>
      <c r="H164" s="211">
        <f>-H116</f>
        <v>0</v>
      </c>
      <c r="I164" s="211">
        <f>-I116</f>
        <v>0</v>
      </c>
      <c r="J164" s="211">
        <f>-J116</f>
        <v>0</v>
      </c>
      <c r="K164" s="211">
        <f>-K116</f>
        <v>0</v>
      </c>
      <c r="L164" s="211">
        <f>-L116</f>
        <v>0</v>
      </c>
      <c r="M164" s="211">
        <f>-M116</f>
        <v>0</v>
      </c>
      <c r="N164" s="211">
        <f>-N116</f>
        <v>0</v>
      </c>
      <c r="O164" s="211">
        <f>-O116</f>
        <v>0</v>
      </c>
      <c r="P164" s="211">
        <f>-P116</f>
        <v>0</v>
      </c>
      <c r="Q164" s="211">
        <f>-Q116</f>
        <v>0</v>
      </c>
      <c r="R164" s="211">
        <f>-R116</f>
        <v>0</v>
      </c>
      <c r="S164" s="211">
        <f>-S116</f>
        <v>0</v>
      </c>
      <c r="T164" s="211">
        <f>-T116</f>
        <v>0</v>
      </c>
      <c r="U164" s="211">
        <f>-U116</f>
        <v>0</v>
      </c>
      <c r="V164" s="211">
        <f>-V116</f>
        <v>-79</v>
      </c>
      <c r="W164" s="211">
        <f>-W116</f>
        <v>0</v>
      </c>
      <c r="X164" s="211">
        <f>-X116</f>
        <v>-79</v>
      </c>
      <c r="Y164" s="211">
        <f>-Y116</f>
        <v>0</v>
      </c>
      <c r="Z164" s="211">
        <f>-Z116</f>
        <v>0</v>
      </c>
      <c r="AA164" s="211">
        <f>-AA116</f>
        <v>0</v>
      </c>
      <c r="AB164" s="211">
        <f>-AB116</f>
        <v>0</v>
      </c>
      <c r="AC164" s="211">
        <f>-AC116</f>
        <v>0</v>
      </c>
      <c r="AD164" s="211">
        <f>-AD116</f>
        <v>0</v>
      </c>
      <c r="AE164" s="211">
        <f>-AE116</f>
        <v>0</v>
      </c>
      <c r="AF164" s="211">
        <f>-AF116</f>
        <v>0</v>
      </c>
      <c r="AG164" s="211">
        <f>-AG116</f>
        <v>-167</v>
      </c>
      <c r="AH164" s="211">
        <f>-AH116</f>
        <v>-167</v>
      </c>
      <c r="AI164" s="211">
        <f>-AI116</f>
        <v>0</v>
      </c>
      <c r="AJ164" s="211">
        <f>-AJ116</f>
        <v>0</v>
      </c>
      <c r="AK164" s="211">
        <f>-AK116</f>
        <v>0</v>
      </c>
      <c r="AL164" s="211">
        <f>-AL116</f>
        <v>0</v>
      </c>
      <c r="AM164" s="211">
        <f>-AM116</f>
        <v>0</v>
      </c>
      <c r="AN164" s="211">
        <f>-AN116</f>
        <v>0</v>
      </c>
      <c r="AO164" s="211">
        <f>-AO116</f>
        <v>0</v>
      </c>
      <c r="AP164" s="211">
        <f>-AP116</f>
        <v>0</v>
      </c>
      <c r="AQ164" s="211">
        <f>-AQ116</f>
        <v>0</v>
      </c>
      <c r="AR164" s="211">
        <f>-AR116</f>
        <v>0</v>
      </c>
      <c r="AS164" s="211">
        <f>-AS116</f>
        <v>0</v>
      </c>
      <c r="AT164" s="211">
        <f>-AT116</f>
        <v>0</v>
      </c>
      <c r="AU164" s="211">
        <f>-AU116</f>
        <v>0</v>
      </c>
      <c r="AV164" s="211">
        <f>-AV116</f>
        <v>0</v>
      </c>
      <c r="AW164" s="211">
        <f>-AW116</f>
        <v>0</v>
      </c>
      <c r="AX164" s="211">
        <f>-AX116</f>
        <v>0</v>
      </c>
      <c r="AY164" s="211">
        <f>-AY116</f>
        <v>0</v>
      </c>
      <c r="AZ164" s="211">
        <f>-AZ116</f>
        <v>-82</v>
      </c>
      <c r="BA164" s="211">
        <f>-BA116</f>
        <v>0</v>
      </c>
      <c r="BB164" s="211">
        <f>-BB116</f>
        <v>-82</v>
      </c>
      <c r="BC164" s="211">
        <f>-BC116</f>
        <v>-34</v>
      </c>
      <c r="BD164" s="211">
        <f>-BD116</f>
        <v>-33</v>
      </c>
      <c r="BE164" s="211">
        <f>-BE116</f>
        <v>0</v>
      </c>
      <c r="BF164" s="211">
        <f>-BF116</f>
        <v>0</v>
      </c>
      <c r="BG164" s="211">
        <f>-BG116</f>
        <v>-67</v>
      </c>
      <c r="BH164" s="211">
        <f>-BH116</f>
        <v>0</v>
      </c>
      <c r="BI164" s="211">
        <f>-BI116</f>
        <v>0</v>
      </c>
      <c r="BJ164" s="211">
        <f>-BJ116</f>
        <v>0</v>
      </c>
      <c r="BK164" s="211">
        <f>-BK116</f>
        <v>0</v>
      </c>
      <c r="BL164" s="211">
        <f>-BL116</f>
        <v>0</v>
      </c>
      <c r="BM164" s="211">
        <f>-BM116</f>
        <v>0</v>
      </c>
      <c r="BN164" s="211">
        <f>-BN116</f>
        <v>0</v>
      </c>
      <c r="BO164" s="211">
        <f>-BO116</f>
        <v>0</v>
      </c>
      <c r="BP164" s="211">
        <f>-BP116</f>
        <v>0</v>
      </c>
      <c r="BQ164" s="211">
        <f>-BQ116</f>
        <v>0</v>
      </c>
      <c r="BR164" s="211">
        <f>-BR116</f>
        <v>0</v>
      </c>
      <c r="BS164" s="211">
        <f>-BS116</f>
        <v>0</v>
      </c>
      <c r="BT164" s="211">
        <f>-BT116</f>
        <v>0</v>
      </c>
      <c r="BU164" s="211">
        <f>-BU116</f>
        <v>0</v>
      </c>
      <c r="BV164" s="211">
        <f>-BV116</f>
        <v>0</v>
      </c>
      <c r="BW164" s="211">
        <f>-BW116</f>
        <v>0</v>
      </c>
      <c r="BX164" s="211">
        <f>-BX116</f>
        <v>0</v>
      </c>
      <c r="BY164" s="254">
        <f>-BY116</f>
        <v>0</v>
      </c>
      <c r="BZ164" s="254">
        <f>-BZ116</f>
        <v>0</v>
      </c>
      <c r="CA164" s="254">
        <f>-CA116</f>
        <v>0</v>
      </c>
      <c r="CB164" s="254">
        <f>-CB116</f>
        <v>0</v>
      </c>
      <c r="CC164" s="254">
        <f>-CC116</f>
        <v>0</v>
      </c>
      <c r="CD164" s="254">
        <f>-CD116</f>
        <v>0</v>
      </c>
      <c r="CE164" s="254">
        <f>-CE116</f>
        <v>0</v>
      </c>
      <c r="CF164" s="19" t="n"/>
    </row>
    <row r="165" ht="15" customHeight="1" s="251">
      <c r="B165" s="55" t="inlineStr">
        <is>
          <t xml:space="preserve">  = Adjusted operating expenses (model bridge)</t>
        </is>
      </c>
      <c r="C165" s="273">
        <f>IF(ISNUMBER(C161),C161+C162+C163+C164,"")</f>
        <v>2676.579</v>
      </c>
      <c r="D165" s="273">
        <f>IF(ISNUMBER(D161),D161+D162+D163+D164,"")</f>
        <v>2956.487</v>
      </c>
      <c r="E165" s="273">
        <f>IF(ISNUMBER(E161),E161+E162+E163+E164,"")</f>
        <v>3043.105</v>
      </c>
      <c r="F165" s="273">
        <f>IF(ISNUMBER(F161),F161+F162+F163+F164,"")</f>
        <v>2831.576</v>
      </c>
      <c r="G165" s="273">
        <f>IF(ISNUMBER(G161),G161+G162+G163+G164,"")</f>
        <v>2787</v>
      </c>
      <c r="H165" s="273">
        <f>IF(ISNUMBER(H161),H161+H162+H163+H164,"")</f>
        <v>3231</v>
      </c>
      <c r="I165" s="273">
        <f>IF(ISNUMBER(I161),I161+I162+I163+I164,"")</f>
        <v>3434</v>
      </c>
      <c r="J165" s="273">
        <f>IF(ISNUMBER(J161),J161+J162+J163+J164,"")</f>
        <v>799</v>
      </c>
      <c r="K165" s="273">
        <f>IF(ISNUMBER(K161),K161+K162+K163+K164,"")</f>
        <v>868</v>
      </c>
      <c r="L165" s="273">
        <f>IF(ISNUMBER(L161),L161+L162+L163+L164,"")</f>
        <v>970</v>
      </c>
      <c r="M165" s="273">
        <f>IF(ISNUMBER(M161),M161+M162+M163+M164,"")</f>
        <v>1111</v>
      </c>
      <c r="N165" s="273">
        <f>IF(ISNUMBER(N161),N161+N162+N163+N164,"")</f>
        <v>3748</v>
      </c>
      <c r="O165" s="273">
        <f>IF(ISNUMBER(O161),O161+O162+O163+O164,"")</f>
        <v>892</v>
      </c>
      <c r="P165" s="273">
        <f>IF(ISNUMBER(P161),P161+P162+P163+P164,"")</f>
        <v>994</v>
      </c>
      <c r="Q165" s="273">
        <f>IF(ISNUMBER(Q161),Q161+Q162+Q163+Q164,"")</f>
        <v>1083</v>
      </c>
      <c r="R165" s="273">
        <f>IF(ISNUMBER(R161),R161+R162+R163+R164,"")</f>
        <v>1398</v>
      </c>
      <c r="S165" s="273">
        <f>IF(ISNUMBER(S161),S161+S162+S163+S164,"")</f>
        <v>4367</v>
      </c>
      <c r="T165" s="273">
        <f>IF(ISNUMBER(T161),T161+T162+T163+T164,"")</f>
        <v>879</v>
      </c>
      <c r="U165" s="273">
        <f>IF(ISNUMBER(U161),U161+U162+U163+U164,"")</f>
        <v>1078</v>
      </c>
      <c r="V165" s="273">
        <f>IF(ISNUMBER(V161),V161+V162+V163+V164,"")</f>
        <v>1082</v>
      </c>
      <c r="W165" s="273">
        <f>IF(ISNUMBER(W161),W161+W162+W163+W164,"")</f>
        <v>1410</v>
      </c>
      <c r="X165" s="273">
        <f>IF(ISNUMBER(X161),X161+X162+X163+X164,"")</f>
        <v>4449</v>
      </c>
      <c r="Y165" s="273">
        <f>IF(ISNUMBER(Y161),Y161+Y162+Y163+Y164,"")</f>
        <v>1098</v>
      </c>
      <c r="Z165" s="273">
        <f>IF(ISNUMBER(Z161),Z161+Z162+Z163+Z164,"")</f>
        <v>1207</v>
      </c>
      <c r="AA165" s="273">
        <f>IF(ISNUMBER(AA161),AA161+AA162+AA163+AA164,"")</f>
        <v>1210</v>
      </c>
      <c r="AB165" s="273">
        <f>IF(ISNUMBER(AB161),AB161+AB162+AB163+AB164,"")</f>
        <v>1383</v>
      </c>
      <c r="AC165" s="273">
        <f>IF(ISNUMBER(AC161),AC161+AC162+AC163+AC164,"")</f>
        <v>4898</v>
      </c>
      <c r="AD165" s="273">
        <f>IF(ISNUMBER(AD161),AD161+AD162+AD163+AD164,"")</f>
        <v>1213</v>
      </c>
      <c r="AE165" s="273">
        <f>IF(ISNUMBER(AE161),AE161+AE162+AE163+AE164,"")</f>
        <v>1400</v>
      </c>
      <c r="AF165" s="273">
        <f>IF(ISNUMBER(AF161),AF161+AF162+AF163+AF164,"")</f>
        <v>1457</v>
      </c>
      <c r="AG165" s="273">
        <f>IF(ISNUMBER(AG161),AG161+AG162+AG163+AG164,"")</f>
        <v>1623</v>
      </c>
      <c r="AH165" s="273">
        <f>IF(ISNUMBER(AH161),AH161+AH162+AH163+AH164,"")</f>
        <v>5693</v>
      </c>
      <c r="AI165" s="273">
        <f>IF(ISNUMBER(AI161),AI161+AI162+AI163+AI164,"")</f>
        <v>1638</v>
      </c>
      <c r="AJ165" s="273">
        <f>IF(ISNUMBER(AJ161),AJ161+AJ162+AJ163+AJ164,"")</f>
        <v>1504</v>
      </c>
      <c r="AK165" s="273">
        <f>IF(ISNUMBER(AK161),AK161+AK162+AK163+AK164,"")</f>
        <v>1582</v>
      </c>
      <c r="AL165" s="273">
        <f>IF(ISNUMBER(AL161),AL161+AL162+AL163+AL164,"")</f>
        <v>1816</v>
      </c>
      <c r="AM165" s="273">
        <f>IF(ISNUMBER(AM161),AM161+AM162+AM163+AM164,"")</f>
        <v>6540</v>
      </c>
      <c r="AN165" s="273">
        <f>IF(ISNUMBER(AN161),AN161+AN162+AN163+AN164,"")</f>
        <v>1676</v>
      </c>
      <c r="AO165" s="273">
        <f>IF(ISNUMBER(AO161),AO161+AO162+AO163+AO164,"")</f>
        <v>1716</v>
      </c>
      <c r="AP165" s="273">
        <f>IF(ISNUMBER(AP161),AP161+AP162+AP163+AP164,"")</f>
        <v>1812</v>
      </c>
      <c r="AQ165" s="273">
        <f>IF(ISNUMBER(AQ161),AQ161+AQ162+AQ163+AQ164,"")</f>
        <v>2015</v>
      </c>
      <c r="AR165" s="273">
        <f>IF(ISNUMBER(AR161),AR161+AR162+AR163+AR164,"")</f>
        <v>7219</v>
      </c>
      <c r="AS165" s="273">
        <f>IF(ISNUMBER(AS161),AS161+AS162+AS163+AS164,"")</f>
        <v>1792</v>
      </c>
      <c r="AT165" s="273">
        <f>IF(ISNUMBER(AT161),AT161+AT162+AT163+AT164,"")</f>
        <v>1606</v>
      </c>
      <c r="AU165" s="273">
        <f>IF(ISNUMBER(AU161),AU161+AU162+AU163+AU164,"")</f>
        <v>1732</v>
      </c>
      <c r="AV165" s="273">
        <f>IF(ISNUMBER(AV161),AV161+AV162+AV163+AV164,"")</f>
        <v>2017</v>
      </c>
      <c r="AW165" s="273">
        <f>IF(ISNUMBER(AW161),AW161+AW162+AW163+AW164,"")</f>
        <v>7147</v>
      </c>
      <c r="AX165" s="273">
        <f>IF(ISNUMBER(AX161),AX161+AX162+AX163+AX164,"")</f>
        <v>1958</v>
      </c>
      <c r="AY165" s="273">
        <f>IF(ISNUMBER(AY161),AY161+AY162+AY163+AY164,"")</f>
        <v>2120</v>
      </c>
      <c r="AZ165" s="273">
        <f>IF(ISNUMBER(AZ161),AZ161+AZ162+AZ163+AZ164,"")</f>
        <v>2159</v>
      </c>
      <c r="BA165" s="273">
        <f>IF(ISNUMBER(BA161),BA161+BA162+BA163+BA164,"")</f>
        <v>2389</v>
      </c>
      <c r="BB165" s="273">
        <f>IF(ISNUMBER(BB161),BB161+BB162+BB163+BB164,"")</f>
        <v>8626</v>
      </c>
      <c r="BC165" s="273">
        <f>IF(ISNUMBER(BC161),BC161+BC162+BC163+BC164,"")</f>
        <v>2183</v>
      </c>
      <c r="BD165" s="273">
        <f>IF(ISNUMBER(BD161),BD161+BD162+BD163+BD164,"")</f>
        <v>2313</v>
      </c>
      <c r="BE165" s="273">
        <f>IF(ISNUMBER(BE161),BE161+BE162+BE163+BE164,"")</f>
        <v>2436</v>
      </c>
      <c r="BF165" s="273">
        <f>IF(ISNUMBER(BF161),BF161+BF162+BF163+BF164,"")</f>
        <v>2618</v>
      </c>
      <c r="BG165" s="273">
        <f>IF(ISNUMBER(BG161),BG161+BG162+BG163+BG164,"")</f>
        <v>9550</v>
      </c>
      <c r="BH165" s="273">
        <f>IF(ISNUMBER(BH161),BH161+BH162+BH163+BH164,"")</f>
        <v>2401</v>
      </c>
      <c r="BI165" s="273">
        <f>IF(ISNUMBER(BI161),BI161+BI162+BI163+BI164,"")</f>
        <v>2593</v>
      </c>
      <c r="BJ165" s="273">
        <f>IF(ISNUMBER(BJ161),BJ161+BJ162+BJ163+BJ164,"")</f>
        <v>2689</v>
      </c>
      <c r="BK165" s="273">
        <f>IF(ISNUMBER(BK161),BK161+BK162+BK163+BK164,"")</f>
        <v>2868</v>
      </c>
      <c r="BL165" s="273">
        <f>IF(ISNUMBER(BL161),BL161+BL162+BL163+BL164,"")</f>
        <v>10551</v>
      </c>
      <c r="BM165" s="273">
        <f>IF(ISNUMBER(BM161),BM161+BM162+BM163+BM164,"")</f>
        <v>2618</v>
      </c>
      <c r="BN165" s="273">
        <f>IF(ISNUMBER(BN161),BN161+BN162+BN163+BN164,"")</f>
        <v>2827</v>
      </c>
      <c r="BO165" s="273">
        <f>IF(ISNUMBER(BO161),BO161+BO162+BO163+BO164,"")</f>
        <v>2999</v>
      </c>
      <c r="BP165" s="273">
        <f>IF(ISNUMBER(BP161),BP161+BP162+BP163+BP164,"")</f>
        <v>3271</v>
      </c>
      <c r="BQ165" s="273">
        <f>IF(ISNUMBER(BQ161),BQ161+BQ162+BQ163+BQ164,"")</f>
        <v>11715</v>
      </c>
      <c r="BR165" s="273">
        <f>IF(ISNUMBER(BR161),BR161+BR162+BR163+BR164,"")</f>
        <v>2950</v>
      </c>
      <c r="BS165" s="273">
        <f>IF(ISNUMBER(BS161),BS161+BS162+BS163+BS164,"")</f>
        <v>3260</v>
      </c>
      <c r="BT165" s="273">
        <f>IF(ISNUMBER(BT161),BT161+BT162+BT163+BT164,"")</f>
        <v>3458</v>
      </c>
      <c r="BU165" s="273">
        <f>IF(ISNUMBER(BU161),BU161+BU162+BU163+BU164,"")</f>
        <v>3722</v>
      </c>
      <c r="BV165" s="273">
        <f>IF(ISNUMBER(BV161),BV161+BV162+BV163+BV164,"")</f>
        <v>13390</v>
      </c>
      <c r="BW165" s="273">
        <f>IF(ISNUMBER(BW161),BW161+BW162+BW163+BW164,"")</f>
        <v>3289</v>
      </c>
      <c r="BX165" s="273">
        <f>IF(ISNUMBER(BX161),BX161+BX162+BX163+BX164,"")</f>
        <v>3608</v>
      </c>
      <c r="BY165" s="273">
        <f>IF(ISNUMBER(BY161),BY161+BY162+BY163+BY164,"")</f>
        <v>3868.74586350975</v>
      </c>
      <c r="BZ165" s="273">
        <f>IF(ISNUMBER(BZ161),BZ161+BZ162+BZ163+BZ164,"")</f>
        <v>4164.10413649025</v>
      </c>
      <c r="CA165" s="273">
        <f>IF(ISNUMBER(CA161),CA161+CA162+CA163+CA164,"")</f>
        <v>14929.85</v>
      </c>
      <c r="CB165" s="273">
        <f>IF(ISNUMBER(CB161),CB161+CB162+CB163+CB164,"")</f>
        <v>16632.842756541</v>
      </c>
      <c r="CC165" s="273">
        <f>IF(ISNUMBER(CC161),CC161+CC162+CC163+CC164,"")</f>
        <v>18432.169259674</v>
      </c>
      <c r="CD165" s="273">
        <f>IF(ISNUMBER(CD161),CD161+CD162+CD163+CD164,"")</f>
        <v>20285.9440272976</v>
      </c>
      <c r="CE165" s="273">
        <f>IF(ISNUMBER(CE161),CE161+CE162+CE163+CE164,"")</f>
        <v>22176.7508137998</v>
      </c>
      <c r="CF165" s="153" t="n"/>
      <c r="CH165" s="20">
        <f>IFERROR((CE165/BV165)^(1/5)-1,"n/m")</f>
        <v>0.1061740547998</v>
      </c>
      <c r="CI165" s="20">
        <f>IFERROR((BV165/AW165)^(1/5)-1,"n/m")</f>
        <v>0.133786702174275</v>
      </c>
      <c r="CJ165" s="20">
        <f>IFERROR((BV165/X165)^(1/10)-1,"n/m")</f>
        <v>0.116482234940244</v>
      </c>
      <c r="CK165" s="20">
        <f>IFERROR((BV165/C165)^(1/19)-1,"n/m")</f>
        <v>0.0884288053177234</v>
      </c>
    </row>
    <row r="166" ht="15" customHeight="1" s="251">
      <c r="B166" s="156" t="inlineStr">
        <is>
          <t xml:space="preserve">  Company-published adjusted operating expenses</t>
        </is>
      </c>
      <c r="C166" s="253" t="n">
        <v>2677</v>
      </c>
      <c r="D166" s="253" t="n">
        <v>2956</v>
      </c>
      <c r="E166" s="253" t="n">
        <v>3043</v>
      </c>
      <c r="F166" s="253" t="n">
        <v>2832</v>
      </c>
      <c r="G166" s="34" t="n"/>
      <c r="H166" s="253" t="n">
        <v>3231</v>
      </c>
      <c r="I166" s="253" t="n">
        <v>3434</v>
      </c>
      <c r="J166" s="34" t="n"/>
      <c r="K166" s="34" t="n"/>
      <c r="L166" s="34" t="n"/>
      <c r="M166" s="253" t="n">
        <v>1111</v>
      </c>
      <c r="N166" s="253" t="n">
        <v>3748</v>
      </c>
      <c r="O166" s="34" t="n"/>
      <c r="P166" s="34" t="n"/>
      <c r="Q166" s="34" t="n"/>
      <c r="R166" s="34" t="n"/>
      <c r="S166" s="34" t="n"/>
      <c r="T166" s="34" t="n"/>
      <c r="U166" s="253" t="n">
        <v>1078</v>
      </c>
      <c r="V166" s="253" t="n">
        <v>1082</v>
      </c>
      <c r="W166" s="34" t="n"/>
      <c r="X166" s="253" t="n">
        <v>4449</v>
      </c>
      <c r="Y166" s="34" t="n"/>
      <c r="Z166" s="253" t="n">
        <v>1207</v>
      </c>
      <c r="AA166" s="34" t="n"/>
      <c r="AB166" s="253" t="n">
        <v>1383</v>
      </c>
      <c r="AC166" s="253" t="n">
        <v>4898</v>
      </c>
      <c r="AD166" s="253" t="n">
        <v>1213</v>
      </c>
      <c r="AE166" s="253" t="n">
        <v>1400</v>
      </c>
      <c r="AF166" s="34" t="n"/>
      <c r="AG166" s="253" t="n">
        <v>1623</v>
      </c>
      <c r="AH166" s="253" t="n">
        <v>5693</v>
      </c>
      <c r="AI166" s="253" t="n">
        <v>1638</v>
      </c>
      <c r="AJ166" s="253" t="n">
        <v>1504</v>
      </c>
      <c r="AK166" s="253" t="n">
        <v>1582</v>
      </c>
      <c r="AL166" s="253" t="n">
        <v>1816</v>
      </c>
      <c r="AM166" s="253" t="n">
        <v>6540</v>
      </c>
      <c r="AN166" s="253" t="n">
        <v>1676</v>
      </c>
      <c r="AO166" s="253" t="n">
        <v>1716</v>
      </c>
      <c r="AP166" s="253" t="n">
        <v>1812</v>
      </c>
      <c r="AQ166" s="253" t="n">
        <v>2015</v>
      </c>
      <c r="AR166" s="253" t="n">
        <v>7219</v>
      </c>
      <c r="AS166" s="253" t="n">
        <v>1792</v>
      </c>
      <c r="AT166" s="253" t="n">
        <v>1606</v>
      </c>
      <c r="AU166" s="253" t="n">
        <v>1732</v>
      </c>
      <c r="AV166" s="253" t="n">
        <v>2018</v>
      </c>
      <c r="AW166" s="253" t="n">
        <v>7147</v>
      </c>
      <c r="AX166" s="253" t="n">
        <v>1958</v>
      </c>
      <c r="AY166" s="253" t="n">
        <v>2121</v>
      </c>
      <c r="AZ166" s="253" t="n">
        <v>2158</v>
      </c>
      <c r="BA166" s="253" t="n">
        <v>2389</v>
      </c>
      <c r="BB166" s="253" t="n">
        <v>8627</v>
      </c>
      <c r="BC166" s="253" t="n">
        <v>2182</v>
      </c>
      <c r="BD166" s="253" t="n">
        <v>2313</v>
      </c>
      <c r="BE166" s="253" t="n">
        <v>2437</v>
      </c>
      <c r="BF166" s="253" t="n">
        <v>2617</v>
      </c>
      <c r="BG166" s="253" t="n">
        <v>9549</v>
      </c>
      <c r="BH166" s="253" t="n">
        <v>2401</v>
      </c>
      <c r="BI166" s="253" t="n">
        <v>2592</v>
      </c>
      <c r="BJ166" s="253" t="n">
        <v>2689</v>
      </c>
      <c r="BK166" s="253" t="n">
        <v>2868</v>
      </c>
      <c r="BL166" s="253" t="n">
        <v>10551</v>
      </c>
      <c r="BM166" s="253" t="n">
        <v>2617</v>
      </c>
      <c r="BN166" s="253" t="n">
        <v>2828</v>
      </c>
      <c r="BO166" s="253" t="n">
        <v>2999</v>
      </c>
      <c r="BP166" s="253" t="n">
        <v>3270</v>
      </c>
      <c r="BQ166" s="253" t="n">
        <v>11714</v>
      </c>
      <c r="BR166" s="253" t="n">
        <v>2950</v>
      </c>
      <c r="BS166" s="253" t="n">
        <v>3260</v>
      </c>
      <c r="BT166" s="253" t="n">
        <v>3459</v>
      </c>
      <c r="BU166" s="253" t="n">
        <v>3721</v>
      </c>
      <c r="BV166" s="253" t="n">
        <v>13389</v>
      </c>
      <c r="BW166" s="253" t="n">
        <v>3289</v>
      </c>
      <c r="BX166" s="253" t="n">
        <v>3608</v>
      </c>
      <c r="BY166" s="153" t="n"/>
      <c r="BZ166" s="153" t="n"/>
      <c r="CA166" s="153" t="n"/>
      <c r="CB166" s="153" t="n"/>
      <c r="CC166" s="153" t="n"/>
      <c r="CD166" s="153" t="n"/>
      <c r="CE166" s="153" t="n"/>
      <c r="CF166" s="153" t="n"/>
    </row>
    <row r="167" ht="15" customHeight="1" s="251">
      <c r="B167" s="57" t="inlineStr">
        <is>
          <t xml:space="preserve">  Check: model vs company-published (should be 0; ±1 rounding)</t>
        </is>
      </c>
      <c r="C167" s="211">
        <f>IF(AND(ISNUMBER(C165),ISNUMBER(C166)),IF(ABS(C165-C166)&lt;=1.1,0,ROUND(C165-C166,0)),"n/p")</f>
        <v>0</v>
      </c>
      <c r="D167" s="211">
        <f>IF(AND(ISNUMBER(D165),ISNUMBER(D166)),IF(ABS(D165-D166)&lt;=1.1,0,ROUND(D165-D166,0)),"n/p")</f>
        <v>0</v>
      </c>
      <c r="E167" s="211">
        <f>IF(AND(ISNUMBER(E165),ISNUMBER(E166)),IF(ABS(E165-E166)&lt;=1.1,0,ROUND(E165-E166,0)),"n/p")</f>
        <v>0</v>
      </c>
      <c r="F167" s="211">
        <f>IF(AND(ISNUMBER(F165),ISNUMBER(F166)),IF(ABS(F165-F166)&lt;=1.1,0,ROUND(F165-F166,0)),"n/p")</f>
        <v>0</v>
      </c>
      <c r="G167" s="211" t="str">
        <f>IF(AND(ISNUMBER(G165),ISNUMBER(G166)),IF(ABS(G165-G166)&lt;=1.1,0,ROUND(G165-G166,0)),"n/p")</f>
        <v>n/p</v>
      </c>
      <c r="H167" s="211">
        <f>IF(AND(ISNUMBER(H165),ISNUMBER(H166)),IF(ABS(H165-H166)&lt;=1.1,0,ROUND(H165-H166,0)),"n/p")</f>
        <v>0</v>
      </c>
      <c r="I167" s="211">
        <f>IF(AND(ISNUMBER(I165),ISNUMBER(I166)),IF(ABS(I165-I166)&lt;=1.1,0,ROUND(I165-I166,0)),"n/p")</f>
        <v>0</v>
      </c>
      <c r="J167" s="211" t="str">
        <f>IF(AND(ISNUMBER(J165),ISNUMBER(J166)),IF(ABS(J165-J166)&lt;=1.1,0,ROUND(J165-J166,0)),"n/p")</f>
        <v>n/p</v>
      </c>
      <c r="K167" s="211" t="str">
        <f>IF(AND(ISNUMBER(K165),ISNUMBER(K166)),IF(ABS(K165-K166)&lt;=1.1,0,ROUND(K165-K166,0)),"n/p")</f>
        <v>n/p</v>
      </c>
      <c r="L167" s="211" t="str">
        <f>IF(AND(ISNUMBER(L165),ISNUMBER(L166)),IF(ABS(L165-L166)&lt;=1.1,0,ROUND(L165-L166,0)),"n/p")</f>
        <v>n/p</v>
      </c>
      <c r="M167" s="211">
        <f>IF(AND(ISNUMBER(M165),ISNUMBER(M166)),IF(ABS(M165-M166)&lt;=1.1,0,ROUND(M165-M166,0)),"n/p")</f>
        <v>0</v>
      </c>
      <c r="N167" s="211">
        <f>IF(AND(ISNUMBER(N165),ISNUMBER(N166)),IF(ABS(N165-N166)&lt;=1.1,0,ROUND(N165-N166,0)),"n/p")</f>
        <v>0</v>
      </c>
      <c r="O167" s="211" t="str">
        <f>IF(AND(ISNUMBER(O165),ISNUMBER(O166)),IF(ABS(O165-O166)&lt;=1.1,0,ROUND(O165-O166,0)),"n/p")</f>
        <v>n/p</v>
      </c>
      <c r="P167" s="211" t="str">
        <f>IF(AND(ISNUMBER(P165),ISNUMBER(P166)),IF(ABS(P165-P166)&lt;=1.1,0,ROUND(P165-P166,0)),"n/p")</f>
        <v>n/p</v>
      </c>
      <c r="Q167" s="211" t="str">
        <f>IF(AND(ISNUMBER(Q165),ISNUMBER(Q166)),IF(ABS(Q165-Q166)&lt;=1.1,0,ROUND(Q165-Q166,0)),"n/p")</f>
        <v>n/p</v>
      </c>
      <c r="R167" s="211" t="str">
        <f>IF(AND(ISNUMBER(R165),ISNUMBER(R166)),IF(ABS(R165-R166)&lt;=1.1,0,ROUND(R165-R166,0)),"n/p")</f>
        <v>n/p</v>
      </c>
      <c r="S167" s="211" t="str">
        <f>IF(AND(ISNUMBER(S165),ISNUMBER(S166)),IF(ABS(S165-S166)&lt;=1.1,0,ROUND(S165-S166,0)),"n/p")</f>
        <v>n/p</v>
      </c>
      <c r="T167" s="211" t="str">
        <f>IF(AND(ISNUMBER(T165),ISNUMBER(T166)),IF(ABS(T165-T166)&lt;=1.1,0,ROUND(T165-T166,0)),"n/p")</f>
        <v>n/p</v>
      </c>
      <c r="U167" s="211">
        <f>IF(AND(ISNUMBER(U165),ISNUMBER(U166)),IF(ABS(U165-U166)&lt;=1.1,0,ROUND(U165-U166,0)),"n/p")</f>
        <v>0</v>
      </c>
      <c r="V167" s="211">
        <f>IF(AND(ISNUMBER(V165),ISNUMBER(V166)),IF(ABS(V165-V166)&lt;=1.1,0,ROUND(V165-V166,0)),"n/p")</f>
        <v>0</v>
      </c>
      <c r="W167" s="211" t="str">
        <f>IF(AND(ISNUMBER(W165),ISNUMBER(W166)),IF(ABS(W165-W166)&lt;=1.1,0,ROUND(W165-W166,0)),"n/p")</f>
        <v>n/p</v>
      </c>
      <c r="X167" s="211">
        <f>IF(AND(ISNUMBER(X165),ISNUMBER(X166)),IF(ABS(X165-X166)&lt;=1.1,0,ROUND(X165-X166,0)),"n/p")</f>
        <v>0</v>
      </c>
      <c r="Y167" s="211" t="str">
        <f>IF(AND(ISNUMBER(Y165),ISNUMBER(Y166)),IF(ABS(Y165-Y166)&lt;=1.1,0,ROUND(Y165-Y166,0)),"n/p")</f>
        <v>n/p</v>
      </c>
      <c r="Z167" s="211">
        <f>IF(AND(ISNUMBER(Z165),ISNUMBER(Z166)),IF(ABS(Z165-Z166)&lt;=1.1,0,ROUND(Z165-Z166,0)),"n/p")</f>
        <v>0</v>
      </c>
      <c r="AA167" s="211" t="str">
        <f>IF(AND(ISNUMBER(AA165),ISNUMBER(AA166)),IF(ABS(AA165-AA166)&lt;=1.1,0,ROUND(AA165-AA166,0)),"n/p")</f>
        <v>n/p</v>
      </c>
      <c r="AB167" s="211">
        <f>IF(AND(ISNUMBER(AB165),ISNUMBER(AB166)),IF(ABS(AB165-AB166)&lt;=1.1,0,ROUND(AB165-AB166,0)),"n/p")</f>
        <v>0</v>
      </c>
      <c r="AC167" s="211">
        <f>IF(AND(ISNUMBER(AC165),ISNUMBER(AC166)),IF(ABS(AC165-AC166)&lt;=1.1,0,ROUND(AC165-AC166,0)),"n/p")</f>
        <v>0</v>
      </c>
      <c r="AD167" s="211">
        <f>IF(AND(ISNUMBER(AD165),ISNUMBER(AD166)),IF(ABS(AD165-AD166)&lt;=1.1,0,ROUND(AD165-AD166,0)),"n/p")</f>
        <v>0</v>
      </c>
      <c r="AE167" s="211">
        <f>IF(AND(ISNUMBER(AE165),ISNUMBER(AE166)),IF(ABS(AE165-AE166)&lt;=1.1,0,ROUND(AE165-AE166,0)),"n/p")</f>
        <v>0</v>
      </c>
      <c r="AF167" s="211" t="str">
        <f>IF(AND(ISNUMBER(AF165),ISNUMBER(AF166)),IF(ABS(AF165-AF166)&lt;=1.1,0,ROUND(AF165-AF166,0)),"n/p")</f>
        <v>n/p</v>
      </c>
      <c r="AG167" s="211">
        <f>IF(AND(ISNUMBER(AG165),ISNUMBER(AG166)),IF(ABS(AG165-AG166)&lt;=1.1,0,ROUND(AG165-AG166,0)),"n/p")</f>
        <v>0</v>
      </c>
      <c r="AH167" s="211">
        <f>IF(AND(ISNUMBER(AH165),ISNUMBER(AH166)),IF(ABS(AH165-AH166)&lt;=1.1,0,ROUND(AH165-AH166,0)),"n/p")</f>
        <v>0</v>
      </c>
      <c r="AI167" s="211">
        <f>IF(AND(ISNUMBER(AI165),ISNUMBER(AI166)),IF(ABS(AI165-AI166)&lt;=1.1,0,ROUND(AI165-AI166,0)),"n/p")</f>
        <v>0</v>
      </c>
      <c r="AJ167" s="211">
        <f>IF(AND(ISNUMBER(AJ165),ISNUMBER(AJ166)),IF(ABS(AJ165-AJ166)&lt;=1.1,0,ROUND(AJ165-AJ166,0)),"n/p")</f>
        <v>0</v>
      </c>
      <c r="AK167" s="211">
        <f>IF(AND(ISNUMBER(AK165),ISNUMBER(AK166)),IF(ABS(AK165-AK166)&lt;=1.1,0,ROUND(AK165-AK166,0)),"n/p")</f>
        <v>0</v>
      </c>
      <c r="AL167" s="211">
        <f>IF(AND(ISNUMBER(AL165),ISNUMBER(AL166)),IF(ABS(AL165-AL166)&lt;=1.1,0,ROUND(AL165-AL166,0)),"n/p")</f>
        <v>0</v>
      </c>
      <c r="AM167" s="211">
        <f>IF(AND(ISNUMBER(AM165),ISNUMBER(AM166)),IF(ABS(AM165-AM166)&lt;=1.1,0,ROUND(AM165-AM166,0)),"n/p")</f>
        <v>0</v>
      </c>
      <c r="AN167" s="211">
        <f>IF(AND(ISNUMBER(AN165),ISNUMBER(AN166)),IF(ABS(AN165-AN166)&lt;=1.1,0,ROUND(AN165-AN166,0)),"n/p")</f>
        <v>0</v>
      </c>
      <c r="AO167" s="211">
        <f>IF(AND(ISNUMBER(AO165),ISNUMBER(AO166)),IF(ABS(AO165-AO166)&lt;=1.1,0,ROUND(AO165-AO166,0)),"n/p")</f>
        <v>0</v>
      </c>
      <c r="AP167" s="211">
        <f>IF(AND(ISNUMBER(AP165),ISNUMBER(AP166)),IF(ABS(AP165-AP166)&lt;=1.1,0,ROUND(AP165-AP166,0)),"n/p")</f>
        <v>0</v>
      </c>
      <c r="AQ167" s="211">
        <f>IF(AND(ISNUMBER(AQ165),ISNUMBER(AQ166)),IF(ABS(AQ165-AQ166)&lt;=1.1,0,ROUND(AQ165-AQ166,0)),"n/p")</f>
        <v>0</v>
      </c>
      <c r="AR167" s="211">
        <f>IF(AND(ISNUMBER(AR165),ISNUMBER(AR166)),IF(ABS(AR165-AR166)&lt;=1.1,0,ROUND(AR165-AR166,0)),"n/p")</f>
        <v>0</v>
      </c>
      <c r="AS167" s="211">
        <f>IF(AND(ISNUMBER(AS165),ISNUMBER(AS166)),IF(ABS(AS165-AS166)&lt;=1.1,0,ROUND(AS165-AS166,0)),"n/p")</f>
        <v>0</v>
      </c>
      <c r="AT167" s="211">
        <f>IF(AND(ISNUMBER(AT165),ISNUMBER(AT166)),IF(ABS(AT165-AT166)&lt;=1.1,0,ROUND(AT165-AT166,0)),"n/p")</f>
        <v>0</v>
      </c>
      <c r="AU167" s="211">
        <f>IF(AND(ISNUMBER(AU165),ISNUMBER(AU166)),IF(ABS(AU165-AU166)&lt;=1.1,0,ROUND(AU165-AU166,0)),"n/p")</f>
        <v>0</v>
      </c>
      <c r="AV167" s="211">
        <f>IF(AND(ISNUMBER(AV165),ISNUMBER(AV166)),IF(ABS(AV165-AV166)&lt;=1.1,0,ROUND(AV165-AV166,0)),"n/p")</f>
        <v>0</v>
      </c>
      <c r="AW167" s="211">
        <f>IF(AND(ISNUMBER(AW165),ISNUMBER(AW166)),IF(ABS(AW165-AW166)&lt;=1.1,0,ROUND(AW165-AW166,0)),"n/p")</f>
        <v>0</v>
      </c>
      <c r="AX167" s="211">
        <f>IF(AND(ISNUMBER(AX165),ISNUMBER(AX166)),IF(ABS(AX165-AX166)&lt;=1.1,0,ROUND(AX165-AX166,0)),"n/p")</f>
        <v>0</v>
      </c>
      <c r="AY167" s="211">
        <f>IF(AND(ISNUMBER(AY165),ISNUMBER(AY166)),IF(ABS(AY165-AY166)&lt;=1.1,0,ROUND(AY165-AY166,0)),"n/p")</f>
        <v>0</v>
      </c>
      <c r="AZ167" s="211">
        <f>IF(AND(ISNUMBER(AZ165),ISNUMBER(AZ166)),IF(ABS(AZ165-AZ166)&lt;=1.1,0,ROUND(AZ165-AZ166,0)),"n/p")</f>
        <v>0</v>
      </c>
      <c r="BA167" s="211">
        <f>IF(AND(ISNUMBER(BA165),ISNUMBER(BA166)),IF(ABS(BA165-BA166)&lt;=1.1,0,ROUND(BA165-BA166,0)),"n/p")</f>
        <v>0</v>
      </c>
      <c r="BB167" s="211">
        <f>IF(AND(ISNUMBER(BB165),ISNUMBER(BB166)),IF(ABS(BB165-BB166)&lt;=1.1,0,ROUND(BB165-BB166,0)),"n/p")</f>
        <v>0</v>
      </c>
      <c r="BC167" s="211">
        <f>IF(AND(ISNUMBER(BC165),ISNUMBER(BC166)),IF(ABS(BC165-BC166)&lt;=1.1,0,ROUND(BC165-BC166,0)),"n/p")</f>
        <v>0</v>
      </c>
      <c r="BD167" s="211">
        <f>IF(AND(ISNUMBER(BD165),ISNUMBER(BD166)),IF(ABS(BD165-BD166)&lt;=1.1,0,ROUND(BD165-BD166,0)),"n/p")</f>
        <v>0</v>
      </c>
      <c r="BE167" s="211">
        <f>IF(AND(ISNUMBER(BE165),ISNUMBER(BE166)),IF(ABS(BE165-BE166)&lt;=1.1,0,ROUND(BE165-BE166,0)),"n/p")</f>
        <v>0</v>
      </c>
      <c r="BF167" s="211">
        <f>IF(AND(ISNUMBER(BF165),ISNUMBER(BF166)),IF(ABS(BF165-BF166)&lt;=1.1,0,ROUND(BF165-BF166,0)),"n/p")</f>
        <v>0</v>
      </c>
      <c r="BG167" s="211">
        <f>IF(AND(ISNUMBER(BG165),ISNUMBER(BG166)),IF(ABS(BG165-BG166)&lt;=1.1,0,ROUND(BG165-BG166,0)),"n/p")</f>
        <v>0</v>
      </c>
      <c r="BH167" s="211">
        <f>IF(AND(ISNUMBER(BH165),ISNUMBER(BH166)),IF(ABS(BH165-BH166)&lt;=1.1,0,ROUND(BH165-BH166,0)),"n/p")</f>
        <v>0</v>
      </c>
      <c r="BI167" s="211">
        <f>IF(AND(ISNUMBER(BI165),ISNUMBER(BI166)),IF(ABS(BI165-BI166)&lt;=1.1,0,ROUND(BI165-BI166,0)),"n/p")</f>
        <v>0</v>
      </c>
      <c r="BJ167" s="211">
        <f>IF(AND(ISNUMBER(BJ165),ISNUMBER(BJ166)),IF(ABS(BJ165-BJ166)&lt;=1.1,0,ROUND(BJ165-BJ166,0)),"n/p")</f>
        <v>0</v>
      </c>
      <c r="BK167" s="211">
        <f>IF(AND(ISNUMBER(BK165),ISNUMBER(BK166)),IF(ABS(BK165-BK166)&lt;=1.1,0,ROUND(BK165-BK166,0)),"n/p")</f>
        <v>0</v>
      </c>
      <c r="BL167" s="211">
        <f>IF(AND(ISNUMBER(BL165),ISNUMBER(BL166)),IF(ABS(BL165-BL166)&lt;=1.1,0,ROUND(BL165-BL166,0)),"n/p")</f>
        <v>0</v>
      </c>
      <c r="BM167" s="211">
        <f>IF(AND(ISNUMBER(BM165),ISNUMBER(BM166)),IF(ABS(BM165-BM166)&lt;=1.1,0,ROUND(BM165-BM166,0)),"n/p")</f>
        <v>0</v>
      </c>
      <c r="BN167" s="211">
        <f>IF(AND(ISNUMBER(BN165),ISNUMBER(BN166)),IF(ABS(BN165-BN166)&lt;=1.1,0,ROUND(BN165-BN166,0)),"n/p")</f>
        <v>0</v>
      </c>
      <c r="BO167" s="211">
        <f>IF(AND(ISNUMBER(BO165),ISNUMBER(BO166)),IF(ABS(BO165-BO166)&lt;=1.1,0,ROUND(BO165-BO166,0)),"n/p")</f>
        <v>0</v>
      </c>
      <c r="BP167" s="211">
        <f>IF(AND(ISNUMBER(BP165),ISNUMBER(BP166)),IF(ABS(BP165-BP166)&lt;=1.1,0,ROUND(BP165-BP166,0)),"n/p")</f>
        <v>0</v>
      </c>
      <c r="BQ167" s="211">
        <f>IF(AND(ISNUMBER(BQ165),ISNUMBER(BQ166)),IF(ABS(BQ165-BQ166)&lt;=1.1,0,ROUND(BQ165-BQ166,0)),"n/p")</f>
        <v>0</v>
      </c>
      <c r="BR167" s="211">
        <f>IF(AND(ISNUMBER(BR165),ISNUMBER(BR166)),IF(ABS(BR165-BR166)&lt;=1.1,0,ROUND(BR165-BR166,0)),"n/p")</f>
        <v>0</v>
      </c>
      <c r="BS167" s="211">
        <f>IF(AND(ISNUMBER(BS165),ISNUMBER(BS166)),IF(ABS(BS165-BS166)&lt;=1.1,0,ROUND(BS165-BS166,0)),"n/p")</f>
        <v>0</v>
      </c>
      <c r="BT167" s="211">
        <f>IF(AND(ISNUMBER(BT165),ISNUMBER(BT166)),IF(ABS(BT165-BT166)&lt;=1.1,0,ROUND(BT165-BT166,0)),"n/p")</f>
        <v>0</v>
      </c>
      <c r="BU167" s="211">
        <f>IF(AND(ISNUMBER(BU165),ISNUMBER(BU166)),IF(ABS(BU165-BU166)&lt;=1.1,0,ROUND(BU165-BU166,0)),"n/p")</f>
        <v>0</v>
      </c>
      <c r="BV167" s="211">
        <f>IF(AND(ISNUMBER(BV165),ISNUMBER(BV166)),IF(ABS(BV165-BV166)&lt;=1.1,0,ROUND(BV165-BV166,0)),"n/p")</f>
        <v>0</v>
      </c>
      <c r="BW167" s="211">
        <f>IF(AND(ISNUMBER(BW165),ISNUMBER(BW166)),IF(ABS(BW165-BW166)&lt;=1.1,0,ROUND(BW165-BW166,0)),"n/p")</f>
        <v>0</v>
      </c>
      <c r="BX167" s="211">
        <f>IF(AND(ISNUMBER(BX165),ISNUMBER(BX166)),IF(ABS(BX165-BX166)&lt;=1.1,0,ROUND(BX165-BX166,0)),"n/p")</f>
        <v>0</v>
      </c>
      <c r="BY167" s="153" t="n"/>
      <c r="BZ167" s="153" t="n"/>
      <c r="CA167" s="153" t="n"/>
      <c r="CB167" s="153" t="n"/>
      <c r="CC167" s="153" t="n"/>
      <c r="CD167" s="153" t="n"/>
      <c r="CE167" s="153" t="n"/>
      <c r="CF167" s="153" t="n"/>
    </row>
    <row r="168" ht="15" customHeight="1" s="251">
      <c r="B168" s="25" t="inlineStr">
        <is>
          <t>Adjusted net revenue (net revenue + revenue special items)</t>
        </is>
      </c>
      <c r="C168" s="211">
        <f>C85</f>
        <v>3326.074</v>
      </c>
      <c r="D168" s="211">
        <f>D85</f>
        <v>4067.599</v>
      </c>
      <c r="E168" s="211">
        <f>E85</f>
        <v>4991.6</v>
      </c>
      <c r="F168" s="211">
        <f>F85</f>
        <v>5098.684</v>
      </c>
      <c r="G168" s="211">
        <f>G85</f>
        <v>5539</v>
      </c>
      <c r="H168" s="211">
        <f>H85</f>
        <v>6714</v>
      </c>
      <c r="I168" s="211">
        <f>I85</f>
        <v>7391</v>
      </c>
      <c r="J168" s="211">
        <f>J85</f>
        <v>1906</v>
      </c>
      <c r="K168" s="211">
        <f>K85</f>
        <v>2096</v>
      </c>
      <c r="L168" s="211">
        <f>L85</f>
        <v>2218</v>
      </c>
      <c r="M168" s="211">
        <f>M85</f>
        <v>2126</v>
      </c>
      <c r="N168" s="211">
        <f>N85</f>
        <v>8346</v>
      </c>
      <c r="O168" s="211">
        <f>O85</f>
        <v>2177</v>
      </c>
      <c r="P168" s="211">
        <f>P85</f>
        <v>2377</v>
      </c>
      <c r="Q168" s="211">
        <f>Q85</f>
        <v>2503</v>
      </c>
      <c r="R168" s="211">
        <f>R85</f>
        <v>2416</v>
      </c>
      <c r="S168" s="211">
        <f>S85</f>
        <v>9473</v>
      </c>
      <c r="T168" s="211">
        <f>T85</f>
        <v>2230</v>
      </c>
      <c r="U168" s="211">
        <f>U85</f>
        <v>2390</v>
      </c>
      <c r="V168" s="211">
        <f>V85</f>
        <v>2530</v>
      </c>
      <c r="W168" s="211">
        <f>W85</f>
        <v>2517</v>
      </c>
      <c r="X168" s="211">
        <f>X85</f>
        <v>9667</v>
      </c>
      <c r="Y168" s="211">
        <f>Y85</f>
        <v>2446</v>
      </c>
      <c r="Z168" s="211">
        <f>Z85</f>
        <v>2694</v>
      </c>
      <c r="AA168" s="211">
        <f>AA85</f>
        <v>2880</v>
      </c>
      <c r="AB168" s="211">
        <f>AB85</f>
        <v>2756</v>
      </c>
      <c r="AC168" s="211">
        <f>AC85</f>
        <v>10776</v>
      </c>
      <c r="AD168" s="211">
        <f>AD85</f>
        <v>2734</v>
      </c>
      <c r="AE168" s="211">
        <f>AE85</f>
        <v>3053</v>
      </c>
      <c r="AF168" s="211">
        <f>AF85</f>
        <v>3398</v>
      </c>
      <c r="AG168" s="211">
        <f>AG85</f>
        <v>3312</v>
      </c>
      <c r="AH168" s="211">
        <f>AH85</f>
        <v>12497</v>
      </c>
      <c r="AI168" s="211">
        <f>AI85</f>
        <v>3580</v>
      </c>
      <c r="AJ168" s="211">
        <f>AJ85</f>
        <v>3665</v>
      </c>
      <c r="AK168" s="211">
        <f>AK85</f>
        <v>3898</v>
      </c>
      <c r="AL168" s="211">
        <f>AL85</f>
        <v>3807</v>
      </c>
      <c r="AM168" s="211">
        <f>AM85</f>
        <v>14950</v>
      </c>
      <c r="AN168" s="211">
        <f>AN85</f>
        <v>3889</v>
      </c>
      <c r="AO168" s="211">
        <f>AO85</f>
        <v>4113</v>
      </c>
      <c r="AP168" s="211">
        <f>AP85</f>
        <v>4467</v>
      </c>
      <c r="AQ168" s="211">
        <f>AQ85</f>
        <v>4414</v>
      </c>
      <c r="AR168" s="211">
        <f>AR85</f>
        <v>16883</v>
      </c>
      <c r="AS168" s="211">
        <f>AS85</f>
        <v>4009</v>
      </c>
      <c r="AT168" s="211">
        <f>AT85</f>
        <v>3335</v>
      </c>
      <c r="AU168" s="211">
        <f>AU85</f>
        <v>3837</v>
      </c>
      <c r="AV168" s="211">
        <f>AV85</f>
        <v>4120</v>
      </c>
      <c r="AW168" s="211">
        <f>AW85</f>
        <v>15301</v>
      </c>
      <c r="AX168" s="211">
        <f>AX85</f>
        <v>4155</v>
      </c>
      <c r="AY168" s="211">
        <f>AY85</f>
        <v>4528</v>
      </c>
      <c r="AZ168" s="211">
        <f>AZ85</f>
        <v>4985</v>
      </c>
      <c r="BA168" s="211">
        <f>BA85</f>
        <v>5216</v>
      </c>
      <c r="BB168" s="211">
        <f>BB85</f>
        <v>18884</v>
      </c>
      <c r="BC168" s="211">
        <f>BC85</f>
        <v>5137</v>
      </c>
      <c r="BD168" s="211">
        <f>BD85</f>
        <v>5491</v>
      </c>
      <c r="BE168" s="211">
        <f>BE85</f>
        <v>5756</v>
      </c>
      <c r="BF168" s="211">
        <f>BF85</f>
        <v>5817</v>
      </c>
      <c r="BG168" s="211">
        <f>BG85</f>
        <v>22200</v>
      </c>
      <c r="BH168" s="211">
        <f>BH85</f>
        <v>5748</v>
      </c>
      <c r="BI168" s="211">
        <f>BI85</f>
        <v>6269</v>
      </c>
      <c r="BJ168" s="211">
        <f>BJ85</f>
        <v>6533</v>
      </c>
      <c r="BK168" s="211">
        <f>BK85</f>
        <v>6548</v>
      </c>
      <c r="BL168" s="211">
        <f>BL85</f>
        <v>25098</v>
      </c>
      <c r="BM168" s="211">
        <f>BM85</f>
        <v>6348</v>
      </c>
      <c r="BN168" s="211">
        <f>BN85</f>
        <v>6961</v>
      </c>
      <c r="BO168" s="211">
        <f>BO85</f>
        <v>7369</v>
      </c>
      <c r="BP168" s="211">
        <f>BP85</f>
        <v>7489</v>
      </c>
      <c r="BQ168" s="211">
        <f>BQ85</f>
        <v>28167</v>
      </c>
      <c r="BR168" s="211">
        <f>BR85</f>
        <v>7250</v>
      </c>
      <c r="BS168" s="211">
        <f>BS85</f>
        <v>8133</v>
      </c>
      <c r="BT168" s="211">
        <f>BT85</f>
        <v>8602</v>
      </c>
      <c r="BU168" s="211">
        <f>BU85</f>
        <v>8806</v>
      </c>
      <c r="BV168" s="211">
        <f>BV85</f>
        <v>32791</v>
      </c>
      <c r="BW168" s="211">
        <f>BW85</f>
        <v>8398</v>
      </c>
      <c r="BX168" s="211">
        <f>BX85</f>
        <v>9277</v>
      </c>
      <c r="BY168" s="254">
        <f>BY85</f>
        <v>9637.55150593884</v>
      </c>
      <c r="BZ168" s="254">
        <f>BZ85</f>
        <v>9905.23349406116</v>
      </c>
      <c r="CA168" s="254">
        <f>CA85</f>
        <v>37217.785</v>
      </c>
      <c r="CB168" s="254">
        <f>CB85</f>
        <v>41825.0132406573</v>
      </c>
      <c r="CC168" s="254">
        <f>CC85</f>
        <v>46784.2455603929</v>
      </c>
      <c r="CD168" s="254">
        <f>CD85</f>
        <v>51988.5998121384</v>
      </c>
      <c r="CE168" s="254">
        <f>CE85</f>
        <v>57398.9793869104</v>
      </c>
      <c r="CF168" s="19" t="n"/>
    </row>
    <row r="169" ht="15" customHeight="1" s="251">
      <c r="B169" s="156" t="inlineStr">
        <is>
          <t xml:space="preserve">  Company-published adjusted net revenue (where it differs from GAAP: 2022)</t>
        </is>
      </c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  <c r="AA169" s="34" t="n"/>
      <c r="AB169" s="34" t="n"/>
      <c r="AC169" s="34" t="n"/>
      <c r="AD169" s="34" t="n"/>
      <c r="AE169" s="34" t="n"/>
      <c r="AF169" s="34" t="n"/>
      <c r="AG169" s="34" t="n"/>
      <c r="AH169" s="34" t="n"/>
      <c r="AI169" s="34" t="n"/>
      <c r="AJ169" s="34" t="n"/>
      <c r="AK169" s="34" t="n"/>
      <c r="AL169" s="34" t="n"/>
      <c r="AM169" s="34" t="n"/>
      <c r="AN169" s="34" t="n"/>
      <c r="AO169" s="34" t="n"/>
      <c r="AP169" s="34" t="n"/>
      <c r="AQ169" s="34" t="n"/>
      <c r="AR169" s="34" t="n"/>
      <c r="AS169" s="34" t="n"/>
      <c r="AT169" s="34" t="n"/>
      <c r="AU169" s="34" t="n"/>
      <c r="AV169" s="34" t="n"/>
      <c r="AW169" s="34" t="n"/>
      <c r="AX169" s="34" t="n"/>
      <c r="AY169" s="34" t="n"/>
      <c r="AZ169" s="34" t="n"/>
      <c r="BA169" s="34" t="n"/>
      <c r="BB169" s="34" t="n"/>
      <c r="BC169" s="253" t="n">
        <v>5136</v>
      </c>
      <c r="BD169" s="253" t="n">
        <v>5491</v>
      </c>
      <c r="BE169" s="253" t="n">
        <v>5756</v>
      </c>
      <c r="BF169" s="253" t="n">
        <v>5817</v>
      </c>
      <c r="BG169" s="253" t="n">
        <v>22200</v>
      </c>
      <c r="BH169" s="253" t="n">
        <v>5748</v>
      </c>
      <c r="BI169" s="253" t="n">
        <v>6269</v>
      </c>
      <c r="BJ169" s="253" t="n">
        <v>6533</v>
      </c>
      <c r="BK169" s="253" t="n">
        <v>6548</v>
      </c>
      <c r="BL169" s="253" t="n">
        <v>25098</v>
      </c>
      <c r="BM169" s="34" t="n"/>
      <c r="BN169" s="34" t="n"/>
      <c r="BO169" s="34" t="n"/>
      <c r="BP169" s="34" t="n"/>
      <c r="BQ169" s="34" t="n"/>
      <c r="BR169" s="34" t="n"/>
      <c r="BS169" s="34" t="n"/>
      <c r="BT169" s="34" t="n"/>
      <c r="BU169" s="34" t="n"/>
      <c r="BV169" s="34" t="n"/>
      <c r="BW169" s="34" t="n"/>
      <c r="BX169" s="34" t="n"/>
      <c r="BY169" s="153" t="n"/>
      <c r="BZ169" s="153" t="n"/>
      <c r="CA169" s="153" t="n"/>
      <c r="CB169" s="153" t="n"/>
      <c r="CC169" s="153" t="n"/>
      <c r="CD169" s="153" t="n"/>
      <c r="CE169" s="153" t="n"/>
      <c r="CF169" s="153" t="n"/>
    </row>
    <row r="170" ht="15" customHeight="1" s="251">
      <c r="B170" s="55" t="inlineStr">
        <is>
          <t xml:space="preserve">  = Adjusted operating income</t>
        </is>
      </c>
      <c r="C170" s="273">
        <f>IF(ISNUMBER(C165),C168-C165,"")</f>
        <v>649.495</v>
      </c>
      <c r="D170" s="273">
        <f>IF(ISNUMBER(D165),D168-D165,"")</f>
        <v>1111.112</v>
      </c>
      <c r="E170" s="273">
        <f>IF(ISNUMBER(E165),E168-E165,"")</f>
        <v>1948.495</v>
      </c>
      <c r="F170" s="273">
        <f>IF(ISNUMBER(F165),F168-F165,"")</f>
        <v>2267.108</v>
      </c>
      <c r="G170" s="273">
        <f>IF(ISNUMBER(G165),G168-G165,"")</f>
        <v>2752</v>
      </c>
      <c r="H170" s="273">
        <f>IF(ISNUMBER(H165),H168-H165,"")</f>
        <v>3483</v>
      </c>
      <c r="I170" s="273">
        <f>IF(ISNUMBER(I165),I168-I165,"")</f>
        <v>3957</v>
      </c>
      <c r="J170" s="273">
        <f>IF(ISNUMBER(J165),J168-J165,"")</f>
        <v>1107</v>
      </c>
      <c r="K170" s="273">
        <f>IF(ISNUMBER(K165),K168-K165,"")</f>
        <v>1228</v>
      </c>
      <c r="L170" s="273">
        <f>IF(ISNUMBER(L165),L168-L165,"")</f>
        <v>1248</v>
      </c>
      <c r="M170" s="273">
        <f>IF(ISNUMBER(M165),M168-M165,"")</f>
        <v>1015</v>
      </c>
      <c r="N170" s="273">
        <f>IF(ISNUMBER(N165),N168-N165,"")</f>
        <v>4598</v>
      </c>
      <c r="O170" s="273">
        <f>IF(ISNUMBER(O165),O168-O165,"")</f>
        <v>1285</v>
      </c>
      <c r="P170" s="273">
        <f>IF(ISNUMBER(P165),P168-P165,"")</f>
        <v>1383</v>
      </c>
      <c r="Q170" s="273">
        <f>IF(ISNUMBER(Q165),Q168-Q165,"")</f>
        <v>1420</v>
      </c>
      <c r="R170" s="273">
        <f>IF(ISNUMBER(R165),R168-R165,"")</f>
        <v>1018</v>
      </c>
      <c r="S170" s="273">
        <f>IF(ISNUMBER(S165),S168-S165,"")</f>
        <v>5106</v>
      </c>
      <c r="T170" s="273">
        <f>IF(ISNUMBER(T165),T168-T165,"")</f>
        <v>1351</v>
      </c>
      <c r="U170" s="273">
        <f>IF(ISNUMBER(U165),U168-U165,"")</f>
        <v>1312</v>
      </c>
      <c r="V170" s="273">
        <f>IF(ISNUMBER(V165),V168-V165,"")</f>
        <v>1448</v>
      </c>
      <c r="W170" s="273">
        <f>IF(ISNUMBER(W165),W168-W165,"")</f>
        <v>1107</v>
      </c>
      <c r="X170" s="273">
        <f>IF(ISNUMBER(X165),X168-X165,"")</f>
        <v>5218</v>
      </c>
      <c r="Y170" s="273">
        <f>IF(ISNUMBER(Y165),Y168-Y165,"")</f>
        <v>1348</v>
      </c>
      <c r="Z170" s="273">
        <f>IF(ISNUMBER(Z165),Z168-Z165,"")</f>
        <v>1487</v>
      </c>
      <c r="AA170" s="273">
        <f>IF(ISNUMBER(AA165),AA168-AA165,"")</f>
        <v>1670</v>
      </c>
      <c r="AB170" s="273">
        <f>IF(ISNUMBER(AB165),AB168-AB165,"")</f>
        <v>1373</v>
      </c>
      <c r="AC170" s="273">
        <f>IF(ISNUMBER(AC165),AC168-AC165,"")</f>
        <v>5878</v>
      </c>
      <c r="AD170" s="273">
        <f>IF(ISNUMBER(AD165),AD168-AD165,"")</f>
        <v>1521</v>
      </c>
      <c r="AE170" s="273">
        <f>IF(ISNUMBER(AE165),AE168-AE165,"")</f>
        <v>1653</v>
      </c>
      <c r="AF170" s="273">
        <f>IF(ISNUMBER(AF165),AF168-AF165,"")</f>
        <v>1941</v>
      </c>
      <c r="AG170" s="273">
        <f>IF(ISNUMBER(AG165),AG168-AG165,"")</f>
        <v>1689</v>
      </c>
      <c r="AH170" s="273">
        <f>IF(ISNUMBER(AH165),AH168-AH165,"")</f>
        <v>6804</v>
      </c>
      <c r="AI170" s="273">
        <f>IF(ISNUMBER(AI165),AI168-AI165,"")</f>
        <v>1942</v>
      </c>
      <c r="AJ170" s="273">
        <f>IF(ISNUMBER(AJ165),AJ168-AJ165,"")</f>
        <v>2161</v>
      </c>
      <c r="AK170" s="273">
        <f>IF(ISNUMBER(AK165),AK168-AK165,"")</f>
        <v>2316</v>
      </c>
      <c r="AL170" s="273">
        <f>IF(ISNUMBER(AL165),AL168-AL165,"")</f>
        <v>1991</v>
      </c>
      <c r="AM170" s="273">
        <f>IF(ISNUMBER(AM165),AM168-AM165,"")</f>
        <v>8410</v>
      </c>
      <c r="AN170" s="273">
        <f>IF(ISNUMBER(AN165),AN168-AN165,"")</f>
        <v>2213</v>
      </c>
      <c r="AO170" s="273">
        <f>IF(ISNUMBER(AO165),AO168-AO165,"")</f>
        <v>2397</v>
      </c>
      <c r="AP170" s="273">
        <f>IF(ISNUMBER(AP165),AP168-AP165,"")</f>
        <v>2655</v>
      </c>
      <c r="AQ170" s="273">
        <f>IF(ISNUMBER(AQ165),AQ168-AQ165,"")</f>
        <v>2399</v>
      </c>
      <c r="AR170" s="273">
        <f>IF(ISNUMBER(AR165),AR168-AR165,"")</f>
        <v>9664</v>
      </c>
      <c r="AS170" s="273">
        <f>IF(ISNUMBER(AS165),AS168-AS165,"")</f>
        <v>2217</v>
      </c>
      <c r="AT170" s="273">
        <f>IF(ISNUMBER(AT165),AT168-AT165,"")</f>
        <v>1729</v>
      </c>
      <c r="AU170" s="273">
        <f>IF(ISNUMBER(AU165),AU168-AU165,"")</f>
        <v>2105</v>
      </c>
      <c r="AV170" s="273">
        <f>IF(ISNUMBER(AV165),AV168-AV165,"")</f>
        <v>2103</v>
      </c>
      <c r="AW170" s="273">
        <f>IF(ISNUMBER(AW165),AW168-AW165,"")</f>
        <v>8154</v>
      </c>
      <c r="AX170" s="273">
        <f>IF(ISNUMBER(AX165),AX168-AX165,"")</f>
        <v>2197</v>
      </c>
      <c r="AY170" s="273">
        <f>IF(ISNUMBER(AY165),AY168-AY165,"")</f>
        <v>2408</v>
      </c>
      <c r="AZ170" s="273">
        <f>IF(ISNUMBER(AZ165),AZ168-AZ165,"")</f>
        <v>2826</v>
      </c>
      <c r="BA170" s="273">
        <f>IF(ISNUMBER(BA165),BA168-BA165,"")</f>
        <v>2827</v>
      </c>
      <c r="BB170" s="273">
        <f>IF(ISNUMBER(BB165),BB168-BB165,"")</f>
        <v>10258</v>
      </c>
      <c r="BC170" s="273">
        <f>IF(ISNUMBER(BC165),BC168-BC165,"")</f>
        <v>2954</v>
      </c>
      <c r="BD170" s="273">
        <f>IF(ISNUMBER(BD165),BD168-BD165,"")</f>
        <v>3178</v>
      </c>
      <c r="BE170" s="273">
        <f>IF(ISNUMBER(BE165),BE168-BE165,"")</f>
        <v>3320</v>
      </c>
      <c r="BF170" s="273">
        <f>IF(ISNUMBER(BF165),BF168-BF165,"")</f>
        <v>3199</v>
      </c>
      <c r="BG170" s="273">
        <f>IF(ISNUMBER(BG165),BG168-BG165,"")</f>
        <v>12650</v>
      </c>
      <c r="BH170" s="273">
        <f>IF(ISNUMBER(BH165),BH168-BH165,"")</f>
        <v>3347</v>
      </c>
      <c r="BI170" s="273">
        <f>IF(ISNUMBER(BI165),BI168-BI165,"")</f>
        <v>3676</v>
      </c>
      <c r="BJ170" s="273">
        <f>IF(ISNUMBER(BJ165),BJ168-BJ165,"")</f>
        <v>3844</v>
      </c>
      <c r="BK170" s="273">
        <f>IF(ISNUMBER(BK165),BK168-BK165,"")</f>
        <v>3680</v>
      </c>
      <c r="BL170" s="273">
        <f>IF(ISNUMBER(BL165),BL168-BL165,"")</f>
        <v>14547</v>
      </c>
      <c r="BM170" s="273">
        <f>IF(ISNUMBER(BM165),BM168-BM165,"")</f>
        <v>3730</v>
      </c>
      <c r="BN170" s="273">
        <f>IF(ISNUMBER(BN165),BN168-BN165,"")</f>
        <v>4134</v>
      </c>
      <c r="BO170" s="273">
        <f>IF(ISNUMBER(BO165),BO168-BO165,"")</f>
        <v>4370</v>
      </c>
      <c r="BP170" s="273">
        <f>IF(ISNUMBER(BP165),BP168-BP165,"")</f>
        <v>4218</v>
      </c>
      <c r="BQ170" s="273">
        <f>IF(ISNUMBER(BQ165),BQ168-BQ165,"")</f>
        <v>16452</v>
      </c>
      <c r="BR170" s="273">
        <f>IF(ISNUMBER(BR165),BR168-BR165,"")</f>
        <v>4300</v>
      </c>
      <c r="BS170" s="273">
        <f>IF(ISNUMBER(BS165),BS168-BS165,"")</f>
        <v>4873</v>
      </c>
      <c r="BT170" s="273">
        <f>IF(ISNUMBER(BT165),BT168-BT165,"")</f>
        <v>5144</v>
      </c>
      <c r="BU170" s="273">
        <f>IF(ISNUMBER(BU165),BU168-BU165,"")</f>
        <v>5084</v>
      </c>
      <c r="BV170" s="273">
        <f>IF(ISNUMBER(BV165),BV168-BV165,"")</f>
        <v>19401</v>
      </c>
      <c r="BW170" s="273">
        <f>IF(ISNUMBER(BW165),BW168-BW165,"")</f>
        <v>5109</v>
      </c>
      <c r="BX170" s="273">
        <f>IF(ISNUMBER(BX165),BX168-BX165,"")</f>
        <v>5669</v>
      </c>
      <c r="BY170" s="273">
        <f>IF(ISNUMBER(BY165),BY168-BY165,"")</f>
        <v>5768.80564242909</v>
      </c>
      <c r="BZ170" s="273">
        <f>IF(ISNUMBER(BZ165),BZ168-BZ165,"")</f>
        <v>5741.12935757091</v>
      </c>
      <c r="CA170" s="273">
        <f>IF(ISNUMBER(CA165),CA168-CA165,"")</f>
        <v>22287.935</v>
      </c>
      <c r="CB170" s="273">
        <f>IF(ISNUMBER(CB165),CB168-CB165,"")</f>
        <v>25192.1704841164</v>
      </c>
      <c r="CC170" s="273">
        <f>IF(ISNUMBER(CC165),CC168-CC165,"")</f>
        <v>28352.0763007189</v>
      </c>
      <c r="CD170" s="273">
        <f>IF(ISNUMBER(CD165),CD168-CD165,"")</f>
        <v>31702.6557848408</v>
      </c>
      <c r="CE170" s="273">
        <f>IF(ISNUMBER(CE165),CE168-CE165,"")</f>
        <v>35222.2285731106</v>
      </c>
      <c r="CF170" s="153" t="n"/>
      <c r="CH170" s="20">
        <f>IFERROR((CE170/BV170)^(1/5)-1,"n/m")</f>
        <v>0.126674702438811</v>
      </c>
      <c r="CI170" s="20">
        <f>IFERROR((BV170/AW170)^(1/5)-1,"n/m")</f>
        <v>0.189297981279182</v>
      </c>
      <c r="CJ170" s="20">
        <f>IFERROR((BV170/X170)^(1/10)-1,"n/m")</f>
        <v>0.140333818105608</v>
      </c>
      <c r="CK170" s="20">
        <f>IFERROR((BV170/C170)^(1/19)-1,"n/m")</f>
        <v>0.195761723711314</v>
      </c>
    </row>
    <row r="171" ht="15" customHeight="1" s="251">
      <c r="B171" s="25" t="inlineStr">
        <is>
          <t xml:space="preserve">  Adjusted operating margin %</t>
        </is>
      </c>
      <c r="C171" s="215">
        <f>IF(AND(ISNUMBER(C170),ISNUMBER(C168)),IFERROR(C170/C168,""),"")</f>
        <v>0.195273767210231</v>
      </c>
      <c r="D171" s="215">
        <f>IF(AND(ISNUMBER(D170),ISNUMBER(D168)),IFERROR(D170/D168,""),"")</f>
        <v>0.27316163663134</v>
      </c>
      <c r="E171" s="215">
        <f>IF(AND(ISNUMBER(E170),ISNUMBER(E168)),IFERROR(E170/E168,""),"")</f>
        <v>0.390354796057377</v>
      </c>
      <c r="F171" s="215">
        <f>IF(AND(ISNUMBER(F170),ISNUMBER(F168)),IFERROR(F170/F168,""),"")</f>
        <v>0.444645716424081</v>
      </c>
      <c r="G171" s="215">
        <f>IF(AND(ISNUMBER(G170),ISNUMBER(G168)),IFERROR(G170/G168,""),"")</f>
        <v>0.496840584943131</v>
      </c>
      <c r="H171" s="215">
        <f>IF(AND(ISNUMBER(H170),ISNUMBER(H168)),IFERROR(H170/H168,""),"")</f>
        <v>0.518766756032172</v>
      </c>
      <c r="I171" s="215">
        <f>IF(AND(ISNUMBER(I170),ISNUMBER(I168)),IFERROR(I170/I168,""),"")</f>
        <v>0.535380868624002</v>
      </c>
      <c r="J171" s="215">
        <f>IF(AND(ISNUMBER(J170),ISNUMBER(J168)),IFERROR(J170/J168,""),"")</f>
        <v>0.580797481636936</v>
      </c>
      <c r="K171" s="215">
        <f>IF(AND(ISNUMBER(K170),ISNUMBER(K168)),IFERROR(K170/K168,""),"")</f>
        <v>0.58587786259542</v>
      </c>
      <c r="L171" s="215">
        <f>IF(AND(ISNUMBER(L170),ISNUMBER(L168)),IFERROR(L170/L168,""),"")</f>
        <v>0.562669071235347</v>
      </c>
      <c r="M171" s="215">
        <f>IF(AND(ISNUMBER(M170),ISNUMBER(M168)),IFERROR(M170/M168,""),"")</f>
        <v>0.477422389463782</v>
      </c>
      <c r="N171" s="215">
        <f>IF(AND(ISNUMBER(N170),ISNUMBER(N168)),IFERROR(N170/N168,""),"")</f>
        <v>0.55092259765157</v>
      </c>
      <c r="O171" s="215">
        <f>IF(AND(ISNUMBER(O170),ISNUMBER(O168)),IFERROR(O170/O168,""),"")</f>
        <v>0.59026182820395</v>
      </c>
      <c r="P171" s="215">
        <f>IF(AND(ISNUMBER(P170),ISNUMBER(P168)),IFERROR(P170/P168,""),"")</f>
        <v>0.58182583087926</v>
      </c>
      <c r="Q171" s="215">
        <f>IF(AND(ISNUMBER(Q170),ISNUMBER(Q168)),IFERROR(Q170/Q168,""),"")</f>
        <v>0.567319216939672</v>
      </c>
      <c r="R171" s="215">
        <f>IF(AND(ISNUMBER(R170),ISNUMBER(R168)),IFERROR(R170/R168,""),"")</f>
        <v>0.42135761589404</v>
      </c>
      <c r="S171" s="215">
        <f>IF(AND(ISNUMBER(S170),ISNUMBER(S168)),IFERROR(S170/S168,""),"")</f>
        <v>0.539005594848517</v>
      </c>
      <c r="T171" s="215">
        <f>IF(AND(ISNUMBER(T170),ISNUMBER(T168)),IFERROR(T170/T168,""),"")</f>
        <v>0.605829596412556</v>
      </c>
      <c r="U171" s="215">
        <f>IF(AND(ISNUMBER(U170),ISNUMBER(U168)),IFERROR(U170/U168,""),"")</f>
        <v>0.548953974895397</v>
      </c>
      <c r="V171" s="215">
        <f>IF(AND(ISNUMBER(V170),ISNUMBER(V168)),IFERROR(V170/V168,""),"")</f>
        <v>0.572332015810277</v>
      </c>
      <c r="W171" s="215">
        <f>IF(AND(ISNUMBER(W170),ISNUMBER(W168)),IFERROR(W170/W168,""),"")</f>
        <v>0.439809296781883</v>
      </c>
      <c r="X171" s="215">
        <f>IF(AND(ISNUMBER(X170),ISNUMBER(X168)),IFERROR(X170/X168,""),"")</f>
        <v>0.539774490534809</v>
      </c>
      <c r="Y171" s="215">
        <f>IF(AND(ISNUMBER(Y170),ISNUMBER(Y168)),IFERROR(Y170/Y168,""),"")</f>
        <v>0.551103843008994</v>
      </c>
      <c r="Z171" s="215">
        <f>IF(AND(ISNUMBER(Z170),ISNUMBER(Z168)),IFERROR(Z170/Z168,""),"")</f>
        <v>0.551967334818114</v>
      </c>
      <c r="AA171" s="215">
        <f>IF(AND(ISNUMBER(AA170),ISNUMBER(AA168)),IFERROR(AA170/AA168,""),"")</f>
        <v>0.579861111111111</v>
      </c>
      <c r="AB171" s="215">
        <f>IF(AND(ISNUMBER(AB170),ISNUMBER(AB168)),IFERROR(AB170/AB168,""),"")</f>
        <v>0.498185776487663</v>
      </c>
      <c r="AC171" s="215">
        <f>IF(AND(ISNUMBER(AC170),ISNUMBER(AC168)),IFERROR(AC170/AC168,""),"")</f>
        <v>0.54547141796585</v>
      </c>
      <c r="AD171" s="215">
        <f>IF(AND(ISNUMBER(AD170),ISNUMBER(AD168)),IFERROR(AD170/AD168,""),"")</f>
        <v>0.556327724945135</v>
      </c>
      <c r="AE171" s="215">
        <f>IF(AND(ISNUMBER(AE170),ISNUMBER(AE168)),IFERROR(AE170/AE168,""),"")</f>
        <v>0.541434654438257</v>
      </c>
      <c r="AF171" s="215">
        <f>IF(AND(ISNUMBER(AF170),ISNUMBER(AF168)),IFERROR(AF170/AF168,""),"")</f>
        <v>0.571218363743378</v>
      </c>
      <c r="AG171" s="215">
        <f>IF(AND(ISNUMBER(AG170),ISNUMBER(AG168)),IFERROR(AG170/AG168,""),"")</f>
        <v>0.509963768115942</v>
      </c>
      <c r="AH171" s="215">
        <f>IF(AND(ISNUMBER(AH170),ISNUMBER(AH168)),IFERROR(AH170/AH168,""),"")</f>
        <v>0.544450668160359</v>
      </c>
      <c r="AI171" s="215">
        <f>IF(AND(ISNUMBER(AI170),ISNUMBER(AI168)),IFERROR(AI170/AI168,""),"")</f>
        <v>0.542458100558659</v>
      </c>
      <c r="AJ171" s="215">
        <f>IF(AND(ISNUMBER(AJ170),ISNUMBER(AJ168)),IFERROR(AJ170/AJ168,""),"")</f>
        <v>0.589631650750341</v>
      </c>
      <c r="AK171" s="215">
        <f>IF(AND(ISNUMBER(AK170),ISNUMBER(AK168)),IFERROR(AK170/AK168,""),"")</f>
        <v>0.594150846587994</v>
      </c>
      <c r="AL171" s="215">
        <f>IF(AND(ISNUMBER(AL170),ISNUMBER(AL168)),IFERROR(AL170/AL168,""),"")</f>
        <v>0.522983976884686</v>
      </c>
      <c r="AM171" s="215">
        <f>IF(AND(ISNUMBER(AM170),ISNUMBER(AM168)),IFERROR(AM170/AM168,""),"")</f>
        <v>0.562541806020067</v>
      </c>
      <c r="AN171" s="215">
        <f>IF(AND(ISNUMBER(AN170),ISNUMBER(AN168)),IFERROR(AN170/AN168,""),"")</f>
        <v>0.569040884546156</v>
      </c>
      <c r="AO171" s="215">
        <f>IF(AND(ISNUMBER(AO170),ISNUMBER(AO168)),IFERROR(AO170/AO168,""),"")</f>
        <v>0.582786287381473</v>
      </c>
      <c r="AP171" s="215">
        <f>IF(AND(ISNUMBER(AP170),ISNUMBER(AP168)),IFERROR(AP170/AP168,""),"")</f>
        <v>0.594358629952989</v>
      </c>
      <c r="AQ171" s="215">
        <f>IF(AND(ISNUMBER(AQ170),ISNUMBER(AQ168)),IFERROR(AQ170/AQ168,""),"")</f>
        <v>0.543497961033077</v>
      </c>
      <c r="AR171" s="215">
        <f>IF(AND(ISNUMBER(AR170),ISNUMBER(AR168)),IFERROR(AR170/AR168,""),"")</f>
        <v>0.572410116685423</v>
      </c>
      <c r="AS171" s="215">
        <f>IF(AND(ISNUMBER(AS170),ISNUMBER(AS168)),IFERROR(AS170/AS168,""),"")</f>
        <v>0.553005737091544</v>
      </c>
      <c r="AT171" s="215">
        <f>IF(AND(ISNUMBER(AT170),ISNUMBER(AT168)),IFERROR(AT170/AT168,""),"")</f>
        <v>0.518440779610195</v>
      </c>
      <c r="AU171" s="215">
        <f>IF(AND(ISNUMBER(AU170),ISNUMBER(AU168)),IFERROR(AU170/AU168,""),"")</f>
        <v>0.548605681522022</v>
      </c>
      <c r="AV171" s="215">
        <f>IF(AND(ISNUMBER(AV170),ISNUMBER(AV168)),IFERROR(AV170/AV168,""),"")</f>
        <v>0.510436893203884</v>
      </c>
      <c r="AW171" s="215">
        <f>IF(AND(ISNUMBER(AW170),ISNUMBER(AW168)),IFERROR(AW170/AW168,""),"")</f>
        <v>0.532906345990458</v>
      </c>
      <c r="AX171" s="215">
        <f>IF(AND(ISNUMBER(AX170),ISNUMBER(AX168)),IFERROR(AX170/AX168,""),"")</f>
        <v>0.528760529482551</v>
      </c>
      <c r="AY171" s="215">
        <f>IF(AND(ISNUMBER(AY170),ISNUMBER(AY168)),IFERROR(AY170/AY168,""),"")</f>
        <v>0.531802120141343</v>
      </c>
      <c r="AZ171" s="215">
        <f>IF(AND(ISNUMBER(AZ170),ISNUMBER(AZ168)),IFERROR(AZ170/AZ168,""),"")</f>
        <v>0.566900702106319</v>
      </c>
      <c r="BA171" s="215">
        <f>IF(AND(ISNUMBER(BA170),ISNUMBER(BA168)),IFERROR(BA170/BA168,""),"")</f>
        <v>0.541986196319019</v>
      </c>
      <c r="BB171" s="215">
        <f>IF(AND(ISNUMBER(BB170),ISNUMBER(BB168)),IFERROR(BB170/BB168,""),"")</f>
        <v>0.543211184071171</v>
      </c>
      <c r="BC171" s="215">
        <f>IF(AND(ISNUMBER(BC170),ISNUMBER(BC168)),IFERROR(BC170/BC168,""),"")</f>
        <v>0.5750437998832</v>
      </c>
      <c r="BD171" s="215">
        <f>IF(AND(ISNUMBER(BD170),ISNUMBER(BD168)),IFERROR(BD170/BD168,""),"")</f>
        <v>0.578765252230923</v>
      </c>
      <c r="BE171" s="215">
        <f>IF(AND(ISNUMBER(BE170),ISNUMBER(BE168)),IFERROR(BE170/BE168,""),"")</f>
        <v>0.576789437109104</v>
      </c>
      <c r="BF171" s="215">
        <f>IF(AND(ISNUMBER(BF170),ISNUMBER(BF168)),IFERROR(BF170/BF168,""),"")</f>
        <v>0.549939831528279</v>
      </c>
      <c r="BG171" s="215">
        <f>IF(AND(ISNUMBER(BG170),ISNUMBER(BG168)),IFERROR(BG170/BG168,""),"")</f>
        <v>0.56981981981982</v>
      </c>
      <c r="BH171" s="215">
        <f>IF(AND(ISNUMBER(BH170),ISNUMBER(BH168)),IFERROR(BH170/BH168,""),"")</f>
        <v>0.582289491997217</v>
      </c>
      <c r="BI171" s="215">
        <f>IF(AND(ISNUMBER(BI170),ISNUMBER(BI168)),IFERROR(BI170/BI168,""),"")</f>
        <v>0.586377412665497</v>
      </c>
      <c r="BJ171" s="215">
        <f>IF(AND(ISNUMBER(BJ170),ISNUMBER(BJ168)),IFERROR(BJ170/BJ168,""),"")</f>
        <v>0.588397367212613</v>
      </c>
      <c r="BK171" s="215">
        <f>IF(AND(ISNUMBER(BK170),ISNUMBER(BK168)),IFERROR(BK170/BK168,""),"")</f>
        <v>0.562003665241295</v>
      </c>
      <c r="BL171" s="215">
        <f>IF(AND(ISNUMBER(BL170),ISNUMBER(BL168)),IFERROR(BL170/BL168,""),"")</f>
        <v>0.579607936887401</v>
      </c>
      <c r="BM171" s="215">
        <f>IF(AND(ISNUMBER(BM170),ISNUMBER(BM168)),IFERROR(BM170/BM168,""),"")</f>
        <v>0.587586641461878</v>
      </c>
      <c r="BN171" s="215">
        <f>IF(AND(ISNUMBER(BN170),ISNUMBER(BN168)),IFERROR(BN170/BN168,""),"")</f>
        <v>0.593880189627927</v>
      </c>
      <c r="BO171" s="215">
        <f>IF(AND(ISNUMBER(BO170),ISNUMBER(BO168)),IFERROR(BO170/BO168,""),"")</f>
        <v>0.593024833763062</v>
      </c>
      <c r="BP171" s="215">
        <f>IF(AND(ISNUMBER(BP170),ISNUMBER(BP168)),IFERROR(BP170/BP168,""),"")</f>
        <v>0.56322606489518</v>
      </c>
      <c r="BQ171" s="215">
        <f>IF(AND(ISNUMBER(BQ170),ISNUMBER(BQ168)),IFERROR(BQ170/BQ168,""),"")</f>
        <v>0.584087762275003</v>
      </c>
      <c r="BR171" s="215">
        <f>IF(AND(ISNUMBER(BR170),ISNUMBER(BR168)),IFERROR(BR170/BR168,""),"")</f>
        <v>0.593103448275862</v>
      </c>
      <c r="BS171" s="215">
        <f>IF(AND(ISNUMBER(BS170),ISNUMBER(BS168)),IFERROR(BS170/BS168,""),"")</f>
        <v>0.599163900159843</v>
      </c>
      <c r="BT171" s="215">
        <f>IF(AND(ISNUMBER(BT170),ISNUMBER(BT168)),IFERROR(BT170/BT168,""),"")</f>
        <v>0.598000465008138</v>
      </c>
      <c r="BU171" s="215">
        <f>IF(AND(ISNUMBER(BU170),ISNUMBER(BU168)),IFERROR(BU170/BU168,""),"")</f>
        <v>0.577333636157166</v>
      </c>
      <c r="BV171" s="215">
        <f>IF(AND(ISNUMBER(BV170),ISNUMBER(BV168)),IFERROR(BV170/BV168,""),"")</f>
        <v>0.591656247140984</v>
      </c>
      <c r="BW171" s="215">
        <f>IF(AND(ISNUMBER(BW170),ISNUMBER(BW168)),IFERROR(BW170/BW168,""),"")</f>
        <v>0.608359133126935</v>
      </c>
      <c r="BX171" s="215">
        <f>IF(AND(ISNUMBER(BX170),ISNUMBER(BX168)),IFERROR(BX170/BX168,""),"")</f>
        <v>0.61108116848119</v>
      </c>
      <c r="BY171" s="256">
        <f>IF(AND(ISNUMBER(BY170),ISNUMBER(BY168)),IFERROR(BY170/BY168,""),"")</f>
        <v>0.598575856001832</v>
      </c>
      <c r="BZ171" s="256">
        <f>IF(AND(ISNUMBER(BZ170),ISNUMBER(BZ168)),IFERROR(BZ170/BZ168,""),"")</f>
        <v>0.579605656041637</v>
      </c>
      <c r="CA171" s="256">
        <f>IF(AND(ISNUMBER(CA170),ISNUMBER(CA168)),IFERROR(CA170/CA168,""),"")</f>
        <v>0.598851731772861</v>
      </c>
      <c r="CB171" s="256">
        <f>IF(AND(ISNUMBER(CB170),ISNUMBER(CB168)),IFERROR(CB170/CB168,""),"")</f>
        <v>0.602323072539461</v>
      </c>
      <c r="CC171" s="256">
        <f>IF(AND(ISNUMBER(CC170),ISNUMBER(CC168)),IFERROR(CC170/CC168,""),"")</f>
        <v>0.606017601889502</v>
      </c>
      <c r="CD171" s="256">
        <f>IF(AND(ISNUMBER(CD170),ISNUMBER(CD168)),IFERROR(CD170/CD168,""),"")</f>
        <v>0.609800146559032</v>
      </c>
      <c r="CE171" s="256">
        <f>IF(AND(ISNUMBER(CE170),ISNUMBER(CE168)),IFERROR(CE170/CE168,""),"")</f>
        <v>0.61363858642307</v>
      </c>
      <c r="CF171" s="153" t="n"/>
      <c r="CH171" s="37">
        <f>IFERROR(AVERAGE(CA171,CB171,CC171,CD171,CE171),"n/m")</f>
        <v>0.606126227836785</v>
      </c>
      <c r="CI171" s="37">
        <f>IFERROR(AVERAGE(BB171,BG171,BL171,BQ171,BV171),"n/m")</f>
        <v>0.573676590038876</v>
      </c>
      <c r="CJ171" s="37">
        <f>IFERROR(AVERAGE(AC171,AH171,AM171,AR171,AW171,BB171,BG171,BL171,BQ171,BV171),"n/m")</f>
        <v>0.562616330501654</v>
      </c>
      <c r="CK171" s="37">
        <f>IFERROR(AVERAGE(C171,D171,E171,F171,G171,H171,I171,N171,S171,X171,AC171,AH171,AM171,AR171,AW171,BB171,BG171,BL171,BQ171,BV171),"n/m")</f>
        <v>0.505514505698688</v>
      </c>
    </row>
    <row r="172" ht="15" customHeight="1" s="251">
      <c r="B172" s="156" t="inlineStr">
        <is>
          <t xml:space="preserve">  Company-published adjusted operating margin %</t>
        </is>
      </c>
      <c r="C172" s="255" t="n">
        <v>0.195</v>
      </c>
      <c r="D172" s="255" t="n">
        <v>0.273</v>
      </c>
      <c r="E172" s="255" t="n">
        <v>0.39</v>
      </c>
      <c r="F172" s="255" t="n">
        <v>0.445</v>
      </c>
      <c r="G172" s="34" t="n"/>
      <c r="H172" s="255" t="n">
        <v>0.519</v>
      </c>
      <c r="I172" s="255" t="n">
        <v>0.535</v>
      </c>
      <c r="J172" s="34" t="n"/>
      <c r="K172" s="34" t="n"/>
      <c r="L172" s="34" t="n"/>
      <c r="M172" s="255" t="n">
        <v>0.477</v>
      </c>
      <c r="N172" s="255" t="n">
        <v>0.551</v>
      </c>
      <c r="O172" s="34" t="n"/>
      <c r="P172" s="34" t="n"/>
      <c r="Q172" s="34" t="n"/>
      <c r="R172" s="34" t="n"/>
      <c r="S172" s="34" t="n"/>
      <c r="T172" s="34" t="n"/>
      <c r="U172" s="255" t="n">
        <v>0.549</v>
      </c>
      <c r="V172" s="255" t="n">
        <v>0.572</v>
      </c>
      <c r="W172" s="34" t="n"/>
      <c r="X172" s="255" t="n">
        <v>0.54</v>
      </c>
      <c r="Y172" s="34" t="n"/>
      <c r="Z172" s="255" t="n">
        <v>0.552</v>
      </c>
      <c r="AA172" s="34" t="n"/>
      <c r="AB172" s="255" t="n">
        <v>0.498</v>
      </c>
      <c r="AC172" s="255" t="n">
        <v>0.545</v>
      </c>
      <c r="AD172" s="255" t="n">
        <v>0.556</v>
      </c>
      <c r="AE172" s="255" t="n">
        <v>0.541</v>
      </c>
      <c r="AF172" s="34" t="n"/>
      <c r="AG172" s="255" t="n">
        <v>0.51</v>
      </c>
      <c r="AH172" s="255" t="n">
        <v>0.544</v>
      </c>
      <c r="AI172" s="255" t="n">
        <v>0.542</v>
      </c>
      <c r="AJ172" s="255" t="n">
        <v>0.59</v>
      </c>
      <c r="AK172" s="255" t="n">
        <v>0.594</v>
      </c>
      <c r="AL172" s="255" t="n">
        <v>0.523</v>
      </c>
      <c r="AM172" s="255" t="n">
        <v>0.5620000000000001</v>
      </c>
      <c r="AN172" s="255" t="n">
        <v>0.569</v>
      </c>
      <c r="AO172" s="255" t="n">
        <v>0.583</v>
      </c>
      <c r="AP172" s="255" t="n">
        <v>0.594</v>
      </c>
      <c r="AQ172" s="255" t="n">
        <v>0.544</v>
      </c>
      <c r="AR172" s="255" t="n">
        <v>0.572</v>
      </c>
      <c r="AS172" s="255" t="n">
        <v>0.553</v>
      </c>
      <c r="AT172" s="255" t="n">
        <v>0.518</v>
      </c>
      <c r="AU172" s="255" t="n">
        <v>0.549</v>
      </c>
      <c r="AV172" s="255" t="n">
        <v>0.51</v>
      </c>
      <c r="AW172" s="255" t="n">
        <v>0.533</v>
      </c>
      <c r="AX172" s="255" t="n">
        <v>0.529</v>
      </c>
      <c r="AY172" s="255" t="n">
        <v>0.532</v>
      </c>
      <c r="AZ172" s="255" t="n">
        <v>0.5669999999999999</v>
      </c>
      <c r="BA172" s="255" t="n">
        <v>0.542</v>
      </c>
      <c r="BB172" s="255" t="n">
        <v>0.543</v>
      </c>
      <c r="BC172" s="255" t="n">
        <v>0.575</v>
      </c>
      <c r="BD172" s="255" t="n">
        <v>0.579</v>
      </c>
      <c r="BE172" s="255" t="n">
        <v>0.577</v>
      </c>
      <c r="BF172" s="255" t="n">
        <v>0.55</v>
      </c>
      <c r="BG172" s="255" t="n">
        <v>0.57</v>
      </c>
      <c r="BH172" s="255" t="n">
        <v>0.582</v>
      </c>
      <c r="BI172" s="255" t="n">
        <v>0.586</v>
      </c>
      <c r="BJ172" s="255" t="n">
        <v>0.588</v>
      </c>
      <c r="BK172" s="255" t="n">
        <v>0.5620000000000001</v>
      </c>
      <c r="BL172" s="255" t="n">
        <v>0.58</v>
      </c>
      <c r="BM172" s="255" t="n">
        <v>0.588</v>
      </c>
      <c r="BN172" s="255" t="n">
        <v>0.594</v>
      </c>
      <c r="BO172" s="255" t="n">
        <v>0.593</v>
      </c>
      <c r="BP172" s="255" t="n">
        <v>0.5629999999999999</v>
      </c>
      <c r="BQ172" s="255" t="n">
        <v>0.584</v>
      </c>
      <c r="BR172" s="255" t="n">
        <v>0.593</v>
      </c>
      <c r="BS172" s="255" t="n">
        <v>0.599</v>
      </c>
      <c r="BT172" s="255" t="n">
        <v>0.598</v>
      </c>
      <c r="BU172" s="255" t="n">
        <v>0.577</v>
      </c>
      <c r="BV172" s="255" t="n">
        <v>0.592</v>
      </c>
      <c r="BW172" s="255" t="n">
        <v>0.608</v>
      </c>
      <c r="BX172" s="255" t="n">
        <v>0.611</v>
      </c>
      <c r="BY172" s="153" t="n"/>
      <c r="BZ172" s="153" t="n"/>
      <c r="CA172" s="153" t="n"/>
      <c r="CB172" s="153" t="n"/>
      <c r="CC172" s="153" t="n"/>
      <c r="CD172" s="153" t="n"/>
      <c r="CE172" s="153" t="n"/>
      <c r="CF172" s="153" t="n"/>
    </row>
    <row r="173" ht="15" customHeight="1" s="251">
      <c r="B173" s="57" t="inlineStr">
        <is>
          <t xml:space="preserve">  Check: adjusted operating margin vs published (should be 0; ±0.1 pt rounding)</t>
        </is>
      </c>
      <c r="C173" s="215">
        <f>IF(AND(ISNUMBER(C171),ISNUMBER(C172)),IF(ABS(C171-C172)&lt;=0.00151,0,ROUND(C171-C172,4)),"n/p")</f>
        <v>0</v>
      </c>
      <c r="D173" s="215">
        <f>IF(AND(ISNUMBER(D171),ISNUMBER(D172)),IF(ABS(D171-D172)&lt;=0.00151,0,ROUND(D171-D172,4)),"n/p")</f>
        <v>0</v>
      </c>
      <c r="E173" s="215">
        <f>IF(AND(ISNUMBER(E171),ISNUMBER(E172)),IF(ABS(E171-E172)&lt;=0.00151,0,ROUND(E171-E172,4)),"n/p")</f>
        <v>0</v>
      </c>
      <c r="F173" s="215">
        <f>IF(AND(ISNUMBER(F171),ISNUMBER(F172)),IF(ABS(F171-F172)&lt;=0.00151,0,ROUND(F171-F172,4)),"n/p")</f>
        <v>0</v>
      </c>
      <c r="G173" s="215" t="str">
        <f>IF(AND(ISNUMBER(G171),ISNUMBER(G172)),IF(ABS(G171-G172)&lt;=0.00151,0,ROUND(G171-G172,4)),"n/p")</f>
        <v>n/p</v>
      </c>
      <c r="H173" s="215">
        <f>IF(AND(ISNUMBER(H171),ISNUMBER(H172)),IF(ABS(H171-H172)&lt;=0.00151,0,ROUND(H171-H172,4)),"n/p")</f>
        <v>0</v>
      </c>
      <c r="I173" s="215">
        <f>IF(AND(ISNUMBER(I171),ISNUMBER(I172)),IF(ABS(I171-I172)&lt;=0.00151,0,ROUND(I171-I172,4)),"n/p")</f>
        <v>0</v>
      </c>
      <c r="J173" s="215" t="str">
        <f>IF(AND(ISNUMBER(J171),ISNUMBER(J172)),IF(ABS(J171-J172)&lt;=0.00151,0,ROUND(J171-J172,4)),"n/p")</f>
        <v>n/p</v>
      </c>
      <c r="K173" s="215" t="str">
        <f>IF(AND(ISNUMBER(K171),ISNUMBER(K172)),IF(ABS(K171-K172)&lt;=0.00151,0,ROUND(K171-K172,4)),"n/p")</f>
        <v>n/p</v>
      </c>
      <c r="L173" s="215" t="str">
        <f>IF(AND(ISNUMBER(L171),ISNUMBER(L172)),IF(ABS(L171-L172)&lt;=0.00151,0,ROUND(L171-L172,4)),"n/p")</f>
        <v>n/p</v>
      </c>
      <c r="M173" s="215">
        <f>IF(AND(ISNUMBER(M171),ISNUMBER(M172)),IF(ABS(M171-M172)&lt;=0.00151,0,ROUND(M171-M172,4)),"n/p")</f>
        <v>0</v>
      </c>
      <c r="N173" s="215">
        <f>IF(AND(ISNUMBER(N171),ISNUMBER(N172)),IF(ABS(N171-N172)&lt;=0.00151,0,ROUND(N171-N172,4)),"n/p")</f>
        <v>0</v>
      </c>
      <c r="O173" s="215" t="str">
        <f>IF(AND(ISNUMBER(O171),ISNUMBER(O172)),IF(ABS(O171-O172)&lt;=0.00151,0,ROUND(O171-O172,4)),"n/p")</f>
        <v>n/p</v>
      </c>
      <c r="P173" s="215" t="str">
        <f>IF(AND(ISNUMBER(P171),ISNUMBER(P172)),IF(ABS(P171-P172)&lt;=0.00151,0,ROUND(P171-P172,4)),"n/p")</f>
        <v>n/p</v>
      </c>
      <c r="Q173" s="215" t="str">
        <f>IF(AND(ISNUMBER(Q171),ISNUMBER(Q172)),IF(ABS(Q171-Q172)&lt;=0.00151,0,ROUND(Q171-Q172,4)),"n/p")</f>
        <v>n/p</v>
      </c>
      <c r="R173" s="215" t="str">
        <f>IF(AND(ISNUMBER(R171),ISNUMBER(R172)),IF(ABS(R171-R172)&lt;=0.00151,0,ROUND(R171-R172,4)),"n/p")</f>
        <v>n/p</v>
      </c>
      <c r="S173" s="215" t="str">
        <f>IF(AND(ISNUMBER(S171),ISNUMBER(S172)),IF(ABS(S171-S172)&lt;=0.00151,0,ROUND(S171-S172,4)),"n/p")</f>
        <v>n/p</v>
      </c>
      <c r="T173" s="215" t="str">
        <f>IF(AND(ISNUMBER(T171),ISNUMBER(T172)),IF(ABS(T171-T172)&lt;=0.00151,0,ROUND(T171-T172,4)),"n/p")</f>
        <v>n/p</v>
      </c>
      <c r="U173" s="215">
        <f>IF(AND(ISNUMBER(U171),ISNUMBER(U172)),IF(ABS(U171-U172)&lt;=0.00151,0,ROUND(U171-U172,4)),"n/p")</f>
        <v>0</v>
      </c>
      <c r="V173" s="215">
        <f>IF(AND(ISNUMBER(V171),ISNUMBER(V172)),IF(ABS(V171-V172)&lt;=0.00151,0,ROUND(V171-V172,4)),"n/p")</f>
        <v>0</v>
      </c>
      <c r="W173" s="215" t="str">
        <f>IF(AND(ISNUMBER(W171),ISNUMBER(W172)),IF(ABS(W171-W172)&lt;=0.00151,0,ROUND(W171-W172,4)),"n/p")</f>
        <v>n/p</v>
      </c>
      <c r="X173" s="215">
        <f>IF(AND(ISNUMBER(X171),ISNUMBER(X172)),IF(ABS(X171-X172)&lt;=0.00151,0,ROUND(X171-X172,4)),"n/p")</f>
        <v>0</v>
      </c>
      <c r="Y173" s="215" t="str">
        <f>IF(AND(ISNUMBER(Y171),ISNUMBER(Y172)),IF(ABS(Y171-Y172)&lt;=0.00151,0,ROUND(Y171-Y172,4)),"n/p")</f>
        <v>n/p</v>
      </c>
      <c r="Z173" s="215">
        <f>IF(AND(ISNUMBER(Z171),ISNUMBER(Z172)),IF(ABS(Z171-Z172)&lt;=0.00151,0,ROUND(Z171-Z172,4)),"n/p")</f>
        <v>0</v>
      </c>
      <c r="AA173" s="215" t="str">
        <f>IF(AND(ISNUMBER(AA171),ISNUMBER(AA172)),IF(ABS(AA171-AA172)&lt;=0.00151,0,ROUND(AA171-AA172,4)),"n/p")</f>
        <v>n/p</v>
      </c>
      <c r="AB173" s="215">
        <f>IF(AND(ISNUMBER(AB171),ISNUMBER(AB172)),IF(ABS(AB171-AB172)&lt;=0.00151,0,ROUND(AB171-AB172,4)),"n/p")</f>
        <v>0</v>
      </c>
      <c r="AC173" s="215">
        <f>IF(AND(ISNUMBER(AC171),ISNUMBER(AC172)),IF(ABS(AC171-AC172)&lt;=0.00151,0,ROUND(AC171-AC172,4)),"n/p")</f>
        <v>0</v>
      </c>
      <c r="AD173" s="215">
        <f>IF(AND(ISNUMBER(AD171),ISNUMBER(AD172)),IF(ABS(AD171-AD172)&lt;=0.00151,0,ROUND(AD171-AD172,4)),"n/p")</f>
        <v>0</v>
      </c>
      <c r="AE173" s="215">
        <f>IF(AND(ISNUMBER(AE171),ISNUMBER(AE172)),IF(ABS(AE171-AE172)&lt;=0.00151,0,ROUND(AE171-AE172,4)),"n/p")</f>
        <v>0</v>
      </c>
      <c r="AF173" s="215" t="str">
        <f>IF(AND(ISNUMBER(AF171),ISNUMBER(AF172)),IF(ABS(AF171-AF172)&lt;=0.00151,0,ROUND(AF171-AF172,4)),"n/p")</f>
        <v>n/p</v>
      </c>
      <c r="AG173" s="215">
        <f>IF(AND(ISNUMBER(AG171),ISNUMBER(AG172)),IF(ABS(AG171-AG172)&lt;=0.00151,0,ROUND(AG171-AG172,4)),"n/p")</f>
        <v>0</v>
      </c>
      <c r="AH173" s="215">
        <f>IF(AND(ISNUMBER(AH171),ISNUMBER(AH172)),IF(ABS(AH171-AH172)&lt;=0.00151,0,ROUND(AH171-AH172,4)),"n/p")</f>
        <v>0</v>
      </c>
      <c r="AI173" s="215">
        <f>IF(AND(ISNUMBER(AI171),ISNUMBER(AI172)),IF(ABS(AI171-AI172)&lt;=0.00151,0,ROUND(AI171-AI172,4)),"n/p")</f>
        <v>0</v>
      </c>
      <c r="AJ173" s="215">
        <f>IF(AND(ISNUMBER(AJ171),ISNUMBER(AJ172)),IF(ABS(AJ171-AJ172)&lt;=0.00151,0,ROUND(AJ171-AJ172,4)),"n/p")</f>
        <v>0</v>
      </c>
      <c r="AK173" s="215">
        <f>IF(AND(ISNUMBER(AK171),ISNUMBER(AK172)),IF(ABS(AK171-AK172)&lt;=0.00151,0,ROUND(AK171-AK172,4)),"n/p")</f>
        <v>0</v>
      </c>
      <c r="AL173" s="215">
        <f>IF(AND(ISNUMBER(AL171),ISNUMBER(AL172)),IF(ABS(AL171-AL172)&lt;=0.00151,0,ROUND(AL171-AL172,4)),"n/p")</f>
        <v>0</v>
      </c>
      <c r="AM173" s="215">
        <f>IF(AND(ISNUMBER(AM171),ISNUMBER(AM172)),IF(ABS(AM171-AM172)&lt;=0.00151,0,ROUND(AM171-AM172,4)),"n/p")</f>
        <v>0</v>
      </c>
      <c r="AN173" s="215">
        <f>IF(AND(ISNUMBER(AN171),ISNUMBER(AN172)),IF(ABS(AN171-AN172)&lt;=0.00151,0,ROUND(AN171-AN172,4)),"n/p")</f>
        <v>0</v>
      </c>
      <c r="AO173" s="215">
        <f>IF(AND(ISNUMBER(AO171),ISNUMBER(AO172)),IF(ABS(AO171-AO172)&lt;=0.00151,0,ROUND(AO171-AO172,4)),"n/p")</f>
        <v>0</v>
      </c>
      <c r="AP173" s="215">
        <f>IF(AND(ISNUMBER(AP171),ISNUMBER(AP172)),IF(ABS(AP171-AP172)&lt;=0.00151,0,ROUND(AP171-AP172,4)),"n/p")</f>
        <v>0</v>
      </c>
      <c r="AQ173" s="215">
        <f>IF(AND(ISNUMBER(AQ171),ISNUMBER(AQ172)),IF(ABS(AQ171-AQ172)&lt;=0.00151,0,ROUND(AQ171-AQ172,4)),"n/p")</f>
        <v>0</v>
      </c>
      <c r="AR173" s="215">
        <f>IF(AND(ISNUMBER(AR171),ISNUMBER(AR172)),IF(ABS(AR171-AR172)&lt;=0.00151,0,ROUND(AR171-AR172,4)),"n/p")</f>
        <v>0</v>
      </c>
      <c r="AS173" s="215">
        <f>IF(AND(ISNUMBER(AS171),ISNUMBER(AS172)),IF(ABS(AS171-AS172)&lt;=0.00151,0,ROUND(AS171-AS172,4)),"n/p")</f>
        <v>0</v>
      </c>
      <c r="AT173" s="215">
        <f>IF(AND(ISNUMBER(AT171),ISNUMBER(AT172)),IF(ABS(AT171-AT172)&lt;=0.00151,0,ROUND(AT171-AT172,4)),"n/p")</f>
        <v>0</v>
      </c>
      <c r="AU173" s="215">
        <f>IF(AND(ISNUMBER(AU171),ISNUMBER(AU172)),IF(ABS(AU171-AU172)&lt;=0.00151,0,ROUND(AU171-AU172,4)),"n/p")</f>
        <v>0</v>
      </c>
      <c r="AV173" s="215">
        <f>IF(AND(ISNUMBER(AV171),ISNUMBER(AV172)),IF(ABS(AV171-AV172)&lt;=0.00151,0,ROUND(AV171-AV172,4)),"n/p")</f>
        <v>0</v>
      </c>
      <c r="AW173" s="215">
        <f>IF(AND(ISNUMBER(AW171),ISNUMBER(AW172)),IF(ABS(AW171-AW172)&lt;=0.00151,0,ROUND(AW171-AW172,4)),"n/p")</f>
        <v>0</v>
      </c>
      <c r="AX173" s="215">
        <f>IF(AND(ISNUMBER(AX171),ISNUMBER(AX172)),IF(ABS(AX171-AX172)&lt;=0.00151,0,ROUND(AX171-AX172,4)),"n/p")</f>
        <v>0</v>
      </c>
      <c r="AY173" s="215">
        <f>IF(AND(ISNUMBER(AY171),ISNUMBER(AY172)),IF(ABS(AY171-AY172)&lt;=0.00151,0,ROUND(AY171-AY172,4)),"n/p")</f>
        <v>0</v>
      </c>
      <c r="AZ173" s="215">
        <f>IF(AND(ISNUMBER(AZ171),ISNUMBER(AZ172)),IF(ABS(AZ171-AZ172)&lt;=0.00151,0,ROUND(AZ171-AZ172,4)),"n/p")</f>
        <v>0</v>
      </c>
      <c r="BA173" s="215">
        <f>IF(AND(ISNUMBER(BA171),ISNUMBER(BA172)),IF(ABS(BA171-BA172)&lt;=0.00151,0,ROUND(BA171-BA172,4)),"n/p")</f>
        <v>0</v>
      </c>
      <c r="BB173" s="215">
        <f>IF(AND(ISNUMBER(BB171),ISNUMBER(BB172)),IF(ABS(BB171-BB172)&lt;=0.00151,0,ROUND(BB171-BB172,4)),"n/p")</f>
        <v>0</v>
      </c>
      <c r="BC173" s="215">
        <f>IF(AND(ISNUMBER(BC171),ISNUMBER(BC172)),IF(ABS(BC171-BC172)&lt;=0.00151,0,ROUND(BC171-BC172,4)),"n/p")</f>
        <v>0</v>
      </c>
      <c r="BD173" s="215">
        <f>IF(AND(ISNUMBER(BD171),ISNUMBER(BD172)),IF(ABS(BD171-BD172)&lt;=0.00151,0,ROUND(BD171-BD172,4)),"n/p")</f>
        <v>0</v>
      </c>
      <c r="BE173" s="215">
        <f>IF(AND(ISNUMBER(BE171),ISNUMBER(BE172)),IF(ABS(BE171-BE172)&lt;=0.00151,0,ROUND(BE171-BE172,4)),"n/p")</f>
        <v>0</v>
      </c>
      <c r="BF173" s="215">
        <f>IF(AND(ISNUMBER(BF171),ISNUMBER(BF172)),IF(ABS(BF171-BF172)&lt;=0.00151,0,ROUND(BF171-BF172,4)),"n/p")</f>
        <v>0</v>
      </c>
      <c r="BG173" s="215">
        <f>IF(AND(ISNUMBER(BG171),ISNUMBER(BG172)),IF(ABS(BG171-BG172)&lt;=0.00151,0,ROUND(BG171-BG172,4)),"n/p")</f>
        <v>0</v>
      </c>
      <c r="BH173" s="215">
        <f>IF(AND(ISNUMBER(BH171),ISNUMBER(BH172)),IF(ABS(BH171-BH172)&lt;=0.00151,0,ROUND(BH171-BH172,4)),"n/p")</f>
        <v>0</v>
      </c>
      <c r="BI173" s="215">
        <f>IF(AND(ISNUMBER(BI171),ISNUMBER(BI172)),IF(ABS(BI171-BI172)&lt;=0.00151,0,ROUND(BI171-BI172,4)),"n/p")</f>
        <v>0</v>
      </c>
      <c r="BJ173" s="215">
        <f>IF(AND(ISNUMBER(BJ171),ISNUMBER(BJ172)),IF(ABS(BJ171-BJ172)&lt;=0.00151,0,ROUND(BJ171-BJ172,4)),"n/p")</f>
        <v>0</v>
      </c>
      <c r="BK173" s="215">
        <f>IF(AND(ISNUMBER(BK171),ISNUMBER(BK172)),IF(ABS(BK171-BK172)&lt;=0.00151,0,ROUND(BK171-BK172,4)),"n/p")</f>
        <v>0</v>
      </c>
      <c r="BL173" s="215">
        <f>IF(AND(ISNUMBER(BL171),ISNUMBER(BL172)),IF(ABS(BL171-BL172)&lt;=0.00151,0,ROUND(BL171-BL172,4)),"n/p")</f>
        <v>0</v>
      </c>
      <c r="BM173" s="215">
        <f>IF(AND(ISNUMBER(BM171),ISNUMBER(BM172)),IF(ABS(BM171-BM172)&lt;=0.00151,0,ROUND(BM171-BM172,4)),"n/p")</f>
        <v>0</v>
      </c>
      <c r="BN173" s="215">
        <f>IF(AND(ISNUMBER(BN171),ISNUMBER(BN172)),IF(ABS(BN171-BN172)&lt;=0.00151,0,ROUND(BN171-BN172,4)),"n/p")</f>
        <v>0</v>
      </c>
      <c r="BO173" s="215">
        <f>IF(AND(ISNUMBER(BO171),ISNUMBER(BO172)),IF(ABS(BO171-BO172)&lt;=0.00151,0,ROUND(BO171-BO172,4)),"n/p")</f>
        <v>0</v>
      </c>
      <c r="BP173" s="215">
        <f>IF(AND(ISNUMBER(BP171),ISNUMBER(BP172)),IF(ABS(BP171-BP172)&lt;=0.00151,0,ROUND(BP171-BP172,4)),"n/p")</f>
        <v>0</v>
      </c>
      <c r="BQ173" s="215">
        <f>IF(AND(ISNUMBER(BQ171),ISNUMBER(BQ172)),IF(ABS(BQ171-BQ172)&lt;=0.00151,0,ROUND(BQ171-BQ172,4)),"n/p")</f>
        <v>0</v>
      </c>
      <c r="BR173" s="215">
        <f>IF(AND(ISNUMBER(BR171),ISNUMBER(BR172)),IF(ABS(BR171-BR172)&lt;=0.00151,0,ROUND(BR171-BR172,4)),"n/p")</f>
        <v>0</v>
      </c>
      <c r="BS173" s="215">
        <f>IF(AND(ISNUMBER(BS171),ISNUMBER(BS172)),IF(ABS(BS171-BS172)&lt;=0.00151,0,ROUND(BS171-BS172,4)),"n/p")</f>
        <v>0</v>
      </c>
      <c r="BT173" s="215">
        <f>IF(AND(ISNUMBER(BT171),ISNUMBER(BT172)),IF(ABS(BT171-BT172)&lt;=0.00151,0,ROUND(BT171-BT172,4)),"n/p")</f>
        <v>0</v>
      </c>
      <c r="BU173" s="215">
        <f>IF(AND(ISNUMBER(BU171),ISNUMBER(BU172)),IF(ABS(BU171-BU172)&lt;=0.00151,0,ROUND(BU171-BU172,4)),"n/p")</f>
        <v>0</v>
      </c>
      <c r="BV173" s="215">
        <f>IF(AND(ISNUMBER(BV171),ISNUMBER(BV172)),IF(ABS(BV171-BV172)&lt;=0.00151,0,ROUND(BV171-BV172,4)),"n/p")</f>
        <v>0</v>
      </c>
      <c r="BW173" s="215">
        <f>IF(AND(ISNUMBER(BW171),ISNUMBER(BW172)),IF(ABS(BW171-BW172)&lt;=0.00151,0,ROUND(BW171-BW172,4)),"n/p")</f>
        <v>0</v>
      </c>
      <c r="BX173" s="215">
        <f>IF(AND(ISNUMBER(BX171),ISNUMBER(BX172)),IF(ABS(BX171-BX172)&lt;=0.00151,0,ROUND(BX171-BX172,4)),"n/p")</f>
        <v>0</v>
      </c>
      <c r="BY173" s="153" t="n"/>
      <c r="BZ173" s="153" t="n"/>
      <c r="CA173" s="153" t="n"/>
      <c r="CB173" s="153" t="n"/>
      <c r="CC173" s="153" t="n"/>
      <c r="CD173" s="153" t="n"/>
      <c r="CE173" s="153" t="n"/>
      <c r="CF173" s="153" t="n"/>
    </row>
    <row r="174" ht="15" customHeight="1" s="251">
      <c r="B174" s="158" t="inlineStr">
        <is>
          <t xml:space="preserve">  Definition / basis (company non-GAAP definition in force)</t>
        </is>
      </c>
      <c r="C174" s="284" t="inlineStr">
        <is>
          <t>FY2006–09: results "excluding special items" (litigation settlements; 2006 Foundation stock contribution and IPO-related interest; 2007 settlement-related other income; 2008 customer-agreement termination gain)</t>
        </is>
      </c>
      <c r="G174" s="284" t="inlineStr">
        <is>
          <t>FY2010: no special items — no non-GAAP figures published (adjusted = GAAP, flag)</t>
        </is>
      </c>
      <c r="H174" s="284" t="inlineStr">
        <is>
          <t>FY2011–12: U.S. merchant litigation provision excluded ($770m 2011, $20m 2012)</t>
        </is>
      </c>
      <c r="J174" s="284" t="inlineStr">
        <is>
          <t>2013–16: non-GAAP published only in quarters with special items (merchant litigation, 2015 pension termination); other quarters adjusted = GAAP (flag)</t>
        </is>
      </c>
      <c r="AG174" s="284" t="inlineStr">
        <is>
          <t>Q4-17: U.S. Tax Act and Venezuela deconsolidation charge excluded</t>
        </is>
      </c>
      <c r="AI174" s="284" t="inlineStr">
        <is>
          <t>2018+: litigation provisions (incl. the European Commission fine, Q4-18) and Tax Act items; non-GAAP published every quarter</t>
        </is>
      </c>
      <c r="AO174" s="284" t="inlineStr">
        <is>
          <t>Q2-19+: (gains) losses on equity investments excluded (Q1-19 as originally reported; later restated)</t>
        </is>
      </c>
      <c r="AZ174" s="284" t="inlineStr">
        <is>
          <t>Q3-21: indirect tax matter excluded</t>
        </is>
      </c>
      <c r="BC174" s="284" t="inlineStr">
        <is>
          <t>2022: Russia-related impacts excluded (incl. a revenue adjustment — adjusted net revenue ≠ GAAP)</t>
        </is>
      </c>
      <c r="BO174" s="284" t="inlineStr">
        <is>
          <t>Q3-24 / Q1-26: restructuring charges excluded</t>
        </is>
      </c>
      <c r="BY174" s="153" t="n"/>
      <c r="BZ174" s="153" t="n"/>
      <c r="CA174" s="153" t="n"/>
      <c r="CB174" s="153" t="n"/>
      <c r="CC174" s="153" t="n"/>
      <c r="CD174" s="153" t="n"/>
      <c r="CE174" s="153" t="n"/>
      <c r="CF174" s="19" t="inlineStr">
        <is>
          <t>Definition changes are flagged in the column where they take effect (cell comment gives the company wording).</t>
        </is>
      </c>
    </row>
    <row r="175" ht="15" customHeight="1" s="251">
      <c r="B175" s="22" t="inlineStr">
        <is>
          <t xml:space="preserve">  Adjusted operating income y/y %</t>
        </is>
      </c>
      <c r="C175" s="23" t="n"/>
      <c r="D175" s="258">
        <f>IF(AND(ISNUMBER(D170),ISNUMBER(C170)),IFERROR(D170/C170-1,""),"")</f>
        <v>0.710732184235444</v>
      </c>
      <c r="E175" s="258">
        <f>IF(AND(ISNUMBER(E170),ISNUMBER(D170)),IFERROR(E170/D170-1,""),"")</f>
        <v>0.753644097084723</v>
      </c>
      <c r="F175" s="258">
        <f>IF(AND(ISNUMBER(F170),ISNUMBER(E170)),IFERROR(F170/E170-1,""),"")</f>
        <v>0.163517484006887</v>
      </c>
      <c r="G175" s="258">
        <f>IF(AND(ISNUMBER(G170),ISNUMBER(F170)),IFERROR(G170/F170-1,""),"")</f>
        <v>0.213881297229775</v>
      </c>
      <c r="H175" s="258">
        <f>IF(AND(ISNUMBER(H170),ISNUMBER(G170)),IFERROR(H170/G170-1,""),"")</f>
        <v>0.265625</v>
      </c>
      <c r="I175" s="258">
        <f>IF(AND(ISNUMBER(I170),ISNUMBER(H170)),IFERROR(I170/H170-1,""),"")</f>
        <v>0.136089577950043</v>
      </c>
      <c r="J175" s="23" t="n"/>
      <c r="K175" s="23" t="n"/>
      <c r="L175" s="23" t="n"/>
      <c r="M175" s="23" t="n"/>
      <c r="N175" s="258">
        <f>IF(AND(ISNUMBER(N170),ISNUMBER(I170)),IFERROR(N170/I170-1,""),"")</f>
        <v>0.161991407632045</v>
      </c>
      <c r="O175" s="258">
        <f>IF(AND(ISNUMBER(O170),ISNUMBER(J170)),IFERROR(O170/J170-1,""),"")</f>
        <v>0.160794941282746</v>
      </c>
      <c r="P175" s="258">
        <f>IF(AND(ISNUMBER(P170),ISNUMBER(K170)),IFERROR(P170/K170-1,""),"")</f>
        <v>0.126221498371335</v>
      </c>
      <c r="Q175" s="258">
        <f>IF(AND(ISNUMBER(Q170),ISNUMBER(L170)),IFERROR(Q170/L170-1,""),"")</f>
        <v>0.137820512820513</v>
      </c>
      <c r="R175" s="258">
        <f>IF(AND(ISNUMBER(R170),ISNUMBER(M170)),IFERROR(R170/M170-1,""),"")</f>
        <v>0.00295566502463052</v>
      </c>
      <c r="S175" s="258">
        <f>IF(AND(ISNUMBER(S170),ISNUMBER(N170)),IFERROR(S170/N170-1,""),"")</f>
        <v>0.11048281861679</v>
      </c>
      <c r="T175" s="258">
        <f>IF(AND(ISNUMBER(T170),ISNUMBER(O170)),IFERROR(T170/O170-1,""),"")</f>
        <v>0.0513618677042802</v>
      </c>
      <c r="U175" s="258">
        <f>IF(AND(ISNUMBER(U170),ISNUMBER(P170)),IFERROR(U170/P170-1,""),"")</f>
        <v>-0.0513376717281273</v>
      </c>
      <c r="V175" s="258">
        <f>IF(AND(ISNUMBER(V170),ISNUMBER(Q170)),IFERROR(V170/Q170-1,""),"")</f>
        <v>0.0197183098591549</v>
      </c>
      <c r="W175" s="258">
        <f>IF(AND(ISNUMBER(W170),ISNUMBER(R170)),IFERROR(W170/R170-1,""),"")</f>
        <v>0.0874263261296659</v>
      </c>
      <c r="X175" s="258">
        <f>IF(AND(ISNUMBER(X170),ISNUMBER(S170)),IFERROR(X170/S170-1,""),"")</f>
        <v>0.0219349784567175</v>
      </c>
      <c r="Y175" s="258">
        <f>IF(AND(ISNUMBER(Y170),ISNUMBER(T170)),IFERROR(Y170/T170-1,""),"")</f>
        <v>-0.00222057735011105</v>
      </c>
      <c r="Z175" s="258">
        <f>IF(AND(ISNUMBER(Z170),ISNUMBER(U170)),IFERROR(Z170/U170-1,""),"")</f>
        <v>0.133384146341463</v>
      </c>
      <c r="AA175" s="258">
        <f>IF(AND(ISNUMBER(AA170),ISNUMBER(V170)),IFERROR(AA170/V170-1,""),"")</f>
        <v>0.153314917127072</v>
      </c>
      <c r="AB175" s="258">
        <f>IF(AND(ISNUMBER(AB170),ISNUMBER(W170)),IFERROR(AB170/W170-1,""),"")</f>
        <v>0.240289069557362</v>
      </c>
      <c r="AC175" s="258">
        <f>IF(AND(ISNUMBER(AC170),ISNUMBER(X170)),IFERROR(AC170/X170-1,""),"")</f>
        <v>0.126485243388271</v>
      </c>
      <c r="AD175" s="258">
        <f>IF(AND(ISNUMBER(AD170),ISNUMBER(Y170)),IFERROR(AD170/Y170-1,""),"")</f>
        <v>0.128338278931751</v>
      </c>
      <c r="AE175" s="258">
        <f>IF(AND(ISNUMBER(AE170),ISNUMBER(Z170)),IFERROR(AE170/Z170-1,""),"")</f>
        <v>0.111634162743779</v>
      </c>
      <c r="AF175" s="258">
        <f>IF(AND(ISNUMBER(AF170),ISNUMBER(AA170)),IFERROR(AF170/AA170-1,""),"")</f>
        <v>0.162275449101796</v>
      </c>
      <c r="AG175" s="258">
        <f>IF(AND(ISNUMBER(AG170),ISNUMBER(AB170)),IFERROR(AG170/AB170-1,""),"")</f>
        <v>0.230152949745084</v>
      </c>
      <c r="AH175" s="258">
        <f>IF(AND(ISNUMBER(AH170),ISNUMBER(AC170)),IFERROR(AH170/AC170-1,""),"")</f>
        <v>0.15753657706703</v>
      </c>
      <c r="AI175" s="258">
        <f>IF(AND(ISNUMBER(AI170),ISNUMBER(AD170)),IFERROR(AI170/AD170-1,""),"")</f>
        <v>0.276791584483892</v>
      </c>
      <c r="AJ175" s="258">
        <f>IF(AND(ISNUMBER(AJ170),ISNUMBER(AE170)),IFERROR(AJ170/AE170-1,""),"")</f>
        <v>0.307320024198427</v>
      </c>
      <c r="AK175" s="258">
        <f>IF(AND(ISNUMBER(AK170),ISNUMBER(AF170)),IFERROR(AK170/AF170-1,""),"")</f>
        <v>0.193199381761978</v>
      </c>
      <c r="AL175" s="258">
        <f>IF(AND(ISNUMBER(AL170),ISNUMBER(AG170)),IFERROR(AL170/AG170-1,""),"")</f>
        <v>0.178804026050918</v>
      </c>
      <c r="AM175" s="258">
        <f>IF(AND(ISNUMBER(AM170),ISNUMBER(AH170)),IFERROR(AM170/AH170-1,""),"")</f>
        <v>0.236037624926514</v>
      </c>
      <c r="AN175" s="258">
        <f>IF(AND(ISNUMBER(AN170),ISNUMBER(AI170)),IFERROR(AN170/AI170-1,""),"")</f>
        <v>0.139546858908342</v>
      </c>
      <c r="AO175" s="258">
        <f>IF(AND(ISNUMBER(AO170),ISNUMBER(AJ170)),IFERROR(AO170/AJ170-1,""),"")</f>
        <v>0.109208699676076</v>
      </c>
      <c r="AP175" s="258">
        <f>IF(AND(ISNUMBER(AP170),ISNUMBER(AK170)),IFERROR(AP170/AK170-1,""),"")</f>
        <v>0.146373056994819</v>
      </c>
      <c r="AQ175" s="258">
        <f>IF(AND(ISNUMBER(AQ170),ISNUMBER(AL170)),IFERROR(AQ170/AL170-1,""),"")</f>
        <v>0.204922149673531</v>
      </c>
      <c r="AR175" s="258">
        <f>IF(AND(ISNUMBER(AR170),ISNUMBER(AM170)),IFERROR(AR170/AM170-1,""),"")</f>
        <v>0.14910820451843</v>
      </c>
      <c r="AS175" s="258">
        <f>IF(AND(ISNUMBER(AS170),ISNUMBER(AN170)),IFERROR(AS170/AN170-1,""),"")</f>
        <v>0.0018075011296883</v>
      </c>
      <c r="AT175" s="258">
        <f>IF(AND(ISNUMBER(AT170),ISNUMBER(AO170)),IFERROR(AT170/AO170-1,""),"")</f>
        <v>-0.278681685440134</v>
      </c>
      <c r="AU175" s="258">
        <f>IF(AND(ISNUMBER(AU170),ISNUMBER(AP170)),IFERROR(AU170/AP170-1,""),"")</f>
        <v>-0.207156308851224</v>
      </c>
      <c r="AV175" s="258">
        <f>IF(AND(ISNUMBER(AV170),ISNUMBER(AQ170)),IFERROR(AV170/AQ170-1,""),"")</f>
        <v>-0.123384743643185</v>
      </c>
      <c r="AW175" s="258">
        <f>IF(AND(ISNUMBER(AW170),ISNUMBER(AR170)),IFERROR(AW170/AR170-1,""),"")</f>
        <v>-0.15625</v>
      </c>
      <c r="AX175" s="258">
        <f>IF(AND(ISNUMBER(AX170),ISNUMBER(AS170)),IFERROR(AX170/AS170-1,""),"")</f>
        <v>-0.00902119981957605</v>
      </c>
      <c r="AY175" s="258">
        <f>IF(AND(ISNUMBER(AY170),ISNUMBER(AT170)),IFERROR(AY170/AT170-1,""),"")</f>
        <v>0.392712550607288</v>
      </c>
      <c r="AZ175" s="258">
        <f>IF(AND(ISNUMBER(AZ170),ISNUMBER(AU170)),IFERROR(AZ170/AU170-1,""),"")</f>
        <v>0.342517814726841</v>
      </c>
      <c r="BA175" s="258">
        <f>IF(AND(ISNUMBER(BA170),ISNUMBER(AV170)),IFERROR(BA170/AV170-1,""),"")</f>
        <v>0.344270090347123</v>
      </c>
      <c r="BB175" s="258">
        <f>IF(AND(ISNUMBER(BB170),ISNUMBER(AW170)),IFERROR(BB170/AW170-1,""),"")</f>
        <v>0.258032867304391</v>
      </c>
      <c r="BC175" s="258">
        <f>IF(AND(ISNUMBER(BC170),ISNUMBER(AX170)),IFERROR(BC170/AX170-1,""),"")</f>
        <v>0.344560764679108</v>
      </c>
      <c r="BD175" s="258">
        <f>IF(AND(ISNUMBER(BD170),ISNUMBER(AY170)),IFERROR(BD170/AY170-1,""),"")</f>
        <v>0.319767441860465</v>
      </c>
      <c r="BE175" s="258">
        <f>IF(AND(ISNUMBER(BE170),ISNUMBER(AZ170)),IFERROR(BE170/AZ170-1,""),"")</f>
        <v>0.174805378627035</v>
      </c>
      <c r="BF175" s="258">
        <f>IF(AND(ISNUMBER(BF170),ISNUMBER(BA170)),IFERROR(BF170/BA170-1,""),"")</f>
        <v>0.131588256101875</v>
      </c>
      <c r="BG175" s="258">
        <f>IF(AND(ISNUMBER(BG170),ISNUMBER(BB170)),IFERROR(BG170/BB170-1,""),"")</f>
        <v>0.233183856502242</v>
      </c>
      <c r="BH175" s="258">
        <f>IF(AND(ISNUMBER(BH170),ISNUMBER(BC170)),IFERROR(BH170/BC170-1,""),"")</f>
        <v>0.133039945836154</v>
      </c>
      <c r="BI175" s="258">
        <f>IF(AND(ISNUMBER(BI170),ISNUMBER(BD170)),IFERROR(BI170/BD170-1,""),"")</f>
        <v>0.156702328508496</v>
      </c>
      <c r="BJ175" s="258">
        <f>IF(AND(ISNUMBER(BJ170),ISNUMBER(BE170)),IFERROR(BJ170/BE170-1,""),"")</f>
        <v>0.157831325301205</v>
      </c>
      <c r="BK175" s="258">
        <f>IF(AND(ISNUMBER(BK170),ISNUMBER(BF170)),IFERROR(BK170/BF170-1,""),"")</f>
        <v>0.150359487339794</v>
      </c>
      <c r="BL175" s="258">
        <f>IF(AND(ISNUMBER(BL170),ISNUMBER(BG170)),IFERROR(BL170/BG170-1,""),"")</f>
        <v>0.1499604743083</v>
      </c>
      <c r="BM175" s="258">
        <f>IF(AND(ISNUMBER(BM170),ISNUMBER(BH170)),IFERROR(BM170/BH170-1,""),"")</f>
        <v>0.114430833582313</v>
      </c>
      <c r="BN175" s="258">
        <f>IF(AND(ISNUMBER(BN170),ISNUMBER(BI170)),IFERROR(BN170/BI170-1,""),"")</f>
        <v>0.124591947769314</v>
      </c>
      <c r="BO175" s="258">
        <f>IF(AND(ISNUMBER(BO170),ISNUMBER(BJ170)),IFERROR(BO170/BJ170-1,""),"")</f>
        <v>0.136836628511967</v>
      </c>
      <c r="BP175" s="258">
        <f>IF(AND(ISNUMBER(BP170),ISNUMBER(BK170)),IFERROR(BP170/BK170-1,""),"")</f>
        <v>0.146195652173913</v>
      </c>
      <c r="BQ175" s="258">
        <f>IF(AND(ISNUMBER(BQ170),ISNUMBER(BL170)),IFERROR(BQ170/BL170-1,""),"")</f>
        <v>0.13095483604867</v>
      </c>
      <c r="BR175" s="258">
        <f>IF(AND(ISNUMBER(BR170),ISNUMBER(BM170)),IFERROR(BR170/BM170-1,""),"")</f>
        <v>0.152815013404826</v>
      </c>
      <c r="BS175" s="258">
        <f>IF(AND(ISNUMBER(BS170),ISNUMBER(BN170)),IFERROR(BS170/BN170-1,""),"")</f>
        <v>0.178761490082245</v>
      </c>
      <c r="BT175" s="258">
        <f>IF(AND(ISNUMBER(BT170),ISNUMBER(BO170)),IFERROR(BT170/BO170-1,""),"")</f>
        <v>0.177116704805492</v>
      </c>
      <c r="BU175" s="258">
        <f>IF(AND(ISNUMBER(BU170),ISNUMBER(BP170)),IFERROR(BU170/BP170-1,""),"")</f>
        <v>0.205310573731626</v>
      </c>
      <c r="BV175" s="258">
        <f>IF(AND(ISNUMBER(BV170),ISNUMBER(BQ170)),IFERROR(BV170/BQ170-1,""),"")</f>
        <v>0.179248723559446</v>
      </c>
      <c r="BW175" s="258">
        <f>IF(AND(ISNUMBER(BW170),ISNUMBER(BR170)),IFERROR(BW170/BR170-1,""),"")</f>
        <v>0.188139534883721</v>
      </c>
      <c r="BX175" s="258">
        <f>IF(AND(ISNUMBER(BX170),ISNUMBER(BS170)),IFERROR(BX170/BS170-1,""),"")</f>
        <v>0.163349066283603</v>
      </c>
      <c r="BY175" s="256">
        <f>IF(AND(ISNUMBER(BY170),ISNUMBER(BT170)),IFERROR(BY170/BT170-1,""),"")</f>
        <v>0.121462994251378</v>
      </c>
      <c r="BZ175" s="256">
        <f>IF(AND(ISNUMBER(BZ170),ISNUMBER(BU170)),IFERROR(BZ170/BU170-1,""),"")</f>
        <v>0.129254397633932</v>
      </c>
      <c r="CA175" s="256">
        <f>IF(AND(ISNUMBER(CA170),ISNUMBER(BV170)),IFERROR(CA170/BV170-1,""),"")</f>
        <v>0.148803412195248</v>
      </c>
      <c r="CB175" s="256">
        <f>IF(AND(ISNUMBER(CB170),ISNUMBER(CA170)),IFERROR(CB170/CA170-1,""),"")</f>
        <v>0.130305274316188</v>
      </c>
      <c r="CC175" s="256">
        <f>IF(AND(ISNUMBER(CC170),ISNUMBER(CB170)),IFERROR(CC170/CB170-1,""),"")</f>
        <v>0.12543205908339</v>
      </c>
      <c r="CD175" s="256">
        <f>IF(AND(ISNUMBER(CD170),ISNUMBER(CC170)),IFERROR(CD170/CC170-1,""),"")</f>
        <v>0.118177570086357</v>
      </c>
      <c r="CE175" s="256">
        <f>IF(AND(ISNUMBER(CE170),ISNUMBER(CD170)),IFERROR(CE170/CD170-1,""),"")</f>
        <v>0.111018231789676</v>
      </c>
      <c r="CF175" s="153" t="n"/>
    </row>
    <row r="176" ht="15" customHeight="1" s="251">
      <c r="CN176" s="11" t="n"/>
      <c r="CO176" s="12" t="n"/>
      <c r="CP176" s="12" t="n"/>
      <c r="CQ176" s="12" t="n"/>
      <c r="CR176" s="13" t="n"/>
    </row>
    <row r="177" ht="15" customHeight="1" s="251">
      <c r="B177" s="10" t="inlineStr">
        <is>
          <t>RECONCILIATION: NET INCOME → EBITDA → ADJUSTED EBITDA (MODEL DEFINITION — Mastercard publishes no EBITDA)</t>
        </is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inlineStr">
        <is>
          <t>EBITDA (model) — net income + tax − total other income (expense) = operating income; + D&amp;A = EBITDA; + operating special items = adjusted EBITDA (= adjusted operating income + D&amp;A)</t>
        </is>
      </c>
    </row>
    <row r="178" ht="15" customHeight="1" s="251">
      <c r="B178" s="16" t="inlineStr">
        <is>
          <t>Net income (incl. non-controlling interests)</t>
        </is>
      </c>
      <c r="C178" s="275">
        <f>C140</f>
        <v>50.1900000000004</v>
      </c>
      <c r="D178" s="275">
        <f>D140</f>
        <v>1085.886</v>
      </c>
      <c r="E178" s="275">
        <f>E140</f>
        <v>-253.914999999999</v>
      </c>
      <c r="F178" s="275">
        <f>F140</f>
        <v>1462.624</v>
      </c>
      <c r="G178" s="275">
        <f>G140</f>
        <v>1847</v>
      </c>
      <c r="H178" s="275">
        <f>H140</f>
        <v>1904</v>
      </c>
      <c r="I178" s="275">
        <f>I140</f>
        <v>2758</v>
      </c>
      <c r="J178" s="275">
        <f>J140</f>
        <v>766</v>
      </c>
      <c r="K178" s="275">
        <f>K140</f>
        <v>848</v>
      </c>
      <c r="L178" s="275">
        <f>L140</f>
        <v>879</v>
      </c>
      <c r="M178" s="275">
        <f>M140</f>
        <v>623</v>
      </c>
      <c r="N178" s="275">
        <f>N140</f>
        <v>3116</v>
      </c>
      <c r="O178" s="275">
        <f>O140</f>
        <v>870</v>
      </c>
      <c r="P178" s="275">
        <f>P140</f>
        <v>931</v>
      </c>
      <c r="Q178" s="275">
        <f>Q140</f>
        <v>1015</v>
      </c>
      <c r="R178" s="275">
        <f>R140</f>
        <v>801</v>
      </c>
      <c r="S178" s="275">
        <f>S140</f>
        <v>3617</v>
      </c>
      <c r="T178" s="275">
        <f>T140</f>
        <v>1020</v>
      </c>
      <c r="U178" s="275">
        <f>U140</f>
        <v>921</v>
      </c>
      <c r="V178" s="275">
        <f>V140</f>
        <v>977</v>
      </c>
      <c r="W178" s="275">
        <f>W140</f>
        <v>890</v>
      </c>
      <c r="X178" s="275">
        <f>X140</f>
        <v>3808</v>
      </c>
      <c r="Y178" s="275">
        <f>Y140</f>
        <v>959</v>
      </c>
      <c r="Z178" s="275">
        <f>Z140</f>
        <v>983</v>
      </c>
      <c r="AA178" s="275">
        <f>AA140</f>
        <v>1184</v>
      </c>
      <c r="AB178" s="275">
        <f>AB140</f>
        <v>933</v>
      </c>
      <c r="AC178" s="275">
        <f>AC140</f>
        <v>4059</v>
      </c>
      <c r="AD178" s="275">
        <f>AD140</f>
        <v>1081</v>
      </c>
      <c r="AE178" s="275">
        <f>AE140</f>
        <v>1177</v>
      </c>
      <c r="AF178" s="275">
        <f>AF140</f>
        <v>1430</v>
      </c>
      <c r="AG178" s="275">
        <f>AG140</f>
        <v>227</v>
      </c>
      <c r="AH178" s="275">
        <f>AH140</f>
        <v>3915</v>
      </c>
      <c r="AI178" s="275">
        <f>AI140</f>
        <v>1492</v>
      </c>
      <c r="AJ178" s="275">
        <f>AJ140</f>
        <v>1569</v>
      </c>
      <c r="AK178" s="275">
        <f>AK140</f>
        <v>1899</v>
      </c>
      <c r="AL178" s="275">
        <f>AL140</f>
        <v>899</v>
      </c>
      <c r="AM178" s="275">
        <f>AM140</f>
        <v>5859</v>
      </c>
      <c r="AN178" s="275">
        <f>AN140</f>
        <v>1862</v>
      </c>
      <c r="AO178" s="275">
        <f>AO140</f>
        <v>2048</v>
      </c>
      <c r="AP178" s="275">
        <f>AP140</f>
        <v>2108</v>
      </c>
      <c r="AQ178" s="275">
        <f>AQ140</f>
        <v>2100</v>
      </c>
      <c r="AR178" s="275">
        <f>AR140</f>
        <v>8118</v>
      </c>
      <c r="AS178" s="275">
        <f>AS140</f>
        <v>1693</v>
      </c>
      <c r="AT178" s="275">
        <f>AT140</f>
        <v>1420</v>
      </c>
      <c r="AU178" s="275">
        <f>AU140</f>
        <v>1513</v>
      </c>
      <c r="AV178" s="275">
        <f>AV140</f>
        <v>1785</v>
      </c>
      <c r="AW178" s="275">
        <f>AW140</f>
        <v>6411</v>
      </c>
      <c r="AX178" s="275">
        <f>AX140</f>
        <v>1828</v>
      </c>
      <c r="AY178" s="275">
        <f>AY140</f>
        <v>2066</v>
      </c>
      <c r="AZ178" s="275">
        <f>AZ140</f>
        <v>2414</v>
      </c>
      <c r="BA178" s="275">
        <f>BA140</f>
        <v>2379</v>
      </c>
      <c r="BB178" s="275">
        <f>BB140</f>
        <v>8687</v>
      </c>
      <c r="BC178" s="275">
        <f>BC140</f>
        <v>2631</v>
      </c>
      <c r="BD178" s="275">
        <f>BD140</f>
        <v>2275</v>
      </c>
      <c r="BE178" s="275">
        <f>BE140</f>
        <v>2499</v>
      </c>
      <c r="BF178" s="275">
        <f>BF140</f>
        <v>2525</v>
      </c>
      <c r="BG178" s="275">
        <f>BG140</f>
        <v>9930</v>
      </c>
      <c r="BH178" s="275">
        <f>BH140</f>
        <v>2361</v>
      </c>
      <c r="BI178" s="275">
        <f>BI140</f>
        <v>2845</v>
      </c>
      <c r="BJ178" s="275">
        <f>BJ140</f>
        <v>3198</v>
      </c>
      <c r="BK178" s="275">
        <f>BK140</f>
        <v>2791</v>
      </c>
      <c r="BL178" s="275">
        <f>BL140</f>
        <v>11195</v>
      </c>
      <c r="BM178" s="275">
        <f>BM140</f>
        <v>3011</v>
      </c>
      <c r="BN178" s="275">
        <f>BN140</f>
        <v>3258</v>
      </c>
      <c r="BO178" s="275">
        <f>BO140</f>
        <v>3263</v>
      </c>
      <c r="BP178" s="275">
        <f>BP140</f>
        <v>3342</v>
      </c>
      <c r="BQ178" s="275">
        <f>BQ140</f>
        <v>12874</v>
      </c>
      <c r="BR178" s="275">
        <f>BR140</f>
        <v>3280</v>
      </c>
      <c r="BS178" s="275">
        <f>BS140</f>
        <v>3701</v>
      </c>
      <c r="BT178" s="275">
        <f>BT140</f>
        <v>3927</v>
      </c>
      <c r="BU178" s="275">
        <f>BU140</f>
        <v>4060</v>
      </c>
      <c r="BV178" s="275">
        <f>BV140</f>
        <v>14968</v>
      </c>
      <c r="BW178" s="275">
        <f>BW140</f>
        <v>3882</v>
      </c>
      <c r="BX178" s="275">
        <f>BX140</f>
        <v>4388</v>
      </c>
      <c r="BY178" s="263">
        <f>BY140</f>
        <v>4407.32548573113</v>
      </c>
      <c r="BZ178" s="263">
        <f>BZ140</f>
        <v>4385.32283926888</v>
      </c>
      <c r="CA178" s="263">
        <f>CA140</f>
        <v>17062.648325</v>
      </c>
      <c r="CB178" s="263">
        <f>CB140</f>
        <v>19329.2218194404</v>
      </c>
      <c r="CC178" s="263">
        <f>CC140</f>
        <v>21801.8084738228</v>
      </c>
      <c r="CD178" s="263">
        <f>CD140</f>
        <v>24398.5044192665</v>
      </c>
      <c r="CE178" s="263">
        <f>CE140</f>
        <v>27123.1920540855</v>
      </c>
      <c r="CF178" s="153" t="n"/>
    </row>
    <row r="179" ht="15" customHeight="1" s="251">
      <c r="B179" s="25" t="inlineStr">
        <is>
          <t xml:space="preserve">  (+) Income tax expense</t>
        </is>
      </c>
      <c r="C179" s="211">
        <f>C138</f>
        <v>243.982</v>
      </c>
      <c r="D179" s="211">
        <f>D138</f>
        <v>585.546</v>
      </c>
      <c r="E179" s="211">
        <f>E138</f>
        <v>-129.298</v>
      </c>
      <c r="F179" s="211">
        <f>F138</f>
        <v>755.427</v>
      </c>
      <c r="G179" s="211">
        <f>G138</f>
        <v>910</v>
      </c>
      <c r="H179" s="211">
        <f>H138</f>
        <v>842</v>
      </c>
      <c r="I179" s="211">
        <f>I138</f>
        <v>1174</v>
      </c>
      <c r="J179" s="211">
        <f>J138</f>
        <v>336</v>
      </c>
      <c r="K179" s="211">
        <f>K138</f>
        <v>385</v>
      </c>
      <c r="L179" s="211">
        <f>L138</f>
        <v>375</v>
      </c>
      <c r="M179" s="211">
        <f>M138</f>
        <v>288</v>
      </c>
      <c r="N179" s="211">
        <f>N138</f>
        <v>1384</v>
      </c>
      <c r="O179" s="211">
        <f>O138</f>
        <v>411</v>
      </c>
      <c r="P179" s="211">
        <f>P138</f>
        <v>442</v>
      </c>
      <c r="Q179" s="211">
        <f>Q138</f>
        <v>403</v>
      </c>
      <c r="R179" s="211">
        <f>R138</f>
        <v>206</v>
      </c>
      <c r="S179" s="211">
        <f>S138</f>
        <v>1462</v>
      </c>
      <c r="T179" s="211">
        <f>T138</f>
        <v>320</v>
      </c>
      <c r="U179" s="211">
        <f>U138</f>
        <v>320</v>
      </c>
      <c r="V179" s="211">
        <f>V138</f>
        <v>375</v>
      </c>
      <c r="W179" s="211">
        <f>W138</f>
        <v>135</v>
      </c>
      <c r="X179" s="211">
        <f>X138</f>
        <v>1150</v>
      </c>
      <c r="Y179" s="211">
        <f>Y138</f>
        <v>378</v>
      </c>
      <c r="Z179" s="211">
        <f>Z138</f>
        <v>382</v>
      </c>
      <c r="AA179" s="211">
        <f>AA138</f>
        <v>449</v>
      </c>
      <c r="AB179" s="211">
        <f>AB138</f>
        <v>378</v>
      </c>
      <c r="AC179" s="211">
        <f>AC138</f>
        <v>1587</v>
      </c>
      <c r="AD179" s="211">
        <f>AD138</f>
        <v>397</v>
      </c>
      <c r="AE179" s="211">
        <f>AE138</f>
        <v>451</v>
      </c>
      <c r="AF179" s="211">
        <f>AF138</f>
        <v>502</v>
      </c>
      <c r="AG179" s="211">
        <f>AG138</f>
        <v>1257</v>
      </c>
      <c r="AH179" s="211">
        <f>AH138</f>
        <v>2607</v>
      </c>
      <c r="AI179" s="211">
        <f>AI138</f>
        <v>311</v>
      </c>
      <c r="AJ179" s="211">
        <f>AJ138</f>
        <v>353</v>
      </c>
      <c r="AK179" s="211">
        <f>AK138</f>
        <v>365</v>
      </c>
      <c r="AL179" s="211">
        <f>AL138</f>
        <v>316</v>
      </c>
      <c r="AM179" s="211">
        <f>AM138</f>
        <v>1345</v>
      </c>
      <c r="AN179" s="211">
        <f>AN138</f>
        <v>341</v>
      </c>
      <c r="AO179" s="211">
        <f>AO138</f>
        <v>471</v>
      </c>
      <c r="AP179" s="211">
        <f>AP138</f>
        <v>426</v>
      </c>
      <c r="AQ179" s="211">
        <f>AQ138</f>
        <v>375</v>
      </c>
      <c r="AR179" s="211">
        <f>AR138</f>
        <v>1613</v>
      </c>
      <c r="AS179" s="211">
        <f>AS138</f>
        <v>294</v>
      </c>
      <c r="AT179" s="211">
        <f>AT138</f>
        <v>270</v>
      </c>
      <c r="AU179" s="211">
        <f>AU138</f>
        <v>402</v>
      </c>
      <c r="AV179" s="211">
        <f>AV138</f>
        <v>383</v>
      </c>
      <c r="AW179" s="211">
        <f>AW138</f>
        <v>1349</v>
      </c>
      <c r="AX179" s="211">
        <f>AX138</f>
        <v>362</v>
      </c>
      <c r="AY179" s="211">
        <f>AY138</f>
        <v>412</v>
      </c>
      <c r="AZ179" s="211">
        <f>AZ138</f>
        <v>402</v>
      </c>
      <c r="BA179" s="211">
        <f>BA138</f>
        <v>444</v>
      </c>
      <c r="BB179" s="211">
        <f>BB138</f>
        <v>1620</v>
      </c>
      <c r="BC179" s="211">
        <f>BC138</f>
        <v>142</v>
      </c>
      <c r="BD179" s="211">
        <f>BD138</f>
        <v>523</v>
      </c>
      <c r="BE179" s="211">
        <f>BE138</f>
        <v>573</v>
      </c>
      <c r="BF179" s="211">
        <f>BF138</f>
        <v>564</v>
      </c>
      <c r="BG179" s="211">
        <f>BG138</f>
        <v>1802</v>
      </c>
      <c r="BH179" s="211">
        <f>BH138</f>
        <v>492</v>
      </c>
      <c r="BI179" s="211">
        <f>BI138</f>
        <v>859</v>
      </c>
      <c r="BJ179" s="211">
        <f>BJ138</f>
        <v>563</v>
      </c>
      <c r="BK179" s="211">
        <f>BK138</f>
        <v>530</v>
      </c>
      <c r="BL179" s="211">
        <f>BL138</f>
        <v>2444</v>
      </c>
      <c r="BM179" s="211">
        <f>BM138</f>
        <v>547</v>
      </c>
      <c r="BN179" s="211">
        <f>BN138</f>
        <v>681</v>
      </c>
      <c r="BO179" s="211">
        <f>BO138</f>
        <v>603</v>
      </c>
      <c r="BP179" s="211">
        <f>BP138</f>
        <v>549</v>
      </c>
      <c r="BQ179" s="211">
        <f>BQ138</f>
        <v>2380</v>
      </c>
      <c r="BR179" s="211">
        <f>BR138</f>
        <v>751</v>
      </c>
      <c r="BS179" s="211">
        <f>BS138</f>
        <v>971</v>
      </c>
      <c r="BT179" s="211">
        <f>BT138</f>
        <v>1072</v>
      </c>
      <c r="BU179" s="211">
        <f>BU138</f>
        <v>816</v>
      </c>
      <c r="BV179" s="211">
        <f>BV138</f>
        <v>3610</v>
      </c>
      <c r="BW179" s="211">
        <f>BW138</f>
        <v>930</v>
      </c>
      <c r="BX179" s="211">
        <f>BX138</f>
        <v>1098</v>
      </c>
      <c r="BY179" s="254">
        <f>BY138</f>
        <v>1136.48015669796</v>
      </c>
      <c r="BZ179" s="254">
        <f>BZ138</f>
        <v>1130.80651830204</v>
      </c>
      <c r="CA179" s="254">
        <f>CA138</f>
        <v>4295.286675</v>
      </c>
      <c r="CB179" s="254">
        <f>CB138</f>
        <v>4984.26474589344</v>
      </c>
      <c r="CC179" s="254">
        <f>CC138</f>
        <v>5621.84998381593</v>
      </c>
      <c r="CD179" s="254">
        <f>CD138</f>
        <v>6291.43824647752</v>
      </c>
      <c r="CE179" s="254">
        <f>CE138</f>
        <v>6994.03065545601</v>
      </c>
      <c r="CF179" s="19" t="n"/>
    </row>
    <row r="180" ht="15" customHeight="1" s="251">
      <c r="B180" s="25" t="inlineStr">
        <is>
          <t xml:space="preserve">  (−) Total other income (expense)</t>
        </is>
      </c>
      <c r="C180" s="211">
        <f>-C136</f>
        <v>-64.677</v>
      </c>
      <c r="D180" s="211">
        <f>-D136</f>
        <v>-563.32</v>
      </c>
      <c r="E180" s="211">
        <f>-E136</f>
        <v>-151.292</v>
      </c>
      <c r="F180" s="211">
        <f>-F136</f>
        <v>42.057</v>
      </c>
      <c r="G180" s="211">
        <f>-G136</f>
        <v>-5</v>
      </c>
      <c r="H180" s="211">
        <f>-H136</f>
        <v>-33</v>
      </c>
      <c r="I180" s="211">
        <f>-I136</f>
        <v>5</v>
      </c>
      <c r="J180" s="211">
        <f>-J136</f>
        <v>5</v>
      </c>
      <c r="K180" s="211">
        <f>-K136</f>
        <v>-5</v>
      </c>
      <c r="L180" s="211">
        <f>-L136</f>
        <v>-6</v>
      </c>
      <c r="M180" s="211">
        <f>-M136</f>
        <v>9</v>
      </c>
      <c r="N180" s="211">
        <f>-N136</f>
        <v>3</v>
      </c>
      <c r="O180" s="211">
        <f>-O136</f>
        <v>4</v>
      </c>
      <c r="P180" s="211">
        <f>-P136</f>
        <v>10</v>
      </c>
      <c r="Q180" s="211">
        <f>-Q136</f>
        <v>2</v>
      </c>
      <c r="R180" s="211">
        <f>-R136</f>
        <v>11</v>
      </c>
      <c r="S180" s="211">
        <f>-S136</f>
        <v>27</v>
      </c>
      <c r="T180" s="211">
        <f>-T136</f>
        <v>11</v>
      </c>
      <c r="U180" s="211">
        <f>-U136</f>
        <v>10</v>
      </c>
      <c r="V180" s="211">
        <f>-V136</f>
        <v>17</v>
      </c>
      <c r="W180" s="211">
        <f>-W136</f>
        <v>82</v>
      </c>
      <c r="X180" s="211">
        <f>-X136</f>
        <v>120</v>
      </c>
      <c r="Y180" s="211">
        <f>-Y136</f>
        <v>11</v>
      </c>
      <c r="Z180" s="211">
        <f>-Z136</f>
        <v>15</v>
      </c>
      <c r="AA180" s="211">
        <f>-AA136</f>
        <v>37</v>
      </c>
      <c r="AB180" s="211">
        <f>-AB136</f>
        <v>52</v>
      </c>
      <c r="AC180" s="211">
        <f>-AC136</f>
        <v>115</v>
      </c>
      <c r="AD180" s="211">
        <f>-AD136</f>
        <v>28</v>
      </c>
      <c r="AE180" s="211">
        <f>-AE136</f>
        <v>25</v>
      </c>
      <c r="AF180" s="211">
        <f>-AF136</f>
        <v>9</v>
      </c>
      <c r="AG180" s="211">
        <f>-AG136</f>
        <v>38</v>
      </c>
      <c r="AH180" s="211">
        <f>-AH136</f>
        <v>100</v>
      </c>
      <c r="AI180" s="211">
        <f>-AI136</f>
        <v>22</v>
      </c>
      <c r="AJ180" s="211">
        <f>-AJ136</f>
        <v>14</v>
      </c>
      <c r="AK180" s="211">
        <f>-AK136</f>
        <v>23</v>
      </c>
      <c r="AL180" s="211">
        <f>-AL136</f>
        <v>19</v>
      </c>
      <c r="AM180" s="211">
        <f>-AM136</f>
        <v>78</v>
      </c>
      <c r="AN180" s="211">
        <f>-AN136</f>
        <v>10</v>
      </c>
      <c r="AO180" s="211">
        <f>-AO136</f>
        <v>-122</v>
      </c>
      <c r="AP180" s="211">
        <f>-AP136</f>
        <v>121</v>
      </c>
      <c r="AQ180" s="211">
        <f>-AQ136</f>
        <v>-76</v>
      </c>
      <c r="AR180" s="211">
        <f>-AR136</f>
        <v>-67</v>
      </c>
      <c r="AS180" s="211">
        <f>-AS136</f>
        <v>224</v>
      </c>
      <c r="AT180" s="211">
        <f>-AT136</f>
        <v>17</v>
      </c>
      <c r="AU180" s="211">
        <f>-AU136</f>
        <v>190</v>
      </c>
      <c r="AV180" s="211">
        <f>-AV136</f>
        <v>-110</v>
      </c>
      <c r="AW180" s="211">
        <f>-AW136</f>
        <v>321</v>
      </c>
      <c r="AX180" s="211">
        <f>-AX136</f>
        <v>7</v>
      </c>
      <c r="AY180" s="211">
        <f>-AY136</f>
        <v>-137</v>
      </c>
      <c r="AZ180" s="211">
        <f>-AZ136</f>
        <v>-99</v>
      </c>
      <c r="BA180" s="211">
        <f>-BA136</f>
        <v>4</v>
      </c>
      <c r="BB180" s="211">
        <f>-BB136</f>
        <v>-225</v>
      </c>
      <c r="BC180" s="211">
        <f>-BC136</f>
        <v>177</v>
      </c>
      <c r="BD180" s="211">
        <f>-BD136</f>
        <v>220</v>
      </c>
      <c r="BE180" s="211">
        <f>-BE136</f>
        <v>40</v>
      </c>
      <c r="BF180" s="211">
        <f>-BF136</f>
        <v>95</v>
      </c>
      <c r="BG180" s="211">
        <f>-BG136</f>
        <v>532</v>
      </c>
      <c r="BH180" s="211">
        <f>-BH136</f>
        <v>283</v>
      </c>
      <c r="BI180" s="211">
        <f>-BI136</f>
        <v>-48</v>
      </c>
      <c r="BJ180" s="211">
        <f>-BJ136</f>
        <v>83</v>
      </c>
      <c r="BK180" s="211">
        <f>-BK136</f>
        <v>51</v>
      </c>
      <c r="BL180" s="211">
        <f>-BL136</f>
        <v>369</v>
      </c>
      <c r="BM180" s="211">
        <f>-BM136</f>
        <v>46</v>
      </c>
      <c r="BN180" s="211">
        <f>-BN136</f>
        <v>97</v>
      </c>
      <c r="BO180" s="211">
        <f>-BO136</f>
        <v>138</v>
      </c>
      <c r="BP180" s="211">
        <f>-BP136</f>
        <v>47</v>
      </c>
      <c r="BQ180" s="211">
        <f>-BQ136</f>
        <v>328</v>
      </c>
      <c r="BR180" s="211">
        <f>-BR136</f>
        <v>118</v>
      </c>
      <c r="BS180" s="211">
        <f>-BS136</f>
        <v>105</v>
      </c>
      <c r="BT180" s="211">
        <f>-BT136</f>
        <v>62</v>
      </c>
      <c r="BU180" s="211">
        <f>-BU136</f>
        <v>34</v>
      </c>
      <c r="BV180" s="211">
        <f>-BV136</f>
        <v>319</v>
      </c>
      <c r="BW180" s="211">
        <f>-BW136</f>
        <v>95</v>
      </c>
      <c r="BX180" s="211">
        <f>-BX136</f>
        <v>101</v>
      </c>
      <c r="BY180" s="254">
        <f>-BY136</f>
        <v>125</v>
      </c>
      <c r="BZ180" s="254">
        <f>-BZ136</f>
        <v>125</v>
      </c>
      <c r="CA180" s="254">
        <f>-CA136</f>
        <v>446</v>
      </c>
      <c r="CB180" s="254">
        <f>-CB136</f>
        <v>428.683918782526</v>
      </c>
      <c r="CC180" s="254">
        <f>-CC136</f>
        <v>478.417843080182</v>
      </c>
      <c r="CD180" s="254">
        <f>-CD136</f>
        <v>562.713119096811</v>
      </c>
      <c r="CE180" s="254">
        <f>-CE136</f>
        <v>655.005863569071</v>
      </c>
      <c r="CF180" s="19" t="n"/>
    </row>
    <row r="181" ht="15" customHeight="1" s="251">
      <c r="B181" s="16" t="inlineStr">
        <is>
          <t xml:space="preserve">  = Operating income (GAAP)</t>
        </is>
      </c>
      <c r="C181" s="275">
        <f>IF(ISNUMBER(C178),C178+C179+C180,"")</f>
        <v>229.495</v>
      </c>
      <c r="D181" s="275">
        <f>IF(ISNUMBER(D178),D178+D179+D180,"")</f>
        <v>1108.112</v>
      </c>
      <c r="E181" s="275">
        <f>IF(ISNUMBER(E178),E178+E179+E180,"")</f>
        <v>-534.504999999999</v>
      </c>
      <c r="F181" s="275">
        <f>IF(ISNUMBER(F178),F178+F179+F180,"")</f>
        <v>2260.108</v>
      </c>
      <c r="G181" s="275">
        <f>IF(ISNUMBER(G178),G178+G179+G180,"")</f>
        <v>2752</v>
      </c>
      <c r="H181" s="275">
        <f>IF(ISNUMBER(H178),H178+H179+H180,"")</f>
        <v>2713</v>
      </c>
      <c r="I181" s="275">
        <f>IF(ISNUMBER(I178),I178+I179+I180,"")</f>
        <v>3937</v>
      </c>
      <c r="J181" s="275">
        <f>IF(ISNUMBER(J178),J178+J179+J180,"")</f>
        <v>1107</v>
      </c>
      <c r="K181" s="275">
        <f>IF(ISNUMBER(K178),K178+K179+K180,"")</f>
        <v>1228</v>
      </c>
      <c r="L181" s="275">
        <f>IF(ISNUMBER(L178),L178+L179+L180,"")</f>
        <v>1248</v>
      </c>
      <c r="M181" s="275">
        <f>IF(ISNUMBER(M178),M178+M179+M180,"")</f>
        <v>920</v>
      </c>
      <c r="N181" s="275">
        <f>IF(ISNUMBER(N178),N178+N179+N180,"")</f>
        <v>4503</v>
      </c>
      <c r="O181" s="275">
        <f>IF(ISNUMBER(O178),O178+O179+O180,"")</f>
        <v>1285</v>
      </c>
      <c r="P181" s="275">
        <f>IF(ISNUMBER(P178),P178+P179+P180,"")</f>
        <v>1383</v>
      </c>
      <c r="Q181" s="275">
        <f>IF(ISNUMBER(Q178),Q178+Q179+Q180,"")</f>
        <v>1420</v>
      </c>
      <c r="R181" s="275">
        <f>IF(ISNUMBER(R178),R178+R179+R180,"")</f>
        <v>1018</v>
      </c>
      <c r="S181" s="275">
        <f>IF(ISNUMBER(S178),S178+S179+S180,"")</f>
        <v>5106</v>
      </c>
      <c r="T181" s="275">
        <f>IF(ISNUMBER(T178),T178+T179+T180,"")</f>
        <v>1351</v>
      </c>
      <c r="U181" s="275">
        <f>IF(ISNUMBER(U178),U178+U179+U180,"")</f>
        <v>1251</v>
      </c>
      <c r="V181" s="275">
        <f>IF(ISNUMBER(V178),V178+V179+V180,"")</f>
        <v>1369</v>
      </c>
      <c r="W181" s="275">
        <f>IF(ISNUMBER(W178),W178+W179+W180,"")</f>
        <v>1107</v>
      </c>
      <c r="X181" s="275">
        <f>IF(ISNUMBER(X178),X178+X179+X180,"")</f>
        <v>5078</v>
      </c>
      <c r="Y181" s="275">
        <f>IF(ISNUMBER(Y178),Y178+Y179+Y180,"")</f>
        <v>1348</v>
      </c>
      <c r="Z181" s="275">
        <f>IF(ISNUMBER(Z178),Z178+Z179+Z180,"")</f>
        <v>1380</v>
      </c>
      <c r="AA181" s="275">
        <f>IF(ISNUMBER(AA178),AA178+AA179+AA180,"")</f>
        <v>1670</v>
      </c>
      <c r="AB181" s="275">
        <f>IF(ISNUMBER(AB178),AB178+AB179+AB180,"")</f>
        <v>1363</v>
      </c>
      <c r="AC181" s="275">
        <f>IF(ISNUMBER(AC178),AC178+AC179+AC180,"")</f>
        <v>5761</v>
      </c>
      <c r="AD181" s="275">
        <f>IF(ISNUMBER(AD178),AD178+AD179+AD180,"")</f>
        <v>1506</v>
      </c>
      <c r="AE181" s="275">
        <f>IF(ISNUMBER(AE178),AE178+AE179+AE180,"")</f>
        <v>1653</v>
      </c>
      <c r="AF181" s="275">
        <f>IF(ISNUMBER(AF178),AF178+AF179+AF180,"")</f>
        <v>1941</v>
      </c>
      <c r="AG181" s="275">
        <f>IF(ISNUMBER(AG178),AG178+AG179+AG180,"")</f>
        <v>1522</v>
      </c>
      <c r="AH181" s="275">
        <f>IF(ISNUMBER(AH178),AH178+AH179+AH180,"")</f>
        <v>6622</v>
      </c>
      <c r="AI181" s="275">
        <f>IF(ISNUMBER(AI178),AI178+AI179+AI180,"")</f>
        <v>1825</v>
      </c>
      <c r="AJ181" s="275">
        <f>IF(ISNUMBER(AJ178),AJ178+AJ179+AJ180,"")</f>
        <v>1936</v>
      </c>
      <c r="AK181" s="275">
        <f>IF(ISNUMBER(AK178),AK178+AK179+AK180,"")</f>
        <v>2287</v>
      </c>
      <c r="AL181" s="275">
        <f>IF(ISNUMBER(AL178),AL178+AL179+AL180,"")</f>
        <v>1234</v>
      </c>
      <c r="AM181" s="275">
        <f>IF(ISNUMBER(AM178),AM178+AM179+AM180,"")</f>
        <v>7282</v>
      </c>
      <c r="AN181" s="275">
        <f>IF(ISNUMBER(AN178),AN178+AN179+AN180,"")</f>
        <v>2213</v>
      </c>
      <c r="AO181" s="275">
        <f>IF(ISNUMBER(AO178),AO178+AO179+AO180,"")</f>
        <v>2397</v>
      </c>
      <c r="AP181" s="275">
        <f>IF(ISNUMBER(AP178),AP178+AP179+AP180,"")</f>
        <v>2655</v>
      </c>
      <c r="AQ181" s="275">
        <f>IF(ISNUMBER(AQ178),AQ178+AQ179+AQ180,"")</f>
        <v>2399</v>
      </c>
      <c r="AR181" s="275">
        <f>IF(ISNUMBER(AR178),AR178+AR179+AR180,"")</f>
        <v>9664</v>
      </c>
      <c r="AS181" s="275">
        <f>IF(ISNUMBER(AS178),AS178+AS179+AS180,"")</f>
        <v>2211</v>
      </c>
      <c r="AT181" s="275">
        <f>IF(ISNUMBER(AT178),AT178+AT179+AT180,"")</f>
        <v>1707</v>
      </c>
      <c r="AU181" s="275">
        <f>IF(ISNUMBER(AU178),AU178+AU179+AU180,"")</f>
        <v>2105</v>
      </c>
      <c r="AV181" s="275">
        <f>IF(ISNUMBER(AV178),AV178+AV179+AV180,"")</f>
        <v>2058</v>
      </c>
      <c r="AW181" s="275">
        <f>IF(ISNUMBER(AW178),AW178+AW179+AW180,"")</f>
        <v>8081</v>
      </c>
      <c r="AX181" s="275">
        <f>IF(ISNUMBER(AX178),AX178+AX179+AX180,"")</f>
        <v>2197</v>
      </c>
      <c r="AY181" s="275">
        <f>IF(ISNUMBER(AY178),AY178+AY179+AY180,"")</f>
        <v>2341</v>
      </c>
      <c r="AZ181" s="275">
        <f>IF(ISNUMBER(AZ178),AZ178+AZ179+AZ180,"")</f>
        <v>2717</v>
      </c>
      <c r="BA181" s="275">
        <f>IF(ISNUMBER(BA178),BA178+BA179+BA180,"")</f>
        <v>2827</v>
      </c>
      <c r="BB181" s="275">
        <f>IF(ISNUMBER(BB178),BB178+BB179+BB180,"")</f>
        <v>10082</v>
      </c>
      <c r="BC181" s="275">
        <f>IF(ISNUMBER(BC178),BC178+BC179+BC180,"")</f>
        <v>2950</v>
      </c>
      <c r="BD181" s="275">
        <f>IF(ISNUMBER(BD178),BD178+BD179+BD180,"")</f>
        <v>3018</v>
      </c>
      <c r="BE181" s="275">
        <f>IF(ISNUMBER(BE178),BE178+BE179+BE180,"")</f>
        <v>3112</v>
      </c>
      <c r="BF181" s="275">
        <f>IF(ISNUMBER(BF178),BF178+BF179+BF180,"")</f>
        <v>3184</v>
      </c>
      <c r="BG181" s="275">
        <f>IF(ISNUMBER(BG178),BG178+BG179+BG180,"")</f>
        <v>12264</v>
      </c>
      <c r="BH181" s="275">
        <f>IF(ISNUMBER(BH178),BH178+BH179+BH180,"")</f>
        <v>3136</v>
      </c>
      <c r="BI181" s="275">
        <f>IF(ISNUMBER(BI178),BI178+BI179+BI180,"")</f>
        <v>3656</v>
      </c>
      <c r="BJ181" s="275">
        <f>IF(ISNUMBER(BJ178),BJ178+BJ179+BJ180,"")</f>
        <v>3844</v>
      </c>
      <c r="BK181" s="275">
        <f>IF(ISNUMBER(BK178),BK178+BK179+BK180,"")</f>
        <v>3372</v>
      </c>
      <c r="BL181" s="275">
        <f>IF(ISNUMBER(BL178),BL178+BL179+BL180,"")</f>
        <v>14008</v>
      </c>
      <c r="BM181" s="275">
        <f>IF(ISNUMBER(BM178),BM178+BM179+BM180,"")</f>
        <v>3604</v>
      </c>
      <c r="BN181" s="275">
        <f>IF(ISNUMBER(BN178),BN178+BN179+BN180,"")</f>
        <v>4036</v>
      </c>
      <c r="BO181" s="275">
        <f>IF(ISNUMBER(BO178),BO178+BO179+BO180,"")</f>
        <v>4004</v>
      </c>
      <c r="BP181" s="275">
        <f>IF(ISNUMBER(BP178),BP178+BP179+BP180,"")</f>
        <v>3938</v>
      </c>
      <c r="BQ181" s="275">
        <f>IF(ISNUMBER(BQ178),BQ178+BQ179+BQ180,"")</f>
        <v>15582</v>
      </c>
      <c r="BR181" s="275">
        <f>IF(ISNUMBER(BR178),BR178+BR179+BR180,"")</f>
        <v>4149</v>
      </c>
      <c r="BS181" s="275">
        <f>IF(ISNUMBER(BS178),BS178+BS179+BS180,"")</f>
        <v>4777</v>
      </c>
      <c r="BT181" s="275">
        <f>IF(ISNUMBER(BT178),BT178+BT179+BT180,"")</f>
        <v>5061</v>
      </c>
      <c r="BU181" s="275">
        <f>IF(ISNUMBER(BU178),BU178+BU179+BU180,"")</f>
        <v>4910</v>
      </c>
      <c r="BV181" s="275">
        <f>IF(ISNUMBER(BV178),BV178+BV179+BV180,"")</f>
        <v>18897</v>
      </c>
      <c r="BW181" s="275">
        <f>IF(ISNUMBER(BW178),BW178+BW179+BW180,"")</f>
        <v>4907</v>
      </c>
      <c r="BX181" s="275">
        <f>IF(ISNUMBER(BX178),BX178+BX179+BX180,"")</f>
        <v>5587</v>
      </c>
      <c r="BY181" s="263">
        <f>IF(ISNUMBER(BY178),BY178+BY179+BY180,"")</f>
        <v>5668.80564242909</v>
      </c>
      <c r="BZ181" s="263">
        <f>IF(ISNUMBER(BZ178),BZ178+BZ179+BZ180,"")</f>
        <v>5641.12935757091</v>
      </c>
      <c r="CA181" s="263">
        <f>IF(ISNUMBER(CA178),CA178+CA179+CA180,"")</f>
        <v>21803.935</v>
      </c>
      <c r="CB181" s="263">
        <f>IF(ISNUMBER(CB178),CB178+CB179+CB180,"")</f>
        <v>24742.1704841164</v>
      </c>
      <c r="CC181" s="263">
        <f>IF(ISNUMBER(CC178),CC178+CC179+CC180,"")</f>
        <v>27902.0763007189</v>
      </c>
      <c r="CD181" s="263">
        <f>IF(ISNUMBER(CD178),CD178+CD179+CD180,"")</f>
        <v>31252.6557848408</v>
      </c>
      <c r="CE181" s="263">
        <f>IF(ISNUMBER(CE178),CE178+CE179+CE180,"")</f>
        <v>34772.2285731106</v>
      </c>
      <c r="CF181" s="153" t="n"/>
    </row>
    <row r="182" ht="15" customHeight="1" s="251">
      <c r="B182" s="25" t="inlineStr">
        <is>
          <t xml:space="preserve">  (+) Depreciation and amortization</t>
        </is>
      </c>
      <c r="C182" s="211">
        <f>C126</f>
        <v>99.782</v>
      </c>
      <c r="D182" s="211">
        <f>D126</f>
        <v>97.642</v>
      </c>
      <c r="E182" s="211">
        <f>E126</f>
        <v>112.006</v>
      </c>
      <c r="F182" s="211">
        <f>F126</f>
        <v>141.377</v>
      </c>
      <c r="G182" s="211">
        <f>G126</f>
        <v>148</v>
      </c>
      <c r="H182" s="211">
        <f>H126</f>
        <v>194</v>
      </c>
      <c r="I182" s="211">
        <f>I126</f>
        <v>230</v>
      </c>
      <c r="J182" s="211">
        <f>J126</f>
        <v>62</v>
      </c>
      <c r="K182" s="211">
        <f>K126</f>
        <v>61</v>
      </c>
      <c r="L182" s="211">
        <f>L126</f>
        <v>64</v>
      </c>
      <c r="M182" s="211">
        <f>M126</f>
        <v>71</v>
      </c>
      <c r="N182" s="211">
        <f>N126</f>
        <v>258</v>
      </c>
      <c r="O182" s="211">
        <f>O126</f>
        <v>73</v>
      </c>
      <c r="P182" s="211">
        <f>P126</f>
        <v>81</v>
      </c>
      <c r="Q182" s="211">
        <f>Q126</f>
        <v>83</v>
      </c>
      <c r="R182" s="211">
        <f>R126</f>
        <v>84</v>
      </c>
      <c r="S182" s="211">
        <f>S126</f>
        <v>321</v>
      </c>
      <c r="T182" s="211">
        <f>T126</f>
        <v>87</v>
      </c>
      <c r="U182" s="211">
        <f>U126</f>
        <v>92</v>
      </c>
      <c r="V182" s="211">
        <f>V126</f>
        <v>94</v>
      </c>
      <c r="W182" s="211">
        <f>W126</f>
        <v>93</v>
      </c>
      <c r="X182" s="211">
        <f>X126</f>
        <v>366</v>
      </c>
      <c r="Y182" s="211">
        <f>Y126</f>
        <v>95</v>
      </c>
      <c r="Z182" s="211">
        <f>Z126</f>
        <v>93</v>
      </c>
      <c r="AA182" s="211">
        <f>AA126</f>
        <v>93</v>
      </c>
      <c r="AB182" s="211">
        <f>AB126</f>
        <v>92</v>
      </c>
      <c r="AC182" s="211">
        <f>AC126</f>
        <v>373</v>
      </c>
      <c r="AD182" s="211">
        <f>AD126</f>
        <v>92</v>
      </c>
      <c r="AE182" s="211">
        <f>AE126</f>
        <v>111</v>
      </c>
      <c r="AF182" s="211">
        <f>AF126</f>
        <v>118</v>
      </c>
      <c r="AG182" s="211">
        <f>AG126</f>
        <v>115</v>
      </c>
      <c r="AH182" s="211">
        <f>AH126</f>
        <v>436</v>
      </c>
      <c r="AI182" s="211">
        <f>AI126</f>
        <v>120</v>
      </c>
      <c r="AJ182" s="211">
        <f>AJ126</f>
        <v>115</v>
      </c>
      <c r="AK182" s="211">
        <f>AK126</f>
        <v>111</v>
      </c>
      <c r="AL182" s="211">
        <f>AL126</f>
        <v>113</v>
      </c>
      <c r="AM182" s="211">
        <f>AM126</f>
        <v>459</v>
      </c>
      <c r="AN182" s="211">
        <f>AN126</f>
        <v>117</v>
      </c>
      <c r="AO182" s="211">
        <f>AO126</f>
        <v>122</v>
      </c>
      <c r="AP182" s="211">
        <f>AP126</f>
        <v>137</v>
      </c>
      <c r="AQ182" s="211">
        <f>AQ126</f>
        <v>146</v>
      </c>
      <c r="AR182" s="211">
        <f>AR126</f>
        <v>522</v>
      </c>
      <c r="AS182" s="211">
        <f>AS126</f>
        <v>144</v>
      </c>
      <c r="AT182" s="211">
        <f>AT126</f>
        <v>145</v>
      </c>
      <c r="AU182" s="211">
        <f>AU126</f>
        <v>141</v>
      </c>
      <c r="AV182" s="211">
        <f>AV126</f>
        <v>150</v>
      </c>
      <c r="AW182" s="211">
        <f>AW126</f>
        <v>580</v>
      </c>
      <c r="AX182" s="211">
        <f>AX126</f>
        <v>163</v>
      </c>
      <c r="AY182" s="211">
        <f>AY126</f>
        <v>186</v>
      </c>
      <c r="AZ182" s="211">
        <f>AZ126</f>
        <v>188</v>
      </c>
      <c r="BA182" s="211">
        <f>BA126</f>
        <v>189</v>
      </c>
      <c r="BB182" s="211">
        <f>BB126</f>
        <v>726</v>
      </c>
      <c r="BC182" s="211">
        <f>BC126</f>
        <v>192</v>
      </c>
      <c r="BD182" s="211">
        <f>BD126</f>
        <v>189</v>
      </c>
      <c r="BE182" s="211">
        <f>BE126</f>
        <v>185</v>
      </c>
      <c r="BF182" s="211">
        <f>BF126</f>
        <v>184</v>
      </c>
      <c r="BG182" s="211">
        <f>BG126</f>
        <v>750</v>
      </c>
      <c r="BH182" s="211">
        <f>BH126</f>
        <v>191</v>
      </c>
      <c r="BI182" s="211">
        <f>BI126</f>
        <v>192</v>
      </c>
      <c r="BJ182" s="211">
        <f>BJ126</f>
        <v>211</v>
      </c>
      <c r="BK182" s="211">
        <f>BK126</f>
        <v>205</v>
      </c>
      <c r="BL182" s="211">
        <f>BL126</f>
        <v>799</v>
      </c>
      <c r="BM182" s="211">
        <f>BM126</f>
        <v>216</v>
      </c>
      <c r="BN182" s="211">
        <f>BN126</f>
        <v>225</v>
      </c>
      <c r="BO182" s="211">
        <f>BO126</f>
        <v>225</v>
      </c>
      <c r="BP182" s="211">
        <f>BP126</f>
        <v>231</v>
      </c>
      <c r="BQ182" s="211">
        <f>BQ126</f>
        <v>897</v>
      </c>
      <c r="BR182" s="211">
        <f>BR126</f>
        <v>275</v>
      </c>
      <c r="BS182" s="211">
        <f>BS126</f>
        <v>281</v>
      </c>
      <c r="BT182" s="211">
        <f>BT126</f>
        <v>290</v>
      </c>
      <c r="BU182" s="211">
        <f>BU126</f>
        <v>297</v>
      </c>
      <c r="BV182" s="211">
        <f>BV126</f>
        <v>1143</v>
      </c>
      <c r="BW182" s="211">
        <f>BW126</f>
        <v>299</v>
      </c>
      <c r="BX182" s="211">
        <f>BX126</f>
        <v>309</v>
      </c>
      <c r="BY182" s="254">
        <f>BY126</f>
        <v>325</v>
      </c>
      <c r="BZ182" s="254">
        <f>BZ126</f>
        <v>325</v>
      </c>
      <c r="CA182" s="254">
        <f>CA126</f>
        <v>1258</v>
      </c>
      <c r="CB182" s="254">
        <f>CB126</f>
        <v>1487.67545018235</v>
      </c>
      <c r="CC182" s="254">
        <f>CC126</f>
        <v>1693.78934905336</v>
      </c>
      <c r="CD182" s="254">
        <f>CD126</f>
        <v>1908.23739361271</v>
      </c>
      <c r="CE182" s="254">
        <f>CE126</f>
        <v>2129.69029915495</v>
      </c>
      <c r="CF182" s="19" t="n"/>
    </row>
    <row r="183" ht="15" customHeight="1" s="251">
      <c r="B183" s="55" t="inlineStr">
        <is>
          <t xml:space="preserve">  = EBITDA (model)</t>
        </is>
      </c>
      <c r="C183" s="273">
        <f>IF(ISNUMBER(C181),C181+C182,"")</f>
        <v>329.277</v>
      </c>
      <c r="D183" s="273">
        <f>IF(ISNUMBER(D181),D181+D182,"")</f>
        <v>1205.754</v>
      </c>
      <c r="E183" s="273">
        <f>IF(ISNUMBER(E181),E181+E182,"")</f>
        <v>-422.498999999999</v>
      </c>
      <c r="F183" s="273">
        <f>IF(ISNUMBER(F181),F181+F182,"")</f>
        <v>2401.485</v>
      </c>
      <c r="G183" s="273">
        <f>IF(ISNUMBER(G181),G181+G182,"")</f>
        <v>2900</v>
      </c>
      <c r="H183" s="273">
        <f>IF(ISNUMBER(H181),H181+H182,"")</f>
        <v>2907</v>
      </c>
      <c r="I183" s="273">
        <f>IF(ISNUMBER(I181),I181+I182,"")</f>
        <v>4167</v>
      </c>
      <c r="J183" s="273">
        <f>IF(ISNUMBER(J181),J181+J182,"")</f>
        <v>1169</v>
      </c>
      <c r="K183" s="273">
        <f>IF(ISNUMBER(K181),K181+K182,"")</f>
        <v>1289</v>
      </c>
      <c r="L183" s="273">
        <f>IF(ISNUMBER(L181),L181+L182,"")</f>
        <v>1312</v>
      </c>
      <c r="M183" s="273">
        <f>IF(ISNUMBER(M181),M181+M182,"")</f>
        <v>991</v>
      </c>
      <c r="N183" s="273">
        <f>IF(ISNUMBER(N181),N181+N182,"")</f>
        <v>4761</v>
      </c>
      <c r="O183" s="273">
        <f>IF(ISNUMBER(O181),O181+O182,"")</f>
        <v>1358</v>
      </c>
      <c r="P183" s="273">
        <f>IF(ISNUMBER(P181),P181+P182,"")</f>
        <v>1464</v>
      </c>
      <c r="Q183" s="273">
        <f>IF(ISNUMBER(Q181),Q181+Q182,"")</f>
        <v>1503</v>
      </c>
      <c r="R183" s="273">
        <f>IF(ISNUMBER(R181),R181+R182,"")</f>
        <v>1102</v>
      </c>
      <c r="S183" s="273">
        <f>IF(ISNUMBER(S181),S181+S182,"")</f>
        <v>5427</v>
      </c>
      <c r="T183" s="273">
        <f>IF(ISNUMBER(T181),T181+T182,"")</f>
        <v>1438</v>
      </c>
      <c r="U183" s="273">
        <f>IF(ISNUMBER(U181),U181+U182,"")</f>
        <v>1343</v>
      </c>
      <c r="V183" s="273">
        <f>IF(ISNUMBER(V181),V181+V182,"")</f>
        <v>1463</v>
      </c>
      <c r="W183" s="273">
        <f>IF(ISNUMBER(W181),W181+W182,"")</f>
        <v>1200</v>
      </c>
      <c r="X183" s="273">
        <f>IF(ISNUMBER(X181),X181+X182,"")</f>
        <v>5444</v>
      </c>
      <c r="Y183" s="273">
        <f>IF(ISNUMBER(Y181),Y181+Y182,"")</f>
        <v>1443</v>
      </c>
      <c r="Z183" s="273">
        <f>IF(ISNUMBER(Z181),Z181+Z182,"")</f>
        <v>1473</v>
      </c>
      <c r="AA183" s="273">
        <f>IF(ISNUMBER(AA181),AA181+AA182,"")</f>
        <v>1763</v>
      </c>
      <c r="AB183" s="273">
        <f>IF(ISNUMBER(AB181),AB181+AB182,"")</f>
        <v>1455</v>
      </c>
      <c r="AC183" s="273">
        <f>IF(ISNUMBER(AC181),AC181+AC182,"")</f>
        <v>6134</v>
      </c>
      <c r="AD183" s="273">
        <f>IF(ISNUMBER(AD181),AD181+AD182,"")</f>
        <v>1598</v>
      </c>
      <c r="AE183" s="273">
        <f>IF(ISNUMBER(AE181),AE181+AE182,"")</f>
        <v>1764</v>
      </c>
      <c r="AF183" s="273">
        <f>IF(ISNUMBER(AF181),AF181+AF182,"")</f>
        <v>2059</v>
      </c>
      <c r="AG183" s="273">
        <f>IF(ISNUMBER(AG181),AG181+AG182,"")</f>
        <v>1637</v>
      </c>
      <c r="AH183" s="273">
        <f>IF(ISNUMBER(AH181),AH181+AH182,"")</f>
        <v>7058</v>
      </c>
      <c r="AI183" s="273">
        <f>IF(ISNUMBER(AI181),AI181+AI182,"")</f>
        <v>1945</v>
      </c>
      <c r="AJ183" s="273">
        <f>IF(ISNUMBER(AJ181),AJ181+AJ182,"")</f>
        <v>2051</v>
      </c>
      <c r="AK183" s="273">
        <f>IF(ISNUMBER(AK181),AK181+AK182,"")</f>
        <v>2398</v>
      </c>
      <c r="AL183" s="273">
        <f>IF(ISNUMBER(AL181),AL181+AL182,"")</f>
        <v>1347</v>
      </c>
      <c r="AM183" s="273">
        <f>IF(ISNUMBER(AM181),AM181+AM182,"")</f>
        <v>7741</v>
      </c>
      <c r="AN183" s="273">
        <f>IF(ISNUMBER(AN181),AN181+AN182,"")</f>
        <v>2330</v>
      </c>
      <c r="AO183" s="273">
        <f>IF(ISNUMBER(AO181),AO181+AO182,"")</f>
        <v>2519</v>
      </c>
      <c r="AP183" s="273">
        <f>IF(ISNUMBER(AP181),AP181+AP182,"")</f>
        <v>2792</v>
      </c>
      <c r="AQ183" s="273">
        <f>IF(ISNUMBER(AQ181),AQ181+AQ182,"")</f>
        <v>2545</v>
      </c>
      <c r="AR183" s="273">
        <f>IF(ISNUMBER(AR181),AR181+AR182,"")</f>
        <v>10186</v>
      </c>
      <c r="AS183" s="273">
        <f>IF(ISNUMBER(AS181),AS181+AS182,"")</f>
        <v>2355</v>
      </c>
      <c r="AT183" s="273">
        <f>IF(ISNUMBER(AT181),AT181+AT182,"")</f>
        <v>1852</v>
      </c>
      <c r="AU183" s="273">
        <f>IF(ISNUMBER(AU181),AU181+AU182,"")</f>
        <v>2246</v>
      </c>
      <c r="AV183" s="273">
        <f>IF(ISNUMBER(AV181),AV181+AV182,"")</f>
        <v>2208</v>
      </c>
      <c r="AW183" s="273">
        <f>IF(ISNUMBER(AW181),AW181+AW182,"")</f>
        <v>8661</v>
      </c>
      <c r="AX183" s="273">
        <f>IF(ISNUMBER(AX181),AX181+AX182,"")</f>
        <v>2360</v>
      </c>
      <c r="AY183" s="273">
        <f>IF(ISNUMBER(AY181),AY181+AY182,"")</f>
        <v>2527</v>
      </c>
      <c r="AZ183" s="273">
        <f>IF(ISNUMBER(AZ181),AZ181+AZ182,"")</f>
        <v>2905</v>
      </c>
      <c r="BA183" s="273">
        <f>IF(ISNUMBER(BA181),BA181+BA182,"")</f>
        <v>3016</v>
      </c>
      <c r="BB183" s="273">
        <f>IF(ISNUMBER(BB181),BB181+BB182,"")</f>
        <v>10808</v>
      </c>
      <c r="BC183" s="273">
        <f>IF(ISNUMBER(BC181),BC181+BC182,"")</f>
        <v>3142</v>
      </c>
      <c r="BD183" s="273">
        <f>IF(ISNUMBER(BD181),BD181+BD182,"")</f>
        <v>3207</v>
      </c>
      <c r="BE183" s="273">
        <f>IF(ISNUMBER(BE181),BE181+BE182,"")</f>
        <v>3297</v>
      </c>
      <c r="BF183" s="273">
        <f>IF(ISNUMBER(BF181),BF181+BF182,"")</f>
        <v>3368</v>
      </c>
      <c r="BG183" s="273">
        <f>IF(ISNUMBER(BG181),BG181+BG182,"")</f>
        <v>13014</v>
      </c>
      <c r="BH183" s="273">
        <f>IF(ISNUMBER(BH181),BH181+BH182,"")</f>
        <v>3327</v>
      </c>
      <c r="BI183" s="273">
        <f>IF(ISNUMBER(BI181),BI181+BI182,"")</f>
        <v>3848</v>
      </c>
      <c r="BJ183" s="273">
        <f>IF(ISNUMBER(BJ181),BJ181+BJ182,"")</f>
        <v>4055</v>
      </c>
      <c r="BK183" s="273">
        <f>IF(ISNUMBER(BK181),BK181+BK182,"")</f>
        <v>3577</v>
      </c>
      <c r="BL183" s="273">
        <f>IF(ISNUMBER(BL181),BL181+BL182,"")</f>
        <v>14807</v>
      </c>
      <c r="BM183" s="273">
        <f>IF(ISNUMBER(BM181),BM181+BM182,"")</f>
        <v>3820</v>
      </c>
      <c r="BN183" s="273">
        <f>IF(ISNUMBER(BN181),BN181+BN182,"")</f>
        <v>4261</v>
      </c>
      <c r="BO183" s="273">
        <f>IF(ISNUMBER(BO181),BO181+BO182,"")</f>
        <v>4229</v>
      </c>
      <c r="BP183" s="273">
        <f>IF(ISNUMBER(BP181),BP181+BP182,"")</f>
        <v>4169</v>
      </c>
      <c r="BQ183" s="273">
        <f>IF(ISNUMBER(BQ181),BQ181+BQ182,"")</f>
        <v>16479</v>
      </c>
      <c r="BR183" s="273">
        <f>IF(ISNUMBER(BR181),BR181+BR182,"")</f>
        <v>4424</v>
      </c>
      <c r="BS183" s="273">
        <f>IF(ISNUMBER(BS181),BS181+BS182,"")</f>
        <v>5058</v>
      </c>
      <c r="BT183" s="273">
        <f>IF(ISNUMBER(BT181),BT181+BT182,"")</f>
        <v>5351</v>
      </c>
      <c r="BU183" s="273">
        <f>IF(ISNUMBER(BU181),BU181+BU182,"")</f>
        <v>5207</v>
      </c>
      <c r="BV183" s="273">
        <f>IF(ISNUMBER(BV181),BV181+BV182,"")</f>
        <v>20040</v>
      </c>
      <c r="BW183" s="273">
        <f>IF(ISNUMBER(BW181),BW181+BW182,"")</f>
        <v>5206</v>
      </c>
      <c r="BX183" s="273">
        <f>IF(ISNUMBER(BX181),BX181+BX182,"")</f>
        <v>5896</v>
      </c>
      <c r="BY183" s="273">
        <f>IF(ISNUMBER(BY181),BY181+BY182,"")</f>
        <v>5993.80564242909</v>
      </c>
      <c r="BZ183" s="273">
        <f>IF(ISNUMBER(BZ181),BZ181+BZ182,"")</f>
        <v>5966.12935757091</v>
      </c>
      <c r="CA183" s="273">
        <f>IF(ISNUMBER(CA181),CA181+CA182,"")</f>
        <v>23061.935</v>
      </c>
      <c r="CB183" s="273">
        <f>IF(ISNUMBER(CB181),CB181+CB182,"")</f>
        <v>26229.8459342987</v>
      </c>
      <c r="CC183" s="273">
        <f>IF(ISNUMBER(CC181),CC181+CC182,"")</f>
        <v>29595.8656497722</v>
      </c>
      <c r="CD183" s="273">
        <f>IF(ISNUMBER(CD181),CD181+CD182,"")</f>
        <v>33160.8931784535</v>
      </c>
      <c r="CE183" s="273">
        <f>IF(ISNUMBER(CE181),CE181+CE182,"")</f>
        <v>36901.9188722655</v>
      </c>
      <c r="CF183" s="153" t="n"/>
      <c r="CH183" s="20">
        <f>IFERROR((CE183/BV183)^(1/5)-1,"n/m")</f>
        <v>0.129874602228478</v>
      </c>
      <c r="CI183" s="20">
        <f>IFERROR((BV183/AW183)^(1/5)-1,"n/m")</f>
        <v>0.182676413765724</v>
      </c>
      <c r="CJ183" s="20">
        <f>IFERROR((BV183/X183)^(1/10)-1,"n/m")</f>
        <v>0.139194711238877</v>
      </c>
      <c r="CK183" s="20">
        <f>IFERROR((BV183/C183)^(1/19)-1,"n/m")</f>
        <v>0.241401992019394</v>
      </c>
    </row>
    <row r="184" ht="15" customHeight="1" s="251">
      <c r="B184" s="25" t="inlineStr">
        <is>
          <t xml:space="preserve">  (+) Operating special items (litigation, restructuring, other; + revenue special items)</t>
        </is>
      </c>
      <c r="C184" s="211">
        <f>IF(ISNUMBER(C114),C114+C115+C116+N(C117),"")</f>
        <v>420</v>
      </c>
      <c r="D184" s="211">
        <f>IF(ISNUMBER(D114),D114+D115+D116+N(D117),"")</f>
        <v>3</v>
      </c>
      <c r="E184" s="211">
        <f>IF(ISNUMBER(E114),E114+E115+E116+N(E117),"")</f>
        <v>2483</v>
      </c>
      <c r="F184" s="211">
        <f>IF(ISNUMBER(F114),F114+F115+F116+N(F117),"")</f>
        <v>7</v>
      </c>
      <c r="G184" s="211">
        <f>IF(ISNUMBER(G114),G114+G115+G116+N(G117),"")</f>
        <v>0</v>
      </c>
      <c r="H184" s="211">
        <f>IF(ISNUMBER(H114),H114+H115+H116+N(H117),"")</f>
        <v>770</v>
      </c>
      <c r="I184" s="211">
        <f>IF(ISNUMBER(I114),I114+I115+I116+N(I117),"")</f>
        <v>20</v>
      </c>
      <c r="J184" s="211">
        <f>IF(ISNUMBER(J114),J114+J115+J116+N(J117),"")</f>
        <v>0</v>
      </c>
      <c r="K184" s="211">
        <f>IF(ISNUMBER(K114),K114+K115+K116+N(K117),"")</f>
        <v>0</v>
      </c>
      <c r="L184" s="211">
        <f>IF(ISNUMBER(L114),L114+L115+L116+N(L117),"")</f>
        <v>0</v>
      </c>
      <c r="M184" s="211">
        <f>IF(ISNUMBER(M114),M114+M115+M116+N(M117),"")</f>
        <v>95</v>
      </c>
      <c r="N184" s="211">
        <f>IF(ISNUMBER(N114),N114+N115+N116+N(N117),"")</f>
        <v>95</v>
      </c>
      <c r="O184" s="211">
        <f>IF(ISNUMBER(O114),O114+O115+O116+N(O117),"")</f>
        <v>0</v>
      </c>
      <c r="P184" s="211">
        <f>IF(ISNUMBER(P114),P114+P115+P116+N(P117),"")</f>
        <v>0</v>
      </c>
      <c r="Q184" s="211">
        <f>IF(ISNUMBER(Q114),Q114+Q115+Q116+N(Q117),"")</f>
        <v>0</v>
      </c>
      <c r="R184" s="211">
        <f>IF(ISNUMBER(R114),R114+R115+R116+N(R117),"")</f>
        <v>0</v>
      </c>
      <c r="S184" s="211">
        <f>IF(ISNUMBER(S114),S114+S115+S116+N(S117),"")</f>
        <v>0</v>
      </c>
      <c r="T184" s="211">
        <f>IF(ISNUMBER(T114),T114+T115+T116+N(T117),"")</f>
        <v>0</v>
      </c>
      <c r="U184" s="211">
        <f>IF(ISNUMBER(U114),U114+U115+U116+N(U117),"")</f>
        <v>61</v>
      </c>
      <c r="V184" s="211">
        <f>IF(ISNUMBER(V114),V114+V115+V116+N(V117),"")</f>
        <v>79</v>
      </c>
      <c r="W184" s="211">
        <f>IF(ISNUMBER(W114),W114+W115+W116+N(W117),"")</f>
        <v>0</v>
      </c>
      <c r="X184" s="211">
        <f>IF(ISNUMBER(X114),X114+X115+X116+N(X117),"")</f>
        <v>140</v>
      </c>
      <c r="Y184" s="211">
        <f>IF(ISNUMBER(Y114),Y114+Y115+Y116+N(Y117),"")</f>
        <v>0</v>
      </c>
      <c r="Z184" s="211">
        <f>IF(ISNUMBER(Z114),Z114+Z115+Z116+N(Z117),"")</f>
        <v>107</v>
      </c>
      <c r="AA184" s="211">
        <f>IF(ISNUMBER(AA114),AA114+AA115+AA116+N(AA117),"")</f>
        <v>0</v>
      </c>
      <c r="AB184" s="211">
        <f>IF(ISNUMBER(AB114),AB114+AB115+AB116+N(AB117),"")</f>
        <v>10</v>
      </c>
      <c r="AC184" s="211">
        <f>IF(ISNUMBER(AC114),AC114+AC115+AC116+N(AC117),"")</f>
        <v>117</v>
      </c>
      <c r="AD184" s="211">
        <f>IF(ISNUMBER(AD114),AD114+AD115+AD116+N(AD117),"")</f>
        <v>15</v>
      </c>
      <c r="AE184" s="211">
        <f>IF(ISNUMBER(AE114),AE114+AE115+AE116+N(AE117),"")</f>
        <v>0</v>
      </c>
      <c r="AF184" s="211">
        <f>IF(ISNUMBER(AF114),AF114+AF115+AF116+N(AF117),"")</f>
        <v>0</v>
      </c>
      <c r="AG184" s="211">
        <f>IF(ISNUMBER(AG114),AG114+AG115+AG116+N(AG117),"")</f>
        <v>167</v>
      </c>
      <c r="AH184" s="211">
        <f>IF(ISNUMBER(AH114),AH114+AH115+AH116+N(AH117),"")</f>
        <v>182</v>
      </c>
      <c r="AI184" s="211">
        <f>IF(ISNUMBER(AI114),AI114+AI115+AI116+N(AI117),"")</f>
        <v>117</v>
      </c>
      <c r="AJ184" s="211">
        <f>IF(ISNUMBER(AJ114),AJ114+AJ115+AJ116+N(AJ117),"")</f>
        <v>225</v>
      </c>
      <c r="AK184" s="211">
        <f>IF(ISNUMBER(AK114),AK114+AK115+AK116+N(AK117),"")</f>
        <v>29</v>
      </c>
      <c r="AL184" s="211">
        <f>IF(ISNUMBER(AL114),AL114+AL115+AL116+N(AL117),"")</f>
        <v>757</v>
      </c>
      <c r="AM184" s="211">
        <f>IF(ISNUMBER(AM114),AM114+AM115+AM116+N(AM117),"")</f>
        <v>1128</v>
      </c>
      <c r="AN184" s="211">
        <f>IF(ISNUMBER(AN114),AN114+AN115+AN116+N(AN117),"")</f>
        <v>0</v>
      </c>
      <c r="AO184" s="211">
        <f>IF(ISNUMBER(AO114),AO114+AO115+AO116+N(AO117),"")</f>
        <v>0</v>
      </c>
      <c r="AP184" s="211">
        <f>IF(ISNUMBER(AP114),AP114+AP115+AP116+N(AP117),"")</f>
        <v>0</v>
      </c>
      <c r="AQ184" s="211">
        <f>IF(ISNUMBER(AQ114),AQ114+AQ115+AQ116+N(AQ117),"")</f>
        <v>0</v>
      </c>
      <c r="AR184" s="211">
        <f>IF(ISNUMBER(AR114),AR114+AR115+AR116+N(AR117),"")</f>
        <v>0</v>
      </c>
      <c r="AS184" s="211">
        <f>IF(ISNUMBER(AS114),AS114+AS115+AS116+N(AS117),"")</f>
        <v>6</v>
      </c>
      <c r="AT184" s="211">
        <f>IF(ISNUMBER(AT114),AT114+AT115+AT116+N(AT117),"")</f>
        <v>22</v>
      </c>
      <c r="AU184" s="211">
        <f>IF(ISNUMBER(AU114),AU114+AU115+AU116+N(AU117),"")</f>
        <v>0</v>
      </c>
      <c r="AV184" s="211">
        <f>IF(ISNUMBER(AV114),AV114+AV115+AV116+N(AV117),"")</f>
        <v>45</v>
      </c>
      <c r="AW184" s="211">
        <f>IF(ISNUMBER(AW114),AW114+AW115+AW116+N(AW117),"")</f>
        <v>73</v>
      </c>
      <c r="AX184" s="211">
        <f>IF(ISNUMBER(AX114),AX114+AX115+AX116+N(AX117),"")</f>
        <v>0</v>
      </c>
      <c r="AY184" s="211">
        <f>IF(ISNUMBER(AY114),AY114+AY115+AY116+N(AY117),"")</f>
        <v>67</v>
      </c>
      <c r="AZ184" s="211">
        <f>IF(ISNUMBER(AZ114),AZ114+AZ115+AZ116+N(AZ117),"")</f>
        <v>109</v>
      </c>
      <c r="BA184" s="211">
        <f>IF(ISNUMBER(BA114),BA114+BA115+BA116+N(BA117),"")</f>
        <v>0</v>
      </c>
      <c r="BB184" s="211">
        <f>IF(ISNUMBER(BB114),BB114+BB115+BB116+N(BB117),"")</f>
        <v>176</v>
      </c>
      <c r="BC184" s="211">
        <f>IF(ISNUMBER(BC114),BC114+BC115+BC116+N(BC117),"")</f>
        <v>4</v>
      </c>
      <c r="BD184" s="211">
        <f>IF(ISNUMBER(BD114),BD114+BD115+BD116+N(BD117),"")</f>
        <v>160</v>
      </c>
      <c r="BE184" s="211">
        <f>IF(ISNUMBER(BE114),BE114+BE115+BE116+N(BE117),"")</f>
        <v>208</v>
      </c>
      <c r="BF184" s="211">
        <f>IF(ISNUMBER(BF114),BF114+BF115+BF116+N(BF117),"")</f>
        <v>15</v>
      </c>
      <c r="BG184" s="211">
        <f>IF(ISNUMBER(BG114),BG114+BG115+BG116+N(BG117),"")</f>
        <v>386</v>
      </c>
      <c r="BH184" s="211">
        <f>IF(ISNUMBER(BH114),BH114+BH115+BH116+N(BH117),"")</f>
        <v>211</v>
      </c>
      <c r="BI184" s="211">
        <f>IF(ISNUMBER(BI114),BI114+BI115+BI116+N(BI117),"")</f>
        <v>20</v>
      </c>
      <c r="BJ184" s="211">
        <f>IF(ISNUMBER(BJ114),BJ114+BJ115+BJ116+N(BJ117),"")</f>
        <v>0</v>
      </c>
      <c r="BK184" s="211">
        <f>IF(ISNUMBER(BK114),BK114+BK115+BK116+N(BK117),"")</f>
        <v>308</v>
      </c>
      <c r="BL184" s="211">
        <f>IF(ISNUMBER(BL114),BL114+BL115+BL116+N(BL117),"")</f>
        <v>539</v>
      </c>
      <c r="BM184" s="211">
        <f>IF(ISNUMBER(BM114),BM114+BM115+BM116+N(BM117),"")</f>
        <v>126</v>
      </c>
      <c r="BN184" s="211">
        <f>IF(ISNUMBER(BN114),BN114+BN115+BN116+N(BN117),"")</f>
        <v>98</v>
      </c>
      <c r="BO184" s="211">
        <f>IF(ISNUMBER(BO114),BO114+BO115+BO116+N(BO117),"")</f>
        <v>366</v>
      </c>
      <c r="BP184" s="211">
        <f>IF(ISNUMBER(BP114),BP114+BP115+BP116+N(BP117),"")</f>
        <v>280</v>
      </c>
      <c r="BQ184" s="211">
        <f>IF(ISNUMBER(BQ114),BQ114+BQ115+BQ116+N(BQ117),"")</f>
        <v>870</v>
      </c>
      <c r="BR184" s="211">
        <f>IF(ISNUMBER(BR114),BR114+BR115+BR116+N(BR117),"")</f>
        <v>151</v>
      </c>
      <c r="BS184" s="211">
        <f>IF(ISNUMBER(BS114),BS114+BS115+BS116+N(BS117),"")</f>
        <v>96</v>
      </c>
      <c r="BT184" s="211">
        <f>IF(ISNUMBER(BT114),BT114+BT115+BT116+N(BT117),"")</f>
        <v>83</v>
      </c>
      <c r="BU184" s="211">
        <f>IF(ISNUMBER(BU114),BU114+BU115+BU116+N(BU117),"")</f>
        <v>174</v>
      </c>
      <c r="BV184" s="211">
        <f>IF(ISNUMBER(BV114),BV114+BV115+BV116+N(BV117),"")</f>
        <v>504</v>
      </c>
      <c r="BW184" s="211">
        <f>IF(ISNUMBER(BW114),BW114+BW115+BW116+N(BW117),"")</f>
        <v>202</v>
      </c>
      <c r="BX184" s="211">
        <f>IF(ISNUMBER(BX114),BX114+BX115+BX116+N(BX117),"")</f>
        <v>82</v>
      </c>
      <c r="BY184" s="254">
        <f>IF(ISNUMBER(BY114),BY114+BY115+BY116+N(BY117),"")</f>
        <v>100</v>
      </c>
      <c r="BZ184" s="254">
        <f>IF(ISNUMBER(BZ114),BZ114+BZ115+BZ116+N(BZ117),"")</f>
        <v>100</v>
      </c>
      <c r="CA184" s="254">
        <f>IF(ISNUMBER(CA114),CA114+CA115+CA116+N(CA117),"")</f>
        <v>484</v>
      </c>
      <c r="CB184" s="254">
        <f>IF(ISNUMBER(CB114),CB114+CB115+CB116+N(CB117),"")</f>
        <v>450</v>
      </c>
      <c r="CC184" s="254">
        <f>IF(ISNUMBER(CC114),CC114+CC115+CC116+N(CC117),"")</f>
        <v>450</v>
      </c>
      <c r="CD184" s="254">
        <f>IF(ISNUMBER(CD114),CD114+CD115+CD116+N(CD117),"")</f>
        <v>450</v>
      </c>
      <c r="CE184" s="254">
        <f>IF(ISNUMBER(CE114),CE114+CE115+CE116+N(CE117),"")</f>
        <v>450</v>
      </c>
      <c r="CF184" s="19" t="n"/>
    </row>
    <row r="185" ht="15" customHeight="1" s="251">
      <c r="B185" s="55" t="inlineStr">
        <is>
          <t xml:space="preserve">  = Adjusted EBITDA (model)</t>
        </is>
      </c>
      <c r="C185" s="273">
        <f>IF(ISNUMBER(C183),C183+C184,"")</f>
        <v>749.277</v>
      </c>
      <c r="D185" s="273">
        <f>IF(ISNUMBER(D183),D183+D184,"")</f>
        <v>1208.754</v>
      </c>
      <c r="E185" s="273">
        <f>IF(ISNUMBER(E183),E183+E184,"")</f>
        <v>2060.501</v>
      </c>
      <c r="F185" s="273">
        <f>IF(ISNUMBER(F183),F183+F184,"")</f>
        <v>2408.485</v>
      </c>
      <c r="G185" s="273">
        <f>IF(ISNUMBER(G183),G183+G184,"")</f>
        <v>2900</v>
      </c>
      <c r="H185" s="273">
        <f>IF(ISNUMBER(H183),H183+H184,"")</f>
        <v>3677</v>
      </c>
      <c r="I185" s="273">
        <f>IF(ISNUMBER(I183),I183+I184,"")</f>
        <v>4187</v>
      </c>
      <c r="J185" s="273">
        <f>IF(ISNUMBER(J183),J183+J184,"")</f>
        <v>1169</v>
      </c>
      <c r="K185" s="273">
        <f>IF(ISNUMBER(K183),K183+K184,"")</f>
        <v>1289</v>
      </c>
      <c r="L185" s="273">
        <f>IF(ISNUMBER(L183),L183+L184,"")</f>
        <v>1312</v>
      </c>
      <c r="M185" s="273">
        <f>IF(ISNUMBER(M183),M183+M184,"")</f>
        <v>1086</v>
      </c>
      <c r="N185" s="273">
        <f>IF(ISNUMBER(N183),N183+N184,"")</f>
        <v>4856</v>
      </c>
      <c r="O185" s="273">
        <f>IF(ISNUMBER(O183),O183+O184,"")</f>
        <v>1358</v>
      </c>
      <c r="P185" s="273">
        <f>IF(ISNUMBER(P183),P183+P184,"")</f>
        <v>1464</v>
      </c>
      <c r="Q185" s="273">
        <f>IF(ISNUMBER(Q183),Q183+Q184,"")</f>
        <v>1503</v>
      </c>
      <c r="R185" s="273">
        <f>IF(ISNUMBER(R183),R183+R184,"")</f>
        <v>1102</v>
      </c>
      <c r="S185" s="273">
        <f>IF(ISNUMBER(S183),S183+S184,"")</f>
        <v>5427</v>
      </c>
      <c r="T185" s="273">
        <f>IF(ISNUMBER(T183),T183+T184,"")</f>
        <v>1438</v>
      </c>
      <c r="U185" s="273">
        <f>IF(ISNUMBER(U183),U183+U184,"")</f>
        <v>1404</v>
      </c>
      <c r="V185" s="273">
        <f>IF(ISNUMBER(V183),V183+V184,"")</f>
        <v>1542</v>
      </c>
      <c r="W185" s="273">
        <f>IF(ISNUMBER(W183),W183+W184,"")</f>
        <v>1200</v>
      </c>
      <c r="X185" s="273">
        <f>IF(ISNUMBER(X183),X183+X184,"")</f>
        <v>5584</v>
      </c>
      <c r="Y185" s="273">
        <f>IF(ISNUMBER(Y183),Y183+Y184,"")</f>
        <v>1443</v>
      </c>
      <c r="Z185" s="273">
        <f>IF(ISNUMBER(Z183),Z183+Z184,"")</f>
        <v>1580</v>
      </c>
      <c r="AA185" s="273">
        <f>IF(ISNUMBER(AA183),AA183+AA184,"")</f>
        <v>1763</v>
      </c>
      <c r="AB185" s="273">
        <f>IF(ISNUMBER(AB183),AB183+AB184,"")</f>
        <v>1465</v>
      </c>
      <c r="AC185" s="273">
        <f>IF(ISNUMBER(AC183),AC183+AC184,"")</f>
        <v>6251</v>
      </c>
      <c r="AD185" s="273">
        <f>IF(ISNUMBER(AD183),AD183+AD184,"")</f>
        <v>1613</v>
      </c>
      <c r="AE185" s="273">
        <f>IF(ISNUMBER(AE183),AE183+AE184,"")</f>
        <v>1764</v>
      </c>
      <c r="AF185" s="273">
        <f>IF(ISNUMBER(AF183),AF183+AF184,"")</f>
        <v>2059</v>
      </c>
      <c r="AG185" s="273">
        <f>IF(ISNUMBER(AG183),AG183+AG184,"")</f>
        <v>1804</v>
      </c>
      <c r="AH185" s="273">
        <f>IF(ISNUMBER(AH183),AH183+AH184,"")</f>
        <v>7240</v>
      </c>
      <c r="AI185" s="273">
        <f>IF(ISNUMBER(AI183),AI183+AI184,"")</f>
        <v>2062</v>
      </c>
      <c r="AJ185" s="273">
        <f>IF(ISNUMBER(AJ183),AJ183+AJ184,"")</f>
        <v>2276</v>
      </c>
      <c r="AK185" s="273">
        <f>IF(ISNUMBER(AK183),AK183+AK184,"")</f>
        <v>2427</v>
      </c>
      <c r="AL185" s="273">
        <f>IF(ISNUMBER(AL183),AL183+AL184,"")</f>
        <v>2104</v>
      </c>
      <c r="AM185" s="273">
        <f>IF(ISNUMBER(AM183),AM183+AM184,"")</f>
        <v>8869</v>
      </c>
      <c r="AN185" s="273">
        <f>IF(ISNUMBER(AN183),AN183+AN184,"")</f>
        <v>2330</v>
      </c>
      <c r="AO185" s="273">
        <f>IF(ISNUMBER(AO183),AO183+AO184,"")</f>
        <v>2519</v>
      </c>
      <c r="AP185" s="273">
        <f>IF(ISNUMBER(AP183),AP183+AP184,"")</f>
        <v>2792</v>
      </c>
      <c r="AQ185" s="273">
        <f>IF(ISNUMBER(AQ183),AQ183+AQ184,"")</f>
        <v>2545</v>
      </c>
      <c r="AR185" s="273">
        <f>IF(ISNUMBER(AR183),AR183+AR184,"")</f>
        <v>10186</v>
      </c>
      <c r="AS185" s="273">
        <f>IF(ISNUMBER(AS183),AS183+AS184,"")</f>
        <v>2361</v>
      </c>
      <c r="AT185" s="273">
        <f>IF(ISNUMBER(AT183),AT183+AT184,"")</f>
        <v>1874</v>
      </c>
      <c r="AU185" s="273">
        <f>IF(ISNUMBER(AU183),AU183+AU184,"")</f>
        <v>2246</v>
      </c>
      <c r="AV185" s="273">
        <f>IF(ISNUMBER(AV183),AV183+AV184,"")</f>
        <v>2253</v>
      </c>
      <c r="AW185" s="273">
        <f>IF(ISNUMBER(AW183),AW183+AW184,"")</f>
        <v>8734</v>
      </c>
      <c r="AX185" s="273">
        <f>IF(ISNUMBER(AX183),AX183+AX184,"")</f>
        <v>2360</v>
      </c>
      <c r="AY185" s="273">
        <f>IF(ISNUMBER(AY183),AY183+AY184,"")</f>
        <v>2594</v>
      </c>
      <c r="AZ185" s="273">
        <f>IF(ISNUMBER(AZ183),AZ183+AZ184,"")</f>
        <v>3014</v>
      </c>
      <c r="BA185" s="273">
        <f>IF(ISNUMBER(BA183),BA183+BA184,"")</f>
        <v>3016</v>
      </c>
      <c r="BB185" s="273">
        <f>IF(ISNUMBER(BB183),BB183+BB184,"")</f>
        <v>10984</v>
      </c>
      <c r="BC185" s="273">
        <f>IF(ISNUMBER(BC183),BC183+BC184,"")</f>
        <v>3146</v>
      </c>
      <c r="BD185" s="273">
        <f>IF(ISNUMBER(BD183),BD183+BD184,"")</f>
        <v>3367</v>
      </c>
      <c r="BE185" s="273">
        <f>IF(ISNUMBER(BE183),BE183+BE184,"")</f>
        <v>3505</v>
      </c>
      <c r="BF185" s="273">
        <f>IF(ISNUMBER(BF183),BF183+BF184,"")</f>
        <v>3383</v>
      </c>
      <c r="BG185" s="273">
        <f>IF(ISNUMBER(BG183),BG183+BG184,"")</f>
        <v>13400</v>
      </c>
      <c r="BH185" s="273">
        <f>IF(ISNUMBER(BH183),BH183+BH184,"")</f>
        <v>3538</v>
      </c>
      <c r="BI185" s="273">
        <f>IF(ISNUMBER(BI183),BI183+BI184,"")</f>
        <v>3868</v>
      </c>
      <c r="BJ185" s="273">
        <f>IF(ISNUMBER(BJ183),BJ183+BJ184,"")</f>
        <v>4055</v>
      </c>
      <c r="BK185" s="273">
        <f>IF(ISNUMBER(BK183),BK183+BK184,"")</f>
        <v>3885</v>
      </c>
      <c r="BL185" s="273">
        <f>IF(ISNUMBER(BL183),BL183+BL184,"")</f>
        <v>15346</v>
      </c>
      <c r="BM185" s="273">
        <f>IF(ISNUMBER(BM183),BM183+BM184,"")</f>
        <v>3946</v>
      </c>
      <c r="BN185" s="273">
        <f>IF(ISNUMBER(BN183),BN183+BN184,"")</f>
        <v>4359</v>
      </c>
      <c r="BO185" s="273">
        <f>IF(ISNUMBER(BO183),BO183+BO184,"")</f>
        <v>4595</v>
      </c>
      <c r="BP185" s="273">
        <f>IF(ISNUMBER(BP183),BP183+BP184,"")</f>
        <v>4449</v>
      </c>
      <c r="BQ185" s="273">
        <f>IF(ISNUMBER(BQ183),BQ183+BQ184,"")</f>
        <v>17349</v>
      </c>
      <c r="BR185" s="273">
        <f>IF(ISNUMBER(BR183),BR183+BR184,"")</f>
        <v>4575</v>
      </c>
      <c r="BS185" s="273">
        <f>IF(ISNUMBER(BS183),BS183+BS184,"")</f>
        <v>5154</v>
      </c>
      <c r="BT185" s="273">
        <f>IF(ISNUMBER(BT183),BT183+BT184,"")</f>
        <v>5434</v>
      </c>
      <c r="BU185" s="273">
        <f>IF(ISNUMBER(BU183),BU183+BU184,"")</f>
        <v>5381</v>
      </c>
      <c r="BV185" s="273">
        <f>IF(ISNUMBER(BV183),BV183+BV184,"")</f>
        <v>20544</v>
      </c>
      <c r="BW185" s="273">
        <f>IF(ISNUMBER(BW183),BW183+BW184,"")</f>
        <v>5408</v>
      </c>
      <c r="BX185" s="273">
        <f>IF(ISNUMBER(BX183),BX183+BX184,"")</f>
        <v>5978</v>
      </c>
      <c r="BY185" s="273">
        <f>IF(ISNUMBER(BY183),BY183+BY184,"")</f>
        <v>6093.80564242909</v>
      </c>
      <c r="BZ185" s="273">
        <f>IF(ISNUMBER(BZ183),BZ183+BZ184,"")</f>
        <v>6066.12935757091</v>
      </c>
      <c r="CA185" s="273">
        <f>IF(ISNUMBER(CA183),CA183+CA184,"")</f>
        <v>23545.935</v>
      </c>
      <c r="CB185" s="273">
        <f>IF(ISNUMBER(CB183),CB183+CB184,"")</f>
        <v>26679.8459342987</v>
      </c>
      <c r="CC185" s="273">
        <f>IF(ISNUMBER(CC183),CC183+CC184,"")</f>
        <v>30045.8656497722</v>
      </c>
      <c r="CD185" s="273">
        <f>IF(ISNUMBER(CD183),CD183+CD184,"")</f>
        <v>33610.8931784535</v>
      </c>
      <c r="CE185" s="273">
        <f>IF(ISNUMBER(CE183),CE183+CE184,"")</f>
        <v>37351.9188722655</v>
      </c>
      <c r="CF185" s="153" t="inlineStr">
        <is>
          <t>Model definition (Mastercard publishes no EBITDA): adjusted operating income + D&amp;A. Used for leverage (net debt / adjusted EBITDA) and EV / EBITDA.</t>
        </is>
      </c>
      <c r="CH185" s="20">
        <f>IFERROR((CE185/BV185)^(1/5)-1,"n/m")</f>
        <v>0.127004323832197</v>
      </c>
      <c r="CI185" s="20">
        <f>IFERROR((BV185/AW185)^(1/5)-1,"n/m")</f>
        <v>0.186572731825772</v>
      </c>
      <c r="CJ185" s="20">
        <f>IFERROR((BV185/X185)^(1/10)-1,"n/m")</f>
        <v>0.139131757731698</v>
      </c>
      <c r="CK185" s="20">
        <f>IFERROR((BV185/C185)^(1/19)-1,"n/m")</f>
        <v>0.190382278714087</v>
      </c>
    </row>
    <row r="186" ht="15" customHeight="1" s="251">
      <c r="B186" s="25" t="inlineStr">
        <is>
          <t xml:space="preserve">  Adjusted EBITDA margin %</t>
        </is>
      </c>
      <c r="C186" s="215">
        <f>IF(AND(ISNUMBER(C185),ISNUMBER(C123)),IFERROR(C185/C123,""),"")</f>
        <v>0.225273701066182</v>
      </c>
      <c r="D186" s="215">
        <f>IF(AND(ISNUMBER(D185),ISNUMBER(D123)),IFERROR(D185/D123,""),"")</f>
        <v>0.297166461099042</v>
      </c>
      <c r="E186" s="215">
        <f>IF(AND(ISNUMBER(E185),ISNUMBER(E123)),IFERROR(E185/E123,""),"")</f>
        <v>0.41279369340492</v>
      </c>
      <c r="F186" s="215">
        <f>IF(AND(ISNUMBER(F185),ISNUMBER(F123)),IFERROR(F185/F123,""),"")</f>
        <v>0.472373851762533</v>
      </c>
      <c r="G186" s="215">
        <f>IF(AND(ISNUMBER(G185),ISNUMBER(G123)),IFERROR(G185/G123,""),"")</f>
        <v>0.523560209424084</v>
      </c>
      <c r="H186" s="215">
        <f>IF(AND(ISNUMBER(H185),ISNUMBER(H123)),IFERROR(H185/H123,""),"")</f>
        <v>0.547661602621388</v>
      </c>
      <c r="I186" s="215">
        <f>IF(AND(ISNUMBER(I185),ISNUMBER(I123)),IFERROR(I185/I123,""),"")</f>
        <v>0.566499797050467</v>
      </c>
      <c r="J186" s="215">
        <f>IF(AND(ISNUMBER(J185),ISNUMBER(J123)),IFERROR(J185/J123,""),"")</f>
        <v>0.613326337880378</v>
      </c>
      <c r="K186" s="215">
        <f>IF(AND(ISNUMBER(K185),ISNUMBER(K123)),IFERROR(K185/K123,""),"")</f>
        <v>0.614980916030534</v>
      </c>
      <c r="L186" s="215">
        <f>IF(AND(ISNUMBER(L185),ISNUMBER(L123)),IFERROR(L185/L123,""),"")</f>
        <v>0.591523895401262</v>
      </c>
      <c r="M186" s="215">
        <f>IF(AND(ISNUMBER(M185),ISNUMBER(M123)),IFERROR(M185/M123,""),"")</f>
        <v>0.510818438381938</v>
      </c>
      <c r="N186" s="215">
        <f>IF(AND(ISNUMBER(N185),ISNUMBER(N123)),IFERROR(N185/N123,""),"")</f>
        <v>0.581835609872993</v>
      </c>
      <c r="O186" s="215">
        <f>IF(AND(ISNUMBER(O185),ISNUMBER(O123)),IFERROR(O185/O123,""),"")</f>
        <v>0.62379421221865</v>
      </c>
      <c r="P186" s="215">
        <f>IF(AND(ISNUMBER(P185),ISNUMBER(P123)),IFERROR(P185/P123,""),"")</f>
        <v>0.615902397980648</v>
      </c>
      <c r="Q186" s="215">
        <f>IF(AND(ISNUMBER(Q185),ISNUMBER(Q123)),IFERROR(Q185/Q123,""),"")</f>
        <v>0.600479424690372</v>
      </c>
      <c r="R186" s="215">
        <f>IF(AND(ISNUMBER(R185),ISNUMBER(R123)),IFERROR(R185/R123,""),"")</f>
        <v>0.45612582781457</v>
      </c>
      <c r="S186" s="215">
        <f>IF(AND(ISNUMBER(S185),ISNUMBER(S123)),IFERROR(S185/S123,""),"")</f>
        <v>0.57289137548823</v>
      </c>
      <c r="T186" s="215">
        <f>IF(AND(ISNUMBER(T185),ISNUMBER(T123)),IFERROR(T185/T123,""),"")</f>
        <v>0.644843049327354</v>
      </c>
      <c r="U186" s="215">
        <f>IF(AND(ISNUMBER(U185),ISNUMBER(U123)),IFERROR(U185/U123,""),"")</f>
        <v>0.58744769874477</v>
      </c>
      <c r="V186" s="215">
        <f>IF(AND(ISNUMBER(V185),ISNUMBER(V123)),IFERROR(V185/V123,""),"")</f>
        <v>0.609486166007905</v>
      </c>
      <c r="W186" s="215">
        <f>IF(AND(ISNUMBER(W185),ISNUMBER(W123)),IFERROR(W185/W123,""),"")</f>
        <v>0.476758045292014</v>
      </c>
      <c r="X186" s="215">
        <f>IF(AND(ISNUMBER(X185),ISNUMBER(X123)),IFERROR(X185/X123,""),"")</f>
        <v>0.57763525395676</v>
      </c>
      <c r="Y186" s="215">
        <f>IF(AND(ISNUMBER(Y185),ISNUMBER(Y123)),IFERROR(Y185/Y123,""),"")</f>
        <v>0.58994276369583</v>
      </c>
      <c r="Z186" s="215">
        <f>IF(AND(ISNUMBER(Z185),ISNUMBER(Z123)),IFERROR(Z185/Z123,""),"")</f>
        <v>0.58648849294729</v>
      </c>
      <c r="AA186" s="215">
        <f>IF(AND(ISNUMBER(AA185),ISNUMBER(AA123)),IFERROR(AA185/AA123,""),"")</f>
        <v>0.612152777777778</v>
      </c>
      <c r="AB186" s="215">
        <f>IF(AND(ISNUMBER(AB185),ISNUMBER(AB123)),IFERROR(AB185/AB123,""),"")</f>
        <v>0.531567489114659</v>
      </c>
      <c r="AC186" s="215">
        <f>IF(AND(ISNUMBER(AC185),ISNUMBER(AC123)),IFERROR(AC185/AC123,""),"")</f>
        <v>0.580085374907201</v>
      </c>
      <c r="AD186" s="215">
        <f>IF(AND(ISNUMBER(AD185),ISNUMBER(AD123)),IFERROR(AD185/AD123,""),"")</f>
        <v>0.589978054133138</v>
      </c>
      <c r="AE186" s="215">
        <f>IF(AND(ISNUMBER(AE185),ISNUMBER(AE123)),IFERROR(AE185/AE123,""),"")</f>
        <v>0.577792335407796</v>
      </c>
      <c r="AF186" s="215">
        <f>IF(AND(ISNUMBER(AF185),ISNUMBER(AF123)),IFERROR(AF185/AF123,""),"")</f>
        <v>0.605944673337257</v>
      </c>
      <c r="AG186" s="215">
        <f>IF(AND(ISNUMBER(AG185),ISNUMBER(AG123)),IFERROR(AG185/AG123,""),"")</f>
        <v>0.544685990338164</v>
      </c>
      <c r="AH186" s="215">
        <f>IF(AND(ISNUMBER(AH185),ISNUMBER(AH123)),IFERROR(AH185/AH123,""),"")</f>
        <v>0.579339041369929</v>
      </c>
      <c r="AI186" s="215">
        <f>IF(AND(ISNUMBER(AI185),ISNUMBER(AI123)),IFERROR(AI185/AI123,""),"")</f>
        <v>0.575977653631285</v>
      </c>
      <c r="AJ186" s="215">
        <f>IF(AND(ISNUMBER(AJ185),ISNUMBER(AJ123)),IFERROR(AJ185/AJ123,""),"")</f>
        <v>0.621009549795362</v>
      </c>
      <c r="AK186" s="215">
        <f>IF(AND(ISNUMBER(AK185),ISNUMBER(AK123)),IFERROR(AK185/AK123,""),"")</f>
        <v>0.622626988199077</v>
      </c>
      <c r="AL186" s="215">
        <f>IF(AND(ISNUMBER(AL185),ISNUMBER(AL123)),IFERROR(AL185/AL123,""),"")</f>
        <v>0.552666141318624</v>
      </c>
      <c r="AM186" s="215">
        <f>IF(AND(ISNUMBER(AM185),ISNUMBER(AM123)),IFERROR(AM185/AM123,""),"")</f>
        <v>0.593244147157191</v>
      </c>
      <c r="AN186" s="215">
        <f>IF(AND(ISNUMBER(AN185),ISNUMBER(AN123)),IFERROR(AN185/AN123,""),"")</f>
        <v>0.599125739264592</v>
      </c>
      <c r="AO186" s="215">
        <f>IF(AND(ISNUMBER(AO185),ISNUMBER(AO123)),IFERROR(AO185/AO123,""),"")</f>
        <v>0.612448334548991</v>
      </c>
      <c r="AP186" s="215">
        <f>IF(AND(ISNUMBER(AP185),ISNUMBER(AP123)),IFERROR(AP185/AP123,""),"")</f>
        <v>0.625027982986344</v>
      </c>
      <c r="AQ186" s="215">
        <f>IF(AND(ISNUMBER(AQ185),ISNUMBER(AQ123)),IFERROR(AQ185/AQ123,""),"")</f>
        <v>0.576574535568645</v>
      </c>
      <c r="AR186" s="215">
        <f>IF(AND(ISNUMBER(AR185),ISNUMBER(AR123)),IFERROR(AR185/AR123,""),"")</f>
        <v>0.603328792276254</v>
      </c>
      <c r="AS186" s="215">
        <f>IF(AND(ISNUMBER(AS185),ISNUMBER(AS123)),IFERROR(AS185/AS123,""),"")</f>
        <v>0.588924918932402</v>
      </c>
      <c r="AT186" s="215">
        <f>IF(AND(ISNUMBER(AT185),ISNUMBER(AT123)),IFERROR(AT185/AT123,""),"")</f>
        <v>0.56191904047976</v>
      </c>
      <c r="AU186" s="215">
        <f>IF(AND(ISNUMBER(AU185),ISNUMBER(AU123)),IFERROR(AU185/AU123,""),"")</f>
        <v>0.585353140474329</v>
      </c>
      <c r="AV186" s="215">
        <f>IF(AND(ISNUMBER(AV185),ISNUMBER(AV123)),IFERROR(AV185/AV123,""),"")</f>
        <v>0.546844660194175</v>
      </c>
      <c r="AW186" s="215">
        <f>IF(AND(ISNUMBER(AW185),ISNUMBER(AW123)),IFERROR(AW185/AW123,""),"")</f>
        <v>0.570812365204889</v>
      </c>
      <c r="AX186" s="215">
        <f>IF(AND(ISNUMBER(AX185),ISNUMBER(AX123)),IFERROR(AX185/AX123,""),"")</f>
        <v>0.567990373044525</v>
      </c>
      <c r="AY186" s="215">
        <f>IF(AND(ISNUMBER(AY185),ISNUMBER(AY123)),IFERROR(AY185/AY123,""),"")</f>
        <v>0.572879858657244</v>
      </c>
      <c r="AZ186" s="215">
        <f>IF(AND(ISNUMBER(AZ185),ISNUMBER(AZ123)),IFERROR(AZ185/AZ123,""),"")</f>
        <v>0.604613841524574</v>
      </c>
      <c r="BA186" s="215">
        <f>IF(AND(ISNUMBER(BA185),ISNUMBER(BA123)),IFERROR(BA185/BA123,""),"")</f>
        <v>0.578220858895706</v>
      </c>
      <c r="BB186" s="215">
        <f>IF(AND(ISNUMBER(BB185),ISNUMBER(BB123)),IFERROR(BB185/BB123,""),"")</f>
        <v>0.581656428722728</v>
      </c>
      <c r="BC186" s="215">
        <f>IF(AND(ISNUMBER(BC185),ISNUMBER(BC123)),IFERROR(BC185/BC123,""),"")</f>
        <v>0.608863944261661</v>
      </c>
      <c r="BD186" s="215">
        <f>IF(AND(ISNUMBER(BD185),ISNUMBER(BD123)),IFERROR(BD185/BD123,""),"")</f>
        <v>0.612515917773331</v>
      </c>
      <c r="BE186" s="215">
        <f>IF(AND(ISNUMBER(BE185),ISNUMBER(BE123)),IFERROR(BE185/BE123,""),"")</f>
        <v>0.608929812369701</v>
      </c>
      <c r="BF186" s="215">
        <f>IF(AND(ISNUMBER(BF185),ISNUMBER(BF123)),IFERROR(BF185/BF123,""),"")</f>
        <v>0.581571256661509</v>
      </c>
      <c r="BG186" s="215">
        <f>IF(AND(ISNUMBER(BG185),ISNUMBER(BG123)),IFERROR(BG185/BG123,""),"")</f>
        <v>0.602599271484463</v>
      </c>
      <c r="BH186" s="215">
        <f>IF(AND(ISNUMBER(BH185),ISNUMBER(BH123)),IFERROR(BH185/BH123,""),"")</f>
        <v>0.615518441196938</v>
      </c>
      <c r="BI186" s="215">
        <f>IF(AND(ISNUMBER(BI185),ISNUMBER(BI123)),IFERROR(BI185/BI123,""),"")</f>
        <v>0.617004306907003</v>
      </c>
      <c r="BJ186" s="215">
        <f>IF(AND(ISNUMBER(BJ185),ISNUMBER(BJ123)),IFERROR(BJ185/BJ123,""),"")</f>
        <v>0.62069493341497</v>
      </c>
      <c r="BK186" s="215">
        <f>IF(AND(ISNUMBER(BK185),ISNUMBER(BK123)),IFERROR(BK185/BK123,""),"")</f>
        <v>0.59331093463653</v>
      </c>
      <c r="BL186" s="215">
        <f>IF(AND(ISNUMBER(BL185),ISNUMBER(BL123)),IFERROR(BL185/BL123,""),"")</f>
        <v>0.611443142879911</v>
      </c>
      <c r="BM186" s="215">
        <f>IF(AND(ISNUMBER(BM185),ISNUMBER(BM123)),IFERROR(BM185/BM123,""),"")</f>
        <v>0.621613106490233</v>
      </c>
      <c r="BN186" s="215">
        <f>IF(AND(ISNUMBER(BN185),ISNUMBER(BN123)),IFERROR(BN185/BN123,""),"")</f>
        <v>0.626203131733946</v>
      </c>
      <c r="BO186" s="215">
        <f>IF(AND(ISNUMBER(BO185),ISNUMBER(BO123)),IFERROR(BO185/BO123,""),"")</f>
        <v>0.623558149002578</v>
      </c>
      <c r="BP186" s="215">
        <f>IF(AND(ISNUMBER(BP185),ISNUMBER(BP123)),IFERROR(BP185/BP123,""),"")</f>
        <v>0.594071304580051</v>
      </c>
      <c r="BQ186" s="215">
        <f>IF(AND(ISNUMBER(BQ185),ISNUMBER(BQ123)),IFERROR(BQ185/BQ123,""),"")</f>
        <v>0.615933539248056</v>
      </c>
      <c r="BR186" s="215">
        <f>IF(AND(ISNUMBER(BR185),ISNUMBER(BR123)),IFERROR(BR185/BR123,""),"")</f>
        <v>0.631034482758621</v>
      </c>
      <c r="BS186" s="215">
        <f>IF(AND(ISNUMBER(BS185),ISNUMBER(BS123)),IFERROR(BS185/BS123,""),"")</f>
        <v>0.633714496495758</v>
      </c>
      <c r="BT186" s="215">
        <f>IF(AND(ISNUMBER(BT185),ISNUMBER(BT123)),IFERROR(BT185/BT123,""),"")</f>
        <v>0.631713554987212</v>
      </c>
      <c r="BU186" s="215">
        <f>IF(AND(ISNUMBER(BU185),ISNUMBER(BU123)),IFERROR(BU185/BU123,""),"")</f>
        <v>0.611060640472405</v>
      </c>
      <c r="BV186" s="215">
        <f>IF(AND(ISNUMBER(BV185),ISNUMBER(BV123)),IFERROR(BV185/BV123,""),"")</f>
        <v>0.626513372571742</v>
      </c>
      <c r="BW186" s="215">
        <f>IF(AND(ISNUMBER(BW185),ISNUMBER(BW123)),IFERROR(BW185/BW123,""),"")</f>
        <v>0.643962848297214</v>
      </c>
      <c r="BX186" s="215">
        <f>IF(AND(ISNUMBER(BX185),ISNUMBER(BX123)),IFERROR(BX185/BX123,""),"")</f>
        <v>0.64438935000539</v>
      </c>
      <c r="BY186" s="256">
        <f>IF(AND(ISNUMBER(BY185),ISNUMBER(BY123)),IFERROR(BY185/BY123,""),"")</f>
        <v>0.632298114170801</v>
      </c>
      <c r="BZ186" s="256">
        <f>IF(AND(ISNUMBER(BZ185),ISNUMBER(BZ123)),IFERROR(BZ185/BZ123,""),"")</f>
        <v>0.61241659383476</v>
      </c>
      <c r="CA186" s="256">
        <f>IF(AND(ISNUMBER(CA185),ISNUMBER(CA123)),IFERROR(CA185/CA123,""),"")</f>
        <v>0.632652776085412</v>
      </c>
      <c r="CB186" s="256">
        <f>IF(AND(ISNUMBER(CB185),ISNUMBER(CB123)),IFERROR(CB185/CB123,""),"")</f>
        <v>0.63789210969965</v>
      </c>
      <c r="CC186" s="256">
        <f>IF(AND(ISNUMBER(CC185),ISNUMBER(CC123)),IFERROR(CC185/CC123,""),"")</f>
        <v>0.642221869560483</v>
      </c>
      <c r="CD186" s="256">
        <f>IF(AND(ISNUMBER(CD185),ISNUMBER(CD123)),IFERROR(CD185/CD123,""),"")</f>
        <v>0.646505066493559</v>
      </c>
      <c r="CE186" s="256">
        <f>IF(AND(ISNUMBER(CE185),ISNUMBER(CE123)),IFERROR(CE185/CE123,""),"")</f>
        <v>0.650741864598093</v>
      </c>
      <c r="CF186" s="153" t="n"/>
      <c r="CH186" s="37">
        <f>IFERROR(AVERAGE(CA186,CB186,CC186,CD186,CE186),"n/m")</f>
        <v>0.642002737287439</v>
      </c>
      <c r="CI186" s="37">
        <f>IFERROR(AVERAGE(BB186,BG186,BL186,BQ186,BV186),"n/m")</f>
        <v>0.60762915098138</v>
      </c>
      <c r="CJ186" s="37">
        <f>IFERROR(AVERAGE(AC186,AH186,AM186,AR186,AW186,BB186,BG186,BL186,BQ186,BV186),"n/m")</f>
        <v>0.596495547582236</v>
      </c>
      <c r="CK186" s="37">
        <f>IFERROR(AVERAGE(C186,D186,E186,F186,G186,H186,I186,N186,S186,X186,AC186,AH186,AM186,AR186,AW186,BB186,BG186,BL186,BQ186,BV186),"n/m")</f>
        <v>0.537132351578448</v>
      </c>
    </row>
    <row r="187" ht="15" customHeight="1" s="251">
      <c r="B187" s="57" t="inlineStr">
        <is>
          <t xml:space="preserve">  Check: adjusted EBITDA − D&amp;A vs adjusted operating income (should be 0)</t>
        </is>
      </c>
      <c r="C187" s="211">
        <f>IF(AND(ISNUMBER(C185),ISNUMBER(C170)),IF(ABS(C185-C182-C170)&lt;=1.1,0,ROUND(C185-C182-C170,0)),"")</f>
        <v>0</v>
      </c>
      <c r="D187" s="211">
        <f>IF(AND(ISNUMBER(D185),ISNUMBER(D170)),IF(ABS(D185-D182-D170)&lt;=1.1,0,ROUND(D185-D182-D170,0)),"")</f>
        <v>0</v>
      </c>
      <c r="E187" s="211">
        <f>IF(AND(ISNUMBER(E185),ISNUMBER(E170)),IF(ABS(E185-E182-E170)&lt;=1.1,0,ROUND(E185-E182-E170,0)),"")</f>
        <v>0</v>
      </c>
      <c r="F187" s="211">
        <f>IF(AND(ISNUMBER(F185),ISNUMBER(F170)),IF(ABS(F185-F182-F170)&lt;=1.1,0,ROUND(F185-F182-F170,0)),"")</f>
        <v>0</v>
      </c>
      <c r="G187" s="211">
        <f>IF(AND(ISNUMBER(G185),ISNUMBER(G170)),IF(ABS(G185-G182-G170)&lt;=1.1,0,ROUND(G185-G182-G170,0)),"")</f>
        <v>0</v>
      </c>
      <c r="H187" s="211">
        <f>IF(AND(ISNUMBER(H185),ISNUMBER(H170)),IF(ABS(H185-H182-H170)&lt;=1.1,0,ROUND(H185-H182-H170,0)),"")</f>
        <v>0</v>
      </c>
      <c r="I187" s="211">
        <f>IF(AND(ISNUMBER(I185),ISNUMBER(I170)),IF(ABS(I185-I182-I170)&lt;=1.1,0,ROUND(I185-I182-I170,0)),"")</f>
        <v>0</v>
      </c>
      <c r="J187" s="211">
        <f>IF(AND(ISNUMBER(J185),ISNUMBER(J170)),IF(ABS(J185-J182-J170)&lt;=1.1,0,ROUND(J185-J182-J170,0)),"")</f>
        <v>0</v>
      </c>
      <c r="K187" s="211">
        <f>IF(AND(ISNUMBER(K185),ISNUMBER(K170)),IF(ABS(K185-K182-K170)&lt;=1.1,0,ROUND(K185-K182-K170,0)),"")</f>
        <v>0</v>
      </c>
      <c r="L187" s="211">
        <f>IF(AND(ISNUMBER(L185),ISNUMBER(L170)),IF(ABS(L185-L182-L170)&lt;=1.1,0,ROUND(L185-L182-L170,0)),"")</f>
        <v>0</v>
      </c>
      <c r="M187" s="211">
        <f>IF(AND(ISNUMBER(M185),ISNUMBER(M170)),IF(ABS(M185-M182-M170)&lt;=1.1,0,ROUND(M185-M182-M170,0)),"")</f>
        <v>0</v>
      </c>
      <c r="N187" s="211">
        <f>IF(AND(ISNUMBER(N185),ISNUMBER(N170)),IF(ABS(N185-N182-N170)&lt;=1.1,0,ROUND(N185-N182-N170,0)),"")</f>
        <v>0</v>
      </c>
      <c r="O187" s="211">
        <f>IF(AND(ISNUMBER(O185),ISNUMBER(O170)),IF(ABS(O185-O182-O170)&lt;=1.1,0,ROUND(O185-O182-O170,0)),"")</f>
        <v>0</v>
      </c>
      <c r="P187" s="211">
        <f>IF(AND(ISNUMBER(P185),ISNUMBER(P170)),IF(ABS(P185-P182-P170)&lt;=1.1,0,ROUND(P185-P182-P170,0)),"")</f>
        <v>0</v>
      </c>
      <c r="Q187" s="211">
        <f>IF(AND(ISNUMBER(Q185),ISNUMBER(Q170)),IF(ABS(Q185-Q182-Q170)&lt;=1.1,0,ROUND(Q185-Q182-Q170,0)),"")</f>
        <v>0</v>
      </c>
      <c r="R187" s="211">
        <f>IF(AND(ISNUMBER(R185),ISNUMBER(R170)),IF(ABS(R185-R182-R170)&lt;=1.1,0,ROUND(R185-R182-R170,0)),"")</f>
        <v>0</v>
      </c>
      <c r="S187" s="211">
        <f>IF(AND(ISNUMBER(S185),ISNUMBER(S170)),IF(ABS(S185-S182-S170)&lt;=1.1,0,ROUND(S185-S182-S170,0)),"")</f>
        <v>0</v>
      </c>
      <c r="T187" s="211">
        <f>IF(AND(ISNUMBER(T185),ISNUMBER(T170)),IF(ABS(T185-T182-T170)&lt;=1.1,0,ROUND(T185-T182-T170,0)),"")</f>
        <v>0</v>
      </c>
      <c r="U187" s="211">
        <f>IF(AND(ISNUMBER(U185),ISNUMBER(U170)),IF(ABS(U185-U182-U170)&lt;=1.1,0,ROUND(U185-U182-U170,0)),"")</f>
        <v>0</v>
      </c>
      <c r="V187" s="211">
        <f>IF(AND(ISNUMBER(V185),ISNUMBER(V170)),IF(ABS(V185-V182-V170)&lt;=1.1,0,ROUND(V185-V182-V170,0)),"")</f>
        <v>0</v>
      </c>
      <c r="W187" s="211">
        <f>IF(AND(ISNUMBER(W185),ISNUMBER(W170)),IF(ABS(W185-W182-W170)&lt;=1.1,0,ROUND(W185-W182-W170,0)),"")</f>
        <v>0</v>
      </c>
      <c r="X187" s="211">
        <f>IF(AND(ISNUMBER(X185),ISNUMBER(X170)),IF(ABS(X185-X182-X170)&lt;=1.1,0,ROUND(X185-X182-X170,0)),"")</f>
        <v>0</v>
      </c>
      <c r="Y187" s="211">
        <f>IF(AND(ISNUMBER(Y185),ISNUMBER(Y170)),IF(ABS(Y185-Y182-Y170)&lt;=1.1,0,ROUND(Y185-Y182-Y170,0)),"")</f>
        <v>0</v>
      </c>
      <c r="Z187" s="211">
        <f>IF(AND(ISNUMBER(Z185),ISNUMBER(Z170)),IF(ABS(Z185-Z182-Z170)&lt;=1.1,0,ROUND(Z185-Z182-Z170,0)),"")</f>
        <v>0</v>
      </c>
      <c r="AA187" s="211">
        <f>IF(AND(ISNUMBER(AA185),ISNUMBER(AA170)),IF(ABS(AA185-AA182-AA170)&lt;=1.1,0,ROUND(AA185-AA182-AA170,0)),"")</f>
        <v>0</v>
      </c>
      <c r="AB187" s="211">
        <f>IF(AND(ISNUMBER(AB185),ISNUMBER(AB170)),IF(ABS(AB185-AB182-AB170)&lt;=1.1,0,ROUND(AB185-AB182-AB170,0)),"")</f>
        <v>0</v>
      </c>
      <c r="AC187" s="211">
        <f>IF(AND(ISNUMBER(AC185),ISNUMBER(AC170)),IF(ABS(AC185-AC182-AC170)&lt;=1.1,0,ROUND(AC185-AC182-AC170,0)),"")</f>
        <v>0</v>
      </c>
      <c r="AD187" s="211">
        <f>IF(AND(ISNUMBER(AD185),ISNUMBER(AD170)),IF(ABS(AD185-AD182-AD170)&lt;=1.1,0,ROUND(AD185-AD182-AD170,0)),"")</f>
        <v>0</v>
      </c>
      <c r="AE187" s="211">
        <f>IF(AND(ISNUMBER(AE185),ISNUMBER(AE170)),IF(ABS(AE185-AE182-AE170)&lt;=1.1,0,ROUND(AE185-AE182-AE170,0)),"")</f>
        <v>0</v>
      </c>
      <c r="AF187" s="211">
        <f>IF(AND(ISNUMBER(AF185),ISNUMBER(AF170)),IF(ABS(AF185-AF182-AF170)&lt;=1.1,0,ROUND(AF185-AF182-AF170,0)),"")</f>
        <v>0</v>
      </c>
      <c r="AG187" s="211">
        <f>IF(AND(ISNUMBER(AG185),ISNUMBER(AG170)),IF(ABS(AG185-AG182-AG170)&lt;=1.1,0,ROUND(AG185-AG182-AG170,0)),"")</f>
        <v>0</v>
      </c>
      <c r="AH187" s="211">
        <f>IF(AND(ISNUMBER(AH185),ISNUMBER(AH170)),IF(ABS(AH185-AH182-AH170)&lt;=1.1,0,ROUND(AH185-AH182-AH170,0)),"")</f>
        <v>0</v>
      </c>
      <c r="AI187" s="211">
        <f>IF(AND(ISNUMBER(AI185),ISNUMBER(AI170)),IF(ABS(AI185-AI182-AI170)&lt;=1.1,0,ROUND(AI185-AI182-AI170,0)),"")</f>
        <v>0</v>
      </c>
      <c r="AJ187" s="211">
        <f>IF(AND(ISNUMBER(AJ185),ISNUMBER(AJ170)),IF(ABS(AJ185-AJ182-AJ170)&lt;=1.1,0,ROUND(AJ185-AJ182-AJ170,0)),"")</f>
        <v>0</v>
      </c>
      <c r="AK187" s="211">
        <f>IF(AND(ISNUMBER(AK185),ISNUMBER(AK170)),IF(ABS(AK185-AK182-AK170)&lt;=1.1,0,ROUND(AK185-AK182-AK170,0)),"")</f>
        <v>0</v>
      </c>
      <c r="AL187" s="211">
        <f>IF(AND(ISNUMBER(AL185),ISNUMBER(AL170)),IF(ABS(AL185-AL182-AL170)&lt;=1.1,0,ROUND(AL185-AL182-AL170,0)),"")</f>
        <v>0</v>
      </c>
      <c r="AM187" s="211">
        <f>IF(AND(ISNUMBER(AM185),ISNUMBER(AM170)),IF(ABS(AM185-AM182-AM170)&lt;=1.1,0,ROUND(AM185-AM182-AM170,0)),"")</f>
        <v>0</v>
      </c>
      <c r="AN187" s="211">
        <f>IF(AND(ISNUMBER(AN185),ISNUMBER(AN170)),IF(ABS(AN185-AN182-AN170)&lt;=1.1,0,ROUND(AN185-AN182-AN170,0)),"")</f>
        <v>0</v>
      </c>
      <c r="AO187" s="211">
        <f>IF(AND(ISNUMBER(AO185),ISNUMBER(AO170)),IF(ABS(AO185-AO182-AO170)&lt;=1.1,0,ROUND(AO185-AO182-AO170,0)),"")</f>
        <v>0</v>
      </c>
      <c r="AP187" s="211">
        <f>IF(AND(ISNUMBER(AP185),ISNUMBER(AP170)),IF(ABS(AP185-AP182-AP170)&lt;=1.1,0,ROUND(AP185-AP182-AP170,0)),"")</f>
        <v>0</v>
      </c>
      <c r="AQ187" s="211">
        <f>IF(AND(ISNUMBER(AQ185),ISNUMBER(AQ170)),IF(ABS(AQ185-AQ182-AQ170)&lt;=1.1,0,ROUND(AQ185-AQ182-AQ170,0)),"")</f>
        <v>0</v>
      </c>
      <c r="AR187" s="211">
        <f>IF(AND(ISNUMBER(AR185),ISNUMBER(AR170)),IF(ABS(AR185-AR182-AR170)&lt;=1.1,0,ROUND(AR185-AR182-AR170,0)),"")</f>
        <v>0</v>
      </c>
      <c r="AS187" s="211">
        <f>IF(AND(ISNUMBER(AS185),ISNUMBER(AS170)),IF(ABS(AS185-AS182-AS170)&lt;=1.1,0,ROUND(AS185-AS182-AS170,0)),"")</f>
        <v>0</v>
      </c>
      <c r="AT187" s="211">
        <f>IF(AND(ISNUMBER(AT185),ISNUMBER(AT170)),IF(ABS(AT185-AT182-AT170)&lt;=1.1,0,ROUND(AT185-AT182-AT170,0)),"")</f>
        <v>0</v>
      </c>
      <c r="AU187" s="211">
        <f>IF(AND(ISNUMBER(AU185),ISNUMBER(AU170)),IF(ABS(AU185-AU182-AU170)&lt;=1.1,0,ROUND(AU185-AU182-AU170,0)),"")</f>
        <v>0</v>
      </c>
      <c r="AV187" s="211">
        <f>IF(AND(ISNUMBER(AV185),ISNUMBER(AV170)),IF(ABS(AV185-AV182-AV170)&lt;=1.1,0,ROUND(AV185-AV182-AV170,0)),"")</f>
        <v>0</v>
      </c>
      <c r="AW187" s="211">
        <f>IF(AND(ISNUMBER(AW185),ISNUMBER(AW170)),IF(ABS(AW185-AW182-AW170)&lt;=1.1,0,ROUND(AW185-AW182-AW170,0)),"")</f>
        <v>0</v>
      </c>
      <c r="AX187" s="211">
        <f>IF(AND(ISNUMBER(AX185),ISNUMBER(AX170)),IF(ABS(AX185-AX182-AX170)&lt;=1.1,0,ROUND(AX185-AX182-AX170,0)),"")</f>
        <v>0</v>
      </c>
      <c r="AY187" s="211">
        <f>IF(AND(ISNUMBER(AY185),ISNUMBER(AY170)),IF(ABS(AY185-AY182-AY170)&lt;=1.1,0,ROUND(AY185-AY182-AY170,0)),"")</f>
        <v>0</v>
      </c>
      <c r="AZ187" s="211">
        <f>IF(AND(ISNUMBER(AZ185),ISNUMBER(AZ170)),IF(ABS(AZ185-AZ182-AZ170)&lt;=1.1,0,ROUND(AZ185-AZ182-AZ170,0)),"")</f>
        <v>0</v>
      </c>
      <c r="BA187" s="211">
        <f>IF(AND(ISNUMBER(BA185),ISNUMBER(BA170)),IF(ABS(BA185-BA182-BA170)&lt;=1.1,0,ROUND(BA185-BA182-BA170,0)),"")</f>
        <v>0</v>
      </c>
      <c r="BB187" s="211">
        <f>IF(AND(ISNUMBER(BB185),ISNUMBER(BB170)),IF(ABS(BB185-BB182-BB170)&lt;=1.1,0,ROUND(BB185-BB182-BB170,0)),"")</f>
        <v>0</v>
      </c>
      <c r="BC187" s="211">
        <f>IF(AND(ISNUMBER(BC185),ISNUMBER(BC170)),IF(ABS(BC185-BC182-BC170)&lt;=1.1,0,ROUND(BC185-BC182-BC170,0)),"")</f>
        <v>0</v>
      </c>
      <c r="BD187" s="211">
        <f>IF(AND(ISNUMBER(BD185),ISNUMBER(BD170)),IF(ABS(BD185-BD182-BD170)&lt;=1.1,0,ROUND(BD185-BD182-BD170,0)),"")</f>
        <v>0</v>
      </c>
      <c r="BE187" s="211">
        <f>IF(AND(ISNUMBER(BE185),ISNUMBER(BE170)),IF(ABS(BE185-BE182-BE170)&lt;=1.1,0,ROUND(BE185-BE182-BE170,0)),"")</f>
        <v>0</v>
      </c>
      <c r="BF187" s="211">
        <f>IF(AND(ISNUMBER(BF185),ISNUMBER(BF170)),IF(ABS(BF185-BF182-BF170)&lt;=1.1,0,ROUND(BF185-BF182-BF170,0)),"")</f>
        <v>0</v>
      </c>
      <c r="BG187" s="211">
        <f>IF(AND(ISNUMBER(BG185),ISNUMBER(BG170)),IF(ABS(BG185-BG182-BG170)&lt;=1.1,0,ROUND(BG185-BG182-BG170,0)),"")</f>
        <v>0</v>
      </c>
      <c r="BH187" s="211">
        <f>IF(AND(ISNUMBER(BH185),ISNUMBER(BH170)),IF(ABS(BH185-BH182-BH170)&lt;=1.1,0,ROUND(BH185-BH182-BH170,0)),"")</f>
        <v>0</v>
      </c>
      <c r="BI187" s="211">
        <f>IF(AND(ISNUMBER(BI185),ISNUMBER(BI170)),IF(ABS(BI185-BI182-BI170)&lt;=1.1,0,ROUND(BI185-BI182-BI170,0)),"")</f>
        <v>0</v>
      </c>
      <c r="BJ187" s="211">
        <f>IF(AND(ISNUMBER(BJ185),ISNUMBER(BJ170)),IF(ABS(BJ185-BJ182-BJ170)&lt;=1.1,0,ROUND(BJ185-BJ182-BJ170,0)),"")</f>
        <v>0</v>
      </c>
      <c r="BK187" s="211">
        <f>IF(AND(ISNUMBER(BK185),ISNUMBER(BK170)),IF(ABS(BK185-BK182-BK170)&lt;=1.1,0,ROUND(BK185-BK182-BK170,0)),"")</f>
        <v>0</v>
      </c>
      <c r="BL187" s="211">
        <f>IF(AND(ISNUMBER(BL185),ISNUMBER(BL170)),IF(ABS(BL185-BL182-BL170)&lt;=1.1,0,ROUND(BL185-BL182-BL170,0)),"")</f>
        <v>0</v>
      </c>
      <c r="BM187" s="211">
        <f>IF(AND(ISNUMBER(BM185),ISNUMBER(BM170)),IF(ABS(BM185-BM182-BM170)&lt;=1.1,0,ROUND(BM185-BM182-BM170,0)),"")</f>
        <v>0</v>
      </c>
      <c r="BN187" s="211">
        <f>IF(AND(ISNUMBER(BN185),ISNUMBER(BN170)),IF(ABS(BN185-BN182-BN170)&lt;=1.1,0,ROUND(BN185-BN182-BN170,0)),"")</f>
        <v>0</v>
      </c>
      <c r="BO187" s="211">
        <f>IF(AND(ISNUMBER(BO185),ISNUMBER(BO170)),IF(ABS(BO185-BO182-BO170)&lt;=1.1,0,ROUND(BO185-BO182-BO170,0)),"")</f>
        <v>0</v>
      </c>
      <c r="BP187" s="211">
        <f>IF(AND(ISNUMBER(BP185),ISNUMBER(BP170)),IF(ABS(BP185-BP182-BP170)&lt;=1.1,0,ROUND(BP185-BP182-BP170,0)),"")</f>
        <v>0</v>
      </c>
      <c r="BQ187" s="211">
        <f>IF(AND(ISNUMBER(BQ185),ISNUMBER(BQ170)),IF(ABS(BQ185-BQ182-BQ170)&lt;=1.1,0,ROUND(BQ185-BQ182-BQ170,0)),"")</f>
        <v>0</v>
      </c>
      <c r="BR187" s="211">
        <f>IF(AND(ISNUMBER(BR185),ISNUMBER(BR170)),IF(ABS(BR185-BR182-BR170)&lt;=1.1,0,ROUND(BR185-BR182-BR170,0)),"")</f>
        <v>0</v>
      </c>
      <c r="BS187" s="211">
        <f>IF(AND(ISNUMBER(BS185),ISNUMBER(BS170)),IF(ABS(BS185-BS182-BS170)&lt;=1.1,0,ROUND(BS185-BS182-BS170,0)),"")</f>
        <v>0</v>
      </c>
      <c r="BT187" s="211">
        <f>IF(AND(ISNUMBER(BT185),ISNUMBER(BT170)),IF(ABS(BT185-BT182-BT170)&lt;=1.1,0,ROUND(BT185-BT182-BT170,0)),"")</f>
        <v>0</v>
      </c>
      <c r="BU187" s="211">
        <f>IF(AND(ISNUMBER(BU185),ISNUMBER(BU170)),IF(ABS(BU185-BU182-BU170)&lt;=1.1,0,ROUND(BU185-BU182-BU170,0)),"")</f>
        <v>0</v>
      </c>
      <c r="BV187" s="211">
        <f>IF(AND(ISNUMBER(BV185),ISNUMBER(BV170)),IF(ABS(BV185-BV182-BV170)&lt;=1.1,0,ROUND(BV185-BV182-BV170,0)),"")</f>
        <v>0</v>
      </c>
      <c r="BW187" s="211">
        <f>IF(AND(ISNUMBER(BW185),ISNUMBER(BW170)),IF(ABS(BW185-BW182-BW170)&lt;=1.1,0,ROUND(BW185-BW182-BW170,0)),"")</f>
        <v>0</v>
      </c>
      <c r="BX187" s="211">
        <f>IF(AND(ISNUMBER(BX185),ISNUMBER(BX170)),IF(ABS(BX185-BX182-BX170)&lt;=1.1,0,ROUND(BX185-BX182-BX170,0)),"")</f>
        <v>0</v>
      </c>
      <c r="BY187" s="274">
        <f>IF(AND(ISNUMBER(BY185),ISNUMBER(BY170)),IF(ABS(BY185-BY182-BY170)&lt;=1.1,0,ROUND(BY185-BY182-BY170,0)),"")</f>
        <v>0</v>
      </c>
      <c r="BZ187" s="274">
        <f>IF(AND(ISNUMBER(BZ185),ISNUMBER(BZ170)),IF(ABS(BZ185-BZ182-BZ170)&lt;=1.1,0,ROUND(BZ185-BZ182-BZ170,0)),"")</f>
        <v>0</v>
      </c>
      <c r="CA187" s="274">
        <f>IF(AND(ISNUMBER(CA185),ISNUMBER(CA170)),IF(ABS(CA185-CA182-CA170)&lt;=1.1,0,ROUND(CA185-CA182-CA170,0)),"")</f>
        <v>0</v>
      </c>
      <c r="CB187" s="274">
        <f>IF(AND(ISNUMBER(CB185),ISNUMBER(CB170)),IF(ABS(CB185-CB182-CB170)&lt;=1.1,0,ROUND(CB185-CB182-CB170,0)),"")</f>
        <v>0</v>
      </c>
      <c r="CC187" s="274">
        <f>IF(AND(ISNUMBER(CC185),ISNUMBER(CC170)),IF(ABS(CC185-CC182-CC170)&lt;=1.1,0,ROUND(CC185-CC182-CC170,0)),"")</f>
        <v>0</v>
      </c>
      <c r="CD187" s="274">
        <f>IF(AND(ISNUMBER(CD185),ISNUMBER(CD170)),IF(ABS(CD185-CD182-CD170)&lt;=1.1,0,ROUND(CD185-CD182-CD170,0)),"")</f>
        <v>0</v>
      </c>
      <c r="CE187" s="274">
        <f>IF(AND(ISNUMBER(CE185),ISNUMBER(CE170)),IF(ABS(CE185-CE182-CE170)&lt;=1.1,0,ROUND(CE185-CE182-CE170,0)),"")</f>
        <v>0</v>
      </c>
      <c r="CF187" s="153" t="n"/>
    </row>
    <row r="188" ht="15" customHeight="1" s="251">
      <c r="B188" s="25" t="inlineStr">
        <is>
          <t>To adjusted EBIT, full-cost (for NOPAT, ROIC and the DCF):</t>
        </is>
      </c>
      <c r="CF188" s="153" t="n"/>
    </row>
    <row r="189" ht="15" customHeight="1" s="251">
      <c r="B189" s="55" t="inlineStr">
        <is>
          <t xml:space="preserve">  = Adjusted EBIT (= adjusted operating income; amortization and share-based compensation are not adjusted out)</t>
        </is>
      </c>
      <c r="C189" s="273">
        <f>IF(ISNUMBER(C185),C185-C182,"")</f>
        <v>649.495</v>
      </c>
      <c r="D189" s="273">
        <f>IF(ISNUMBER(D185),D185-D182,"")</f>
        <v>1111.112</v>
      </c>
      <c r="E189" s="273">
        <f>IF(ISNUMBER(E185),E185-E182,"")</f>
        <v>1948.495</v>
      </c>
      <c r="F189" s="273">
        <f>IF(ISNUMBER(F185),F185-F182,"")</f>
        <v>2267.108</v>
      </c>
      <c r="G189" s="273">
        <f>IF(ISNUMBER(G185),G185-G182,"")</f>
        <v>2752</v>
      </c>
      <c r="H189" s="273">
        <f>IF(ISNUMBER(H185),H185-H182,"")</f>
        <v>3483</v>
      </c>
      <c r="I189" s="273">
        <f>IF(ISNUMBER(I185),I185-I182,"")</f>
        <v>3957</v>
      </c>
      <c r="J189" s="273">
        <f>IF(ISNUMBER(J185),J185-J182,"")</f>
        <v>1107</v>
      </c>
      <c r="K189" s="273">
        <f>IF(ISNUMBER(K185),K185-K182,"")</f>
        <v>1228</v>
      </c>
      <c r="L189" s="273">
        <f>IF(ISNUMBER(L185),L185-L182,"")</f>
        <v>1248</v>
      </c>
      <c r="M189" s="273">
        <f>IF(ISNUMBER(M185),M185-M182,"")</f>
        <v>1015</v>
      </c>
      <c r="N189" s="273">
        <f>IF(ISNUMBER(N185),N185-N182,"")</f>
        <v>4598</v>
      </c>
      <c r="O189" s="273">
        <f>IF(ISNUMBER(O185),O185-O182,"")</f>
        <v>1285</v>
      </c>
      <c r="P189" s="273">
        <f>IF(ISNUMBER(P185),P185-P182,"")</f>
        <v>1383</v>
      </c>
      <c r="Q189" s="273">
        <f>IF(ISNUMBER(Q185),Q185-Q182,"")</f>
        <v>1420</v>
      </c>
      <c r="R189" s="273">
        <f>IF(ISNUMBER(R185),R185-R182,"")</f>
        <v>1018</v>
      </c>
      <c r="S189" s="273">
        <f>IF(ISNUMBER(S185),S185-S182,"")</f>
        <v>5106</v>
      </c>
      <c r="T189" s="273">
        <f>IF(ISNUMBER(T185),T185-T182,"")</f>
        <v>1351</v>
      </c>
      <c r="U189" s="273">
        <f>IF(ISNUMBER(U185),U185-U182,"")</f>
        <v>1312</v>
      </c>
      <c r="V189" s="273">
        <f>IF(ISNUMBER(V185),V185-V182,"")</f>
        <v>1448</v>
      </c>
      <c r="W189" s="273">
        <f>IF(ISNUMBER(W185),W185-W182,"")</f>
        <v>1107</v>
      </c>
      <c r="X189" s="273">
        <f>IF(ISNUMBER(X185),X185-X182,"")</f>
        <v>5218</v>
      </c>
      <c r="Y189" s="273">
        <f>IF(ISNUMBER(Y185),Y185-Y182,"")</f>
        <v>1348</v>
      </c>
      <c r="Z189" s="273">
        <f>IF(ISNUMBER(Z185),Z185-Z182,"")</f>
        <v>1487</v>
      </c>
      <c r="AA189" s="273">
        <f>IF(ISNUMBER(AA185),AA185-AA182,"")</f>
        <v>1670</v>
      </c>
      <c r="AB189" s="273">
        <f>IF(ISNUMBER(AB185),AB185-AB182,"")</f>
        <v>1373</v>
      </c>
      <c r="AC189" s="273">
        <f>IF(ISNUMBER(AC185),AC185-AC182,"")</f>
        <v>5878</v>
      </c>
      <c r="AD189" s="273">
        <f>IF(ISNUMBER(AD185),AD185-AD182,"")</f>
        <v>1521</v>
      </c>
      <c r="AE189" s="273">
        <f>IF(ISNUMBER(AE185),AE185-AE182,"")</f>
        <v>1653</v>
      </c>
      <c r="AF189" s="273">
        <f>IF(ISNUMBER(AF185),AF185-AF182,"")</f>
        <v>1941</v>
      </c>
      <c r="AG189" s="273">
        <f>IF(ISNUMBER(AG185),AG185-AG182,"")</f>
        <v>1689</v>
      </c>
      <c r="AH189" s="273">
        <f>IF(ISNUMBER(AH185),AH185-AH182,"")</f>
        <v>6804</v>
      </c>
      <c r="AI189" s="273">
        <f>IF(ISNUMBER(AI185),AI185-AI182,"")</f>
        <v>1942</v>
      </c>
      <c r="AJ189" s="273">
        <f>IF(ISNUMBER(AJ185),AJ185-AJ182,"")</f>
        <v>2161</v>
      </c>
      <c r="AK189" s="273">
        <f>IF(ISNUMBER(AK185),AK185-AK182,"")</f>
        <v>2316</v>
      </c>
      <c r="AL189" s="273">
        <f>IF(ISNUMBER(AL185),AL185-AL182,"")</f>
        <v>1991</v>
      </c>
      <c r="AM189" s="273">
        <f>IF(ISNUMBER(AM185),AM185-AM182,"")</f>
        <v>8410</v>
      </c>
      <c r="AN189" s="273">
        <f>IF(ISNUMBER(AN185),AN185-AN182,"")</f>
        <v>2213</v>
      </c>
      <c r="AO189" s="273">
        <f>IF(ISNUMBER(AO185),AO185-AO182,"")</f>
        <v>2397</v>
      </c>
      <c r="AP189" s="273">
        <f>IF(ISNUMBER(AP185),AP185-AP182,"")</f>
        <v>2655</v>
      </c>
      <c r="AQ189" s="273">
        <f>IF(ISNUMBER(AQ185),AQ185-AQ182,"")</f>
        <v>2399</v>
      </c>
      <c r="AR189" s="273">
        <f>IF(ISNUMBER(AR185),AR185-AR182,"")</f>
        <v>9664</v>
      </c>
      <c r="AS189" s="273">
        <f>IF(ISNUMBER(AS185),AS185-AS182,"")</f>
        <v>2217</v>
      </c>
      <c r="AT189" s="273">
        <f>IF(ISNUMBER(AT185),AT185-AT182,"")</f>
        <v>1729</v>
      </c>
      <c r="AU189" s="273">
        <f>IF(ISNUMBER(AU185),AU185-AU182,"")</f>
        <v>2105</v>
      </c>
      <c r="AV189" s="273">
        <f>IF(ISNUMBER(AV185),AV185-AV182,"")</f>
        <v>2103</v>
      </c>
      <c r="AW189" s="273">
        <f>IF(ISNUMBER(AW185),AW185-AW182,"")</f>
        <v>8154</v>
      </c>
      <c r="AX189" s="273">
        <f>IF(ISNUMBER(AX185),AX185-AX182,"")</f>
        <v>2197</v>
      </c>
      <c r="AY189" s="273">
        <f>IF(ISNUMBER(AY185),AY185-AY182,"")</f>
        <v>2408</v>
      </c>
      <c r="AZ189" s="273">
        <f>IF(ISNUMBER(AZ185),AZ185-AZ182,"")</f>
        <v>2826</v>
      </c>
      <c r="BA189" s="273">
        <f>IF(ISNUMBER(BA185),BA185-BA182,"")</f>
        <v>2827</v>
      </c>
      <c r="BB189" s="273">
        <f>IF(ISNUMBER(BB185),BB185-BB182,"")</f>
        <v>10258</v>
      </c>
      <c r="BC189" s="273">
        <f>IF(ISNUMBER(BC185),BC185-BC182,"")</f>
        <v>2954</v>
      </c>
      <c r="BD189" s="273">
        <f>IF(ISNUMBER(BD185),BD185-BD182,"")</f>
        <v>3178</v>
      </c>
      <c r="BE189" s="273">
        <f>IF(ISNUMBER(BE185),BE185-BE182,"")</f>
        <v>3320</v>
      </c>
      <c r="BF189" s="273">
        <f>IF(ISNUMBER(BF185),BF185-BF182,"")</f>
        <v>3199</v>
      </c>
      <c r="BG189" s="273">
        <f>IF(ISNUMBER(BG185),BG185-BG182,"")</f>
        <v>12650</v>
      </c>
      <c r="BH189" s="273">
        <f>IF(ISNUMBER(BH185),BH185-BH182,"")</f>
        <v>3347</v>
      </c>
      <c r="BI189" s="273">
        <f>IF(ISNUMBER(BI185),BI185-BI182,"")</f>
        <v>3676</v>
      </c>
      <c r="BJ189" s="273">
        <f>IF(ISNUMBER(BJ185),BJ185-BJ182,"")</f>
        <v>3844</v>
      </c>
      <c r="BK189" s="273">
        <f>IF(ISNUMBER(BK185),BK185-BK182,"")</f>
        <v>3680</v>
      </c>
      <c r="BL189" s="273">
        <f>IF(ISNUMBER(BL185),BL185-BL182,"")</f>
        <v>14547</v>
      </c>
      <c r="BM189" s="273">
        <f>IF(ISNUMBER(BM185),BM185-BM182,"")</f>
        <v>3730</v>
      </c>
      <c r="BN189" s="273">
        <f>IF(ISNUMBER(BN185),BN185-BN182,"")</f>
        <v>4134</v>
      </c>
      <c r="BO189" s="273">
        <f>IF(ISNUMBER(BO185),BO185-BO182,"")</f>
        <v>4370</v>
      </c>
      <c r="BP189" s="273">
        <f>IF(ISNUMBER(BP185),BP185-BP182,"")</f>
        <v>4218</v>
      </c>
      <c r="BQ189" s="273">
        <f>IF(ISNUMBER(BQ185),BQ185-BQ182,"")</f>
        <v>16452</v>
      </c>
      <c r="BR189" s="273">
        <f>IF(ISNUMBER(BR185),BR185-BR182,"")</f>
        <v>4300</v>
      </c>
      <c r="BS189" s="273">
        <f>IF(ISNUMBER(BS185),BS185-BS182,"")</f>
        <v>4873</v>
      </c>
      <c r="BT189" s="273">
        <f>IF(ISNUMBER(BT185),BT185-BT182,"")</f>
        <v>5144</v>
      </c>
      <c r="BU189" s="273">
        <f>IF(ISNUMBER(BU185),BU185-BU182,"")</f>
        <v>5084</v>
      </c>
      <c r="BV189" s="273">
        <f>IF(ISNUMBER(BV185),BV185-BV182,"")</f>
        <v>19401</v>
      </c>
      <c r="BW189" s="273">
        <f>IF(ISNUMBER(BW185),BW185-BW182,"")</f>
        <v>5109</v>
      </c>
      <c r="BX189" s="273">
        <f>IF(ISNUMBER(BX185),BX185-BX182,"")</f>
        <v>5669</v>
      </c>
      <c r="BY189" s="273">
        <f>IF(ISNUMBER(BY185),BY185-BY182,"")</f>
        <v>5768.80564242909</v>
      </c>
      <c r="BZ189" s="273">
        <f>IF(ISNUMBER(BZ185),BZ185-BZ182,"")</f>
        <v>5741.12935757091</v>
      </c>
      <c r="CA189" s="273">
        <f>IF(ISNUMBER(CA185),CA185-CA182,"")</f>
        <v>22287.935</v>
      </c>
      <c r="CB189" s="273">
        <f>IF(ISNUMBER(CB185),CB185-CB182,"")</f>
        <v>25192.1704841164</v>
      </c>
      <c r="CC189" s="273">
        <f>IF(ISNUMBER(CC185),CC185-CC182,"")</f>
        <v>28352.0763007189</v>
      </c>
      <c r="CD189" s="273">
        <f>IF(ISNUMBER(CD185),CD185-CD182,"")</f>
        <v>31702.6557848408</v>
      </c>
      <c r="CE189" s="273">
        <f>IF(ISNUMBER(CE185),CE185-CE182,"")</f>
        <v>35222.2285731106</v>
      </c>
      <c r="CF189" s="153" t="n"/>
    </row>
    <row r="190" ht="15" customHeight="1" s="251">
      <c r="B190" s="25" t="inlineStr">
        <is>
          <t xml:space="preserve">  Adjusted EBIT margin %</t>
        </is>
      </c>
      <c r="C190" s="215">
        <f>IF(AND(ISNUMBER(C189),ISNUMBER(C123)),IFERROR(C189/C123,""),"")</f>
        <v>0.195273767210231</v>
      </c>
      <c r="D190" s="215">
        <f>IF(AND(ISNUMBER(D189),ISNUMBER(D123)),IFERROR(D189/D123,""),"")</f>
        <v>0.27316163663134</v>
      </c>
      <c r="E190" s="215">
        <f>IF(AND(ISNUMBER(E189),ISNUMBER(E123)),IFERROR(E189/E123,""),"")</f>
        <v>0.390354796057377</v>
      </c>
      <c r="F190" s="215">
        <f>IF(AND(ISNUMBER(F189),ISNUMBER(F123)),IFERROR(F189/F123,""),"")</f>
        <v>0.444645716424081</v>
      </c>
      <c r="G190" s="215">
        <f>IF(AND(ISNUMBER(G189),ISNUMBER(G123)),IFERROR(G189/G123,""),"")</f>
        <v>0.496840584943131</v>
      </c>
      <c r="H190" s="215">
        <f>IF(AND(ISNUMBER(H189),ISNUMBER(H123)),IFERROR(H189/H123,""),"")</f>
        <v>0.518766756032172</v>
      </c>
      <c r="I190" s="215">
        <f>IF(AND(ISNUMBER(I189),ISNUMBER(I123)),IFERROR(I189/I123,""),"")</f>
        <v>0.535380868624002</v>
      </c>
      <c r="J190" s="215">
        <f>IF(AND(ISNUMBER(J189),ISNUMBER(J123)),IFERROR(J189/J123,""),"")</f>
        <v>0.580797481636936</v>
      </c>
      <c r="K190" s="215">
        <f>IF(AND(ISNUMBER(K189),ISNUMBER(K123)),IFERROR(K189/K123,""),"")</f>
        <v>0.58587786259542</v>
      </c>
      <c r="L190" s="215">
        <f>IF(AND(ISNUMBER(L189),ISNUMBER(L123)),IFERROR(L189/L123,""),"")</f>
        <v>0.562669071235347</v>
      </c>
      <c r="M190" s="215">
        <f>IF(AND(ISNUMBER(M189),ISNUMBER(M123)),IFERROR(M189/M123,""),"")</f>
        <v>0.477422389463782</v>
      </c>
      <c r="N190" s="215">
        <f>IF(AND(ISNUMBER(N189),ISNUMBER(N123)),IFERROR(N189/N123,""),"")</f>
        <v>0.55092259765157</v>
      </c>
      <c r="O190" s="215">
        <f>IF(AND(ISNUMBER(O189),ISNUMBER(O123)),IFERROR(O189/O123,""),"")</f>
        <v>0.59026182820395</v>
      </c>
      <c r="P190" s="215">
        <f>IF(AND(ISNUMBER(P189),ISNUMBER(P123)),IFERROR(P189/P123,""),"")</f>
        <v>0.58182583087926</v>
      </c>
      <c r="Q190" s="215">
        <f>IF(AND(ISNUMBER(Q189),ISNUMBER(Q123)),IFERROR(Q189/Q123,""),"")</f>
        <v>0.567319216939672</v>
      </c>
      <c r="R190" s="215">
        <f>IF(AND(ISNUMBER(R189),ISNUMBER(R123)),IFERROR(R189/R123,""),"")</f>
        <v>0.42135761589404</v>
      </c>
      <c r="S190" s="215">
        <f>IF(AND(ISNUMBER(S189),ISNUMBER(S123)),IFERROR(S189/S123,""),"")</f>
        <v>0.539005594848517</v>
      </c>
      <c r="T190" s="215">
        <f>IF(AND(ISNUMBER(T189),ISNUMBER(T123)),IFERROR(T189/T123,""),"")</f>
        <v>0.605829596412556</v>
      </c>
      <c r="U190" s="215">
        <f>IF(AND(ISNUMBER(U189),ISNUMBER(U123)),IFERROR(U189/U123,""),"")</f>
        <v>0.548953974895397</v>
      </c>
      <c r="V190" s="215">
        <f>IF(AND(ISNUMBER(V189),ISNUMBER(V123)),IFERROR(V189/V123,""),"")</f>
        <v>0.572332015810277</v>
      </c>
      <c r="W190" s="215">
        <f>IF(AND(ISNUMBER(W189),ISNUMBER(W123)),IFERROR(W189/W123,""),"")</f>
        <v>0.439809296781883</v>
      </c>
      <c r="X190" s="215">
        <f>IF(AND(ISNUMBER(X189),ISNUMBER(X123)),IFERROR(X189/X123,""),"")</f>
        <v>0.539774490534809</v>
      </c>
      <c r="Y190" s="215">
        <f>IF(AND(ISNUMBER(Y189),ISNUMBER(Y123)),IFERROR(Y189/Y123,""),"")</f>
        <v>0.551103843008994</v>
      </c>
      <c r="Z190" s="215">
        <f>IF(AND(ISNUMBER(Z189),ISNUMBER(Z123)),IFERROR(Z189/Z123,""),"")</f>
        <v>0.551967334818114</v>
      </c>
      <c r="AA190" s="215">
        <f>IF(AND(ISNUMBER(AA189),ISNUMBER(AA123)),IFERROR(AA189/AA123,""),"")</f>
        <v>0.579861111111111</v>
      </c>
      <c r="AB190" s="215">
        <f>IF(AND(ISNUMBER(AB189),ISNUMBER(AB123)),IFERROR(AB189/AB123,""),"")</f>
        <v>0.498185776487663</v>
      </c>
      <c r="AC190" s="215">
        <f>IF(AND(ISNUMBER(AC189),ISNUMBER(AC123)),IFERROR(AC189/AC123,""),"")</f>
        <v>0.54547141796585</v>
      </c>
      <c r="AD190" s="215">
        <f>IF(AND(ISNUMBER(AD189),ISNUMBER(AD123)),IFERROR(AD189/AD123,""),"")</f>
        <v>0.556327724945135</v>
      </c>
      <c r="AE190" s="215">
        <f>IF(AND(ISNUMBER(AE189),ISNUMBER(AE123)),IFERROR(AE189/AE123,""),"")</f>
        <v>0.541434654438257</v>
      </c>
      <c r="AF190" s="215">
        <f>IF(AND(ISNUMBER(AF189),ISNUMBER(AF123)),IFERROR(AF189/AF123,""),"")</f>
        <v>0.571218363743378</v>
      </c>
      <c r="AG190" s="215">
        <f>IF(AND(ISNUMBER(AG189),ISNUMBER(AG123)),IFERROR(AG189/AG123,""),"")</f>
        <v>0.509963768115942</v>
      </c>
      <c r="AH190" s="215">
        <f>IF(AND(ISNUMBER(AH189),ISNUMBER(AH123)),IFERROR(AH189/AH123,""),"")</f>
        <v>0.544450668160359</v>
      </c>
      <c r="AI190" s="215">
        <f>IF(AND(ISNUMBER(AI189),ISNUMBER(AI123)),IFERROR(AI189/AI123,""),"")</f>
        <v>0.542458100558659</v>
      </c>
      <c r="AJ190" s="215">
        <f>IF(AND(ISNUMBER(AJ189),ISNUMBER(AJ123)),IFERROR(AJ189/AJ123,""),"")</f>
        <v>0.589631650750341</v>
      </c>
      <c r="AK190" s="215">
        <f>IF(AND(ISNUMBER(AK189),ISNUMBER(AK123)),IFERROR(AK189/AK123,""),"")</f>
        <v>0.594150846587994</v>
      </c>
      <c r="AL190" s="215">
        <f>IF(AND(ISNUMBER(AL189),ISNUMBER(AL123)),IFERROR(AL189/AL123,""),"")</f>
        <v>0.522983976884686</v>
      </c>
      <c r="AM190" s="215">
        <f>IF(AND(ISNUMBER(AM189),ISNUMBER(AM123)),IFERROR(AM189/AM123,""),"")</f>
        <v>0.562541806020067</v>
      </c>
      <c r="AN190" s="215">
        <f>IF(AND(ISNUMBER(AN189),ISNUMBER(AN123)),IFERROR(AN189/AN123,""),"")</f>
        <v>0.569040884546156</v>
      </c>
      <c r="AO190" s="215">
        <f>IF(AND(ISNUMBER(AO189),ISNUMBER(AO123)),IFERROR(AO189/AO123,""),"")</f>
        <v>0.582786287381473</v>
      </c>
      <c r="AP190" s="215">
        <f>IF(AND(ISNUMBER(AP189),ISNUMBER(AP123)),IFERROR(AP189/AP123,""),"")</f>
        <v>0.594358629952989</v>
      </c>
      <c r="AQ190" s="215">
        <f>IF(AND(ISNUMBER(AQ189),ISNUMBER(AQ123)),IFERROR(AQ189/AQ123,""),"")</f>
        <v>0.543497961033077</v>
      </c>
      <c r="AR190" s="215">
        <f>IF(AND(ISNUMBER(AR189),ISNUMBER(AR123)),IFERROR(AR189/AR123,""),"")</f>
        <v>0.572410116685423</v>
      </c>
      <c r="AS190" s="215">
        <f>IF(AND(ISNUMBER(AS189),ISNUMBER(AS123)),IFERROR(AS189/AS123,""),"")</f>
        <v>0.553005737091544</v>
      </c>
      <c r="AT190" s="215">
        <f>IF(AND(ISNUMBER(AT189),ISNUMBER(AT123)),IFERROR(AT189/AT123,""),"")</f>
        <v>0.518440779610195</v>
      </c>
      <c r="AU190" s="215">
        <f>IF(AND(ISNUMBER(AU189),ISNUMBER(AU123)),IFERROR(AU189/AU123,""),"")</f>
        <v>0.548605681522022</v>
      </c>
      <c r="AV190" s="215">
        <f>IF(AND(ISNUMBER(AV189),ISNUMBER(AV123)),IFERROR(AV189/AV123,""),"")</f>
        <v>0.510436893203884</v>
      </c>
      <c r="AW190" s="215">
        <f>IF(AND(ISNUMBER(AW189),ISNUMBER(AW123)),IFERROR(AW189/AW123,""),"")</f>
        <v>0.532906345990458</v>
      </c>
      <c r="AX190" s="215">
        <f>IF(AND(ISNUMBER(AX189),ISNUMBER(AX123)),IFERROR(AX189/AX123,""),"")</f>
        <v>0.528760529482551</v>
      </c>
      <c r="AY190" s="215">
        <f>IF(AND(ISNUMBER(AY189),ISNUMBER(AY123)),IFERROR(AY189/AY123,""),"")</f>
        <v>0.531802120141343</v>
      </c>
      <c r="AZ190" s="215">
        <f>IF(AND(ISNUMBER(AZ189),ISNUMBER(AZ123)),IFERROR(AZ189/AZ123,""),"")</f>
        <v>0.566900702106319</v>
      </c>
      <c r="BA190" s="215">
        <f>IF(AND(ISNUMBER(BA189),ISNUMBER(BA123)),IFERROR(BA189/BA123,""),"")</f>
        <v>0.541986196319019</v>
      </c>
      <c r="BB190" s="215">
        <f>IF(AND(ISNUMBER(BB189),ISNUMBER(BB123)),IFERROR(BB189/BB123,""),"")</f>
        <v>0.543211184071171</v>
      </c>
      <c r="BC190" s="215">
        <f>IF(AND(ISNUMBER(BC189),ISNUMBER(BC123)),IFERROR(BC189/BC123,""),"")</f>
        <v>0.571705051287014</v>
      </c>
      <c r="BD190" s="215">
        <f>IF(AND(ISNUMBER(BD189),ISNUMBER(BD123)),IFERROR(BD189/BD123,""),"")</f>
        <v>0.57813352737857</v>
      </c>
      <c r="BE190" s="215">
        <f>IF(AND(ISNUMBER(BE189),ISNUMBER(BE123)),IFERROR(BE189/BE123,""),"")</f>
        <v>0.576789437109104</v>
      </c>
      <c r="BF190" s="215">
        <f>IF(AND(ISNUMBER(BF189),ISNUMBER(BF123)),IFERROR(BF189/BF123,""),"")</f>
        <v>0.549939831528279</v>
      </c>
      <c r="BG190" s="215">
        <f>IF(AND(ISNUMBER(BG189),ISNUMBER(BG123)),IFERROR(BG189/BG123,""),"")</f>
        <v>0.568871700319288</v>
      </c>
      <c r="BH190" s="215">
        <f>IF(AND(ISNUMBER(BH189),ISNUMBER(BH123)),IFERROR(BH189/BH123,""),"")</f>
        <v>0.582289491997217</v>
      </c>
      <c r="BI190" s="215">
        <f>IF(AND(ISNUMBER(BI189),ISNUMBER(BI123)),IFERROR(BI189/BI123,""),"")</f>
        <v>0.586377412665497</v>
      </c>
      <c r="BJ190" s="215">
        <f>IF(AND(ISNUMBER(BJ189),ISNUMBER(BJ123)),IFERROR(BJ189/BJ123,""),"")</f>
        <v>0.588397367212613</v>
      </c>
      <c r="BK190" s="215">
        <f>IF(AND(ISNUMBER(BK189),ISNUMBER(BK123)),IFERROR(BK189/BK123,""),"")</f>
        <v>0.562003665241295</v>
      </c>
      <c r="BL190" s="215">
        <f>IF(AND(ISNUMBER(BL189),ISNUMBER(BL123)),IFERROR(BL189/BL123,""),"")</f>
        <v>0.579607936887401</v>
      </c>
      <c r="BM190" s="215">
        <f>IF(AND(ISNUMBER(BM189),ISNUMBER(BM123)),IFERROR(BM189/BM123,""),"")</f>
        <v>0.587586641461878</v>
      </c>
      <c r="BN190" s="215">
        <f>IF(AND(ISNUMBER(BN189),ISNUMBER(BN123)),IFERROR(BN189/BN123,""),"")</f>
        <v>0.593880189627927</v>
      </c>
      <c r="BO190" s="215">
        <f>IF(AND(ISNUMBER(BO189),ISNUMBER(BO123)),IFERROR(BO189/BO123,""),"")</f>
        <v>0.593024833763062</v>
      </c>
      <c r="BP190" s="215">
        <f>IF(AND(ISNUMBER(BP189),ISNUMBER(BP123)),IFERROR(BP189/BP123,""),"")</f>
        <v>0.56322606489518</v>
      </c>
      <c r="BQ190" s="215">
        <f>IF(AND(ISNUMBER(BQ189),ISNUMBER(BQ123)),IFERROR(BQ189/BQ123,""),"")</f>
        <v>0.584087762275003</v>
      </c>
      <c r="BR190" s="215">
        <f>IF(AND(ISNUMBER(BR189),ISNUMBER(BR123)),IFERROR(BR189/BR123,""),"")</f>
        <v>0.593103448275862</v>
      </c>
      <c r="BS190" s="215">
        <f>IF(AND(ISNUMBER(BS189),ISNUMBER(BS123)),IFERROR(BS189/BS123,""),"")</f>
        <v>0.599163900159843</v>
      </c>
      <c r="BT190" s="215">
        <f>IF(AND(ISNUMBER(BT189),ISNUMBER(BT123)),IFERROR(BT189/BT123,""),"")</f>
        <v>0.598000465008138</v>
      </c>
      <c r="BU190" s="215">
        <f>IF(AND(ISNUMBER(BU189),ISNUMBER(BU123)),IFERROR(BU189/BU123,""),"")</f>
        <v>0.577333636157166</v>
      </c>
      <c r="BV190" s="215">
        <f>IF(AND(ISNUMBER(BV189),ISNUMBER(BV123)),IFERROR(BV189/BV123,""),"")</f>
        <v>0.591656247140984</v>
      </c>
      <c r="BW190" s="215">
        <f>IF(AND(ISNUMBER(BW189),ISNUMBER(BW123)),IFERROR(BW189/BW123,""),"")</f>
        <v>0.608359133126935</v>
      </c>
      <c r="BX190" s="215">
        <f>IF(AND(ISNUMBER(BX189),ISNUMBER(BX123)),IFERROR(BX189/BX123,""),"")</f>
        <v>0.61108116848119</v>
      </c>
      <c r="BY190" s="256">
        <f>IF(AND(ISNUMBER(BY189),ISNUMBER(BY123)),IFERROR(BY189/BY123,""),"")</f>
        <v>0.598575856001832</v>
      </c>
      <c r="BZ190" s="256">
        <f>IF(AND(ISNUMBER(BZ189),ISNUMBER(BZ123)),IFERROR(BZ189/BZ123,""),"")</f>
        <v>0.579605656041637</v>
      </c>
      <c r="CA190" s="256">
        <f>IF(AND(ISNUMBER(CA189),ISNUMBER(CA123)),IFERROR(CA189/CA123,""),"")</f>
        <v>0.598851731772861</v>
      </c>
      <c r="CB190" s="256">
        <f>IF(AND(ISNUMBER(CB189),ISNUMBER(CB123)),IFERROR(CB189/CB123,""),"")</f>
        <v>0.602323072539461</v>
      </c>
      <c r="CC190" s="256">
        <f>IF(AND(ISNUMBER(CC189),ISNUMBER(CC123)),IFERROR(CC189/CC123,""),"")</f>
        <v>0.606017601889502</v>
      </c>
      <c r="CD190" s="256">
        <f>IF(AND(ISNUMBER(CD189),ISNUMBER(CD123)),IFERROR(CD189/CD123,""),"")</f>
        <v>0.609800146559032</v>
      </c>
      <c r="CE190" s="256">
        <f>IF(AND(ISNUMBER(CE189),ISNUMBER(CE123)),IFERROR(CE189/CE123,""),"")</f>
        <v>0.61363858642307</v>
      </c>
      <c r="CF190" s="153" t="n"/>
      <c r="CH190" s="37">
        <f>IFERROR(AVERAGE(CA190,CB190,CC190,CD190,CE190),"n/m")</f>
        <v>0.606126227836785</v>
      </c>
      <c r="CI190" s="37">
        <f>IFERROR(AVERAGE(BB190,BG190,BL190,BQ190,BV190),"n/m")</f>
        <v>0.57348696613877</v>
      </c>
      <c r="CJ190" s="37">
        <f>IFERROR(AVERAGE(AC190,AH190,AM190,AR190,AW190,BB190,BG190,BL190,BQ190,BV190),"n/m")</f>
        <v>0.5625215185516</v>
      </c>
      <c r="CK190" s="37">
        <f>IFERROR(AVERAGE(C190,D190,E190,F190,G190,H190,I190,N190,S190,X190,AC190,AH190,AM190,AR190,AW190,BB190,BG190,BL190,BQ190,BV190),"n/m")</f>
        <v>0.505467099723662</v>
      </c>
    </row>
    <row r="191" ht="15" customHeight="1" s="251">
      <c r="B191" s="156" t="inlineStr">
        <is>
          <t xml:space="preserve">  Memo: litigation provisions &amp; restructuring (cash costs adjusted out; deducted in the DCF)</t>
        </is>
      </c>
      <c r="C191" s="211">
        <f>IF(ISNUMBER(C114),C114+C115,"")</f>
        <v>25</v>
      </c>
      <c r="D191" s="211">
        <f>IF(ISNUMBER(D114),D114+D115,"")</f>
        <v>3</v>
      </c>
      <c r="E191" s="211">
        <f>IF(ISNUMBER(E114),E114+E115,"")</f>
        <v>2483</v>
      </c>
      <c r="F191" s="211">
        <f>IF(ISNUMBER(F114),F114+F115,"")</f>
        <v>7</v>
      </c>
      <c r="G191" s="211">
        <f>IF(ISNUMBER(G114),G114+G115,"")</f>
        <v>0</v>
      </c>
      <c r="H191" s="211">
        <f>IF(ISNUMBER(H114),H114+H115,"")</f>
        <v>770</v>
      </c>
      <c r="I191" s="211">
        <f>IF(ISNUMBER(I114),I114+I115,"")</f>
        <v>20</v>
      </c>
      <c r="J191" s="211">
        <f>IF(ISNUMBER(J114),J114+J115,"")</f>
        <v>0</v>
      </c>
      <c r="K191" s="211">
        <f>IF(ISNUMBER(K114),K114+K115,"")</f>
        <v>0</v>
      </c>
      <c r="L191" s="211">
        <f>IF(ISNUMBER(L114),L114+L115,"")</f>
        <v>0</v>
      </c>
      <c r="M191" s="211">
        <f>IF(ISNUMBER(M114),M114+M115,"")</f>
        <v>95</v>
      </c>
      <c r="N191" s="211">
        <f>IF(ISNUMBER(N114),N114+N115,"")</f>
        <v>95</v>
      </c>
      <c r="O191" s="211">
        <f>IF(ISNUMBER(O114),O114+O115,"")</f>
        <v>0</v>
      </c>
      <c r="P191" s="211">
        <f>IF(ISNUMBER(P114),P114+P115,"")</f>
        <v>0</v>
      </c>
      <c r="Q191" s="211">
        <f>IF(ISNUMBER(Q114),Q114+Q115,"")</f>
        <v>0</v>
      </c>
      <c r="R191" s="211">
        <f>IF(ISNUMBER(R114),R114+R115,"")</f>
        <v>0</v>
      </c>
      <c r="S191" s="211">
        <f>IF(ISNUMBER(S114),S114+S115,"")</f>
        <v>0</v>
      </c>
      <c r="T191" s="211">
        <f>IF(ISNUMBER(T114),T114+T115,"")</f>
        <v>0</v>
      </c>
      <c r="U191" s="211">
        <f>IF(ISNUMBER(U114),U114+U115,"")</f>
        <v>61</v>
      </c>
      <c r="V191" s="211">
        <f>IF(ISNUMBER(V114),V114+V115,"")</f>
        <v>0</v>
      </c>
      <c r="W191" s="211">
        <f>IF(ISNUMBER(W114),W114+W115,"")</f>
        <v>0</v>
      </c>
      <c r="X191" s="211">
        <f>IF(ISNUMBER(X114),X114+X115,"")</f>
        <v>61</v>
      </c>
      <c r="Y191" s="211">
        <f>IF(ISNUMBER(Y114),Y114+Y115,"")</f>
        <v>0</v>
      </c>
      <c r="Z191" s="211">
        <f>IF(ISNUMBER(Z114),Z114+Z115,"")</f>
        <v>107</v>
      </c>
      <c r="AA191" s="211">
        <f>IF(ISNUMBER(AA114),AA114+AA115,"")</f>
        <v>0</v>
      </c>
      <c r="AB191" s="211">
        <f>IF(ISNUMBER(AB114),AB114+AB115,"")</f>
        <v>10</v>
      </c>
      <c r="AC191" s="211">
        <f>IF(ISNUMBER(AC114),AC114+AC115,"")</f>
        <v>117</v>
      </c>
      <c r="AD191" s="211">
        <f>IF(ISNUMBER(AD114),AD114+AD115,"")</f>
        <v>15</v>
      </c>
      <c r="AE191" s="211">
        <f>IF(ISNUMBER(AE114),AE114+AE115,"")</f>
        <v>0</v>
      </c>
      <c r="AF191" s="211">
        <f>IF(ISNUMBER(AF114),AF114+AF115,"")</f>
        <v>0</v>
      </c>
      <c r="AG191" s="211">
        <f>IF(ISNUMBER(AG114),AG114+AG115,"")</f>
        <v>0</v>
      </c>
      <c r="AH191" s="211">
        <f>IF(ISNUMBER(AH114),AH114+AH115,"")</f>
        <v>15</v>
      </c>
      <c r="AI191" s="211">
        <f>IF(ISNUMBER(AI114),AI114+AI115,"")</f>
        <v>117</v>
      </c>
      <c r="AJ191" s="211">
        <f>IF(ISNUMBER(AJ114),AJ114+AJ115,"")</f>
        <v>225</v>
      </c>
      <c r="AK191" s="211">
        <f>IF(ISNUMBER(AK114),AK114+AK115,"")</f>
        <v>29</v>
      </c>
      <c r="AL191" s="211">
        <f>IF(ISNUMBER(AL114),AL114+AL115,"")</f>
        <v>757</v>
      </c>
      <c r="AM191" s="211">
        <f>IF(ISNUMBER(AM114),AM114+AM115,"")</f>
        <v>1128</v>
      </c>
      <c r="AN191" s="211">
        <f>IF(ISNUMBER(AN114),AN114+AN115,"")</f>
        <v>0</v>
      </c>
      <c r="AO191" s="211">
        <f>IF(ISNUMBER(AO114),AO114+AO115,"")</f>
        <v>0</v>
      </c>
      <c r="AP191" s="211">
        <f>IF(ISNUMBER(AP114),AP114+AP115,"")</f>
        <v>0</v>
      </c>
      <c r="AQ191" s="211">
        <f>IF(ISNUMBER(AQ114),AQ114+AQ115,"")</f>
        <v>0</v>
      </c>
      <c r="AR191" s="211">
        <f>IF(ISNUMBER(AR114),AR114+AR115,"")</f>
        <v>0</v>
      </c>
      <c r="AS191" s="211">
        <f>IF(ISNUMBER(AS114),AS114+AS115,"")</f>
        <v>6</v>
      </c>
      <c r="AT191" s="211">
        <f>IF(ISNUMBER(AT114),AT114+AT115,"")</f>
        <v>22</v>
      </c>
      <c r="AU191" s="211">
        <f>IF(ISNUMBER(AU114),AU114+AU115,"")</f>
        <v>0</v>
      </c>
      <c r="AV191" s="211">
        <f>IF(ISNUMBER(AV114),AV114+AV115,"")</f>
        <v>45</v>
      </c>
      <c r="AW191" s="211">
        <f>IF(ISNUMBER(AW114),AW114+AW115,"")</f>
        <v>73</v>
      </c>
      <c r="AX191" s="211">
        <f>IF(ISNUMBER(AX114),AX114+AX115,"")</f>
        <v>0</v>
      </c>
      <c r="AY191" s="211">
        <f>IF(ISNUMBER(AY114),AY114+AY115,"")</f>
        <v>67</v>
      </c>
      <c r="AZ191" s="211">
        <f>IF(ISNUMBER(AZ114),AZ114+AZ115,"")</f>
        <v>27</v>
      </c>
      <c r="BA191" s="211">
        <f>IF(ISNUMBER(BA114),BA114+BA115,"")</f>
        <v>0</v>
      </c>
      <c r="BB191" s="211">
        <f>IF(ISNUMBER(BB114),BB114+BB115,"")</f>
        <v>94</v>
      </c>
      <c r="BC191" s="211">
        <f>IF(ISNUMBER(BC114),BC114+BC115,"")</f>
        <v>0</v>
      </c>
      <c r="BD191" s="211">
        <f>IF(ISNUMBER(BD114),BD114+BD115,"")</f>
        <v>133</v>
      </c>
      <c r="BE191" s="211">
        <f>IF(ISNUMBER(BE114),BE114+BE115,"")</f>
        <v>208</v>
      </c>
      <c r="BF191" s="211">
        <f>IF(ISNUMBER(BF114),BF114+BF115,"")</f>
        <v>15</v>
      </c>
      <c r="BG191" s="211">
        <f>IF(ISNUMBER(BG114),BG114+BG115,"")</f>
        <v>356</v>
      </c>
      <c r="BH191" s="211">
        <f>IF(ISNUMBER(BH114),BH114+BH115,"")</f>
        <v>211</v>
      </c>
      <c r="BI191" s="211">
        <f>IF(ISNUMBER(BI114),BI114+BI115,"")</f>
        <v>20</v>
      </c>
      <c r="BJ191" s="211">
        <f>IF(ISNUMBER(BJ114),BJ114+BJ115,"")</f>
        <v>0</v>
      </c>
      <c r="BK191" s="211">
        <f>IF(ISNUMBER(BK114),BK114+BK115,"")</f>
        <v>308</v>
      </c>
      <c r="BL191" s="211">
        <f>IF(ISNUMBER(BL114),BL114+BL115,"")</f>
        <v>539</v>
      </c>
      <c r="BM191" s="211">
        <f>IF(ISNUMBER(BM114),BM114+BM115,"")</f>
        <v>126</v>
      </c>
      <c r="BN191" s="211">
        <f>IF(ISNUMBER(BN114),BN114+BN115,"")</f>
        <v>98</v>
      </c>
      <c r="BO191" s="211">
        <f>IF(ISNUMBER(BO114),BO114+BO115,"")</f>
        <v>366</v>
      </c>
      <c r="BP191" s="211">
        <f>IF(ISNUMBER(BP114),BP114+BP115,"")</f>
        <v>280</v>
      </c>
      <c r="BQ191" s="211">
        <f>IF(ISNUMBER(BQ114),BQ114+BQ115,"")</f>
        <v>870</v>
      </c>
      <c r="BR191" s="211">
        <f>IF(ISNUMBER(BR114),BR114+BR115,"")</f>
        <v>151</v>
      </c>
      <c r="BS191" s="211">
        <f>IF(ISNUMBER(BS114),BS114+BS115,"")</f>
        <v>96</v>
      </c>
      <c r="BT191" s="211">
        <f>IF(ISNUMBER(BT114),BT114+BT115,"")</f>
        <v>83</v>
      </c>
      <c r="BU191" s="211">
        <f>IF(ISNUMBER(BU114),BU114+BU115,"")</f>
        <v>174</v>
      </c>
      <c r="BV191" s="211">
        <f>IF(ISNUMBER(BV114),BV114+BV115,"")</f>
        <v>504</v>
      </c>
      <c r="BW191" s="211">
        <f>IF(ISNUMBER(BW114),BW114+BW115,"")</f>
        <v>202</v>
      </c>
      <c r="BX191" s="211">
        <f>IF(ISNUMBER(BX114),BX114+BX115,"")</f>
        <v>82</v>
      </c>
      <c r="BY191" s="254">
        <f>IF(ISNUMBER(BY114),BY114+BY115,"")</f>
        <v>100</v>
      </c>
      <c r="BZ191" s="254">
        <f>IF(ISNUMBER(BZ114),BZ114+BZ115,"")</f>
        <v>100</v>
      </c>
      <c r="CA191" s="254">
        <f>IF(ISNUMBER(CA114),CA114+CA115,"")</f>
        <v>484</v>
      </c>
      <c r="CB191" s="254">
        <f>IF(ISNUMBER(CB114),CB114+CB115,"")</f>
        <v>450</v>
      </c>
      <c r="CC191" s="254">
        <f>IF(ISNUMBER(CC114),CC114+CC115,"")</f>
        <v>450</v>
      </c>
      <c r="CD191" s="254">
        <f>IF(ISNUMBER(CD114),CD114+CD115,"")</f>
        <v>450</v>
      </c>
      <c r="CE191" s="254">
        <f>IF(ISNUMBER(CE114),CE114+CE115,"")</f>
        <v>450</v>
      </c>
      <c r="CF191" s="153" t="n"/>
    </row>
    <row r="192" ht="15" customHeight="1" s="251">
      <c r="CN192" s="11" t="n"/>
      <c r="CO192" s="12" t="n"/>
      <c r="CP192" s="12" t="n"/>
      <c r="CQ192" s="12" t="n"/>
      <c r="CR192" s="13" t="n"/>
    </row>
    <row r="193" ht="15" customHeight="1" s="251">
      <c r="B193" s="10" t="inlineStr">
        <is>
          <t>RECONCILIATION: NET INCOME / DILUTED EPS → ADJUSTED NET INCOME → ADJUSTED DILUTED EPS (company definition)</t>
        </is>
      </c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inlineStr">
        <is>
          <t>ADJUSTED EPS — net income + pre-tax special items + equity-investment (gains) losses − tax effect (+ discrete tax items); adjusted = GAAP where nothing was published</t>
        </is>
      </c>
    </row>
    <row r="194" ht="15" customHeight="1" s="251">
      <c r="B194" s="16" t="inlineStr">
        <is>
          <t>Net income attributable to Mastercard (GAAP)</t>
        </is>
      </c>
      <c r="C194" s="275">
        <f>C142</f>
        <v>50.1900000000004</v>
      </c>
      <c r="D194" s="275">
        <f>D142</f>
        <v>1085.886</v>
      </c>
      <c r="E194" s="275">
        <f>E142</f>
        <v>-253.914999999999</v>
      </c>
      <c r="F194" s="275">
        <f>F142</f>
        <v>1462.532</v>
      </c>
      <c r="G194" s="275">
        <f>G142</f>
        <v>1846</v>
      </c>
      <c r="H194" s="275">
        <f>H142</f>
        <v>1906</v>
      </c>
      <c r="I194" s="275">
        <f>I142</f>
        <v>2759</v>
      </c>
      <c r="J194" s="275">
        <f>J142</f>
        <v>766</v>
      </c>
      <c r="K194" s="275">
        <f>K142</f>
        <v>848</v>
      </c>
      <c r="L194" s="275">
        <f>L142</f>
        <v>879</v>
      </c>
      <c r="M194" s="275">
        <f>M142</f>
        <v>623</v>
      </c>
      <c r="N194" s="275">
        <f>N142</f>
        <v>3116</v>
      </c>
      <c r="O194" s="275">
        <f>O142</f>
        <v>870</v>
      </c>
      <c r="P194" s="275">
        <f>P142</f>
        <v>931</v>
      </c>
      <c r="Q194" s="275">
        <f>Q142</f>
        <v>1015</v>
      </c>
      <c r="R194" s="275">
        <f>R142</f>
        <v>801</v>
      </c>
      <c r="S194" s="275">
        <f>S142</f>
        <v>3617</v>
      </c>
      <c r="T194" s="275">
        <f>T142</f>
        <v>1020</v>
      </c>
      <c r="U194" s="275">
        <f>U142</f>
        <v>921</v>
      </c>
      <c r="V194" s="275">
        <f>V142</f>
        <v>977</v>
      </c>
      <c r="W194" s="275">
        <f>W142</f>
        <v>890</v>
      </c>
      <c r="X194" s="275">
        <f>X142</f>
        <v>3808</v>
      </c>
      <c r="Y194" s="275">
        <f>Y142</f>
        <v>959</v>
      </c>
      <c r="Z194" s="275">
        <f>Z142</f>
        <v>983</v>
      </c>
      <c r="AA194" s="275">
        <f>AA142</f>
        <v>1184</v>
      </c>
      <c r="AB194" s="275">
        <f>AB142</f>
        <v>933</v>
      </c>
      <c r="AC194" s="275">
        <f>AC142</f>
        <v>4059</v>
      </c>
      <c r="AD194" s="275">
        <f>AD142</f>
        <v>1081</v>
      </c>
      <c r="AE194" s="275">
        <f>AE142</f>
        <v>1177</v>
      </c>
      <c r="AF194" s="275">
        <f>AF142</f>
        <v>1430</v>
      </c>
      <c r="AG194" s="275">
        <f>AG142</f>
        <v>227</v>
      </c>
      <c r="AH194" s="275">
        <f>AH142</f>
        <v>3915</v>
      </c>
      <c r="AI194" s="275">
        <f>AI142</f>
        <v>1492</v>
      </c>
      <c r="AJ194" s="275">
        <f>AJ142</f>
        <v>1569</v>
      </c>
      <c r="AK194" s="275">
        <f>AK142</f>
        <v>1899</v>
      </c>
      <c r="AL194" s="275">
        <f>AL142</f>
        <v>899</v>
      </c>
      <c r="AM194" s="275">
        <f>AM142</f>
        <v>5859</v>
      </c>
      <c r="AN194" s="275">
        <f>AN142</f>
        <v>1862</v>
      </c>
      <c r="AO194" s="275">
        <f>AO142</f>
        <v>2048</v>
      </c>
      <c r="AP194" s="275">
        <f>AP142</f>
        <v>2108</v>
      </c>
      <c r="AQ194" s="275">
        <f>AQ142</f>
        <v>2100</v>
      </c>
      <c r="AR194" s="275">
        <f>AR142</f>
        <v>8118</v>
      </c>
      <c r="AS194" s="275">
        <f>AS142</f>
        <v>1693</v>
      </c>
      <c r="AT194" s="275">
        <f>AT142</f>
        <v>1420</v>
      </c>
      <c r="AU194" s="275">
        <f>AU142</f>
        <v>1513</v>
      </c>
      <c r="AV194" s="275">
        <f>AV142</f>
        <v>1785</v>
      </c>
      <c r="AW194" s="275">
        <f>AW142</f>
        <v>6411</v>
      </c>
      <c r="AX194" s="275">
        <f>AX142</f>
        <v>1828</v>
      </c>
      <c r="AY194" s="275">
        <f>AY142</f>
        <v>2066</v>
      </c>
      <c r="AZ194" s="275">
        <f>AZ142</f>
        <v>2414</v>
      </c>
      <c r="BA194" s="275">
        <f>BA142</f>
        <v>2379</v>
      </c>
      <c r="BB194" s="275">
        <f>BB142</f>
        <v>8687</v>
      </c>
      <c r="BC194" s="275">
        <f>BC142</f>
        <v>2631</v>
      </c>
      <c r="BD194" s="275">
        <f>BD142</f>
        <v>2275</v>
      </c>
      <c r="BE194" s="275">
        <f>BE142</f>
        <v>2499</v>
      </c>
      <c r="BF194" s="275">
        <f>BF142</f>
        <v>2525</v>
      </c>
      <c r="BG194" s="275">
        <f>BG142</f>
        <v>9930</v>
      </c>
      <c r="BH194" s="275">
        <f>BH142</f>
        <v>2361</v>
      </c>
      <c r="BI194" s="275">
        <f>BI142</f>
        <v>2845</v>
      </c>
      <c r="BJ194" s="275">
        <f>BJ142</f>
        <v>3198</v>
      </c>
      <c r="BK194" s="275">
        <f>BK142</f>
        <v>2791</v>
      </c>
      <c r="BL194" s="275">
        <f>BL142</f>
        <v>11195</v>
      </c>
      <c r="BM194" s="275">
        <f>BM142</f>
        <v>3011</v>
      </c>
      <c r="BN194" s="275">
        <f>BN142</f>
        <v>3258</v>
      </c>
      <c r="BO194" s="275">
        <f>BO142</f>
        <v>3263</v>
      </c>
      <c r="BP194" s="275">
        <f>BP142</f>
        <v>3342</v>
      </c>
      <c r="BQ194" s="275">
        <f>BQ142</f>
        <v>12874</v>
      </c>
      <c r="BR194" s="275">
        <f>BR142</f>
        <v>3280</v>
      </c>
      <c r="BS194" s="275">
        <f>BS142</f>
        <v>3701</v>
      </c>
      <c r="BT194" s="275">
        <f>BT142</f>
        <v>3927</v>
      </c>
      <c r="BU194" s="275">
        <f>BU142</f>
        <v>4060</v>
      </c>
      <c r="BV194" s="275">
        <f>BV142</f>
        <v>14968</v>
      </c>
      <c r="BW194" s="275">
        <f>BW142</f>
        <v>3882</v>
      </c>
      <c r="BX194" s="275">
        <f>BX142</f>
        <v>4388</v>
      </c>
      <c r="BY194" s="263">
        <f>BY142</f>
        <v>4407.32548573113</v>
      </c>
      <c r="BZ194" s="263">
        <f>BZ142</f>
        <v>4385.32283926888</v>
      </c>
      <c r="CA194" s="263">
        <f>CA142</f>
        <v>17062.648325</v>
      </c>
      <c r="CB194" s="263">
        <f>CB142</f>
        <v>19329.2218194404</v>
      </c>
      <c r="CC194" s="263">
        <f>CC142</f>
        <v>21801.8084738228</v>
      </c>
      <c r="CD194" s="263">
        <f>CD142</f>
        <v>24398.5044192665</v>
      </c>
      <c r="CE194" s="263">
        <f>CE142</f>
        <v>27123.1920540855</v>
      </c>
      <c r="CF194" s="153" t="n"/>
    </row>
    <row r="195" ht="15" customHeight="1" s="251">
      <c r="B195" s="25" t="inlineStr">
        <is>
          <t xml:space="preserve">  (+) Operating special items (pre-tax, incl. revenue items)</t>
        </is>
      </c>
      <c r="C195" s="211">
        <f>C184</f>
        <v>420</v>
      </c>
      <c r="D195" s="211">
        <f>D184</f>
        <v>3</v>
      </c>
      <c r="E195" s="211">
        <f>E184</f>
        <v>2483</v>
      </c>
      <c r="F195" s="211">
        <f>F184</f>
        <v>7</v>
      </c>
      <c r="G195" s="211">
        <f>G184</f>
        <v>0</v>
      </c>
      <c r="H195" s="211">
        <f>H184</f>
        <v>770</v>
      </c>
      <c r="I195" s="211">
        <f>I184</f>
        <v>20</v>
      </c>
      <c r="J195" s="211">
        <f>J184</f>
        <v>0</v>
      </c>
      <c r="K195" s="211">
        <f>K184</f>
        <v>0</v>
      </c>
      <c r="L195" s="211">
        <f>L184</f>
        <v>0</v>
      </c>
      <c r="M195" s="211">
        <f>M184</f>
        <v>95</v>
      </c>
      <c r="N195" s="211">
        <f>N184</f>
        <v>95</v>
      </c>
      <c r="O195" s="211">
        <f>O184</f>
        <v>0</v>
      </c>
      <c r="P195" s="211">
        <f>P184</f>
        <v>0</v>
      </c>
      <c r="Q195" s="211">
        <f>Q184</f>
        <v>0</v>
      </c>
      <c r="R195" s="211">
        <f>R184</f>
        <v>0</v>
      </c>
      <c r="S195" s="211">
        <f>S184</f>
        <v>0</v>
      </c>
      <c r="T195" s="211">
        <f>T184</f>
        <v>0</v>
      </c>
      <c r="U195" s="211">
        <f>U184</f>
        <v>61</v>
      </c>
      <c r="V195" s="211">
        <f>V184</f>
        <v>79</v>
      </c>
      <c r="W195" s="211">
        <f>W184</f>
        <v>0</v>
      </c>
      <c r="X195" s="211">
        <f>X184</f>
        <v>140</v>
      </c>
      <c r="Y195" s="211">
        <f>Y184</f>
        <v>0</v>
      </c>
      <c r="Z195" s="211">
        <f>Z184</f>
        <v>107</v>
      </c>
      <c r="AA195" s="211">
        <f>AA184</f>
        <v>0</v>
      </c>
      <c r="AB195" s="211">
        <f>AB184</f>
        <v>10</v>
      </c>
      <c r="AC195" s="211">
        <f>AC184</f>
        <v>117</v>
      </c>
      <c r="AD195" s="211">
        <f>AD184</f>
        <v>15</v>
      </c>
      <c r="AE195" s="211">
        <f>AE184</f>
        <v>0</v>
      </c>
      <c r="AF195" s="211">
        <f>AF184</f>
        <v>0</v>
      </c>
      <c r="AG195" s="211">
        <f>AG184</f>
        <v>167</v>
      </c>
      <c r="AH195" s="211">
        <f>AH184</f>
        <v>182</v>
      </c>
      <c r="AI195" s="211">
        <f>AI184</f>
        <v>117</v>
      </c>
      <c r="AJ195" s="211">
        <f>AJ184</f>
        <v>225</v>
      </c>
      <c r="AK195" s="211">
        <f>AK184</f>
        <v>29</v>
      </c>
      <c r="AL195" s="211">
        <f>AL184</f>
        <v>757</v>
      </c>
      <c r="AM195" s="211">
        <f>AM184</f>
        <v>1128</v>
      </c>
      <c r="AN195" s="211">
        <f>AN184</f>
        <v>0</v>
      </c>
      <c r="AO195" s="211">
        <f>AO184</f>
        <v>0</v>
      </c>
      <c r="AP195" s="211">
        <f>AP184</f>
        <v>0</v>
      </c>
      <c r="AQ195" s="211">
        <f>AQ184</f>
        <v>0</v>
      </c>
      <c r="AR195" s="211">
        <f>AR184</f>
        <v>0</v>
      </c>
      <c r="AS195" s="211">
        <f>AS184</f>
        <v>6</v>
      </c>
      <c r="AT195" s="211">
        <f>AT184</f>
        <v>22</v>
      </c>
      <c r="AU195" s="211">
        <f>AU184</f>
        <v>0</v>
      </c>
      <c r="AV195" s="211">
        <f>AV184</f>
        <v>45</v>
      </c>
      <c r="AW195" s="211">
        <f>AW184</f>
        <v>73</v>
      </c>
      <c r="AX195" s="211">
        <f>AX184</f>
        <v>0</v>
      </c>
      <c r="AY195" s="211">
        <f>AY184</f>
        <v>67</v>
      </c>
      <c r="AZ195" s="211">
        <f>AZ184</f>
        <v>109</v>
      </c>
      <c r="BA195" s="211">
        <f>BA184</f>
        <v>0</v>
      </c>
      <c r="BB195" s="211">
        <f>BB184</f>
        <v>176</v>
      </c>
      <c r="BC195" s="211">
        <f>BC184</f>
        <v>4</v>
      </c>
      <c r="BD195" s="211">
        <f>BD184</f>
        <v>160</v>
      </c>
      <c r="BE195" s="211">
        <f>BE184</f>
        <v>208</v>
      </c>
      <c r="BF195" s="211">
        <f>BF184</f>
        <v>15</v>
      </c>
      <c r="BG195" s="211">
        <f>BG184</f>
        <v>386</v>
      </c>
      <c r="BH195" s="211">
        <f>BH184</f>
        <v>211</v>
      </c>
      <c r="BI195" s="211">
        <f>BI184</f>
        <v>20</v>
      </c>
      <c r="BJ195" s="211">
        <f>BJ184</f>
        <v>0</v>
      </c>
      <c r="BK195" s="211">
        <f>BK184</f>
        <v>308</v>
      </c>
      <c r="BL195" s="211">
        <f>BL184</f>
        <v>539</v>
      </c>
      <c r="BM195" s="211">
        <f>BM184</f>
        <v>126</v>
      </c>
      <c r="BN195" s="211">
        <f>BN184</f>
        <v>98</v>
      </c>
      <c r="BO195" s="211">
        <f>BO184</f>
        <v>366</v>
      </c>
      <c r="BP195" s="211">
        <f>BP184</f>
        <v>280</v>
      </c>
      <c r="BQ195" s="211">
        <f>BQ184</f>
        <v>870</v>
      </c>
      <c r="BR195" s="211">
        <f>BR184</f>
        <v>151</v>
      </c>
      <c r="BS195" s="211">
        <f>BS184</f>
        <v>96</v>
      </c>
      <c r="BT195" s="211">
        <f>BT184</f>
        <v>83</v>
      </c>
      <c r="BU195" s="211">
        <f>BU184</f>
        <v>174</v>
      </c>
      <c r="BV195" s="211">
        <f>BV184</f>
        <v>504</v>
      </c>
      <c r="BW195" s="211">
        <f>BW184</f>
        <v>202</v>
      </c>
      <c r="BX195" s="211">
        <f>BX184</f>
        <v>82</v>
      </c>
      <c r="BY195" s="254">
        <f>BY184</f>
        <v>100</v>
      </c>
      <c r="BZ195" s="254">
        <f>BZ184</f>
        <v>100</v>
      </c>
      <c r="CA195" s="254">
        <f>CA184</f>
        <v>484</v>
      </c>
      <c r="CB195" s="254">
        <f>CB184</f>
        <v>450</v>
      </c>
      <c r="CC195" s="254">
        <f>CC184</f>
        <v>450</v>
      </c>
      <c r="CD195" s="254">
        <f>CD184</f>
        <v>450</v>
      </c>
      <c r="CE195" s="254">
        <f>CE184</f>
        <v>450</v>
      </c>
      <c r="CF195" s="19" t="n"/>
    </row>
    <row r="196" ht="15" customHeight="1" s="251">
      <c r="B196" s="25" t="inlineStr">
        <is>
          <t xml:space="preserve">  (+) Equity-investment (gains) losses &amp; other non-operating special items (pre-tax)</t>
        </is>
      </c>
      <c r="C196" s="211">
        <f>IF(ISNUMBER(C118),C118+N(C119),"")</f>
        <v>-7</v>
      </c>
      <c r="D196" s="211">
        <f>IF(ISNUMBER(D118),D118+N(D119),"")</f>
        <v>-90</v>
      </c>
      <c r="E196" s="211">
        <f>IF(ISNUMBER(E118),E118+N(E119),"")</f>
        <v>-75</v>
      </c>
      <c r="F196" s="211">
        <f>IF(ISNUMBER(F118),F118+N(F119),"")</f>
        <v>0</v>
      </c>
      <c r="G196" s="211">
        <f>IF(ISNUMBER(G118),G118+N(G119),"")</f>
        <v>0</v>
      </c>
      <c r="H196" s="211">
        <f>IF(ISNUMBER(H118),H118+N(H119),"")</f>
        <v>0</v>
      </c>
      <c r="I196" s="211">
        <f>IF(ISNUMBER(I118),I118+N(I119),"")</f>
        <v>0</v>
      </c>
      <c r="J196" s="211">
        <f>IF(ISNUMBER(J118),J118+N(J119),"")</f>
        <v>0</v>
      </c>
      <c r="K196" s="211">
        <f>IF(ISNUMBER(K118),K118+N(K119),"")</f>
        <v>0</v>
      </c>
      <c r="L196" s="211">
        <f>IF(ISNUMBER(L118),L118+N(L119),"")</f>
        <v>0</v>
      </c>
      <c r="M196" s="211">
        <f>IF(ISNUMBER(M118),M118+N(M119),"")</f>
        <v>0</v>
      </c>
      <c r="N196" s="211">
        <f>IF(ISNUMBER(N118),N118+N(N119),"")</f>
        <v>0</v>
      </c>
      <c r="O196" s="211">
        <f>IF(ISNUMBER(O118),O118+N(O119),"")</f>
        <v>0</v>
      </c>
      <c r="P196" s="211">
        <f>IF(ISNUMBER(P118),P118+N(P119),"")</f>
        <v>0</v>
      </c>
      <c r="Q196" s="211">
        <f>IF(ISNUMBER(Q118),Q118+N(Q119),"")</f>
        <v>0</v>
      </c>
      <c r="R196" s="211">
        <f>IF(ISNUMBER(R118),R118+N(R119),"")</f>
        <v>0</v>
      </c>
      <c r="S196" s="211">
        <f>IF(ISNUMBER(S118),S118+N(S119),"")</f>
        <v>0</v>
      </c>
      <c r="T196" s="211">
        <f>IF(ISNUMBER(T118),T118+N(T119),"")</f>
        <v>0</v>
      </c>
      <c r="U196" s="211">
        <f>IF(ISNUMBER(U118),U118+N(U119),"")</f>
        <v>0</v>
      </c>
      <c r="V196" s="211">
        <f>IF(ISNUMBER(V118),V118+N(V119),"")</f>
        <v>0</v>
      </c>
      <c r="W196" s="211">
        <f>IF(ISNUMBER(W118),W118+N(W119),"")</f>
        <v>0</v>
      </c>
      <c r="X196" s="211">
        <f>IF(ISNUMBER(X118),X118+N(X119),"")</f>
        <v>0</v>
      </c>
      <c r="Y196" s="211">
        <f>IF(ISNUMBER(Y118),Y118+N(Y119),"")</f>
        <v>0</v>
      </c>
      <c r="Z196" s="211">
        <f>IF(ISNUMBER(Z118),Z118+N(Z119),"")</f>
        <v>0</v>
      </c>
      <c r="AA196" s="211">
        <f>IF(ISNUMBER(AA118),AA118+N(AA119),"")</f>
        <v>0</v>
      </c>
      <c r="AB196" s="211">
        <f>IF(ISNUMBER(AB118),AB118+N(AB119),"")</f>
        <v>0</v>
      </c>
      <c r="AC196" s="211">
        <f>IF(ISNUMBER(AC118),AC118+N(AC119),"")</f>
        <v>0</v>
      </c>
      <c r="AD196" s="211">
        <f>IF(ISNUMBER(AD118),AD118+N(AD119),"")</f>
        <v>0</v>
      </c>
      <c r="AE196" s="211">
        <f>IF(ISNUMBER(AE118),AE118+N(AE119),"")</f>
        <v>0</v>
      </c>
      <c r="AF196" s="211">
        <f>IF(ISNUMBER(AF118),AF118+N(AF119),"")</f>
        <v>0</v>
      </c>
      <c r="AG196" s="211">
        <f>IF(ISNUMBER(AG118),AG118+N(AG119),"")</f>
        <v>0</v>
      </c>
      <c r="AH196" s="211">
        <f>IF(ISNUMBER(AH118),AH118+N(AH119),"")</f>
        <v>0</v>
      </c>
      <c r="AI196" s="211">
        <f>IF(ISNUMBER(AI118),AI118+N(AI119),"")</f>
        <v>0</v>
      </c>
      <c r="AJ196" s="211">
        <f>IF(ISNUMBER(AJ118),AJ118+N(AJ119),"")</f>
        <v>0</v>
      </c>
      <c r="AK196" s="211">
        <f>IF(ISNUMBER(AK118),AK118+N(AK119),"")</f>
        <v>0</v>
      </c>
      <c r="AL196" s="211">
        <f>IF(ISNUMBER(AL118),AL118+N(AL119),"")</f>
        <v>0</v>
      </c>
      <c r="AM196" s="211">
        <f>IF(ISNUMBER(AM118),AM118+N(AM119),"")</f>
        <v>0</v>
      </c>
      <c r="AN196" s="211">
        <f>IF(ISNUMBER(AN118),AN118+N(AN119),"")</f>
        <v>0</v>
      </c>
      <c r="AO196" s="211">
        <f>IF(ISNUMBER(AO118),AO118+N(AO119),"")</f>
        <v>-143</v>
      </c>
      <c r="AP196" s="211">
        <f>IF(ISNUMBER(AP118),AP118+N(AP119),"")</f>
        <v>100</v>
      </c>
      <c r="AQ196" s="211">
        <f>IF(ISNUMBER(AQ118),AQ118+N(AQ119),"")</f>
        <v>-119</v>
      </c>
      <c r="AR196" s="211">
        <f>IF(ISNUMBER(AR118),AR118+N(AR119),"")</f>
        <v>-167</v>
      </c>
      <c r="AS196" s="211">
        <f>IF(ISNUMBER(AS118),AS118+N(AS119),"")</f>
        <v>174</v>
      </c>
      <c r="AT196" s="211">
        <f>IF(ISNUMBER(AT118),AT118+N(AT119),"")</f>
        <v>-75</v>
      </c>
      <c r="AU196" s="211">
        <f>IF(ISNUMBER(AU118),AU118+N(AU119),"")</f>
        <v>91</v>
      </c>
      <c r="AV196" s="211">
        <f>IF(ISNUMBER(AV118),AV118+N(AV119),"")</f>
        <v>-220</v>
      </c>
      <c r="AW196" s="211">
        <f>IF(ISNUMBER(AW118),AW118+N(AW119),"")</f>
        <v>-30</v>
      </c>
      <c r="AX196" s="211">
        <f>IF(ISNUMBER(AX118),AX118+N(AX119),"")</f>
        <v>-94</v>
      </c>
      <c r="AY196" s="211">
        <f>IF(ISNUMBER(AY118),AY118+N(AY119),"")</f>
        <v>-243</v>
      </c>
      <c r="AZ196" s="211">
        <f>IF(ISNUMBER(AZ118),AZ118+N(AZ119),"")</f>
        <v>-191</v>
      </c>
      <c r="BA196" s="211">
        <f>IF(ISNUMBER(BA118),BA118+N(BA119),"")</f>
        <v>-111</v>
      </c>
      <c r="BB196" s="211">
        <f>IF(ISNUMBER(BB118),BB118+N(BB119),"")</f>
        <v>-639</v>
      </c>
      <c r="BC196" s="211">
        <f>IF(ISNUMBER(BC118),BC118+N(BC119),"")</f>
        <v>76</v>
      </c>
      <c r="BD196" s="211">
        <f>IF(ISNUMBER(BD118),BD118+N(BD119),"")</f>
        <v>117</v>
      </c>
      <c r="BE196" s="211">
        <f>IF(ISNUMBER(BE118),BE118+N(BE119),"")</f>
        <v>-60</v>
      </c>
      <c r="BF196" s="211">
        <f>IF(ISNUMBER(BF118),BF118+N(BF119),"")</f>
        <v>12</v>
      </c>
      <c r="BG196" s="211">
        <f>IF(ISNUMBER(BG118),BG118+N(BG119),"")</f>
        <v>145</v>
      </c>
      <c r="BH196" s="211">
        <f>IF(ISNUMBER(BH118),BH118+N(BH119),"")</f>
        <v>212</v>
      </c>
      <c r="BI196" s="211">
        <f>IF(ISNUMBER(BI118),BI118+N(BI119),"")</f>
        <v>-123</v>
      </c>
      <c r="BJ196" s="211">
        <f>IF(ISNUMBER(BJ118),BJ118+N(BJ119),"")</f>
        <v>6</v>
      </c>
      <c r="BK196" s="211">
        <f>IF(ISNUMBER(BK118),BK118+N(BK119),"")</f>
        <v>-34</v>
      </c>
      <c r="BL196" s="211">
        <f>IF(ISNUMBER(BL118),BL118+N(BL119),"")</f>
        <v>61</v>
      </c>
      <c r="BM196" s="211">
        <f>IF(ISNUMBER(BM118),BM118+N(BM119),"")</f>
        <v>-6</v>
      </c>
      <c r="BN196" s="211">
        <f>IF(ISNUMBER(BN118),BN118+N(BN119),"")</f>
        <v>13</v>
      </c>
      <c r="BO196" s="211">
        <f>IF(ISNUMBER(BO118),BO118+N(BO119),"")</f>
        <v>62</v>
      </c>
      <c r="BP196" s="211">
        <f>IF(ISNUMBER(BP118),BP118+N(BP119),"")</f>
        <v>-40</v>
      </c>
      <c r="BQ196" s="211">
        <f>IF(ISNUMBER(BQ118),BQ118+N(BQ119),"")</f>
        <v>29</v>
      </c>
      <c r="BR196" s="211">
        <f>IF(ISNUMBER(BR118),BR118+N(BR119),"")</f>
        <v>29</v>
      </c>
      <c r="BS196" s="211">
        <f>IF(ISNUMBER(BS118),BS118+N(BS119),"")</f>
        <v>-4</v>
      </c>
      <c r="BT196" s="211">
        <f>IF(ISNUMBER(BT118),BT118+N(BT119),"")</f>
        <v>-41</v>
      </c>
      <c r="BU196" s="211">
        <f>IF(ISNUMBER(BU118),BU118+N(BU119),"")</f>
        <v>104</v>
      </c>
      <c r="BV196" s="211">
        <f>IF(ISNUMBER(BV118),BV118+N(BV119),"")</f>
        <v>88</v>
      </c>
      <c r="BW196" s="211">
        <f>IF(ISNUMBER(BW118),BW118+N(BW119),"")</f>
        <v>66</v>
      </c>
      <c r="BX196" s="211">
        <f>IF(ISNUMBER(BX118),BX118+N(BX119),"")</f>
        <v>2</v>
      </c>
      <c r="BY196" s="254">
        <f>IF(ISNUMBER(BY118),BY118+N(BY119),"")</f>
        <v>0</v>
      </c>
      <c r="BZ196" s="254">
        <f>IF(ISNUMBER(BZ118),BZ118+N(BZ119),"")</f>
        <v>0</v>
      </c>
      <c r="CA196" s="254">
        <f>IF(ISNUMBER(CA118),CA118+N(CA119),"")</f>
        <v>68</v>
      </c>
      <c r="CB196" s="254">
        <f>IF(ISNUMBER(CB118),CB118+N(CB119),"")</f>
        <v>0</v>
      </c>
      <c r="CC196" s="254">
        <f>IF(ISNUMBER(CC118),CC118+N(CC119),"")</f>
        <v>0</v>
      </c>
      <c r="CD196" s="254">
        <f>IF(ISNUMBER(CD118),CD118+N(CD119),"")</f>
        <v>0</v>
      </c>
      <c r="CE196" s="254">
        <f>IF(ISNUMBER(CE118),CE118+N(CE119),"")</f>
        <v>0</v>
      </c>
      <c r="CF196" s="19" t="n"/>
    </row>
    <row r="197" ht="15" customHeight="1" s="251">
      <c r="B197" s="25" t="inlineStr">
        <is>
          <t xml:space="preserve">  (−) Tax effect of the items &amp; discrete tax items</t>
        </is>
      </c>
      <c r="C197" s="211">
        <f>IF(ISNUMBER(C199),C199-C194-C195-C196,IF(ISNUMBER(C194),0,""))</f>
        <v>-6.1900000000004</v>
      </c>
      <c r="D197" s="211">
        <f>IF(ISNUMBER(D199),D199-D194-D195-D196,IF(ISNUMBER(D194),0,""))</f>
        <v>30.114</v>
      </c>
      <c r="E197" s="211">
        <f>IF(ISNUMBER(E199),E199-E194-E195-E196,IF(ISNUMBER(E194),0,""))</f>
        <v>-915.085000000001</v>
      </c>
      <c r="F197" s="211">
        <f>IF(ISNUMBER(F199),F199-F194-F195-F196,IF(ISNUMBER(F194),0,""))</f>
        <v>-2.53200000000015</v>
      </c>
      <c r="G197" s="211">
        <f>IF(ISNUMBER(G199),G199-G194-G195-G196,IF(ISNUMBER(G194),0,""))</f>
        <v>0</v>
      </c>
      <c r="H197" s="211">
        <f>IF(ISNUMBER(H199),H199-H194-H195-H196,IF(ISNUMBER(H194),0,""))</f>
        <v>-275</v>
      </c>
      <c r="I197" s="211">
        <f>IF(ISNUMBER(I199),I199-I194-I195-I196,IF(ISNUMBER(I194),0,""))</f>
        <v>-7</v>
      </c>
      <c r="J197" s="211">
        <f>IF(ISNUMBER(J199),J199-J194-J195-J196,IF(ISNUMBER(J194),0,""))</f>
        <v>0</v>
      </c>
      <c r="K197" s="211">
        <f>IF(ISNUMBER(K199),K199-K194-K195-K196,IF(ISNUMBER(K194),0,""))</f>
        <v>0</v>
      </c>
      <c r="L197" s="211">
        <f>IF(ISNUMBER(L199),L199-L194-L195-L196,IF(ISNUMBER(L194),0,""))</f>
        <v>0</v>
      </c>
      <c r="M197" s="211">
        <f>IF(ISNUMBER(M199),M199-M194-M195-M196,IF(ISNUMBER(M194),0,""))</f>
        <v>-34</v>
      </c>
      <c r="N197" s="211">
        <f>IF(ISNUMBER(N199),N199-N194-N195-N196,IF(ISNUMBER(N194),0,""))</f>
        <v>-34</v>
      </c>
      <c r="O197" s="211">
        <f>IF(ISNUMBER(O199),O199-O194-O195-O196,IF(ISNUMBER(O194),0,""))</f>
        <v>0</v>
      </c>
      <c r="P197" s="211">
        <f>IF(ISNUMBER(P199),P199-P194-P195-P196,IF(ISNUMBER(P194),0,""))</f>
        <v>0</v>
      </c>
      <c r="Q197" s="211">
        <f>IF(ISNUMBER(Q199),Q199-Q194-Q195-Q196,IF(ISNUMBER(Q194),0,""))</f>
        <v>0</v>
      </c>
      <c r="R197" s="211">
        <f>IF(ISNUMBER(R199),R199-R194-R195-R196,IF(ISNUMBER(R194),0,""))</f>
        <v>0</v>
      </c>
      <c r="S197" s="211">
        <f>IF(ISNUMBER(S199),S199-S194-S195-S196,IF(ISNUMBER(S194),0,""))</f>
        <v>0</v>
      </c>
      <c r="T197" s="211">
        <f>IF(ISNUMBER(T199),T199-T194-T195-T196,IF(ISNUMBER(T194),0,""))</f>
        <v>0</v>
      </c>
      <c r="U197" s="211">
        <f>IF(ISNUMBER(U199),U199-U194-U195-U196,IF(ISNUMBER(U194),0,""))</f>
        <v>-17</v>
      </c>
      <c r="V197" s="211">
        <f>IF(ISNUMBER(V199),V199-V194-V195-V196,IF(ISNUMBER(V194),0,""))</f>
        <v>-29</v>
      </c>
      <c r="W197" s="211">
        <f>IF(ISNUMBER(W199),W199-W194-W195-W196,IF(ISNUMBER(W194),0,""))</f>
        <v>0</v>
      </c>
      <c r="X197" s="211">
        <f>IF(ISNUMBER(X199),X199-X194-X195-X196,IF(ISNUMBER(X194),0,""))</f>
        <v>-45</v>
      </c>
      <c r="Y197" s="211">
        <f>IF(ISNUMBER(Y199),Y199-Y194-Y195-Y196,IF(ISNUMBER(Y194),0,""))</f>
        <v>0</v>
      </c>
      <c r="Z197" s="211">
        <f>IF(ISNUMBER(Z199),Z199-Z194-Z195-Z196,IF(ISNUMBER(Z194),0,""))</f>
        <v>-29</v>
      </c>
      <c r="AA197" s="211">
        <f>IF(ISNUMBER(AA199),AA199-AA194-AA195-AA196,IF(ISNUMBER(AA194),0,""))</f>
        <v>0</v>
      </c>
      <c r="AB197" s="211">
        <f>IF(ISNUMBER(AB199),AB199-AB194-AB195-AB196,IF(ISNUMBER(AB194),0,""))</f>
        <v>-3</v>
      </c>
      <c r="AC197" s="211">
        <f>IF(ISNUMBER(AC199),AC199-AC194-AC195-AC196,IF(ISNUMBER(AC194),0,""))</f>
        <v>-32</v>
      </c>
      <c r="AD197" s="211">
        <f>IF(ISNUMBER(AD199),AD199-AD194-AD195-AD196,IF(ISNUMBER(AD194),0,""))</f>
        <v>-5</v>
      </c>
      <c r="AE197" s="211">
        <f>IF(ISNUMBER(AE199),AE199-AE194-AE195-AE196,IF(ISNUMBER(AE194),0,""))</f>
        <v>0</v>
      </c>
      <c r="AF197" s="211">
        <f>IF(ISNUMBER(AF199),AF199-AF194-AF195-AF196,IF(ISNUMBER(AF194),0,""))</f>
        <v>0</v>
      </c>
      <c r="AG197" s="211">
        <f>IF(ISNUMBER(AG199),AG199-AG194-AG195-AG196,IF(ISNUMBER(AG194),0,""))</f>
        <v>814</v>
      </c>
      <c r="AH197" s="211">
        <f>IF(ISNUMBER(AH199),AH199-AH194-AH195-AH196,IF(ISNUMBER(AH194),0,""))</f>
        <v>809</v>
      </c>
      <c r="AI197" s="211">
        <f>IF(ISNUMBER(AI199),AI199-AI194-AI195-AI196,IF(ISNUMBER(AI194),0,""))</f>
        <v>-28</v>
      </c>
      <c r="AJ197" s="211">
        <f>IF(ISNUMBER(AJ199),AJ199-AJ194-AJ195-AJ196,IF(ISNUMBER(AJ194),0,""))</f>
        <v>-50</v>
      </c>
      <c r="AK197" s="211">
        <f>IF(ISNUMBER(AK199),AK199-AK194-AK195-AK196,IF(ISNUMBER(AK194),0,""))</f>
        <v>-72</v>
      </c>
      <c r="AL197" s="211">
        <f>IF(ISNUMBER(AL199),AL199-AL194-AL195-AL196,IF(ISNUMBER(AL194),0,""))</f>
        <v>-45</v>
      </c>
      <c r="AM197" s="211">
        <f>IF(ISNUMBER(AM199),AM199-AM194-AM195-AM196,IF(ISNUMBER(AM194),0,""))</f>
        <v>-195</v>
      </c>
      <c r="AN197" s="211">
        <f>IF(ISNUMBER(AN199),AN199-AN194-AN195-AN196,IF(ISNUMBER(AN194),0,""))</f>
        <v>-29</v>
      </c>
      <c r="AO197" s="211">
        <f>IF(ISNUMBER(AO199),AO199-AO194-AO195-AO196,IF(ISNUMBER(AO194),0,""))</f>
        <v>32</v>
      </c>
      <c r="AP197" s="211">
        <f>IF(ISNUMBER(AP199),AP199-AP194-AP195-AP196,IF(ISNUMBER(AP194),0,""))</f>
        <v>-17</v>
      </c>
      <c r="AQ197" s="211">
        <f>IF(ISNUMBER(AQ199),AQ199-AQ194-AQ195-AQ196,IF(ISNUMBER(AQ194),0,""))</f>
        <v>0</v>
      </c>
      <c r="AR197" s="211">
        <f>IF(ISNUMBER(AR199),AR199-AR194-AR195-AR196,IF(ISNUMBER(AR194),0,""))</f>
        <v>-14</v>
      </c>
      <c r="AS197" s="211">
        <f>IF(ISNUMBER(AS199),AS199-AS194-AS195-AS196,IF(ISNUMBER(AS194),0,""))</f>
        <v>-29</v>
      </c>
      <c r="AT197" s="211">
        <f>IF(ISNUMBER(AT199),AT199-AT194-AT195-AT196,IF(ISNUMBER(AT194),0,""))</f>
        <v>3</v>
      </c>
      <c r="AU197" s="211">
        <f>IF(ISNUMBER(AU199),AU199-AU194-AU195-AU196,IF(ISNUMBER(AU194),0,""))</f>
        <v>1</v>
      </c>
      <c r="AV197" s="211">
        <f>IF(ISNUMBER(AV199),AV199-AV194-AV195-AV196,IF(ISNUMBER(AV194),0,""))</f>
        <v>34</v>
      </c>
      <c r="AW197" s="211">
        <f>IF(ISNUMBER(AW199),AW199-AW194-AW195-AW196,IF(ISNUMBER(AW194),0,""))</f>
        <v>9</v>
      </c>
      <c r="AX197" s="211">
        <f>IF(ISNUMBER(AX199),AX199-AX194-AX195-AX196,IF(ISNUMBER(AX194),0,""))</f>
        <v>7</v>
      </c>
      <c r="AY197" s="211">
        <f>IF(ISNUMBER(AY199),AY199-AY194-AY195-AY196,IF(ISNUMBER(AY194),0,""))</f>
        <v>47</v>
      </c>
      <c r="AZ197" s="211">
        <f>IF(ISNUMBER(AZ199),AZ199-AZ194-AZ195-AZ196,IF(ISNUMBER(AZ194),0,""))</f>
        <v>9</v>
      </c>
      <c r="BA197" s="211">
        <f>IF(ISNUMBER(BA199),BA199-BA194-BA195-BA196,IF(ISNUMBER(BA194),0,""))</f>
        <v>46</v>
      </c>
      <c r="BB197" s="211">
        <f>IF(ISNUMBER(BB199),BB199-BB194-BB195-BB196,IF(ISNUMBER(BB194),0,""))</f>
        <v>109</v>
      </c>
      <c r="BC197" s="211">
        <f>IF(ISNUMBER(BC199),BC199-BC194-BC195-BC196,IF(ISNUMBER(BC194),0,""))</f>
        <v>-9</v>
      </c>
      <c r="BD197" s="211">
        <f>IF(ISNUMBER(BD199),BD199-BD194-BD195-BD196,IF(ISNUMBER(BD194),0,""))</f>
        <v>-55</v>
      </c>
      <c r="BE197" s="211">
        <f>IF(ISNUMBER(BE199),BE199-BE194-BE195-BE196,IF(ISNUMBER(BE194),0,""))</f>
        <v>-52</v>
      </c>
      <c r="BF197" s="211">
        <f>IF(ISNUMBER(BF199),BF199-BF194-BF195-BF196,IF(ISNUMBER(BF194),0,""))</f>
        <v>-4</v>
      </c>
      <c r="BG197" s="211">
        <f>IF(ISNUMBER(BG199),BG199-BG194-BG195-BG196,IF(ISNUMBER(BG194),0,""))</f>
        <v>-119</v>
      </c>
      <c r="BH197" s="211">
        <f>IF(ISNUMBER(BH199),BH199-BH194-BH195-BH196,IF(ISNUMBER(BH194),0,""))</f>
        <v>-106</v>
      </c>
      <c r="BI197" s="211">
        <f>IF(ISNUMBER(BI199),BI199-BI194-BI195-BI196,IF(ISNUMBER(BI194),0,""))</f>
        <v>0</v>
      </c>
      <c r="BJ197" s="211">
        <f>IF(ISNUMBER(BJ199),BJ199-BJ194-BJ195-BJ196,IF(ISNUMBER(BJ194),0,""))</f>
        <v>-2</v>
      </c>
      <c r="BK197" s="211">
        <f>IF(ISNUMBER(BK199),BK199-BK194-BK195-BK196,IF(ISNUMBER(BK194),0,""))</f>
        <v>-80</v>
      </c>
      <c r="BL197" s="211">
        <f>IF(ISNUMBER(BL199),BL199-BL194-BL195-BL196,IF(ISNUMBER(BL194),0,""))</f>
        <v>-188</v>
      </c>
      <c r="BM197" s="211">
        <f>IF(ISNUMBER(BM199),BM199-BM194-BM195-BM196,IF(ISNUMBER(BM194),0,""))</f>
        <v>-38</v>
      </c>
      <c r="BN197" s="211">
        <f>IF(ISNUMBER(BN199),BN199-BN194-BN195-BN196,IF(ISNUMBER(BN194),0,""))</f>
        <v>-28</v>
      </c>
      <c r="BO197" s="211">
        <f>IF(ISNUMBER(BO199),BO199-BO194-BO195-BO196,IF(ISNUMBER(BO194),0,""))</f>
        <v>-98</v>
      </c>
      <c r="BP197" s="211">
        <f>IF(ISNUMBER(BP199),BP199-BP194-BP195-BP196,IF(ISNUMBER(BP194),0,""))</f>
        <v>-69</v>
      </c>
      <c r="BQ197" s="211">
        <f>IF(ISNUMBER(BQ199),BQ199-BQ194-BQ195-BQ196,IF(ISNUMBER(BQ194),0,""))</f>
        <v>-232</v>
      </c>
      <c r="BR197" s="211">
        <f>IF(ISNUMBER(BR199),BR199-BR194-BR195-BR196,IF(ISNUMBER(BR194),0,""))</f>
        <v>-54</v>
      </c>
      <c r="BS197" s="211">
        <f>IF(ISNUMBER(BS199),BS199-BS194-BS195-BS196,IF(ISNUMBER(BS194),0,""))</f>
        <v>-24</v>
      </c>
      <c r="BT197" s="211">
        <f>IF(ISNUMBER(BT199),BT199-BT194-BT195-BT196,IF(ISNUMBER(BT194),0,""))</f>
        <v>-8</v>
      </c>
      <c r="BU197" s="211">
        <f>IF(ISNUMBER(BU199),BU199-BU194-BU195-BU196,IF(ISNUMBER(BU194),0,""))</f>
        <v>-60</v>
      </c>
      <c r="BV197" s="211">
        <f>IF(ISNUMBER(BV199),BV199-BV194-BV195-BV196,IF(ISNUMBER(BV194),0,""))</f>
        <v>-145</v>
      </c>
      <c r="BW197" s="211">
        <f>IF(ISNUMBER(BW199),BW199-BW194-BW195-BW196,IF(ISNUMBER(BW194),0,""))</f>
        <v>-47</v>
      </c>
      <c r="BX197" s="211">
        <f>IF(ISNUMBER(BX199),BX199-BX194-BX195-BX196,IF(ISNUMBER(BX194),0,""))</f>
        <v>-19</v>
      </c>
      <c r="BY197" s="254">
        <f>BY138-BY206</f>
        <v>-20.5</v>
      </c>
      <c r="BZ197" s="254">
        <f>BZ138-BZ206</f>
        <v>-20.5</v>
      </c>
      <c r="CA197" s="254">
        <f>SUM(BW197:BZ197)</f>
        <v>-107</v>
      </c>
      <c r="CB197" s="254">
        <f>CB138-CB206</f>
        <v>-92.25</v>
      </c>
      <c r="CC197" s="254">
        <f>CC138-CC206</f>
        <v>-92.25</v>
      </c>
      <c r="CD197" s="254">
        <f>CD138-CD206</f>
        <v>-92.25</v>
      </c>
      <c r="CE197" s="254">
        <f>CE138-CE206</f>
        <v>-92.2499999999991</v>
      </c>
      <c r="CF197" s="19" t="inlineStr">
        <is>
          <t>Historical: published adjusted net income − net income − pre-tax items (incl. discrete tax items: U.S. tax reform 2017–18, other; see the discrete-tax row). Forecast: GAAP tax − adjusted tax.</t>
        </is>
      </c>
    </row>
    <row r="198" ht="15" customHeight="1" s="251">
      <c r="B198" s="55" t="inlineStr">
        <is>
          <t xml:space="preserve">  = Adjusted net income (model bridge)</t>
        </is>
      </c>
      <c r="C198" s="273">
        <f>IF(ISNUMBER(C197),C194+C195+C196+C197,"")</f>
        <v>457</v>
      </c>
      <c r="D198" s="273">
        <f>IF(ISNUMBER(D197),D194+D195+D196+D197,"")</f>
        <v>1029</v>
      </c>
      <c r="E198" s="273">
        <f>IF(ISNUMBER(E197),E194+E195+E196+E197,"")</f>
        <v>1239</v>
      </c>
      <c r="F198" s="273">
        <f>IF(ISNUMBER(F197),F194+F195+F196+F197,"")</f>
        <v>1467</v>
      </c>
      <c r="G198" s="273">
        <f>IF(ISNUMBER(G197),G194+G195+G196+G197,"")</f>
        <v>1846</v>
      </c>
      <c r="H198" s="273">
        <f>IF(ISNUMBER(H197),H194+H195+H196+H197,"")</f>
        <v>2401</v>
      </c>
      <c r="I198" s="273">
        <f>IF(ISNUMBER(I197),I194+I195+I196+I197,"")</f>
        <v>2772</v>
      </c>
      <c r="J198" s="273">
        <f>IF(ISNUMBER(J197),J194+J195+J196+J197,"")</f>
        <v>766</v>
      </c>
      <c r="K198" s="273">
        <f>IF(ISNUMBER(K197),K194+K195+K196+K197,"")</f>
        <v>848</v>
      </c>
      <c r="L198" s="273">
        <f>IF(ISNUMBER(L197),L194+L195+L196+L197,"")</f>
        <v>879</v>
      </c>
      <c r="M198" s="273">
        <f>IF(ISNUMBER(M197),M194+M195+M196+M197,"")</f>
        <v>684</v>
      </c>
      <c r="N198" s="273">
        <f>IF(ISNUMBER(N197),N194+N195+N196+N197,"")</f>
        <v>3177</v>
      </c>
      <c r="O198" s="273">
        <f>IF(ISNUMBER(O197),O194+O195+O196+O197,"")</f>
        <v>870</v>
      </c>
      <c r="P198" s="273">
        <f>IF(ISNUMBER(P197),P194+P195+P196+P197,"")</f>
        <v>931</v>
      </c>
      <c r="Q198" s="273">
        <f>IF(ISNUMBER(Q197),Q194+Q195+Q196+Q197,"")</f>
        <v>1015</v>
      </c>
      <c r="R198" s="273">
        <f>IF(ISNUMBER(R197),R194+R195+R196+R197,"")</f>
        <v>801</v>
      </c>
      <c r="S198" s="273">
        <f>IF(ISNUMBER(S197),S194+S195+S196+S197,"")</f>
        <v>3617</v>
      </c>
      <c r="T198" s="273">
        <f>IF(ISNUMBER(T197),T194+T195+T196+T197,"")</f>
        <v>1020</v>
      </c>
      <c r="U198" s="273">
        <f>IF(ISNUMBER(U197),U194+U195+U196+U197,"")</f>
        <v>965</v>
      </c>
      <c r="V198" s="273">
        <f>IF(ISNUMBER(V197),V194+V195+V196+V197,"")</f>
        <v>1027</v>
      </c>
      <c r="W198" s="273">
        <f>IF(ISNUMBER(W197),W194+W195+W196+W197,"")</f>
        <v>890</v>
      </c>
      <c r="X198" s="273">
        <f>IF(ISNUMBER(X197),X194+X195+X196+X197,"")</f>
        <v>3903</v>
      </c>
      <c r="Y198" s="273">
        <f>IF(ISNUMBER(Y197),Y194+Y195+Y196+Y197,"")</f>
        <v>959</v>
      </c>
      <c r="Z198" s="273">
        <f>IF(ISNUMBER(Z197),Z194+Z195+Z196+Z197,"")</f>
        <v>1061</v>
      </c>
      <c r="AA198" s="273">
        <f>IF(ISNUMBER(AA197),AA194+AA195+AA196+AA197,"")</f>
        <v>1184</v>
      </c>
      <c r="AB198" s="273">
        <f>IF(ISNUMBER(AB197),AB194+AB195+AB196+AB197,"")</f>
        <v>940</v>
      </c>
      <c r="AC198" s="273">
        <f>IF(ISNUMBER(AC197),AC194+AC195+AC196+AC197,"")</f>
        <v>4144</v>
      </c>
      <c r="AD198" s="273">
        <f>IF(ISNUMBER(AD197),AD194+AD195+AD196+AD197,"")</f>
        <v>1091</v>
      </c>
      <c r="AE198" s="273">
        <f>IF(ISNUMBER(AE197),AE194+AE195+AE196+AE197,"")</f>
        <v>1177</v>
      </c>
      <c r="AF198" s="273">
        <f>IF(ISNUMBER(AF197),AF194+AF195+AF196+AF197,"")</f>
        <v>1430</v>
      </c>
      <c r="AG198" s="273">
        <f>IF(ISNUMBER(AG197),AG194+AG195+AG196+AG197,"")</f>
        <v>1208</v>
      </c>
      <c r="AH198" s="273">
        <f>IF(ISNUMBER(AH197),AH194+AH195+AH196+AH197,"")</f>
        <v>4906</v>
      </c>
      <c r="AI198" s="273">
        <f>IF(ISNUMBER(AI197),AI194+AI195+AI196+AI197,"")</f>
        <v>1581</v>
      </c>
      <c r="AJ198" s="273">
        <f>IF(ISNUMBER(AJ197),AJ194+AJ195+AJ196+AJ197,"")</f>
        <v>1744</v>
      </c>
      <c r="AK198" s="273">
        <f>IF(ISNUMBER(AK197),AK194+AK195+AK196+AK197,"")</f>
        <v>1856</v>
      </c>
      <c r="AL198" s="273">
        <f>IF(ISNUMBER(AL197),AL194+AL195+AL196+AL197,"")</f>
        <v>1611</v>
      </c>
      <c r="AM198" s="273">
        <f>IF(ISNUMBER(AM197),AM194+AM195+AM196+AM197,"")</f>
        <v>6792</v>
      </c>
      <c r="AN198" s="273">
        <f>IF(ISNUMBER(AN197),AN194+AN195+AN196+AN197,"")</f>
        <v>1833</v>
      </c>
      <c r="AO198" s="273">
        <f>IF(ISNUMBER(AO197),AO194+AO195+AO196+AO197,"")</f>
        <v>1937</v>
      </c>
      <c r="AP198" s="273">
        <f>IF(ISNUMBER(AP197),AP194+AP195+AP196+AP197,"")</f>
        <v>2191</v>
      </c>
      <c r="AQ198" s="273">
        <f>IF(ISNUMBER(AQ197),AQ194+AQ195+AQ196+AQ197,"")</f>
        <v>1981</v>
      </c>
      <c r="AR198" s="273">
        <f>IF(ISNUMBER(AR197),AR194+AR195+AR196+AR197,"")</f>
        <v>7937</v>
      </c>
      <c r="AS198" s="273">
        <f>IF(ISNUMBER(AS197),AS194+AS195+AS196+AS197,"")</f>
        <v>1844</v>
      </c>
      <c r="AT198" s="273">
        <f>IF(ISNUMBER(AT197),AT194+AT195+AT196+AT197,"")</f>
        <v>1370</v>
      </c>
      <c r="AU198" s="273">
        <f>IF(ISNUMBER(AU197),AU194+AU195+AU196+AU197,"")</f>
        <v>1605</v>
      </c>
      <c r="AV198" s="273">
        <f>IF(ISNUMBER(AV197),AV194+AV195+AV196+AV197,"")</f>
        <v>1644</v>
      </c>
      <c r="AW198" s="273">
        <f>IF(ISNUMBER(AW197),AW194+AW195+AW196+AW197,"")</f>
        <v>6463</v>
      </c>
      <c r="AX198" s="273">
        <f>IF(ISNUMBER(AX197),AX194+AX195+AX196+AX197,"")</f>
        <v>1741</v>
      </c>
      <c r="AY198" s="273">
        <f>IF(ISNUMBER(AY197),AY194+AY195+AY196+AY197,"")</f>
        <v>1937</v>
      </c>
      <c r="AZ198" s="273">
        <f>IF(ISNUMBER(AZ197),AZ194+AZ195+AZ196+AZ197,"")</f>
        <v>2341</v>
      </c>
      <c r="BA198" s="273">
        <f>IF(ISNUMBER(BA197),BA194+BA195+BA196+BA197,"")</f>
        <v>2314</v>
      </c>
      <c r="BB198" s="273">
        <f>IF(ISNUMBER(BB197),BB194+BB195+BB196+BB197,"")</f>
        <v>8333</v>
      </c>
      <c r="BC198" s="273">
        <f>IF(ISNUMBER(BC197),BC194+BC195+BC196+BC197,"")</f>
        <v>2702</v>
      </c>
      <c r="BD198" s="273">
        <f>IF(ISNUMBER(BD197),BD194+BD195+BD196+BD197,"")</f>
        <v>2497</v>
      </c>
      <c r="BE198" s="273">
        <f>IF(ISNUMBER(BE197),BE194+BE195+BE196+BE197,"")</f>
        <v>2595</v>
      </c>
      <c r="BF198" s="273">
        <f>IF(ISNUMBER(BF197),BF194+BF195+BF196+BF197,"")</f>
        <v>2548</v>
      </c>
      <c r="BG198" s="273">
        <f>IF(ISNUMBER(BG197),BG194+BG195+BG196+BG197,"")</f>
        <v>10342</v>
      </c>
      <c r="BH198" s="273">
        <f>IF(ISNUMBER(BH197),BH194+BH195+BH196+BH197,"")</f>
        <v>2678</v>
      </c>
      <c r="BI198" s="273">
        <f>IF(ISNUMBER(BI197),BI194+BI195+BI196+BI197,"")</f>
        <v>2742</v>
      </c>
      <c r="BJ198" s="273">
        <f>IF(ISNUMBER(BJ197),BJ194+BJ195+BJ196+BJ197,"")</f>
        <v>3202</v>
      </c>
      <c r="BK198" s="273">
        <f>IF(ISNUMBER(BK197),BK194+BK195+BK196+BK197,"")</f>
        <v>2985</v>
      </c>
      <c r="BL198" s="273">
        <f>IF(ISNUMBER(BL197),BL194+BL195+BL196+BL197,"")</f>
        <v>11607</v>
      </c>
      <c r="BM198" s="273">
        <f>IF(ISNUMBER(BM197),BM194+BM195+BM196+BM197,"")</f>
        <v>3093</v>
      </c>
      <c r="BN198" s="273">
        <f>IF(ISNUMBER(BN197),BN194+BN195+BN196+BN197,"")</f>
        <v>3341</v>
      </c>
      <c r="BO198" s="273">
        <f>IF(ISNUMBER(BO197),BO194+BO195+BO196+BO197,"")</f>
        <v>3593</v>
      </c>
      <c r="BP198" s="273">
        <f>IF(ISNUMBER(BP197),BP194+BP195+BP196+BP197,"")</f>
        <v>3513</v>
      </c>
      <c r="BQ198" s="273">
        <f>IF(ISNUMBER(BQ197),BQ194+BQ195+BQ196+BQ197,"")</f>
        <v>13541</v>
      </c>
      <c r="BR198" s="273">
        <f>IF(ISNUMBER(BR197),BR194+BR195+BR196+BR197,"")</f>
        <v>3406</v>
      </c>
      <c r="BS198" s="273">
        <f>IF(ISNUMBER(BS197),BS194+BS195+BS196+BS197,"")</f>
        <v>3769</v>
      </c>
      <c r="BT198" s="273">
        <f>IF(ISNUMBER(BT197),BT194+BT195+BT196+BT197,"")</f>
        <v>3961</v>
      </c>
      <c r="BU198" s="273">
        <f>IF(ISNUMBER(BU197),BU194+BU195+BU196+BU197,"")</f>
        <v>4278</v>
      </c>
      <c r="BV198" s="273">
        <f>IF(ISNUMBER(BV197),BV194+BV195+BV196+BV197,"")</f>
        <v>15415</v>
      </c>
      <c r="BW198" s="273">
        <f>IF(ISNUMBER(BW197),BW194+BW195+BW196+BW197,"")</f>
        <v>4103</v>
      </c>
      <c r="BX198" s="273">
        <f>IF(ISNUMBER(BX197),BX194+BX195+BX196+BX197,"")</f>
        <v>4453</v>
      </c>
      <c r="BY198" s="273">
        <f>IF(ISNUMBER(BY197),BY194+BY195+BY196+BY197,"")</f>
        <v>4486.82548573113</v>
      </c>
      <c r="BZ198" s="273">
        <f>IF(ISNUMBER(BZ197),BZ194+BZ195+BZ196+BZ197,"")</f>
        <v>4464.82283926888</v>
      </c>
      <c r="CA198" s="273">
        <f>IF(ISNUMBER(CA197),CA194+CA195+CA196+CA197,"")</f>
        <v>17507.648325</v>
      </c>
      <c r="CB198" s="273">
        <f>IF(ISNUMBER(CB197),CB194+CB195+CB196+CB197,"")</f>
        <v>19686.9718194404</v>
      </c>
      <c r="CC198" s="273">
        <f>IF(ISNUMBER(CC197),CC194+CC195+CC196+CC197,"")</f>
        <v>22159.5584738228</v>
      </c>
      <c r="CD198" s="273">
        <f>IF(ISNUMBER(CD197),CD194+CD195+CD196+CD197,"")</f>
        <v>24756.2544192665</v>
      </c>
      <c r="CE198" s="273">
        <f>IF(ISNUMBER(CE197),CE194+CE195+CE196+CE197,"")</f>
        <v>27480.9420540855</v>
      </c>
      <c r="CF198" s="153" t="n"/>
      <c r="CH198" s="20">
        <f>IFERROR((CE198/BV198)^(1/5)-1,"n/m")</f>
        <v>0.122580819250254</v>
      </c>
      <c r="CI198" s="20">
        <f>IFERROR((BV198/AW198)^(1/5)-1,"n/m")</f>
        <v>0.189876465239319</v>
      </c>
      <c r="CJ198" s="20">
        <f>IFERROR((BV198/X198)^(1/10)-1,"n/m")</f>
        <v>0.147240573109753</v>
      </c>
      <c r="CK198" s="20">
        <f>IFERROR((BV198/C198)^(1/19)-1,"n/m")</f>
        <v>0.203434592366218</v>
      </c>
    </row>
    <row r="199" ht="15" customHeight="1" s="251">
      <c r="B199" s="156" t="inlineStr">
        <is>
          <t xml:space="preserve">  Company-published adjusted net income</t>
        </is>
      </c>
      <c r="C199" s="253" t="n">
        <v>457</v>
      </c>
      <c r="D199" s="253" t="n">
        <v>1029</v>
      </c>
      <c r="E199" s="253" t="n">
        <v>1239</v>
      </c>
      <c r="F199" s="253" t="n">
        <v>1467</v>
      </c>
      <c r="G199" s="34" t="n"/>
      <c r="H199" s="253" t="n">
        <v>2401</v>
      </c>
      <c r="I199" s="253" t="n">
        <v>2772</v>
      </c>
      <c r="J199" s="34" t="n"/>
      <c r="K199" s="34" t="n"/>
      <c r="L199" s="34" t="n"/>
      <c r="M199" s="253" t="n">
        <v>684</v>
      </c>
      <c r="N199" s="253" t="n">
        <v>3177</v>
      </c>
      <c r="O199" s="34" t="n"/>
      <c r="P199" s="34" t="n"/>
      <c r="Q199" s="34" t="n"/>
      <c r="R199" s="34" t="n"/>
      <c r="S199" s="34" t="n"/>
      <c r="T199" s="34" t="n"/>
      <c r="U199" s="253" t="n">
        <v>965</v>
      </c>
      <c r="V199" s="253" t="n">
        <v>1027</v>
      </c>
      <c r="W199" s="34" t="n"/>
      <c r="X199" s="253" t="n">
        <v>3903</v>
      </c>
      <c r="Y199" s="34" t="n"/>
      <c r="Z199" s="253" t="n">
        <v>1061</v>
      </c>
      <c r="AA199" s="34" t="n"/>
      <c r="AB199" s="253" t="n">
        <v>940</v>
      </c>
      <c r="AC199" s="253" t="n">
        <v>4144</v>
      </c>
      <c r="AD199" s="253" t="n">
        <v>1091</v>
      </c>
      <c r="AE199" s="253" t="n">
        <v>1177</v>
      </c>
      <c r="AF199" s="34" t="n"/>
      <c r="AG199" s="253" t="n">
        <v>1208</v>
      </c>
      <c r="AH199" s="253" t="n">
        <v>4906</v>
      </c>
      <c r="AI199" s="253" t="n">
        <v>1581</v>
      </c>
      <c r="AJ199" s="253" t="n">
        <v>1744</v>
      </c>
      <c r="AK199" s="253" t="n">
        <v>1856</v>
      </c>
      <c r="AL199" s="253" t="n">
        <v>1611</v>
      </c>
      <c r="AM199" s="253" t="n">
        <v>6792</v>
      </c>
      <c r="AN199" s="253" t="n">
        <v>1833</v>
      </c>
      <c r="AO199" s="253" t="n">
        <v>1937</v>
      </c>
      <c r="AP199" s="253" t="n">
        <v>2191</v>
      </c>
      <c r="AQ199" s="253" t="n">
        <v>1981</v>
      </c>
      <c r="AR199" s="253" t="n">
        <v>7937</v>
      </c>
      <c r="AS199" s="253" t="n">
        <v>1844</v>
      </c>
      <c r="AT199" s="253" t="n">
        <v>1370</v>
      </c>
      <c r="AU199" s="253" t="n">
        <v>1605</v>
      </c>
      <c r="AV199" s="253" t="n">
        <v>1644</v>
      </c>
      <c r="AW199" s="253" t="n">
        <v>6463</v>
      </c>
      <c r="AX199" s="253" t="n">
        <v>1741</v>
      </c>
      <c r="AY199" s="253" t="n">
        <v>1937</v>
      </c>
      <c r="AZ199" s="253" t="n">
        <v>2341</v>
      </c>
      <c r="BA199" s="253" t="n">
        <v>2314</v>
      </c>
      <c r="BB199" s="253" t="n">
        <v>8333</v>
      </c>
      <c r="BC199" s="253" t="n">
        <v>2702</v>
      </c>
      <c r="BD199" s="253" t="n">
        <v>2497</v>
      </c>
      <c r="BE199" s="253" t="n">
        <v>2595</v>
      </c>
      <c r="BF199" s="253" t="n">
        <v>2548</v>
      </c>
      <c r="BG199" s="253" t="n">
        <v>10342</v>
      </c>
      <c r="BH199" s="253" t="n">
        <v>2678</v>
      </c>
      <c r="BI199" s="253" t="n">
        <v>2742</v>
      </c>
      <c r="BJ199" s="253" t="n">
        <v>3202</v>
      </c>
      <c r="BK199" s="253" t="n">
        <v>2985</v>
      </c>
      <c r="BL199" s="253" t="n">
        <v>11607</v>
      </c>
      <c r="BM199" s="253" t="n">
        <v>3093</v>
      </c>
      <c r="BN199" s="253" t="n">
        <v>3341</v>
      </c>
      <c r="BO199" s="253" t="n">
        <v>3593</v>
      </c>
      <c r="BP199" s="253" t="n">
        <v>3513</v>
      </c>
      <c r="BQ199" s="253" t="n">
        <v>13541</v>
      </c>
      <c r="BR199" s="253" t="n">
        <v>3406</v>
      </c>
      <c r="BS199" s="253" t="n">
        <v>3769</v>
      </c>
      <c r="BT199" s="253" t="n">
        <v>3961</v>
      </c>
      <c r="BU199" s="253" t="n">
        <v>4278</v>
      </c>
      <c r="BV199" s="253" t="n">
        <v>15415</v>
      </c>
      <c r="BW199" s="253" t="n">
        <v>4103</v>
      </c>
      <c r="BX199" s="253" t="n">
        <v>4453</v>
      </c>
      <c r="BY199" s="153" t="n"/>
      <c r="BZ199" s="153" t="n"/>
      <c r="CA199" s="153" t="n"/>
      <c r="CB199" s="153" t="n"/>
      <c r="CC199" s="153" t="n"/>
      <c r="CD199" s="153" t="n"/>
      <c r="CE199" s="153" t="n"/>
      <c r="CF199" s="153" t="n"/>
    </row>
    <row r="200" ht="15" customHeight="1" s="251">
      <c r="B200" s="25" t="inlineStr">
        <is>
          <t xml:space="preserve">  Weighted-average diluted shares (m)</t>
        </is>
      </c>
      <c r="C200" s="264">
        <f>IF(ISNUMBER(C152),C152,"")</f>
        <v>1357.79</v>
      </c>
      <c r="D200" s="264">
        <f>IF(ISNUMBER(D152),D152,"")</f>
        <v>1356.95</v>
      </c>
      <c r="E200" s="264">
        <f>IF(ISNUMBER(E152),E152,"")</f>
        <v>1301.48</v>
      </c>
      <c r="F200" s="264">
        <f>IF(ISNUMBER(F152),F152,"")</f>
        <v>1302.32</v>
      </c>
      <c r="G200" s="264">
        <f>IF(ISNUMBER(G152),G152,"")</f>
        <v>1310</v>
      </c>
      <c r="H200" s="264">
        <f>IF(ISNUMBER(H152),H152,"")</f>
        <v>1280</v>
      </c>
      <c r="I200" s="264">
        <f>IF(ISNUMBER(I152),I152,"")</f>
        <v>1260</v>
      </c>
      <c r="J200" s="264">
        <f>IF(ISNUMBER(J152),J152,"")</f>
        <v>1230</v>
      </c>
      <c r="K200" s="264">
        <f>IF(ISNUMBER(K152),K152,"")</f>
        <v>1220</v>
      </c>
      <c r="L200" s="264">
        <f>IF(ISNUMBER(L152),L152,"")</f>
        <v>1210</v>
      </c>
      <c r="M200" s="264">
        <f>IF(ISNUMBER(M152),M152,"")</f>
        <v>1205</v>
      </c>
      <c r="N200" s="264">
        <f>IF(ISNUMBER(N152),N152,"")</f>
        <v>1215</v>
      </c>
      <c r="O200" s="264">
        <f>IF(ISNUMBER(O152),O152,"")</f>
        <v>1189</v>
      </c>
      <c r="P200" s="264">
        <f>IF(ISNUMBER(P152),P152,"")</f>
        <v>1169</v>
      </c>
      <c r="Q200" s="264">
        <f>IF(ISNUMBER(Q152),Q152,"")</f>
        <v>1160</v>
      </c>
      <c r="R200" s="264">
        <f>IF(ISNUMBER(R152),R152,"")</f>
        <v>1157</v>
      </c>
      <c r="S200" s="264">
        <f>IF(ISNUMBER(S152),S152,"")</f>
        <v>1169</v>
      </c>
      <c r="T200" s="264">
        <f>IF(ISNUMBER(T152),T152,"")</f>
        <v>1152</v>
      </c>
      <c r="U200" s="264">
        <f>IF(ISNUMBER(U152),U152,"")</f>
        <v>1141</v>
      </c>
      <c r="V200" s="264">
        <f>IF(ISNUMBER(V152),V152,"")</f>
        <v>1133</v>
      </c>
      <c r="W200" s="264">
        <f>IF(ISNUMBER(W152),W152,"")</f>
        <v>1124</v>
      </c>
      <c r="X200" s="264">
        <f>IF(ISNUMBER(X152),X152,"")</f>
        <v>1137</v>
      </c>
      <c r="Y200" s="264">
        <f>IF(ISNUMBER(Y152),Y152,"")</f>
        <v>1112</v>
      </c>
      <c r="Z200" s="264">
        <f>IF(ISNUMBER(Z152),Z152,"")</f>
        <v>1101</v>
      </c>
      <c r="AA200" s="264">
        <f>IF(ISNUMBER(AA152),AA152,"")</f>
        <v>1099</v>
      </c>
      <c r="AB200" s="264">
        <f>IF(ISNUMBER(AB152),AB152,"")</f>
        <v>1090</v>
      </c>
      <c r="AC200" s="264">
        <f>IF(ISNUMBER(AC152),AC152,"")</f>
        <v>1101</v>
      </c>
      <c r="AD200" s="264">
        <f>IF(ISNUMBER(AD152),AD152,"")</f>
        <v>1082</v>
      </c>
      <c r="AE200" s="264">
        <f>IF(ISNUMBER(AE152),AE152,"")</f>
        <v>1075</v>
      </c>
      <c r="AF200" s="264">
        <f>IF(ISNUMBER(AF152),AF152,"")</f>
        <v>1068</v>
      </c>
      <c r="AG200" s="264">
        <f>IF(ISNUMBER(AG152),AG152,"")</f>
        <v>1063</v>
      </c>
      <c r="AH200" s="264">
        <f>IF(ISNUMBER(AH152),AH152,"")</f>
        <v>1072</v>
      </c>
      <c r="AI200" s="264">
        <f>IF(ISNUMBER(AI152),AI152,"")</f>
        <v>1057</v>
      </c>
      <c r="AJ200" s="264">
        <f>IF(ISNUMBER(AJ152),AJ152,"")</f>
        <v>1049</v>
      </c>
      <c r="AK200" s="264">
        <f>IF(ISNUMBER(AK152),AK152,"")</f>
        <v>1043</v>
      </c>
      <c r="AL200" s="264">
        <f>IF(ISNUMBER(AL152),AL152,"")</f>
        <v>1038</v>
      </c>
      <c r="AM200" s="264">
        <f>IF(ISNUMBER(AM152),AM152,"")</f>
        <v>1047</v>
      </c>
      <c r="AN200" s="264">
        <f>IF(ISNUMBER(AN152),AN152,"")</f>
        <v>1032</v>
      </c>
      <c r="AO200" s="264">
        <f>IF(ISNUMBER(AO152),AO152,"")</f>
        <v>1025</v>
      </c>
      <c r="AP200" s="264">
        <f>IF(ISNUMBER(AP152),AP152,"")</f>
        <v>1019</v>
      </c>
      <c r="AQ200" s="264">
        <f>IF(ISNUMBER(AQ152),AQ152,"")</f>
        <v>1013</v>
      </c>
      <c r="AR200" s="264">
        <f>IF(ISNUMBER(AR152),AR152,"")</f>
        <v>1022</v>
      </c>
      <c r="AS200" s="264">
        <f>IF(ISNUMBER(AS152),AS152,"")</f>
        <v>1010</v>
      </c>
      <c r="AT200" s="264">
        <f>IF(ISNUMBER(AT152),AT152,"")</f>
        <v>1008</v>
      </c>
      <c r="AU200" s="264">
        <f>IF(ISNUMBER(AU152),AU152,"")</f>
        <v>1005</v>
      </c>
      <c r="AV200" s="264">
        <f>IF(ISNUMBER(AV152),AV152,"")</f>
        <v>1001</v>
      </c>
      <c r="AW200" s="264">
        <f>IF(ISNUMBER(AW152),AW152,"")</f>
        <v>1006</v>
      </c>
      <c r="AX200" s="264">
        <f>IF(ISNUMBER(AX152),AX152,"")</f>
        <v>998</v>
      </c>
      <c r="AY200" s="264">
        <f>IF(ISNUMBER(AY152),AY152,"")</f>
        <v>994</v>
      </c>
      <c r="AZ200" s="264">
        <f>IF(ISNUMBER(AZ152),AZ152,"")</f>
        <v>990</v>
      </c>
      <c r="BA200" s="264">
        <f>IF(ISNUMBER(BA152),BA152,"")</f>
        <v>986</v>
      </c>
      <c r="BB200" s="264">
        <f>IF(ISNUMBER(BB152),BB152,"")</f>
        <v>992</v>
      </c>
      <c r="BC200" s="264">
        <f>IF(ISNUMBER(BC152),BC152,"")</f>
        <v>981</v>
      </c>
      <c r="BD200" s="264">
        <f>IF(ISNUMBER(BD152),BD152,"")</f>
        <v>974</v>
      </c>
      <c r="BE200" s="264">
        <f>IF(ISNUMBER(BE152),BE152,"")</f>
        <v>968</v>
      </c>
      <c r="BF200" s="264">
        <f>IF(ISNUMBER(BF152),BF152,"")</f>
        <v>963</v>
      </c>
      <c r="BG200" s="264">
        <f>IF(ISNUMBER(BG152),BG152,"")</f>
        <v>971</v>
      </c>
      <c r="BH200" s="264">
        <f>IF(ISNUMBER(BH152),BH152,"")</f>
        <v>956</v>
      </c>
      <c r="BI200" s="264">
        <f>IF(ISNUMBER(BI152),BI152,"")</f>
        <v>949</v>
      </c>
      <c r="BJ200" s="264">
        <f>IF(ISNUMBER(BJ152),BJ152,"")</f>
        <v>943</v>
      </c>
      <c r="BK200" s="264">
        <f>IF(ISNUMBER(BK152),BK152,"")</f>
        <v>939</v>
      </c>
      <c r="BL200" s="264">
        <f>IF(ISNUMBER(BL152),BL152,"")</f>
        <v>946</v>
      </c>
      <c r="BM200" s="264">
        <f>IF(ISNUMBER(BM152),BM152,"")</f>
        <v>935</v>
      </c>
      <c r="BN200" s="264">
        <f>IF(ISNUMBER(BN152),BN152,"")</f>
        <v>930</v>
      </c>
      <c r="BO200" s="264">
        <f>IF(ISNUMBER(BO152),BO152,"")</f>
        <v>925</v>
      </c>
      <c r="BP200" s="264">
        <f>IF(ISNUMBER(BP152),BP152,"")</f>
        <v>919</v>
      </c>
      <c r="BQ200" s="264">
        <f>IF(ISNUMBER(BQ152),BQ152,"")</f>
        <v>927</v>
      </c>
      <c r="BR200" s="264">
        <f>IF(ISNUMBER(BR152),BR152,"")</f>
        <v>914</v>
      </c>
      <c r="BS200" s="264">
        <f>IF(ISNUMBER(BS152),BS152,"")</f>
        <v>909</v>
      </c>
      <c r="BT200" s="264">
        <f>IF(ISNUMBER(BT152),BT152,"")</f>
        <v>905</v>
      </c>
      <c r="BU200" s="264">
        <f>IF(ISNUMBER(BU152),BU152,"")</f>
        <v>898</v>
      </c>
      <c r="BV200" s="264">
        <f>IF(ISNUMBER(BV152),BV152,"")</f>
        <v>906</v>
      </c>
      <c r="BW200" s="264">
        <f>IF(ISNUMBER(BW152),BW152,"")</f>
        <v>893</v>
      </c>
      <c r="BX200" s="264">
        <f>IF(ISNUMBER(BX152),BX152,"")</f>
        <v>883</v>
      </c>
      <c r="BY200" s="265">
        <f>IF(ISNUMBER(BY152),BY152,"")</f>
        <v>875.383823529412</v>
      </c>
      <c r="BZ200" s="265">
        <f>IF(ISNUMBER(BZ152),BZ152,"")</f>
        <v>869.751470588235</v>
      </c>
      <c r="CA200" s="265">
        <f>IF(ISNUMBER(CA152),CA152,"")</f>
        <v>880.283823529412</v>
      </c>
      <c r="CB200" s="265">
        <f>IF(ISNUMBER(CB152),CB152,"")</f>
        <v>856.335690842922</v>
      </c>
      <c r="CC200" s="265">
        <f>IF(ISNUMBER(CC152),CC152,"")</f>
        <v>833.748019034146</v>
      </c>
      <c r="CD200" s="265">
        <f>IF(ISNUMBER(CD152),CD152,"")</f>
        <v>809.296109221796</v>
      </c>
      <c r="CE200" s="265">
        <f>IF(ISNUMBER(CE152),CE152,"")</f>
        <v>784.004948980546</v>
      </c>
      <c r="CF200" s="19" t="n"/>
    </row>
    <row r="201" ht="15" customHeight="1" s="251">
      <c r="B201" s="55" t="inlineStr">
        <is>
          <t>Adjusted EPS – diluted ($) (model bridge)</t>
        </is>
      </c>
      <c r="C201" s="279">
        <f>IF(AND(ISNUMBER(C198),ISNUMBER(C200)),IFERROR(C198/C200,""),"")</f>
        <v>0.336576348330743</v>
      </c>
      <c r="D201" s="279">
        <f>IF(AND(ISNUMBER(D198),ISNUMBER(D200)),IFERROR(D198/D200,""),"")</f>
        <v>0.758318287335569</v>
      </c>
      <c r="E201" s="279">
        <f>IF(AND(ISNUMBER(E198),ISNUMBER(E200)),IFERROR(E198/E200,""),"")</f>
        <v>0.951993115530012</v>
      </c>
      <c r="F201" s="279">
        <f>IF(AND(ISNUMBER(F198),ISNUMBER(F200)),IFERROR(F198/F200,""),"")</f>
        <v>1.12645125621967</v>
      </c>
      <c r="G201" s="279">
        <f>IF(AND(ISNUMBER(G198),ISNUMBER(G200)),IFERROR(G198/G200,""),"")</f>
        <v>1.40916030534351</v>
      </c>
      <c r="H201" s="279">
        <f>IF(AND(ISNUMBER(H198),ISNUMBER(H200)),IFERROR(H198/H200,""),"")</f>
        <v>1.87578125</v>
      </c>
      <c r="I201" s="279">
        <f>IF(AND(ISNUMBER(I198),ISNUMBER(I200)),IFERROR(I198/I200,""),"")</f>
        <v>2.2</v>
      </c>
      <c r="J201" s="279">
        <f>IF(AND(ISNUMBER(J198),ISNUMBER(J200)),IFERROR(J198/J200,""),"")</f>
        <v>0.622764227642277</v>
      </c>
      <c r="K201" s="279">
        <f>IF(AND(ISNUMBER(K198),ISNUMBER(K200)),IFERROR(K198/K200,""),"")</f>
        <v>0.695081967213115</v>
      </c>
      <c r="L201" s="279">
        <f>IF(AND(ISNUMBER(L198),ISNUMBER(L200)),IFERROR(L198/L200,""),"")</f>
        <v>0.726446280991736</v>
      </c>
      <c r="M201" s="279">
        <f>IF(AND(ISNUMBER(M198),ISNUMBER(M200)),IFERROR(M198/M200,""),"")</f>
        <v>0.567634854771784</v>
      </c>
      <c r="N201" s="279">
        <f>IF(AND(ISNUMBER(N198),ISNUMBER(N200)),IFERROR(N198/N200,""),"")</f>
        <v>2.61481481481481</v>
      </c>
      <c r="O201" s="279">
        <f>IF(AND(ISNUMBER(O198),ISNUMBER(O200)),IFERROR(O198/O200,""),"")</f>
        <v>0.731707317073171</v>
      </c>
      <c r="P201" s="279">
        <f>IF(AND(ISNUMBER(P198),ISNUMBER(P200)),IFERROR(P198/P200,""),"")</f>
        <v>0.796407185628743</v>
      </c>
      <c r="Q201" s="279">
        <f>IF(AND(ISNUMBER(Q198),ISNUMBER(Q200)),IFERROR(Q198/Q200,""),"")</f>
        <v>0.875</v>
      </c>
      <c r="R201" s="279">
        <f>IF(AND(ISNUMBER(R198),ISNUMBER(R200)),IFERROR(R198/R200,""),"")</f>
        <v>0.692307692307692</v>
      </c>
      <c r="S201" s="279">
        <f>IF(AND(ISNUMBER(S198),ISNUMBER(S200)),IFERROR(S198/S200,""),"")</f>
        <v>3.09409751924722</v>
      </c>
      <c r="T201" s="279">
        <f>IF(AND(ISNUMBER(T198),ISNUMBER(T200)),IFERROR(T198/T200,""),"")</f>
        <v>0.885416666666667</v>
      </c>
      <c r="U201" s="279">
        <f>IF(AND(ISNUMBER(U198),ISNUMBER(U200)),IFERROR(U198/U200,""),"")</f>
        <v>0.845749342681858</v>
      </c>
      <c r="V201" s="279">
        <f>IF(AND(ISNUMBER(V198),ISNUMBER(V200)),IFERROR(V198/V200,""),"")</f>
        <v>0.906443071491615</v>
      </c>
      <c r="W201" s="279">
        <f>IF(AND(ISNUMBER(W198),ISNUMBER(W200)),IFERROR(W198/W200,""),"")</f>
        <v>0.791814946619217</v>
      </c>
      <c r="X201" s="279">
        <f>IF(AND(ISNUMBER(X198),ISNUMBER(X200)),IFERROR(X198/X200,""),"")</f>
        <v>3.43271767810026</v>
      </c>
      <c r="Y201" s="279">
        <f>IF(AND(ISNUMBER(Y198),ISNUMBER(Y200)),IFERROR(Y198/Y200,""),"")</f>
        <v>0.862410071942446</v>
      </c>
      <c r="Z201" s="279">
        <f>IF(AND(ISNUMBER(Z198),ISNUMBER(Z200)),IFERROR(Z198/Z200,""),"")</f>
        <v>0.963669391462307</v>
      </c>
      <c r="AA201" s="279">
        <f>IF(AND(ISNUMBER(AA198),ISNUMBER(AA200)),IFERROR(AA198/AA200,""),"")</f>
        <v>1.07734303912648</v>
      </c>
      <c r="AB201" s="279">
        <f>IF(AND(ISNUMBER(AB198),ISNUMBER(AB200)),IFERROR(AB198/AB200,""),"")</f>
        <v>0.862385321100918</v>
      </c>
      <c r="AC201" s="279">
        <f>IF(AND(ISNUMBER(AC198),ISNUMBER(AC200)),IFERROR(AC198/AC200,""),"")</f>
        <v>3.763851044505</v>
      </c>
      <c r="AD201" s="279">
        <f>IF(AND(ISNUMBER(AD198),ISNUMBER(AD200)),IFERROR(AD198/AD200,""),"")</f>
        <v>1.0083179297597</v>
      </c>
      <c r="AE201" s="279">
        <f>IF(AND(ISNUMBER(AE198),ISNUMBER(AE200)),IFERROR(AE198/AE200,""),"")</f>
        <v>1.09488372093023</v>
      </c>
      <c r="AF201" s="279">
        <f>IF(AND(ISNUMBER(AF198),ISNUMBER(AF200)),IFERROR(AF198/AF200,""),"")</f>
        <v>1.33895131086142</v>
      </c>
      <c r="AG201" s="279">
        <f>IF(AND(ISNUMBER(AG198),ISNUMBER(AG200)),IFERROR(AG198/AG200,""),"")</f>
        <v>1.13640639698965</v>
      </c>
      <c r="AH201" s="279">
        <f>IF(AND(ISNUMBER(AH198),ISNUMBER(AH200)),IFERROR(AH198/AH200,""),"")</f>
        <v>4.57649253731343</v>
      </c>
      <c r="AI201" s="279">
        <f>IF(AND(ISNUMBER(AI198),ISNUMBER(AI200)),IFERROR(AI198/AI200,""),"")</f>
        <v>1.4957426679281</v>
      </c>
      <c r="AJ201" s="279">
        <f>IF(AND(ISNUMBER(AJ198),ISNUMBER(AJ200)),IFERROR(AJ198/AJ200,""),"")</f>
        <v>1.66253574833174</v>
      </c>
      <c r="AK201" s="279">
        <f>IF(AND(ISNUMBER(AK198),ISNUMBER(AK200)),IFERROR(AK198/AK200,""),"")</f>
        <v>1.77948226270374</v>
      </c>
      <c r="AL201" s="279">
        <f>IF(AND(ISNUMBER(AL198),ISNUMBER(AL200)),IFERROR(AL198/AL200,""),"")</f>
        <v>1.55202312138728</v>
      </c>
      <c r="AM201" s="279">
        <f>IF(AND(ISNUMBER(AM198),ISNUMBER(AM200)),IFERROR(AM198/AM200,""),"")</f>
        <v>6.48710601719198</v>
      </c>
      <c r="AN201" s="279">
        <f>IF(AND(ISNUMBER(AN198),ISNUMBER(AN200)),IFERROR(AN198/AN200,""),"")</f>
        <v>1.77616279069767</v>
      </c>
      <c r="AO201" s="279">
        <f>IF(AND(ISNUMBER(AO198),ISNUMBER(AO200)),IFERROR(AO198/AO200,""),"")</f>
        <v>1.88975609756098</v>
      </c>
      <c r="AP201" s="279">
        <f>IF(AND(ISNUMBER(AP198),ISNUMBER(AP200)),IFERROR(AP198/AP200,""),"")</f>
        <v>2.15014720314033</v>
      </c>
      <c r="AQ201" s="279">
        <f>IF(AND(ISNUMBER(AQ198),ISNUMBER(AQ200)),IFERROR(AQ198/AQ200,""),"")</f>
        <v>1.95557749259625</v>
      </c>
      <c r="AR201" s="279">
        <f>IF(AND(ISNUMBER(AR198),ISNUMBER(AR200)),IFERROR(AR198/AR200,""),"")</f>
        <v>7.76614481409002</v>
      </c>
      <c r="AS201" s="279">
        <f>IF(AND(ISNUMBER(AS198),ISNUMBER(AS200)),IFERROR(AS198/AS200,""),"")</f>
        <v>1.82574257425743</v>
      </c>
      <c r="AT201" s="279">
        <f>IF(AND(ISNUMBER(AT198),ISNUMBER(AT200)),IFERROR(AT198/AT200,""),"")</f>
        <v>1.35912698412698</v>
      </c>
      <c r="AU201" s="279">
        <f>IF(AND(ISNUMBER(AU198),ISNUMBER(AU200)),IFERROR(AU198/AU200,""),"")</f>
        <v>1.59701492537313</v>
      </c>
      <c r="AV201" s="279">
        <f>IF(AND(ISNUMBER(AV198),ISNUMBER(AV200)),IFERROR(AV198/AV200,""),"")</f>
        <v>1.64235764235764</v>
      </c>
      <c r="AW201" s="279">
        <f>IF(AND(ISNUMBER(AW198),ISNUMBER(AW200)),IFERROR(AW198/AW200,""),"")</f>
        <v>6.42445328031809</v>
      </c>
      <c r="AX201" s="279">
        <f>IF(AND(ISNUMBER(AX198),ISNUMBER(AX200)),IFERROR(AX198/AX200,""),"")</f>
        <v>1.74448897795591</v>
      </c>
      <c r="AY201" s="279">
        <f>IF(AND(ISNUMBER(AY198),ISNUMBER(AY200)),IFERROR(AY198/AY200,""),"")</f>
        <v>1.94869215291751</v>
      </c>
      <c r="AZ201" s="279">
        <f>IF(AND(ISNUMBER(AZ198),ISNUMBER(AZ200)),IFERROR(AZ198/AZ200,""),"")</f>
        <v>2.36464646464646</v>
      </c>
      <c r="BA201" s="279">
        <f>IF(AND(ISNUMBER(BA198),ISNUMBER(BA200)),IFERROR(BA198/BA200,""),"")</f>
        <v>2.34685598377282</v>
      </c>
      <c r="BB201" s="279">
        <f>IF(AND(ISNUMBER(BB198),ISNUMBER(BB200)),IFERROR(BB198/BB200,""),"")</f>
        <v>8.40020161290323</v>
      </c>
      <c r="BC201" s="279">
        <f>IF(AND(ISNUMBER(BC198),ISNUMBER(BC200)),IFERROR(BC198/BC200,""),"")</f>
        <v>2.75433231396534</v>
      </c>
      <c r="BD201" s="279">
        <f>IF(AND(ISNUMBER(BD198),ISNUMBER(BD200)),IFERROR(BD198/BD200,""),"")</f>
        <v>2.56365503080082</v>
      </c>
      <c r="BE201" s="279">
        <f>IF(AND(ISNUMBER(BE198),ISNUMBER(BE200)),IFERROR(BE198/BE200,""),"")</f>
        <v>2.68078512396694</v>
      </c>
      <c r="BF201" s="279">
        <f>IF(AND(ISNUMBER(BF198),ISNUMBER(BF200)),IFERROR(BF198/BF200,""),"")</f>
        <v>2.64589823468328</v>
      </c>
      <c r="BG201" s="279">
        <f>IF(AND(ISNUMBER(BG198),ISNUMBER(BG200)),IFERROR(BG198/BG200,""),"")</f>
        <v>10.6508753861998</v>
      </c>
      <c r="BH201" s="279">
        <f>IF(AND(ISNUMBER(BH198),ISNUMBER(BH200)),IFERROR(BH198/BH200,""),"")</f>
        <v>2.80125523012552</v>
      </c>
      <c r="BI201" s="279">
        <f>IF(AND(ISNUMBER(BI198),ISNUMBER(BI200)),IFERROR(BI198/BI200,""),"")</f>
        <v>2.88935721812434</v>
      </c>
      <c r="BJ201" s="279">
        <f>IF(AND(ISNUMBER(BJ198),ISNUMBER(BJ200)),IFERROR(BJ198/BJ200,""),"")</f>
        <v>3.39554612937434</v>
      </c>
      <c r="BK201" s="279">
        <f>IF(AND(ISNUMBER(BK198),ISNUMBER(BK200)),IFERROR(BK198/BK200,""),"")</f>
        <v>3.17891373801917</v>
      </c>
      <c r="BL201" s="279">
        <f>IF(AND(ISNUMBER(BL198),ISNUMBER(BL200)),IFERROR(BL198/BL200,""),"")</f>
        <v>12.26955602537</v>
      </c>
      <c r="BM201" s="279">
        <f>IF(AND(ISNUMBER(BM198),ISNUMBER(BM200)),IFERROR(BM198/BM200,""),"")</f>
        <v>3.30802139037433</v>
      </c>
      <c r="BN201" s="279">
        <f>IF(AND(ISNUMBER(BN198),ISNUMBER(BN200)),IFERROR(BN198/BN200,""),"")</f>
        <v>3.59247311827957</v>
      </c>
      <c r="BO201" s="279">
        <f>IF(AND(ISNUMBER(BO198),ISNUMBER(BO200)),IFERROR(BO198/BO200,""),"")</f>
        <v>3.88432432432432</v>
      </c>
      <c r="BP201" s="279">
        <f>IF(AND(ISNUMBER(BP198),ISNUMBER(BP200)),IFERROR(BP198/BP200,""),"")</f>
        <v>3.82263329706202</v>
      </c>
      <c r="BQ201" s="279">
        <f>IF(AND(ISNUMBER(BQ198),ISNUMBER(BQ200)),IFERROR(BQ198/BQ200,""),"")</f>
        <v>14.6073354908306</v>
      </c>
      <c r="BR201" s="279">
        <f>IF(AND(ISNUMBER(BR198),ISNUMBER(BR200)),IFERROR(BR198/BR200,""),"")</f>
        <v>3.72647702407002</v>
      </c>
      <c r="BS201" s="279">
        <f>IF(AND(ISNUMBER(BS198),ISNUMBER(BS200)),IFERROR(BS198/BS200,""),"")</f>
        <v>4.14631463146315</v>
      </c>
      <c r="BT201" s="279">
        <f>IF(AND(ISNUMBER(BT198),ISNUMBER(BT200)),IFERROR(BT198/BT200,""),"")</f>
        <v>4.3767955801105</v>
      </c>
      <c r="BU201" s="279">
        <f>IF(AND(ISNUMBER(BU198),ISNUMBER(BU200)),IFERROR(BU198/BU200,""),"")</f>
        <v>4.76391982182628</v>
      </c>
      <c r="BV201" s="279">
        <f>IF(AND(ISNUMBER(BV198),ISNUMBER(BV200)),IFERROR(BV198/BV200,""),"")</f>
        <v>17.014348785872</v>
      </c>
      <c r="BW201" s="279">
        <f>IF(AND(ISNUMBER(BW198),ISNUMBER(BW200)),IFERROR(BW198/BW200,""),"")</f>
        <v>4.5946248600224</v>
      </c>
      <c r="BX201" s="279">
        <f>IF(AND(ISNUMBER(BX198),ISNUMBER(BX200)),IFERROR(BX198/BX200,""),"")</f>
        <v>5.04303510758777</v>
      </c>
      <c r="BY201" s="279">
        <f>IF(AND(ISNUMBER(BY198),ISNUMBER(BY200)),IFERROR(BY198/BY200,""),"")</f>
        <v>5.12555220365044</v>
      </c>
      <c r="BZ201" s="279">
        <f>IF(AND(ISNUMBER(BZ198),ISNUMBER(BZ200)),IFERROR(BZ198/BZ200,""),"")</f>
        <v>5.13344672616558</v>
      </c>
      <c r="CA201" s="279">
        <f>IF(AND(ISNUMBER(CA198),ISNUMBER(CA200)),IFERROR(CA198/CA200,""),"")</f>
        <v>19.8886402964953</v>
      </c>
      <c r="CB201" s="279">
        <f>IF(AND(ISNUMBER(CB198),ISNUMBER(CB200)),IFERROR(CB198/CB200,""),"")</f>
        <v>22.9897831305639</v>
      </c>
      <c r="CC201" s="279">
        <f>IF(AND(ISNUMBER(CC198),ISNUMBER(CC200)),IFERROR(CC198/CC200,""),"")</f>
        <v>26.5782442271868</v>
      </c>
      <c r="CD201" s="279">
        <f>IF(AND(ISNUMBER(CD198),ISNUMBER(CD200)),IFERROR(CD198/CD200,""),"")</f>
        <v>30.5898596782723</v>
      </c>
      <c r="CE201" s="279">
        <f>IF(AND(ISNUMBER(CE198),ISNUMBER(CE200)),IFERROR(CE198/CE200,""),"")</f>
        <v>35.0520007428772</v>
      </c>
      <c r="CF201" s="19" t="n"/>
      <c r="CH201" s="20">
        <f>IFERROR((CE201/BV201)^(1/5)-1,"n/m")</f>
        <v>0.155525399659387</v>
      </c>
      <c r="CI201" s="20">
        <f>IFERROR((BV201/AW201)^(1/5)-1,"n/m")</f>
        <v>0.215054704349366</v>
      </c>
      <c r="CJ201" s="20">
        <f>IFERROR((BV201/X201)^(1/10)-1,"n/m")</f>
        <v>0.173593578357785</v>
      </c>
      <c r="CK201" s="20">
        <f>IFERROR((BV201/C201)^(1/19)-1,"n/m")</f>
        <v>0.229334561170732</v>
      </c>
    </row>
    <row r="202" ht="15" customHeight="1" s="251">
      <c r="B202" s="156" t="inlineStr">
        <is>
          <t xml:space="preserve">  Company-published adjusted diluted EPS ($, split-adjusted)</t>
        </is>
      </c>
      <c r="C202" s="280" t="n">
        <v>0.337</v>
      </c>
      <c r="D202" s="280" t="n">
        <v>0.758</v>
      </c>
      <c r="E202" s="280" t="n">
        <v>0.945</v>
      </c>
      <c r="F202" s="280" t="n">
        <v>1.119</v>
      </c>
      <c r="G202" s="27" t="n"/>
      <c r="H202" s="280" t="n">
        <v>1.87</v>
      </c>
      <c r="I202" s="280" t="n">
        <v>2.204</v>
      </c>
      <c r="J202" s="27" t="n"/>
      <c r="K202" s="27" t="n"/>
      <c r="L202" s="27" t="n"/>
      <c r="M202" s="280" t="n">
        <v>0.57</v>
      </c>
      <c r="N202" s="280" t="n">
        <v>2.61</v>
      </c>
      <c r="O202" s="27" t="n"/>
      <c r="P202" s="27" t="n"/>
      <c r="Q202" s="27" t="n"/>
      <c r="R202" s="27" t="n"/>
      <c r="S202" s="27" t="n"/>
      <c r="T202" s="27" t="n"/>
      <c r="U202" s="280" t="n">
        <v>0.85</v>
      </c>
      <c r="V202" s="280" t="n">
        <v>0.91</v>
      </c>
      <c r="W202" s="27" t="n"/>
      <c r="X202" s="280" t="n">
        <v>3.43</v>
      </c>
      <c r="Y202" s="27" t="n"/>
      <c r="Z202" s="280" t="n">
        <v>0.96</v>
      </c>
      <c r="AA202" s="27" t="n"/>
      <c r="AB202" s="280" t="n">
        <v>0.86</v>
      </c>
      <c r="AC202" s="280" t="n">
        <v>3.77</v>
      </c>
      <c r="AD202" s="280" t="n">
        <v>1.01</v>
      </c>
      <c r="AE202" s="280" t="n">
        <v>1.1</v>
      </c>
      <c r="AF202" s="27" t="n"/>
      <c r="AG202" s="280" t="n">
        <v>1.14</v>
      </c>
      <c r="AH202" s="280" t="n">
        <v>4.58</v>
      </c>
      <c r="AI202" s="280" t="n">
        <v>1.5</v>
      </c>
      <c r="AJ202" s="280" t="n">
        <v>1.66</v>
      </c>
      <c r="AK202" s="280" t="n">
        <v>1.78</v>
      </c>
      <c r="AL202" s="280" t="n">
        <v>1.55</v>
      </c>
      <c r="AM202" s="280" t="n">
        <v>6.49</v>
      </c>
      <c r="AN202" s="280" t="n">
        <v>1.78</v>
      </c>
      <c r="AO202" s="280" t="n">
        <v>1.89</v>
      </c>
      <c r="AP202" s="280" t="n">
        <v>2.15</v>
      </c>
      <c r="AQ202" s="280" t="n">
        <v>1.96</v>
      </c>
      <c r="AR202" s="280" t="n">
        <v>7.77</v>
      </c>
      <c r="AS202" s="280" t="n">
        <v>1.83</v>
      </c>
      <c r="AT202" s="280" t="n">
        <v>1.36</v>
      </c>
      <c r="AU202" s="280" t="n">
        <v>1.6</v>
      </c>
      <c r="AV202" s="280" t="n">
        <v>1.64</v>
      </c>
      <c r="AW202" s="280" t="n">
        <v>6.43</v>
      </c>
      <c r="AX202" s="280" t="n">
        <v>1.74</v>
      </c>
      <c r="AY202" s="280" t="n">
        <v>1.95</v>
      </c>
      <c r="AZ202" s="280" t="n">
        <v>2.37</v>
      </c>
      <c r="BA202" s="280" t="n">
        <v>2.35</v>
      </c>
      <c r="BB202" s="280" t="n">
        <v>8.4</v>
      </c>
      <c r="BC202" s="280" t="n">
        <v>2.76</v>
      </c>
      <c r="BD202" s="280" t="n">
        <v>2.56</v>
      </c>
      <c r="BE202" s="280" t="n">
        <v>2.68</v>
      </c>
      <c r="BF202" s="280" t="n">
        <v>2.65</v>
      </c>
      <c r="BG202" s="280" t="n">
        <v>10.65</v>
      </c>
      <c r="BH202" s="280" t="n">
        <v>2.8</v>
      </c>
      <c r="BI202" s="280" t="n">
        <v>2.89</v>
      </c>
      <c r="BJ202" s="280" t="n">
        <v>3.39</v>
      </c>
      <c r="BK202" s="280" t="n">
        <v>3.18</v>
      </c>
      <c r="BL202" s="280" t="n">
        <v>12.26</v>
      </c>
      <c r="BM202" s="280" t="n">
        <v>3.31</v>
      </c>
      <c r="BN202" s="280" t="n">
        <v>3.59</v>
      </c>
      <c r="BO202" s="280" t="n">
        <v>3.89</v>
      </c>
      <c r="BP202" s="280" t="n">
        <v>3.82</v>
      </c>
      <c r="BQ202" s="280" t="n">
        <v>14.6</v>
      </c>
      <c r="BR202" s="280" t="n">
        <v>3.73</v>
      </c>
      <c r="BS202" s="280" t="n">
        <v>4.15</v>
      </c>
      <c r="BT202" s="280" t="n">
        <v>4.38</v>
      </c>
      <c r="BU202" s="280" t="n">
        <v>4.76</v>
      </c>
      <c r="BV202" s="280" t="n">
        <v>17.01</v>
      </c>
      <c r="BW202" s="280" t="n">
        <v>4.6</v>
      </c>
      <c r="BX202" s="280" t="n">
        <v>5.04</v>
      </c>
      <c r="BY202" s="153" t="n"/>
      <c r="BZ202" s="153" t="n"/>
      <c r="CA202" s="153" t="n"/>
      <c r="CB202" s="153" t="n"/>
      <c r="CC202" s="153" t="n"/>
      <c r="CD202" s="153" t="n"/>
      <c r="CE202" s="153" t="n"/>
      <c r="CF202" s="153" t="n"/>
    </row>
    <row r="203" ht="15" customHeight="1" s="251">
      <c r="B203" s="57" t="inlineStr">
        <is>
          <t xml:space="preserve">  Check: model vs company-published (should be 0.00; ±0.02 rounding; 2008–09 two-class)</t>
        </is>
      </c>
      <c r="C203" s="281">
        <f>IF(AND(ISNUMBER(C202),ISNUMBER(C201)),IF(ABS(C201-C202)&lt;=0.0201,0,ROUND(C201-C202,2)),"n/p")</f>
        <v>0</v>
      </c>
      <c r="D203" s="281">
        <f>IF(AND(ISNUMBER(D202),ISNUMBER(D201)),IF(ABS(D201-D202)&lt;=0.0201,0,ROUND(D201-D202,2)),"n/p")</f>
        <v>0</v>
      </c>
      <c r="E203" s="281">
        <f>IF(AND(ISNUMBER(E202),ISNUMBER(E201)),IF(ABS(E201-E202)&lt;=0.0201,0,ROUND(E201-E202,2)),"n/p")</f>
        <v>0</v>
      </c>
      <c r="F203" s="281">
        <f>IF(AND(ISNUMBER(F202),ISNUMBER(F201)),IF(ABS(F201-F202)&lt;=0.0201,0,ROUND(F201-F202,2)),"n/p")</f>
        <v>0</v>
      </c>
      <c r="G203" s="281" t="str">
        <f>IF(AND(ISNUMBER(G202),ISNUMBER(G201)),IF(ABS(G201-G202)&lt;=0.0201,0,ROUND(G201-G202,2)),"n/p")</f>
        <v>n/p</v>
      </c>
      <c r="H203" s="281">
        <f>IF(AND(ISNUMBER(H202),ISNUMBER(H201)),IF(ABS(H201-H202)&lt;=0.0201,0,ROUND(H201-H202,2)),"n/p")</f>
        <v>0</v>
      </c>
      <c r="I203" s="281">
        <f>IF(AND(ISNUMBER(I202),ISNUMBER(I201)),IF(ABS(I201-I202)&lt;=0.0201,0,ROUND(I201-I202,2)),"n/p")</f>
        <v>0</v>
      </c>
      <c r="J203" s="281" t="str">
        <f>IF(AND(ISNUMBER(J202),ISNUMBER(J201)),IF(ABS(J201-J202)&lt;=0.0201,0,ROUND(J201-J202,2)),"n/p")</f>
        <v>n/p</v>
      </c>
      <c r="K203" s="281" t="str">
        <f>IF(AND(ISNUMBER(K202),ISNUMBER(K201)),IF(ABS(K201-K202)&lt;=0.0201,0,ROUND(K201-K202,2)),"n/p")</f>
        <v>n/p</v>
      </c>
      <c r="L203" s="281" t="str">
        <f>IF(AND(ISNUMBER(L202),ISNUMBER(L201)),IF(ABS(L201-L202)&lt;=0.0201,0,ROUND(L201-L202,2)),"n/p")</f>
        <v>n/p</v>
      </c>
      <c r="M203" s="281">
        <f>IF(AND(ISNUMBER(M202),ISNUMBER(M201)),IF(ABS(M201-M202)&lt;=0.0201,0,ROUND(M201-M202,2)),"n/p")</f>
        <v>0</v>
      </c>
      <c r="N203" s="281">
        <f>IF(AND(ISNUMBER(N202),ISNUMBER(N201)),IF(ABS(N201-N202)&lt;=0.0201,0,ROUND(N201-N202,2)),"n/p")</f>
        <v>0</v>
      </c>
      <c r="O203" s="281" t="str">
        <f>IF(AND(ISNUMBER(O202),ISNUMBER(O201)),IF(ABS(O201-O202)&lt;=0.0201,0,ROUND(O201-O202,2)),"n/p")</f>
        <v>n/p</v>
      </c>
      <c r="P203" s="281" t="str">
        <f>IF(AND(ISNUMBER(P202),ISNUMBER(P201)),IF(ABS(P201-P202)&lt;=0.0201,0,ROUND(P201-P202,2)),"n/p")</f>
        <v>n/p</v>
      </c>
      <c r="Q203" s="281" t="str">
        <f>IF(AND(ISNUMBER(Q202),ISNUMBER(Q201)),IF(ABS(Q201-Q202)&lt;=0.0201,0,ROUND(Q201-Q202,2)),"n/p")</f>
        <v>n/p</v>
      </c>
      <c r="R203" s="281" t="str">
        <f>IF(AND(ISNUMBER(R202),ISNUMBER(R201)),IF(ABS(R201-R202)&lt;=0.0201,0,ROUND(R201-R202,2)),"n/p")</f>
        <v>n/p</v>
      </c>
      <c r="S203" s="281" t="str">
        <f>IF(AND(ISNUMBER(S202),ISNUMBER(S201)),IF(ABS(S201-S202)&lt;=0.0201,0,ROUND(S201-S202,2)),"n/p")</f>
        <v>n/p</v>
      </c>
      <c r="T203" s="281" t="str">
        <f>IF(AND(ISNUMBER(T202),ISNUMBER(T201)),IF(ABS(T201-T202)&lt;=0.0201,0,ROUND(T201-T202,2)),"n/p")</f>
        <v>n/p</v>
      </c>
      <c r="U203" s="281">
        <f>IF(AND(ISNUMBER(U202),ISNUMBER(U201)),IF(ABS(U201-U202)&lt;=0.0201,0,ROUND(U201-U202,2)),"n/p")</f>
        <v>0</v>
      </c>
      <c r="V203" s="281">
        <f>IF(AND(ISNUMBER(V202),ISNUMBER(V201)),IF(ABS(V201-V202)&lt;=0.0201,0,ROUND(V201-V202,2)),"n/p")</f>
        <v>0</v>
      </c>
      <c r="W203" s="281" t="str">
        <f>IF(AND(ISNUMBER(W202),ISNUMBER(W201)),IF(ABS(W201-W202)&lt;=0.0201,0,ROUND(W201-W202,2)),"n/p")</f>
        <v>n/p</v>
      </c>
      <c r="X203" s="281">
        <f>IF(AND(ISNUMBER(X202),ISNUMBER(X201)),IF(ABS(X201-X202)&lt;=0.0201,0,ROUND(X201-X202,2)),"n/p")</f>
        <v>0</v>
      </c>
      <c r="Y203" s="281" t="str">
        <f>IF(AND(ISNUMBER(Y202),ISNUMBER(Y201)),IF(ABS(Y201-Y202)&lt;=0.0201,0,ROUND(Y201-Y202,2)),"n/p")</f>
        <v>n/p</v>
      </c>
      <c r="Z203" s="281">
        <f>IF(AND(ISNUMBER(Z202),ISNUMBER(Z201)),IF(ABS(Z201-Z202)&lt;=0.0201,0,ROUND(Z201-Z202,2)),"n/p")</f>
        <v>0</v>
      </c>
      <c r="AA203" s="281" t="str">
        <f>IF(AND(ISNUMBER(AA202),ISNUMBER(AA201)),IF(ABS(AA201-AA202)&lt;=0.0201,0,ROUND(AA201-AA202,2)),"n/p")</f>
        <v>n/p</v>
      </c>
      <c r="AB203" s="281">
        <f>IF(AND(ISNUMBER(AB202),ISNUMBER(AB201)),IF(ABS(AB201-AB202)&lt;=0.0201,0,ROUND(AB201-AB202,2)),"n/p")</f>
        <v>0</v>
      </c>
      <c r="AC203" s="281">
        <f>IF(AND(ISNUMBER(AC202),ISNUMBER(AC201)),IF(ABS(AC201-AC202)&lt;=0.0201,0,ROUND(AC201-AC202,2)),"n/p")</f>
        <v>0</v>
      </c>
      <c r="AD203" s="281">
        <f>IF(AND(ISNUMBER(AD202),ISNUMBER(AD201)),IF(ABS(AD201-AD202)&lt;=0.0201,0,ROUND(AD201-AD202,2)),"n/p")</f>
        <v>0</v>
      </c>
      <c r="AE203" s="281">
        <f>IF(AND(ISNUMBER(AE202),ISNUMBER(AE201)),IF(ABS(AE201-AE202)&lt;=0.0201,0,ROUND(AE201-AE202,2)),"n/p")</f>
        <v>0</v>
      </c>
      <c r="AF203" s="281" t="str">
        <f>IF(AND(ISNUMBER(AF202),ISNUMBER(AF201)),IF(ABS(AF201-AF202)&lt;=0.0201,0,ROUND(AF201-AF202,2)),"n/p")</f>
        <v>n/p</v>
      </c>
      <c r="AG203" s="281">
        <f>IF(AND(ISNUMBER(AG202),ISNUMBER(AG201)),IF(ABS(AG201-AG202)&lt;=0.0201,0,ROUND(AG201-AG202,2)),"n/p")</f>
        <v>0</v>
      </c>
      <c r="AH203" s="281">
        <f>IF(AND(ISNUMBER(AH202),ISNUMBER(AH201)),IF(ABS(AH201-AH202)&lt;=0.0201,0,ROUND(AH201-AH202,2)),"n/p")</f>
        <v>0</v>
      </c>
      <c r="AI203" s="281">
        <f>IF(AND(ISNUMBER(AI202),ISNUMBER(AI201)),IF(ABS(AI201-AI202)&lt;=0.0201,0,ROUND(AI201-AI202,2)),"n/p")</f>
        <v>0</v>
      </c>
      <c r="AJ203" s="281">
        <f>IF(AND(ISNUMBER(AJ202),ISNUMBER(AJ201)),IF(ABS(AJ201-AJ202)&lt;=0.0201,0,ROUND(AJ201-AJ202,2)),"n/p")</f>
        <v>0</v>
      </c>
      <c r="AK203" s="281">
        <f>IF(AND(ISNUMBER(AK202),ISNUMBER(AK201)),IF(ABS(AK201-AK202)&lt;=0.0201,0,ROUND(AK201-AK202,2)),"n/p")</f>
        <v>0</v>
      </c>
      <c r="AL203" s="281">
        <f>IF(AND(ISNUMBER(AL202),ISNUMBER(AL201)),IF(ABS(AL201-AL202)&lt;=0.0201,0,ROUND(AL201-AL202,2)),"n/p")</f>
        <v>0</v>
      </c>
      <c r="AM203" s="281">
        <f>IF(AND(ISNUMBER(AM202),ISNUMBER(AM201)),IF(ABS(AM201-AM202)&lt;=0.0201,0,ROUND(AM201-AM202,2)),"n/p")</f>
        <v>0</v>
      </c>
      <c r="AN203" s="281">
        <f>IF(AND(ISNUMBER(AN202),ISNUMBER(AN201)),IF(ABS(AN201-AN202)&lt;=0.0201,0,ROUND(AN201-AN202,2)),"n/p")</f>
        <v>0</v>
      </c>
      <c r="AO203" s="281">
        <f>IF(AND(ISNUMBER(AO202),ISNUMBER(AO201)),IF(ABS(AO201-AO202)&lt;=0.0201,0,ROUND(AO201-AO202,2)),"n/p")</f>
        <v>0</v>
      </c>
      <c r="AP203" s="281">
        <f>IF(AND(ISNUMBER(AP202),ISNUMBER(AP201)),IF(ABS(AP201-AP202)&lt;=0.0201,0,ROUND(AP201-AP202,2)),"n/p")</f>
        <v>0</v>
      </c>
      <c r="AQ203" s="281">
        <f>IF(AND(ISNUMBER(AQ202),ISNUMBER(AQ201)),IF(ABS(AQ201-AQ202)&lt;=0.0201,0,ROUND(AQ201-AQ202,2)),"n/p")</f>
        <v>0</v>
      </c>
      <c r="AR203" s="281">
        <f>IF(AND(ISNUMBER(AR202),ISNUMBER(AR201)),IF(ABS(AR201-AR202)&lt;=0.0201,0,ROUND(AR201-AR202,2)),"n/p")</f>
        <v>0</v>
      </c>
      <c r="AS203" s="281">
        <f>IF(AND(ISNUMBER(AS202),ISNUMBER(AS201)),IF(ABS(AS201-AS202)&lt;=0.0201,0,ROUND(AS201-AS202,2)),"n/p")</f>
        <v>0</v>
      </c>
      <c r="AT203" s="281">
        <f>IF(AND(ISNUMBER(AT202),ISNUMBER(AT201)),IF(ABS(AT201-AT202)&lt;=0.0201,0,ROUND(AT201-AT202,2)),"n/p")</f>
        <v>0</v>
      </c>
      <c r="AU203" s="281">
        <f>IF(AND(ISNUMBER(AU202),ISNUMBER(AU201)),IF(ABS(AU201-AU202)&lt;=0.0201,0,ROUND(AU201-AU202,2)),"n/p")</f>
        <v>0</v>
      </c>
      <c r="AV203" s="281">
        <f>IF(AND(ISNUMBER(AV202),ISNUMBER(AV201)),IF(ABS(AV201-AV202)&lt;=0.0201,0,ROUND(AV201-AV202,2)),"n/p")</f>
        <v>0</v>
      </c>
      <c r="AW203" s="281">
        <f>IF(AND(ISNUMBER(AW202),ISNUMBER(AW201)),IF(ABS(AW201-AW202)&lt;=0.0201,0,ROUND(AW201-AW202,2)),"n/p")</f>
        <v>0</v>
      </c>
      <c r="AX203" s="281">
        <f>IF(AND(ISNUMBER(AX202),ISNUMBER(AX201)),IF(ABS(AX201-AX202)&lt;=0.0201,0,ROUND(AX201-AX202,2)),"n/p")</f>
        <v>0</v>
      </c>
      <c r="AY203" s="281">
        <f>IF(AND(ISNUMBER(AY202),ISNUMBER(AY201)),IF(ABS(AY201-AY202)&lt;=0.0201,0,ROUND(AY201-AY202,2)),"n/p")</f>
        <v>0</v>
      </c>
      <c r="AZ203" s="281">
        <f>IF(AND(ISNUMBER(AZ202),ISNUMBER(AZ201)),IF(ABS(AZ201-AZ202)&lt;=0.0201,0,ROUND(AZ201-AZ202,2)),"n/p")</f>
        <v>0</v>
      </c>
      <c r="BA203" s="281">
        <f>IF(AND(ISNUMBER(BA202),ISNUMBER(BA201)),IF(ABS(BA201-BA202)&lt;=0.0201,0,ROUND(BA201-BA202,2)),"n/p")</f>
        <v>0</v>
      </c>
      <c r="BB203" s="281">
        <f>IF(AND(ISNUMBER(BB202),ISNUMBER(BB201)),IF(ABS(BB201-BB202)&lt;=0.0201,0,ROUND(BB201-BB202,2)),"n/p")</f>
        <v>0</v>
      </c>
      <c r="BC203" s="281">
        <f>IF(AND(ISNUMBER(BC202),ISNUMBER(BC201)),IF(ABS(BC201-BC202)&lt;=0.0201,0,ROUND(BC201-BC202,2)),"n/p")</f>
        <v>0</v>
      </c>
      <c r="BD203" s="281">
        <f>IF(AND(ISNUMBER(BD202),ISNUMBER(BD201)),IF(ABS(BD201-BD202)&lt;=0.0201,0,ROUND(BD201-BD202,2)),"n/p")</f>
        <v>0</v>
      </c>
      <c r="BE203" s="281">
        <f>IF(AND(ISNUMBER(BE202),ISNUMBER(BE201)),IF(ABS(BE201-BE202)&lt;=0.0201,0,ROUND(BE201-BE202,2)),"n/p")</f>
        <v>0</v>
      </c>
      <c r="BF203" s="281">
        <f>IF(AND(ISNUMBER(BF202),ISNUMBER(BF201)),IF(ABS(BF201-BF202)&lt;=0.0201,0,ROUND(BF201-BF202,2)),"n/p")</f>
        <v>0</v>
      </c>
      <c r="BG203" s="281">
        <f>IF(AND(ISNUMBER(BG202),ISNUMBER(BG201)),IF(ABS(BG201-BG202)&lt;=0.0201,0,ROUND(BG201-BG202,2)),"n/p")</f>
        <v>0</v>
      </c>
      <c r="BH203" s="281">
        <f>IF(AND(ISNUMBER(BH202),ISNUMBER(BH201)),IF(ABS(BH201-BH202)&lt;=0.0201,0,ROUND(BH201-BH202,2)),"n/p")</f>
        <v>0</v>
      </c>
      <c r="BI203" s="281">
        <f>IF(AND(ISNUMBER(BI202),ISNUMBER(BI201)),IF(ABS(BI201-BI202)&lt;=0.0201,0,ROUND(BI201-BI202,2)),"n/p")</f>
        <v>0</v>
      </c>
      <c r="BJ203" s="281">
        <f>IF(AND(ISNUMBER(BJ202),ISNUMBER(BJ201)),IF(ABS(BJ201-BJ202)&lt;=0.0201,0,ROUND(BJ201-BJ202,2)),"n/p")</f>
        <v>0</v>
      </c>
      <c r="BK203" s="281">
        <f>IF(AND(ISNUMBER(BK202),ISNUMBER(BK201)),IF(ABS(BK201-BK202)&lt;=0.0201,0,ROUND(BK201-BK202,2)),"n/p")</f>
        <v>0</v>
      </c>
      <c r="BL203" s="281">
        <f>IF(AND(ISNUMBER(BL202),ISNUMBER(BL201)),IF(ABS(BL201-BL202)&lt;=0.0201,0,ROUND(BL201-BL202,2)),"n/p")</f>
        <v>0</v>
      </c>
      <c r="BM203" s="281">
        <f>IF(AND(ISNUMBER(BM202),ISNUMBER(BM201)),IF(ABS(BM201-BM202)&lt;=0.0201,0,ROUND(BM201-BM202,2)),"n/p")</f>
        <v>0</v>
      </c>
      <c r="BN203" s="281">
        <f>IF(AND(ISNUMBER(BN202),ISNUMBER(BN201)),IF(ABS(BN201-BN202)&lt;=0.0201,0,ROUND(BN201-BN202,2)),"n/p")</f>
        <v>0</v>
      </c>
      <c r="BO203" s="281">
        <f>IF(AND(ISNUMBER(BO202),ISNUMBER(BO201)),IF(ABS(BO201-BO202)&lt;=0.0201,0,ROUND(BO201-BO202,2)),"n/p")</f>
        <v>0</v>
      </c>
      <c r="BP203" s="281">
        <f>IF(AND(ISNUMBER(BP202),ISNUMBER(BP201)),IF(ABS(BP201-BP202)&lt;=0.0201,0,ROUND(BP201-BP202,2)),"n/p")</f>
        <v>0</v>
      </c>
      <c r="BQ203" s="281">
        <f>IF(AND(ISNUMBER(BQ202),ISNUMBER(BQ201)),IF(ABS(BQ201-BQ202)&lt;=0.0201,0,ROUND(BQ201-BQ202,2)),"n/p")</f>
        <v>0</v>
      </c>
      <c r="BR203" s="281">
        <f>IF(AND(ISNUMBER(BR202),ISNUMBER(BR201)),IF(ABS(BR201-BR202)&lt;=0.0201,0,ROUND(BR201-BR202,2)),"n/p")</f>
        <v>0</v>
      </c>
      <c r="BS203" s="281">
        <f>IF(AND(ISNUMBER(BS202),ISNUMBER(BS201)),IF(ABS(BS201-BS202)&lt;=0.0201,0,ROUND(BS201-BS202,2)),"n/p")</f>
        <v>0</v>
      </c>
      <c r="BT203" s="281">
        <f>IF(AND(ISNUMBER(BT202),ISNUMBER(BT201)),IF(ABS(BT201-BT202)&lt;=0.0201,0,ROUND(BT201-BT202,2)),"n/p")</f>
        <v>0</v>
      </c>
      <c r="BU203" s="281">
        <f>IF(AND(ISNUMBER(BU202),ISNUMBER(BU201)),IF(ABS(BU201-BU202)&lt;=0.0201,0,ROUND(BU201-BU202,2)),"n/p")</f>
        <v>0</v>
      </c>
      <c r="BV203" s="281">
        <f>IF(AND(ISNUMBER(BV202),ISNUMBER(BV201)),IF(ABS(BV201-BV202)&lt;=0.0201,0,ROUND(BV201-BV202,2)),"n/p")</f>
        <v>0</v>
      </c>
      <c r="BW203" s="281">
        <f>IF(AND(ISNUMBER(BW202),ISNUMBER(BW201)),IF(ABS(BW201-BW202)&lt;=0.0201,0,ROUND(BW201-BW202,2)),"n/p")</f>
        <v>0</v>
      </c>
      <c r="BX203" s="281">
        <f>IF(AND(ISNUMBER(BX202),ISNUMBER(BX201)),IF(ABS(BX201-BX202)&lt;=0.0201,0,ROUND(BX201-BX202,2)),"n/p")</f>
        <v>0</v>
      </c>
      <c r="BY203" s="153" t="n"/>
      <c r="BZ203" s="153" t="n"/>
      <c r="CA203" s="153" t="n"/>
      <c r="CB203" s="153" t="n"/>
      <c r="CC203" s="153" t="n"/>
      <c r="CD203" s="153" t="n"/>
      <c r="CE203" s="153" t="n"/>
      <c r="CF203" s="153" t="n"/>
    </row>
    <row r="204" ht="15" customHeight="1" s="251">
      <c r="B204" s="22" t="inlineStr">
        <is>
          <t xml:space="preserve">  Adjusted EPS y/y %</t>
        </is>
      </c>
      <c r="C204" s="23" t="n"/>
      <c r="D204" s="258">
        <f>IF(AND(ISNUMBER(D201),ISNUMBER(C201)),IFERROR(D201/C201-1,""),"")</f>
        <v>1.25303498328526</v>
      </c>
      <c r="E204" s="258">
        <f>IF(AND(ISNUMBER(E201),ISNUMBER(D201)),IFERROR(E201/D201-1,""),"")</f>
        <v>0.255400445207434</v>
      </c>
      <c r="F204" s="258">
        <f>IF(AND(ISNUMBER(F201),ISNUMBER(E201)),IFERROR(F201/E201-1,""),"")</f>
        <v>0.18325567469312</v>
      </c>
      <c r="G204" s="258">
        <f>IF(AND(ISNUMBER(G201),ISNUMBER(F201)),IFERROR(G201/F201-1,""),"")</f>
        <v>0.250973175770254</v>
      </c>
      <c r="H204" s="258">
        <f>IF(AND(ISNUMBER(H201),ISNUMBER(G201)),IFERROR(H201/G201-1,""),"")</f>
        <v>0.331134039815818</v>
      </c>
      <c r="I204" s="258">
        <f>IF(AND(ISNUMBER(I201),ISNUMBER(H201)),IFERROR(I201/H201-1,""),"")</f>
        <v>0.172844648063307</v>
      </c>
      <c r="J204" s="23" t="n"/>
      <c r="K204" s="23" t="n"/>
      <c r="L204" s="23" t="n"/>
      <c r="M204" s="23" t="n"/>
      <c r="N204" s="258">
        <f>IF(AND(ISNUMBER(N201),ISNUMBER(I201)),IFERROR(N201/I201-1,""),"")</f>
        <v>0.188552188552188</v>
      </c>
      <c r="O204" s="258">
        <f>IF(AND(ISNUMBER(O201),ISNUMBER(J201)),IFERROR(O201/J201-1,""),"")</f>
        <v>0.174934725848564</v>
      </c>
      <c r="P204" s="258">
        <f>IF(AND(ISNUMBER(P201),ISNUMBER(K201)),IFERROR(P201/K201-1,""),"")</f>
        <v>0.145774488758332</v>
      </c>
      <c r="Q204" s="258">
        <f>IF(AND(ISNUMBER(Q201),ISNUMBER(L201)),IFERROR(Q201/L201-1,""),"")</f>
        <v>0.204493742889647</v>
      </c>
      <c r="R204" s="258">
        <f>IF(AND(ISNUMBER(R201),ISNUMBER(M201)),IFERROR(R201/M201-1,""),"")</f>
        <v>0.219635627530364</v>
      </c>
      <c r="S204" s="258">
        <f>IF(AND(ISNUMBER(S201),ISNUMBER(N201)),IFERROR(S201/N201-1,""),"")</f>
        <v>0.183295085264518</v>
      </c>
      <c r="T204" s="258">
        <f>IF(AND(ISNUMBER(T201),ISNUMBER(O201)),IFERROR(T201/O201-1,""),"")</f>
        <v>0.210069444444444</v>
      </c>
      <c r="U204" s="258">
        <f>IF(AND(ISNUMBER(U201),ISNUMBER(P201)),IFERROR(U201/P201-1,""),"")</f>
        <v>0.0619559415629345</v>
      </c>
      <c r="V204" s="258">
        <f>IF(AND(ISNUMBER(V201),ISNUMBER(Q201)),IFERROR(V201/Q201-1,""),"")</f>
        <v>0.0359349388475603</v>
      </c>
      <c r="W204" s="258">
        <f>IF(AND(ISNUMBER(W201),ISNUMBER(R201)),IFERROR(W201/R201-1,""),"")</f>
        <v>0.143732700672202</v>
      </c>
      <c r="X204" s="258">
        <f>IF(AND(ISNUMBER(X201),ISNUMBER(S201)),IFERROR(X201/S201-1,""),"")</f>
        <v>0.109440687226765</v>
      </c>
      <c r="Y204" s="258">
        <f>IF(AND(ISNUMBER(Y201),ISNUMBER(T201)),IFERROR(Y201/T201-1,""),"")</f>
        <v>-0.0259839187473551</v>
      </c>
      <c r="Z204" s="258">
        <f>IF(AND(ISNUMBER(Z201),ISNUMBER(U201)),IFERROR(Z201/U201-1,""),"")</f>
        <v>0.139426710526935</v>
      </c>
      <c r="AA204" s="258">
        <f>IF(AND(ISNUMBER(AA201),ISNUMBER(V201)),IFERROR(AA201/V201-1,""),"")</f>
        <v>0.188539107429698</v>
      </c>
      <c r="AB204" s="258">
        <f>IF(AND(ISNUMBER(AB201),ISNUMBER(W201)),IFERROR(AB201/W201-1,""),"")</f>
        <v>0.0891248324914959</v>
      </c>
      <c r="AC204" s="258">
        <f>IF(AND(ISNUMBER(AC201),ISNUMBER(X201)),IFERROR(AC201/X201-1,""),"")</f>
        <v>0.0964639091986113</v>
      </c>
      <c r="AD204" s="258">
        <f>IF(AND(ISNUMBER(AD201),ISNUMBER(Y201)),IFERROR(AD201/Y201-1,""),"")</f>
        <v>0.169186170899678</v>
      </c>
      <c r="AE204" s="258">
        <f>IF(AND(ISNUMBER(AE201),ISNUMBER(Z201)),IFERROR(AE201/Z201-1,""),"")</f>
        <v>0.136161146789996</v>
      </c>
      <c r="AF204" s="258">
        <f>IF(AND(ISNUMBER(AF201),ISNUMBER(AA201)),IFERROR(AF201/AA201-1,""),"")</f>
        <v>0.242827272497216</v>
      </c>
      <c r="AG204" s="258">
        <f>IF(AND(ISNUMBER(AG201),ISNUMBER(AB201)),IFERROR(AG201/AB201-1,""),"")</f>
        <v>0.317747843317788</v>
      </c>
      <c r="AH204" s="258">
        <f>IF(AND(ISNUMBER(AH201),ISNUMBER(AC201)),IFERROR(AH201/AC201-1,""),"")</f>
        <v>0.215906921713825</v>
      </c>
      <c r="AI204" s="258">
        <f>IF(AND(ISNUMBER(AI201),ISNUMBER(AD201)),IFERROR(AI201/AD201-1,""),"")</f>
        <v>0.483403819155089</v>
      </c>
      <c r="AJ204" s="258">
        <f>IF(AND(ISNUMBER(AJ201),ISNUMBER(AE201)),IFERROR(AJ201/AE201-1,""),"")</f>
        <v>0.518458733608008</v>
      </c>
      <c r="AK204" s="258">
        <f>IF(AND(ISNUMBER(AK201),ISNUMBER(AF201)),IFERROR(AK201/AF201-1,""),"")</f>
        <v>0.329011927669646</v>
      </c>
      <c r="AL204" s="258">
        <f>IF(AND(ISNUMBER(AL201),ISNUMBER(AG201)),IFERROR(AL201/AG201-1,""),"")</f>
        <v>0.365728955326724</v>
      </c>
      <c r="AM204" s="258">
        <f>IF(AND(ISNUMBER(AM201),ISNUMBER(AH201)),IFERROR(AM201/AH201-1,""),"")</f>
        <v>0.417484233679128</v>
      </c>
      <c r="AN204" s="258">
        <f>IF(AND(ISNUMBER(AN201),ISNUMBER(AI201)),IFERROR(AN201/AI201-1,""),"")</f>
        <v>0.18747885500787</v>
      </c>
      <c r="AO204" s="258">
        <f>IF(AND(ISNUMBER(AO201),ISNUMBER(AJ201)),IFERROR(AO201/AJ201-1,""),"")</f>
        <v>0.136670955471023</v>
      </c>
      <c r="AP204" s="258">
        <f>IF(AND(ISNUMBER(AP201),ISNUMBER(AK201)),IFERROR(AP201/AK201-1,""),"")</f>
        <v>0.208299317281987</v>
      </c>
      <c r="AQ204" s="258">
        <f>IF(AND(ISNUMBER(AQ201),ISNUMBER(AL201)),IFERROR(AQ201/AL201-1,""),"")</f>
        <v>0.260018272697024</v>
      </c>
      <c r="AR204" s="258">
        <f>IF(AND(ISNUMBER(AR201),ISNUMBER(AM201)),IFERROR(AR201/AM201-1,""),"")</f>
        <v>0.19716631630628</v>
      </c>
      <c r="AS204" s="258">
        <f>IF(AND(ISNUMBER(AS201),ISNUMBER(AN201)),IFERROR(AS201/AN201-1,""),"")</f>
        <v>0.0279139861613003</v>
      </c>
      <c r="AT204" s="258">
        <f>IF(AND(ISNUMBER(AT201),ISNUMBER(AO201)),IFERROR(AT201/AO201-1,""),"")</f>
        <v>-0.280792380624595</v>
      </c>
      <c r="AU204" s="258">
        <f>IF(AND(ISNUMBER(AU201),ISNUMBER(AP201)),IFERROR(AU201/AP201-1,""),"")</f>
        <v>-0.257253213621532</v>
      </c>
      <c r="AV204" s="258">
        <f>IF(AND(ISNUMBER(AV201),ISNUMBER(AQ201)),IFERROR(AV201/AQ201-1,""),"")</f>
        <v>-0.16016744487214</v>
      </c>
      <c r="AW204" s="258">
        <f>IF(AND(ISNUMBER(AW201),ISNUMBER(AR201)),IFERROR(AW201/AR201-1,""),"")</f>
        <v>-0.172761590968239</v>
      </c>
      <c r="AX204" s="258">
        <f>IF(AND(ISNUMBER(AX201),ISNUMBER(AS201)),IFERROR(AX201/AS201-1,""),"")</f>
        <v>-0.044504410121762</v>
      </c>
      <c r="AY204" s="258">
        <f>IF(AND(ISNUMBER(AY201),ISNUMBER(AT201)),IFERROR(AY201/AT201-1,""),"")</f>
        <v>0.433782255577259</v>
      </c>
      <c r="AZ204" s="258">
        <f>IF(AND(ISNUMBER(AZ201),ISNUMBER(AU201)),IFERROR(AZ201/AU201-1,""),"")</f>
        <v>0.480666477862739</v>
      </c>
      <c r="BA204" s="258">
        <f>IF(AND(ISNUMBER(BA201),ISNUMBER(AV201)),IFERROR(BA201/AV201-1,""),"")</f>
        <v>0.428955498635397</v>
      </c>
      <c r="BB204" s="258">
        <f>IF(AND(ISNUMBER(BB201),ISNUMBER(AW201)),IFERROR(BB201/AW201-1,""),"")</f>
        <v>0.307535637100518</v>
      </c>
      <c r="BC204" s="258">
        <f>IF(AND(ISNUMBER(BC201),ISNUMBER(AX201)),IFERROR(BC201/AX201-1,""),"")</f>
        <v>0.578876306339696</v>
      </c>
      <c r="BD204" s="258">
        <f>IF(AND(ISNUMBER(BD201),ISNUMBER(AY201)),IFERROR(BD201/AY201-1,""),"")</f>
        <v>0.315577233152306</v>
      </c>
      <c r="BE204" s="258">
        <f>IF(AND(ISNUMBER(BE201),ISNUMBER(AZ201)),IFERROR(BE201/AZ201-1,""),"")</f>
        <v>0.133693837132539</v>
      </c>
      <c r="BF204" s="258">
        <f>IF(AND(ISNUMBER(BF201),ISNUMBER(BA201)),IFERROR(BF201/BA201-1,""),"")</f>
        <v>0.127422497578961</v>
      </c>
      <c r="BG204" s="258">
        <f>IF(AND(ISNUMBER(BG201),ISNUMBER(BB201)),IFERROR(BG201/BB201-1,""),"")</f>
        <v>0.267930923210152</v>
      </c>
      <c r="BH204" s="258">
        <f>IF(AND(ISNUMBER(BH201),ISNUMBER(BC201)),IFERROR(BH201/BC201-1,""),"")</f>
        <v>0.0170360402491259</v>
      </c>
      <c r="BI204" s="258">
        <f>IF(AND(ISNUMBER(BI201),ISNUMBER(BD201)),IFERROR(BI201/BD201-1,""),"")</f>
        <v>0.12704602741414</v>
      </c>
      <c r="BJ204" s="258">
        <f>IF(AND(ISNUMBER(BJ201),ISNUMBER(BE201)),IFERROR(BJ201/BE201-1,""),"")</f>
        <v>0.266623758471815</v>
      </c>
      <c r="BK204" s="258">
        <f>IF(AND(ISNUMBER(BK201),ISNUMBER(BF201)),IFERROR(BK201/BF201-1,""),"")</f>
        <v>0.201449736935816</v>
      </c>
      <c r="BL204" s="258">
        <f>IF(AND(ISNUMBER(BL201),ISNUMBER(BG201)),IFERROR(BL201/BG201-1,""),"")</f>
        <v>0.15197630058347</v>
      </c>
      <c r="BM204" s="258">
        <f>IF(AND(ISNUMBER(BM201),ISNUMBER(BH201)),IFERROR(BM201/BH201-1,""),"")</f>
        <v>0.180906814487626</v>
      </c>
      <c r="BN204" s="258">
        <f>IF(AND(ISNUMBER(BN201),ISNUMBER(BI201)),IFERROR(BN201/BI201-1,""),"")</f>
        <v>0.243346823212003</v>
      </c>
      <c r="BO204" s="258">
        <f>IF(AND(ISNUMBER(BO201),ISNUMBER(BJ201)),IFERROR(BO201/BJ201-1,""),"")</f>
        <v>0.143946857538363</v>
      </c>
      <c r="BP204" s="258">
        <f>IF(AND(ISNUMBER(BP201),ISNUMBER(BK201)),IFERROR(BP201/BK201-1,""),"")</f>
        <v>0.202496705507953</v>
      </c>
      <c r="BQ204" s="258">
        <f>IF(AND(ISNUMBER(BQ201),ISNUMBER(BL201)),IFERROR(BQ201/BL201-1,""),"")</f>
        <v>0.190534968064597</v>
      </c>
      <c r="BR204" s="258">
        <f>IF(AND(ISNUMBER(BR201),ISNUMBER(BM201)),IFERROR(BR201/BM201-1,""),"")</f>
        <v>0.126497257518742</v>
      </c>
      <c r="BS204" s="258">
        <f>IF(AND(ISNUMBER(BS201),ISNUMBER(BN201)),IFERROR(BS201/BN201-1,""),"")</f>
        <v>0.154167197623683</v>
      </c>
      <c r="BT204" s="258">
        <f>IF(AND(ISNUMBER(BT201),ISNUMBER(BO201)),IFERROR(BT201/BO201-1,""),"")</f>
        <v>0.126784278208241</v>
      </c>
      <c r="BU204" s="258">
        <f>IF(AND(ISNUMBER(BU201),ISNUMBER(BP201)),IFERROR(BU201/BP201-1,""),"")</f>
        <v>0.2462403405233</v>
      </c>
      <c r="BV204" s="258">
        <f>IF(AND(ISNUMBER(BV201),ISNUMBER(BQ201)),IFERROR(BV201/BQ201-1,""),"")</f>
        <v>0.16478113318834</v>
      </c>
      <c r="BW204" s="258">
        <f>IF(AND(ISNUMBER(BW201),ISNUMBER(BR201)),IFERROR(BW201/BR201-1,""),"")</f>
        <v>0.23296744628904</v>
      </c>
      <c r="BX204" s="258">
        <f>IF(AND(ISNUMBER(BX201),ISNUMBER(BS201)),IFERROR(BX201/BS201-1,""),"")</f>
        <v>0.216269279065344</v>
      </c>
      <c r="BY204" s="256">
        <f>IF(AND(ISNUMBER(BY201),ISNUMBER(BT201)),IFERROR(BY201/BT201-1,""),"")</f>
        <v>0.171074159127405</v>
      </c>
      <c r="BZ204" s="256">
        <f>IF(AND(ISNUMBER(BZ201),ISNUMBER(BU201)),IFERROR(BZ201/BU201-1,""),"")</f>
        <v>0.0775678261095585</v>
      </c>
      <c r="CA204" s="256">
        <f>IF(AND(ISNUMBER(CA201),ISNUMBER(BV201)),IFERROR(CA201/BV201-1,""),"")</f>
        <v>0.168933383627943</v>
      </c>
      <c r="CB204" s="256">
        <f>IF(AND(ISNUMBER(CB201),ISNUMBER(CA201)),IFERROR(CB201/CA201-1,""),"")</f>
        <v>0.155925331638438</v>
      </c>
      <c r="CC204" s="256">
        <f>IF(AND(ISNUMBER(CC201),ISNUMBER(CB201)),IFERROR(CC201/CB201-1,""),"")</f>
        <v>0.15608938441234</v>
      </c>
      <c r="CD204" s="256">
        <f>IF(AND(ISNUMBER(CD201),ISNUMBER(CC201)),IFERROR(CD201/CC201-1,""),"")</f>
        <v>0.150936059462574</v>
      </c>
      <c r="CE204" s="256">
        <f>IF(AND(ISNUMBER(CE201),ISNUMBER(CD201)),IFERROR(CE201/CD201-1,""),"")</f>
        <v>0.145869942246721</v>
      </c>
      <c r="CF204" s="153" t="n"/>
    </row>
    <row r="205" ht="15" customHeight="1" s="251">
      <c r="B205" s="25" t="inlineStr">
        <is>
          <t xml:space="preserve">  Adjusted income before tax (adjusted operating income + adjusted other income (expense))</t>
        </is>
      </c>
      <c r="C205" s="211">
        <f>IF(ISNUMBER(C170),C170+C136+C196,"")</f>
        <v>707.172</v>
      </c>
      <c r="D205" s="211">
        <f>IF(ISNUMBER(D170),D170+D136+D196,"")</f>
        <v>1584.432</v>
      </c>
      <c r="E205" s="211">
        <f>IF(ISNUMBER(E170),E170+E136+E196,"")</f>
        <v>2024.787</v>
      </c>
      <c r="F205" s="211">
        <f>IF(ISNUMBER(F170),F170+F136+F196,"")</f>
        <v>2225.051</v>
      </c>
      <c r="G205" s="211">
        <f>IF(ISNUMBER(G170),G170+G136+G196,"")</f>
        <v>2757</v>
      </c>
      <c r="H205" s="211">
        <f>IF(ISNUMBER(H170),H170+H136+H196,"")</f>
        <v>3516</v>
      </c>
      <c r="I205" s="211">
        <f>IF(ISNUMBER(I170),I170+I136+I196,"")</f>
        <v>3952</v>
      </c>
      <c r="J205" s="211">
        <f>IF(ISNUMBER(J170),J170+J136+J196,"")</f>
        <v>1102</v>
      </c>
      <c r="K205" s="211">
        <f>IF(ISNUMBER(K170),K170+K136+K196,"")</f>
        <v>1233</v>
      </c>
      <c r="L205" s="211">
        <f>IF(ISNUMBER(L170),L170+L136+L196,"")</f>
        <v>1254</v>
      </c>
      <c r="M205" s="211">
        <f>IF(ISNUMBER(M170),M170+M136+M196,"")</f>
        <v>1006</v>
      </c>
      <c r="N205" s="211">
        <f>IF(ISNUMBER(N170),N170+N136+N196,"")</f>
        <v>4595</v>
      </c>
      <c r="O205" s="211">
        <f>IF(ISNUMBER(O170),O170+O136+O196,"")</f>
        <v>1281</v>
      </c>
      <c r="P205" s="211">
        <f>IF(ISNUMBER(P170),P170+P136+P196,"")</f>
        <v>1373</v>
      </c>
      <c r="Q205" s="211">
        <f>IF(ISNUMBER(Q170),Q170+Q136+Q196,"")</f>
        <v>1418</v>
      </c>
      <c r="R205" s="211">
        <f>IF(ISNUMBER(R170),R170+R136+R196,"")</f>
        <v>1007</v>
      </c>
      <c r="S205" s="211">
        <f>IF(ISNUMBER(S170),S170+S136+S196,"")</f>
        <v>5079</v>
      </c>
      <c r="T205" s="211">
        <f>IF(ISNUMBER(T170),T170+T136+T196,"")</f>
        <v>1340</v>
      </c>
      <c r="U205" s="211">
        <f>IF(ISNUMBER(U170),U170+U136+U196,"")</f>
        <v>1302</v>
      </c>
      <c r="V205" s="211">
        <f>IF(ISNUMBER(V170),V170+V136+V196,"")</f>
        <v>1431</v>
      </c>
      <c r="W205" s="211">
        <f>IF(ISNUMBER(W170),W170+W136+W196,"")</f>
        <v>1025</v>
      </c>
      <c r="X205" s="211">
        <f>IF(ISNUMBER(X170),X170+X136+X196,"")</f>
        <v>5098</v>
      </c>
      <c r="Y205" s="211">
        <f>IF(ISNUMBER(Y170),Y170+Y136+Y196,"")</f>
        <v>1337</v>
      </c>
      <c r="Z205" s="211">
        <f>IF(ISNUMBER(Z170),Z170+Z136+Z196,"")</f>
        <v>1472</v>
      </c>
      <c r="AA205" s="211">
        <f>IF(ISNUMBER(AA170),AA170+AA136+AA196,"")</f>
        <v>1633</v>
      </c>
      <c r="AB205" s="211">
        <f>IF(ISNUMBER(AB170),AB170+AB136+AB196,"")</f>
        <v>1321</v>
      </c>
      <c r="AC205" s="211">
        <f>IF(ISNUMBER(AC170),AC170+AC136+AC196,"")</f>
        <v>5763</v>
      </c>
      <c r="AD205" s="211">
        <f>IF(ISNUMBER(AD170),AD170+AD136+AD196,"")</f>
        <v>1493</v>
      </c>
      <c r="AE205" s="211">
        <f>IF(ISNUMBER(AE170),AE170+AE136+AE196,"")</f>
        <v>1628</v>
      </c>
      <c r="AF205" s="211">
        <f>IF(ISNUMBER(AF170),AF170+AF136+AF196,"")</f>
        <v>1932</v>
      </c>
      <c r="AG205" s="211">
        <f>IF(ISNUMBER(AG170),AG170+AG136+AG196,"")</f>
        <v>1651</v>
      </c>
      <c r="AH205" s="211">
        <f>IF(ISNUMBER(AH170),AH170+AH136+AH196,"")</f>
        <v>6704</v>
      </c>
      <c r="AI205" s="211">
        <f>IF(ISNUMBER(AI170),AI170+AI136+AI196,"")</f>
        <v>1920</v>
      </c>
      <c r="AJ205" s="211">
        <f>IF(ISNUMBER(AJ170),AJ170+AJ136+AJ196,"")</f>
        <v>2147</v>
      </c>
      <c r="AK205" s="211">
        <f>IF(ISNUMBER(AK170),AK170+AK136+AK196,"")</f>
        <v>2293</v>
      </c>
      <c r="AL205" s="211">
        <f>IF(ISNUMBER(AL170),AL170+AL136+AL196,"")</f>
        <v>1972</v>
      </c>
      <c r="AM205" s="211">
        <f>IF(ISNUMBER(AM170),AM170+AM136+AM196,"")</f>
        <v>8332</v>
      </c>
      <c r="AN205" s="211">
        <f>IF(ISNUMBER(AN170),AN170+AN136+AN196,"")</f>
        <v>2203</v>
      </c>
      <c r="AO205" s="211">
        <f>IF(ISNUMBER(AO170),AO170+AO136+AO196,"")</f>
        <v>2376</v>
      </c>
      <c r="AP205" s="211">
        <f>IF(ISNUMBER(AP170),AP170+AP136+AP196,"")</f>
        <v>2634</v>
      </c>
      <c r="AQ205" s="211">
        <f>IF(ISNUMBER(AQ170),AQ170+AQ136+AQ196,"")</f>
        <v>2356</v>
      </c>
      <c r="AR205" s="211">
        <f>IF(ISNUMBER(AR170),AR170+AR136+AR196,"")</f>
        <v>9564</v>
      </c>
      <c r="AS205" s="211">
        <f>IF(ISNUMBER(AS170),AS170+AS136+AS196,"")</f>
        <v>2167</v>
      </c>
      <c r="AT205" s="211">
        <f>IF(ISNUMBER(AT170),AT170+AT136+AT196,"")</f>
        <v>1637</v>
      </c>
      <c r="AU205" s="211">
        <f>IF(ISNUMBER(AU170),AU170+AU136+AU196,"")</f>
        <v>2006</v>
      </c>
      <c r="AV205" s="211">
        <f>IF(ISNUMBER(AV170),AV170+AV136+AV196,"")</f>
        <v>1993</v>
      </c>
      <c r="AW205" s="211">
        <f>IF(ISNUMBER(AW170),AW170+AW136+AW196,"")</f>
        <v>7803</v>
      </c>
      <c r="AX205" s="211">
        <f>IF(ISNUMBER(AX170),AX170+AX136+AX196,"")</f>
        <v>2096</v>
      </c>
      <c r="AY205" s="211">
        <f>IF(ISNUMBER(AY170),AY170+AY136+AY196,"")</f>
        <v>2302</v>
      </c>
      <c r="AZ205" s="211">
        <f>IF(ISNUMBER(AZ170),AZ170+AZ136+AZ196,"")</f>
        <v>2734</v>
      </c>
      <c r="BA205" s="211">
        <f>IF(ISNUMBER(BA170),BA170+BA136+BA196,"")</f>
        <v>2712</v>
      </c>
      <c r="BB205" s="211">
        <f>IF(ISNUMBER(BB170),BB170+BB136+BB196,"")</f>
        <v>9844</v>
      </c>
      <c r="BC205" s="211">
        <f>IF(ISNUMBER(BC170),BC170+BC136+BC196,"")</f>
        <v>2853</v>
      </c>
      <c r="BD205" s="211">
        <f>IF(ISNUMBER(BD170),BD170+BD136+BD196,"")</f>
        <v>3075</v>
      </c>
      <c r="BE205" s="211">
        <f>IF(ISNUMBER(BE170),BE170+BE136+BE196,"")</f>
        <v>3220</v>
      </c>
      <c r="BF205" s="211">
        <f>IF(ISNUMBER(BF170),BF170+BF136+BF196,"")</f>
        <v>3116</v>
      </c>
      <c r="BG205" s="211">
        <f>IF(ISNUMBER(BG170),BG170+BG136+BG196,"")</f>
        <v>12263</v>
      </c>
      <c r="BH205" s="211">
        <f>IF(ISNUMBER(BH170),BH170+BH136+BH196,"")</f>
        <v>3276</v>
      </c>
      <c r="BI205" s="211">
        <f>IF(ISNUMBER(BI170),BI170+BI136+BI196,"")</f>
        <v>3601</v>
      </c>
      <c r="BJ205" s="211">
        <f>IF(ISNUMBER(BJ170),BJ170+BJ136+BJ196,"")</f>
        <v>3767</v>
      </c>
      <c r="BK205" s="211">
        <f>IF(ISNUMBER(BK170),BK170+BK136+BK196,"")</f>
        <v>3595</v>
      </c>
      <c r="BL205" s="211">
        <f>IF(ISNUMBER(BL170),BL170+BL136+BL196,"")</f>
        <v>14239</v>
      </c>
      <c r="BM205" s="211">
        <f>IF(ISNUMBER(BM170),BM170+BM136+BM196,"")</f>
        <v>3678</v>
      </c>
      <c r="BN205" s="211">
        <f>IF(ISNUMBER(BN170),BN170+BN136+BN196,"")</f>
        <v>4050</v>
      </c>
      <c r="BO205" s="211">
        <f>IF(ISNUMBER(BO170),BO170+BO136+BO196,"")</f>
        <v>4294</v>
      </c>
      <c r="BP205" s="211">
        <f>IF(ISNUMBER(BP170),BP170+BP136+BP196,"")</f>
        <v>4131</v>
      </c>
      <c r="BQ205" s="211">
        <f>IF(ISNUMBER(BQ170),BQ170+BQ136+BQ196,"")</f>
        <v>16153</v>
      </c>
      <c r="BR205" s="211">
        <f>IF(ISNUMBER(BR170),BR170+BR136+BR196,"")</f>
        <v>4211</v>
      </c>
      <c r="BS205" s="211">
        <f>IF(ISNUMBER(BS170),BS170+BS136+BS196,"")</f>
        <v>4764</v>
      </c>
      <c r="BT205" s="211">
        <f>IF(ISNUMBER(BT170),BT170+BT136+BT196,"")</f>
        <v>5041</v>
      </c>
      <c r="BU205" s="211">
        <f>IF(ISNUMBER(BU170),BU170+BU136+BU196,"")</f>
        <v>5154</v>
      </c>
      <c r="BV205" s="211">
        <f>IF(ISNUMBER(BV170),BV170+BV136+BV196,"")</f>
        <v>19170</v>
      </c>
      <c r="BW205" s="211">
        <f>IF(ISNUMBER(BW170),BW170+BW136+BW196,"")</f>
        <v>5080</v>
      </c>
      <c r="BX205" s="211">
        <f>IF(ISNUMBER(BX170),BX170+BX136+BX196,"")</f>
        <v>5570</v>
      </c>
      <c r="BY205" s="254">
        <f>IF(ISNUMBER(BY170),BY170+BY136+BY196,"")</f>
        <v>5643.80564242909</v>
      </c>
      <c r="BZ205" s="254">
        <f>IF(ISNUMBER(BZ170),BZ170+BZ136+BZ196,"")</f>
        <v>5616.12935757091</v>
      </c>
      <c r="CA205" s="254">
        <f>IF(ISNUMBER(CA170),CA170+CA136+CA196,"")</f>
        <v>21909.935</v>
      </c>
      <c r="CB205" s="254">
        <f>IF(ISNUMBER(CB170),CB170+CB136+CB196,"")</f>
        <v>24763.4865653339</v>
      </c>
      <c r="CC205" s="254">
        <f>IF(ISNUMBER(CC170),CC170+CC136+CC196,"")</f>
        <v>27873.6584576387</v>
      </c>
      <c r="CD205" s="254">
        <f>IF(ISNUMBER(CD170),CD170+CD136+CD196,"")</f>
        <v>31139.942665744</v>
      </c>
      <c r="CE205" s="254">
        <f>IF(ISNUMBER(CE170),CE170+CE136+CE196,"")</f>
        <v>34567.2227095415</v>
      </c>
      <c r="CF205" s="19" t="n"/>
    </row>
    <row r="206" ht="15" customHeight="1" s="251">
      <c r="B206" s="25" t="inlineStr">
        <is>
          <t xml:space="preserve">  Adjusted income tax (adjusted income before tax − adjusted net income − NCI)</t>
        </is>
      </c>
      <c r="C206" s="211">
        <f>IF(AND(ISNUMBER(C198),ISNUMBER(C205)),C205-C198-N(C141),"")</f>
        <v>250.172</v>
      </c>
      <c r="D206" s="211">
        <f>IF(AND(ISNUMBER(D198),ISNUMBER(D205)),D205-D198-N(D141),"")</f>
        <v>555.432</v>
      </c>
      <c r="E206" s="211">
        <f>IF(AND(ISNUMBER(E198),ISNUMBER(E205)),E205-E198-N(E141),"")</f>
        <v>785.787000000001</v>
      </c>
      <c r="F206" s="211">
        <f>IF(AND(ISNUMBER(F198),ISNUMBER(F205)),F205-F198-N(F141),"")</f>
        <v>757.959</v>
      </c>
      <c r="G206" s="211">
        <f>IF(AND(ISNUMBER(G198),ISNUMBER(G205)),G205-G198-N(G141),"")</f>
        <v>910</v>
      </c>
      <c r="H206" s="211">
        <f>IF(AND(ISNUMBER(H198),ISNUMBER(H205)),H205-H198-N(H141),"")</f>
        <v>1117</v>
      </c>
      <c r="I206" s="211">
        <f>IF(AND(ISNUMBER(I198),ISNUMBER(I205)),I205-I198-N(I141),"")</f>
        <v>1181</v>
      </c>
      <c r="J206" s="211">
        <f>IF(AND(ISNUMBER(J198),ISNUMBER(J205)),J205-J198-N(J141),"")</f>
        <v>336</v>
      </c>
      <c r="K206" s="211">
        <f>IF(AND(ISNUMBER(K198),ISNUMBER(K205)),K205-K198-N(K141),"")</f>
        <v>385</v>
      </c>
      <c r="L206" s="211">
        <f>IF(AND(ISNUMBER(L198),ISNUMBER(L205)),L205-L198-N(L141),"")</f>
        <v>375</v>
      </c>
      <c r="M206" s="211">
        <f>IF(AND(ISNUMBER(M198),ISNUMBER(M205)),M205-M198-N(M141),"")</f>
        <v>322</v>
      </c>
      <c r="N206" s="211">
        <f>IF(AND(ISNUMBER(N198),ISNUMBER(N205)),N205-N198-N(N141),"")</f>
        <v>1418</v>
      </c>
      <c r="O206" s="211">
        <f>IF(AND(ISNUMBER(O198),ISNUMBER(O205)),O205-O198-N(O141),"")</f>
        <v>411</v>
      </c>
      <c r="P206" s="211">
        <f>IF(AND(ISNUMBER(P198),ISNUMBER(P205)),P205-P198-N(P141),"")</f>
        <v>442</v>
      </c>
      <c r="Q206" s="211">
        <f>IF(AND(ISNUMBER(Q198),ISNUMBER(Q205)),Q205-Q198-N(Q141),"")</f>
        <v>403</v>
      </c>
      <c r="R206" s="211">
        <f>IF(AND(ISNUMBER(R198),ISNUMBER(R205)),R205-R198-N(R141),"")</f>
        <v>206</v>
      </c>
      <c r="S206" s="211">
        <f>IF(AND(ISNUMBER(S198),ISNUMBER(S205)),S205-S198-N(S141),"")</f>
        <v>1462</v>
      </c>
      <c r="T206" s="211">
        <f>IF(AND(ISNUMBER(T198),ISNUMBER(T205)),T205-T198-N(T141),"")</f>
        <v>320</v>
      </c>
      <c r="U206" s="211">
        <f>IF(AND(ISNUMBER(U198),ISNUMBER(U205)),U205-U198-N(U141),"")</f>
        <v>337</v>
      </c>
      <c r="V206" s="211">
        <f>IF(AND(ISNUMBER(V198),ISNUMBER(V205)),V205-V198-N(V141),"")</f>
        <v>404</v>
      </c>
      <c r="W206" s="211">
        <f>IF(AND(ISNUMBER(W198),ISNUMBER(W205)),W205-W198-N(W141),"")</f>
        <v>135</v>
      </c>
      <c r="X206" s="211">
        <f>IF(AND(ISNUMBER(X198),ISNUMBER(X205)),X205-X198-N(X141),"")</f>
        <v>1195</v>
      </c>
      <c r="Y206" s="211">
        <f>IF(AND(ISNUMBER(Y198),ISNUMBER(Y205)),Y205-Y198-N(Y141),"")</f>
        <v>378</v>
      </c>
      <c r="Z206" s="211">
        <f>IF(AND(ISNUMBER(Z198),ISNUMBER(Z205)),Z205-Z198-N(Z141),"")</f>
        <v>411</v>
      </c>
      <c r="AA206" s="211">
        <f>IF(AND(ISNUMBER(AA198),ISNUMBER(AA205)),AA205-AA198-N(AA141),"")</f>
        <v>449</v>
      </c>
      <c r="AB206" s="211">
        <f>IF(AND(ISNUMBER(AB198),ISNUMBER(AB205)),AB205-AB198-N(AB141),"")</f>
        <v>381</v>
      </c>
      <c r="AC206" s="211">
        <f>IF(AND(ISNUMBER(AC198),ISNUMBER(AC205)),AC205-AC198-N(AC141),"")</f>
        <v>1619</v>
      </c>
      <c r="AD206" s="211">
        <f>IF(AND(ISNUMBER(AD198),ISNUMBER(AD205)),AD205-AD198-N(AD141),"")</f>
        <v>402</v>
      </c>
      <c r="AE206" s="211">
        <f>IF(AND(ISNUMBER(AE198),ISNUMBER(AE205)),AE205-AE198-N(AE141),"")</f>
        <v>451</v>
      </c>
      <c r="AF206" s="211">
        <f>IF(AND(ISNUMBER(AF198),ISNUMBER(AF205)),AF205-AF198-N(AF141),"")</f>
        <v>502</v>
      </c>
      <c r="AG206" s="211">
        <f>IF(AND(ISNUMBER(AG198),ISNUMBER(AG205)),AG205-AG198-N(AG141),"")</f>
        <v>443</v>
      </c>
      <c r="AH206" s="211">
        <f>IF(AND(ISNUMBER(AH198),ISNUMBER(AH205)),AH205-AH198-N(AH141),"")</f>
        <v>1798</v>
      </c>
      <c r="AI206" s="211">
        <f>IF(AND(ISNUMBER(AI198),ISNUMBER(AI205)),AI205-AI198-N(AI141),"")</f>
        <v>339</v>
      </c>
      <c r="AJ206" s="211">
        <f>IF(AND(ISNUMBER(AJ198),ISNUMBER(AJ205)),AJ205-AJ198-N(AJ141),"")</f>
        <v>403</v>
      </c>
      <c r="AK206" s="211">
        <f>IF(AND(ISNUMBER(AK198),ISNUMBER(AK205)),AK205-AK198-N(AK141),"")</f>
        <v>437</v>
      </c>
      <c r="AL206" s="211">
        <f>IF(AND(ISNUMBER(AL198),ISNUMBER(AL205)),AL205-AL198-N(AL141),"")</f>
        <v>361</v>
      </c>
      <c r="AM206" s="211">
        <f>IF(AND(ISNUMBER(AM198),ISNUMBER(AM205)),AM205-AM198-N(AM141),"")</f>
        <v>1540</v>
      </c>
      <c r="AN206" s="211">
        <f>IF(AND(ISNUMBER(AN198),ISNUMBER(AN205)),AN205-AN198-N(AN141),"")</f>
        <v>370</v>
      </c>
      <c r="AO206" s="211">
        <f>IF(AND(ISNUMBER(AO198),ISNUMBER(AO205)),AO205-AO198-N(AO141),"")</f>
        <v>439</v>
      </c>
      <c r="AP206" s="211">
        <f>IF(AND(ISNUMBER(AP198),ISNUMBER(AP205)),AP205-AP198-N(AP141),"")</f>
        <v>443</v>
      </c>
      <c r="AQ206" s="211">
        <f>IF(AND(ISNUMBER(AQ198),ISNUMBER(AQ205)),AQ205-AQ198-N(AQ141),"")</f>
        <v>375</v>
      </c>
      <c r="AR206" s="211">
        <f>IF(AND(ISNUMBER(AR198),ISNUMBER(AR205)),AR205-AR198-N(AR141),"")</f>
        <v>1627</v>
      </c>
      <c r="AS206" s="211">
        <f>IF(AND(ISNUMBER(AS198),ISNUMBER(AS205)),AS205-AS198-N(AS141),"")</f>
        <v>323</v>
      </c>
      <c r="AT206" s="211">
        <f>IF(AND(ISNUMBER(AT198),ISNUMBER(AT205)),AT205-AT198-N(AT141),"")</f>
        <v>267</v>
      </c>
      <c r="AU206" s="211">
        <f>IF(AND(ISNUMBER(AU198),ISNUMBER(AU205)),AU205-AU198-N(AU141),"")</f>
        <v>401</v>
      </c>
      <c r="AV206" s="211">
        <f>IF(AND(ISNUMBER(AV198),ISNUMBER(AV205)),AV205-AV198-N(AV141),"")</f>
        <v>349</v>
      </c>
      <c r="AW206" s="211">
        <f>IF(AND(ISNUMBER(AW198),ISNUMBER(AW205)),AW205-AW198-N(AW141),"")</f>
        <v>1340</v>
      </c>
      <c r="AX206" s="211">
        <f>IF(AND(ISNUMBER(AX198),ISNUMBER(AX205)),AX205-AX198-N(AX141),"")</f>
        <v>355</v>
      </c>
      <c r="AY206" s="211">
        <f>IF(AND(ISNUMBER(AY198),ISNUMBER(AY205)),AY205-AY198-N(AY141),"")</f>
        <v>365</v>
      </c>
      <c r="AZ206" s="211">
        <f>IF(AND(ISNUMBER(AZ198),ISNUMBER(AZ205)),AZ205-AZ198-N(AZ141),"")</f>
        <v>393</v>
      </c>
      <c r="BA206" s="211">
        <f>IF(AND(ISNUMBER(BA198),ISNUMBER(BA205)),BA205-BA198-N(BA141),"")</f>
        <v>398</v>
      </c>
      <c r="BB206" s="211">
        <f>IF(AND(ISNUMBER(BB198),ISNUMBER(BB205)),BB205-BB198-N(BB141),"")</f>
        <v>1511</v>
      </c>
      <c r="BC206" s="211">
        <f>IF(AND(ISNUMBER(BC198),ISNUMBER(BC205)),BC205-BC198-N(BC141),"")</f>
        <v>151</v>
      </c>
      <c r="BD206" s="211">
        <f>IF(AND(ISNUMBER(BD198),ISNUMBER(BD205)),BD205-BD198-N(BD141),"")</f>
        <v>578</v>
      </c>
      <c r="BE206" s="211">
        <f>IF(AND(ISNUMBER(BE198),ISNUMBER(BE205)),BE205-BE198-N(BE141),"")</f>
        <v>625</v>
      </c>
      <c r="BF206" s="211">
        <f>IF(AND(ISNUMBER(BF198),ISNUMBER(BF205)),BF205-BF198-N(BF141),"")</f>
        <v>568</v>
      </c>
      <c r="BG206" s="211">
        <f>IF(AND(ISNUMBER(BG198),ISNUMBER(BG205)),BG205-BG198-N(BG141),"")</f>
        <v>1921</v>
      </c>
      <c r="BH206" s="211">
        <f>IF(AND(ISNUMBER(BH198),ISNUMBER(BH205)),BH205-BH198-N(BH141),"")</f>
        <v>598</v>
      </c>
      <c r="BI206" s="211">
        <f>IF(AND(ISNUMBER(BI198),ISNUMBER(BI205)),BI205-BI198-N(BI141),"")</f>
        <v>859</v>
      </c>
      <c r="BJ206" s="211">
        <f>IF(AND(ISNUMBER(BJ198),ISNUMBER(BJ205)),BJ205-BJ198-N(BJ141),"")</f>
        <v>565</v>
      </c>
      <c r="BK206" s="211">
        <f>IF(AND(ISNUMBER(BK198),ISNUMBER(BK205)),BK205-BK198-N(BK141),"")</f>
        <v>610</v>
      </c>
      <c r="BL206" s="211">
        <f>IF(AND(ISNUMBER(BL198),ISNUMBER(BL205)),BL205-BL198-N(BL141),"")</f>
        <v>2632</v>
      </c>
      <c r="BM206" s="211">
        <f>IF(AND(ISNUMBER(BM198),ISNUMBER(BM205)),BM205-BM198-N(BM141),"")</f>
        <v>585</v>
      </c>
      <c r="BN206" s="211">
        <f>IF(AND(ISNUMBER(BN198),ISNUMBER(BN205)),BN205-BN198-N(BN141),"")</f>
        <v>709</v>
      </c>
      <c r="BO206" s="211">
        <f>IF(AND(ISNUMBER(BO198),ISNUMBER(BO205)),BO205-BO198-N(BO141),"")</f>
        <v>701</v>
      </c>
      <c r="BP206" s="211">
        <f>IF(AND(ISNUMBER(BP198),ISNUMBER(BP205)),BP205-BP198-N(BP141),"")</f>
        <v>618</v>
      </c>
      <c r="BQ206" s="211">
        <f>IF(AND(ISNUMBER(BQ198),ISNUMBER(BQ205)),BQ205-BQ198-N(BQ141),"")</f>
        <v>2612</v>
      </c>
      <c r="BR206" s="211">
        <f>IF(AND(ISNUMBER(BR198),ISNUMBER(BR205)),BR205-BR198-N(BR141),"")</f>
        <v>805</v>
      </c>
      <c r="BS206" s="211">
        <f>IF(AND(ISNUMBER(BS198),ISNUMBER(BS205)),BS205-BS198-N(BS141),"")</f>
        <v>995</v>
      </c>
      <c r="BT206" s="211">
        <f>IF(AND(ISNUMBER(BT198),ISNUMBER(BT205)),BT205-BT198-N(BT141),"")</f>
        <v>1080</v>
      </c>
      <c r="BU206" s="211">
        <f>IF(AND(ISNUMBER(BU198),ISNUMBER(BU205)),BU205-BU198-N(BU141),"")</f>
        <v>876</v>
      </c>
      <c r="BV206" s="211">
        <f>IF(AND(ISNUMBER(BV198),ISNUMBER(BV205)),BV205-BV198-N(BV141),"")</f>
        <v>3755</v>
      </c>
      <c r="BW206" s="211">
        <f>IF(AND(ISNUMBER(BW198),ISNUMBER(BW205)),BW205-BW198-N(BW141),"")</f>
        <v>977</v>
      </c>
      <c r="BX206" s="211">
        <f>IF(AND(ISNUMBER(BX198),ISNUMBER(BX205)),BX205-BX198-N(BX141),"")</f>
        <v>1117</v>
      </c>
      <c r="BY206" s="254">
        <f>BY205*BY207</f>
        <v>1156.98015669796</v>
      </c>
      <c r="BZ206" s="254">
        <f>BZ205*BZ207</f>
        <v>1151.30651830204</v>
      </c>
      <c r="CA206" s="254">
        <f>SUM(BW206:BZ206)</f>
        <v>4402.286675</v>
      </c>
      <c r="CB206" s="254">
        <f>CB205*CB207</f>
        <v>5076.51474589344</v>
      </c>
      <c r="CC206" s="254">
        <f>CC205*CC207</f>
        <v>5714.09998381593</v>
      </c>
      <c r="CD206" s="254">
        <f>CD205*CD207</f>
        <v>6383.68824647752</v>
      </c>
      <c r="CE206" s="254">
        <f>CE205*CE207</f>
        <v>7086.28065545601</v>
      </c>
      <c r="CF206" s="19" t="n"/>
    </row>
    <row r="207" ht="15" customHeight="1" s="251">
      <c r="B207" s="25" t="inlineStr">
        <is>
          <t xml:space="preserve">  Adjusted effective tax rate</t>
        </is>
      </c>
      <c r="C207" s="215">
        <f>IF(AND(ISNUMBER(C206),ISNUMBER(C205)),IFERROR(C206/C205,""),"")</f>
        <v>0.35376400649347</v>
      </c>
      <c r="D207" s="215">
        <f>IF(AND(ISNUMBER(D206),ISNUMBER(D205)),IFERROR(D206/D205,""),"")</f>
        <v>0.350555908994517</v>
      </c>
      <c r="E207" s="215">
        <f>IF(AND(ISNUMBER(E206),ISNUMBER(E205)),IFERROR(E206/E205,""),"")</f>
        <v>0.388083783627611</v>
      </c>
      <c r="F207" s="215">
        <f>IF(AND(ISNUMBER(F206),ISNUMBER(F205)),IFERROR(F206/F205,""),"")</f>
        <v>0.340647922227401</v>
      </c>
      <c r="G207" s="215">
        <f>IF(AND(ISNUMBER(G206),ISNUMBER(G205)),IFERROR(G206/G205,""),"")</f>
        <v>0.330068915487849</v>
      </c>
      <c r="H207" s="215">
        <f>IF(AND(ISNUMBER(H206),ISNUMBER(H205)),IFERROR(H206/H205,""),"")</f>
        <v>0.31769055745165</v>
      </c>
      <c r="I207" s="215">
        <f>IF(AND(ISNUMBER(I206),ISNUMBER(I205)),IFERROR(I206/I205,""),"")</f>
        <v>0.298836032388664</v>
      </c>
      <c r="J207" s="215">
        <f>IF(AND(ISNUMBER(J206),ISNUMBER(J205)),IFERROR(J206/J205,""),"")</f>
        <v>0.304900181488203</v>
      </c>
      <c r="K207" s="215">
        <f>IF(AND(ISNUMBER(K206),ISNUMBER(K205)),IFERROR(K206/K205,""),"")</f>
        <v>0.312246553122466</v>
      </c>
      <c r="L207" s="215">
        <f>IF(AND(ISNUMBER(L206),ISNUMBER(L205)),IFERROR(L206/L205,""),"")</f>
        <v>0.299043062200957</v>
      </c>
      <c r="M207" s="215">
        <f>IF(AND(ISNUMBER(M206),ISNUMBER(M205)),IFERROR(M206/M205,""),"")</f>
        <v>0.320079522862823</v>
      </c>
      <c r="N207" s="215">
        <f>IF(AND(ISNUMBER(N206),ISNUMBER(N205)),IFERROR(N206/N205,""),"")</f>
        <v>0.308596300326442</v>
      </c>
      <c r="O207" s="215">
        <f>IF(AND(ISNUMBER(O206),ISNUMBER(O205)),IFERROR(O206/O205,""),"")</f>
        <v>0.320843091334895</v>
      </c>
      <c r="P207" s="215">
        <f>IF(AND(ISNUMBER(P206),ISNUMBER(P205)),IFERROR(P206/P205,""),"")</f>
        <v>0.321922796795339</v>
      </c>
      <c r="Q207" s="215">
        <f>IF(AND(ISNUMBER(Q206),ISNUMBER(Q205)),IFERROR(Q206/Q205,""),"")</f>
        <v>0.284203102961918</v>
      </c>
      <c r="R207" s="215">
        <f>IF(AND(ISNUMBER(R206),ISNUMBER(R205)),IFERROR(R206/R205,""),"")</f>
        <v>0.204568023833168</v>
      </c>
      <c r="S207" s="215">
        <f>IF(AND(ISNUMBER(S206),ISNUMBER(S205)),IFERROR(S206/S205,""),"")</f>
        <v>0.287851939358141</v>
      </c>
      <c r="T207" s="215">
        <f>IF(AND(ISNUMBER(T206),ISNUMBER(T205)),IFERROR(T206/T205,""),"")</f>
        <v>0.238805970149254</v>
      </c>
      <c r="U207" s="215">
        <f>IF(AND(ISNUMBER(U206),ISNUMBER(U205)),IFERROR(U206/U205,""),"")</f>
        <v>0.258832565284178</v>
      </c>
      <c r="V207" s="215">
        <f>IF(AND(ISNUMBER(V206),ISNUMBER(V205)),IFERROR(V206/V205,""),"")</f>
        <v>0.282320055904962</v>
      </c>
      <c r="W207" s="215">
        <f>IF(AND(ISNUMBER(W206),ISNUMBER(W205)),IFERROR(W206/W205,""),"")</f>
        <v>0.131707317073171</v>
      </c>
      <c r="X207" s="215">
        <f>IF(AND(ISNUMBER(X206),ISNUMBER(X205)),IFERROR(X206/X205,""),"")</f>
        <v>0.234405649274225</v>
      </c>
      <c r="Y207" s="215">
        <f>IF(AND(ISNUMBER(Y206),ISNUMBER(Y205)),IFERROR(Y206/Y205,""),"")</f>
        <v>0.282722513089005</v>
      </c>
      <c r="Z207" s="215">
        <f>IF(AND(ISNUMBER(Z206),ISNUMBER(Z205)),IFERROR(Z206/Z205,""),"")</f>
        <v>0.279211956521739</v>
      </c>
      <c r="AA207" s="215">
        <f>IF(AND(ISNUMBER(AA206),ISNUMBER(AA205)),IFERROR(AA206/AA205,""),"")</f>
        <v>0.274954072259645</v>
      </c>
      <c r="AB207" s="215">
        <f>IF(AND(ISNUMBER(AB206),ISNUMBER(AB205)),IFERROR(AB206/AB205,""),"")</f>
        <v>0.288417865253596</v>
      </c>
      <c r="AC207" s="215">
        <f>IF(AND(ISNUMBER(AC206),ISNUMBER(AC205)),IFERROR(AC206/AC205,""),"")</f>
        <v>0.280930071143502</v>
      </c>
      <c r="AD207" s="215">
        <f>IF(AND(ISNUMBER(AD206),ISNUMBER(AD205)),IFERROR(AD206/AD205,""),"")</f>
        <v>0.269256530475553</v>
      </c>
      <c r="AE207" s="215">
        <f>IF(AND(ISNUMBER(AE206),ISNUMBER(AE205)),IFERROR(AE206/AE205,""),"")</f>
        <v>0.277027027027027</v>
      </c>
      <c r="AF207" s="215">
        <f>IF(AND(ISNUMBER(AF206),ISNUMBER(AF205)),IFERROR(AF206/AF205,""),"")</f>
        <v>0.259834368530021</v>
      </c>
      <c r="AG207" s="215">
        <f>IF(AND(ISNUMBER(AG206),ISNUMBER(AG205)),IFERROR(AG206/AG205,""),"")</f>
        <v>0.26832222895215</v>
      </c>
      <c r="AH207" s="215">
        <f>IF(AND(ISNUMBER(AH206),ISNUMBER(AH205)),IFERROR(AH206/AH205,""),"")</f>
        <v>0.268198090692124</v>
      </c>
      <c r="AI207" s="215">
        <f>IF(AND(ISNUMBER(AI206),ISNUMBER(AI205)),IFERROR(AI206/AI205,""),"")</f>
        <v>0.1765625</v>
      </c>
      <c r="AJ207" s="215">
        <f>IF(AND(ISNUMBER(AJ206),ISNUMBER(AJ205)),IFERROR(AJ206/AJ205,""),"")</f>
        <v>0.187703772706102</v>
      </c>
      <c r="AK207" s="215">
        <f>IF(AND(ISNUMBER(AK206),ISNUMBER(AK205)),IFERROR(AK206/AK205,""),"")</f>
        <v>0.190580026166594</v>
      </c>
      <c r="AL207" s="215">
        <f>IF(AND(ISNUMBER(AL206),ISNUMBER(AL205)),IFERROR(AL206/AL205,""),"")</f>
        <v>0.183062880324544</v>
      </c>
      <c r="AM207" s="215">
        <f>IF(AND(ISNUMBER(AM206),ISNUMBER(AM205)),IFERROR(AM206/AM205,""),"")</f>
        <v>0.184829572731637</v>
      </c>
      <c r="AN207" s="215">
        <f>IF(AND(ISNUMBER(AN206),ISNUMBER(AN205)),IFERROR(AN206/AN205,""),"")</f>
        <v>0.167952791647753</v>
      </c>
      <c r="AO207" s="215">
        <f>IF(AND(ISNUMBER(AO206),ISNUMBER(AO205)),IFERROR(AO206/AO205,""),"")</f>
        <v>0.18476430976431</v>
      </c>
      <c r="AP207" s="215">
        <f>IF(AND(ISNUMBER(AP206),ISNUMBER(AP205)),IFERROR(AP206/AP205,""),"")</f>
        <v>0.168185269552012</v>
      </c>
      <c r="AQ207" s="215">
        <f>IF(AND(ISNUMBER(AQ206),ISNUMBER(AQ205)),IFERROR(AQ206/AQ205,""),"")</f>
        <v>0.159168081494058</v>
      </c>
      <c r="AR207" s="215">
        <f>IF(AND(ISNUMBER(AR206),ISNUMBER(AR205)),IFERROR(AR206/AR205,""),"")</f>
        <v>0.170117105813467</v>
      </c>
      <c r="AS207" s="215">
        <f>IF(AND(ISNUMBER(AS206),ISNUMBER(AS205)),IFERROR(AS206/AS205,""),"")</f>
        <v>0.149053991693586</v>
      </c>
      <c r="AT207" s="215">
        <f>IF(AND(ISNUMBER(AT206),ISNUMBER(AT205)),IFERROR(AT206/AT205,""),"")</f>
        <v>0.163103237629811</v>
      </c>
      <c r="AU207" s="215">
        <f>IF(AND(ISNUMBER(AU206),ISNUMBER(AU205)),IFERROR(AU206/AU205,""),"")</f>
        <v>0.199900299102692</v>
      </c>
      <c r="AV207" s="215">
        <f>IF(AND(ISNUMBER(AV206),ISNUMBER(AV205)),IFERROR(AV206/AV205,""),"")</f>
        <v>0.175112895132965</v>
      </c>
      <c r="AW207" s="215">
        <f>IF(AND(ISNUMBER(AW206),ISNUMBER(AW205)),IFERROR(AW206/AW205,""),"")</f>
        <v>0.171728822247853</v>
      </c>
      <c r="AX207" s="215">
        <f>IF(AND(ISNUMBER(AX206),ISNUMBER(AX205)),IFERROR(AX206/AX205,""),"")</f>
        <v>0.169370229007634</v>
      </c>
      <c r="AY207" s="215">
        <f>IF(AND(ISNUMBER(AY206),ISNUMBER(AY205)),IFERROR(AY206/AY205,""),"")</f>
        <v>0.15855777584709</v>
      </c>
      <c r="AZ207" s="215">
        <f>IF(AND(ISNUMBER(AZ206),ISNUMBER(AZ205)),IFERROR(AZ206/AZ205,""),"")</f>
        <v>0.143745427944404</v>
      </c>
      <c r="BA207" s="215">
        <f>IF(AND(ISNUMBER(BA206),ISNUMBER(BA205)),IFERROR(BA206/BA205,""),"")</f>
        <v>0.146755162241888</v>
      </c>
      <c r="BB207" s="215">
        <f>IF(AND(ISNUMBER(BB206),ISNUMBER(BB205)),IFERROR(BB206/BB205,""),"")</f>
        <v>0.15349451442503</v>
      </c>
      <c r="BC207" s="215">
        <f>IF(AND(ISNUMBER(BC206),ISNUMBER(BC205)),IFERROR(BC206/BC205,""),"")</f>
        <v>0.0529267437784788</v>
      </c>
      <c r="BD207" s="215">
        <f>IF(AND(ISNUMBER(BD206),ISNUMBER(BD205)),IFERROR(BD206/BD205,""),"")</f>
        <v>0.187967479674797</v>
      </c>
      <c r="BE207" s="215">
        <f>IF(AND(ISNUMBER(BE206),ISNUMBER(BE205)),IFERROR(BE206/BE205,""),"")</f>
        <v>0.194099378881988</v>
      </c>
      <c r="BF207" s="215">
        <f>IF(AND(ISNUMBER(BF206),ISNUMBER(BF205)),IFERROR(BF206/BF205,""),"")</f>
        <v>0.182284980744544</v>
      </c>
      <c r="BG207" s="215">
        <f>IF(AND(ISNUMBER(BG206),ISNUMBER(BG205)),IFERROR(BG206/BG205,""),"")</f>
        <v>0.15665008562342</v>
      </c>
      <c r="BH207" s="215">
        <f>IF(AND(ISNUMBER(BH206),ISNUMBER(BH205)),IFERROR(BH206/BH205,""),"")</f>
        <v>0.182539682539683</v>
      </c>
      <c r="BI207" s="215">
        <f>IF(AND(ISNUMBER(BI206),ISNUMBER(BI205)),IFERROR(BI206/BI205,""),"")</f>
        <v>0.238544848653152</v>
      </c>
      <c r="BJ207" s="215">
        <f>IF(AND(ISNUMBER(BJ206),ISNUMBER(BJ205)),IFERROR(BJ206/BJ205,""),"")</f>
        <v>0.149986726838333</v>
      </c>
      <c r="BK207" s="215">
        <f>IF(AND(ISNUMBER(BK206),ISNUMBER(BK205)),IFERROR(BK206/BK205,""),"")</f>
        <v>0.169680111265647</v>
      </c>
      <c r="BL207" s="215">
        <f>IF(AND(ISNUMBER(BL206),ISNUMBER(BL205)),IFERROR(BL206/BL205,""),"")</f>
        <v>0.184844441323127</v>
      </c>
      <c r="BM207" s="215">
        <f>IF(AND(ISNUMBER(BM206),ISNUMBER(BM205)),IFERROR(BM206/BM205,""),"")</f>
        <v>0.15905383360522</v>
      </c>
      <c r="BN207" s="215">
        <f>IF(AND(ISNUMBER(BN206),ISNUMBER(BN205)),IFERROR(BN206/BN205,""),"")</f>
        <v>0.175061728395062</v>
      </c>
      <c r="BO207" s="215">
        <f>IF(AND(ISNUMBER(BO206),ISNUMBER(BO205)),IFERROR(BO206/BO205,""),"")</f>
        <v>0.163251047973917</v>
      </c>
      <c r="BP207" s="215">
        <f>IF(AND(ISNUMBER(BP206),ISNUMBER(BP205)),IFERROR(BP206/BP205,""),"")</f>
        <v>0.14960058097313</v>
      </c>
      <c r="BQ207" s="215">
        <f>IF(AND(ISNUMBER(BQ206),ISNUMBER(BQ205)),IFERROR(BQ206/BQ205,""),"")</f>
        <v>0.161703708289482</v>
      </c>
      <c r="BR207" s="215">
        <f>IF(AND(ISNUMBER(BR206),ISNUMBER(BR205)),IFERROR(BR206/BR205,""),"")</f>
        <v>0.191165993825695</v>
      </c>
      <c r="BS207" s="215">
        <f>IF(AND(ISNUMBER(BS206),ISNUMBER(BS205)),IFERROR(BS206/BS205,""),"")</f>
        <v>0.208858102434929</v>
      </c>
      <c r="BT207" s="215">
        <f>IF(AND(ISNUMBER(BT206),ISNUMBER(BT205)),IFERROR(BT206/BT205,""),"")</f>
        <v>0.214243205713152</v>
      </c>
      <c r="BU207" s="215">
        <f>IF(AND(ISNUMBER(BU206),ISNUMBER(BU205)),IFERROR(BU206/BU205,""),"")</f>
        <v>0.169965075669383</v>
      </c>
      <c r="BV207" s="215">
        <f>IF(AND(ISNUMBER(BV206),ISNUMBER(BV205)),IFERROR(BV206/BV205,""),"")</f>
        <v>0.195878977569118</v>
      </c>
      <c r="BW207" s="215">
        <f>IF(AND(ISNUMBER(BW206),ISNUMBER(BW205)),IFERROR(BW206/BW205,""),"")</f>
        <v>0.192322834645669</v>
      </c>
      <c r="BX207" s="215">
        <f>IF(AND(ISNUMBER(BX206),ISNUMBER(BX205)),IFERROR(BX206/BX205,""),"")</f>
        <v>0.200538599640934</v>
      </c>
      <c r="BY207" s="256">
        <f>$CP$22</f>
        <v>0.205</v>
      </c>
      <c r="BZ207" s="256">
        <f>$CP$22</f>
        <v>0.205</v>
      </c>
      <c r="CA207" s="256">
        <f>IF(AND(ISNUMBER(CA206),ISNUMBER(CA205)),IFERROR(CA206/CA205,""),"")</f>
        <v>0.200926505487123</v>
      </c>
      <c r="CB207" s="256">
        <f>CB139</f>
        <v>0.205</v>
      </c>
      <c r="CC207" s="256">
        <f>CC139</f>
        <v>0.205</v>
      </c>
      <c r="CD207" s="256">
        <f>CD139</f>
        <v>0.205</v>
      </c>
      <c r="CE207" s="256">
        <f>CE139</f>
        <v>0.205</v>
      </c>
      <c r="CF207" s="153" t="inlineStr">
        <is>
          <t>H1-26 adjusted 19.7%; Q3/Q4 guided 20–21% (UNVERIFIED). Forecast = GAAP effective tax rate (special items taxed at the same rate).</t>
        </is>
      </c>
      <c r="CH207" s="37">
        <f>IFERROR(AVERAGE(CA207,CB207,CC207,CD207,CE207),"n/m")</f>
        <v>0.204185301097425</v>
      </c>
      <c r="CI207" s="37">
        <f>IFERROR(AVERAGE(BB207,BG207,BL207,BQ207,BV207),"n/m")</f>
        <v>0.170514345446035</v>
      </c>
      <c r="CJ207" s="37">
        <f>IFERROR(AVERAGE(AC207,AH207,AM207,AR207,AW207,BB207,BG207,BL207,BQ207,BV207),"n/m")</f>
        <v>0.192837538985876</v>
      </c>
      <c r="CK207" s="37">
        <f>IFERROR(AVERAGE(C207,D207,E207,F207,G207,H207,I207,N207,S207,X207,AC207,AH207,AM207,AR207,AW207,BB207,BG207,BL207,BQ207,BV207),"n/m")</f>
        <v>0.256943820274437</v>
      </c>
    </row>
    <row r="208" ht="15" customHeight="1" s="251">
      <c r="B208" s="158" t="inlineStr">
        <is>
          <t xml:space="preserve">  Definition / basis (company adjusted EPS definition)</t>
        </is>
      </c>
      <c r="C208" s="284" t="inlineStr">
        <is>
          <t>FY2006–09: net income / EPS excluding special items, after tax (annual)</t>
        </is>
      </c>
      <c r="G208" s="284" t="inlineStr">
        <is>
          <t>FY2010: no adjusted EPS published (adjusted = GAAP, flag)</t>
        </is>
      </c>
      <c r="H208" s="284" t="inlineStr">
        <is>
          <t>FY2011–16: adjusted EPS excluding litigation provisions (and the 2015 pension termination) where published</t>
        </is>
      </c>
      <c r="AG208" s="284" t="inlineStr">
        <is>
          <t>Q4-17–2019: U.S. Tax Act impacts excluded (discrete tax)</t>
        </is>
      </c>
      <c r="AO208" s="284" t="inlineStr">
        <is>
          <t>Q2-19+: equity-investment (gains) losses and their tax effect excluded</t>
        </is>
      </c>
      <c r="BY208" s="153" t="n"/>
      <c r="BZ208" s="153" t="n"/>
      <c r="CA208" s="153" t="n"/>
      <c r="CB208" s="153" t="n"/>
      <c r="CC208" s="153" t="n"/>
      <c r="CD208" s="153" t="n"/>
      <c r="CE208" s="153" t="n"/>
      <c r="CF208" s="19" t="n"/>
    </row>
    <row r="209" ht="15" customHeight="1" s="251">
      <c r="CN209" s="11" t="n"/>
      <c r="CO209" s="12" t="n"/>
      <c r="CP209" s="12" t="n"/>
      <c r="CQ209" s="12" t="n"/>
      <c r="CR209" s="13" t="n"/>
    </row>
    <row r="210" ht="15" customHeight="1" s="251">
      <c r="B210" s="10" t="inlineStr">
        <is>
          <t>GROWTH &amp; MARGINS</t>
        </is>
      </c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inlineStr">
        <is>
          <t>GROWTH &amp; MARGINS (consolidated) — forecast outputs</t>
        </is>
      </c>
    </row>
    <row r="211" ht="15" customHeight="1" s="251">
      <c r="B211" s="22" t="inlineStr">
        <is>
          <t xml:space="preserve">  Net revenue y/y %</t>
        </is>
      </c>
      <c r="C211" s="23" t="n"/>
      <c r="D211" s="258">
        <f>IF(AND(ISNUMBER(D123),ISNUMBER(C123)),IFERROR(D123/C123-1,""),"")</f>
        <v>0.222943025320543</v>
      </c>
      <c r="E211" s="258">
        <f>IF(AND(ISNUMBER(E123),ISNUMBER(D123)),IFERROR(E123/D123-1,""),"")</f>
        <v>0.22716128113907</v>
      </c>
      <c r="F211" s="258">
        <f>IF(AND(ISNUMBER(F123),ISNUMBER(E123)),IFERROR(F123/E123-1,""),"")</f>
        <v>0.0214528407724979</v>
      </c>
      <c r="G211" s="258">
        <f>IF(AND(ISNUMBER(G123),ISNUMBER(F123)),IFERROR(G123/F123-1,""),"")</f>
        <v>0.0863587545335227</v>
      </c>
      <c r="H211" s="258">
        <f>IF(AND(ISNUMBER(H123),ISNUMBER(G123)),IFERROR(H123/G123-1,""),"")</f>
        <v>0.212132153818379</v>
      </c>
      <c r="I211" s="258">
        <f>IF(AND(ISNUMBER(I123),ISNUMBER(H123)),IFERROR(I123/H123-1,""),"")</f>
        <v>0.100834078045874</v>
      </c>
      <c r="J211" s="23" t="n"/>
      <c r="K211" s="23" t="n"/>
      <c r="L211" s="23" t="n"/>
      <c r="M211" s="23" t="n"/>
      <c r="N211" s="258">
        <f>IF(AND(ISNUMBER(N123),ISNUMBER(I123)),IFERROR(N123/I123-1,""),"")</f>
        <v>0.129211202814234</v>
      </c>
      <c r="O211" s="258">
        <f>IF(AND(ISNUMBER(O123),ISNUMBER(J123)),IFERROR(O123/J123-1,""),"")</f>
        <v>0.142182581322141</v>
      </c>
      <c r="P211" s="258">
        <f>IF(AND(ISNUMBER(P123),ISNUMBER(K123)),IFERROR(P123/K123-1,""),"")</f>
        <v>0.134064885496183</v>
      </c>
      <c r="Q211" s="258">
        <f>IF(AND(ISNUMBER(Q123),ISNUMBER(L123)),IFERROR(Q123/L123-1,""),"")</f>
        <v>0.128494138863841</v>
      </c>
      <c r="R211" s="258">
        <f>IF(AND(ISNUMBER(R123),ISNUMBER(M123)),IFERROR(R123/M123-1,""),"")</f>
        <v>0.136406396989652</v>
      </c>
      <c r="S211" s="258">
        <f>IF(AND(ISNUMBER(S123),ISNUMBER(N123)),IFERROR(S123/N123-1,""),"")</f>
        <v>0.13503474718428</v>
      </c>
      <c r="T211" s="258">
        <f>IF(AND(ISNUMBER(T123),ISNUMBER(O123)),IFERROR(T123/O123-1,""),"")</f>
        <v>0.024345429490124</v>
      </c>
      <c r="U211" s="258">
        <f>IF(AND(ISNUMBER(U123),ISNUMBER(P123)),IFERROR(U123/P123-1,""),"")</f>
        <v>0.0054690786705931</v>
      </c>
      <c r="V211" s="258">
        <f>IF(AND(ISNUMBER(V123),ISNUMBER(Q123)),IFERROR(V123/Q123-1,""),"")</f>
        <v>0.01078705553336</v>
      </c>
      <c r="W211" s="258">
        <f>IF(AND(ISNUMBER(W123),ISNUMBER(R123)),IFERROR(W123/R123-1,""),"")</f>
        <v>0.0418046357615893</v>
      </c>
      <c r="X211" s="258">
        <f>IF(AND(ISNUMBER(X123),ISNUMBER(S123)),IFERROR(X123/S123-1,""),"")</f>
        <v>0.0204792568352159</v>
      </c>
      <c r="Y211" s="258">
        <f>IF(AND(ISNUMBER(Y123),ISNUMBER(T123)),IFERROR(Y123/T123-1,""),"")</f>
        <v>0.0968609865470853</v>
      </c>
      <c r="Z211" s="258">
        <f>IF(AND(ISNUMBER(Z123),ISNUMBER(U123)),IFERROR(Z123/U123-1,""),"")</f>
        <v>0.127196652719665</v>
      </c>
      <c r="AA211" s="258">
        <f>IF(AND(ISNUMBER(AA123),ISNUMBER(V123)),IFERROR(AA123/V123-1,""),"")</f>
        <v>0.138339920948617</v>
      </c>
      <c r="AB211" s="258">
        <f>IF(AND(ISNUMBER(AB123),ISNUMBER(W123)),IFERROR(AB123/W123-1,""),"")</f>
        <v>0.0949543106873261</v>
      </c>
      <c r="AC211" s="258">
        <f>IF(AND(ISNUMBER(AC123),ISNUMBER(X123)),IFERROR(AC123/X123-1,""),"")</f>
        <v>0.114720182062688</v>
      </c>
      <c r="AD211" s="258">
        <f>IF(AND(ISNUMBER(AD123),ISNUMBER(Y123)),IFERROR(AD123/Y123-1,""),"")</f>
        <v>0.117743254292723</v>
      </c>
      <c r="AE211" s="258">
        <f>IF(AND(ISNUMBER(AE123),ISNUMBER(Z123)),IFERROR(AE123/Z123-1,""),"")</f>
        <v>0.133259094283593</v>
      </c>
      <c r="AF211" s="258">
        <f>IF(AND(ISNUMBER(AF123),ISNUMBER(AA123)),IFERROR(AF123/AA123-1,""),"")</f>
        <v>0.179861111111111</v>
      </c>
      <c r="AG211" s="258">
        <f>IF(AND(ISNUMBER(AG123),ISNUMBER(AB123)),IFERROR(AG123/AB123-1,""),"")</f>
        <v>0.201741654571843</v>
      </c>
      <c r="AH211" s="258">
        <f>IF(AND(ISNUMBER(AH123),ISNUMBER(AC123)),IFERROR(AH123/AC123-1,""),"")</f>
        <v>0.159706755753526</v>
      </c>
      <c r="AI211" s="258">
        <f>IF(AND(ISNUMBER(AI123),ISNUMBER(AD123)),IFERROR(AI123/AD123-1,""),"")</f>
        <v>0.309436722750549</v>
      </c>
      <c r="AJ211" s="258">
        <f>IF(AND(ISNUMBER(AJ123),ISNUMBER(AE123)),IFERROR(AJ123/AE123-1,""),"")</f>
        <v>0.200458565345562</v>
      </c>
      <c r="AK211" s="258">
        <f>IF(AND(ISNUMBER(AK123),ISNUMBER(AF123)),IFERROR(AK123/AF123-1,""),"")</f>
        <v>0.147145379635079</v>
      </c>
      <c r="AL211" s="258">
        <f>IF(AND(ISNUMBER(AL123),ISNUMBER(AG123)),IFERROR(AL123/AG123-1,""),"")</f>
        <v>0.14945652173913</v>
      </c>
      <c r="AM211" s="258">
        <f>IF(AND(ISNUMBER(AM123),ISNUMBER(AH123)),IFERROR(AM123/AH123-1,""),"")</f>
        <v>0.196287108906138</v>
      </c>
      <c r="AN211" s="258">
        <f>IF(AND(ISNUMBER(AN123),ISNUMBER(AI123)),IFERROR(AN123/AI123-1,""),"")</f>
        <v>0.0863128491620111</v>
      </c>
      <c r="AO211" s="258">
        <f>IF(AND(ISNUMBER(AO123),ISNUMBER(AJ123)),IFERROR(AO123/AJ123-1,""),"")</f>
        <v>0.122237380627558</v>
      </c>
      <c r="AP211" s="258">
        <f>IF(AND(ISNUMBER(AP123),ISNUMBER(AK123)),IFERROR(AP123/AK123-1,""),"")</f>
        <v>0.145972293483838</v>
      </c>
      <c r="AQ211" s="258">
        <f>IF(AND(ISNUMBER(AQ123),ISNUMBER(AL123)),IFERROR(AQ123/AL123-1,""),"")</f>
        <v>0.159443131074337</v>
      </c>
      <c r="AR211" s="258">
        <f>IF(AND(ISNUMBER(AR123),ISNUMBER(AM123)),IFERROR(AR123/AM123-1,""),"")</f>
        <v>0.129297658862876</v>
      </c>
      <c r="AS211" s="258">
        <f>IF(AND(ISNUMBER(AS123),ISNUMBER(AN123)),IFERROR(AS123/AN123-1,""),"")</f>
        <v>0.0308562612496786</v>
      </c>
      <c r="AT211" s="258">
        <f>IF(AND(ISNUMBER(AT123),ISNUMBER(AO123)),IFERROR(AT123/AO123-1,""),"")</f>
        <v>-0.189156333576465</v>
      </c>
      <c r="AU211" s="258">
        <f>IF(AND(ISNUMBER(AU123),ISNUMBER(AP123)),IFERROR(AU123/AP123-1,""),"")</f>
        <v>-0.141034251175285</v>
      </c>
      <c r="AV211" s="258">
        <f>IF(AND(ISNUMBER(AV123),ISNUMBER(AQ123)),IFERROR(AV123/AQ123-1,""),"")</f>
        <v>-0.0666062528318985</v>
      </c>
      <c r="AW211" s="258">
        <f>IF(AND(ISNUMBER(AW123),ISNUMBER(AR123)),IFERROR(AW123/AR123-1,""),"")</f>
        <v>-0.0937037256411776</v>
      </c>
      <c r="AX211" s="258">
        <f>IF(AND(ISNUMBER(AX123),ISNUMBER(AS123)),IFERROR(AX123/AS123-1,""),"")</f>
        <v>0.0364180593664256</v>
      </c>
      <c r="AY211" s="258">
        <f>IF(AND(ISNUMBER(AY123),ISNUMBER(AT123)),IFERROR(AY123/AT123-1,""),"")</f>
        <v>0.357721139430285</v>
      </c>
      <c r="AZ211" s="258">
        <f>IF(AND(ISNUMBER(AZ123),ISNUMBER(AU123)),IFERROR(AZ123/AU123-1,""),"")</f>
        <v>0.299192077143602</v>
      </c>
      <c r="BA211" s="258">
        <f>IF(AND(ISNUMBER(BA123),ISNUMBER(AV123)),IFERROR(BA123/AV123-1,""),"")</f>
        <v>0.266019417475728</v>
      </c>
      <c r="BB211" s="258">
        <f>IF(AND(ISNUMBER(BB123),ISNUMBER(AW123)),IFERROR(BB123/AW123-1,""),"")</f>
        <v>0.234167701457421</v>
      </c>
      <c r="BC211" s="258">
        <f>IF(AND(ISNUMBER(BC123),ISNUMBER(AX123)),IFERROR(BC123/AX123-1,""),"")</f>
        <v>0.243561973525873</v>
      </c>
      <c r="BD211" s="258">
        <f>IF(AND(ISNUMBER(BD123),ISNUMBER(AY123)),IFERROR(BD123/AY123-1,""),"")</f>
        <v>0.214001766784452</v>
      </c>
      <c r="BE211" s="258">
        <f>IF(AND(ISNUMBER(BE123),ISNUMBER(AZ123)),IFERROR(BE123/AZ123-1,""),"")</f>
        <v>0.154663991975928</v>
      </c>
      <c r="BF211" s="258">
        <f>IF(AND(ISNUMBER(BF123),ISNUMBER(BA123)),IFERROR(BF123/BA123-1,""),"")</f>
        <v>0.115222392638037</v>
      </c>
      <c r="BG211" s="258">
        <f>IF(AND(ISNUMBER(BG123),ISNUMBER(BB123)),IFERROR(BG123/BB123-1,""),"")</f>
        <v>0.17755772082186</v>
      </c>
      <c r="BH211" s="258">
        <f>IF(AND(ISNUMBER(BH123),ISNUMBER(BC123)),IFERROR(BH123/BC123-1,""),"")</f>
        <v>0.112444358428488</v>
      </c>
      <c r="BI211" s="258">
        <f>IF(AND(ISNUMBER(BI123),ISNUMBER(BD123)),IFERROR(BI123/BD123-1,""),"")</f>
        <v>0.140440240130981</v>
      </c>
      <c r="BJ211" s="258">
        <f>IF(AND(ISNUMBER(BJ123),ISNUMBER(BE123)),IFERROR(BJ123/BE123-1,""),"")</f>
        <v>0.13498957609451</v>
      </c>
      <c r="BK211" s="258">
        <f>IF(AND(ISNUMBER(BK123),ISNUMBER(BF123)),IFERROR(BK123/BF123-1,""),"")</f>
        <v>0.125666150936909</v>
      </c>
      <c r="BL211" s="258">
        <f>IF(AND(ISNUMBER(BL123),ISNUMBER(BG123)),IFERROR(BL123/BG123-1,""),"")</f>
        <v>0.128659441471422</v>
      </c>
      <c r="BM211" s="258">
        <f>IF(AND(ISNUMBER(BM123),ISNUMBER(BH123)),IFERROR(BM123/BH123-1,""),"")</f>
        <v>0.104384133611691</v>
      </c>
      <c r="BN211" s="258">
        <f>IF(AND(ISNUMBER(BN123),ISNUMBER(BI123)),IFERROR(BN123/BI123-1,""),"")</f>
        <v>0.110384431328761</v>
      </c>
      <c r="BO211" s="258">
        <f>IF(AND(ISNUMBER(BO123),ISNUMBER(BJ123)),IFERROR(BO123/BJ123-1,""),"")</f>
        <v>0.127965712536354</v>
      </c>
      <c r="BP211" s="258">
        <f>IF(AND(ISNUMBER(BP123),ISNUMBER(BK123)),IFERROR(BP123/BK123-1,""),"")</f>
        <v>0.143708002443494</v>
      </c>
      <c r="BQ211" s="258">
        <f>IF(AND(ISNUMBER(BQ123),ISNUMBER(BL123)),IFERROR(BQ123/BL123-1,""),"")</f>
        <v>0.122280659813531</v>
      </c>
      <c r="BR211" s="258">
        <f>IF(AND(ISNUMBER(BR123),ISNUMBER(BM123)),IFERROR(BR123/BM123-1,""),"")</f>
        <v>0.142091997479521</v>
      </c>
      <c r="BS211" s="258">
        <f>IF(AND(ISNUMBER(BS123),ISNUMBER(BN123)),IFERROR(BS123/BN123-1,""),"")</f>
        <v>0.168366613992242</v>
      </c>
      <c r="BT211" s="258">
        <f>IF(AND(ISNUMBER(BT123),ISNUMBER(BO123)),IFERROR(BT123/BO123-1,""),"")</f>
        <v>0.167322567512552</v>
      </c>
      <c r="BU211" s="258">
        <f>IF(AND(ISNUMBER(BU123),ISNUMBER(BP123)),IFERROR(BU123/BP123-1,""),"")</f>
        <v>0.175857924956603</v>
      </c>
      <c r="BV211" s="258">
        <f>IF(AND(ISNUMBER(BV123),ISNUMBER(BQ123)),IFERROR(BV123/BQ123-1,""),"")</f>
        <v>0.164163737707246</v>
      </c>
      <c r="BW211" s="258">
        <f>IF(AND(ISNUMBER(BW123),ISNUMBER(BR123)),IFERROR(BW123/BR123-1,""),"")</f>
        <v>0.158344827586207</v>
      </c>
      <c r="BX211" s="258">
        <f>IF(AND(ISNUMBER(BX123),ISNUMBER(BS123)),IFERROR(BX123/BS123-1,""),"")</f>
        <v>0.140661502520595</v>
      </c>
      <c r="BY211" s="256">
        <f>IF(AND(ISNUMBER(BY123),ISNUMBER(BT123)),IFERROR(BY123/BT123-1,""),"")</f>
        <v>0.120384969302353</v>
      </c>
      <c r="BZ211" s="256">
        <f>IF(AND(ISNUMBER(BZ123),ISNUMBER(BU123)),IFERROR(BZ123/BU123-1,""),"")</f>
        <v>0.124827787197498</v>
      </c>
      <c r="CA211" s="256">
        <f>IF(AND(ISNUMBER(CA123),ISNUMBER(BV123)),IFERROR(CA123/BV123-1,""),"")</f>
        <v>0.135</v>
      </c>
      <c r="CB211" s="256">
        <f>IF(AND(ISNUMBER(CB123),ISNUMBER(CA123)),IFERROR(CB123/CA123-1,""),"")</f>
        <v>0.123791038092604</v>
      </c>
      <c r="CC211" s="256">
        <f>IF(AND(ISNUMBER(CC123),ISNUMBER(CB123)),IFERROR(CC123/CB123-1,""),"")</f>
        <v>0.118570968315075</v>
      </c>
      <c r="CD211" s="256">
        <f>IF(AND(ISNUMBER(CD123),ISNUMBER(CC123)),IFERROR(CD123/CC123-1,""),"")</f>
        <v>0.111241598307432</v>
      </c>
      <c r="CE211" s="256">
        <f>IF(AND(ISNUMBER(CE123),ISNUMBER(CD123)),IFERROR(CE123/CD123-1,""),"")</f>
        <v>0.104068576463349</v>
      </c>
      <c r="CF211" s="153" t="n"/>
      <c r="CH211" s="37">
        <f>IFERROR(AVERAGE(CA211,CB211,CC211,CD211,CE211),"n/m")</f>
        <v>0.118534436235692</v>
      </c>
      <c r="CI211" s="37">
        <f>IFERROR(AVERAGE(BB211,BG211,BL211,BQ211,BV211),"n/m")</f>
        <v>0.165365852254296</v>
      </c>
      <c r="CJ211" s="37">
        <f>IFERROR(AVERAGE(AC211,AH211,AM211,AR211,AW211,BB211,BG211,BL211,BQ211,BV211),"n/m")</f>
        <v>0.133313724121553</v>
      </c>
      <c r="CK211" s="37">
        <f>IFERROR(AVERAGE(C211,D211,E211,F211,G211,H211,I211,N211,S211,X211,AC211,AH211,AM211,AR211,AW211,BB211,BG211,BL211,BQ211,BV211),"n/m")</f>
        <v>0.130986556930481</v>
      </c>
    </row>
    <row r="212" ht="15" customHeight="1" s="251">
      <c r="B212" s="22" t="inlineStr">
        <is>
          <t xml:space="preserve">  Payment network y/y %</t>
        </is>
      </c>
      <c r="C212" s="23" t="n"/>
      <c r="D212" s="258">
        <f>IF(AND(ISNUMBER(D20),ISNUMBER(C20)),IFERROR(D20/C20-1,""),"")</f>
      </c>
      <c r="E212" s="258">
        <f>IF(AND(ISNUMBER(E20),ISNUMBER(D20)),IFERROR(E20/D20-1,""),"")</f>
      </c>
      <c r="F212" s="258">
        <f>IF(AND(ISNUMBER(F20),ISNUMBER(E20)),IFERROR(F20/E20-1,""),"")</f>
      </c>
      <c r="G212" s="258">
        <f>IF(AND(ISNUMBER(G20),ISNUMBER(F20)),IFERROR(G20/F20-1,""),"")</f>
      </c>
      <c r="H212" s="258">
        <f>IF(AND(ISNUMBER(H20),ISNUMBER(G20)),IFERROR(H20/G20-1,""),"")</f>
      </c>
      <c r="I212" s="258">
        <f>IF(AND(ISNUMBER(I20),ISNUMBER(H20)),IFERROR(I20/H20-1,""),"")</f>
      </c>
      <c r="J212" s="23" t="n"/>
      <c r="K212" s="23" t="n"/>
      <c r="L212" s="23" t="n"/>
      <c r="M212" s="23" t="n"/>
      <c r="N212" s="258">
        <f>IF(AND(ISNUMBER(N20),ISNUMBER(I20)),IFERROR(N20/I20-1,""),"")</f>
      </c>
      <c r="O212" s="258">
        <f>IF(AND(ISNUMBER(O20),ISNUMBER(J20)),IFERROR(O20/J20-1,""),"")</f>
      </c>
      <c r="P212" s="258">
        <f>IF(AND(ISNUMBER(P20),ISNUMBER(K20)),IFERROR(P20/K20-1,""),"")</f>
      </c>
      <c r="Q212" s="258">
        <f>IF(AND(ISNUMBER(Q20),ISNUMBER(L20)),IFERROR(Q20/L20-1,""),"")</f>
      </c>
      <c r="R212" s="258">
        <f>IF(AND(ISNUMBER(R20),ISNUMBER(M20)),IFERROR(R20/M20-1,""),"")</f>
      </c>
      <c r="S212" s="258">
        <f>IF(AND(ISNUMBER(S20),ISNUMBER(N20)),IFERROR(S20/N20-1,""),"")</f>
      </c>
      <c r="T212" s="258">
        <f>IF(AND(ISNUMBER(T20),ISNUMBER(O20)),IFERROR(T20/O20-1,""),"")</f>
      </c>
      <c r="U212" s="258">
        <f>IF(AND(ISNUMBER(U20),ISNUMBER(P20)),IFERROR(U20/P20-1,""),"")</f>
      </c>
      <c r="V212" s="258">
        <f>IF(AND(ISNUMBER(V20),ISNUMBER(Q20)),IFERROR(V20/Q20-1,""),"")</f>
      </c>
      <c r="W212" s="258">
        <f>IF(AND(ISNUMBER(W20),ISNUMBER(R20)),IFERROR(W20/R20-1,""),"")</f>
      </c>
      <c r="X212" s="258">
        <f>IF(AND(ISNUMBER(X20),ISNUMBER(S20)),IFERROR(X20/S20-1,""),"")</f>
      </c>
      <c r="Y212" s="258">
        <f>IF(AND(ISNUMBER(Y20),ISNUMBER(T20)),IFERROR(Y20/T20-1,""),"")</f>
      </c>
      <c r="Z212" s="258">
        <f>IF(AND(ISNUMBER(Z20),ISNUMBER(U20)),IFERROR(Z20/U20-1,""),"")</f>
      </c>
      <c r="AA212" s="258">
        <f>IF(AND(ISNUMBER(AA20),ISNUMBER(V20)),IFERROR(AA20/V20-1,""),"")</f>
      </c>
      <c r="AB212" s="258">
        <f>IF(AND(ISNUMBER(AB20),ISNUMBER(W20)),IFERROR(AB20/W20-1,""),"")</f>
      </c>
      <c r="AC212" s="258">
        <f>IF(AND(ISNUMBER(AC20),ISNUMBER(X20)),IFERROR(AC20/X20-1,""),"")</f>
      </c>
      <c r="AD212" s="258">
        <f>IF(AND(ISNUMBER(AD20),ISNUMBER(Y20)),IFERROR(AD20/Y20-1,""),"")</f>
      </c>
      <c r="AE212" s="258">
        <f>IF(AND(ISNUMBER(AE20),ISNUMBER(Z20)),IFERROR(AE20/Z20-1,""),"")</f>
      </c>
      <c r="AF212" s="258">
        <f>IF(AND(ISNUMBER(AF20),ISNUMBER(AA20)),IFERROR(AF20/AA20-1,""),"")</f>
      </c>
      <c r="AG212" s="258">
        <f>IF(AND(ISNUMBER(AG20),ISNUMBER(AB20)),IFERROR(AG20/AB20-1,""),"")</f>
      </c>
      <c r="AH212" s="258">
        <f>IF(AND(ISNUMBER(AH20),ISNUMBER(AC20)),IFERROR(AH20/AC20-1,""),"")</f>
      </c>
      <c r="AI212" s="258">
        <f>IF(AND(ISNUMBER(AI20),ISNUMBER(AD20)),IFERROR(AI20/AD20-1,""),"")</f>
      </c>
      <c r="AJ212" s="258">
        <f>IF(AND(ISNUMBER(AJ20),ISNUMBER(AE20)),IFERROR(AJ20/AE20-1,""),"")</f>
      </c>
      <c r="AK212" s="258">
        <f>IF(AND(ISNUMBER(AK20),ISNUMBER(AF20)),IFERROR(AK20/AF20-1,""),"")</f>
      </c>
      <c r="AL212" s="258">
        <f>IF(AND(ISNUMBER(AL20),ISNUMBER(AG20)),IFERROR(AL20/AG20-1,""),"")</f>
      </c>
      <c r="AM212" s="258">
        <f>IF(AND(ISNUMBER(AM20),ISNUMBER(AH20)),IFERROR(AM20/AH20-1,""),"")</f>
      </c>
      <c r="AN212" s="258">
        <f>IF(AND(ISNUMBER(AN20),ISNUMBER(AI20)),IFERROR(AN20/AI20-1,""),"")</f>
      </c>
      <c r="AO212" s="258">
        <f>IF(AND(ISNUMBER(AO20),ISNUMBER(AJ20)),IFERROR(AO20/AJ20-1,""),"")</f>
      </c>
      <c r="AP212" s="258">
        <f>IF(AND(ISNUMBER(AP20),ISNUMBER(AK20)),IFERROR(AP20/AK20-1,""),"")</f>
      </c>
      <c r="AQ212" s="258">
        <f>IF(AND(ISNUMBER(AQ20),ISNUMBER(AL20)),IFERROR(AQ20/AL20-1,""),"")</f>
      </c>
      <c r="AR212" s="258">
        <f>IF(AND(ISNUMBER(AR20),ISNUMBER(AM20)),IFERROR(AR20/AM20-1,""),"")</f>
      </c>
      <c r="AS212" s="258">
        <f>IF(AND(ISNUMBER(AS20),ISNUMBER(AN20)),IFERROR(AS20/AN20-1,""),"")</f>
      </c>
      <c r="AT212" s="258">
        <f>IF(AND(ISNUMBER(AT20),ISNUMBER(AO20)),IFERROR(AT20/AO20-1,""),"")</f>
      </c>
      <c r="AU212" s="258">
        <f>IF(AND(ISNUMBER(AU20),ISNUMBER(AP20)),IFERROR(AU20/AP20-1,""),"")</f>
      </c>
      <c r="AV212" s="258">
        <f>IF(AND(ISNUMBER(AV20),ISNUMBER(AQ20)),IFERROR(AV20/AQ20-1,""),"")</f>
      </c>
      <c r="AW212" s="258">
        <f>IF(AND(ISNUMBER(AW20),ISNUMBER(AR20)),IFERROR(AW20/AR20-1,""),"")</f>
      </c>
      <c r="AX212" s="258">
        <f>IF(AND(ISNUMBER(AX20),ISNUMBER(AS20)),IFERROR(AX20/AS20-1,""),"")</f>
      </c>
      <c r="AY212" s="258">
        <f>IF(AND(ISNUMBER(AY20),ISNUMBER(AT20)),IFERROR(AY20/AT20-1,""),"")</f>
      </c>
      <c r="AZ212" s="258">
        <f>IF(AND(ISNUMBER(AZ20),ISNUMBER(AU20)),IFERROR(AZ20/AU20-1,""),"")</f>
      </c>
      <c r="BA212" s="258">
        <f>IF(AND(ISNUMBER(BA20),ISNUMBER(AV20)),IFERROR(BA20/AV20-1,""),"")</f>
      </c>
      <c r="BB212" s="258">
        <f>IF(AND(ISNUMBER(BB20),ISNUMBER(AW20)),IFERROR(BB20/AW20-1,""),"")</f>
        <v>0.206729311912701</v>
      </c>
      <c r="BC212" s="258">
        <f>IF(AND(ISNUMBER(BC20),ISNUMBER(AX20)),IFERROR(BC20/AX20-1,""),"")</f>
        <v>0.283610271903323</v>
      </c>
      <c r="BD212" s="258">
        <f>IF(AND(ISNUMBER(BD20),ISNUMBER(AY20)),IFERROR(BD20/AY20-1,""),"")</f>
        <v>0.255304347826087</v>
      </c>
      <c r="BE212" s="258">
        <f>IF(AND(ISNUMBER(BE20),ISNUMBER(AZ20)),IFERROR(BE20/AZ20-1,""),"")</f>
        <v>0.164192949907236</v>
      </c>
      <c r="BF212" s="258">
        <f>IF(AND(ISNUMBER(BF20),ISNUMBER(BA20)),IFERROR(BF20/BA20-1,""),"")</f>
        <v>0.125235404896422</v>
      </c>
      <c r="BG212" s="258">
        <f>IF(AND(ISNUMBER(BG20),ISNUMBER(BB20)),IFERROR(BG20/BB20-1,""),"")</f>
        <v>0.202210499874403</v>
      </c>
      <c r="BH212" s="258">
        <f>IF(AND(ISNUMBER(BH20),ISNUMBER(BC20)),IFERROR(BH20/BC20-1,""),"")</f>
        <v>0.0738452486025301</v>
      </c>
      <c r="BI212" s="258">
        <f>IF(AND(ISNUMBER(BI20),ISNUMBER(BD20)),IFERROR(BI20/BD20-1,""),"")</f>
        <v>0.128567470213355</v>
      </c>
      <c r="BJ212" s="258">
        <f>IF(AND(ISNUMBER(BJ20),ISNUMBER(BE20)),IFERROR(BJ20/BE20-1,""),"")</f>
        <v>0.118193891102258</v>
      </c>
      <c r="BK212" s="258">
        <f>IF(AND(ISNUMBER(BK20),ISNUMBER(BF20)),IFERROR(BK20/BF20-1,""),"")</f>
        <v>0.0853556485355649</v>
      </c>
      <c r="BL212" s="258">
        <f>IF(AND(ISNUMBER(BL20),ISNUMBER(BG20)),IFERROR(BL20/BG20-1,""),"")</f>
        <v>0.102103357013512</v>
      </c>
      <c r="BM212" s="258">
        <f>IF(AND(ISNUMBER(BM20),ISNUMBER(BH20)),IFERROR(BM20/BH20-1,""),"")</f>
        <v>0.0739726027397261</v>
      </c>
      <c r="BN212" s="258">
        <f>IF(AND(ISNUMBER(BN20),ISNUMBER(BI20)),IFERROR(BN20/BI20-1,""),"")</f>
        <v>0.0741468205254112</v>
      </c>
      <c r="BO212" s="258">
        <f>IF(AND(ISNUMBER(BO20),ISNUMBER(BJ20)),IFERROR(BO20/BJ20-1,""),"")</f>
        <v>0.0995249406175771</v>
      </c>
      <c r="BP212" s="258">
        <f>IF(AND(ISNUMBER(BP20),ISNUMBER(BK20)),IFERROR(BP20/BK20-1,""),"")</f>
        <v>0.133641737342586</v>
      </c>
      <c r="BQ212" s="258">
        <f>IF(AND(ISNUMBER(BQ20),ISNUMBER(BL20)),IFERROR(BQ20/BL20-1,""),"")</f>
        <v>0.0954878665318504</v>
      </c>
      <c r="BR212" s="258">
        <f>IF(AND(ISNUMBER(BR20),ISNUMBER(BM20)),IFERROR(BR20/BM20-1,""),"")</f>
        <v>0.130612244897959</v>
      </c>
      <c r="BS212" s="258">
        <f>IF(AND(ISNUMBER(BS20),ISNUMBER(BN20)),IFERROR(BS20/BN20-1,""),"")</f>
        <v>0.130285714285714</v>
      </c>
      <c r="BT212" s="258">
        <f>IF(AND(ISNUMBER(BT20),ISNUMBER(BO20)),IFERROR(BT20/BO20-1,""),"")</f>
        <v>0.118816158997624</v>
      </c>
      <c r="BU212" s="258">
        <f>IF(AND(ISNUMBER(BU20),ISNUMBER(BP20)),IFERROR(BU20/BP20-1,""),"")</f>
        <v>0.115393334844706</v>
      </c>
      <c r="BV212" s="258">
        <f>IF(AND(ISNUMBER(BV20),ISNUMBER(BQ20)),IFERROR(BV20/BQ20-1,""),"")</f>
        <v>0.123507355062013</v>
      </c>
      <c r="BW212" s="258">
        <f>IF(AND(ISNUMBER(BW20),ISNUMBER(BR20)),IFERROR(BW20/BR20-1,""),"")</f>
        <v>0.116425992779784</v>
      </c>
      <c r="BX212" s="258">
        <f>IF(AND(ISNUMBER(BX20),ISNUMBER(BS20)),IFERROR(BX20/BS20-1,""),"")</f>
        <v>0.102325581395349</v>
      </c>
      <c r="BY212" s="256">
        <f>IF(AND(ISNUMBER(BY20),ISNUMBER(BT20)),IFERROR(BY20/BT20-1,""),"")</f>
        <v>0.0796109472459994</v>
      </c>
      <c r="BZ212" s="256">
        <f>IF(AND(ISNUMBER(BZ20),ISNUMBER(BU20)),IFERROR(BZ20/BU20-1,""),"")</f>
        <v>0.0796109472459994</v>
      </c>
      <c r="CA212" s="256">
        <f>IF(AND(ISNUMBER(CA20),ISNUMBER(BV20)),IFERROR(CA20/BV20-1,""),"")</f>
        <v>0.0937559538014658</v>
      </c>
      <c r="CB212" s="256">
        <f>IF(AND(ISNUMBER(CB20),ISNUMBER(CA20)),IFERROR(CB20/CA20-1,""),"")</f>
        <v>0.101275</v>
      </c>
      <c r="CC212" s="256">
        <f>IF(AND(ISNUMBER(CC20),ISNUMBER(CB20)),IFERROR(CC20/CB20-1,""),"")</f>
        <v>0.0961999999999998</v>
      </c>
      <c r="CD212" s="256">
        <f>IF(AND(ISNUMBER(CD20),ISNUMBER(CC20)),IFERROR(CD20/CC20-1,""),"")</f>
        <v>0.0908</v>
      </c>
      <c r="CE212" s="256">
        <f>IF(AND(ISNUMBER(CE20),ISNUMBER(CD20)),IFERROR(CE20/CD20-1,""),"")</f>
        <v>0.08575</v>
      </c>
      <c r="CF212" s="153" t="n"/>
      <c r="CH212" s="37">
        <f>IFERROR(AVERAGE(CA212,CB212,CC212,CD212,CE212),"n/m")</f>
        <v>0.0935561907602931</v>
      </c>
      <c r="CI212" s="37">
        <f>IFERROR(AVERAGE(BB212,BG212,BL212,BQ212,BV212),"n/m")</f>
        <v>0.146007678078896</v>
      </c>
      <c r="CJ212" s="37">
        <f>IFERROR(AVERAGE(AC212,AH212,AM212,AR212,AW212,BB212,BG212,BL212,BQ212,BV212),"n/m")</f>
        <v>0.146007678078896</v>
      </c>
      <c r="CK212" s="37">
        <f>IFERROR(AVERAGE(C212,D212,E212,F212,G212,H212,I212,N212,S212,X212,AC212,AH212,AM212,AR212,AW212,BB212,BG212,BL212,BQ212,BV212),"n/m")</f>
        <v>0.146007678078896</v>
      </c>
    </row>
    <row r="213" ht="15" customHeight="1" s="251">
      <c r="B213" s="22" t="inlineStr">
        <is>
          <t xml:space="preserve">  Value-added services and solutions y/y %</t>
        </is>
      </c>
      <c r="C213" s="23" t="n"/>
      <c r="D213" s="258">
        <f>IF(AND(ISNUMBER(D29),ISNUMBER(C29)),IFERROR(D29/C29-1,""),"")</f>
      </c>
      <c r="E213" s="258">
        <f>IF(AND(ISNUMBER(E29),ISNUMBER(D29)),IFERROR(E29/D29-1,""),"")</f>
      </c>
      <c r="F213" s="258">
        <f>IF(AND(ISNUMBER(F29),ISNUMBER(E29)),IFERROR(F29/E29-1,""),"")</f>
      </c>
      <c r="G213" s="258">
        <f>IF(AND(ISNUMBER(G29),ISNUMBER(F29)),IFERROR(G29/F29-1,""),"")</f>
      </c>
      <c r="H213" s="258">
        <f>IF(AND(ISNUMBER(H29),ISNUMBER(G29)),IFERROR(H29/G29-1,""),"")</f>
      </c>
      <c r="I213" s="258">
        <f>IF(AND(ISNUMBER(I29),ISNUMBER(H29)),IFERROR(I29/H29-1,""),"")</f>
      </c>
      <c r="J213" s="23" t="n"/>
      <c r="K213" s="23" t="n"/>
      <c r="L213" s="23" t="n"/>
      <c r="M213" s="23" t="n"/>
      <c r="N213" s="258">
        <f>IF(AND(ISNUMBER(N29),ISNUMBER(I29)),IFERROR(N29/I29-1,""),"")</f>
      </c>
      <c r="O213" s="258">
        <f>IF(AND(ISNUMBER(O29),ISNUMBER(J29)),IFERROR(O29/J29-1,""),"")</f>
      </c>
      <c r="P213" s="258">
        <f>IF(AND(ISNUMBER(P29),ISNUMBER(K29)),IFERROR(P29/K29-1,""),"")</f>
      </c>
      <c r="Q213" s="258">
        <f>IF(AND(ISNUMBER(Q29),ISNUMBER(L29)),IFERROR(Q29/L29-1,""),"")</f>
      </c>
      <c r="R213" s="258">
        <f>IF(AND(ISNUMBER(R29),ISNUMBER(M29)),IFERROR(R29/M29-1,""),"")</f>
      </c>
      <c r="S213" s="258">
        <f>IF(AND(ISNUMBER(S29),ISNUMBER(N29)),IFERROR(S29/N29-1,""),"")</f>
      </c>
      <c r="T213" s="258">
        <f>IF(AND(ISNUMBER(T29),ISNUMBER(O29)),IFERROR(T29/O29-1,""),"")</f>
      </c>
      <c r="U213" s="258">
        <f>IF(AND(ISNUMBER(U29),ISNUMBER(P29)),IFERROR(U29/P29-1,""),"")</f>
      </c>
      <c r="V213" s="258">
        <f>IF(AND(ISNUMBER(V29),ISNUMBER(Q29)),IFERROR(V29/Q29-1,""),"")</f>
      </c>
      <c r="W213" s="258">
        <f>IF(AND(ISNUMBER(W29),ISNUMBER(R29)),IFERROR(W29/R29-1,""),"")</f>
      </c>
      <c r="X213" s="258">
        <f>IF(AND(ISNUMBER(X29),ISNUMBER(S29)),IFERROR(X29/S29-1,""),"")</f>
      </c>
      <c r="Y213" s="258">
        <f>IF(AND(ISNUMBER(Y29),ISNUMBER(T29)),IFERROR(Y29/T29-1,""),"")</f>
      </c>
      <c r="Z213" s="258">
        <f>IF(AND(ISNUMBER(Z29),ISNUMBER(U29)),IFERROR(Z29/U29-1,""),"")</f>
      </c>
      <c r="AA213" s="258">
        <f>IF(AND(ISNUMBER(AA29),ISNUMBER(V29)),IFERROR(AA29/V29-1,""),"")</f>
      </c>
      <c r="AB213" s="258">
        <f>IF(AND(ISNUMBER(AB29),ISNUMBER(W29)),IFERROR(AB29/W29-1,""),"")</f>
      </c>
      <c r="AC213" s="258">
        <f>IF(AND(ISNUMBER(AC29),ISNUMBER(X29)),IFERROR(AC29/X29-1,""),"")</f>
      </c>
      <c r="AD213" s="258">
        <f>IF(AND(ISNUMBER(AD29),ISNUMBER(Y29)),IFERROR(AD29/Y29-1,""),"")</f>
      </c>
      <c r="AE213" s="258">
        <f>IF(AND(ISNUMBER(AE29),ISNUMBER(Z29)),IFERROR(AE29/Z29-1,""),"")</f>
      </c>
      <c r="AF213" s="258">
        <f>IF(AND(ISNUMBER(AF29),ISNUMBER(AA29)),IFERROR(AF29/AA29-1,""),"")</f>
      </c>
      <c r="AG213" s="258">
        <f>IF(AND(ISNUMBER(AG29),ISNUMBER(AB29)),IFERROR(AG29/AB29-1,""),"")</f>
      </c>
      <c r="AH213" s="258">
        <f>IF(AND(ISNUMBER(AH29),ISNUMBER(AC29)),IFERROR(AH29/AC29-1,""),"")</f>
      </c>
      <c r="AI213" s="258">
        <f>IF(AND(ISNUMBER(AI29),ISNUMBER(AD29)),IFERROR(AI29/AD29-1,""),"")</f>
      </c>
      <c r="AJ213" s="258">
        <f>IF(AND(ISNUMBER(AJ29),ISNUMBER(AE29)),IFERROR(AJ29/AE29-1,""),"")</f>
      </c>
      <c r="AK213" s="258">
        <f>IF(AND(ISNUMBER(AK29),ISNUMBER(AF29)),IFERROR(AK29/AF29-1,""),"")</f>
      </c>
      <c r="AL213" s="258">
        <f>IF(AND(ISNUMBER(AL29),ISNUMBER(AG29)),IFERROR(AL29/AG29-1,""),"")</f>
      </c>
      <c r="AM213" s="258">
        <f>IF(AND(ISNUMBER(AM29),ISNUMBER(AH29)),IFERROR(AM29/AH29-1,""),"")</f>
      </c>
      <c r="AN213" s="258">
        <f>IF(AND(ISNUMBER(AN29),ISNUMBER(AI29)),IFERROR(AN29/AI29-1,""),"")</f>
      </c>
      <c r="AO213" s="258">
        <f>IF(AND(ISNUMBER(AO29),ISNUMBER(AJ29)),IFERROR(AO29/AJ29-1,""),"")</f>
      </c>
      <c r="AP213" s="258">
        <f>IF(AND(ISNUMBER(AP29),ISNUMBER(AK29)),IFERROR(AP29/AK29-1,""),"")</f>
      </c>
      <c r="AQ213" s="258">
        <f>IF(AND(ISNUMBER(AQ29),ISNUMBER(AL29)),IFERROR(AQ29/AL29-1,""),"")</f>
      </c>
      <c r="AR213" s="258">
        <f>IF(AND(ISNUMBER(AR29),ISNUMBER(AM29)),IFERROR(AR29/AM29-1,""),"")</f>
      </c>
      <c r="AS213" s="258">
        <f>IF(AND(ISNUMBER(AS29),ISNUMBER(AN29)),IFERROR(AS29/AN29-1,""),"")</f>
      </c>
      <c r="AT213" s="258">
        <f>IF(AND(ISNUMBER(AT29),ISNUMBER(AO29)),IFERROR(AT29/AO29-1,""),"")</f>
      </c>
      <c r="AU213" s="258">
        <f>IF(AND(ISNUMBER(AU29),ISNUMBER(AP29)),IFERROR(AU29/AP29-1,""),"")</f>
      </c>
      <c r="AV213" s="258">
        <f>IF(AND(ISNUMBER(AV29),ISNUMBER(AQ29)),IFERROR(AV29/AQ29-1,""),"")</f>
      </c>
      <c r="AW213" s="258">
        <f>IF(AND(ISNUMBER(AW29),ISNUMBER(AR29)),IFERROR(AW29/AR29-1,""),"")</f>
      </c>
      <c r="AX213" s="258">
        <f>IF(AND(ISNUMBER(AX29),ISNUMBER(AS29)),IFERROR(AX29/AS29-1,""),"")</f>
      </c>
      <c r="AY213" s="258">
        <f>IF(AND(ISNUMBER(AY29),ISNUMBER(AT29)),IFERROR(AY29/AT29-1,""),"")</f>
      </c>
      <c r="AZ213" s="258">
        <f>IF(AND(ISNUMBER(AZ29),ISNUMBER(AU29)),IFERROR(AZ29/AU29-1,""),"")</f>
      </c>
      <c r="BA213" s="258">
        <f>IF(AND(ISNUMBER(BA29),ISNUMBER(AV29)),IFERROR(BA29/AV29-1,""),"")</f>
      </c>
      <c r="BB213" s="258">
        <f>IF(AND(ISNUMBER(BB29),ISNUMBER(AW29)),IFERROR(BB29/AW29-1,""),"")</f>
        <v>0.284418948926721</v>
      </c>
      <c r="BC213" s="258">
        <f>IF(AND(ISNUMBER(BC29),ISNUMBER(AX29)),IFERROR(BC29/AX29-1,""),"")</f>
        <v>0.173191771731918</v>
      </c>
      <c r="BD213" s="258">
        <f>IF(AND(ISNUMBER(BD29),ISNUMBER(AY29)),IFERROR(BD29/AY29-1,""),"")</f>
        <v>0.14216575922565</v>
      </c>
      <c r="BE213" s="258">
        <f>IF(AND(ISNUMBER(BE29),ISNUMBER(AZ29)),IFERROR(BE29/AZ29-1,""),"")</f>
        <v>0.137064534551685</v>
      </c>
      <c r="BF213" s="258">
        <f>IF(AND(ISNUMBER(BF29),ISNUMBER(BA29)),IFERROR(BF29/BA29-1,""),"")</f>
        <v>0.0995073891625615</v>
      </c>
      <c r="BG213" s="258">
        <f>IF(AND(ISNUMBER(BG29),ISNUMBER(BB29)),IFERROR(BG29/BB29-1,""),"")</f>
        <v>0.135139028958363</v>
      </c>
      <c r="BH213" s="258">
        <f>IF(AND(ISNUMBER(BH29),ISNUMBER(BC29)),IFERROR(BH29/BC29-1,""),"")</f>
        <v>0.186651583710407</v>
      </c>
      <c r="BI213" s="258">
        <f>IF(AND(ISNUMBER(BI29),ISNUMBER(BD29)),IFERROR(BI29/BD29-1,""),"")</f>
        <v>0.163135593220339</v>
      </c>
      <c r="BJ213" s="258">
        <f>IF(AND(ISNUMBER(BJ29),ISNUMBER(BE29)),IFERROR(BJ29/BE29-1,""),"")</f>
        <v>0.166750376695128</v>
      </c>
      <c r="BK213" s="258">
        <f>IF(AND(ISNUMBER(BK29),ISNUMBER(BF29)),IFERROR(BK29/BF29-1,""),"")</f>
        <v>0.190412186379928</v>
      </c>
      <c r="BL213" s="258">
        <f>IF(AND(ISNUMBER(BL29),ISNUMBER(BG29)),IFERROR(BL29/BG29-1,""),"")</f>
        <v>0.17705292549816</v>
      </c>
      <c r="BM213" s="258">
        <f>IF(AND(ISNUMBER(BM29),ISNUMBER(BH29)),IFERROR(BM29/BH29-1,""),"")</f>
        <v>0.157292659675882</v>
      </c>
      <c r="BN213" s="258">
        <f>IF(AND(ISNUMBER(BN29),ISNUMBER(BI29)),IFERROR(BN29/BI29-1,""),"")</f>
        <v>0.177595628415301</v>
      </c>
      <c r="BO213" s="258">
        <f>IF(AND(ISNUMBER(BO29),ISNUMBER(BJ29)),IFERROR(BO29/BJ29-1,""),"")</f>
        <v>0.179509255273353</v>
      </c>
      <c r="BP213" s="258">
        <f>IF(AND(ISNUMBER(BP29),ISNUMBER(BK29)),IFERROR(BP29/BK29-1,""),"")</f>
        <v>0.158449378998871</v>
      </c>
      <c r="BQ213" s="258">
        <f>IF(AND(ISNUMBER(BQ29),ISNUMBER(BL29)),IFERROR(BQ29/BL29-1,""),"")</f>
        <v>0.167996549493207</v>
      </c>
      <c r="BR213" s="258">
        <f>IF(AND(ISNUMBER(BR29),ISNUMBER(BM29)),IFERROR(BR29/BM29-1,""),"")</f>
        <v>0.160626029654036</v>
      </c>
      <c r="BS213" s="258">
        <f>IF(AND(ISNUMBER(BS29),ISNUMBER(BN29)),IFERROR(BS29/BN29-1,""),"")</f>
        <v>0.232791956689869</v>
      </c>
      <c r="BT213" s="258">
        <f>IF(AND(ISNUMBER(BT29),ISNUMBER(BO29)),IFERROR(BT29/BO29-1,""),"")</f>
        <v>0.249270072992701</v>
      </c>
      <c r="BU213" s="258">
        <f>IF(AND(ISNUMBER(BU29),ISNUMBER(BP29)),IFERROR(BU29/BP29-1,""),"")</f>
        <v>0.262508122157245</v>
      </c>
      <c r="BV213" s="258">
        <f>IF(AND(ISNUMBER(BV29),ISNUMBER(BQ29)),IFERROR(BV29/BQ29-1,""),"")</f>
        <v>0.229228212703102</v>
      </c>
      <c r="BW213" s="258">
        <f>IF(AND(ISNUMBER(BW29),ISNUMBER(BR29)),IFERROR(BW29/BR29-1,""),"")</f>
        <v>0.224272533711852</v>
      </c>
      <c r="BX213" s="258">
        <f>IF(AND(ISNUMBER(BX29),ISNUMBER(BS29)),IFERROR(BX29/BS29-1,""),"")</f>
        <v>0.200125470514429</v>
      </c>
      <c r="BY213" s="256">
        <f>IF(AND(ISNUMBER(BY29),ISNUMBER(BT29)),IFERROR(BY29/BT29-1,""),"")</f>
        <v>0.182076076585395</v>
      </c>
      <c r="BZ213" s="256">
        <f>IF(AND(ISNUMBER(BZ29),ISNUMBER(BU29)),IFERROR(BZ29/BU29-1,""),"")</f>
        <v>0.182076076585395</v>
      </c>
      <c r="CA213" s="256">
        <f>IF(AND(ISNUMBER(CA29),ISNUMBER(BV29)),IFERROR(CA29/BV29-1,""),"")</f>
        <v>0.195328129460207</v>
      </c>
      <c r="CB213" s="256">
        <f>IF(AND(ISNUMBER(CB29),ISNUMBER(CA29)),IFERROR(CB29/CA29-1,""),"")</f>
        <v>0.15</v>
      </c>
      <c r="CC213" s="256">
        <f>IF(AND(ISNUMBER(CC29),ISNUMBER(CB29)),IFERROR(CC29/CB29-1,""),"")</f>
        <v>0.14</v>
      </c>
      <c r="CD213" s="256">
        <f>IF(AND(ISNUMBER(CD29),ISNUMBER(CC29)),IFERROR(CD29/CC29-1,""),"")</f>
        <v>0.13</v>
      </c>
      <c r="CE213" s="256">
        <f>IF(AND(ISNUMBER(CE29),ISNUMBER(CD29)),IFERROR(CE29/CD29-1,""),"")</f>
        <v>0.12</v>
      </c>
      <c r="CF213" s="153" t="n"/>
      <c r="CH213" s="37">
        <f>IFERROR(AVERAGE(CA213,CB213,CC213,CD213,CE213),"n/m")</f>
        <v>0.147065625892041</v>
      </c>
      <c r="CI213" s="37">
        <f>IFERROR(AVERAGE(BB213,BG213,BL213,BQ213,BV213),"n/m")</f>
        <v>0.198767133115911</v>
      </c>
      <c r="CJ213" s="37">
        <f>IFERROR(AVERAGE(AC213,AH213,AM213,AR213,AW213,BB213,BG213,BL213,BQ213,BV213),"n/m")</f>
        <v>0.198767133115911</v>
      </c>
      <c r="CK213" s="37">
        <f>IFERROR(AVERAGE(C213,D213,E213,F213,G213,H213,I213,N213,S213,X213,AC213,AH213,AM213,AR213,AW213,BB213,BG213,BL213,BQ213,BV213),"n/m")</f>
        <v>0.198767133115911</v>
      </c>
    </row>
    <row r="214" ht="15" customHeight="1" s="251">
      <c r="B214" s="22" t="inlineStr">
        <is>
          <t xml:space="preserve">  GDV y/y % (USD)</t>
        </is>
      </c>
      <c r="C214" s="23" t="n"/>
      <c r="D214" s="258">
        <f>IF(AND(ISNUMBER(D11),ISNUMBER(C11)),IFERROR(D11/C11-1,""),"")</f>
        <v>0.16359918200409</v>
      </c>
      <c r="E214" s="258">
        <f>IF(AND(ISNUMBER(E11),ISNUMBER(D11)),IFERROR(E11/D11-1,""),"")</f>
        <v>0.112917398945519</v>
      </c>
      <c r="F214" s="258">
        <f>IF(AND(ISNUMBER(F11),ISNUMBER(E11)),IFERROR(F11/E11-1,""),"")</f>
        <v>-0.0311883142518753</v>
      </c>
      <c r="G214" s="258">
        <f>IF(AND(ISNUMBER(G11),ISNUMBER(F11)),IFERROR(G11/F11-1,""),"")</f>
        <v>0.111246943765281</v>
      </c>
      <c r="H214" s="258">
        <f>IF(AND(ISNUMBER(H11),ISNUMBER(G11)),IFERROR(H11/G11-1,""),"")</f>
        <v>0.191419141914192</v>
      </c>
      <c r="I214" s="258">
        <f>IF(AND(ISNUMBER(I11),ISNUMBER(H11)),IFERROR(I11/H11-1,""),"")</f>
        <v>0.122499230532471</v>
      </c>
      <c r="J214" s="23" t="n"/>
      <c r="K214" s="23" t="n"/>
      <c r="L214" s="23" t="n"/>
      <c r="M214" s="23" t="n"/>
      <c r="N214" s="258">
        <f>IF(AND(ISNUMBER(N11),ISNUMBER(I11)),IFERROR(N11/I11-1,""),"")</f>
        <v>0.125034274746367</v>
      </c>
      <c r="O214" s="258">
        <f>IF(AND(ISNUMBER(O11),ISNUMBER(J11)),IFERROR(O11/J11-1,""),"")</f>
        <v>0.103484688489968</v>
      </c>
      <c r="P214" s="258">
        <f>IF(AND(ISNUMBER(P11),ISNUMBER(K11)),IFERROR(P11/K11-1,""),"")</f>
        <v>0.116186693147964</v>
      </c>
      <c r="Q214" s="258">
        <f>IF(AND(ISNUMBER(Q11),ISNUMBER(L11)),IFERROR(Q11/L11-1,""),"")</f>
        <v>0.107177033492823</v>
      </c>
      <c r="R214" s="258">
        <f>IF(AND(ISNUMBER(R11),ISNUMBER(M11)),IFERROR(R11/M11-1,""),"")</f>
        <v>0.0615942028985508</v>
      </c>
      <c r="S214" s="258">
        <f>IF(AND(ISNUMBER(S11),ISNUMBER(N11)),IFERROR(S11/N11-1,""),"")</f>
        <v>0.0965147453083111</v>
      </c>
      <c r="T214" s="258">
        <f>IF(AND(ISNUMBER(T11),ISNUMBER(O11)),IFERROR(T11/O11-1,""),"")</f>
        <v>0.017224880382775</v>
      </c>
      <c r="U214" s="258">
        <f>IF(AND(ISNUMBER(U11),ISNUMBER(P11)),IFERROR(U11/P11-1,""),"")</f>
        <v>0.0151245551601424</v>
      </c>
      <c r="V214" s="258">
        <f>IF(AND(ISNUMBER(V11),ISNUMBER(Q11)),IFERROR(V11/Q11-1,""),"")</f>
        <v>0.00172860847018153</v>
      </c>
      <c r="W214" s="258">
        <f>IF(AND(ISNUMBER(W11),ISNUMBER(R11)),IFERROR(W11/R11-1,""),"")</f>
        <v>0.0230375426621161</v>
      </c>
      <c r="X214" s="258">
        <f>IF(AND(ISNUMBER(X11),ISNUMBER(S11)),IFERROR(X11/S11-1,""),"")</f>
        <v>0.0144476550344521</v>
      </c>
      <c r="Y214" s="258">
        <f>IF(AND(ISNUMBER(Y11),ISNUMBER(T11)),IFERROR(Y11/T11-1,""),"")</f>
        <v>0.0733772342427093</v>
      </c>
      <c r="Z214" s="258">
        <f>IF(AND(ISNUMBER(Z11),ISNUMBER(U11)),IFERROR(Z11/U11-1,""),"")</f>
        <v>0.0762489044697634</v>
      </c>
      <c r="AA214" s="258">
        <f>IF(AND(ISNUMBER(AA11),ISNUMBER(V11)),IFERROR(AA11/V11-1,""),"")</f>
        <v>0.0534943917169974</v>
      </c>
      <c r="AB214" s="258">
        <f>IF(AND(ISNUMBER(AB11),ISNUMBER(W11)),IFERROR(AB11/W11-1,""),"")</f>
        <v>0.0275229357798166</v>
      </c>
      <c r="AC214" s="258">
        <f>IF(AND(ISNUMBER(AC11),ISNUMBER(X11)),IFERROR(AC11/X11-1,""),"")</f>
        <v>0.0576248904469763</v>
      </c>
      <c r="AD214" s="258">
        <f>IF(AND(ISNUMBER(AD11),ISNUMBER(Y11)),IFERROR(AD11/Y11-1,""),"")</f>
        <v>0.0350569675723049</v>
      </c>
      <c r="AE214" s="258">
        <f>IF(AND(ISNUMBER(AE11),ISNUMBER(Z11)),IFERROR(AE11/Z11-1,""),"")</f>
        <v>0.0439739413680782</v>
      </c>
      <c r="AF214" s="258">
        <f>IF(AND(ISNUMBER(AF11),ISNUMBER(AA11)),IFERROR(AF11/AA11-1,""),"")</f>
        <v>0.108108108108108</v>
      </c>
      <c r="AG214" s="258">
        <f>IF(AND(ISNUMBER(AG11),ISNUMBER(AB11)),IFERROR(AG11/AB11-1,""),"")</f>
        <v>0.152597402597403</v>
      </c>
      <c r="AH214" s="258">
        <f>IF(AND(ISNUMBER(AH11),ISNUMBER(AC11)),IFERROR(AH11/AC11-1,""),"")</f>
        <v>0.0859747255023824</v>
      </c>
      <c r="AI214" s="258">
        <f>IF(AND(ISNUMBER(AI11),ISNUMBER(AD11)),IFERROR(AI11/AD11-1,""),"")</f>
        <v>0.19813717188823</v>
      </c>
      <c r="AJ214" s="258">
        <f>IF(AND(ISNUMBER(AJ11),ISNUMBER(AE11)),IFERROR(AJ11/AE11-1,""),"")</f>
        <v>0.150546021840874</v>
      </c>
      <c r="AK214" s="258">
        <f>IF(AND(ISNUMBER(AK11),ISNUMBER(AF11)),IFERROR(AK11/AF11-1,""),"")</f>
        <v>0.0849963045084996</v>
      </c>
      <c r="AL214" s="258">
        <f>IF(AND(ISNUMBER(AL11),ISNUMBER(AG11)),IFERROR(AL11/AG11-1,""),"")</f>
        <v>0.091549295774648</v>
      </c>
      <c r="AM214" s="258">
        <f>IF(AND(ISNUMBER(AM11),ISNUMBER(AH11)),IFERROR(AM11/AH11-1,""),"")</f>
        <v>0.125715375810759</v>
      </c>
      <c r="AN214" s="258">
        <f>IF(AND(ISNUMBER(AN11),ISNUMBER(AI11)),IFERROR(AN11/AI11-1,""),"")</f>
        <v>0.0487632508833922</v>
      </c>
      <c r="AO214" s="258">
        <f>IF(AND(ISNUMBER(AO11),ISNUMBER(AJ11)),IFERROR(AO11/AJ11-1,""),"")</f>
        <v>0.0833898305084746</v>
      </c>
      <c r="AP214" s="258">
        <f>IF(AND(ISNUMBER(AP11),ISNUMBER(AK11)),IFERROR(AP11/AK11-1,""),"")</f>
        <v>0.125340599455041</v>
      </c>
      <c r="AQ214" s="258">
        <f>IF(AND(ISNUMBER(AQ11),ISNUMBER(AL11)),IFERROR(AQ11/AL11-1,""),"")</f>
        <v>0.113548387096774</v>
      </c>
      <c r="AR214" s="258">
        <f>IF(AND(ISNUMBER(AR11),ISNUMBER(AM11)),IFERROR(AR11/AM11-1,""),"")</f>
        <v>0.0948991696322656</v>
      </c>
      <c r="AS214" s="258">
        <f>IF(AND(ISNUMBER(AS11),ISNUMBER(AN11)),IFERROR(AS11/AN11-1,""),"")</f>
        <v>0.0545822102425877</v>
      </c>
      <c r="AT214" s="258">
        <f>IF(AND(ISNUMBER(AT11),ISNUMBER(AO11)),IFERROR(AT11/AO11-1,""),"")</f>
        <v>-0.134543178973717</v>
      </c>
      <c r="AU214" s="258">
        <f>IF(AND(ISNUMBER(AU11),ISNUMBER(AP11)),IFERROR(AU11/AP11-1,""),"")</f>
        <v>-0.00242130750605329</v>
      </c>
      <c r="AV214" s="258">
        <f>IF(AND(ISNUMBER(AV11),ISNUMBER(AQ11)),IFERROR(AV11/AQ11-1,""),"")</f>
        <v>0.0121668597914253</v>
      </c>
      <c r="AW214" s="258">
        <f>IF(AND(ISNUMBER(AW11),ISNUMBER(AR11)),IFERROR(AW11/AR11-1,""),"")</f>
        <v>-0.0191920755301037</v>
      </c>
      <c r="AX214" s="258">
        <f>IF(AND(ISNUMBER(AX11),ISNUMBER(AS11)),IFERROR(AX11/AS11-1,""),"")</f>
        <v>0.0932907348242811</v>
      </c>
      <c r="AY214" s="258">
        <f>IF(AND(ISNUMBER(AY11),ISNUMBER(AT11)),IFERROR(AY11/AT11-1,""),"")</f>
        <v>0.376717281272596</v>
      </c>
      <c r="AZ214" s="258">
        <f>IF(AND(ISNUMBER(AZ11),ISNUMBER(AU11)),IFERROR(AZ11/AU11-1,""),"")</f>
        <v>0.209344660194175</v>
      </c>
      <c r="BA214" s="258">
        <f>IF(AND(ISNUMBER(BA11),ISNUMBER(AV11)),IFERROR(BA11/AV11-1,""),"")</f>
        <v>0.209502003434459</v>
      </c>
      <c r="BB214" s="258">
        <f>IF(AND(ISNUMBER(BB11),ISNUMBER(AW11)),IFERROR(BB11/AW11-1,""),"")</f>
        <v>0.218242070380306</v>
      </c>
      <c r="BC214" s="258">
        <f>IF(AND(ISNUMBER(BC11),ISNUMBER(AX11)),IFERROR(BC11/AX11-1,""),"")</f>
        <v>0.12156633547633</v>
      </c>
      <c r="BD214" s="258">
        <f>IF(AND(ISNUMBER(BD11),ISNUMBER(AY11)),IFERROR(BD11/AY11-1,""),"")</f>
        <v>0.078781512605042</v>
      </c>
      <c r="BE214" s="258">
        <f>IF(AND(ISNUMBER(BE11),ISNUMBER(AZ11)),IFERROR(BE11/AZ11-1,""),"")</f>
        <v>0.0381334671349725</v>
      </c>
      <c r="BF214" s="258">
        <f>IF(AND(ISNUMBER(BF11),ISNUMBER(BA11)),IFERROR(BF11/BA11-1,""),"")</f>
        <v>0.00946521533364875</v>
      </c>
      <c r="BG214" s="258">
        <f>IF(AND(ISNUMBER(BG11),ISNUMBER(BB11)),IFERROR(BG11/BB11-1,""),"")</f>
        <v>0.0591968911917098</v>
      </c>
      <c r="BH214" s="258">
        <f>IF(AND(ISNUMBER(BH11),ISNUMBER(BC11)),IFERROR(BH11/BC11-1,""),"")</f>
        <v>0.0984887962480459</v>
      </c>
      <c r="BI214" s="258">
        <f>IF(AND(ISNUMBER(BI11),ISNUMBER(BD11)),IFERROR(BI11/BD11-1,""),"")</f>
        <v>0.103700097370983</v>
      </c>
      <c r="BJ214" s="258">
        <f>IF(AND(ISNUMBER(BJ11),ISNUMBER(BE11)),IFERROR(BJ11/BE11-1,""),"")</f>
        <v>0.11406476558724</v>
      </c>
      <c r="BK214" s="258">
        <f>IF(AND(ISNUMBER(BK11),ISNUMBER(BF11)),IFERROR(BK11/BF11-1,""),"")</f>
        <v>0.10267229254571</v>
      </c>
      <c r="BL214" s="258">
        <f>IF(AND(ISNUMBER(BL11),ISNUMBER(BG11)),IFERROR(BL11/BG11-1,""),"")</f>
        <v>0.104316986669928</v>
      </c>
      <c r="BM214" s="258">
        <f>IF(AND(ISNUMBER(BM11),ISNUMBER(BH11)),IFERROR(BM11/BH11-1,""),"")</f>
        <v>0.086337760910816</v>
      </c>
      <c r="BN214" s="258">
        <f>IF(AND(ISNUMBER(BN11),ISNUMBER(BI11)),IFERROR(BN11/BI11-1,""),"")</f>
        <v>0.0599911777679754</v>
      </c>
      <c r="BO214" s="258">
        <f>IF(AND(ISNUMBER(BO11),ISNUMBER(BJ11)),IFERROR(BO11/BJ11-1,""),"")</f>
        <v>0.085466377440347</v>
      </c>
      <c r="BP214" s="258">
        <f>IF(AND(ISNUMBER(BP11),ISNUMBER(BK11)),IFERROR(BP11/BK11-1,""),"")</f>
        <v>0.0888605442176871</v>
      </c>
      <c r="BQ214" s="258">
        <f>IF(AND(ISNUMBER(BQ11),ISNUMBER(BL11)),IFERROR(BQ11/BL11-1,""),"")</f>
        <v>0.0805094130675526</v>
      </c>
      <c r="BR214" s="258">
        <f>IF(AND(ISNUMBER(BR11),ISNUMBER(BM11)),IFERROR(BR11/BM11-1,""),"")</f>
        <v>0.0554585152838427</v>
      </c>
      <c r="BS214" s="258">
        <f>IF(AND(ISNUMBER(BS11),ISNUMBER(BN11)),IFERROR(BS11/BN11-1,""),"")</f>
        <v>0.0948813982521848</v>
      </c>
      <c r="BT214" s="258">
        <f>IF(AND(ISNUMBER(BT11),ISNUMBER(BO11)),IFERROR(BT11/BO11-1,""),"")</f>
        <v>0.097921662669864</v>
      </c>
      <c r="BU214" s="258">
        <f>IF(AND(ISNUMBER(BU11),ISNUMBER(BP11)),IFERROR(BU11/BP11-1,""),"")</f>
        <v>0.100741897696212</v>
      </c>
      <c r="BV214" s="258">
        <f>IF(AND(ISNUMBER(BV11),ISNUMBER(BQ11)),IFERROR(BV11/BQ11-1,""),"")</f>
        <v>0.0896792046735677</v>
      </c>
      <c r="BW214" s="258">
        <f>IF(AND(ISNUMBER(BW11),ISNUMBER(BR11)),IFERROR(BW11/BR11-1,""),"")</f>
        <v>0.118328506412908</v>
      </c>
      <c r="BX214" s="258">
        <f>IF(AND(ISNUMBER(BX11),ISNUMBER(BS11)),IFERROR(BX11/BS11-1,""),"")</f>
        <v>0.0950209045990118</v>
      </c>
      <c r="BY214" s="256">
        <f>IF(AND(ISNUMBER(BY11),ISNUMBER(BT11)),IFERROR(BY11/BT11-1,""),"")</f>
        <v>0.0818824999999999</v>
      </c>
      <c r="BZ214" s="256">
        <f>IF(AND(ISNUMBER(BZ11),ISNUMBER(BU11)),IFERROR(BZ11/BU11-1,""),"")</f>
        <v>0.0765</v>
      </c>
      <c r="CA214" s="256">
        <f>IF(AND(ISNUMBER(CA11),ISNUMBER(BV11)),IFERROR(CA11/BV11-1,""),"")</f>
        <v>0.090160339305869</v>
      </c>
      <c r="CB214" s="256">
        <f>IF(AND(ISNUMBER(CB11),ISNUMBER(CA11)),IFERROR(CB11/CA11-1,""),"")</f>
        <v>0.085</v>
      </c>
      <c r="CC214" s="256">
        <f>IF(AND(ISNUMBER(CC11),ISNUMBER(CB11)),IFERROR(CC11/CB11-1,""),"")</f>
        <v>0.0800000000000001</v>
      </c>
      <c r="CD214" s="256">
        <f>IF(AND(ISNUMBER(CD11),ISNUMBER(CC11)),IFERROR(CD11/CC11-1,""),"")</f>
        <v>0.0800000000000001</v>
      </c>
      <c r="CE214" s="256">
        <f>IF(AND(ISNUMBER(CE11),ISNUMBER(CD11)),IFERROR(CE11/CD11-1,""),"")</f>
        <v>0.075</v>
      </c>
      <c r="CF214" s="153" t="n"/>
      <c r="CH214" s="37">
        <f>IFERROR(AVERAGE(CA214,CB214,CC214,CD214,CE214),"n/m")</f>
        <v>0.0820320678611738</v>
      </c>
      <c r="CI214" s="37">
        <f>IFERROR(AVERAGE(BB214,BG214,BL214,BQ214,BV214),"n/m")</f>
        <v>0.110388913196613</v>
      </c>
      <c r="CJ214" s="37">
        <f>IFERROR(AVERAGE(AC214,AH214,AM214,AR214,AW214,BB214,BG214,BL214,BQ214,BV214),"n/m")</f>
        <v>0.0896966651845344</v>
      </c>
      <c r="CK214" s="37">
        <f>IFERROR(AVERAGE(C214,D214,E214,F214,G214,H214,I214,N214,S214,X214,AC214,AH214,AM214,AR214,AW214,BB214,BG214,BL214,BQ214,BV214),"n/m")</f>
        <v>0.0949187847286395</v>
      </c>
    </row>
    <row r="215" ht="15" customHeight="1" s="251">
      <c r="B215" s="22" t="inlineStr">
        <is>
          <t xml:space="preserve">  Contribution to net revenue growth — payment network (pp; before 2021: total net revenue growth)</t>
        </is>
      </c>
      <c r="C215" s="23" t="n"/>
      <c r="D215" s="258">
        <f>IFERROR(IF(ISNUMBER(C20),(D20-C20)/C77,D77/C77-1),"")</f>
        <v>0.222943025320543</v>
      </c>
      <c r="E215" s="258">
        <f>IFERROR(IF(ISNUMBER(D20),(E20-D20)/D77,E77/D77-1),"")</f>
        <v>0.22716128113907</v>
      </c>
      <c r="F215" s="258">
        <f>IFERROR(IF(ISNUMBER(E20),(F20-E20)/E77,F77/E77-1),"")</f>
        <v>0.0214528407724979</v>
      </c>
      <c r="G215" s="258">
        <f>IFERROR(IF(ISNUMBER(F20),(G20-F20)/F77,G77/F77-1),"")</f>
        <v>0.0863587545335227</v>
      </c>
      <c r="H215" s="258">
        <f>IFERROR(IF(ISNUMBER(G20),(H20-G20)/G77,H77/G77-1),"")</f>
        <v>0.212132153818379</v>
      </c>
      <c r="I215" s="258">
        <f>IFERROR(IF(ISNUMBER(H20),(I20-H20)/H77,I77/H77-1),"")</f>
        <v>0.100834078045874</v>
      </c>
      <c r="J215" s="23" t="n"/>
      <c r="K215" s="23" t="n"/>
      <c r="L215" s="23" t="n"/>
      <c r="M215" s="23" t="n"/>
      <c r="N215" s="258">
        <f>IFERROR(IF(ISNUMBER(I20),(N20-I20)/I77,N77/I77-1),"")</f>
        <v>0.129211202814234</v>
      </c>
      <c r="O215" s="258">
        <f>IFERROR(IF(ISNUMBER(J20),(O20-J20)/J77,O77/J77-1),"")</f>
        <v>0.142182581322141</v>
      </c>
      <c r="P215" s="258">
        <f>IFERROR(IF(ISNUMBER(K20),(P20-K20)/K77,P77/K77-1),"")</f>
        <v>0.134064885496183</v>
      </c>
      <c r="Q215" s="258">
        <f>IFERROR(IF(ISNUMBER(L20),(Q20-L20)/L77,Q77/L77-1),"")</f>
        <v>0.128494138863841</v>
      </c>
      <c r="R215" s="258">
        <f>IFERROR(IF(ISNUMBER(M20),(R20-M20)/M77,R77/M77-1),"")</f>
        <v>0.136406396989652</v>
      </c>
      <c r="S215" s="258">
        <f>IFERROR(IF(ISNUMBER(N20),(S20-N20)/N77,S77/N77-1),"")</f>
        <v>0.13503474718428</v>
      </c>
      <c r="T215" s="258">
        <f>IFERROR(IF(ISNUMBER(O20),(T20-O20)/O77,T77/O77-1),"")</f>
        <v>0.024345429490124</v>
      </c>
      <c r="U215" s="258">
        <f>IFERROR(IF(ISNUMBER(P20),(U20-P20)/P77,U77/P77-1),"")</f>
        <v>0.0054690786705931</v>
      </c>
      <c r="V215" s="258">
        <f>IFERROR(IF(ISNUMBER(Q20),(V20-Q20)/Q77,V77/Q77-1),"")</f>
        <v>0.01078705553336</v>
      </c>
      <c r="W215" s="258">
        <f>IFERROR(IF(ISNUMBER(R20),(W20-R20)/R77,W77/R77-1),"")</f>
        <v>0.0418046357615893</v>
      </c>
      <c r="X215" s="258">
        <f>IFERROR(IF(ISNUMBER(S20),(X20-S20)/S77,X77/S77-1),"")</f>
        <v>0.0204792568352159</v>
      </c>
      <c r="Y215" s="258">
        <f>IFERROR(IF(ISNUMBER(T20),(Y20-T20)/T77,Y77/T77-1),"")</f>
        <v>0.0968609865470853</v>
      </c>
      <c r="Z215" s="258">
        <f>IFERROR(IF(ISNUMBER(U20),(Z20-U20)/U77,Z77/U77-1),"")</f>
        <v>0.127196652719665</v>
      </c>
      <c r="AA215" s="258">
        <f>IFERROR(IF(ISNUMBER(V20),(AA20-V20)/V77,AA77/V77-1),"")</f>
        <v>0.138339920948617</v>
      </c>
      <c r="AB215" s="258">
        <f>IFERROR(IF(ISNUMBER(W20),(AB20-W20)/W77,AB77/W77-1),"")</f>
        <v>0.0949543106873261</v>
      </c>
      <c r="AC215" s="258">
        <f>IFERROR(IF(ISNUMBER(X20),(AC20-X20)/X77,AC77/X77-1),"")</f>
        <v>0.114720182062688</v>
      </c>
      <c r="AD215" s="258">
        <f>IFERROR(IF(ISNUMBER(Y20),(AD20-Y20)/Y77,AD77/Y77-1),"")</f>
        <v>0.117743254292723</v>
      </c>
      <c r="AE215" s="258">
        <f>IFERROR(IF(ISNUMBER(Z20),(AE20-Z20)/Z77,AE77/Z77-1),"")</f>
        <v>0.133259094283593</v>
      </c>
      <c r="AF215" s="258">
        <f>IFERROR(IF(ISNUMBER(AA20),(AF20-AA20)/AA77,AF77/AA77-1),"")</f>
        <v>0.179861111111111</v>
      </c>
      <c r="AG215" s="258">
        <f>IFERROR(IF(ISNUMBER(AB20),(AG20-AB20)/AB77,AG77/AB77-1),"")</f>
        <v>0.201741654571843</v>
      </c>
      <c r="AH215" s="258">
        <f>IFERROR(IF(ISNUMBER(AC20),(AH20-AC20)/AC77,AH77/AC77-1),"")</f>
        <v>0.159706755753526</v>
      </c>
      <c r="AI215" s="258">
        <f>IFERROR(IF(ISNUMBER(AD20),(AI20-AD20)/AD77,AI77/AD77-1),"")</f>
        <v>0.309436722750549</v>
      </c>
      <c r="AJ215" s="258">
        <f>IFERROR(IF(ISNUMBER(AE20),(AJ20-AE20)/AE77,AJ77/AE77-1),"")</f>
        <v>0.200458565345562</v>
      </c>
      <c r="AK215" s="258">
        <f>IFERROR(IF(ISNUMBER(AF20),(AK20-AF20)/AF77,AK77/AF77-1),"")</f>
        <v>0.147145379635079</v>
      </c>
      <c r="AL215" s="258">
        <f>IFERROR(IF(ISNUMBER(AG20),(AL20-AG20)/AG77,AL77/AG77-1),"")</f>
        <v>0.14945652173913</v>
      </c>
      <c r="AM215" s="258">
        <f>IFERROR(IF(ISNUMBER(AH20),(AM20-AH20)/AH77,AM77/AH77-1),"")</f>
        <v>0.196287108906138</v>
      </c>
      <c r="AN215" s="258">
        <f>IFERROR(IF(ISNUMBER(AI20),(AN20-AI20)/AI77,AN77/AI77-1),"")</f>
        <v>0.0863128491620111</v>
      </c>
      <c r="AO215" s="258">
        <f>IFERROR(IF(ISNUMBER(AJ20),(AO20-AJ20)/AJ77,AO77/AJ77-1),"")</f>
        <v>0.122237380627558</v>
      </c>
      <c r="AP215" s="258">
        <f>IFERROR(IF(ISNUMBER(AK20),(AP20-AK20)/AK77,AP77/AK77-1),"")</f>
        <v>0.145972293483838</v>
      </c>
      <c r="AQ215" s="258">
        <f>IFERROR(IF(ISNUMBER(AL20),(AQ20-AL20)/AL77,AQ77/AL77-1),"")</f>
        <v>0.159443131074337</v>
      </c>
      <c r="AR215" s="258">
        <f>IFERROR(IF(ISNUMBER(AM20),(AR20-AM20)/AM77,AR77/AM77-1),"")</f>
        <v>0.129297658862876</v>
      </c>
      <c r="AS215" s="258">
        <f>IFERROR(IF(ISNUMBER(AN20),(AS20-AN20)/AN77,AS77/AN77-1),"")</f>
        <v>0.0308562612496786</v>
      </c>
      <c r="AT215" s="258">
        <f>IFERROR(IF(ISNUMBER(AO20),(AT20-AO20)/AO77,AT77/AO77-1),"")</f>
        <v>-0.189156333576465</v>
      </c>
      <c r="AU215" s="258">
        <f>IFERROR(IF(ISNUMBER(AP20),(AU20-AP20)/AP77,AU77/AP77-1),"")</f>
        <v>-0.141034251175285</v>
      </c>
      <c r="AV215" s="258">
        <f>IFERROR(IF(ISNUMBER(AQ20),(AV20-AQ20)/AQ77,AV77/AQ77-1),"")</f>
        <v>-0.0666062528318985</v>
      </c>
      <c r="AW215" s="258">
        <f>IFERROR(IF(ISNUMBER(AR20),(AW20-AR20)/AR77,AW77/AR77-1),"")</f>
        <v>-0.0937037256411776</v>
      </c>
      <c r="AX215" s="258">
        <f>IFERROR(IF(ISNUMBER(AS20),(AX20-AS20)/AS77,AX77/AS77-1),"")</f>
        <v>0.0364180593664256</v>
      </c>
      <c r="AY215" s="258">
        <f>IFERROR(IF(ISNUMBER(AT20),(AY20-AT20)/AT77,AY77/AT77-1),"")</f>
        <v>0.357721139430285</v>
      </c>
      <c r="AZ215" s="258">
        <f>IFERROR(IF(ISNUMBER(AU20),(AZ20-AU20)/AU77,AZ77/AU77-1),"")</f>
        <v>0.299192077143602</v>
      </c>
      <c r="BA215" s="258">
        <f>IFERROR(IF(ISNUMBER(AV20),(BA20-AV20)/AV77,BA77/AV77-1),"")</f>
        <v>0.266019417475728</v>
      </c>
      <c r="BB215" s="258">
        <f>IFERROR(IF(ISNUMBER(AW20),(BB20-AW20)/AW77,BB77/AW77-1),"")</f>
        <v>0.13371675053918</v>
      </c>
      <c r="BC215" s="258">
        <f>IFERROR(IF(ISNUMBER(AX20),(BC20-AX20)/AX77,BC77/AX77-1),"")</f>
        <v>0.180746089049338</v>
      </c>
      <c r="BD215" s="258">
        <f>IFERROR(IF(ISNUMBER(AY20),(BD20-AY20)/AY77,BD77/AY77-1),"")</f>
        <v>0.162102473498233</v>
      </c>
      <c r="BE215" s="258">
        <f>IFERROR(IF(ISNUMBER(AZ20),(BE20-AZ20)/AZ77,BE77/AZ77-1),"")</f>
        <v>0.106519558676028</v>
      </c>
      <c r="BF215" s="258">
        <f>IFERROR(IF(ISNUMBER(BA20),(BF20-BA20)/BA77,BF77/BA77-1),"")</f>
        <v>0.0764953987730061</v>
      </c>
      <c r="BG215" s="258">
        <f>IFERROR(IF(ISNUMBER(BB20),(BG20-BB20)/BB77,BG77/BB77-1),"")</f>
        <v>0.127886041092989</v>
      </c>
      <c r="BH215" s="258">
        <f>IFERROR(IF(ISNUMBER(BC20),(BH20-BC20)/BC77,BH77/BC77-1),"")</f>
        <v>0.0485775111283143</v>
      </c>
      <c r="BI215" s="258">
        <f>IFERROR(IF(ISNUMBER(BD20),(BI20-BD20)/BD77,BI77/BD77-1),"")</f>
        <v>0.0844096780061852</v>
      </c>
      <c r="BJ215" s="258">
        <f>IFERROR(IF(ISNUMBER(BE20),(BJ20-BE20)/BE77,BJ77/BE77-1),"")</f>
        <v>0.0773106323835997</v>
      </c>
      <c r="BK215" s="258">
        <f>IFERROR(IF(ISNUMBER(BF20),(BK20-BF20)/BF77,BK77/BF77-1),"")</f>
        <v>0.0526044352759154</v>
      </c>
      <c r="BL215" s="258">
        <f>IFERROR(IF(ISNUMBER(BG20),(BL20-BG20)/BG77,BL77/BG77-1),"")</f>
        <v>0.0659261591041957</v>
      </c>
      <c r="BM215" s="258">
        <f>IFERROR(IF(ISNUMBER(BH20),(BM20-BH20)/BH77,BM77/BH77-1),"")</f>
        <v>0.046972860125261</v>
      </c>
      <c r="BN215" s="258">
        <f>IFERROR(IF(ISNUMBER(BI20),(BN20-BI20)/BI77,BN77/BI77-1),"")</f>
        <v>0.0481735524007019</v>
      </c>
      <c r="BO215" s="258">
        <f>IFERROR(IF(ISNUMBER(BJ20),(BO20-BJ20)/BJ77,BO77/BJ77-1),"")</f>
        <v>0.0641359253023113</v>
      </c>
      <c r="BP215" s="258">
        <f>IFERROR(IF(ISNUMBER(BK20),(BP20-BK20)/BK77,BP77/BK77-1),"")</f>
        <v>0.0794135613927917</v>
      </c>
      <c r="BQ215" s="258">
        <f>IFERROR(IF(ISNUMBER(BL20),(BQ20-BL20)/BL77,BQ77/BL77-1),"")</f>
        <v>0.0602040003187505</v>
      </c>
      <c r="BR215" s="258">
        <f>IFERROR(IF(ISNUMBER(BM20),(BR20-BM20)/BM77,BR77/BM77-1),"")</f>
        <v>0.0806553245116572</v>
      </c>
      <c r="BS215" s="258">
        <f>IFERROR(IF(ISNUMBER(BN20),(BS20-BN20)/BN77,BS77/BN77-1),"")</f>
        <v>0.0818847866685821</v>
      </c>
      <c r="BT215" s="258">
        <f>IFERROR(IF(ISNUMBER(BO20),(BT20-BO20)/BO77,BT77/BO77-1),"")</f>
        <v>0.074636992807708</v>
      </c>
      <c r="BU215" s="258">
        <f>IFERROR(IF(ISNUMBER(BP20),(BU20-BP20)/BP77,BU77/BP77-1),"")</f>
        <v>0.0679663506476165</v>
      </c>
      <c r="BV215" s="258">
        <f>IFERROR(IF(ISNUMBER(BQ20),(BV20-BQ20)/BQ77,BV77/BQ77-1),"")</f>
        <v>0.0760109347818369</v>
      </c>
      <c r="BW215" s="258">
        <f>IFERROR(IF(ISNUMBER(BR20),(BW20-BR20)/BR77,BW77/BR77-1),"")</f>
        <v>0.0711724137931035</v>
      </c>
      <c r="BX215" s="258">
        <f>IFERROR(IF(ISNUMBER(BS20),(BX20-BS20)/BS77,BX77/BS77-1),"")</f>
        <v>0.0622156645764171</v>
      </c>
      <c r="BY215" s="256">
        <f>IFERROR(IF(ISNUMBER(BT20),(BY20-BT20)/BT77,BY77/BT77-1),"")</f>
        <v>0.0479313061831006</v>
      </c>
      <c r="BZ215" s="256">
        <f>IFERROR(IF(ISNUMBER(BU20),(BZ20-BU20)/BU77,BZ77/BU77-1),"")</f>
        <v>0.0444794299852733</v>
      </c>
      <c r="CA215" s="256">
        <f>IFERROR(IF(ISNUMBER(BV20),(CA20-BV20)/BV77,CA77/BV77-1),"")</f>
        <v>0.0556857356054206</v>
      </c>
      <c r="CB215" s="256">
        <f>IFERROR(IF(ISNUMBER(CA20),(CB20-CA20)/CA77,CB77/CA77-1),"")</f>
        <v>0.057965812153865</v>
      </c>
      <c r="CC215" s="256">
        <f>IFERROR(IF(ISNUMBER(CB20),(CC20-CB20)/CB77,CC77/CB77-1),"")</f>
        <v>0.0539578903586809</v>
      </c>
      <c r="CD215" s="256">
        <f>IFERROR(IF(ISNUMBER(CC20),(CD20-CC20)/CC77,CD77/CC77-1),"")</f>
        <v>0.049910508225526</v>
      </c>
      <c r="CE215" s="256">
        <f>IFERROR(IF(ISNUMBER(CD20),(CE20-CD20)/CD77,CE77/CD77-1),"")</f>
        <v>0.0462675934922987</v>
      </c>
      <c r="CF215" s="153" t="n"/>
    </row>
    <row r="216" ht="15" customHeight="1" s="251">
      <c r="B216" s="22" t="inlineStr">
        <is>
          <t xml:space="preserve">  Contribution to net revenue growth — value-added services &amp; other (pp)</t>
        </is>
      </c>
      <c r="C216" s="23" t="n"/>
      <c r="D216" s="258">
        <f>IFERROR(IF(ISNUMBER(C20),(D77-C77-(D20-C20))/C77,0),"")</f>
        <v>0</v>
      </c>
      <c r="E216" s="258">
        <f>IFERROR(IF(ISNUMBER(D20),(E77-D77-(E20-D20))/D77,0),"")</f>
        <v>0</v>
      </c>
      <c r="F216" s="258">
        <f>IFERROR(IF(ISNUMBER(E20),(F77-E77-(F20-E20))/E77,0),"")</f>
        <v>0</v>
      </c>
      <c r="G216" s="258">
        <f>IFERROR(IF(ISNUMBER(F20),(G77-F77-(G20-F20))/F77,0),"")</f>
        <v>0</v>
      </c>
      <c r="H216" s="258">
        <f>IFERROR(IF(ISNUMBER(G20),(H77-G77-(H20-G20))/G77,0),"")</f>
        <v>0</v>
      </c>
      <c r="I216" s="258">
        <f>IFERROR(IF(ISNUMBER(H20),(I77-H77-(I20-H20))/H77,0),"")</f>
        <v>0</v>
      </c>
      <c r="J216" s="23" t="n"/>
      <c r="K216" s="23" t="n"/>
      <c r="L216" s="23" t="n"/>
      <c r="M216" s="23" t="n"/>
      <c r="N216" s="258">
        <f>IFERROR(IF(ISNUMBER(I20),(N77-I77-(N20-I20))/I77,0),"")</f>
        <v>0</v>
      </c>
      <c r="O216" s="258">
        <f>IFERROR(IF(ISNUMBER(J20),(O77-J77-(O20-J20))/J77,0),"")</f>
        <v>0</v>
      </c>
      <c r="P216" s="258">
        <f>IFERROR(IF(ISNUMBER(K20),(P77-K77-(P20-K20))/K77,0),"")</f>
        <v>0</v>
      </c>
      <c r="Q216" s="258">
        <f>IFERROR(IF(ISNUMBER(L20),(Q77-L77-(Q20-L20))/L77,0),"")</f>
        <v>0</v>
      </c>
      <c r="R216" s="258">
        <f>IFERROR(IF(ISNUMBER(M20),(R77-M77-(R20-M20))/M77,0),"")</f>
        <v>0</v>
      </c>
      <c r="S216" s="258">
        <f>IFERROR(IF(ISNUMBER(N20),(S77-N77-(S20-N20))/N77,0),"")</f>
        <v>0</v>
      </c>
      <c r="T216" s="258">
        <f>IFERROR(IF(ISNUMBER(O20),(T77-O77-(T20-O20))/O77,0),"")</f>
        <v>0</v>
      </c>
      <c r="U216" s="258">
        <f>IFERROR(IF(ISNUMBER(P20),(U77-P77-(U20-P20))/P77,0),"")</f>
        <v>0</v>
      </c>
      <c r="V216" s="258">
        <f>IFERROR(IF(ISNUMBER(Q20),(V77-Q77-(V20-Q20))/Q77,0),"")</f>
        <v>0</v>
      </c>
      <c r="W216" s="258">
        <f>IFERROR(IF(ISNUMBER(R20),(W77-R77-(W20-R20))/R77,0),"")</f>
        <v>0</v>
      </c>
      <c r="X216" s="258">
        <f>IFERROR(IF(ISNUMBER(S20),(X77-S77-(X20-S20))/S77,0),"")</f>
        <v>0</v>
      </c>
      <c r="Y216" s="258">
        <f>IFERROR(IF(ISNUMBER(T20),(Y77-T77-(Y20-T20))/T77,0),"")</f>
        <v>0</v>
      </c>
      <c r="Z216" s="258">
        <f>IFERROR(IF(ISNUMBER(U20),(Z77-U77-(Z20-U20))/U77,0),"")</f>
        <v>0</v>
      </c>
      <c r="AA216" s="258">
        <f>IFERROR(IF(ISNUMBER(V20),(AA77-V77-(AA20-V20))/V77,0),"")</f>
        <v>0</v>
      </c>
      <c r="AB216" s="258">
        <f>IFERROR(IF(ISNUMBER(W20),(AB77-W77-(AB20-W20))/W77,0),"")</f>
        <v>0</v>
      </c>
      <c r="AC216" s="258">
        <f>IFERROR(IF(ISNUMBER(X20),(AC77-X77-(AC20-X20))/X77,0),"")</f>
        <v>0</v>
      </c>
      <c r="AD216" s="258">
        <f>IFERROR(IF(ISNUMBER(Y20),(AD77-Y77-(AD20-Y20))/Y77,0),"")</f>
        <v>0</v>
      </c>
      <c r="AE216" s="258">
        <f>IFERROR(IF(ISNUMBER(Z20),(AE77-Z77-(AE20-Z20))/Z77,0),"")</f>
        <v>0</v>
      </c>
      <c r="AF216" s="258">
        <f>IFERROR(IF(ISNUMBER(AA20),(AF77-AA77-(AF20-AA20))/AA77,0),"")</f>
        <v>0</v>
      </c>
      <c r="AG216" s="258">
        <f>IFERROR(IF(ISNUMBER(AB20),(AG77-AB77-(AG20-AB20))/AB77,0),"")</f>
        <v>0</v>
      </c>
      <c r="AH216" s="258">
        <f>IFERROR(IF(ISNUMBER(AC20),(AH77-AC77-(AH20-AC20))/AC77,0),"")</f>
        <v>0</v>
      </c>
      <c r="AI216" s="258">
        <f>IFERROR(IF(ISNUMBER(AD20),(AI77-AD77-(AI20-AD20))/AD77,0),"")</f>
        <v>0</v>
      </c>
      <c r="AJ216" s="258">
        <f>IFERROR(IF(ISNUMBER(AE20),(AJ77-AE77-(AJ20-AE20))/AE77,0),"")</f>
        <v>0</v>
      </c>
      <c r="AK216" s="258">
        <f>IFERROR(IF(ISNUMBER(AF20),(AK77-AF77-(AK20-AF20))/AF77,0),"")</f>
        <v>0</v>
      </c>
      <c r="AL216" s="258">
        <f>IFERROR(IF(ISNUMBER(AG20),(AL77-AG77-(AL20-AG20))/AG77,0),"")</f>
        <v>0</v>
      </c>
      <c r="AM216" s="258">
        <f>IFERROR(IF(ISNUMBER(AH20),(AM77-AH77-(AM20-AH20))/AH77,0),"")</f>
        <v>0</v>
      </c>
      <c r="AN216" s="258">
        <f>IFERROR(IF(ISNUMBER(AI20),(AN77-AI77-(AN20-AI20))/AI77,0),"")</f>
        <v>0</v>
      </c>
      <c r="AO216" s="258">
        <f>IFERROR(IF(ISNUMBER(AJ20),(AO77-AJ77-(AO20-AJ20))/AJ77,0),"")</f>
        <v>0</v>
      </c>
      <c r="AP216" s="258">
        <f>IFERROR(IF(ISNUMBER(AK20),(AP77-AK77-(AP20-AK20))/AK77,0),"")</f>
        <v>0</v>
      </c>
      <c r="AQ216" s="258">
        <f>IFERROR(IF(ISNUMBER(AL20),(AQ77-AL77-(AQ20-AL20))/AL77,0),"")</f>
        <v>0</v>
      </c>
      <c r="AR216" s="258">
        <f>IFERROR(IF(ISNUMBER(AM20),(AR77-AM77-(AR20-AM20))/AM77,0),"")</f>
        <v>0</v>
      </c>
      <c r="AS216" s="258">
        <f>IFERROR(IF(ISNUMBER(AN20),(AS77-AN77-(AS20-AN20))/AN77,0),"")</f>
        <v>0</v>
      </c>
      <c r="AT216" s="258">
        <f>IFERROR(IF(ISNUMBER(AO20),(AT77-AO77-(AT20-AO20))/AO77,0),"")</f>
        <v>0</v>
      </c>
      <c r="AU216" s="258">
        <f>IFERROR(IF(ISNUMBER(AP20),(AU77-AP77-(AU20-AP20))/AP77,0),"")</f>
        <v>0</v>
      </c>
      <c r="AV216" s="258">
        <f>IFERROR(IF(ISNUMBER(AQ20),(AV77-AQ77-(AV20-AQ20))/AQ77,0),"")</f>
        <v>0</v>
      </c>
      <c r="AW216" s="258">
        <f>IFERROR(IF(ISNUMBER(AR20),(AW77-AR77-(AW20-AR20))/AR77,0),"")</f>
        <v>0</v>
      </c>
      <c r="AX216" s="258">
        <f>IFERROR(IF(ISNUMBER(AS20),(AX77-AS77-(AX20-AS20))/AS77,0),"")</f>
        <v>0</v>
      </c>
      <c r="AY216" s="258">
        <f>IFERROR(IF(ISNUMBER(AT20),(AY77-AT77-(AY20-AT20))/AT77,0),"")</f>
        <v>0</v>
      </c>
      <c r="AZ216" s="258">
        <f>IFERROR(IF(ISNUMBER(AU20),(AZ77-AU77-(AZ20-AU20))/AU77,0),"")</f>
        <v>0</v>
      </c>
      <c r="BA216" s="258">
        <f>IFERROR(IF(ISNUMBER(AV20),(BA77-AV77-(BA20-AV20))/AV77,0),"")</f>
        <v>0</v>
      </c>
      <c r="BB216" s="258">
        <f>IFERROR(IF(ISNUMBER(AW20),(BB77-AW77-(BB20-AW20))/AW77,0),"")</f>
        <v>0.100450950918241</v>
      </c>
      <c r="BC216" s="258">
        <f>IFERROR(IF(ISNUMBER(AX20),(BC77-AX77-(BC20-AX20))/AX77,0),"")</f>
        <v>0.0628158844765343</v>
      </c>
      <c r="BD216" s="258">
        <f>IFERROR(IF(ISNUMBER(AY20),(BD77-AY77-(BD20-AY20))/AY77,0),"")</f>
        <v>0.0518992932862191</v>
      </c>
      <c r="BE216" s="258">
        <f>IFERROR(IF(ISNUMBER(AZ20),(BE77-AZ77-(BE20-AZ20))/AZ77,0),"")</f>
        <v>0.0481444332998997</v>
      </c>
      <c r="BF216" s="258">
        <f>IFERROR(IF(ISNUMBER(BA20),(BF77-BA77-(BF20-BA20))/BA77,0),"")</f>
        <v>0.0387269938650307</v>
      </c>
      <c r="BG216" s="258">
        <f>IFERROR(IF(ISNUMBER(BB20),(BG77-BB77-(BG20-BB20))/BB77,0),"")</f>
        <v>0.049671679728871</v>
      </c>
      <c r="BH216" s="258">
        <f>IFERROR(IF(ISNUMBER(BC20),(BH77-BC77-(BH20-BC20))/BC77,0),"")</f>
        <v>0.0638668473001742</v>
      </c>
      <c r="BI216" s="258">
        <f>IFERROR(IF(ISNUMBER(BD20),(BI77-BD77-(BI20-BD20))/BD77,0),"")</f>
        <v>0.0560305621247953</v>
      </c>
      <c r="BJ216" s="258">
        <f>IFERROR(IF(ISNUMBER(BE20),(BJ77-BE77-(BJ20-BE20))/BE77,0),"")</f>
        <v>0.0576789437109104</v>
      </c>
      <c r="BK216" s="258">
        <f>IFERROR(IF(ISNUMBER(BF20),(BK77-BF77-(BK20-BF20))/BF77,0),"")</f>
        <v>0.0730617156609936</v>
      </c>
      <c r="BL216" s="258">
        <f>IFERROR(IF(ISNUMBER(BG20),(BL77-BG77-(BL20-BG20))/BG77,0),"")</f>
        <v>0.0627332823672258</v>
      </c>
      <c r="BM216" s="258">
        <f>IFERROR(IF(ISNUMBER(BH20),(BM77-BH77-(BM20-BH20))/BH77,0),"")</f>
        <v>0.0574112734864301</v>
      </c>
      <c r="BN216" s="258">
        <f>IFERROR(IF(ISNUMBER(BI20),(BN77-BI77-(BN20-BI20))/BI77,0),"")</f>
        <v>0.0622108789280587</v>
      </c>
      <c r="BO216" s="258">
        <f>IFERROR(IF(ISNUMBER(BJ20),(BO77-BJ77-(BO20-BJ20))/BJ77,0),"")</f>
        <v>0.0638297872340426</v>
      </c>
      <c r="BP216" s="258">
        <f>IFERROR(IF(ISNUMBER(BK20),(BP77-BK77-(BP20-BK20))/BK77,0),"")</f>
        <v>0.0642944410507025</v>
      </c>
      <c r="BQ216" s="258">
        <f>IFERROR(IF(ISNUMBER(BL20),(BQ77-BL77-(BQ20-BL20))/BL77,0),"")</f>
        <v>0.0620766594947805</v>
      </c>
      <c r="BR216" s="258">
        <f>IFERROR(IF(ISNUMBER(BM20),(BR77-BM77-(BR20-BM20))/BM77,0),"")</f>
        <v>0.0614366729678639</v>
      </c>
      <c r="BS216" s="258">
        <f>IFERROR(IF(ISNUMBER(BN20),(BS77-BN77-(BS20-BN20))/BN77,0),"")</f>
        <v>0.0864818273236604</v>
      </c>
      <c r="BT216" s="258">
        <f>IFERROR(IF(ISNUMBER(BO20),(BT77-BO77-(BT20-BO20))/BO77,0),"")</f>
        <v>0.0926855747048446</v>
      </c>
      <c r="BU216" s="258">
        <f>IFERROR(IF(ISNUMBER(BP20),(BU77-BP77-(BU20-BP20))/BP77,0),"")</f>
        <v>0.107891574308987</v>
      </c>
      <c r="BV216" s="258">
        <f>IFERROR(IF(ISNUMBER(BQ20),(BV77-BQ77-(BV20-BQ20))/BQ77,0),"")</f>
        <v>0.0881528029254092</v>
      </c>
      <c r="BW216" s="258">
        <f>IFERROR(IF(ISNUMBER(BR20),(BW77-BR77-(BW20-BR20))/BR77,0),"")</f>
        <v>0.0871724137931035</v>
      </c>
      <c r="BX216" s="258">
        <f>IFERROR(IF(ISNUMBER(BS20),(BX77-BS77-(BX20-BS20))/BS77,0),"")</f>
        <v>0.0784458379441781</v>
      </c>
      <c r="BY216" s="256">
        <f>IFERROR(IF(ISNUMBER(BT20),(BY77-BT77-(BY20-BT20))/BT77,0),"")</f>
        <v>0.0724536631192524</v>
      </c>
      <c r="BZ216" s="256">
        <f>IFERROR(IF(ISNUMBER(BU20),(BZ77-BU77-(BZ20-BU20))/BU77,0),"")</f>
        <v>0.0803483572122243</v>
      </c>
      <c r="CA216" s="256">
        <f>IFERROR(IF(ISNUMBER(BV20),(CA77-BV77-(CA20-BV20))/BV77,0),"")</f>
        <v>0.0793142643945795</v>
      </c>
      <c r="CB216" s="256">
        <f>IFERROR(IF(ISNUMBER(CA20),(CB77-CA77-(CB20-CA20))/CA77,0),"")</f>
        <v>0.0658252259387387</v>
      </c>
      <c r="CC216" s="256">
        <f>IFERROR(IF(ISNUMBER(CB20),(CC77-CB77-(CC20-CB20))/CB77,0),"")</f>
        <v>0.0646130779563937</v>
      </c>
      <c r="CD216" s="256">
        <f>IFERROR(IF(ISNUMBER(CC20),(CD77-CC77-(CD20-CC20))/CC77,0),"")</f>
        <v>0.061331090081906</v>
      </c>
      <c r="CE216" s="256">
        <f>IFERROR(IF(ISNUMBER(CD20),(CE77-CD77-(CE20-CD20))/CD77,0),"")</f>
        <v>0.0578009829710502</v>
      </c>
      <c r="CF216" s="153" t="n"/>
    </row>
    <row r="217" ht="15" customHeight="1" s="251">
      <c r="B217" s="22" t="inlineStr">
        <is>
          <t xml:space="preserve">  Adjusted operating income y/y %</t>
        </is>
      </c>
      <c r="C217" s="23" t="n"/>
      <c r="D217" s="258">
        <f>IF(AND(ISNUMBER(D170),ISNUMBER(C170)),IFERROR(D170/C170-1,""),"")</f>
        <v>0.710732184235444</v>
      </c>
      <c r="E217" s="258">
        <f>IF(AND(ISNUMBER(E170),ISNUMBER(D170)),IFERROR(E170/D170-1,""),"")</f>
        <v>0.753644097084723</v>
      </c>
      <c r="F217" s="258">
        <f>IF(AND(ISNUMBER(F170),ISNUMBER(E170)),IFERROR(F170/E170-1,""),"")</f>
        <v>0.163517484006887</v>
      </c>
      <c r="G217" s="258">
        <f>IF(AND(ISNUMBER(G170),ISNUMBER(F170)),IFERROR(G170/F170-1,""),"")</f>
        <v>0.213881297229775</v>
      </c>
      <c r="H217" s="258">
        <f>IF(AND(ISNUMBER(H170),ISNUMBER(G170)),IFERROR(H170/G170-1,""),"")</f>
        <v>0.265625</v>
      </c>
      <c r="I217" s="258">
        <f>IF(AND(ISNUMBER(I170),ISNUMBER(H170)),IFERROR(I170/H170-1,""),"")</f>
        <v>0.136089577950043</v>
      </c>
      <c r="J217" s="23" t="n"/>
      <c r="K217" s="23" t="n"/>
      <c r="L217" s="23" t="n"/>
      <c r="M217" s="23" t="n"/>
      <c r="N217" s="258">
        <f>IF(AND(ISNUMBER(N170),ISNUMBER(I170)),IFERROR(N170/I170-1,""),"")</f>
        <v>0.161991407632045</v>
      </c>
      <c r="O217" s="258">
        <f>IF(AND(ISNUMBER(O170),ISNUMBER(J170)),IFERROR(O170/J170-1,""),"")</f>
        <v>0.160794941282746</v>
      </c>
      <c r="P217" s="258">
        <f>IF(AND(ISNUMBER(P170),ISNUMBER(K170)),IFERROR(P170/K170-1,""),"")</f>
        <v>0.126221498371335</v>
      </c>
      <c r="Q217" s="258">
        <f>IF(AND(ISNUMBER(Q170),ISNUMBER(L170)),IFERROR(Q170/L170-1,""),"")</f>
        <v>0.137820512820513</v>
      </c>
      <c r="R217" s="258">
        <f>IF(AND(ISNUMBER(R170),ISNUMBER(M170)),IFERROR(R170/M170-1,""),"")</f>
        <v>0.00295566502463052</v>
      </c>
      <c r="S217" s="258">
        <f>IF(AND(ISNUMBER(S170),ISNUMBER(N170)),IFERROR(S170/N170-1,""),"")</f>
        <v>0.11048281861679</v>
      </c>
      <c r="T217" s="258">
        <f>IF(AND(ISNUMBER(T170),ISNUMBER(O170)),IFERROR(T170/O170-1,""),"")</f>
        <v>0.0513618677042802</v>
      </c>
      <c r="U217" s="258">
        <f>IF(AND(ISNUMBER(U170),ISNUMBER(P170)),IFERROR(U170/P170-1,""),"")</f>
        <v>-0.0513376717281273</v>
      </c>
      <c r="V217" s="258">
        <f>IF(AND(ISNUMBER(V170),ISNUMBER(Q170)),IFERROR(V170/Q170-1,""),"")</f>
        <v>0.0197183098591549</v>
      </c>
      <c r="W217" s="258">
        <f>IF(AND(ISNUMBER(W170),ISNUMBER(R170)),IFERROR(W170/R170-1,""),"")</f>
        <v>0.0874263261296659</v>
      </c>
      <c r="X217" s="258">
        <f>IF(AND(ISNUMBER(X170),ISNUMBER(S170)),IFERROR(X170/S170-1,""),"")</f>
        <v>0.0219349784567175</v>
      </c>
      <c r="Y217" s="258">
        <f>IF(AND(ISNUMBER(Y170),ISNUMBER(T170)),IFERROR(Y170/T170-1,""),"")</f>
        <v>-0.00222057735011105</v>
      </c>
      <c r="Z217" s="258">
        <f>IF(AND(ISNUMBER(Z170),ISNUMBER(U170)),IFERROR(Z170/U170-1,""),"")</f>
        <v>0.133384146341463</v>
      </c>
      <c r="AA217" s="258">
        <f>IF(AND(ISNUMBER(AA170),ISNUMBER(V170)),IFERROR(AA170/V170-1,""),"")</f>
        <v>0.153314917127072</v>
      </c>
      <c r="AB217" s="258">
        <f>IF(AND(ISNUMBER(AB170),ISNUMBER(W170)),IFERROR(AB170/W170-1,""),"")</f>
        <v>0.240289069557362</v>
      </c>
      <c r="AC217" s="258">
        <f>IF(AND(ISNUMBER(AC170),ISNUMBER(X170)),IFERROR(AC170/X170-1,""),"")</f>
        <v>0.126485243388271</v>
      </c>
      <c r="AD217" s="258">
        <f>IF(AND(ISNUMBER(AD170),ISNUMBER(Y170)),IFERROR(AD170/Y170-1,""),"")</f>
        <v>0.128338278931751</v>
      </c>
      <c r="AE217" s="258">
        <f>IF(AND(ISNUMBER(AE170),ISNUMBER(Z170)),IFERROR(AE170/Z170-1,""),"")</f>
        <v>0.111634162743779</v>
      </c>
      <c r="AF217" s="258">
        <f>IF(AND(ISNUMBER(AF170),ISNUMBER(AA170)),IFERROR(AF170/AA170-1,""),"")</f>
        <v>0.162275449101796</v>
      </c>
      <c r="AG217" s="258">
        <f>IF(AND(ISNUMBER(AG170),ISNUMBER(AB170)),IFERROR(AG170/AB170-1,""),"")</f>
        <v>0.230152949745084</v>
      </c>
      <c r="AH217" s="258">
        <f>IF(AND(ISNUMBER(AH170),ISNUMBER(AC170)),IFERROR(AH170/AC170-1,""),"")</f>
        <v>0.15753657706703</v>
      </c>
      <c r="AI217" s="258">
        <f>IF(AND(ISNUMBER(AI170),ISNUMBER(AD170)),IFERROR(AI170/AD170-1,""),"")</f>
        <v>0.276791584483892</v>
      </c>
      <c r="AJ217" s="258">
        <f>IF(AND(ISNUMBER(AJ170),ISNUMBER(AE170)),IFERROR(AJ170/AE170-1,""),"")</f>
        <v>0.307320024198427</v>
      </c>
      <c r="AK217" s="258">
        <f>IF(AND(ISNUMBER(AK170),ISNUMBER(AF170)),IFERROR(AK170/AF170-1,""),"")</f>
        <v>0.193199381761978</v>
      </c>
      <c r="AL217" s="258">
        <f>IF(AND(ISNUMBER(AL170),ISNUMBER(AG170)),IFERROR(AL170/AG170-1,""),"")</f>
        <v>0.178804026050918</v>
      </c>
      <c r="AM217" s="258">
        <f>IF(AND(ISNUMBER(AM170),ISNUMBER(AH170)),IFERROR(AM170/AH170-1,""),"")</f>
        <v>0.236037624926514</v>
      </c>
      <c r="AN217" s="258">
        <f>IF(AND(ISNUMBER(AN170),ISNUMBER(AI170)),IFERROR(AN170/AI170-1,""),"")</f>
        <v>0.139546858908342</v>
      </c>
      <c r="AO217" s="258">
        <f>IF(AND(ISNUMBER(AO170),ISNUMBER(AJ170)),IFERROR(AO170/AJ170-1,""),"")</f>
        <v>0.109208699676076</v>
      </c>
      <c r="AP217" s="258">
        <f>IF(AND(ISNUMBER(AP170),ISNUMBER(AK170)),IFERROR(AP170/AK170-1,""),"")</f>
        <v>0.146373056994819</v>
      </c>
      <c r="AQ217" s="258">
        <f>IF(AND(ISNUMBER(AQ170),ISNUMBER(AL170)),IFERROR(AQ170/AL170-1,""),"")</f>
        <v>0.204922149673531</v>
      </c>
      <c r="AR217" s="258">
        <f>IF(AND(ISNUMBER(AR170),ISNUMBER(AM170)),IFERROR(AR170/AM170-1,""),"")</f>
        <v>0.14910820451843</v>
      </c>
      <c r="AS217" s="258">
        <f>IF(AND(ISNUMBER(AS170),ISNUMBER(AN170)),IFERROR(AS170/AN170-1,""),"")</f>
        <v>0.0018075011296883</v>
      </c>
      <c r="AT217" s="258">
        <f>IF(AND(ISNUMBER(AT170),ISNUMBER(AO170)),IFERROR(AT170/AO170-1,""),"")</f>
        <v>-0.278681685440134</v>
      </c>
      <c r="AU217" s="258">
        <f>IF(AND(ISNUMBER(AU170),ISNUMBER(AP170)),IFERROR(AU170/AP170-1,""),"")</f>
        <v>-0.207156308851224</v>
      </c>
      <c r="AV217" s="258">
        <f>IF(AND(ISNUMBER(AV170),ISNUMBER(AQ170)),IFERROR(AV170/AQ170-1,""),"")</f>
        <v>-0.123384743643185</v>
      </c>
      <c r="AW217" s="258">
        <f>IF(AND(ISNUMBER(AW170),ISNUMBER(AR170)),IFERROR(AW170/AR170-1,""),"")</f>
        <v>-0.15625</v>
      </c>
      <c r="AX217" s="258">
        <f>IF(AND(ISNUMBER(AX170),ISNUMBER(AS170)),IFERROR(AX170/AS170-1,""),"")</f>
        <v>-0.00902119981957605</v>
      </c>
      <c r="AY217" s="258">
        <f>IF(AND(ISNUMBER(AY170),ISNUMBER(AT170)),IFERROR(AY170/AT170-1,""),"")</f>
        <v>0.392712550607288</v>
      </c>
      <c r="AZ217" s="258">
        <f>IF(AND(ISNUMBER(AZ170),ISNUMBER(AU170)),IFERROR(AZ170/AU170-1,""),"")</f>
        <v>0.342517814726841</v>
      </c>
      <c r="BA217" s="258">
        <f>IF(AND(ISNUMBER(BA170),ISNUMBER(AV170)),IFERROR(BA170/AV170-1,""),"")</f>
        <v>0.344270090347123</v>
      </c>
      <c r="BB217" s="258">
        <f>IF(AND(ISNUMBER(BB170),ISNUMBER(AW170)),IFERROR(BB170/AW170-1,""),"")</f>
        <v>0.258032867304391</v>
      </c>
      <c r="BC217" s="258">
        <f>IF(AND(ISNUMBER(BC170),ISNUMBER(AX170)),IFERROR(BC170/AX170-1,""),"")</f>
        <v>0.344560764679108</v>
      </c>
      <c r="BD217" s="258">
        <f>IF(AND(ISNUMBER(BD170),ISNUMBER(AY170)),IFERROR(BD170/AY170-1,""),"")</f>
        <v>0.319767441860465</v>
      </c>
      <c r="BE217" s="258">
        <f>IF(AND(ISNUMBER(BE170),ISNUMBER(AZ170)),IFERROR(BE170/AZ170-1,""),"")</f>
        <v>0.174805378627035</v>
      </c>
      <c r="BF217" s="258">
        <f>IF(AND(ISNUMBER(BF170),ISNUMBER(BA170)),IFERROR(BF170/BA170-1,""),"")</f>
        <v>0.131588256101875</v>
      </c>
      <c r="BG217" s="258">
        <f>IF(AND(ISNUMBER(BG170),ISNUMBER(BB170)),IFERROR(BG170/BB170-1,""),"")</f>
        <v>0.233183856502242</v>
      </c>
      <c r="BH217" s="258">
        <f>IF(AND(ISNUMBER(BH170),ISNUMBER(BC170)),IFERROR(BH170/BC170-1,""),"")</f>
        <v>0.133039945836154</v>
      </c>
      <c r="BI217" s="258">
        <f>IF(AND(ISNUMBER(BI170),ISNUMBER(BD170)),IFERROR(BI170/BD170-1,""),"")</f>
        <v>0.156702328508496</v>
      </c>
      <c r="BJ217" s="258">
        <f>IF(AND(ISNUMBER(BJ170),ISNUMBER(BE170)),IFERROR(BJ170/BE170-1,""),"")</f>
        <v>0.157831325301205</v>
      </c>
      <c r="BK217" s="258">
        <f>IF(AND(ISNUMBER(BK170),ISNUMBER(BF170)),IFERROR(BK170/BF170-1,""),"")</f>
        <v>0.150359487339794</v>
      </c>
      <c r="BL217" s="258">
        <f>IF(AND(ISNUMBER(BL170),ISNUMBER(BG170)),IFERROR(BL170/BG170-1,""),"")</f>
        <v>0.1499604743083</v>
      </c>
      <c r="BM217" s="258">
        <f>IF(AND(ISNUMBER(BM170),ISNUMBER(BH170)),IFERROR(BM170/BH170-1,""),"")</f>
        <v>0.114430833582313</v>
      </c>
      <c r="BN217" s="258">
        <f>IF(AND(ISNUMBER(BN170),ISNUMBER(BI170)),IFERROR(BN170/BI170-1,""),"")</f>
        <v>0.124591947769314</v>
      </c>
      <c r="BO217" s="258">
        <f>IF(AND(ISNUMBER(BO170),ISNUMBER(BJ170)),IFERROR(BO170/BJ170-1,""),"")</f>
        <v>0.136836628511967</v>
      </c>
      <c r="BP217" s="258">
        <f>IF(AND(ISNUMBER(BP170),ISNUMBER(BK170)),IFERROR(BP170/BK170-1,""),"")</f>
        <v>0.146195652173913</v>
      </c>
      <c r="BQ217" s="258">
        <f>IF(AND(ISNUMBER(BQ170),ISNUMBER(BL170)),IFERROR(BQ170/BL170-1,""),"")</f>
        <v>0.13095483604867</v>
      </c>
      <c r="BR217" s="258">
        <f>IF(AND(ISNUMBER(BR170),ISNUMBER(BM170)),IFERROR(BR170/BM170-1,""),"")</f>
        <v>0.152815013404826</v>
      </c>
      <c r="BS217" s="258">
        <f>IF(AND(ISNUMBER(BS170),ISNUMBER(BN170)),IFERROR(BS170/BN170-1,""),"")</f>
        <v>0.178761490082245</v>
      </c>
      <c r="BT217" s="258">
        <f>IF(AND(ISNUMBER(BT170),ISNUMBER(BO170)),IFERROR(BT170/BO170-1,""),"")</f>
        <v>0.177116704805492</v>
      </c>
      <c r="BU217" s="258">
        <f>IF(AND(ISNUMBER(BU170),ISNUMBER(BP170)),IFERROR(BU170/BP170-1,""),"")</f>
        <v>0.205310573731626</v>
      </c>
      <c r="BV217" s="258">
        <f>IF(AND(ISNUMBER(BV170),ISNUMBER(BQ170)),IFERROR(BV170/BQ170-1,""),"")</f>
        <v>0.179248723559446</v>
      </c>
      <c r="BW217" s="258">
        <f>IF(AND(ISNUMBER(BW170),ISNUMBER(BR170)),IFERROR(BW170/BR170-1,""),"")</f>
        <v>0.188139534883721</v>
      </c>
      <c r="BX217" s="258">
        <f>IF(AND(ISNUMBER(BX170),ISNUMBER(BS170)),IFERROR(BX170/BS170-1,""),"")</f>
        <v>0.163349066283603</v>
      </c>
      <c r="BY217" s="256">
        <f>IF(AND(ISNUMBER(BY170),ISNUMBER(BT170)),IFERROR(BY170/BT170-1,""),"")</f>
        <v>0.121462994251378</v>
      </c>
      <c r="BZ217" s="256">
        <f>IF(AND(ISNUMBER(BZ170),ISNUMBER(BU170)),IFERROR(BZ170/BU170-1,""),"")</f>
        <v>0.129254397633932</v>
      </c>
      <c r="CA217" s="256">
        <f>IF(AND(ISNUMBER(CA170),ISNUMBER(BV170)),IFERROR(CA170/BV170-1,""),"")</f>
        <v>0.148803412195248</v>
      </c>
      <c r="CB217" s="256">
        <f>IF(AND(ISNUMBER(CB170),ISNUMBER(CA170)),IFERROR(CB170/CA170-1,""),"")</f>
        <v>0.130305274316188</v>
      </c>
      <c r="CC217" s="256">
        <f>IF(AND(ISNUMBER(CC170),ISNUMBER(CB170)),IFERROR(CC170/CB170-1,""),"")</f>
        <v>0.12543205908339</v>
      </c>
      <c r="CD217" s="256">
        <f>IF(AND(ISNUMBER(CD170),ISNUMBER(CC170)),IFERROR(CD170/CC170-1,""),"")</f>
        <v>0.118177570086357</v>
      </c>
      <c r="CE217" s="256">
        <f>IF(AND(ISNUMBER(CE170),ISNUMBER(CD170)),IFERROR(CE170/CD170-1,""),"")</f>
        <v>0.111018231789676</v>
      </c>
      <c r="CF217" s="153" t="n"/>
    </row>
    <row r="218" ht="15" customHeight="1" s="251">
      <c r="B218" s="22" t="inlineStr">
        <is>
          <t xml:space="preserve">  Adjusted EBITDA y/y %</t>
        </is>
      </c>
      <c r="C218" s="23" t="n"/>
      <c r="D218" s="258">
        <f>IF(AND(ISNUMBER(D185),ISNUMBER(C185)),IFERROR(D185/C185-1,""),"")</f>
        <v>0.613227150973538</v>
      </c>
      <c r="E218" s="258">
        <f>IF(AND(ISNUMBER(E185),ISNUMBER(D185)),IFERROR(E185/D185-1,""),"")</f>
        <v>0.704648754006192</v>
      </c>
      <c r="F218" s="258">
        <f>IF(AND(ISNUMBER(F185),ISNUMBER(E185)),IFERROR(F185/E185-1,""),"")</f>
        <v>0.168883198794856</v>
      </c>
      <c r="G218" s="258">
        <f>IF(AND(ISNUMBER(G185),ISNUMBER(F185)),IFERROR(G185/F185-1,""),"")</f>
        <v>0.204076421484875</v>
      </c>
      <c r="H218" s="258">
        <f>IF(AND(ISNUMBER(H185),ISNUMBER(G185)),IFERROR(H185/G185-1,""),"")</f>
        <v>0.267931034482759</v>
      </c>
      <c r="I218" s="258">
        <f>IF(AND(ISNUMBER(I185),ISNUMBER(H185)),IFERROR(I185/H185-1,""),"")</f>
        <v>0.138700027196084</v>
      </c>
      <c r="J218" s="23" t="n"/>
      <c r="K218" s="23" t="n"/>
      <c r="L218" s="23" t="n"/>
      <c r="M218" s="23" t="n"/>
      <c r="N218" s="258">
        <f>IF(AND(ISNUMBER(N185),ISNUMBER(I185)),IFERROR(N185/I185-1,""),"")</f>
        <v>0.159780272271316</v>
      </c>
      <c r="O218" s="258">
        <f>IF(AND(ISNUMBER(O185),ISNUMBER(J185)),IFERROR(O185/J185-1,""),"")</f>
        <v>0.161676646706587</v>
      </c>
      <c r="P218" s="258">
        <f>IF(AND(ISNUMBER(P185),ISNUMBER(K185)),IFERROR(P185/K185-1,""),"")</f>
        <v>0.135764158262219</v>
      </c>
      <c r="Q218" s="258">
        <f>IF(AND(ISNUMBER(Q185),ISNUMBER(L185)),IFERROR(Q185/L185-1,""),"")</f>
        <v>0.145579268292683</v>
      </c>
      <c r="R218" s="258">
        <f>IF(AND(ISNUMBER(R185),ISNUMBER(M185)),IFERROR(R185/M185-1,""),"")</f>
        <v>0.0147329650092081</v>
      </c>
      <c r="S218" s="258">
        <f>IF(AND(ISNUMBER(S185),ISNUMBER(N185)),IFERROR(S185/N185-1,""),"")</f>
        <v>0.117586490939045</v>
      </c>
      <c r="T218" s="258">
        <f>IF(AND(ISNUMBER(T185),ISNUMBER(O185)),IFERROR(T185/O185-1,""),"")</f>
        <v>0.0589101620029455</v>
      </c>
      <c r="U218" s="258">
        <f>IF(AND(ISNUMBER(U185),ISNUMBER(P185)),IFERROR(U185/P185-1,""),"")</f>
        <v>-0.0409836065573771</v>
      </c>
      <c r="V218" s="258">
        <f>IF(AND(ISNUMBER(V185),ISNUMBER(Q185)),IFERROR(V185/Q185-1,""),"")</f>
        <v>0.0259481037924152</v>
      </c>
      <c r="W218" s="258">
        <f>IF(AND(ISNUMBER(W185),ISNUMBER(R185)),IFERROR(W185/R185-1,""),"")</f>
        <v>0.0889292196007259</v>
      </c>
      <c r="X218" s="258">
        <f>IF(AND(ISNUMBER(X185),ISNUMBER(S185)),IFERROR(X185/S185-1,""),"")</f>
        <v>0.0289294269393772</v>
      </c>
      <c r="Y218" s="258">
        <f>IF(AND(ISNUMBER(Y185),ISNUMBER(T185)),IFERROR(Y185/T185-1,""),"")</f>
        <v>0.0034770514603617</v>
      </c>
      <c r="Z218" s="258">
        <f>IF(AND(ISNUMBER(Z185),ISNUMBER(U185)),IFERROR(Z185/U185-1,""),"")</f>
        <v>0.125356125356125</v>
      </c>
      <c r="AA218" s="258">
        <f>IF(AND(ISNUMBER(AA185),ISNUMBER(V185)),IFERROR(AA185/V185-1,""),"")</f>
        <v>0.143320363164721</v>
      </c>
      <c r="AB218" s="258">
        <f>IF(AND(ISNUMBER(AB185),ISNUMBER(W185)),IFERROR(AB185/W185-1,""),"")</f>
        <v>0.220833333333333</v>
      </c>
      <c r="AC218" s="258">
        <f>IF(AND(ISNUMBER(AC185),ISNUMBER(X185)),IFERROR(AC185/X185-1,""),"")</f>
        <v>0.119448424068768</v>
      </c>
      <c r="AD218" s="258">
        <f>IF(AND(ISNUMBER(AD185),ISNUMBER(Y185)),IFERROR(AD185/Y185-1,""),"")</f>
        <v>0.117810117810118</v>
      </c>
      <c r="AE218" s="258">
        <f>IF(AND(ISNUMBER(AE185),ISNUMBER(Z185)),IFERROR(AE185/Z185-1,""),"")</f>
        <v>0.116455696202532</v>
      </c>
      <c r="AF218" s="258">
        <f>IF(AND(ISNUMBER(AF185),ISNUMBER(AA185)),IFERROR(AF185/AA185-1,""),"")</f>
        <v>0.167895632444697</v>
      </c>
      <c r="AG218" s="258">
        <f>IF(AND(ISNUMBER(AG185),ISNUMBER(AB185)),IFERROR(AG185/AB185-1,""),"")</f>
        <v>0.231399317406143</v>
      </c>
      <c r="AH218" s="258">
        <f>IF(AND(ISNUMBER(AH185),ISNUMBER(AC185)),IFERROR(AH185/AC185-1,""),"")</f>
        <v>0.158214685650296</v>
      </c>
      <c r="AI218" s="258">
        <f>IF(AND(ISNUMBER(AI185),ISNUMBER(AD185)),IFERROR(AI185/AD185-1,""),"")</f>
        <v>0.278363298202108</v>
      </c>
      <c r="AJ218" s="258">
        <f>IF(AND(ISNUMBER(AJ185),ISNUMBER(AE185)),IFERROR(AJ185/AE185-1,""),"")</f>
        <v>0.290249433106576</v>
      </c>
      <c r="AK218" s="258">
        <f>IF(AND(ISNUMBER(AK185),ISNUMBER(AF185)),IFERROR(AK185/AF185-1,""),"")</f>
        <v>0.178727537639631</v>
      </c>
      <c r="AL218" s="258">
        <f>IF(AND(ISNUMBER(AL185),ISNUMBER(AG185)),IFERROR(AL185/AG185-1,""),"")</f>
        <v>0.16629711751663</v>
      </c>
      <c r="AM218" s="258">
        <f>IF(AND(ISNUMBER(AM185),ISNUMBER(AH185)),IFERROR(AM185/AH185-1,""),"")</f>
        <v>0.225</v>
      </c>
      <c r="AN218" s="258">
        <f>IF(AND(ISNUMBER(AN185),ISNUMBER(AI185)),IFERROR(AN185/AI185-1,""),"")</f>
        <v>0.129970902036857</v>
      </c>
      <c r="AO218" s="258">
        <f>IF(AND(ISNUMBER(AO185),ISNUMBER(AJ185)),IFERROR(AO185/AJ185-1,""),"")</f>
        <v>0.10676625659051</v>
      </c>
      <c r="AP218" s="258">
        <f>IF(AND(ISNUMBER(AP185),ISNUMBER(AK185)),IFERROR(AP185/AK185-1,""),"")</f>
        <v>0.150391429748661</v>
      </c>
      <c r="AQ218" s="258">
        <f>IF(AND(ISNUMBER(AQ185),ISNUMBER(AL185)),IFERROR(AQ185/AL185-1,""),"")</f>
        <v>0.209600760456274</v>
      </c>
      <c r="AR218" s="258">
        <f>IF(AND(ISNUMBER(AR185),ISNUMBER(AM185)),IFERROR(AR185/AM185-1,""),"")</f>
        <v>0.14849475701883</v>
      </c>
      <c r="AS218" s="258">
        <f>IF(AND(ISNUMBER(AS185),ISNUMBER(AN185)),IFERROR(AS185/AN185-1,""),"")</f>
        <v>0.013304721030043</v>
      </c>
      <c r="AT218" s="258">
        <f>IF(AND(ISNUMBER(AT185),ISNUMBER(AO185)),IFERROR(AT185/AO185-1,""),"")</f>
        <v>-0.256053989678444</v>
      </c>
      <c r="AU218" s="258">
        <f>IF(AND(ISNUMBER(AU185),ISNUMBER(AP185)),IFERROR(AU185/AP185-1,""),"")</f>
        <v>-0.195558739255014</v>
      </c>
      <c r="AV218" s="258">
        <f>IF(AND(ISNUMBER(AV185),ISNUMBER(AQ185)),IFERROR(AV185/AQ185-1,""),"")</f>
        <v>-0.114734774066798</v>
      </c>
      <c r="AW218" s="258">
        <f>IF(AND(ISNUMBER(AW185),ISNUMBER(AR185)),IFERROR(AW185/AR185-1,""),"")</f>
        <v>-0.142548596112311</v>
      </c>
      <c r="AX218" s="258">
        <f>IF(AND(ISNUMBER(AX185),ISNUMBER(AS185)),IFERROR(AX185/AS185-1,""),"")</f>
        <v>-0.00042354934349853</v>
      </c>
      <c r="AY218" s="258">
        <f>IF(AND(ISNUMBER(AY185),ISNUMBER(AT185)),IFERROR(AY185/AT185-1,""),"")</f>
        <v>0.384204909284952</v>
      </c>
      <c r="AZ218" s="258">
        <f>IF(AND(ISNUMBER(AZ185),ISNUMBER(AU185)),IFERROR(AZ185/AU185-1,""),"")</f>
        <v>0.341941228851291</v>
      </c>
      <c r="BA218" s="258">
        <f>IF(AND(ISNUMBER(BA185),ISNUMBER(AV185)),IFERROR(BA185/AV185-1,""),"")</f>
        <v>0.338659565024412</v>
      </c>
      <c r="BB218" s="258">
        <f>IF(AND(ISNUMBER(BB185),ISNUMBER(AW185)),IFERROR(BB185/AW185-1,""),"")</f>
        <v>0.257613922601328</v>
      </c>
      <c r="BC218" s="258">
        <f>IF(AND(ISNUMBER(BC185),ISNUMBER(AX185)),IFERROR(BC185/AX185-1,""),"")</f>
        <v>0.333050847457627</v>
      </c>
      <c r="BD218" s="258">
        <f>IF(AND(ISNUMBER(BD185),ISNUMBER(AY185)),IFERROR(BD185/AY185-1,""),"")</f>
        <v>0.297995373939861</v>
      </c>
      <c r="BE218" s="258">
        <f>IF(AND(ISNUMBER(BE185),ISNUMBER(AZ185)),IFERROR(BE185/AZ185-1,""),"")</f>
        <v>0.162906436629064</v>
      </c>
      <c r="BF218" s="258">
        <f>IF(AND(ISNUMBER(BF185),ISNUMBER(BA185)),IFERROR(BF185/BA185-1,""),"")</f>
        <v>0.121684350132626</v>
      </c>
      <c r="BG218" s="258">
        <f>IF(AND(ISNUMBER(BG185),ISNUMBER(BB185)),IFERROR(BG185/BB185-1,""),"")</f>
        <v>0.219956300072833</v>
      </c>
      <c r="BH218" s="258">
        <f>IF(AND(ISNUMBER(BH185),ISNUMBER(BC185)),IFERROR(BH185/BC185-1,""),"")</f>
        <v>0.124602670057216</v>
      </c>
      <c r="BI218" s="258">
        <f>IF(AND(ISNUMBER(BI185),ISNUMBER(BD185)),IFERROR(BI185/BD185-1,""),"")</f>
        <v>0.148797148797149</v>
      </c>
      <c r="BJ218" s="258">
        <f>IF(AND(ISNUMBER(BJ185),ISNUMBER(BE185)),IFERROR(BJ185/BE185-1,""),"")</f>
        <v>0.156918687589158</v>
      </c>
      <c r="BK218" s="258">
        <f>IF(AND(ISNUMBER(BK185),ISNUMBER(BF185)),IFERROR(BK185/BF185-1,""),"")</f>
        <v>0.148389003842743</v>
      </c>
      <c r="BL218" s="258">
        <f>IF(AND(ISNUMBER(BL185),ISNUMBER(BG185)),IFERROR(BL185/BG185-1,""),"")</f>
        <v>0.145223880597015</v>
      </c>
      <c r="BM218" s="258">
        <f>IF(AND(ISNUMBER(BM185),ISNUMBER(BH185)),IFERROR(BM185/BH185-1,""),"")</f>
        <v>0.115319389485585</v>
      </c>
      <c r="BN218" s="258">
        <f>IF(AND(ISNUMBER(BN185),ISNUMBER(BI185)),IFERROR(BN185/BI185-1,""),"")</f>
        <v>0.12693898655636</v>
      </c>
      <c r="BO218" s="258">
        <f>IF(AND(ISNUMBER(BO185),ISNUMBER(BJ185)),IFERROR(BO185/BJ185-1,""),"")</f>
        <v>0.133168927250308</v>
      </c>
      <c r="BP218" s="258">
        <f>IF(AND(ISNUMBER(BP185),ISNUMBER(BK185)),IFERROR(BP185/BK185-1,""),"")</f>
        <v>0.145173745173745</v>
      </c>
      <c r="BQ218" s="258">
        <f>IF(AND(ISNUMBER(BQ185),ISNUMBER(BL185)),IFERROR(BQ185/BL185-1,""),"")</f>
        <v>0.130522611755506</v>
      </c>
      <c r="BR218" s="258">
        <f>IF(AND(ISNUMBER(BR185),ISNUMBER(BM185)),IFERROR(BR185/BM185-1,""),"")</f>
        <v>0.159401926001014</v>
      </c>
      <c r="BS218" s="258">
        <f>IF(AND(ISNUMBER(BS185),ISNUMBER(BN185)),IFERROR(BS185/BN185-1,""),"")</f>
        <v>0.182381280110117</v>
      </c>
      <c r="BT218" s="258">
        <f>IF(AND(ISNUMBER(BT185),ISNUMBER(BO185)),IFERROR(BT185/BO185-1,""),"")</f>
        <v>0.182589771490751</v>
      </c>
      <c r="BU218" s="258">
        <f>IF(AND(ISNUMBER(BU185),ISNUMBER(BP185)),IFERROR(BU185/BP185-1,""),"")</f>
        <v>0.20948527759047</v>
      </c>
      <c r="BV218" s="258">
        <f>IF(AND(ISNUMBER(BV185),ISNUMBER(BQ185)),IFERROR(BV185/BQ185-1,""),"")</f>
        <v>0.184160470344112</v>
      </c>
      <c r="BW218" s="258">
        <f>IF(AND(ISNUMBER(BW185),ISNUMBER(BR185)),IFERROR(BW185/BR185-1,""),"")</f>
        <v>0.18207650273224</v>
      </c>
      <c r="BX218" s="258">
        <f>IF(AND(ISNUMBER(BX185),ISNUMBER(BS185)),IFERROR(BX185/BS185-1,""),"")</f>
        <v>0.159875824602251</v>
      </c>
      <c r="BY218" s="256">
        <f>IF(AND(ISNUMBER(BY185),ISNUMBER(BT185)),IFERROR(BY185/BT185-1,""),"")</f>
        <v>0.121421722935055</v>
      </c>
      <c r="BZ218" s="256">
        <f>IF(AND(ISNUMBER(BZ185),ISNUMBER(BU185)),IFERROR(BZ185/BU185-1,""),"")</f>
        <v>0.127323798099036</v>
      </c>
      <c r="CA218" s="256">
        <f>IF(AND(ISNUMBER(CA185),ISNUMBER(BV185)),IFERROR(CA185/BV185-1,""),"")</f>
        <v>0.14612222546729</v>
      </c>
      <c r="CB218" s="256">
        <f>IF(AND(ISNUMBER(CB185),ISNUMBER(CA185)),IFERROR(CB185/CA185-1,""),"")</f>
        <v>0.133097748477549</v>
      </c>
      <c r="CC218" s="256">
        <f>IF(AND(ISNUMBER(CC185),ISNUMBER(CB185)),IFERROR(CC185/CB185-1,""),"")</f>
        <v>0.126163386541384</v>
      </c>
      <c r="CD218" s="256">
        <f>IF(AND(ISNUMBER(CD185),ISNUMBER(CC185)),IFERROR(CD185/CC185-1,""),"")</f>
        <v>0.118652847957081</v>
      </c>
      <c r="CE218" s="256">
        <f>IF(AND(ISNUMBER(CE185),ISNUMBER(CD185)),IFERROR(CE185/CD185-1,""),"")</f>
        <v>0.111303965471832</v>
      </c>
      <c r="CF218" s="153" t="n"/>
    </row>
    <row r="219" ht="15" customHeight="1" s="251">
      <c r="B219" s="22" t="inlineStr">
        <is>
          <t xml:space="preserve">  Operating income (GAAP) y/y %</t>
        </is>
      </c>
      <c r="C219" s="23" t="n"/>
      <c r="D219" s="258">
        <f>IF(AND(ISNUMBER(D130),ISNUMBER(C130)),IFERROR(D130/C130-1,""),"")</f>
        <v>3.82847992330987</v>
      </c>
      <c r="E219" s="258">
        <f>IF(AND(ISNUMBER(E130),ISNUMBER(D130)),IFERROR(E130/D130-1,""),"")</f>
        <v>-1.48235647660164</v>
      </c>
      <c r="F219" s="258">
        <f>IF(AND(ISNUMBER(F130),ISNUMBER(E130)),IFERROR(F130/E130-1,""),"")</f>
        <v>-5.22841320474084</v>
      </c>
      <c r="G219" s="258">
        <f>IF(AND(ISNUMBER(G130),ISNUMBER(F130)),IFERROR(G130/F130-1,""),"")</f>
        <v>0.217640926893759</v>
      </c>
      <c r="H219" s="258">
        <f>IF(AND(ISNUMBER(H130),ISNUMBER(G130)),IFERROR(H130/G130-1,""),"")</f>
        <v>-0.014171511627907</v>
      </c>
      <c r="I219" s="258">
        <f>IF(AND(ISNUMBER(I130),ISNUMBER(H130)),IFERROR(I130/H130-1,""),"")</f>
        <v>0.4511610762993</v>
      </c>
      <c r="J219" s="23" t="n"/>
      <c r="K219" s="23" t="n"/>
      <c r="L219" s="23" t="n"/>
      <c r="M219" s="23" t="n"/>
      <c r="N219" s="258">
        <f>IF(AND(ISNUMBER(N130),ISNUMBER(I130)),IFERROR(N130/I130-1,""),"")</f>
        <v>0.143764287528575</v>
      </c>
      <c r="O219" s="258">
        <f>IF(AND(ISNUMBER(O130),ISNUMBER(J130)),IFERROR(O130/J130-1,""),"")</f>
        <v>0.160794941282746</v>
      </c>
      <c r="P219" s="258">
        <f>IF(AND(ISNUMBER(P130),ISNUMBER(K130)),IFERROR(P130/K130-1,""),"")</f>
        <v>0.126221498371335</v>
      </c>
      <c r="Q219" s="258">
        <f>IF(AND(ISNUMBER(Q130),ISNUMBER(L130)),IFERROR(Q130/L130-1,""),"")</f>
        <v>0.137820512820513</v>
      </c>
      <c r="R219" s="258">
        <f>IF(AND(ISNUMBER(R130),ISNUMBER(M130)),IFERROR(R130/M130-1,""),"")</f>
        <v>0.106521739130435</v>
      </c>
      <c r="S219" s="258">
        <f>IF(AND(ISNUMBER(S130),ISNUMBER(N130)),IFERROR(S130/N130-1,""),"")</f>
        <v>0.133910726182545</v>
      </c>
      <c r="T219" s="258">
        <f>IF(AND(ISNUMBER(T130),ISNUMBER(O130)),IFERROR(T130/O130-1,""),"")</f>
        <v>0.0513618677042802</v>
      </c>
      <c r="U219" s="258">
        <f>IF(AND(ISNUMBER(U130),ISNUMBER(P130)),IFERROR(U130/P130-1,""),"")</f>
        <v>-0.0954446854663774</v>
      </c>
      <c r="V219" s="258">
        <f>IF(AND(ISNUMBER(V130),ISNUMBER(Q130)),IFERROR(V130/Q130-1,""),"")</f>
        <v>-0.0359154929577464</v>
      </c>
      <c r="W219" s="258">
        <f>IF(AND(ISNUMBER(W130),ISNUMBER(R130)),IFERROR(W130/R130-1,""),"")</f>
        <v>0.0874263261296659</v>
      </c>
      <c r="X219" s="258">
        <f>IF(AND(ISNUMBER(X130),ISNUMBER(S130)),IFERROR(X130/S130-1,""),"")</f>
        <v>-0.00548374461417944</v>
      </c>
      <c r="Y219" s="258">
        <f>IF(AND(ISNUMBER(Y130),ISNUMBER(T130)),IFERROR(Y130/T130-1,""),"")</f>
        <v>-0.00222057735011105</v>
      </c>
      <c r="Z219" s="258">
        <f>IF(AND(ISNUMBER(Z130),ISNUMBER(U130)),IFERROR(Z130/U130-1,""),"")</f>
        <v>0.103117505995204</v>
      </c>
      <c r="AA219" s="258">
        <f>IF(AND(ISNUMBER(AA130),ISNUMBER(V130)),IFERROR(AA130/V130-1,""),"")</f>
        <v>0.219868517165815</v>
      </c>
      <c r="AB219" s="258">
        <f>IF(AND(ISNUMBER(AB130),ISNUMBER(W130)),IFERROR(AB130/W130-1,""),"")</f>
        <v>0.231255645889792</v>
      </c>
      <c r="AC219" s="258">
        <f>IF(AND(ISNUMBER(AC130),ISNUMBER(X130)),IFERROR(AC130/X130-1,""),"")</f>
        <v>0.134501772351319</v>
      </c>
      <c r="AD219" s="258">
        <f>IF(AND(ISNUMBER(AD130),ISNUMBER(Y130)),IFERROR(AD130/Y130-1,""),"")</f>
        <v>0.117210682492582</v>
      </c>
      <c r="AE219" s="258">
        <f>IF(AND(ISNUMBER(AE130),ISNUMBER(Z130)),IFERROR(AE130/Z130-1,""),"")</f>
        <v>0.197826086956522</v>
      </c>
      <c r="AF219" s="258">
        <f>IF(AND(ISNUMBER(AF130),ISNUMBER(AA130)),IFERROR(AF130/AA130-1,""),"")</f>
        <v>0.162275449101796</v>
      </c>
      <c r="AG219" s="258">
        <f>IF(AND(ISNUMBER(AG130),ISNUMBER(AB130)),IFERROR(AG130/AB130-1,""),"")</f>
        <v>0.116654438738078</v>
      </c>
      <c r="AH219" s="258">
        <f>IF(AND(ISNUMBER(AH130),ISNUMBER(AC130)),IFERROR(AH130/AC130-1,""),"")</f>
        <v>0.149453219927096</v>
      </c>
      <c r="AI219" s="258">
        <f>IF(AND(ISNUMBER(AI130),ISNUMBER(AD130)),IFERROR(AI130/AD130-1,""),"")</f>
        <v>0.211819389110226</v>
      </c>
      <c r="AJ219" s="258">
        <f>IF(AND(ISNUMBER(AJ130),ISNUMBER(AE130)),IFERROR(AJ130/AE130-1,""),"")</f>
        <v>0.171203871748336</v>
      </c>
      <c r="AK219" s="258">
        <f>IF(AND(ISNUMBER(AK130),ISNUMBER(AF130)),IFERROR(AK130/AF130-1,""),"")</f>
        <v>0.178258629572385</v>
      </c>
      <c r="AL219" s="258">
        <f>IF(AND(ISNUMBER(AL130),ISNUMBER(AG130)),IFERROR(AL130/AG130-1,""),"")</f>
        <v>-0.189224704336399</v>
      </c>
      <c r="AM219" s="258">
        <f>IF(AND(ISNUMBER(AM130),ISNUMBER(AH130)),IFERROR(AM130/AH130-1,""),"")</f>
        <v>0.0996677740863787</v>
      </c>
      <c r="AN219" s="258">
        <f>IF(AND(ISNUMBER(AN130),ISNUMBER(AI130)),IFERROR(AN130/AI130-1,""),"")</f>
        <v>0.212602739726028</v>
      </c>
      <c r="AO219" s="258">
        <f>IF(AND(ISNUMBER(AO130),ISNUMBER(AJ130)),IFERROR(AO130/AJ130-1,""),"")</f>
        <v>0.238119834710744</v>
      </c>
      <c r="AP219" s="258">
        <f>IF(AND(ISNUMBER(AP130),ISNUMBER(AK130)),IFERROR(AP130/AK130-1,""),"")</f>
        <v>0.160909488412768</v>
      </c>
      <c r="AQ219" s="258">
        <f>IF(AND(ISNUMBER(AQ130),ISNUMBER(AL130)),IFERROR(AQ130/AL130-1,""),"")</f>
        <v>0.944084278768233</v>
      </c>
      <c r="AR219" s="258">
        <f>IF(AND(ISNUMBER(AR130),ISNUMBER(AM130)),IFERROR(AR130/AM130-1,""),"")</f>
        <v>0.327107937379841</v>
      </c>
      <c r="AS219" s="258">
        <f>IF(AND(ISNUMBER(AS130),ISNUMBER(AN130)),IFERROR(AS130/AN130-1,""),"")</f>
        <v>-0.000903750564844152</v>
      </c>
      <c r="AT219" s="258">
        <f>IF(AND(ISNUMBER(AT130),ISNUMBER(AO130)),IFERROR(AT130/AO130-1,""),"")</f>
        <v>-0.287859824780976</v>
      </c>
      <c r="AU219" s="258">
        <f>IF(AND(ISNUMBER(AU130),ISNUMBER(AP130)),IFERROR(AU130/AP130-1,""),"")</f>
        <v>-0.207156308851224</v>
      </c>
      <c r="AV219" s="258">
        <f>IF(AND(ISNUMBER(AV130),ISNUMBER(AQ130)),IFERROR(AV130/AQ130-1,""),"")</f>
        <v>-0.14214255939975</v>
      </c>
      <c r="AW219" s="258">
        <f>IF(AND(ISNUMBER(AW130),ISNUMBER(AR130)),IFERROR(AW130/AR130-1,""),"")</f>
        <v>-0.16380380794702</v>
      </c>
      <c r="AX219" s="258">
        <f>IF(AND(ISNUMBER(AX130),ISNUMBER(AS130)),IFERROR(AX130/AS130-1,""),"")</f>
        <v>-0.00633197648123018</v>
      </c>
      <c r="AY219" s="258">
        <f>IF(AND(ISNUMBER(AY130),ISNUMBER(AT130)),IFERROR(AY130/AT130-1,""),"")</f>
        <v>0.371411833626245</v>
      </c>
      <c r="AZ219" s="258">
        <f>IF(AND(ISNUMBER(AZ130),ISNUMBER(AU130)),IFERROR(AZ130/AU130-1,""),"")</f>
        <v>0.290736342042755</v>
      </c>
      <c r="BA219" s="258">
        <f>IF(AND(ISNUMBER(BA130),ISNUMBER(AV130)),IFERROR(BA130/AV130-1,""),"")</f>
        <v>0.373663751214772</v>
      </c>
      <c r="BB219" s="258">
        <f>IF(AND(ISNUMBER(BB130),ISNUMBER(AW130)),IFERROR(BB130/AW130-1,""),"")</f>
        <v>0.247617869075609</v>
      </c>
      <c r="BC219" s="258">
        <f>IF(AND(ISNUMBER(BC130),ISNUMBER(AX130)),IFERROR(BC130/AX130-1,""),"")</f>
        <v>0.34274010013655</v>
      </c>
      <c r="BD219" s="258">
        <f>IF(AND(ISNUMBER(BD130),ISNUMBER(AY130)),IFERROR(BD130/AY130-1,""),"")</f>
        <v>0.289192652712516</v>
      </c>
      <c r="BE219" s="258">
        <f>IF(AND(ISNUMBER(BE130),ISNUMBER(AZ130)),IFERROR(BE130/AZ130-1,""),"")</f>
        <v>0.145380934854619</v>
      </c>
      <c r="BF219" s="258">
        <f>IF(AND(ISNUMBER(BF130),ISNUMBER(BA130)),IFERROR(BF130/BA130-1,""),"")</f>
        <v>0.126282278033251</v>
      </c>
      <c r="BG219" s="258">
        <f>IF(AND(ISNUMBER(BG130),ISNUMBER(BB130)),IFERROR(BG130/BB130-1,""),"")</f>
        <v>0.216425312438008</v>
      </c>
      <c r="BH219" s="258">
        <f>IF(AND(ISNUMBER(BH130),ISNUMBER(BC130)),IFERROR(BH130/BC130-1,""),"")</f>
        <v>0.063050847457627</v>
      </c>
      <c r="BI219" s="258">
        <f>IF(AND(ISNUMBER(BI130),ISNUMBER(BD130)),IFERROR(BI130/BD130-1,""),"")</f>
        <v>0.211398277004639</v>
      </c>
      <c r="BJ219" s="258">
        <f>IF(AND(ISNUMBER(BJ130),ISNUMBER(BE130)),IFERROR(BJ130/BE130-1,""),"")</f>
        <v>0.235218508997429</v>
      </c>
      <c r="BK219" s="258">
        <f>IF(AND(ISNUMBER(BK130),ISNUMBER(BF130)),IFERROR(BK130/BF130-1,""),"")</f>
        <v>0.0590452261306533</v>
      </c>
      <c r="BL219" s="258">
        <f>IF(AND(ISNUMBER(BL130),ISNUMBER(BG130)),IFERROR(BL130/BG130-1,""),"")</f>
        <v>0.142204827136334</v>
      </c>
      <c r="BM219" s="258">
        <f>IF(AND(ISNUMBER(BM130),ISNUMBER(BH130)),IFERROR(BM130/BH130-1,""),"")</f>
        <v>0.149234693877551</v>
      </c>
      <c r="BN219" s="258">
        <f>IF(AND(ISNUMBER(BN130),ISNUMBER(BI130)),IFERROR(BN130/BI130-1,""),"")</f>
        <v>0.103938730853392</v>
      </c>
      <c r="BO219" s="258">
        <f>IF(AND(ISNUMBER(BO130),ISNUMBER(BJ130)),IFERROR(BO130/BJ130-1,""),"")</f>
        <v>0.0416233090530698</v>
      </c>
      <c r="BP219" s="258">
        <f>IF(AND(ISNUMBER(BP130),ISNUMBER(BK130)),IFERROR(BP130/BK130-1,""),"")</f>
        <v>0.16785290628707</v>
      </c>
      <c r="BQ219" s="258">
        <f>IF(AND(ISNUMBER(BQ130),ISNUMBER(BL130)),IFERROR(BQ130/BL130-1,""),"")</f>
        <v>0.112364363221017</v>
      </c>
      <c r="BR219" s="258">
        <f>IF(AND(ISNUMBER(BR130),ISNUMBER(BM130)),IFERROR(BR130/BM130-1,""),"")</f>
        <v>0.151220865704772</v>
      </c>
      <c r="BS219" s="258">
        <f>IF(AND(ISNUMBER(BS130),ISNUMBER(BN130)),IFERROR(BS130/BN130-1,""),"")</f>
        <v>0.183597621407334</v>
      </c>
      <c r="BT219" s="258">
        <f>IF(AND(ISNUMBER(BT130),ISNUMBER(BO130)),IFERROR(BT130/BO130-1,""),"")</f>
        <v>0.263986013986014</v>
      </c>
      <c r="BU219" s="258">
        <f>IF(AND(ISNUMBER(BU130),ISNUMBER(BP130)),IFERROR(BU130/BP130-1,""),"")</f>
        <v>0.246825799898426</v>
      </c>
      <c r="BV219" s="258">
        <f>IF(AND(ISNUMBER(BV130),ISNUMBER(BQ130)),IFERROR(BV130/BQ130-1,""),"")</f>
        <v>0.21274547554871</v>
      </c>
      <c r="BW219" s="258">
        <f>IF(AND(ISNUMBER(BW130),ISNUMBER(BR130)),IFERROR(BW130/BR130-1,""),"")</f>
        <v>0.182694625210894</v>
      </c>
      <c r="BX219" s="258">
        <f>IF(AND(ISNUMBER(BX130),ISNUMBER(BS130)),IFERROR(BX130/BS130-1,""),"")</f>
        <v>0.169562486916475</v>
      </c>
      <c r="BY219" s="256">
        <f>IF(AND(ISNUMBER(BY130),ISNUMBER(BT130)),IFERROR(BY130/BT130-1,""),"")</f>
        <v>0.12009595780065</v>
      </c>
      <c r="BZ219" s="256">
        <f>IF(AND(ISNUMBER(BZ130),ISNUMBER(BU130)),IFERROR(BZ130/BU130-1,""),"")</f>
        <v>0.148906182804667</v>
      </c>
      <c r="CA219" s="256">
        <f>IF(AND(ISNUMBER(CA130),ISNUMBER(BV130)),IFERROR(CA130/BV130-1,""),"")</f>
        <v>0.153830502196116</v>
      </c>
      <c r="CB219" s="256">
        <f>IF(AND(ISNUMBER(CB130),ISNUMBER(CA130)),IFERROR(CB130/CA130-1,""),"")</f>
        <v>0.134757119947219</v>
      </c>
      <c r="CC219" s="256">
        <f>IF(AND(ISNUMBER(CC130),ISNUMBER(CB130)),IFERROR(CC130/CB130-1,""),"")</f>
        <v>0.127713363653001</v>
      </c>
      <c r="CD219" s="256">
        <f>IF(AND(ISNUMBER(CD130),ISNUMBER(CC130)),IFERROR(CD130/CC130-1,""),"")</f>
        <v>0.12008351808699</v>
      </c>
      <c r="CE219" s="256">
        <f>IF(AND(ISNUMBER(CE130),ISNUMBER(CD130)),IFERROR(CE130/CD130-1,""),"")</f>
        <v>0.112616758476473</v>
      </c>
      <c r="CF219" s="153" t="n"/>
    </row>
    <row r="220" ht="15" customHeight="1" s="251">
      <c r="B220" s="22" t="inlineStr">
        <is>
          <t xml:space="preserve">  Net income y/y %</t>
        </is>
      </c>
      <c r="C220" s="23" t="n"/>
      <c r="D220" s="258">
        <f>IF(AND(ISNUMBER(D142),ISNUMBER(C142)),IFERROR(D142/C142-1,""),"")</f>
        <v>20.6355050806932</v>
      </c>
      <c r="E220" s="258">
        <f>IF(AND(ISNUMBER(E142),ISNUMBER(D142)),IFERROR(E142/D142-1,""),"")</f>
        <v>-1.23383209655525</v>
      </c>
      <c r="F220" s="258">
        <f>IF(AND(ISNUMBER(F142),ISNUMBER(E142)),IFERROR(F142/E142-1,""),"")</f>
        <v>-6.75992753480497</v>
      </c>
      <c r="G220" s="258">
        <f>IF(AND(ISNUMBER(G142),ISNUMBER(F142)),IFERROR(G142/F142-1,""),"")</f>
        <v>0.262194604972746</v>
      </c>
      <c r="H220" s="258">
        <f>IF(AND(ISNUMBER(H142),ISNUMBER(G142)),IFERROR(H142/G142-1,""),"")</f>
        <v>0.0325027085590466</v>
      </c>
      <c r="I220" s="258">
        <f>IF(AND(ISNUMBER(I142),ISNUMBER(H142)),IFERROR(I142/H142-1,""),"")</f>
        <v>0.447534102833159</v>
      </c>
      <c r="J220" s="23" t="n"/>
      <c r="K220" s="23" t="n"/>
      <c r="L220" s="23" t="n"/>
      <c r="M220" s="23" t="n"/>
      <c r="N220" s="258">
        <f>IF(AND(ISNUMBER(N142),ISNUMBER(I142)),IFERROR(N142/I142-1,""),"")</f>
        <v>0.129394708227619</v>
      </c>
      <c r="O220" s="258">
        <f>IF(AND(ISNUMBER(O142),ISNUMBER(J142)),IFERROR(O142/J142-1,""),"")</f>
        <v>0.135770234986945</v>
      </c>
      <c r="P220" s="258">
        <f>IF(AND(ISNUMBER(P142),ISNUMBER(K142)),IFERROR(P142/K142-1,""),"")</f>
        <v>0.0978773584905661</v>
      </c>
      <c r="Q220" s="258">
        <f>IF(AND(ISNUMBER(Q142),ISNUMBER(L142)),IFERROR(Q142/L142-1,""),"")</f>
        <v>0.154721274175199</v>
      </c>
      <c r="R220" s="258">
        <f>IF(AND(ISNUMBER(R142),ISNUMBER(M142)),IFERROR(R142/M142-1,""),"")</f>
        <v>0.285714285714286</v>
      </c>
      <c r="S220" s="258">
        <f>IF(AND(ISNUMBER(S142),ISNUMBER(N142)),IFERROR(S142/N142-1,""),"")</f>
        <v>0.160783055198973</v>
      </c>
      <c r="T220" s="258">
        <f>IF(AND(ISNUMBER(T142),ISNUMBER(O142)),IFERROR(T142/O142-1,""),"")</f>
        <v>0.172413793103448</v>
      </c>
      <c r="U220" s="258">
        <f>IF(AND(ISNUMBER(U142),ISNUMBER(P142)),IFERROR(U142/P142-1,""),"")</f>
        <v>-0.0107411385606875</v>
      </c>
      <c r="V220" s="258">
        <f>IF(AND(ISNUMBER(V142),ISNUMBER(Q142)),IFERROR(V142/Q142-1,""),"")</f>
        <v>-0.0374384236453202</v>
      </c>
      <c r="W220" s="258">
        <f>IF(AND(ISNUMBER(W142),ISNUMBER(R142)),IFERROR(W142/R142-1,""),"")</f>
        <v>0.111111111111111</v>
      </c>
      <c r="X220" s="258">
        <f>IF(AND(ISNUMBER(X142),ISNUMBER(S142)),IFERROR(X142/S142-1,""),"")</f>
        <v>0.0528061929776058</v>
      </c>
      <c r="Y220" s="258">
        <f>IF(AND(ISNUMBER(Y142),ISNUMBER(T142)),IFERROR(Y142/T142-1,""),"")</f>
        <v>-0.0598039215686275</v>
      </c>
      <c r="Z220" s="258">
        <f>IF(AND(ISNUMBER(Z142),ISNUMBER(U142)),IFERROR(Z142/U142-1,""),"")</f>
        <v>0.0673181324647123</v>
      </c>
      <c r="AA220" s="258">
        <f>IF(AND(ISNUMBER(AA142),ISNUMBER(V142)),IFERROR(AA142/V142-1,""),"")</f>
        <v>0.211873080859775</v>
      </c>
      <c r="AB220" s="258">
        <f>IF(AND(ISNUMBER(AB142),ISNUMBER(W142)),IFERROR(AB142/W142-1,""),"")</f>
        <v>0.048314606741573</v>
      </c>
      <c r="AC220" s="258">
        <f>IF(AND(ISNUMBER(AC142),ISNUMBER(X142)),IFERROR(AC142/X142-1,""),"")</f>
        <v>0.0659138655462186</v>
      </c>
      <c r="AD220" s="258">
        <f>IF(AND(ISNUMBER(AD142),ISNUMBER(Y142)),IFERROR(AD142/Y142-1,""),"")</f>
        <v>0.127215849843587</v>
      </c>
      <c r="AE220" s="258">
        <f>IF(AND(ISNUMBER(AE142),ISNUMBER(Z142)),IFERROR(AE142/Z142-1,""),"")</f>
        <v>0.19735503560529</v>
      </c>
      <c r="AF220" s="258">
        <f>IF(AND(ISNUMBER(AF142),ISNUMBER(AA142)),IFERROR(AF142/AA142-1,""),"")</f>
        <v>0.20777027027027</v>
      </c>
      <c r="AG220" s="258">
        <f>IF(AND(ISNUMBER(AG142),ISNUMBER(AB142)),IFERROR(AG142/AB142-1,""),"")</f>
        <v>-0.756698821007503</v>
      </c>
      <c r="AH220" s="258">
        <f>IF(AND(ISNUMBER(AH142),ISNUMBER(AC142)),IFERROR(AH142/AC142-1,""),"")</f>
        <v>-0.0354767184035477</v>
      </c>
      <c r="AI220" s="258">
        <f>IF(AND(ISNUMBER(AI142),ISNUMBER(AD142)),IFERROR(AI142/AD142-1,""),"")</f>
        <v>0.380203515263645</v>
      </c>
      <c r="AJ220" s="258">
        <f>IF(AND(ISNUMBER(AJ142),ISNUMBER(AE142)),IFERROR(AJ142/AE142-1,""),"")</f>
        <v>0.333050127442651</v>
      </c>
      <c r="AK220" s="258">
        <f>IF(AND(ISNUMBER(AK142),ISNUMBER(AF142)),IFERROR(AK142/AF142-1,""),"")</f>
        <v>0.327972027972028</v>
      </c>
      <c r="AL220" s="258">
        <f>IF(AND(ISNUMBER(AL142),ISNUMBER(AG142)),IFERROR(AL142/AG142-1,""),"")</f>
        <v>2.96035242290749</v>
      </c>
      <c r="AM220" s="258">
        <f>IF(AND(ISNUMBER(AM142),ISNUMBER(AH142)),IFERROR(AM142/AH142-1,""),"")</f>
        <v>0.496551724137931</v>
      </c>
      <c r="AN220" s="258">
        <f>IF(AND(ISNUMBER(AN142),ISNUMBER(AI142)),IFERROR(AN142/AI142-1,""),"")</f>
        <v>0.24798927613941</v>
      </c>
      <c r="AO220" s="258">
        <f>IF(AND(ISNUMBER(AO142),ISNUMBER(AJ142)),IFERROR(AO142/AJ142-1,""),"")</f>
        <v>0.305289993626514</v>
      </c>
      <c r="AP220" s="258">
        <f>IF(AND(ISNUMBER(AP142),ISNUMBER(AK142)),IFERROR(AP142/AK142-1,""),"")</f>
        <v>0.110057925223802</v>
      </c>
      <c r="AQ220" s="258">
        <f>IF(AND(ISNUMBER(AQ142),ISNUMBER(AL142)),IFERROR(AQ142/AL142-1,""),"")</f>
        <v>1.33592880978865</v>
      </c>
      <c r="AR220" s="258">
        <f>IF(AND(ISNUMBER(AR142),ISNUMBER(AM142)),IFERROR(AR142/AM142-1,""),"")</f>
        <v>0.385560675883257</v>
      </c>
      <c r="AS220" s="258">
        <f>IF(AND(ISNUMBER(AS142),ISNUMBER(AN142)),IFERROR(AS142/AN142-1,""),"")</f>
        <v>-0.0907626208378088</v>
      </c>
      <c r="AT220" s="258">
        <f>IF(AND(ISNUMBER(AT142),ISNUMBER(AO142)),IFERROR(AT142/AO142-1,""),"")</f>
        <v>-0.306640625</v>
      </c>
      <c r="AU220" s="258">
        <f>IF(AND(ISNUMBER(AU142),ISNUMBER(AP142)),IFERROR(AU142/AP142-1,""),"")</f>
        <v>-0.282258064516129</v>
      </c>
      <c r="AV220" s="258">
        <f>IF(AND(ISNUMBER(AV142),ISNUMBER(AQ142)),IFERROR(AV142/AQ142-1,""),"")</f>
        <v>-0.15</v>
      </c>
      <c r="AW220" s="258">
        <f>IF(AND(ISNUMBER(AW142),ISNUMBER(AR142)),IFERROR(AW142/AR142-1,""),"")</f>
        <v>-0.210273466371027</v>
      </c>
      <c r="AX220" s="258">
        <f>IF(AND(ISNUMBER(AX142),ISNUMBER(AS142)),IFERROR(AX142/AS142-1,""),"")</f>
        <v>0.0797401063201417</v>
      </c>
      <c r="AY220" s="258">
        <f>IF(AND(ISNUMBER(AY142),ISNUMBER(AT142)),IFERROR(AY142/AT142-1,""),"")</f>
        <v>0.454929577464789</v>
      </c>
      <c r="AZ220" s="258">
        <f>IF(AND(ISNUMBER(AZ142),ISNUMBER(AU142)),IFERROR(AZ142/AU142-1,""),"")</f>
        <v>0.595505617977528</v>
      </c>
      <c r="BA220" s="258">
        <f>IF(AND(ISNUMBER(BA142),ISNUMBER(AV142)),IFERROR(BA142/AV142-1,""),"")</f>
        <v>0.332773109243697</v>
      </c>
      <c r="BB220" s="258">
        <f>IF(AND(ISNUMBER(BB142),ISNUMBER(AW142)),IFERROR(BB142/AW142-1,""),"")</f>
        <v>0.35501481828108</v>
      </c>
      <c r="BC220" s="258">
        <f>IF(AND(ISNUMBER(BC142),ISNUMBER(AX142)),IFERROR(BC142/AX142-1,""),"")</f>
        <v>0.439277899343545</v>
      </c>
      <c r="BD220" s="258">
        <f>IF(AND(ISNUMBER(BD142),ISNUMBER(AY142)),IFERROR(BD142/AY142-1,""),"")</f>
        <v>0.101161665053243</v>
      </c>
      <c r="BE220" s="258">
        <f>IF(AND(ISNUMBER(BE142),ISNUMBER(AZ142)),IFERROR(BE142/AZ142-1,""),"")</f>
        <v>0.0352112676056338</v>
      </c>
      <c r="BF220" s="258">
        <f>IF(AND(ISNUMBER(BF142),ISNUMBER(BA142)),IFERROR(BF142/BA142-1,""),"")</f>
        <v>0.0613703236654057</v>
      </c>
      <c r="BG220" s="258">
        <f>IF(AND(ISNUMBER(BG142),ISNUMBER(BB142)),IFERROR(BG142/BB142-1,""),"")</f>
        <v>0.143087371935075</v>
      </c>
      <c r="BH220" s="258">
        <f>IF(AND(ISNUMBER(BH142),ISNUMBER(BC142)),IFERROR(BH142/BC142-1,""),"")</f>
        <v>-0.102622576966933</v>
      </c>
      <c r="BI220" s="258">
        <f>IF(AND(ISNUMBER(BI142),ISNUMBER(BD142)),IFERROR(BI142/BD142-1,""),"")</f>
        <v>0.250549450549451</v>
      </c>
      <c r="BJ220" s="258">
        <f>IF(AND(ISNUMBER(BJ142),ISNUMBER(BE142)),IFERROR(BJ142/BE142-1,""),"")</f>
        <v>0.279711884753902</v>
      </c>
      <c r="BK220" s="258">
        <f>IF(AND(ISNUMBER(BK142),ISNUMBER(BF142)),IFERROR(BK142/BF142-1,""),"")</f>
        <v>0.105346534653465</v>
      </c>
      <c r="BL220" s="258">
        <f>IF(AND(ISNUMBER(BL142),ISNUMBER(BG142)),IFERROR(BL142/BG142-1,""),"")</f>
        <v>0.127391742195368</v>
      </c>
      <c r="BM220" s="258">
        <f>IF(AND(ISNUMBER(BM142),ISNUMBER(BH142)),IFERROR(BM142/BH142-1,""),"")</f>
        <v>0.275307073274036</v>
      </c>
      <c r="BN220" s="258">
        <f>IF(AND(ISNUMBER(BN142),ISNUMBER(BI142)),IFERROR(BN142/BI142-1,""),"")</f>
        <v>0.145166959578207</v>
      </c>
      <c r="BO220" s="258">
        <f>IF(AND(ISNUMBER(BO142),ISNUMBER(BJ142)),IFERROR(BO142/BJ142-1,""),"")</f>
        <v>0.0203252032520325</v>
      </c>
      <c r="BP220" s="258">
        <f>IF(AND(ISNUMBER(BP142),ISNUMBER(BK142)),IFERROR(BP142/BK142-1,""),"")</f>
        <v>0.197420279469724</v>
      </c>
      <c r="BQ220" s="258">
        <f>IF(AND(ISNUMBER(BQ142),ISNUMBER(BL142)),IFERROR(BQ142/BL142-1,""),"")</f>
        <v>0.149977668602054</v>
      </c>
      <c r="BR220" s="258">
        <f>IF(AND(ISNUMBER(BR142),ISNUMBER(BM142)),IFERROR(BR142/BM142-1,""),"")</f>
        <v>0.0893390900033211</v>
      </c>
      <c r="BS220" s="258">
        <f>IF(AND(ISNUMBER(BS142),ISNUMBER(BN142)),IFERROR(BS142/BN142-1,""),"")</f>
        <v>0.13597298956415</v>
      </c>
      <c r="BT220" s="258">
        <f>IF(AND(ISNUMBER(BT142),ISNUMBER(BO142)),IFERROR(BT142/BO142-1,""),"")</f>
        <v>0.203493717437941</v>
      </c>
      <c r="BU220" s="258">
        <f>IF(AND(ISNUMBER(BU142),ISNUMBER(BP142)),IFERROR(BU142/BP142-1,""),"")</f>
        <v>0.214841412327947</v>
      </c>
      <c r="BV220" s="258">
        <f>IF(AND(ISNUMBER(BV142),ISNUMBER(BQ142)),IFERROR(BV142/BQ142-1,""),"")</f>
        <v>0.16265340997359</v>
      </c>
      <c r="BW220" s="258">
        <f>IF(AND(ISNUMBER(BW142),ISNUMBER(BR142)),IFERROR(BW142/BR142-1,""),"")</f>
        <v>0.183536585365854</v>
      </c>
      <c r="BX220" s="258">
        <f>IF(AND(ISNUMBER(BX142),ISNUMBER(BS142)),IFERROR(BX142/BS142-1,""),"")</f>
        <v>0.185625506619832</v>
      </c>
      <c r="BY220" s="256">
        <f>IF(AND(ISNUMBER(BY142),ISNUMBER(BT142)),IFERROR(BY142/BT142-1,""),"")</f>
        <v>0.122313594533009</v>
      </c>
      <c r="BZ220" s="256">
        <f>IF(AND(ISNUMBER(BZ142),ISNUMBER(BU142)),IFERROR(BZ142/BU142-1,""),"")</f>
        <v>0.0801287781450433</v>
      </c>
      <c r="CA220" s="256">
        <f>IF(AND(ISNUMBER(CA142),ISNUMBER(BV142)),IFERROR(CA142/BV142-1,""),"")</f>
        <v>0.13994176409674</v>
      </c>
      <c r="CB220" s="256">
        <f>IF(AND(ISNUMBER(CB142),ISNUMBER(CA142)),IFERROR(CB142/CA142-1,""),"")</f>
        <v>0.13283831743279</v>
      </c>
      <c r="CC220" s="256">
        <f>IF(AND(ISNUMBER(CC142),ISNUMBER(CB142)),IFERROR(CC142/CB142-1,""),"")</f>
        <v>0.12791961712062</v>
      </c>
      <c r="CD220" s="256">
        <f>IF(AND(ISNUMBER(CD142),ISNUMBER(CC142)),IFERROR(CD142/CC142-1,""),"")</f>
        <v>0.119104612287625</v>
      </c>
      <c r="CE220" s="256">
        <f>IF(AND(ISNUMBER(CE142),ISNUMBER(CD142)),IFERROR(CE142/CD142-1,""),"")</f>
        <v>0.111674371018719</v>
      </c>
      <c r="CF220" s="153" t="n"/>
    </row>
    <row r="221" ht="15" customHeight="1" s="251">
      <c r="B221" s="22" t="inlineStr">
        <is>
          <t xml:space="preserve">  Adjusted EPS y/y %</t>
        </is>
      </c>
      <c r="C221" s="23" t="n"/>
      <c r="D221" s="258">
        <f>IF(AND(ISNUMBER(D201),ISNUMBER(C201)),IFERROR(D201/C201-1,""),"")</f>
        <v>1.25303498328526</v>
      </c>
      <c r="E221" s="258">
        <f>IF(AND(ISNUMBER(E201),ISNUMBER(D201)),IFERROR(E201/D201-1,""),"")</f>
        <v>0.255400445207434</v>
      </c>
      <c r="F221" s="258">
        <f>IF(AND(ISNUMBER(F201),ISNUMBER(E201)),IFERROR(F201/E201-1,""),"")</f>
        <v>0.18325567469312</v>
      </c>
      <c r="G221" s="258">
        <f>IF(AND(ISNUMBER(G201),ISNUMBER(F201)),IFERROR(G201/F201-1,""),"")</f>
        <v>0.250973175770254</v>
      </c>
      <c r="H221" s="258">
        <f>IF(AND(ISNUMBER(H201),ISNUMBER(G201)),IFERROR(H201/G201-1,""),"")</f>
        <v>0.331134039815818</v>
      </c>
      <c r="I221" s="258">
        <f>IF(AND(ISNUMBER(I201),ISNUMBER(H201)),IFERROR(I201/H201-1,""),"")</f>
        <v>0.172844648063307</v>
      </c>
      <c r="J221" s="23" t="n"/>
      <c r="K221" s="23" t="n"/>
      <c r="L221" s="23" t="n"/>
      <c r="M221" s="23" t="n"/>
      <c r="N221" s="258">
        <f>IF(AND(ISNUMBER(N201),ISNUMBER(I201)),IFERROR(N201/I201-1,""),"")</f>
        <v>0.188552188552188</v>
      </c>
      <c r="O221" s="258">
        <f>IF(AND(ISNUMBER(O201),ISNUMBER(J201)),IFERROR(O201/J201-1,""),"")</f>
        <v>0.174934725848564</v>
      </c>
      <c r="P221" s="258">
        <f>IF(AND(ISNUMBER(P201),ISNUMBER(K201)),IFERROR(P201/K201-1,""),"")</f>
        <v>0.145774488758332</v>
      </c>
      <c r="Q221" s="258">
        <f>IF(AND(ISNUMBER(Q201),ISNUMBER(L201)),IFERROR(Q201/L201-1,""),"")</f>
        <v>0.204493742889647</v>
      </c>
      <c r="R221" s="258">
        <f>IF(AND(ISNUMBER(R201),ISNUMBER(M201)),IFERROR(R201/M201-1,""),"")</f>
        <v>0.219635627530364</v>
      </c>
      <c r="S221" s="258">
        <f>IF(AND(ISNUMBER(S201),ISNUMBER(N201)),IFERROR(S201/N201-1,""),"")</f>
        <v>0.183295085264518</v>
      </c>
      <c r="T221" s="258">
        <f>IF(AND(ISNUMBER(T201),ISNUMBER(O201)),IFERROR(T201/O201-1,""),"")</f>
        <v>0.210069444444444</v>
      </c>
      <c r="U221" s="258">
        <f>IF(AND(ISNUMBER(U201),ISNUMBER(P201)),IFERROR(U201/P201-1,""),"")</f>
        <v>0.0619559415629345</v>
      </c>
      <c r="V221" s="258">
        <f>IF(AND(ISNUMBER(V201),ISNUMBER(Q201)),IFERROR(V201/Q201-1,""),"")</f>
        <v>0.0359349388475603</v>
      </c>
      <c r="W221" s="258">
        <f>IF(AND(ISNUMBER(W201),ISNUMBER(R201)),IFERROR(W201/R201-1,""),"")</f>
        <v>0.143732700672202</v>
      </c>
      <c r="X221" s="258">
        <f>IF(AND(ISNUMBER(X201),ISNUMBER(S201)),IFERROR(X201/S201-1,""),"")</f>
        <v>0.109440687226765</v>
      </c>
      <c r="Y221" s="258">
        <f>IF(AND(ISNUMBER(Y201),ISNUMBER(T201)),IFERROR(Y201/T201-1,""),"")</f>
        <v>-0.0259839187473551</v>
      </c>
      <c r="Z221" s="258">
        <f>IF(AND(ISNUMBER(Z201),ISNUMBER(U201)),IFERROR(Z201/U201-1,""),"")</f>
        <v>0.139426710526935</v>
      </c>
      <c r="AA221" s="258">
        <f>IF(AND(ISNUMBER(AA201),ISNUMBER(V201)),IFERROR(AA201/V201-1,""),"")</f>
        <v>0.188539107429698</v>
      </c>
      <c r="AB221" s="258">
        <f>IF(AND(ISNUMBER(AB201),ISNUMBER(W201)),IFERROR(AB201/W201-1,""),"")</f>
        <v>0.0891248324914959</v>
      </c>
      <c r="AC221" s="258">
        <f>IF(AND(ISNUMBER(AC201),ISNUMBER(X201)),IFERROR(AC201/X201-1,""),"")</f>
        <v>0.0964639091986113</v>
      </c>
      <c r="AD221" s="258">
        <f>IF(AND(ISNUMBER(AD201),ISNUMBER(Y201)),IFERROR(AD201/Y201-1,""),"")</f>
        <v>0.169186170899678</v>
      </c>
      <c r="AE221" s="258">
        <f>IF(AND(ISNUMBER(AE201),ISNUMBER(Z201)),IFERROR(AE201/Z201-1,""),"")</f>
        <v>0.136161146789996</v>
      </c>
      <c r="AF221" s="258">
        <f>IF(AND(ISNUMBER(AF201),ISNUMBER(AA201)),IFERROR(AF201/AA201-1,""),"")</f>
        <v>0.242827272497216</v>
      </c>
      <c r="AG221" s="258">
        <f>IF(AND(ISNUMBER(AG201),ISNUMBER(AB201)),IFERROR(AG201/AB201-1,""),"")</f>
        <v>0.317747843317788</v>
      </c>
      <c r="AH221" s="258">
        <f>IF(AND(ISNUMBER(AH201),ISNUMBER(AC201)),IFERROR(AH201/AC201-1,""),"")</f>
        <v>0.215906921713825</v>
      </c>
      <c r="AI221" s="258">
        <f>IF(AND(ISNUMBER(AI201),ISNUMBER(AD201)),IFERROR(AI201/AD201-1,""),"")</f>
        <v>0.483403819155089</v>
      </c>
      <c r="AJ221" s="258">
        <f>IF(AND(ISNUMBER(AJ201),ISNUMBER(AE201)),IFERROR(AJ201/AE201-1,""),"")</f>
        <v>0.518458733608008</v>
      </c>
      <c r="AK221" s="258">
        <f>IF(AND(ISNUMBER(AK201),ISNUMBER(AF201)),IFERROR(AK201/AF201-1,""),"")</f>
        <v>0.329011927669646</v>
      </c>
      <c r="AL221" s="258">
        <f>IF(AND(ISNUMBER(AL201),ISNUMBER(AG201)),IFERROR(AL201/AG201-1,""),"")</f>
        <v>0.365728955326724</v>
      </c>
      <c r="AM221" s="258">
        <f>IF(AND(ISNUMBER(AM201),ISNUMBER(AH201)),IFERROR(AM201/AH201-1,""),"")</f>
        <v>0.417484233679128</v>
      </c>
      <c r="AN221" s="258">
        <f>IF(AND(ISNUMBER(AN201),ISNUMBER(AI201)),IFERROR(AN201/AI201-1,""),"")</f>
        <v>0.18747885500787</v>
      </c>
      <c r="AO221" s="258">
        <f>IF(AND(ISNUMBER(AO201),ISNUMBER(AJ201)),IFERROR(AO201/AJ201-1,""),"")</f>
        <v>0.136670955471023</v>
      </c>
      <c r="AP221" s="258">
        <f>IF(AND(ISNUMBER(AP201),ISNUMBER(AK201)),IFERROR(AP201/AK201-1,""),"")</f>
        <v>0.208299317281987</v>
      </c>
      <c r="AQ221" s="258">
        <f>IF(AND(ISNUMBER(AQ201),ISNUMBER(AL201)),IFERROR(AQ201/AL201-1,""),"")</f>
        <v>0.260018272697024</v>
      </c>
      <c r="AR221" s="258">
        <f>IF(AND(ISNUMBER(AR201),ISNUMBER(AM201)),IFERROR(AR201/AM201-1,""),"")</f>
        <v>0.19716631630628</v>
      </c>
      <c r="AS221" s="258">
        <f>IF(AND(ISNUMBER(AS201),ISNUMBER(AN201)),IFERROR(AS201/AN201-1,""),"")</f>
        <v>0.0279139861613003</v>
      </c>
      <c r="AT221" s="258">
        <f>IF(AND(ISNUMBER(AT201),ISNUMBER(AO201)),IFERROR(AT201/AO201-1,""),"")</f>
        <v>-0.280792380624595</v>
      </c>
      <c r="AU221" s="258">
        <f>IF(AND(ISNUMBER(AU201),ISNUMBER(AP201)),IFERROR(AU201/AP201-1,""),"")</f>
        <v>-0.257253213621532</v>
      </c>
      <c r="AV221" s="258">
        <f>IF(AND(ISNUMBER(AV201),ISNUMBER(AQ201)),IFERROR(AV201/AQ201-1,""),"")</f>
        <v>-0.16016744487214</v>
      </c>
      <c r="AW221" s="258">
        <f>IF(AND(ISNUMBER(AW201),ISNUMBER(AR201)),IFERROR(AW201/AR201-1,""),"")</f>
        <v>-0.172761590968239</v>
      </c>
      <c r="AX221" s="258">
        <f>IF(AND(ISNUMBER(AX201),ISNUMBER(AS201)),IFERROR(AX201/AS201-1,""),"")</f>
        <v>-0.044504410121762</v>
      </c>
      <c r="AY221" s="258">
        <f>IF(AND(ISNUMBER(AY201),ISNUMBER(AT201)),IFERROR(AY201/AT201-1,""),"")</f>
        <v>0.433782255577259</v>
      </c>
      <c r="AZ221" s="258">
        <f>IF(AND(ISNUMBER(AZ201),ISNUMBER(AU201)),IFERROR(AZ201/AU201-1,""),"")</f>
        <v>0.480666477862739</v>
      </c>
      <c r="BA221" s="258">
        <f>IF(AND(ISNUMBER(BA201),ISNUMBER(AV201)),IFERROR(BA201/AV201-1,""),"")</f>
        <v>0.428955498635397</v>
      </c>
      <c r="BB221" s="258">
        <f>IF(AND(ISNUMBER(BB201),ISNUMBER(AW201)),IFERROR(BB201/AW201-1,""),"")</f>
        <v>0.307535637100518</v>
      </c>
      <c r="BC221" s="258">
        <f>IF(AND(ISNUMBER(BC201),ISNUMBER(AX201)),IFERROR(BC201/AX201-1,""),"")</f>
        <v>0.578876306339696</v>
      </c>
      <c r="BD221" s="258">
        <f>IF(AND(ISNUMBER(BD201),ISNUMBER(AY201)),IFERROR(BD201/AY201-1,""),"")</f>
        <v>0.315577233152306</v>
      </c>
      <c r="BE221" s="258">
        <f>IF(AND(ISNUMBER(BE201),ISNUMBER(AZ201)),IFERROR(BE201/AZ201-1,""),"")</f>
        <v>0.133693837132539</v>
      </c>
      <c r="BF221" s="258">
        <f>IF(AND(ISNUMBER(BF201),ISNUMBER(BA201)),IFERROR(BF201/BA201-1,""),"")</f>
        <v>0.127422497578961</v>
      </c>
      <c r="BG221" s="258">
        <f>IF(AND(ISNUMBER(BG201),ISNUMBER(BB201)),IFERROR(BG201/BB201-1,""),"")</f>
        <v>0.267930923210152</v>
      </c>
      <c r="BH221" s="258">
        <f>IF(AND(ISNUMBER(BH201),ISNUMBER(BC201)),IFERROR(BH201/BC201-1,""),"")</f>
        <v>0.0170360402491259</v>
      </c>
      <c r="BI221" s="258">
        <f>IF(AND(ISNUMBER(BI201),ISNUMBER(BD201)),IFERROR(BI201/BD201-1,""),"")</f>
        <v>0.12704602741414</v>
      </c>
      <c r="BJ221" s="258">
        <f>IF(AND(ISNUMBER(BJ201),ISNUMBER(BE201)),IFERROR(BJ201/BE201-1,""),"")</f>
        <v>0.266623758471815</v>
      </c>
      <c r="BK221" s="258">
        <f>IF(AND(ISNUMBER(BK201),ISNUMBER(BF201)),IFERROR(BK201/BF201-1,""),"")</f>
        <v>0.201449736935816</v>
      </c>
      <c r="BL221" s="258">
        <f>IF(AND(ISNUMBER(BL201),ISNUMBER(BG201)),IFERROR(BL201/BG201-1,""),"")</f>
        <v>0.15197630058347</v>
      </c>
      <c r="BM221" s="258">
        <f>IF(AND(ISNUMBER(BM201),ISNUMBER(BH201)),IFERROR(BM201/BH201-1,""),"")</f>
        <v>0.180906814487626</v>
      </c>
      <c r="BN221" s="258">
        <f>IF(AND(ISNUMBER(BN201),ISNUMBER(BI201)),IFERROR(BN201/BI201-1,""),"")</f>
        <v>0.243346823212003</v>
      </c>
      <c r="BO221" s="258">
        <f>IF(AND(ISNUMBER(BO201),ISNUMBER(BJ201)),IFERROR(BO201/BJ201-1,""),"")</f>
        <v>0.143946857538363</v>
      </c>
      <c r="BP221" s="258">
        <f>IF(AND(ISNUMBER(BP201),ISNUMBER(BK201)),IFERROR(BP201/BK201-1,""),"")</f>
        <v>0.202496705507953</v>
      </c>
      <c r="BQ221" s="258">
        <f>IF(AND(ISNUMBER(BQ201),ISNUMBER(BL201)),IFERROR(BQ201/BL201-1,""),"")</f>
        <v>0.190534968064597</v>
      </c>
      <c r="BR221" s="258">
        <f>IF(AND(ISNUMBER(BR201),ISNUMBER(BM201)),IFERROR(BR201/BM201-1,""),"")</f>
        <v>0.126497257518742</v>
      </c>
      <c r="BS221" s="258">
        <f>IF(AND(ISNUMBER(BS201),ISNUMBER(BN201)),IFERROR(BS201/BN201-1,""),"")</f>
        <v>0.154167197623683</v>
      </c>
      <c r="BT221" s="258">
        <f>IF(AND(ISNUMBER(BT201),ISNUMBER(BO201)),IFERROR(BT201/BO201-1,""),"")</f>
        <v>0.126784278208241</v>
      </c>
      <c r="BU221" s="258">
        <f>IF(AND(ISNUMBER(BU201),ISNUMBER(BP201)),IFERROR(BU201/BP201-1,""),"")</f>
        <v>0.2462403405233</v>
      </c>
      <c r="BV221" s="258">
        <f>IF(AND(ISNUMBER(BV201),ISNUMBER(BQ201)),IFERROR(BV201/BQ201-1,""),"")</f>
        <v>0.16478113318834</v>
      </c>
      <c r="BW221" s="258">
        <f>IF(AND(ISNUMBER(BW201),ISNUMBER(BR201)),IFERROR(BW201/BR201-1,""),"")</f>
        <v>0.23296744628904</v>
      </c>
      <c r="BX221" s="258">
        <f>IF(AND(ISNUMBER(BX201),ISNUMBER(BS201)),IFERROR(BX201/BS201-1,""),"")</f>
        <v>0.216269279065344</v>
      </c>
      <c r="BY221" s="256">
        <f>IF(AND(ISNUMBER(BY201),ISNUMBER(BT201)),IFERROR(BY201/BT201-1,""),"")</f>
        <v>0.171074159127405</v>
      </c>
      <c r="BZ221" s="256">
        <f>IF(AND(ISNUMBER(BZ201),ISNUMBER(BU201)),IFERROR(BZ201/BU201-1,""),"")</f>
        <v>0.0775678261095585</v>
      </c>
      <c r="CA221" s="256">
        <f>IF(AND(ISNUMBER(CA201),ISNUMBER(BV201)),IFERROR(CA201/BV201-1,""),"")</f>
        <v>0.168933383627943</v>
      </c>
      <c r="CB221" s="256">
        <f>IF(AND(ISNUMBER(CB201),ISNUMBER(CA201)),IFERROR(CB201/CA201-1,""),"")</f>
        <v>0.155925331638438</v>
      </c>
      <c r="CC221" s="256">
        <f>IF(AND(ISNUMBER(CC201),ISNUMBER(CB201)),IFERROR(CC201/CB201-1,""),"")</f>
        <v>0.15608938441234</v>
      </c>
      <c r="CD221" s="256">
        <f>IF(AND(ISNUMBER(CD201),ISNUMBER(CC201)),IFERROR(CD201/CC201-1,""),"")</f>
        <v>0.150936059462574</v>
      </c>
      <c r="CE221" s="256">
        <f>IF(AND(ISNUMBER(CE201),ISNUMBER(CD201)),IFERROR(CE201/CD201-1,""),"")</f>
        <v>0.145869942246721</v>
      </c>
      <c r="CF221" s="153" t="n"/>
    </row>
    <row r="222" collapsed="1" ht="15" customHeight="1" s="251">
      <c r="B222" s="25" t="inlineStr">
        <is>
          <t xml:space="preserve">  Adjusted operating margin %</t>
        </is>
      </c>
      <c r="C222" s="215">
        <f>IF(AND(ISNUMBER(C170),ISNUMBER(C168)),IFERROR(C170/C168,""),"")</f>
        <v>0.195273767210231</v>
      </c>
      <c r="D222" s="215">
        <f>IF(AND(ISNUMBER(D170),ISNUMBER(D168)),IFERROR(D170/D168,""),"")</f>
        <v>0.27316163663134</v>
      </c>
      <c r="E222" s="215">
        <f>IF(AND(ISNUMBER(E170),ISNUMBER(E168)),IFERROR(E170/E168,""),"")</f>
        <v>0.390354796057377</v>
      </c>
      <c r="F222" s="215">
        <f>IF(AND(ISNUMBER(F170),ISNUMBER(F168)),IFERROR(F170/F168,""),"")</f>
        <v>0.444645716424081</v>
      </c>
      <c r="G222" s="215">
        <f>IF(AND(ISNUMBER(G170),ISNUMBER(G168)),IFERROR(G170/G168,""),"")</f>
        <v>0.496840584943131</v>
      </c>
      <c r="H222" s="215">
        <f>IF(AND(ISNUMBER(H170),ISNUMBER(H168)),IFERROR(H170/H168,""),"")</f>
        <v>0.518766756032172</v>
      </c>
      <c r="I222" s="215">
        <f>IF(AND(ISNUMBER(I170),ISNUMBER(I168)),IFERROR(I170/I168,""),"")</f>
        <v>0.535380868624002</v>
      </c>
      <c r="J222" s="215">
        <f>IF(AND(ISNUMBER(J170),ISNUMBER(J168)),IFERROR(J170/J168,""),"")</f>
        <v>0.580797481636936</v>
      </c>
      <c r="K222" s="215">
        <f>IF(AND(ISNUMBER(K170),ISNUMBER(K168)),IFERROR(K170/K168,""),"")</f>
        <v>0.58587786259542</v>
      </c>
      <c r="L222" s="215">
        <f>IF(AND(ISNUMBER(L170),ISNUMBER(L168)),IFERROR(L170/L168,""),"")</f>
        <v>0.562669071235347</v>
      </c>
      <c r="M222" s="215">
        <f>IF(AND(ISNUMBER(M170),ISNUMBER(M168)),IFERROR(M170/M168,""),"")</f>
        <v>0.477422389463782</v>
      </c>
      <c r="N222" s="215">
        <f>IF(AND(ISNUMBER(N170),ISNUMBER(N168)),IFERROR(N170/N168,""),"")</f>
        <v>0.55092259765157</v>
      </c>
      <c r="O222" s="215">
        <f>IF(AND(ISNUMBER(O170),ISNUMBER(O168)),IFERROR(O170/O168,""),"")</f>
        <v>0.59026182820395</v>
      </c>
      <c r="P222" s="215">
        <f>IF(AND(ISNUMBER(P170),ISNUMBER(P168)),IFERROR(P170/P168,""),"")</f>
        <v>0.58182583087926</v>
      </c>
      <c r="Q222" s="215">
        <f>IF(AND(ISNUMBER(Q170),ISNUMBER(Q168)),IFERROR(Q170/Q168,""),"")</f>
        <v>0.567319216939672</v>
      </c>
      <c r="R222" s="215">
        <f>IF(AND(ISNUMBER(R170),ISNUMBER(R168)),IFERROR(R170/R168,""),"")</f>
        <v>0.42135761589404</v>
      </c>
      <c r="S222" s="215">
        <f>IF(AND(ISNUMBER(S170),ISNUMBER(S168)),IFERROR(S170/S168,""),"")</f>
        <v>0.539005594848517</v>
      </c>
      <c r="T222" s="215">
        <f>IF(AND(ISNUMBER(T170),ISNUMBER(T168)),IFERROR(T170/T168,""),"")</f>
        <v>0.605829596412556</v>
      </c>
      <c r="U222" s="215">
        <f>IF(AND(ISNUMBER(U170),ISNUMBER(U168)),IFERROR(U170/U168,""),"")</f>
        <v>0.548953974895397</v>
      </c>
      <c r="V222" s="215">
        <f>IF(AND(ISNUMBER(V170),ISNUMBER(V168)),IFERROR(V170/V168,""),"")</f>
        <v>0.572332015810277</v>
      </c>
      <c r="W222" s="215">
        <f>IF(AND(ISNUMBER(W170),ISNUMBER(W168)),IFERROR(W170/W168,""),"")</f>
        <v>0.439809296781883</v>
      </c>
      <c r="X222" s="215">
        <f>IF(AND(ISNUMBER(X170),ISNUMBER(X168)),IFERROR(X170/X168,""),"")</f>
        <v>0.539774490534809</v>
      </c>
      <c r="Y222" s="215">
        <f>IF(AND(ISNUMBER(Y170),ISNUMBER(Y168)),IFERROR(Y170/Y168,""),"")</f>
        <v>0.551103843008994</v>
      </c>
      <c r="Z222" s="215">
        <f>IF(AND(ISNUMBER(Z170),ISNUMBER(Z168)),IFERROR(Z170/Z168,""),"")</f>
        <v>0.551967334818114</v>
      </c>
      <c r="AA222" s="215">
        <f>IF(AND(ISNUMBER(AA170),ISNUMBER(AA168)),IFERROR(AA170/AA168,""),"")</f>
        <v>0.579861111111111</v>
      </c>
      <c r="AB222" s="215">
        <f>IF(AND(ISNUMBER(AB170),ISNUMBER(AB168)),IFERROR(AB170/AB168,""),"")</f>
        <v>0.498185776487663</v>
      </c>
      <c r="AC222" s="215">
        <f>IF(AND(ISNUMBER(AC170),ISNUMBER(AC168)),IFERROR(AC170/AC168,""),"")</f>
        <v>0.54547141796585</v>
      </c>
      <c r="AD222" s="215">
        <f>IF(AND(ISNUMBER(AD170),ISNUMBER(AD168)),IFERROR(AD170/AD168,""),"")</f>
        <v>0.556327724945135</v>
      </c>
      <c r="AE222" s="215">
        <f>IF(AND(ISNUMBER(AE170),ISNUMBER(AE168)),IFERROR(AE170/AE168,""),"")</f>
        <v>0.541434654438257</v>
      </c>
      <c r="AF222" s="215">
        <f>IF(AND(ISNUMBER(AF170),ISNUMBER(AF168)),IFERROR(AF170/AF168,""),"")</f>
        <v>0.571218363743378</v>
      </c>
      <c r="AG222" s="215">
        <f>IF(AND(ISNUMBER(AG170),ISNUMBER(AG168)),IFERROR(AG170/AG168,""),"")</f>
        <v>0.509963768115942</v>
      </c>
      <c r="AH222" s="215">
        <f>IF(AND(ISNUMBER(AH170),ISNUMBER(AH168)),IFERROR(AH170/AH168,""),"")</f>
        <v>0.544450668160359</v>
      </c>
      <c r="AI222" s="215">
        <f>IF(AND(ISNUMBER(AI170),ISNUMBER(AI168)),IFERROR(AI170/AI168,""),"")</f>
        <v>0.542458100558659</v>
      </c>
      <c r="AJ222" s="215">
        <f>IF(AND(ISNUMBER(AJ170),ISNUMBER(AJ168)),IFERROR(AJ170/AJ168,""),"")</f>
        <v>0.589631650750341</v>
      </c>
      <c r="AK222" s="215">
        <f>IF(AND(ISNUMBER(AK170),ISNUMBER(AK168)),IFERROR(AK170/AK168,""),"")</f>
        <v>0.594150846587994</v>
      </c>
      <c r="AL222" s="215">
        <f>IF(AND(ISNUMBER(AL170),ISNUMBER(AL168)),IFERROR(AL170/AL168,""),"")</f>
        <v>0.522983976884686</v>
      </c>
      <c r="AM222" s="215">
        <f>IF(AND(ISNUMBER(AM170),ISNUMBER(AM168)),IFERROR(AM170/AM168,""),"")</f>
        <v>0.562541806020067</v>
      </c>
      <c r="AN222" s="215">
        <f>IF(AND(ISNUMBER(AN170),ISNUMBER(AN168)),IFERROR(AN170/AN168,""),"")</f>
        <v>0.569040884546156</v>
      </c>
      <c r="AO222" s="215">
        <f>IF(AND(ISNUMBER(AO170),ISNUMBER(AO168)),IFERROR(AO170/AO168,""),"")</f>
        <v>0.582786287381473</v>
      </c>
      <c r="AP222" s="215">
        <f>IF(AND(ISNUMBER(AP170),ISNUMBER(AP168)),IFERROR(AP170/AP168,""),"")</f>
        <v>0.594358629952989</v>
      </c>
      <c r="AQ222" s="215">
        <f>IF(AND(ISNUMBER(AQ170),ISNUMBER(AQ168)),IFERROR(AQ170/AQ168,""),"")</f>
        <v>0.543497961033077</v>
      </c>
      <c r="AR222" s="215">
        <f>IF(AND(ISNUMBER(AR170),ISNUMBER(AR168)),IFERROR(AR170/AR168,""),"")</f>
        <v>0.572410116685423</v>
      </c>
      <c r="AS222" s="215">
        <f>IF(AND(ISNUMBER(AS170),ISNUMBER(AS168)),IFERROR(AS170/AS168,""),"")</f>
        <v>0.553005737091544</v>
      </c>
      <c r="AT222" s="215">
        <f>IF(AND(ISNUMBER(AT170),ISNUMBER(AT168)),IFERROR(AT170/AT168,""),"")</f>
        <v>0.518440779610195</v>
      </c>
      <c r="AU222" s="215">
        <f>IF(AND(ISNUMBER(AU170),ISNUMBER(AU168)),IFERROR(AU170/AU168,""),"")</f>
        <v>0.548605681522022</v>
      </c>
      <c r="AV222" s="215">
        <f>IF(AND(ISNUMBER(AV170),ISNUMBER(AV168)),IFERROR(AV170/AV168,""),"")</f>
        <v>0.510436893203884</v>
      </c>
      <c r="AW222" s="215">
        <f>IF(AND(ISNUMBER(AW170),ISNUMBER(AW168)),IFERROR(AW170/AW168,""),"")</f>
        <v>0.532906345990458</v>
      </c>
      <c r="AX222" s="215">
        <f>IF(AND(ISNUMBER(AX170),ISNUMBER(AX168)),IFERROR(AX170/AX168,""),"")</f>
        <v>0.528760529482551</v>
      </c>
      <c r="AY222" s="215">
        <f>IF(AND(ISNUMBER(AY170),ISNUMBER(AY168)),IFERROR(AY170/AY168,""),"")</f>
        <v>0.531802120141343</v>
      </c>
      <c r="AZ222" s="215">
        <f>IF(AND(ISNUMBER(AZ170),ISNUMBER(AZ168)),IFERROR(AZ170/AZ168,""),"")</f>
        <v>0.566900702106319</v>
      </c>
      <c r="BA222" s="215">
        <f>IF(AND(ISNUMBER(BA170),ISNUMBER(BA168)),IFERROR(BA170/BA168,""),"")</f>
        <v>0.541986196319019</v>
      </c>
      <c r="BB222" s="215">
        <f>IF(AND(ISNUMBER(BB170),ISNUMBER(BB168)),IFERROR(BB170/BB168,""),"")</f>
        <v>0.543211184071171</v>
      </c>
      <c r="BC222" s="215">
        <f>IF(AND(ISNUMBER(BC170),ISNUMBER(BC168)),IFERROR(BC170/BC168,""),"")</f>
        <v>0.5750437998832</v>
      </c>
      <c r="BD222" s="215">
        <f>IF(AND(ISNUMBER(BD170),ISNUMBER(BD168)),IFERROR(BD170/BD168,""),"")</f>
        <v>0.578765252230923</v>
      </c>
      <c r="BE222" s="215">
        <f>IF(AND(ISNUMBER(BE170),ISNUMBER(BE168)),IFERROR(BE170/BE168,""),"")</f>
        <v>0.576789437109104</v>
      </c>
      <c r="BF222" s="215">
        <f>IF(AND(ISNUMBER(BF170),ISNUMBER(BF168)),IFERROR(BF170/BF168,""),"")</f>
        <v>0.549939831528279</v>
      </c>
      <c r="BG222" s="215">
        <f>IF(AND(ISNUMBER(BG170),ISNUMBER(BG168)),IFERROR(BG170/BG168,""),"")</f>
        <v>0.56981981981982</v>
      </c>
      <c r="BH222" s="215">
        <f>IF(AND(ISNUMBER(BH170),ISNUMBER(BH168)),IFERROR(BH170/BH168,""),"")</f>
        <v>0.582289491997217</v>
      </c>
      <c r="BI222" s="215">
        <f>IF(AND(ISNUMBER(BI170),ISNUMBER(BI168)),IFERROR(BI170/BI168,""),"")</f>
        <v>0.586377412665497</v>
      </c>
      <c r="BJ222" s="215">
        <f>IF(AND(ISNUMBER(BJ170),ISNUMBER(BJ168)),IFERROR(BJ170/BJ168,""),"")</f>
        <v>0.588397367212613</v>
      </c>
      <c r="BK222" s="215">
        <f>IF(AND(ISNUMBER(BK170),ISNUMBER(BK168)),IFERROR(BK170/BK168,""),"")</f>
        <v>0.562003665241295</v>
      </c>
      <c r="BL222" s="215">
        <f>IF(AND(ISNUMBER(BL170),ISNUMBER(BL168)),IFERROR(BL170/BL168,""),"")</f>
        <v>0.579607936887401</v>
      </c>
      <c r="BM222" s="215">
        <f>IF(AND(ISNUMBER(BM170),ISNUMBER(BM168)),IFERROR(BM170/BM168,""),"")</f>
        <v>0.587586641461878</v>
      </c>
      <c r="BN222" s="215">
        <f>IF(AND(ISNUMBER(BN170),ISNUMBER(BN168)),IFERROR(BN170/BN168,""),"")</f>
        <v>0.593880189627927</v>
      </c>
      <c r="BO222" s="215">
        <f>IF(AND(ISNUMBER(BO170),ISNUMBER(BO168)),IFERROR(BO170/BO168,""),"")</f>
        <v>0.593024833763062</v>
      </c>
      <c r="BP222" s="215">
        <f>IF(AND(ISNUMBER(BP170),ISNUMBER(BP168)),IFERROR(BP170/BP168,""),"")</f>
        <v>0.56322606489518</v>
      </c>
      <c r="BQ222" s="215">
        <f>IF(AND(ISNUMBER(BQ170),ISNUMBER(BQ168)),IFERROR(BQ170/BQ168,""),"")</f>
        <v>0.584087762275003</v>
      </c>
      <c r="BR222" s="215">
        <f>IF(AND(ISNUMBER(BR170),ISNUMBER(BR168)),IFERROR(BR170/BR168,""),"")</f>
        <v>0.593103448275862</v>
      </c>
      <c r="BS222" s="215">
        <f>IF(AND(ISNUMBER(BS170),ISNUMBER(BS168)),IFERROR(BS170/BS168,""),"")</f>
        <v>0.599163900159843</v>
      </c>
      <c r="BT222" s="215">
        <f>IF(AND(ISNUMBER(BT170),ISNUMBER(BT168)),IFERROR(BT170/BT168,""),"")</f>
        <v>0.598000465008138</v>
      </c>
      <c r="BU222" s="215">
        <f>IF(AND(ISNUMBER(BU170),ISNUMBER(BU168)),IFERROR(BU170/BU168,""),"")</f>
        <v>0.577333636157166</v>
      </c>
      <c r="BV222" s="215">
        <f>IF(AND(ISNUMBER(BV170),ISNUMBER(BV168)),IFERROR(BV170/BV168,""),"")</f>
        <v>0.591656247140984</v>
      </c>
      <c r="BW222" s="215">
        <f>IF(AND(ISNUMBER(BW170),ISNUMBER(BW168)),IFERROR(BW170/BW168,""),"")</f>
        <v>0.608359133126935</v>
      </c>
      <c r="BX222" s="215">
        <f>IF(AND(ISNUMBER(BX170),ISNUMBER(BX168)),IFERROR(BX170/BX168,""),"")</f>
        <v>0.61108116848119</v>
      </c>
      <c r="BY222" s="256">
        <f>IF(AND(ISNUMBER(BY170),ISNUMBER(BY168)),IFERROR(BY170/BY168,""),"")</f>
        <v>0.598575856001832</v>
      </c>
      <c r="BZ222" s="256">
        <f>IF(AND(ISNUMBER(BZ170),ISNUMBER(BZ168)),IFERROR(BZ170/BZ168,""),"")</f>
        <v>0.579605656041637</v>
      </c>
      <c r="CA222" s="256">
        <f>IF(AND(ISNUMBER(CA170),ISNUMBER(CA168)),IFERROR(CA170/CA168,""),"")</f>
        <v>0.598851731772861</v>
      </c>
      <c r="CB222" s="256">
        <f>IF(AND(ISNUMBER(CB170),ISNUMBER(CB168)),IFERROR(CB170/CB168,""),"")</f>
        <v>0.602323072539461</v>
      </c>
      <c r="CC222" s="256">
        <f>IF(AND(ISNUMBER(CC170),ISNUMBER(CC168)),IFERROR(CC170/CC168,""),"")</f>
        <v>0.606017601889502</v>
      </c>
      <c r="CD222" s="256">
        <f>IF(AND(ISNUMBER(CD170),ISNUMBER(CD168)),IFERROR(CD170/CD168,""),"")</f>
        <v>0.609800146559032</v>
      </c>
      <c r="CE222" s="256">
        <f>IF(AND(ISNUMBER(CE170),ISNUMBER(CE168)),IFERROR(CE170/CE168,""),"")</f>
        <v>0.61363858642307</v>
      </c>
      <c r="CF222" s="153" t="n"/>
      <c r="CH222" s="37">
        <f>IFERROR(AVERAGE(CA222,CB222,CC222,CD222,CE222),"n/m")</f>
        <v>0.606126227836785</v>
      </c>
      <c r="CI222" s="37">
        <f>IFERROR(AVERAGE(BB222,BG222,BL222,BQ222,BV222),"n/m")</f>
        <v>0.573676590038876</v>
      </c>
      <c r="CJ222" s="37">
        <f>IFERROR(AVERAGE(AC222,AH222,AM222,AR222,AW222,BB222,BG222,BL222,BQ222,BV222),"n/m")</f>
        <v>0.562616330501654</v>
      </c>
      <c r="CK222" s="37">
        <f>IFERROR(AVERAGE(C222,D222,E222,F222,G222,H222,I222,N222,S222,X222,AC222,AH222,AM222,AR222,AW222,BB222,BG222,BL222,BQ222,BV222),"n/m")</f>
        <v>0.505514505698688</v>
      </c>
    </row>
    <row r="223" ht="15" customHeight="1" s="251">
      <c r="B223" s="25" t="inlineStr">
        <is>
          <t xml:space="preserve">  Incremental adjusted operating margin (Δ adj. OI / Δ net revenue)</t>
        </is>
      </c>
      <c r="C223" s="36" t="n"/>
      <c r="D223" s="215">
        <f>IFERROR((D170-C170)/(D123-C123),"")</f>
        <v>0.622523852870773</v>
      </c>
      <c r="E223" s="215">
        <f>IFERROR((E170-D170)/(E123-D123),"")</f>
        <v>0.906257677210307</v>
      </c>
      <c r="F223" s="215">
        <f>IFERROR((F170-E170)/(F123-E123),"")</f>
        <v>2.9753557954503</v>
      </c>
      <c r="G223" s="215">
        <f>IFERROR((G170-F170)/(G123-F123),"")</f>
        <v>1.1012363847782</v>
      </c>
      <c r="H223" s="215">
        <f>IFERROR((H170-G170)/(H123-G123),"")</f>
        <v>0.622127659574468</v>
      </c>
      <c r="I223" s="215">
        <f>IFERROR((I170-H170)/(I123-H123),"")</f>
        <v>0.700147710487445</v>
      </c>
      <c r="J223" s="36" t="n"/>
      <c r="K223" s="36" t="n"/>
      <c r="L223" s="36" t="n"/>
      <c r="M223" s="36" t="n"/>
      <c r="N223" s="215">
        <f>IFERROR((N170-I170)/(N123-I123),"")</f>
        <v>0.671204188481675</v>
      </c>
      <c r="O223" s="215">
        <f>IFERROR((O170-J170)/(O123-J123),"")</f>
        <v>0.656826568265683</v>
      </c>
      <c r="P223" s="215">
        <f>IFERROR((P170-K170)/(P123-K123),"")</f>
        <v>0.551601423487545</v>
      </c>
      <c r="Q223" s="215">
        <f>IFERROR((Q170-L170)/(Q123-L123),"")</f>
        <v>0.603508771929825</v>
      </c>
      <c r="R223" s="215">
        <f>IFERROR((R170-M170)/(R123-M123),"")</f>
        <v>0.0103448275862069</v>
      </c>
      <c r="S223" s="215">
        <f>IFERROR((S170-N170)/(S123-N123),"")</f>
        <v>0.45075421472937</v>
      </c>
      <c r="T223" s="215">
        <f>IFERROR((T170-O170)/(T123-O123),"")</f>
        <v>1.24528301886792</v>
      </c>
      <c r="U223" s="215">
        <f>IFERROR((U170-P170)/(U123-P123),"")</f>
        <v>-5.46153846153846</v>
      </c>
      <c r="V223" s="215">
        <f>IFERROR((V170-Q170)/(V123-Q123),"")</f>
        <v>1.03703703703704</v>
      </c>
      <c r="W223" s="215">
        <f>IFERROR((W170-R170)/(W123-R123),"")</f>
        <v>0.881188118811881</v>
      </c>
      <c r="X223" s="215">
        <f>IFERROR((X170-S170)/(X123-S123),"")</f>
        <v>0.577319587628866</v>
      </c>
      <c r="Y223" s="215">
        <f>IFERROR((Y170-T170)/(Y123-T123),"")</f>
        <v>-0.0138888888888889</v>
      </c>
      <c r="Z223" s="215">
        <f>IFERROR((Z170-U170)/(Z123-U123),"")</f>
        <v>0.575657894736842</v>
      </c>
      <c r="AA223" s="215">
        <f>IFERROR((AA170-V170)/(AA123-V123),"")</f>
        <v>0.634285714285714</v>
      </c>
      <c r="AB223" s="215">
        <f>IFERROR((AB170-W170)/(AB123-W123),"")</f>
        <v>1.11297071129707</v>
      </c>
      <c r="AC223" s="215">
        <f>IFERROR((AC170-X170)/(AC123-X123),"")</f>
        <v>0.595130748422002</v>
      </c>
      <c r="AD223" s="215">
        <f>IFERROR((AD170-Y170)/(AD123-Y123),"")</f>
        <v>0.600694444444444</v>
      </c>
      <c r="AE223" s="215">
        <f>IFERROR((AE170-Z170)/(AE123-Z123),"")</f>
        <v>0.462395543175488</v>
      </c>
      <c r="AF223" s="215">
        <f>IFERROR((AF170-AA170)/(AF123-AA123),"")</f>
        <v>0.523166023166023</v>
      </c>
      <c r="AG223" s="215">
        <f>IFERROR((AG170-AB170)/(AG123-AB123),"")</f>
        <v>0.568345323741007</v>
      </c>
      <c r="AH223" s="215">
        <f>IFERROR((AH170-AC170)/(AH123-AC123),"")</f>
        <v>0.538059267867519</v>
      </c>
      <c r="AI223" s="215">
        <f>IFERROR((AI170-AD170)/(AI123-AD123),"")</f>
        <v>0.497635933806147</v>
      </c>
      <c r="AJ223" s="215">
        <f>IFERROR((AJ170-AE170)/(AJ123-AE123),"")</f>
        <v>0.830065359477124</v>
      </c>
      <c r="AK223" s="215">
        <f>IFERROR((AK170-AF170)/(AK123-AF123),"")</f>
        <v>0.75</v>
      </c>
      <c r="AL223" s="215">
        <f>IFERROR((AL170-AG170)/(AL123-AG123),"")</f>
        <v>0.61010101010101</v>
      </c>
      <c r="AM223" s="215">
        <f>IFERROR((AM170-AH170)/(AM123-AH123),"")</f>
        <v>0.654708520179372</v>
      </c>
      <c r="AN223" s="215">
        <f>IFERROR((AN170-AI170)/(AN123-AI123),"")</f>
        <v>0.877022653721683</v>
      </c>
      <c r="AO223" s="215">
        <f>IFERROR((AO170-AJ170)/(AO123-AJ123),"")</f>
        <v>0.526785714285714</v>
      </c>
      <c r="AP223" s="215">
        <f>IFERROR((AP170-AK170)/(AP123-AK123),"")</f>
        <v>0.595782073813708</v>
      </c>
      <c r="AQ223" s="215">
        <f>IFERROR((AQ170-AL170)/(AQ123-AL123),"")</f>
        <v>0.672158154859967</v>
      </c>
      <c r="AR223" s="215">
        <f>IFERROR((AR170-AM170)/(AR123-AM123),"")</f>
        <v>0.64873254009312</v>
      </c>
      <c r="AS223" s="215">
        <f>IFERROR((AS170-AN170)/(AS123-AN123),"")</f>
        <v>0.0333333333333333</v>
      </c>
      <c r="AT223" s="215">
        <f>IFERROR((AT170-AO170)/(AT123-AO123),"")</f>
        <v>0.858611825192802</v>
      </c>
      <c r="AU223" s="215">
        <f>IFERROR((AU170-AP170)/(AU123-AP123),"")</f>
        <v>0.873015873015873</v>
      </c>
      <c r="AV223" s="215">
        <f>IFERROR((AV170-AQ170)/(AV123-AQ123),"")</f>
        <v>1.00680272108844</v>
      </c>
      <c r="AW223" s="215">
        <f>IFERROR((AW170-AR170)/(AW123-AR123),"")</f>
        <v>0.95448798988622</v>
      </c>
      <c r="AX223" s="215">
        <f>IFERROR((AX170-AS170)/(AX123-AS123),"")</f>
        <v>-0.136986301369863</v>
      </c>
      <c r="AY223" s="215">
        <f>IFERROR((AY170-AT170)/(AY123-AT123),"")</f>
        <v>0.569153394803018</v>
      </c>
      <c r="AZ223" s="215">
        <f>IFERROR((AZ170-AU170)/(AZ123-AU123),"")</f>
        <v>0.628048780487805</v>
      </c>
      <c r="BA223" s="215">
        <f>IFERROR((BA170-AV170)/(BA123-AV123),"")</f>
        <v>0.660583941605839</v>
      </c>
      <c r="BB223" s="215">
        <f>IFERROR((BB170-AW170)/(BB123-AW123),"")</f>
        <v>0.587217415573542</v>
      </c>
      <c r="BC223" s="215">
        <f>IFERROR((BC170-AX170)/(BC123-AX123),"")</f>
        <v>0.74802371541502</v>
      </c>
      <c r="BD223" s="215">
        <f>IFERROR((BD170-AY170)/(BD123-AY123),"")</f>
        <v>0.794633642930857</v>
      </c>
      <c r="BE223" s="215">
        <f>IFERROR((BE170-AZ170)/(BE123-AZ123),"")</f>
        <v>0.640726329442283</v>
      </c>
      <c r="BF223" s="215">
        <f>IFERROR((BF170-BA170)/(BF123-BA123),"")</f>
        <v>0.618968386023295</v>
      </c>
      <c r="BG223" s="215">
        <f>IFERROR((BG170-BB170)/(BG123-BB123),"")</f>
        <v>0.713390993140471</v>
      </c>
      <c r="BH223" s="215">
        <f>IFERROR((BH170-BC170)/(BH123-BC123),"")</f>
        <v>0.676419965576592</v>
      </c>
      <c r="BI223" s="215">
        <f>IFERROR((BI170-BD170)/(BI123-BD123),"")</f>
        <v>0.645077720207254</v>
      </c>
      <c r="BJ223" s="215">
        <f>IFERROR((BJ170-BE170)/(BJ123-BE123),"")</f>
        <v>0.674388674388674</v>
      </c>
      <c r="BK223" s="215">
        <f>IFERROR((BK170-BF170)/(BK123-BF123),"")</f>
        <v>0.658002735978112</v>
      </c>
      <c r="BL223" s="215">
        <f>IFERROR((BL170-BG170)/(BL123-BG123),"")</f>
        <v>0.663054875917511</v>
      </c>
      <c r="BM223" s="215">
        <f>IFERROR((BM170-BH170)/(BM123-BH123),"")</f>
        <v>0.638333333333333</v>
      </c>
      <c r="BN223" s="215">
        <f>IFERROR((BN170-BI170)/(BN123-BI123),"")</f>
        <v>0.661849710982659</v>
      </c>
      <c r="BO223" s="215">
        <f>IFERROR((BO170-BJ170)/(BO123-BJ123),"")</f>
        <v>0.629186602870813</v>
      </c>
      <c r="BP223" s="215">
        <f>IFERROR((BP170-BK170)/(BP123-BK123),"")</f>
        <v>0.57173219978746</v>
      </c>
      <c r="BQ223" s="215">
        <f>IFERROR((BQ170-BL170)/(BQ123-BL123),"")</f>
        <v>0.620723362658847</v>
      </c>
      <c r="BR223" s="215">
        <f>IFERROR((BR170-BM170)/(BR123-BM123),"")</f>
        <v>0.631929046563193</v>
      </c>
      <c r="BS223" s="215">
        <f>IFERROR((BS170-BN170)/(BS123-BN123),"")</f>
        <v>0.630546075085324</v>
      </c>
      <c r="BT223" s="215">
        <f>IFERROR((BT170-BO170)/(BT123-BO123),"")</f>
        <v>0.627737226277372</v>
      </c>
      <c r="BU223" s="215">
        <f>IFERROR((BU170-BP170)/(BU123-BP123),"")</f>
        <v>0.657555049354594</v>
      </c>
      <c r="BV223" s="215">
        <f>IFERROR((BV170-BQ170)/(BV123-BQ123),"")</f>
        <v>0.637759515570934</v>
      </c>
      <c r="BW223" s="215">
        <f>IFERROR((BW170-BR170)/(BW123-BR123),"")</f>
        <v>0.704703832752613</v>
      </c>
      <c r="BX223" s="215">
        <f>IFERROR((BX170-BS170)/(BX123-BS123),"")</f>
        <v>0.695804195804196</v>
      </c>
      <c r="BY223" s="256">
        <f>IFERROR((BY170-BT170)/(BY123-BT123),"")</f>
        <v>0.603355447648773</v>
      </c>
      <c r="BZ223" s="256">
        <f>IFERROR((BZ170-BU170)/(BZ123-BU123),"")</f>
        <v>0.597806891002858</v>
      </c>
      <c r="CA223" s="256">
        <f>IFERROR((CA170-BV170)/(CA123-BV123),"")</f>
        <v>0.652151617934913</v>
      </c>
      <c r="CB223" s="256">
        <f>IFERROR((CB170-CA170)/(CB123-CA123),"")</f>
        <v>0.630365011762909</v>
      </c>
      <c r="CC223" s="256">
        <f>IFERROR((CC170-CB170)/(CC123-CB123),"")</f>
        <v>0.637176404103408</v>
      </c>
      <c r="CD223" s="256">
        <f>IFERROR((CD170-CC170)/(CD123-CC123),"")</f>
        <v>0.643803116015439</v>
      </c>
      <c r="CE223" s="256">
        <f>IFERROR((CE170-CD170)/(CE123-CD123),"")</f>
        <v>0.650522341293977</v>
      </c>
      <c r="CF223" s="153" t="n"/>
    </row>
    <row r="224" ht="15" customHeight="1" s="251">
      <c r="B224" s="25" t="inlineStr">
        <is>
          <t xml:space="preserve">  Adjusted EBITDA margin %</t>
        </is>
      </c>
      <c r="C224" s="215">
        <f>IF(AND(ISNUMBER(C185),ISNUMBER(C123)),IFERROR(C185/C123,""),"")</f>
        <v>0.225273701066182</v>
      </c>
      <c r="D224" s="215">
        <f>IF(AND(ISNUMBER(D185),ISNUMBER(D123)),IFERROR(D185/D123,""),"")</f>
        <v>0.297166461099042</v>
      </c>
      <c r="E224" s="215">
        <f>IF(AND(ISNUMBER(E185),ISNUMBER(E123)),IFERROR(E185/E123,""),"")</f>
        <v>0.41279369340492</v>
      </c>
      <c r="F224" s="215">
        <f>IF(AND(ISNUMBER(F185),ISNUMBER(F123)),IFERROR(F185/F123,""),"")</f>
        <v>0.472373851762533</v>
      </c>
      <c r="G224" s="215">
        <f>IF(AND(ISNUMBER(G185),ISNUMBER(G123)),IFERROR(G185/G123,""),"")</f>
        <v>0.523560209424084</v>
      </c>
      <c r="H224" s="215">
        <f>IF(AND(ISNUMBER(H185),ISNUMBER(H123)),IFERROR(H185/H123,""),"")</f>
        <v>0.547661602621388</v>
      </c>
      <c r="I224" s="215">
        <f>IF(AND(ISNUMBER(I185),ISNUMBER(I123)),IFERROR(I185/I123,""),"")</f>
        <v>0.566499797050467</v>
      </c>
      <c r="J224" s="215">
        <f>IF(AND(ISNUMBER(J185),ISNUMBER(J123)),IFERROR(J185/J123,""),"")</f>
        <v>0.613326337880378</v>
      </c>
      <c r="K224" s="215">
        <f>IF(AND(ISNUMBER(K185),ISNUMBER(K123)),IFERROR(K185/K123,""),"")</f>
        <v>0.614980916030534</v>
      </c>
      <c r="L224" s="215">
        <f>IF(AND(ISNUMBER(L185),ISNUMBER(L123)),IFERROR(L185/L123,""),"")</f>
        <v>0.591523895401262</v>
      </c>
      <c r="M224" s="215">
        <f>IF(AND(ISNUMBER(M185),ISNUMBER(M123)),IFERROR(M185/M123,""),"")</f>
        <v>0.510818438381938</v>
      </c>
      <c r="N224" s="215">
        <f>IF(AND(ISNUMBER(N185),ISNUMBER(N123)),IFERROR(N185/N123,""),"")</f>
        <v>0.581835609872993</v>
      </c>
      <c r="O224" s="215">
        <f>IF(AND(ISNUMBER(O185),ISNUMBER(O123)),IFERROR(O185/O123,""),"")</f>
        <v>0.62379421221865</v>
      </c>
      <c r="P224" s="215">
        <f>IF(AND(ISNUMBER(P185),ISNUMBER(P123)),IFERROR(P185/P123,""),"")</f>
        <v>0.615902397980648</v>
      </c>
      <c r="Q224" s="215">
        <f>IF(AND(ISNUMBER(Q185),ISNUMBER(Q123)),IFERROR(Q185/Q123,""),"")</f>
        <v>0.600479424690372</v>
      </c>
      <c r="R224" s="215">
        <f>IF(AND(ISNUMBER(R185),ISNUMBER(R123)),IFERROR(R185/R123,""),"")</f>
        <v>0.45612582781457</v>
      </c>
      <c r="S224" s="215">
        <f>IF(AND(ISNUMBER(S185),ISNUMBER(S123)),IFERROR(S185/S123,""),"")</f>
        <v>0.57289137548823</v>
      </c>
      <c r="T224" s="215">
        <f>IF(AND(ISNUMBER(T185),ISNUMBER(T123)),IFERROR(T185/T123,""),"")</f>
        <v>0.644843049327354</v>
      </c>
      <c r="U224" s="215">
        <f>IF(AND(ISNUMBER(U185),ISNUMBER(U123)),IFERROR(U185/U123,""),"")</f>
        <v>0.58744769874477</v>
      </c>
      <c r="V224" s="215">
        <f>IF(AND(ISNUMBER(V185),ISNUMBER(V123)),IFERROR(V185/V123,""),"")</f>
        <v>0.609486166007905</v>
      </c>
      <c r="W224" s="215">
        <f>IF(AND(ISNUMBER(W185),ISNUMBER(W123)),IFERROR(W185/W123,""),"")</f>
        <v>0.476758045292014</v>
      </c>
      <c r="X224" s="215">
        <f>IF(AND(ISNUMBER(X185),ISNUMBER(X123)),IFERROR(X185/X123,""),"")</f>
        <v>0.57763525395676</v>
      </c>
      <c r="Y224" s="215">
        <f>IF(AND(ISNUMBER(Y185),ISNUMBER(Y123)),IFERROR(Y185/Y123,""),"")</f>
        <v>0.58994276369583</v>
      </c>
      <c r="Z224" s="215">
        <f>IF(AND(ISNUMBER(Z185),ISNUMBER(Z123)),IFERROR(Z185/Z123,""),"")</f>
        <v>0.58648849294729</v>
      </c>
      <c r="AA224" s="215">
        <f>IF(AND(ISNUMBER(AA185),ISNUMBER(AA123)),IFERROR(AA185/AA123,""),"")</f>
        <v>0.612152777777778</v>
      </c>
      <c r="AB224" s="215">
        <f>IF(AND(ISNUMBER(AB185),ISNUMBER(AB123)),IFERROR(AB185/AB123,""),"")</f>
        <v>0.531567489114659</v>
      </c>
      <c r="AC224" s="215">
        <f>IF(AND(ISNUMBER(AC185),ISNUMBER(AC123)),IFERROR(AC185/AC123,""),"")</f>
        <v>0.580085374907201</v>
      </c>
      <c r="AD224" s="215">
        <f>IF(AND(ISNUMBER(AD185),ISNUMBER(AD123)),IFERROR(AD185/AD123,""),"")</f>
        <v>0.589978054133138</v>
      </c>
      <c r="AE224" s="215">
        <f>IF(AND(ISNUMBER(AE185),ISNUMBER(AE123)),IFERROR(AE185/AE123,""),"")</f>
        <v>0.577792335407796</v>
      </c>
      <c r="AF224" s="215">
        <f>IF(AND(ISNUMBER(AF185),ISNUMBER(AF123)),IFERROR(AF185/AF123,""),"")</f>
        <v>0.605944673337257</v>
      </c>
      <c r="AG224" s="215">
        <f>IF(AND(ISNUMBER(AG185),ISNUMBER(AG123)),IFERROR(AG185/AG123,""),"")</f>
        <v>0.544685990338164</v>
      </c>
      <c r="AH224" s="215">
        <f>IF(AND(ISNUMBER(AH185),ISNUMBER(AH123)),IFERROR(AH185/AH123,""),"")</f>
        <v>0.579339041369929</v>
      </c>
      <c r="AI224" s="215">
        <f>IF(AND(ISNUMBER(AI185),ISNUMBER(AI123)),IFERROR(AI185/AI123,""),"")</f>
        <v>0.575977653631285</v>
      </c>
      <c r="AJ224" s="215">
        <f>IF(AND(ISNUMBER(AJ185),ISNUMBER(AJ123)),IFERROR(AJ185/AJ123,""),"")</f>
        <v>0.621009549795362</v>
      </c>
      <c r="AK224" s="215">
        <f>IF(AND(ISNUMBER(AK185),ISNUMBER(AK123)),IFERROR(AK185/AK123,""),"")</f>
        <v>0.622626988199077</v>
      </c>
      <c r="AL224" s="215">
        <f>IF(AND(ISNUMBER(AL185),ISNUMBER(AL123)),IFERROR(AL185/AL123,""),"")</f>
        <v>0.552666141318624</v>
      </c>
      <c r="AM224" s="215">
        <f>IF(AND(ISNUMBER(AM185),ISNUMBER(AM123)),IFERROR(AM185/AM123,""),"")</f>
        <v>0.593244147157191</v>
      </c>
      <c r="AN224" s="215">
        <f>IF(AND(ISNUMBER(AN185),ISNUMBER(AN123)),IFERROR(AN185/AN123,""),"")</f>
        <v>0.599125739264592</v>
      </c>
      <c r="AO224" s="215">
        <f>IF(AND(ISNUMBER(AO185),ISNUMBER(AO123)),IFERROR(AO185/AO123,""),"")</f>
        <v>0.612448334548991</v>
      </c>
      <c r="AP224" s="215">
        <f>IF(AND(ISNUMBER(AP185),ISNUMBER(AP123)),IFERROR(AP185/AP123,""),"")</f>
        <v>0.625027982986344</v>
      </c>
      <c r="AQ224" s="215">
        <f>IF(AND(ISNUMBER(AQ185),ISNUMBER(AQ123)),IFERROR(AQ185/AQ123,""),"")</f>
        <v>0.576574535568645</v>
      </c>
      <c r="AR224" s="215">
        <f>IF(AND(ISNUMBER(AR185),ISNUMBER(AR123)),IFERROR(AR185/AR123,""),"")</f>
        <v>0.603328792276254</v>
      </c>
      <c r="AS224" s="215">
        <f>IF(AND(ISNUMBER(AS185),ISNUMBER(AS123)),IFERROR(AS185/AS123,""),"")</f>
        <v>0.588924918932402</v>
      </c>
      <c r="AT224" s="215">
        <f>IF(AND(ISNUMBER(AT185),ISNUMBER(AT123)),IFERROR(AT185/AT123,""),"")</f>
        <v>0.56191904047976</v>
      </c>
      <c r="AU224" s="215">
        <f>IF(AND(ISNUMBER(AU185),ISNUMBER(AU123)),IFERROR(AU185/AU123,""),"")</f>
        <v>0.585353140474329</v>
      </c>
      <c r="AV224" s="215">
        <f>IF(AND(ISNUMBER(AV185),ISNUMBER(AV123)),IFERROR(AV185/AV123,""),"")</f>
        <v>0.546844660194175</v>
      </c>
      <c r="AW224" s="215">
        <f>IF(AND(ISNUMBER(AW185),ISNUMBER(AW123)),IFERROR(AW185/AW123,""),"")</f>
        <v>0.570812365204889</v>
      </c>
      <c r="AX224" s="215">
        <f>IF(AND(ISNUMBER(AX185),ISNUMBER(AX123)),IFERROR(AX185/AX123,""),"")</f>
        <v>0.567990373044525</v>
      </c>
      <c r="AY224" s="215">
        <f>IF(AND(ISNUMBER(AY185),ISNUMBER(AY123)),IFERROR(AY185/AY123,""),"")</f>
        <v>0.572879858657244</v>
      </c>
      <c r="AZ224" s="215">
        <f>IF(AND(ISNUMBER(AZ185),ISNUMBER(AZ123)),IFERROR(AZ185/AZ123,""),"")</f>
        <v>0.604613841524574</v>
      </c>
      <c r="BA224" s="215">
        <f>IF(AND(ISNUMBER(BA185),ISNUMBER(BA123)),IFERROR(BA185/BA123,""),"")</f>
        <v>0.578220858895706</v>
      </c>
      <c r="BB224" s="215">
        <f>IF(AND(ISNUMBER(BB185),ISNUMBER(BB123)),IFERROR(BB185/BB123,""),"")</f>
        <v>0.581656428722728</v>
      </c>
      <c r="BC224" s="215">
        <f>IF(AND(ISNUMBER(BC185),ISNUMBER(BC123)),IFERROR(BC185/BC123,""),"")</f>
        <v>0.608863944261661</v>
      </c>
      <c r="BD224" s="215">
        <f>IF(AND(ISNUMBER(BD185),ISNUMBER(BD123)),IFERROR(BD185/BD123,""),"")</f>
        <v>0.612515917773331</v>
      </c>
      <c r="BE224" s="215">
        <f>IF(AND(ISNUMBER(BE185),ISNUMBER(BE123)),IFERROR(BE185/BE123,""),"")</f>
        <v>0.608929812369701</v>
      </c>
      <c r="BF224" s="215">
        <f>IF(AND(ISNUMBER(BF185),ISNUMBER(BF123)),IFERROR(BF185/BF123,""),"")</f>
        <v>0.581571256661509</v>
      </c>
      <c r="BG224" s="215">
        <f>IF(AND(ISNUMBER(BG185),ISNUMBER(BG123)),IFERROR(BG185/BG123,""),"")</f>
        <v>0.602599271484463</v>
      </c>
      <c r="BH224" s="215">
        <f>IF(AND(ISNUMBER(BH185),ISNUMBER(BH123)),IFERROR(BH185/BH123,""),"")</f>
        <v>0.615518441196938</v>
      </c>
      <c r="BI224" s="215">
        <f>IF(AND(ISNUMBER(BI185),ISNUMBER(BI123)),IFERROR(BI185/BI123,""),"")</f>
        <v>0.617004306907003</v>
      </c>
      <c r="BJ224" s="215">
        <f>IF(AND(ISNUMBER(BJ185),ISNUMBER(BJ123)),IFERROR(BJ185/BJ123,""),"")</f>
        <v>0.62069493341497</v>
      </c>
      <c r="BK224" s="215">
        <f>IF(AND(ISNUMBER(BK185),ISNUMBER(BK123)),IFERROR(BK185/BK123,""),"")</f>
        <v>0.59331093463653</v>
      </c>
      <c r="BL224" s="215">
        <f>IF(AND(ISNUMBER(BL185),ISNUMBER(BL123)),IFERROR(BL185/BL123,""),"")</f>
        <v>0.611443142879911</v>
      </c>
      <c r="BM224" s="215">
        <f>IF(AND(ISNUMBER(BM185),ISNUMBER(BM123)),IFERROR(BM185/BM123,""),"")</f>
        <v>0.621613106490233</v>
      </c>
      <c r="BN224" s="215">
        <f>IF(AND(ISNUMBER(BN185),ISNUMBER(BN123)),IFERROR(BN185/BN123,""),"")</f>
        <v>0.626203131733946</v>
      </c>
      <c r="BO224" s="215">
        <f>IF(AND(ISNUMBER(BO185),ISNUMBER(BO123)),IFERROR(BO185/BO123,""),"")</f>
        <v>0.623558149002578</v>
      </c>
      <c r="BP224" s="215">
        <f>IF(AND(ISNUMBER(BP185),ISNUMBER(BP123)),IFERROR(BP185/BP123,""),"")</f>
        <v>0.594071304580051</v>
      </c>
      <c r="BQ224" s="215">
        <f>IF(AND(ISNUMBER(BQ185),ISNUMBER(BQ123)),IFERROR(BQ185/BQ123,""),"")</f>
        <v>0.615933539248056</v>
      </c>
      <c r="BR224" s="215">
        <f>IF(AND(ISNUMBER(BR185),ISNUMBER(BR123)),IFERROR(BR185/BR123,""),"")</f>
        <v>0.631034482758621</v>
      </c>
      <c r="BS224" s="215">
        <f>IF(AND(ISNUMBER(BS185),ISNUMBER(BS123)),IFERROR(BS185/BS123,""),"")</f>
        <v>0.633714496495758</v>
      </c>
      <c r="BT224" s="215">
        <f>IF(AND(ISNUMBER(BT185),ISNUMBER(BT123)),IFERROR(BT185/BT123,""),"")</f>
        <v>0.631713554987212</v>
      </c>
      <c r="BU224" s="215">
        <f>IF(AND(ISNUMBER(BU185),ISNUMBER(BU123)),IFERROR(BU185/BU123,""),"")</f>
        <v>0.611060640472405</v>
      </c>
      <c r="BV224" s="215">
        <f>IF(AND(ISNUMBER(BV185),ISNUMBER(BV123)),IFERROR(BV185/BV123,""),"")</f>
        <v>0.626513372571742</v>
      </c>
      <c r="BW224" s="215">
        <f>IF(AND(ISNUMBER(BW185),ISNUMBER(BW123)),IFERROR(BW185/BW123,""),"")</f>
        <v>0.643962848297214</v>
      </c>
      <c r="BX224" s="215">
        <f>IF(AND(ISNUMBER(BX185),ISNUMBER(BX123)),IFERROR(BX185/BX123,""),"")</f>
        <v>0.64438935000539</v>
      </c>
      <c r="BY224" s="256">
        <f>IF(AND(ISNUMBER(BY185),ISNUMBER(BY123)),IFERROR(BY185/BY123,""),"")</f>
        <v>0.632298114170801</v>
      </c>
      <c r="BZ224" s="256">
        <f>IF(AND(ISNUMBER(BZ185),ISNUMBER(BZ123)),IFERROR(BZ185/BZ123,""),"")</f>
        <v>0.61241659383476</v>
      </c>
      <c r="CA224" s="256">
        <f>IF(AND(ISNUMBER(CA185),ISNUMBER(CA123)),IFERROR(CA185/CA123,""),"")</f>
        <v>0.632652776085412</v>
      </c>
      <c r="CB224" s="256">
        <f>IF(AND(ISNUMBER(CB185),ISNUMBER(CB123)),IFERROR(CB185/CB123,""),"")</f>
        <v>0.63789210969965</v>
      </c>
      <c r="CC224" s="256">
        <f>IF(AND(ISNUMBER(CC185),ISNUMBER(CC123)),IFERROR(CC185/CC123,""),"")</f>
        <v>0.642221869560483</v>
      </c>
      <c r="CD224" s="256">
        <f>IF(AND(ISNUMBER(CD185),ISNUMBER(CD123)),IFERROR(CD185/CD123,""),"")</f>
        <v>0.646505066493559</v>
      </c>
      <c r="CE224" s="256">
        <f>IF(AND(ISNUMBER(CE185),ISNUMBER(CE123)),IFERROR(CE185/CE123,""),"")</f>
        <v>0.650741864598093</v>
      </c>
      <c r="CF224" s="153" t="n"/>
      <c r="CH224" s="37">
        <f>IFERROR(AVERAGE(CA224,CB224,CC224,CD224,CE224),"n/m")</f>
        <v>0.642002737287439</v>
      </c>
      <c r="CI224" s="37">
        <f>IFERROR(AVERAGE(BB224,BG224,BL224,BQ224,BV224),"n/m")</f>
        <v>0.60762915098138</v>
      </c>
      <c r="CJ224" s="37">
        <f>IFERROR(AVERAGE(AC224,AH224,AM224,AR224,AW224,BB224,BG224,BL224,BQ224,BV224),"n/m")</f>
        <v>0.596495547582236</v>
      </c>
      <c r="CK224" s="37">
        <f>IFERROR(AVERAGE(C224,D224,E224,F224,G224,H224,I224,N224,S224,X224,AC224,AH224,AM224,AR224,AW224,BB224,BG224,BL224,BQ224,BV224),"n/m")</f>
        <v>0.537132351578448</v>
      </c>
    </row>
    <row r="225" ht="15" customHeight="1" s="251">
      <c r="B225" s="25" t="inlineStr">
        <is>
          <t xml:space="preserve">  Operating margin (GAAP) %</t>
        </is>
      </c>
      <c r="C225" s="215">
        <f>IF(AND(ISNUMBER(C130),ISNUMBER(C123)),IFERROR(C130/C123,""),"")</f>
        <v>0.0689987655115311</v>
      </c>
      <c r="D225" s="215">
        <f>IF(AND(ISNUMBER(D130),ISNUMBER(D123)),IFERROR(D130/D123,""),"")</f>
        <v>0.272424100802464</v>
      </c>
      <c r="E225" s="215">
        <f>IF(AND(ISNUMBER(E130),ISNUMBER(E123)),IFERROR(E130/E123,""),"")</f>
        <v>-0.10708089590512</v>
      </c>
      <c r="F225" s="215">
        <f>IF(AND(ISNUMBER(F130),ISNUMBER(F123)),IFERROR(F130/F123,""),"")</f>
        <v>0.443272813141587</v>
      </c>
      <c r="G225" s="215">
        <f>IF(AND(ISNUMBER(G130),ISNUMBER(G123)),IFERROR(G130/G123,""),"")</f>
        <v>0.496840584943131</v>
      </c>
      <c r="H225" s="215">
        <f>IF(AND(ISNUMBER(H130),ISNUMBER(H123)),IFERROR(H130/H123,""),"")</f>
        <v>0.404081024724456</v>
      </c>
      <c r="I225" s="215">
        <f>IF(AND(ISNUMBER(I130),ISNUMBER(I123)),IFERROR(I130/I123,""),"")</f>
        <v>0.532674874847788</v>
      </c>
      <c r="J225" s="215">
        <f>IF(AND(ISNUMBER(J130),ISNUMBER(J123)),IFERROR(J130/J123,""),"")</f>
        <v>0.580797481636936</v>
      </c>
      <c r="K225" s="215">
        <f>IF(AND(ISNUMBER(K130),ISNUMBER(K123)),IFERROR(K130/K123,""),"")</f>
        <v>0.58587786259542</v>
      </c>
      <c r="L225" s="215">
        <f>IF(AND(ISNUMBER(L130),ISNUMBER(L123)),IFERROR(L130/L123,""),"")</f>
        <v>0.562669071235347</v>
      </c>
      <c r="M225" s="215">
        <f>IF(AND(ISNUMBER(M130),ISNUMBER(M123)),IFERROR(M130/M123,""),"")</f>
        <v>0.432737535277516</v>
      </c>
      <c r="N225" s="215">
        <f>IF(AND(ISNUMBER(N130),ISNUMBER(N123)),IFERROR(N130/N123,""),"")</f>
        <v>0.539539899352983</v>
      </c>
      <c r="O225" s="215">
        <f>IF(AND(ISNUMBER(O130),ISNUMBER(O123)),IFERROR(O130/O123,""),"")</f>
        <v>0.59026182820395</v>
      </c>
      <c r="P225" s="215">
        <f>IF(AND(ISNUMBER(P130),ISNUMBER(P123)),IFERROR(P130/P123,""),"")</f>
        <v>0.58182583087926</v>
      </c>
      <c r="Q225" s="215">
        <f>IF(AND(ISNUMBER(Q130),ISNUMBER(Q123)),IFERROR(Q130/Q123,""),"")</f>
        <v>0.567319216939672</v>
      </c>
      <c r="R225" s="215">
        <f>IF(AND(ISNUMBER(R130),ISNUMBER(R123)),IFERROR(R130/R123,""),"")</f>
        <v>0.42135761589404</v>
      </c>
      <c r="S225" s="215">
        <f>IF(AND(ISNUMBER(S130),ISNUMBER(S123)),IFERROR(S130/S123,""),"")</f>
        <v>0.539005594848517</v>
      </c>
      <c r="T225" s="215">
        <f>IF(AND(ISNUMBER(T130),ISNUMBER(T123)),IFERROR(T130/T123,""),"")</f>
        <v>0.605829596412556</v>
      </c>
      <c r="U225" s="215">
        <f>IF(AND(ISNUMBER(U130),ISNUMBER(U123)),IFERROR(U130/U123,""),"")</f>
        <v>0.523430962343096</v>
      </c>
      <c r="V225" s="215">
        <f>IF(AND(ISNUMBER(V130),ISNUMBER(V123)),IFERROR(V130/V123,""),"")</f>
        <v>0.541106719367589</v>
      </c>
      <c r="W225" s="215">
        <f>IF(AND(ISNUMBER(W130),ISNUMBER(W123)),IFERROR(W130/W123,""),"")</f>
        <v>0.439809296781883</v>
      </c>
      <c r="X225" s="215">
        <f>IF(AND(ISNUMBER(X130),ISNUMBER(X123)),IFERROR(X130/X123,""),"")</f>
        <v>0.525292231302369</v>
      </c>
      <c r="Y225" s="215">
        <f>IF(AND(ISNUMBER(Y130),ISNUMBER(Y123)),IFERROR(Y130/Y123,""),"")</f>
        <v>0.551103843008994</v>
      </c>
      <c r="Z225" s="215">
        <f>IF(AND(ISNUMBER(Z130),ISNUMBER(Z123)),IFERROR(Z130/Z123,""),"")</f>
        <v>0.512249443207127</v>
      </c>
      <c r="AA225" s="215">
        <f>IF(AND(ISNUMBER(AA130),ISNUMBER(AA123)),IFERROR(AA130/AA123,""),"")</f>
        <v>0.579861111111111</v>
      </c>
      <c r="AB225" s="215">
        <f>IF(AND(ISNUMBER(AB130),ISNUMBER(AB123)),IFERROR(AB130/AB123,""),"")</f>
        <v>0.49455732946299</v>
      </c>
      <c r="AC225" s="215">
        <f>IF(AND(ISNUMBER(AC130),ISNUMBER(AC123)),IFERROR(AC130/AC123,""),"")</f>
        <v>0.534613956941351</v>
      </c>
      <c r="AD225" s="215">
        <f>IF(AND(ISNUMBER(AD130),ISNUMBER(AD123)),IFERROR(AD130/AD123,""),"")</f>
        <v>0.5508412582297</v>
      </c>
      <c r="AE225" s="215">
        <f>IF(AND(ISNUMBER(AE130),ISNUMBER(AE123)),IFERROR(AE130/AE123,""),"")</f>
        <v>0.541434654438257</v>
      </c>
      <c r="AF225" s="215">
        <f>IF(AND(ISNUMBER(AF130),ISNUMBER(AF123)),IFERROR(AF130/AF123,""),"")</f>
        <v>0.571218363743378</v>
      </c>
      <c r="AG225" s="215">
        <f>IF(AND(ISNUMBER(AG130),ISNUMBER(AG123)),IFERROR(AG130/AG123,""),"")</f>
        <v>0.459541062801932</v>
      </c>
      <c r="AH225" s="215">
        <f>IF(AND(ISNUMBER(AH130),ISNUMBER(AH123)),IFERROR(AH130/AH123,""),"")</f>
        <v>0.529887172921501</v>
      </c>
      <c r="AI225" s="215">
        <f>IF(AND(ISNUMBER(AI130),ISNUMBER(AI123)),IFERROR(AI130/AI123,""),"")</f>
        <v>0.509776536312849</v>
      </c>
      <c r="AJ225" s="215">
        <f>IF(AND(ISNUMBER(AJ130),ISNUMBER(AJ123)),IFERROR(AJ130/AJ123,""),"")</f>
        <v>0.528240109140518</v>
      </c>
      <c r="AK225" s="215">
        <f>IF(AND(ISNUMBER(AK130),ISNUMBER(AK123)),IFERROR(AK130/AK123,""),"")</f>
        <v>0.586711133914828</v>
      </c>
      <c r="AL225" s="215">
        <f>IF(AND(ISNUMBER(AL130),ISNUMBER(AL123)),IFERROR(AL130/AL123,""),"")</f>
        <v>0.324139742579459</v>
      </c>
      <c r="AM225" s="215">
        <f>IF(AND(ISNUMBER(AM130),ISNUMBER(AM123)),IFERROR(AM130/AM123,""),"")</f>
        <v>0.487090301003345</v>
      </c>
      <c r="AN225" s="215">
        <f>IF(AND(ISNUMBER(AN130),ISNUMBER(AN123)),IFERROR(AN130/AN123,""),"")</f>
        <v>0.569040884546156</v>
      </c>
      <c r="AO225" s="215">
        <f>IF(AND(ISNUMBER(AO130),ISNUMBER(AO123)),IFERROR(AO130/AO123,""),"")</f>
        <v>0.582786287381473</v>
      </c>
      <c r="AP225" s="215">
        <f>IF(AND(ISNUMBER(AP130),ISNUMBER(AP123)),IFERROR(AP130/AP123,""),"")</f>
        <v>0.594358629952989</v>
      </c>
      <c r="AQ225" s="215">
        <f>IF(AND(ISNUMBER(AQ130),ISNUMBER(AQ123)),IFERROR(AQ130/AQ123,""),"")</f>
        <v>0.543497961033077</v>
      </c>
      <c r="AR225" s="215">
        <f>IF(AND(ISNUMBER(AR130),ISNUMBER(AR123)),IFERROR(AR130/AR123,""),"")</f>
        <v>0.572410116685423</v>
      </c>
      <c r="AS225" s="215">
        <f>IF(AND(ISNUMBER(AS130),ISNUMBER(AS123)),IFERROR(AS130/AS123,""),"")</f>
        <v>0.551509104514842</v>
      </c>
      <c r="AT225" s="215">
        <f>IF(AND(ISNUMBER(AT130),ISNUMBER(AT123)),IFERROR(AT130/AT123,""),"")</f>
        <v>0.51184407796102</v>
      </c>
      <c r="AU225" s="215">
        <f>IF(AND(ISNUMBER(AU130),ISNUMBER(AU123)),IFERROR(AU130/AU123,""),"")</f>
        <v>0.548605681522022</v>
      </c>
      <c r="AV225" s="215">
        <f>IF(AND(ISNUMBER(AV130),ISNUMBER(AV123)),IFERROR(AV130/AV123,""),"")</f>
        <v>0.499514563106796</v>
      </c>
      <c r="AW225" s="215">
        <f>IF(AND(ISNUMBER(AW130),ISNUMBER(AW123)),IFERROR(AW130/AW123,""),"")</f>
        <v>0.528135415985883</v>
      </c>
      <c r="AX225" s="215">
        <f>IF(AND(ISNUMBER(AX130),ISNUMBER(AX123)),IFERROR(AX130/AX123,""),"")</f>
        <v>0.528760529482551</v>
      </c>
      <c r="AY225" s="215">
        <f>IF(AND(ISNUMBER(AY130),ISNUMBER(AY123)),IFERROR(AY130/AY123,""),"")</f>
        <v>0.517005300353357</v>
      </c>
      <c r="AZ225" s="215">
        <f>IF(AND(ISNUMBER(AZ130),ISNUMBER(AZ123)),IFERROR(AZ130/AZ123,""),"")</f>
        <v>0.545035105315948</v>
      </c>
      <c r="BA225" s="215">
        <f>IF(AND(ISNUMBER(BA130),ISNUMBER(BA123)),IFERROR(BA130/BA123,""),"")</f>
        <v>0.541986196319019</v>
      </c>
      <c r="BB225" s="215">
        <f>IF(AND(ISNUMBER(BB130),ISNUMBER(BB123)),IFERROR(BB130/BB123,""),"")</f>
        <v>0.533891124761703</v>
      </c>
      <c r="BC225" s="215">
        <f>IF(AND(ISNUMBER(BC130),ISNUMBER(BC123)),IFERROR(BC130/BC123,""),"")</f>
        <v>0.570930907683375</v>
      </c>
      <c r="BD225" s="215">
        <f>IF(AND(ISNUMBER(BD130),ISNUMBER(BD123)),IFERROR(BD130/BD123,""),"")</f>
        <v>0.549026741859196</v>
      </c>
      <c r="BE225" s="215">
        <f>IF(AND(ISNUMBER(BE130),ISNUMBER(BE123)),IFERROR(BE130/BE123,""),"")</f>
        <v>0.540653231410702</v>
      </c>
      <c r="BF225" s="215">
        <f>IF(AND(ISNUMBER(BF130),ISNUMBER(BF123)),IFERROR(BF130/BF123,""),"")</f>
        <v>0.547361182740244</v>
      </c>
      <c r="BG225" s="215">
        <f>IF(AND(ISNUMBER(BG130),ISNUMBER(BG123)),IFERROR(BG130/BG123,""),"")</f>
        <v>0.551513243692944</v>
      </c>
      <c r="BH225" s="215">
        <f>IF(AND(ISNUMBER(BH130),ISNUMBER(BH123)),IFERROR(BH130/BH123,""),"")</f>
        <v>0.545581071677105</v>
      </c>
      <c r="BI225" s="215">
        <f>IF(AND(ISNUMBER(BI130),ISNUMBER(BI123)),IFERROR(BI130/BI123,""),"")</f>
        <v>0.583187111182007</v>
      </c>
      <c r="BJ225" s="215">
        <f>IF(AND(ISNUMBER(BJ130),ISNUMBER(BJ123)),IFERROR(BJ130/BJ123,""),"")</f>
        <v>0.588397367212613</v>
      </c>
      <c r="BK225" s="215">
        <f>IF(AND(ISNUMBER(BK130),ISNUMBER(BK123)),IFERROR(BK130/BK123,""),"")</f>
        <v>0.514966401954795</v>
      </c>
      <c r="BL225" s="215">
        <f>IF(AND(ISNUMBER(BL130),ISNUMBER(BL123)),IFERROR(BL130/BL123,""),"")</f>
        <v>0.558132122081441</v>
      </c>
      <c r="BM225" s="215">
        <f>IF(AND(ISNUMBER(BM130),ISNUMBER(BM123)),IFERROR(BM130/BM123,""),"")</f>
        <v>0.567737870195337</v>
      </c>
      <c r="BN225" s="215">
        <f>IF(AND(ISNUMBER(BN130),ISNUMBER(BN123)),IFERROR(BN130/BN123,""),"")</f>
        <v>0.57980175262175</v>
      </c>
      <c r="BO225" s="215">
        <f>IF(AND(ISNUMBER(BO130),ISNUMBER(BO123)),IFERROR(BO130/BO123,""),"")</f>
        <v>0.543357307640114</v>
      </c>
      <c r="BP225" s="215">
        <f>IF(AND(ISNUMBER(BP130),ISNUMBER(BP123)),IFERROR(BP130/BP123,""),"")</f>
        <v>0.525837895580184</v>
      </c>
      <c r="BQ225" s="215">
        <f>IF(AND(ISNUMBER(BQ130),ISNUMBER(BQ123)),IFERROR(BQ130/BQ123,""),"")</f>
        <v>0.5532005538396</v>
      </c>
      <c r="BR225" s="215">
        <f>IF(AND(ISNUMBER(BR130),ISNUMBER(BR123)),IFERROR(BR130/BR123,""),"")</f>
        <v>0.572275862068966</v>
      </c>
      <c r="BS225" s="215">
        <f>IF(AND(ISNUMBER(BS130),ISNUMBER(BS123)),IFERROR(BS130/BS123,""),"")</f>
        <v>0.587360137710562</v>
      </c>
      <c r="BT225" s="215">
        <f>IF(AND(ISNUMBER(BT130),ISNUMBER(BT123)),IFERROR(BT130/BT123,""),"")</f>
        <v>0.588351546152058</v>
      </c>
      <c r="BU225" s="215">
        <f>IF(AND(ISNUMBER(BU130),ISNUMBER(BU123)),IFERROR(BU130/BU123,""),"")</f>
        <v>0.557574381103793</v>
      </c>
      <c r="BV225" s="215">
        <f>IF(AND(ISNUMBER(BV130),ISNUMBER(BV123)),IFERROR(BV130/BV123,""),"")</f>
        <v>0.576286176084901</v>
      </c>
      <c r="BW225" s="215">
        <f>IF(AND(ISNUMBER(BW130),ISNUMBER(BW123)),IFERROR(BW130/BW123,""),"")</f>
        <v>0.584305787092165</v>
      </c>
      <c r="BX225" s="215">
        <f>IF(AND(ISNUMBER(BX130),ISNUMBER(BX123)),IFERROR(BX130/BX123,""),"")</f>
        <v>0.60224210412849</v>
      </c>
      <c r="BY225" s="256">
        <f>IF(AND(ISNUMBER(BY130),ISNUMBER(BY123)),IFERROR(BY130/BY123,""),"")</f>
        <v>0.588199776565227</v>
      </c>
      <c r="BZ225" s="256">
        <f>IF(AND(ISNUMBER(BZ130),ISNUMBER(BZ123)),IFERROR(BZ130/BZ123,""),"")</f>
        <v>0.569509982874522</v>
      </c>
      <c r="CA225" s="256">
        <f>IF(AND(ISNUMBER(CA130),ISNUMBER(CA123)),IFERROR(CA130/CA123,""),"")</f>
        <v>0.585847196441164</v>
      </c>
      <c r="CB225" s="256">
        <f>IF(AND(ISNUMBER(CB130),ISNUMBER(CB123)),IFERROR(CB130/CB123,""),"")</f>
        <v>0.591563960583878</v>
      </c>
      <c r="CC225" s="256">
        <f>IF(AND(ISNUMBER(CC130),ISNUMBER(CC123)),IFERROR(CC130/CC123,""),"")</f>
        <v>0.596398979325222</v>
      </c>
      <c r="CD225" s="256">
        <f>IF(AND(ISNUMBER(CD130),ISNUMBER(CD123)),IFERROR(CD130/CD123,""),"")</f>
        <v>0.601144402768545</v>
      </c>
      <c r="CE225" s="256">
        <f>IF(AND(ISNUMBER(CE130),ISNUMBER(CE123)),IFERROR(CE130/CE123,""),"")</f>
        <v>0.60579872577038</v>
      </c>
      <c r="CF225" s="153" t="n"/>
      <c r="CH225" s="37">
        <f>IFERROR(AVERAGE(CA225,CB225,CC225,CD225,CE225),"n/m")</f>
        <v>0.596150652977838</v>
      </c>
      <c r="CI225" s="37">
        <f>IFERROR(AVERAGE(BB225,BG225,BL225,BQ225,BV225),"n/m")</f>
        <v>0.554604644092118</v>
      </c>
      <c r="CJ225" s="37">
        <f>IFERROR(AVERAGE(AC225,AH225,AM225,AR225,AW225,BB225,BG225,BL225,BQ225,BV225),"n/m")</f>
        <v>0.542516018399809</v>
      </c>
      <c r="CK225" s="37">
        <f>IFERROR(AVERAGE(C225,D225,E225,F225,G225,H225,I225,N225,S225,X225,AC225,AH225,AM225,AR225,AW225,BB225,BG225,BL225,BQ225,BV225),"n/m")</f>
        <v>0.45701045887839</v>
      </c>
    </row>
    <row r="226" ht="15" customHeight="1" s="251">
      <c r="B226" s="25" t="inlineStr">
        <is>
          <t xml:space="preserve">  Net margin %</t>
        </is>
      </c>
      <c r="C226" s="215">
        <f>IF(AND(ISNUMBER(C142),ISNUMBER(C123)),IFERROR(C142/C123,""),"")</f>
        <v>0.0150898627029947</v>
      </c>
      <c r="D226" s="215">
        <f>IF(AND(ISNUMBER(D142),ISNUMBER(D123)),IFERROR(D142/D123,""),"")</f>
        <v>0.266959943691598</v>
      </c>
      <c r="E226" s="215">
        <f>IF(AND(ISNUMBER(E142),ISNUMBER(E123)),IFERROR(E142/E123,""),"")</f>
        <v>-0.0508684590111385</v>
      </c>
      <c r="F226" s="215">
        <f>IF(AND(ISNUMBER(F142),ISNUMBER(F123)),IFERROR(F142/F123,""),"")</f>
        <v>0.286844997650374</v>
      </c>
      <c r="G226" s="215">
        <f>IF(AND(ISNUMBER(G142),ISNUMBER(G123)),IFERROR(G142/G123,""),"")</f>
        <v>0.333273153998917</v>
      </c>
      <c r="H226" s="215">
        <f>IF(AND(ISNUMBER(H142),ISNUMBER(H123)),IFERROR(H142/H123,""),"")</f>
        <v>0.283884420613643</v>
      </c>
      <c r="I226" s="215">
        <f>IF(AND(ISNUMBER(I142),ISNUMBER(I123)),IFERROR(I142/I123,""),"")</f>
        <v>0.373291841428765</v>
      </c>
      <c r="J226" s="215">
        <f>IF(AND(ISNUMBER(J142),ISNUMBER(J123)),IFERROR(J142/J123,""),"")</f>
        <v>0.401888772298006</v>
      </c>
      <c r="K226" s="215">
        <f>IF(AND(ISNUMBER(K142),ISNUMBER(K123)),IFERROR(K142/K123,""),"")</f>
        <v>0.404580152671756</v>
      </c>
      <c r="L226" s="215">
        <f>IF(AND(ISNUMBER(L142),ISNUMBER(L123)),IFERROR(L142/L123,""),"")</f>
        <v>0.396302975653742</v>
      </c>
      <c r="M226" s="215">
        <f>IF(AND(ISNUMBER(M142),ISNUMBER(M123)),IFERROR(M142/M123,""),"")</f>
        <v>0.293038570084666</v>
      </c>
      <c r="N226" s="215">
        <f>IF(AND(ISNUMBER(N142),ISNUMBER(N123)),IFERROR(N142/N123,""),"")</f>
        <v>0.373352504193626</v>
      </c>
      <c r="O226" s="215">
        <f>IF(AND(ISNUMBER(O142),ISNUMBER(O123)),IFERROR(O142/O123,""),"")</f>
        <v>0.399632521819017</v>
      </c>
      <c r="P226" s="215">
        <f>IF(AND(ISNUMBER(P142),ISNUMBER(P123)),IFERROR(P142/P123,""),"")</f>
        <v>0.391670172486327</v>
      </c>
      <c r="Q226" s="215">
        <f>IF(AND(ISNUMBER(Q142),ISNUMBER(Q123)),IFERROR(Q142/Q123,""),"")</f>
        <v>0.405513383939273</v>
      </c>
      <c r="R226" s="215">
        <f>IF(AND(ISNUMBER(R142),ISNUMBER(R123)),IFERROR(R142/R123,""),"")</f>
        <v>0.331539735099338</v>
      </c>
      <c r="S226" s="215">
        <f>IF(AND(ISNUMBER(S142),ISNUMBER(S123)),IFERROR(S142/S123,""),"")</f>
        <v>0.381822020479257</v>
      </c>
      <c r="T226" s="215">
        <f>IF(AND(ISNUMBER(T142),ISNUMBER(T123)),IFERROR(T142/T123,""),"")</f>
        <v>0.457399103139013</v>
      </c>
      <c r="U226" s="215">
        <f>IF(AND(ISNUMBER(U142),ISNUMBER(U123)),IFERROR(U142/U123,""),"")</f>
        <v>0.385355648535565</v>
      </c>
      <c r="V226" s="215">
        <f>IF(AND(ISNUMBER(V142),ISNUMBER(V123)),IFERROR(V142/V123,""),"")</f>
        <v>0.386166007905138</v>
      </c>
      <c r="W226" s="215">
        <f>IF(AND(ISNUMBER(W142),ISNUMBER(W123)),IFERROR(W142/W123,""),"")</f>
        <v>0.353595550258244</v>
      </c>
      <c r="X226" s="215">
        <f>IF(AND(ISNUMBER(X142),ISNUMBER(X123)),IFERROR(X142/X123,""),"")</f>
        <v>0.393917451122375</v>
      </c>
      <c r="Y226" s="215">
        <f>IF(AND(ISNUMBER(Y142),ISNUMBER(Y123)),IFERROR(Y142/Y123,""),"")</f>
        <v>0.392068683565004</v>
      </c>
      <c r="Z226" s="215">
        <f>IF(AND(ISNUMBER(Z142),ISNUMBER(Z123)),IFERROR(Z142/Z123,""),"")</f>
        <v>0.364884929472903</v>
      </c>
      <c r="AA226" s="215">
        <f>IF(AND(ISNUMBER(AA142),ISNUMBER(AA123)),IFERROR(AA142/AA123,""),"")</f>
        <v>0.411111111111111</v>
      </c>
      <c r="AB226" s="215">
        <f>IF(AND(ISNUMBER(AB142),ISNUMBER(AB123)),IFERROR(AB142/AB123,""),"")</f>
        <v>0.338534107402032</v>
      </c>
      <c r="AC226" s="215">
        <f>IF(AND(ISNUMBER(AC142),ISNUMBER(AC123)),IFERROR(AC142/AC123,""),"")</f>
        <v>0.376670378619154</v>
      </c>
      <c r="AD226" s="215">
        <f>IF(AND(ISNUMBER(AD142),ISNUMBER(AD123)),IFERROR(AD142/AD123,""),"")</f>
        <v>0.395391367959034</v>
      </c>
      <c r="AE226" s="215">
        <f>IF(AND(ISNUMBER(AE142),ISNUMBER(AE123)),IFERROR(AE142/AE123,""),"")</f>
        <v>0.385522436947265</v>
      </c>
      <c r="AF226" s="215">
        <f>IF(AND(ISNUMBER(AF142),ISNUMBER(AF123)),IFERROR(AF142/AF123,""),"")</f>
        <v>0.420835785756327</v>
      </c>
      <c r="AG226" s="215">
        <f>IF(AND(ISNUMBER(AG142),ISNUMBER(AG123)),IFERROR(AG142/AG123,""),"")</f>
        <v>0.0685386473429952</v>
      </c>
      <c r="AH226" s="215">
        <f>IF(AND(ISNUMBER(AH142),ISNUMBER(AH123)),IFERROR(AH142/AH123,""),"")</f>
        <v>0.313275186044651</v>
      </c>
      <c r="AI226" s="215">
        <f>IF(AND(ISNUMBER(AI142),ISNUMBER(AI123)),IFERROR(AI142/AI123,""),"")</f>
        <v>0.416759776536313</v>
      </c>
      <c r="AJ226" s="215">
        <f>IF(AND(ISNUMBER(AJ142),ISNUMBER(AJ123)),IFERROR(AJ142/AJ123,""),"")</f>
        <v>0.428103683492497</v>
      </c>
      <c r="AK226" s="215">
        <f>IF(AND(ISNUMBER(AK142),ISNUMBER(AK123)),IFERROR(AK142/AK123,""),"")</f>
        <v>0.487172909184197</v>
      </c>
      <c r="AL226" s="215">
        <f>IF(AND(ISNUMBER(AL142),ISNUMBER(AL123)),IFERROR(AL142/AL123,""),"")</f>
        <v>0.236143945363804</v>
      </c>
      <c r="AM226" s="215">
        <f>IF(AND(ISNUMBER(AM142),ISNUMBER(AM123)),IFERROR(AM142/AM123,""),"")</f>
        <v>0.39190635451505</v>
      </c>
      <c r="AN226" s="215">
        <f>IF(AND(ISNUMBER(AN142),ISNUMBER(AN123)),IFERROR(AN142/AN123,""),"")</f>
        <v>0.478786320390846</v>
      </c>
      <c r="AO226" s="215">
        <f>IF(AND(ISNUMBER(AO142),ISNUMBER(AO123)),IFERROR(AO142/AO123,""),"")</f>
        <v>0.49793338195964</v>
      </c>
      <c r="AP226" s="215">
        <f>IF(AND(ISNUMBER(AP142),ISNUMBER(AP123)),IFERROR(AP142/AP123,""),"")</f>
        <v>0.47190508171032</v>
      </c>
      <c r="AQ226" s="215">
        <f>IF(AND(ISNUMBER(AQ142),ISNUMBER(AQ123)),IFERROR(AQ142/AQ123,""),"")</f>
        <v>0.475758948799275</v>
      </c>
      <c r="AR226" s="215">
        <f>IF(AND(ISNUMBER(AR142),ISNUMBER(AR123)),IFERROR(AR142/AR123,""),"")</f>
        <v>0.480838713498786</v>
      </c>
      <c r="AS226" s="215">
        <f>IF(AND(ISNUMBER(AS142),ISNUMBER(AS123)),IFERROR(AS142/AS123,""),"")</f>
        <v>0.422299825392866</v>
      </c>
      <c r="AT226" s="215">
        <f>IF(AND(ISNUMBER(AT142),ISNUMBER(AT123)),IFERROR(AT142/AT123,""),"")</f>
        <v>0.425787106446777</v>
      </c>
      <c r="AU226" s="215">
        <f>IF(AND(ISNUMBER(AU142),ISNUMBER(AU123)),IFERROR(AU142/AU123,""),"")</f>
        <v>0.394318477977587</v>
      </c>
      <c r="AV226" s="215">
        <f>IF(AND(ISNUMBER(AV142),ISNUMBER(AV123)),IFERROR(AV142/AV123,""),"")</f>
        <v>0.433252427184466</v>
      </c>
      <c r="AW226" s="215">
        <f>IF(AND(ISNUMBER(AW142),ISNUMBER(AW123)),IFERROR(AW142/AW123,""),"")</f>
        <v>0.418992222730541</v>
      </c>
      <c r="AX226" s="215">
        <f>IF(AND(ISNUMBER(AX142),ISNUMBER(AX123)),IFERROR(AX142/AX123,""),"")</f>
        <v>0.439951865222623</v>
      </c>
      <c r="AY226" s="215">
        <f>IF(AND(ISNUMBER(AY142),ISNUMBER(AY123)),IFERROR(AY142/AY123,""),"")</f>
        <v>0.456272084805654</v>
      </c>
      <c r="AZ226" s="215">
        <f>IF(AND(ISNUMBER(AZ142),ISNUMBER(AZ123)),IFERROR(AZ142/AZ123,""),"")</f>
        <v>0.484252758274824</v>
      </c>
      <c r="BA226" s="215">
        <f>IF(AND(ISNUMBER(BA142),ISNUMBER(BA123)),IFERROR(BA142/BA123,""),"")</f>
        <v>0.456096625766871</v>
      </c>
      <c r="BB226" s="215">
        <f>IF(AND(ISNUMBER(BB142),ISNUMBER(BB123)),IFERROR(BB142/BB123,""),"")</f>
        <v>0.460019063757679</v>
      </c>
      <c r="BC226" s="215">
        <f>IF(AND(ISNUMBER(BC142),ISNUMBER(BC123)),IFERROR(BC142/BC123,""),"")</f>
        <v>0.509192955293207</v>
      </c>
      <c r="BD226" s="215">
        <f>IF(AND(ISNUMBER(BD142),ISNUMBER(BD123)),IFERROR(BD142/BD123,""),"")</f>
        <v>0.413862106603602</v>
      </c>
      <c r="BE226" s="215">
        <f>IF(AND(ISNUMBER(BE142),ISNUMBER(BE123)),IFERROR(BE142/BE123,""),"")</f>
        <v>0.434155663655316</v>
      </c>
      <c r="BF226" s="215">
        <f>IF(AND(ISNUMBER(BF142),ISNUMBER(BF123)),IFERROR(BF142/BF123,""),"")</f>
        <v>0.434072545985903</v>
      </c>
      <c r="BG226" s="215">
        <f>IF(AND(ISNUMBER(BG142),ISNUMBER(BG123)),IFERROR(BG142/BG123,""),"")</f>
        <v>0.446553042226919</v>
      </c>
      <c r="BH226" s="215">
        <f>IF(AND(ISNUMBER(BH142),ISNUMBER(BH123)),IFERROR(BH142/BH123,""),"")</f>
        <v>0.410751565762004</v>
      </c>
      <c r="BI226" s="215">
        <f>IF(AND(ISNUMBER(BI142),ISNUMBER(BI123)),IFERROR(BI142/BI123,""),"")</f>
        <v>0.45382038602648</v>
      </c>
      <c r="BJ226" s="215">
        <f>IF(AND(ISNUMBER(BJ142),ISNUMBER(BJ123)),IFERROR(BJ142/BJ123,""),"")</f>
        <v>0.489514771161794</v>
      </c>
      <c r="BK226" s="215">
        <f>IF(AND(ISNUMBER(BK142),ISNUMBER(BK123)),IFERROR(BK142/BK123,""),"")</f>
        <v>0.42623701893708</v>
      </c>
      <c r="BL226" s="215">
        <f>IF(AND(ISNUMBER(BL142),ISNUMBER(BL123)),IFERROR(BL142/BL123,""),"")</f>
        <v>0.446051478205435</v>
      </c>
      <c r="BM226" s="215">
        <f>IF(AND(ISNUMBER(BM142),ISNUMBER(BM123)),IFERROR(BM142/BM123,""),"")</f>
        <v>0.474322621298047</v>
      </c>
      <c r="BN226" s="215">
        <f>IF(AND(ISNUMBER(BN142),ISNUMBER(BN123)),IFERROR(BN142/BN123,""),"")</f>
        <v>0.468036201695159</v>
      </c>
      <c r="BO226" s="215">
        <f>IF(AND(ISNUMBER(BO142),ISNUMBER(BO123)),IFERROR(BO142/BO123,""),"")</f>
        <v>0.442800922784638</v>
      </c>
      <c r="BP226" s="215">
        <f>IF(AND(ISNUMBER(BP142),ISNUMBER(BP123)),IFERROR(BP142/BP123,""),"")</f>
        <v>0.446254506609694</v>
      </c>
      <c r="BQ226" s="215">
        <f>IF(AND(ISNUMBER(BQ142),ISNUMBER(BQ123)),IFERROR(BQ142/BQ123,""),"")</f>
        <v>0.457059679767103</v>
      </c>
      <c r="BR226" s="215">
        <f>IF(AND(ISNUMBER(BR142),ISNUMBER(BR123)),IFERROR(BR142/BR123,""),"")</f>
        <v>0.452413793103448</v>
      </c>
      <c r="BS226" s="215">
        <f>IF(AND(ISNUMBER(BS142),ISNUMBER(BS123)),IFERROR(BS142/BS123,""),"")</f>
        <v>0.455059633591541</v>
      </c>
      <c r="BT226" s="215">
        <f>IF(AND(ISNUMBER(BT142),ISNUMBER(BT123)),IFERROR(BT142/BT123,""),"")</f>
        <v>0.456521739130435</v>
      </c>
      <c r="BU226" s="215">
        <f>IF(AND(ISNUMBER(BU142),ISNUMBER(BU123)),IFERROR(BU142/BU123,""),"")</f>
        <v>0.461049284578696</v>
      </c>
      <c r="BV226" s="215">
        <f>IF(AND(ISNUMBER(BV142),ISNUMBER(BV123)),IFERROR(BV142/BV123,""),"")</f>
        <v>0.456466713427465</v>
      </c>
      <c r="BW226" s="215">
        <f>IF(AND(ISNUMBER(BW142),ISNUMBER(BW123)),IFERROR(BW142/BW123,""),"")</f>
        <v>0.462252917361277</v>
      </c>
      <c r="BX226" s="215">
        <f>IF(AND(ISNUMBER(BX142),ISNUMBER(BX123)),IFERROR(BX142/BX123,""),"")</f>
        <v>0.472997736337178</v>
      </c>
      <c r="BY226" s="256">
        <f>IF(AND(ISNUMBER(BY142),ISNUMBER(BY123)),IFERROR(BY142/BY123,""),"")</f>
        <v>0.457307593429228</v>
      </c>
      <c r="BZ226" s="256">
        <f>IF(AND(ISNUMBER(BZ142),ISNUMBER(BZ123)),IFERROR(BZ142/BZ123,""),"")</f>
        <v>0.442727861175424</v>
      </c>
      <c r="CA226" s="256">
        <f>IF(AND(ISNUMBER(CA142),ISNUMBER(CA123)),IFERROR(CA142/CA123,""),"")</f>
        <v>0.458454159080128</v>
      </c>
      <c r="CB226" s="256">
        <f>IF(AND(ISNUMBER(CB142),ISNUMBER(CB123)),IFERROR(CB142/CB123,""),"")</f>
        <v>0.462145025710376</v>
      </c>
      <c r="CC226" s="256">
        <f>IF(AND(ISNUMBER(CC142),ISNUMBER(CC123)),IFERROR(CC142/CC123,""),"")</f>
        <v>0.466007482063149</v>
      </c>
      <c r="CD226" s="256">
        <f>IF(AND(ISNUMBER(CD142),ISNUMBER(CD123)),IFERROR(CD142/CD123,""),"")</f>
        <v>0.469304895831603</v>
      </c>
      <c r="CE226" s="256">
        <f>IF(AND(ISNUMBER(CE142),ISNUMBER(CE123)),IFERROR(CE142/CE123,""),"")</f>
        <v>0.47253788035595</v>
      </c>
      <c r="CF226" s="153" t="n"/>
      <c r="CH226" s="37">
        <f>IFERROR(AVERAGE(CA226,CB226,CC226,CD226,CE226),"n/m")</f>
        <v>0.465689888608241</v>
      </c>
      <c r="CI226" s="37">
        <f>IFERROR(AVERAGE(BB226,BG226,BL226,BQ226,BV226),"n/m")</f>
        <v>0.45322999547692</v>
      </c>
      <c r="CJ226" s="37">
        <f>IFERROR(AVERAGE(AC226,AH226,AM226,AR226,AW226,BB226,BG226,BL226,BQ226,BV226),"n/m")</f>
        <v>0.424783283279278</v>
      </c>
      <c r="CK226" s="37">
        <f>IFERROR(AVERAGE(C226,D226,E226,F226,G226,H226,I226,N226,S226,X226,AC226,AH226,AM226,AR226,AW226,BB226,BG226,BL226,BQ226,BV226),"n/m")</f>
        <v>0.34527002848316</v>
      </c>
    </row>
    <row r="227" ht="15" customHeight="1" s="251">
      <c r="B227" s="25" t="inlineStr">
        <is>
          <t xml:space="preserve">  G&amp;A % of net revenue</t>
        </is>
      </c>
      <c r="C227" s="215">
        <f>IF(AND(ISNUMBER(C124),ISNUMBER(C123)),IFERROR(C124/C123,""),"")</f>
        <v>0.452541043885374</v>
      </c>
      <c r="D227" s="215">
        <f>IF(AND(ISNUMBER(D124),ISNUMBER(D123)),IFERROR(D124/D123,""),"")</f>
        <v>0.43229138368851</v>
      </c>
      <c r="E227" s="215">
        <f>IF(AND(ISNUMBER(E124),ISNUMBER(E123)),IFERROR(E124/E123,""),"")</f>
        <v>0.383379878195368</v>
      </c>
      <c r="F227" s="215">
        <f>IF(AND(ISNUMBER(F124),ISNUMBER(F123)),IFERROR(F124/F123,""),"")</f>
        <v>0.379504593734383</v>
      </c>
      <c r="G227" s="215">
        <f>IF(AND(ISNUMBER(G124),ISNUMBER(G123)),IFERROR(G124/G123,""),"")</f>
        <v>0.334356382018415</v>
      </c>
      <c r="H227" s="215">
        <f>IF(AND(ISNUMBER(H124),ISNUMBER(H123)),IFERROR(H124/H123,""),"")</f>
        <v>0.327077747989276</v>
      </c>
      <c r="I227" s="215">
        <f>IF(AND(ISNUMBER(I124),ISNUMBER(I123)),IFERROR(I124/I123,""),"")</f>
        <v>0.328642944121229</v>
      </c>
      <c r="J227" s="215">
        <f>IF(AND(ISNUMBER(J124),ISNUMBER(J123)),IFERROR(J124/J123,""),"")</f>
        <v>0.318992654774397</v>
      </c>
      <c r="K227" s="215">
        <f>IF(AND(ISNUMBER(K124),ISNUMBER(K123)),IFERROR(K124/K123,""),"")</f>
        <v>0.296278625954198</v>
      </c>
      <c r="L227" s="215">
        <f>IF(AND(ISNUMBER(L124),ISNUMBER(L123)),IFERROR(L124/L123,""),"")</f>
        <v>0.31605049594229</v>
      </c>
      <c r="M227" s="215">
        <f>IF(AND(ISNUMBER(M124),ISNUMBER(M123)),IFERROR(M124/M123,""),"")</f>
        <v>0.338193791157103</v>
      </c>
      <c r="N227" s="215">
        <f>IF(AND(ISNUMBER(N124),ISNUMBER(N123)),IFERROR(N124/N123,""),"")</f>
        <v>0.317397555715313</v>
      </c>
      <c r="O227" s="215">
        <f>IF(AND(ISNUMBER(O124),ISNUMBER(O123)),IFERROR(O124/O123,""),"")</f>
        <v>0.307762976573266</v>
      </c>
      <c r="P227" s="215">
        <f>IF(AND(ISNUMBER(P124),ISNUMBER(P123)),IFERROR(P124/P123,""),"")</f>
        <v>0.311316785864535</v>
      </c>
      <c r="Q227" s="215">
        <f>IF(AND(ISNUMBER(Q124),ISNUMBER(Q123)),IFERROR(Q124/Q123,""),"")</f>
        <v>0.318417898521774</v>
      </c>
      <c r="R227" s="215">
        <f>IF(AND(ISNUMBER(R124),ISNUMBER(R123)),IFERROR(R124/R123,""),"")</f>
        <v>0.404387417218543</v>
      </c>
      <c r="S227" s="215">
        <f>IF(AND(ISNUMBER(S124),ISNUMBER(S123)),IFERROR(S124/S123,""),"")</f>
        <v>0.336113163728492</v>
      </c>
      <c r="T227" s="215">
        <f>IF(AND(ISNUMBER(T124),ISNUMBER(T123)),IFERROR(T124/T123,""),"")</f>
        <v>0.291479820627803</v>
      </c>
      <c r="U227" s="215">
        <f>IF(AND(ISNUMBER(U124),ISNUMBER(U123)),IFERROR(U124/U123,""),"")</f>
        <v>0.338912133891213</v>
      </c>
      <c r="V227" s="215">
        <f>IF(AND(ISNUMBER(V124),ISNUMBER(V123)),IFERROR(V124/V123,""),"")</f>
        <v>0.34901185770751</v>
      </c>
      <c r="W227" s="215">
        <f>IF(AND(ISNUMBER(W124),ISNUMBER(W123)),IFERROR(W124/W123,""),"")</f>
        <v>0.396503774334525</v>
      </c>
      <c r="X227" s="215">
        <f>IF(AND(ISNUMBER(X124),ISNUMBER(X123)),IFERROR(X124/X123,""),"")</f>
        <v>0.345608772111307</v>
      </c>
      <c r="Y227" s="215">
        <f>IF(AND(ISNUMBER(Y124),ISNUMBER(Y123)),IFERROR(Y124/Y123,""),"")</f>
        <v>0.354865085854456</v>
      </c>
      <c r="Z227" s="215">
        <f>IF(AND(ISNUMBER(Z124),ISNUMBER(Z123)),IFERROR(Z124/Z123,""),"")</f>
        <v>0.345211581291759</v>
      </c>
      <c r="AA227" s="215">
        <f>IF(AND(ISNUMBER(AA124),ISNUMBER(AA123)),IFERROR(AA124/AA123,""),"")</f>
        <v>0.323958333333333</v>
      </c>
      <c r="AB227" s="215">
        <f>IF(AND(ISNUMBER(AB124),ISNUMBER(AB123)),IFERROR(AB124/AB123,""),"")</f>
        <v>0.356676342525399</v>
      </c>
      <c r="AC227" s="215">
        <f>IF(AND(ISNUMBER(AC124),ISNUMBER(AC123)),IFERROR(AC124/AC123,""),"")</f>
        <v>0.344654788418708</v>
      </c>
      <c r="AD227" s="215">
        <f>IF(AND(ISNUMBER(AD124),ISNUMBER(AD123)),IFERROR(AD124/AD123,""),"")</f>
        <v>0.347841989758596</v>
      </c>
      <c r="AE227" s="215">
        <f>IF(AND(ISNUMBER(AE124),ISNUMBER(AE123)),IFERROR(AE124/AE123,""),"")</f>
        <v>0.352112676056338</v>
      </c>
      <c r="AF227" s="215">
        <f>IF(AND(ISNUMBER(AF124),ISNUMBER(AF123)),IFERROR(AF124/AF123,""),"")</f>
        <v>0.334314302530901</v>
      </c>
      <c r="AG227" s="215">
        <f>IF(AND(ISNUMBER(AG124),ISNUMBER(AG123)),IFERROR(AG124/AG123,""),"")</f>
        <v>0.411835748792271</v>
      </c>
      <c r="AH227" s="215">
        <f>IF(AND(ISNUMBER(AH124),ISNUMBER(AH123)),IFERROR(AH124/AH123,""),"")</f>
        <v>0.362166920060815</v>
      </c>
      <c r="AI227" s="215">
        <f>IF(AND(ISNUMBER(AI124),ISNUMBER(AI123)),IFERROR(AI124/AI123,""),"")</f>
        <v>0.36145251396648</v>
      </c>
      <c r="AJ227" s="215">
        <f>IF(AND(ISNUMBER(AJ124),ISNUMBER(AJ123)),IFERROR(AJ124/AJ123,""),"")</f>
        <v>0.314870395634379</v>
      </c>
      <c r="AK227" s="215">
        <f>IF(AND(ISNUMBER(AK124),ISNUMBER(AK123)),IFERROR(AK124/AK123,""),"")</f>
        <v>0.31708568496665</v>
      </c>
      <c r="AL227" s="215">
        <f>IF(AND(ISNUMBER(AL124),ISNUMBER(AL123)),IFERROR(AL124/AL123,""),"")</f>
        <v>0.368006304176517</v>
      </c>
      <c r="AM227" s="215">
        <f>IF(AND(ISNUMBER(AM124),ISNUMBER(AM123)),IFERROR(AM124/AM123,""),"")</f>
        <v>0.346086956521739</v>
      </c>
      <c r="AN227" s="215">
        <f>IF(AND(ISNUMBER(AN124),ISNUMBER(AN123)),IFERROR(AN124/AN123,""),"")</f>
        <v>0.351504242735922</v>
      </c>
      <c r="AO227" s="215">
        <f>IF(AND(ISNUMBER(AO124),ISNUMBER(AO123)),IFERROR(AO124/AO123,""),"")</f>
        <v>0.332847070265013</v>
      </c>
      <c r="AP227" s="215">
        <f>IF(AND(ISNUMBER(AP124),ISNUMBER(AP123)),IFERROR(AP124/AP123,""),"")</f>
        <v>0.324154913812402</v>
      </c>
      <c r="AQ227" s="215">
        <f>IF(AND(ISNUMBER(AQ124),ISNUMBER(AQ123)),IFERROR(AQ124/AQ123,""),"")</f>
        <v>0.357725419120979</v>
      </c>
      <c r="AR227" s="215">
        <f>IF(AND(ISNUMBER(AR124),ISNUMBER(AR123)),IFERROR(AR124/AR123,""),"")</f>
        <v>0.34134928626429</v>
      </c>
      <c r="AS227" s="215">
        <f>IF(AND(ISNUMBER(AS124),ISNUMBER(AS123)),IFERROR(AS124/AS123,""),"")</f>
        <v>0.372661511598903</v>
      </c>
      <c r="AT227" s="215">
        <f>IF(AND(ISNUMBER(AT124),ISNUMBER(AT123)),IFERROR(AT124/AT123,""),"")</f>
        <v>0.410194902548726</v>
      </c>
      <c r="AU227" s="215">
        <f>IF(AND(ISNUMBER(AU124),ISNUMBER(AU123)),IFERROR(AU124/AU123,""),"")</f>
        <v>0.370862653114412</v>
      </c>
      <c r="AV227" s="215">
        <f>IF(AND(ISNUMBER(AV124),ISNUMBER(AV123)),IFERROR(AV124/AV123,""),"")</f>
        <v>0.394417475728155</v>
      </c>
      <c r="AW227" s="215">
        <f>IF(AND(ISNUMBER(AW124),ISNUMBER(AW123)),IFERROR(AW124/AW123,""),"")</f>
        <v>0.386249264753938</v>
      </c>
      <c r="AX227" s="215">
        <f>IF(AND(ISNUMBER(AX124),ISNUMBER(AX123)),IFERROR(AX124/AX123,""),"")</f>
        <v>0.403369434416366</v>
      </c>
      <c r="AY227" s="215">
        <f>IF(AND(ISNUMBER(AY124),ISNUMBER(AY123)),IFERROR(AY124/AY123,""),"")</f>
        <v>0.379416961130742</v>
      </c>
      <c r="AZ227" s="215">
        <f>IF(AND(ISNUMBER(AZ124),ISNUMBER(AZ123)),IFERROR(AZ124/AZ123,""),"")</f>
        <v>0.367301905717151</v>
      </c>
      <c r="BA227" s="215">
        <f>IF(AND(ISNUMBER(BA124),ISNUMBER(BA123)),IFERROR(BA124/BA123,""),"")</f>
        <v>0.356978527607362</v>
      </c>
      <c r="BB227" s="215">
        <f>IF(AND(ISNUMBER(BB124),ISNUMBER(BB123)),IFERROR(BB124/BB123,""),"")</f>
        <v>0.375291251853421</v>
      </c>
      <c r="BC227" s="215">
        <f>IF(AND(ISNUMBER(BC124),ISNUMBER(BC123)),IFERROR(BC124/BC123,""),"")</f>
        <v>0.356880201277337</v>
      </c>
      <c r="BD227" s="215">
        <f>IF(AND(ISNUMBER(BD124),ISNUMBER(BD123)),IFERROR(BD124/BD123,""),"")</f>
        <v>0.354193196288885</v>
      </c>
      <c r="BE227" s="215">
        <f>IF(AND(ISNUMBER(BE124),ISNUMBER(BE123)),IFERROR(BE124/BE123,""),"")</f>
        <v>0.359451007644197</v>
      </c>
      <c r="BF227" s="215">
        <f>IF(AND(ISNUMBER(BF124),ISNUMBER(BF123)),IFERROR(BF124/BF123,""),"")</f>
        <v>0.381296200790786</v>
      </c>
      <c r="BG227" s="215">
        <f>IF(AND(ISNUMBER(BG124),ISNUMBER(BG123)),IFERROR(BG124/BG123,""),"")</f>
        <v>0.36326842649638</v>
      </c>
      <c r="BH227" s="215">
        <f>IF(AND(ISNUMBER(BH124),ISNUMBER(BH123)),IFERROR(BH124/BH123,""),"")</f>
        <v>0.355427974947808</v>
      </c>
      <c r="BI227" s="215">
        <f>IF(AND(ISNUMBER(BI124),ISNUMBER(BI123)),IFERROR(BI124/BI123,""),"")</f>
        <v>0.350933163183921</v>
      </c>
      <c r="BJ227" s="215">
        <f>IF(AND(ISNUMBER(BJ124),ISNUMBER(BJ123)),IFERROR(BJ124/BJ123,""),"")</f>
        <v>0.349762742997092</v>
      </c>
      <c r="BK227" s="215">
        <f>IF(AND(ISNUMBER(BK124),ISNUMBER(BK123)),IFERROR(BK124/BK123,""),"")</f>
        <v>0.366371411117899</v>
      </c>
      <c r="BL227" s="215">
        <f>IF(AND(ISNUMBER(BL124),ISNUMBER(BL123)),IFERROR(BL124/BL123,""),"")</f>
        <v>0.355685712008925</v>
      </c>
      <c r="BM227" s="215">
        <f>IF(AND(ISNUMBER(BM124),ISNUMBER(BM123)),IFERROR(BM124/BM123,""),"")</f>
        <v>0.360113421550095</v>
      </c>
      <c r="BN227" s="215">
        <f>IF(AND(ISNUMBER(BN124),ISNUMBER(BN123)),IFERROR(BN124/BN123,""),"")</f>
        <v>0.347363884499354</v>
      </c>
      <c r="BO227" s="215">
        <f>IF(AND(ISNUMBER(BO124),ISNUMBER(BO123)),IFERROR(BO124/BO123,""),"")</f>
        <v>0.372370742298819</v>
      </c>
      <c r="BP227" s="215">
        <f>IF(AND(ISNUMBER(BP124),ISNUMBER(BP123)),IFERROR(BP124/BP123,""),"")</f>
        <v>0.366537588463079</v>
      </c>
      <c r="BQ227" s="215">
        <f>IF(AND(ISNUMBER(BQ124),ISNUMBER(BQ123)),IFERROR(BQ124/BQ123,""),"")</f>
        <v>0.361877374232258</v>
      </c>
      <c r="BR227" s="215">
        <f>IF(AND(ISNUMBER(BR124),ISNUMBER(BR123)),IFERROR(BR124/BR123,""),"")</f>
        <v>0.348</v>
      </c>
      <c r="BS227" s="215">
        <f>IF(AND(ISNUMBER(BS124),ISNUMBER(BS123)),IFERROR(BS124/BS123,""),"")</f>
        <v>0.3400959055699</v>
      </c>
      <c r="BT227" s="215">
        <f>IF(AND(ISNUMBER(BT124),ISNUMBER(BT123)),IFERROR(BT124/BT123,""),"")</f>
        <v>0.33980469658219</v>
      </c>
      <c r="BU227" s="215">
        <f>IF(AND(ISNUMBER(BU124),ISNUMBER(BU123)),IFERROR(BU124/BU123,""),"")</f>
        <v>0.352714058596412</v>
      </c>
      <c r="BV227" s="215">
        <f>IF(AND(ISNUMBER(BV124),ISNUMBER(BV123)),IFERROR(BV124/BV123,""),"")</f>
        <v>0.345155682961788</v>
      </c>
      <c r="BW227" s="215">
        <f>IF(AND(ISNUMBER(BW124),ISNUMBER(BW123)),IFERROR(BW124/BW123,""),"")</f>
        <v>0.361871874255775</v>
      </c>
      <c r="BX227" s="215">
        <f>IF(AND(ISNUMBER(BX124),ISNUMBER(BX123)),IFERROR(BX124/BX123,""),"")</f>
        <v>0.33221946750027</v>
      </c>
      <c r="BY227" s="256">
        <f>IF(AND(ISNUMBER(BY124),ISNUMBER(BY123)),IFERROR(BY124/BY123,""),"")</f>
        <v>0.342014106861576</v>
      </c>
      <c r="BZ227" s="256">
        <f>IF(AND(ISNUMBER(BZ124),ISNUMBER(BZ123)),IFERROR(BZ124/BZ123,""),"")</f>
        <v>0.354152074697032</v>
      </c>
      <c r="CA227" s="256">
        <f>IF(AND(ISNUMBER(CA124),ISNUMBER(CA123)),IFERROR(CA124/CA123,""),"")</f>
        <v>0.347283901041301</v>
      </c>
      <c r="CB227" s="256">
        <f>IF(AND(ISNUMBER(CB124),ISNUMBER(CB123)),IFERROR(CB124/CB123,""),"")</f>
        <v>0.33510789030035</v>
      </c>
      <c r="CC227" s="256">
        <f>IF(AND(ISNUMBER(CC124),ISNUMBER(CC123)),IFERROR(CC124/CC123,""),"")</f>
        <v>0.330778130439517</v>
      </c>
      <c r="CD227" s="256">
        <f>IF(AND(ISNUMBER(CD124),ISNUMBER(CD123)),IFERROR(CD124/CD123,""),"")</f>
        <v>0.326494933506442</v>
      </c>
      <c r="CE227" s="256">
        <f>IF(AND(ISNUMBER(CE124),ISNUMBER(CE123)),IFERROR(CE124/CE123,""),"")</f>
        <v>0.322258135401907</v>
      </c>
      <c r="CF227" s="153" t="n"/>
      <c r="CH227" s="37">
        <f>IFERROR(AVERAGE(CA227,CB227,CC227,CD227,CE227),"n/m")</f>
        <v>0.332384598137903</v>
      </c>
      <c r="CI227" s="37">
        <f>IFERROR(AVERAGE(BB227,BG227,BL227,BQ227,BV227),"n/m")</f>
        <v>0.360255689510554</v>
      </c>
      <c r="CJ227" s="37">
        <f>IFERROR(AVERAGE(AC227,AH227,AM227,AR227,AW227,BB227,BG227,BL227,BQ227,BV227),"n/m")</f>
        <v>0.358178566357226</v>
      </c>
      <c r="CK227" s="37">
        <f>IFERROR(AVERAGE(C227,D227,E227,F227,G227,H227,I227,N227,S227,X227,AC227,AH227,AM227,AR227,AW227,BB227,BG227,BL227,BQ227,BV227),"n/m")</f>
        <v>0.360934956437996</v>
      </c>
    </row>
    <row r="228" ht="15" customHeight="1" s="251">
      <c r="B228" s="25" t="inlineStr">
        <is>
          <t xml:space="preserve">  Advertising &amp; marketing % of net revenue</t>
        </is>
      </c>
      <c r="C228" s="215">
        <f>IF(AND(ISNUMBER(C125),ISNUMBER(C123)),IFERROR(C125/C123,""),"")</f>
        <v>0.316249728659074</v>
      </c>
      <c r="D228" s="215">
        <f>IF(AND(ISNUMBER(D125),ISNUMBER(D123)),IFERROR(D125/D123,""),"")</f>
        <v>0.265526911576092</v>
      </c>
      <c r="E228" s="215">
        <f>IF(AND(ISNUMBER(E125),ISNUMBER(E123)),IFERROR(E125/E123,""),"")</f>
        <v>0.203857480567353</v>
      </c>
      <c r="F228" s="215">
        <f>IF(AND(ISNUMBER(F125),ISNUMBER(F123)),IFERROR(F125/F123,""),"")</f>
        <v>0.148171567408374</v>
      </c>
      <c r="G228" s="215">
        <f>IF(AND(ISNUMBER(G125),ISNUMBER(G123)),IFERROR(G125/G123,""),"")</f>
        <v>0.141180718541253</v>
      </c>
      <c r="H228" s="215">
        <f>IF(AND(ISNUMBER(H125),ISNUMBER(H123)),IFERROR(H125/H123,""),"")</f>
        <v>0.125260649389336</v>
      </c>
      <c r="I228" s="215">
        <f>IF(AND(ISNUMBER(I125),ISNUMBER(I123)),IFERROR(I125/I123,""),"")</f>
        <v>0.104857258828305</v>
      </c>
      <c r="J228" s="215">
        <f>IF(AND(ISNUMBER(J125),ISNUMBER(J123)),IFERROR(J125/J123,""),"")</f>
        <v>0.0676810073452256</v>
      </c>
      <c r="K228" s="215">
        <f>IF(AND(ISNUMBER(K125),ISNUMBER(K123)),IFERROR(K125/K123,""),"")</f>
        <v>0.0887404580152672</v>
      </c>
      <c r="L228" s="215">
        <f>IF(AND(ISNUMBER(L125),ISNUMBER(L123)),IFERROR(L125/L123,""),"")</f>
        <v>0.0924256086564473</v>
      </c>
      <c r="M228" s="215">
        <f>IF(AND(ISNUMBER(M125),ISNUMBER(M123)),IFERROR(M125/M123,""),"")</f>
        <v>0.15098777046096</v>
      </c>
      <c r="N228" s="215">
        <f>IF(AND(ISNUMBER(N125),ISNUMBER(N123)),IFERROR(N125/N123,""),"")</f>
        <v>0.100766834411694</v>
      </c>
      <c r="O228" s="215">
        <f>IF(AND(ISNUMBER(O125),ISNUMBER(O123)),IFERROR(O125/O123,""),"")</f>
        <v>0.0684428112080845</v>
      </c>
      <c r="P228" s="215">
        <f>IF(AND(ISNUMBER(P125),ISNUMBER(P123)),IFERROR(P125/P123,""),"")</f>
        <v>0.072780816154817</v>
      </c>
      <c r="Q228" s="215">
        <f>IF(AND(ISNUMBER(Q125),ISNUMBER(Q123)),IFERROR(Q125/Q123,""),"")</f>
        <v>0.0811026767878546</v>
      </c>
      <c r="R228" s="215">
        <f>IF(AND(ISNUMBER(R125),ISNUMBER(R123)),IFERROR(R125/R123,""),"")</f>
        <v>0.139486754966887</v>
      </c>
      <c r="S228" s="215">
        <f>IF(AND(ISNUMBER(S125),ISNUMBER(S123)),IFERROR(S125/S123,""),"")</f>
        <v>0.0909954607832788</v>
      </c>
      <c r="T228" s="215">
        <f>IF(AND(ISNUMBER(T125),ISNUMBER(T123)),IFERROR(T125/T123,""),"")</f>
        <v>0.063677130044843</v>
      </c>
      <c r="U228" s="215">
        <f>IF(AND(ISNUMBER(U125),ISNUMBER(U123)),IFERROR(U125/U123,""),"")</f>
        <v>0.0736401673640167</v>
      </c>
      <c r="V228" s="215">
        <f>IF(AND(ISNUMBER(V125),ISNUMBER(V123)),IFERROR(V125/V123,""),"")</f>
        <v>0.0727272727272727</v>
      </c>
      <c r="W228" s="215">
        <f>IF(AND(ISNUMBER(W125),ISNUMBER(W123)),IFERROR(W125/W123,""),"")</f>
        <v>0.12673818037346</v>
      </c>
      <c r="X228" s="215">
        <f>IF(AND(ISNUMBER(X125),ISNUMBER(X123)),IFERROR(X125/X123,""),"")</f>
        <v>0.0849281059273818</v>
      </c>
      <c r="Y228" s="215">
        <f>IF(AND(ISNUMBER(Y125),ISNUMBER(Y123)),IFERROR(Y125/Y123,""),"")</f>
        <v>0.0551921504497138</v>
      </c>
      <c r="Z228" s="215">
        <f>IF(AND(ISNUMBER(Z125),ISNUMBER(Z123)),IFERROR(Z125/Z123,""),"")</f>
        <v>0.0682999257609503</v>
      </c>
      <c r="AA228" s="215">
        <f>IF(AND(ISNUMBER(AA125),ISNUMBER(AA123)),IFERROR(AA125/AA123,""),"")</f>
        <v>0.0638888888888889</v>
      </c>
      <c r="AB228" s="215">
        <f>IF(AND(ISNUMBER(AB125),ISNUMBER(AB123)),IFERROR(AB125/AB123,""),"")</f>
        <v>0.111756168359942</v>
      </c>
      <c r="AC228" s="215">
        <f>IF(AND(ISNUMBER(AC125),ISNUMBER(AC123)),IFERROR(AC125/AC123,""),"")</f>
        <v>0.0752598366740906</v>
      </c>
      <c r="AD228" s="215">
        <f>IF(AND(ISNUMBER(AD125),ISNUMBER(AD123)),IFERROR(AD125/AD123,""),"")</f>
        <v>0.0621799561082663</v>
      </c>
      <c r="AE228" s="215">
        <f>IF(AND(ISNUMBER(AE125),ISNUMBER(AE123)),IFERROR(AE125/AE123,""),"")</f>
        <v>0.0700949885358664</v>
      </c>
      <c r="AF228" s="215">
        <f>IF(AND(ISNUMBER(AF125),ISNUMBER(AF123)),IFERROR(AF125/AF123,""),"")</f>
        <v>0.0597410241318423</v>
      </c>
      <c r="AG228" s="215">
        <f>IF(AND(ISNUMBER(AG125),ISNUMBER(AG123)),IFERROR(AG125/AG123,""),"")</f>
        <v>0.0939009661835749</v>
      </c>
      <c r="AH228" s="215">
        <f>IF(AND(ISNUMBER(AH125),ISNUMBER(AH123)),IFERROR(AH125/AH123,""),"")</f>
        <v>0.0718572457389774</v>
      </c>
      <c r="AI228" s="215">
        <f>IF(AND(ISNUMBER(AI125),ISNUMBER(AI123)),IFERROR(AI125/AI123,""),"")</f>
        <v>0.0625698324022346</v>
      </c>
      <c r="AJ228" s="215">
        <f>IF(AND(ISNUMBER(AJ125),ISNUMBER(AJ123)),IFERROR(AJ125/AJ123,""),"")</f>
        <v>0.0641200545702592</v>
      </c>
      <c r="AK228" s="215">
        <f>IF(AND(ISNUMBER(AK125),ISNUMBER(AK123)),IFERROR(AK125/AK123,""),"")</f>
        <v>0.060287326834274</v>
      </c>
      <c r="AL228" s="215">
        <f>IF(AND(ISNUMBER(AL125),ISNUMBER(AL123)),IFERROR(AL125/AL123,""),"")</f>
        <v>0.0793275545048595</v>
      </c>
      <c r="AM228" s="215">
        <f>IF(AND(ISNUMBER(AM125),ISNUMBER(AM123)),IFERROR(AM125/AM123,""),"")</f>
        <v>0.0606688963210702</v>
      </c>
      <c r="AN228" s="215">
        <f>IF(AND(ISNUMBER(AN125),ISNUMBER(AN123)),IFERROR(AN125/AN123,""),"")</f>
        <v>0.0493700179994857</v>
      </c>
      <c r="AO228" s="215">
        <f>IF(AND(ISNUMBER(AO125),ISNUMBER(AO123)),IFERROR(AO125/AO123,""),"")</f>
        <v>0.0547045951859956</v>
      </c>
      <c r="AP228" s="215">
        <f>IF(AND(ISNUMBER(AP125),ISNUMBER(AP123)),IFERROR(AP125/AP123,""),"")</f>
        <v>0.0508171032012536</v>
      </c>
      <c r="AQ228" s="215">
        <f>IF(AND(ISNUMBER(AQ125),ISNUMBER(AQ123)),IFERROR(AQ125/AQ123,""),"")</f>
        <v>0.0657000453103761</v>
      </c>
      <c r="AR228" s="215">
        <f>IF(AND(ISNUMBER(AR125),ISNUMBER(AR123)),IFERROR(AR125/AR123,""),"")</f>
        <v>0.0553219214594563</v>
      </c>
      <c r="AS228" s="215">
        <f>IF(AND(ISNUMBER(AS125),ISNUMBER(AS123)),IFERROR(AS125/AS123,""),"")</f>
        <v>0.0384135694686954</v>
      </c>
      <c r="AT228" s="215">
        <f>IF(AND(ISNUMBER(AT125),ISNUMBER(AT123)),IFERROR(AT125/AT123,""),"")</f>
        <v>0.0278860569715142</v>
      </c>
      <c r="AU228" s="215">
        <f>IF(AND(ISNUMBER(AU125),ISNUMBER(AU123)),IFERROR(AU125/AU123,""),"")</f>
        <v>0.0437842064112588</v>
      </c>
      <c r="AV228" s="215">
        <f>IF(AND(ISNUMBER(AV125),ISNUMBER(AV123)),IFERROR(AV125/AV123,""),"")</f>
        <v>0.0587378640776699</v>
      </c>
      <c r="AW228" s="215">
        <f>IF(AND(ISNUMBER(AW125),ISNUMBER(AW123)),IFERROR(AW125/AW123,""),"")</f>
        <v>0.0429383700411738</v>
      </c>
      <c r="AX228" s="215">
        <f>IF(AND(ISNUMBER(AX125),ISNUMBER(AX123)),IFERROR(AX125/AX123,""),"")</f>
        <v>0.0286401925391095</v>
      </c>
      <c r="AY228" s="215">
        <f>IF(AND(ISNUMBER(AY125),ISNUMBER(AY123)),IFERROR(AY125/AY123,""),"")</f>
        <v>0.0477031802120141</v>
      </c>
      <c r="AZ228" s="215">
        <f>IF(AND(ISNUMBER(AZ125),ISNUMBER(AZ123)),IFERROR(AZ125/AZ123,""),"")</f>
        <v>0.0445336008024072</v>
      </c>
      <c r="BA228" s="215">
        <f>IF(AND(ISNUMBER(BA125),ISNUMBER(BA123)),IFERROR(BA125/BA123,""),"")</f>
        <v>0.0648006134969325</v>
      </c>
      <c r="BB228" s="215">
        <f>IF(AND(ISNUMBER(BB125),ISNUMBER(BB123)),IFERROR(BB125/BB123,""),"")</f>
        <v>0.0473946197839441</v>
      </c>
      <c r="BC228" s="215">
        <f>IF(AND(ISNUMBER(BC125),ISNUMBER(BC123)),IFERROR(BC125/BC123,""),"")</f>
        <v>0.035029998064641</v>
      </c>
      <c r="BD228" s="215">
        <f>IF(AND(ISNUMBER(BD125),ISNUMBER(BD123)),IFERROR(BD125/BD123,""),"")</f>
        <v>0.0382026559941786</v>
      </c>
      <c r="BE228" s="215">
        <f>IF(AND(ISNUMBER(BE125),ISNUMBER(BE123)),IFERROR(BE125/BE123,""),"")</f>
        <v>0.0316191799861015</v>
      </c>
      <c r="BF228" s="215">
        <f>IF(AND(ISNUMBER(BF125),ISNUMBER(BF123)),IFERROR(BF125/BF123,""),"")</f>
        <v>0.037132542547705</v>
      </c>
      <c r="BG228" s="215">
        <f>IF(AND(ISNUMBER(BG125),ISNUMBER(BG123)),IFERROR(BG125/BG123,""),"")</f>
        <v>0.0354814048657643</v>
      </c>
      <c r="BH228" s="215">
        <f>IF(AND(ISNUMBER(BH125),ISNUMBER(BH123)),IFERROR(BH125/BH123,""),"")</f>
        <v>0.029053583855254</v>
      </c>
      <c r="BI228" s="215">
        <f>IF(AND(ISNUMBER(BI125),ISNUMBER(BI123)),IFERROR(BI125/BI123,""),"")</f>
        <v>0.0320625299090764</v>
      </c>
      <c r="BJ228" s="215">
        <f>IF(AND(ISNUMBER(BJ125),ISNUMBER(BJ123)),IFERROR(BJ125/BJ123,""),"")</f>
        <v>0.0295423235879382</v>
      </c>
      <c r="BK228" s="215">
        <f>IF(AND(ISNUMBER(BK125),ISNUMBER(BK123)),IFERROR(BK125/BK123,""),"")</f>
        <v>0.0403176542455712</v>
      </c>
      <c r="BL228" s="215">
        <f>IF(AND(ISNUMBER(BL125),ISNUMBER(BL123)),IFERROR(BL125/BL123,""),"")</f>
        <v>0.0328711451111642</v>
      </c>
      <c r="BM228" s="215">
        <f>IF(AND(ISNUMBER(BM125),ISNUMBER(BM123)),IFERROR(BM125/BM123,""),"")</f>
        <v>0.0182734719596723</v>
      </c>
      <c r="BN228" s="215">
        <f>IF(AND(ISNUMBER(BN125),ISNUMBER(BN123)),IFERROR(BN125/BN123,""),"")</f>
        <v>0.0264329837667002</v>
      </c>
      <c r="BO228" s="215">
        <f>IF(AND(ISNUMBER(BO125),ISNUMBER(BO123)),IFERROR(BO125/BO123,""),"")</f>
        <v>0.0298547971230832</v>
      </c>
      <c r="BP228" s="215">
        <f>IF(AND(ISNUMBER(BP125),ISNUMBER(BP123)),IFERROR(BP125/BP123,""),"")</f>
        <v>0.0393911069568701</v>
      </c>
      <c r="BQ228" s="215">
        <f>IF(AND(ISNUMBER(BQ125),ISNUMBER(BQ123)),IFERROR(BQ125/BQ123,""),"")</f>
        <v>0.0289345688216708</v>
      </c>
      <c r="BR228" s="215">
        <f>IF(AND(ISNUMBER(BR125),ISNUMBER(BR123)),IFERROR(BR125/BR123,""),"")</f>
        <v>0.0209655172413793</v>
      </c>
      <c r="BS228" s="215">
        <f>IF(AND(ISNUMBER(BS125),ISNUMBER(BS123)),IFERROR(BS125/BS123,""),"")</f>
        <v>0.0261895979343416</v>
      </c>
      <c r="BT228" s="215">
        <f>IF(AND(ISNUMBER(BT125),ISNUMBER(BT123)),IFERROR(BT125/BT123,""),"")</f>
        <v>0.0284817484305975</v>
      </c>
      <c r="BU228" s="215">
        <f>IF(AND(ISNUMBER(BU125),ISNUMBER(BU123)),IFERROR(BU125/BU123,""),"")</f>
        <v>0.0362253009311833</v>
      </c>
      <c r="BV228" s="215">
        <f>IF(AND(ISNUMBER(BV125),ISNUMBER(BV123)),IFERROR(BV125/BV123,""),"")</f>
        <v>0.0283309444664695</v>
      </c>
      <c r="BW228" s="215">
        <f>IF(AND(ISNUMBER(BW125),ISNUMBER(BW123)),IFERROR(BW125/BW123,""),"")</f>
        <v>0.0182186234817814</v>
      </c>
      <c r="BX228" s="215">
        <f>IF(AND(ISNUMBER(BX125),ISNUMBER(BX123)),IFERROR(BX125/BX123,""),"")</f>
        <v>0.0233911824943408</v>
      </c>
      <c r="BY228" s="256">
        <f>IF(AND(ISNUMBER(BY125),ISNUMBER(BY123)),IFERROR(BY125/BY123,""),"")</f>
        <v>0.0256877789676229</v>
      </c>
      <c r="BZ228" s="256">
        <f>IF(AND(ISNUMBER(BZ125),ISNUMBER(BZ123)),IFERROR(BZ125/BZ123,""),"")</f>
        <v>0.0334313314682086</v>
      </c>
      <c r="CA228" s="256">
        <f>IF(AND(ISNUMBER(CA125),ISNUMBER(CA123)),IFERROR(CA125/CA123,""),"")</f>
        <v>0.0254908355530454</v>
      </c>
      <c r="CB228" s="256">
        <f>IF(AND(ISNUMBER(CB125),ISNUMBER(CB123)),IFERROR(CB125/CB123,""),"")</f>
        <v>0.027</v>
      </c>
      <c r="CC228" s="256">
        <f>IF(AND(ISNUMBER(CC125),ISNUMBER(CC123)),IFERROR(CC125/CC123,""),"")</f>
        <v>0.027</v>
      </c>
      <c r="CD228" s="256">
        <f>IF(AND(ISNUMBER(CD125),ISNUMBER(CD123)),IFERROR(CD125/CD123,""),"")</f>
        <v>0.027</v>
      </c>
      <c r="CE228" s="256">
        <f>IF(AND(ISNUMBER(CE125),ISNUMBER(CE123)),IFERROR(CE125/CE123,""),"")</f>
        <v>0.027</v>
      </c>
      <c r="CF228" s="153" t="n"/>
      <c r="CH228" s="37">
        <f>IFERROR(AVERAGE(CA228,CB228,CC228,CD228,CE228),"n/m")</f>
        <v>0.0266981671106091</v>
      </c>
      <c r="CI228" s="37">
        <f>IFERROR(AVERAGE(BB228,BG228,BL228,BQ228,BV228),"n/m")</f>
        <v>0.0346025366098026</v>
      </c>
      <c r="CJ228" s="37">
        <f>IFERROR(AVERAGE(AC228,AH228,AM228,AR228,AW228,BB228,BG228,BL228,BQ228,BV228),"n/m")</f>
        <v>0.0479058953283781</v>
      </c>
      <c r="CK228" s="37">
        <f>IFERROR(AVERAGE(C228,D228,E228,F228,G228,H228,I228,N228,S228,X228,AC228,AH228,AM228,AR228,AW228,BB228,BG228,BL228,BQ228,BV228),"n/m")</f>
        <v>0.103042683468796</v>
      </c>
    </row>
    <row r="229" ht="15" customHeight="1" s="251">
      <c r="B229" s="25" t="inlineStr">
        <is>
          <t xml:space="preserve">  Adjusted operating expenses % of net revenue</t>
        </is>
      </c>
      <c r="C229" s="215">
        <f>IF(AND(ISNUMBER(C165),ISNUMBER(C123)),IFERROR(C165/C123,""),"")</f>
        <v>0.80472623278977</v>
      </c>
      <c r="D229" s="215">
        <f>IF(AND(ISNUMBER(D165),ISNUMBER(D123)),IFERROR(D165/D123,""),"")</f>
        <v>0.726838363368661</v>
      </c>
      <c r="E229" s="215">
        <f>IF(AND(ISNUMBER(E165),ISNUMBER(E123)),IFERROR(E165/E123,""),"")</f>
        <v>0.609645203942623</v>
      </c>
      <c r="F229" s="215">
        <f>IF(AND(ISNUMBER(F165),ISNUMBER(F123)),IFERROR(F165/F123,""),"")</f>
        <v>0.555354283575919</v>
      </c>
      <c r="G229" s="215">
        <f>IF(AND(ISNUMBER(G165),ISNUMBER(G123)),IFERROR(G165/G123,""),"")</f>
        <v>0.50315941505687</v>
      </c>
      <c r="H229" s="215">
        <f>IF(AND(ISNUMBER(H165),ISNUMBER(H123)),IFERROR(H165/H123,""),"")</f>
        <v>0.481233243967828</v>
      </c>
      <c r="I229" s="215">
        <f>IF(AND(ISNUMBER(I165),ISNUMBER(I123)),IFERROR(I165/I123,""),"")</f>
        <v>0.464619131375998</v>
      </c>
      <c r="J229" s="215">
        <f>IF(AND(ISNUMBER(J165),ISNUMBER(J123)),IFERROR(J165/J123,""),"")</f>
        <v>0.419202518363064</v>
      </c>
      <c r="K229" s="215">
        <f>IF(AND(ISNUMBER(K165),ISNUMBER(K123)),IFERROR(K165/K123,""),"")</f>
        <v>0.41412213740458</v>
      </c>
      <c r="L229" s="215">
        <f>IF(AND(ISNUMBER(L165),ISNUMBER(L123)),IFERROR(L165/L123,""),"")</f>
        <v>0.437330928764653</v>
      </c>
      <c r="M229" s="215">
        <f>IF(AND(ISNUMBER(M165),ISNUMBER(M123)),IFERROR(M165/M123,""),"")</f>
        <v>0.522577610536218</v>
      </c>
      <c r="N229" s="215">
        <f>IF(AND(ISNUMBER(N165),ISNUMBER(N123)),IFERROR(N165/N123,""),"")</f>
        <v>0.44907740234843</v>
      </c>
      <c r="O229" s="215">
        <f>IF(AND(ISNUMBER(O165),ISNUMBER(O123)),IFERROR(O165/O123,""),"")</f>
        <v>0.40973817179605</v>
      </c>
      <c r="P229" s="215">
        <f>IF(AND(ISNUMBER(P165),ISNUMBER(P123)),IFERROR(P165/P123,""),"")</f>
        <v>0.41817416912074</v>
      </c>
      <c r="Q229" s="215">
        <f>IF(AND(ISNUMBER(Q165),ISNUMBER(Q123)),IFERROR(Q165/Q123,""),"")</f>
        <v>0.432680783060328</v>
      </c>
      <c r="R229" s="215">
        <f>IF(AND(ISNUMBER(R165),ISNUMBER(R123)),IFERROR(R165/R123,""),"")</f>
        <v>0.57864238410596</v>
      </c>
      <c r="S229" s="215">
        <f>IF(AND(ISNUMBER(S165),ISNUMBER(S123)),IFERROR(S165/S123,""),"")</f>
        <v>0.460994405151483</v>
      </c>
      <c r="T229" s="215">
        <f>IF(AND(ISNUMBER(T165),ISNUMBER(T123)),IFERROR(T165/T123,""),"")</f>
        <v>0.394170403587444</v>
      </c>
      <c r="U229" s="215">
        <f>IF(AND(ISNUMBER(U165),ISNUMBER(U123)),IFERROR(U165/U123,""),"")</f>
        <v>0.451046025104603</v>
      </c>
      <c r="V229" s="215">
        <f>IF(AND(ISNUMBER(V165),ISNUMBER(V123)),IFERROR(V165/V123,""),"")</f>
        <v>0.427667984189723</v>
      </c>
      <c r="W229" s="215">
        <f>IF(AND(ISNUMBER(W165),ISNUMBER(W123)),IFERROR(W165/W123,""),"")</f>
        <v>0.560190703218117</v>
      </c>
      <c r="X229" s="215">
        <f>IF(AND(ISNUMBER(X165),ISNUMBER(X123)),IFERROR(X165/X123,""),"")</f>
        <v>0.460225509465191</v>
      </c>
      <c r="Y229" s="215">
        <f>IF(AND(ISNUMBER(Y165),ISNUMBER(Y123)),IFERROR(Y165/Y123,""),"")</f>
        <v>0.448896156991006</v>
      </c>
      <c r="Z229" s="215">
        <f>IF(AND(ISNUMBER(Z165),ISNUMBER(Z123)),IFERROR(Z165/Z123,""),"")</f>
        <v>0.448032665181886</v>
      </c>
      <c r="AA229" s="215">
        <f>IF(AND(ISNUMBER(AA165),ISNUMBER(AA123)),IFERROR(AA165/AA123,""),"")</f>
        <v>0.420138888888889</v>
      </c>
      <c r="AB229" s="215">
        <f>IF(AND(ISNUMBER(AB165),ISNUMBER(AB123)),IFERROR(AB165/AB123,""),"")</f>
        <v>0.501814223512337</v>
      </c>
      <c r="AC229" s="215">
        <f>IF(AND(ISNUMBER(AC165),ISNUMBER(AC123)),IFERROR(AC165/AC123,""),"")</f>
        <v>0.45452858203415</v>
      </c>
      <c r="AD229" s="215">
        <f>IF(AND(ISNUMBER(AD165),ISNUMBER(AD123)),IFERROR(AD165/AD123,""),"")</f>
        <v>0.443672275054865</v>
      </c>
      <c r="AE229" s="215">
        <f>IF(AND(ISNUMBER(AE165),ISNUMBER(AE123)),IFERROR(AE165/AE123,""),"")</f>
        <v>0.458565345561743</v>
      </c>
      <c r="AF229" s="215">
        <f>IF(AND(ISNUMBER(AF165),ISNUMBER(AF123)),IFERROR(AF165/AF123,""),"")</f>
        <v>0.428781636256622</v>
      </c>
      <c r="AG229" s="215">
        <f>IF(AND(ISNUMBER(AG165),ISNUMBER(AG123)),IFERROR(AG165/AG123,""),"")</f>
        <v>0.490036231884058</v>
      </c>
      <c r="AH229" s="215">
        <f>IF(AND(ISNUMBER(AH165),ISNUMBER(AH123)),IFERROR(AH165/AH123,""),"")</f>
        <v>0.455549331839642</v>
      </c>
      <c r="AI229" s="215">
        <f>IF(AND(ISNUMBER(AI165),ISNUMBER(AI123)),IFERROR(AI165/AI123,""),"")</f>
        <v>0.457541899441341</v>
      </c>
      <c r="AJ229" s="215">
        <f>IF(AND(ISNUMBER(AJ165),ISNUMBER(AJ123)),IFERROR(AJ165/AJ123,""),"")</f>
        <v>0.410368349249659</v>
      </c>
      <c r="AK229" s="215">
        <f>IF(AND(ISNUMBER(AK165),ISNUMBER(AK123)),IFERROR(AK165/AK123,""),"")</f>
        <v>0.405849153412006</v>
      </c>
      <c r="AL229" s="215">
        <f>IF(AND(ISNUMBER(AL165),ISNUMBER(AL123)),IFERROR(AL165/AL123,""),"")</f>
        <v>0.477016023115314</v>
      </c>
      <c r="AM229" s="215">
        <f>IF(AND(ISNUMBER(AM165),ISNUMBER(AM123)),IFERROR(AM165/AM123,""),"")</f>
        <v>0.437458193979933</v>
      </c>
      <c r="AN229" s="215">
        <f>IF(AND(ISNUMBER(AN165),ISNUMBER(AN123)),IFERROR(AN165/AN123,""),"")</f>
        <v>0.430959115453844</v>
      </c>
      <c r="AO229" s="215">
        <f>IF(AND(ISNUMBER(AO165),ISNUMBER(AO123)),IFERROR(AO165/AO123,""),"")</f>
        <v>0.417213712618527</v>
      </c>
      <c r="AP229" s="215">
        <f>IF(AND(ISNUMBER(AP165),ISNUMBER(AP123)),IFERROR(AP165/AP123,""),"")</f>
        <v>0.405641370047011</v>
      </c>
      <c r="AQ229" s="215">
        <f>IF(AND(ISNUMBER(AQ165),ISNUMBER(AQ123)),IFERROR(AQ165/AQ123,""),"")</f>
        <v>0.456502038966923</v>
      </c>
      <c r="AR229" s="215">
        <f>IF(AND(ISNUMBER(AR165),ISNUMBER(AR123)),IFERROR(AR165/AR123,""),"")</f>
        <v>0.427589883314577</v>
      </c>
      <c r="AS229" s="215">
        <f>IF(AND(ISNUMBER(AS165),ISNUMBER(AS123)),IFERROR(AS165/AS123,""),"")</f>
        <v>0.446994262908456</v>
      </c>
      <c r="AT229" s="215">
        <f>IF(AND(ISNUMBER(AT165),ISNUMBER(AT123)),IFERROR(AT165/AT123,""),"")</f>
        <v>0.481559220389805</v>
      </c>
      <c r="AU229" s="215">
        <f>IF(AND(ISNUMBER(AU165),ISNUMBER(AU123)),IFERROR(AU165/AU123,""),"")</f>
        <v>0.451394318477978</v>
      </c>
      <c r="AV229" s="215">
        <f>IF(AND(ISNUMBER(AV165),ISNUMBER(AV123)),IFERROR(AV165/AV123,""),"")</f>
        <v>0.489563106796117</v>
      </c>
      <c r="AW229" s="215">
        <f>IF(AND(ISNUMBER(AW165),ISNUMBER(AW123)),IFERROR(AW165/AW123,""),"")</f>
        <v>0.467093654009542</v>
      </c>
      <c r="AX229" s="215">
        <f>IF(AND(ISNUMBER(AX165),ISNUMBER(AX123)),IFERROR(AX165/AX123,""),"")</f>
        <v>0.471239470517449</v>
      </c>
      <c r="AY229" s="215">
        <f>IF(AND(ISNUMBER(AY165),ISNUMBER(AY123)),IFERROR(AY165/AY123,""),"")</f>
        <v>0.468197879858657</v>
      </c>
      <c r="AZ229" s="215">
        <f>IF(AND(ISNUMBER(AZ165),ISNUMBER(AZ123)),IFERROR(AZ165/AZ123,""),"")</f>
        <v>0.433099297893681</v>
      </c>
      <c r="BA229" s="215">
        <f>IF(AND(ISNUMBER(BA165),ISNUMBER(BA123)),IFERROR(BA165/BA123,""),"")</f>
        <v>0.458013803680982</v>
      </c>
      <c r="BB229" s="215">
        <f>IF(AND(ISNUMBER(BB165),ISNUMBER(BB123)),IFERROR(BB165/BB123,""),"")</f>
        <v>0.456788815928829</v>
      </c>
      <c r="BC229" s="215">
        <f>IF(AND(ISNUMBER(BC165),ISNUMBER(BC123)),IFERROR(BC165/BC123,""),"")</f>
        <v>0.422488871685698</v>
      </c>
      <c r="BD229" s="215">
        <f>IF(AND(ISNUMBER(BD165),ISNUMBER(BD123)),IFERROR(BD165/BD123,""),"")</f>
        <v>0.420774968164453</v>
      </c>
      <c r="BE229" s="215">
        <f>IF(AND(ISNUMBER(BE165),ISNUMBER(BE123)),IFERROR(BE165/BE123,""),"")</f>
        <v>0.423210562890897</v>
      </c>
      <c r="BF229" s="215">
        <f>IF(AND(ISNUMBER(BF165),ISNUMBER(BF123)),IFERROR(BF165/BF123,""),"")</f>
        <v>0.450060168471721</v>
      </c>
      <c r="BG229" s="215">
        <f>IF(AND(ISNUMBER(BG165),ISNUMBER(BG123)),IFERROR(BG165/BG123,""),"")</f>
        <v>0.429464406169897</v>
      </c>
      <c r="BH229" s="215">
        <f>IF(AND(ISNUMBER(BH165),ISNUMBER(BH123)),IFERROR(BH165/BH123,""),"")</f>
        <v>0.417710508002784</v>
      </c>
      <c r="BI229" s="215">
        <f>IF(AND(ISNUMBER(BI165),ISNUMBER(BI123)),IFERROR(BI165/BI123,""),"")</f>
        <v>0.413622587334503</v>
      </c>
      <c r="BJ229" s="215">
        <f>IF(AND(ISNUMBER(BJ165),ISNUMBER(BJ123)),IFERROR(BJ165/BJ123,""),"")</f>
        <v>0.411602632787387</v>
      </c>
      <c r="BK229" s="215">
        <f>IF(AND(ISNUMBER(BK165),ISNUMBER(BK123)),IFERROR(BK165/BK123,""),"")</f>
        <v>0.437996334758705</v>
      </c>
      <c r="BL229" s="215">
        <f>IF(AND(ISNUMBER(BL165),ISNUMBER(BL123)),IFERROR(BL165/BL123,""),"")</f>
        <v>0.420392063112599</v>
      </c>
      <c r="BM229" s="215">
        <f>IF(AND(ISNUMBER(BM165),ISNUMBER(BM123)),IFERROR(BM165/BM123,""),"")</f>
        <v>0.412413358538122</v>
      </c>
      <c r="BN229" s="215">
        <f>IF(AND(ISNUMBER(BN165),ISNUMBER(BN123)),IFERROR(BN165/BN123,""),"")</f>
        <v>0.406119810372073</v>
      </c>
      <c r="BO229" s="215">
        <f>IF(AND(ISNUMBER(BO165),ISNUMBER(BO123)),IFERROR(BO165/BO123,""),"")</f>
        <v>0.406975166236939</v>
      </c>
      <c r="BP229" s="215">
        <f>IF(AND(ISNUMBER(BP165),ISNUMBER(BP123)),IFERROR(BP165/BP123,""),"")</f>
        <v>0.43677393510482</v>
      </c>
      <c r="BQ229" s="215">
        <f>IF(AND(ISNUMBER(BQ165),ISNUMBER(BQ123)),IFERROR(BQ165/BQ123,""),"")</f>
        <v>0.415912237724997</v>
      </c>
      <c r="BR229" s="215">
        <f>IF(AND(ISNUMBER(BR165),ISNUMBER(BR123)),IFERROR(BR165/BR123,""),"")</f>
        <v>0.406896551724138</v>
      </c>
      <c r="BS229" s="215">
        <f>IF(AND(ISNUMBER(BS165),ISNUMBER(BS123)),IFERROR(BS165/BS123,""),"")</f>
        <v>0.400836099840157</v>
      </c>
      <c r="BT229" s="215">
        <f>IF(AND(ISNUMBER(BT165),ISNUMBER(BT123)),IFERROR(BT165/BT123,""),"")</f>
        <v>0.401999534991862</v>
      </c>
      <c r="BU229" s="215">
        <f>IF(AND(ISNUMBER(BU165),ISNUMBER(BU123)),IFERROR(BU165/BU123,""),"")</f>
        <v>0.422666363842834</v>
      </c>
      <c r="BV229" s="215">
        <f>IF(AND(ISNUMBER(BV165),ISNUMBER(BV123)),IFERROR(BV165/BV123,""),"")</f>
        <v>0.408343752859016</v>
      </c>
      <c r="BW229" s="215">
        <f>IF(AND(ISNUMBER(BW165),ISNUMBER(BW123)),IFERROR(BW165/BW123,""),"")</f>
        <v>0.391640866873065</v>
      </c>
      <c r="BX229" s="215">
        <f>IF(AND(ISNUMBER(BX165),ISNUMBER(BX123)),IFERROR(BX165/BX123,""),"")</f>
        <v>0.38891883151881</v>
      </c>
      <c r="BY229" s="256">
        <f>IF(AND(ISNUMBER(BY165),ISNUMBER(BY123)),IFERROR(BY165/BY123,""),"")</f>
        <v>0.401424143998168</v>
      </c>
      <c r="BZ229" s="256">
        <f>IF(AND(ISNUMBER(BZ165),ISNUMBER(BZ123)),IFERROR(BZ165/BZ123,""),"")</f>
        <v>0.420394343958363</v>
      </c>
      <c r="CA229" s="256">
        <f>IF(AND(ISNUMBER(CA165),ISNUMBER(CA123)),IFERROR(CA165/CA123,""),"")</f>
        <v>0.401148268227139</v>
      </c>
      <c r="CB229" s="256">
        <f>IF(AND(ISNUMBER(CB165),ISNUMBER(CB123)),IFERROR(CB165/CB123,""),"")</f>
        <v>0.397676927460539</v>
      </c>
      <c r="CC229" s="256">
        <f>IF(AND(ISNUMBER(CC165),ISNUMBER(CC123)),IFERROR(CC165/CC123,""),"")</f>
        <v>0.393982398110498</v>
      </c>
      <c r="CD229" s="256">
        <f>IF(AND(ISNUMBER(CD165),ISNUMBER(CD123)),IFERROR(CD165/CD123,""),"")</f>
        <v>0.390199853440969</v>
      </c>
      <c r="CE229" s="256">
        <f>IF(AND(ISNUMBER(CE165),ISNUMBER(CE123)),IFERROR(CE165/CE123,""),"")</f>
        <v>0.38636141357693</v>
      </c>
      <c r="CF229" s="153" t="n"/>
      <c r="CH229" s="37">
        <f>IFERROR(AVERAGE(CA229,CB229,CC229,CD229,CE229),"n/m")</f>
        <v>0.393873772163215</v>
      </c>
      <c r="CI229" s="37">
        <f>IFERROR(AVERAGE(BB229,BG229,BL229,BQ229,BV229),"n/m")</f>
        <v>0.426180255159068</v>
      </c>
      <c r="CJ229" s="37">
        <f>IFERROR(AVERAGE(AC229,AH229,AM229,AR229,AW229,BB229,BG229,BL229,BQ229,BV229),"n/m")</f>
        <v>0.437312092097318</v>
      </c>
      <c r="CK229" s="37">
        <f>IFERROR(AVERAGE(C229,D229,E229,F229,G229,H229,I229,N229,S229,X229,AC229,AH229,AM229,AR229,AW229,BB229,BG229,BL229,BQ229,BV229),"n/m")</f>
        <v>0.494449705600798</v>
      </c>
    </row>
    <row r="230" ht="15" customHeight="1" s="251">
      <c r="CN230" s="11" t="n"/>
      <c r="CO230" s="12" t="n"/>
      <c r="CP230" s="12" t="n"/>
      <c r="CQ230" s="12" t="n"/>
      <c r="CR230" s="13" t="n"/>
    </row>
    <row r="231" ht="15" customHeight="1" s="251">
      <c r="B231" s="10" t="inlineStr">
        <is>
          <t>CONSOLIDATED STATEMENT OF CASH FLOWS</t>
        </is>
      </c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inlineStr">
        <is>
          <t>CASH FLOW — forecast logic (annual; 2026E = H1-26 actual + H2 estimate; quarters = discrete, derived from year-to-date statements)</t>
        </is>
      </c>
    </row>
    <row r="232" ht="15" customHeight="1" s="251">
      <c r="B232" s="25" t="inlineStr">
        <is>
          <t>Net income (incl. non-controlling interests)</t>
        </is>
      </c>
      <c r="C232" s="253" t="n">
        <v>50.19</v>
      </c>
      <c r="D232" s="253" t="n">
        <v>1085.886</v>
      </c>
      <c r="E232" s="253" t="n">
        <v>-253.915</v>
      </c>
      <c r="F232" s="253" t="n">
        <v>1462.624</v>
      </c>
      <c r="G232" s="253" t="n">
        <v>1847</v>
      </c>
      <c r="H232" s="253" t="n">
        <v>1904</v>
      </c>
      <c r="I232" s="253" t="n">
        <v>2758</v>
      </c>
      <c r="J232" s="253" t="n">
        <v>766</v>
      </c>
      <c r="K232" s="253" t="n">
        <v>848</v>
      </c>
      <c r="L232" s="253" t="n">
        <v>879</v>
      </c>
      <c r="M232" s="253" t="n">
        <v>623</v>
      </c>
      <c r="N232" s="253" t="n">
        <v>3116</v>
      </c>
      <c r="O232" s="253" t="n">
        <v>870</v>
      </c>
      <c r="P232" s="253" t="n">
        <v>931</v>
      </c>
      <c r="Q232" s="253" t="n">
        <v>1015</v>
      </c>
      <c r="R232" s="253" t="n">
        <v>801</v>
      </c>
      <c r="S232" s="253" t="n">
        <v>3617</v>
      </c>
      <c r="T232" s="253" t="n">
        <v>1020</v>
      </c>
      <c r="U232" s="253" t="n">
        <v>921</v>
      </c>
      <c r="V232" s="253" t="n">
        <v>977</v>
      </c>
      <c r="W232" s="253" t="n">
        <v>890</v>
      </c>
      <c r="X232" s="253" t="n">
        <v>3808</v>
      </c>
      <c r="Y232" s="253" t="n">
        <v>959</v>
      </c>
      <c r="Z232" s="253" t="n">
        <v>983</v>
      </c>
      <c r="AA232" s="253" t="n">
        <v>1184</v>
      </c>
      <c r="AB232" s="253" t="n">
        <v>933</v>
      </c>
      <c r="AC232" s="253" t="n">
        <v>4059</v>
      </c>
      <c r="AD232" s="253" t="n">
        <v>1081</v>
      </c>
      <c r="AE232" s="253" t="n">
        <v>1177</v>
      </c>
      <c r="AF232" s="253" t="n">
        <v>1430</v>
      </c>
      <c r="AG232" s="253" t="n">
        <v>227</v>
      </c>
      <c r="AH232" s="253" t="n">
        <v>3915</v>
      </c>
      <c r="AI232" s="253" t="n">
        <v>1492</v>
      </c>
      <c r="AJ232" s="253" t="n">
        <v>1569</v>
      </c>
      <c r="AK232" s="253" t="n">
        <v>1899</v>
      </c>
      <c r="AL232" s="253" t="n">
        <v>899</v>
      </c>
      <c r="AM232" s="253" t="n">
        <v>5859</v>
      </c>
      <c r="AN232" s="253" t="n">
        <v>1862</v>
      </c>
      <c r="AO232" s="253" t="n">
        <v>2048</v>
      </c>
      <c r="AP232" s="253" t="n">
        <v>2108</v>
      </c>
      <c r="AQ232" s="253" t="n">
        <v>2100</v>
      </c>
      <c r="AR232" s="253" t="n">
        <v>8118</v>
      </c>
      <c r="AS232" s="253" t="n">
        <v>1693</v>
      </c>
      <c r="AT232" s="253" t="n">
        <v>1420</v>
      </c>
      <c r="AU232" s="253" t="n">
        <v>1513</v>
      </c>
      <c r="AV232" s="253" t="n">
        <v>1785</v>
      </c>
      <c r="AW232" s="253" t="n">
        <v>6411</v>
      </c>
      <c r="AX232" s="253" t="n">
        <v>1828</v>
      </c>
      <c r="AY232" s="253" t="n">
        <v>2066</v>
      </c>
      <c r="AZ232" s="253" t="n">
        <v>2414</v>
      </c>
      <c r="BA232" s="253" t="n">
        <v>2379</v>
      </c>
      <c r="BB232" s="253" t="n">
        <v>8687</v>
      </c>
      <c r="BC232" s="253" t="n">
        <v>2631</v>
      </c>
      <c r="BD232" s="253" t="n">
        <v>2275</v>
      </c>
      <c r="BE232" s="253" t="n">
        <v>2499</v>
      </c>
      <c r="BF232" s="253" t="n">
        <v>2525</v>
      </c>
      <c r="BG232" s="253" t="n">
        <v>9930</v>
      </c>
      <c r="BH232" s="253" t="n">
        <v>2361</v>
      </c>
      <c r="BI232" s="253" t="n">
        <v>2845</v>
      </c>
      <c r="BJ232" s="253" t="n">
        <v>3198</v>
      </c>
      <c r="BK232" s="253" t="n">
        <v>2791</v>
      </c>
      <c r="BL232" s="253" t="n">
        <v>11195</v>
      </c>
      <c r="BM232" s="253" t="n">
        <v>3011</v>
      </c>
      <c r="BN232" s="253" t="n">
        <v>3258</v>
      </c>
      <c r="BO232" s="253" t="n">
        <v>3263</v>
      </c>
      <c r="BP232" s="253" t="n">
        <v>3342</v>
      </c>
      <c r="BQ232" s="253" t="n">
        <v>12874</v>
      </c>
      <c r="BR232" s="253" t="n">
        <v>3280</v>
      </c>
      <c r="BS232" s="253" t="n">
        <v>3701</v>
      </c>
      <c r="BT232" s="253" t="n">
        <v>3927</v>
      </c>
      <c r="BU232" s="253" t="n">
        <v>4060</v>
      </c>
      <c r="BV232" s="253" t="n">
        <v>14968</v>
      </c>
      <c r="BW232" s="253" t="n">
        <v>3882</v>
      </c>
      <c r="BX232" s="253" t="n">
        <v>4388</v>
      </c>
      <c r="BY232" s="35" t="n"/>
      <c r="BZ232" s="35" t="n"/>
      <c r="CA232" s="254">
        <f>SUM(BW232:BX232)+(BY140+BZ140)</f>
        <v>17062.648325</v>
      </c>
      <c r="CB232" s="254">
        <f>CB140</f>
        <v>19329.2218194404</v>
      </c>
      <c r="CC232" s="254">
        <f>CC140</f>
        <v>21801.8084738228</v>
      </c>
      <c r="CD232" s="254">
        <f>CD140</f>
        <v>24398.5044192665</v>
      </c>
      <c r="CE232" s="254">
        <f>CE140</f>
        <v>27123.1920540855</v>
      </c>
      <c r="CF232" s="19" t="n"/>
    </row>
    <row r="233" ht="15" customHeight="1" s="251">
      <c r="B233" s="25" t="inlineStr">
        <is>
          <t>Non-cash items:</t>
        </is>
      </c>
      <c r="CF233" s="153" t="n"/>
    </row>
    <row r="234" ht="15" customHeight="1" s="251">
      <c r="B234" s="25" t="inlineStr">
        <is>
          <t xml:space="preserve">  Depreciation and amortization</t>
        </is>
      </c>
      <c r="C234" s="253" t="n">
        <v>99.782</v>
      </c>
      <c r="D234" s="253" t="n">
        <v>97.642</v>
      </c>
      <c r="E234" s="253" t="n">
        <v>112.006</v>
      </c>
      <c r="F234" s="253" t="n">
        <v>141.377</v>
      </c>
      <c r="G234" s="253" t="n">
        <v>148</v>
      </c>
      <c r="H234" s="253" t="n">
        <v>194</v>
      </c>
      <c r="I234" s="253" t="n">
        <v>230</v>
      </c>
      <c r="J234" s="253" t="n">
        <v>62</v>
      </c>
      <c r="K234" s="253" t="n">
        <v>61</v>
      </c>
      <c r="L234" s="253" t="n">
        <v>64</v>
      </c>
      <c r="M234" s="253" t="n">
        <v>71</v>
      </c>
      <c r="N234" s="253" t="n">
        <v>258</v>
      </c>
      <c r="O234" s="253" t="n">
        <v>73</v>
      </c>
      <c r="P234" s="253" t="n">
        <v>81</v>
      </c>
      <c r="Q234" s="253" t="n">
        <v>83</v>
      </c>
      <c r="R234" s="253" t="n">
        <v>84</v>
      </c>
      <c r="S234" s="253" t="n">
        <v>321</v>
      </c>
      <c r="T234" s="253" t="n">
        <v>87</v>
      </c>
      <c r="U234" s="253" t="n">
        <v>92</v>
      </c>
      <c r="V234" s="253" t="n">
        <v>94</v>
      </c>
      <c r="W234" s="253" t="n">
        <v>93</v>
      </c>
      <c r="X234" s="253" t="n">
        <v>366</v>
      </c>
      <c r="Y234" s="253" t="n">
        <v>95</v>
      </c>
      <c r="Z234" s="253" t="n">
        <v>93</v>
      </c>
      <c r="AA234" s="253" t="n">
        <v>93</v>
      </c>
      <c r="AB234" s="253" t="n">
        <v>92</v>
      </c>
      <c r="AC234" s="253" t="n">
        <v>373</v>
      </c>
      <c r="AD234" s="253" t="n">
        <v>92</v>
      </c>
      <c r="AE234" s="253" t="n">
        <v>111</v>
      </c>
      <c r="AF234" s="253" t="n">
        <v>118</v>
      </c>
      <c r="AG234" s="253" t="n">
        <v>116</v>
      </c>
      <c r="AH234" s="253" t="n">
        <v>437</v>
      </c>
      <c r="AI234" s="253" t="n">
        <v>120</v>
      </c>
      <c r="AJ234" s="253" t="n">
        <v>115</v>
      </c>
      <c r="AK234" s="253" t="n">
        <v>111</v>
      </c>
      <c r="AL234" s="253" t="n">
        <v>113</v>
      </c>
      <c r="AM234" s="253" t="n">
        <v>459</v>
      </c>
      <c r="AN234" s="253" t="n">
        <v>117</v>
      </c>
      <c r="AO234" s="253" t="n">
        <v>122</v>
      </c>
      <c r="AP234" s="253" t="n">
        <v>137</v>
      </c>
      <c r="AQ234" s="253" t="n">
        <v>146</v>
      </c>
      <c r="AR234" s="253" t="n">
        <v>522</v>
      </c>
      <c r="AS234" s="253" t="n">
        <v>144</v>
      </c>
      <c r="AT234" s="253" t="n">
        <v>145</v>
      </c>
      <c r="AU234" s="253" t="n">
        <v>141</v>
      </c>
      <c r="AV234" s="253" t="n">
        <v>150</v>
      </c>
      <c r="AW234" s="253" t="n">
        <v>580</v>
      </c>
      <c r="AX234" s="253" t="n">
        <v>163</v>
      </c>
      <c r="AY234" s="253" t="n">
        <v>186</v>
      </c>
      <c r="AZ234" s="253" t="n">
        <v>188</v>
      </c>
      <c r="BA234" s="253" t="n">
        <v>189</v>
      </c>
      <c r="BB234" s="253" t="n">
        <v>726</v>
      </c>
      <c r="BC234" s="253" t="n">
        <v>192</v>
      </c>
      <c r="BD234" s="253" t="n">
        <v>189</v>
      </c>
      <c r="BE234" s="253" t="n">
        <v>185</v>
      </c>
      <c r="BF234" s="253" t="n">
        <v>184</v>
      </c>
      <c r="BG234" s="253" t="n">
        <v>750</v>
      </c>
      <c r="BH234" s="253" t="n">
        <v>191</v>
      </c>
      <c r="BI234" s="253" t="n">
        <v>192</v>
      </c>
      <c r="BJ234" s="253" t="n">
        <v>211</v>
      </c>
      <c r="BK234" s="253" t="n">
        <v>205</v>
      </c>
      <c r="BL234" s="253" t="n">
        <v>799</v>
      </c>
      <c r="BM234" s="253" t="n">
        <v>216</v>
      </c>
      <c r="BN234" s="253" t="n">
        <v>225</v>
      </c>
      <c r="BO234" s="253" t="n">
        <v>225</v>
      </c>
      <c r="BP234" s="253" t="n">
        <v>231</v>
      </c>
      <c r="BQ234" s="253" t="n">
        <v>897</v>
      </c>
      <c r="BR234" s="253" t="n">
        <v>275</v>
      </c>
      <c r="BS234" s="253" t="n">
        <v>281</v>
      </c>
      <c r="BT234" s="253" t="n">
        <v>290</v>
      </c>
      <c r="BU234" s="253" t="n">
        <v>297</v>
      </c>
      <c r="BV234" s="253" t="n">
        <v>1143</v>
      </c>
      <c r="BW234" s="253" t="n">
        <v>299</v>
      </c>
      <c r="BX234" s="253" t="n">
        <v>309</v>
      </c>
      <c r="BY234" s="35" t="n"/>
      <c r="BZ234" s="35" t="n"/>
      <c r="CA234" s="254">
        <f>SUM(BW234:BX234)+(BY126+BZ126)</f>
        <v>1258</v>
      </c>
      <c r="CB234" s="254">
        <f>CB126</f>
        <v>1487.67545018235</v>
      </c>
      <c r="CC234" s="254">
        <f>CC126</f>
        <v>1693.78934905336</v>
      </c>
      <c r="CD234" s="254">
        <f>CD126</f>
        <v>1908.23739361271</v>
      </c>
      <c r="CE234" s="254">
        <f>CE126</f>
        <v>2129.69029915495</v>
      </c>
      <c r="CF234" s="19" t="n"/>
    </row>
    <row r="235" ht="15" customHeight="1" s="251">
      <c r="B235" s="25" t="inlineStr">
        <is>
          <t xml:space="preserve">  Share-based compensation</t>
        </is>
      </c>
      <c r="C235" s="253" t="n">
        <v>19.181</v>
      </c>
      <c r="D235" s="253" t="n">
        <v>58.213</v>
      </c>
      <c r="E235" s="253" t="n">
        <v>60.97</v>
      </c>
      <c r="F235" s="253" t="n">
        <v>88.43000000000001</v>
      </c>
      <c r="G235" s="253" t="n">
        <v>63</v>
      </c>
      <c r="H235" s="253" t="n">
        <v>80</v>
      </c>
      <c r="I235" s="253" t="n">
        <v>89</v>
      </c>
      <c r="J235" s="253" t="n">
        <v>-23</v>
      </c>
      <c r="K235" s="253" t="n">
        <v>22</v>
      </c>
      <c r="L235" s="253" t="n">
        <v>28</v>
      </c>
      <c r="M235" s="253" t="n">
        <v>36</v>
      </c>
      <c r="N235" s="253" t="n">
        <v>63</v>
      </c>
      <c r="O235" s="253" t="n">
        <v>-74</v>
      </c>
      <c r="P235" s="253" t="n">
        <v>28</v>
      </c>
      <c r="Q235" s="253" t="n">
        <v>3</v>
      </c>
      <c r="R235" s="253" t="n">
        <v>28</v>
      </c>
      <c r="S235" s="253" t="n">
        <v>-15</v>
      </c>
      <c r="T235" s="253" t="n">
        <v>-53</v>
      </c>
      <c r="U235" s="253" t="n">
        <v>30</v>
      </c>
      <c r="V235" s="253" t="n">
        <v>24</v>
      </c>
      <c r="W235" s="253" t="n">
        <v>21</v>
      </c>
      <c r="X235" s="253" t="n">
        <v>22</v>
      </c>
      <c r="Y235" s="253" t="n">
        <v>-40</v>
      </c>
      <c r="Z235" s="253" t="n">
        <v>29</v>
      </c>
      <c r="AA235" s="253" t="n">
        <v>26</v>
      </c>
      <c r="AB235" s="253" t="n">
        <v>35</v>
      </c>
      <c r="AC235" s="253" t="n">
        <v>50</v>
      </c>
      <c r="AD235" s="253" t="n">
        <v>39</v>
      </c>
      <c r="AE235" s="253" t="n">
        <v>49</v>
      </c>
      <c r="AF235" s="253" t="n">
        <v>49</v>
      </c>
      <c r="AG235" s="253" t="n">
        <v>39</v>
      </c>
      <c r="AH235" s="253" t="n">
        <v>176</v>
      </c>
      <c r="AI235" s="253" t="n">
        <v>43</v>
      </c>
      <c r="AJ235" s="253" t="n">
        <v>55</v>
      </c>
      <c r="AK235" s="253" t="n">
        <v>55</v>
      </c>
      <c r="AL235" s="253" t="n">
        <v>43</v>
      </c>
      <c r="AM235" s="253" t="n">
        <v>196</v>
      </c>
      <c r="AN235" s="253" t="n">
        <v>57</v>
      </c>
      <c r="AO235" s="253" t="n">
        <v>73</v>
      </c>
      <c r="AP235" s="253" t="n">
        <v>77</v>
      </c>
      <c r="AQ235" s="253" t="n">
        <v>43</v>
      </c>
      <c r="AR235" s="253" t="n">
        <v>250</v>
      </c>
      <c r="AS235" s="253" t="n">
        <v>52</v>
      </c>
      <c r="AT235" s="253" t="n">
        <v>75</v>
      </c>
      <c r="AU235" s="253" t="n">
        <v>75</v>
      </c>
      <c r="AV235" s="253" t="n">
        <v>52</v>
      </c>
      <c r="AW235" s="253" t="n">
        <v>254</v>
      </c>
      <c r="AX235" s="253" t="n">
        <v>65</v>
      </c>
      <c r="AY235" s="253" t="n">
        <v>87</v>
      </c>
      <c r="AZ235" s="253" t="n">
        <v>89</v>
      </c>
      <c r="BA235" s="253" t="n">
        <v>32</v>
      </c>
      <c r="BB235" s="253" t="n">
        <v>273</v>
      </c>
      <c r="BC235" s="253" t="n">
        <v>74</v>
      </c>
      <c r="BD235" s="253" t="n">
        <v>101</v>
      </c>
      <c r="BE235" s="253" t="n">
        <v>98</v>
      </c>
      <c r="BF235" s="253" t="n">
        <v>22</v>
      </c>
      <c r="BG235" s="253" t="n">
        <v>295</v>
      </c>
      <c r="BH235" s="253" t="n">
        <v>108</v>
      </c>
      <c r="BI235" s="253" t="n">
        <v>135</v>
      </c>
      <c r="BJ235" s="253" t="n">
        <v>131</v>
      </c>
      <c r="BK235" s="253" t="n">
        <v>86</v>
      </c>
      <c r="BL235" s="253" t="n">
        <v>460</v>
      </c>
      <c r="BM235" s="253" t="n">
        <v>108</v>
      </c>
      <c r="BN235" s="253" t="n">
        <v>155</v>
      </c>
      <c r="BO235" s="253" t="n">
        <v>155</v>
      </c>
      <c r="BP235" s="253" t="n">
        <v>108</v>
      </c>
      <c r="BQ235" s="253" t="n">
        <v>526</v>
      </c>
      <c r="BR235" s="253" t="n">
        <v>129</v>
      </c>
      <c r="BS235" s="253" t="n">
        <v>179</v>
      </c>
      <c r="BT235" s="253" t="n">
        <v>177</v>
      </c>
      <c r="BU235" s="253" t="n">
        <v>112</v>
      </c>
      <c r="BV235" s="253" t="n">
        <v>597</v>
      </c>
      <c r="BW235" s="253" t="n">
        <v>136</v>
      </c>
      <c r="BX235" s="253" t="n">
        <v>190</v>
      </c>
      <c r="BY235" s="35" t="n"/>
      <c r="BZ235" s="35" t="n"/>
      <c r="CA235" s="254">
        <f>SUM(BW235:BX235)+(BY109+BZ109)</f>
        <v>631.88961038961</v>
      </c>
      <c r="CB235" s="254">
        <f>CB109</f>
        <v>752.850238331832</v>
      </c>
      <c r="CC235" s="254">
        <f>CC109</f>
        <v>842.116420087072</v>
      </c>
      <c r="CD235" s="254">
        <f>CD109</f>
        <v>935.794796618491</v>
      </c>
      <c r="CE235" s="254">
        <f>CE109</f>
        <v>1033.18162896439</v>
      </c>
      <c r="CF235" s="19" t="n"/>
    </row>
    <row r="236" ht="15" customHeight="1" s="251">
      <c r="B236" s="25" t="inlineStr">
        <is>
          <t xml:space="preserve">  Deferred income taxes</t>
        </is>
      </c>
      <c r="C236" s="253" t="n">
        <v>32.267</v>
      </c>
      <c r="D236" s="253" t="n">
        <v>-5.492</v>
      </c>
      <c r="E236" s="253" t="n">
        <v>-483.952</v>
      </c>
      <c r="F236" s="253" t="n">
        <v>336.704</v>
      </c>
      <c r="G236" s="253" t="n">
        <v>248</v>
      </c>
      <c r="H236" s="253" t="n">
        <v>-175</v>
      </c>
      <c r="I236" s="253" t="n">
        <v>241</v>
      </c>
      <c r="J236" s="253" t="n">
        <v>-5</v>
      </c>
      <c r="K236" s="253" t="n">
        <v>-27</v>
      </c>
      <c r="L236" s="253" t="n">
        <v>-2</v>
      </c>
      <c r="M236" s="253" t="n">
        <v>-85</v>
      </c>
      <c r="N236" s="253" t="n">
        <v>-119</v>
      </c>
      <c r="O236" s="253" t="n">
        <v>-67</v>
      </c>
      <c r="P236" s="253" t="n">
        <v>-10</v>
      </c>
      <c r="Q236" s="253" t="n">
        <v>-3</v>
      </c>
      <c r="R236" s="253" t="n">
        <v>-11</v>
      </c>
      <c r="S236" s="253" t="n">
        <v>-91</v>
      </c>
      <c r="T236" s="253" t="n">
        <v>37</v>
      </c>
      <c r="U236" s="253" t="n">
        <v>-36</v>
      </c>
      <c r="V236" s="253" t="n">
        <v>17</v>
      </c>
      <c r="W236" s="253" t="n">
        <v>-34</v>
      </c>
      <c r="X236" s="253" t="n">
        <v>-16</v>
      </c>
      <c r="Y236" s="253" t="n">
        <v>-20</v>
      </c>
      <c r="Z236" s="253" t="n">
        <v>12</v>
      </c>
      <c r="AA236" s="253" t="n">
        <v>7</v>
      </c>
      <c r="AB236" s="253" t="n">
        <v>-19</v>
      </c>
      <c r="AC236" s="253" t="n">
        <v>-20</v>
      </c>
      <c r="AD236" s="253" t="n">
        <v>8</v>
      </c>
      <c r="AE236" s="253" t="n">
        <v>-31</v>
      </c>
      <c r="AF236" s="253" t="n">
        <v>-33</v>
      </c>
      <c r="AG236" s="253" t="n">
        <v>142</v>
      </c>
      <c r="AH236" s="253" t="n">
        <v>86</v>
      </c>
      <c r="AI236" s="253" t="n">
        <v>-46</v>
      </c>
      <c r="AJ236" s="253" t="n">
        <v>-61</v>
      </c>
      <c r="AK236" s="253" t="n">
        <v>-102</v>
      </c>
      <c r="AL236" s="253" t="n">
        <v>-35</v>
      </c>
      <c r="AM236" s="253" t="n">
        <v>-244</v>
      </c>
      <c r="AN236" s="253" t="n">
        <v>38</v>
      </c>
      <c r="AO236" s="253" t="n">
        <v>27</v>
      </c>
      <c r="AP236" s="253" t="n">
        <v>-51</v>
      </c>
      <c r="AQ236" s="253" t="n">
        <v>-21</v>
      </c>
      <c r="AR236" s="253" t="n">
        <v>-7</v>
      </c>
      <c r="AS236" s="253" t="n">
        <v>26</v>
      </c>
      <c r="AT236" s="253" t="n">
        <v>3</v>
      </c>
      <c r="AU236" s="253" t="n">
        <v>-22</v>
      </c>
      <c r="AV236" s="253" t="n">
        <v>66</v>
      </c>
      <c r="AW236" s="253" t="n">
        <v>73</v>
      </c>
      <c r="AX236" s="253" t="n">
        <v>33</v>
      </c>
      <c r="AY236" s="253" t="n">
        <v>-48</v>
      </c>
      <c r="AZ236" s="253" t="n">
        <v>-34</v>
      </c>
      <c r="BA236" s="253" t="n">
        <v>-20</v>
      </c>
      <c r="BB236" s="253" t="n">
        <v>-69</v>
      </c>
      <c r="BC236" s="253" t="n">
        <v>-320</v>
      </c>
      <c r="BD236" s="253" t="n">
        <v>-146</v>
      </c>
      <c r="BE236" s="253" t="n">
        <v>-123</v>
      </c>
      <c r="BF236" s="253" t="n">
        <v>-62</v>
      </c>
      <c r="BG236" s="253" t="n">
        <v>-651</v>
      </c>
      <c r="BH236" s="253" t="n">
        <v>-129</v>
      </c>
      <c r="BI236" s="253" t="n">
        <v>153</v>
      </c>
      <c r="BJ236" s="253" t="n">
        <v>-263</v>
      </c>
      <c r="BK236" s="253" t="n">
        <v>3</v>
      </c>
      <c r="BL236" s="253" t="n">
        <v>-236</v>
      </c>
      <c r="BM236" s="253" t="n">
        <v>3</v>
      </c>
      <c r="BN236" s="253" t="n">
        <v>-96</v>
      </c>
      <c r="BO236" s="253" t="n">
        <v>-168</v>
      </c>
      <c r="BP236" s="253" t="n">
        <v>-266</v>
      </c>
      <c r="BQ236" s="253" t="n">
        <v>-527</v>
      </c>
      <c r="BR236" s="253" t="n">
        <v>37</v>
      </c>
      <c r="BS236" s="253" t="n">
        <v>44</v>
      </c>
      <c r="BT236" s="253" t="n">
        <v>-4</v>
      </c>
      <c r="BU236" s="253" t="n">
        <v>-20</v>
      </c>
      <c r="BV236" s="253" t="n">
        <v>57</v>
      </c>
      <c r="BW236" s="253" t="n">
        <v>193</v>
      </c>
      <c r="BX236" s="253" t="n">
        <v>-83</v>
      </c>
      <c r="BY236" s="35" t="n"/>
      <c r="BZ236" s="35" t="n"/>
      <c r="CA236" s="254">
        <f>SUM(BW236:BX236)+0.0</f>
        <v>110</v>
      </c>
      <c r="CB236" s="269" t="n">
        <v>0</v>
      </c>
      <c r="CC236" s="269" t="n">
        <v>0</v>
      </c>
      <c r="CD236" s="269" t="n">
        <v>0</v>
      </c>
      <c r="CE236" s="269" t="n">
        <v>0</v>
      </c>
      <c r="CF236" s="19" t="inlineStr">
        <is>
          <t>Cash-flow statement. Forecast input.</t>
        </is>
      </c>
    </row>
    <row r="237" ht="15" customHeight="1" s="251">
      <c r="B237" s="25" t="inlineStr">
        <is>
          <t xml:space="preserve">  (Gains) losses on equity investments &amp; impairments</t>
        </is>
      </c>
      <c r="C237" s="253" t="n">
        <v>0</v>
      </c>
      <c r="D237" s="253" t="n">
        <v>8.718999999999999</v>
      </c>
      <c r="E237" s="253" t="n">
        <v>12.515</v>
      </c>
      <c r="F237" s="253" t="n">
        <v>16.43</v>
      </c>
      <c r="G237" s="253" t="n">
        <v>4</v>
      </c>
      <c r="H237" s="253" t="n">
        <v>0</v>
      </c>
      <c r="I237" s="253" t="n">
        <v>0</v>
      </c>
      <c r="J237" s="253" t="n">
        <v>0</v>
      </c>
      <c r="K237" s="253" t="n">
        <v>0</v>
      </c>
      <c r="L237" s="253" t="n">
        <v>0</v>
      </c>
      <c r="M237" s="253" t="n">
        <v>0</v>
      </c>
      <c r="N237" s="253" t="n">
        <v>0</v>
      </c>
      <c r="O237" s="253" t="n">
        <v>0</v>
      </c>
      <c r="P237" s="253" t="n">
        <v>0</v>
      </c>
      <c r="Q237" s="253" t="n">
        <v>0</v>
      </c>
      <c r="R237" s="253" t="n">
        <v>0</v>
      </c>
      <c r="S237" s="253" t="n">
        <v>0</v>
      </c>
      <c r="T237" s="253" t="n">
        <v>0</v>
      </c>
      <c r="U237" s="253" t="n">
        <v>0</v>
      </c>
      <c r="V237" s="253" t="n">
        <v>0</v>
      </c>
      <c r="W237" s="253" t="n">
        <v>0</v>
      </c>
      <c r="X237" s="253" t="n">
        <v>0</v>
      </c>
      <c r="Y237" s="253" t="n">
        <v>0</v>
      </c>
      <c r="Z237" s="253" t="n">
        <v>0</v>
      </c>
      <c r="AA237" s="253" t="n">
        <v>0</v>
      </c>
      <c r="AB237" s="253" t="n">
        <v>0</v>
      </c>
      <c r="AC237" s="253" t="n">
        <v>0</v>
      </c>
      <c r="AD237" s="253" t="n">
        <v>0</v>
      </c>
      <c r="AE237" s="253" t="n">
        <v>0</v>
      </c>
      <c r="AF237" s="253" t="n">
        <v>0</v>
      </c>
      <c r="AG237" s="253" t="n">
        <v>0</v>
      </c>
      <c r="AH237" s="253" t="n">
        <v>0</v>
      </c>
      <c r="AI237" s="253" t="n">
        <v>0</v>
      </c>
      <c r="AJ237" s="253" t="n">
        <v>0</v>
      </c>
      <c r="AK237" s="253" t="n">
        <v>0</v>
      </c>
      <c r="AL237" s="253" t="n">
        <v>0</v>
      </c>
      <c r="AM237" s="253" t="n">
        <v>0</v>
      </c>
      <c r="AN237" s="253" t="n">
        <v>0</v>
      </c>
      <c r="AO237" s="253" t="n">
        <v>-148</v>
      </c>
      <c r="AP237" s="253" t="n">
        <v>100</v>
      </c>
      <c r="AQ237" s="253" t="n">
        <v>-119</v>
      </c>
      <c r="AR237" s="253" t="n">
        <v>-167</v>
      </c>
      <c r="AS237" s="253" t="n">
        <v>174</v>
      </c>
      <c r="AT237" s="253" t="n">
        <v>-75</v>
      </c>
      <c r="AU237" s="253" t="n">
        <v>91</v>
      </c>
      <c r="AV237" s="253" t="n">
        <v>-220</v>
      </c>
      <c r="AW237" s="253" t="n">
        <v>-30</v>
      </c>
      <c r="AX237" s="253" t="n">
        <v>-94</v>
      </c>
      <c r="AY237" s="253" t="n">
        <v>-243</v>
      </c>
      <c r="AZ237" s="253" t="n">
        <v>-197</v>
      </c>
      <c r="BA237" s="253" t="n">
        <v>-111</v>
      </c>
      <c r="BB237" s="253" t="n">
        <v>-645</v>
      </c>
      <c r="BC237" s="253" t="n">
        <v>76</v>
      </c>
      <c r="BD237" s="253" t="n">
        <v>117</v>
      </c>
      <c r="BE237" s="253" t="n">
        <v>-60</v>
      </c>
      <c r="BF237" s="253" t="n">
        <v>12</v>
      </c>
      <c r="BG237" s="253" t="n">
        <v>145</v>
      </c>
      <c r="BH237" s="253" t="n">
        <v>212</v>
      </c>
      <c r="BI237" s="253" t="n">
        <v>-123</v>
      </c>
      <c r="BJ237" s="253" t="n">
        <v>6</v>
      </c>
      <c r="BK237" s="253" t="n">
        <v>-34</v>
      </c>
      <c r="BL237" s="253" t="n">
        <v>61</v>
      </c>
      <c r="BM237" s="253" t="n">
        <v>-6</v>
      </c>
      <c r="BN237" s="253" t="n">
        <v>13</v>
      </c>
      <c r="BO237" s="253" t="n">
        <v>62</v>
      </c>
      <c r="BP237" s="253" t="n">
        <v>-40</v>
      </c>
      <c r="BQ237" s="253" t="n">
        <v>29</v>
      </c>
      <c r="BR237" s="253" t="n">
        <v>29</v>
      </c>
      <c r="BS237" s="253" t="n">
        <v>-4</v>
      </c>
      <c r="BT237" s="253" t="n">
        <v>-41</v>
      </c>
      <c r="BU237" s="253" t="n">
        <v>104</v>
      </c>
      <c r="BV237" s="253" t="n">
        <v>88</v>
      </c>
      <c r="BW237" s="253" t="n">
        <v>66</v>
      </c>
      <c r="BX237" s="253" t="n">
        <v>2</v>
      </c>
      <c r="BY237" s="35" t="n"/>
      <c r="BZ237" s="35" t="n"/>
      <c r="CA237" s="254">
        <f>SUM(BW237:BX237)</f>
        <v>68</v>
      </c>
      <c r="CB237" s="269" t="n">
        <v>0</v>
      </c>
      <c r="CC237" s="269" t="n">
        <v>0</v>
      </c>
      <c r="CD237" s="269" t="n">
        <v>0</v>
      </c>
      <c r="CE237" s="269" t="n">
        <v>0</v>
      </c>
      <c r="CF237" s="19" t="n"/>
    </row>
    <row r="238" ht="15" customHeight="1" s="251">
      <c r="B238" s="25" t="inlineStr">
        <is>
          <t xml:space="preserve">  Customer incentives, working capital &amp; other operating items, net (derived)</t>
        </is>
      </c>
      <c r="C238" s="253" t="n">
        <v>448.741</v>
      </c>
      <c r="D238" s="253" t="n">
        <v>-475.107</v>
      </c>
      <c r="E238" s="253" t="n">
        <v>965.604</v>
      </c>
      <c r="F238" s="253" t="n">
        <v>-667.403</v>
      </c>
      <c r="G238" s="253" t="n">
        <v>-613</v>
      </c>
      <c r="H238" s="253" t="n">
        <v>681</v>
      </c>
      <c r="I238" s="253" t="n">
        <v>-370</v>
      </c>
      <c r="J238" s="253" t="n">
        <v>72</v>
      </c>
      <c r="K238" s="253" t="n">
        <v>-162</v>
      </c>
      <c r="L238" s="253" t="n">
        <v>353</v>
      </c>
      <c r="M238" s="253" t="n">
        <v>554</v>
      </c>
      <c r="N238" s="253" t="n">
        <v>817</v>
      </c>
      <c r="O238" s="253" t="n">
        <v>-234</v>
      </c>
      <c r="P238" s="253" t="n">
        <v>-301</v>
      </c>
      <c r="Q238" s="253" t="n">
        <v>287</v>
      </c>
      <c r="R238" s="253" t="n">
        <v>-177</v>
      </c>
      <c r="S238" s="253" t="n">
        <v>-425</v>
      </c>
      <c r="T238" s="253" t="n">
        <v>-180</v>
      </c>
      <c r="U238" s="253" t="n">
        <v>-186</v>
      </c>
      <c r="V238" s="253" t="n">
        <v>160</v>
      </c>
      <c r="W238" s="253" t="n">
        <v>69</v>
      </c>
      <c r="X238" s="253" t="n">
        <v>-137</v>
      </c>
      <c r="Y238" s="253" t="n">
        <v>14</v>
      </c>
      <c r="Z238" s="253" t="n">
        <v>-58</v>
      </c>
      <c r="AA238" s="253" t="n">
        <v>115</v>
      </c>
      <c r="AB238" s="253" t="n">
        <v>-49</v>
      </c>
      <c r="AC238" s="253" t="n">
        <v>22</v>
      </c>
      <c r="AD238" s="253" t="n">
        <v>-475</v>
      </c>
      <c r="AE238" s="253" t="n">
        <v>-12</v>
      </c>
      <c r="AF238" s="253" t="n">
        <v>191</v>
      </c>
      <c r="AG238" s="253" t="n">
        <v>1237</v>
      </c>
      <c r="AH238" s="253" t="n">
        <v>941</v>
      </c>
      <c r="AI238" s="253" t="n">
        <v>-574</v>
      </c>
      <c r="AJ238" s="253" t="n">
        <v>-189</v>
      </c>
      <c r="AK238" s="253" t="n">
        <v>404</v>
      </c>
      <c r="AL238" s="253" t="n">
        <v>312</v>
      </c>
      <c r="AM238" s="253" t="n">
        <v>-47</v>
      </c>
      <c r="AN238" s="253" t="n">
        <v>-762</v>
      </c>
      <c r="AO238" s="253" t="n">
        <v>-586</v>
      </c>
      <c r="AP238" s="253" t="n">
        <v>-16</v>
      </c>
      <c r="AQ238" s="253" t="n">
        <v>831</v>
      </c>
      <c r="AR238" s="253" t="n">
        <v>-533</v>
      </c>
      <c r="AS238" s="253" t="n">
        <v>-230</v>
      </c>
      <c r="AT238" s="253" t="n">
        <v>-110</v>
      </c>
      <c r="AU238" s="253" t="n">
        <v>-144</v>
      </c>
      <c r="AV238" s="253" t="n">
        <v>420</v>
      </c>
      <c r="AW238" s="253" t="n">
        <v>-64</v>
      </c>
      <c r="AX238" s="253" t="n">
        <v>-532</v>
      </c>
      <c r="AY238" s="253" t="n">
        <v>220</v>
      </c>
      <c r="AZ238" s="253" t="n">
        <v>83</v>
      </c>
      <c r="BA238" s="253" t="n">
        <v>720</v>
      </c>
      <c r="BB238" s="253" t="n">
        <v>491</v>
      </c>
      <c r="BC238" s="253" t="n">
        <v>-871</v>
      </c>
      <c r="BD238" s="253" t="n">
        <v>-79</v>
      </c>
      <c r="BE238" s="253" t="n">
        <v>1257</v>
      </c>
      <c r="BF238" s="253" t="n">
        <v>419</v>
      </c>
      <c r="BG238" s="253" t="n">
        <v>726</v>
      </c>
      <c r="BH238" s="253" t="n">
        <v>-824</v>
      </c>
      <c r="BI238" s="253" t="n">
        <v>-504</v>
      </c>
      <c r="BJ238" s="253" t="n">
        <v>-50</v>
      </c>
      <c r="BK238" s="253" t="n">
        <v>1079</v>
      </c>
      <c r="BL238" s="253" t="n">
        <v>-299</v>
      </c>
      <c r="BM238" s="253" t="n">
        <v>-1660</v>
      </c>
      <c r="BN238" s="253" t="n">
        <v>-417</v>
      </c>
      <c r="BO238" s="253" t="n">
        <v>1599</v>
      </c>
      <c r="BP238" s="253" t="n">
        <v>1459</v>
      </c>
      <c r="BQ238" s="253" t="n">
        <v>981</v>
      </c>
      <c r="BR238" s="253" t="n">
        <v>-1370</v>
      </c>
      <c r="BS238" s="253" t="n">
        <v>402</v>
      </c>
      <c r="BT238" s="253" t="n">
        <v>1314</v>
      </c>
      <c r="BU238" s="253" t="n">
        <v>449</v>
      </c>
      <c r="BV238" s="253" t="n">
        <v>795</v>
      </c>
      <c r="BW238" s="253" t="n">
        <v>-1577</v>
      </c>
      <c r="BX238" s="253" t="n">
        <v>-1033</v>
      </c>
      <c r="BY238" s="35" t="n"/>
      <c r="BZ238" s="35" t="n"/>
      <c r="CA238" s="254">
        <f>SUM(BW238:BX238)-(CA283-BX283)-(CA284-BX284)-(CA285-BX285)-(CA290-BX290)+(CA293-BX293)+(CA294-BX294)+(CA296-BX296)+(CA297-BX297)+(CA299-BX299)+(CA302-BX302)-(CA236-SUM(BW236:BX236))</f>
        <v>-1373.11447174034</v>
      </c>
      <c r="CB238" s="254">
        <f>-(CB283-CA283)-(CB284-CA284)-(CB285-CA285)-(CB290-CA290)+(CB293-CA293)+(CB294-CA294)+(CB296-CA296)+(CB297-CA297)+(CB299-CA299)+(CB302-CA302)-CB236</f>
        <v>-603.095519128144</v>
      </c>
      <c r="CC238" s="254">
        <f>-(CC283-CB283)-(CC284-CB284)-(CC285-CB285)-(CC290-CB290)+(CC293-CB293)+(CC294-CB294)+(CC296-CB296)+(CC297-CB297)+(CC299-CB299)+(CC302-CB302)-CC236</f>
        <v>-653.199813393222</v>
      </c>
      <c r="CD238" s="254">
        <f>-(CD283-CC283)-(CD284-CC284)-(CD285-CC285)-(CD290-CC290)+(CD293-CC293)+(CD294-CC294)+(CD296-CC296)+(CD297-CC297)+(CD299-CC299)+(CD302-CC302)-CD236</f>
        <v>-683.209689199241</v>
      </c>
      <c r="CE238" s="254">
        <f>-(CE283-CD283)-(CE284-CD284)-(CE285-CD285)-(CE290-CD290)+(CE293-CD293)+(CE294-CD294)+(CE296-CD296)+(CE297-CD297)+(CE299-CD299)+(CE302-CD302)-CE236</f>
        <v>-712.433909698567</v>
      </c>
      <c r="CF238" s="19" t="inlineStr">
        <is>
          <t>History: net cash provided by operating activities − net income − D&amp;A − share-based compensation − deferred taxes − equity-investment items. Includes the amortization of customer incentives net of incentive prepayments (prepaid expenses), settlement balances and accruals. Forecast linked to the balance sheet: −Δ operating assets + Δ operating liabilities (deferred taxes sit in other liabilities).</t>
        </is>
      </c>
    </row>
    <row r="239" ht="15" customHeight="1" s="251">
      <c r="B239" s="16" t="inlineStr">
        <is>
          <t>Net cash provided by operating activities</t>
        </is>
      </c>
      <c r="C239" s="262" t="n">
        <v>650.1609999999999</v>
      </c>
      <c r="D239" s="262" t="n">
        <v>769.861</v>
      </c>
      <c r="E239" s="262" t="n">
        <v>413.228</v>
      </c>
      <c r="F239" s="262" t="n">
        <v>1378.162</v>
      </c>
      <c r="G239" s="262" t="n">
        <v>1697</v>
      </c>
      <c r="H239" s="262" t="n">
        <v>2684</v>
      </c>
      <c r="I239" s="262" t="n">
        <v>2948</v>
      </c>
      <c r="J239" s="262" t="n">
        <v>872</v>
      </c>
      <c r="K239" s="262" t="n">
        <v>742</v>
      </c>
      <c r="L239" s="262" t="n">
        <v>1322</v>
      </c>
      <c r="M239" s="262" t="n">
        <v>1199</v>
      </c>
      <c r="N239" s="262" t="n">
        <v>4135</v>
      </c>
      <c r="O239" s="262" t="n">
        <v>568</v>
      </c>
      <c r="P239" s="262" t="n">
        <v>729</v>
      </c>
      <c r="Q239" s="262" t="n">
        <v>1385</v>
      </c>
      <c r="R239" s="262" t="n">
        <v>725</v>
      </c>
      <c r="S239" s="262" t="n">
        <v>3407</v>
      </c>
      <c r="T239" s="262" t="n">
        <v>911</v>
      </c>
      <c r="U239" s="262" t="n">
        <v>821</v>
      </c>
      <c r="V239" s="262" t="n">
        <v>1272</v>
      </c>
      <c r="W239" s="262" t="n">
        <v>1039</v>
      </c>
      <c r="X239" s="262" t="n">
        <v>4043</v>
      </c>
      <c r="Y239" s="262" t="n">
        <v>1008</v>
      </c>
      <c r="Z239" s="262" t="n">
        <v>1059</v>
      </c>
      <c r="AA239" s="262" t="n">
        <v>1425</v>
      </c>
      <c r="AB239" s="262" t="n">
        <v>992</v>
      </c>
      <c r="AC239" s="262" t="n">
        <v>4484</v>
      </c>
      <c r="AD239" s="262" t="n">
        <v>745</v>
      </c>
      <c r="AE239" s="262" t="n">
        <v>1294</v>
      </c>
      <c r="AF239" s="262" t="n">
        <v>1755</v>
      </c>
      <c r="AG239" s="262" t="n">
        <v>1761</v>
      </c>
      <c r="AH239" s="262" t="n">
        <v>5555</v>
      </c>
      <c r="AI239" s="262" t="n">
        <v>1035</v>
      </c>
      <c r="AJ239" s="262" t="n">
        <v>1489</v>
      </c>
      <c r="AK239" s="262" t="n">
        <v>2367</v>
      </c>
      <c r="AL239" s="262" t="n">
        <v>1332</v>
      </c>
      <c r="AM239" s="262" t="n">
        <v>6223</v>
      </c>
      <c r="AN239" s="262" t="n">
        <v>1312</v>
      </c>
      <c r="AO239" s="262" t="n">
        <v>1536</v>
      </c>
      <c r="AP239" s="262" t="n">
        <v>2355</v>
      </c>
      <c r="AQ239" s="262" t="n">
        <v>2980</v>
      </c>
      <c r="AR239" s="262" t="n">
        <v>8183</v>
      </c>
      <c r="AS239" s="262" t="n">
        <v>1859</v>
      </c>
      <c r="AT239" s="262" t="n">
        <v>1458</v>
      </c>
      <c r="AU239" s="262" t="n">
        <v>1654</v>
      </c>
      <c r="AV239" s="262" t="n">
        <v>2253</v>
      </c>
      <c r="AW239" s="262" t="n">
        <v>7224</v>
      </c>
      <c r="AX239" s="262" t="n">
        <v>1463</v>
      </c>
      <c r="AY239" s="262" t="n">
        <v>2268</v>
      </c>
      <c r="AZ239" s="262" t="n">
        <v>2543</v>
      </c>
      <c r="BA239" s="262" t="n">
        <v>3189</v>
      </c>
      <c r="BB239" s="262" t="n">
        <v>9463</v>
      </c>
      <c r="BC239" s="262" t="n">
        <v>1782</v>
      </c>
      <c r="BD239" s="262" t="n">
        <v>2457</v>
      </c>
      <c r="BE239" s="262" t="n">
        <v>3856</v>
      </c>
      <c r="BF239" s="262" t="n">
        <v>3100</v>
      </c>
      <c r="BG239" s="262" t="n">
        <v>11195</v>
      </c>
      <c r="BH239" s="262" t="n">
        <v>1919</v>
      </c>
      <c r="BI239" s="262" t="n">
        <v>2698</v>
      </c>
      <c r="BJ239" s="262" t="n">
        <v>3233</v>
      </c>
      <c r="BK239" s="262" t="n">
        <v>4130</v>
      </c>
      <c r="BL239" s="262" t="n">
        <v>11980</v>
      </c>
      <c r="BM239" s="262" t="n">
        <v>1672</v>
      </c>
      <c r="BN239" s="262" t="n">
        <v>3138</v>
      </c>
      <c r="BO239" s="262" t="n">
        <v>5136</v>
      </c>
      <c r="BP239" s="262" t="n">
        <v>4834</v>
      </c>
      <c r="BQ239" s="262" t="n">
        <v>14780</v>
      </c>
      <c r="BR239" s="262" t="n">
        <v>2380</v>
      </c>
      <c r="BS239" s="262" t="n">
        <v>4603</v>
      </c>
      <c r="BT239" s="262" t="n">
        <v>5663</v>
      </c>
      <c r="BU239" s="262" t="n">
        <v>5002</v>
      </c>
      <c r="BV239" s="262" t="n">
        <v>17648</v>
      </c>
      <c r="BW239" s="262" t="n">
        <v>2999</v>
      </c>
      <c r="BX239" s="262" t="n">
        <v>3773</v>
      </c>
      <c r="BY239" s="32" t="n"/>
      <c r="BZ239" s="32" t="n"/>
      <c r="CA239" s="263">
        <f>SUM(CA232:CA238)</f>
        <v>17757.4234636493</v>
      </c>
      <c r="CB239" s="263">
        <f>SUM(CB232:CB238)</f>
        <v>20966.6519888265</v>
      </c>
      <c r="CC239" s="263">
        <f>SUM(CC232:CC238)</f>
        <v>23684.51442957</v>
      </c>
      <c r="CD239" s="263">
        <f>SUM(CD232:CD238)</f>
        <v>26559.3269202984</v>
      </c>
      <c r="CE239" s="263">
        <f>SUM(CE232:CE238)</f>
        <v>29573.6300725063</v>
      </c>
      <c r="CF239" s="153" t="n"/>
      <c r="CH239" s="20">
        <f>IFERROR((CE239/BV239)^(1/5)-1,"n/m")</f>
        <v>0.108770922890002</v>
      </c>
      <c r="CI239" s="20">
        <f>IFERROR((BV239/AW239)^(1/5)-1,"n/m")</f>
        <v>0.195593517297004</v>
      </c>
      <c r="CJ239" s="20">
        <f>IFERROR((BV239/X239)^(1/10)-1,"n/m")</f>
        <v>0.158775155909743</v>
      </c>
      <c r="CK239" s="20">
        <f>IFERROR((BV239/C239)^(1/19)-1,"n/m")</f>
        <v>0.189752310471947</v>
      </c>
    </row>
    <row r="240" ht="15" customHeight="1" s="251">
      <c r="B240" s="25" t="inlineStr">
        <is>
          <t>Purchases of property and equipment &amp; capitalized software</t>
        </is>
      </c>
      <c r="C240" s="253" t="n">
        <v>-94.468</v>
      </c>
      <c r="D240" s="253" t="n">
        <v>-156.422</v>
      </c>
      <c r="E240" s="253" t="n">
        <v>-170.273</v>
      </c>
      <c r="F240" s="253" t="n">
        <v>-139.36</v>
      </c>
      <c r="G240" s="253" t="n">
        <v>-151</v>
      </c>
      <c r="H240" s="253" t="n">
        <v>-177</v>
      </c>
      <c r="I240" s="253" t="n">
        <v>-218</v>
      </c>
      <c r="J240" s="253" t="n">
        <v>-42</v>
      </c>
      <c r="K240" s="253" t="n">
        <v>-61</v>
      </c>
      <c r="L240" s="253" t="n">
        <v>-50</v>
      </c>
      <c r="M240" s="253" t="n">
        <v>-146</v>
      </c>
      <c r="N240" s="253" t="n">
        <v>-299</v>
      </c>
      <c r="O240" s="253" t="n">
        <v>-49</v>
      </c>
      <c r="P240" s="253" t="n">
        <v>-53</v>
      </c>
      <c r="Q240" s="253" t="n">
        <v>-70</v>
      </c>
      <c r="R240" s="253" t="n">
        <v>-162</v>
      </c>
      <c r="S240" s="253" t="n">
        <v>-334</v>
      </c>
      <c r="T240" s="253" t="n">
        <v>-57</v>
      </c>
      <c r="U240" s="253" t="n">
        <v>-86</v>
      </c>
      <c r="V240" s="253" t="n">
        <v>-106</v>
      </c>
      <c r="W240" s="253" t="n">
        <v>-93</v>
      </c>
      <c r="X240" s="253" t="n">
        <v>-342</v>
      </c>
      <c r="Y240" s="253" t="n">
        <v>-75</v>
      </c>
      <c r="Z240" s="253" t="n">
        <v>-106</v>
      </c>
      <c r="AA240" s="253" t="n">
        <v>-99</v>
      </c>
      <c r="AB240" s="253" t="n">
        <v>-102</v>
      </c>
      <c r="AC240" s="253" t="n">
        <v>-382</v>
      </c>
      <c r="AD240" s="253" t="n">
        <v>-94</v>
      </c>
      <c r="AE240" s="253" t="n">
        <v>-74</v>
      </c>
      <c r="AF240" s="253" t="n">
        <v>-133</v>
      </c>
      <c r="AG240" s="253" t="n">
        <v>-122</v>
      </c>
      <c r="AH240" s="253" t="n">
        <v>-423</v>
      </c>
      <c r="AI240" s="253" t="n">
        <v>-126</v>
      </c>
      <c r="AJ240" s="253" t="n">
        <v>-125</v>
      </c>
      <c r="AK240" s="253" t="n">
        <v>-130</v>
      </c>
      <c r="AL240" s="253" t="n">
        <v>-123</v>
      </c>
      <c r="AM240" s="253" t="n">
        <v>-504</v>
      </c>
      <c r="AN240" s="253" t="n">
        <v>-142</v>
      </c>
      <c r="AO240" s="253" t="n">
        <v>-182</v>
      </c>
      <c r="AP240" s="253" t="n">
        <v>-219</v>
      </c>
      <c r="AQ240" s="253" t="n">
        <v>-185</v>
      </c>
      <c r="AR240" s="253" t="n">
        <v>-728</v>
      </c>
      <c r="AS240" s="253" t="n">
        <v>-209</v>
      </c>
      <c r="AT240" s="253" t="n">
        <v>-183</v>
      </c>
      <c r="AU240" s="253" t="n">
        <v>-165</v>
      </c>
      <c r="AV240" s="253" t="n">
        <v>-151</v>
      </c>
      <c r="AW240" s="253" t="n">
        <v>-708</v>
      </c>
      <c r="AX240" s="253" t="n">
        <v>-144</v>
      </c>
      <c r="AY240" s="253" t="n">
        <v>-193</v>
      </c>
      <c r="AZ240" s="253" t="n">
        <v>-249</v>
      </c>
      <c r="BA240" s="253" t="n">
        <v>-228</v>
      </c>
      <c r="BB240" s="253" t="n">
        <v>-814</v>
      </c>
      <c r="BC240" s="253" t="n">
        <v>-294</v>
      </c>
      <c r="BD240" s="253" t="n">
        <v>-187</v>
      </c>
      <c r="BE240" s="253" t="n">
        <v>-277</v>
      </c>
      <c r="BF240" s="253" t="n">
        <v>-339</v>
      </c>
      <c r="BG240" s="253" t="n">
        <v>-1097</v>
      </c>
      <c r="BH240" s="253" t="n">
        <v>-352</v>
      </c>
      <c r="BI240" s="253" t="n">
        <v>-233</v>
      </c>
      <c r="BJ240" s="253" t="n">
        <v>-234</v>
      </c>
      <c r="BK240" s="253" t="n">
        <v>-269</v>
      </c>
      <c r="BL240" s="253" t="n">
        <v>-1088</v>
      </c>
      <c r="BM240" s="253" t="n">
        <v>-378</v>
      </c>
      <c r="BN240" s="253" t="n">
        <v>-296</v>
      </c>
      <c r="BO240" s="253" t="n">
        <v>-270</v>
      </c>
      <c r="BP240" s="253" t="n">
        <v>-250</v>
      </c>
      <c r="BQ240" s="253" t="n">
        <v>-1194</v>
      </c>
      <c r="BR240" s="253" t="n">
        <v>-357</v>
      </c>
      <c r="BS240" s="253" t="n">
        <v>-209</v>
      </c>
      <c r="BT240" s="253" t="n">
        <v>-359</v>
      </c>
      <c r="BU240" s="253" t="n">
        <v>-290</v>
      </c>
      <c r="BV240" s="253" t="n">
        <v>-1215</v>
      </c>
      <c r="BW240" s="253" t="n">
        <v>-335</v>
      </c>
      <c r="BX240" s="253" t="n">
        <v>-478</v>
      </c>
      <c r="BY240" s="35" t="n"/>
      <c r="BZ240" s="35" t="n"/>
      <c r="CA240" s="254">
        <f>SUM(BW240:BX240)-$CP$23</f>
        <v>-1513</v>
      </c>
      <c r="CB240" s="254">
        <f>-CB123*CB264</f>
        <v>-1673.00052962629</v>
      </c>
      <c r="CC240" s="254">
        <f>-CC123*CC264</f>
        <v>-1871.36982241572</v>
      </c>
      <c r="CD240" s="254">
        <f>-CD123*CD264</f>
        <v>-2079.54399248554</v>
      </c>
      <c r="CE240" s="254">
        <f>-CE123*CE264</f>
        <v>-2295.95917547641</v>
      </c>
      <c r="CF240" s="19" t="inlineStr">
        <is>
          <t>Property &amp; equipment plus capitalized software (the company's capital expenditures). 2026E: H1 actual + H2 point estimate; 2027E+: net revenue × capex %.</t>
        </is>
      </c>
    </row>
    <row r="241" ht="15" customHeight="1" s="251">
      <c r="B241" s="25" t="inlineStr">
        <is>
          <t>Acquisition of businesses, net of cash acquired</t>
        </is>
      </c>
      <c r="C241" s="253" t="n">
        <v>0</v>
      </c>
      <c r="D241" s="253" t="n">
        <v>0</v>
      </c>
      <c r="E241" s="253" t="n">
        <v>-81.73099999999999</v>
      </c>
      <c r="F241" s="253" t="n">
        <v>-2.913</v>
      </c>
      <c r="G241" s="253" t="n">
        <v>-498</v>
      </c>
      <c r="H241" s="253" t="n">
        <v>-460</v>
      </c>
      <c r="I241" s="253" t="n">
        <v>-70</v>
      </c>
      <c r="J241" s="253" t="n">
        <v>0</v>
      </c>
      <c r="K241" s="253" t="n">
        <v>0</v>
      </c>
      <c r="L241" s="253" t="n">
        <v>0</v>
      </c>
      <c r="M241" s="253" t="n">
        <v>0</v>
      </c>
      <c r="N241" s="253" t="n">
        <v>0</v>
      </c>
      <c r="O241" s="253" t="n">
        <v>-146</v>
      </c>
      <c r="P241" s="253" t="n">
        <v>-195</v>
      </c>
      <c r="Q241" s="253" t="n">
        <v>5</v>
      </c>
      <c r="R241" s="253" t="n">
        <v>-189</v>
      </c>
      <c r="S241" s="253" t="n">
        <v>-525</v>
      </c>
      <c r="T241" s="253" t="n">
        <v>-12</v>
      </c>
      <c r="U241" s="253" t="n">
        <v>-572</v>
      </c>
      <c r="V241" s="253" t="n">
        <v>0</v>
      </c>
      <c r="W241" s="253" t="n">
        <v>0</v>
      </c>
      <c r="X241" s="253" t="n">
        <v>-584</v>
      </c>
      <c r="Y241" s="253" t="n">
        <v>0</v>
      </c>
      <c r="Z241" s="253" t="n">
        <v>0</v>
      </c>
      <c r="AA241" s="253" t="n">
        <v>0</v>
      </c>
      <c r="AB241" s="253" t="n">
        <v>0</v>
      </c>
      <c r="AC241" s="253" t="n">
        <v>0</v>
      </c>
      <c r="AD241" s="253" t="n">
        <v>0</v>
      </c>
      <c r="AE241" s="253" t="n">
        <v>-951</v>
      </c>
      <c r="AF241" s="253" t="n">
        <v>-224</v>
      </c>
      <c r="AG241" s="253" t="n">
        <v>0</v>
      </c>
      <c r="AH241" s="253" t="n">
        <v>-1175</v>
      </c>
      <c r="AI241" s="253" t="n">
        <v>0</v>
      </c>
      <c r="AJ241" s="253" t="n">
        <v>0</v>
      </c>
      <c r="AK241" s="253" t="n">
        <v>0</v>
      </c>
      <c r="AL241" s="253" t="n">
        <v>0</v>
      </c>
      <c r="AM241" s="253" t="n">
        <v>0</v>
      </c>
      <c r="AN241" s="253" t="n">
        <v>0</v>
      </c>
      <c r="AO241" s="253" t="n">
        <v>-723</v>
      </c>
      <c r="AP241" s="253" t="n">
        <v>-447</v>
      </c>
      <c r="AQ241" s="253" t="n">
        <v>-270</v>
      </c>
      <c r="AR241" s="253" t="n">
        <v>-1440</v>
      </c>
      <c r="AS241" s="253" t="n">
        <v>0</v>
      </c>
      <c r="AT241" s="253" t="n">
        <v>-183</v>
      </c>
      <c r="AU241" s="253" t="n">
        <v>0</v>
      </c>
      <c r="AV241" s="253" t="n">
        <v>-806</v>
      </c>
      <c r="AW241" s="253" t="n">
        <v>-989</v>
      </c>
      <c r="AX241" s="253" t="n">
        <v>-3364</v>
      </c>
      <c r="AY241" s="253" t="n">
        <v>-836</v>
      </c>
      <c r="AZ241" s="253" t="n">
        <v>3</v>
      </c>
      <c r="BA241" s="253" t="n">
        <v>-239</v>
      </c>
      <c r="BB241" s="253" t="n">
        <v>-4436</v>
      </c>
      <c r="BC241" s="253" t="n">
        <v>0</v>
      </c>
      <c r="BD241" s="253" t="n">
        <v>-313</v>
      </c>
      <c r="BE241" s="253" t="n">
        <v>0</v>
      </c>
      <c r="BF241" s="253" t="n">
        <v>0</v>
      </c>
      <c r="BG241" s="253" t="n">
        <v>-313</v>
      </c>
      <c r="BH241" s="253" t="n">
        <v>0</v>
      </c>
      <c r="BI241" s="253" t="n">
        <v>0</v>
      </c>
      <c r="BJ241" s="253" t="n">
        <v>0</v>
      </c>
      <c r="BK241" s="253" t="n">
        <v>0</v>
      </c>
      <c r="BL241" s="253" t="n">
        <v>0</v>
      </c>
      <c r="BM241" s="253" t="n">
        <v>0</v>
      </c>
      <c r="BN241" s="253" t="n">
        <v>0</v>
      </c>
      <c r="BO241" s="253" t="n">
        <v>0</v>
      </c>
      <c r="BP241" s="253" t="n">
        <v>-2511</v>
      </c>
      <c r="BQ241" s="253" t="n">
        <v>-2511</v>
      </c>
      <c r="BR241" s="253" t="n">
        <v>0</v>
      </c>
      <c r="BS241" s="253" t="n">
        <v>0</v>
      </c>
      <c r="BT241" s="253" t="n">
        <v>0</v>
      </c>
      <c r="BU241" s="253" t="n">
        <v>0</v>
      </c>
      <c r="BV241" s="253" t="n">
        <v>0</v>
      </c>
      <c r="BW241" s="253" t="n">
        <v>0</v>
      </c>
      <c r="BX241" s="253" t="n">
        <v>0</v>
      </c>
      <c r="BY241" s="35" t="n"/>
      <c r="BZ241" s="35" t="n"/>
      <c r="CA241" s="254">
        <f>SUM(BW241:BX241)-CA55</f>
        <v>-1500</v>
      </c>
      <c r="CB241" s="254">
        <f>-CB63</f>
        <v>-1000</v>
      </c>
      <c r="CC241" s="254">
        <f>-CC63</f>
        <v>-1000</v>
      </c>
      <c r="CD241" s="254">
        <f>-CD63</f>
        <v>-1000</v>
      </c>
      <c r="CE241" s="254">
        <f>-CE63</f>
        <v>-1000</v>
      </c>
      <c r="CF241" s="19" t="inlineStr">
        <is>
          <t>Vocalink 2017, Nets account-to-account 2021, Finicity 2020, Ekata 2021, Recorded Future Dec-2024; 2026E: BVNK $1.5bn (switch); 2027E+: M&amp;A lever.</t>
        </is>
      </c>
    </row>
    <row r="242" ht="15" customHeight="1" s="251">
      <c r="B242" s="25" t="inlineStr">
        <is>
          <t>Investment securities, equity investments &amp; other investing, net (derived)</t>
        </is>
      </c>
      <c r="C242" s="253" t="n">
        <v>-581.758</v>
      </c>
      <c r="D242" s="253" t="n">
        <v>471.563</v>
      </c>
      <c r="E242" s="253" t="n">
        <v>453.655</v>
      </c>
      <c r="F242" s="253" t="n">
        <v>-521.907</v>
      </c>
      <c r="G242" s="253" t="n">
        <v>8</v>
      </c>
      <c r="H242" s="253" t="n">
        <v>-111</v>
      </c>
      <c r="I242" s="253" t="n">
        <v>-2551</v>
      </c>
      <c r="J242" s="253" t="n">
        <v>-65</v>
      </c>
      <c r="K242" s="253" t="n">
        <v>286</v>
      </c>
      <c r="L242" s="253" t="n">
        <v>167</v>
      </c>
      <c r="M242" s="253" t="n">
        <v>-93</v>
      </c>
      <c r="N242" s="253" t="n">
        <v>295</v>
      </c>
      <c r="O242" s="253" t="n">
        <v>325</v>
      </c>
      <c r="P242" s="253" t="n">
        <v>-314</v>
      </c>
      <c r="Q242" s="253" t="n">
        <v>945</v>
      </c>
      <c r="R242" s="253" t="n">
        <v>593</v>
      </c>
      <c r="S242" s="253" t="n">
        <v>1549</v>
      </c>
      <c r="T242" s="253" t="n">
        <v>-450</v>
      </c>
      <c r="U242" s="253" t="n">
        <v>-45</v>
      </c>
      <c r="V242" s="253" t="n">
        <v>475</v>
      </c>
      <c r="W242" s="253" t="n">
        <v>231</v>
      </c>
      <c r="X242" s="253" t="n">
        <v>211</v>
      </c>
      <c r="Y242" s="253" t="n">
        <v>-310</v>
      </c>
      <c r="Z242" s="253" t="n">
        <v>-4</v>
      </c>
      <c r="AA242" s="253" t="n">
        <v>-531</v>
      </c>
      <c r="AB242" s="253" t="n">
        <v>60</v>
      </c>
      <c r="AC242" s="253" t="n">
        <v>-785</v>
      </c>
      <c r="AD242" s="253" t="n">
        <v>-152</v>
      </c>
      <c r="AE242" s="253" t="n">
        <v>17</v>
      </c>
      <c r="AF242" s="253" t="n">
        <v>-45</v>
      </c>
      <c r="AG242" s="253" t="n">
        <v>-1</v>
      </c>
      <c r="AH242" s="253" t="n">
        <v>-181</v>
      </c>
      <c r="AI242" s="253" t="n">
        <v>493</v>
      </c>
      <c r="AJ242" s="253" t="n">
        <v>-248</v>
      </c>
      <c r="AK242" s="253" t="n">
        <v>-101</v>
      </c>
      <c r="AL242" s="253" t="n">
        <v>-146</v>
      </c>
      <c r="AM242" s="253" t="n">
        <v>-2</v>
      </c>
      <c r="AN242" s="253" t="n">
        <v>355</v>
      </c>
      <c r="AO242" s="253" t="n">
        <v>138</v>
      </c>
      <c r="AP242" s="253" t="n">
        <v>40</v>
      </c>
      <c r="AQ242" s="253" t="n">
        <v>-5</v>
      </c>
      <c r="AR242" s="253" t="n">
        <v>528</v>
      </c>
      <c r="AS242" s="253" t="n">
        <v>-298</v>
      </c>
      <c r="AT242" s="253" t="n">
        <v>247</v>
      </c>
      <c r="AU242" s="253" t="n">
        <v>-34</v>
      </c>
      <c r="AV242" s="253" t="n">
        <v>-97</v>
      </c>
      <c r="AW242" s="253" t="n">
        <v>-182</v>
      </c>
      <c r="AX242" s="253" t="n">
        <v>-52</v>
      </c>
      <c r="AY242" s="253" t="n">
        <v>-113</v>
      </c>
      <c r="AZ242" s="253" t="n">
        <v>114</v>
      </c>
      <c r="BA242" s="253" t="n">
        <v>29</v>
      </c>
      <c r="BB242" s="253" t="n">
        <v>-22</v>
      </c>
      <c r="BC242" s="253" t="n">
        <v>7</v>
      </c>
      <c r="BD242" s="253" t="n">
        <v>-25</v>
      </c>
      <c r="BE242" s="253" t="n">
        <v>-31</v>
      </c>
      <c r="BF242" s="253" t="n">
        <v>-11</v>
      </c>
      <c r="BG242" s="253" t="n">
        <v>-60</v>
      </c>
      <c r="BH242" s="253" t="n">
        <v>-45</v>
      </c>
      <c r="BI242" s="253" t="n">
        <v>15</v>
      </c>
      <c r="BJ242" s="253" t="n">
        <v>-288</v>
      </c>
      <c r="BK242" s="253" t="n">
        <v>55</v>
      </c>
      <c r="BL242" s="253" t="n">
        <v>-263</v>
      </c>
      <c r="BM242" s="253" t="n">
        <v>204</v>
      </c>
      <c r="BN242" s="253" t="n">
        <v>2</v>
      </c>
      <c r="BO242" s="253" t="n">
        <v>14</v>
      </c>
      <c r="BP242" s="253" t="n">
        <v>83</v>
      </c>
      <c r="BQ242" s="253" t="n">
        <v>303</v>
      </c>
      <c r="BR242" s="253" t="n">
        <v>17</v>
      </c>
      <c r="BS242" s="253" t="n">
        <v>-18</v>
      </c>
      <c r="BT242" s="253" t="n">
        <v>-15</v>
      </c>
      <c r="BU242" s="253" t="n">
        <v>-131</v>
      </c>
      <c r="BV242" s="253" t="n">
        <v>-147</v>
      </c>
      <c r="BW242" s="253" t="n">
        <v>-27</v>
      </c>
      <c r="BX242" s="253" t="n">
        <v>-39</v>
      </c>
      <c r="BY242" s="35" t="n"/>
      <c r="BZ242" s="35" t="n"/>
      <c r="CA242" s="254">
        <f>SUM(BW242:BX242)</f>
        <v>-66</v>
      </c>
      <c r="CB242" s="269" t="n">
        <v>0</v>
      </c>
      <c r="CC242" s="269" t="n">
        <v>0</v>
      </c>
      <c r="CD242" s="269" t="n">
        <v>0</v>
      </c>
      <c r="CE242" s="269" t="n">
        <v>0</v>
      </c>
      <c r="CF242" s="19" t="n"/>
    </row>
    <row r="243" ht="15" customHeight="1" s="251">
      <c r="B243" s="16" t="inlineStr">
        <is>
          <t>Net cash used in investing activities</t>
        </is>
      </c>
      <c r="C243" s="262" t="n">
        <v>-676.226</v>
      </c>
      <c r="D243" s="262" t="n">
        <v>315.141</v>
      </c>
      <c r="E243" s="262" t="n">
        <v>201.651</v>
      </c>
      <c r="F243" s="262" t="n">
        <v>-664.1799999999999</v>
      </c>
      <c r="G243" s="262" t="n">
        <v>-641</v>
      </c>
      <c r="H243" s="262" t="n">
        <v>-748</v>
      </c>
      <c r="I243" s="262" t="n">
        <v>-2839</v>
      </c>
      <c r="J243" s="262" t="n">
        <v>-107</v>
      </c>
      <c r="K243" s="262" t="n">
        <v>225</v>
      </c>
      <c r="L243" s="262" t="n">
        <v>117</v>
      </c>
      <c r="M243" s="262" t="n">
        <v>-239</v>
      </c>
      <c r="N243" s="262" t="n">
        <v>-4</v>
      </c>
      <c r="O243" s="262" t="n">
        <v>130</v>
      </c>
      <c r="P243" s="262" t="n">
        <v>-562</v>
      </c>
      <c r="Q243" s="262" t="n">
        <v>880</v>
      </c>
      <c r="R243" s="262" t="n">
        <v>242</v>
      </c>
      <c r="S243" s="262" t="n">
        <v>690</v>
      </c>
      <c r="T243" s="262" t="n">
        <v>-519</v>
      </c>
      <c r="U243" s="262" t="n">
        <v>-703</v>
      </c>
      <c r="V243" s="262" t="n">
        <v>369</v>
      </c>
      <c r="W243" s="262" t="n">
        <v>138</v>
      </c>
      <c r="X243" s="262" t="n">
        <v>-715</v>
      </c>
      <c r="Y243" s="262" t="n">
        <v>-385</v>
      </c>
      <c r="Z243" s="262" t="n">
        <v>-110</v>
      </c>
      <c r="AA243" s="262" t="n">
        <v>-630</v>
      </c>
      <c r="AB243" s="262" t="n">
        <v>-42</v>
      </c>
      <c r="AC243" s="262" t="n">
        <v>-1167</v>
      </c>
      <c r="AD243" s="262" t="n">
        <v>-246</v>
      </c>
      <c r="AE243" s="262" t="n">
        <v>-1008</v>
      </c>
      <c r="AF243" s="262" t="n">
        <v>-402</v>
      </c>
      <c r="AG243" s="262" t="n">
        <v>-123</v>
      </c>
      <c r="AH243" s="262" t="n">
        <v>-1779</v>
      </c>
      <c r="AI243" s="262" t="n">
        <v>367</v>
      </c>
      <c r="AJ243" s="262" t="n">
        <v>-373</v>
      </c>
      <c r="AK243" s="262" t="n">
        <v>-231</v>
      </c>
      <c r="AL243" s="262" t="n">
        <v>-269</v>
      </c>
      <c r="AM243" s="262" t="n">
        <v>-506</v>
      </c>
      <c r="AN243" s="262" t="n">
        <v>213</v>
      </c>
      <c r="AO243" s="262" t="n">
        <v>-767</v>
      </c>
      <c r="AP243" s="262" t="n">
        <v>-626</v>
      </c>
      <c r="AQ243" s="262" t="n">
        <v>-460</v>
      </c>
      <c r="AR243" s="262" t="n">
        <v>-1640</v>
      </c>
      <c r="AS243" s="262" t="n">
        <v>-507</v>
      </c>
      <c r="AT243" s="262" t="n">
        <v>-119</v>
      </c>
      <c r="AU243" s="262" t="n">
        <v>-199</v>
      </c>
      <c r="AV243" s="262" t="n">
        <v>-1054</v>
      </c>
      <c r="AW243" s="262" t="n">
        <v>-1879</v>
      </c>
      <c r="AX243" s="262" t="n">
        <v>-3560</v>
      </c>
      <c r="AY243" s="262" t="n">
        <v>-1142</v>
      </c>
      <c r="AZ243" s="262" t="n">
        <v>-132</v>
      </c>
      <c r="BA243" s="262" t="n">
        <v>-438</v>
      </c>
      <c r="BB243" s="262" t="n">
        <v>-5272</v>
      </c>
      <c r="BC243" s="262" t="n">
        <v>-287</v>
      </c>
      <c r="BD243" s="262" t="n">
        <v>-525</v>
      </c>
      <c r="BE243" s="262" t="n">
        <v>-308</v>
      </c>
      <c r="BF243" s="262" t="n">
        <v>-350</v>
      </c>
      <c r="BG243" s="262" t="n">
        <v>-1470</v>
      </c>
      <c r="BH243" s="262" t="n">
        <v>-397</v>
      </c>
      <c r="BI243" s="262" t="n">
        <v>-218</v>
      </c>
      <c r="BJ243" s="262" t="n">
        <v>-522</v>
      </c>
      <c r="BK243" s="262" t="n">
        <v>-214</v>
      </c>
      <c r="BL243" s="262" t="n">
        <v>-1351</v>
      </c>
      <c r="BM243" s="262" t="n">
        <v>-174</v>
      </c>
      <c r="BN243" s="262" t="n">
        <v>-294</v>
      </c>
      <c r="BO243" s="262" t="n">
        <v>-256</v>
      </c>
      <c r="BP243" s="262" t="n">
        <v>-2678</v>
      </c>
      <c r="BQ243" s="262" t="n">
        <v>-3402</v>
      </c>
      <c r="BR243" s="262" t="n">
        <v>-340</v>
      </c>
      <c r="BS243" s="262" t="n">
        <v>-227</v>
      </c>
      <c r="BT243" s="262" t="n">
        <v>-374</v>
      </c>
      <c r="BU243" s="262" t="n">
        <v>-421</v>
      </c>
      <c r="BV243" s="262" t="n">
        <v>-1362</v>
      </c>
      <c r="BW243" s="262" t="n">
        <v>-362</v>
      </c>
      <c r="BX243" s="262" t="n">
        <v>-517</v>
      </c>
      <c r="BY243" s="32" t="n"/>
      <c r="BZ243" s="32" t="n"/>
      <c r="CA243" s="263">
        <f>SUM(CA240:CA242)</f>
        <v>-3079</v>
      </c>
      <c r="CB243" s="263">
        <f>SUM(CB240:CB242)</f>
        <v>-2673.00052962629</v>
      </c>
      <c r="CC243" s="263">
        <f>SUM(CC240:CC242)</f>
        <v>-2871.36982241572</v>
      </c>
      <c r="CD243" s="263">
        <f>SUM(CD240:CD242)</f>
        <v>-3079.54399248554</v>
      </c>
      <c r="CE243" s="263">
        <f>SUM(CE240:CE242)</f>
        <v>-3295.95917547641</v>
      </c>
      <c r="CF243" s="153" t="n"/>
    </row>
    <row r="244" ht="15" customHeight="1" s="251">
      <c r="B244" s="25" t="inlineStr">
        <is>
          <t>Purchases of treasury stock</t>
        </is>
      </c>
      <c r="C244" s="253" t="n">
        <v>0</v>
      </c>
      <c r="D244" s="253" t="n">
        <v>-600.532</v>
      </c>
      <c r="E244" s="253" t="n">
        <v>-649.468</v>
      </c>
      <c r="F244" s="253" t="n">
        <v>0</v>
      </c>
      <c r="G244" s="253" t="n">
        <v>0</v>
      </c>
      <c r="H244" s="253" t="n">
        <v>-1148</v>
      </c>
      <c r="I244" s="253" t="n">
        <v>-1748</v>
      </c>
      <c r="J244" s="253" t="n">
        <v>-766</v>
      </c>
      <c r="K244" s="253" t="n">
        <v>-581</v>
      </c>
      <c r="L244" s="253" t="n">
        <v>-345</v>
      </c>
      <c r="M244" s="253" t="n">
        <v>-751</v>
      </c>
      <c r="N244" s="253" t="n">
        <v>-2443</v>
      </c>
      <c r="O244" s="253" t="n">
        <v>-1669</v>
      </c>
      <c r="P244" s="253" t="n">
        <v>-1158</v>
      </c>
      <c r="Q244" s="253" t="n">
        <v>-404</v>
      </c>
      <c r="R244" s="253" t="n">
        <v>-155</v>
      </c>
      <c r="S244" s="253" t="n">
        <v>-3386</v>
      </c>
      <c r="T244" s="253" t="n">
        <v>-947</v>
      </c>
      <c r="U244" s="253" t="n">
        <v>-848</v>
      </c>
      <c r="V244" s="253" t="n">
        <v>-930</v>
      </c>
      <c r="W244" s="253" t="n">
        <v>-793</v>
      </c>
      <c r="X244" s="253" t="n">
        <v>-3518</v>
      </c>
      <c r="Y244" s="253" t="n">
        <v>-1357</v>
      </c>
      <c r="Z244" s="253" t="n">
        <v>-462</v>
      </c>
      <c r="AA244" s="253" t="n">
        <v>-591</v>
      </c>
      <c r="AB244" s="253" t="n">
        <v>-1101</v>
      </c>
      <c r="AC244" s="253" t="n">
        <v>-3511</v>
      </c>
      <c r="AD244" s="253" t="n">
        <v>-962</v>
      </c>
      <c r="AE244" s="253" t="n">
        <v>-931</v>
      </c>
      <c r="AF244" s="253" t="n">
        <v>-838</v>
      </c>
      <c r="AG244" s="253" t="n">
        <v>-1031</v>
      </c>
      <c r="AH244" s="253" t="n">
        <v>-3762</v>
      </c>
      <c r="AI244" s="253" t="n">
        <v>-1352</v>
      </c>
      <c r="AJ244" s="253" t="n">
        <v>-1529</v>
      </c>
      <c r="AK244" s="253" t="n">
        <v>-1164</v>
      </c>
      <c r="AL244" s="253" t="n">
        <v>-888</v>
      </c>
      <c r="AM244" s="253" t="n">
        <v>-4933</v>
      </c>
      <c r="AN244" s="253" t="n">
        <v>-1824</v>
      </c>
      <c r="AO244" s="253" t="n">
        <v>-1917</v>
      </c>
      <c r="AP244" s="253" t="n">
        <v>-1762</v>
      </c>
      <c r="AQ244" s="253" t="n">
        <v>-994</v>
      </c>
      <c r="AR244" s="253" t="n">
        <v>-6497</v>
      </c>
      <c r="AS244" s="253" t="n">
        <v>-1383</v>
      </c>
      <c r="AT244" s="253" t="n">
        <v>0</v>
      </c>
      <c r="AU244" s="253" t="n">
        <v>-2060</v>
      </c>
      <c r="AV244" s="253" t="n">
        <v>-1030</v>
      </c>
      <c r="AW244" s="253" t="n">
        <v>-4473</v>
      </c>
      <c r="AX244" s="253" t="n">
        <v>-1356</v>
      </c>
      <c r="AY244" s="253" t="n">
        <v>-1711</v>
      </c>
      <c r="AZ244" s="253" t="n">
        <v>-1561</v>
      </c>
      <c r="BA244" s="253" t="n">
        <v>-1276</v>
      </c>
      <c r="BB244" s="253" t="n">
        <v>-5904</v>
      </c>
      <c r="BC244" s="253" t="n">
        <v>-2408</v>
      </c>
      <c r="BD244" s="253" t="n">
        <v>-2380</v>
      </c>
      <c r="BE244" s="253" t="n">
        <v>-1551</v>
      </c>
      <c r="BF244" s="253" t="n">
        <v>-2414</v>
      </c>
      <c r="BG244" s="253" t="n">
        <v>-8753</v>
      </c>
      <c r="BH244" s="253" t="n">
        <v>-2878</v>
      </c>
      <c r="BI244" s="253" t="n">
        <v>-2416</v>
      </c>
      <c r="BJ244" s="253" t="n">
        <v>-1906</v>
      </c>
      <c r="BK244" s="253" t="n">
        <v>-1832</v>
      </c>
      <c r="BL244" s="253" t="n">
        <v>-9032</v>
      </c>
      <c r="BM244" s="253" t="n">
        <v>-1992</v>
      </c>
      <c r="BN244" s="253" t="n">
        <v>-2639</v>
      </c>
      <c r="BO244" s="253" t="n">
        <v>-2934</v>
      </c>
      <c r="BP244" s="253" t="n">
        <v>-3470</v>
      </c>
      <c r="BQ244" s="253" t="n">
        <v>-11035</v>
      </c>
      <c r="BR244" s="253" t="n">
        <v>-2549</v>
      </c>
      <c r="BS244" s="253" t="n">
        <v>-2289</v>
      </c>
      <c r="BT244" s="253" t="n">
        <v>-3331</v>
      </c>
      <c r="BU244" s="253" t="n">
        <v>-3558</v>
      </c>
      <c r="BV244" s="253" t="n">
        <v>-11727</v>
      </c>
      <c r="BW244" s="253" t="n">
        <v>-4035</v>
      </c>
      <c r="BX244" s="253" t="n">
        <v>-4898</v>
      </c>
      <c r="BY244" s="35" t="n"/>
      <c r="BZ244" s="35" t="n"/>
      <c r="CA244" s="254">
        <f>SUM(BW244:BX244)-CHOOSE(MATCH($CF$2,{"Bull","Base","Bear"},0),$CO$14,$CP$14,$CQ$14)</f>
        <v>-15933</v>
      </c>
      <c r="CB244" s="254">
        <f>-CB355</f>
        <v>-15045.8454076459</v>
      </c>
      <c r="CC244" s="254">
        <f>-CC355</f>
        <v>-18363.037828114</v>
      </c>
      <c r="CD244" s="254">
        <f>-CD355</f>
        <v>-20748.9172390853</v>
      </c>
      <c r="CE244" s="254">
        <f>-CE355</f>
        <v>-23226.8831048099</v>
      </c>
      <c r="CF244" s="19" t="inlineStr">
        <is>
          <t>2026E: H1 actual + H2 scenario input ($7.8bn authorization remaining at 27-Jul-2026; new program usually approved in December). 2027E+ = leverage plug.</t>
        </is>
      </c>
    </row>
    <row r="245" ht="15" customHeight="1" s="251">
      <c r="B245" s="25" t="inlineStr">
        <is>
          <t>Dividends paid</t>
        </is>
      </c>
      <c r="C245" s="253" t="n">
        <v>-12.373</v>
      </c>
      <c r="D245" s="253" t="n">
        <v>-74.002</v>
      </c>
      <c r="E245" s="253" t="n">
        <v>-79.259</v>
      </c>
      <c r="F245" s="253" t="n">
        <v>-78.685</v>
      </c>
      <c r="G245" s="253" t="n">
        <v>-79</v>
      </c>
      <c r="H245" s="253" t="n">
        <v>-77</v>
      </c>
      <c r="I245" s="253" t="n">
        <v>-132</v>
      </c>
      <c r="J245" s="253" t="n">
        <v>-37</v>
      </c>
      <c r="K245" s="253" t="n">
        <v>-73</v>
      </c>
      <c r="L245" s="253" t="n">
        <v>-72</v>
      </c>
      <c r="M245" s="253" t="n">
        <v>-73</v>
      </c>
      <c r="N245" s="253" t="n">
        <v>-255</v>
      </c>
      <c r="O245" s="253" t="n">
        <v>-131</v>
      </c>
      <c r="P245" s="253" t="n">
        <v>-129</v>
      </c>
      <c r="Q245" s="253" t="n">
        <v>-128</v>
      </c>
      <c r="R245" s="253" t="n">
        <v>-127</v>
      </c>
      <c r="S245" s="253" t="n">
        <v>-515</v>
      </c>
      <c r="T245" s="253" t="n">
        <v>-184</v>
      </c>
      <c r="U245" s="253" t="n">
        <v>-183</v>
      </c>
      <c r="V245" s="253" t="n">
        <v>-181</v>
      </c>
      <c r="W245" s="253" t="n">
        <v>-179</v>
      </c>
      <c r="X245" s="253" t="n">
        <v>-727</v>
      </c>
      <c r="Y245" s="253" t="n">
        <v>-212</v>
      </c>
      <c r="Z245" s="253" t="n">
        <v>-209</v>
      </c>
      <c r="AA245" s="253" t="n">
        <v>-209</v>
      </c>
      <c r="AB245" s="253" t="n">
        <v>-207</v>
      </c>
      <c r="AC245" s="253" t="n">
        <v>-837</v>
      </c>
      <c r="AD245" s="253" t="n">
        <v>-238</v>
      </c>
      <c r="AE245" s="253" t="n">
        <v>-236</v>
      </c>
      <c r="AF245" s="253" t="n">
        <v>-235</v>
      </c>
      <c r="AG245" s="253" t="n">
        <v>-233</v>
      </c>
      <c r="AH245" s="253" t="n">
        <v>-942</v>
      </c>
      <c r="AI245" s="253" t="n">
        <v>-263</v>
      </c>
      <c r="AJ245" s="253" t="n">
        <v>-262</v>
      </c>
      <c r="AK245" s="253" t="n">
        <v>-260</v>
      </c>
      <c r="AL245" s="253" t="n">
        <v>-259</v>
      </c>
      <c r="AM245" s="253" t="n">
        <v>-1044</v>
      </c>
      <c r="AN245" s="253" t="n">
        <v>-340</v>
      </c>
      <c r="AO245" s="253" t="n">
        <v>-337</v>
      </c>
      <c r="AP245" s="253" t="n">
        <v>-335</v>
      </c>
      <c r="AQ245" s="253" t="n">
        <v>-333</v>
      </c>
      <c r="AR245" s="253" t="n">
        <v>-1345</v>
      </c>
      <c r="AS245" s="253" t="n">
        <v>-403</v>
      </c>
      <c r="AT245" s="253" t="n">
        <v>-401</v>
      </c>
      <c r="AU245" s="253" t="n">
        <v>-402</v>
      </c>
      <c r="AV245" s="253" t="n">
        <v>-399</v>
      </c>
      <c r="AW245" s="253" t="n">
        <v>-1605</v>
      </c>
      <c r="AX245" s="253" t="n">
        <v>-439</v>
      </c>
      <c r="AY245" s="253" t="n">
        <v>-434</v>
      </c>
      <c r="AZ245" s="253" t="n">
        <v>-434</v>
      </c>
      <c r="BA245" s="253" t="n">
        <v>-434</v>
      </c>
      <c r="BB245" s="253" t="n">
        <v>-1741</v>
      </c>
      <c r="BC245" s="253" t="n">
        <v>-479</v>
      </c>
      <c r="BD245" s="253" t="n">
        <v>-477</v>
      </c>
      <c r="BE245" s="253" t="n">
        <v>-474</v>
      </c>
      <c r="BF245" s="253" t="n">
        <v>-473</v>
      </c>
      <c r="BG245" s="253" t="n">
        <v>-1903</v>
      </c>
      <c r="BH245" s="253" t="n">
        <v>-545</v>
      </c>
      <c r="BI245" s="253" t="n">
        <v>-541</v>
      </c>
      <c r="BJ245" s="253" t="n">
        <v>-538</v>
      </c>
      <c r="BK245" s="253" t="n">
        <v>-534</v>
      </c>
      <c r="BL245" s="253" t="n">
        <v>-2158</v>
      </c>
      <c r="BM245" s="253" t="n">
        <v>-616</v>
      </c>
      <c r="BN245" s="253" t="n">
        <v>-615</v>
      </c>
      <c r="BO245" s="253" t="n">
        <v>-611</v>
      </c>
      <c r="BP245" s="253" t="n">
        <v>-606</v>
      </c>
      <c r="BQ245" s="253" t="n">
        <v>-2448</v>
      </c>
      <c r="BR245" s="253" t="n">
        <v>-694</v>
      </c>
      <c r="BS245" s="253" t="n">
        <v>-691</v>
      </c>
      <c r="BT245" s="253" t="n">
        <v>-687</v>
      </c>
      <c r="BU245" s="253" t="n">
        <v>-684</v>
      </c>
      <c r="BV245" s="253" t="n">
        <v>-2756</v>
      </c>
      <c r="BW245" s="253" t="n">
        <v>-777</v>
      </c>
      <c r="BX245" s="253" t="n">
        <v>-771</v>
      </c>
      <c r="BY245" s="35" t="n"/>
      <c r="BZ245" s="35" t="n"/>
      <c r="CA245" s="254">
        <f>SUM(BW245:BX245)-BX157*BY151-BY157*BZ151</f>
        <v>-3064.52770588235</v>
      </c>
      <c r="CB245" s="254">
        <f>-CB157*CB272</f>
        <v>-3522.62477647059</v>
      </c>
      <c r="CC245" s="254">
        <f>-CC157*CC272</f>
        <v>-3883.11663677699</v>
      </c>
      <c r="CD245" s="254">
        <f>-CD157*CD272</f>
        <v>-4263.37945306825</v>
      </c>
      <c r="CE245" s="254">
        <f>-CE157*CE272</f>
        <v>-4671.30063912595</v>
      </c>
      <c r="CF245" s="19" t="inlineStr">
        <is>
          <t>Paid one quarter after declaration: 2026E H2 = the Q2 and Q3 declared dividends × shares. 2027E+: DPS declared × beginning shares (no circularity with buybacks).</t>
        </is>
      </c>
    </row>
    <row r="246" ht="15" customHeight="1" s="251">
      <c r="B246" s="25" t="inlineStr">
        <is>
          <t>Proceeds from / (payment of) debt, net (incl. commercial paper)</t>
        </is>
      </c>
      <c r="C246" s="253" t="n">
        <v>0</v>
      </c>
      <c r="D246" s="253" t="n">
        <v>0</v>
      </c>
      <c r="E246" s="253" t="n">
        <v>-80</v>
      </c>
      <c r="F246" s="253" t="n">
        <v>-149.38</v>
      </c>
      <c r="G246" s="253" t="n">
        <v>0</v>
      </c>
      <c r="H246" s="253" t="n">
        <v>-21</v>
      </c>
      <c r="I246" s="253" t="n">
        <v>0</v>
      </c>
      <c r="J246" s="253" t="n">
        <v>0</v>
      </c>
      <c r="K246" s="253" t="n">
        <v>0</v>
      </c>
      <c r="L246" s="253" t="n">
        <v>0</v>
      </c>
      <c r="M246" s="253" t="n">
        <v>35</v>
      </c>
      <c r="N246" s="253" t="n">
        <v>35</v>
      </c>
      <c r="O246" s="253" t="n">
        <v>1487</v>
      </c>
      <c r="P246" s="253" t="n">
        <v>0</v>
      </c>
      <c r="Q246" s="253" t="n">
        <v>0</v>
      </c>
      <c r="R246" s="253" t="n">
        <v>43</v>
      </c>
      <c r="S246" s="253" t="n">
        <v>1530</v>
      </c>
      <c r="T246" s="253" t="n">
        <v>0</v>
      </c>
      <c r="U246" s="253" t="n">
        <v>0</v>
      </c>
      <c r="V246" s="253" t="n">
        <v>0</v>
      </c>
      <c r="W246" s="253" t="n">
        <v>1735</v>
      </c>
      <c r="X246" s="253" t="n">
        <v>1735</v>
      </c>
      <c r="Y246" s="253" t="n">
        <v>0</v>
      </c>
      <c r="Z246" s="253" t="n">
        <v>0</v>
      </c>
      <c r="AA246" s="253" t="n">
        <v>0</v>
      </c>
      <c r="AB246" s="253" t="n">
        <v>1972</v>
      </c>
      <c r="AC246" s="253" t="n">
        <v>1972</v>
      </c>
      <c r="AD246" s="253" t="n">
        <v>0</v>
      </c>
      <c r="AE246" s="253" t="n">
        <v>-64</v>
      </c>
      <c r="AF246" s="253" t="n">
        <v>0</v>
      </c>
      <c r="AG246" s="253" t="n">
        <v>0</v>
      </c>
      <c r="AH246" s="253" t="n">
        <v>-64</v>
      </c>
      <c r="AI246" s="253" t="n">
        <v>991</v>
      </c>
      <c r="AJ246" s="253" t="n">
        <v>0</v>
      </c>
      <c r="AK246" s="253" t="n">
        <v>0</v>
      </c>
      <c r="AL246" s="253" t="n">
        <v>0</v>
      </c>
      <c r="AM246" s="253" t="n">
        <v>991</v>
      </c>
      <c r="AN246" s="253" t="n">
        <v>0</v>
      </c>
      <c r="AO246" s="253" t="n">
        <v>1480</v>
      </c>
      <c r="AP246" s="253" t="n">
        <v>0</v>
      </c>
      <c r="AQ246" s="253" t="n">
        <v>744</v>
      </c>
      <c r="AR246" s="253" t="n">
        <v>2224</v>
      </c>
      <c r="AS246" s="253" t="n">
        <v>3959</v>
      </c>
      <c r="AT246" s="253" t="n">
        <v>0</v>
      </c>
      <c r="AU246" s="253" t="n">
        <v>0</v>
      </c>
      <c r="AV246" s="253" t="n">
        <v>0</v>
      </c>
      <c r="AW246" s="253" t="n">
        <v>3959</v>
      </c>
      <c r="AX246" s="253" t="n">
        <v>1282</v>
      </c>
      <c r="AY246" s="253" t="n">
        <v>0</v>
      </c>
      <c r="AZ246" s="253" t="n">
        <v>0</v>
      </c>
      <c r="BA246" s="253" t="n">
        <v>92</v>
      </c>
      <c r="BB246" s="253" t="n">
        <v>1374</v>
      </c>
      <c r="BC246" s="253" t="n">
        <v>843</v>
      </c>
      <c r="BD246" s="253" t="n">
        <v>0</v>
      </c>
      <c r="BE246" s="253" t="n">
        <v>284</v>
      </c>
      <c r="BF246" s="253" t="n">
        <v>-728</v>
      </c>
      <c r="BG246" s="253" t="n">
        <v>399</v>
      </c>
      <c r="BH246" s="253" t="n">
        <v>1489</v>
      </c>
      <c r="BI246" s="253" t="n">
        <v>61</v>
      </c>
      <c r="BJ246" s="253" t="n">
        <v>4</v>
      </c>
      <c r="BK246" s="253" t="n">
        <v>0</v>
      </c>
      <c r="BL246" s="253" t="n">
        <v>1554</v>
      </c>
      <c r="BM246" s="253" t="n">
        <v>0</v>
      </c>
      <c r="BN246" s="253" t="n">
        <v>-17</v>
      </c>
      <c r="BO246" s="253" t="n">
        <v>2641</v>
      </c>
      <c r="BP246" s="253" t="n">
        <v>0</v>
      </c>
      <c r="BQ246" s="253" t="n">
        <v>2624</v>
      </c>
      <c r="BR246" s="253" t="n">
        <v>492</v>
      </c>
      <c r="BS246" s="253" t="n">
        <v>0</v>
      </c>
      <c r="BT246" s="253" t="n">
        <v>0</v>
      </c>
      <c r="BU246" s="253" t="n">
        <v>0</v>
      </c>
      <c r="BV246" s="253" t="n">
        <v>492</v>
      </c>
      <c r="BW246" s="253" t="n">
        <v>0</v>
      </c>
      <c r="BX246" s="253" t="n">
        <v>5680</v>
      </c>
      <c r="BY246" s="35" t="n"/>
      <c r="BZ246" s="35" t="n"/>
      <c r="CA246" s="254">
        <f>SUM(BW246:BX246)+CA337-BX337</f>
        <v>4220</v>
      </c>
      <c r="CB246" s="254">
        <f>CB346</f>
        <v>988</v>
      </c>
      <c r="CC246" s="254">
        <f>CC346</f>
        <v>1000</v>
      </c>
      <c r="CD246" s="254">
        <f>CD346</f>
        <v>1268.44658922677</v>
      </c>
      <c r="CE246" s="254">
        <f>CE346</f>
        <v>1870.512846906</v>
      </c>
      <c r="CF246" s="19" t="inlineStr">
        <is>
          <t>Per the debt schedule: notes repaid at maturity and refinanced (input), commercial paper drawn or repaid to the minimum cash balance.</t>
        </is>
      </c>
    </row>
    <row r="247" ht="15" customHeight="1" s="251">
      <c r="B247" s="25" t="inlineStr">
        <is>
          <t>Tax withholdings on share-based payments, employee stock plans &amp; other financing, net (derived)</t>
        </is>
      </c>
      <c r="C247" s="253" t="n">
        <v>649.973</v>
      </c>
      <c r="D247" s="253" t="n">
        <v>17.027</v>
      </c>
      <c r="E247" s="253" t="n">
        <v>57.349</v>
      </c>
      <c r="F247" s="253" t="n">
        <v>43.125</v>
      </c>
      <c r="G247" s="253" t="n">
        <v>98</v>
      </c>
      <c r="H247" s="253" t="n">
        <v>31</v>
      </c>
      <c r="I247" s="253" t="n">
        <v>82</v>
      </c>
      <c r="J247" s="253" t="n">
        <v>20</v>
      </c>
      <c r="K247" s="253" t="n">
        <v>16</v>
      </c>
      <c r="L247" s="253" t="n">
        <v>1</v>
      </c>
      <c r="M247" s="253" t="n">
        <v>-3</v>
      </c>
      <c r="N247" s="253" t="n">
        <v>34</v>
      </c>
      <c r="O247" s="253" t="n">
        <v>34</v>
      </c>
      <c r="P247" s="253" t="n">
        <v>-19</v>
      </c>
      <c r="Q247" s="253" t="n">
        <v>22</v>
      </c>
      <c r="R247" s="253" t="n">
        <v>-5</v>
      </c>
      <c r="S247" s="253" t="n">
        <v>32</v>
      </c>
      <c r="T247" s="253" t="n">
        <v>31</v>
      </c>
      <c r="U247" s="253" t="n">
        <v>15</v>
      </c>
      <c r="V247" s="253" t="n">
        <v>11</v>
      </c>
      <c r="W247" s="253" t="n">
        <v>-5</v>
      </c>
      <c r="X247" s="253" t="n">
        <v>52</v>
      </c>
      <c r="Y247" s="253" t="n">
        <v>24</v>
      </c>
      <c r="Z247" s="253" t="n">
        <v>22</v>
      </c>
      <c r="AA247" s="253" t="n">
        <v>26</v>
      </c>
      <c r="AB247" s="253" t="n">
        <v>11</v>
      </c>
      <c r="AC247" s="253" t="n">
        <v>83</v>
      </c>
      <c r="AD247" s="253" t="n">
        <v>-37</v>
      </c>
      <c r="AE247" s="253" t="n">
        <v>16</v>
      </c>
      <c r="AF247" s="253" t="n">
        <v>31</v>
      </c>
      <c r="AG247" s="253" t="n">
        <v>-6</v>
      </c>
      <c r="AH247" s="253" t="n">
        <v>4</v>
      </c>
      <c r="AI247" s="253" t="n">
        <v>-41</v>
      </c>
      <c r="AJ247" s="253" t="n">
        <v>40</v>
      </c>
      <c r="AK247" s="253" t="n">
        <v>7</v>
      </c>
      <c r="AL247" s="253" t="n">
        <v>14</v>
      </c>
      <c r="AM247" s="253" t="n">
        <v>20</v>
      </c>
      <c r="AN247" s="253" t="n">
        <v>-59</v>
      </c>
      <c r="AO247" s="253" t="n">
        <v>-163</v>
      </c>
      <c r="AP247" s="253" t="n">
        <v>-28</v>
      </c>
      <c r="AQ247" s="253" t="n">
        <v>1</v>
      </c>
      <c r="AR247" s="253" t="n">
        <v>-249</v>
      </c>
      <c r="AS247" s="253" t="n">
        <v>-73</v>
      </c>
      <c r="AT247" s="253" t="n">
        <v>-8</v>
      </c>
      <c r="AU247" s="253" t="n">
        <v>-6</v>
      </c>
      <c r="AV247" s="253" t="n">
        <v>54</v>
      </c>
      <c r="AW247" s="253" t="n">
        <v>-33</v>
      </c>
      <c r="AX247" s="253" t="n">
        <v>-93</v>
      </c>
      <c r="AY247" s="253" t="n">
        <v>-50</v>
      </c>
      <c r="AZ247" s="253" t="n">
        <v>-142</v>
      </c>
      <c r="BA247" s="253" t="n">
        <v>1</v>
      </c>
      <c r="BB247" s="253" t="n">
        <v>-284</v>
      </c>
      <c r="BC247" s="253" t="n">
        <v>-110</v>
      </c>
      <c r="BD247" s="253" t="n">
        <v>36</v>
      </c>
      <c r="BE247" s="253" t="n">
        <v>2</v>
      </c>
      <c r="BF247" s="253" t="n">
        <v>1</v>
      </c>
      <c r="BG247" s="253" t="n">
        <v>-71</v>
      </c>
      <c r="BH247" s="253" t="n">
        <v>-21</v>
      </c>
      <c r="BI247" s="253" t="n">
        <v>117</v>
      </c>
      <c r="BJ247" s="253" t="n">
        <v>36</v>
      </c>
      <c r="BK247" s="253" t="n">
        <v>16</v>
      </c>
      <c r="BL247" s="253" t="n">
        <v>148</v>
      </c>
      <c r="BM247" s="253" t="n">
        <v>-73</v>
      </c>
      <c r="BN247" s="253" t="n">
        <v>14</v>
      </c>
      <c r="BO247" s="253" t="n">
        <v>47</v>
      </c>
      <c r="BP247" s="253" t="n">
        <v>35</v>
      </c>
      <c r="BQ247" s="253" t="n">
        <v>23</v>
      </c>
      <c r="BR247" s="253" t="n">
        <v>-236</v>
      </c>
      <c r="BS247" s="253" t="n">
        <v>-26</v>
      </c>
      <c r="BT247" s="253" t="n">
        <v>18</v>
      </c>
      <c r="BU247" s="253" t="n">
        <v>56</v>
      </c>
      <c r="BV247" s="253" t="n">
        <v>-188</v>
      </c>
      <c r="BW247" s="253" t="n">
        <v>-193</v>
      </c>
      <c r="BX247" s="253" t="n">
        <v>-46</v>
      </c>
      <c r="BY247" s="35" t="n"/>
      <c r="BZ247" s="35" t="n"/>
      <c r="CA247" s="254">
        <f>SUM(BW247:BX247)+-50.0</f>
        <v>-289</v>
      </c>
      <c r="CB247" s="269" t="n">
        <v>-250</v>
      </c>
      <c r="CC247" s="269" t="n">
        <v>-250</v>
      </c>
      <c r="CD247" s="269" t="n">
        <v>-250</v>
      </c>
      <c r="CE247" s="269" t="n">
        <v>-250</v>
      </c>
      <c r="CF247" s="19" t="n"/>
    </row>
    <row r="248" ht="15" customHeight="1" s="251">
      <c r="B248" s="16" t="inlineStr">
        <is>
          <t>Net cash used in financing activities</t>
        </is>
      </c>
      <c r="C248" s="262" t="n">
        <v>637.6</v>
      </c>
      <c r="D248" s="262" t="n">
        <v>-657.5069999999999</v>
      </c>
      <c r="E248" s="262" t="n">
        <v>-751.378</v>
      </c>
      <c r="F248" s="262" t="n">
        <v>-184.94</v>
      </c>
      <c r="G248" s="262" t="n">
        <v>19</v>
      </c>
      <c r="H248" s="262" t="n">
        <v>-1215</v>
      </c>
      <c r="I248" s="262" t="n">
        <v>-1798</v>
      </c>
      <c r="J248" s="262" t="n">
        <v>-783</v>
      </c>
      <c r="K248" s="262" t="n">
        <v>-638</v>
      </c>
      <c r="L248" s="262" t="n">
        <v>-416</v>
      </c>
      <c r="M248" s="262" t="n">
        <v>-792</v>
      </c>
      <c r="N248" s="262" t="n">
        <v>-2629</v>
      </c>
      <c r="O248" s="262" t="n">
        <v>-279</v>
      </c>
      <c r="P248" s="262" t="n">
        <v>-1306</v>
      </c>
      <c r="Q248" s="262" t="n">
        <v>-510</v>
      </c>
      <c r="R248" s="262" t="n">
        <v>-244</v>
      </c>
      <c r="S248" s="262" t="n">
        <v>-2339</v>
      </c>
      <c r="T248" s="262" t="n">
        <v>-1100</v>
      </c>
      <c r="U248" s="262" t="n">
        <v>-1016</v>
      </c>
      <c r="V248" s="262" t="n">
        <v>-1100</v>
      </c>
      <c r="W248" s="262" t="n">
        <v>758</v>
      </c>
      <c r="X248" s="262" t="n">
        <v>-2458</v>
      </c>
      <c r="Y248" s="262" t="n">
        <v>-1545</v>
      </c>
      <c r="Z248" s="262" t="n">
        <v>-649</v>
      </c>
      <c r="AA248" s="262" t="n">
        <v>-774</v>
      </c>
      <c r="AB248" s="262" t="n">
        <v>675</v>
      </c>
      <c r="AC248" s="262" t="n">
        <v>-2293</v>
      </c>
      <c r="AD248" s="262" t="n">
        <v>-1237</v>
      </c>
      <c r="AE248" s="262" t="n">
        <v>-1215</v>
      </c>
      <c r="AF248" s="262" t="n">
        <v>-1042</v>
      </c>
      <c r="AG248" s="262" t="n">
        <v>-1270</v>
      </c>
      <c r="AH248" s="262" t="n">
        <v>-4764</v>
      </c>
      <c r="AI248" s="262" t="n">
        <v>-665</v>
      </c>
      <c r="AJ248" s="262" t="n">
        <v>-1751</v>
      </c>
      <c r="AK248" s="262" t="n">
        <v>-1417</v>
      </c>
      <c r="AL248" s="262" t="n">
        <v>-1133</v>
      </c>
      <c r="AM248" s="262" t="n">
        <v>-4966</v>
      </c>
      <c r="AN248" s="262" t="n">
        <v>-2223</v>
      </c>
      <c r="AO248" s="262" t="n">
        <v>-937</v>
      </c>
      <c r="AP248" s="262" t="n">
        <v>-2125</v>
      </c>
      <c r="AQ248" s="262" t="n">
        <v>-582</v>
      </c>
      <c r="AR248" s="262" t="n">
        <v>-5867</v>
      </c>
      <c r="AS248" s="262" t="n">
        <v>2100</v>
      </c>
      <c r="AT248" s="262" t="n">
        <v>-409</v>
      </c>
      <c r="AU248" s="262" t="n">
        <v>-2468</v>
      </c>
      <c r="AV248" s="262" t="n">
        <v>-1375</v>
      </c>
      <c r="AW248" s="262" t="n">
        <v>-2152</v>
      </c>
      <c r="AX248" s="262" t="n">
        <v>-606</v>
      </c>
      <c r="AY248" s="262" t="n">
        <v>-2195</v>
      </c>
      <c r="AZ248" s="262" t="n">
        <v>-2137</v>
      </c>
      <c r="BA248" s="262" t="n">
        <v>-1617</v>
      </c>
      <c r="BB248" s="262" t="n">
        <v>-6555</v>
      </c>
      <c r="BC248" s="262" t="n">
        <v>-2154</v>
      </c>
      <c r="BD248" s="262" t="n">
        <v>-2821</v>
      </c>
      <c r="BE248" s="262" t="n">
        <v>-1739</v>
      </c>
      <c r="BF248" s="262" t="n">
        <v>-3614</v>
      </c>
      <c r="BG248" s="262" t="n">
        <v>-10328</v>
      </c>
      <c r="BH248" s="262" t="n">
        <v>-1955</v>
      </c>
      <c r="BI248" s="262" t="n">
        <v>-2779</v>
      </c>
      <c r="BJ248" s="262" t="n">
        <v>-2404</v>
      </c>
      <c r="BK248" s="262" t="n">
        <v>-2350</v>
      </c>
      <c r="BL248" s="262" t="n">
        <v>-9488</v>
      </c>
      <c r="BM248" s="262" t="n">
        <v>-2681</v>
      </c>
      <c r="BN248" s="262" t="n">
        <v>-3257</v>
      </c>
      <c r="BO248" s="262" t="n">
        <v>-857</v>
      </c>
      <c r="BP248" s="262" t="n">
        <v>-4041</v>
      </c>
      <c r="BQ248" s="262" t="n">
        <v>-10836</v>
      </c>
      <c r="BR248" s="262" t="n">
        <v>-2987</v>
      </c>
      <c r="BS248" s="262" t="n">
        <v>-3006</v>
      </c>
      <c r="BT248" s="262" t="n">
        <v>-4000</v>
      </c>
      <c r="BU248" s="262" t="n">
        <v>-4186</v>
      </c>
      <c r="BV248" s="262" t="n">
        <v>-14179</v>
      </c>
      <c r="BW248" s="262" t="n">
        <v>-5005</v>
      </c>
      <c r="BX248" s="262" t="n">
        <v>-35</v>
      </c>
      <c r="BY248" s="32" t="n"/>
      <c r="BZ248" s="32" t="n"/>
      <c r="CA248" s="263">
        <f>SUM(CA244:CA247)</f>
        <v>-15066.5277058824</v>
      </c>
      <c r="CB248" s="263">
        <f>SUM(CB244:CB247)</f>
        <v>-17830.4701841164</v>
      </c>
      <c r="CC248" s="263">
        <f>SUM(CC244:CC247)</f>
        <v>-21496.154464891</v>
      </c>
      <c r="CD248" s="263">
        <f>SUM(CD244:CD247)</f>
        <v>-23993.8501029268</v>
      </c>
      <c r="CE248" s="263">
        <f>SUM(CE244:CE247)</f>
        <v>-26277.6708970299</v>
      </c>
      <c r="CF248" s="153" t="n"/>
    </row>
    <row r="249" ht="15" customHeight="1" s="251">
      <c r="B249" s="25" t="inlineStr">
        <is>
          <t>Effect of exchange rate changes on cash</t>
        </is>
      </c>
      <c r="C249" s="253" t="n">
        <v>28.272</v>
      </c>
      <c r="D249" s="253" t="n">
        <v>46.72</v>
      </c>
      <c r="E249" s="253" t="n">
        <v>-17.636</v>
      </c>
      <c r="F249" s="253" t="n">
        <v>21.237</v>
      </c>
      <c r="G249" s="253" t="n">
        <v>-63</v>
      </c>
      <c r="H249" s="253" t="n">
        <v>-54</v>
      </c>
      <c r="I249" s="253" t="n">
        <v>7</v>
      </c>
      <c r="J249" s="253" t="n">
        <v>-50</v>
      </c>
      <c r="K249" s="253" t="n">
        <v>35</v>
      </c>
      <c r="L249" s="253" t="n">
        <v>42</v>
      </c>
      <c r="M249" s="253" t="n">
        <v>18</v>
      </c>
      <c r="N249" s="253" t="n">
        <v>45</v>
      </c>
      <c r="O249" s="253" t="n">
        <v>1</v>
      </c>
      <c r="P249" s="253" t="n">
        <v>-2</v>
      </c>
      <c r="Q249" s="253" t="n">
        <v>-171</v>
      </c>
      <c r="R249" s="253" t="n">
        <v>-48</v>
      </c>
      <c r="S249" s="253" t="n">
        <v>-220</v>
      </c>
      <c r="T249" s="253" t="n">
        <v>-222</v>
      </c>
      <c r="U249" s="253" t="n">
        <v>52</v>
      </c>
      <c r="V249" s="253" t="n">
        <v>-25</v>
      </c>
      <c r="W249" s="253" t="n">
        <v>-65</v>
      </c>
      <c r="X249" s="253" t="n">
        <v>-260</v>
      </c>
      <c r="Y249" s="253" t="n">
        <v>69</v>
      </c>
      <c r="Z249" s="253" t="n">
        <v>-18</v>
      </c>
      <c r="AA249" s="253" t="n">
        <v>8</v>
      </c>
      <c r="AB249" s="253" t="n">
        <v>-109</v>
      </c>
      <c r="AC249" s="253" t="n">
        <v>-50</v>
      </c>
      <c r="AD249" s="253" t="n">
        <v>23</v>
      </c>
      <c r="AE249" s="253" t="n">
        <v>100</v>
      </c>
      <c r="AF249" s="253" t="n">
        <v>71</v>
      </c>
      <c r="AG249" s="253" t="n">
        <v>6</v>
      </c>
      <c r="AH249" s="253" t="n">
        <v>200</v>
      </c>
      <c r="AI249" s="253" t="n">
        <v>95</v>
      </c>
      <c r="AJ249" s="253" t="n">
        <v>-21</v>
      </c>
      <c r="AK249" s="253" t="n">
        <v>-9</v>
      </c>
      <c r="AL249" s="253" t="n">
        <v>-71</v>
      </c>
      <c r="AM249" s="253" t="n">
        <v>-6</v>
      </c>
      <c r="AN249" s="253" t="n">
        <v>-54</v>
      </c>
      <c r="AO249" s="253" t="n">
        <v>28</v>
      </c>
      <c r="AP249" s="253" t="n">
        <v>-77</v>
      </c>
      <c r="AQ249" s="253" t="n">
        <v>59</v>
      </c>
      <c r="AR249" s="253" t="n">
        <v>-44</v>
      </c>
      <c r="AS249" s="253" t="n">
        <v>-88</v>
      </c>
      <c r="AT249" s="253" t="n">
        <v>39</v>
      </c>
      <c r="AU249" s="253" t="n">
        <v>115</v>
      </c>
      <c r="AV249" s="253" t="n">
        <v>191</v>
      </c>
      <c r="AW249" s="253" t="n">
        <v>257</v>
      </c>
      <c r="AX249" s="253" t="n">
        <v>-101</v>
      </c>
      <c r="AY249" s="253" t="n">
        <v>77</v>
      </c>
      <c r="AZ249" s="253" t="n">
        <v>-56</v>
      </c>
      <c r="BA249" s="253" t="n">
        <v>-73</v>
      </c>
      <c r="BB249" s="253" t="n">
        <v>-153</v>
      </c>
      <c r="BC249" s="253" t="n">
        <v>-28</v>
      </c>
      <c r="BD249" s="253" t="n">
        <v>-174</v>
      </c>
      <c r="BE249" s="253" t="n">
        <v>-185</v>
      </c>
      <c r="BF249" s="253" t="n">
        <v>284</v>
      </c>
      <c r="BG249" s="253" t="n">
        <v>-103</v>
      </c>
      <c r="BH249" s="253" t="n">
        <v>37</v>
      </c>
      <c r="BI249" s="253" t="n">
        <v>20</v>
      </c>
      <c r="BJ249" s="253" t="n">
        <v>-86</v>
      </c>
      <c r="BK249" s="253" t="n">
        <v>157</v>
      </c>
      <c r="BL249" s="253" t="n">
        <v>128</v>
      </c>
      <c r="BM249" s="253" t="n">
        <v>-95</v>
      </c>
      <c r="BN249" s="253" t="n">
        <v>28</v>
      </c>
      <c r="BO249" s="253" t="n">
        <v>142</v>
      </c>
      <c r="BP249" s="253" t="n">
        <v>-274</v>
      </c>
      <c r="BQ249" s="253" t="n">
        <v>-199</v>
      </c>
      <c r="BR249" s="253" t="n">
        <v>121</v>
      </c>
      <c r="BS249" s="253" t="n">
        <v>220</v>
      </c>
      <c r="BT249" s="253" t="n">
        <v>-16</v>
      </c>
      <c r="BU249" s="253" t="n">
        <v>8</v>
      </c>
      <c r="BV249" s="253" t="n">
        <v>333</v>
      </c>
      <c r="BW249" s="253" t="n">
        <v>-116</v>
      </c>
      <c r="BX249" s="253" t="n">
        <v>-10</v>
      </c>
      <c r="BY249" s="35" t="n"/>
      <c r="BZ249" s="35" t="n"/>
      <c r="CA249" s="254">
        <f>SUM(BW249:BX249)</f>
        <v>-126</v>
      </c>
      <c r="CB249" s="269" t="n">
        <v>0</v>
      </c>
      <c r="CC249" s="269" t="n">
        <v>0</v>
      </c>
      <c r="CD249" s="269" t="n">
        <v>0</v>
      </c>
      <c r="CE249" s="269" t="n">
        <v>0</v>
      </c>
      <c r="CF249" s="19" t="n"/>
    </row>
    <row r="250" ht="15" customHeight="1" s="251">
      <c r="B250" s="25" t="inlineStr">
        <is>
          <t>Net change in cash, cash equivalents and restricted cash</t>
        </is>
      </c>
      <c r="C250" s="253" t="n">
        <v>639.807</v>
      </c>
      <c r="D250" s="253" t="n">
        <v>474.215</v>
      </c>
      <c r="E250" s="253" t="n">
        <v>-154.135</v>
      </c>
      <c r="F250" s="253" t="n">
        <v>550.279</v>
      </c>
      <c r="G250" s="253" t="n">
        <v>1012</v>
      </c>
      <c r="H250" s="253" t="n">
        <v>667</v>
      </c>
      <c r="I250" s="253" t="n">
        <v>-1682</v>
      </c>
      <c r="J250" s="253" t="n">
        <v>-68</v>
      </c>
      <c r="K250" s="253" t="n">
        <v>364</v>
      </c>
      <c r="L250" s="253" t="n">
        <v>1065</v>
      </c>
      <c r="M250" s="253" t="n">
        <v>186</v>
      </c>
      <c r="N250" s="253" t="n">
        <v>1547</v>
      </c>
      <c r="O250" s="253" t="n">
        <v>420</v>
      </c>
      <c r="P250" s="253" t="n">
        <v>-1141</v>
      </c>
      <c r="Q250" s="253" t="n">
        <v>1584</v>
      </c>
      <c r="R250" s="253" t="n">
        <v>675</v>
      </c>
      <c r="S250" s="253" t="n">
        <v>1538</v>
      </c>
      <c r="T250" s="253" t="n">
        <v>-930</v>
      </c>
      <c r="U250" s="253" t="n">
        <v>-846</v>
      </c>
      <c r="V250" s="253" t="n">
        <v>516</v>
      </c>
      <c r="W250" s="253" t="n">
        <v>1870</v>
      </c>
      <c r="X250" s="253" t="n">
        <v>610</v>
      </c>
      <c r="Y250" s="253" t="n">
        <v>-853</v>
      </c>
      <c r="Z250" s="253" t="n">
        <v>282</v>
      </c>
      <c r="AA250" s="253" t="n">
        <v>29</v>
      </c>
      <c r="AB250" s="253" t="n">
        <v>1516</v>
      </c>
      <c r="AC250" s="253" t="n">
        <v>974</v>
      </c>
      <c r="AD250" s="253" t="n">
        <v>-715</v>
      </c>
      <c r="AE250" s="253" t="n">
        <v>-829</v>
      </c>
      <c r="AF250" s="253" t="n">
        <v>382</v>
      </c>
      <c r="AG250" s="253" t="n">
        <v>374</v>
      </c>
      <c r="AH250" s="253" t="n">
        <v>-788</v>
      </c>
      <c r="AI250" s="253" t="n">
        <v>832</v>
      </c>
      <c r="AJ250" s="253" t="n">
        <v>-656</v>
      </c>
      <c r="AK250" s="253" t="n">
        <v>710</v>
      </c>
      <c r="AL250" s="253" t="n">
        <v>-141</v>
      </c>
      <c r="AM250" s="253" t="n">
        <v>745</v>
      </c>
      <c r="AN250" s="253" t="n">
        <v>-752</v>
      </c>
      <c r="AO250" s="253" t="n">
        <v>-140</v>
      </c>
      <c r="AP250" s="253" t="n">
        <v>-473</v>
      </c>
      <c r="AQ250" s="253" t="n">
        <v>1997</v>
      </c>
      <c r="AR250" s="253" t="n">
        <v>632</v>
      </c>
      <c r="AS250" s="253" t="n">
        <v>3364</v>
      </c>
      <c r="AT250" s="253" t="n">
        <v>969</v>
      </c>
      <c r="AU250" s="253" t="n">
        <v>-898</v>
      </c>
      <c r="AV250" s="253" t="n">
        <v>15</v>
      </c>
      <c r="AW250" s="253" t="n">
        <v>3450</v>
      </c>
      <c r="AX250" s="253" t="n">
        <v>-2804</v>
      </c>
      <c r="AY250" s="253" t="n">
        <v>-992</v>
      </c>
      <c r="AZ250" s="253" t="n">
        <v>218</v>
      </c>
      <c r="BA250" s="253" t="n">
        <v>1061</v>
      </c>
      <c r="BB250" s="253" t="n">
        <v>-2517</v>
      </c>
      <c r="BC250" s="253" t="n">
        <v>-687</v>
      </c>
      <c r="BD250" s="253" t="n">
        <v>-1063</v>
      </c>
      <c r="BE250" s="253" t="n">
        <v>1624</v>
      </c>
      <c r="BF250" s="253" t="n">
        <v>-580</v>
      </c>
      <c r="BG250" s="253" t="n">
        <v>-706</v>
      </c>
      <c r="BH250" s="253" t="n">
        <v>-396</v>
      </c>
      <c r="BI250" s="253" t="n">
        <v>-279</v>
      </c>
      <c r="BJ250" s="253" t="n">
        <v>221</v>
      </c>
      <c r="BK250" s="253" t="n">
        <v>1723</v>
      </c>
      <c r="BL250" s="253" t="n">
        <v>1269</v>
      </c>
      <c r="BM250" s="253" t="n">
        <v>-1278</v>
      </c>
      <c r="BN250" s="253" t="n">
        <v>-385</v>
      </c>
      <c r="BO250" s="253" t="n">
        <v>4165</v>
      </c>
      <c r="BP250" s="253" t="n">
        <v>-2159</v>
      </c>
      <c r="BQ250" s="253" t="n">
        <v>343</v>
      </c>
      <c r="BR250" s="253" t="n">
        <v>-826</v>
      </c>
      <c r="BS250" s="253" t="n">
        <v>1590</v>
      </c>
      <c r="BT250" s="253" t="n">
        <v>1273</v>
      </c>
      <c r="BU250" s="253" t="n">
        <v>403</v>
      </c>
      <c r="BV250" s="253" t="n">
        <v>2440</v>
      </c>
      <c r="BW250" s="253" t="n">
        <v>-2484</v>
      </c>
      <c r="BX250" s="253" t="n">
        <v>3211</v>
      </c>
      <c r="BY250" s="35" t="n"/>
      <c r="BZ250" s="35" t="n"/>
      <c r="CA250" s="254">
        <f>CA239+CA243+CA248+CA249</f>
        <v>-514.104242233083</v>
      </c>
      <c r="CB250" s="254">
        <f>CB239+CB243+CB248+CB249</f>
        <v>463.18127508372</v>
      </c>
      <c r="CC250" s="254">
        <f>CC239+CC243+CC248+CC249</f>
        <v>-683.009857736757</v>
      </c>
      <c r="CD250" s="254">
        <f>CD239+CD243+CD248+CD249</f>
        <v>-514.067175113876</v>
      </c>
      <c r="CE250" s="254">
        <f>CE239+CE243+CE248+CE249</f>
        <v>0</v>
      </c>
      <c r="CF250" s="19" t="n"/>
    </row>
    <row r="251" ht="15" customHeight="1" s="251">
      <c r="B251" s="25" t="inlineStr">
        <is>
          <t>Cash — beginning of period</t>
        </is>
      </c>
      <c r="C251" s="253" t="n">
        <v>545.273</v>
      </c>
      <c r="D251" s="253" t="n">
        <v>1185.08</v>
      </c>
      <c r="E251" s="253" t="n">
        <v>1659.295</v>
      </c>
      <c r="F251" s="253" t="n">
        <v>1505.16</v>
      </c>
      <c r="G251" s="253" t="n">
        <v>2055</v>
      </c>
      <c r="H251" s="253" t="n">
        <v>3067</v>
      </c>
      <c r="I251" s="253" t="n">
        <v>3734</v>
      </c>
      <c r="J251" s="253" t="n">
        <v>2052</v>
      </c>
      <c r="K251" s="253" t="n">
        <v>1984</v>
      </c>
      <c r="L251" s="253" t="n">
        <v>2348</v>
      </c>
      <c r="M251" s="253" t="n">
        <v>3413</v>
      </c>
      <c r="N251" s="253" t="n">
        <v>2052</v>
      </c>
      <c r="O251" s="253" t="n">
        <v>3599</v>
      </c>
      <c r="P251" s="253" t="n">
        <v>4019</v>
      </c>
      <c r="Q251" s="253" t="n">
        <v>2878</v>
      </c>
      <c r="R251" s="253" t="n">
        <v>4462</v>
      </c>
      <c r="S251" s="253" t="n">
        <v>3599</v>
      </c>
      <c r="T251" s="253" t="n">
        <v>5137</v>
      </c>
      <c r="U251" s="253" t="n">
        <v>4207</v>
      </c>
      <c r="V251" s="253" t="n">
        <v>3361</v>
      </c>
      <c r="W251" s="253" t="n">
        <v>3877</v>
      </c>
      <c r="X251" s="253" t="n">
        <v>5137</v>
      </c>
      <c r="Y251" s="253" t="n">
        <v>5747</v>
      </c>
      <c r="Z251" s="253" t="n">
        <v>4894</v>
      </c>
      <c r="AA251" s="253" t="n">
        <v>5176</v>
      </c>
      <c r="AB251" s="253" t="n">
        <v>5205</v>
      </c>
      <c r="AC251" s="253" t="n">
        <v>5747</v>
      </c>
      <c r="AD251" s="253" t="n">
        <v>6721</v>
      </c>
      <c r="AE251" s="253" t="n">
        <v>6006</v>
      </c>
      <c r="AF251" s="253" t="n">
        <v>5177</v>
      </c>
      <c r="AG251" s="253" t="n">
        <v>5559</v>
      </c>
      <c r="AH251" s="253" t="n">
        <v>6721</v>
      </c>
      <c r="AI251" s="253" t="n">
        <v>7592</v>
      </c>
      <c r="AJ251" s="253" t="n">
        <v>8424</v>
      </c>
      <c r="AK251" s="253" t="n">
        <v>7768</v>
      </c>
      <c r="AL251" s="253" t="n">
        <v>8478</v>
      </c>
      <c r="AM251" s="253" t="n">
        <v>7592</v>
      </c>
      <c r="AN251" s="253" t="n">
        <v>8337</v>
      </c>
      <c r="AO251" s="253" t="n">
        <v>7585</v>
      </c>
      <c r="AP251" s="253" t="n">
        <v>7445</v>
      </c>
      <c r="AQ251" s="253" t="n">
        <v>6972</v>
      </c>
      <c r="AR251" s="253" t="n">
        <v>8337</v>
      </c>
      <c r="AS251" s="253" t="n">
        <v>8969</v>
      </c>
      <c r="AT251" s="253" t="n">
        <v>12333</v>
      </c>
      <c r="AU251" s="253" t="n">
        <v>13302</v>
      </c>
      <c r="AV251" s="253" t="n">
        <v>12404</v>
      </c>
      <c r="AW251" s="253" t="n">
        <v>8969</v>
      </c>
      <c r="AX251" s="253" t="n">
        <v>12419</v>
      </c>
      <c r="AY251" s="253" t="n">
        <v>9615</v>
      </c>
      <c r="AZ251" s="253" t="n">
        <v>8623</v>
      </c>
      <c r="BA251" s="253" t="n">
        <v>8841</v>
      </c>
      <c r="BB251" s="253" t="n">
        <v>12419</v>
      </c>
      <c r="BC251" s="253" t="n">
        <v>9902</v>
      </c>
      <c r="BD251" s="253" t="n">
        <v>9215</v>
      </c>
      <c r="BE251" s="253" t="n">
        <v>8152</v>
      </c>
      <c r="BF251" s="253" t="n">
        <v>9776</v>
      </c>
      <c r="BG251" s="253" t="n">
        <v>9902</v>
      </c>
      <c r="BH251" s="253" t="n">
        <v>9196</v>
      </c>
      <c r="BI251" s="253" t="n">
        <v>8800</v>
      </c>
      <c r="BJ251" s="253" t="n">
        <v>8521</v>
      </c>
      <c r="BK251" s="253" t="n">
        <v>8742</v>
      </c>
      <c r="BL251" s="253" t="n">
        <v>9196</v>
      </c>
      <c r="BM251" s="253" t="n">
        <v>10465</v>
      </c>
      <c r="BN251" s="253" t="n">
        <v>9187</v>
      </c>
      <c r="BO251" s="253" t="n">
        <v>8802</v>
      </c>
      <c r="BP251" s="253" t="n">
        <v>12967</v>
      </c>
      <c r="BQ251" s="253" t="n">
        <v>10465</v>
      </c>
      <c r="BR251" s="253" t="n">
        <v>10808</v>
      </c>
      <c r="BS251" s="253" t="n">
        <v>9982</v>
      </c>
      <c r="BT251" s="253" t="n">
        <v>11572</v>
      </c>
      <c r="BU251" s="253" t="n">
        <v>12845</v>
      </c>
      <c r="BV251" s="253" t="n">
        <v>10808</v>
      </c>
      <c r="BW251" s="253" t="n">
        <v>13248</v>
      </c>
      <c r="BX251" s="253" t="n">
        <v>10764</v>
      </c>
      <c r="BY251" s="35" t="n"/>
      <c r="BZ251" s="35" t="n"/>
      <c r="CA251" s="254">
        <f>BV252</f>
        <v>13248</v>
      </c>
      <c r="CB251" s="254">
        <f>CA252</f>
        <v>12733.8957577669</v>
      </c>
      <c r="CC251" s="254">
        <f>CB252</f>
        <v>13197.0770328506</v>
      </c>
      <c r="CD251" s="254">
        <f>CC252</f>
        <v>12514.0671751139</v>
      </c>
      <c r="CE251" s="254">
        <f>CD252</f>
        <v>12000</v>
      </c>
      <c r="CF251" s="19" t="n"/>
    </row>
    <row r="252" ht="15" customHeight="1" s="251">
      <c r="B252" s="16" t="inlineStr">
        <is>
          <t>Cash — end of period (from 2018 incl. restricted cash and restricted security deposits held for customers)</t>
        </is>
      </c>
      <c r="C252" s="262" t="n">
        <v>1185.08</v>
      </c>
      <c r="D252" s="262" t="n">
        <v>1659.295</v>
      </c>
      <c r="E252" s="262" t="n">
        <v>1505.16</v>
      </c>
      <c r="F252" s="262" t="n">
        <v>2055.439</v>
      </c>
      <c r="G252" s="262" t="n">
        <v>3067</v>
      </c>
      <c r="H252" s="262" t="n">
        <v>3734</v>
      </c>
      <c r="I252" s="262" t="n">
        <v>2052</v>
      </c>
      <c r="J252" s="262" t="n">
        <v>1984</v>
      </c>
      <c r="K252" s="262" t="n">
        <v>2348</v>
      </c>
      <c r="L252" s="262" t="n">
        <v>3413</v>
      </c>
      <c r="M252" s="262" t="n">
        <v>3599</v>
      </c>
      <c r="N252" s="262" t="n">
        <v>3599</v>
      </c>
      <c r="O252" s="262" t="n">
        <v>4019</v>
      </c>
      <c r="P252" s="262" t="n">
        <v>2878</v>
      </c>
      <c r="Q252" s="262" t="n">
        <v>4462</v>
      </c>
      <c r="R252" s="262" t="n">
        <v>5137</v>
      </c>
      <c r="S252" s="262" t="n">
        <v>5137</v>
      </c>
      <c r="T252" s="262" t="n">
        <v>4207</v>
      </c>
      <c r="U252" s="262" t="n">
        <v>3361</v>
      </c>
      <c r="V252" s="262" t="n">
        <v>3877</v>
      </c>
      <c r="W252" s="262" t="n">
        <v>5747</v>
      </c>
      <c r="X252" s="262" t="n">
        <v>5747</v>
      </c>
      <c r="Y252" s="262" t="n">
        <v>4894</v>
      </c>
      <c r="Z252" s="262" t="n">
        <v>5176</v>
      </c>
      <c r="AA252" s="262" t="n">
        <v>5205</v>
      </c>
      <c r="AB252" s="262" t="n">
        <v>6721</v>
      </c>
      <c r="AC252" s="262" t="n">
        <v>6721</v>
      </c>
      <c r="AD252" s="262" t="n">
        <v>6006</v>
      </c>
      <c r="AE252" s="262" t="n">
        <v>5177</v>
      </c>
      <c r="AF252" s="262" t="n">
        <v>5559</v>
      </c>
      <c r="AG252" s="262" t="n">
        <v>5933</v>
      </c>
      <c r="AH252" s="262" t="n">
        <v>5933</v>
      </c>
      <c r="AI252" s="262" t="n">
        <v>8424</v>
      </c>
      <c r="AJ252" s="262" t="n">
        <v>7768</v>
      </c>
      <c r="AK252" s="262" t="n">
        <v>8478</v>
      </c>
      <c r="AL252" s="262" t="n">
        <v>8337</v>
      </c>
      <c r="AM252" s="262" t="n">
        <v>8337</v>
      </c>
      <c r="AN252" s="262" t="n">
        <v>7585</v>
      </c>
      <c r="AO252" s="262" t="n">
        <v>7445</v>
      </c>
      <c r="AP252" s="262" t="n">
        <v>6972</v>
      </c>
      <c r="AQ252" s="262" t="n">
        <v>8969</v>
      </c>
      <c r="AR252" s="262" t="n">
        <v>8969</v>
      </c>
      <c r="AS252" s="262" t="n">
        <v>12333</v>
      </c>
      <c r="AT252" s="262" t="n">
        <v>13302</v>
      </c>
      <c r="AU252" s="262" t="n">
        <v>12404</v>
      </c>
      <c r="AV252" s="262" t="n">
        <v>12419</v>
      </c>
      <c r="AW252" s="262" t="n">
        <v>12419</v>
      </c>
      <c r="AX252" s="262" t="n">
        <v>9615</v>
      </c>
      <c r="AY252" s="262" t="n">
        <v>8623</v>
      </c>
      <c r="AZ252" s="262" t="n">
        <v>8841</v>
      </c>
      <c r="BA252" s="262" t="n">
        <v>9902</v>
      </c>
      <c r="BB252" s="262" t="n">
        <v>9902</v>
      </c>
      <c r="BC252" s="262" t="n">
        <v>9215</v>
      </c>
      <c r="BD252" s="262" t="n">
        <v>8152</v>
      </c>
      <c r="BE252" s="262" t="n">
        <v>9776</v>
      </c>
      <c r="BF252" s="262" t="n">
        <v>9196</v>
      </c>
      <c r="BG252" s="262" t="n">
        <v>9196</v>
      </c>
      <c r="BH252" s="262" t="n">
        <v>8800</v>
      </c>
      <c r="BI252" s="262" t="n">
        <v>8521</v>
      </c>
      <c r="BJ252" s="262" t="n">
        <v>8742</v>
      </c>
      <c r="BK252" s="262" t="n">
        <v>10465</v>
      </c>
      <c r="BL252" s="262" t="n">
        <v>10465</v>
      </c>
      <c r="BM252" s="262" t="n">
        <v>9187</v>
      </c>
      <c r="BN252" s="262" t="n">
        <v>8802</v>
      </c>
      <c r="BO252" s="262" t="n">
        <v>12967</v>
      </c>
      <c r="BP252" s="262" t="n">
        <v>10808</v>
      </c>
      <c r="BQ252" s="262" t="n">
        <v>10808</v>
      </c>
      <c r="BR252" s="262" t="n">
        <v>9982</v>
      </c>
      <c r="BS252" s="262" t="n">
        <v>11572</v>
      </c>
      <c r="BT252" s="262" t="n">
        <v>12845</v>
      </c>
      <c r="BU252" s="262" t="n">
        <v>13248</v>
      </c>
      <c r="BV252" s="262" t="n">
        <v>13248</v>
      </c>
      <c r="BW252" s="262" t="n">
        <v>10764</v>
      </c>
      <c r="BX252" s="262" t="n">
        <v>13975</v>
      </c>
      <c r="BY252" s="32" t="n"/>
      <c r="BZ252" s="32" t="n"/>
      <c r="CA252" s="263">
        <f>CA251+CA250</f>
        <v>12733.8957577669</v>
      </c>
      <c r="CB252" s="263">
        <f>CB251+CB250</f>
        <v>13197.0770328506</v>
      </c>
      <c r="CC252" s="263">
        <f>CC251+CC250</f>
        <v>12514.0671751139</v>
      </c>
      <c r="CD252" s="263">
        <f>CD251+CD250</f>
        <v>12000</v>
      </c>
      <c r="CE252" s="263">
        <f>CE251+CE250</f>
        <v>12000</v>
      </c>
      <c r="CF252" s="153" t="inlineStr">
        <is>
          <t>ASU 2016-18 from 2018 (2017 comparatives recast in the 2018 releases; earlier years: cash and cash equivalents only). Q1-26: 10-Q figure (release typo, see comment).</t>
        </is>
      </c>
    </row>
    <row r="253" ht="15" customHeight="1" s="251">
      <c r="B253" s="57" t="inlineStr">
        <is>
          <t xml:space="preserve">  Check: beginning cash + CFO + CFI + CFF + FX = ending cash (should be 0)</t>
        </is>
      </c>
      <c r="C253" s="211">
        <f>IF(AND(ISNUMBER(C251),ISNUMBER(C239)),IF(ABS(C251+C250-C252)&lt;=1.1,0,ROUND(C251+C250-C252,0)),"")</f>
        <v>0</v>
      </c>
      <c r="D253" s="211">
        <f>IF(AND(ISNUMBER(D251),ISNUMBER(D239)),IF(ABS(D251+D250-D252)&lt;=1.1,0,ROUND(D251+D250-D252,0)),"")</f>
        <v>0</v>
      </c>
      <c r="E253" s="211">
        <f>IF(AND(ISNUMBER(E251),ISNUMBER(E239)),IF(ABS(E251+E250-E252)&lt;=1.1,0,ROUND(E251+E250-E252,0)),"")</f>
        <v>0</v>
      </c>
      <c r="F253" s="211">
        <f>IF(AND(ISNUMBER(F251),ISNUMBER(F239)),IF(ABS(F251+F250-F252)&lt;=1.1,0,ROUND(F251+F250-F252,0)),"")</f>
        <v>0</v>
      </c>
      <c r="G253" s="211">
        <f>IF(AND(ISNUMBER(G251),ISNUMBER(G239)),IF(ABS(G251+G250-G252)&lt;=1.1,0,ROUND(G251+G250-G252,0)),"")</f>
        <v>0</v>
      </c>
      <c r="H253" s="211">
        <f>IF(AND(ISNUMBER(H251),ISNUMBER(H239)),IF(ABS(H251+H250-H252)&lt;=1.1,0,ROUND(H251+H250-H252,0)),"")</f>
        <v>0</v>
      </c>
      <c r="I253" s="211">
        <f>IF(AND(ISNUMBER(I251),ISNUMBER(I239)),IF(ABS(I251+I250-I252)&lt;=1.1,0,ROUND(I251+I250-I252,0)),"")</f>
        <v>0</v>
      </c>
      <c r="J253" s="211">
        <f>IF(AND(ISNUMBER(J251),ISNUMBER(J239)),IF(ABS(J251+J250-J252)&lt;=1.1,0,ROUND(J251+J250-J252,0)),"")</f>
        <v>0</v>
      </c>
      <c r="K253" s="211">
        <f>IF(AND(ISNUMBER(K251),ISNUMBER(K239)),IF(ABS(K251+K250-K252)&lt;=1.1,0,ROUND(K251+K250-K252,0)),"")</f>
        <v>0</v>
      </c>
      <c r="L253" s="211">
        <f>IF(AND(ISNUMBER(L251),ISNUMBER(L239)),IF(ABS(L251+L250-L252)&lt;=1.1,0,ROUND(L251+L250-L252,0)),"")</f>
        <v>0</v>
      </c>
      <c r="M253" s="211">
        <f>IF(AND(ISNUMBER(M251),ISNUMBER(M239)),IF(ABS(M251+M250-M252)&lt;=1.1,0,ROUND(M251+M250-M252,0)),"")</f>
        <v>0</v>
      </c>
      <c r="N253" s="211">
        <f>IF(AND(ISNUMBER(N251),ISNUMBER(N239)),IF(ABS(N251+N250-N252)&lt;=1.1,0,ROUND(N251+N250-N252,0)),"")</f>
        <v>0</v>
      </c>
      <c r="O253" s="211">
        <f>IF(AND(ISNUMBER(O251),ISNUMBER(O239)),IF(ABS(O251+O250-O252)&lt;=1.1,0,ROUND(O251+O250-O252,0)),"")</f>
        <v>0</v>
      </c>
      <c r="P253" s="211">
        <f>IF(AND(ISNUMBER(P251),ISNUMBER(P239)),IF(ABS(P251+P250-P252)&lt;=1.1,0,ROUND(P251+P250-P252,0)),"")</f>
        <v>0</v>
      </c>
      <c r="Q253" s="211">
        <f>IF(AND(ISNUMBER(Q251),ISNUMBER(Q239)),IF(ABS(Q251+Q250-Q252)&lt;=1.1,0,ROUND(Q251+Q250-Q252,0)),"")</f>
        <v>0</v>
      </c>
      <c r="R253" s="211">
        <f>IF(AND(ISNUMBER(R251),ISNUMBER(R239)),IF(ABS(R251+R250-R252)&lt;=1.1,0,ROUND(R251+R250-R252,0)),"")</f>
        <v>0</v>
      </c>
      <c r="S253" s="211">
        <f>IF(AND(ISNUMBER(S251),ISNUMBER(S239)),IF(ABS(S251+S250-S252)&lt;=1.1,0,ROUND(S251+S250-S252,0)),"")</f>
        <v>0</v>
      </c>
      <c r="T253" s="211">
        <f>IF(AND(ISNUMBER(T251),ISNUMBER(T239)),IF(ABS(T251+T250-T252)&lt;=1.1,0,ROUND(T251+T250-T252,0)),"")</f>
        <v>0</v>
      </c>
      <c r="U253" s="211">
        <f>IF(AND(ISNUMBER(U251),ISNUMBER(U239)),IF(ABS(U251+U250-U252)&lt;=1.1,0,ROUND(U251+U250-U252,0)),"")</f>
        <v>0</v>
      </c>
      <c r="V253" s="211">
        <f>IF(AND(ISNUMBER(V251),ISNUMBER(V239)),IF(ABS(V251+V250-V252)&lt;=1.1,0,ROUND(V251+V250-V252,0)),"")</f>
        <v>0</v>
      </c>
      <c r="W253" s="211">
        <f>IF(AND(ISNUMBER(W251),ISNUMBER(W239)),IF(ABS(W251+W250-W252)&lt;=1.1,0,ROUND(W251+W250-W252,0)),"")</f>
        <v>0</v>
      </c>
      <c r="X253" s="211">
        <f>IF(AND(ISNUMBER(X251),ISNUMBER(X239)),IF(ABS(X251+X250-X252)&lt;=1.1,0,ROUND(X251+X250-X252,0)),"")</f>
        <v>0</v>
      </c>
      <c r="Y253" s="211">
        <f>IF(AND(ISNUMBER(Y251),ISNUMBER(Y239)),IF(ABS(Y251+Y250-Y252)&lt;=1.1,0,ROUND(Y251+Y250-Y252,0)),"")</f>
        <v>0</v>
      </c>
      <c r="Z253" s="211">
        <f>IF(AND(ISNUMBER(Z251),ISNUMBER(Z239)),IF(ABS(Z251+Z250-Z252)&lt;=1.1,0,ROUND(Z251+Z250-Z252,0)),"")</f>
        <v>0</v>
      </c>
      <c r="AA253" s="211">
        <f>IF(AND(ISNUMBER(AA251),ISNUMBER(AA239)),IF(ABS(AA251+AA250-AA252)&lt;=1.1,0,ROUND(AA251+AA250-AA252,0)),"")</f>
        <v>0</v>
      </c>
      <c r="AB253" s="211">
        <f>IF(AND(ISNUMBER(AB251),ISNUMBER(AB239)),IF(ABS(AB251+AB250-AB252)&lt;=1.1,0,ROUND(AB251+AB250-AB252,0)),"")</f>
        <v>0</v>
      </c>
      <c r="AC253" s="211">
        <f>IF(AND(ISNUMBER(AC251),ISNUMBER(AC239)),IF(ABS(AC251+AC250-AC252)&lt;=1.1,0,ROUND(AC251+AC250-AC252,0)),"")</f>
        <v>0</v>
      </c>
      <c r="AD253" s="211">
        <f>IF(AND(ISNUMBER(AD251),ISNUMBER(AD239)),IF(ABS(AD251+AD250-AD252)&lt;=1.1,0,ROUND(AD251+AD250-AD252,0)),"")</f>
        <v>0</v>
      </c>
      <c r="AE253" s="211">
        <f>IF(AND(ISNUMBER(AE251),ISNUMBER(AE239)),IF(ABS(AE251+AE250-AE252)&lt;=1.1,0,ROUND(AE251+AE250-AE252,0)),"")</f>
        <v>0</v>
      </c>
      <c r="AF253" s="211">
        <f>IF(AND(ISNUMBER(AF251),ISNUMBER(AF239)),IF(ABS(AF251+AF250-AF252)&lt;=1.1,0,ROUND(AF251+AF250-AF252,0)),"")</f>
        <v>0</v>
      </c>
      <c r="AG253" s="211">
        <f>IF(AND(ISNUMBER(AG251),ISNUMBER(AG239)),IF(ABS(AG251+AG250-AG252)&lt;=1.1,0,ROUND(AG251+AG250-AG252,0)),"")</f>
        <v>0</v>
      </c>
      <c r="AH253" s="211">
        <f>IF(AND(ISNUMBER(AH251),ISNUMBER(AH239)),IF(ABS(AH251+AH250-AH252)&lt;=1.1,0,ROUND(AH251+AH250-AH252,0)),"")</f>
        <v>0</v>
      </c>
      <c r="AI253" s="211">
        <f>IF(AND(ISNUMBER(AI251),ISNUMBER(AI239)),IF(ABS(AI251+AI250-AI252)&lt;=1.1,0,ROUND(AI251+AI250-AI252,0)),"")</f>
        <v>0</v>
      </c>
      <c r="AJ253" s="211">
        <f>IF(AND(ISNUMBER(AJ251),ISNUMBER(AJ239)),IF(ABS(AJ251+AJ250-AJ252)&lt;=1.1,0,ROUND(AJ251+AJ250-AJ252,0)),"")</f>
        <v>0</v>
      </c>
      <c r="AK253" s="211">
        <f>IF(AND(ISNUMBER(AK251),ISNUMBER(AK239)),IF(ABS(AK251+AK250-AK252)&lt;=1.1,0,ROUND(AK251+AK250-AK252,0)),"")</f>
        <v>0</v>
      </c>
      <c r="AL253" s="211">
        <f>IF(AND(ISNUMBER(AL251),ISNUMBER(AL239)),IF(ABS(AL251+AL250-AL252)&lt;=1.1,0,ROUND(AL251+AL250-AL252,0)),"")</f>
        <v>0</v>
      </c>
      <c r="AM253" s="211">
        <f>IF(AND(ISNUMBER(AM251),ISNUMBER(AM239)),IF(ABS(AM251+AM250-AM252)&lt;=1.1,0,ROUND(AM251+AM250-AM252,0)),"")</f>
        <v>0</v>
      </c>
      <c r="AN253" s="211">
        <f>IF(AND(ISNUMBER(AN251),ISNUMBER(AN239)),IF(ABS(AN251+AN250-AN252)&lt;=1.1,0,ROUND(AN251+AN250-AN252,0)),"")</f>
        <v>0</v>
      </c>
      <c r="AO253" s="211">
        <f>IF(AND(ISNUMBER(AO251),ISNUMBER(AO239)),IF(ABS(AO251+AO250-AO252)&lt;=1.1,0,ROUND(AO251+AO250-AO252,0)),"")</f>
        <v>0</v>
      </c>
      <c r="AP253" s="211">
        <f>IF(AND(ISNUMBER(AP251),ISNUMBER(AP239)),IF(ABS(AP251+AP250-AP252)&lt;=1.1,0,ROUND(AP251+AP250-AP252,0)),"")</f>
        <v>0</v>
      </c>
      <c r="AQ253" s="211">
        <f>IF(AND(ISNUMBER(AQ251),ISNUMBER(AQ239)),IF(ABS(AQ251+AQ250-AQ252)&lt;=1.1,0,ROUND(AQ251+AQ250-AQ252,0)),"")</f>
        <v>0</v>
      </c>
      <c r="AR253" s="211">
        <f>IF(AND(ISNUMBER(AR251),ISNUMBER(AR239)),IF(ABS(AR251+AR250-AR252)&lt;=1.1,0,ROUND(AR251+AR250-AR252,0)),"")</f>
        <v>0</v>
      </c>
      <c r="AS253" s="211">
        <f>IF(AND(ISNUMBER(AS251),ISNUMBER(AS239)),IF(ABS(AS251+AS250-AS252)&lt;=1.1,0,ROUND(AS251+AS250-AS252,0)),"")</f>
        <v>0</v>
      </c>
      <c r="AT253" s="211">
        <f>IF(AND(ISNUMBER(AT251),ISNUMBER(AT239)),IF(ABS(AT251+AT250-AT252)&lt;=1.1,0,ROUND(AT251+AT250-AT252,0)),"")</f>
        <v>0</v>
      </c>
      <c r="AU253" s="211">
        <f>IF(AND(ISNUMBER(AU251),ISNUMBER(AU239)),IF(ABS(AU251+AU250-AU252)&lt;=1.1,0,ROUND(AU251+AU250-AU252,0)),"")</f>
        <v>0</v>
      </c>
      <c r="AV253" s="211">
        <f>IF(AND(ISNUMBER(AV251),ISNUMBER(AV239)),IF(ABS(AV251+AV250-AV252)&lt;=1.1,0,ROUND(AV251+AV250-AV252,0)),"")</f>
        <v>0</v>
      </c>
      <c r="AW253" s="211">
        <f>IF(AND(ISNUMBER(AW251),ISNUMBER(AW239)),IF(ABS(AW251+AW250-AW252)&lt;=1.1,0,ROUND(AW251+AW250-AW252,0)),"")</f>
        <v>0</v>
      </c>
      <c r="AX253" s="211">
        <f>IF(AND(ISNUMBER(AX251),ISNUMBER(AX239)),IF(ABS(AX251+AX250-AX252)&lt;=1.1,0,ROUND(AX251+AX250-AX252,0)),"")</f>
        <v>0</v>
      </c>
      <c r="AY253" s="211">
        <f>IF(AND(ISNUMBER(AY251),ISNUMBER(AY239)),IF(ABS(AY251+AY250-AY252)&lt;=1.1,0,ROUND(AY251+AY250-AY252,0)),"")</f>
        <v>0</v>
      </c>
      <c r="AZ253" s="211">
        <f>IF(AND(ISNUMBER(AZ251),ISNUMBER(AZ239)),IF(ABS(AZ251+AZ250-AZ252)&lt;=1.1,0,ROUND(AZ251+AZ250-AZ252,0)),"")</f>
        <v>0</v>
      </c>
      <c r="BA253" s="211">
        <f>IF(AND(ISNUMBER(BA251),ISNUMBER(BA239)),IF(ABS(BA251+BA250-BA252)&lt;=1.1,0,ROUND(BA251+BA250-BA252,0)),"")</f>
        <v>0</v>
      </c>
      <c r="BB253" s="211">
        <f>IF(AND(ISNUMBER(BB251),ISNUMBER(BB239)),IF(ABS(BB251+BB250-BB252)&lt;=1.1,0,ROUND(BB251+BB250-BB252,0)),"")</f>
        <v>0</v>
      </c>
      <c r="BC253" s="211">
        <f>IF(AND(ISNUMBER(BC251),ISNUMBER(BC239)),IF(ABS(BC251+BC250-BC252)&lt;=1.1,0,ROUND(BC251+BC250-BC252,0)),"")</f>
        <v>0</v>
      </c>
      <c r="BD253" s="211">
        <f>IF(AND(ISNUMBER(BD251),ISNUMBER(BD239)),IF(ABS(BD251+BD250-BD252)&lt;=1.1,0,ROUND(BD251+BD250-BD252,0)),"")</f>
        <v>0</v>
      </c>
      <c r="BE253" s="211">
        <f>IF(AND(ISNUMBER(BE251),ISNUMBER(BE239)),IF(ABS(BE251+BE250-BE252)&lt;=1.1,0,ROUND(BE251+BE250-BE252,0)),"")</f>
        <v>0</v>
      </c>
      <c r="BF253" s="211">
        <f>IF(AND(ISNUMBER(BF251),ISNUMBER(BF239)),IF(ABS(BF251+BF250-BF252)&lt;=1.1,0,ROUND(BF251+BF250-BF252,0)),"")</f>
        <v>0</v>
      </c>
      <c r="BG253" s="211">
        <f>IF(AND(ISNUMBER(BG251),ISNUMBER(BG239)),IF(ABS(BG251+BG250-BG252)&lt;=1.1,0,ROUND(BG251+BG250-BG252,0)),"")</f>
        <v>0</v>
      </c>
      <c r="BH253" s="211">
        <f>IF(AND(ISNUMBER(BH251),ISNUMBER(BH239)),IF(ABS(BH251+BH250-BH252)&lt;=1.1,0,ROUND(BH251+BH250-BH252,0)),"")</f>
        <v>0</v>
      </c>
      <c r="BI253" s="211">
        <f>IF(AND(ISNUMBER(BI251),ISNUMBER(BI239)),IF(ABS(BI251+BI250-BI252)&lt;=1.1,0,ROUND(BI251+BI250-BI252,0)),"")</f>
        <v>0</v>
      </c>
      <c r="BJ253" s="211">
        <f>IF(AND(ISNUMBER(BJ251),ISNUMBER(BJ239)),IF(ABS(BJ251+BJ250-BJ252)&lt;=1.1,0,ROUND(BJ251+BJ250-BJ252,0)),"")</f>
        <v>0</v>
      </c>
      <c r="BK253" s="211">
        <f>IF(AND(ISNUMBER(BK251),ISNUMBER(BK239)),IF(ABS(BK251+BK250-BK252)&lt;=1.1,0,ROUND(BK251+BK250-BK252,0)),"")</f>
        <v>0</v>
      </c>
      <c r="BL253" s="211">
        <f>IF(AND(ISNUMBER(BL251),ISNUMBER(BL239)),IF(ABS(BL251+BL250-BL252)&lt;=1.1,0,ROUND(BL251+BL250-BL252,0)),"")</f>
        <v>0</v>
      </c>
      <c r="BM253" s="211">
        <f>IF(AND(ISNUMBER(BM251),ISNUMBER(BM239)),IF(ABS(BM251+BM250-BM252)&lt;=1.1,0,ROUND(BM251+BM250-BM252,0)),"")</f>
        <v>0</v>
      </c>
      <c r="BN253" s="211">
        <f>IF(AND(ISNUMBER(BN251),ISNUMBER(BN239)),IF(ABS(BN251+BN250-BN252)&lt;=1.1,0,ROUND(BN251+BN250-BN252,0)),"")</f>
        <v>0</v>
      </c>
      <c r="BO253" s="211">
        <f>IF(AND(ISNUMBER(BO251),ISNUMBER(BO239)),IF(ABS(BO251+BO250-BO252)&lt;=1.1,0,ROUND(BO251+BO250-BO252,0)),"")</f>
        <v>0</v>
      </c>
      <c r="BP253" s="211">
        <f>IF(AND(ISNUMBER(BP251),ISNUMBER(BP239)),IF(ABS(BP251+BP250-BP252)&lt;=1.1,0,ROUND(BP251+BP250-BP252,0)),"")</f>
        <v>0</v>
      </c>
      <c r="BQ253" s="211">
        <f>IF(AND(ISNUMBER(BQ251),ISNUMBER(BQ239)),IF(ABS(BQ251+BQ250-BQ252)&lt;=1.1,0,ROUND(BQ251+BQ250-BQ252,0)),"")</f>
        <v>0</v>
      </c>
      <c r="BR253" s="211">
        <f>IF(AND(ISNUMBER(BR251),ISNUMBER(BR239)),IF(ABS(BR251+BR250-BR252)&lt;=1.1,0,ROUND(BR251+BR250-BR252,0)),"")</f>
        <v>0</v>
      </c>
      <c r="BS253" s="211">
        <f>IF(AND(ISNUMBER(BS251),ISNUMBER(BS239)),IF(ABS(BS251+BS250-BS252)&lt;=1.1,0,ROUND(BS251+BS250-BS252,0)),"")</f>
        <v>0</v>
      </c>
      <c r="BT253" s="211">
        <f>IF(AND(ISNUMBER(BT251),ISNUMBER(BT239)),IF(ABS(BT251+BT250-BT252)&lt;=1.1,0,ROUND(BT251+BT250-BT252,0)),"")</f>
        <v>0</v>
      </c>
      <c r="BU253" s="211">
        <f>IF(AND(ISNUMBER(BU251),ISNUMBER(BU239)),IF(ABS(BU251+BU250-BU252)&lt;=1.1,0,ROUND(BU251+BU250-BU252,0)),"")</f>
        <v>0</v>
      </c>
      <c r="BV253" s="211">
        <f>IF(AND(ISNUMBER(BV251),ISNUMBER(BV239)),IF(ABS(BV251+BV250-BV252)&lt;=1.1,0,ROUND(BV251+BV250-BV252,0)),"")</f>
        <v>0</v>
      </c>
      <c r="BW253" s="211">
        <f>IF(AND(ISNUMBER(BW251),ISNUMBER(BW239)),IF(ABS(BW251+BW250-BW252)&lt;=1.1,0,ROUND(BW251+BW250-BW252,0)),"")</f>
        <v>0</v>
      </c>
      <c r="BX253" s="211">
        <f>IF(AND(ISNUMBER(BX251),ISNUMBER(BX239)),IF(ABS(BX251+BX250-BX252)&lt;=1.1,0,ROUND(BX251+BX250-BX252,0)),"")</f>
        <v>0</v>
      </c>
      <c r="BY253" s="153" t="n"/>
      <c r="BZ253" s="153" t="n"/>
      <c r="CA253" s="274">
        <f>IF(AND(ISNUMBER(CA251),ISNUMBER(CA239)),IF(ABS(CA251+CA250-CA252)&lt;=1.1,0,ROUND(CA251+CA250-CA252,0)),"")</f>
        <v>0</v>
      </c>
      <c r="CB253" s="274">
        <f>IF(AND(ISNUMBER(CB251),ISNUMBER(CB239)),IF(ABS(CB251+CB250-CB252)&lt;=1.1,0,ROUND(CB251+CB250-CB252,0)),"")</f>
        <v>0</v>
      </c>
      <c r="CC253" s="274">
        <f>IF(AND(ISNUMBER(CC251),ISNUMBER(CC239)),IF(ABS(CC251+CC250-CC252)&lt;=1.1,0,ROUND(CC251+CC250-CC252,0)),"")</f>
        <v>0</v>
      </c>
      <c r="CD253" s="274">
        <f>IF(AND(ISNUMBER(CD251),ISNUMBER(CD239)),IF(ABS(CD251+CD250-CD252)&lt;=1.1,0,ROUND(CD251+CD250-CD252,0)),"")</f>
        <v>0</v>
      </c>
      <c r="CE253" s="274">
        <f>IF(AND(ISNUMBER(CE251),ISNUMBER(CE239)),IF(ABS(CE251+CE250-CE252)&lt;=1.1,0,ROUND(CE251+CE250-CE252,0)),"")</f>
        <v>0</v>
      </c>
      <c r="CF253" s="153" t="n"/>
    </row>
    <row r="254" ht="15" customHeight="1" s="251">
      <c r="B254" s="57" t="inlineStr">
        <is>
          <t xml:space="preserve">  Check: CFO = sum of operating lines (should be 0)</t>
        </is>
      </c>
      <c r="C254" s="211">
        <f>IF(ISNUMBER(C232),IF(ABS(SUM(C232:C238)-C239)&lt;=1.1,0,ROUND(SUM(C232:C238)-C239,0)),"")</f>
        <v>0</v>
      </c>
      <c r="D254" s="211">
        <f>IF(ISNUMBER(D232),IF(ABS(SUM(D232:D238)-D239)&lt;=1.1,0,ROUND(SUM(D232:D238)-D239,0)),"")</f>
        <v>0</v>
      </c>
      <c r="E254" s="211">
        <f>IF(ISNUMBER(E232),IF(ABS(SUM(E232:E238)-E239)&lt;=1.1,0,ROUND(SUM(E232:E238)-E239,0)),"")</f>
        <v>0</v>
      </c>
      <c r="F254" s="211">
        <f>IF(ISNUMBER(F232),IF(ABS(SUM(F232:F238)-F239)&lt;=1.1,0,ROUND(SUM(F232:F238)-F239,0)),"")</f>
        <v>0</v>
      </c>
      <c r="G254" s="211">
        <f>IF(ISNUMBER(G232),IF(ABS(SUM(G232:G238)-G239)&lt;=1.1,0,ROUND(SUM(G232:G238)-G239,0)),"")</f>
        <v>0</v>
      </c>
      <c r="H254" s="211">
        <f>IF(ISNUMBER(H232),IF(ABS(SUM(H232:H238)-H239)&lt;=1.1,0,ROUND(SUM(H232:H238)-H239,0)),"")</f>
        <v>0</v>
      </c>
      <c r="I254" s="211">
        <f>IF(ISNUMBER(I232),IF(ABS(SUM(I232:I238)-I239)&lt;=1.1,0,ROUND(SUM(I232:I238)-I239,0)),"")</f>
        <v>0</v>
      </c>
      <c r="J254" s="211">
        <f>IF(ISNUMBER(J232),IF(ABS(SUM(J232:J238)-J239)&lt;=1.1,0,ROUND(SUM(J232:J238)-J239,0)),"")</f>
        <v>0</v>
      </c>
      <c r="K254" s="211">
        <f>IF(ISNUMBER(K232),IF(ABS(SUM(K232:K238)-K239)&lt;=1.1,0,ROUND(SUM(K232:K238)-K239,0)),"")</f>
        <v>0</v>
      </c>
      <c r="L254" s="211">
        <f>IF(ISNUMBER(L232),IF(ABS(SUM(L232:L238)-L239)&lt;=1.1,0,ROUND(SUM(L232:L238)-L239,0)),"")</f>
        <v>0</v>
      </c>
      <c r="M254" s="211">
        <f>IF(ISNUMBER(M232),IF(ABS(SUM(M232:M238)-M239)&lt;=1.1,0,ROUND(SUM(M232:M238)-M239,0)),"")</f>
        <v>0</v>
      </c>
      <c r="N254" s="211">
        <f>IF(ISNUMBER(N232),IF(ABS(SUM(N232:N238)-N239)&lt;=1.1,0,ROUND(SUM(N232:N238)-N239,0)),"")</f>
        <v>0</v>
      </c>
      <c r="O254" s="211">
        <f>IF(ISNUMBER(O232),IF(ABS(SUM(O232:O238)-O239)&lt;=1.1,0,ROUND(SUM(O232:O238)-O239,0)),"")</f>
        <v>0</v>
      </c>
      <c r="P254" s="211">
        <f>IF(ISNUMBER(P232),IF(ABS(SUM(P232:P238)-P239)&lt;=1.1,0,ROUND(SUM(P232:P238)-P239,0)),"")</f>
        <v>0</v>
      </c>
      <c r="Q254" s="211">
        <f>IF(ISNUMBER(Q232),IF(ABS(SUM(Q232:Q238)-Q239)&lt;=1.1,0,ROUND(SUM(Q232:Q238)-Q239,0)),"")</f>
        <v>0</v>
      </c>
      <c r="R254" s="211">
        <f>IF(ISNUMBER(R232),IF(ABS(SUM(R232:R238)-R239)&lt;=1.1,0,ROUND(SUM(R232:R238)-R239,0)),"")</f>
        <v>0</v>
      </c>
      <c r="S254" s="211">
        <f>IF(ISNUMBER(S232),IF(ABS(SUM(S232:S238)-S239)&lt;=1.1,0,ROUND(SUM(S232:S238)-S239,0)),"")</f>
        <v>0</v>
      </c>
      <c r="T254" s="211">
        <f>IF(ISNUMBER(T232),IF(ABS(SUM(T232:T238)-T239)&lt;=1.1,0,ROUND(SUM(T232:T238)-T239,0)),"")</f>
        <v>0</v>
      </c>
      <c r="U254" s="211">
        <f>IF(ISNUMBER(U232),IF(ABS(SUM(U232:U238)-U239)&lt;=1.1,0,ROUND(SUM(U232:U238)-U239,0)),"")</f>
        <v>0</v>
      </c>
      <c r="V254" s="211">
        <f>IF(ISNUMBER(V232),IF(ABS(SUM(V232:V238)-V239)&lt;=1.1,0,ROUND(SUM(V232:V238)-V239,0)),"")</f>
        <v>0</v>
      </c>
      <c r="W254" s="211">
        <f>IF(ISNUMBER(W232),IF(ABS(SUM(W232:W238)-W239)&lt;=1.1,0,ROUND(SUM(W232:W238)-W239,0)),"")</f>
        <v>0</v>
      </c>
      <c r="X254" s="211">
        <f>IF(ISNUMBER(X232),IF(ABS(SUM(X232:X238)-X239)&lt;=1.1,0,ROUND(SUM(X232:X238)-X239,0)),"")</f>
        <v>0</v>
      </c>
      <c r="Y254" s="211">
        <f>IF(ISNUMBER(Y232),IF(ABS(SUM(Y232:Y238)-Y239)&lt;=1.1,0,ROUND(SUM(Y232:Y238)-Y239,0)),"")</f>
        <v>0</v>
      </c>
      <c r="Z254" s="211">
        <f>IF(ISNUMBER(Z232),IF(ABS(SUM(Z232:Z238)-Z239)&lt;=1.1,0,ROUND(SUM(Z232:Z238)-Z239,0)),"")</f>
        <v>0</v>
      </c>
      <c r="AA254" s="211">
        <f>IF(ISNUMBER(AA232),IF(ABS(SUM(AA232:AA238)-AA239)&lt;=1.1,0,ROUND(SUM(AA232:AA238)-AA239,0)),"")</f>
        <v>0</v>
      </c>
      <c r="AB254" s="211">
        <f>IF(ISNUMBER(AB232),IF(ABS(SUM(AB232:AB238)-AB239)&lt;=1.1,0,ROUND(SUM(AB232:AB238)-AB239,0)),"")</f>
        <v>0</v>
      </c>
      <c r="AC254" s="211">
        <f>IF(ISNUMBER(AC232),IF(ABS(SUM(AC232:AC238)-AC239)&lt;=1.1,0,ROUND(SUM(AC232:AC238)-AC239,0)),"")</f>
        <v>0</v>
      </c>
      <c r="AD254" s="211">
        <f>IF(ISNUMBER(AD232),IF(ABS(SUM(AD232:AD238)-AD239)&lt;=1.1,0,ROUND(SUM(AD232:AD238)-AD239,0)),"")</f>
        <v>0</v>
      </c>
      <c r="AE254" s="211">
        <f>IF(ISNUMBER(AE232),IF(ABS(SUM(AE232:AE238)-AE239)&lt;=1.1,0,ROUND(SUM(AE232:AE238)-AE239,0)),"")</f>
        <v>0</v>
      </c>
      <c r="AF254" s="211">
        <f>IF(ISNUMBER(AF232),IF(ABS(SUM(AF232:AF238)-AF239)&lt;=1.1,0,ROUND(SUM(AF232:AF238)-AF239,0)),"")</f>
        <v>0</v>
      </c>
      <c r="AG254" s="211">
        <f>IF(ISNUMBER(AG232),IF(ABS(SUM(AG232:AG238)-AG239)&lt;=1.1,0,ROUND(SUM(AG232:AG238)-AG239,0)),"")</f>
        <v>0</v>
      </c>
      <c r="AH254" s="211">
        <f>IF(ISNUMBER(AH232),IF(ABS(SUM(AH232:AH238)-AH239)&lt;=1.1,0,ROUND(SUM(AH232:AH238)-AH239,0)),"")</f>
        <v>0</v>
      </c>
      <c r="AI254" s="211">
        <f>IF(ISNUMBER(AI232),IF(ABS(SUM(AI232:AI238)-AI239)&lt;=1.1,0,ROUND(SUM(AI232:AI238)-AI239,0)),"")</f>
        <v>0</v>
      </c>
      <c r="AJ254" s="211">
        <f>IF(ISNUMBER(AJ232),IF(ABS(SUM(AJ232:AJ238)-AJ239)&lt;=1.1,0,ROUND(SUM(AJ232:AJ238)-AJ239,0)),"")</f>
        <v>0</v>
      </c>
      <c r="AK254" s="211">
        <f>IF(ISNUMBER(AK232),IF(ABS(SUM(AK232:AK238)-AK239)&lt;=1.1,0,ROUND(SUM(AK232:AK238)-AK239,0)),"")</f>
        <v>0</v>
      </c>
      <c r="AL254" s="211">
        <f>IF(ISNUMBER(AL232),IF(ABS(SUM(AL232:AL238)-AL239)&lt;=1.1,0,ROUND(SUM(AL232:AL238)-AL239,0)),"")</f>
        <v>0</v>
      </c>
      <c r="AM254" s="211">
        <f>IF(ISNUMBER(AM232),IF(ABS(SUM(AM232:AM238)-AM239)&lt;=1.1,0,ROUND(SUM(AM232:AM238)-AM239,0)),"")</f>
        <v>0</v>
      </c>
      <c r="AN254" s="211">
        <f>IF(ISNUMBER(AN232),IF(ABS(SUM(AN232:AN238)-AN239)&lt;=1.1,0,ROUND(SUM(AN232:AN238)-AN239,0)),"")</f>
        <v>0</v>
      </c>
      <c r="AO254" s="211">
        <f>IF(ISNUMBER(AO232),IF(ABS(SUM(AO232:AO238)-AO239)&lt;=1.1,0,ROUND(SUM(AO232:AO238)-AO239,0)),"")</f>
        <v>0</v>
      </c>
      <c r="AP254" s="211">
        <f>IF(ISNUMBER(AP232),IF(ABS(SUM(AP232:AP238)-AP239)&lt;=1.1,0,ROUND(SUM(AP232:AP238)-AP239,0)),"")</f>
        <v>0</v>
      </c>
      <c r="AQ254" s="211">
        <f>IF(ISNUMBER(AQ232),IF(ABS(SUM(AQ232:AQ238)-AQ239)&lt;=1.1,0,ROUND(SUM(AQ232:AQ238)-AQ239,0)),"")</f>
        <v>0</v>
      </c>
      <c r="AR254" s="211">
        <f>IF(ISNUMBER(AR232),IF(ABS(SUM(AR232:AR238)-AR239)&lt;=1.1,0,ROUND(SUM(AR232:AR238)-AR239,0)),"")</f>
        <v>0</v>
      </c>
      <c r="AS254" s="211">
        <f>IF(ISNUMBER(AS232),IF(ABS(SUM(AS232:AS238)-AS239)&lt;=1.1,0,ROUND(SUM(AS232:AS238)-AS239,0)),"")</f>
        <v>0</v>
      </c>
      <c r="AT254" s="211">
        <f>IF(ISNUMBER(AT232),IF(ABS(SUM(AT232:AT238)-AT239)&lt;=1.1,0,ROUND(SUM(AT232:AT238)-AT239,0)),"")</f>
        <v>0</v>
      </c>
      <c r="AU254" s="211">
        <f>IF(ISNUMBER(AU232),IF(ABS(SUM(AU232:AU238)-AU239)&lt;=1.1,0,ROUND(SUM(AU232:AU238)-AU239,0)),"")</f>
        <v>0</v>
      </c>
      <c r="AV254" s="211">
        <f>IF(ISNUMBER(AV232),IF(ABS(SUM(AV232:AV238)-AV239)&lt;=1.1,0,ROUND(SUM(AV232:AV238)-AV239,0)),"")</f>
        <v>0</v>
      </c>
      <c r="AW254" s="211">
        <f>IF(ISNUMBER(AW232),IF(ABS(SUM(AW232:AW238)-AW239)&lt;=1.1,0,ROUND(SUM(AW232:AW238)-AW239,0)),"")</f>
        <v>0</v>
      </c>
      <c r="AX254" s="211">
        <f>IF(ISNUMBER(AX232),IF(ABS(SUM(AX232:AX238)-AX239)&lt;=1.1,0,ROUND(SUM(AX232:AX238)-AX239,0)),"")</f>
        <v>0</v>
      </c>
      <c r="AY254" s="211">
        <f>IF(ISNUMBER(AY232),IF(ABS(SUM(AY232:AY238)-AY239)&lt;=1.1,0,ROUND(SUM(AY232:AY238)-AY239,0)),"")</f>
        <v>0</v>
      </c>
      <c r="AZ254" s="211">
        <f>IF(ISNUMBER(AZ232),IF(ABS(SUM(AZ232:AZ238)-AZ239)&lt;=1.1,0,ROUND(SUM(AZ232:AZ238)-AZ239,0)),"")</f>
        <v>0</v>
      </c>
      <c r="BA254" s="211">
        <f>IF(ISNUMBER(BA232),IF(ABS(SUM(BA232:BA238)-BA239)&lt;=1.1,0,ROUND(SUM(BA232:BA238)-BA239,0)),"")</f>
        <v>0</v>
      </c>
      <c r="BB254" s="211">
        <f>IF(ISNUMBER(BB232),IF(ABS(SUM(BB232:BB238)-BB239)&lt;=1.1,0,ROUND(SUM(BB232:BB238)-BB239,0)),"")</f>
        <v>0</v>
      </c>
      <c r="BC254" s="211">
        <f>IF(ISNUMBER(BC232),IF(ABS(SUM(BC232:BC238)-BC239)&lt;=1.1,0,ROUND(SUM(BC232:BC238)-BC239,0)),"")</f>
        <v>0</v>
      </c>
      <c r="BD254" s="211">
        <f>IF(ISNUMBER(BD232),IF(ABS(SUM(BD232:BD238)-BD239)&lt;=1.1,0,ROUND(SUM(BD232:BD238)-BD239,0)),"")</f>
        <v>0</v>
      </c>
      <c r="BE254" s="211">
        <f>IF(ISNUMBER(BE232),IF(ABS(SUM(BE232:BE238)-BE239)&lt;=1.1,0,ROUND(SUM(BE232:BE238)-BE239,0)),"")</f>
        <v>0</v>
      </c>
      <c r="BF254" s="211">
        <f>IF(ISNUMBER(BF232),IF(ABS(SUM(BF232:BF238)-BF239)&lt;=1.1,0,ROUND(SUM(BF232:BF238)-BF239,0)),"")</f>
        <v>0</v>
      </c>
      <c r="BG254" s="211">
        <f>IF(ISNUMBER(BG232),IF(ABS(SUM(BG232:BG238)-BG239)&lt;=1.1,0,ROUND(SUM(BG232:BG238)-BG239,0)),"")</f>
        <v>0</v>
      </c>
      <c r="BH254" s="211">
        <f>IF(ISNUMBER(BH232),IF(ABS(SUM(BH232:BH238)-BH239)&lt;=1.1,0,ROUND(SUM(BH232:BH238)-BH239,0)),"")</f>
        <v>0</v>
      </c>
      <c r="BI254" s="211">
        <f>IF(ISNUMBER(BI232),IF(ABS(SUM(BI232:BI238)-BI239)&lt;=1.1,0,ROUND(SUM(BI232:BI238)-BI239,0)),"")</f>
        <v>0</v>
      </c>
      <c r="BJ254" s="211">
        <f>IF(ISNUMBER(BJ232),IF(ABS(SUM(BJ232:BJ238)-BJ239)&lt;=1.1,0,ROUND(SUM(BJ232:BJ238)-BJ239,0)),"")</f>
        <v>0</v>
      </c>
      <c r="BK254" s="211">
        <f>IF(ISNUMBER(BK232),IF(ABS(SUM(BK232:BK238)-BK239)&lt;=1.1,0,ROUND(SUM(BK232:BK238)-BK239,0)),"")</f>
        <v>0</v>
      </c>
      <c r="BL254" s="211">
        <f>IF(ISNUMBER(BL232),IF(ABS(SUM(BL232:BL238)-BL239)&lt;=1.1,0,ROUND(SUM(BL232:BL238)-BL239,0)),"")</f>
        <v>0</v>
      </c>
      <c r="BM254" s="211">
        <f>IF(ISNUMBER(BM232),IF(ABS(SUM(BM232:BM238)-BM239)&lt;=1.1,0,ROUND(SUM(BM232:BM238)-BM239,0)),"")</f>
        <v>0</v>
      </c>
      <c r="BN254" s="211">
        <f>IF(ISNUMBER(BN232),IF(ABS(SUM(BN232:BN238)-BN239)&lt;=1.1,0,ROUND(SUM(BN232:BN238)-BN239,0)),"")</f>
        <v>0</v>
      </c>
      <c r="BO254" s="211">
        <f>IF(ISNUMBER(BO232),IF(ABS(SUM(BO232:BO238)-BO239)&lt;=1.1,0,ROUND(SUM(BO232:BO238)-BO239,0)),"")</f>
        <v>0</v>
      </c>
      <c r="BP254" s="211">
        <f>IF(ISNUMBER(BP232),IF(ABS(SUM(BP232:BP238)-BP239)&lt;=1.1,0,ROUND(SUM(BP232:BP238)-BP239,0)),"")</f>
        <v>0</v>
      </c>
      <c r="BQ254" s="211">
        <f>IF(ISNUMBER(BQ232),IF(ABS(SUM(BQ232:BQ238)-BQ239)&lt;=1.1,0,ROUND(SUM(BQ232:BQ238)-BQ239,0)),"")</f>
        <v>0</v>
      </c>
      <c r="BR254" s="211">
        <f>IF(ISNUMBER(BR232),IF(ABS(SUM(BR232:BR238)-BR239)&lt;=1.1,0,ROUND(SUM(BR232:BR238)-BR239,0)),"")</f>
        <v>0</v>
      </c>
      <c r="BS254" s="211">
        <f>IF(ISNUMBER(BS232),IF(ABS(SUM(BS232:BS238)-BS239)&lt;=1.1,0,ROUND(SUM(BS232:BS238)-BS239,0)),"")</f>
        <v>0</v>
      </c>
      <c r="BT254" s="211">
        <f>IF(ISNUMBER(BT232),IF(ABS(SUM(BT232:BT238)-BT239)&lt;=1.1,0,ROUND(SUM(BT232:BT238)-BT239,0)),"")</f>
        <v>0</v>
      </c>
      <c r="BU254" s="211">
        <f>IF(ISNUMBER(BU232),IF(ABS(SUM(BU232:BU238)-BU239)&lt;=1.1,0,ROUND(SUM(BU232:BU238)-BU239,0)),"")</f>
        <v>0</v>
      </c>
      <c r="BV254" s="211">
        <f>IF(ISNUMBER(BV232),IF(ABS(SUM(BV232:BV238)-BV239)&lt;=1.1,0,ROUND(SUM(BV232:BV238)-BV239,0)),"")</f>
        <v>0</v>
      </c>
      <c r="BW254" s="211">
        <f>IF(ISNUMBER(BW232),IF(ABS(SUM(BW232:BW238)-BW239)&lt;=1.1,0,ROUND(SUM(BW232:BW238)-BW239,0)),"")</f>
        <v>0</v>
      </c>
      <c r="BX254" s="211">
        <f>IF(ISNUMBER(BX232),IF(ABS(SUM(BX232:BX238)-BX239)&lt;=1.1,0,ROUND(SUM(BX232:BX238)-BX239,0)),"")</f>
        <v>0</v>
      </c>
      <c r="BY254" s="153" t="n"/>
      <c r="BZ254" s="153" t="n"/>
      <c r="CA254" s="274">
        <f>IF(ISNUMBER(CA232),IF(ABS(SUM(CA232:CA238)-CA239)&lt;=1.1,0,ROUND(SUM(CA232:CA238)-CA239,0)),"")</f>
        <v>0</v>
      </c>
      <c r="CB254" s="274">
        <f>IF(ISNUMBER(CB232),IF(ABS(SUM(CB232:CB238)-CB239)&lt;=1.1,0,ROUND(SUM(CB232:CB238)-CB239,0)),"")</f>
        <v>0</v>
      </c>
      <c r="CC254" s="274">
        <f>IF(ISNUMBER(CC232),IF(ABS(SUM(CC232:CC238)-CC239)&lt;=1.1,0,ROUND(SUM(CC232:CC238)-CC239,0)),"")</f>
        <v>0</v>
      </c>
      <c r="CD254" s="274">
        <f>IF(ISNUMBER(CD232),IF(ABS(SUM(CD232:CD238)-CD239)&lt;=1.1,0,ROUND(SUM(CD232:CD238)-CD239,0)),"")</f>
        <v>0</v>
      </c>
      <c r="CE254" s="274">
        <f>IF(ISNUMBER(CE232),IF(ABS(SUM(CE232:CE238)-CE239)&lt;=1.1,0,ROUND(SUM(CE232:CE238)-CE239,0)),"")</f>
        <v>0</v>
      </c>
      <c r="CF254" s="153" t="n"/>
    </row>
    <row r="255" ht="15" customHeight="1" s="251">
      <c r="B255" s="25" t="inlineStr">
        <is>
          <t>(Memo)</t>
        </is>
      </c>
      <c r="CF255" s="153" t="n"/>
    </row>
    <row r="256" ht="15" customHeight="1" s="251">
      <c r="B256" s="55" t="inlineStr">
        <is>
          <t>Free cash flow (model: CFO − property &amp; equipment − capitalized software; Mastercard publishes no FCF in its releases)</t>
        </is>
      </c>
      <c r="C256" s="273">
        <f>IF(AND(ISNUMBER(C239),ISNUMBER(C240)),C239+C240,"")</f>
        <v>555.693</v>
      </c>
      <c r="D256" s="273">
        <f>IF(AND(ISNUMBER(D239),ISNUMBER(D240)),D239+D240,"")</f>
        <v>613.439</v>
      </c>
      <c r="E256" s="273">
        <f>IF(AND(ISNUMBER(E239),ISNUMBER(E240)),E239+E240,"")</f>
        <v>242.955</v>
      </c>
      <c r="F256" s="273">
        <f>IF(AND(ISNUMBER(F239),ISNUMBER(F240)),F239+F240,"")</f>
        <v>1238.802</v>
      </c>
      <c r="G256" s="273">
        <f>IF(AND(ISNUMBER(G239),ISNUMBER(G240)),G239+G240,"")</f>
        <v>1546</v>
      </c>
      <c r="H256" s="273">
        <f>IF(AND(ISNUMBER(H239),ISNUMBER(H240)),H239+H240,"")</f>
        <v>2507</v>
      </c>
      <c r="I256" s="273">
        <f>IF(AND(ISNUMBER(I239),ISNUMBER(I240)),I239+I240,"")</f>
        <v>2730</v>
      </c>
      <c r="J256" s="273">
        <f>IF(AND(ISNUMBER(J239),ISNUMBER(J240)),J239+J240,"")</f>
        <v>830</v>
      </c>
      <c r="K256" s="273">
        <f>IF(AND(ISNUMBER(K239),ISNUMBER(K240)),K239+K240,"")</f>
        <v>681</v>
      </c>
      <c r="L256" s="273">
        <f>IF(AND(ISNUMBER(L239),ISNUMBER(L240)),L239+L240,"")</f>
        <v>1272</v>
      </c>
      <c r="M256" s="273">
        <f>IF(AND(ISNUMBER(M239),ISNUMBER(M240)),M239+M240,"")</f>
        <v>1053</v>
      </c>
      <c r="N256" s="273">
        <f>IF(AND(ISNUMBER(N239),ISNUMBER(N240)),N239+N240,"")</f>
        <v>3836</v>
      </c>
      <c r="O256" s="273">
        <f>IF(AND(ISNUMBER(O239),ISNUMBER(O240)),O239+O240,"")</f>
        <v>519</v>
      </c>
      <c r="P256" s="273">
        <f>IF(AND(ISNUMBER(P239),ISNUMBER(P240)),P239+P240,"")</f>
        <v>676</v>
      </c>
      <c r="Q256" s="273">
        <f>IF(AND(ISNUMBER(Q239),ISNUMBER(Q240)),Q239+Q240,"")</f>
        <v>1315</v>
      </c>
      <c r="R256" s="273">
        <f>IF(AND(ISNUMBER(R239),ISNUMBER(R240)),R239+R240,"")</f>
        <v>563</v>
      </c>
      <c r="S256" s="273">
        <f>IF(AND(ISNUMBER(S239),ISNUMBER(S240)),S239+S240,"")</f>
        <v>3073</v>
      </c>
      <c r="T256" s="273">
        <f>IF(AND(ISNUMBER(T239),ISNUMBER(T240)),T239+T240,"")</f>
        <v>854</v>
      </c>
      <c r="U256" s="273">
        <f>IF(AND(ISNUMBER(U239),ISNUMBER(U240)),U239+U240,"")</f>
        <v>735</v>
      </c>
      <c r="V256" s="273">
        <f>IF(AND(ISNUMBER(V239),ISNUMBER(V240)),V239+V240,"")</f>
        <v>1166</v>
      </c>
      <c r="W256" s="273">
        <f>IF(AND(ISNUMBER(W239),ISNUMBER(W240)),W239+W240,"")</f>
        <v>946</v>
      </c>
      <c r="X256" s="273">
        <f>IF(AND(ISNUMBER(X239),ISNUMBER(X240)),X239+X240,"")</f>
        <v>3701</v>
      </c>
      <c r="Y256" s="273">
        <f>IF(AND(ISNUMBER(Y239),ISNUMBER(Y240)),Y239+Y240,"")</f>
        <v>933</v>
      </c>
      <c r="Z256" s="273">
        <f>IF(AND(ISNUMBER(Z239),ISNUMBER(Z240)),Z239+Z240,"")</f>
        <v>953</v>
      </c>
      <c r="AA256" s="273">
        <f>IF(AND(ISNUMBER(AA239),ISNUMBER(AA240)),AA239+AA240,"")</f>
        <v>1326</v>
      </c>
      <c r="AB256" s="273">
        <f>IF(AND(ISNUMBER(AB239),ISNUMBER(AB240)),AB239+AB240,"")</f>
        <v>890</v>
      </c>
      <c r="AC256" s="273">
        <f>IF(AND(ISNUMBER(AC239),ISNUMBER(AC240)),AC239+AC240,"")</f>
        <v>4102</v>
      </c>
      <c r="AD256" s="273">
        <f>IF(AND(ISNUMBER(AD239),ISNUMBER(AD240)),AD239+AD240,"")</f>
        <v>651</v>
      </c>
      <c r="AE256" s="273">
        <f>IF(AND(ISNUMBER(AE239),ISNUMBER(AE240)),AE239+AE240,"")</f>
        <v>1220</v>
      </c>
      <c r="AF256" s="273">
        <f>IF(AND(ISNUMBER(AF239),ISNUMBER(AF240)),AF239+AF240,"")</f>
        <v>1622</v>
      </c>
      <c r="AG256" s="273">
        <f>IF(AND(ISNUMBER(AG239),ISNUMBER(AG240)),AG239+AG240,"")</f>
        <v>1639</v>
      </c>
      <c r="AH256" s="273">
        <f>IF(AND(ISNUMBER(AH239),ISNUMBER(AH240)),AH239+AH240,"")</f>
        <v>5132</v>
      </c>
      <c r="AI256" s="273">
        <f>IF(AND(ISNUMBER(AI239),ISNUMBER(AI240)),AI239+AI240,"")</f>
        <v>909</v>
      </c>
      <c r="AJ256" s="273">
        <f>IF(AND(ISNUMBER(AJ239),ISNUMBER(AJ240)),AJ239+AJ240,"")</f>
        <v>1364</v>
      </c>
      <c r="AK256" s="273">
        <f>IF(AND(ISNUMBER(AK239),ISNUMBER(AK240)),AK239+AK240,"")</f>
        <v>2237</v>
      </c>
      <c r="AL256" s="273">
        <f>IF(AND(ISNUMBER(AL239),ISNUMBER(AL240)),AL239+AL240,"")</f>
        <v>1209</v>
      </c>
      <c r="AM256" s="273">
        <f>IF(AND(ISNUMBER(AM239),ISNUMBER(AM240)),AM239+AM240,"")</f>
        <v>5719</v>
      </c>
      <c r="AN256" s="273">
        <f>IF(AND(ISNUMBER(AN239),ISNUMBER(AN240)),AN239+AN240,"")</f>
        <v>1170</v>
      </c>
      <c r="AO256" s="273">
        <f>IF(AND(ISNUMBER(AO239),ISNUMBER(AO240)),AO239+AO240,"")</f>
        <v>1354</v>
      </c>
      <c r="AP256" s="273">
        <f>IF(AND(ISNUMBER(AP239),ISNUMBER(AP240)),AP239+AP240,"")</f>
        <v>2136</v>
      </c>
      <c r="AQ256" s="273">
        <f>IF(AND(ISNUMBER(AQ239),ISNUMBER(AQ240)),AQ239+AQ240,"")</f>
        <v>2795</v>
      </c>
      <c r="AR256" s="273">
        <f>IF(AND(ISNUMBER(AR239),ISNUMBER(AR240)),AR239+AR240,"")</f>
        <v>7455</v>
      </c>
      <c r="AS256" s="273">
        <f>IF(AND(ISNUMBER(AS239),ISNUMBER(AS240)),AS239+AS240,"")</f>
        <v>1650</v>
      </c>
      <c r="AT256" s="273">
        <f>IF(AND(ISNUMBER(AT239),ISNUMBER(AT240)),AT239+AT240,"")</f>
        <v>1275</v>
      </c>
      <c r="AU256" s="273">
        <f>IF(AND(ISNUMBER(AU239),ISNUMBER(AU240)),AU239+AU240,"")</f>
        <v>1489</v>
      </c>
      <c r="AV256" s="273">
        <f>IF(AND(ISNUMBER(AV239),ISNUMBER(AV240)),AV239+AV240,"")</f>
        <v>2102</v>
      </c>
      <c r="AW256" s="273">
        <f>IF(AND(ISNUMBER(AW239),ISNUMBER(AW240)),AW239+AW240,"")</f>
        <v>6516</v>
      </c>
      <c r="AX256" s="273">
        <f>IF(AND(ISNUMBER(AX239),ISNUMBER(AX240)),AX239+AX240,"")</f>
        <v>1319</v>
      </c>
      <c r="AY256" s="273">
        <f>IF(AND(ISNUMBER(AY239),ISNUMBER(AY240)),AY239+AY240,"")</f>
        <v>2075</v>
      </c>
      <c r="AZ256" s="273">
        <f>IF(AND(ISNUMBER(AZ239),ISNUMBER(AZ240)),AZ239+AZ240,"")</f>
        <v>2294</v>
      </c>
      <c r="BA256" s="273">
        <f>IF(AND(ISNUMBER(BA239),ISNUMBER(BA240)),BA239+BA240,"")</f>
        <v>2961</v>
      </c>
      <c r="BB256" s="273">
        <f>IF(AND(ISNUMBER(BB239),ISNUMBER(BB240)),BB239+BB240,"")</f>
        <v>8649</v>
      </c>
      <c r="BC256" s="273">
        <f>IF(AND(ISNUMBER(BC239),ISNUMBER(BC240)),BC239+BC240,"")</f>
        <v>1488</v>
      </c>
      <c r="BD256" s="273">
        <f>IF(AND(ISNUMBER(BD239),ISNUMBER(BD240)),BD239+BD240,"")</f>
        <v>2270</v>
      </c>
      <c r="BE256" s="273">
        <f>IF(AND(ISNUMBER(BE239),ISNUMBER(BE240)),BE239+BE240,"")</f>
        <v>3579</v>
      </c>
      <c r="BF256" s="273">
        <f>IF(AND(ISNUMBER(BF239),ISNUMBER(BF240)),BF239+BF240,"")</f>
        <v>2761</v>
      </c>
      <c r="BG256" s="273">
        <f>IF(AND(ISNUMBER(BG239),ISNUMBER(BG240)),BG239+BG240,"")</f>
        <v>10098</v>
      </c>
      <c r="BH256" s="273">
        <f>IF(AND(ISNUMBER(BH239),ISNUMBER(BH240)),BH239+BH240,"")</f>
        <v>1567</v>
      </c>
      <c r="BI256" s="273">
        <f>IF(AND(ISNUMBER(BI239),ISNUMBER(BI240)),BI239+BI240,"")</f>
        <v>2465</v>
      </c>
      <c r="BJ256" s="273">
        <f>IF(AND(ISNUMBER(BJ239),ISNUMBER(BJ240)),BJ239+BJ240,"")</f>
        <v>2999</v>
      </c>
      <c r="BK256" s="273">
        <f>IF(AND(ISNUMBER(BK239),ISNUMBER(BK240)),BK239+BK240,"")</f>
        <v>3861</v>
      </c>
      <c r="BL256" s="273">
        <f>IF(AND(ISNUMBER(BL239),ISNUMBER(BL240)),BL239+BL240,"")</f>
        <v>10892</v>
      </c>
      <c r="BM256" s="273">
        <f>IF(AND(ISNUMBER(BM239),ISNUMBER(BM240)),BM239+BM240,"")</f>
        <v>1294</v>
      </c>
      <c r="BN256" s="273">
        <f>IF(AND(ISNUMBER(BN239),ISNUMBER(BN240)),BN239+BN240,"")</f>
        <v>2842</v>
      </c>
      <c r="BO256" s="273">
        <f>IF(AND(ISNUMBER(BO239),ISNUMBER(BO240)),BO239+BO240,"")</f>
        <v>4866</v>
      </c>
      <c r="BP256" s="273">
        <f>IF(AND(ISNUMBER(BP239),ISNUMBER(BP240)),BP239+BP240,"")</f>
        <v>4584</v>
      </c>
      <c r="BQ256" s="273">
        <f>IF(AND(ISNUMBER(BQ239),ISNUMBER(BQ240)),BQ239+BQ240,"")</f>
        <v>13586</v>
      </c>
      <c r="BR256" s="273">
        <f>IF(AND(ISNUMBER(BR239),ISNUMBER(BR240)),BR239+BR240,"")</f>
        <v>2023</v>
      </c>
      <c r="BS256" s="273">
        <f>IF(AND(ISNUMBER(BS239),ISNUMBER(BS240)),BS239+BS240,"")</f>
        <v>4394</v>
      </c>
      <c r="BT256" s="273">
        <f>IF(AND(ISNUMBER(BT239),ISNUMBER(BT240)),BT239+BT240,"")</f>
        <v>5304</v>
      </c>
      <c r="BU256" s="273">
        <f>IF(AND(ISNUMBER(BU239),ISNUMBER(BU240)),BU239+BU240,"")</f>
        <v>4712</v>
      </c>
      <c r="BV256" s="273">
        <f>IF(AND(ISNUMBER(BV239),ISNUMBER(BV240)),BV239+BV240,"")</f>
        <v>16433</v>
      </c>
      <c r="BW256" s="273">
        <f>IF(AND(ISNUMBER(BW239),ISNUMBER(BW240)),BW239+BW240,"")</f>
        <v>2664</v>
      </c>
      <c r="BX256" s="273">
        <f>IF(AND(ISNUMBER(BX239),ISNUMBER(BX240)),BX239+BX240,"")</f>
        <v>3295</v>
      </c>
      <c r="BY256" s="56" t="n"/>
      <c r="BZ256" s="56" t="n"/>
      <c r="CA256" s="273">
        <f>IF(AND(ISNUMBER(CA239),ISNUMBER(CA240)),CA239+CA240,"")</f>
        <v>16244.4234636493</v>
      </c>
      <c r="CB256" s="273">
        <f>IF(AND(ISNUMBER(CB239),ISNUMBER(CB240)),CB239+CB240,"")</f>
        <v>19293.6514592002</v>
      </c>
      <c r="CC256" s="273">
        <f>IF(AND(ISNUMBER(CC239),ISNUMBER(CC240)),CC239+CC240,"")</f>
        <v>21813.1446071543</v>
      </c>
      <c r="CD256" s="273">
        <f>IF(AND(ISNUMBER(CD239),ISNUMBER(CD240)),CD239+CD240,"")</f>
        <v>24479.7829278129</v>
      </c>
      <c r="CE256" s="273">
        <f>IF(AND(ISNUMBER(CE239),ISNUMBER(CE240)),CE239+CE240,"")</f>
        <v>27277.6708970299</v>
      </c>
      <c r="CF256" s="153" t="n"/>
      <c r="CH256" s="20">
        <f>IFERROR((CE256/BV256)^(1/5)-1,"n/m")</f>
        <v>0.106669869841594</v>
      </c>
      <c r="CI256" s="20">
        <f>IFERROR((BV256/AW256)^(1/5)-1,"n/m")</f>
        <v>0.203225856177624</v>
      </c>
      <c r="CJ256" s="20">
        <f>IFERROR((BV256/X256)^(1/10)-1,"n/m")</f>
        <v>0.16075289904827</v>
      </c>
      <c r="CK256" s="20">
        <f>IFERROR((BV256/C256)^(1/19)-1,"n/m")</f>
        <v>0.195129147572369</v>
      </c>
    </row>
    <row r="257" ht="15" customHeight="1" s="251">
      <c r="B257" s="22" t="inlineStr">
        <is>
          <t xml:space="preserve">  FCF y/y %</t>
        </is>
      </c>
      <c r="C257" s="23" t="n"/>
      <c r="D257" s="258">
        <f>IF(AND(ISNUMBER(D256),ISNUMBER(C256)),IFERROR(D256/C256-1,""),"")</f>
        <v>0.103917090911708</v>
      </c>
      <c r="E257" s="258">
        <f>IF(AND(ISNUMBER(E256),ISNUMBER(D256)),IFERROR(E256/D256-1,""),"")</f>
        <v>-0.603945950616117</v>
      </c>
      <c r="F257" s="258">
        <f>IF(AND(ISNUMBER(F256),ISNUMBER(E256)),IFERROR(F256/E256-1,""),"")</f>
        <v>4.0988948570723</v>
      </c>
      <c r="G257" s="258">
        <f>IF(AND(ISNUMBER(G256),ISNUMBER(F256)),IFERROR(G256/F256-1,""),"")</f>
        <v>0.247979903164509</v>
      </c>
      <c r="H257" s="258">
        <f>IF(AND(ISNUMBER(H256),ISNUMBER(G256)),IFERROR(H256/G256-1,""),"")</f>
        <v>0.621604139715395</v>
      </c>
      <c r="I257" s="258">
        <f>IF(AND(ISNUMBER(I256),ISNUMBER(H256)),IFERROR(I256/H256-1,""),"")</f>
        <v>0.088950937375349</v>
      </c>
      <c r="J257" s="23" t="n"/>
      <c r="K257" s="23" t="n"/>
      <c r="L257" s="23" t="n"/>
      <c r="M257" s="23" t="n"/>
      <c r="N257" s="258">
        <f>IF(AND(ISNUMBER(N256),ISNUMBER(I256)),IFERROR(N256/I256-1,""),"")</f>
        <v>0.405128205128205</v>
      </c>
      <c r="O257" s="258">
        <f>IF(AND(ISNUMBER(O256),ISNUMBER(J256)),IFERROR(O256/J256-1,""),"")</f>
        <v>-0.374698795180723</v>
      </c>
      <c r="P257" s="258">
        <f>IF(AND(ISNUMBER(P256),ISNUMBER(K256)),IFERROR(P256/K256-1,""),"")</f>
        <v>-0.0073421439060205</v>
      </c>
      <c r="Q257" s="258">
        <f>IF(AND(ISNUMBER(Q256),ISNUMBER(L256)),IFERROR(Q256/L256-1,""),"")</f>
        <v>0.0338050314465408</v>
      </c>
      <c r="R257" s="258">
        <f>IF(AND(ISNUMBER(R256),ISNUMBER(M256)),IFERROR(R256/M256-1,""),"")</f>
        <v>-0.465337132003799</v>
      </c>
      <c r="S257" s="258">
        <f>IF(AND(ISNUMBER(S256),ISNUMBER(N256)),IFERROR(S256/N256-1,""),"")</f>
        <v>-0.198905109489051</v>
      </c>
      <c r="T257" s="258">
        <f>IF(AND(ISNUMBER(T256),ISNUMBER(O256)),IFERROR(T256/O256-1,""),"")</f>
        <v>0.645472061657033</v>
      </c>
      <c r="U257" s="258">
        <f>IF(AND(ISNUMBER(U256),ISNUMBER(P256)),IFERROR(U256/P256-1,""),"")</f>
        <v>0.0872781065088757</v>
      </c>
      <c r="V257" s="258">
        <f>IF(AND(ISNUMBER(V256),ISNUMBER(Q256)),IFERROR(V256/Q256-1,""),"")</f>
        <v>-0.113307984790875</v>
      </c>
      <c r="W257" s="258">
        <f>IF(AND(ISNUMBER(W256),ISNUMBER(R256)),IFERROR(W256/R256-1,""),"")</f>
        <v>0.680284191829485</v>
      </c>
      <c r="X257" s="258">
        <f>IF(AND(ISNUMBER(X256),ISNUMBER(S256)),IFERROR(X256/S256-1,""),"")</f>
        <v>0.204360559713635</v>
      </c>
      <c r="Y257" s="258">
        <f>IF(AND(ISNUMBER(Y256),ISNUMBER(T256)),IFERROR(Y256/T256-1,""),"")</f>
        <v>0.0925058548009368</v>
      </c>
      <c r="Z257" s="258">
        <f>IF(AND(ISNUMBER(Z256),ISNUMBER(U256)),IFERROR(Z256/U256-1,""),"")</f>
        <v>0.296598639455782</v>
      </c>
      <c r="AA257" s="258">
        <f>IF(AND(ISNUMBER(AA256),ISNUMBER(V256)),IFERROR(AA256/V256-1,""),"")</f>
        <v>0.137221269296741</v>
      </c>
      <c r="AB257" s="258">
        <f>IF(AND(ISNUMBER(AB256),ISNUMBER(W256)),IFERROR(AB256/W256-1,""),"")</f>
        <v>-0.0591966173361522</v>
      </c>
      <c r="AC257" s="258">
        <f>IF(AND(ISNUMBER(AC256),ISNUMBER(X256)),IFERROR(AC256/X256-1,""),"")</f>
        <v>0.108349094839233</v>
      </c>
      <c r="AD257" s="258">
        <f>IF(AND(ISNUMBER(AD256),ISNUMBER(Y256)),IFERROR(AD256/Y256-1,""),"")</f>
        <v>-0.302250803858521</v>
      </c>
      <c r="AE257" s="258">
        <f>IF(AND(ISNUMBER(AE256),ISNUMBER(Z256)),IFERROR(AE256/Z256-1,""),"")</f>
        <v>0.280167890870934</v>
      </c>
      <c r="AF257" s="258">
        <f>IF(AND(ISNUMBER(AF256),ISNUMBER(AA256)),IFERROR(AF256/AA256-1,""),"")</f>
        <v>0.223227752639517</v>
      </c>
      <c r="AG257" s="258">
        <f>IF(AND(ISNUMBER(AG256),ISNUMBER(AB256)),IFERROR(AG256/AB256-1,""),"")</f>
        <v>0.841573033707865</v>
      </c>
      <c r="AH257" s="258">
        <f>IF(AND(ISNUMBER(AH256),ISNUMBER(AC256)),IFERROR(AH256/AC256-1,""),"")</f>
        <v>0.251097025841053</v>
      </c>
      <c r="AI257" s="258">
        <f>IF(AND(ISNUMBER(AI256),ISNUMBER(AD256)),IFERROR(AI256/AD256-1,""),"")</f>
        <v>0.3963133640553</v>
      </c>
      <c r="AJ257" s="258">
        <f>IF(AND(ISNUMBER(AJ256),ISNUMBER(AE256)),IFERROR(AJ256/AE256-1,""),"")</f>
        <v>0.118032786885246</v>
      </c>
      <c r="AK257" s="258">
        <f>IF(AND(ISNUMBER(AK256),ISNUMBER(AF256)),IFERROR(AK256/AF256-1,""),"")</f>
        <v>0.379161528976572</v>
      </c>
      <c r="AL257" s="258">
        <f>IF(AND(ISNUMBER(AL256),ISNUMBER(AG256)),IFERROR(AL256/AG256-1,""),"")</f>
        <v>-0.26235509456986</v>
      </c>
      <c r="AM257" s="258">
        <f>IF(AND(ISNUMBER(AM256),ISNUMBER(AH256)),IFERROR(AM256/AH256-1,""),"")</f>
        <v>0.114380358534684</v>
      </c>
      <c r="AN257" s="258">
        <f>IF(AND(ISNUMBER(AN256),ISNUMBER(AI256)),IFERROR(AN256/AI256-1,""),"")</f>
        <v>0.287128712871287</v>
      </c>
      <c r="AO257" s="258">
        <f>IF(AND(ISNUMBER(AO256),ISNUMBER(AJ256)),IFERROR(AO256/AJ256-1,""),"")</f>
        <v>-0.00733137829912023</v>
      </c>
      <c r="AP257" s="258">
        <f>IF(AND(ISNUMBER(AP256),ISNUMBER(AK256)),IFERROR(AP256/AK256-1,""),"")</f>
        <v>-0.0451497541350022</v>
      </c>
      <c r="AQ257" s="258">
        <f>IF(AND(ISNUMBER(AQ256),ISNUMBER(AL256)),IFERROR(AQ256/AL256-1,""),"")</f>
        <v>1.31182795698925</v>
      </c>
      <c r="AR257" s="258">
        <f>IF(AND(ISNUMBER(AR256),ISNUMBER(AM256)),IFERROR(AR256/AM256-1,""),"")</f>
        <v>0.303549571603427</v>
      </c>
      <c r="AS257" s="258">
        <f>IF(AND(ISNUMBER(AS256),ISNUMBER(AN256)),IFERROR(AS256/AN256-1,""),"")</f>
        <v>0.41025641025641</v>
      </c>
      <c r="AT257" s="258">
        <f>IF(AND(ISNUMBER(AT256),ISNUMBER(AO256)),IFERROR(AT256/AO256-1,""),"")</f>
        <v>-0.0583456425406204</v>
      </c>
      <c r="AU257" s="258">
        <f>IF(AND(ISNUMBER(AU256),ISNUMBER(AP256)),IFERROR(AU256/AP256-1,""),"")</f>
        <v>-0.302902621722846</v>
      </c>
      <c r="AV257" s="258">
        <f>IF(AND(ISNUMBER(AV256),ISNUMBER(AQ256)),IFERROR(AV256/AQ256-1,""),"")</f>
        <v>-0.247942754919499</v>
      </c>
      <c r="AW257" s="258">
        <f>IF(AND(ISNUMBER(AW256),ISNUMBER(AR256)),IFERROR(AW256/AR256-1,""),"")</f>
        <v>-0.125955734406439</v>
      </c>
      <c r="AX257" s="258">
        <f>IF(AND(ISNUMBER(AX256),ISNUMBER(AS256)),IFERROR(AX256/AS256-1,""),"")</f>
        <v>-0.200606060606061</v>
      </c>
      <c r="AY257" s="258">
        <f>IF(AND(ISNUMBER(AY256),ISNUMBER(AT256)),IFERROR(AY256/AT256-1,""),"")</f>
        <v>0.627450980392157</v>
      </c>
      <c r="AZ257" s="258">
        <f>IF(AND(ISNUMBER(AZ256),ISNUMBER(AU256)),IFERROR(AZ256/AU256-1,""),"")</f>
        <v>0.540631296171928</v>
      </c>
      <c r="BA257" s="258">
        <f>IF(AND(ISNUMBER(BA256),ISNUMBER(AV256)),IFERROR(BA256/AV256-1,""),"")</f>
        <v>0.408658420551855</v>
      </c>
      <c r="BB257" s="258">
        <f>IF(AND(ISNUMBER(BB256),ISNUMBER(AW256)),IFERROR(BB256/AW256-1,""),"")</f>
        <v>0.327348066298343</v>
      </c>
      <c r="BC257" s="258">
        <f>IF(AND(ISNUMBER(BC256),ISNUMBER(AX256)),IFERROR(BC256/AX256-1,""),"")</f>
        <v>0.128127369219105</v>
      </c>
      <c r="BD257" s="258">
        <f>IF(AND(ISNUMBER(BD256),ISNUMBER(AY256)),IFERROR(BD256/AY256-1,""),"")</f>
        <v>0.0939759036144579</v>
      </c>
      <c r="BE257" s="258">
        <f>IF(AND(ISNUMBER(BE256),ISNUMBER(AZ256)),IFERROR(BE256/AZ256-1,""),"")</f>
        <v>0.560156931124673</v>
      </c>
      <c r="BF257" s="258">
        <f>IF(AND(ISNUMBER(BF256),ISNUMBER(BA256)),IFERROR(BF256/BA256-1,""),"")</f>
        <v>-0.0675447483958123</v>
      </c>
      <c r="BG257" s="258">
        <f>IF(AND(ISNUMBER(BG256),ISNUMBER(BB256)),IFERROR(BG256/BB256-1,""),"")</f>
        <v>0.167533818938606</v>
      </c>
      <c r="BH257" s="258">
        <f>IF(AND(ISNUMBER(BH256),ISNUMBER(BC256)),IFERROR(BH256/BC256-1,""),"")</f>
        <v>0.0530913978494623</v>
      </c>
      <c r="BI257" s="258">
        <f>IF(AND(ISNUMBER(BI256),ISNUMBER(BD256)),IFERROR(BI256/BD256-1,""),"")</f>
        <v>0.0859030837004404</v>
      </c>
      <c r="BJ257" s="258">
        <f>IF(AND(ISNUMBER(BJ256),ISNUMBER(BE256)),IFERROR(BJ256/BE256-1,""),"")</f>
        <v>-0.162056440346466</v>
      </c>
      <c r="BK257" s="258">
        <f>IF(AND(ISNUMBER(BK256),ISNUMBER(BF256)),IFERROR(BK256/BF256-1,""),"")</f>
        <v>0.398406374501992</v>
      </c>
      <c r="BL257" s="258">
        <f>IF(AND(ISNUMBER(BL256),ISNUMBER(BG256)),IFERROR(BL256/BG256-1,""),"")</f>
        <v>0.078629431570608</v>
      </c>
      <c r="BM257" s="258">
        <f>IF(AND(ISNUMBER(BM256),ISNUMBER(BH256)),IFERROR(BM256/BH256-1,""),"")</f>
        <v>-0.174218251435865</v>
      </c>
      <c r="BN257" s="258">
        <f>IF(AND(ISNUMBER(BN256),ISNUMBER(BI256)),IFERROR(BN256/BI256-1,""),"")</f>
        <v>0.152941176470588</v>
      </c>
      <c r="BO257" s="258">
        <f>IF(AND(ISNUMBER(BO256),ISNUMBER(BJ256)),IFERROR(BO256/BJ256-1,""),"")</f>
        <v>0.622540846948983</v>
      </c>
      <c r="BP257" s="258">
        <f>IF(AND(ISNUMBER(BP256),ISNUMBER(BK256)),IFERROR(BP256/BK256-1,""),"")</f>
        <v>0.187257187257187</v>
      </c>
      <c r="BQ257" s="258">
        <f>IF(AND(ISNUMBER(BQ256),ISNUMBER(BL256)),IFERROR(BQ256/BL256-1,""),"")</f>
        <v>0.247337495409475</v>
      </c>
      <c r="BR257" s="258">
        <f>IF(AND(ISNUMBER(BR256),ISNUMBER(BM256)),IFERROR(BR256/BM256-1,""),"")</f>
        <v>0.563369397217929</v>
      </c>
      <c r="BS257" s="258">
        <f>IF(AND(ISNUMBER(BS256),ISNUMBER(BN256)),IFERROR(BS256/BN256-1,""),"")</f>
        <v>0.546094299788881</v>
      </c>
      <c r="BT257" s="258">
        <f>IF(AND(ISNUMBER(BT256),ISNUMBER(BO256)),IFERROR(BT256/BO256-1,""),"")</f>
        <v>0.0900123304562268</v>
      </c>
      <c r="BU257" s="258">
        <f>IF(AND(ISNUMBER(BU256),ISNUMBER(BP256)),IFERROR(BU256/BP256-1,""),"")</f>
        <v>0.0279232111692844</v>
      </c>
      <c r="BV257" s="258">
        <f>IF(AND(ISNUMBER(BV256),ISNUMBER(BQ256)),IFERROR(BV256/BQ256-1,""),"")</f>
        <v>0.209553952598263</v>
      </c>
      <c r="BW257" s="258">
        <f>IF(AND(ISNUMBER(BW256),ISNUMBER(BR256)),IFERROR(BW256/BR256-1,""),"")</f>
        <v>0.316856154226396</v>
      </c>
      <c r="BX257" s="258">
        <f>IF(AND(ISNUMBER(BX256),ISNUMBER(BS256)),IFERROR(BX256/BS256-1,""),"")</f>
        <v>-0.25011379153391</v>
      </c>
      <c r="BY257" s="24" t="n"/>
      <c r="BZ257" s="24" t="n"/>
      <c r="CA257" s="256">
        <f>IF(AND(ISNUMBER(CA256),ISNUMBER(BV256)),IFERROR(CA256/BV256-1,""),"")</f>
        <v>-0.0114754783880442</v>
      </c>
      <c r="CB257" s="256">
        <f>IF(AND(ISNUMBER(CB256),ISNUMBER(CA256)),IFERROR(CB256/CA256-1,""),"")</f>
        <v>0.187709216173431</v>
      </c>
      <c r="CC257" s="256">
        <f>IF(AND(ISNUMBER(CC256),ISNUMBER(CB256)),IFERROR(CC256/CB256-1,""),"")</f>
        <v>0.130586641584254</v>
      </c>
      <c r="CD257" s="256">
        <f>IF(AND(ISNUMBER(CD256),ISNUMBER(CC256)),IFERROR(CD256/CC256-1,""),"")</f>
        <v>0.122249146956283</v>
      </c>
      <c r="CE257" s="256">
        <f>IF(AND(ISNUMBER(CE256),ISNUMBER(CD256)),IFERROR(CE256/CD256-1,""),"")</f>
        <v>0.114293822680842</v>
      </c>
      <c r="CF257" s="153" t="n"/>
    </row>
    <row r="258" ht="15" customHeight="1" s="251">
      <c r="B258" s="25" t="inlineStr">
        <is>
          <t xml:space="preserve">  FCF % of net revenue</t>
        </is>
      </c>
      <c r="C258" s="215">
        <f>IF(AND(ISNUMBER(C256),ISNUMBER(C123)),IFERROR(C256/C123,""),"")</f>
        <v>0.167071748854656</v>
      </c>
      <c r="D258" s="215">
        <f>IF(AND(ISNUMBER(D256),ISNUMBER(D123)),IFERROR(D256/D123,""),"")</f>
        <v>0.150811080443279</v>
      </c>
      <c r="E258" s="215">
        <f>IF(AND(ISNUMBER(E256),ISNUMBER(E123)),IFERROR(E256/E123,""),"")</f>
        <v>0.0486727702540268</v>
      </c>
      <c r="F258" s="215">
        <f>IF(AND(ISNUMBER(F256),ISNUMBER(F123)),IFERROR(F256/F123,""),"")</f>
        <v>0.24296504745146</v>
      </c>
      <c r="G258" s="215">
        <f>IF(AND(ISNUMBER(G256),ISNUMBER(G123)),IFERROR(G256/G123,""),"")</f>
        <v>0.279111753024012</v>
      </c>
      <c r="H258" s="215">
        <f>IF(AND(ISNUMBER(H256),ISNUMBER(H123)),IFERROR(H256/H123,""),"")</f>
        <v>0.373398868036938</v>
      </c>
      <c r="I258" s="215">
        <f>IF(AND(ISNUMBER(I256),ISNUMBER(I123)),IFERROR(I256/I123,""),"")</f>
        <v>0.369368150453254</v>
      </c>
      <c r="J258" s="215">
        <f>IF(AND(ISNUMBER(J256),ISNUMBER(J123)),IFERROR(J256/J123,""),"")</f>
        <v>0.435466946484785</v>
      </c>
      <c r="K258" s="215">
        <f>IF(AND(ISNUMBER(K256),ISNUMBER(K123)),IFERROR(K256/K123,""),"")</f>
        <v>0.324904580152672</v>
      </c>
      <c r="L258" s="215">
        <f>IF(AND(ISNUMBER(L256),ISNUMBER(L123)),IFERROR(L256/L123,""),"")</f>
        <v>0.573489630297565</v>
      </c>
      <c r="M258" s="215">
        <f>IF(AND(ISNUMBER(M256),ISNUMBER(M123)),IFERROR(M256/M123,""),"")</f>
        <v>0.495296331138288</v>
      </c>
      <c r="N258" s="215">
        <f>IF(AND(ISNUMBER(N256),ISNUMBER(N123)),IFERROR(N256/N123,""),"")</f>
        <v>0.459621375509226</v>
      </c>
      <c r="O258" s="215">
        <f>IF(AND(ISNUMBER(O256),ISNUMBER(O123)),IFERROR(O256/O123,""),"")</f>
        <v>0.238401469912724</v>
      </c>
      <c r="P258" s="215">
        <f>IF(AND(ISNUMBER(P256),ISNUMBER(P123)),IFERROR(P256/P123,""),"")</f>
        <v>0.284392090870846</v>
      </c>
      <c r="Q258" s="215">
        <f>IF(AND(ISNUMBER(Q256),ISNUMBER(Q123)),IFERROR(Q256/Q123,""),"")</f>
        <v>0.525369556532161</v>
      </c>
      <c r="R258" s="215">
        <f>IF(AND(ISNUMBER(R256),ISNUMBER(R123)),IFERROR(R256/R123,""),"")</f>
        <v>0.233029801324503</v>
      </c>
      <c r="S258" s="215">
        <f>IF(AND(ISNUMBER(S256),ISNUMBER(S123)),IFERROR(S256/S123,""),"")</f>
        <v>0.324395650797002</v>
      </c>
      <c r="T258" s="215">
        <f>IF(AND(ISNUMBER(T256),ISNUMBER(T123)),IFERROR(T256/T123,""),"")</f>
        <v>0.382959641255605</v>
      </c>
      <c r="U258" s="215">
        <f>IF(AND(ISNUMBER(U256),ISNUMBER(U123)),IFERROR(U256/U123,""),"")</f>
        <v>0.307531380753138</v>
      </c>
      <c r="V258" s="215">
        <f>IF(AND(ISNUMBER(V256),ISNUMBER(V123)),IFERROR(V256/V123,""),"")</f>
        <v>0.460869565217391</v>
      </c>
      <c r="W258" s="215">
        <f>IF(AND(ISNUMBER(W256),ISNUMBER(W123)),IFERROR(W256/W123,""),"")</f>
        <v>0.375844259038538</v>
      </c>
      <c r="X258" s="215">
        <f>IF(AND(ISNUMBER(X256),ISNUMBER(X123)),IFERROR(X256/X123,""),"")</f>
        <v>0.382848867280439</v>
      </c>
      <c r="Y258" s="215">
        <f>IF(AND(ISNUMBER(Y256),ISNUMBER(Y123)),IFERROR(Y256/Y123,""),"")</f>
        <v>0.381439084219133</v>
      </c>
      <c r="Z258" s="215">
        <f>IF(AND(ISNUMBER(Z256),ISNUMBER(Z123)),IFERROR(Z256/Z123,""),"")</f>
        <v>0.353749072011878</v>
      </c>
      <c r="AA258" s="215">
        <f>IF(AND(ISNUMBER(AA256),ISNUMBER(AA123)),IFERROR(AA256/AA123,""),"")</f>
        <v>0.460416666666667</v>
      </c>
      <c r="AB258" s="215">
        <f>IF(AND(ISNUMBER(AB256),ISNUMBER(AB123)),IFERROR(AB256/AB123,""),"")</f>
        <v>0.322931785195936</v>
      </c>
      <c r="AC258" s="215">
        <f>IF(AND(ISNUMBER(AC256),ISNUMBER(AC123)),IFERROR(AC256/AC123,""),"")</f>
        <v>0.380660727542687</v>
      </c>
      <c r="AD258" s="215">
        <f>IF(AND(ISNUMBER(AD256),ISNUMBER(AD123)),IFERROR(AD256/AD123,""),"")</f>
        <v>0.23811265544989</v>
      </c>
      <c r="AE258" s="215">
        <f>IF(AND(ISNUMBER(AE256),ISNUMBER(AE123)),IFERROR(AE256/AE123,""),"")</f>
        <v>0.399606943989519</v>
      </c>
      <c r="AF258" s="215">
        <f>IF(AND(ISNUMBER(AF256),ISNUMBER(AF123)),IFERROR(AF256/AF123,""),"")</f>
        <v>0.477339611536198</v>
      </c>
      <c r="AG258" s="215">
        <f>IF(AND(ISNUMBER(AG256),ISNUMBER(AG123)),IFERROR(AG256/AG123,""),"")</f>
        <v>0.494867149758454</v>
      </c>
      <c r="AH258" s="215">
        <f>IF(AND(ISNUMBER(AH256),ISNUMBER(AH123)),IFERROR(AH256/AH123,""),"")</f>
        <v>0.410658558053933</v>
      </c>
      <c r="AI258" s="215">
        <f>IF(AND(ISNUMBER(AI256),ISNUMBER(AI123)),IFERROR(AI256/AI123,""),"")</f>
        <v>0.25391061452514</v>
      </c>
      <c r="AJ258" s="215">
        <f>IF(AND(ISNUMBER(AJ256),ISNUMBER(AJ123)),IFERROR(AJ256/AJ123,""),"")</f>
        <v>0.372169167803547</v>
      </c>
      <c r="AK258" s="215">
        <f>IF(AND(ISNUMBER(AK256),ISNUMBER(AK123)),IFERROR(AK256/AK123,""),"")</f>
        <v>0.573884043099025</v>
      </c>
      <c r="AL258" s="215">
        <f>IF(AND(ISNUMBER(AL256),ISNUMBER(AL123)),IFERROR(AL256/AL123,""),"")</f>
        <v>0.317572892040977</v>
      </c>
      <c r="AM258" s="215">
        <f>IF(AND(ISNUMBER(AM256),ISNUMBER(AM123)),IFERROR(AM256/AM123,""),"")</f>
        <v>0.382541806020067</v>
      </c>
      <c r="AN258" s="215">
        <f>IF(AND(ISNUMBER(AN256),ISNUMBER(AN123)),IFERROR(AN256/AN123,""),"")</f>
        <v>0.300848547184366</v>
      </c>
      <c r="AO258" s="215">
        <f>IF(AND(ISNUMBER(AO256),ISNUMBER(AO123)),IFERROR(AO256/AO123,""),"")</f>
        <v>0.329200097252614</v>
      </c>
      <c r="AP258" s="215">
        <f>IF(AND(ISNUMBER(AP256),ISNUMBER(AP123)),IFERROR(AP256/AP123,""),"")</f>
        <v>0.478173270651444</v>
      </c>
      <c r="AQ258" s="215">
        <f>IF(AND(ISNUMBER(AQ256),ISNUMBER(AQ123)),IFERROR(AQ256/AQ123,""),"")</f>
        <v>0.633212505663797</v>
      </c>
      <c r="AR258" s="215">
        <f>IF(AND(ISNUMBER(AR256),ISNUMBER(AR123)),IFERROR(AR256/AR123,""),"")</f>
        <v>0.441568441627673</v>
      </c>
      <c r="AS258" s="215">
        <f>IF(AND(ISNUMBER(AS256),ISNUMBER(AS123)),IFERROR(AS256/AS123,""),"")</f>
        <v>0.411573958593165</v>
      </c>
      <c r="AT258" s="215">
        <f>IF(AND(ISNUMBER(AT256),ISNUMBER(AT123)),IFERROR(AT256/AT123,""),"")</f>
        <v>0.382308845577211</v>
      </c>
      <c r="AU258" s="215">
        <f>IF(AND(ISNUMBER(AU256),ISNUMBER(AU123)),IFERROR(AU256/AU123,""),"")</f>
        <v>0.388063591347407</v>
      </c>
      <c r="AV258" s="215">
        <f>IF(AND(ISNUMBER(AV256),ISNUMBER(AV123)),IFERROR(AV256/AV123,""),"")</f>
        <v>0.510194174757282</v>
      </c>
      <c r="AW258" s="215">
        <f>IF(AND(ISNUMBER(AW256),ISNUMBER(AW123)),IFERROR(AW256/AW123,""),"")</f>
        <v>0.425854519312463</v>
      </c>
      <c r="AX258" s="215">
        <f>IF(AND(ISNUMBER(AX256),ISNUMBER(AX123)),IFERROR(AX256/AX123,""),"")</f>
        <v>0.317448856799037</v>
      </c>
      <c r="AY258" s="215">
        <f>IF(AND(ISNUMBER(AY256),ISNUMBER(AY123)),IFERROR(AY256/AY123,""),"")</f>
        <v>0.458259717314488</v>
      </c>
      <c r="AZ258" s="215">
        <f>IF(AND(ISNUMBER(AZ256),ISNUMBER(AZ123)),IFERROR(AZ256/AZ123,""),"")</f>
        <v>0.460180541624875</v>
      </c>
      <c r="BA258" s="215">
        <f>IF(AND(ISNUMBER(BA256),ISNUMBER(BA123)),IFERROR(BA256/BA123,""),"")</f>
        <v>0.567676380368098</v>
      </c>
      <c r="BB258" s="215">
        <f>IF(AND(ISNUMBER(BB256),ISNUMBER(BB123)),IFERROR(BB256/BB123,""),"")</f>
        <v>0.458006778224952</v>
      </c>
      <c r="BC258" s="215">
        <f>IF(AND(ISNUMBER(BC256),ISNUMBER(BC123)),IFERROR(BC256/BC123,""),"")</f>
        <v>0.287981420553513</v>
      </c>
      <c r="BD258" s="215">
        <f>IF(AND(ISNUMBER(BD256),ISNUMBER(BD123)),IFERROR(BD256/BD123,""),"")</f>
        <v>0.412952519556122</v>
      </c>
      <c r="BE258" s="215">
        <f>IF(AND(ISNUMBER(BE256),ISNUMBER(BE123)),IFERROR(BE256/BE123,""),"")</f>
        <v>0.62178596247394</v>
      </c>
      <c r="BF258" s="215">
        <f>IF(AND(ISNUMBER(BF256),ISNUMBER(BF123)),IFERROR(BF256/BF123,""),"")</f>
        <v>0.474643286917655</v>
      </c>
      <c r="BG258" s="215">
        <f>IF(AND(ISNUMBER(BG256),ISNUMBER(BG123)),IFERROR(BG256/BG123,""),"")</f>
        <v>0.454108018167918</v>
      </c>
      <c r="BH258" s="215">
        <f>IF(AND(ISNUMBER(BH256),ISNUMBER(BH123)),IFERROR(BH256/BH123,""),"")</f>
        <v>0.272616562282533</v>
      </c>
      <c r="BI258" s="215">
        <f>IF(AND(ISNUMBER(BI256),ISNUMBER(BI123)),IFERROR(BI256/BI123,""),"")</f>
        <v>0.393204657840166</v>
      </c>
      <c r="BJ258" s="215">
        <f>IF(AND(ISNUMBER(BJ256),ISNUMBER(BJ123)),IFERROR(BJ256/BJ123,""),"")</f>
        <v>0.459054033369049</v>
      </c>
      <c r="BK258" s="215">
        <f>IF(AND(ISNUMBER(BK256),ISNUMBER(BK123)),IFERROR(BK256/BK123,""),"")</f>
        <v>0.589645693341478</v>
      </c>
      <c r="BL258" s="215">
        <f>IF(AND(ISNUMBER(BL256),ISNUMBER(BL123)),IFERROR(BL256/BL123,""),"")</f>
        <v>0.43397880309188</v>
      </c>
      <c r="BM258" s="215">
        <f>IF(AND(ISNUMBER(BM256),ISNUMBER(BM123)),IFERROR(BM256/BM123,""),"")</f>
        <v>0.203843730308759</v>
      </c>
      <c r="BN258" s="215">
        <f>IF(AND(ISNUMBER(BN256),ISNUMBER(BN123)),IFERROR(BN256/BN123,""),"")</f>
        <v>0.408274673179141</v>
      </c>
      <c r="BO258" s="215">
        <f>IF(AND(ISNUMBER(BO256),ISNUMBER(BO123)),IFERROR(BO256/BO123,""),"")</f>
        <v>0.660333830913285</v>
      </c>
      <c r="BP258" s="215">
        <f>IF(AND(ISNUMBER(BP256),ISNUMBER(BP123)),IFERROR(BP256/BP123,""),"")</f>
        <v>0.612097743356924</v>
      </c>
      <c r="BQ258" s="215">
        <f>IF(AND(ISNUMBER(BQ256),ISNUMBER(BQ123)),IFERROR(BQ256/BQ123,""),"")</f>
        <v>0.48233748713033</v>
      </c>
      <c r="BR258" s="215">
        <f>IF(AND(ISNUMBER(BR256),ISNUMBER(BR123)),IFERROR(BR256/BR123,""),"")</f>
        <v>0.279034482758621</v>
      </c>
      <c r="BS258" s="215">
        <f>IF(AND(ISNUMBER(BS256),ISNUMBER(BS123)),IFERROR(BS256/BS123,""),"")</f>
        <v>0.540268043772286</v>
      </c>
      <c r="BT258" s="215">
        <f>IF(AND(ISNUMBER(BT256),ISNUMBER(BT123)),IFERROR(BT256/BT123,""),"")</f>
        <v>0.616600790513834</v>
      </c>
      <c r="BU258" s="215">
        <f>IF(AND(ISNUMBER(BU256),ISNUMBER(BU123)),IFERROR(BU256/BU123,""),"")</f>
        <v>0.5350897115603</v>
      </c>
      <c r="BV258" s="215">
        <f>IF(AND(ISNUMBER(BV256),ISNUMBER(BV123)),IFERROR(BV256/BV123,""),"")</f>
        <v>0.501143606477387</v>
      </c>
      <c r="BW258" s="215">
        <f>IF(AND(ISNUMBER(BW256),ISNUMBER(BW123)),IFERROR(BW256/BW123,""),"")</f>
        <v>0.31721838532984</v>
      </c>
      <c r="BX258" s="215">
        <f>IF(AND(ISNUMBER(BX256),ISNUMBER(BX123)),IFERROR(BX256/BX123,""),"")</f>
        <v>0.355179476123747</v>
      </c>
      <c r="BY258" s="24" t="n"/>
      <c r="BZ258" s="24" t="n"/>
      <c r="CA258" s="256">
        <f>IF(AND(ISNUMBER(CA256),ISNUMBER(CA123)),IFERROR(CA256/CA123,""),"")</f>
        <v>0.436469377843127</v>
      </c>
      <c r="CB258" s="256">
        <f>IF(AND(ISNUMBER(CB256),ISNUMBER(CB123)),IFERROR(CB256/CB123,""),"")</f>
        <v>0.461294569070098</v>
      </c>
      <c r="CC258" s="256">
        <f>IF(AND(ISNUMBER(CC256),ISNUMBER(CC123)),IFERROR(CC256/CC123,""),"")</f>
        <v>0.466249788702825</v>
      </c>
      <c r="CD258" s="256">
        <f>IF(AND(ISNUMBER(CD256),ISNUMBER(CD123)),IFERROR(CD256/CD123,""),"")</f>
        <v>0.470868286821938</v>
      </c>
      <c r="CE258" s="256">
        <f>IF(AND(ISNUMBER(CE256),ISNUMBER(CE123)),IFERROR(CE256/CE123,""),"")</f>
        <v>0.475229197250334</v>
      </c>
      <c r="CF258" s="153" t="n"/>
      <c r="CH258" s="37">
        <f>IFERROR(AVERAGE(CA258,CB258,CC258,CD258,CE258),"n/m")</f>
        <v>0.462022243937664</v>
      </c>
      <c r="CI258" s="37">
        <f>IFERROR(AVERAGE(BB258,BG258,BL258,BQ258,BV258),"n/m")</f>
        <v>0.465914938618494</v>
      </c>
      <c r="CJ258" s="37">
        <f>IFERROR(AVERAGE(AC258,AH258,AM258,AR258,AW258,BB258,BG258,BL258,BQ258,BV258),"n/m")</f>
        <v>0.437085874564929</v>
      </c>
      <c r="CK258" s="37">
        <f>IFERROR(AVERAGE(C258,D258,E258,F258,G258,H258,I258,N258,S258,X258,AC258,AH258,AM258,AR258,AW258,BB258,BG258,BL258,BQ258,BV258),"n/m")</f>
        <v>0.358456202887679</v>
      </c>
    </row>
    <row r="259" ht="15" customHeight="1" s="251">
      <c r="B259" s="25" t="inlineStr">
        <is>
          <t xml:space="preserve">  FCF / adjusted net income conversion %</t>
        </is>
      </c>
      <c r="C259" s="215">
        <f>IF(AND(ISNUMBER(C256),ISNUMBER(C198)),IFERROR(C256/C198,""),"")</f>
        <v>1.21595842450766</v>
      </c>
      <c r="D259" s="215">
        <f>IF(AND(ISNUMBER(D256),ISNUMBER(D198)),IFERROR(D256/D198,""),"")</f>
        <v>0.596150631681244</v>
      </c>
      <c r="E259" s="215">
        <f>IF(AND(ISNUMBER(E256),ISNUMBER(E198)),IFERROR(E256/E198,""),"")</f>
        <v>0.196089588377724</v>
      </c>
      <c r="F259" s="215">
        <f>IF(AND(ISNUMBER(F256),ISNUMBER(F198)),IFERROR(F256/F198,""),"")</f>
        <v>0.844445807770961</v>
      </c>
      <c r="G259" s="215">
        <f>IF(AND(ISNUMBER(G256),ISNUMBER(G198)),IFERROR(G256/G198,""),"")</f>
        <v>0.837486457204767</v>
      </c>
      <c r="H259" s="215">
        <f>IF(AND(ISNUMBER(H256),ISNUMBER(H198)),IFERROR(H256/H198,""),"")</f>
        <v>1.04414827155352</v>
      </c>
      <c r="I259" s="215">
        <f>IF(AND(ISNUMBER(I256),ISNUMBER(I198)),IFERROR(I256/I198,""),"")</f>
        <v>0.984848484848485</v>
      </c>
      <c r="J259" s="215">
        <f>IF(AND(ISNUMBER(J256),ISNUMBER(J198)),IFERROR(J256/J198,""),"")</f>
        <v>1.08355091383812</v>
      </c>
      <c r="K259" s="215">
        <f>IF(AND(ISNUMBER(K256),ISNUMBER(K198)),IFERROR(K256/K198,""),"")</f>
        <v>0.803066037735849</v>
      </c>
      <c r="L259" s="215">
        <f>IF(AND(ISNUMBER(L256),ISNUMBER(L198)),IFERROR(L256/L198,""),"")</f>
        <v>1.44709897610922</v>
      </c>
      <c r="M259" s="215">
        <f>IF(AND(ISNUMBER(M256),ISNUMBER(M198)),IFERROR(M256/M198,""),"")</f>
        <v>1.53947368421053</v>
      </c>
      <c r="N259" s="215">
        <f>IF(AND(ISNUMBER(N256),ISNUMBER(N198)),IFERROR(N256/N198,""),"")</f>
        <v>1.20742839156437</v>
      </c>
      <c r="O259" s="215">
        <f>IF(AND(ISNUMBER(O256),ISNUMBER(O198)),IFERROR(O256/O198,""),"")</f>
        <v>0.596551724137931</v>
      </c>
      <c r="P259" s="215">
        <f>IF(AND(ISNUMBER(P256),ISNUMBER(P198)),IFERROR(P256/P198,""),"")</f>
        <v>0.726100966702471</v>
      </c>
      <c r="Q259" s="215">
        <f>IF(AND(ISNUMBER(Q256),ISNUMBER(Q198)),IFERROR(Q256/Q198,""),"")</f>
        <v>1.29556650246305</v>
      </c>
      <c r="R259" s="215">
        <f>IF(AND(ISNUMBER(R256),ISNUMBER(R198)),IFERROR(R256/R198,""),"")</f>
        <v>0.702871410736579</v>
      </c>
      <c r="S259" s="215">
        <f>IF(AND(ISNUMBER(S256),ISNUMBER(S198)),IFERROR(S256/S198,""),"")</f>
        <v>0.849599115288913</v>
      </c>
      <c r="T259" s="215">
        <f>IF(AND(ISNUMBER(T256),ISNUMBER(T198)),IFERROR(T256/T198,""),"")</f>
        <v>0.837254901960784</v>
      </c>
      <c r="U259" s="215">
        <f>IF(AND(ISNUMBER(U256),ISNUMBER(U198)),IFERROR(U256/U198,""),"")</f>
        <v>0.761658031088083</v>
      </c>
      <c r="V259" s="215">
        <f>IF(AND(ISNUMBER(V256),ISNUMBER(V198)),IFERROR(V256/V198,""),"")</f>
        <v>1.13534566699124</v>
      </c>
      <c r="W259" s="215">
        <f>IF(AND(ISNUMBER(W256),ISNUMBER(W198)),IFERROR(W256/W198,""),"")</f>
        <v>1.06292134831461</v>
      </c>
      <c r="X259" s="215">
        <f>IF(AND(ISNUMBER(X256),ISNUMBER(X198)),IFERROR(X256/X198,""),"")</f>
        <v>0.948244939789905</v>
      </c>
      <c r="Y259" s="215">
        <f>IF(AND(ISNUMBER(Y256),ISNUMBER(Y198)),IFERROR(Y256/Y198,""),"")</f>
        <v>0.97288842544317</v>
      </c>
      <c r="Z259" s="215">
        <f>IF(AND(ISNUMBER(Z256),ISNUMBER(Z198)),IFERROR(Z256/Z198,""),"")</f>
        <v>0.898209236569274</v>
      </c>
      <c r="AA259" s="215">
        <f>IF(AND(ISNUMBER(AA256),ISNUMBER(AA198)),IFERROR(AA256/AA198,""),"")</f>
        <v>1.11993243243243</v>
      </c>
      <c r="AB259" s="215">
        <f>IF(AND(ISNUMBER(AB256),ISNUMBER(AB198)),IFERROR(AB256/AB198,""),"")</f>
        <v>0.946808510638298</v>
      </c>
      <c r="AC259" s="215">
        <f>IF(AND(ISNUMBER(AC256),ISNUMBER(AC198)),IFERROR(AC256/AC198,""),"")</f>
        <v>0.989864864864865</v>
      </c>
      <c r="AD259" s="215">
        <f>IF(AND(ISNUMBER(AD256),ISNUMBER(AD198)),IFERROR(AD256/AD198,""),"")</f>
        <v>0.596700274977085</v>
      </c>
      <c r="AE259" s="215">
        <f>IF(AND(ISNUMBER(AE256),ISNUMBER(AE198)),IFERROR(AE256/AE198,""),"")</f>
        <v>1.03653355989805</v>
      </c>
      <c r="AF259" s="215">
        <f>IF(AND(ISNUMBER(AF256),ISNUMBER(AF198)),IFERROR(AF256/AF198,""),"")</f>
        <v>1.13426573426573</v>
      </c>
      <c r="AG259" s="215">
        <f>IF(AND(ISNUMBER(AG256),ISNUMBER(AG198)),IFERROR(AG256/AG198,""),"")</f>
        <v>1.3567880794702</v>
      </c>
      <c r="AH259" s="215">
        <f>IF(AND(ISNUMBER(AH256),ISNUMBER(AH198)),IFERROR(AH256/AH198,""),"")</f>
        <v>1.04606604158174</v>
      </c>
      <c r="AI259" s="215">
        <f>IF(AND(ISNUMBER(AI256),ISNUMBER(AI198)),IFERROR(AI256/AI198,""),"")</f>
        <v>0.574952561669829</v>
      </c>
      <c r="AJ259" s="215">
        <f>IF(AND(ISNUMBER(AJ256),ISNUMBER(AJ198)),IFERROR(AJ256/AJ198,""),"")</f>
        <v>0.782110091743119</v>
      </c>
      <c r="AK259" s="215">
        <f>IF(AND(ISNUMBER(AK256),ISNUMBER(AK198)),IFERROR(AK256/AK198,""),"")</f>
        <v>1.20528017241379</v>
      </c>
      <c r="AL259" s="215">
        <f>IF(AND(ISNUMBER(AL256),ISNUMBER(AL198)),IFERROR(AL256/AL198,""),"")</f>
        <v>0.750465549348231</v>
      </c>
      <c r="AM259" s="215">
        <f>IF(AND(ISNUMBER(AM256),ISNUMBER(AM198)),IFERROR(AM256/AM198,""),"")</f>
        <v>0.842020023557126</v>
      </c>
      <c r="AN259" s="215">
        <f>IF(AND(ISNUMBER(AN256),ISNUMBER(AN198)),IFERROR(AN256/AN198,""),"")</f>
        <v>0.638297872340426</v>
      </c>
      <c r="AO259" s="215">
        <f>IF(AND(ISNUMBER(AO256),ISNUMBER(AO198)),IFERROR(AO256/AO198,""),"")</f>
        <v>0.699019101703665</v>
      </c>
      <c r="AP259" s="215">
        <f>IF(AND(ISNUMBER(AP256),ISNUMBER(AP198)),IFERROR(AP256/AP198,""),"")</f>
        <v>0.974897307165678</v>
      </c>
      <c r="AQ259" s="215">
        <f>IF(AND(ISNUMBER(AQ256),ISNUMBER(AQ198)),IFERROR(AQ256/AQ198,""),"")</f>
        <v>1.41090358404846</v>
      </c>
      <c r="AR259" s="215">
        <f>IF(AND(ISNUMBER(AR256),ISNUMBER(AR198)),IFERROR(AR256/AR198,""),"")</f>
        <v>0.939271765150561</v>
      </c>
      <c r="AS259" s="215">
        <f>IF(AND(ISNUMBER(AS256),ISNUMBER(AS198)),IFERROR(AS256/AS198,""),"")</f>
        <v>0.894793926247289</v>
      </c>
      <c r="AT259" s="215">
        <f>IF(AND(ISNUMBER(AT256),ISNUMBER(AT198)),IFERROR(AT256/AT198,""),"")</f>
        <v>0.930656934306569</v>
      </c>
      <c r="AU259" s="215">
        <f>IF(AND(ISNUMBER(AU256),ISNUMBER(AU198)),IFERROR(AU256/AU198,""),"")</f>
        <v>0.927725856697819</v>
      </c>
      <c r="AV259" s="215">
        <f>IF(AND(ISNUMBER(AV256),ISNUMBER(AV198)),IFERROR(AV256/AV198,""),"")</f>
        <v>1.27858880778589</v>
      </c>
      <c r="AW259" s="215">
        <f>IF(AND(ISNUMBER(AW256),ISNUMBER(AW198)),IFERROR(AW256/AW198,""),"")</f>
        <v>1.00820052607148</v>
      </c>
      <c r="AX259" s="215">
        <f>IF(AND(ISNUMBER(AX256),ISNUMBER(AX198)),IFERROR(AX256/AX198,""),"")</f>
        <v>0.757610568638713</v>
      </c>
      <c r="AY259" s="215">
        <f>IF(AND(ISNUMBER(AY256),ISNUMBER(AY198)),IFERROR(AY256/AY198,""),"")</f>
        <v>1.07124419204956</v>
      </c>
      <c r="AZ259" s="215">
        <f>IF(AND(ISNUMBER(AZ256),ISNUMBER(AZ198)),IFERROR(AZ256/AZ198,""),"")</f>
        <v>0.979923109782144</v>
      </c>
      <c r="BA259" s="215">
        <f>IF(AND(ISNUMBER(BA256),ISNUMBER(BA198)),IFERROR(BA256/BA198,""),"")</f>
        <v>1.27960242005186</v>
      </c>
      <c r="BB259" s="215">
        <f>IF(AND(ISNUMBER(BB256),ISNUMBER(BB198)),IFERROR(BB256/BB198,""),"")</f>
        <v>1.03792151686067</v>
      </c>
      <c r="BC259" s="215">
        <f>IF(AND(ISNUMBER(BC256),ISNUMBER(BC198)),IFERROR(BC256/BC198,""),"")</f>
        <v>0.550703182827535</v>
      </c>
      <c r="BD259" s="215">
        <f>IF(AND(ISNUMBER(BD256),ISNUMBER(BD198)),IFERROR(BD256/BD198,""),"")</f>
        <v>0.909090909090909</v>
      </c>
      <c r="BE259" s="215">
        <f>IF(AND(ISNUMBER(BE256),ISNUMBER(BE198)),IFERROR(BE256/BE198,""),"")</f>
        <v>1.37919075144509</v>
      </c>
      <c r="BF259" s="215">
        <f>IF(AND(ISNUMBER(BF256),ISNUMBER(BF198)),IFERROR(BF256/BF198,""),"")</f>
        <v>1.08359497645212</v>
      </c>
      <c r="BG259" s="215">
        <f>IF(AND(ISNUMBER(BG256),ISNUMBER(BG198)),IFERROR(BG256/BG198,""),"")</f>
        <v>0.976406884548443</v>
      </c>
      <c r="BH259" s="215">
        <f>IF(AND(ISNUMBER(BH256),ISNUMBER(BH198)),IFERROR(BH256/BH198,""),"")</f>
        <v>0.585138162808066</v>
      </c>
      <c r="BI259" s="215">
        <f>IF(AND(ISNUMBER(BI256),ISNUMBER(BI198)),IFERROR(BI256/BI198,""),"")</f>
        <v>0.898978847556528</v>
      </c>
      <c r="BJ259" s="215">
        <f>IF(AND(ISNUMBER(BJ256),ISNUMBER(BJ198)),IFERROR(BJ256/BJ198,""),"")</f>
        <v>0.936602123672705</v>
      </c>
      <c r="BK259" s="215">
        <f>IF(AND(ISNUMBER(BK256),ISNUMBER(BK198)),IFERROR(BK256/BK198,""),"")</f>
        <v>1.29346733668342</v>
      </c>
      <c r="BL259" s="215">
        <f>IF(AND(ISNUMBER(BL256),ISNUMBER(BL198)),IFERROR(BL256/BL198,""),"")</f>
        <v>0.938399241836823</v>
      </c>
      <c r="BM259" s="215">
        <f>IF(AND(ISNUMBER(BM256),ISNUMBER(BM198)),IFERROR(BM256/BM198,""),"")</f>
        <v>0.418364047849984</v>
      </c>
      <c r="BN259" s="215">
        <f>IF(AND(ISNUMBER(BN256),ISNUMBER(BN198)),IFERROR(BN256/BN198,""),"")</f>
        <v>0.85064351990422</v>
      </c>
      <c r="BO259" s="215">
        <f>IF(AND(ISNUMBER(BO256),ISNUMBER(BO198)),IFERROR(BO256/BO198,""),"")</f>
        <v>1.3543000278319</v>
      </c>
      <c r="BP259" s="215">
        <f>IF(AND(ISNUMBER(BP256),ISNUMBER(BP198)),IFERROR(BP256/BP198,""),"")</f>
        <v>1.30486763450043</v>
      </c>
      <c r="BQ259" s="215">
        <f>IF(AND(ISNUMBER(BQ256),ISNUMBER(BQ198)),IFERROR(BQ256/BQ198,""),"")</f>
        <v>1.00332324052876</v>
      </c>
      <c r="BR259" s="215">
        <f>IF(AND(ISNUMBER(BR256),ISNUMBER(BR198)),IFERROR(BR256/BR198,""),"")</f>
        <v>0.593951849677041</v>
      </c>
      <c r="BS259" s="215">
        <f>IF(AND(ISNUMBER(BS256),ISNUMBER(BS198)),IFERROR(BS256/BS198,""),"")</f>
        <v>1.16582647917219</v>
      </c>
      <c r="BT259" s="215">
        <f>IF(AND(ISNUMBER(BT256),ISNUMBER(BT198)),IFERROR(BT256/BT198,""),"")</f>
        <v>1.33905579399142</v>
      </c>
      <c r="BU259" s="215">
        <f>IF(AND(ISNUMBER(BU256),ISNUMBER(BU198)),IFERROR(BU256/BU198,""),"")</f>
        <v>1.10144927536232</v>
      </c>
      <c r="BV259" s="215">
        <f>IF(AND(ISNUMBER(BV256),ISNUMBER(BV198)),IFERROR(BV256/BV198,""),"")</f>
        <v>1.0660395718456</v>
      </c>
      <c r="BW259" s="215">
        <f>IF(AND(ISNUMBER(BW256),ISNUMBER(BW198)),IFERROR(BW256/BW198,""),"")</f>
        <v>0.649281013892274</v>
      </c>
      <c r="BX259" s="215">
        <f>IF(AND(ISNUMBER(BX256),ISNUMBER(BX198)),IFERROR(BX256/BX198,""),"")</f>
        <v>0.739950595104424</v>
      </c>
      <c r="BY259" s="24" t="n"/>
      <c r="BZ259" s="24" t="n"/>
      <c r="CA259" s="256">
        <f>IF(AND(ISNUMBER(CA256),ISNUMBER(CA198)),IFERROR(CA256/CA198,""),"")</f>
        <v>0.927847256358987</v>
      </c>
      <c r="CB259" s="256">
        <f>IF(AND(ISNUMBER(CB256),ISNUMBER(CB198)),IFERROR(CB256/CB198,""),"")</f>
        <v>0.980021286978637</v>
      </c>
      <c r="CC259" s="256">
        <f>IF(AND(ISNUMBER(CC256),ISNUMBER(CC198)),IFERROR(CC256/CC198,""),"")</f>
        <v>0.984367293821412</v>
      </c>
      <c r="CD259" s="256">
        <f>IF(AND(ISNUMBER(CD256),ISNUMBER(CD198)),IFERROR(CD256/CD198,""),"")</f>
        <v>0.988832256819981</v>
      </c>
      <c r="CE259" s="256">
        <f>IF(AND(ISNUMBER(CE256),ISNUMBER(CE198)),IFERROR(CE256/CE198,""),"")</f>
        <v>0.992603195456124</v>
      </c>
      <c r="CF259" s="153" t="n"/>
      <c r="CH259" s="37">
        <f>IFERROR(AVERAGE(CA259,CB259,CC259,CD259,CE259),"n/m")</f>
        <v>0.974734257887028</v>
      </c>
      <c r="CI259" s="37">
        <f>IFERROR(AVERAGE(BB259,BG259,BL259,BQ259,BV259),"n/m")</f>
        <v>1.00441809112406</v>
      </c>
      <c r="CJ259" s="37">
        <f>IFERROR(AVERAGE(AC259,AH259,AM259,AR259,AW259,BB259,BG259,BL259,BQ259,BV259),"n/m")</f>
        <v>0.984751367684608</v>
      </c>
      <c r="CK259" s="37">
        <f>IFERROR(AVERAGE(C259,D259,E259,F259,G259,H259,I259,N259,S259,X259,AC259,AH259,AM259,AR259,AW259,BB259,BG259,BL259,BQ259,BV259),"n/m")</f>
        <v>0.928595689471682</v>
      </c>
    </row>
    <row r="260" ht="15" customHeight="1" s="251">
      <c r="B260" s="25" t="inlineStr">
        <is>
          <t xml:space="preserve">  FCF per diluted share ($)</t>
        </is>
      </c>
      <c r="C260" s="281">
        <f>IF(AND(ISNUMBER(C256),ISNUMBER(C152)),IFERROR(C256/C152,""),"")</f>
        <v>0.409262846242792</v>
      </c>
      <c r="D260" s="281">
        <f>IF(AND(ISNUMBER(D256),ISNUMBER(D152)),IFERROR(D256/D152,""),"")</f>
        <v>0.452071926010538</v>
      </c>
      <c r="E260" s="281">
        <f>IF(AND(ISNUMBER(E256),ISNUMBER(E152)),IFERROR(E256/E152,""),"")</f>
        <v>0.186675938162707</v>
      </c>
      <c r="F260" s="281">
        <f>IF(AND(ISNUMBER(F256),ISNUMBER(F152)),IFERROR(F256/F152,""),"")</f>
        <v>0.951227040973033</v>
      </c>
      <c r="G260" s="281">
        <f>IF(AND(ISNUMBER(G256),ISNUMBER(G152)),IFERROR(G256/G152,""),"")</f>
        <v>1.18015267175573</v>
      </c>
      <c r="H260" s="281">
        <f>IF(AND(ISNUMBER(H256),ISNUMBER(H152)),IFERROR(H256/H152,""),"")</f>
        <v>1.95859375</v>
      </c>
      <c r="I260" s="281">
        <f>IF(AND(ISNUMBER(I256),ISNUMBER(I152)),IFERROR(I256/I152,""),"")</f>
        <v>2.16666666666667</v>
      </c>
      <c r="J260" s="281">
        <f>IF(AND(ISNUMBER(J256),ISNUMBER(J152)),IFERROR(J256/J152,""),"")</f>
        <v>0.67479674796748</v>
      </c>
      <c r="K260" s="281">
        <f>IF(AND(ISNUMBER(K256),ISNUMBER(K152)),IFERROR(K256/K152,""),"")</f>
        <v>0.558196721311476</v>
      </c>
      <c r="L260" s="281">
        <f>IF(AND(ISNUMBER(L256),ISNUMBER(L152)),IFERROR(L256/L152,""),"")</f>
        <v>1.05123966942149</v>
      </c>
      <c r="M260" s="281">
        <f>IF(AND(ISNUMBER(M256),ISNUMBER(M152)),IFERROR(M256/M152,""),"")</f>
        <v>0.873858921161826</v>
      </c>
      <c r="N260" s="281">
        <f>IF(AND(ISNUMBER(N256),ISNUMBER(N152)),IFERROR(N256/N152,""),"")</f>
        <v>3.15720164609054</v>
      </c>
      <c r="O260" s="281">
        <f>IF(AND(ISNUMBER(O256),ISNUMBER(O152)),IFERROR(O256/O152,""),"")</f>
        <v>0.43650126156434</v>
      </c>
      <c r="P260" s="281">
        <f>IF(AND(ISNUMBER(P256),ISNUMBER(P152)),IFERROR(P256/P152,""),"")</f>
        <v>0.578272027373824</v>
      </c>
      <c r="Q260" s="281">
        <f>IF(AND(ISNUMBER(Q256),ISNUMBER(Q152)),IFERROR(Q256/Q152,""),"")</f>
        <v>1.13362068965517</v>
      </c>
      <c r="R260" s="281">
        <f>IF(AND(ISNUMBER(R256),ISNUMBER(R152)),IFERROR(R256/R152,""),"")</f>
        <v>0.486603284356093</v>
      </c>
      <c r="S260" s="281">
        <f>IF(AND(ISNUMBER(S256),ISNUMBER(S152)),IFERROR(S256/S152,""),"")</f>
        <v>2.62874251497006</v>
      </c>
      <c r="T260" s="281">
        <f>IF(AND(ISNUMBER(T256),ISNUMBER(T152)),IFERROR(T256/T152,""),"")</f>
        <v>0.741319444444444</v>
      </c>
      <c r="U260" s="281">
        <f>IF(AND(ISNUMBER(U256),ISNUMBER(U152)),IFERROR(U256/U152,""),"")</f>
        <v>0.644171779141104</v>
      </c>
      <c r="V260" s="281">
        <f>IF(AND(ISNUMBER(V256),ISNUMBER(V152)),IFERROR(V256/V152,""),"")</f>
        <v>1.02912621359223</v>
      </c>
      <c r="W260" s="281">
        <f>IF(AND(ISNUMBER(W256),ISNUMBER(W152)),IFERROR(W256/W152,""),"")</f>
        <v>0.841637010676157</v>
      </c>
      <c r="X260" s="281">
        <f>IF(AND(ISNUMBER(X256),ISNUMBER(X152)),IFERROR(X256/X152,""),"")</f>
        <v>3.25505716798593</v>
      </c>
      <c r="Y260" s="281">
        <f>IF(AND(ISNUMBER(Y256),ISNUMBER(Y152)),IFERROR(Y256/Y152,""),"")</f>
        <v>0.839028776978417</v>
      </c>
      <c r="Z260" s="281">
        <f>IF(AND(ISNUMBER(Z256),ISNUMBER(Z152)),IFERROR(Z256/Z152,""),"")</f>
        <v>0.865576748410536</v>
      </c>
      <c r="AA260" s="281">
        <f>IF(AND(ISNUMBER(AA256),ISNUMBER(AA152)),IFERROR(AA256/AA152,""),"")</f>
        <v>1.20655141037307</v>
      </c>
      <c r="AB260" s="281">
        <f>IF(AND(ISNUMBER(AB256),ISNUMBER(AB152)),IFERROR(AB256/AB152,""),"")</f>
        <v>0.81651376146789</v>
      </c>
      <c r="AC260" s="281">
        <f>IF(AND(ISNUMBER(AC256),ISNUMBER(AC152)),IFERROR(AC256/AC152,""),"")</f>
        <v>3.72570390554042</v>
      </c>
      <c r="AD260" s="281">
        <f>IF(AND(ISNUMBER(AD256),ISNUMBER(AD152)),IFERROR(AD256/AD152,""),"")</f>
        <v>0.601663585951941</v>
      </c>
      <c r="AE260" s="281">
        <f>IF(AND(ISNUMBER(AE256),ISNUMBER(AE152)),IFERROR(AE256/AE152,""),"")</f>
        <v>1.13488372093023</v>
      </c>
      <c r="AF260" s="281">
        <f>IF(AND(ISNUMBER(AF256),ISNUMBER(AF152)),IFERROR(AF256/AF152,""),"")</f>
        <v>1.5187265917603</v>
      </c>
      <c r="AG260" s="281">
        <f>IF(AND(ISNUMBER(AG256),ISNUMBER(AG152)),IFERROR(AG256/AG152,""),"")</f>
        <v>1.54186265286924</v>
      </c>
      <c r="AH260" s="281">
        <f>IF(AND(ISNUMBER(AH256),ISNUMBER(AH152)),IFERROR(AH256/AH152,""),"")</f>
        <v>4.78731343283582</v>
      </c>
      <c r="AI260" s="281">
        <f>IF(AND(ISNUMBER(AI256),ISNUMBER(AI152)),IFERROR(AI256/AI152,""),"")</f>
        <v>0.859981078524125</v>
      </c>
      <c r="AJ260" s="281">
        <f>IF(AND(ISNUMBER(AJ256),ISNUMBER(AJ152)),IFERROR(AJ256/AJ152,""),"")</f>
        <v>1.30028598665396</v>
      </c>
      <c r="AK260" s="281">
        <f>IF(AND(ISNUMBER(AK256),ISNUMBER(AK152)),IFERROR(AK256/AK152,""),"")</f>
        <v>2.14477468839885</v>
      </c>
      <c r="AL260" s="281">
        <f>IF(AND(ISNUMBER(AL256),ISNUMBER(AL152)),IFERROR(AL256/AL152,""),"")</f>
        <v>1.16473988439306</v>
      </c>
      <c r="AM260" s="281">
        <f>IF(AND(ISNUMBER(AM256),ISNUMBER(AM152)),IFERROR(AM256/AM152,""),"")</f>
        <v>5.46227316141356</v>
      </c>
      <c r="AN260" s="281">
        <f>IF(AND(ISNUMBER(AN256),ISNUMBER(AN152)),IFERROR(AN256/AN152,""),"")</f>
        <v>1.13372093023256</v>
      </c>
      <c r="AO260" s="281">
        <f>IF(AND(ISNUMBER(AO256),ISNUMBER(AO152)),IFERROR(AO256/AO152,""),"")</f>
        <v>1.3209756097561</v>
      </c>
      <c r="AP260" s="281">
        <f>IF(AND(ISNUMBER(AP256),ISNUMBER(AP152)),IFERROR(AP256/AP152,""),"")</f>
        <v>2.09617271835133</v>
      </c>
      <c r="AQ260" s="281">
        <f>IF(AND(ISNUMBER(AQ256),ISNUMBER(AQ152)),IFERROR(AQ256/AQ152,""),"")</f>
        <v>2.75913129318855</v>
      </c>
      <c r="AR260" s="281">
        <f>IF(AND(ISNUMBER(AR256),ISNUMBER(AR152)),IFERROR(AR256/AR152,""),"")</f>
        <v>7.29452054794521</v>
      </c>
      <c r="AS260" s="281">
        <f>IF(AND(ISNUMBER(AS256),ISNUMBER(AS152)),IFERROR(AS256/AS152,""),"")</f>
        <v>1.63366336633663</v>
      </c>
      <c r="AT260" s="281">
        <f>IF(AND(ISNUMBER(AT256),ISNUMBER(AT152)),IFERROR(AT256/AT152,""),"")</f>
        <v>1.26488095238095</v>
      </c>
      <c r="AU260" s="281">
        <f>IF(AND(ISNUMBER(AU256),ISNUMBER(AU152)),IFERROR(AU256/AU152,""),"")</f>
        <v>1.481592039801</v>
      </c>
      <c r="AV260" s="281">
        <f>IF(AND(ISNUMBER(AV256),ISNUMBER(AV152)),IFERROR(AV256/AV152,""),"")</f>
        <v>2.0999000999001</v>
      </c>
      <c r="AW260" s="281">
        <f>IF(AND(ISNUMBER(AW256),ISNUMBER(AW152)),IFERROR(AW256/AW152,""),"")</f>
        <v>6.47713717693837</v>
      </c>
      <c r="AX260" s="281">
        <f>IF(AND(ISNUMBER(AX256),ISNUMBER(AX152)),IFERROR(AX256/AX152,""),"")</f>
        <v>1.32164328657315</v>
      </c>
      <c r="AY260" s="281">
        <f>IF(AND(ISNUMBER(AY256),ISNUMBER(AY152)),IFERROR(AY256/AY152,""),"")</f>
        <v>2.08752515090543</v>
      </c>
      <c r="AZ260" s="281">
        <f>IF(AND(ISNUMBER(AZ256),ISNUMBER(AZ152)),IFERROR(AZ256/AZ152,""),"")</f>
        <v>2.31717171717172</v>
      </c>
      <c r="BA260" s="281">
        <f>IF(AND(ISNUMBER(BA256),ISNUMBER(BA152)),IFERROR(BA256/BA152,""),"")</f>
        <v>3.00304259634888</v>
      </c>
      <c r="BB260" s="281">
        <f>IF(AND(ISNUMBER(BB256),ISNUMBER(BB152)),IFERROR(BB256/BB152,""),"")</f>
        <v>8.71875</v>
      </c>
      <c r="BC260" s="281">
        <f>IF(AND(ISNUMBER(BC256),ISNUMBER(BC152)),IFERROR(BC256/BC152,""),"")</f>
        <v>1.51681957186544</v>
      </c>
      <c r="BD260" s="281">
        <f>IF(AND(ISNUMBER(BD256),ISNUMBER(BD152)),IFERROR(BD256/BD152,""),"")</f>
        <v>2.3305954825462</v>
      </c>
      <c r="BE260" s="281">
        <f>IF(AND(ISNUMBER(BE256),ISNUMBER(BE152)),IFERROR(BE256/BE152,""),"")</f>
        <v>3.69731404958678</v>
      </c>
      <c r="BF260" s="281">
        <f>IF(AND(ISNUMBER(BF256),ISNUMBER(BF152)),IFERROR(BF256/BF152,""),"")</f>
        <v>2.86708203530633</v>
      </c>
      <c r="BG260" s="281">
        <f>IF(AND(ISNUMBER(BG256),ISNUMBER(BG152)),IFERROR(BG256/BG152,""),"")</f>
        <v>10.399588053553</v>
      </c>
      <c r="BH260" s="281">
        <f>IF(AND(ISNUMBER(BH256),ISNUMBER(BH152)),IFERROR(BH256/BH152,""),"")</f>
        <v>1.63912133891213</v>
      </c>
      <c r="BI260" s="281">
        <f>IF(AND(ISNUMBER(BI256),ISNUMBER(BI152)),IFERROR(BI256/BI152,""),"")</f>
        <v>2.59747102212856</v>
      </c>
      <c r="BJ260" s="281">
        <f>IF(AND(ISNUMBER(BJ256),ISNUMBER(BJ152)),IFERROR(BJ256/BJ152,""),"")</f>
        <v>3.18027571580064</v>
      </c>
      <c r="BK260" s="281">
        <f>IF(AND(ISNUMBER(BK256),ISNUMBER(BK152)),IFERROR(BK256/BK152,""),"")</f>
        <v>4.11182108626198</v>
      </c>
      <c r="BL260" s="281">
        <f>IF(AND(ISNUMBER(BL256),ISNUMBER(BL152)),IFERROR(BL256/BL152,""),"")</f>
        <v>11.5137420718816</v>
      </c>
      <c r="BM260" s="281">
        <f>IF(AND(ISNUMBER(BM256),ISNUMBER(BM152)),IFERROR(BM256/BM152,""),"")</f>
        <v>1.38395721925134</v>
      </c>
      <c r="BN260" s="281">
        <f>IF(AND(ISNUMBER(BN256),ISNUMBER(BN152)),IFERROR(BN256/BN152,""),"")</f>
        <v>3.05591397849462</v>
      </c>
      <c r="BO260" s="281">
        <f>IF(AND(ISNUMBER(BO256),ISNUMBER(BO152)),IFERROR(BO256/BO152,""),"")</f>
        <v>5.26054054054054</v>
      </c>
      <c r="BP260" s="281">
        <f>IF(AND(ISNUMBER(BP256),ISNUMBER(BP152)),IFERROR(BP256/BP152,""),"")</f>
        <v>4.98803046789989</v>
      </c>
      <c r="BQ260" s="281">
        <f>IF(AND(ISNUMBER(BQ256),ISNUMBER(BQ152)),IFERROR(BQ256/BQ152,""),"")</f>
        <v>14.655879180151</v>
      </c>
      <c r="BR260" s="281">
        <f>IF(AND(ISNUMBER(BR256),ISNUMBER(BR152)),IFERROR(BR256/BR152,""),"")</f>
        <v>2.21334792122538</v>
      </c>
      <c r="BS260" s="281">
        <f>IF(AND(ISNUMBER(BS256),ISNUMBER(BS152)),IFERROR(BS256/BS152,""),"")</f>
        <v>4.83388338833883</v>
      </c>
      <c r="BT260" s="281">
        <f>IF(AND(ISNUMBER(BT256),ISNUMBER(BT152)),IFERROR(BT256/BT152,""),"")</f>
        <v>5.86077348066298</v>
      </c>
      <c r="BU260" s="281">
        <f>IF(AND(ISNUMBER(BU256),ISNUMBER(BU152)),IFERROR(BU256/BU152,""),"")</f>
        <v>5.24721603563474</v>
      </c>
      <c r="BV260" s="281">
        <f>IF(AND(ISNUMBER(BV256),ISNUMBER(BV152)),IFERROR(BV256/BV152,""),"")</f>
        <v>18.1379690949227</v>
      </c>
      <c r="BW260" s="281">
        <f>IF(AND(ISNUMBER(BW256),ISNUMBER(BW152)),IFERROR(BW256/BW152,""),"")</f>
        <v>2.98320268756999</v>
      </c>
      <c r="BX260" s="281">
        <f>IF(AND(ISNUMBER(BX256),ISNUMBER(BX152)),IFERROR(BX256/BX152,""),"")</f>
        <v>3.73159682899207</v>
      </c>
      <c r="BY260" s="35" t="n"/>
      <c r="BZ260" s="35" t="n"/>
      <c r="CA260" s="283">
        <f>IF(AND(ISNUMBER(CA256),ISNUMBER(CA152)),IFERROR(CA256/CA152,""),"")</f>
        <v>18.4536203318139</v>
      </c>
      <c r="CB260" s="283">
        <f>IF(AND(ISNUMBER(CB256),ISNUMBER(CB152)),IFERROR(CB256/CB152,""),"")</f>
        <v>22.530476850975</v>
      </c>
      <c r="CC260" s="283">
        <f>IF(AND(ISNUMBER(CC256),ISNUMBER(CC152)),IFERROR(CC256/CC152,""),"")</f>
        <v>26.1627543444405</v>
      </c>
      <c r="CD260" s="283">
        <f>IF(AND(ISNUMBER(CD256),ISNUMBER(CD152)),IFERROR(CD256/CD152,""),"")</f>
        <v>30.2482399814726</v>
      </c>
      <c r="CE260" s="283">
        <f>IF(AND(ISNUMBER(CE256),ISNUMBER(CE152)),IFERROR(CE256/CE152,""),"")</f>
        <v>34.7927279445104</v>
      </c>
      <c r="CF260" s="19" t="n"/>
    </row>
    <row r="261" ht="15" customHeight="1" s="251">
      <c r="B261" s="25" t="inlineStr">
        <is>
          <t xml:space="preserve">  FCF / adjusted EBITDA %</t>
        </is>
      </c>
      <c r="C261" s="215">
        <f>IF(AND(ISNUMBER(C256),ISNUMBER(C185)),IFERROR(C256/C185,""),"")</f>
        <v>0.7416389399381</v>
      </c>
      <c r="D261" s="215">
        <f>IF(AND(ISNUMBER(D256),ISNUMBER(D185)),IFERROR(D256/D185,""),"")</f>
        <v>0.507496976225105</v>
      </c>
      <c r="E261" s="215">
        <f>IF(AND(ISNUMBER(E256),ISNUMBER(E185)),IFERROR(E256/E185,""),"")</f>
        <v>0.117910644061808</v>
      </c>
      <c r="F261" s="215">
        <f>IF(AND(ISNUMBER(F256),ISNUMBER(F185)),IFERROR(F256/F185,""),"")</f>
        <v>0.514349061754589</v>
      </c>
      <c r="G261" s="215">
        <f>IF(AND(ISNUMBER(G256),ISNUMBER(G185)),IFERROR(G256/G185,""),"")</f>
        <v>0.533103448275862</v>
      </c>
      <c r="H261" s="215">
        <f>IF(AND(ISNUMBER(H256),ISNUMBER(H185)),IFERROR(H256/H185,""),"")</f>
        <v>0.681805819961926</v>
      </c>
      <c r="I261" s="215">
        <f>IF(AND(ISNUMBER(I256),ISNUMBER(I185)),IFERROR(I256/I185,""),"")</f>
        <v>0.652018151421065</v>
      </c>
      <c r="J261" s="215">
        <f>IF(AND(ISNUMBER(J256),ISNUMBER(J185)),IFERROR(J256/J185,""),"")</f>
        <v>0.710008554319932</v>
      </c>
      <c r="K261" s="215">
        <f>IF(AND(ISNUMBER(K256),ISNUMBER(K185)),IFERROR(K256/K185,""),"")</f>
        <v>0.528316524437549</v>
      </c>
      <c r="L261" s="215">
        <f>IF(AND(ISNUMBER(L256),ISNUMBER(L185)),IFERROR(L256/L185,""),"")</f>
        <v>0.969512195121951</v>
      </c>
      <c r="M261" s="215">
        <f>IF(AND(ISNUMBER(M256),ISNUMBER(M185)),IFERROR(M256/M185,""),"")</f>
        <v>0.969613259668508</v>
      </c>
      <c r="N261" s="215">
        <f>IF(AND(ISNUMBER(N256),ISNUMBER(N185)),IFERROR(N256/N185,""),"")</f>
        <v>0.78995057660626</v>
      </c>
      <c r="O261" s="215">
        <f>IF(AND(ISNUMBER(O256),ISNUMBER(O185)),IFERROR(O256/O185,""),"")</f>
        <v>0.382179675994109</v>
      </c>
      <c r="P261" s="215">
        <f>IF(AND(ISNUMBER(P256),ISNUMBER(P185)),IFERROR(P256/P185,""),"")</f>
        <v>0.461748633879781</v>
      </c>
      <c r="Q261" s="215">
        <f>IF(AND(ISNUMBER(Q256),ISNUMBER(Q185)),IFERROR(Q256/Q185,""),"")</f>
        <v>0.874916833000665</v>
      </c>
      <c r="R261" s="215">
        <f>IF(AND(ISNUMBER(R256),ISNUMBER(R185)),IFERROR(R256/R185,""),"")</f>
        <v>0.510889292196007</v>
      </c>
      <c r="S261" s="215">
        <f>IF(AND(ISNUMBER(S256),ISNUMBER(S185)),IFERROR(S256/S185,""),"")</f>
        <v>0.566242859775198</v>
      </c>
      <c r="T261" s="215">
        <f>IF(AND(ISNUMBER(T256),ISNUMBER(T185)),IFERROR(T256/T185,""),"")</f>
        <v>0.593880389429764</v>
      </c>
      <c r="U261" s="215">
        <f>IF(AND(ISNUMBER(U256),ISNUMBER(U185)),IFERROR(U256/U185,""),"")</f>
        <v>0.523504273504274</v>
      </c>
      <c r="V261" s="215">
        <f>IF(AND(ISNUMBER(V256),ISNUMBER(V185)),IFERROR(V256/V185,""),"")</f>
        <v>0.756160830090791</v>
      </c>
      <c r="W261" s="215">
        <f>IF(AND(ISNUMBER(W256),ISNUMBER(W185)),IFERROR(W256/W185,""),"")</f>
        <v>0.788333333333333</v>
      </c>
      <c r="X261" s="215">
        <f>IF(AND(ISNUMBER(X256),ISNUMBER(X185)),IFERROR(X256/X185,""),"")</f>
        <v>0.662786532951289</v>
      </c>
      <c r="Y261" s="215">
        <f>IF(AND(ISNUMBER(Y256),ISNUMBER(Y185)),IFERROR(Y256/Y185,""),"")</f>
        <v>0.646569646569647</v>
      </c>
      <c r="Z261" s="215">
        <f>IF(AND(ISNUMBER(Z256),ISNUMBER(Z185)),IFERROR(Z256/Z185,""),"")</f>
        <v>0.603164556962025</v>
      </c>
      <c r="AA261" s="215">
        <f>IF(AND(ISNUMBER(AA256),ISNUMBER(AA185)),IFERROR(AA256/AA185,""),"")</f>
        <v>0.752127056154282</v>
      </c>
      <c r="AB261" s="215">
        <f>IF(AND(ISNUMBER(AB256),ISNUMBER(AB185)),IFERROR(AB256/AB185,""),"")</f>
        <v>0.607508532423208</v>
      </c>
      <c r="AC261" s="215">
        <f>IF(AND(ISNUMBER(AC256),ISNUMBER(AC185)),IFERROR(AC256/AC185,""),"")</f>
        <v>0.656215005599104</v>
      </c>
      <c r="AD261" s="215">
        <f>IF(AND(ISNUMBER(AD256),ISNUMBER(AD185)),IFERROR(AD256/AD185,""),"")</f>
        <v>0.403595784252945</v>
      </c>
      <c r="AE261" s="215">
        <f>IF(AND(ISNUMBER(AE256),ISNUMBER(AE185)),IFERROR(AE256/AE185,""),"")</f>
        <v>0.691609977324263</v>
      </c>
      <c r="AF261" s="215">
        <f>IF(AND(ISNUMBER(AF256),ISNUMBER(AF185)),IFERROR(AF256/AF185,""),"")</f>
        <v>0.787761049052938</v>
      </c>
      <c r="AG261" s="215">
        <f>IF(AND(ISNUMBER(AG256),ISNUMBER(AG185)),IFERROR(AG256/AG185,""),"")</f>
        <v>0.908536585365854</v>
      </c>
      <c r="AH261" s="215">
        <f>IF(AND(ISNUMBER(AH256),ISNUMBER(AH185)),IFERROR(AH256/AH185,""),"")</f>
        <v>0.708839779005525</v>
      </c>
      <c r="AI261" s="215">
        <f>IF(AND(ISNUMBER(AI256),ISNUMBER(AI185)),IFERROR(AI256/AI185,""),"")</f>
        <v>0.440834141610087</v>
      </c>
      <c r="AJ261" s="215">
        <f>IF(AND(ISNUMBER(AJ256),ISNUMBER(AJ185)),IFERROR(AJ256/AJ185,""),"")</f>
        <v>0.599297012302285</v>
      </c>
      <c r="AK261" s="215">
        <f>IF(AND(ISNUMBER(AK256),ISNUMBER(AK185)),IFERROR(AK256/AK185,""),"")</f>
        <v>0.92171405026782</v>
      </c>
      <c r="AL261" s="215">
        <f>IF(AND(ISNUMBER(AL256),ISNUMBER(AL185)),IFERROR(AL256/AL185,""),"")</f>
        <v>0.574619771863118</v>
      </c>
      <c r="AM261" s="215">
        <f>IF(AND(ISNUMBER(AM256),ISNUMBER(AM185)),IFERROR(AM256/AM185,""),"")</f>
        <v>0.644830307813733</v>
      </c>
      <c r="AN261" s="215">
        <f>IF(AND(ISNUMBER(AN256),ISNUMBER(AN185)),IFERROR(AN256/AN185,""),"")</f>
        <v>0.502145922746781</v>
      </c>
      <c r="AO261" s="215">
        <f>IF(AND(ISNUMBER(AO256),ISNUMBER(AO185)),IFERROR(AO256/AO185,""),"")</f>
        <v>0.537514886859865</v>
      </c>
      <c r="AP261" s="215">
        <f>IF(AND(ISNUMBER(AP256),ISNUMBER(AP185)),IFERROR(AP256/AP185,""),"")</f>
        <v>0.765042979942693</v>
      </c>
      <c r="AQ261" s="215">
        <f>IF(AND(ISNUMBER(AQ256),ISNUMBER(AQ185)),IFERROR(AQ256/AQ185,""),"")</f>
        <v>1.09823182711198</v>
      </c>
      <c r="AR261" s="215">
        <f>IF(AND(ISNUMBER(AR256),ISNUMBER(AR185)),IFERROR(AR256/AR185,""),"")</f>
        <v>0.731886903593167</v>
      </c>
      <c r="AS261" s="215">
        <f>IF(AND(ISNUMBER(AS256),ISNUMBER(AS185)),IFERROR(AS256/AS185,""),"")</f>
        <v>0.698856416772554</v>
      </c>
      <c r="AT261" s="215">
        <f>IF(AND(ISNUMBER(AT256),ISNUMBER(AT185)),IFERROR(AT256/AT185,""),"")</f>
        <v>0.680362860192103</v>
      </c>
      <c r="AU261" s="215">
        <f>IF(AND(ISNUMBER(AU256),ISNUMBER(AU185)),IFERROR(AU256/AU185,""),"")</f>
        <v>0.662956366874444</v>
      </c>
      <c r="AV261" s="215">
        <f>IF(AND(ISNUMBER(AV256),ISNUMBER(AV185)),IFERROR(AV256/AV185,""),"")</f>
        <v>0.932978251220595</v>
      </c>
      <c r="AW261" s="215">
        <f>IF(AND(ISNUMBER(AW256),ISNUMBER(AW185)),IFERROR(AW256/AW185,""),"")</f>
        <v>0.746049919853446</v>
      </c>
      <c r="AX261" s="215">
        <f>IF(AND(ISNUMBER(AX256),ISNUMBER(AX185)),IFERROR(AX256/AX185,""),"")</f>
        <v>0.558898305084746</v>
      </c>
      <c r="AY261" s="215">
        <f>IF(AND(ISNUMBER(AY256),ISNUMBER(AY185)),IFERROR(AY256/AY185,""),"")</f>
        <v>0.799922898997687</v>
      </c>
      <c r="AZ261" s="215">
        <f>IF(AND(ISNUMBER(AZ256),ISNUMBER(AZ185)),IFERROR(AZ256/AZ185,""),"")</f>
        <v>0.761114797611148</v>
      </c>
      <c r="BA261" s="215">
        <f>IF(AND(ISNUMBER(BA256),ISNUMBER(BA185)),IFERROR(BA256/BA185,""),"")</f>
        <v>0.981763925729443</v>
      </c>
      <c r="BB261" s="215">
        <f>IF(AND(ISNUMBER(BB256),ISNUMBER(BB185)),IFERROR(BB256/BB185,""),"")</f>
        <v>0.787418062636562</v>
      </c>
      <c r="BC261" s="215">
        <f>IF(AND(ISNUMBER(BC256),ISNUMBER(BC185)),IFERROR(BC256/BC185,""),"")</f>
        <v>0.472981563890655</v>
      </c>
      <c r="BD261" s="215">
        <f>IF(AND(ISNUMBER(BD256),ISNUMBER(BD185)),IFERROR(BD256/BD185,""),"")</f>
        <v>0.674190674190674</v>
      </c>
      <c r="BE261" s="215">
        <f>IF(AND(ISNUMBER(BE256),ISNUMBER(BE185)),IFERROR(BE256/BE185,""),"")</f>
        <v>1.02111269614836</v>
      </c>
      <c r="BF261" s="215">
        <f>IF(AND(ISNUMBER(BF256),ISNUMBER(BF185)),IFERROR(BF256/BF185,""),"")</f>
        <v>0.816139521135087</v>
      </c>
      <c r="BG261" s="215">
        <f>IF(AND(ISNUMBER(BG256),ISNUMBER(BG185)),IFERROR(BG256/BG185,""),"")</f>
        <v>0.753582089552239</v>
      </c>
      <c r="BH261" s="215">
        <f>IF(AND(ISNUMBER(BH256),ISNUMBER(BH185)),IFERROR(BH256/BH185,""),"")</f>
        <v>0.442905596382137</v>
      </c>
      <c r="BI261" s="215">
        <f>IF(AND(ISNUMBER(BI256),ISNUMBER(BI185)),IFERROR(BI256/BI185,""),"")</f>
        <v>0.637280248190279</v>
      </c>
      <c r="BJ261" s="215">
        <f>IF(AND(ISNUMBER(BJ256),ISNUMBER(BJ185)),IFERROR(BJ256/BJ185,""),"")</f>
        <v>0.739580764488286</v>
      </c>
      <c r="BK261" s="215">
        <f>IF(AND(ISNUMBER(BK256),ISNUMBER(BK185)),IFERROR(BK256/BK185,""),"")</f>
        <v>0.993822393822394</v>
      </c>
      <c r="BL261" s="215">
        <f>IF(AND(ISNUMBER(BL256),ISNUMBER(BL185)),IFERROR(BL256/BL185,""),"")</f>
        <v>0.709761501368435</v>
      </c>
      <c r="BM261" s="215">
        <f>IF(AND(ISNUMBER(BM256),ISNUMBER(BM185)),IFERROR(BM256/BM185,""),"")</f>
        <v>0.327927014698429</v>
      </c>
      <c r="BN261" s="215">
        <f>IF(AND(ISNUMBER(BN256),ISNUMBER(BN185)),IFERROR(BN256/BN185,""),"")</f>
        <v>0.651984400091764</v>
      </c>
      <c r="BO261" s="215">
        <f>IF(AND(ISNUMBER(BO256),ISNUMBER(BO185)),IFERROR(BO256/BO185,""),"")</f>
        <v>1.05897714907508</v>
      </c>
      <c r="BP261" s="215">
        <f>IF(AND(ISNUMBER(BP256),ISNUMBER(BP185)),IFERROR(BP256/BP185,""),"")</f>
        <v>1.03034389750506</v>
      </c>
      <c r="BQ261" s="215">
        <f>IF(AND(ISNUMBER(BQ256),ISNUMBER(BQ185)),IFERROR(BQ256/BQ185,""),"")</f>
        <v>0.783099890483601</v>
      </c>
      <c r="BR261" s="215">
        <f>IF(AND(ISNUMBER(BR256),ISNUMBER(BR185)),IFERROR(BR256/BR185,""),"")</f>
        <v>0.442185792349727</v>
      </c>
      <c r="BS261" s="215">
        <f>IF(AND(ISNUMBER(BS256),ISNUMBER(BS185)),IFERROR(BS256/BS185,""),"")</f>
        <v>0.852541715172681</v>
      </c>
      <c r="BT261" s="215">
        <f>IF(AND(ISNUMBER(BT256),ISNUMBER(BT185)),IFERROR(BT256/BT185,""),"")</f>
        <v>0.976076555023923</v>
      </c>
      <c r="BU261" s="215">
        <f>IF(AND(ISNUMBER(BU256),ISNUMBER(BU185)),IFERROR(BU256/BU185,""),"")</f>
        <v>0.87567366660472</v>
      </c>
      <c r="BV261" s="215">
        <f>IF(AND(ISNUMBER(BV256),ISNUMBER(BV185)),IFERROR(BV256/BV185,""),"")</f>
        <v>0.799892912772586</v>
      </c>
      <c r="BW261" s="215">
        <f>IF(AND(ISNUMBER(BW256),ISNUMBER(BW185)),IFERROR(BW256/BW185,""),"")</f>
        <v>0.492603550295858</v>
      </c>
      <c r="BX261" s="215">
        <f>IF(AND(ISNUMBER(BX256),ISNUMBER(BX185)),IFERROR(BX256/BX185,""),"")</f>
        <v>0.55118768819003</v>
      </c>
      <c r="BY261" s="24" t="n"/>
      <c r="BZ261" s="24" t="n"/>
      <c r="CA261" s="256">
        <f>IF(AND(ISNUMBER(CA256),ISNUMBER(CA185)),IFERROR(CA256/CA185,""),"")</f>
        <v>0.689903521081209</v>
      </c>
      <c r="CB261" s="256">
        <f>IF(AND(ISNUMBER(CB256),ISNUMBER(CB185)),IFERROR(CB256/CB185,""),"")</f>
        <v>0.723154530453899</v>
      </c>
      <c r="CC261" s="256">
        <f>IF(AND(ISNUMBER(CC256),ISNUMBER(CC185)),IFERROR(CC256/CC185,""),"")</f>
        <v>0.72599487934273</v>
      </c>
      <c r="CD261" s="256">
        <f>IF(AND(ISNUMBER(CD256),ISNUMBER(CD185)),IFERROR(CD256/CD185,""),"")</f>
        <v>0.72832884261183</v>
      </c>
      <c r="CE261" s="256">
        <f>IF(AND(ISNUMBER(CE256),ISNUMBER(CE185)),IFERROR(CE256/CE185,""),"")</f>
        <v>0.730288341820211</v>
      </c>
      <c r="CF261" s="153" t="n"/>
      <c r="CH261" s="37">
        <f>IFERROR(AVERAGE(CA261,CB261,CC261,CD261,CE261),"n/m")</f>
        <v>0.719534023061976</v>
      </c>
      <c r="CI261" s="37">
        <f>IFERROR(AVERAGE(BB261,BG261,BL261,BQ261,BV261),"n/m")</f>
        <v>0.766750891362685</v>
      </c>
      <c r="CJ261" s="37">
        <f>IFERROR(AVERAGE(AC261,AH261,AM261,AR261,AW261,BB261,BG261,BL261,BQ261,BV261),"n/m")</f>
        <v>0.73215763726784</v>
      </c>
      <c r="CK261" s="37">
        <f>IFERROR(AVERAGE(C261,D261,E261,F261,G261,H261,I261,N261,S261,X261,AC261,AH261,AM261,AR261,AW261,BB261,BG261,BL261,BQ261,BV261),"n/m")</f>
        <v>0.65444396918248</v>
      </c>
    </row>
    <row r="262" ht="15" customHeight="1" s="251">
      <c r="B262" s="25" t="inlineStr">
        <is>
          <t xml:space="preserve">  Capital returned (buybacks + dividends) % of FCF</t>
        </is>
      </c>
      <c r="C262" s="215">
        <f>IF(AND(ISNUMBER(C256),ISNUMBER(C244)),IFERROR(-(C244+C245)/C256,""),"")</f>
        <v>0.0222658914184631</v>
      </c>
      <c r="D262" s="215">
        <f>IF(AND(ISNUMBER(D256),ISNUMBER(D244)),IFERROR(-(D244+D245)/D256,""),"")</f>
        <v>1.09959425468547</v>
      </c>
      <c r="E262" s="215">
        <f>IF(AND(ISNUMBER(E256),ISNUMBER(E244)),IFERROR(-(E244+E245)/E256,""),"")</f>
        <v>2.99943199357906</v>
      </c>
      <c r="F262" s="215">
        <f>IF(AND(ISNUMBER(F256),ISNUMBER(F244)),IFERROR(-(F244+F245)/F256,""),"")</f>
        <v>0.0635170107894563</v>
      </c>
      <c r="G262" s="215">
        <f>IF(AND(ISNUMBER(G256),ISNUMBER(G244)),IFERROR(-(G244+G245)/G256,""),"")</f>
        <v>0.0510996119016818</v>
      </c>
      <c r="H262" s="215">
        <f>IF(AND(ISNUMBER(H256),ISNUMBER(H244)),IFERROR(-(H244+H245)/H256,""),"")</f>
        <v>0.488631830873554</v>
      </c>
      <c r="I262" s="215">
        <f>IF(AND(ISNUMBER(I256),ISNUMBER(I244)),IFERROR(-(I244+I245)/I256,""),"")</f>
        <v>0.688644688644689</v>
      </c>
      <c r="J262" s="215">
        <f>IF(AND(ISNUMBER(J256),ISNUMBER(J244)),IFERROR(-(J244+J245)/J256,""),"")</f>
        <v>0.967469879518072</v>
      </c>
      <c r="K262" s="215">
        <f>IF(AND(ISNUMBER(K256),ISNUMBER(K244)),IFERROR(-(K244+K245)/K256,""),"")</f>
        <v>0.960352422907489</v>
      </c>
      <c r="L262" s="215">
        <f>IF(AND(ISNUMBER(L256),ISNUMBER(L244)),IFERROR(-(L244+L245)/L256,""),"")</f>
        <v>0.327830188679245</v>
      </c>
      <c r="M262" s="215">
        <f>IF(AND(ISNUMBER(M256),ISNUMBER(M244)),IFERROR(-(M244+M245)/M256,""),"")</f>
        <v>0.782526115859449</v>
      </c>
      <c r="N262" s="215">
        <f>IF(AND(ISNUMBER(N256),ISNUMBER(N244)),IFERROR(-(N244+N245)/N256,""),"")</f>
        <v>0.703336809176225</v>
      </c>
      <c r="O262" s="215">
        <f>IF(AND(ISNUMBER(O256),ISNUMBER(O244)),IFERROR(-(O244+O245)/O256,""),"")</f>
        <v>3.46820809248555</v>
      </c>
      <c r="P262" s="215">
        <f>IF(AND(ISNUMBER(P256),ISNUMBER(P244)),IFERROR(-(P244+P245)/P256,""),"")</f>
        <v>1.90384615384615</v>
      </c>
      <c r="Q262" s="215">
        <f>IF(AND(ISNUMBER(Q256),ISNUMBER(Q244)),IFERROR(-(Q244+Q245)/Q256,""),"")</f>
        <v>0.404562737642586</v>
      </c>
      <c r="R262" s="215">
        <f>IF(AND(ISNUMBER(R256),ISNUMBER(R244)),IFERROR(-(R244+R245)/R256,""),"")</f>
        <v>0.50088809946714</v>
      </c>
      <c r="S262" s="215">
        <f>IF(AND(ISNUMBER(S256),ISNUMBER(S244)),IFERROR(-(S244+S245)/S256,""),"")</f>
        <v>1.26944354051416</v>
      </c>
      <c r="T262" s="215">
        <f>IF(AND(ISNUMBER(T256),ISNUMBER(T244)),IFERROR(-(T244+T245)/T256,""),"")</f>
        <v>1.32435597189696</v>
      </c>
      <c r="U262" s="215">
        <f>IF(AND(ISNUMBER(U256),ISNUMBER(U244)),IFERROR(-(U244+U245)/U256,""),"")</f>
        <v>1.40272108843537</v>
      </c>
      <c r="V262" s="215">
        <f>IF(AND(ISNUMBER(V256),ISNUMBER(V244)),IFERROR(-(V244+V245)/V256,""),"")</f>
        <v>0.952830188679245</v>
      </c>
      <c r="W262" s="215">
        <f>IF(AND(ISNUMBER(W256),ISNUMBER(W244)),IFERROR(-(W244+W245)/W256,""),"")</f>
        <v>1.02748414376321</v>
      </c>
      <c r="X262" s="215">
        <f>IF(AND(ISNUMBER(X256),ISNUMBER(X244)),IFERROR(-(X244+X245)/X256,""),"")</f>
        <v>1.14698730072953</v>
      </c>
      <c r="Y262" s="215">
        <f>IF(AND(ISNUMBER(Y256),ISNUMBER(Y244)),IFERROR(-(Y244+Y245)/Y256,""),"")</f>
        <v>1.68167202572347</v>
      </c>
      <c r="Z262" s="215">
        <f>IF(AND(ISNUMBER(Z256),ISNUMBER(Z244)),IFERROR(-(Z244+Z245)/Z256,""),"")</f>
        <v>0.704092339979014</v>
      </c>
      <c r="AA262" s="215">
        <f>IF(AND(ISNUMBER(AA256),ISNUMBER(AA244)),IFERROR(-(AA244+AA245)/AA256,""),"")</f>
        <v>0.603318250377074</v>
      </c>
      <c r="AB262" s="215">
        <f>IF(AND(ISNUMBER(AB256),ISNUMBER(AB244)),IFERROR(-(AB244+AB245)/AB256,""),"")</f>
        <v>1.46966292134831</v>
      </c>
      <c r="AC262" s="215">
        <f>IF(AND(ISNUMBER(AC256),ISNUMBER(AC244)),IFERROR(-(AC244+AC245)/AC256,""),"")</f>
        <v>1.05997074597757</v>
      </c>
      <c r="AD262" s="215">
        <f>IF(AND(ISNUMBER(AD256),ISNUMBER(AD244)),IFERROR(-(AD244+AD245)/AD256,""),"")</f>
        <v>1.84331797235023</v>
      </c>
      <c r="AE262" s="215">
        <f>IF(AND(ISNUMBER(AE256),ISNUMBER(AE244)),IFERROR(-(AE244+AE245)/AE256,""),"")</f>
        <v>0.95655737704918</v>
      </c>
      <c r="AF262" s="215">
        <f>IF(AND(ISNUMBER(AF256),ISNUMBER(AF244)),IFERROR(-(AF244+AF245)/AF256,""),"")</f>
        <v>0.661528976572133</v>
      </c>
      <c r="AG262" s="215">
        <f>IF(AND(ISNUMBER(AG256),ISNUMBER(AG244)),IFERROR(-(AG244+AG245)/AG256,""),"")</f>
        <v>0.771201952410006</v>
      </c>
      <c r="AH262" s="215">
        <f>IF(AND(ISNUMBER(AH256),ISNUMBER(AH244)),IFERROR(-(AH244+AH245)/AH256,""),"")</f>
        <v>0.916601714731099</v>
      </c>
      <c r="AI262" s="215">
        <f>IF(AND(ISNUMBER(AI256),ISNUMBER(AI244)),IFERROR(-(AI244+AI245)/AI256,""),"")</f>
        <v>1.77667766776678</v>
      </c>
      <c r="AJ262" s="215">
        <f>IF(AND(ISNUMBER(AJ256),ISNUMBER(AJ244)),IFERROR(-(AJ244+AJ245)/AJ256,""),"")</f>
        <v>1.31304985337243</v>
      </c>
      <c r="AK262" s="215">
        <f>IF(AND(ISNUMBER(AK256),ISNUMBER(AK244)),IFERROR(-(AK244+AK245)/AK256,""),"")</f>
        <v>0.636566830576665</v>
      </c>
      <c r="AL262" s="215">
        <f>IF(AND(ISNUMBER(AL256),ISNUMBER(AL244)),IFERROR(-(AL244+AL245)/AL256,""),"")</f>
        <v>0.948717948717949</v>
      </c>
      <c r="AM262" s="215">
        <f>IF(AND(ISNUMBER(AM256),ISNUMBER(AM244)),IFERROR(-(AM244+AM245)/AM256,""),"")</f>
        <v>1.04511278195489</v>
      </c>
      <c r="AN262" s="215">
        <f>IF(AND(ISNUMBER(AN256),ISNUMBER(AN244)),IFERROR(-(AN244+AN245)/AN256,""),"")</f>
        <v>1.84957264957265</v>
      </c>
      <c r="AO262" s="215">
        <f>IF(AND(ISNUMBER(AO256),ISNUMBER(AO244)),IFERROR(-(AO244+AO245)/AO256,""),"")</f>
        <v>1.66469719350074</v>
      </c>
      <c r="AP262" s="215">
        <f>IF(AND(ISNUMBER(AP256),ISNUMBER(AP244)),IFERROR(-(AP244+AP245)/AP256,""),"")</f>
        <v>0.981741573033708</v>
      </c>
      <c r="AQ262" s="215">
        <f>IF(AND(ISNUMBER(AQ256),ISNUMBER(AQ244)),IFERROR(-(AQ244+AQ245)/AQ256,""),"")</f>
        <v>0.474776386404293</v>
      </c>
      <c r="AR262" s="215">
        <f>IF(AND(ISNUMBER(AR256),ISNUMBER(AR244)),IFERROR(-(AR244+AR245)/AR256,""),"")</f>
        <v>1.05191146881288</v>
      </c>
      <c r="AS262" s="215">
        <f>IF(AND(ISNUMBER(AS256),ISNUMBER(AS244)),IFERROR(-(AS244+AS245)/AS256,""),"")</f>
        <v>1.08242424242424</v>
      </c>
      <c r="AT262" s="215">
        <f>IF(AND(ISNUMBER(AT256),ISNUMBER(AT244)),IFERROR(-(AT244+AT245)/AT256,""),"")</f>
        <v>0.314509803921569</v>
      </c>
      <c r="AU262" s="215">
        <f>IF(AND(ISNUMBER(AU256),ISNUMBER(AU244)),IFERROR(-(AU244+AU245)/AU256,""),"")</f>
        <v>1.65345869711216</v>
      </c>
      <c r="AV262" s="215">
        <f>IF(AND(ISNUMBER(AV256),ISNUMBER(AV244)),IFERROR(-(AV244+AV245)/AV256,""),"")</f>
        <v>0.679828734538535</v>
      </c>
      <c r="AW262" s="215">
        <f>IF(AND(ISNUMBER(AW256),ISNUMBER(AW244)),IFERROR(-(AW244+AW245)/AW256,""),"")</f>
        <v>0.932780847145488</v>
      </c>
      <c r="AX262" s="215">
        <f>IF(AND(ISNUMBER(AX256),ISNUMBER(AX244)),IFERROR(-(AX244+AX245)/AX256,""),"")</f>
        <v>1.36087945413192</v>
      </c>
      <c r="AY262" s="215">
        <f>IF(AND(ISNUMBER(AY256),ISNUMBER(AY244)),IFERROR(-(AY244+AY245)/AY256,""),"")</f>
        <v>1.03373493975904</v>
      </c>
      <c r="AZ262" s="215">
        <f>IF(AND(ISNUMBER(AZ256),ISNUMBER(AZ244)),IFERROR(-(AZ244+AZ245)/AZ256,""),"")</f>
        <v>0.869659982563208</v>
      </c>
      <c r="BA262" s="215">
        <f>IF(AND(ISNUMBER(BA256),ISNUMBER(BA244)),IFERROR(-(BA244+BA245)/BA256,""),"")</f>
        <v>0.577507598784195</v>
      </c>
      <c r="BB262" s="215">
        <f>IF(AND(ISNUMBER(BB256),ISNUMBER(BB244)),IFERROR(-(BB244+BB245)/BB256,""),"")</f>
        <v>0.883917215863106</v>
      </c>
      <c r="BC262" s="215">
        <f>IF(AND(ISNUMBER(BC256),ISNUMBER(BC244)),IFERROR(-(BC244+BC245)/BC256,""),"")</f>
        <v>1.94018817204301</v>
      </c>
      <c r="BD262" s="215">
        <f>IF(AND(ISNUMBER(BD256),ISNUMBER(BD244)),IFERROR(-(BD244+BD245)/BD256,""),"")</f>
        <v>1.25859030837004</v>
      </c>
      <c r="BE262" s="215">
        <f>IF(AND(ISNUMBER(BE256),ISNUMBER(BE244)),IFERROR(-(BE244+BE245)/BE256,""),"")</f>
        <v>0.56580050293378</v>
      </c>
      <c r="BF262" s="215">
        <f>IF(AND(ISNUMBER(BF256),ISNUMBER(BF244)),IFERROR(-(BF244+BF245)/BF256,""),"")</f>
        <v>1.04563563926114</v>
      </c>
      <c r="BG262" s="215">
        <f>IF(AND(ISNUMBER(BG256),ISNUMBER(BG244)),IFERROR(-(BG244+BG245)/BG256,""),"")</f>
        <v>1.05525846702317</v>
      </c>
      <c r="BH262" s="215">
        <f>IF(AND(ISNUMBER(BH256),ISNUMBER(BH244)),IFERROR(-(BH244+BH245)/BH256,""),"")</f>
        <v>2.18442884492661</v>
      </c>
      <c r="BI262" s="215">
        <f>IF(AND(ISNUMBER(BI256),ISNUMBER(BI244)),IFERROR(-(BI244+BI245)/BI256,""),"")</f>
        <v>1.19959432048682</v>
      </c>
      <c r="BJ262" s="215">
        <f>IF(AND(ISNUMBER(BJ256),ISNUMBER(BJ244)),IFERROR(-(BJ244+BJ245)/BJ256,""),"")</f>
        <v>0.814938312770924</v>
      </c>
      <c r="BK262" s="215">
        <f>IF(AND(ISNUMBER(BK256),ISNUMBER(BK244)),IFERROR(-(BK244+BK245)/BK256,""),"")</f>
        <v>0.612794612794613</v>
      </c>
      <c r="BL262" s="215">
        <f>IF(AND(ISNUMBER(BL256),ISNUMBER(BL244)),IFERROR(-(BL244+BL245)/BL256,""),"")</f>
        <v>1.02735952993022</v>
      </c>
      <c r="BM262" s="215">
        <f>IF(AND(ISNUMBER(BM256),ISNUMBER(BM244)),IFERROR(-(BM244+BM245)/BM256,""),"")</f>
        <v>2.01545595054096</v>
      </c>
      <c r="BN262" s="215">
        <f>IF(AND(ISNUMBER(BN256),ISNUMBER(BN244)),IFERROR(-(BN244+BN245)/BN256,""),"")</f>
        <v>1.14496833216045</v>
      </c>
      <c r="BO262" s="215">
        <f>IF(AND(ISNUMBER(BO256),ISNUMBER(BO244)),IFERROR(-(BO244+BO245)/BO256,""),"")</f>
        <v>0.72852445540485</v>
      </c>
      <c r="BP262" s="215">
        <f>IF(AND(ISNUMBER(BP256),ISNUMBER(BP244)),IFERROR(-(BP244+BP245)/BP256,""),"")</f>
        <v>0.889179755671902</v>
      </c>
      <c r="BQ262" s="215">
        <f>IF(AND(ISNUMBER(BQ256),ISNUMBER(BQ244)),IFERROR(-(BQ244+BQ245)/BQ256,""),"")</f>
        <v>0.992418666274106</v>
      </c>
      <c r="BR262" s="215">
        <f>IF(AND(ISNUMBER(BR256),ISNUMBER(BR244)),IFERROR(-(BR244+BR245)/BR256,""),"")</f>
        <v>1.60306475531389</v>
      </c>
      <c r="BS262" s="215">
        <f>IF(AND(ISNUMBER(BS256),ISNUMBER(BS244)),IFERROR(-(BS244+BS245)/BS256,""),"")</f>
        <v>0.678197542102868</v>
      </c>
      <c r="BT262" s="215">
        <f>IF(AND(ISNUMBER(BT256),ISNUMBER(BT244)),IFERROR(-(BT244+BT245)/BT256,""),"")</f>
        <v>0.757541478129713</v>
      </c>
      <c r="BU262" s="215">
        <f>IF(AND(ISNUMBER(BU256),ISNUMBER(BU244)),IFERROR(-(BU244+BU245)/BU256,""),"")</f>
        <v>0.900254668930391</v>
      </c>
      <c r="BV262" s="215">
        <f>IF(AND(ISNUMBER(BV256),ISNUMBER(BV244)),IFERROR(-(BV244+BV245)/BV256,""),"")</f>
        <v>0.881336335422625</v>
      </c>
      <c r="BW262" s="215">
        <f>IF(AND(ISNUMBER(BW256),ISNUMBER(BW244)),IFERROR(-(BW244+BW245)/BW256,""),"")</f>
        <v>1.80630630630631</v>
      </c>
      <c r="BX262" s="215">
        <f>IF(AND(ISNUMBER(BX256),ISNUMBER(BX244)),IFERROR(-(BX244+BX245)/BX256,""),"")</f>
        <v>1.72048558421851</v>
      </c>
      <c r="BY262" s="24" t="n"/>
      <c r="BZ262" s="24" t="n"/>
      <c r="CA262" s="256">
        <f>IF(AND(ISNUMBER(CA256),ISNUMBER(CA244)),IFERROR(-(CA244+CA245)/CA256,""),"")</f>
        <v>1.16947996020873</v>
      </c>
      <c r="CB262" s="256">
        <f>IF(AND(ISNUMBER(CB256),ISNUMBER(CB244)),IFERROR(-(CB244+CB245)/CB256,""),"")</f>
        <v>0.962413476960686</v>
      </c>
      <c r="CC262" s="256">
        <f>IF(AND(ISNUMBER(CC256),ISNUMBER(CC244)),IFERROR(-(CC244+CC245)/CC256,""),"")</f>
        <v>1.01985086815932</v>
      </c>
      <c r="CD262" s="256">
        <f>IF(AND(ISNUMBER(CD256),ISNUMBER(CD244)),IFERROR(-(CD244+CD245)/CD256,""),"")</f>
        <v>1.02175320614202</v>
      </c>
      <c r="CE262" s="256">
        <f>IF(AND(ISNUMBER(CE256),ISNUMBER(CE244)),IFERROR(-(CE244+CE245)/CE256,""),"")</f>
        <v>1.02274801427323</v>
      </c>
      <c r="CF262" s="153" t="n"/>
      <c r="CH262" s="37">
        <f>IFERROR(AVERAGE(CA262,CB262,CC262,CD262,CE262),"n/m")</f>
        <v>1.0392491051488</v>
      </c>
      <c r="CI262" s="37">
        <f>IFERROR(AVERAGE(BB262,BG262,BL262,BQ262,BV262),"n/m")</f>
        <v>0.968058042902647</v>
      </c>
      <c r="CJ262" s="37">
        <f>IFERROR(AVERAGE(AC262,AH262,AM262,AR262,AW262,BB262,BG262,BL262,BQ262,BV262),"n/m")</f>
        <v>0.984666777313516</v>
      </c>
      <c r="CK262" s="37">
        <f>IFERROR(AVERAGE(C262,D262,E262,F262,G262,H262,I262,N262,S262,X262,AC262,AH262,AM262,AR262,AW262,BB262,BG262,BL262,BQ262,BV262),"n/m")</f>
        <v>0.918981035272372</v>
      </c>
    </row>
    <row r="263" ht="15" customHeight="1" s="251">
      <c r="B263" s="25" t="inlineStr">
        <is>
          <t>Capex ratios</t>
        </is>
      </c>
      <c r="CF263" s="153" t="n"/>
    </row>
    <row r="264" ht="15" customHeight="1" s="251">
      <c r="B264" s="25" t="inlineStr">
        <is>
          <t xml:space="preserve">  Capex (incl. capitalized software) % of net revenue</t>
        </is>
      </c>
      <c r="C264" s="215">
        <f>IF(ISNUMBER(C240),IFERROR(-C240/C123,""),"")</f>
        <v>0.028402254429697</v>
      </c>
      <c r="D264" s="215">
        <f>IF(ISNUMBER(D240),IFERROR(-D240/D123,""),"")</f>
        <v>0.0384556098081448</v>
      </c>
      <c r="E264" s="215">
        <f>IF(ISNUMBER(E240),IFERROR(-E240/E123,""),"")</f>
        <v>0.0341119080054492</v>
      </c>
      <c r="F264" s="215">
        <f>IF(ISNUMBER(F240),IFERROR(-F240/F123,""),"")</f>
        <v>0.0273325430640534</v>
      </c>
      <c r="G264" s="215">
        <f>IF(ISNUMBER(G240),IFERROR(-G240/G123,""),"")</f>
        <v>0.0272612384907023</v>
      </c>
      <c r="H264" s="215">
        <f>IF(ISNUMBER(H240),IFERROR(-H240/H123,""),"")</f>
        <v>0.0263628239499553</v>
      </c>
      <c r="I264" s="215">
        <f>IF(ISNUMBER(I240),IFERROR(-I240/I123,""),"")</f>
        <v>0.029495332160736</v>
      </c>
      <c r="J264" s="215">
        <f>IF(ISNUMBER(J240),IFERROR(-J240/J123,""),"")</f>
        <v>0.0220356768100735</v>
      </c>
      <c r="K264" s="215">
        <f>IF(ISNUMBER(K240),IFERROR(-K240/K123,""),"")</f>
        <v>0.0291030534351145</v>
      </c>
      <c r="L264" s="215">
        <f>IF(ISNUMBER(L240),IFERROR(-L240/L123,""),"")</f>
        <v>0.0225428313796213</v>
      </c>
      <c r="M264" s="215">
        <f>IF(ISNUMBER(M240),IFERROR(-M240/M123,""),"")</f>
        <v>0.0686735653809972</v>
      </c>
      <c r="N264" s="215">
        <f>IF(ISNUMBER(N240),IFERROR(-N240/N123,""),"")</f>
        <v>0.0358255451713396</v>
      </c>
      <c r="O264" s="215">
        <f>IF(ISNUMBER(O240),IFERROR(-O240/O123,""),"")</f>
        <v>0.022508038585209</v>
      </c>
      <c r="P264" s="215">
        <f>IF(ISNUMBER(P240),IFERROR(-P240/P123,""),"")</f>
        <v>0.0222970130416491</v>
      </c>
      <c r="Q264" s="215">
        <f>IF(ISNUMBER(Q240),IFERROR(-Q240/Q123,""),"")</f>
        <v>0.027966440271674</v>
      </c>
      <c r="R264" s="215">
        <f>IF(ISNUMBER(R240),IFERROR(-R240/R123,""),"")</f>
        <v>0.0670529801324503</v>
      </c>
      <c r="S264" s="215">
        <f>IF(ISNUMBER(S240),IFERROR(-S240/S123,""),"")</f>
        <v>0.0352581019740315</v>
      </c>
      <c r="T264" s="215">
        <f>IF(ISNUMBER(T240),IFERROR(-T240/T123,""),"")</f>
        <v>0.0255605381165919</v>
      </c>
      <c r="U264" s="215">
        <f>IF(ISNUMBER(U240),IFERROR(-U240/U123,""),"")</f>
        <v>0.0359832635983264</v>
      </c>
      <c r="V264" s="215">
        <f>IF(ISNUMBER(V240),IFERROR(-V240/V123,""),"")</f>
        <v>0.041897233201581</v>
      </c>
      <c r="W264" s="215">
        <f>IF(ISNUMBER(W240),IFERROR(-W240/W123,""),"")</f>
        <v>0.0369487485101311</v>
      </c>
      <c r="X264" s="215">
        <f>IF(ISNUMBER(X240),IFERROR(-X240/X123,""),"")</f>
        <v>0.0353780904106755</v>
      </c>
      <c r="Y264" s="215">
        <f>IF(ISNUMBER(Y240),IFERROR(-Y240/Y123,""),"")</f>
        <v>0.0306623058053966</v>
      </c>
      <c r="Z264" s="215">
        <f>IF(ISNUMBER(Z240),IFERROR(-Z240/Z123,""),"")</f>
        <v>0.0393466963622866</v>
      </c>
      <c r="AA264" s="215">
        <f>IF(ISNUMBER(AA240),IFERROR(-AA240/AA123,""),"")</f>
        <v>0.034375</v>
      </c>
      <c r="AB264" s="215">
        <f>IF(ISNUMBER(AB240),IFERROR(-AB240/AB123,""),"")</f>
        <v>0.0370101596516691</v>
      </c>
      <c r="AC264" s="215">
        <f>IF(ISNUMBER(AC240),IFERROR(-AC240/AC123,""),"")</f>
        <v>0.035449146250928</v>
      </c>
      <c r="AD264" s="215">
        <f>IF(ISNUMBER(AD240),IFERROR(-AD240/AD123,""),"")</f>
        <v>0.0343818580833943</v>
      </c>
      <c r="AE264" s="215">
        <f>IF(ISNUMBER(AE240),IFERROR(-AE240/AE123,""),"")</f>
        <v>0.0242384539796921</v>
      </c>
      <c r="AF264" s="215">
        <f>IF(ISNUMBER(AF240),IFERROR(-AF240/AF123,""),"")</f>
        <v>0.0391406709829311</v>
      </c>
      <c r="AG264" s="215">
        <f>IF(ISNUMBER(AG240),IFERROR(-AG240/AG123,""),"")</f>
        <v>0.0368357487922705</v>
      </c>
      <c r="AH264" s="215">
        <f>IF(ISNUMBER(AH240),IFERROR(-AH240/AH123,""),"")</f>
        <v>0.0338481235496519</v>
      </c>
      <c r="AI264" s="215">
        <f>IF(ISNUMBER(AI240),IFERROR(-AI240/AI123,""),"")</f>
        <v>0.035195530726257</v>
      </c>
      <c r="AJ264" s="215">
        <f>IF(ISNUMBER(AJ240),IFERROR(-AJ240/AJ123,""),"")</f>
        <v>0.034106412005457</v>
      </c>
      <c r="AK264" s="215">
        <f>IF(ISNUMBER(AK240),IFERROR(-AK240/AK123,""),"")</f>
        <v>0.0333504361210877</v>
      </c>
      <c r="AL264" s="215">
        <f>IF(ISNUMBER(AL240),IFERROR(-AL240/AL123,""),"")</f>
        <v>0.0323089046493302</v>
      </c>
      <c r="AM264" s="215">
        <f>IF(ISNUMBER(AM240),IFERROR(-AM240/AM123,""),"")</f>
        <v>0.0337123745819398</v>
      </c>
      <c r="AN264" s="215">
        <f>IF(ISNUMBER(AN240),IFERROR(-AN240/AN123,""),"")</f>
        <v>0.0365132424787863</v>
      </c>
      <c r="AO264" s="215">
        <f>IF(ISNUMBER(AO240),IFERROR(-AO240/AO123,""),"")</f>
        <v>0.0442499392171165</v>
      </c>
      <c r="AP264" s="215">
        <f>IF(ISNUMBER(AP240),IFERROR(-AP240/AP123,""),"")</f>
        <v>0.0490261920752183</v>
      </c>
      <c r="AQ264" s="215">
        <f>IF(ISNUMBER(AQ240),IFERROR(-AQ240/AQ123,""),"")</f>
        <v>0.0419120978704123</v>
      </c>
      <c r="AR264" s="215">
        <f>IF(ISNUMBER(AR240),IFERROR(-AR240/AR123,""),"")</f>
        <v>0.0431202985251436</v>
      </c>
      <c r="AS264" s="215">
        <f>IF(ISNUMBER(AS240),IFERROR(-AS240/AS123,""),"")</f>
        <v>0.0521327014218009</v>
      </c>
      <c r="AT264" s="215">
        <f>IF(ISNUMBER(AT240),IFERROR(-AT240/AT123,""),"")</f>
        <v>0.0548725637181409</v>
      </c>
      <c r="AU264" s="215">
        <f>IF(ISNUMBER(AU240),IFERROR(-AU240/AU123,""),"")</f>
        <v>0.0430023455824863</v>
      </c>
      <c r="AV264" s="215">
        <f>IF(ISNUMBER(AV240),IFERROR(-AV240/AV123,""),"")</f>
        <v>0.0366504854368932</v>
      </c>
      <c r="AW264" s="215">
        <f>IF(ISNUMBER(AW240),IFERROR(-AW240/AW123,""),"")</f>
        <v>0.046271485523822</v>
      </c>
      <c r="AX264" s="215">
        <f>IF(ISNUMBER(AX240),IFERROR(-AX240/AX123,""),"")</f>
        <v>0.0346570397111913</v>
      </c>
      <c r="AY264" s="215">
        <f>IF(ISNUMBER(AY240),IFERROR(-AY240/AY123,""),"")</f>
        <v>0.0426236749116608</v>
      </c>
      <c r="AZ264" s="215">
        <f>IF(ISNUMBER(AZ240),IFERROR(-AZ240/AZ123,""),"")</f>
        <v>0.0499498495486459</v>
      </c>
      <c r="BA264" s="215">
        <f>IF(ISNUMBER(BA240),IFERROR(-BA240/BA123,""),"")</f>
        <v>0.0437116564417178</v>
      </c>
      <c r="BB264" s="215">
        <f>IF(ISNUMBER(BB240),IFERROR(-BB240/BB123,""),"")</f>
        <v>0.043105274306291</v>
      </c>
      <c r="BC264" s="215">
        <f>IF(ISNUMBER(BC240),IFERROR(-BC240/BC123,""),"")</f>
        <v>0.0568995548674279</v>
      </c>
      <c r="BD264" s="215">
        <f>IF(ISNUMBER(BD240),IFERROR(-BD240/BD123,""),"")</f>
        <v>0.0340185555757686</v>
      </c>
      <c r="BE264" s="215">
        <f>IF(ISNUMBER(BE240),IFERROR(-BE240/BE123,""),"")</f>
        <v>0.0481236970118138</v>
      </c>
      <c r="BF264" s="215">
        <f>IF(ISNUMBER(BF240),IFERROR(-BF240/BF123,""),"")</f>
        <v>0.0582774626095926</v>
      </c>
      <c r="BG264" s="215">
        <f>IF(ISNUMBER(BG240),IFERROR(-BG240/BG123,""),"")</f>
        <v>0.0493321940909295</v>
      </c>
      <c r="BH264" s="215">
        <f>IF(ISNUMBER(BH240),IFERROR(-BH240/BH123,""),"")</f>
        <v>0.0612386917188587</v>
      </c>
      <c r="BI264" s="215">
        <f>IF(ISNUMBER(BI240),IFERROR(-BI240/BI123,""),"")</f>
        <v>0.0371670122826607</v>
      </c>
      <c r="BJ264" s="215">
        <f>IF(ISNUMBER(BJ240),IFERROR(-BJ240/BJ123,""),"")</f>
        <v>0.0358181539874483</v>
      </c>
      <c r="BK264" s="215">
        <f>IF(ISNUMBER(BK240),IFERROR(-BK240/BK123,""),"")</f>
        <v>0.0410812461820403</v>
      </c>
      <c r="BL264" s="215">
        <f>IF(ISNUMBER(BL240),IFERROR(-BL240/BL123,""),"")</f>
        <v>0.0433500677344808</v>
      </c>
      <c r="BM264" s="215">
        <f>IF(ISNUMBER(BM240),IFERROR(-BM240/BM123,""),"")</f>
        <v>0.0595463137996219</v>
      </c>
      <c r="BN264" s="215">
        <f>IF(ISNUMBER(BN240),IFERROR(-BN240/BN123,""),"")</f>
        <v>0.0425226260594742</v>
      </c>
      <c r="BO264" s="215">
        <f>IF(ISNUMBER(BO240),IFERROR(-BO240/BO123,""),"")</f>
        <v>0.0366399782874203</v>
      </c>
      <c r="BP264" s="215">
        <f>IF(ISNUMBER(BP240),IFERROR(-BP240/BP123,""),"")</f>
        <v>0.0333822940312458</v>
      </c>
      <c r="BQ264" s="215">
        <f>IF(ISNUMBER(BQ240),IFERROR(-BQ240/BQ123,""),"")</f>
        <v>0.0423900308872084</v>
      </c>
      <c r="BR264" s="215">
        <f>IF(ISNUMBER(BR240),IFERROR(-BR240/BR123,""),"")</f>
        <v>0.0492413793103448</v>
      </c>
      <c r="BS264" s="215">
        <f>IF(ISNUMBER(BS240),IFERROR(-BS240/BS123,""),"")</f>
        <v>0.0256977744989549</v>
      </c>
      <c r="BT264" s="215">
        <f>IF(ISNUMBER(BT240),IFERROR(-BT240/BT123,""),"")</f>
        <v>0.0417344803534062</v>
      </c>
      <c r="BU264" s="215">
        <f>IF(ISNUMBER(BU240),IFERROR(-BU240/BU123,""),"")</f>
        <v>0.0329320917556212</v>
      </c>
      <c r="BV264" s="215">
        <f>IF(ISNUMBER(BV240),IFERROR(-BV240/BV123,""),"")</f>
        <v>0.0370528498673417</v>
      </c>
      <c r="BW264" s="215">
        <f>IF(ISNUMBER(BW240),IFERROR(-BW240/BW123,""),"")</f>
        <v>0.0398904501071684</v>
      </c>
      <c r="BX264" s="215">
        <f>IF(ISNUMBER(BX240),IFERROR(-BX240/BX123,""),"")</f>
        <v>0.0515252775681794</v>
      </c>
      <c r="BY264" s="24" t="n"/>
      <c r="BZ264" s="24" t="n"/>
      <c r="CA264" s="256">
        <f>IF(ISNUMBER(CA240),IFERROR(-CA240/CA123,""),"")</f>
        <v>0.040652607348879</v>
      </c>
      <c r="CB264" s="259" t="n">
        <v>0.04</v>
      </c>
      <c r="CC264" s="259" t="n">
        <v>0.04</v>
      </c>
      <c r="CD264" s="259" t="n">
        <v>0.04</v>
      </c>
      <c r="CE264" s="259" t="n">
        <v>0.04</v>
      </c>
      <c r="CF264" s="153" t="inlineStr">
        <is>
          <t>2027E+ input: FY2023–25 3.4–4.0% of net revenue; H1-26 4.6% (property additions).</t>
        </is>
      </c>
      <c r="CH264" s="37">
        <f>IFERROR(AVERAGE(CA264,CB264,CC264,CD264,CE264),"n/m")</f>
        <v>0.0401305214697758</v>
      </c>
      <c r="CI264" s="37">
        <f>IFERROR(AVERAGE(BB264,BG264,BL264,BQ264,BV264),"n/m")</f>
        <v>0.0430460833772503</v>
      </c>
      <c r="CJ264" s="37">
        <f>IFERROR(AVERAGE(AC264,AH264,AM264,AR264,AW264,BB264,BG264,BL264,BQ264,BV264),"n/m")</f>
        <v>0.0407631845317737</v>
      </c>
      <c r="CK264" s="37">
        <f>IFERROR(AVERAGE(C264,D264,E264,F264,G264,H264,I264,N264,S264,X264,AC264,AH264,AM264,AR264,AW264,BB264,BG264,BL264,BQ264,BV264),"n/m")</f>
        <v>0.0362757646391261</v>
      </c>
    </row>
    <row r="265" ht="15" customHeight="1" s="251">
      <c r="B265" s="25" t="inlineStr">
        <is>
          <t xml:space="preserve">  Capex / D&amp;A (x)</t>
        </is>
      </c>
      <c r="C265" s="285">
        <f>IF(ISNUMBER(C240),IFERROR(-C240/C126,""),"")</f>
        <v>0.946743901705719</v>
      </c>
      <c r="D265" s="285">
        <f>IF(ISNUMBER(D240),IFERROR(-D240/D126,""),"")</f>
        <v>1.60199504311669</v>
      </c>
      <c r="E265" s="285">
        <f>IF(ISNUMBER(E240),IFERROR(-E240/E126,""),"")</f>
        <v>1.52021320286413</v>
      </c>
      <c r="F265" s="285">
        <f>IF(ISNUMBER(F240),IFERROR(-F240/F126,""),"")</f>
        <v>0.985733181493454</v>
      </c>
      <c r="G265" s="285">
        <f>IF(ISNUMBER(G240),IFERROR(-G240/G126,""),"")</f>
        <v>1.02027027027027</v>
      </c>
      <c r="H265" s="285">
        <f>IF(ISNUMBER(H240),IFERROR(-H240/H126,""),"")</f>
        <v>0.912371134020619</v>
      </c>
      <c r="I265" s="285">
        <f>IF(ISNUMBER(I240),IFERROR(-I240/I126,""),"")</f>
        <v>0.947826086956522</v>
      </c>
      <c r="J265" s="285">
        <f>IF(ISNUMBER(J240),IFERROR(-J240/J126,""),"")</f>
        <v>0.67741935483871</v>
      </c>
      <c r="K265" s="285">
        <f>IF(ISNUMBER(K240),IFERROR(-K240/K126,""),"")</f>
        <v>1</v>
      </c>
      <c r="L265" s="285">
        <f>IF(ISNUMBER(L240),IFERROR(-L240/L126,""),"")</f>
        <v>0.78125</v>
      </c>
      <c r="M265" s="285">
        <f>IF(ISNUMBER(M240),IFERROR(-M240/M126,""),"")</f>
        <v>2.05633802816901</v>
      </c>
      <c r="N265" s="285">
        <f>IF(ISNUMBER(N240),IFERROR(-N240/N126,""),"")</f>
        <v>1.15891472868217</v>
      </c>
      <c r="O265" s="285">
        <f>IF(ISNUMBER(O240),IFERROR(-O240/O126,""),"")</f>
        <v>0.671232876712329</v>
      </c>
      <c r="P265" s="285">
        <f>IF(ISNUMBER(P240),IFERROR(-P240/P126,""),"")</f>
        <v>0.654320987654321</v>
      </c>
      <c r="Q265" s="285">
        <f>IF(ISNUMBER(Q240),IFERROR(-Q240/Q126,""),"")</f>
        <v>0.843373493975904</v>
      </c>
      <c r="R265" s="285">
        <f>IF(ISNUMBER(R240),IFERROR(-R240/R126,""),"")</f>
        <v>1.92857142857143</v>
      </c>
      <c r="S265" s="285">
        <f>IF(ISNUMBER(S240),IFERROR(-S240/S126,""),"")</f>
        <v>1.0404984423676</v>
      </c>
      <c r="T265" s="285">
        <f>IF(ISNUMBER(T240),IFERROR(-T240/T126,""),"")</f>
        <v>0.655172413793103</v>
      </c>
      <c r="U265" s="285">
        <f>IF(ISNUMBER(U240),IFERROR(-U240/U126,""),"")</f>
        <v>0.934782608695652</v>
      </c>
      <c r="V265" s="285">
        <f>IF(ISNUMBER(V240),IFERROR(-V240/V126,""),"")</f>
        <v>1.12765957446809</v>
      </c>
      <c r="W265" s="285">
        <f>IF(ISNUMBER(W240),IFERROR(-W240/W126,""),"")</f>
        <v>1</v>
      </c>
      <c r="X265" s="285">
        <f>IF(ISNUMBER(X240),IFERROR(-X240/X126,""),"")</f>
        <v>0.934426229508197</v>
      </c>
      <c r="Y265" s="285">
        <f>IF(ISNUMBER(Y240),IFERROR(-Y240/Y126,""),"")</f>
        <v>0.789473684210526</v>
      </c>
      <c r="Z265" s="285">
        <f>IF(ISNUMBER(Z240),IFERROR(-Z240/Z126,""),"")</f>
        <v>1.13978494623656</v>
      </c>
      <c r="AA265" s="285">
        <f>IF(ISNUMBER(AA240),IFERROR(-AA240/AA126,""),"")</f>
        <v>1.06451612903226</v>
      </c>
      <c r="AB265" s="285">
        <f>IF(ISNUMBER(AB240),IFERROR(-AB240/AB126,""),"")</f>
        <v>1.10869565217391</v>
      </c>
      <c r="AC265" s="285">
        <f>IF(ISNUMBER(AC240),IFERROR(-AC240/AC126,""),"")</f>
        <v>1.02412868632708</v>
      </c>
      <c r="AD265" s="285">
        <f>IF(ISNUMBER(AD240),IFERROR(-AD240/AD126,""),"")</f>
        <v>1.02173913043478</v>
      </c>
      <c r="AE265" s="285">
        <f>IF(ISNUMBER(AE240),IFERROR(-AE240/AE126,""),"")</f>
        <v>0.666666666666667</v>
      </c>
      <c r="AF265" s="285">
        <f>IF(ISNUMBER(AF240),IFERROR(-AF240/AF126,""),"")</f>
        <v>1.1271186440678</v>
      </c>
      <c r="AG265" s="285">
        <f>IF(ISNUMBER(AG240),IFERROR(-AG240/AG126,""),"")</f>
        <v>1.06086956521739</v>
      </c>
      <c r="AH265" s="285">
        <f>IF(ISNUMBER(AH240),IFERROR(-AH240/AH126,""),"")</f>
        <v>0.970183486238532</v>
      </c>
      <c r="AI265" s="285">
        <f>IF(ISNUMBER(AI240),IFERROR(-AI240/AI126,""),"")</f>
        <v>1.05</v>
      </c>
      <c r="AJ265" s="285">
        <f>IF(ISNUMBER(AJ240),IFERROR(-AJ240/AJ126,""),"")</f>
        <v>1.08695652173913</v>
      </c>
      <c r="AK265" s="285">
        <f>IF(ISNUMBER(AK240),IFERROR(-AK240/AK126,""),"")</f>
        <v>1.17117117117117</v>
      </c>
      <c r="AL265" s="285">
        <f>IF(ISNUMBER(AL240),IFERROR(-AL240/AL126,""),"")</f>
        <v>1.08849557522124</v>
      </c>
      <c r="AM265" s="285">
        <f>IF(ISNUMBER(AM240),IFERROR(-AM240/AM126,""),"")</f>
        <v>1.09803921568627</v>
      </c>
      <c r="AN265" s="285">
        <f>IF(ISNUMBER(AN240),IFERROR(-AN240/AN126,""),"")</f>
        <v>1.21367521367521</v>
      </c>
      <c r="AO265" s="285">
        <f>IF(ISNUMBER(AO240),IFERROR(-AO240/AO126,""),"")</f>
        <v>1.49180327868852</v>
      </c>
      <c r="AP265" s="285">
        <f>IF(ISNUMBER(AP240),IFERROR(-AP240/AP126,""),"")</f>
        <v>1.5985401459854</v>
      </c>
      <c r="AQ265" s="285">
        <f>IF(ISNUMBER(AQ240),IFERROR(-AQ240/AQ126,""),"")</f>
        <v>1.26712328767123</v>
      </c>
      <c r="AR265" s="285">
        <f>IF(ISNUMBER(AR240),IFERROR(-AR240/AR126,""),"")</f>
        <v>1.39463601532567</v>
      </c>
      <c r="AS265" s="285">
        <f>IF(ISNUMBER(AS240),IFERROR(-AS240/AS126,""),"")</f>
        <v>1.45138888888889</v>
      </c>
      <c r="AT265" s="285">
        <f>IF(ISNUMBER(AT240),IFERROR(-AT240/AT126,""),"")</f>
        <v>1.26206896551724</v>
      </c>
      <c r="AU265" s="285">
        <f>IF(ISNUMBER(AU240),IFERROR(-AU240/AU126,""),"")</f>
        <v>1.17021276595745</v>
      </c>
      <c r="AV265" s="285">
        <f>IF(ISNUMBER(AV240),IFERROR(-AV240/AV126,""),"")</f>
        <v>1.00666666666667</v>
      </c>
      <c r="AW265" s="285">
        <f>IF(ISNUMBER(AW240),IFERROR(-AW240/AW126,""),"")</f>
        <v>1.22068965517241</v>
      </c>
      <c r="AX265" s="285">
        <f>IF(ISNUMBER(AX240),IFERROR(-AX240/AX126,""),"")</f>
        <v>0.883435582822086</v>
      </c>
      <c r="AY265" s="285">
        <f>IF(ISNUMBER(AY240),IFERROR(-AY240/AY126,""),"")</f>
        <v>1.03763440860215</v>
      </c>
      <c r="AZ265" s="285">
        <f>IF(ISNUMBER(AZ240),IFERROR(-AZ240/AZ126,""),"")</f>
        <v>1.32446808510638</v>
      </c>
      <c r="BA265" s="285">
        <f>IF(ISNUMBER(BA240),IFERROR(-BA240/BA126,""),"")</f>
        <v>1.20634920634921</v>
      </c>
      <c r="BB265" s="285">
        <f>IF(ISNUMBER(BB240),IFERROR(-BB240/BB126,""),"")</f>
        <v>1.12121212121212</v>
      </c>
      <c r="BC265" s="285">
        <f>IF(ISNUMBER(BC240),IFERROR(-BC240/BC126,""),"")</f>
        <v>1.53125</v>
      </c>
      <c r="BD265" s="285">
        <f>IF(ISNUMBER(BD240),IFERROR(-BD240/BD126,""),"")</f>
        <v>0.989417989417989</v>
      </c>
      <c r="BE265" s="285">
        <f>IF(ISNUMBER(BE240),IFERROR(-BE240/BE126,""),"")</f>
        <v>1.4972972972973</v>
      </c>
      <c r="BF265" s="285">
        <f>IF(ISNUMBER(BF240),IFERROR(-BF240/BF126,""),"")</f>
        <v>1.84239130434783</v>
      </c>
      <c r="BG265" s="285">
        <f>IF(ISNUMBER(BG240),IFERROR(-BG240/BG126,""),"")</f>
        <v>1.46266666666667</v>
      </c>
      <c r="BH265" s="285">
        <f>IF(ISNUMBER(BH240),IFERROR(-BH240/BH126,""),"")</f>
        <v>1.84293193717277</v>
      </c>
      <c r="BI265" s="285">
        <f>IF(ISNUMBER(BI240),IFERROR(-BI240/BI126,""),"")</f>
        <v>1.21354166666667</v>
      </c>
      <c r="BJ265" s="285">
        <f>IF(ISNUMBER(BJ240),IFERROR(-BJ240/BJ126,""),"")</f>
        <v>1.10900473933649</v>
      </c>
      <c r="BK265" s="285">
        <f>IF(ISNUMBER(BK240),IFERROR(-BK240/BK126,""),"")</f>
        <v>1.31219512195122</v>
      </c>
      <c r="BL265" s="285">
        <f>IF(ISNUMBER(BL240),IFERROR(-BL240/BL126,""),"")</f>
        <v>1.36170212765957</v>
      </c>
      <c r="BM265" s="285">
        <f>IF(ISNUMBER(BM240),IFERROR(-BM240/BM126,""),"")</f>
        <v>1.75</v>
      </c>
      <c r="BN265" s="285">
        <f>IF(ISNUMBER(BN240),IFERROR(-BN240/BN126,""),"")</f>
        <v>1.31555555555556</v>
      </c>
      <c r="BO265" s="285">
        <f>IF(ISNUMBER(BO240),IFERROR(-BO240/BO126,""),"")</f>
        <v>1.2</v>
      </c>
      <c r="BP265" s="285">
        <f>IF(ISNUMBER(BP240),IFERROR(-BP240/BP126,""),"")</f>
        <v>1.08225108225108</v>
      </c>
      <c r="BQ265" s="285">
        <f>IF(ISNUMBER(BQ240),IFERROR(-BQ240/BQ126,""),"")</f>
        <v>1.33110367892977</v>
      </c>
      <c r="BR265" s="285">
        <f>IF(ISNUMBER(BR240),IFERROR(-BR240/BR126,""),"")</f>
        <v>1.29818181818182</v>
      </c>
      <c r="BS265" s="285">
        <f>IF(ISNUMBER(BS240),IFERROR(-BS240/BS126,""),"")</f>
        <v>0.743772241992883</v>
      </c>
      <c r="BT265" s="285">
        <f>IF(ISNUMBER(BT240),IFERROR(-BT240/BT126,""),"")</f>
        <v>1.23793103448276</v>
      </c>
      <c r="BU265" s="285">
        <f>IF(ISNUMBER(BU240),IFERROR(-BU240/BU126,""),"")</f>
        <v>0.976430976430976</v>
      </c>
      <c r="BV265" s="285">
        <f>IF(ISNUMBER(BV240),IFERROR(-BV240/BV126,""),"")</f>
        <v>1.06299212598425</v>
      </c>
      <c r="BW265" s="285">
        <f>IF(ISNUMBER(BW240),IFERROR(-BW240/BW126,""),"")</f>
        <v>1.12040133779264</v>
      </c>
      <c r="BX265" s="285">
        <f>IF(ISNUMBER(BX240),IFERROR(-BX240/BX126,""),"")</f>
        <v>1.54692556634304</v>
      </c>
      <c r="BY265" s="35" t="n"/>
      <c r="BZ265" s="35" t="n"/>
      <c r="CA265" s="286">
        <f>IF(ISNUMBER(CA240),IFERROR(-CA240/CA126,""),"")</f>
        <v>1.2027027027027</v>
      </c>
      <c r="CB265" s="286">
        <f>IF(ISNUMBER(CB240),IFERROR(-CB240/CB126,""),"")</f>
        <v>1.12457359528332</v>
      </c>
      <c r="CC265" s="286">
        <f>IF(ISNUMBER(CC240),IFERROR(-CC240/CC126,""),"")</f>
        <v>1.10484212423558</v>
      </c>
      <c r="CD265" s="286">
        <f>IF(ISNUMBER(CD240),IFERROR(-CD240/CD126,""),"")</f>
        <v>1.08977216327813</v>
      </c>
      <c r="CE265" s="286">
        <f>IF(ISNUMBER(CE240),IFERROR(-CE240/CE126,""),"")</f>
        <v>1.0780718569209</v>
      </c>
      <c r="CF265" s="19" t="n"/>
    </row>
    <row r="266" ht="15" customHeight="1" s="251">
      <c r="CN266" s="11" t="n"/>
      <c r="CO266" s="12" t="n"/>
      <c r="CP266" s="12" t="n"/>
      <c r="CQ266" s="12" t="n"/>
      <c r="CR266" s="13" t="n"/>
    </row>
    <row r="267" ht="15" customHeight="1" s="251">
      <c r="B267" s="10" t="inlineStr">
        <is>
          <t>SHARE BUYBACK SCHEDULE</t>
        </is>
      </c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inlineStr">
        <is>
          <t>SHARES — 2026E = H2 from shares outstanding at 30-Jun-2026; 2027E+ buybacks via the leverage plug</t>
        </is>
      </c>
    </row>
    <row r="268" ht="15" customHeight="1" s="251">
      <c r="B268" s="25" t="inlineStr">
        <is>
          <t xml:space="preserve">  Avg buyback price ($)</t>
        </is>
      </c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  <c r="AA268" s="34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34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34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5" t="n"/>
      <c r="BZ268" s="35" t="n"/>
      <c r="CA268" s="287">
        <f>CA392</f>
        <v>595</v>
      </c>
      <c r="CB268" s="287">
        <f>CA268*(1+CB335)</f>
        <v>648.55</v>
      </c>
      <c r="CC268" s="287">
        <f>CB268*(1+CC335)</f>
        <v>706.9195</v>
      </c>
      <c r="CD268" s="287">
        <f>CC268*(1+CD335)</f>
        <v>770.542255</v>
      </c>
      <c r="CE268" s="287">
        <f>CD268*(1+CE335)</f>
        <v>839.89105795</v>
      </c>
      <c r="CF268" s="19" t="n"/>
    </row>
    <row r="269" ht="15" customHeight="1" s="251">
      <c r="B269" s="25" t="inlineStr">
        <is>
          <t xml:space="preserve">  Buyback cash deployed (USDm; 2026E = H2)</t>
        </is>
      </c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  <c r="AA269" s="34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34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34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5" t="n"/>
      <c r="BZ269" s="35" t="n"/>
      <c r="CA269" s="254">
        <f>CHOOSE(MATCH($CF$2,{"Bull","Base","Bear"},0),$CO$14,$CP$14,$CQ$14)</f>
        <v>7000</v>
      </c>
      <c r="CB269" s="254">
        <f>-CB244</f>
        <v>15045.8454076459</v>
      </c>
      <c r="CC269" s="254">
        <f>-CC244</f>
        <v>18363.037828114</v>
      </c>
      <c r="CD269" s="254">
        <f>-CD244</f>
        <v>20748.9172390853</v>
      </c>
      <c r="CE269" s="254">
        <f>-CE244</f>
        <v>23226.8831048099</v>
      </c>
      <c r="CF269" s="19" t="n"/>
    </row>
    <row r="270" ht="15" customHeight="1" s="251">
      <c r="B270" s="25" t="inlineStr">
        <is>
          <t xml:space="preserve">  Implied shares repurchased (m)</t>
        </is>
      </c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  <c r="AA270" s="34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34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34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5" t="n"/>
      <c r="BZ270" s="35" t="n"/>
      <c r="CA270" s="287">
        <f>IFERROR(CA269/CA268,0)</f>
        <v>11.7647058823529</v>
      </c>
      <c r="CB270" s="287">
        <f>IFERROR(CB269/CB268,0)</f>
        <v>23.1992065494501</v>
      </c>
      <c r="CC270" s="287">
        <f>IFERROR(CC269/CC268,0)</f>
        <v>25.9761370681018</v>
      </c>
      <c r="CD270" s="287">
        <f>IFERROR(CD269/CD268,0)</f>
        <v>26.9276825565981</v>
      </c>
      <c r="CE270" s="287">
        <f>IFERROR(CE269/CE268,0)</f>
        <v>27.6546379259019</v>
      </c>
      <c r="CF270" s="19" t="n"/>
    </row>
    <row r="271" ht="15" customHeight="1" s="251">
      <c r="B271" s="25" t="inlineStr">
        <is>
          <t xml:space="preserve">  Shares issued under equity plans, net (m)</t>
        </is>
      </c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  <c r="AV271" s="36" t="n"/>
      <c r="AW271" s="36" t="n"/>
      <c r="AX271" s="36" t="n"/>
      <c r="AY271" s="36" t="n"/>
      <c r="AZ271" s="36" t="n"/>
      <c r="BA271" s="36" t="n"/>
      <c r="BB271" s="36" t="n"/>
      <c r="BC271" s="36" t="n"/>
      <c r="BD271" s="36" t="n"/>
      <c r="BE271" s="36" t="n"/>
      <c r="BF271" s="36" t="n"/>
      <c r="BG271" s="36" t="n"/>
      <c r="BH271" s="36" t="n"/>
      <c r="BI271" s="36" t="n"/>
      <c r="BJ271" s="36" t="n"/>
      <c r="BK271" s="36" t="n"/>
      <c r="BL271" s="36" t="n"/>
      <c r="BM271" s="36" t="n"/>
      <c r="BN271" s="36" t="n"/>
      <c r="BO271" s="36" t="n"/>
      <c r="BP271" s="36" t="n"/>
      <c r="BQ271" s="36" t="n"/>
      <c r="BR271" s="36" t="n"/>
      <c r="BS271" s="36" t="n"/>
      <c r="BT271" s="36" t="n"/>
      <c r="BU271" s="36" t="n"/>
      <c r="BV271" s="36" t="n"/>
      <c r="BW271" s="36" t="n"/>
      <c r="BX271" s="36" t="n"/>
      <c r="BY271" s="24" t="n"/>
      <c r="BZ271" s="24" t="n"/>
      <c r="CA271" s="288" t="n">
        <v>0.5</v>
      </c>
      <c r="CB271" s="288" t="n">
        <v>2</v>
      </c>
      <c r="CC271" s="288" t="n">
        <v>2</v>
      </c>
      <c r="CD271" s="288" t="n">
        <v>2</v>
      </c>
      <c r="CE271" s="288" t="n">
        <v>2</v>
      </c>
      <c r="CF271" s="19" t="n"/>
    </row>
    <row r="272" ht="15" customHeight="1" s="251">
      <c r="B272" s="25" t="inlineStr">
        <is>
          <t xml:space="preserve">  Beginning shares outstanding (m)</t>
        </is>
      </c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  <c r="AA272" s="34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34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34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5" t="n"/>
      <c r="BZ272" s="35" t="n"/>
      <c r="CA272" s="265">
        <f>BX314</f>
        <v>877.2</v>
      </c>
      <c r="CB272" s="265">
        <f>CA273</f>
        <v>865.935294117647</v>
      </c>
      <c r="CC272" s="265">
        <f>CB273</f>
        <v>844.736087568197</v>
      </c>
      <c r="CD272" s="265">
        <f>CC273</f>
        <v>820.759950500095</v>
      </c>
      <c r="CE272" s="265">
        <f>CD273</f>
        <v>795.832267943497</v>
      </c>
      <c r="CF272" s="19" t="inlineStr">
        <is>
          <t>2026E begins from Class A + Class B shares outstanding at 30-Jun-2026 (877.2m, Q2-26 10-Q Note 10).</t>
        </is>
      </c>
    </row>
    <row r="273" ht="15" customHeight="1" s="251">
      <c r="B273" s="25" t="inlineStr">
        <is>
          <t xml:space="preserve">  Ending shares outstanding (m)</t>
        </is>
      </c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  <c r="AA273" s="34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34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34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5" t="n"/>
      <c r="BZ273" s="35" t="n"/>
      <c r="CA273" s="265">
        <f>CA272-CA270+CA271</f>
        <v>865.935294117647</v>
      </c>
      <c r="CB273" s="265">
        <f>CB272-CB270+CB271</f>
        <v>844.736087568197</v>
      </c>
      <c r="CC273" s="265">
        <f>CC272-CC270+CC271</f>
        <v>820.759950500095</v>
      </c>
      <c r="CD273" s="265">
        <f>CD272-CD270+CD271</f>
        <v>795.832267943497</v>
      </c>
      <c r="CE273" s="265">
        <f>CE272-CE270+CE271</f>
        <v>770.177630017595</v>
      </c>
      <c r="CF273" s="19" t="n"/>
    </row>
    <row r="274" ht="15" customHeight="1" s="251">
      <c r="B274" s="25" t="inlineStr">
        <is>
          <t xml:space="preserve">  % of shares repurchased</t>
        </is>
      </c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  <c r="AV274" s="36" t="n"/>
      <c r="AW274" s="36" t="n"/>
      <c r="AX274" s="36" t="n"/>
      <c r="AY274" s="36" t="n"/>
      <c r="AZ274" s="36" t="n"/>
      <c r="BA274" s="36" t="n"/>
      <c r="BB274" s="36" t="n"/>
      <c r="BC274" s="36" t="n"/>
      <c r="BD274" s="36" t="n"/>
      <c r="BE274" s="36" t="n"/>
      <c r="BF274" s="36" t="n"/>
      <c r="BG274" s="36" t="n"/>
      <c r="BH274" s="36" t="n"/>
      <c r="BI274" s="36" t="n"/>
      <c r="BJ274" s="36" t="n"/>
      <c r="BK274" s="36" t="n"/>
      <c r="BL274" s="36" t="n"/>
      <c r="BM274" s="36" t="n"/>
      <c r="BN274" s="36" t="n"/>
      <c r="BO274" s="36" t="n"/>
      <c r="BP274" s="36" t="n"/>
      <c r="BQ274" s="36" t="n"/>
      <c r="BR274" s="36" t="n"/>
      <c r="BS274" s="36" t="n"/>
      <c r="BT274" s="36" t="n"/>
      <c r="BU274" s="36" t="n"/>
      <c r="BV274" s="36" t="n"/>
      <c r="BW274" s="36" t="n"/>
      <c r="BX274" s="36" t="n"/>
      <c r="BY274" s="24" t="n"/>
      <c r="BZ274" s="24" t="n"/>
      <c r="CA274" s="256">
        <f>IF(AND(ISNUMBER(CA270),ISNUMBER(CA272)),IFERROR(CA270/CA272,""),"")</f>
        <v>0.0134116574126231</v>
      </c>
      <c r="CB274" s="256">
        <f>IF(AND(ISNUMBER(CB270),ISNUMBER(CB272)),IFERROR(CB270/CB272,""),"")</f>
        <v>0.0267909238796983</v>
      </c>
      <c r="CC274" s="256">
        <f>IF(AND(ISNUMBER(CC270),ISNUMBER(CC272)),IFERROR(CC270/CC272,""),"")</f>
        <v>0.0307505947128188</v>
      </c>
      <c r="CD274" s="256">
        <f>IF(AND(ISNUMBER(CD270),ISNUMBER(CD272)),IFERROR(CD270/CD272,""),"")</f>
        <v>0.0328082316153352</v>
      </c>
      <c r="CE274" s="256">
        <f>IF(AND(ISNUMBER(CE270),ISNUMBER(CE272)),IFERROR(CE270/CE272,""),"")</f>
        <v>0.034749329776944</v>
      </c>
      <c r="CF274" s="153" t="n"/>
    </row>
    <row r="275" ht="15" customHeight="1" s="251">
      <c r="B275" s="156" t="inlineStr">
        <is>
          <t xml:space="preserve">  Memo: cumulative shares repurchased since Q3/26 (m)</t>
        </is>
      </c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  <c r="AA275" s="34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34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34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153" t="n"/>
      <c r="BZ275" s="153" t="n"/>
      <c r="CA275" s="289">
        <f>CA270</f>
        <v>11.7647058823529</v>
      </c>
      <c r="CB275" s="289">
        <f>CA275+CB270</f>
        <v>34.963912431803</v>
      </c>
      <c r="CC275" s="289">
        <f>CB275+CC270</f>
        <v>60.9400494999049</v>
      </c>
      <c r="CD275" s="289">
        <f>CC275+CD270</f>
        <v>87.867732056503</v>
      </c>
      <c r="CE275" s="289">
        <f>CD275+CE270</f>
        <v>115.522369982405</v>
      </c>
      <c r="CF275" s="153" t="n"/>
    </row>
    <row r="276" ht="15" customHeight="1" s="251">
      <c r="CN276" s="11" t="n"/>
      <c r="CO276" s="12" t="n"/>
      <c r="CP276" s="12" t="n"/>
      <c r="CQ276" s="12" t="n"/>
      <c r="CR276" s="13" t="n"/>
    </row>
    <row r="277" ht="15" customHeight="1" s="251">
      <c r="B277" s="10" t="inlineStr">
        <is>
          <t>CONSOLIDATED BALANCE SHEET (condensed from the releases)</t>
        </is>
      </c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0" t="n"/>
      <c r="BC277" s="10" t="n"/>
      <c r="BD277" s="10" t="n"/>
      <c r="BE277" s="10" t="n"/>
      <c r="BF277" s="10" t="n"/>
      <c r="BG277" s="10" t="n"/>
      <c r="BH277" s="10" t="n"/>
      <c r="BI277" s="10" t="n"/>
      <c r="BJ277" s="10" t="n"/>
      <c r="BK277" s="10" t="n"/>
      <c r="BL277" s="10" t="n"/>
      <c r="BM277" s="10" t="n"/>
      <c r="BN277" s="10" t="n"/>
      <c r="BO277" s="10" t="n"/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0" t="n"/>
      <c r="CE277" s="10" t="n"/>
      <c r="CF277" s="10" t="inlineStr">
        <is>
          <t>BS FORECAST — 2026E rolled forward from the 30-Jun-2026 balance sheet + H2 flows; 2027E+ from prior year end</t>
        </is>
      </c>
    </row>
    <row r="278" ht="15" customHeight="1" s="251">
      <c r="B278" s="25" t="inlineStr">
        <is>
          <t>ASSETS</t>
        </is>
      </c>
      <c r="CF278" s="153" t="n"/>
    </row>
    <row r="279" ht="15" customHeight="1" s="251">
      <c r="B279" s="25" t="inlineStr">
        <is>
          <t xml:space="preserve">  Cash and cash equivalents</t>
        </is>
      </c>
      <c r="C279" s="253" t="n">
        <v>1185.08</v>
      </c>
      <c r="D279" s="253" t="n">
        <v>1659.295</v>
      </c>
      <c r="E279" s="253" t="n">
        <v>1505.16</v>
      </c>
      <c r="F279" s="253" t="n">
        <v>2055.439</v>
      </c>
      <c r="G279" s="253" t="n">
        <v>3067</v>
      </c>
      <c r="H279" s="253" t="n">
        <v>3734</v>
      </c>
      <c r="I279" s="253" t="n">
        <v>2052</v>
      </c>
      <c r="J279" s="253" t="n">
        <v>1984</v>
      </c>
      <c r="K279" s="253" t="n">
        <v>2348</v>
      </c>
      <c r="L279" s="253" t="n">
        <v>3413</v>
      </c>
      <c r="M279" s="253" t="n">
        <v>3599</v>
      </c>
      <c r="N279" s="253" t="n">
        <v>3599</v>
      </c>
      <c r="O279" s="253" t="n">
        <v>4019</v>
      </c>
      <c r="P279" s="253" t="n">
        <v>2878</v>
      </c>
      <c r="Q279" s="253" t="n">
        <v>4462</v>
      </c>
      <c r="R279" s="253" t="n">
        <v>5137</v>
      </c>
      <c r="S279" s="253" t="n">
        <v>5137</v>
      </c>
      <c r="T279" s="253" t="n">
        <v>4207</v>
      </c>
      <c r="U279" s="253" t="n">
        <v>3361</v>
      </c>
      <c r="V279" s="253" t="n">
        <v>3877</v>
      </c>
      <c r="W279" s="253" t="n">
        <v>5747</v>
      </c>
      <c r="X279" s="253" t="n">
        <v>5747</v>
      </c>
      <c r="Y279" s="253" t="n">
        <v>4894</v>
      </c>
      <c r="Z279" s="253" t="n">
        <v>5176</v>
      </c>
      <c r="AA279" s="253" t="n">
        <v>5205</v>
      </c>
      <c r="AB279" s="253" t="n">
        <v>6721</v>
      </c>
      <c r="AC279" s="253" t="n">
        <v>6721</v>
      </c>
      <c r="AD279" s="253" t="n">
        <v>6006</v>
      </c>
      <c r="AE279" s="253" t="n">
        <v>5177</v>
      </c>
      <c r="AF279" s="253" t="n">
        <v>5559</v>
      </c>
      <c r="AG279" s="253" t="n">
        <v>5933</v>
      </c>
      <c r="AH279" s="253" t="n">
        <v>5933</v>
      </c>
      <c r="AI279" s="253" t="n">
        <v>6890</v>
      </c>
      <c r="AJ279" s="253" t="n">
        <v>6210</v>
      </c>
      <c r="AK279" s="253" t="n">
        <v>6871</v>
      </c>
      <c r="AL279" s="253" t="n">
        <v>6682</v>
      </c>
      <c r="AM279" s="253" t="n">
        <v>6682</v>
      </c>
      <c r="AN279" s="253" t="n">
        <v>5857</v>
      </c>
      <c r="AO279" s="253" t="n">
        <v>5691</v>
      </c>
      <c r="AP279" s="253" t="n">
        <v>5101</v>
      </c>
      <c r="AQ279" s="253" t="n">
        <v>6988</v>
      </c>
      <c r="AR279" s="253" t="n">
        <v>6988</v>
      </c>
      <c r="AS279" s="253" t="n">
        <v>10207</v>
      </c>
      <c r="AT279" s="253" t="n">
        <v>11137</v>
      </c>
      <c r="AU279" s="253" t="n">
        <v>10225</v>
      </c>
      <c r="AV279" s="253" t="n">
        <v>10113</v>
      </c>
      <c r="AW279" s="253" t="n">
        <v>10113</v>
      </c>
      <c r="AX279" s="253" t="n">
        <v>7246</v>
      </c>
      <c r="AY279" s="253" t="n">
        <v>6216</v>
      </c>
      <c r="AZ279" s="253" t="n">
        <v>6406</v>
      </c>
      <c r="BA279" s="253" t="n">
        <v>7421</v>
      </c>
      <c r="BB279" s="253" t="n">
        <v>7421</v>
      </c>
      <c r="BC279" s="253" t="n">
        <v>6879</v>
      </c>
      <c r="BD279" s="253" t="n">
        <v>5921</v>
      </c>
      <c r="BE279" s="253" t="n">
        <v>7633</v>
      </c>
      <c r="BF279" s="253" t="n">
        <v>7008</v>
      </c>
      <c r="BG279" s="253" t="n">
        <v>7008</v>
      </c>
      <c r="BH279" s="253" t="n">
        <v>6566</v>
      </c>
      <c r="BI279" s="253" t="n">
        <v>6170</v>
      </c>
      <c r="BJ279" s="253" t="n">
        <v>6890</v>
      </c>
      <c r="BK279" s="253" t="n">
        <v>8588</v>
      </c>
      <c r="BL279" s="253" t="n">
        <v>8588</v>
      </c>
      <c r="BM279" s="253" t="n">
        <v>7293</v>
      </c>
      <c r="BN279" s="253" t="n">
        <v>6996</v>
      </c>
      <c r="BO279" s="253" t="n">
        <v>11063</v>
      </c>
      <c r="BP279" s="253" t="n">
        <v>8442</v>
      </c>
      <c r="BQ279" s="253" t="n">
        <v>8442</v>
      </c>
      <c r="BR279" s="253" t="n">
        <v>7575</v>
      </c>
      <c r="BS279" s="253" t="n">
        <v>9031</v>
      </c>
      <c r="BT279" s="253" t="n">
        <v>10313</v>
      </c>
      <c r="BU279" s="253" t="n">
        <v>10566</v>
      </c>
      <c r="BV279" s="253" t="n">
        <v>10566</v>
      </c>
      <c r="BW279" s="253" t="n">
        <v>7906</v>
      </c>
      <c r="BX279" s="253" t="n">
        <v>11291</v>
      </c>
      <c r="BY279" s="35" t="n"/>
      <c r="BZ279" s="35" t="n"/>
      <c r="CA279" s="254">
        <f>CA252-CA280-CA281-N(CA312)</f>
        <v>10049.8957577669</v>
      </c>
      <c r="CB279" s="254">
        <f>CB252-CB280-CB281-N(CB312)</f>
        <v>10513.0770328506</v>
      </c>
      <c r="CC279" s="254">
        <f>CC252-CC280-CC281-N(CC312)</f>
        <v>9830.06717511388</v>
      </c>
      <c r="CD279" s="254">
        <f>CD252-CD280-CD281-N(CD312)</f>
        <v>9316</v>
      </c>
      <c r="CE279" s="254">
        <f>CE252-CE280-CE281-N(CE312)</f>
        <v>9316</v>
      </c>
      <c r="CF279" s="19" t="n"/>
    </row>
    <row r="280" ht="15" customHeight="1" s="251">
      <c r="B280" s="25" t="inlineStr">
        <is>
          <t xml:space="preserve">  Restricted cash (litigation escrow to 2017; restricted cash &amp; equivalents)</t>
        </is>
      </c>
      <c r="C280" s="253" t="n">
        <v>0</v>
      </c>
      <c r="D280" s="253" t="n">
        <v>0</v>
      </c>
      <c r="E280" s="253" t="n">
        <v>0</v>
      </c>
      <c r="F280" s="253" t="n">
        <v>0</v>
      </c>
      <c r="G280" s="253" t="n">
        <v>0</v>
      </c>
      <c r="H280" s="253" t="n">
        <v>0</v>
      </c>
      <c r="I280" s="253" t="n">
        <v>726</v>
      </c>
      <c r="J280" s="253" t="n">
        <v>724</v>
      </c>
      <c r="K280" s="253" t="n">
        <v>724</v>
      </c>
      <c r="L280" s="253" t="n">
        <v>727</v>
      </c>
      <c r="M280" s="253" t="n">
        <v>723</v>
      </c>
      <c r="N280" s="253" t="n">
        <v>723</v>
      </c>
      <c r="O280" s="253" t="n">
        <v>540</v>
      </c>
      <c r="P280" s="253" t="n">
        <v>540</v>
      </c>
      <c r="Q280" s="253" t="n">
        <v>540</v>
      </c>
      <c r="R280" s="253" t="n">
        <v>540</v>
      </c>
      <c r="S280" s="253" t="n">
        <v>540</v>
      </c>
      <c r="T280" s="253" t="n">
        <v>540</v>
      </c>
      <c r="U280" s="253" t="n">
        <v>541</v>
      </c>
      <c r="V280" s="253" t="n">
        <v>541</v>
      </c>
      <c r="W280" s="253" t="n">
        <v>541</v>
      </c>
      <c r="X280" s="253" t="n">
        <v>541</v>
      </c>
      <c r="Y280" s="253" t="n">
        <v>542</v>
      </c>
      <c r="Z280" s="253" t="n">
        <v>542</v>
      </c>
      <c r="AA280" s="253" t="n">
        <v>543</v>
      </c>
      <c r="AB280" s="253" t="n">
        <v>543</v>
      </c>
      <c r="AC280" s="253" t="n">
        <v>543</v>
      </c>
      <c r="AD280" s="253" t="n">
        <v>543</v>
      </c>
      <c r="AE280" s="253" t="n">
        <v>544</v>
      </c>
      <c r="AF280" s="253" t="n">
        <v>545</v>
      </c>
      <c r="AG280" s="253" t="n">
        <v>546</v>
      </c>
      <c r="AH280" s="253" t="n">
        <v>546</v>
      </c>
      <c r="AI280" s="253" t="n">
        <v>548</v>
      </c>
      <c r="AJ280" s="253" t="n">
        <v>549</v>
      </c>
      <c r="AK280" s="253" t="n">
        <v>550</v>
      </c>
      <c r="AL280" s="253" t="n">
        <v>553</v>
      </c>
      <c r="AM280" s="253" t="n">
        <v>553</v>
      </c>
      <c r="AN280" s="253" t="n">
        <v>662</v>
      </c>
      <c r="AO280" s="253" t="n">
        <v>662</v>
      </c>
      <c r="AP280" s="253" t="n">
        <v>666</v>
      </c>
      <c r="AQ280" s="253" t="n">
        <v>584</v>
      </c>
      <c r="AR280" s="253" t="n">
        <v>584</v>
      </c>
      <c r="AS280" s="253" t="n">
        <v>587</v>
      </c>
      <c r="AT280" s="253" t="n">
        <v>587</v>
      </c>
      <c r="AU280" s="253" t="n">
        <v>586</v>
      </c>
      <c r="AV280" s="253" t="n">
        <v>586</v>
      </c>
      <c r="AW280" s="253" t="n">
        <v>586</v>
      </c>
      <c r="AX280" s="253" t="n">
        <v>586</v>
      </c>
      <c r="AY280" s="253" t="n">
        <v>586</v>
      </c>
      <c r="AZ280" s="253" t="n">
        <v>586</v>
      </c>
      <c r="BA280" s="253" t="n">
        <v>586</v>
      </c>
      <c r="BB280" s="253" t="n">
        <v>586</v>
      </c>
      <c r="BC280" s="253" t="n">
        <v>585</v>
      </c>
      <c r="BD280" s="253" t="n">
        <v>584</v>
      </c>
      <c r="BE280" s="253" t="n">
        <v>586</v>
      </c>
      <c r="BF280" s="253" t="n">
        <v>589</v>
      </c>
      <c r="BG280" s="253" t="n">
        <v>589</v>
      </c>
      <c r="BH280" s="253" t="n">
        <v>596</v>
      </c>
      <c r="BI280" s="253" t="n">
        <v>598</v>
      </c>
      <c r="BJ280" s="253" t="n">
        <v>0</v>
      </c>
      <c r="BK280" s="253" t="n">
        <v>0</v>
      </c>
      <c r="BL280" s="253" t="n">
        <v>0</v>
      </c>
      <c r="BM280" s="253" t="n">
        <v>0</v>
      </c>
      <c r="BN280" s="253" t="n">
        <v>0</v>
      </c>
      <c r="BO280" s="253" t="n">
        <v>0</v>
      </c>
      <c r="BP280" s="253" t="n">
        <v>492</v>
      </c>
      <c r="BQ280" s="253" t="n">
        <v>492</v>
      </c>
      <c r="BR280" s="253" t="n">
        <v>507</v>
      </c>
      <c r="BS280" s="253" t="n">
        <v>542</v>
      </c>
      <c r="BT280" s="253" t="n">
        <v>478</v>
      </c>
      <c r="BU280" s="253" t="n">
        <v>561</v>
      </c>
      <c r="BV280" s="253" t="n">
        <v>561</v>
      </c>
      <c r="BW280" s="253" t="n">
        <v>551</v>
      </c>
      <c r="BX280" s="253" t="n">
        <v>488</v>
      </c>
      <c r="BY280" s="35" t="n"/>
      <c r="BZ280" s="35" t="n"/>
      <c r="CA280" s="254">
        <f>BX280</f>
        <v>488</v>
      </c>
      <c r="CB280" s="254">
        <f>CA280</f>
        <v>488</v>
      </c>
      <c r="CC280" s="254">
        <f>CB280</f>
        <v>488</v>
      </c>
      <c r="CD280" s="254">
        <f>CC280</f>
        <v>488</v>
      </c>
      <c r="CE280" s="254">
        <f>CD280</f>
        <v>488</v>
      </c>
      <c r="CF280" s="19" t="n"/>
    </row>
    <row r="281" ht="15" customHeight="1" s="251">
      <c r="B281" s="25" t="inlineStr">
        <is>
          <t xml:space="preserve">  Restricted security deposits held for customers</t>
        </is>
      </c>
      <c r="C281" s="253" t="n">
        <v>109.897</v>
      </c>
      <c r="D281" s="253" t="n">
        <v>142.052</v>
      </c>
      <c r="E281" s="253" t="n">
        <v>183.245</v>
      </c>
      <c r="F281" s="253" t="n">
        <v>445.989</v>
      </c>
      <c r="G281" s="253" t="n">
        <v>493</v>
      </c>
      <c r="H281" s="253" t="n">
        <v>636</v>
      </c>
      <c r="I281" s="253" t="n">
        <v>777</v>
      </c>
      <c r="J281" s="253" t="n">
        <v>812</v>
      </c>
      <c r="K281" s="253" t="n">
        <v>840</v>
      </c>
      <c r="L281" s="253" t="n">
        <v>878</v>
      </c>
      <c r="M281" s="253" t="n">
        <v>911</v>
      </c>
      <c r="N281" s="253" t="n">
        <v>911</v>
      </c>
      <c r="O281" s="253" t="n">
        <v>913</v>
      </c>
      <c r="P281" s="253" t="n">
        <v>918</v>
      </c>
      <c r="Q281" s="253" t="n">
        <v>953</v>
      </c>
      <c r="R281" s="253" t="n">
        <v>950</v>
      </c>
      <c r="S281" s="253" t="n">
        <v>950</v>
      </c>
      <c r="T281" s="253" t="n">
        <v>953</v>
      </c>
      <c r="U281" s="253" t="n">
        <v>1000</v>
      </c>
      <c r="V281" s="253" t="n">
        <v>871</v>
      </c>
      <c r="W281" s="253" t="n">
        <v>895</v>
      </c>
      <c r="X281" s="253" t="n">
        <v>895</v>
      </c>
      <c r="Y281" s="253" t="n">
        <v>937</v>
      </c>
      <c r="Z281" s="253" t="n">
        <v>936</v>
      </c>
      <c r="AA281" s="253" t="n">
        <v>997</v>
      </c>
      <c r="AB281" s="253" t="n">
        <v>991</v>
      </c>
      <c r="AC281" s="253" t="n">
        <v>991</v>
      </c>
      <c r="AD281" s="253" t="n">
        <v>984</v>
      </c>
      <c r="AE281" s="253" t="n">
        <v>993</v>
      </c>
      <c r="AF281" s="253" t="n">
        <v>1026</v>
      </c>
      <c r="AG281" s="253" t="n">
        <v>1085</v>
      </c>
      <c r="AH281" s="253" t="n">
        <v>1085</v>
      </c>
      <c r="AI281" s="253" t="n">
        <v>965</v>
      </c>
      <c r="AJ281" s="253" t="n">
        <v>992</v>
      </c>
      <c r="AK281" s="253" t="n">
        <v>1034</v>
      </c>
      <c r="AL281" s="253" t="n">
        <v>1080</v>
      </c>
      <c r="AM281" s="253" t="n">
        <v>1080</v>
      </c>
      <c r="AN281" s="253" t="n">
        <v>1044</v>
      </c>
      <c r="AO281" s="253" t="n">
        <v>1061</v>
      </c>
      <c r="AP281" s="253" t="n">
        <v>1173</v>
      </c>
      <c r="AQ281" s="253" t="n">
        <v>1370</v>
      </c>
      <c r="AR281" s="253" t="n">
        <v>1370</v>
      </c>
      <c r="AS281" s="253" t="n">
        <v>1518</v>
      </c>
      <c r="AT281" s="253" t="n">
        <v>1548</v>
      </c>
      <c r="AU281" s="253" t="n">
        <v>1568</v>
      </c>
      <c r="AV281" s="253" t="n">
        <v>1696</v>
      </c>
      <c r="AW281" s="253" t="n">
        <v>1696</v>
      </c>
      <c r="AX281" s="253" t="n">
        <v>1759</v>
      </c>
      <c r="AY281" s="253" t="n">
        <v>1806</v>
      </c>
      <c r="AZ281" s="253" t="n">
        <v>1832</v>
      </c>
      <c r="BA281" s="253" t="n">
        <v>1873</v>
      </c>
      <c r="BB281" s="253" t="n">
        <v>1873</v>
      </c>
      <c r="BC281" s="253" t="n">
        <v>1730</v>
      </c>
      <c r="BD281" s="253" t="n">
        <v>1621</v>
      </c>
      <c r="BE281" s="253" t="n">
        <v>1531</v>
      </c>
      <c r="BF281" s="253" t="n">
        <v>1568</v>
      </c>
      <c r="BG281" s="253" t="n">
        <v>1568</v>
      </c>
      <c r="BH281" s="253" t="n">
        <v>1608</v>
      </c>
      <c r="BI281" s="253" t="n">
        <v>1723</v>
      </c>
      <c r="BJ281" s="253" t="n">
        <v>1824</v>
      </c>
      <c r="BK281" s="253" t="n">
        <v>1845</v>
      </c>
      <c r="BL281" s="253" t="n">
        <v>1845</v>
      </c>
      <c r="BM281" s="253" t="n">
        <v>1861</v>
      </c>
      <c r="BN281" s="253" t="n">
        <v>1772</v>
      </c>
      <c r="BO281" s="253" t="n">
        <v>1868</v>
      </c>
      <c r="BP281" s="253" t="n">
        <v>1874</v>
      </c>
      <c r="BQ281" s="253" t="n">
        <v>1874</v>
      </c>
      <c r="BR281" s="253" t="n">
        <v>1900</v>
      </c>
      <c r="BS281" s="253" t="n">
        <v>1999</v>
      </c>
      <c r="BT281" s="253" t="n">
        <v>2054</v>
      </c>
      <c r="BU281" s="253" t="n">
        <v>2121</v>
      </c>
      <c r="BV281" s="253" t="n">
        <v>2121</v>
      </c>
      <c r="BW281" s="253" t="n">
        <v>2307</v>
      </c>
      <c r="BX281" s="253" t="n">
        <v>2196</v>
      </c>
      <c r="BY281" s="35" t="n"/>
      <c r="BZ281" s="35" t="n"/>
      <c r="CA281" s="254">
        <f>BX281</f>
        <v>2196</v>
      </c>
      <c r="CB281" s="254">
        <f>CA281</f>
        <v>2196</v>
      </c>
      <c r="CC281" s="254">
        <f>CB281</f>
        <v>2196</v>
      </c>
      <c r="CD281" s="254">
        <f>CC281</f>
        <v>2196</v>
      </c>
      <c r="CE281" s="254">
        <f>CD281</f>
        <v>2196</v>
      </c>
      <c r="CF281" s="19" t="inlineStr">
        <is>
          <t>Held flat (offset by the matching liability).</t>
        </is>
      </c>
    </row>
    <row r="282" ht="15" customHeight="1" s="251">
      <c r="B282" s="25" t="inlineStr">
        <is>
          <t xml:space="preserve">  Investments</t>
        </is>
      </c>
      <c r="C282" s="253" t="n">
        <v>1298.841</v>
      </c>
      <c r="D282" s="253" t="n">
        <v>1310.687</v>
      </c>
      <c r="E282" s="253" t="n">
        <v>588.095</v>
      </c>
      <c r="F282" s="253" t="n">
        <v>824.345</v>
      </c>
      <c r="G282" s="253" t="n">
        <v>1131</v>
      </c>
      <c r="H282" s="253" t="n">
        <v>1215</v>
      </c>
      <c r="I282" s="253" t="n">
        <v>2951</v>
      </c>
      <c r="J282" s="253" t="n">
        <v>3036</v>
      </c>
      <c r="K282" s="253" t="n">
        <v>2742</v>
      </c>
      <c r="L282" s="253" t="n">
        <v>2594</v>
      </c>
      <c r="M282" s="253" t="n">
        <v>2696</v>
      </c>
      <c r="N282" s="253" t="n">
        <v>2696</v>
      </c>
      <c r="O282" s="253" t="n">
        <v>2543</v>
      </c>
      <c r="P282" s="253" t="n">
        <v>2836</v>
      </c>
      <c r="Q282" s="253" t="n">
        <v>1857</v>
      </c>
      <c r="R282" s="253" t="n">
        <v>1168</v>
      </c>
      <c r="S282" s="253" t="n">
        <v>1168</v>
      </c>
      <c r="T282" s="253" t="n">
        <v>1589</v>
      </c>
      <c r="U282" s="253" t="n">
        <v>1716</v>
      </c>
      <c r="V282" s="253" t="n">
        <v>1232</v>
      </c>
      <c r="W282" s="253" t="n">
        <v>991</v>
      </c>
      <c r="X282" s="253" t="n">
        <v>991</v>
      </c>
      <c r="Y282" s="253" t="n">
        <v>1314</v>
      </c>
      <c r="Z282" s="253" t="n">
        <v>1271</v>
      </c>
      <c r="AA282" s="253" t="n">
        <v>1774</v>
      </c>
      <c r="AB282" s="253" t="n">
        <v>1614</v>
      </c>
      <c r="AC282" s="253" t="n">
        <v>1614</v>
      </c>
      <c r="AD282" s="253" t="n">
        <v>1654</v>
      </c>
      <c r="AE282" s="253" t="n">
        <v>1782</v>
      </c>
      <c r="AF282" s="253" t="n">
        <v>1864</v>
      </c>
      <c r="AG282" s="253" t="n">
        <v>1849</v>
      </c>
      <c r="AH282" s="253" t="n">
        <v>1849</v>
      </c>
      <c r="AI282" s="253" t="n">
        <v>1378</v>
      </c>
      <c r="AJ282" s="253" t="n">
        <v>1535</v>
      </c>
      <c r="AK282" s="253" t="n">
        <v>1622</v>
      </c>
      <c r="AL282" s="253" t="n">
        <v>1696</v>
      </c>
      <c r="AM282" s="253" t="n">
        <v>1696</v>
      </c>
      <c r="AN282" s="253" t="n">
        <v>1317</v>
      </c>
      <c r="AO282" s="253" t="n">
        <v>809</v>
      </c>
      <c r="AP282" s="253" t="n">
        <v>751</v>
      </c>
      <c r="AQ282" s="253" t="n">
        <v>688</v>
      </c>
      <c r="AR282" s="253" t="n">
        <v>688</v>
      </c>
      <c r="AS282" s="253" t="n">
        <v>477</v>
      </c>
      <c r="AT282" s="253" t="n">
        <v>390</v>
      </c>
      <c r="AU282" s="253" t="n">
        <v>400</v>
      </c>
      <c r="AV282" s="253" t="n">
        <v>483</v>
      </c>
      <c r="AW282" s="253" t="n">
        <v>483</v>
      </c>
      <c r="AX282" s="253" t="n">
        <v>489</v>
      </c>
      <c r="AY282" s="253" t="n">
        <v>544</v>
      </c>
      <c r="AZ282" s="253" t="n">
        <v>510</v>
      </c>
      <c r="BA282" s="253" t="n">
        <v>473</v>
      </c>
      <c r="BB282" s="253" t="n">
        <v>473</v>
      </c>
      <c r="BC282" s="253" t="n">
        <v>449</v>
      </c>
      <c r="BD282" s="253" t="n">
        <v>438</v>
      </c>
      <c r="BE282" s="253" t="n">
        <v>412</v>
      </c>
      <c r="BF282" s="253" t="n">
        <v>400</v>
      </c>
      <c r="BG282" s="253" t="n">
        <v>400</v>
      </c>
      <c r="BH282" s="253" t="n">
        <v>402</v>
      </c>
      <c r="BI282" s="253" t="n">
        <v>344</v>
      </c>
      <c r="BJ282" s="253" t="n">
        <v>602</v>
      </c>
      <c r="BK282" s="253" t="n">
        <v>592</v>
      </c>
      <c r="BL282" s="253" t="n">
        <v>592</v>
      </c>
      <c r="BM282" s="253" t="n">
        <v>364</v>
      </c>
      <c r="BN282" s="253" t="n">
        <v>362</v>
      </c>
      <c r="BO282" s="253" t="n">
        <v>338</v>
      </c>
      <c r="BP282" s="253" t="n">
        <v>330</v>
      </c>
      <c r="BQ282" s="253" t="n">
        <v>330</v>
      </c>
      <c r="BR282" s="253" t="n">
        <v>319</v>
      </c>
      <c r="BS282" s="253" t="n">
        <v>336</v>
      </c>
      <c r="BT282" s="253" t="n">
        <v>335</v>
      </c>
      <c r="BU282" s="253" t="n">
        <v>332</v>
      </c>
      <c r="BV282" s="253" t="n">
        <v>332</v>
      </c>
      <c r="BW282" s="253" t="n">
        <v>313</v>
      </c>
      <c r="BX282" s="253" t="n">
        <v>318</v>
      </c>
      <c r="BY282" s="35" t="n"/>
      <c r="BZ282" s="35" t="n"/>
      <c r="CA282" s="254">
        <f>BX282</f>
        <v>318</v>
      </c>
      <c r="CB282" s="254">
        <f>CA282</f>
        <v>318</v>
      </c>
      <c r="CC282" s="254">
        <f>CB282</f>
        <v>318</v>
      </c>
      <c r="CD282" s="254">
        <f>CC282</f>
        <v>318</v>
      </c>
      <c r="CE282" s="254">
        <f>CD282</f>
        <v>318</v>
      </c>
      <c r="CF282" s="19" t="n"/>
    </row>
    <row r="283" ht="15" customHeight="1" s="251">
      <c r="B283" s="25" t="inlineStr">
        <is>
          <t xml:space="preserve">  Accounts receivable</t>
        </is>
      </c>
      <c r="C283" s="253" t="n">
        <v>451.261</v>
      </c>
      <c r="D283" s="253" t="n">
        <v>532.633</v>
      </c>
      <c r="E283" s="253" t="n">
        <v>639.482</v>
      </c>
      <c r="F283" s="253" t="n">
        <v>536.472</v>
      </c>
      <c r="G283" s="253" t="n">
        <v>650</v>
      </c>
      <c r="H283" s="253" t="n">
        <v>808</v>
      </c>
      <c r="I283" s="253" t="n">
        <v>925</v>
      </c>
      <c r="J283" s="253" t="n">
        <v>941</v>
      </c>
      <c r="K283" s="253" t="n">
        <v>949</v>
      </c>
      <c r="L283" s="253" t="n">
        <v>990</v>
      </c>
      <c r="M283" s="253" t="n">
        <v>966</v>
      </c>
      <c r="N283" s="253" t="n">
        <v>966</v>
      </c>
      <c r="O283" s="253" t="n">
        <v>995</v>
      </c>
      <c r="P283" s="253" t="n">
        <v>1134</v>
      </c>
      <c r="Q283" s="253" t="n">
        <v>1071</v>
      </c>
      <c r="R283" s="253" t="n">
        <v>1109</v>
      </c>
      <c r="S283" s="253" t="n">
        <v>1109</v>
      </c>
      <c r="T283" s="253" t="n">
        <v>1072</v>
      </c>
      <c r="U283" s="253" t="n">
        <v>1128</v>
      </c>
      <c r="V283" s="253" t="n">
        <v>1081</v>
      </c>
      <c r="W283" s="253" t="n">
        <v>1079</v>
      </c>
      <c r="X283" s="253" t="n">
        <v>1079</v>
      </c>
      <c r="Y283" s="253" t="n">
        <v>1186</v>
      </c>
      <c r="Z283" s="253" t="n">
        <v>1203</v>
      </c>
      <c r="AA283" s="253" t="n">
        <v>1298</v>
      </c>
      <c r="AB283" s="253" t="n">
        <v>1416</v>
      </c>
      <c r="AC283" s="253" t="n">
        <v>1416</v>
      </c>
      <c r="AD283" s="253" t="n">
        <v>1553</v>
      </c>
      <c r="AE283" s="253" t="n">
        <v>1708</v>
      </c>
      <c r="AF283" s="253" t="n">
        <v>1858</v>
      </c>
      <c r="AG283" s="253" t="n">
        <v>1969</v>
      </c>
      <c r="AH283" s="253" t="n">
        <v>1969</v>
      </c>
      <c r="AI283" s="253" t="n">
        <v>2122</v>
      </c>
      <c r="AJ283" s="253" t="n">
        <v>2164</v>
      </c>
      <c r="AK283" s="253" t="n">
        <v>2277</v>
      </c>
      <c r="AL283" s="253" t="n">
        <v>2276</v>
      </c>
      <c r="AM283" s="253" t="n">
        <v>2276</v>
      </c>
      <c r="AN283" s="253" t="n">
        <v>2577</v>
      </c>
      <c r="AO283" s="253" t="n">
        <v>2607</v>
      </c>
      <c r="AP283" s="253" t="n">
        <v>2500</v>
      </c>
      <c r="AQ283" s="253" t="n">
        <v>2514</v>
      </c>
      <c r="AR283" s="253" t="n">
        <v>2514</v>
      </c>
      <c r="AS283" s="253" t="n">
        <v>2441</v>
      </c>
      <c r="AT283" s="253" t="n">
        <v>2147</v>
      </c>
      <c r="AU283" s="253" t="n">
        <v>2357</v>
      </c>
      <c r="AV283" s="253" t="n">
        <v>2646</v>
      </c>
      <c r="AW283" s="253" t="n">
        <v>2646</v>
      </c>
      <c r="AX283" s="253" t="n">
        <v>2648</v>
      </c>
      <c r="AY283" s="253" t="n">
        <v>2773</v>
      </c>
      <c r="AZ283" s="253" t="n">
        <v>2820</v>
      </c>
      <c r="BA283" s="253" t="n">
        <v>3006</v>
      </c>
      <c r="BB283" s="253" t="n">
        <v>3006</v>
      </c>
      <c r="BC283" s="253" t="n">
        <v>2889</v>
      </c>
      <c r="BD283" s="253" t="n">
        <v>3175</v>
      </c>
      <c r="BE283" s="253" t="n">
        <v>3167</v>
      </c>
      <c r="BF283" s="253" t="n">
        <v>3425</v>
      </c>
      <c r="BG283" s="253" t="n">
        <v>3425</v>
      </c>
      <c r="BH283" s="253" t="n">
        <v>3511</v>
      </c>
      <c r="BI283" s="253" t="n">
        <v>3763</v>
      </c>
      <c r="BJ283" s="253" t="n">
        <v>3925</v>
      </c>
      <c r="BK283" s="253" t="n">
        <v>4060</v>
      </c>
      <c r="BL283" s="253" t="n">
        <v>4060</v>
      </c>
      <c r="BM283" s="253" t="n">
        <v>4231</v>
      </c>
      <c r="BN283" s="253" t="n">
        <v>4195</v>
      </c>
      <c r="BO283" s="253" t="n">
        <v>4014</v>
      </c>
      <c r="BP283" s="253" t="n">
        <v>3773</v>
      </c>
      <c r="BQ283" s="253" t="n">
        <v>3773</v>
      </c>
      <c r="BR283" s="253" t="n">
        <v>3965</v>
      </c>
      <c r="BS283" s="253" t="n">
        <v>4184</v>
      </c>
      <c r="BT283" s="253" t="n">
        <v>4247</v>
      </c>
      <c r="BU283" s="253" t="n">
        <v>4609</v>
      </c>
      <c r="BV283" s="253" t="n">
        <v>4609</v>
      </c>
      <c r="BW283" s="253" t="n">
        <v>4720</v>
      </c>
      <c r="BX283" s="253" t="n">
        <v>5047</v>
      </c>
      <c r="BY283" s="35" t="n"/>
      <c r="BZ283" s="35" t="n"/>
      <c r="CA283" s="254">
        <f>CA317*CA318/365</f>
        <v>5200.29324657534</v>
      </c>
      <c r="CB283" s="254">
        <f>CB317*CB318/365</f>
        <v>5844.04294595486</v>
      </c>
      <c r="CC283" s="254">
        <f>CC317*CC318/365</f>
        <v>6536.97677693161</v>
      </c>
      <c r="CD283" s="254">
        <f>CD317*CD318/365</f>
        <v>7264.16052169605</v>
      </c>
      <c r="CE283" s="254">
        <f>CE317*CE318/365</f>
        <v>8020.13136639021</v>
      </c>
      <c r="CF283" s="19" t="n"/>
    </row>
    <row r="284" ht="15" customHeight="1" s="251">
      <c r="B284" s="25" t="inlineStr">
        <is>
          <t xml:space="preserve">  Settlement assets</t>
        </is>
      </c>
      <c r="C284" s="253" t="n">
        <v>311.953</v>
      </c>
      <c r="D284" s="253" t="n">
        <v>712.558</v>
      </c>
      <c r="E284" s="253" t="n">
        <v>513.191</v>
      </c>
      <c r="F284" s="253" t="n">
        <v>459.173</v>
      </c>
      <c r="G284" s="253" t="n">
        <v>497</v>
      </c>
      <c r="H284" s="253" t="n">
        <v>601</v>
      </c>
      <c r="I284" s="253" t="n">
        <v>1117</v>
      </c>
      <c r="J284" s="253" t="n">
        <v>670</v>
      </c>
      <c r="K284" s="253" t="n">
        <v>668</v>
      </c>
      <c r="L284" s="253" t="n">
        <v>1333</v>
      </c>
      <c r="M284" s="253" t="n">
        <v>1351</v>
      </c>
      <c r="N284" s="253" t="n">
        <v>1351</v>
      </c>
      <c r="O284" s="253" t="n">
        <v>1476</v>
      </c>
      <c r="P284" s="253" t="n">
        <v>1343</v>
      </c>
      <c r="Q284" s="253" t="n">
        <v>1188</v>
      </c>
      <c r="R284" s="253" t="n">
        <v>1052</v>
      </c>
      <c r="S284" s="253" t="n">
        <v>1052</v>
      </c>
      <c r="T284" s="253" t="n">
        <v>1070</v>
      </c>
      <c r="U284" s="253" t="n">
        <v>1274</v>
      </c>
      <c r="V284" s="253" t="n">
        <v>912</v>
      </c>
      <c r="W284" s="253" t="n">
        <v>1068</v>
      </c>
      <c r="X284" s="253" t="n">
        <v>1068</v>
      </c>
      <c r="Y284" s="253" t="n">
        <v>1020</v>
      </c>
      <c r="Z284" s="253" t="n">
        <v>1005</v>
      </c>
      <c r="AA284" s="253" t="n">
        <v>1137</v>
      </c>
      <c r="AB284" s="253" t="n">
        <v>1093</v>
      </c>
      <c r="AC284" s="253" t="n">
        <v>1093</v>
      </c>
      <c r="AD284" s="253" t="n">
        <v>1085</v>
      </c>
      <c r="AE284" s="253" t="n">
        <v>1271</v>
      </c>
      <c r="AF284" s="253" t="n">
        <v>1199</v>
      </c>
      <c r="AG284" s="253" t="n">
        <v>1375</v>
      </c>
      <c r="AH284" s="253" t="n">
        <v>1375</v>
      </c>
      <c r="AI284" s="253" t="n">
        <v>1531</v>
      </c>
      <c r="AJ284" s="253" t="n">
        <v>1532</v>
      </c>
      <c r="AK284" s="253" t="n">
        <v>1335</v>
      </c>
      <c r="AL284" s="253" t="n">
        <v>2452</v>
      </c>
      <c r="AM284" s="253" t="n">
        <v>2452</v>
      </c>
      <c r="AN284" s="253" t="n">
        <v>1426</v>
      </c>
      <c r="AO284" s="253" t="n">
        <v>1549</v>
      </c>
      <c r="AP284" s="253" t="n">
        <v>2723</v>
      </c>
      <c r="AQ284" s="253" t="n">
        <v>2995</v>
      </c>
      <c r="AR284" s="253" t="n">
        <v>2995</v>
      </c>
      <c r="AS284" s="253" t="n">
        <v>1164</v>
      </c>
      <c r="AT284" s="253" t="n">
        <v>1782</v>
      </c>
      <c r="AU284" s="253" t="n">
        <v>1375</v>
      </c>
      <c r="AV284" s="253" t="n">
        <v>1706</v>
      </c>
      <c r="AW284" s="253" t="n">
        <v>1706</v>
      </c>
      <c r="AX284" s="253" t="n">
        <v>1678</v>
      </c>
      <c r="AY284" s="253" t="n">
        <v>937</v>
      </c>
      <c r="AZ284" s="253" t="n">
        <v>861</v>
      </c>
      <c r="BA284" s="253" t="n">
        <v>1319</v>
      </c>
      <c r="BB284" s="253" t="n">
        <v>1319</v>
      </c>
      <c r="BC284" s="253" t="n">
        <v>1101</v>
      </c>
      <c r="BD284" s="253" t="n">
        <v>1063</v>
      </c>
      <c r="BE284" s="253" t="n">
        <v>1019</v>
      </c>
      <c r="BF284" s="253" t="n">
        <v>1270</v>
      </c>
      <c r="BG284" s="253" t="n">
        <v>1270</v>
      </c>
      <c r="BH284" s="253" t="n">
        <v>1236</v>
      </c>
      <c r="BI284" s="253" t="n">
        <v>1378</v>
      </c>
      <c r="BJ284" s="253" t="n">
        <v>1118</v>
      </c>
      <c r="BK284" s="253" t="n">
        <v>1233</v>
      </c>
      <c r="BL284" s="253" t="n">
        <v>1233</v>
      </c>
      <c r="BM284" s="253" t="n">
        <v>1647</v>
      </c>
      <c r="BN284" s="253" t="n">
        <v>1514</v>
      </c>
      <c r="BO284" s="253" t="n">
        <v>1978</v>
      </c>
      <c r="BP284" s="253" t="n">
        <v>1821</v>
      </c>
      <c r="BQ284" s="253" t="n">
        <v>1821</v>
      </c>
      <c r="BR284" s="253" t="n">
        <v>2119</v>
      </c>
      <c r="BS284" s="253" t="n">
        <v>2418</v>
      </c>
      <c r="BT284" s="253" t="n">
        <v>1842</v>
      </c>
      <c r="BU284" s="253" t="n">
        <v>1626</v>
      </c>
      <c r="BV284" s="253" t="n">
        <v>1626</v>
      </c>
      <c r="BW284" s="253" t="n">
        <v>2062</v>
      </c>
      <c r="BX284" s="253" t="n">
        <v>2371</v>
      </c>
      <c r="BY284" s="35" t="n"/>
      <c r="BZ284" s="35" t="n"/>
      <c r="CA284" s="254">
        <f>CA11*CA319</f>
        <v>1773.3594633075</v>
      </c>
      <c r="CB284" s="254">
        <f>CB11*CB319</f>
        <v>1924.09501768864</v>
      </c>
      <c r="CC284" s="254">
        <f>CC11*CC319</f>
        <v>2078.02261910373</v>
      </c>
      <c r="CD284" s="254">
        <f>CD11*CD319</f>
        <v>2244.26442863203</v>
      </c>
      <c r="CE284" s="254">
        <f>CE11*CE319</f>
        <v>2412.58426077943</v>
      </c>
      <c r="CF284" s="19" t="n"/>
    </row>
    <row r="285" ht="15" customHeight="1" s="251">
      <c r="B285" s="25" t="inlineStr">
        <is>
          <t xml:space="preserve">  Prepaid expenses &amp; other current assets (incl. customer-incentive prepayments; derived)</t>
        </is>
      </c>
      <c r="C285" s="253" t="n">
        <v>220.197</v>
      </c>
      <c r="D285" s="253" t="n">
        <v>234.516</v>
      </c>
      <c r="E285" s="253" t="n">
        <v>882.3339999999999</v>
      </c>
      <c r="F285" s="253" t="n">
        <v>681.729</v>
      </c>
      <c r="G285" s="253" t="n">
        <v>616</v>
      </c>
      <c r="H285" s="253" t="n">
        <v>747</v>
      </c>
      <c r="I285" s="253" t="n">
        <v>809</v>
      </c>
      <c r="J285" s="253" t="n">
        <v>616</v>
      </c>
      <c r="K285" s="253" t="n">
        <v>691</v>
      </c>
      <c r="L285" s="253" t="n">
        <v>624</v>
      </c>
      <c r="M285" s="253" t="n">
        <v>704</v>
      </c>
      <c r="N285" s="253" t="n">
        <v>704</v>
      </c>
      <c r="O285" s="253" t="n">
        <v>856</v>
      </c>
      <c r="P285" s="253" t="n">
        <v>928</v>
      </c>
      <c r="Q285" s="253" t="n">
        <v>885</v>
      </c>
      <c r="R285" s="253" t="n">
        <v>1041</v>
      </c>
      <c r="S285" s="253" t="n">
        <v>1041</v>
      </c>
      <c r="T285" s="253" t="n">
        <v>917</v>
      </c>
      <c r="U285" s="253" t="n">
        <v>1197</v>
      </c>
      <c r="V285" s="253" t="n">
        <v>1111</v>
      </c>
      <c r="W285" s="253" t="n">
        <v>664</v>
      </c>
      <c r="X285" s="253" t="n">
        <v>664</v>
      </c>
      <c r="Y285" s="253" t="n">
        <v>713</v>
      </c>
      <c r="Z285" s="253" t="n">
        <v>865</v>
      </c>
      <c r="AA285" s="253" t="n">
        <v>822</v>
      </c>
      <c r="AB285" s="253" t="n">
        <v>850</v>
      </c>
      <c r="AC285" s="253" t="n">
        <v>850</v>
      </c>
      <c r="AD285" s="253" t="n">
        <v>1060</v>
      </c>
      <c r="AE285" s="253" t="n">
        <v>1067</v>
      </c>
      <c r="AF285" s="253" t="n">
        <v>1180</v>
      </c>
      <c r="AG285" s="253" t="n">
        <v>1040</v>
      </c>
      <c r="AH285" s="253" t="n">
        <v>1040</v>
      </c>
      <c r="AI285" s="253" t="n">
        <v>1273</v>
      </c>
      <c r="AJ285" s="253" t="n">
        <v>1323</v>
      </c>
      <c r="AK285" s="253" t="n">
        <v>1375</v>
      </c>
      <c r="AL285" s="253" t="n">
        <v>1432</v>
      </c>
      <c r="AM285" s="253" t="n">
        <v>1432</v>
      </c>
      <c r="AN285" s="253" t="n">
        <v>1513</v>
      </c>
      <c r="AO285" s="253" t="n">
        <v>1786</v>
      </c>
      <c r="AP285" s="253" t="n">
        <v>1933</v>
      </c>
      <c r="AQ285" s="253" t="n">
        <v>1763</v>
      </c>
      <c r="AR285" s="253" t="n">
        <v>1763</v>
      </c>
      <c r="AS285" s="253" t="n">
        <v>1729</v>
      </c>
      <c r="AT285" s="253" t="n">
        <v>1790</v>
      </c>
      <c r="AU285" s="253" t="n">
        <v>1958</v>
      </c>
      <c r="AV285" s="253" t="n">
        <v>1883</v>
      </c>
      <c r="AW285" s="253" t="n">
        <v>1883</v>
      </c>
      <c r="AX285" s="253" t="n">
        <v>1999</v>
      </c>
      <c r="AY285" s="253" t="n">
        <v>2217</v>
      </c>
      <c r="AZ285" s="253" t="n">
        <v>2367</v>
      </c>
      <c r="BA285" s="253" t="n">
        <v>2271</v>
      </c>
      <c r="BB285" s="253" t="n">
        <v>2271</v>
      </c>
      <c r="BC285" s="253" t="n">
        <v>2320</v>
      </c>
      <c r="BD285" s="253" t="n">
        <v>2409</v>
      </c>
      <c r="BE285" s="253" t="n">
        <v>2475</v>
      </c>
      <c r="BF285" s="253" t="n">
        <v>2346</v>
      </c>
      <c r="BG285" s="253" t="n">
        <v>2346</v>
      </c>
      <c r="BH285" s="253" t="n">
        <v>2501</v>
      </c>
      <c r="BI285" s="253" t="n">
        <v>2554</v>
      </c>
      <c r="BJ285" s="253" t="n">
        <v>2624</v>
      </c>
      <c r="BK285" s="253" t="n">
        <v>2643</v>
      </c>
      <c r="BL285" s="253" t="n">
        <v>2643</v>
      </c>
      <c r="BM285" s="253" t="n">
        <v>3028</v>
      </c>
      <c r="BN285" s="253" t="n">
        <v>2941</v>
      </c>
      <c r="BO285" s="253" t="n">
        <v>3039</v>
      </c>
      <c r="BP285" s="253" t="n">
        <v>2992</v>
      </c>
      <c r="BQ285" s="253" t="n">
        <v>2992</v>
      </c>
      <c r="BR285" s="253" t="n">
        <v>3419</v>
      </c>
      <c r="BS285" s="253" t="n">
        <v>3630</v>
      </c>
      <c r="BT285" s="253" t="n">
        <v>3954</v>
      </c>
      <c r="BU285" s="253" t="n">
        <v>3743</v>
      </c>
      <c r="BV285" s="253" t="n">
        <v>3743</v>
      </c>
      <c r="BW285" s="253" t="n">
        <v>4639</v>
      </c>
      <c r="BX285" s="253" t="n">
        <v>4811</v>
      </c>
      <c r="BY285" s="35" t="n"/>
      <c r="BZ285" s="35" t="n"/>
      <c r="CA285" s="254">
        <f>CA317*CA321</f>
        <v>4242.82749</v>
      </c>
      <c r="CB285" s="254">
        <f>CB317*CB321</f>
        <v>4768.05150943494</v>
      </c>
      <c r="CC285" s="254">
        <f>CC317*CC321</f>
        <v>5333.40399388479</v>
      </c>
      <c r="CD285" s="254">
        <f>CD317*CD321</f>
        <v>5926.70037858378</v>
      </c>
      <c r="CE285" s="254">
        <f>CE317*CE321</f>
        <v>6543.48365010778</v>
      </c>
      <c r="CF285" s="19" t="n"/>
    </row>
    <row r="286" ht="15" customHeight="1" s="251">
      <c r="B286" s="16" t="inlineStr">
        <is>
          <t>Total current assets</t>
        </is>
      </c>
      <c r="C286" s="275">
        <f>IF(ISNUMBER(C279),SUM(C279:C285),"")</f>
        <v>3577.229</v>
      </c>
      <c r="D286" s="275">
        <f>IF(ISNUMBER(D279),SUM(D279:D285),"")</f>
        <v>4591.741</v>
      </c>
      <c r="E286" s="275">
        <f>IF(ISNUMBER(E279),SUM(E279:E285),"")</f>
        <v>4311.507</v>
      </c>
      <c r="F286" s="275">
        <f>IF(ISNUMBER(F279),SUM(F279:F285),"")</f>
        <v>5003.147</v>
      </c>
      <c r="G286" s="275">
        <f>IF(ISNUMBER(G279),SUM(G279:G285),"")</f>
        <v>6454</v>
      </c>
      <c r="H286" s="275">
        <f>IF(ISNUMBER(H279),SUM(H279:H285),"")</f>
        <v>7741</v>
      </c>
      <c r="I286" s="275">
        <f>IF(ISNUMBER(I279),SUM(I279:I285),"")</f>
        <v>9357</v>
      </c>
      <c r="J286" s="275">
        <f>IF(ISNUMBER(J279),SUM(J279:J285),"")</f>
        <v>8783</v>
      </c>
      <c r="K286" s="275">
        <f>IF(ISNUMBER(K279),SUM(K279:K285),"")</f>
        <v>8962</v>
      </c>
      <c r="L286" s="275">
        <f>IF(ISNUMBER(L279),SUM(L279:L285),"")</f>
        <v>10559</v>
      </c>
      <c r="M286" s="275">
        <f>IF(ISNUMBER(M279),SUM(M279:M285),"")</f>
        <v>10950</v>
      </c>
      <c r="N286" s="275">
        <f>IF(ISNUMBER(N279),SUM(N279:N285),"")</f>
        <v>10950</v>
      </c>
      <c r="O286" s="275">
        <f>IF(ISNUMBER(O279),SUM(O279:O285),"")</f>
        <v>11342</v>
      </c>
      <c r="P286" s="275">
        <f>IF(ISNUMBER(P279),SUM(P279:P285),"")</f>
        <v>10577</v>
      </c>
      <c r="Q286" s="275">
        <f>IF(ISNUMBER(Q279),SUM(Q279:Q285),"")</f>
        <v>10956</v>
      </c>
      <c r="R286" s="275">
        <f>IF(ISNUMBER(R279),SUM(R279:R285),"")</f>
        <v>10997</v>
      </c>
      <c r="S286" s="275">
        <f>IF(ISNUMBER(S279),SUM(S279:S285),"")</f>
        <v>10997</v>
      </c>
      <c r="T286" s="275">
        <f>IF(ISNUMBER(T279),SUM(T279:T285),"")</f>
        <v>10348</v>
      </c>
      <c r="U286" s="275">
        <f>IF(ISNUMBER(U279),SUM(U279:U285),"")</f>
        <v>10217</v>
      </c>
      <c r="V286" s="275">
        <f>IF(ISNUMBER(V279),SUM(V279:V285),"")</f>
        <v>9625</v>
      </c>
      <c r="W286" s="275">
        <f>IF(ISNUMBER(W279),SUM(W279:W285),"")</f>
        <v>10985</v>
      </c>
      <c r="X286" s="275">
        <f>IF(ISNUMBER(X279),SUM(X279:X285),"")</f>
        <v>10985</v>
      </c>
      <c r="Y286" s="275">
        <f>IF(ISNUMBER(Y279),SUM(Y279:Y285),"")</f>
        <v>10606</v>
      </c>
      <c r="Z286" s="275">
        <f>IF(ISNUMBER(Z279),SUM(Z279:Z285),"")</f>
        <v>10998</v>
      </c>
      <c r="AA286" s="275">
        <f>IF(ISNUMBER(AA279),SUM(AA279:AA285),"")</f>
        <v>11776</v>
      </c>
      <c r="AB286" s="275">
        <f>IF(ISNUMBER(AB279),SUM(AB279:AB285),"")</f>
        <v>13228</v>
      </c>
      <c r="AC286" s="275">
        <f>IF(ISNUMBER(AC279),SUM(AC279:AC285),"")</f>
        <v>13228</v>
      </c>
      <c r="AD286" s="275">
        <f>IF(ISNUMBER(AD279),SUM(AD279:AD285),"")</f>
        <v>12885</v>
      </c>
      <c r="AE286" s="275">
        <f>IF(ISNUMBER(AE279),SUM(AE279:AE285),"")</f>
        <v>12542</v>
      </c>
      <c r="AF286" s="275">
        <f>IF(ISNUMBER(AF279),SUM(AF279:AF285),"")</f>
        <v>13231</v>
      </c>
      <c r="AG286" s="275">
        <f>IF(ISNUMBER(AG279),SUM(AG279:AG285),"")</f>
        <v>13797</v>
      </c>
      <c r="AH286" s="275">
        <f>IF(ISNUMBER(AH279),SUM(AH279:AH285),"")</f>
        <v>13797</v>
      </c>
      <c r="AI286" s="275">
        <f>IF(ISNUMBER(AI279),SUM(AI279:AI285),"")</f>
        <v>14707</v>
      </c>
      <c r="AJ286" s="275">
        <f>IF(ISNUMBER(AJ279),SUM(AJ279:AJ285),"")</f>
        <v>14305</v>
      </c>
      <c r="AK286" s="275">
        <f>IF(ISNUMBER(AK279),SUM(AK279:AK285),"")</f>
        <v>15064</v>
      </c>
      <c r="AL286" s="275">
        <f>IF(ISNUMBER(AL279),SUM(AL279:AL285),"")</f>
        <v>16171</v>
      </c>
      <c r="AM286" s="275">
        <f>IF(ISNUMBER(AM279),SUM(AM279:AM285),"")</f>
        <v>16171</v>
      </c>
      <c r="AN286" s="275">
        <f>IF(ISNUMBER(AN279),SUM(AN279:AN285),"")</f>
        <v>14396</v>
      </c>
      <c r="AO286" s="275">
        <f>IF(ISNUMBER(AO279),SUM(AO279:AO285),"")</f>
        <v>14165</v>
      </c>
      <c r="AP286" s="275">
        <f>IF(ISNUMBER(AP279),SUM(AP279:AP285),"")</f>
        <v>14847</v>
      </c>
      <c r="AQ286" s="275">
        <f>IF(ISNUMBER(AQ279),SUM(AQ279:AQ285),"")</f>
        <v>16902</v>
      </c>
      <c r="AR286" s="275">
        <f>IF(ISNUMBER(AR279),SUM(AR279:AR285),"")</f>
        <v>16902</v>
      </c>
      <c r="AS286" s="275">
        <f>IF(ISNUMBER(AS279),SUM(AS279:AS285),"")</f>
        <v>18123</v>
      </c>
      <c r="AT286" s="275">
        <f>IF(ISNUMBER(AT279),SUM(AT279:AT285),"")</f>
        <v>19381</v>
      </c>
      <c r="AU286" s="275">
        <f>IF(ISNUMBER(AU279),SUM(AU279:AU285),"")</f>
        <v>18469</v>
      </c>
      <c r="AV286" s="275">
        <f>IF(ISNUMBER(AV279),SUM(AV279:AV285),"")</f>
        <v>19113</v>
      </c>
      <c r="AW286" s="275">
        <f>IF(ISNUMBER(AW279),SUM(AW279:AW285),"")</f>
        <v>19113</v>
      </c>
      <c r="AX286" s="275">
        <f>IF(ISNUMBER(AX279),SUM(AX279:AX285),"")</f>
        <v>16405</v>
      </c>
      <c r="AY286" s="275">
        <f>IF(ISNUMBER(AY279),SUM(AY279:AY285),"")</f>
        <v>15079</v>
      </c>
      <c r="AZ286" s="275">
        <f>IF(ISNUMBER(AZ279),SUM(AZ279:AZ285),"")</f>
        <v>15382</v>
      </c>
      <c r="BA286" s="275">
        <f>IF(ISNUMBER(BA279),SUM(BA279:BA285),"")</f>
        <v>16949</v>
      </c>
      <c r="BB286" s="275">
        <f>IF(ISNUMBER(BB279),SUM(BB279:BB285),"")</f>
        <v>16949</v>
      </c>
      <c r="BC286" s="275">
        <f>IF(ISNUMBER(BC279),SUM(BC279:BC285),"")</f>
        <v>15953</v>
      </c>
      <c r="BD286" s="275">
        <f>IF(ISNUMBER(BD279),SUM(BD279:BD285),"")</f>
        <v>15211</v>
      </c>
      <c r="BE286" s="275">
        <f>IF(ISNUMBER(BE279),SUM(BE279:BE285),"")</f>
        <v>16823</v>
      </c>
      <c r="BF286" s="275">
        <f>IF(ISNUMBER(BF279),SUM(BF279:BF285),"")</f>
        <v>16606</v>
      </c>
      <c r="BG286" s="275">
        <f>IF(ISNUMBER(BG279),SUM(BG279:BG285),"")</f>
        <v>16606</v>
      </c>
      <c r="BH286" s="275">
        <f>IF(ISNUMBER(BH279),SUM(BH279:BH285),"")</f>
        <v>16420</v>
      </c>
      <c r="BI286" s="275">
        <f>IF(ISNUMBER(BI279),SUM(BI279:BI285),"")</f>
        <v>16530</v>
      </c>
      <c r="BJ286" s="275">
        <f>IF(ISNUMBER(BJ279),SUM(BJ279:BJ285),"")</f>
        <v>16983</v>
      </c>
      <c r="BK286" s="275">
        <f>IF(ISNUMBER(BK279),SUM(BK279:BK285),"")</f>
        <v>18961</v>
      </c>
      <c r="BL286" s="275">
        <f>IF(ISNUMBER(BL279),SUM(BL279:BL285),"")</f>
        <v>18961</v>
      </c>
      <c r="BM286" s="275">
        <f>IF(ISNUMBER(BM279),SUM(BM279:BM285),"")</f>
        <v>18424</v>
      </c>
      <c r="BN286" s="275">
        <f>IF(ISNUMBER(BN279),SUM(BN279:BN285),"")</f>
        <v>17780</v>
      </c>
      <c r="BO286" s="275">
        <f>IF(ISNUMBER(BO279),SUM(BO279:BO285),"")</f>
        <v>22300</v>
      </c>
      <c r="BP286" s="275">
        <f>IF(ISNUMBER(BP279),SUM(BP279:BP285),"")</f>
        <v>19724</v>
      </c>
      <c r="BQ286" s="275">
        <f>IF(ISNUMBER(BQ279),SUM(BQ279:BQ285),"")</f>
        <v>19724</v>
      </c>
      <c r="BR286" s="275">
        <f>IF(ISNUMBER(BR279),SUM(BR279:BR285),"")</f>
        <v>19804</v>
      </c>
      <c r="BS286" s="275">
        <f>IF(ISNUMBER(BS279),SUM(BS279:BS285),"")</f>
        <v>22140</v>
      </c>
      <c r="BT286" s="275">
        <f>IF(ISNUMBER(BT279),SUM(BT279:BT285),"")</f>
        <v>23223</v>
      </c>
      <c r="BU286" s="275">
        <f>IF(ISNUMBER(BU279),SUM(BU279:BU285),"")</f>
        <v>23558</v>
      </c>
      <c r="BV286" s="275">
        <f>IF(ISNUMBER(BV279),SUM(BV279:BV285),"")</f>
        <v>23558</v>
      </c>
      <c r="BW286" s="275">
        <f>IF(ISNUMBER(BW279),SUM(BW279:BW285),"")</f>
        <v>22498</v>
      </c>
      <c r="BX286" s="275">
        <f>IF(ISNUMBER(BX279),SUM(BX279:BX285),"")</f>
        <v>26522</v>
      </c>
      <c r="BY286" s="32" t="n"/>
      <c r="BZ286" s="32" t="n"/>
      <c r="CA286" s="263">
        <f>IF(ISNUMBER(CA279),SUM(CA279:CA285),"")</f>
        <v>24268.3759576498</v>
      </c>
      <c r="CB286" s="263">
        <f>IF(ISNUMBER(CB279),SUM(CB279:CB285),"")</f>
        <v>26051.2665059291</v>
      </c>
      <c r="CC286" s="263">
        <f>IF(ISNUMBER(CC279),SUM(CC279:CC285),"")</f>
        <v>26780.470565034</v>
      </c>
      <c r="CD286" s="263">
        <f>IF(ISNUMBER(CD279),SUM(CD279:CD285),"")</f>
        <v>27753.1253289119</v>
      </c>
      <c r="CE286" s="263">
        <f>IF(ISNUMBER(CE279),SUM(CE279:CE285),"")</f>
        <v>29294.1992772774</v>
      </c>
      <c r="CF286" s="153" t="n"/>
    </row>
    <row r="287" ht="15" customHeight="1" s="251">
      <c r="B287" s="25" t="inlineStr">
        <is>
          <t xml:space="preserve">  Property, equipment and right-of-use assets, net</t>
        </is>
      </c>
      <c r="C287" s="253" t="n">
        <v>252.731</v>
      </c>
      <c r="D287" s="253" t="n">
        <v>290.2</v>
      </c>
      <c r="E287" s="253" t="n">
        <v>306.798</v>
      </c>
      <c r="F287" s="253" t="n">
        <v>448.994</v>
      </c>
      <c r="G287" s="253" t="n">
        <v>439</v>
      </c>
      <c r="H287" s="253" t="n">
        <v>449</v>
      </c>
      <c r="I287" s="253" t="n">
        <v>472</v>
      </c>
      <c r="J287" s="253" t="n">
        <v>468</v>
      </c>
      <c r="K287" s="253" t="n">
        <v>471</v>
      </c>
      <c r="L287" s="253" t="n">
        <v>474</v>
      </c>
      <c r="M287" s="253" t="n">
        <v>526</v>
      </c>
      <c r="N287" s="253" t="n">
        <v>526</v>
      </c>
      <c r="O287" s="253" t="n">
        <v>528</v>
      </c>
      <c r="P287" s="253" t="n">
        <v>539</v>
      </c>
      <c r="Q287" s="253" t="n">
        <v>553</v>
      </c>
      <c r="R287" s="253" t="n">
        <v>615</v>
      </c>
      <c r="S287" s="253" t="n">
        <v>615</v>
      </c>
      <c r="T287" s="253" t="n">
        <v>602</v>
      </c>
      <c r="U287" s="253" t="n">
        <v>632</v>
      </c>
      <c r="V287" s="253" t="n">
        <v>641</v>
      </c>
      <c r="W287" s="253" t="n">
        <v>675</v>
      </c>
      <c r="X287" s="253" t="n">
        <v>675</v>
      </c>
      <c r="Y287" s="253" t="n">
        <v>669</v>
      </c>
      <c r="Z287" s="253" t="n">
        <v>680</v>
      </c>
      <c r="AA287" s="253" t="n">
        <v>698</v>
      </c>
      <c r="AB287" s="253" t="n">
        <v>733</v>
      </c>
      <c r="AC287" s="253" t="n">
        <v>733</v>
      </c>
      <c r="AD287" s="253" t="n">
        <v>748</v>
      </c>
      <c r="AE287" s="253" t="n">
        <v>845</v>
      </c>
      <c r="AF287" s="253" t="n">
        <v>901</v>
      </c>
      <c r="AG287" s="253" t="n">
        <v>829</v>
      </c>
      <c r="AH287" s="253" t="n">
        <v>829</v>
      </c>
      <c r="AI287" s="253" t="n">
        <v>839</v>
      </c>
      <c r="AJ287" s="253" t="n">
        <v>860</v>
      </c>
      <c r="AK287" s="253" t="n">
        <v>876</v>
      </c>
      <c r="AL287" s="253" t="n">
        <v>921</v>
      </c>
      <c r="AM287" s="253" t="n">
        <v>921</v>
      </c>
      <c r="AN287" s="253" t="n">
        <v>1305</v>
      </c>
      <c r="AO287" s="253" t="n">
        <v>1348</v>
      </c>
      <c r="AP287" s="253" t="n">
        <v>1492</v>
      </c>
      <c r="AQ287" s="253" t="n">
        <v>1828</v>
      </c>
      <c r="AR287" s="253" t="n">
        <v>1828</v>
      </c>
      <c r="AS287" s="253" t="n">
        <v>1901</v>
      </c>
      <c r="AT287" s="253" t="n">
        <v>1872</v>
      </c>
      <c r="AU287" s="253" t="n">
        <v>1887</v>
      </c>
      <c r="AV287" s="253" t="n">
        <v>1902</v>
      </c>
      <c r="AW287" s="253" t="n">
        <v>1902</v>
      </c>
      <c r="AX287" s="253" t="n">
        <v>1850</v>
      </c>
      <c r="AY287" s="253" t="n">
        <v>1839</v>
      </c>
      <c r="AZ287" s="253" t="n">
        <v>1860</v>
      </c>
      <c r="BA287" s="253" t="n">
        <v>1907</v>
      </c>
      <c r="BB287" s="253" t="n">
        <v>1907</v>
      </c>
      <c r="BC287" s="253" t="n">
        <v>1957</v>
      </c>
      <c r="BD287" s="253" t="n">
        <v>1950</v>
      </c>
      <c r="BE287" s="253" t="n">
        <v>1951</v>
      </c>
      <c r="BF287" s="253" t="n">
        <v>2006</v>
      </c>
      <c r="BG287" s="253" t="n">
        <v>2006</v>
      </c>
      <c r="BH287" s="253" t="n">
        <v>2006</v>
      </c>
      <c r="BI287" s="253" t="n">
        <v>1986</v>
      </c>
      <c r="BJ287" s="253" t="n">
        <v>1972</v>
      </c>
      <c r="BK287" s="253" t="n">
        <v>2061</v>
      </c>
      <c r="BL287" s="253" t="n">
        <v>2061</v>
      </c>
      <c r="BM287" s="253" t="n">
        <v>2077</v>
      </c>
      <c r="BN287" s="253" t="n">
        <v>2148</v>
      </c>
      <c r="BO287" s="253" t="n">
        <v>2176</v>
      </c>
      <c r="BP287" s="253" t="n">
        <v>2138</v>
      </c>
      <c r="BQ287" s="253" t="n">
        <v>2138</v>
      </c>
      <c r="BR287" s="253" t="n">
        <v>2171</v>
      </c>
      <c r="BS287" s="253" t="n">
        <v>2225</v>
      </c>
      <c r="BT287" s="253" t="n">
        <v>2299</v>
      </c>
      <c r="BU287" s="253" t="n">
        <v>2303</v>
      </c>
      <c r="BV287" s="253" t="n">
        <v>2303</v>
      </c>
      <c r="BW287" s="253" t="n">
        <v>2349</v>
      </c>
      <c r="BX287" s="253" t="n">
        <v>2541</v>
      </c>
      <c r="BY287" s="35" t="n"/>
      <c r="BZ287" s="35" t="n"/>
      <c r="CA287" s="254">
        <f>BX287-(CA240-SUM(BW240:BX240))*CA329-(BY126+BZ126)*CA330</f>
        <v>2635</v>
      </c>
      <c r="CB287" s="254">
        <f>CA287-CB240*CB329-(CB126-N(CB60)-N(CB74))*CB330</f>
        <v>2904.35308526983</v>
      </c>
      <c r="CC287" s="254">
        <f>CB287-CC240*CC329-(CC126-N(CC60)-N(CC74))*CC330</f>
        <v>3205.64362667876</v>
      </c>
      <c r="CD287" s="254">
        <f>CC287-CD240*CD329-(CD126-N(CD60)-N(CD74))*CD330</f>
        <v>3540.45020946893</v>
      </c>
      <c r="CE287" s="254">
        <f>CD287-CE240*CE329-(CE126-N(CE60)-N(CE74))*CE330</f>
        <v>3910.09963672064</v>
      </c>
      <c r="CF287" s="19" t="inlineStr">
        <is>
          <t>Roll-forward of the property &amp; equipment share of capex and D&amp;A (the capitalized-software share sits in intangible assets).</t>
        </is>
      </c>
    </row>
    <row r="288" ht="15" customHeight="1" s="251">
      <c r="B288" s="25" t="inlineStr">
        <is>
          <t xml:space="preserve">  Goodwill</t>
        </is>
      </c>
      <c r="C288" s="253" t="n">
        <v>217.013</v>
      </c>
      <c r="D288" s="253" t="n">
        <v>239.626</v>
      </c>
      <c r="E288" s="253" t="n">
        <v>297.993</v>
      </c>
      <c r="F288" s="253" t="n">
        <v>309.228</v>
      </c>
      <c r="G288" s="253" t="n">
        <v>677</v>
      </c>
      <c r="H288" s="253" t="n">
        <v>1014</v>
      </c>
      <c r="I288" s="253" t="n">
        <v>1092</v>
      </c>
      <c r="J288" s="253" t="n">
        <v>1042</v>
      </c>
      <c r="K288" s="253" t="n">
        <v>1050</v>
      </c>
      <c r="L288" s="253" t="n">
        <v>1101</v>
      </c>
      <c r="M288" s="253" t="n">
        <v>1122</v>
      </c>
      <c r="N288" s="253" t="n">
        <v>1122</v>
      </c>
      <c r="O288" s="253" t="n">
        <v>1286</v>
      </c>
      <c r="P288" s="253" t="n">
        <v>1527</v>
      </c>
      <c r="Q288" s="253" t="n">
        <v>1456</v>
      </c>
      <c r="R288" s="253" t="n">
        <v>1522</v>
      </c>
      <c r="S288" s="253" t="n">
        <v>1522</v>
      </c>
      <c r="T288" s="253" t="n">
        <v>1469</v>
      </c>
      <c r="U288" s="253" t="n">
        <v>1940</v>
      </c>
      <c r="V288" s="253" t="n">
        <v>1907</v>
      </c>
      <c r="W288" s="253" t="n">
        <v>1891</v>
      </c>
      <c r="X288" s="253" t="n">
        <v>1891</v>
      </c>
      <c r="Y288" s="253" t="n">
        <v>1886</v>
      </c>
      <c r="Z288" s="253" t="n">
        <v>1834</v>
      </c>
      <c r="AA288" s="253" t="n">
        <v>1814</v>
      </c>
      <c r="AB288" s="253" t="n">
        <v>1756</v>
      </c>
      <c r="AC288" s="253" t="n">
        <v>1756</v>
      </c>
      <c r="AD288" s="253" t="n">
        <v>1775</v>
      </c>
      <c r="AE288" s="253" t="n">
        <v>2759</v>
      </c>
      <c r="AF288" s="253" t="n">
        <v>3015</v>
      </c>
      <c r="AG288" s="253" t="n">
        <v>3035</v>
      </c>
      <c r="AH288" s="253" t="n">
        <v>3035</v>
      </c>
      <c r="AI288" s="253" t="n">
        <v>3104</v>
      </c>
      <c r="AJ288" s="253" t="n">
        <v>2974</v>
      </c>
      <c r="AK288" s="253" t="n">
        <v>2950</v>
      </c>
      <c r="AL288" s="253" t="n">
        <v>2904</v>
      </c>
      <c r="AM288" s="253" t="n">
        <v>2904</v>
      </c>
      <c r="AN288" s="253" t="n">
        <v>2944</v>
      </c>
      <c r="AO288" s="253" t="n">
        <v>3524</v>
      </c>
      <c r="AP288" s="253" t="n">
        <v>3724</v>
      </c>
      <c r="AQ288" s="253" t="n">
        <v>4021</v>
      </c>
      <c r="AR288" s="253" t="n">
        <v>4021</v>
      </c>
      <c r="AS288" s="253" t="n">
        <v>4070</v>
      </c>
      <c r="AT288" s="253" t="n">
        <v>4081</v>
      </c>
      <c r="AU288" s="253" t="n">
        <v>4159</v>
      </c>
      <c r="AV288" s="253" t="n">
        <v>4960</v>
      </c>
      <c r="AW288" s="253" t="n">
        <v>4960</v>
      </c>
      <c r="AX288" s="253" t="n">
        <v>7051</v>
      </c>
      <c r="AY288" s="253" t="n">
        <v>7661</v>
      </c>
      <c r="AZ288" s="253" t="n">
        <v>7569</v>
      </c>
      <c r="BA288" s="253" t="n">
        <v>7662</v>
      </c>
      <c r="BB288" s="253" t="n">
        <v>7662</v>
      </c>
      <c r="BC288" s="253" t="n">
        <v>7625</v>
      </c>
      <c r="BD288" s="253" t="n">
        <v>7519</v>
      </c>
      <c r="BE288" s="253" t="n">
        <v>7176</v>
      </c>
      <c r="BF288" s="253" t="n">
        <v>7522</v>
      </c>
      <c r="BG288" s="253" t="n">
        <v>7522</v>
      </c>
      <c r="BH288" s="253" t="n">
        <v>7575</v>
      </c>
      <c r="BI288" s="253" t="n">
        <v>7579</v>
      </c>
      <c r="BJ288" s="253" t="n">
        <v>7488</v>
      </c>
      <c r="BK288" s="253" t="n">
        <v>7660</v>
      </c>
      <c r="BL288" s="253" t="n">
        <v>7660</v>
      </c>
      <c r="BM288" s="253" t="n">
        <v>7545</v>
      </c>
      <c r="BN288" s="253" t="n">
        <v>7563</v>
      </c>
      <c r="BO288" s="253" t="n">
        <v>7721</v>
      </c>
      <c r="BP288" s="253" t="n">
        <v>9193</v>
      </c>
      <c r="BQ288" s="253" t="n">
        <v>9193</v>
      </c>
      <c r="BR288" s="253" t="n">
        <v>9352</v>
      </c>
      <c r="BS288" s="253" t="n">
        <v>9598</v>
      </c>
      <c r="BT288" s="253" t="n">
        <v>9574</v>
      </c>
      <c r="BU288" s="253" t="n">
        <v>9560</v>
      </c>
      <c r="BV288" s="253" t="n">
        <v>9560</v>
      </c>
      <c r="BW288" s="253" t="n">
        <v>9525</v>
      </c>
      <c r="BX288" s="253" t="n">
        <v>9498</v>
      </c>
      <c r="BY288" s="35" t="n"/>
      <c r="BZ288" s="35" t="n"/>
      <c r="CA288" s="254">
        <f>BX288+CA55*(1-CA58)</f>
        <v>10623</v>
      </c>
      <c r="CB288" s="254">
        <f>CA288+CB63*(1-CB71)</f>
        <v>11323</v>
      </c>
      <c r="CC288" s="254">
        <f>CB288+CC63*(1-CC71)</f>
        <v>12023</v>
      </c>
      <c r="CD288" s="254">
        <f>CC288+CD63*(1-CD71)</f>
        <v>12723</v>
      </c>
      <c r="CE288" s="254">
        <f>CD288+CE63*(1-CE71)</f>
        <v>13423</v>
      </c>
      <c r="CF288" s="19" t="n"/>
    </row>
    <row r="289" ht="15" customHeight="1" s="251">
      <c r="B289" s="25" t="inlineStr">
        <is>
          <t xml:space="preserve">  Other intangible assets, net (incl. capitalized software)</t>
        </is>
      </c>
      <c r="C289" s="253" t="n">
        <v>271.373</v>
      </c>
      <c r="D289" s="253" t="n">
        <v>320.758</v>
      </c>
      <c r="E289" s="253" t="n">
        <v>394.282</v>
      </c>
      <c r="F289" s="253" t="n">
        <v>414.704</v>
      </c>
      <c r="G289" s="253" t="n">
        <v>530</v>
      </c>
      <c r="H289" s="253" t="n">
        <v>665</v>
      </c>
      <c r="I289" s="253" t="n">
        <v>672</v>
      </c>
      <c r="J289" s="253" t="n">
        <v>637</v>
      </c>
      <c r="K289" s="253" t="n">
        <v>637</v>
      </c>
      <c r="L289" s="253" t="n">
        <v>655</v>
      </c>
      <c r="M289" s="253" t="n">
        <v>672</v>
      </c>
      <c r="N289" s="253" t="n">
        <v>672</v>
      </c>
      <c r="O289" s="253" t="n">
        <v>723</v>
      </c>
      <c r="P289" s="253" t="n">
        <v>759</v>
      </c>
      <c r="Q289" s="253" t="n">
        <v>705</v>
      </c>
      <c r="R289" s="253" t="n">
        <v>714</v>
      </c>
      <c r="S289" s="253" t="n">
        <v>714</v>
      </c>
      <c r="T289" s="253" t="n">
        <v>648</v>
      </c>
      <c r="U289" s="253" t="n">
        <v>862</v>
      </c>
      <c r="V289" s="253" t="n">
        <v>820</v>
      </c>
      <c r="W289" s="253" t="n">
        <v>803</v>
      </c>
      <c r="X289" s="253" t="n">
        <v>803</v>
      </c>
      <c r="Y289" s="253" t="n">
        <v>788</v>
      </c>
      <c r="Z289" s="253" t="n">
        <v>762</v>
      </c>
      <c r="AA289" s="253" t="n">
        <v>747</v>
      </c>
      <c r="AB289" s="253" t="n">
        <v>722</v>
      </c>
      <c r="AC289" s="253" t="n">
        <v>722</v>
      </c>
      <c r="AD289" s="253" t="n">
        <v>702</v>
      </c>
      <c r="AE289" s="253" t="n">
        <v>1126</v>
      </c>
      <c r="AF289" s="253" t="n">
        <v>1147</v>
      </c>
      <c r="AG289" s="253" t="n">
        <v>1120</v>
      </c>
      <c r="AH289" s="253" t="n">
        <v>1120</v>
      </c>
      <c r="AI289" s="253" t="n">
        <v>1118</v>
      </c>
      <c r="AJ289" s="253" t="n">
        <v>1043</v>
      </c>
      <c r="AK289" s="253" t="n">
        <v>1023</v>
      </c>
      <c r="AL289" s="253" t="n">
        <v>991</v>
      </c>
      <c r="AM289" s="253" t="n">
        <v>991</v>
      </c>
      <c r="AN289" s="253" t="n">
        <v>1025</v>
      </c>
      <c r="AO289" s="253" t="n">
        <v>1232</v>
      </c>
      <c r="AP289" s="253" t="n">
        <v>1310</v>
      </c>
      <c r="AQ289" s="253" t="n">
        <v>1417</v>
      </c>
      <c r="AR289" s="253" t="n">
        <v>1417</v>
      </c>
      <c r="AS289" s="253" t="n">
        <v>1447</v>
      </c>
      <c r="AT289" s="253" t="n">
        <v>1480</v>
      </c>
      <c r="AU289" s="253" t="n">
        <v>1507</v>
      </c>
      <c r="AV289" s="253" t="n">
        <v>1753</v>
      </c>
      <c r="AW289" s="253" t="n">
        <v>1753</v>
      </c>
      <c r="AX289" s="253" t="n">
        <v>3321</v>
      </c>
      <c r="AY289" s="253" t="n">
        <v>3613</v>
      </c>
      <c r="AZ289" s="253" t="n">
        <v>3561</v>
      </c>
      <c r="BA289" s="253" t="n">
        <v>3671</v>
      </c>
      <c r="BB289" s="253" t="n">
        <v>3671</v>
      </c>
      <c r="BC289" s="253" t="n">
        <v>3675</v>
      </c>
      <c r="BD289" s="253" t="n">
        <v>3676</v>
      </c>
      <c r="BE289" s="253" t="n">
        <v>3582</v>
      </c>
      <c r="BF289" s="253" t="n">
        <v>3859</v>
      </c>
      <c r="BG289" s="253" t="n">
        <v>3859</v>
      </c>
      <c r="BH289" s="253" t="n">
        <v>4027</v>
      </c>
      <c r="BI289" s="253" t="n">
        <v>4049</v>
      </c>
      <c r="BJ289" s="253" t="n">
        <v>4022</v>
      </c>
      <c r="BK289" s="253" t="n">
        <v>4086</v>
      </c>
      <c r="BL289" s="253" t="n">
        <v>4086</v>
      </c>
      <c r="BM289" s="253" t="n">
        <v>4123</v>
      </c>
      <c r="BN289" s="253" t="n">
        <v>4149</v>
      </c>
      <c r="BO289" s="253" t="n">
        <v>4235</v>
      </c>
      <c r="BP289" s="253" t="n">
        <v>5453</v>
      </c>
      <c r="BQ289" s="253" t="n">
        <v>5453</v>
      </c>
      <c r="BR289" s="253" t="n">
        <v>5533</v>
      </c>
      <c r="BS289" s="253" t="n">
        <v>5629</v>
      </c>
      <c r="BT289" s="253" t="n">
        <v>5591</v>
      </c>
      <c r="BU289" s="253" t="n">
        <v>5554</v>
      </c>
      <c r="BV289" s="253" t="n">
        <v>5554</v>
      </c>
      <c r="BW289" s="253" t="n">
        <v>5495</v>
      </c>
      <c r="BX289" s="253" t="n">
        <v>5466</v>
      </c>
      <c r="BY289" s="35" t="n"/>
      <c r="BZ289" s="35" t="n"/>
      <c r="CA289" s="254">
        <f>BX289-(CA240-SUM(BW240:BX240))*(1-CA329)-(BY126+BZ126)*(1-CA330)+CA55*CA58</f>
        <v>5797</v>
      </c>
      <c r="CB289" s="254">
        <f>CA289-CB240*(1-CB329)-(CB126-N(CB60)-N(CB74))*(1-CB330)-N(CB60)-N(CB74)+CB63*CB71</f>
        <v>6012.97199417411</v>
      </c>
      <c r="CC289" s="254">
        <f>CB289-CC240*(1-CC329)-(CC126-N(CC60)-N(CC74))*(1-CC330)-N(CC60)-N(CC74)+CC63*CC71</f>
        <v>6189.26192612754</v>
      </c>
      <c r="CD289" s="254">
        <f>CC289-CD240*(1-CD329)-(CD126-N(CD60)-N(CD74))*(1-CD330)-N(CD60)-N(CD74)+CD63*CD71</f>
        <v>6325.7619422102</v>
      </c>
      <c r="CE289" s="254">
        <f>CD289-CE240*(1-CE329)-(CE126-N(CE60)-N(CE74))*(1-CE330)-N(CE60)-N(CE74)+CE63*CE71</f>
        <v>6422.38139127996</v>
      </c>
      <c r="CF289" s="19" t="inlineStr">
        <is>
          <t>Roll-forward: + capitalized software − its amortization + acquired intangibles − acquired-intangible amortization.</t>
        </is>
      </c>
    </row>
    <row r="290" ht="15" customHeight="1" s="251">
      <c r="B290" s="25" t="inlineStr">
        <is>
          <t xml:space="preserve">  Deferred taxes, long-term customer-incentive prepayments, equity investments &amp; other assets (derived)</t>
        </is>
      </c>
      <c r="C290" s="253" t="n">
        <v>764.124</v>
      </c>
      <c r="D290" s="253" t="n">
        <v>817.716</v>
      </c>
      <c r="E290" s="253" t="n">
        <v>1165.269</v>
      </c>
      <c r="F290" s="253" t="n">
        <v>1294.206</v>
      </c>
      <c r="G290" s="253" t="n">
        <v>737</v>
      </c>
      <c r="H290" s="253" t="n">
        <v>824</v>
      </c>
      <c r="I290" s="253" t="n">
        <v>869</v>
      </c>
      <c r="J290" s="253" t="n">
        <v>879</v>
      </c>
      <c r="K290" s="253" t="n">
        <v>901</v>
      </c>
      <c r="L290" s="253" t="n">
        <v>941</v>
      </c>
      <c r="M290" s="253" t="n">
        <v>972</v>
      </c>
      <c r="N290" s="253" t="n">
        <v>972</v>
      </c>
      <c r="O290" s="253" t="n">
        <v>923</v>
      </c>
      <c r="P290" s="253" t="n">
        <v>973</v>
      </c>
      <c r="Q290" s="253" t="n">
        <v>989</v>
      </c>
      <c r="R290" s="253" t="n">
        <v>1481</v>
      </c>
      <c r="S290" s="253" t="n">
        <v>1481</v>
      </c>
      <c r="T290" s="253" t="n">
        <v>1566</v>
      </c>
      <c r="U290" s="253" t="n">
        <v>1621</v>
      </c>
      <c r="V290" s="253" t="n">
        <v>1641</v>
      </c>
      <c r="W290" s="253" t="n">
        <v>1915</v>
      </c>
      <c r="X290" s="253" t="n">
        <v>1915</v>
      </c>
      <c r="Y290" s="253" t="n">
        <v>1956</v>
      </c>
      <c r="Z290" s="253" t="n">
        <v>2008</v>
      </c>
      <c r="AA290" s="253" t="n">
        <v>2288</v>
      </c>
      <c r="AB290" s="253" t="n">
        <v>2236</v>
      </c>
      <c r="AC290" s="253" t="n">
        <v>2236</v>
      </c>
      <c r="AD290" s="253" t="n">
        <v>2460</v>
      </c>
      <c r="AE290" s="253" t="n">
        <v>2567</v>
      </c>
      <c r="AF290" s="253" t="n">
        <v>2620</v>
      </c>
      <c r="AG290" s="253" t="n">
        <v>2548</v>
      </c>
      <c r="AH290" s="253" t="n">
        <v>2548</v>
      </c>
      <c r="AI290" s="253" t="n">
        <v>3176</v>
      </c>
      <c r="AJ290" s="253" t="n">
        <v>3289</v>
      </c>
      <c r="AK290" s="253" t="n">
        <v>3427</v>
      </c>
      <c r="AL290" s="253" t="n">
        <v>3873</v>
      </c>
      <c r="AM290" s="253" t="n">
        <v>3873</v>
      </c>
      <c r="AN290" s="253" t="n">
        <v>3850</v>
      </c>
      <c r="AO290" s="253" t="n">
        <v>4462</v>
      </c>
      <c r="AP290" s="253" t="n">
        <v>4608</v>
      </c>
      <c r="AQ290" s="253" t="n">
        <v>5068</v>
      </c>
      <c r="AR290" s="253" t="n">
        <v>5068</v>
      </c>
      <c r="AS290" s="253" t="n">
        <v>5107</v>
      </c>
      <c r="AT290" s="253" t="n">
        <v>5313</v>
      </c>
      <c r="AU290" s="253" t="n">
        <v>5572</v>
      </c>
      <c r="AV290" s="253" t="n">
        <v>5856</v>
      </c>
      <c r="AW290" s="253" t="n">
        <v>5856</v>
      </c>
      <c r="AX290" s="253" t="n">
        <v>6173</v>
      </c>
      <c r="AY290" s="253" t="n">
        <v>6719</v>
      </c>
      <c r="AZ290" s="253" t="n">
        <v>7038</v>
      </c>
      <c r="BA290" s="253" t="n">
        <v>7480</v>
      </c>
      <c r="BB290" s="253" t="n">
        <v>7480</v>
      </c>
      <c r="BC290" s="253" t="n">
        <v>7953</v>
      </c>
      <c r="BD290" s="253" t="n">
        <v>7875</v>
      </c>
      <c r="BE290" s="253" t="n">
        <v>8080</v>
      </c>
      <c r="BF290" s="253" t="n">
        <v>8731</v>
      </c>
      <c r="BG290" s="253" t="n">
        <v>8731</v>
      </c>
      <c r="BH290" s="253" t="n">
        <v>8908</v>
      </c>
      <c r="BI290" s="253" t="n">
        <v>8860</v>
      </c>
      <c r="BJ290" s="253" t="n">
        <v>9209</v>
      </c>
      <c r="BK290" s="253" t="n">
        <v>9680</v>
      </c>
      <c r="BL290" s="253" t="n">
        <v>9680</v>
      </c>
      <c r="BM290" s="253" t="n">
        <v>10433</v>
      </c>
      <c r="BN290" s="253" t="n">
        <v>10693</v>
      </c>
      <c r="BO290" s="253" t="n">
        <v>10805</v>
      </c>
      <c r="BP290" s="253" t="n">
        <v>11573</v>
      </c>
      <c r="BQ290" s="253" t="n">
        <v>11573</v>
      </c>
      <c r="BR290" s="253" t="n">
        <v>11610</v>
      </c>
      <c r="BS290" s="253" t="n">
        <v>11839</v>
      </c>
      <c r="BT290" s="253" t="n">
        <v>12602</v>
      </c>
      <c r="BU290" s="253" t="n">
        <v>13182</v>
      </c>
      <c r="BV290" s="253" t="n">
        <v>13182</v>
      </c>
      <c r="BW290" s="253" t="n">
        <v>12582</v>
      </c>
      <c r="BX290" s="253" t="n">
        <v>13664</v>
      </c>
      <c r="BY290" s="35" t="n"/>
      <c r="BZ290" s="35" t="n"/>
      <c r="CA290" s="254">
        <f>CA317*CA322</f>
        <v>14961.54957</v>
      </c>
      <c r="CB290" s="254">
        <f>CB317*CB322</f>
        <v>16813.6553227443</v>
      </c>
      <c r="CC290" s="254">
        <f>CC317*CC322</f>
        <v>18807.2667152779</v>
      </c>
      <c r="CD290" s="254">
        <f>CD317*CD322</f>
        <v>20899.4171244796</v>
      </c>
      <c r="CE290" s="254">
        <f>CE317*CE322</f>
        <v>23074.389713538</v>
      </c>
      <c r="CF290" s="19" t="n"/>
    </row>
    <row r="291" ht="15" customHeight="1" s="251">
      <c r="B291" s="55" t="inlineStr">
        <is>
          <t>TOTAL ASSETS</t>
        </is>
      </c>
      <c r="C291" s="273">
        <f>IF(ISNUMBER(C279),C286+SUM(C287:C290),"")</f>
        <v>5082.47</v>
      </c>
      <c r="D291" s="273">
        <f>IF(ISNUMBER(D279),D286+SUM(D287:D290),"")</f>
        <v>6260.041</v>
      </c>
      <c r="E291" s="273">
        <f>IF(ISNUMBER(E279),E286+SUM(E287:E290),"")</f>
        <v>6475.849</v>
      </c>
      <c r="F291" s="273">
        <f>IF(ISNUMBER(F279),F286+SUM(F287:F290),"")</f>
        <v>7470.279</v>
      </c>
      <c r="G291" s="273">
        <f>IF(ISNUMBER(G279),G286+SUM(G287:G290),"")</f>
        <v>8837</v>
      </c>
      <c r="H291" s="273">
        <f>IF(ISNUMBER(H279),H286+SUM(H287:H290),"")</f>
        <v>10693</v>
      </c>
      <c r="I291" s="273">
        <f>IF(ISNUMBER(I279),I286+SUM(I287:I290),"")</f>
        <v>12462</v>
      </c>
      <c r="J291" s="273">
        <f>IF(ISNUMBER(J279),J286+SUM(J287:J290),"")</f>
        <v>11809</v>
      </c>
      <c r="K291" s="273">
        <f>IF(ISNUMBER(K279),K286+SUM(K287:K290),"")</f>
        <v>12021</v>
      </c>
      <c r="L291" s="273">
        <f>IF(ISNUMBER(L279),L286+SUM(L287:L290),"")</f>
        <v>13730</v>
      </c>
      <c r="M291" s="273">
        <f>IF(ISNUMBER(M279),M286+SUM(M287:M290),"")</f>
        <v>14242</v>
      </c>
      <c r="N291" s="273">
        <f>IF(ISNUMBER(N279),N286+SUM(N287:N290),"")</f>
        <v>14242</v>
      </c>
      <c r="O291" s="273">
        <f>IF(ISNUMBER(O279),O286+SUM(O287:O290),"")</f>
        <v>14802</v>
      </c>
      <c r="P291" s="273">
        <f>IF(ISNUMBER(P279),P286+SUM(P287:P290),"")</f>
        <v>14375</v>
      </c>
      <c r="Q291" s="273">
        <f>IF(ISNUMBER(Q279),Q286+SUM(Q287:Q290),"")</f>
        <v>14659</v>
      </c>
      <c r="R291" s="273">
        <f>IF(ISNUMBER(R279),R286+SUM(R287:R290),"")</f>
        <v>15329</v>
      </c>
      <c r="S291" s="273">
        <f>IF(ISNUMBER(S279),S286+SUM(S287:S290),"")</f>
        <v>15329</v>
      </c>
      <c r="T291" s="273">
        <f>IF(ISNUMBER(T279),T286+SUM(T287:T290),"")</f>
        <v>14633</v>
      </c>
      <c r="U291" s="273">
        <f>IF(ISNUMBER(U279),U286+SUM(U287:U290),"")</f>
        <v>15272</v>
      </c>
      <c r="V291" s="273">
        <f>IF(ISNUMBER(V279),V286+SUM(V287:V290),"")</f>
        <v>14634</v>
      </c>
      <c r="W291" s="273">
        <f>IF(ISNUMBER(W279),W286+SUM(W287:W290),"")</f>
        <v>16269</v>
      </c>
      <c r="X291" s="273">
        <f>IF(ISNUMBER(X279),X286+SUM(X287:X290),"")</f>
        <v>16269</v>
      </c>
      <c r="Y291" s="273">
        <f>IF(ISNUMBER(Y279),Y286+SUM(Y287:Y290),"")</f>
        <v>15905</v>
      </c>
      <c r="Z291" s="273">
        <f>IF(ISNUMBER(Z279),Z286+SUM(Z287:Z290),"")</f>
        <v>16282</v>
      </c>
      <c r="AA291" s="273">
        <f>IF(ISNUMBER(AA279),AA286+SUM(AA287:AA290),"")</f>
        <v>17323</v>
      </c>
      <c r="AB291" s="273">
        <f>IF(ISNUMBER(AB279),AB286+SUM(AB287:AB290),"")</f>
        <v>18675</v>
      </c>
      <c r="AC291" s="273">
        <f>IF(ISNUMBER(AC279),AC286+SUM(AC287:AC290),"")</f>
        <v>18675</v>
      </c>
      <c r="AD291" s="273">
        <f>IF(ISNUMBER(AD279),AD286+SUM(AD287:AD290),"")</f>
        <v>18570</v>
      </c>
      <c r="AE291" s="273">
        <f>IF(ISNUMBER(AE279),AE286+SUM(AE287:AE290),"")</f>
        <v>19839</v>
      </c>
      <c r="AF291" s="273">
        <f>IF(ISNUMBER(AF279),AF286+SUM(AF287:AF290),"")</f>
        <v>20914</v>
      </c>
      <c r="AG291" s="273">
        <f>IF(ISNUMBER(AG279),AG286+SUM(AG287:AG290),"")</f>
        <v>21329</v>
      </c>
      <c r="AH291" s="273">
        <f>IF(ISNUMBER(AH279),AH286+SUM(AH287:AH290),"")</f>
        <v>21329</v>
      </c>
      <c r="AI291" s="273">
        <f>IF(ISNUMBER(AI279),AI286+SUM(AI287:AI290),"")</f>
        <v>22944</v>
      </c>
      <c r="AJ291" s="273">
        <f>IF(ISNUMBER(AJ279),AJ286+SUM(AJ287:AJ290),"")</f>
        <v>22471</v>
      </c>
      <c r="AK291" s="273">
        <f>IF(ISNUMBER(AK279),AK286+SUM(AK287:AK290),"")</f>
        <v>23340</v>
      </c>
      <c r="AL291" s="273">
        <f>IF(ISNUMBER(AL279),AL286+SUM(AL287:AL290),"")</f>
        <v>24860</v>
      </c>
      <c r="AM291" s="273">
        <f>IF(ISNUMBER(AM279),AM286+SUM(AM287:AM290),"")</f>
        <v>24860</v>
      </c>
      <c r="AN291" s="273">
        <f>IF(ISNUMBER(AN279),AN286+SUM(AN287:AN290),"")</f>
        <v>23520</v>
      </c>
      <c r="AO291" s="273">
        <f>IF(ISNUMBER(AO279),AO286+SUM(AO287:AO290),"")</f>
        <v>24731</v>
      </c>
      <c r="AP291" s="273">
        <f>IF(ISNUMBER(AP279),AP286+SUM(AP287:AP290),"")</f>
        <v>25981</v>
      </c>
      <c r="AQ291" s="273">
        <f>IF(ISNUMBER(AQ279),AQ286+SUM(AQ287:AQ290),"")</f>
        <v>29236</v>
      </c>
      <c r="AR291" s="273">
        <f>IF(ISNUMBER(AR279),AR286+SUM(AR287:AR290),"")</f>
        <v>29236</v>
      </c>
      <c r="AS291" s="273">
        <f>IF(ISNUMBER(AS279),AS286+SUM(AS287:AS290),"")</f>
        <v>30648</v>
      </c>
      <c r="AT291" s="273">
        <f>IF(ISNUMBER(AT279),AT286+SUM(AT287:AT290),"")</f>
        <v>32127</v>
      </c>
      <c r="AU291" s="273">
        <f>IF(ISNUMBER(AU279),AU286+SUM(AU287:AU290),"")</f>
        <v>31594</v>
      </c>
      <c r="AV291" s="273">
        <f>IF(ISNUMBER(AV279),AV286+SUM(AV287:AV290),"")</f>
        <v>33584</v>
      </c>
      <c r="AW291" s="273">
        <f>IF(ISNUMBER(AW279),AW286+SUM(AW287:AW290),"")</f>
        <v>33584</v>
      </c>
      <c r="AX291" s="273">
        <f>IF(ISNUMBER(AX279),AX286+SUM(AX287:AX290),"")</f>
        <v>34800</v>
      </c>
      <c r="AY291" s="273">
        <f>IF(ISNUMBER(AY279),AY286+SUM(AY287:AY290),"")</f>
        <v>34911</v>
      </c>
      <c r="AZ291" s="273">
        <f>IF(ISNUMBER(AZ279),AZ286+SUM(AZ287:AZ290),"")</f>
        <v>35410</v>
      </c>
      <c r="BA291" s="273">
        <f>IF(ISNUMBER(BA279),BA286+SUM(BA287:BA290),"")</f>
        <v>37669</v>
      </c>
      <c r="BB291" s="273">
        <f>IF(ISNUMBER(BB279),BB286+SUM(BB287:BB290),"")</f>
        <v>37669</v>
      </c>
      <c r="BC291" s="273">
        <f>IF(ISNUMBER(BC279),BC286+SUM(BC287:BC290),"")</f>
        <v>37163</v>
      </c>
      <c r="BD291" s="273">
        <f>IF(ISNUMBER(BD279),BD286+SUM(BD287:BD290),"")</f>
        <v>36231</v>
      </c>
      <c r="BE291" s="273">
        <f>IF(ISNUMBER(BE279),BE286+SUM(BE287:BE290),"")</f>
        <v>37612</v>
      </c>
      <c r="BF291" s="273">
        <f>IF(ISNUMBER(BF279),BF286+SUM(BF287:BF290),"")</f>
        <v>38724</v>
      </c>
      <c r="BG291" s="273">
        <f>IF(ISNUMBER(BG279),BG286+SUM(BG287:BG290),"")</f>
        <v>38724</v>
      </c>
      <c r="BH291" s="273">
        <f>IF(ISNUMBER(BH279),BH286+SUM(BH287:BH290),"")</f>
        <v>38936</v>
      </c>
      <c r="BI291" s="273">
        <f>IF(ISNUMBER(BI279),BI286+SUM(BI287:BI290),"")</f>
        <v>39004</v>
      </c>
      <c r="BJ291" s="273">
        <f>IF(ISNUMBER(BJ279),BJ286+SUM(BJ287:BJ290),"")</f>
        <v>39674</v>
      </c>
      <c r="BK291" s="273">
        <f>IF(ISNUMBER(BK279),BK286+SUM(BK287:BK290),"")</f>
        <v>42448</v>
      </c>
      <c r="BL291" s="273">
        <f>IF(ISNUMBER(BL279),BL286+SUM(BL287:BL290),"")</f>
        <v>42448</v>
      </c>
      <c r="BM291" s="273">
        <f>IF(ISNUMBER(BM279),BM286+SUM(BM287:BM290),"")</f>
        <v>42602</v>
      </c>
      <c r="BN291" s="273">
        <f>IF(ISNUMBER(BN279),BN286+SUM(BN287:BN290),"")</f>
        <v>42333</v>
      </c>
      <c r="BO291" s="273">
        <f>IF(ISNUMBER(BO279),BO286+SUM(BO287:BO290),"")</f>
        <v>47237</v>
      </c>
      <c r="BP291" s="273">
        <f>IF(ISNUMBER(BP279),BP286+SUM(BP287:BP290),"")</f>
        <v>48081</v>
      </c>
      <c r="BQ291" s="273">
        <f>IF(ISNUMBER(BQ279),BQ286+SUM(BQ287:BQ290),"")</f>
        <v>48081</v>
      </c>
      <c r="BR291" s="273">
        <f>IF(ISNUMBER(BR279),BR286+SUM(BR287:BR290),"")</f>
        <v>48470</v>
      </c>
      <c r="BS291" s="273">
        <f>IF(ISNUMBER(BS279),BS286+SUM(BS287:BS290),"")</f>
        <v>51431</v>
      </c>
      <c r="BT291" s="273">
        <f>IF(ISNUMBER(BT279),BT286+SUM(BT287:BT290),"")</f>
        <v>53289</v>
      </c>
      <c r="BU291" s="273">
        <f>IF(ISNUMBER(BU279),BU286+SUM(BU287:BU290),"")</f>
        <v>54157</v>
      </c>
      <c r="BV291" s="273">
        <f>IF(ISNUMBER(BV279),BV286+SUM(BV287:BV290),"")</f>
        <v>54157</v>
      </c>
      <c r="BW291" s="273">
        <f>IF(ISNUMBER(BW279),BW286+SUM(BW287:BW290),"")</f>
        <v>52449</v>
      </c>
      <c r="BX291" s="273">
        <f>IF(ISNUMBER(BX279),BX286+SUM(BX287:BX290),"")</f>
        <v>57691</v>
      </c>
      <c r="BY291" s="56" t="n"/>
      <c r="BZ291" s="56" t="n"/>
      <c r="CA291" s="273">
        <f>IF(ISNUMBER(CA279),CA286+SUM(CA287:CA290),"")</f>
        <v>58284.9255276498</v>
      </c>
      <c r="CB291" s="273">
        <f>IF(ISNUMBER(CB279),CB286+SUM(CB287:CB290),"")</f>
        <v>63105.2469081173</v>
      </c>
      <c r="CC291" s="273">
        <f>IF(ISNUMBER(CC279),CC286+SUM(CC287:CC290),"")</f>
        <v>67005.6428331183</v>
      </c>
      <c r="CD291" s="273">
        <f>IF(ISNUMBER(CD279),CD286+SUM(CD287:CD290),"")</f>
        <v>71241.7546050706</v>
      </c>
      <c r="CE291" s="273">
        <f>IF(ISNUMBER(CE279),CE286+SUM(CE287:CE290),"")</f>
        <v>76124.070018816</v>
      </c>
      <c r="CF291" s="153" t="n"/>
      <c r="CH291" s="20">
        <f>IFERROR((CE291/BV291)^(1/5)-1,"n/m")</f>
        <v>0.0704674848225309</v>
      </c>
      <c r="CI291" s="20">
        <f>IFERROR((BV291/AW291)^(1/5)-1,"n/m")</f>
        <v>0.100283082597272</v>
      </c>
      <c r="CJ291" s="20">
        <f>IFERROR((BV291/X291)^(1/10)-1,"n/m")</f>
        <v>0.127792946219581</v>
      </c>
      <c r="CK291" s="20">
        <f>IFERROR((BV291/C291)^(1/19)-1,"n/m")</f>
        <v>0.132617183012824</v>
      </c>
    </row>
    <row r="292" ht="15" customHeight="1" s="251">
      <c r="B292" s="25" t="inlineStr">
        <is>
          <t>LIABILITIES AND EQUITY</t>
        </is>
      </c>
      <c r="CF292" s="153" t="n"/>
    </row>
    <row r="293" ht="15" customHeight="1" s="251">
      <c r="B293" s="25" t="inlineStr">
        <is>
          <t xml:space="preserve">  Accounts payable</t>
        </is>
      </c>
      <c r="C293" s="253" t="n">
        <v>278.656</v>
      </c>
      <c r="D293" s="253" t="n">
        <v>252.391</v>
      </c>
      <c r="E293" s="253" t="n">
        <v>262.342</v>
      </c>
      <c r="F293" s="253" t="n">
        <v>290.414</v>
      </c>
      <c r="G293" s="253" t="n">
        <v>272</v>
      </c>
      <c r="H293" s="253" t="n">
        <v>360</v>
      </c>
      <c r="I293" s="253" t="n">
        <v>357</v>
      </c>
      <c r="J293" s="253" t="n">
        <v>262</v>
      </c>
      <c r="K293" s="253" t="n">
        <v>259</v>
      </c>
      <c r="L293" s="253" t="n">
        <v>280</v>
      </c>
      <c r="M293" s="253" t="n">
        <v>338</v>
      </c>
      <c r="N293" s="253" t="n">
        <v>338</v>
      </c>
      <c r="O293" s="253" t="n">
        <v>297</v>
      </c>
      <c r="P293" s="253" t="n">
        <v>420</v>
      </c>
      <c r="Q293" s="253" t="n">
        <v>319</v>
      </c>
      <c r="R293" s="253" t="n">
        <v>419</v>
      </c>
      <c r="S293" s="253" t="n">
        <v>419</v>
      </c>
      <c r="T293" s="253" t="n">
        <v>406</v>
      </c>
      <c r="U293" s="253" t="n">
        <v>481</v>
      </c>
      <c r="V293" s="253" t="n">
        <v>381</v>
      </c>
      <c r="W293" s="253" t="n">
        <v>472</v>
      </c>
      <c r="X293" s="253" t="n">
        <v>472</v>
      </c>
      <c r="Y293" s="253" t="n">
        <v>409</v>
      </c>
      <c r="Z293" s="253" t="n">
        <v>452</v>
      </c>
      <c r="AA293" s="253" t="n">
        <v>437</v>
      </c>
      <c r="AB293" s="253" t="n">
        <v>609</v>
      </c>
      <c r="AC293" s="253" t="n">
        <v>609</v>
      </c>
      <c r="AD293" s="253" t="n">
        <v>680</v>
      </c>
      <c r="AE293" s="253" t="n">
        <v>654</v>
      </c>
      <c r="AF293" s="253" t="n">
        <v>722</v>
      </c>
      <c r="AG293" s="253" t="n">
        <v>933</v>
      </c>
      <c r="AH293" s="253" t="n">
        <v>933</v>
      </c>
      <c r="AI293" s="253" t="n">
        <v>370</v>
      </c>
      <c r="AJ293" s="253" t="n">
        <v>345</v>
      </c>
      <c r="AK293" s="253" t="n">
        <v>382</v>
      </c>
      <c r="AL293" s="253" t="n">
        <v>537</v>
      </c>
      <c r="AM293" s="253" t="n">
        <v>537</v>
      </c>
      <c r="AN293" s="253" t="n">
        <v>508</v>
      </c>
      <c r="AO293" s="253" t="n">
        <v>432</v>
      </c>
      <c r="AP293" s="253" t="n">
        <v>505</v>
      </c>
      <c r="AQ293" s="253" t="n">
        <v>489</v>
      </c>
      <c r="AR293" s="253" t="n">
        <v>489</v>
      </c>
      <c r="AS293" s="253" t="n">
        <v>371</v>
      </c>
      <c r="AT293" s="253" t="n">
        <v>369</v>
      </c>
      <c r="AU293" s="253" t="n">
        <v>341</v>
      </c>
      <c r="AV293" s="253" t="n">
        <v>527</v>
      </c>
      <c r="AW293" s="253" t="n">
        <v>527</v>
      </c>
      <c r="AX293" s="253" t="n">
        <v>476</v>
      </c>
      <c r="AY293" s="253" t="n">
        <v>547</v>
      </c>
      <c r="AZ293" s="253" t="n">
        <v>557</v>
      </c>
      <c r="BA293" s="253" t="n">
        <v>738</v>
      </c>
      <c r="BB293" s="253" t="n">
        <v>738</v>
      </c>
      <c r="BC293" s="253" t="n">
        <v>666</v>
      </c>
      <c r="BD293" s="253" t="n">
        <v>633</v>
      </c>
      <c r="BE293" s="253" t="n">
        <v>615</v>
      </c>
      <c r="BF293" s="253" t="n">
        <v>926</v>
      </c>
      <c r="BG293" s="253" t="n">
        <v>926</v>
      </c>
      <c r="BH293" s="253" t="n">
        <v>735</v>
      </c>
      <c r="BI293" s="253" t="n">
        <v>643</v>
      </c>
      <c r="BJ293" s="253" t="n">
        <v>589</v>
      </c>
      <c r="BK293" s="253" t="n">
        <v>834</v>
      </c>
      <c r="BL293" s="253" t="n">
        <v>834</v>
      </c>
      <c r="BM293" s="253" t="n">
        <v>790</v>
      </c>
      <c r="BN293" s="253" t="n">
        <v>835</v>
      </c>
      <c r="BO293" s="253" t="n">
        <v>911</v>
      </c>
      <c r="BP293" s="253" t="n">
        <v>929</v>
      </c>
      <c r="BQ293" s="253" t="n">
        <v>929</v>
      </c>
      <c r="BR293" s="253" t="n">
        <v>993</v>
      </c>
      <c r="BS293" s="253" t="n">
        <v>818</v>
      </c>
      <c r="BT293" s="253" t="n">
        <v>935</v>
      </c>
      <c r="BU293" s="253" t="n">
        <v>999</v>
      </c>
      <c r="BV293" s="253" t="n">
        <v>999</v>
      </c>
      <c r="BW293" s="253" t="n">
        <v>1030</v>
      </c>
      <c r="BX293" s="253" t="n">
        <v>1130</v>
      </c>
      <c r="BY293" s="35" t="n"/>
      <c r="BZ293" s="35" t="n"/>
      <c r="CA293" s="254">
        <f>CA317*CA323</f>
        <v>1116.53355</v>
      </c>
      <c r="CB293" s="254">
        <f>CB317*CB323</f>
        <v>1254.75039721972</v>
      </c>
      <c r="CC293" s="254">
        <f>CC317*CC323</f>
        <v>1403.52736681179</v>
      </c>
      <c r="CD293" s="254">
        <f>CD317*CD323</f>
        <v>1559.65799436415</v>
      </c>
      <c r="CE293" s="254">
        <f>CE317*CE323</f>
        <v>1721.96938160731</v>
      </c>
      <c r="CF293" s="19" t="n"/>
    </row>
    <row r="294" ht="15" customHeight="1" s="251">
      <c r="B294" s="25" t="inlineStr">
        <is>
          <t xml:space="preserve">  Settlement obligations</t>
        </is>
      </c>
      <c r="C294" s="253" t="n">
        <v>286.059</v>
      </c>
      <c r="D294" s="253" t="n">
        <v>604.212</v>
      </c>
      <c r="E294" s="253" t="n">
        <v>532.237</v>
      </c>
      <c r="F294" s="253" t="n">
        <v>477.576</v>
      </c>
      <c r="G294" s="253" t="n">
        <v>636</v>
      </c>
      <c r="H294" s="253" t="n">
        <v>699</v>
      </c>
      <c r="I294" s="253" t="n">
        <v>1064</v>
      </c>
      <c r="J294" s="253" t="n">
        <v>624</v>
      </c>
      <c r="K294" s="253" t="n">
        <v>607</v>
      </c>
      <c r="L294" s="253" t="n">
        <v>1218</v>
      </c>
      <c r="M294" s="253" t="n">
        <v>1433</v>
      </c>
      <c r="N294" s="253" t="n">
        <v>1433</v>
      </c>
      <c r="O294" s="253" t="n">
        <v>1374</v>
      </c>
      <c r="P294" s="253" t="n">
        <v>1335</v>
      </c>
      <c r="Q294" s="253" t="n">
        <v>1226</v>
      </c>
      <c r="R294" s="253" t="n">
        <v>1142</v>
      </c>
      <c r="S294" s="253" t="n">
        <v>1142</v>
      </c>
      <c r="T294" s="253" t="n">
        <v>1201</v>
      </c>
      <c r="U294" s="253" t="n">
        <v>1330</v>
      </c>
      <c r="V294" s="253" t="n">
        <v>883</v>
      </c>
      <c r="W294" s="253" t="n">
        <v>866</v>
      </c>
      <c r="X294" s="253" t="n">
        <v>866</v>
      </c>
      <c r="Y294" s="253" t="n">
        <v>849</v>
      </c>
      <c r="Z294" s="253" t="n">
        <v>828</v>
      </c>
      <c r="AA294" s="253" t="n">
        <v>1052</v>
      </c>
      <c r="AB294" s="253" t="n">
        <v>946</v>
      </c>
      <c r="AC294" s="253" t="n">
        <v>946</v>
      </c>
      <c r="AD294" s="253" t="n">
        <v>822</v>
      </c>
      <c r="AE294" s="253" t="n">
        <v>1106</v>
      </c>
      <c r="AF294" s="253" t="n">
        <v>1002</v>
      </c>
      <c r="AG294" s="253" t="n">
        <v>1343</v>
      </c>
      <c r="AH294" s="253" t="n">
        <v>1343</v>
      </c>
      <c r="AI294" s="253" t="n">
        <v>1280</v>
      </c>
      <c r="AJ294" s="253" t="n">
        <v>1232</v>
      </c>
      <c r="AK294" s="253" t="n">
        <v>1155</v>
      </c>
      <c r="AL294" s="253" t="n">
        <v>2189</v>
      </c>
      <c r="AM294" s="253" t="n">
        <v>2189</v>
      </c>
      <c r="AN294" s="253" t="n">
        <v>1189</v>
      </c>
      <c r="AO294" s="253" t="n">
        <v>1330</v>
      </c>
      <c r="AP294" s="253" t="n">
        <v>2158</v>
      </c>
      <c r="AQ294" s="253" t="n">
        <v>2714</v>
      </c>
      <c r="AR294" s="253" t="n">
        <v>2714</v>
      </c>
      <c r="AS294" s="253" t="n">
        <v>1149</v>
      </c>
      <c r="AT294" s="253" t="n">
        <v>1527</v>
      </c>
      <c r="AU294" s="253" t="n">
        <v>1129</v>
      </c>
      <c r="AV294" s="253" t="n">
        <v>1475</v>
      </c>
      <c r="AW294" s="253" t="n">
        <v>1475</v>
      </c>
      <c r="AX294" s="253" t="n">
        <v>1297</v>
      </c>
      <c r="AY294" s="253" t="n">
        <v>569</v>
      </c>
      <c r="AZ294" s="253" t="n">
        <v>496</v>
      </c>
      <c r="BA294" s="253" t="n">
        <v>913</v>
      </c>
      <c r="BB294" s="253" t="n">
        <v>913</v>
      </c>
      <c r="BC294" s="253" t="n">
        <v>547</v>
      </c>
      <c r="BD294" s="253" t="n">
        <v>672</v>
      </c>
      <c r="BE294" s="253" t="n">
        <v>1054</v>
      </c>
      <c r="BF294" s="253" t="n">
        <v>1111</v>
      </c>
      <c r="BG294" s="253" t="n">
        <v>1111</v>
      </c>
      <c r="BH294" s="253" t="n">
        <v>870</v>
      </c>
      <c r="BI294" s="253" t="n">
        <v>1142</v>
      </c>
      <c r="BJ294" s="253" t="n">
        <v>992</v>
      </c>
      <c r="BK294" s="253" t="n">
        <v>1399</v>
      </c>
      <c r="BL294" s="253" t="n">
        <v>1399</v>
      </c>
      <c r="BM294" s="253" t="n">
        <v>1824</v>
      </c>
      <c r="BN294" s="253" t="n">
        <v>1594</v>
      </c>
      <c r="BO294" s="253" t="n">
        <v>2129</v>
      </c>
      <c r="BP294" s="253" t="n">
        <v>2316</v>
      </c>
      <c r="BQ294" s="253" t="n">
        <v>2316</v>
      </c>
      <c r="BR294" s="253" t="n">
        <v>2441</v>
      </c>
      <c r="BS294" s="253" t="n">
        <v>2676</v>
      </c>
      <c r="BT294" s="253" t="n">
        <v>2422</v>
      </c>
      <c r="BU294" s="253" t="n">
        <v>2409</v>
      </c>
      <c r="BV294" s="253" t="n">
        <v>2409</v>
      </c>
      <c r="BW294" s="253" t="n">
        <v>2544</v>
      </c>
      <c r="BX294" s="253" t="n">
        <v>3159</v>
      </c>
      <c r="BY294" s="35" t="n"/>
      <c r="BZ294" s="35" t="n"/>
      <c r="CA294" s="254">
        <f>CA11*CA320</f>
        <v>2631.0627331425</v>
      </c>
      <c r="CB294" s="254">
        <f>CB11*CB320</f>
        <v>2854.70306545961</v>
      </c>
      <c r="CC294" s="254">
        <f>CC11*CC320</f>
        <v>3083.07931069638</v>
      </c>
      <c r="CD294" s="254">
        <f>CD11*CD320</f>
        <v>3329.72565555209</v>
      </c>
      <c r="CE294" s="254">
        <f>CE11*CE320</f>
        <v>3579.4550797185</v>
      </c>
      <c r="CF294" s="19" t="n"/>
    </row>
    <row r="295" ht="15" customHeight="1" s="251">
      <c r="B295" s="25" t="inlineStr">
        <is>
          <t xml:space="preserve">  Restricted security deposits held for customers (liability)</t>
        </is>
      </c>
      <c r="C295" s="253" t="n">
        <v>109.897</v>
      </c>
      <c r="D295" s="253" t="n">
        <v>142.052</v>
      </c>
      <c r="E295" s="253" t="n">
        <v>183.245</v>
      </c>
      <c r="F295" s="253" t="n">
        <v>445.989</v>
      </c>
      <c r="G295" s="253" t="n">
        <v>493</v>
      </c>
      <c r="H295" s="253" t="n">
        <v>636</v>
      </c>
      <c r="I295" s="253" t="n">
        <v>777</v>
      </c>
      <c r="J295" s="253" t="n">
        <v>812</v>
      </c>
      <c r="K295" s="253" t="n">
        <v>840</v>
      </c>
      <c r="L295" s="253" t="n">
        <v>878</v>
      </c>
      <c r="M295" s="253" t="n">
        <v>911</v>
      </c>
      <c r="N295" s="253" t="n">
        <v>911</v>
      </c>
      <c r="O295" s="253" t="n">
        <v>913</v>
      </c>
      <c r="P295" s="253" t="n">
        <v>918</v>
      </c>
      <c r="Q295" s="253" t="n">
        <v>953</v>
      </c>
      <c r="R295" s="253" t="n">
        <v>950</v>
      </c>
      <c r="S295" s="253" t="n">
        <v>950</v>
      </c>
      <c r="T295" s="253" t="n">
        <v>953</v>
      </c>
      <c r="U295" s="253" t="n">
        <v>1000</v>
      </c>
      <c r="V295" s="253" t="n">
        <v>871</v>
      </c>
      <c r="W295" s="253" t="n">
        <v>895</v>
      </c>
      <c r="X295" s="253" t="n">
        <v>895</v>
      </c>
      <c r="Y295" s="253" t="n">
        <v>937</v>
      </c>
      <c r="Z295" s="253" t="n">
        <v>936</v>
      </c>
      <c r="AA295" s="253" t="n">
        <v>997</v>
      </c>
      <c r="AB295" s="253" t="n">
        <v>991</v>
      </c>
      <c r="AC295" s="253" t="n">
        <v>991</v>
      </c>
      <c r="AD295" s="253" t="n">
        <v>984</v>
      </c>
      <c r="AE295" s="253" t="n">
        <v>993</v>
      </c>
      <c r="AF295" s="253" t="n">
        <v>1026</v>
      </c>
      <c r="AG295" s="253" t="n">
        <v>1085</v>
      </c>
      <c r="AH295" s="253" t="n">
        <v>1085</v>
      </c>
      <c r="AI295" s="253" t="n">
        <v>965</v>
      </c>
      <c r="AJ295" s="253" t="n">
        <v>992</v>
      </c>
      <c r="AK295" s="253" t="n">
        <v>1034</v>
      </c>
      <c r="AL295" s="253" t="n">
        <v>1080</v>
      </c>
      <c r="AM295" s="253" t="n">
        <v>1080</v>
      </c>
      <c r="AN295" s="253" t="n">
        <v>1044</v>
      </c>
      <c r="AO295" s="253" t="n">
        <v>1061</v>
      </c>
      <c r="AP295" s="253" t="n">
        <v>1173</v>
      </c>
      <c r="AQ295" s="253" t="n">
        <v>1370</v>
      </c>
      <c r="AR295" s="253" t="n">
        <v>1370</v>
      </c>
      <c r="AS295" s="253" t="n">
        <v>1518</v>
      </c>
      <c r="AT295" s="253" t="n">
        <v>1548</v>
      </c>
      <c r="AU295" s="253" t="n">
        <v>1568</v>
      </c>
      <c r="AV295" s="253" t="n">
        <v>1696</v>
      </c>
      <c r="AW295" s="253" t="n">
        <v>1696</v>
      </c>
      <c r="AX295" s="253" t="n">
        <v>1759</v>
      </c>
      <c r="AY295" s="253" t="n">
        <v>1806</v>
      </c>
      <c r="AZ295" s="253" t="n">
        <v>1832</v>
      </c>
      <c r="BA295" s="253" t="n">
        <v>1873</v>
      </c>
      <c r="BB295" s="253" t="n">
        <v>1873</v>
      </c>
      <c r="BC295" s="253" t="n">
        <v>1730</v>
      </c>
      <c r="BD295" s="253" t="n">
        <v>1621</v>
      </c>
      <c r="BE295" s="253" t="n">
        <v>1531</v>
      </c>
      <c r="BF295" s="253" t="n">
        <v>1568</v>
      </c>
      <c r="BG295" s="253" t="n">
        <v>1568</v>
      </c>
      <c r="BH295" s="253" t="n">
        <v>1608</v>
      </c>
      <c r="BI295" s="253" t="n">
        <v>1723</v>
      </c>
      <c r="BJ295" s="253" t="n">
        <v>1824</v>
      </c>
      <c r="BK295" s="253" t="n">
        <v>1845</v>
      </c>
      <c r="BL295" s="253" t="n">
        <v>1845</v>
      </c>
      <c r="BM295" s="253" t="n">
        <v>1861</v>
      </c>
      <c r="BN295" s="253" t="n">
        <v>1772</v>
      </c>
      <c r="BO295" s="253" t="n">
        <v>1868</v>
      </c>
      <c r="BP295" s="253" t="n">
        <v>1874</v>
      </c>
      <c r="BQ295" s="253" t="n">
        <v>1874</v>
      </c>
      <c r="BR295" s="253" t="n">
        <v>1900</v>
      </c>
      <c r="BS295" s="253" t="n">
        <v>1999</v>
      </c>
      <c r="BT295" s="253" t="n">
        <v>2054</v>
      </c>
      <c r="BU295" s="253" t="n">
        <v>2121</v>
      </c>
      <c r="BV295" s="253" t="n">
        <v>2121</v>
      </c>
      <c r="BW295" s="253" t="n">
        <v>2307</v>
      </c>
      <c r="BX295" s="253" t="n">
        <v>2196</v>
      </c>
      <c r="BY295" s="35" t="n"/>
      <c r="BZ295" s="35" t="n"/>
      <c r="CA295" s="254">
        <f>CA281</f>
        <v>2196</v>
      </c>
      <c r="CB295" s="254">
        <f>CB281</f>
        <v>2196</v>
      </c>
      <c r="CC295" s="254">
        <f>CC281</f>
        <v>2196</v>
      </c>
      <c r="CD295" s="254">
        <f>CD281</f>
        <v>2196</v>
      </c>
      <c r="CE295" s="254">
        <f>CE281</f>
        <v>2196</v>
      </c>
      <c r="CF295" s="19" t="n"/>
    </row>
    <row r="296" ht="15" customHeight="1" s="251">
      <c r="B296" s="25" t="inlineStr">
        <is>
          <t xml:space="preserve">  Accrued litigation (current; incl. obligations under litigation settlements to 2012)</t>
        </is>
      </c>
      <c r="C296" s="253" t="n">
        <v>117.275</v>
      </c>
      <c r="D296" s="253" t="n">
        <v>107.235</v>
      </c>
      <c r="E296" s="253" t="n">
        <v>713.035</v>
      </c>
      <c r="F296" s="253" t="n">
        <v>606.485</v>
      </c>
      <c r="G296" s="253" t="n">
        <v>298</v>
      </c>
      <c r="H296" s="253" t="n">
        <v>774</v>
      </c>
      <c r="I296" s="253" t="n">
        <v>726</v>
      </c>
      <c r="J296" s="253" t="n">
        <v>724</v>
      </c>
      <c r="K296" s="253" t="n">
        <v>724</v>
      </c>
      <c r="L296" s="253" t="n">
        <v>727</v>
      </c>
      <c r="M296" s="253" t="n">
        <v>886</v>
      </c>
      <c r="N296" s="253" t="n">
        <v>886</v>
      </c>
      <c r="O296" s="253" t="n">
        <v>859</v>
      </c>
      <c r="P296" s="253" t="n">
        <v>799</v>
      </c>
      <c r="Q296" s="253" t="n">
        <v>789</v>
      </c>
      <c r="R296" s="253" t="n">
        <v>771</v>
      </c>
      <c r="S296" s="253" t="n">
        <v>771</v>
      </c>
      <c r="T296" s="253" t="n">
        <v>731</v>
      </c>
      <c r="U296" s="253" t="n">
        <v>722</v>
      </c>
      <c r="V296" s="253" t="n">
        <v>711</v>
      </c>
      <c r="W296" s="253" t="n">
        <v>709</v>
      </c>
      <c r="X296" s="253" t="n">
        <v>709</v>
      </c>
      <c r="Y296" s="253" t="n">
        <v>710</v>
      </c>
      <c r="Z296" s="253" t="n">
        <v>810</v>
      </c>
      <c r="AA296" s="253" t="n">
        <v>716</v>
      </c>
      <c r="AB296" s="253" t="n">
        <v>722</v>
      </c>
      <c r="AC296" s="253" t="n">
        <v>722</v>
      </c>
      <c r="AD296" s="253" t="n">
        <v>734</v>
      </c>
      <c r="AE296" s="253" t="n">
        <v>736</v>
      </c>
      <c r="AF296" s="253" t="n">
        <v>709</v>
      </c>
      <c r="AG296" s="253" t="n">
        <v>709</v>
      </c>
      <c r="AH296" s="253" t="n">
        <v>709</v>
      </c>
      <c r="AI296" s="253" t="n">
        <v>828</v>
      </c>
      <c r="AJ296" s="253" t="n">
        <v>949</v>
      </c>
      <c r="AK296" s="253" t="n">
        <v>920</v>
      </c>
      <c r="AL296" s="253" t="n">
        <v>1591</v>
      </c>
      <c r="AM296" s="253" t="n">
        <v>1591</v>
      </c>
      <c r="AN296" s="253" t="n">
        <v>1575</v>
      </c>
      <c r="AO296" s="253" t="n">
        <v>935</v>
      </c>
      <c r="AP296" s="253" t="n">
        <v>938</v>
      </c>
      <c r="AQ296" s="253" t="n">
        <v>914</v>
      </c>
      <c r="AR296" s="253" t="n">
        <v>914</v>
      </c>
      <c r="AS296" s="253" t="n">
        <v>852</v>
      </c>
      <c r="AT296" s="253" t="n">
        <v>853</v>
      </c>
      <c r="AU296" s="253" t="n">
        <v>798</v>
      </c>
      <c r="AV296" s="253" t="n">
        <v>842</v>
      </c>
      <c r="AW296" s="253" t="n">
        <v>842</v>
      </c>
      <c r="AX296" s="253" t="n">
        <v>841</v>
      </c>
      <c r="AY296" s="253" t="n">
        <v>906</v>
      </c>
      <c r="AZ296" s="253" t="n">
        <v>838</v>
      </c>
      <c r="BA296" s="253" t="n">
        <v>840</v>
      </c>
      <c r="BB296" s="253" t="n">
        <v>840</v>
      </c>
      <c r="BC296" s="253" t="n">
        <v>797</v>
      </c>
      <c r="BD296" s="253" t="n">
        <v>923</v>
      </c>
      <c r="BE296" s="253" t="n">
        <v>1086</v>
      </c>
      <c r="BF296" s="253" t="n">
        <v>1094</v>
      </c>
      <c r="BG296" s="253" t="n">
        <v>1094</v>
      </c>
      <c r="BH296" s="253" t="n">
        <v>1107</v>
      </c>
      <c r="BI296" s="253" t="n">
        <v>1079</v>
      </c>
      <c r="BJ296" s="253" t="n">
        <v>475</v>
      </c>
      <c r="BK296" s="253" t="n">
        <v>723</v>
      </c>
      <c r="BL296" s="253" t="n">
        <v>723</v>
      </c>
      <c r="BM296" s="253" t="n">
        <v>595</v>
      </c>
      <c r="BN296" s="253" t="n">
        <v>525</v>
      </c>
      <c r="BO296" s="253" t="n">
        <v>665</v>
      </c>
      <c r="BP296" s="253" t="n">
        <v>930</v>
      </c>
      <c r="BQ296" s="253" t="n">
        <v>930</v>
      </c>
      <c r="BR296" s="253" t="n">
        <v>1057</v>
      </c>
      <c r="BS296" s="253" t="n">
        <v>1035</v>
      </c>
      <c r="BT296" s="253" t="n">
        <v>943</v>
      </c>
      <c r="BU296" s="253" t="n">
        <v>800</v>
      </c>
      <c r="BV296" s="253" t="n">
        <v>800</v>
      </c>
      <c r="BW296" s="253" t="n">
        <v>339</v>
      </c>
      <c r="BX296" s="253" t="n">
        <v>296</v>
      </c>
      <c r="BY296" s="35" t="n"/>
      <c r="BZ296" s="35" t="n"/>
      <c r="CA296" s="254">
        <f>BX296</f>
        <v>296</v>
      </c>
      <c r="CB296" s="254">
        <f>CA296</f>
        <v>296</v>
      </c>
      <c r="CC296" s="254">
        <f>CB296</f>
        <v>296</v>
      </c>
      <c r="CD296" s="254">
        <f>CC296</f>
        <v>296</v>
      </c>
      <c r="CE296" s="254">
        <f>CD296</f>
        <v>296</v>
      </c>
      <c r="CF296" s="19" t="inlineStr">
        <is>
          <t>Held flat: forecast provisions are assumed paid in the year.</t>
        </is>
      </c>
    </row>
    <row r="297" ht="15" customHeight="1" s="251">
      <c r="B297" s="25" t="inlineStr">
        <is>
          <t xml:space="preserve">  Accrued expenses (incl. customer incentives payable)</t>
        </is>
      </c>
      <c r="C297" s="253" t="n">
        <v>936.427</v>
      </c>
      <c r="D297" s="253" t="n">
        <v>1071.557</v>
      </c>
      <c r="E297" s="253" t="n">
        <v>1032.061</v>
      </c>
      <c r="F297" s="253" t="n">
        <v>1224.991</v>
      </c>
      <c r="G297" s="253" t="n">
        <v>1315</v>
      </c>
      <c r="H297" s="253" t="n">
        <v>1610</v>
      </c>
      <c r="I297" s="253" t="n">
        <v>1748</v>
      </c>
      <c r="J297" s="253" t="n">
        <v>1703</v>
      </c>
      <c r="K297" s="253" t="n">
        <v>1616</v>
      </c>
      <c r="L297" s="253" t="n">
        <v>2004</v>
      </c>
      <c r="M297" s="253" t="n">
        <v>2101</v>
      </c>
      <c r="N297" s="253" t="n">
        <v>2101</v>
      </c>
      <c r="O297" s="253" t="n">
        <v>2128</v>
      </c>
      <c r="P297" s="253" t="n">
        <v>1903</v>
      </c>
      <c r="Q297" s="253" t="n">
        <v>2098</v>
      </c>
      <c r="R297" s="253" t="n">
        <v>2439</v>
      </c>
      <c r="S297" s="253" t="n">
        <v>2439</v>
      </c>
      <c r="T297" s="253" t="n">
        <v>2169</v>
      </c>
      <c r="U297" s="253" t="n">
        <v>2385</v>
      </c>
      <c r="V297" s="253" t="n">
        <v>2512</v>
      </c>
      <c r="W297" s="253" t="n">
        <v>2763</v>
      </c>
      <c r="X297" s="253" t="n">
        <v>2763</v>
      </c>
      <c r="Y297" s="253" t="n">
        <v>2876</v>
      </c>
      <c r="Z297" s="253" t="n">
        <v>2753</v>
      </c>
      <c r="AA297" s="253" t="n">
        <v>3214</v>
      </c>
      <c r="AB297" s="253" t="n">
        <v>3318</v>
      </c>
      <c r="AC297" s="253" t="n">
        <v>3318</v>
      </c>
      <c r="AD297" s="253" t="n">
        <v>3158</v>
      </c>
      <c r="AE297" s="253" t="n">
        <v>3306</v>
      </c>
      <c r="AF297" s="253" t="n">
        <v>3685</v>
      </c>
      <c r="AG297" s="253" t="n">
        <v>3931</v>
      </c>
      <c r="AH297" s="253" t="n">
        <v>3931</v>
      </c>
      <c r="AI297" s="253" t="n">
        <v>4501</v>
      </c>
      <c r="AJ297" s="253" t="n">
        <v>4418</v>
      </c>
      <c r="AK297" s="253" t="n">
        <v>4745</v>
      </c>
      <c r="AL297" s="253" t="n">
        <v>4747</v>
      </c>
      <c r="AM297" s="253" t="n">
        <v>4747</v>
      </c>
      <c r="AN297" s="253" t="n">
        <v>4329</v>
      </c>
      <c r="AO297" s="253" t="n">
        <v>4752</v>
      </c>
      <c r="AP297" s="253" t="n">
        <v>4985</v>
      </c>
      <c r="AQ297" s="253" t="n">
        <v>5489</v>
      </c>
      <c r="AR297" s="253" t="n">
        <v>5489</v>
      </c>
      <c r="AS297" s="253" t="n">
        <v>4676</v>
      </c>
      <c r="AT297" s="253" t="n">
        <v>4530</v>
      </c>
      <c r="AU297" s="253" t="n">
        <v>5011</v>
      </c>
      <c r="AV297" s="253" t="n">
        <v>5430</v>
      </c>
      <c r="AW297" s="253" t="n">
        <v>5430</v>
      </c>
      <c r="AX297" s="253" t="n">
        <v>5200</v>
      </c>
      <c r="AY297" s="253" t="n">
        <v>5564</v>
      </c>
      <c r="AZ297" s="253" t="n">
        <v>5964</v>
      </c>
      <c r="BA297" s="253" t="n">
        <v>6642</v>
      </c>
      <c r="BB297" s="253" t="n">
        <v>6642</v>
      </c>
      <c r="BC297" s="253" t="n">
        <v>5954</v>
      </c>
      <c r="BD297" s="253" t="n">
        <v>6111</v>
      </c>
      <c r="BE297" s="253" t="n">
        <v>6888</v>
      </c>
      <c r="BF297" s="253" t="n">
        <v>7801</v>
      </c>
      <c r="BG297" s="253" t="n">
        <v>7801</v>
      </c>
      <c r="BH297" s="253" t="n">
        <v>7310</v>
      </c>
      <c r="BI297" s="253" t="n">
        <v>7117</v>
      </c>
      <c r="BJ297" s="253" t="n">
        <v>7775</v>
      </c>
      <c r="BK297" s="253" t="n">
        <v>8517</v>
      </c>
      <c r="BL297" s="253" t="n">
        <v>8517</v>
      </c>
      <c r="BM297" s="253" t="n">
        <v>8062</v>
      </c>
      <c r="BN297" s="253" t="n">
        <v>8007</v>
      </c>
      <c r="BO297" s="253" t="n">
        <v>9105</v>
      </c>
      <c r="BP297" s="253" t="n">
        <v>10393</v>
      </c>
      <c r="BQ297" s="253" t="n">
        <v>10393</v>
      </c>
      <c r="BR297" s="253" t="n">
        <v>9263</v>
      </c>
      <c r="BS297" s="253" t="n">
        <v>10116</v>
      </c>
      <c r="BT297" s="253" t="n">
        <v>11979</v>
      </c>
      <c r="BU297" s="253" t="n">
        <v>13272</v>
      </c>
      <c r="BV297" s="253" t="n">
        <v>13272</v>
      </c>
      <c r="BW297" s="253" t="n">
        <v>12327</v>
      </c>
      <c r="BX297" s="253" t="n">
        <v>13027</v>
      </c>
      <c r="BY297" s="35" t="n"/>
      <c r="BZ297" s="35" t="n"/>
      <c r="CA297" s="254">
        <f>CA317*CA324</f>
        <v>15073.202925</v>
      </c>
      <c r="CB297" s="254">
        <f>CB317*CB324</f>
        <v>16939.1303624662</v>
      </c>
      <c r="CC297" s="254">
        <f>CC317*CC324</f>
        <v>18947.6194519591</v>
      </c>
      <c r="CD297" s="254">
        <f>CD317*CD324</f>
        <v>21055.382923916</v>
      </c>
      <c r="CE297" s="254">
        <f>CE317*CE324</f>
        <v>23246.5866516987</v>
      </c>
      <c r="CF297" s="19" t="n"/>
    </row>
    <row r="298" ht="15" customHeight="1" s="251">
      <c r="B298" s="25" t="inlineStr">
        <is>
          <t xml:space="preserve">  Short-term debt (commercial paper + notes due within 12 months)</t>
        </is>
      </c>
      <c r="C298" s="253" t="n">
        <v>0</v>
      </c>
      <c r="D298" s="253" t="n">
        <v>80</v>
      </c>
      <c r="E298" s="253" t="n">
        <v>149.38</v>
      </c>
      <c r="F298" s="253" t="n">
        <v>0</v>
      </c>
      <c r="G298" s="253" t="n">
        <v>0</v>
      </c>
      <c r="H298" s="253" t="n">
        <v>0</v>
      </c>
      <c r="I298" s="253" t="n">
        <v>0</v>
      </c>
      <c r="J298" s="253" t="n">
        <v>0</v>
      </c>
      <c r="K298" s="253" t="n">
        <v>0</v>
      </c>
      <c r="L298" s="253" t="n">
        <v>0</v>
      </c>
      <c r="M298" s="253" t="n">
        <v>0</v>
      </c>
      <c r="N298" s="253" t="n">
        <v>0</v>
      </c>
      <c r="O298" s="253" t="n">
        <v>0</v>
      </c>
      <c r="P298" s="253" t="n">
        <v>0</v>
      </c>
      <c r="Q298" s="253" t="n">
        <v>0</v>
      </c>
      <c r="R298" s="253" t="n">
        <v>0</v>
      </c>
      <c r="S298" s="253" t="n">
        <v>0</v>
      </c>
      <c r="T298" s="253" t="n">
        <v>0</v>
      </c>
      <c r="U298" s="253" t="n">
        <v>0</v>
      </c>
      <c r="V298" s="253" t="n">
        <v>0</v>
      </c>
      <c r="W298" s="253" t="n">
        <v>0</v>
      </c>
      <c r="X298" s="253" t="n">
        <v>0</v>
      </c>
      <c r="Y298" s="253" t="n">
        <v>0</v>
      </c>
      <c r="Z298" s="253" t="n">
        <v>0</v>
      </c>
      <c r="AA298" s="253" t="n">
        <v>0</v>
      </c>
      <c r="AB298" s="253" t="n">
        <v>0</v>
      </c>
      <c r="AC298" s="253" t="n">
        <v>0</v>
      </c>
      <c r="AD298" s="253" t="n">
        <v>0</v>
      </c>
      <c r="AE298" s="253" t="n">
        <v>0</v>
      </c>
      <c r="AF298" s="253" t="n">
        <v>0</v>
      </c>
      <c r="AG298" s="253" t="n">
        <v>0</v>
      </c>
      <c r="AH298" s="253" t="n">
        <v>0</v>
      </c>
      <c r="AI298" s="253" t="n">
        <v>0</v>
      </c>
      <c r="AJ298" s="253" t="n">
        <v>0</v>
      </c>
      <c r="AK298" s="253" t="n">
        <v>500</v>
      </c>
      <c r="AL298" s="253" t="n">
        <v>500</v>
      </c>
      <c r="AM298" s="253" t="n">
        <v>500</v>
      </c>
      <c r="AN298" s="253" t="n">
        <v>500</v>
      </c>
      <c r="AO298" s="253" t="n">
        <v>0</v>
      </c>
      <c r="AP298" s="253" t="n">
        <v>0</v>
      </c>
      <c r="AQ298" s="253" t="n">
        <v>0</v>
      </c>
      <c r="AR298" s="253" t="n">
        <v>0</v>
      </c>
      <c r="AS298" s="253" t="n">
        <v>0</v>
      </c>
      <c r="AT298" s="253" t="n">
        <v>0</v>
      </c>
      <c r="AU298" s="253" t="n">
        <v>0</v>
      </c>
      <c r="AV298" s="253" t="n">
        <v>649</v>
      </c>
      <c r="AW298" s="253" t="n">
        <v>649</v>
      </c>
      <c r="AX298" s="253" t="n">
        <v>649</v>
      </c>
      <c r="AY298" s="253" t="n">
        <v>649</v>
      </c>
      <c r="AZ298" s="253" t="n">
        <v>650</v>
      </c>
      <c r="BA298" s="253" t="n">
        <v>792</v>
      </c>
      <c r="BB298" s="253" t="n">
        <v>792</v>
      </c>
      <c r="BC298" s="253" t="n">
        <v>778</v>
      </c>
      <c r="BD298" s="253" t="n">
        <v>735</v>
      </c>
      <c r="BE298" s="253" t="n">
        <v>957</v>
      </c>
      <c r="BF298" s="253" t="n">
        <v>274</v>
      </c>
      <c r="BG298" s="253" t="n">
        <v>274</v>
      </c>
      <c r="BH298" s="253" t="n">
        <v>276</v>
      </c>
      <c r="BI298" s="253" t="n">
        <v>1336</v>
      </c>
      <c r="BJ298" s="253" t="n">
        <v>1337</v>
      </c>
      <c r="BK298" s="253" t="n">
        <v>1337</v>
      </c>
      <c r="BL298" s="253" t="n">
        <v>1337</v>
      </c>
      <c r="BM298" s="253" t="n">
        <v>2086</v>
      </c>
      <c r="BN298" s="253" t="n">
        <v>1086</v>
      </c>
      <c r="BO298" s="253" t="n">
        <v>750</v>
      </c>
      <c r="BP298" s="253" t="n">
        <v>750</v>
      </c>
      <c r="BQ298" s="253" t="n">
        <v>750</v>
      </c>
      <c r="BR298" s="253" t="n">
        <v>0</v>
      </c>
      <c r="BS298" s="253" t="n">
        <v>0</v>
      </c>
      <c r="BT298" s="253" t="n">
        <v>0</v>
      </c>
      <c r="BU298" s="253" t="n">
        <v>749</v>
      </c>
      <c r="BV298" s="253" t="n">
        <v>749</v>
      </c>
      <c r="BW298" s="253" t="n">
        <v>1748</v>
      </c>
      <c r="BX298" s="253" t="n">
        <v>2459</v>
      </c>
      <c r="BY298" s="35" t="n"/>
      <c r="BZ298" s="35" t="n"/>
      <c r="CA298" s="254">
        <f>CA344+MIN(CA338,CA341)</f>
        <v>1912</v>
      </c>
      <c r="CB298" s="254">
        <f>CB344+MIN(CB338,CB341)</f>
        <v>4500</v>
      </c>
      <c r="CC298" s="254">
        <f>CC344+MIN(CC338,CC341)</f>
        <v>3005</v>
      </c>
      <c r="CD298" s="254">
        <f>CD344+MIN(CD338,CD341)</f>
        <v>1944.44658922677</v>
      </c>
      <c r="CE298" s="254">
        <f>CE344+MIN(CE338,CE341)</f>
        <v>3814.95943613277</v>
      </c>
      <c r="CF298" s="19" t="n"/>
    </row>
    <row r="299" ht="15" customHeight="1" s="251">
      <c r="B299" s="25" t="inlineStr">
        <is>
          <t xml:space="preserve">  Other current liabilities (derived)</t>
        </is>
      </c>
      <c r="C299" s="253" t="n">
        <v>83.276</v>
      </c>
      <c r="D299" s="253" t="n">
        <v>105.895</v>
      </c>
      <c r="E299" s="253" t="n">
        <v>118.151</v>
      </c>
      <c r="F299" s="253" t="n">
        <v>121.676</v>
      </c>
      <c r="G299" s="253" t="n">
        <v>129</v>
      </c>
      <c r="H299" s="253" t="n">
        <v>138</v>
      </c>
      <c r="I299" s="253" t="n">
        <v>234</v>
      </c>
      <c r="J299" s="253" t="n">
        <v>289</v>
      </c>
      <c r="K299" s="253" t="n">
        <v>281</v>
      </c>
      <c r="L299" s="253" t="n">
        <v>313</v>
      </c>
      <c r="M299" s="253" t="n">
        <v>363</v>
      </c>
      <c r="N299" s="253" t="n">
        <v>363</v>
      </c>
      <c r="O299" s="253" t="n">
        <v>423</v>
      </c>
      <c r="P299" s="253" t="n">
        <v>415</v>
      </c>
      <c r="Q299" s="253" t="n">
        <v>464</v>
      </c>
      <c r="R299" s="253" t="n">
        <v>501</v>
      </c>
      <c r="S299" s="253" t="n">
        <v>501</v>
      </c>
      <c r="T299" s="253" t="n">
        <v>477</v>
      </c>
      <c r="U299" s="253" t="n">
        <v>558</v>
      </c>
      <c r="V299" s="253" t="n">
        <v>585</v>
      </c>
      <c r="W299" s="253" t="n">
        <v>564</v>
      </c>
      <c r="X299" s="253" t="n">
        <v>564</v>
      </c>
      <c r="Y299" s="253" t="n">
        <v>659</v>
      </c>
      <c r="Z299" s="253" t="n">
        <v>683</v>
      </c>
      <c r="AA299" s="253" t="n">
        <v>705</v>
      </c>
      <c r="AB299" s="253" t="n">
        <v>620</v>
      </c>
      <c r="AC299" s="253" t="n">
        <v>620</v>
      </c>
      <c r="AD299" s="253" t="n">
        <v>717</v>
      </c>
      <c r="AE299" s="253" t="n">
        <v>788</v>
      </c>
      <c r="AF299" s="253" t="n">
        <v>840</v>
      </c>
      <c r="AG299" s="253" t="n">
        <v>792</v>
      </c>
      <c r="AH299" s="253" t="n">
        <v>792</v>
      </c>
      <c r="AI299" s="253" t="n">
        <v>1004</v>
      </c>
      <c r="AJ299" s="253" t="n">
        <v>1519</v>
      </c>
      <c r="AK299" s="253" t="n">
        <v>973</v>
      </c>
      <c r="AL299" s="253" t="n">
        <v>949</v>
      </c>
      <c r="AM299" s="253" t="n">
        <v>949</v>
      </c>
      <c r="AN299" s="253" t="n">
        <v>1101</v>
      </c>
      <c r="AO299" s="253" t="n">
        <v>987</v>
      </c>
      <c r="AP299" s="253" t="n">
        <v>955</v>
      </c>
      <c r="AQ299" s="253" t="n">
        <v>928</v>
      </c>
      <c r="AR299" s="253" t="n">
        <v>928</v>
      </c>
      <c r="AS299" s="253" t="n">
        <v>1146</v>
      </c>
      <c r="AT299" s="253" t="n">
        <v>1096</v>
      </c>
      <c r="AU299" s="253" t="n">
        <v>1111</v>
      </c>
      <c r="AV299" s="253" t="n">
        <v>1228</v>
      </c>
      <c r="AW299" s="253" t="n">
        <v>1228</v>
      </c>
      <c r="AX299" s="253" t="n">
        <v>1253</v>
      </c>
      <c r="AY299" s="253" t="n">
        <v>1256</v>
      </c>
      <c r="AZ299" s="253" t="n">
        <v>1224</v>
      </c>
      <c r="BA299" s="253" t="n">
        <v>1364</v>
      </c>
      <c r="BB299" s="253" t="n">
        <v>1364</v>
      </c>
      <c r="BC299" s="253" t="n">
        <v>1456</v>
      </c>
      <c r="BD299" s="253" t="n">
        <v>1390</v>
      </c>
      <c r="BE299" s="253" t="n">
        <v>1345</v>
      </c>
      <c r="BF299" s="253" t="n">
        <v>1397</v>
      </c>
      <c r="BG299" s="253" t="n">
        <v>1397</v>
      </c>
      <c r="BH299" s="253" t="n">
        <v>1745</v>
      </c>
      <c r="BI299" s="253" t="n">
        <v>1596</v>
      </c>
      <c r="BJ299" s="253" t="n">
        <v>1527</v>
      </c>
      <c r="BK299" s="253" t="n">
        <v>1609</v>
      </c>
      <c r="BL299" s="253" t="n">
        <v>1609</v>
      </c>
      <c r="BM299" s="253" t="n">
        <v>1687</v>
      </c>
      <c r="BN299" s="253" t="n">
        <v>1775</v>
      </c>
      <c r="BO299" s="253" t="n">
        <v>1866</v>
      </c>
      <c r="BP299" s="253" t="n">
        <v>2028</v>
      </c>
      <c r="BQ299" s="253" t="n">
        <v>2028</v>
      </c>
      <c r="BR299" s="253" t="n">
        <v>2174</v>
      </c>
      <c r="BS299" s="253" t="n">
        <v>2385</v>
      </c>
      <c r="BT299" s="253" t="n">
        <v>2360</v>
      </c>
      <c r="BU299" s="253" t="n">
        <v>2412</v>
      </c>
      <c r="BV299" s="253" t="n">
        <v>2412</v>
      </c>
      <c r="BW299" s="253" t="n">
        <v>2639</v>
      </c>
      <c r="BX299" s="253" t="n">
        <v>2737</v>
      </c>
      <c r="BY299" s="35" t="n"/>
      <c r="BZ299" s="35" t="n"/>
      <c r="CA299" s="254">
        <f>CA317*CA325</f>
        <v>2754.11609</v>
      </c>
      <c r="CB299" s="254">
        <f>CB317*CB325</f>
        <v>3095.05097980864</v>
      </c>
      <c r="CC299" s="254">
        <f>CC317*CC325</f>
        <v>3462.03417146907</v>
      </c>
      <c r="CD299" s="254">
        <f>CD317*CD325</f>
        <v>3847.15638609824</v>
      </c>
      <c r="CE299" s="254">
        <f>CE317*CE325</f>
        <v>4247.52447463137</v>
      </c>
      <c r="CF299" s="19" t="n"/>
    </row>
    <row r="300" ht="15" customHeight="1" s="251">
      <c r="B300" s="16" t="inlineStr">
        <is>
          <t>Total current liabilities</t>
        </is>
      </c>
      <c r="C300" s="275">
        <f>IF(ISNUMBER(C293),SUM(C293:C299),"")</f>
        <v>1811.59</v>
      </c>
      <c r="D300" s="275">
        <f>IF(ISNUMBER(D293),SUM(D293:D299),"")</f>
        <v>2363.342</v>
      </c>
      <c r="E300" s="275">
        <f>IF(ISNUMBER(E293),SUM(E293:E299),"")</f>
        <v>2990.451</v>
      </c>
      <c r="F300" s="275">
        <f>IF(ISNUMBER(F293),SUM(F293:F299),"")</f>
        <v>3167.131</v>
      </c>
      <c r="G300" s="275">
        <f>IF(ISNUMBER(G293),SUM(G293:G299),"")</f>
        <v>3143</v>
      </c>
      <c r="H300" s="275">
        <f>IF(ISNUMBER(H293),SUM(H293:H299),"")</f>
        <v>4217</v>
      </c>
      <c r="I300" s="275">
        <f>IF(ISNUMBER(I293),SUM(I293:I299),"")</f>
        <v>4906</v>
      </c>
      <c r="J300" s="275">
        <f>IF(ISNUMBER(J293),SUM(J293:J299),"")</f>
        <v>4414</v>
      </c>
      <c r="K300" s="275">
        <f>IF(ISNUMBER(K293),SUM(K293:K299),"")</f>
        <v>4327</v>
      </c>
      <c r="L300" s="275">
        <f>IF(ISNUMBER(L293),SUM(L293:L299),"")</f>
        <v>5420</v>
      </c>
      <c r="M300" s="275">
        <f>IF(ISNUMBER(M293),SUM(M293:M299),"")</f>
        <v>6032</v>
      </c>
      <c r="N300" s="275">
        <f>IF(ISNUMBER(N293),SUM(N293:N299),"")</f>
        <v>6032</v>
      </c>
      <c r="O300" s="275">
        <f>IF(ISNUMBER(O293),SUM(O293:O299),"")</f>
        <v>5994</v>
      </c>
      <c r="P300" s="275">
        <f>IF(ISNUMBER(P293),SUM(P293:P299),"")</f>
        <v>5790</v>
      </c>
      <c r="Q300" s="275">
        <f>IF(ISNUMBER(Q293),SUM(Q293:Q299),"")</f>
        <v>5849</v>
      </c>
      <c r="R300" s="275">
        <f>IF(ISNUMBER(R293),SUM(R293:R299),"")</f>
        <v>6222</v>
      </c>
      <c r="S300" s="275">
        <f>IF(ISNUMBER(S293),SUM(S293:S299),"")</f>
        <v>6222</v>
      </c>
      <c r="T300" s="275">
        <f>IF(ISNUMBER(T293),SUM(T293:T299),"")</f>
        <v>5937</v>
      </c>
      <c r="U300" s="275">
        <f>IF(ISNUMBER(U293),SUM(U293:U299),"")</f>
        <v>6476</v>
      </c>
      <c r="V300" s="275">
        <f>IF(ISNUMBER(V293),SUM(V293:V299),"")</f>
        <v>5943</v>
      </c>
      <c r="W300" s="275">
        <f>IF(ISNUMBER(W293),SUM(W293:W299),"")</f>
        <v>6269</v>
      </c>
      <c r="X300" s="275">
        <f>IF(ISNUMBER(X293),SUM(X293:X299),"")</f>
        <v>6269</v>
      </c>
      <c r="Y300" s="275">
        <f>IF(ISNUMBER(Y293),SUM(Y293:Y299),"")</f>
        <v>6440</v>
      </c>
      <c r="Z300" s="275">
        <f>IF(ISNUMBER(Z293),SUM(Z293:Z299),"")</f>
        <v>6462</v>
      </c>
      <c r="AA300" s="275">
        <f>IF(ISNUMBER(AA293),SUM(AA293:AA299),"")</f>
        <v>7121</v>
      </c>
      <c r="AB300" s="275">
        <f>IF(ISNUMBER(AB293),SUM(AB293:AB299),"")</f>
        <v>7206</v>
      </c>
      <c r="AC300" s="275">
        <f>IF(ISNUMBER(AC293),SUM(AC293:AC299),"")</f>
        <v>7206</v>
      </c>
      <c r="AD300" s="275">
        <f>IF(ISNUMBER(AD293),SUM(AD293:AD299),"")</f>
        <v>7095</v>
      </c>
      <c r="AE300" s="275">
        <f>IF(ISNUMBER(AE293),SUM(AE293:AE299),"")</f>
        <v>7583</v>
      </c>
      <c r="AF300" s="275">
        <f>IF(ISNUMBER(AF293),SUM(AF293:AF299),"")</f>
        <v>7984</v>
      </c>
      <c r="AG300" s="275">
        <f>IF(ISNUMBER(AG293),SUM(AG293:AG299),"")</f>
        <v>8793</v>
      </c>
      <c r="AH300" s="275">
        <f>IF(ISNUMBER(AH293),SUM(AH293:AH299),"")</f>
        <v>8793</v>
      </c>
      <c r="AI300" s="275">
        <f>IF(ISNUMBER(AI293),SUM(AI293:AI299),"")</f>
        <v>8948</v>
      </c>
      <c r="AJ300" s="275">
        <f>IF(ISNUMBER(AJ293),SUM(AJ293:AJ299),"")</f>
        <v>9455</v>
      </c>
      <c r="AK300" s="275">
        <f>IF(ISNUMBER(AK293),SUM(AK293:AK299),"")</f>
        <v>9709</v>
      </c>
      <c r="AL300" s="275">
        <f>IF(ISNUMBER(AL293),SUM(AL293:AL299),"")</f>
        <v>11593</v>
      </c>
      <c r="AM300" s="275">
        <f>IF(ISNUMBER(AM293),SUM(AM293:AM299),"")</f>
        <v>11593</v>
      </c>
      <c r="AN300" s="275">
        <f>IF(ISNUMBER(AN293),SUM(AN293:AN299),"")</f>
        <v>10246</v>
      </c>
      <c r="AO300" s="275">
        <f>IF(ISNUMBER(AO293),SUM(AO293:AO299),"")</f>
        <v>9497</v>
      </c>
      <c r="AP300" s="275">
        <f>IF(ISNUMBER(AP293),SUM(AP293:AP299),"")</f>
        <v>10714</v>
      </c>
      <c r="AQ300" s="275">
        <f>IF(ISNUMBER(AQ293),SUM(AQ293:AQ299),"")</f>
        <v>11904</v>
      </c>
      <c r="AR300" s="275">
        <f>IF(ISNUMBER(AR293),SUM(AR293:AR299),"")</f>
        <v>11904</v>
      </c>
      <c r="AS300" s="275">
        <f>IF(ISNUMBER(AS293),SUM(AS293:AS299),"")</f>
        <v>9712</v>
      </c>
      <c r="AT300" s="275">
        <f>IF(ISNUMBER(AT293),SUM(AT293:AT299),"")</f>
        <v>9923</v>
      </c>
      <c r="AU300" s="275">
        <f>IF(ISNUMBER(AU293),SUM(AU293:AU299),"")</f>
        <v>9958</v>
      </c>
      <c r="AV300" s="275">
        <f>IF(ISNUMBER(AV293),SUM(AV293:AV299),"")</f>
        <v>11847</v>
      </c>
      <c r="AW300" s="275">
        <f>IF(ISNUMBER(AW293),SUM(AW293:AW299),"")</f>
        <v>11847</v>
      </c>
      <c r="AX300" s="275">
        <f>IF(ISNUMBER(AX293),SUM(AX293:AX299),"")</f>
        <v>11475</v>
      </c>
      <c r="AY300" s="275">
        <f>IF(ISNUMBER(AY293),SUM(AY293:AY299),"")</f>
        <v>11297</v>
      </c>
      <c r="AZ300" s="275">
        <f>IF(ISNUMBER(AZ293),SUM(AZ293:AZ299),"")</f>
        <v>11561</v>
      </c>
      <c r="BA300" s="275">
        <f>IF(ISNUMBER(BA293),SUM(BA293:BA299),"")</f>
        <v>13162</v>
      </c>
      <c r="BB300" s="275">
        <f>IF(ISNUMBER(BB293),SUM(BB293:BB299),"")</f>
        <v>13162</v>
      </c>
      <c r="BC300" s="275">
        <f>IF(ISNUMBER(BC293),SUM(BC293:BC299),"")</f>
        <v>11928</v>
      </c>
      <c r="BD300" s="275">
        <f>IF(ISNUMBER(BD293),SUM(BD293:BD299),"")</f>
        <v>12085</v>
      </c>
      <c r="BE300" s="275">
        <f>IF(ISNUMBER(BE293),SUM(BE293:BE299),"")</f>
        <v>13476</v>
      </c>
      <c r="BF300" s="275">
        <f>IF(ISNUMBER(BF293),SUM(BF293:BF299),"")</f>
        <v>14171</v>
      </c>
      <c r="BG300" s="275">
        <f>IF(ISNUMBER(BG293),SUM(BG293:BG299),"")</f>
        <v>14171</v>
      </c>
      <c r="BH300" s="275">
        <f>IF(ISNUMBER(BH293),SUM(BH293:BH299),"")</f>
        <v>13651</v>
      </c>
      <c r="BI300" s="275">
        <f>IF(ISNUMBER(BI293),SUM(BI293:BI299),"")</f>
        <v>14636</v>
      </c>
      <c r="BJ300" s="275">
        <f>IF(ISNUMBER(BJ293),SUM(BJ293:BJ299),"")</f>
        <v>14519</v>
      </c>
      <c r="BK300" s="275">
        <f>IF(ISNUMBER(BK293),SUM(BK293:BK299),"")</f>
        <v>16264</v>
      </c>
      <c r="BL300" s="275">
        <f>IF(ISNUMBER(BL293),SUM(BL293:BL299),"")</f>
        <v>16264</v>
      </c>
      <c r="BM300" s="275">
        <f>IF(ISNUMBER(BM293),SUM(BM293:BM299),"")</f>
        <v>16905</v>
      </c>
      <c r="BN300" s="275">
        <f>IF(ISNUMBER(BN293),SUM(BN293:BN299),"")</f>
        <v>15594</v>
      </c>
      <c r="BO300" s="275">
        <f>IF(ISNUMBER(BO293),SUM(BO293:BO299),"")</f>
        <v>17294</v>
      </c>
      <c r="BP300" s="275">
        <f>IF(ISNUMBER(BP293),SUM(BP293:BP299),"")</f>
        <v>19220</v>
      </c>
      <c r="BQ300" s="275">
        <f>IF(ISNUMBER(BQ293),SUM(BQ293:BQ299),"")</f>
        <v>19220</v>
      </c>
      <c r="BR300" s="275">
        <f>IF(ISNUMBER(BR293),SUM(BR293:BR299),"")</f>
        <v>17828</v>
      </c>
      <c r="BS300" s="275">
        <f>IF(ISNUMBER(BS293),SUM(BS293:BS299),"")</f>
        <v>19029</v>
      </c>
      <c r="BT300" s="275">
        <f>IF(ISNUMBER(BT293),SUM(BT293:BT299),"")</f>
        <v>20693</v>
      </c>
      <c r="BU300" s="275">
        <f>IF(ISNUMBER(BU293),SUM(BU293:BU299),"")</f>
        <v>22762</v>
      </c>
      <c r="BV300" s="275">
        <f>IF(ISNUMBER(BV293),SUM(BV293:BV299),"")</f>
        <v>22762</v>
      </c>
      <c r="BW300" s="275">
        <f>IF(ISNUMBER(BW293),SUM(BW293:BW299),"")</f>
        <v>22934</v>
      </c>
      <c r="BX300" s="275">
        <f>IF(ISNUMBER(BX293),SUM(BX293:BX299),"")</f>
        <v>25004</v>
      </c>
      <c r="BY300" s="32" t="n"/>
      <c r="BZ300" s="32" t="n"/>
      <c r="CA300" s="263">
        <f>IF(ISNUMBER(CA293),SUM(CA293:CA299),"")</f>
        <v>25978.9152981425</v>
      </c>
      <c r="CB300" s="263">
        <f>IF(ISNUMBER(CB293),SUM(CB293:CB299),"")</f>
        <v>31135.6348049542</v>
      </c>
      <c r="CC300" s="263">
        <f>IF(ISNUMBER(CC293),SUM(CC293:CC299),"")</f>
        <v>32393.2603009364</v>
      </c>
      <c r="CD300" s="263">
        <f>IF(ISNUMBER(CD293),SUM(CD293:CD299),"")</f>
        <v>34228.3695491573</v>
      </c>
      <c r="CE300" s="263">
        <f>IF(ISNUMBER(CE293),SUM(CE293:CE299),"")</f>
        <v>39102.4950237886</v>
      </c>
      <c r="CF300" s="153" t="n"/>
    </row>
    <row r="301" ht="15" customHeight="1" s="251">
      <c r="B301" s="25" t="inlineStr">
        <is>
          <t xml:space="preserve">  Long-term debt</t>
        </is>
      </c>
      <c r="C301" s="253" t="n">
        <v>229.668</v>
      </c>
      <c r="D301" s="253" t="n">
        <v>149.824</v>
      </c>
      <c r="E301" s="253" t="n">
        <v>19.387</v>
      </c>
      <c r="F301" s="253" t="n">
        <v>21.598</v>
      </c>
      <c r="G301" s="253" t="n">
        <v>0</v>
      </c>
      <c r="H301" s="253" t="n">
        <v>0</v>
      </c>
      <c r="I301" s="253" t="n">
        <v>0</v>
      </c>
      <c r="J301" s="253" t="n">
        <v>0</v>
      </c>
      <c r="K301" s="253" t="n">
        <v>0</v>
      </c>
      <c r="L301" s="253" t="n">
        <v>0</v>
      </c>
      <c r="M301" s="253" t="n">
        <v>0</v>
      </c>
      <c r="N301" s="253" t="n">
        <v>0</v>
      </c>
      <c r="O301" s="253" t="n">
        <v>1494</v>
      </c>
      <c r="P301" s="253" t="n">
        <v>1494</v>
      </c>
      <c r="Q301" s="253" t="n">
        <v>1494</v>
      </c>
      <c r="R301" s="253" t="n">
        <v>1494</v>
      </c>
      <c r="S301" s="253" t="n">
        <v>1494</v>
      </c>
      <c r="T301" s="253" t="n">
        <v>1495</v>
      </c>
      <c r="U301" s="253" t="n">
        <v>1495</v>
      </c>
      <c r="V301" s="253" t="n">
        <v>1495</v>
      </c>
      <c r="W301" s="253" t="n">
        <v>3287</v>
      </c>
      <c r="X301" s="253" t="n">
        <v>3287</v>
      </c>
      <c r="Y301" s="253" t="n">
        <v>3333</v>
      </c>
      <c r="Z301" s="253" t="n">
        <v>3306</v>
      </c>
      <c r="AA301" s="253" t="n">
        <v>3326</v>
      </c>
      <c r="AB301" s="253" t="n">
        <v>5180</v>
      </c>
      <c r="AC301" s="253" t="n">
        <v>5180</v>
      </c>
      <c r="AD301" s="253" t="n">
        <v>5216</v>
      </c>
      <c r="AE301" s="253" t="n">
        <v>5326</v>
      </c>
      <c r="AF301" s="253" t="n">
        <v>5393</v>
      </c>
      <c r="AG301" s="253" t="n">
        <v>5424</v>
      </c>
      <c r="AH301" s="253" t="n">
        <v>5424</v>
      </c>
      <c r="AI301" s="253" t="n">
        <v>6469</v>
      </c>
      <c r="AJ301" s="253" t="n">
        <v>5858</v>
      </c>
      <c r="AK301" s="253" t="n">
        <v>5858</v>
      </c>
      <c r="AL301" s="253" t="n">
        <v>5834</v>
      </c>
      <c r="AM301" s="253" t="n">
        <v>5834</v>
      </c>
      <c r="AN301" s="253" t="n">
        <v>5799</v>
      </c>
      <c r="AO301" s="253" t="n">
        <v>7806</v>
      </c>
      <c r="AP301" s="253" t="n">
        <v>7735</v>
      </c>
      <c r="AQ301" s="253" t="n">
        <v>8527</v>
      </c>
      <c r="AR301" s="253" t="n">
        <v>8527</v>
      </c>
      <c r="AS301" s="253" t="n">
        <v>12466</v>
      </c>
      <c r="AT301" s="253" t="n">
        <v>12498</v>
      </c>
      <c r="AU301" s="253" t="n">
        <v>12574</v>
      </c>
      <c r="AV301" s="253" t="n">
        <v>12023</v>
      </c>
      <c r="AW301" s="253" t="n">
        <v>12023</v>
      </c>
      <c r="AX301" s="253" t="n">
        <v>13221</v>
      </c>
      <c r="AY301" s="253" t="n">
        <v>13250</v>
      </c>
      <c r="AZ301" s="253" t="n">
        <v>13211</v>
      </c>
      <c r="BA301" s="253" t="n">
        <v>13109</v>
      </c>
      <c r="BB301" s="253" t="n">
        <v>13109</v>
      </c>
      <c r="BC301" s="253" t="n">
        <v>13868</v>
      </c>
      <c r="BD301" s="253" t="n">
        <v>13746</v>
      </c>
      <c r="BE301" s="253" t="n">
        <v>13577</v>
      </c>
      <c r="BF301" s="253" t="n">
        <v>13749</v>
      </c>
      <c r="BG301" s="253" t="n">
        <v>13749</v>
      </c>
      <c r="BH301" s="253" t="n">
        <v>15292</v>
      </c>
      <c r="BI301" s="253" t="n">
        <v>14284</v>
      </c>
      <c r="BJ301" s="253" t="n">
        <v>14229</v>
      </c>
      <c r="BK301" s="253" t="n">
        <v>14344</v>
      </c>
      <c r="BL301" s="253" t="n">
        <v>14344</v>
      </c>
      <c r="BM301" s="253" t="n">
        <v>13543</v>
      </c>
      <c r="BN301" s="253" t="n">
        <v>14519</v>
      </c>
      <c r="BO301" s="253" t="n">
        <v>17608</v>
      </c>
      <c r="BP301" s="253" t="n">
        <v>17476</v>
      </c>
      <c r="BQ301" s="253" t="n">
        <v>17476</v>
      </c>
      <c r="BR301" s="253" t="n">
        <v>18802</v>
      </c>
      <c r="BS301" s="253" t="n">
        <v>18970</v>
      </c>
      <c r="BT301" s="253" t="n">
        <v>18983</v>
      </c>
      <c r="BU301" s="253" t="n">
        <v>18251</v>
      </c>
      <c r="BV301" s="253" t="n">
        <v>18251</v>
      </c>
      <c r="BW301" s="253" t="n">
        <v>17212</v>
      </c>
      <c r="BX301" s="253" t="n">
        <v>22184</v>
      </c>
      <c r="BY301" s="35" t="n"/>
      <c r="BZ301" s="35" t="n"/>
      <c r="CA301" s="254">
        <f>CA337-CA298</f>
        <v>21271</v>
      </c>
      <c r="CB301" s="254">
        <f>CB337-CB298</f>
        <v>19671</v>
      </c>
      <c r="CC301" s="254">
        <f>CC337-CC298</f>
        <v>22166</v>
      </c>
      <c r="CD301" s="254">
        <f>CD337-CD298</f>
        <v>24495</v>
      </c>
      <c r="CE301" s="254">
        <f>CE337-CE298</f>
        <v>24495</v>
      </c>
      <c r="CF301" s="19" t="n"/>
    </row>
    <row r="302" ht="15" customHeight="1" s="251">
      <c r="B302" s="25" t="inlineStr">
        <is>
          <t xml:space="preserve">  Deferred income taxes &amp; other liabilities (incl. noncurrent litigation obligations, long-term taxes, leases; derived)</t>
        </is>
      </c>
      <c r="C302" s="253" t="n">
        <v>672.2329999999999</v>
      </c>
      <c r="D302" s="253" t="n">
        <v>714.948</v>
      </c>
      <c r="E302" s="253" t="n">
        <v>1534.036</v>
      </c>
      <c r="F302" s="253" t="n">
        <v>769.683</v>
      </c>
      <c r="G302" s="253" t="n">
        <v>478</v>
      </c>
      <c r="H302" s="253" t="n">
        <v>599</v>
      </c>
      <c r="I302" s="253" t="n">
        <v>627</v>
      </c>
      <c r="J302" s="253" t="n">
        <v>639</v>
      </c>
      <c r="K302" s="253" t="n">
        <v>665</v>
      </c>
      <c r="L302" s="253" t="n">
        <v>642</v>
      </c>
      <c r="M302" s="253" t="n">
        <v>715</v>
      </c>
      <c r="N302" s="253" t="n">
        <v>715</v>
      </c>
      <c r="O302" s="253" t="n">
        <v>736</v>
      </c>
      <c r="P302" s="253" t="n">
        <v>777</v>
      </c>
      <c r="Q302" s="253" t="n">
        <v>768</v>
      </c>
      <c r="R302" s="253" t="n">
        <v>789</v>
      </c>
      <c r="S302" s="253" t="n">
        <v>789</v>
      </c>
      <c r="T302" s="253" t="n">
        <v>867</v>
      </c>
      <c r="U302" s="253" t="n">
        <v>865</v>
      </c>
      <c r="V302" s="253" t="n">
        <v>898</v>
      </c>
      <c r="W302" s="253" t="n">
        <v>651</v>
      </c>
      <c r="X302" s="253" t="n">
        <v>651</v>
      </c>
      <c r="Y302" s="253" t="n">
        <v>621</v>
      </c>
      <c r="Z302" s="253" t="n">
        <v>645</v>
      </c>
      <c r="AA302" s="253" t="n">
        <v>627</v>
      </c>
      <c r="AB302" s="253" t="n">
        <v>605</v>
      </c>
      <c r="AC302" s="253" t="n">
        <v>605</v>
      </c>
      <c r="AD302" s="253" t="n">
        <v>621</v>
      </c>
      <c r="AE302" s="253" t="n">
        <v>982</v>
      </c>
      <c r="AF302" s="253" t="n">
        <v>999</v>
      </c>
      <c r="AG302" s="253" t="n">
        <v>1544</v>
      </c>
      <c r="AH302" s="253" t="n">
        <v>1544</v>
      </c>
      <c r="AI302" s="253" t="n">
        <v>1725</v>
      </c>
      <c r="AJ302" s="253" t="n">
        <v>1808</v>
      </c>
      <c r="AK302" s="253" t="n">
        <v>1906</v>
      </c>
      <c r="AL302" s="253" t="n">
        <v>1944</v>
      </c>
      <c r="AM302" s="253" t="n">
        <v>1944</v>
      </c>
      <c r="AN302" s="253" t="n">
        <v>2212</v>
      </c>
      <c r="AO302" s="253" t="n">
        <v>2319</v>
      </c>
      <c r="AP302" s="253" t="n">
        <v>2483</v>
      </c>
      <c r="AQ302" s="253" t="n">
        <v>2814</v>
      </c>
      <c r="AR302" s="253" t="n">
        <v>2814</v>
      </c>
      <c r="AS302" s="253" t="n">
        <v>2972</v>
      </c>
      <c r="AT302" s="253" t="n">
        <v>3158</v>
      </c>
      <c r="AU302" s="253" t="n">
        <v>3181</v>
      </c>
      <c r="AV302" s="253" t="n">
        <v>3197</v>
      </c>
      <c r="AW302" s="253" t="n">
        <v>3197</v>
      </c>
      <c r="AX302" s="253" t="n">
        <v>3651</v>
      </c>
      <c r="AY302" s="253" t="n">
        <v>3795</v>
      </c>
      <c r="AZ302" s="253" t="n">
        <v>3836</v>
      </c>
      <c r="BA302" s="253" t="n">
        <v>3986</v>
      </c>
      <c r="BB302" s="253" t="n">
        <v>3986</v>
      </c>
      <c r="BC302" s="253" t="n">
        <v>4237</v>
      </c>
      <c r="BD302" s="253" t="n">
        <v>4138</v>
      </c>
      <c r="BE302" s="253" t="n">
        <v>4116</v>
      </c>
      <c r="BF302" s="253" t="n">
        <v>4427</v>
      </c>
      <c r="BG302" s="253" t="n">
        <v>4427</v>
      </c>
      <c r="BH302" s="253" t="n">
        <v>4586</v>
      </c>
      <c r="BI302" s="253" t="n">
        <v>4505</v>
      </c>
      <c r="BJ302" s="253" t="n">
        <v>4545</v>
      </c>
      <c r="BK302" s="253" t="n">
        <v>4843</v>
      </c>
      <c r="BL302" s="253" t="n">
        <v>4843</v>
      </c>
      <c r="BM302" s="253" t="n">
        <v>4846</v>
      </c>
      <c r="BN302" s="253" t="n">
        <v>4738</v>
      </c>
      <c r="BO302" s="253" t="n">
        <v>4837</v>
      </c>
      <c r="BP302" s="253" t="n">
        <v>4870</v>
      </c>
      <c r="BQ302" s="253" t="n">
        <v>4870</v>
      </c>
      <c r="BR302" s="253" t="n">
        <v>5144</v>
      </c>
      <c r="BS302" s="253" t="n">
        <v>5558</v>
      </c>
      <c r="BT302" s="253" t="n">
        <v>5694</v>
      </c>
      <c r="BU302" s="253" t="n">
        <v>5398</v>
      </c>
      <c r="BV302" s="253" t="n">
        <v>5398</v>
      </c>
      <c r="BW302" s="253" t="n">
        <v>5581</v>
      </c>
      <c r="BX302" s="253" t="n">
        <v>4897</v>
      </c>
      <c r="BY302" s="35" t="n"/>
      <c r="BZ302" s="35" t="n"/>
      <c r="CA302" s="254">
        <f>BX302+(CA236-SUM(BW236:BX236))</f>
        <v>4897</v>
      </c>
      <c r="CB302" s="254">
        <f>CA302+CB236</f>
        <v>4897</v>
      </c>
      <c r="CC302" s="254">
        <f>CB302+CC236</f>
        <v>4897</v>
      </c>
      <c r="CD302" s="254">
        <f>CC302+CD236</f>
        <v>4897</v>
      </c>
      <c r="CE302" s="254">
        <f>CD302+CE236</f>
        <v>4897</v>
      </c>
      <c r="CF302" s="19" t="n"/>
    </row>
    <row r="303" ht="15" customHeight="1" s="251">
      <c r="B303" s="16" t="inlineStr">
        <is>
          <t>Total liabilities</t>
        </is>
      </c>
      <c r="C303" s="275">
        <f>IF(ISNUMBER(C293),C300+SUM(C301:C302),"")</f>
        <v>2713.491</v>
      </c>
      <c r="D303" s="275">
        <f>IF(ISNUMBER(D293),D300+SUM(D301:D302),"")</f>
        <v>3228.114</v>
      </c>
      <c r="E303" s="275">
        <f>IF(ISNUMBER(E293),E300+SUM(E301:E302),"")</f>
        <v>4543.874</v>
      </c>
      <c r="F303" s="275">
        <f>IF(ISNUMBER(F293),F300+SUM(F301:F302),"")</f>
        <v>3958.412</v>
      </c>
      <c r="G303" s="275">
        <f>IF(ISNUMBER(G293),G300+SUM(G301:G302),"")</f>
        <v>3621</v>
      </c>
      <c r="H303" s="275">
        <f>IF(ISNUMBER(H293),H300+SUM(H301:H302),"")</f>
        <v>4816</v>
      </c>
      <c r="I303" s="275">
        <f>IF(ISNUMBER(I293),I300+SUM(I301:I302),"")</f>
        <v>5533</v>
      </c>
      <c r="J303" s="275">
        <f>IF(ISNUMBER(J293),J300+SUM(J301:J302),"")</f>
        <v>5053</v>
      </c>
      <c r="K303" s="275">
        <f>IF(ISNUMBER(K293),K300+SUM(K301:K302),"")</f>
        <v>4992</v>
      </c>
      <c r="L303" s="275">
        <f>IF(ISNUMBER(L293),L300+SUM(L301:L302),"")</f>
        <v>6062</v>
      </c>
      <c r="M303" s="275">
        <f>IF(ISNUMBER(M293),M300+SUM(M301:M302),"")</f>
        <v>6747</v>
      </c>
      <c r="N303" s="275">
        <f>IF(ISNUMBER(N293),N300+SUM(N301:N302),"")</f>
        <v>6747</v>
      </c>
      <c r="O303" s="275">
        <f>IF(ISNUMBER(O293),O300+SUM(O301:O302),"")</f>
        <v>8224</v>
      </c>
      <c r="P303" s="275">
        <f>IF(ISNUMBER(P293),P300+SUM(P301:P302),"")</f>
        <v>8061</v>
      </c>
      <c r="Q303" s="275">
        <f>IF(ISNUMBER(Q293),Q300+SUM(Q301:Q302),"")</f>
        <v>8111</v>
      </c>
      <c r="R303" s="275">
        <f>IF(ISNUMBER(R293),R300+SUM(R301:R302),"")</f>
        <v>8505</v>
      </c>
      <c r="S303" s="275">
        <f>IF(ISNUMBER(S293),S300+SUM(S301:S302),"")</f>
        <v>8505</v>
      </c>
      <c r="T303" s="275">
        <f>IF(ISNUMBER(T293),T300+SUM(T301:T302),"")</f>
        <v>8299</v>
      </c>
      <c r="U303" s="275">
        <f>IF(ISNUMBER(U293),U300+SUM(U301:U302),"")</f>
        <v>8836</v>
      </c>
      <c r="V303" s="275">
        <f>IF(ISNUMBER(V293),V300+SUM(V301:V302),"")</f>
        <v>8336</v>
      </c>
      <c r="W303" s="275">
        <f>IF(ISNUMBER(W293),W300+SUM(W301:W302),"")</f>
        <v>10207</v>
      </c>
      <c r="X303" s="275">
        <f>IF(ISNUMBER(X293),X300+SUM(X301:X302),"")</f>
        <v>10207</v>
      </c>
      <c r="Y303" s="275">
        <f>IF(ISNUMBER(Y293),Y300+SUM(Y301:Y302),"")</f>
        <v>10394</v>
      </c>
      <c r="Z303" s="275">
        <f>IF(ISNUMBER(Z293),Z300+SUM(Z301:Z302),"")</f>
        <v>10413</v>
      </c>
      <c r="AA303" s="275">
        <f>IF(ISNUMBER(AA293),AA300+SUM(AA301:AA302),"")</f>
        <v>11074</v>
      </c>
      <c r="AB303" s="275">
        <f>IF(ISNUMBER(AB293),AB300+SUM(AB301:AB302),"")</f>
        <v>12991</v>
      </c>
      <c r="AC303" s="275">
        <f>IF(ISNUMBER(AC293),AC300+SUM(AC301:AC302),"")</f>
        <v>12991</v>
      </c>
      <c r="AD303" s="275">
        <f>IF(ISNUMBER(AD293),AD300+SUM(AD301:AD302),"")</f>
        <v>12932</v>
      </c>
      <c r="AE303" s="275">
        <f>IF(ISNUMBER(AE293),AE300+SUM(AE301:AE302),"")</f>
        <v>13891</v>
      </c>
      <c r="AF303" s="275">
        <f>IF(ISNUMBER(AF293),AF300+SUM(AF301:AF302),"")</f>
        <v>14376</v>
      </c>
      <c r="AG303" s="275">
        <f>IF(ISNUMBER(AG293),AG300+SUM(AG301:AG302),"")</f>
        <v>15761</v>
      </c>
      <c r="AH303" s="275">
        <f>IF(ISNUMBER(AH293),AH300+SUM(AH301:AH302),"")</f>
        <v>15761</v>
      </c>
      <c r="AI303" s="275">
        <f>IF(ISNUMBER(AI293),AI300+SUM(AI301:AI302),"")</f>
        <v>17142</v>
      </c>
      <c r="AJ303" s="275">
        <f>IF(ISNUMBER(AJ293),AJ300+SUM(AJ301:AJ302),"")</f>
        <v>17121</v>
      </c>
      <c r="AK303" s="275">
        <f>IF(ISNUMBER(AK293),AK300+SUM(AK301:AK302),"")</f>
        <v>17473</v>
      </c>
      <c r="AL303" s="275">
        <f>IF(ISNUMBER(AL293),AL300+SUM(AL301:AL302),"")</f>
        <v>19371</v>
      </c>
      <c r="AM303" s="275">
        <f>IF(ISNUMBER(AM293),AM300+SUM(AM301:AM302),"")</f>
        <v>19371</v>
      </c>
      <c r="AN303" s="275">
        <f>IF(ISNUMBER(AN293),AN300+SUM(AN301:AN302),"")</f>
        <v>18257</v>
      </c>
      <c r="AO303" s="275">
        <f>IF(ISNUMBER(AO293),AO300+SUM(AO301:AO302),"")</f>
        <v>19622</v>
      </c>
      <c r="AP303" s="275">
        <f>IF(ISNUMBER(AP293),AP300+SUM(AP301:AP302),"")</f>
        <v>20932</v>
      </c>
      <c r="AQ303" s="275">
        <f>IF(ISNUMBER(AQ293),AQ300+SUM(AQ301:AQ302),"")</f>
        <v>23245</v>
      </c>
      <c r="AR303" s="275">
        <f>IF(ISNUMBER(AR293),AR300+SUM(AR301:AR302),"")</f>
        <v>23245</v>
      </c>
      <c r="AS303" s="275">
        <f>IF(ISNUMBER(AS293),AS300+SUM(AS301:AS302),"")</f>
        <v>25150</v>
      </c>
      <c r="AT303" s="275">
        <f>IF(ISNUMBER(AT293),AT300+SUM(AT301:AT302),"")</f>
        <v>25579</v>
      </c>
      <c r="AU303" s="275">
        <f>IF(ISNUMBER(AU293),AU300+SUM(AU301:AU302),"")</f>
        <v>25713</v>
      </c>
      <c r="AV303" s="275">
        <f>IF(ISNUMBER(AV293),AV300+SUM(AV301:AV302),"")</f>
        <v>27067</v>
      </c>
      <c r="AW303" s="275">
        <f>IF(ISNUMBER(AW293),AW300+SUM(AW301:AW302),"")</f>
        <v>27067</v>
      </c>
      <c r="AX303" s="275">
        <f>IF(ISNUMBER(AX293),AX300+SUM(AX301:AX302),"")</f>
        <v>28347</v>
      </c>
      <c r="AY303" s="275">
        <f>IF(ISNUMBER(AY293),AY300+SUM(AY301:AY302),"")</f>
        <v>28342</v>
      </c>
      <c r="AZ303" s="275">
        <f>IF(ISNUMBER(AZ293),AZ300+SUM(AZ301:AZ302),"")</f>
        <v>28608</v>
      </c>
      <c r="BA303" s="275">
        <f>IF(ISNUMBER(BA293),BA300+SUM(BA301:BA302),"")</f>
        <v>30257</v>
      </c>
      <c r="BB303" s="275">
        <f>IF(ISNUMBER(BB293),BB300+SUM(BB301:BB302),"")</f>
        <v>30257</v>
      </c>
      <c r="BC303" s="275">
        <f>IF(ISNUMBER(BC293),BC300+SUM(BC301:BC302),"")</f>
        <v>30033</v>
      </c>
      <c r="BD303" s="275">
        <f>IF(ISNUMBER(BD293),BD300+SUM(BD301:BD302),"")</f>
        <v>29969</v>
      </c>
      <c r="BE303" s="275">
        <f>IF(ISNUMBER(BE293),BE300+SUM(BE301:BE302),"")</f>
        <v>31169</v>
      </c>
      <c r="BF303" s="275">
        <f>IF(ISNUMBER(BF293),BF300+SUM(BF301:BF302),"")</f>
        <v>32347</v>
      </c>
      <c r="BG303" s="275">
        <f>IF(ISNUMBER(BG293),BG300+SUM(BG301:BG302),"")</f>
        <v>32347</v>
      </c>
      <c r="BH303" s="275">
        <f>IF(ISNUMBER(BH293),BH300+SUM(BH301:BH302),"")</f>
        <v>33529</v>
      </c>
      <c r="BI303" s="275">
        <f>IF(ISNUMBER(BI293),BI300+SUM(BI301:BI302),"")</f>
        <v>33425</v>
      </c>
      <c r="BJ303" s="275">
        <f>IF(ISNUMBER(BJ293),BJ300+SUM(BJ301:BJ302),"")</f>
        <v>33293</v>
      </c>
      <c r="BK303" s="275">
        <f>IF(ISNUMBER(BK293),BK300+SUM(BK301:BK302),"")</f>
        <v>35451</v>
      </c>
      <c r="BL303" s="275">
        <f>IF(ISNUMBER(BL293),BL300+SUM(BL301:BL302),"")</f>
        <v>35451</v>
      </c>
      <c r="BM303" s="275">
        <f>IF(ISNUMBER(BM293),BM300+SUM(BM301:BM302),"")</f>
        <v>35294</v>
      </c>
      <c r="BN303" s="275">
        <f>IF(ISNUMBER(BN293),BN300+SUM(BN301:BN302),"")</f>
        <v>34851</v>
      </c>
      <c r="BO303" s="275">
        <f>IF(ISNUMBER(BO293),BO300+SUM(BO301:BO302),"")</f>
        <v>39739</v>
      </c>
      <c r="BP303" s="275">
        <f>IF(ISNUMBER(BP293),BP300+SUM(BP301:BP302),"")</f>
        <v>41566</v>
      </c>
      <c r="BQ303" s="275">
        <f>IF(ISNUMBER(BQ293),BQ300+SUM(BQ301:BQ302),"")</f>
        <v>41566</v>
      </c>
      <c r="BR303" s="275">
        <f>IF(ISNUMBER(BR293),BR300+SUM(BR301:BR302),"")</f>
        <v>41774</v>
      </c>
      <c r="BS303" s="275">
        <f>IF(ISNUMBER(BS293),BS300+SUM(BS301:BS302),"")</f>
        <v>43557</v>
      </c>
      <c r="BT303" s="275">
        <f>IF(ISNUMBER(BT293),BT300+SUM(BT301:BT302),"")</f>
        <v>45370</v>
      </c>
      <c r="BU303" s="275">
        <f>IF(ISNUMBER(BU293),BU300+SUM(BU301:BU302),"")</f>
        <v>46411</v>
      </c>
      <c r="BV303" s="275">
        <f>IF(ISNUMBER(BV293),BV300+SUM(BV301:BV302),"")</f>
        <v>46411</v>
      </c>
      <c r="BW303" s="275">
        <f>IF(ISNUMBER(BW293),BW300+SUM(BW301:BW302),"")</f>
        <v>45727</v>
      </c>
      <c r="BX303" s="275">
        <f>IF(ISNUMBER(BX293),BX300+SUM(BX301:BX302),"")</f>
        <v>52085</v>
      </c>
      <c r="BY303" s="32" t="n"/>
      <c r="BZ303" s="32" t="n"/>
      <c r="CA303" s="263">
        <f>IF(ISNUMBER(CA293),CA300+SUM(CA301:CA302),"")</f>
        <v>52146.9152981425</v>
      </c>
      <c r="CB303" s="263">
        <f>IF(ISNUMBER(CB293),CB300+SUM(CB301:CB302),"")</f>
        <v>55703.6348049542</v>
      </c>
      <c r="CC303" s="263">
        <f>IF(ISNUMBER(CC293),CC300+SUM(CC301:CC302),"")</f>
        <v>59456.2603009364</v>
      </c>
      <c r="CD303" s="263">
        <f>IF(ISNUMBER(CD293),CD300+SUM(CD301:CD302),"")</f>
        <v>63620.3695491573</v>
      </c>
      <c r="CE303" s="263">
        <f>IF(ISNUMBER(CE293),CE300+SUM(CE301:CE302),"")</f>
        <v>68494.4950237886</v>
      </c>
      <c r="CF303" s="153" t="n"/>
    </row>
    <row r="304" ht="15" customHeight="1" s="251">
      <c r="B304" s="25" t="inlineStr">
        <is>
          <t xml:space="preserve">  Redeemable non-controlling interests (2019–23) / minority interest (2006–08)</t>
        </is>
      </c>
      <c r="C304" s="253" t="n">
        <v>4.62</v>
      </c>
      <c r="D304" s="253" t="n">
        <v>4.62</v>
      </c>
      <c r="E304" s="253" t="n">
        <v>4.62</v>
      </c>
      <c r="F304" s="253" t="n">
        <v>0</v>
      </c>
      <c r="G304" s="253" t="n">
        <v>0</v>
      </c>
      <c r="H304" s="253" t="n">
        <v>0</v>
      </c>
      <c r="I304" s="253" t="n">
        <v>0</v>
      </c>
      <c r="J304" s="253" t="n">
        <v>0</v>
      </c>
      <c r="K304" s="253" t="n">
        <v>0</v>
      </c>
      <c r="L304" s="253" t="n">
        <v>0</v>
      </c>
      <c r="M304" s="253" t="n">
        <v>0</v>
      </c>
      <c r="N304" s="253" t="n">
        <v>0</v>
      </c>
      <c r="O304" s="253" t="n">
        <v>0</v>
      </c>
      <c r="P304" s="253" t="n">
        <v>0</v>
      </c>
      <c r="Q304" s="253" t="n">
        <v>0</v>
      </c>
      <c r="R304" s="253" t="n">
        <v>0</v>
      </c>
      <c r="S304" s="253" t="n">
        <v>0</v>
      </c>
      <c r="T304" s="253" t="n">
        <v>0</v>
      </c>
      <c r="U304" s="253" t="n">
        <v>0</v>
      </c>
      <c r="V304" s="253" t="n">
        <v>0</v>
      </c>
      <c r="W304" s="253" t="n">
        <v>0</v>
      </c>
      <c r="X304" s="253" t="n">
        <v>0</v>
      </c>
      <c r="Y304" s="253" t="n">
        <v>0</v>
      </c>
      <c r="Z304" s="253" t="n">
        <v>0</v>
      </c>
      <c r="AA304" s="253" t="n">
        <v>0</v>
      </c>
      <c r="AB304" s="253" t="n">
        <v>0</v>
      </c>
      <c r="AC304" s="253" t="n">
        <v>0</v>
      </c>
      <c r="AD304" s="253" t="n">
        <v>0</v>
      </c>
      <c r="AE304" s="253" t="n">
        <v>70</v>
      </c>
      <c r="AF304" s="253" t="n">
        <v>70</v>
      </c>
      <c r="AG304" s="253" t="n">
        <v>71</v>
      </c>
      <c r="AH304" s="253" t="n">
        <v>71</v>
      </c>
      <c r="AI304" s="253" t="n">
        <v>71</v>
      </c>
      <c r="AJ304" s="253" t="n">
        <v>71</v>
      </c>
      <c r="AK304" s="253" t="n">
        <v>71</v>
      </c>
      <c r="AL304" s="253" t="n">
        <v>71</v>
      </c>
      <c r="AM304" s="253" t="n">
        <v>71</v>
      </c>
      <c r="AN304" s="253" t="n">
        <v>73</v>
      </c>
      <c r="AO304" s="253" t="n">
        <v>74</v>
      </c>
      <c r="AP304" s="253" t="n">
        <v>74</v>
      </c>
      <c r="AQ304" s="253" t="n">
        <v>74</v>
      </c>
      <c r="AR304" s="253" t="n">
        <v>74</v>
      </c>
      <c r="AS304" s="253" t="n">
        <v>75</v>
      </c>
      <c r="AT304" s="253" t="n">
        <v>50</v>
      </c>
      <c r="AU304" s="253" t="n">
        <v>25</v>
      </c>
      <c r="AV304" s="253" t="n">
        <v>29</v>
      </c>
      <c r="AW304" s="253" t="n">
        <v>29</v>
      </c>
      <c r="AX304" s="253" t="n">
        <v>28</v>
      </c>
      <c r="AY304" s="253" t="n">
        <v>29</v>
      </c>
      <c r="AZ304" s="253" t="n">
        <v>29</v>
      </c>
      <c r="BA304" s="253" t="n">
        <v>29</v>
      </c>
      <c r="BB304" s="253" t="n">
        <v>29</v>
      </c>
      <c r="BC304" s="253" t="n">
        <v>28</v>
      </c>
      <c r="BD304" s="253" t="n">
        <v>26</v>
      </c>
      <c r="BE304" s="253" t="n">
        <v>20</v>
      </c>
      <c r="BF304" s="253" t="n">
        <v>21</v>
      </c>
      <c r="BG304" s="253" t="n">
        <v>21</v>
      </c>
      <c r="BH304" s="253" t="n">
        <v>21</v>
      </c>
      <c r="BI304" s="253" t="n">
        <v>22</v>
      </c>
      <c r="BJ304" s="253" t="n">
        <v>21</v>
      </c>
      <c r="BK304" s="253" t="n">
        <v>22</v>
      </c>
      <c r="BL304" s="253" t="n">
        <v>22</v>
      </c>
      <c r="BM304" s="253" t="n">
        <v>22</v>
      </c>
      <c r="BN304" s="253" t="n">
        <v>22</v>
      </c>
      <c r="BO304" s="253" t="n">
        <v>23</v>
      </c>
      <c r="BP304" s="253" t="n">
        <v>0</v>
      </c>
      <c r="BQ304" s="253" t="n">
        <v>0</v>
      </c>
      <c r="BR304" s="253" t="n">
        <v>0</v>
      </c>
      <c r="BS304" s="253" t="n">
        <v>0</v>
      </c>
      <c r="BT304" s="253" t="n">
        <v>0</v>
      </c>
      <c r="BU304" s="253" t="n">
        <v>0</v>
      </c>
      <c r="BV304" s="253" t="n">
        <v>0</v>
      </c>
      <c r="BW304" s="253" t="n">
        <v>0</v>
      </c>
      <c r="BX304" s="253" t="n">
        <v>0</v>
      </c>
      <c r="BY304" s="35" t="n"/>
      <c r="BZ304" s="35" t="n"/>
      <c r="CA304" s="254">
        <f>0</f>
        <v>0</v>
      </c>
      <c r="CB304" s="254">
        <f>0</f>
        <v>0</v>
      </c>
      <c r="CC304" s="254">
        <f>0</f>
        <v>0</v>
      </c>
      <c r="CD304" s="254">
        <f>0</f>
        <v>0</v>
      </c>
      <c r="CE304" s="254">
        <f>0</f>
        <v>0</v>
      </c>
      <c r="CF304" s="19" t="n"/>
    </row>
    <row r="305" ht="15" customHeight="1" s="251">
      <c r="B305" s="25" t="inlineStr">
        <is>
          <t xml:space="preserve">  Mastercard Incorporated stockholders' equity</t>
        </is>
      </c>
      <c r="C305" s="253" t="n">
        <v>2364.359</v>
      </c>
      <c r="D305" s="253" t="n">
        <v>3027.307</v>
      </c>
      <c r="E305" s="253" t="n">
        <v>1927.355</v>
      </c>
      <c r="F305" s="253" t="n">
        <v>3503.76</v>
      </c>
      <c r="G305" s="253" t="n">
        <v>5205</v>
      </c>
      <c r="H305" s="253" t="n">
        <v>5868</v>
      </c>
      <c r="I305" s="253" t="n">
        <v>6917</v>
      </c>
      <c r="J305" s="253" t="n">
        <v>6743</v>
      </c>
      <c r="K305" s="253" t="n">
        <v>7018</v>
      </c>
      <c r="L305" s="253" t="n">
        <v>7657</v>
      </c>
      <c r="M305" s="253" t="n">
        <v>7484</v>
      </c>
      <c r="N305" s="253" t="n">
        <v>7484</v>
      </c>
      <c r="O305" s="253" t="n">
        <v>6567</v>
      </c>
      <c r="P305" s="253" t="n">
        <v>6266</v>
      </c>
      <c r="Q305" s="253" t="n">
        <v>6501</v>
      </c>
      <c r="R305" s="253" t="n">
        <v>6790</v>
      </c>
      <c r="S305" s="253" t="n">
        <v>6790</v>
      </c>
      <c r="T305" s="253" t="n">
        <v>6301</v>
      </c>
      <c r="U305" s="253" t="n">
        <v>6404</v>
      </c>
      <c r="V305" s="253" t="n">
        <v>6267</v>
      </c>
      <c r="W305" s="253" t="n">
        <v>6028</v>
      </c>
      <c r="X305" s="253" t="n">
        <v>6028</v>
      </c>
      <c r="Y305" s="253" t="n">
        <v>5479</v>
      </c>
      <c r="Z305" s="253" t="n">
        <v>5837</v>
      </c>
      <c r="AA305" s="253" t="n">
        <v>6219</v>
      </c>
      <c r="AB305" s="253" t="n">
        <v>5656</v>
      </c>
      <c r="AC305" s="253" t="n">
        <v>5656</v>
      </c>
      <c r="AD305" s="253" t="n">
        <v>5611</v>
      </c>
      <c r="AE305" s="253" t="n">
        <v>5852</v>
      </c>
      <c r="AF305" s="253" t="n">
        <v>6442</v>
      </c>
      <c r="AG305" s="253" t="n">
        <v>5468</v>
      </c>
      <c r="AH305" s="253" t="n">
        <v>5468</v>
      </c>
      <c r="AI305" s="253" t="n">
        <v>5703</v>
      </c>
      <c r="AJ305" s="253" t="n">
        <v>5257</v>
      </c>
      <c r="AK305" s="253" t="n">
        <v>5775</v>
      </c>
      <c r="AL305" s="253" t="n">
        <v>5395</v>
      </c>
      <c r="AM305" s="253" t="n">
        <v>5395</v>
      </c>
      <c r="AN305" s="253" t="n">
        <v>5168</v>
      </c>
      <c r="AO305" s="253" t="n">
        <v>5008</v>
      </c>
      <c r="AP305" s="253" t="n">
        <v>4949</v>
      </c>
      <c r="AQ305" s="253" t="n">
        <v>5893</v>
      </c>
      <c r="AR305" s="253" t="n">
        <v>5893</v>
      </c>
      <c r="AS305" s="253" t="n">
        <v>5398</v>
      </c>
      <c r="AT305" s="253" t="n">
        <v>6470</v>
      </c>
      <c r="AU305" s="253" t="n">
        <v>5796</v>
      </c>
      <c r="AV305" s="253" t="n">
        <v>6391</v>
      </c>
      <c r="AW305" s="253" t="n">
        <v>6391</v>
      </c>
      <c r="AX305" s="253" t="n">
        <v>6327</v>
      </c>
      <c r="AY305" s="253" t="n">
        <v>6442</v>
      </c>
      <c r="AZ305" s="253" t="n">
        <v>6703</v>
      </c>
      <c r="BA305" s="253" t="n">
        <v>7312</v>
      </c>
      <c r="BB305" s="253" t="n">
        <v>7312</v>
      </c>
      <c r="BC305" s="253" t="n">
        <v>7034</v>
      </c>
      <c r="BD305" s="253" t="n">
        <v>6171</v>
      </c>
      <c r="BE305" s="253" t="n">
        <v>6361</v>
      </c>
      <c r="BF305" s="253" t="n">
        <v>6298</v>
      </c>
      <c r="BG305" s="253" t="n">
        <v>6298</v>
      </c>
      <c r="BH305" s="253" t="n">
        <v>5330</v>
      </c>
      <c r="BI305" s="253" t="n">
        <v>5504</v>
      </c>
      <c r="BJ305" s="253" t="n">
        <v>6311</v>
      </c>
      <c r="BK305" s="253" t="n">
        <v>6929</v>
      </c>
      <c r="BL305" s="253" t="n">
        <v>6929</v>
      </c>
      <c r="BM305" s="253" t="n">
        <v>7243</v>
      </c>
      <c r="BN305" s="253" t="n">
        <v>7421</v>
      </c>
      <c r="BO305" s="253" t="n">
        <v>7440</v>
      </c>
      <c r="BP305" s="253" t="n">
        <v>6485</v>
      </c>
      <c r="BQ305" s="253" t="n">
        <v>6485</v>
      </c>
      <c r="BR305" s="253" t="n">
        <v>6671</v>
      </c>
      <c r="BS305" s="253" t="n">
        <v>7853</v>
      </c>
      <c r="BT305" s="253" t="n">
        <v>7904</v>
      </c>
      <c r="BU305" s="253" t="n">
        <v>7737</v>
      </c>
      <c r="BV305" s="253" t="n">
        <v>7737</v>
      </c>
      <c r="BW305" s="253" t="n">
        <v>6719</v>
      </c>
      <c r="BX305" s="253" t="n">
        <v>5611</v>
      </c>
      <c r="BY305" s="35" t="n"/>
      <c r="BZ305" s="35" t="n"/>
      <c r="CA305" s="254">
        <f>BX305+(BY142+BZ142)+(CA245-SUM(BW245:BX245))+(CA244-SUM(BW244:BX244))+(BY109+BZ109)+(CA247-SUM(BW247:BX247))</f>
        <v>6143.01022950726</v>
      </c>
      <c r="CB305" s="254">
        <f>CA305+CB142+CB245+CB244+CB235+CB247</f>
        <v>7406.61210316307</v>
      </c>
      <c r="CC305" s="254">
        <f>CB305+CC142+CC245+CC244+CC235+CC247</f>
        <v>7554.38253218189</v>
      </c>
      <c r="CD305" s="254">
        <f>CC305+CD142+CD245+CD244+CD235+CD247</f>
        <v>7626.38505591332</v>
      </c>
      <c r="CE305" s="254">
        <f>CD305+CE142+CE245+CE244+CE235+CE247</f>
        <v>7634.57499502734</v>
      </c>
      <c r="CF305" s="19" t="inlineStr">
        <is>
          <t>+ net income − dividends paid − repurchases + share-based compensation + employee-plan / withholding flows (AOCI held flat; the dividend payable is held in other current liabilities). Repurchased shares are held as Class A treasury stock.</t>
        </is>
      </c>
    </row>
    <row r="306" ht="15" customHeight="1" s="251">
      <c r="B306" s="25" t="inlineStr">
        <is>
          <t xml:space="preserve">  Non-controlling interests</t>
        </is>
      </c>
      <c r="C306" s="253" t="n">
        <v>0</v>
      </c>
      <c r="D306" s="253" t="n">
        <v>0</v>
      </c>
      <c r="E306" s="253" t="n">
        <v>0</v>
      </c>
      <c r="F306" s="253" t="n">
        <v>8.106999999999999</v>
      </c>
      <c r="G306" s="253" t="n">
        <v>11</v>
      </c>
      <c r="H306" s="253" t="n">
        <v>9</v>
      </c>
      <c r="I306" s="253" t="n">
        <v>12</v>
      </c>
      <c r="J306" s="253" t="n">
        <v>13</v>
      </c>
      <c r="K306" s="253" t="n">
        <v>11</v>
      </c>
      <c r="L306" s="253" t="n">
        <v>11</v>
      </c>
      <c r="M306" s="253" t="n">
        <v>11</v>
      </c>
      <c r="N306" s="253" t="n">
        <v>11</v>
      </c>
      <c r="O306" s="253" t="n">
        <v>11</v>
      </c>
      <c r="P306" s="253" t="n">
        <v>48</v>
      </c>
      <c r="Q306" s="253" t="n">
        <v>47</v>
      </c>
      <c r="R306" s="253" t="n">
        <v>34</v>
      </c>
      <c r="S306" s="253" t="n">
        <v>34</v>
      </c>
      <c r="T306" s="253" t="n">
        <v>33</v>
      </c>
      <c r="U306" s="253" t="n">
        <v>32</v>
      </c>
      <c r="V306" s="253" t="n">
        <v>31</v>
      </c>
      <c r="W306" s="253" t="n">
        <v>34</v>
      </c>
      <c r="X306" s="253" t="n">
        <v>34</v>
      </c>
      <c r="Y306" s="253" t="n">
        <v>32</v>
      </c>
      <c r="Z306" s="253" t="n">
        <v>32</v>
      </c>
      <c r="AA306" s="253" t="n">
        <v>30</v>
      </c>
      <c r="AB306" s="253" t="n">
        <v>28</v>
      </c>
      <c r="AC306" s="253" t="n">
        <v>28</v>
      </c>
      <c r="AD306" s="253" t="n">
        <v>27</v>
      </c>
      <c r="AE306" s="253" t="n">
        <v>26</v>
      </c>
      <c r="AF306" s="253" t="n">
        <v>26</v>
      </c>
      <c r="AG306" s="253" t="n">
        <v>29</v>
      </c>
      <c r="AH306" s="253" t="n">
        <v>29</v>
      </c>
      <c r="AI306" s="253" t="n">
        <v>28</v>
      </c>
      <c r="AJ306" s="253" t="n">
        <v>22</v>
      </c>
      <c r="AK306" s="253" t="n">
        <v>21</v>
      </c>
      <c r="AL306" s="253" t="n">
        <v>23</v>
      </c>
      <c r="AM306" s="253" t="n">
        <v>23</v>
      </c>
      <c r="AN306" s="253" t="n">
        <v>22</v>
      </c>
      <c r="AO306" s="253" t="n">
        <v>27</v>
      </c>
      <c r="AP306" s="253" t="n">
        <v>26</v>
      </c>
      <c r="AQ306" s="253" t="n">
        <v>24</v>
      </c>
      <c r="AR306" s="253" t="n">
        <v>24</v>
      </c>
      <c r="AS306" s="253" t="n">
        <v>25</v>
      </c>
      <c r="AT306" s="253" t="n">
        <v>28</v>
      </c>
      <c r="AU306" s="253" t="n">
        <v>60</v>
      </c>
      <c r="AV306" s="253" t="n">
        <v>97</v>
      </c>
      <c r="AW306" s="253" t="n">
        <v>97</v>
      </c>
      <c r="AX306" s="253" t="n">
        <v>98</v>
      </c>
      <c r="AY306" s="253" t="n">
        <v>98</v>
      </c>
      <c r="AZ306" s="253" t="n">
        <v>70</v>
      </c>
      <c r="BA306" s="253" t="n">
        <v>71</v>
      </c>
      <c r="BB306" s="253" t="n">
        <v>71</v>
      </c>
      <c r="BC306" s="253" t="n">
        <v>68</v>
      </c>
      <c r="BD306" s="253" t="n">
        <v>65</v>
      </c>
      <c r="BE306" s="253" t="n">
        <v>62</v>
      </c>
      <c r="BF306" s="253" t="n">
        <v>58</v>
      </c>
      <c r="BG306" s="253" t="n">
        <v>58</v>
      </c>
      <c r="BH306" s="253" t="n">
        <v>56</v>
      </c>
      <c r="BI306" s="253" t="n">
        <v>53</v>
      </c>
      <c r="BJ306" s="253" t="n">
        <v>49</v>
      </c>
      <c r="BK306" s="253" t="n">
        <v>46</v>
      </c>
      <c r="BL306" s="253" t="n">
        <v>46</v>
      </c>
      <c r="BM306" s="253" t="n">
        <v>43</v>
      </c>
      <c r="BN306" s="253" t="n">
        <v>39</v>
      </c>
      <c r="BO306" s="253" t="n">
        <v>35</v>
      </c>
      <c r="BP306" s="253" t="n">
        <v>30</v>
      </c>
      <c r="BQ306" s="253" t="n">
        <v>30</v>
      </c>
      <c r="BR306" s="253" t="n">
        <v>25</v>
      </c>
      <c r="BS306" s="253" t="n">
        <v>21</v>
      </c>
      <c r="BT306" s="253" t="n">
        <v>15</v>
      </c>
      <c r="BU306" s="253" t="n">
        <v>9</v>
      </c>
      <c r="BV306" s="253" t="n">
        <v>9</v>
      </c>
      <c r="BW306" s="253" t="n">
        <v>3</v>
      </c>
      <c r="BX306" s="253" t="n">
        <v>-5</v>
      </c>
      <c r="BY306" s="35" t="n"/>
      <c r="BZ306" s="35" t="n"/>
      <c r="CA306" s="254">
        <f>BX306</f>
        <v>-5</v>
      </c>
      <c r="CB306" s="254">
        <f>CA306</f>
        <v>-5</v>
      </c>
      <c r="CC306" s="254">
        <f>CB306</f>
        <v>-5</v>
      </c>
      <c r="CD306" s="254">
        <f>CC306</f>
        <v>-5</v>
      </c>
      <c r="CE306" s="254">
        <f>CD306</f>
        <v>-5</v>
      </c>
      <c r="CF306" s="19" t="n"/>
    </row>
    <row r="307" ht="15" customHeight="1" s="251">
      <c r="B307" s="16" t="inlineStr">
        <is>
          <t>Total equity</t>
        </is>
      </c>
      <c r="C307" s="275">
        <f>IF(ISNUMBER(C305),C305+N(C306),"")</f>
        <v>2364.359</v>
      </c>
      <c r="D307" s="275">
        <f>IF(ISNUMBER(D305),D305+N(D306),"")</f>
        <v>3027.307</v>
      </c>
      <c r="E307" s="275">
        <f>IF(ISNUMBER(E305),E305+N(E306),"")</f>
        <v>1927.355</v>
      </c>
      <c r="F307" s="275">
        <f>IF(ISNUMBER(F305),F305+N(F306),"")</f>
        <v>3511.867</v>
      </c>
      <c r="G307" s="275">
        <f>IF(ISNUMBER(G305),G305+N(G306),"")</f>
        <v>5216</v>
      </c>
      <c r="H307" s="275">
        <f>IF(ISNUMBER(H305),H305+N(H306),"")</f>
        <v>5877</v>
      </c>
      <c r="I307" s="275">
        <f>IF(ISNUMBER(I305),I305+N(I306),"")</f>
        <v>6929</v>
      </c>
      <c r="J307" s="275">
        <f>IF(ISNUMBER(J305),J305+N(J306),"")</f>
        <v>6756</v>
      </c>
      <c r="K307" s="275">
        <f>IF(ISNUMBER(K305),K305+N(K306),"")</f>
        <v>7029</v>
      </c>
      <c r="L307" s="275">
        <f>IF(ISNUMBER(L305),L305+N(L306),"")</f>
        <v>7668</v>
      </c>
      <c r="M307" s="275">
        <f>IF(ISNUMBER(M305),M305+N(M306),"")</f>
        <v>7495</v>
      </c>
      <c r="N307" s="275">
        <f>IF(ISNUMBER(N305),N305+N(N306),"")</f>
        <v>7495</v>
      </c>
      <c r="O307" s="275">
        <f>IF(ISNUMBER(O305),O305+N(O306),"")</f>
        <v>6578</v>
      </c>
      <c r="P307" s="275">
        <f>IF(ISNUMBER(P305),P305+N(P306),"")</f>
        <v>6314</v>
      </c>
      <c r="Q307" s="275">
        <f>IF(ISNUMBER(Q305),Q305+N(Q306),"")</f>
        <v>6548</v>
      </c>
      <c r="R307" s="275">
        <f>IF(ISNUMBER(R305),R305+N(R306),"")</f>
        <v>6824</v>
      </c>
      <c r="S307" s="275">
        <f>IF(ISNUMBER(S305),S305+N(S306),"")</f>
        <v>6824</v>
      </c>
      <c r="T307" s="275">
        <f>IF(ISNUMBER(T305),T305+N(T306),"")</f>
        <v>6334</v>
      </c>
      <c r="U307" s="275">
        <f>IF(ISNUMBER(U305),U305+N(U306),"")</f>
        <v>6436</v>
      </c>
      <c r="V307" s="275">
        <f>IF(ISNUMBER(V305),V305+N(V306),"")</f>
        <v>6298</v>
      </c>
      <c r="W307" s="275">
        <f>IF(ISNUMBER(W305),W305+N(W306),"")</f>
        <v>6062</v>
      </c>
      <c r="X307" s="275">
        <f>IF(ISNUMBER(X305),X305+N(X306),"")</f>
        <v>6062</v>
      </c>
      <c r="Y307" s="275">
        <f>IF(ISNUMBER(Y305),Y305+N(Y306),"")</f>
        <v>5511</v>
      </c>
      <c r="Z307" s="275">
        <f>IF(ISNUMBER(Z305),Z305+N(Z306),"")</f>
        <v>5869</v>
      </c>
      <c r="AA307" s="275">
        <f>IF(ISNUMBER(AA305),AA305+N(AA306),"")</f>
        <v>6249</v>
      </c>
      <c r="AB307" s="275">
        <f>IF(ISNUMBER(AB305),AB305+N(AB306),"")</f>
        <v>5684</v>
      </c>
      <c r="AC307" s="275">
        <f>IF(ISNUMBER(AC305),AC305+N(AC306),"")</f>
        <v>5684</v>
      </c>
      <c r="AD307" s="275">
        <f>IF(ISNUMBER(AD305),AD305+N(AD306),"")</f>
        <v>5638</v>
      </c>
      <c r="AE307" s="275">
        <f>IF(ISNUMBER(AE305),AE305+N(AE306),"")</f>
        <v>5878</v>
      </c>
      <c r="AF307" s="275">
        <f>IF(ISNUMBER(AF305),AF305+N(AF306),"")</f>
        <v>6468</v>
      </c>
      <c r="AG307" s="275">
        <f>IF(ISNUMBER(AG305),AG305+N(AG306),"")</f>
        <v>5497</v>
      </c>
      <c r="AH307" s="275">
        <f>IF(ISNUMBER(AH305),AH305+N(AH306),"")</f>
        <v>5497</v>
      </c>
      <c r="AI307" s="275">
        <f>IF(ISNUMBER(AI305),AI305+N(AI306),"")</f>
        <v>5731</v>
      </c>
      <c r="AJ307" s="275">
        <f>IF(ISNUMBER(AJ305),AJ305+N(AJ306),"")</f>
        <v>5279</v>
      </c>
      <c r="AK307" s="275">
        <f>IF(ISNUMBER(AK305),AK305+N(AK306),"")</f>
        <v>5796</v>
      </c>
      <c r="AL307" s="275">
        <f>IF(ISNUMBER(AL305),AL305+N(AL306),"")</f>
        <v>5418</v>
      </c>
      <c r="AM307" s="275">
        <f>IF(ISNUMBER(AM305),AM305+N(AM306),"")</f>
        <v>5418</v>
      </c>
      <c r="AN307" s="275">
        <f>IF(ISNUMBER(AN305),AN305+N(AN306),"")</f>
        <v>5190</v>
      </c>
      <c r="AO307" s="275">
        <f>IF(ISNUMBER(AO305),AO305+N(AO306),"")</f>
        <v>5035</v>
      </c>
      <c r="AP307" s="275">
        <f>IF(ISNUMBER(AP305),AP305+N(AP306),"")</f>
        <v>4975</v>
      </c>
      <c r="AQ307" s="275">
        <f>IF(ISNUMBER(AQ305),AQ305+N(AQ306),"")</f>
        <v>5917</v>
      </c>
      <c r="AR307" s="275">
        <f>IF(ISNUMBER(AR305),AR305+N(AR306),"")</f>
        <v>5917</v>
      </c>
      <c r="AS307" s="275">
        <f>IF(ISNUMBER(AS305),AS305+N(AS306),"")</f>
        <v>5423</v>
      </c>
      <c r="AT307" s="275">
        <f>IF(ISNUMBER(AT305),AT305+N(AT306),"")</f>
        <v>6498</v>
      </c>
      <c r="AU307" s="275">
        <f>IF(ISNUMBER(AU305),AU305+N(AU306),"")</f>
        <v>5856</v>
      </c>
      <c r="AV307" s="275">
        <f>IF(ISNUMBER(AV305),AV305+N(AV306),"")</f>
        <v>6488</v>
      </c>
      <c r="AW307" s="275">
        <f>IF(ISNUMBER(AW305),AW305+N(AW306),"")</f>
        <v>6488</v>
      </c>
      <c r="AX307" s="275">
        <f>IF(ISNUMBER(AX305),AX305+N(AX306),"")</f>
        <v>6425</v>
      </c>
      <c r="AY307" s="275">
        <f>IF(ISNUMBER(AY305),AY305+N(AY306),"")</f>
        <v>6540</v>
      </c>
      <c r="AZ307" s="275">
        <f>IF(ISNUMBER(AZ305),AZ305+N(AZ306),"")</f>
        <v>6773</v>
      </c>
      <c r="BA307" s="275">
        <f>IF(ISNUMBER(BA305),BA305+N(BA306),"")</f>
        <v>7383</v>
      </c>
      <c r="BB307" s="275">
        <f>IF(ISNUMBER(BB305),BB305+N(BB306),"")</f>
        <v>7383</v>
      </c>
      <c r="BC307" s="275">
        <f>IF(ISNUMBER(BC305),BC305+N(BC306),"")</f>
        <v>7102</v>
      </c>
      <c r="BD307" s="275">
        <f>IF(ISNUMBER(BD305),BD305+N(BD306),"")</f>
        <v>6236</v>
      </c>
      <c r="BE307" s="275">
        <f>IF(ISNUMBER(BE305),BE305+N(BE306),"")</f>
        <v>6423</v>
      </c>
      <c r="BF307" s="275">
        <f>IF(ISNUMBER(BF305),BF305+N(BF306),"")</f>
        <v>6356</v>
      </c>
      <c r="BG307" s="275">
        <f>IF(ISNUMBER(BG305),BG305+N(BG306),"")</f>
        <v>6356</v>
      </c>
      <c r="BH307" s="275">
        <f>IF(ISNUMBER(BH305),BH305+N(BH306),"")</f>
        <v>5386</v>
      </c>
      <c r="BI307" s="275">
        <f>IF(ISNUMBER(BI305),BI305+N(BI306),"")</f>
        <v>5557</v>
      </c>
      <c r="BJ307" s="275">
        <f>IF(ISNUMBER(BJ305),BJ305+N(BJ306),"")</f>
        <v>6360</v>
      </c>
      <c r="BK307" s="275">
        <f>IF(ISNUMBER(BK305),BK305+N(BK306),"")</f>
        <v>6975</v>
      </c>
      <c r="BL307" s="275">
        <f>IF(ISNUMBER(BL305),BL305+N(BL306),"")</f>
        <v>6975</v>
      </c>
      <c r="BM307" s="275">
        <f>IF(ISNUMBER(BM305),BM305+N(BM306),"")</f>
        <v>7286</v>
      </c>
      <c r="BN307" s="275">
        <f>IF(ISNUMBER(BN305),BN305+N(BN306),"")</f>
        <v>7460</v>
      </c>
      <c r="BO307" s="275">
        <f>IF(ISNUMBER(BO305),BO305+N(BO306),"")</f>
        <v>7475</v>
      </c>
      <c r="BP307" s="275">
        <f>IF(ISNUMBER(BP305),BP305+N(BP306),"")</f>
        <v>6515</v>
      </c>
      <c r="BQ307" s="275">
        <f>IF(ISNUMBER(BQ305),BQ305+N(BQ306),"")</f>
        <v>6515</v>
      </c>
      <c r="BR307" s="275">
        <f>IF(ISNUMBER(BR305),BR305+N(BR306),"")</f>
        <v>6696</v>
      </c>
      <c r="BS307" s="275">
        <f>IF(ISNUMBER(BS305),BS305+N(BS306),"")</f>
        <v>7874</v>
      </c>
      <c r="BT307" s="275">
        <f>IF(ISNUMBER(BT305),BT305+N(BT306),"")</f>
        <v>7919</v>
      </c>
      <c r="BU307" s="275">
        <f>IF(ISNUMBER(BU305),BU305+N(BU306),"")</f>
        <v>7746</v>
      </c>
      <c r="BV307" s="275">
        <f>IF(ISNUMBER(BV305),BV305+N(BV306),"")</f>
        <v>7746</v>
      </c>
      <c r="BW307" s="275">
        <f>IF(ISNUMBER(BW305),BW305+N(BW306),"")</f>
        <v>6722</v>
      </c>
      <c r="BX307" s="275">
        <f>IF(ISNUMBER(BX305),BX305+N(BX306),"")</f>
        <v>5606</v>
      </c>
      <c r="BY307" s="32" t="n"/>
      <c r="BZ307" s="32" t="n"/>
      <c r="CA307" s="263">
        <f>IF(ISNUMBER(CA305),CA305+N(CA306),"")</f>
        <v>6138.01022950726</v>
      </c>
      <c r="CB307" s="263">
        <f>IF(ISNUMBER(CB305),CB305+N(CB306),"")</f>
        <v>7401.61210316307</v>
      </c>
      <c r="CC307" s="263">
        <f>IF(ISNUMBER(CC305),CC305+N(CC306),"")</f>
        <v>7549.38253218189</v>
      </c>
      <c r="CD307" s="263">
        <f>IF(ISNUMBER(CD305),CD305+N(CD306),"")</f>
        <v>7621.38505591332</v>
      </c>
      <c r="CE307" s="263">
        <f>IF(ISNUMBER(CE305),CE305+N(CE306),"")</f>
        <v>7629.57499502734</v>
      </c>
      <c r="CF307" s="153" t="n"/>
      <c r="CH307" s="20">
        <f>IFERROR((CE307/BV307)^(1/5)-1,"n/m")</f>
        <v>-0.00302430538276111</v>
      </c>
      <c r="CI307" s="20">
        <f>IFERROR((BV307/AW307)^(1/5)-1,"n/m")</f>
        <v>0.0360800952392701</v>
      </c>
      <c r="CJ307" s="20">
        <f>IFERROR((BV307/X307)^(1/10)-1,"n/m")</f>
        <v>0.0248166107543297</v>
      </c>
      <c r="CK307" s="20">
        <f>IFERROR((BV307/C307)^(1/19)-1,"n/m")</f>
        <v>0.0644479377070852</v>
      </c>
    </row>
    <row r="308" ht="15" customHeight="1" s="251">
      <c r="B308" s="55" t="inlineStr">
        <is>
          <t>TOTAL LIABILITIES AND EQUITY</t>
        </is>
      </c>
      <c r="C308" s="273">
        <f>IF(ISNUMBER(C303),C303+N(C304)+C307,"")</f>
        <v>5082.47</v>
      </c>
      <c r="D308" s="273">
        <f>IF(ISNUMBER(D303),D303+N(D304)+D307,"")</f>
        <v>6260.041</v>
      </c>
      <c r="E308" s="273">
        <f>IF(ISNUMBER(E303),E303+N(E304)+E307,"")</f>
        <v>6475.849</v>
      </c>
      <c r="F308" s="273">
        <f>IF(ISNUMBER(F303),F303+N(F304)+F307,"")</f>
        <v>7470.279</v>
      </c>
      <c r="G308" s="273">
        <f>IF(ISNUMBER(G303),G303+N(G304)+G307,"")</f>
        <v>8837</v>
      </c>
      <c r="H308" s="273">
        <f>IF(ISNUMBER(H303),H303+N(H304)+H307,"")</f>
        <v>10693</v>
      </c>
      <c r="I308" s="273">
        <f>IF(ISNUMBER(I303),I303+N(I304)+I307,"")</f>
        <v>12462</v>
      </c>
      <c r="J308" s="273">
        <f>IF(ISNUMBER(J303),J303+N(J304)+J307,"")</f>
        <v>11809</v>
      </c>
      <c r="K308" s="273">
        <f>IF(ISNUMBER(K303),K303+N(K304)+K307,"")</f>
        <v>12021</v>
      </c>
      <c r="L308" s="273">
        <f>IF(ISNUMBER(L303),L303+N(L304)+L307,"")</f>
        <v>13730</v>
      </c>
      <c r="M308" s="273">
        <f>IF(ISNUMBER(M303),M303+N(M304)+M307,"")</f>
        <v>14242</v>
      </c>
      <c r="N308" s="273">
        <f>IF(ISNUMBER(N303),N303+N(N304)+N307,"")</f>
        <v>14242</v>
      </c>
      <c r="O308" s="273">
        <f>IF(ISNUMBER(O303),O303+N(O304)+O307,"")</f>
        <v>14802</v>
      </c>
      <c r="P308" s="273">
        <f>IF(ISNUMBER(P303),P303+N(P304)+P307,"")</f>
        <v>14375</v>
      </c>
      <c r="Q308" s="273">
        <f>IF(ISNUMBER(Q303),Q303+N(Q304)+Q307,"")</f>
        <v>14659</v>
      </c>
      <c r="R308" s="273">
        <f>IF(ISNUMBER(R303),R303+N(R304)+R307,"")</f>
        <v>15329</v>
      </c>
      <c r="S308" s="273">
        <f>IF(ISNUMBER(S303),S303+N(S304)+S307,"")</f>
        <v>15329</v>
      </c>
      <c r="T308" s="273">
        <f>IF(ISNUMBER(T303),T303+N(T304)+T307,"")</f>
        <v>14633</v>
      </c>
      <c r="U308" s="273">
        <f>IF(ISNUMBER(U303),U303+N(U304)+U307,"")</f>
        <v>15272</v>
      </c>
      <c r="V308" s="273">
        <f>IF(ISNUMBER(V303),V303+N(V304)+V307,"")</f>
        <v>14634</v>
      </c>
      <c r="W308" s="273">
        <f>IF(ISNUMBER(W303),W303+N(W304)+W307,"")</f>
        <v>16269</v>
      </c>
      <c r="X308" s="273">
        <f>IF(ISNUMBER(X303),X303+N(X304)+X307,"")</f>
        <v>16269</v>
      </c>
      <c r="Y308" s="273">
        <f>IF(ISNUMBER(Y303),Y303+N(Y304)+Y307,"")</f>
        <v>15905</v>
      </c>
      <c r="Z308" s="273">
        <f>IF(ISNUMBER(Z303),Z303+N(Z304)+Z307,"")</f>
        <v>16282</v>
      </c>
      <c r="AA308" s="273">
        <f>IF(ISNUMBER(AA303),AA303+N(AA304)+AA307,"")</f>
        <v>17323</v>
      </c>
      <c r="AB308" s="273">
        <f>IF(ISNUMBER(AB303),AB303+N(AB304)+AB307,"")</f>
        <v>18675</v>
      </c>
      <c r="AC308" s="273">
        <f>IF(ISNUMBER(AC303),AC303+N(AC304)+AC307,"")</f>
        <v>18675</v>
      </c>
      <c r="AD308" s="273">
        <f>IF(ISNUMBER(AD303),AD303+N(AD304)+AD307,"")</f>
        <v>18570</v>
      </c>
      <c r="AE308" s="273">
        <f>IF(ISNUMBER(AE303),AE303+N(AE304)+AE307,"")</f>
        <v>19839</v>
      </c>
      <c r="AF308" s="273">
        <f>IF(ISNUMBER(AF303),AF303+N(AF304)+AF307,"")</f>
        <v>20914</v>
      </c>
      <c r="AG308" s="273">
        <f>IF(ISNUMBER(AG303),AG303+N(AG304)+AG307,"")</f>
        <v>21329</v>
      </c>
      <c r="AH308" s="273">
        <f>IF(ISNUMBER(AH303),AH303+N(AH304)+AH307,"")</f>
        <v>21329</v>
      </c>
      <c r="AI308" s="273">
        <f>IF(ISNUMBER(AI303),AI303+N(AI304)+AI307,"")</f>
        <v>22944</v>
      </c>
      <c r="AJ308" s="273">
        <f>IF(ISNUMBER(AJ303),AJ303+N(AJ304)+AJ307,"")</f>
        <v>22471</v>
      </c>
      <c r="AK308" s="273">
        <f>IF(ISNUMBER(AK303),AK303+N(AK304)+AK307,"")</f>
        <v>23340</v>
      </c>
      <c r="AL308" s="273">
        <f>IF(ISNUMBER(AL303),AL303+N(AL304)+AL307,"")</f>
        <v>24860</v>
      </c>
      <c r="AM308" s="273">
        <f>IF(ISNUMBER(AM303),AM303+N(AM304)+AM307,"")</f>
        <v>24860</v>
      </c>
      <c r="AN308" s="273">
        <f>IF(ISNUMBER(AN303),AN303+N(AN304)+AN307,"")</f>
        <v>23520</v>
      </c>
      <c r="AO308" s="273">
        <f>IF(ISNUMBER(AO303),AO303+N(AO304)+AO307,"")</f>
        <v>24731</v>
      </c>
      <c r="AP308" s="273">
        <f>IF(ISNUMBER(AP303),AP303+N(AP304)+AP307,"")</f>
        <v>25981</v>
      </c>
      <c r="AQ308" s="273">
        <f>IF(ISNUMBER(AQ303),AQ303+N(AQ304)+AQ307,"")</f>
        <v>29236</v>
      </c>
      <c r="AR308" s="273">
        <f>IF(ISNUMBER(AR303),AR303+N(AR304)+AR307,"")</f>
        <v>29236</v>
      </c>
      <c r="AS308" s="273">
        <f>IF(ISNUMBER(AS303),AS303+N(AS304)+AS307,"")</f>
        <v>30648</v>
      </c>
      <c r="AT308" s="273">
        <f>IF(ISNUMBER(AT303),AT303+N(AT304)+AT307,"")</f>
        <v>32127</v>
      </c>
      <c r="AU308" s="273">
        <f>IF(ISNUMBER(AU303),AU303+N(AU304)+AU307,"")</f>
        <v>31594</v>
      </c>
      <c r="AV308" s="273">
        <f>IF(ISNUMBER(AV303),AV303+N(AV304)+AV307,"")</f>
        <v>33584</v>
      </c>
      <c r="AW308" s="273">
        <f>IF(ISNUMBER(AW303),AW303+N(AW304)+AW307,"")</f>
        <v>33584</v>
      </c>
      <c r="AX308" s="273">
        <f>IF(ISNUMBER(AX303),AX303+N(AX304)+AX307,"")</f>
        <v>34800</v>
      </c>
      <c r="AY308" s="273">
        <f>IF(ISNUMBER(AY303),AY303+N(AY304)+AY307,"")</f>
        <v>34911</v>
      </c>
      <c r="AZ308" s="273">
        <f>IF(ISNUMBER(AZ303),AZ303+N(AZ304)+AZ307,"")</f>
        <v>35410</v>
      </c>
      <c r="BA308" s="273">
        <f>IF(ISNUMBER(BA303),BA303+N(BA304)+BA307,"")</f>
        <v>37669</v>
      </c>
      <c r="BB308" s="273">
        <f>IF(ISNUMBER(BB303),BB303+N(BB304)+BB307,"")</f>
        <v>37669</v>
      </c>
      <c r="BC308" s="273">
        <f>IF(ISNUMBER(BC303),BC303+N(BC304)+BC307,"")</f>
        <v>37163</v>
      </c>
      <c r="BD308" s="273">
        <f>IF(ISNUMBER(BD303),BD303+N(BD304)+BD307,"")</f>
        <v>36231</v>
      </c>
      <c r="BE308" s="273">
        <f>IF(ISNUMBER(BE303),BE303+N(BE304)+BE307,"")</f>
        <v>37612</v>
      </c>
      <c r="BF308" s="273">
        <f>IF(ISNUMBER(BF303),BF303+N(BF304)+BF307,"")</f>
        <v>38724</v>
      </c>
      <c r="BG308" s="273">
        <f>IF(ISNUMBER(BG303),BG303+N(BG304)+BG307,"")</f>
        <v>38724</v>
      </c>
      <c r="BH308" s="273">
        <f>IF(ISNUMBER(BH303),BH303+N(BH304)+BH307,"")</f>
        <v>38936</v>
      </c>
      <c r="BI308" s="273">
        <f>IF(ISNUMBER(BI303),BI303+N(BI304)+BI307,"")</f>
        <v>39004</v>
      </c>
      <c r="BJ308" s="273">
        <f>IF(ISNUMBER(BJ303),BJ303+N(BJ304)+BJ307,"")</f>
        <v>39674</v>
      </c>
      <c r="BK308" s="273">
        <f>IF(ISNUMBER(BK303),BK303+N(BK304)+BK307,"")</f>
        <v>42448</v>
      </c>
      <c r="BL308" s="273">
        <f>IF(ISNUMBER(BL303),BL303+N(BL304)+BL307,"")</f>
        <v>42448</v>
      </c>
      <c r="BM308" s="273">
        <f>IF(ISNUMBER(BM303),BM303+N(BM304)+BM307,"")</f>
        <v>42602</v>
      </c>
      <c r="BN308" s="273">
        <f>IF(ISNUMBER(BN303),BN303+N(BN304)+BN307,"")</f>
        <v>42333</v>
      </c>
      <c r="BO308" s="273">
        <f>IF(ISNUMBER(BO303),BO303+N(BO304)+BO307,"")</f>
        <v>47237</v>
      </c>
      <c r="BP308" s="273">
        <f>IF(ISNUMBER(BP303),BP303+N(BP304)+BP307,"")</f>
        <v>48081</v>
      </c>
      <c r="BQ308" s="273">
        <f>IF(ISNUMBER(BQ303),BQ303+N(BQ304)+BQ307,"")</f>
        <v>48081</v>
      </c>
      <c r="BR308" s="273">
        <f>IF(ISNUMBER(BR303),BR303+N(BR304)+BR307,"")</f>
        <v>48470</v>
      </c>
      <c r="BS308" s="273">
        <f>IF(ISNUMBER(BS303),BS303+N(BS304)+BS307,"")</f>
        <v>51431</v>
      </c>
      <c r="BT308" s="273">
        <f>IF(ISNUMBER(BT303),BT303+N(BT304)+BT307,"")</f>
        <v>53289</v>
      </c>
      <c r="BU308" s="273">
        <f>IF(ISNUMBER(BU303),BU303+N(BU304)+BU307,"")</f>
        <v>54157</v>
      </c>
      <c r="BV308" s="273">
        <f>IF(ISNUMBER(BV303),BV303+N(BV304)+BV307,"")</f>
        <v>54157</v>
      </c>
      <c r="BW308" s="273">
        <f>IF(ISNUMBER(BW303),BW303+N(BW304)+BW307,"")</f>
        <v>52449</v>
      </c>
      <c r="BX308" s="273">
        <f>IF(ISNUMBER(BX303),BX303+N(BX304)+BX307,"")</f>
        <v>57691</v>
      </c>
      <c r="BY308" s="56" t="n"/>
      <c r="BZ308" s="56" t="n"/>
      <c r="CA308" s="273">
        <f>IF(ISNUMBER(CA303),CA303+N(CA304)+CA307,"")</f>
        <v>58284.9255276498</v>
      </c>
      <c r="CB308" s="273">
        <f>IF(ISNUMBER(CB303),CB303+N(CB304)+CB307,"")</f>
        <v>63105.2469081173</v>
      </c>
      <c r="CC308" s="273">
        <f>IF(ISNUMBER(CC303),CC303+N(CC304)+CC307,"")</f>
        <v>67005.6428331183</v>
      </c>
      <c r="CD308" s="273">
        <f>IF(ISNUMBER(CD303),CD303+N(CD304)+CD307,"")</f>
        <v>71241.7546050706</v>
      </c>
      <c r="CE308" s="273">
        <f>IF(ISNUMBER(CE303),CE303+N(CE304)+CE307,"")</f>
        <v>76124.070018816</v>
      </c>
      <c r="CF308" s="153" t="n"/>
    </row>
    <row r="309" ht="15" customHeight="1" s="251">
      <c r="B309" s="57" t="inlineStr">
        <is>
          <t>BS tie-out check (TA − TL&amp;E)</t>
        </is>
      </c>
      <c r="C309" s="211">
        <f>IF(ISNUMBER(C291),IF(ABS(C291-C308)&lt;=1.1,0,ROUND(C291-C308,0)),"")</f>
        <v>0</v>
      </c>
      <c r="D309" s="211">
        <f>IF(ISNUMBER(D291),IF(ABS(D291-D308)&lt;=1.1,0,ROUND(D291-D308,0)),"")</f>
        <v>0</v>
      </c>
      <c r="E309" s="211">
        <f>IF(ISNUMBER(E291),IF(ABS(E291-E308)&lt;=1.1,0,ROUND(E291-E308,0)),"")</f>
        <v>0</v>
      </c>
      <c r="F309" s="211">
        <f>IF(ISNUMBER(F291),IF(ABS(F291-F308)&lt;=1.1,0,ROUND(F291-F308,0)),"")</f>
        <v>0</v>
      </c>
      <c r="G309" s="211">
        <f>IF(ISNUMBER(G291),IF(ABS(G291-G308)&lt;=1.1,0,ROUND(G291-G308,0)),"")</f>
        <v>0</v>
      </c>
      <c r="H309" s="211">
        <f>IF(ISNUMBER(H291),IF(ABS(H291-H308)&lt;=1.1,0,ROUND(H291-H308,0)),"")</f>
        <v>0</v>
      </c>
      <c r="I309" s="211">
        <f>IF(ISNUMBER(I291),IF(ABS(I291-I308)&lt;=1.1,0,ROUND(I291-I308,0)),"")</f>
        <v>0</v>
      </c>
      <c r="J309" s="211">
        <f>IF(ISNUMBER(J291),IF(ABS(J291-J308)&lt;=1.1,0,ROUND(J291-J308,0)),"")</f>
        <v>0</v>
      </c>
      <c r="K309" s="211">
        <f>IF(ISNUMBER(K291),IF(ABS(K291-K308)&lt;=1.1,0,ROUND(K291-K308,0)),"")</f>
        <v>0</v>
      </c>
      <c r="L309" s="211">
        <f>IF(ISNUMBER(L291),IF(ABS(L291-L308)&lt;=1.1,0,ROUND(L291-L308,0)),"")</f>
        <v>0</v>
      </c>
      <c r="M309" s="211">
        <f>IF(ISNUMBER(M291),IF(ABS(M291-M308)&lt;=1.1,0,ROUND(M291-M308,0)),"")</f>
        <v>0</v>
      </c>
      <c r="N309" s="211">
        <f>IF(ISNUMBER(N291),IF(ABS(N291-N308)&lt;=1.1,0,ROUND(N291-N308,0)),"")</f>
        <v>0</v>
      </c>
      <c r="O309" s="211">
        <f>IF(ISNUMBER(O291),IF(ABS(O291-O308)&lt;=1.1,0,ROUND(O291-O308,0)),"")</f>
        <v>0</v>
      </c>
      <c r="P309" s="211">
        <f>IF(ISNUMBER(P291),IF(ABS(P291-P308)&lt;=1.1,0,ROUND(P291-P308,0)),"")</f>
        <v>0</v>
      </c>
      <c r="Q309" s="211">
        <f>IF(ISNUMBER(Q291),IF(ABS(Q291-Q308)&lt;=1.1,0,ROUND(Q291-Q308,0)),"")</f>
        <v>0</v>
      </c>
      <c r="R309" s="211">
        <f>IF(ISNUMBER(R291),IF(ABS(R291-R308)&lt;=1.1,0,ROUND(R291-R308,0)),"")</f>
        <v>0</v>
      </c>
      <c r="S309" s="211">
        <f>IF(ISNUMBER(S291),IF(ABS(S291-S308)&lt;=1.1,0,ROUND(S291-S308,0)),"")</f>
        <v>0</v>
      </c>
      <c r="T309" s="211">
        <f>IF(ISNUMBER(T291),IF(ABS(T291-T308)&lt;=1.1,0,ROUND(T291-T308,0)),"")</f>
        <v>0</v>
      </c>
      <c r="U309" s="211">
        <f>IF(ISNUMBER(U291),IF(ABS(U291-U308)&lt;=1.1,0,ROUND(U291-U308,0)),"")</f>
        <v>0</v>
      </c>
      <c r="V309" s="211">
        <f>IF(ISNUMBER(V291),IF(ABS(V291-V308)&lt;=1.1,0,ROUND(V291-V308,0)),"")</f>
        <v>0</v>
      </c>
      <c r="W309" s="211">
        <f>IF(ISNUMBER(W291),IF(ABS(W291-W308)&lt;=1.1,0,ROUND(W291-W308,0)),"")</f>
        <v>0</v>
      </c>
      <c r="X309" s="211">
        <f>IF(ISNUMBER(X291),IF(ABS(X291-X308)&lt;=1.1,0,ROUND(X291-X308,0)),"")</f>
        <v>0</v>
      </c>
      <c r="Y309" s="211">
        <f>IF(ISNUMBER(Y291),IF(ABS(Y291-Y308)&lt;=1.1,0,ROUND(Y291-Y308,0)),"")</f>
        <v>0</v>
      </c>
      <c r="Z309" s="211">
        <f>IF(ISNUMBER(Z291),IF(ABS(Z291-Z308)&lt;=1.1,0,ROUND(Z291-Z308,0)),"")</f>
        <v>0</v>
      </c>
      <c r="AA309" s="211">
        <f>IF(ISNUMBER(AA291),IF(ABS(AA291-AA308)&lt;=1.1,0,ROUND(AA291-AA308,0)),"")</f>
        <v>0</v>
      </c>
      <c r="AB309" s="211">
        <f>IF(ISNUMBER(AB291),IF(ABS(AB291-AB308)&lt;=1.1,0,ROUND(AB291-AB308,0)),"")</f>
        <v>0</v>
      </c>
      <c r="AC309" s="211">
        <f>IF(ISNUMBER(AC291),IF(ABS(AC291-AC308)&lt;=1.1,0,ROUND(AC291-AC308,0)),"")</f>
        <v>0</v>
      </c>
      <c r="AD309" s="211">
        <f>IF(ISNUMBER(AD291),IF(ABS(AD291-AD308)&lt;=1.1,0,ROUND(AD291-AD308,0)),"")</f>
        <v>0</v>
      </c>
      <c r="AE309" s="211">
        <f>IF(ISNUMBER(AE291),IF(ABS(AE291-AE308)&lt;=1.1,0,ROUND(AE291-AE308,0)),"")</f>
        <v>0</v>
      </c>
      <c r="AF309" s="211">
        <f>IF(ISNUMBER(AF291),IF(ABS(AF291-AF308)&lt;=1.1,0,ROUND(AF291-AF308,0)),"")</f>
        <v>0</v>
      </c>
      <c r="AG309" s="211">
        <f>IF(ISNUMBER(AG291),IF(ABS(AG291-AG308)&lt;=1.1,0,ROUND(AG291-AG308,0)),"")</f>
        <v>0</v>
      </c>
      <c r="AH309" s="211">
        <f>IF(ISNUMBER(AH291),IF(ABS(AH291-AH308)&lt;=1.1,0,ROUND(AH291-AH308,0)),"")</f>
        <v>0</v>
      </c>
      <c r="AI309" s="211">
        <f>IF(ISNUMBER(AI291),IF(ABS(AI291-AI308)&lt;=1.1,0,ROUND(AI291-AI308,0)),"")</f>
        <v>0</v>
      </c>
      <c r="AJ309" s="211">
        <f>IF(ISNUMBER(AJ291),IF(ABS(AJ291-AJ308)&lt;=1.1,0,ROUND(AJ291-AJ308,0)),"")</f>
        <v>0</v>
      </c>
      <c r="AK309" s="211">
        <f>IF(ISNUMBER(AK291),IF(ABS(AK291-AK308)&lt;=1.1,0,ROUND(AK291-AK308,0)),"")</f>
        <v>0</v>
      </c>
      <c r="AL309" s="211">
        <f>IF(ISNUMBER(AL291),IF(ABS(AL291-AL308)&lt;=1.1,0,ROUND(AL291-AL308,0)),"")</f>
        <v>0</v>
      </c>
      <c r="AM309" s="211">
        <f>IF(ISNUMBER(AM291),IF(ABS(AM291-AM308)&lt;=1.1,0,ROUND(AM291-AM308,0)),"")</f>
        <v>0</v>
      </c>
      <c r="AN309" s="211">
        <f>IF(ISNUMBER(AN291),IF(ABS(AN291-AN308)&lt;=1.1,0,ROUND(AN291-AN308,0)),"")</f>
        <v>0</v>
      </c>
      <c r="AO309" s="211">
        <f>IF(ISNUMBER(AO291),IF(ABS(AO291-AO308)&lt;=1.1,0,ROUND(AO291-AO308,0)),"")</f>
        <v>0</v>
      </c>
      <c r="AP309" s="211">
        <f>IF(ISNUMBER(AP291),IF(ABS(AP291-AP308)&lt;=1.1,0,ROUND(AP291-AP308,0)),"")</f>
        <v>0</v>
      </c>
      <c r="AQ309" s="211">
        <f>IF(ISNUMBER(AQ291),IF(ABS(AQ291-AQ308)&lt;=1.1,0,ROUND(AQ291-AQ308,0)),"")</f>
        <v>0</v>
      </c>
      <c r="AR309" s="211">
        <f>IF(ISNUMBER(AR291),IF(ABS(AR291-AR308)&lt;=1.1,0,ROUND(AR291-AR308,0)),"")</f>
        <v>0</v>
      </c>
      <c r="AS309" s="211">
        <f>IF(ISNUMBER(AS291),IF(ABS(AS291-AS308)&lt;=1.1,0,ROUND(AS291-AS308,0)),"")</f>
        <v>0</v>
      </c>
      <c r="AT309" s="211">
        <f>IF(ISNUMBER(AT291),IF(ABS(AT291-AT308)&lt;=1.1,0,ROUND(AT291-AT308,0)),"")</f>
        <v>0</v>
      </c>
      <c r="AU309" s="211">
        <f>IF(ISNUMBER(AU291),IF(ABS(AU291-AU308)&lt;=1.1,0,ROUND(AU291-AU308,0)),"")</f>
        <v>0</v>
      </c>
      <c r="AV309" s="211">
        <f>IF(ISNUMBER(AV291),IF(ABS(AV291-AV308)&lt;=1.1,0,ROUND(AV291-AV308,0)),"")</f>
        <v>0</v>
      </c>
      <c r="AW309" s="211">
        <f>IF(ISNUMBER(AW291),IF(ABS(AW291-AW308)&lt;=1.1,0,ROUND(AW291-AW308,0)),"")</f>
        <v>0</v>
      </c>
      <c r="AX309" s="211">
        <f>IF(ISNUMBER(AX291),IF(ABS(AX291-AX308)&lt;=1.1,0,ROUND(AX291-AX308,0)),"")</f>
        <v>0</v>
      </c>
      <c r="AY309" s="211">
        <f>IF(ISNUMBER(AY291),IF(ABS(AY291-AY308)&lt;=1.1,0,ROUND(AY291-AY308,0)),"")</f>
        <v>0</v>
      </c>
      <c r="AZ309" s="211">
        <f>IF(ISNUMBER(AZ291),IF(ABS(AZ291-AZ308)&lt;=1.1,0,ROUND(AZ291-AZ308,0)),"")</f>
        <v>0</v>
      </c>
      <c r="BA309" s="211">
        <f>IF(ISNUMBER(BA291),IF(ABS(BA291-BA308)&lt;=1.1,0,ROUND(BA291-BA308,0)),"")</f>
        <v>0</v>
      </c>
      <c r="BB309" s="211">
        <f>IF(ISNUMBER(BB291),IF(ABS(BB291-BB308)&lt;=1.1,0,ROUND(BB291-BB308,0)),"")</f>
        <v>0</v>
      </c>
      <c r="BC309" s="211">
        <f>IF(ISNUMBER(BC291),IF(ABS(BC291-BC308)&lt;=1.1,0,ROUND(BC291-BC308,0)),"")</f>
        <v>0</v>
      </c>
      <c r="BD309" s="211">
        <f>IF(ISNUMBER(BD291),IF(ABS(BD291-BD308)&lt;=1.1,0,ROUND(BD291-BD308,0)),"")</f>
        <v>0</v>
      </c>
      <c r="BE309" s="211">
        <f>IF(ISNUMBER(BE291),IF(ABS(BE291-BE308)&lt;=1.1,0,ROUND(BE291-BE308,0)),"")</f>
        <v>0</v>
      </c>
      <c r="BF309" s="211">
        <f>IF(ISNUMBER(BF291),IF(ABS(BF291-BF308)&lt;=1.1,0,ROUND(BF291-BF308,0)),"")</f>
        <v>0</v>
      </c>
      <c r="BG309" s="211">
        <f>IF(ISNUMBER(BG291),IF(ABS(BG291-BG308)&lt;=1.1,0,ROUND(BG291-BG308,0)),"")</f>
        <v>0</v>
      </c>
      <c r="BH309" s="211">
        <f>IF(ISNUMBER(BH291),IF(ABS(BH291-BH308)&lt;=1.1,0,ROUND(BH291-BH308,0)),"")</f>
        <v>0</v>
      </c>
      <c r="BI309" s="211">
        <f>IF(ISNUMBER(BI291),IF(ABS(BI291-BI308)&lt;=1.1,0,ROUND(BI291-BI308,0)),"")</f>
        <v>0</v>
      </c>
      <c r="BJ309" s="211">
        <f>IF(ISNUMBER(BJ291),IF(ABS(BJ291-BJ308)&lt;=1.1,0,ROUND(BJ291-BJ308,0)),"")</f>
        <v>0</v>
      </c>
      <c r="BK309" s="211">
        <f>IF(ISNUMBER(BK291),IF(ABS(BK291-BK308)&lt;=1.1,0,ROUND(BK291-BK308,0)),"")</f>
        <v>0</v>
      </c>
      <c r="BL309" s="211">
        <f>IF(ISNUMBER(BL291),IF(ABS(BL291-BL308)&lt;=1.1,0,ROUND(BL291-BL308,0)),"")</f>
        <v>0</v>
      </c>
      <c r="BM309" s="211">
        <f>IF(ISNUMBER(BM291),IF(ABS(BM291-BM308)&lt;=1.1,0,ROUND(BM291-BM308,0)),"")</f>
        <v>0</v>
      </c>
      <c r="BN309" s="211">
        <f>IF(ISNUMBER(BN291),IF(ABS(BN291-BN308)&lt;=1.1,0,ROUND(BN291-BN308,0)),"")</f>
        <v>0</v>
      </c>
      <c r="BO309" s="211">
        <f>IF(ISNUMBER(BO291),IF(ABS(BO291-BO308)&lt;=1.1,0,ROUND(BO291-BO308,0)),"")</f>
        <v>0</v>
      </c>
      <c r="BP309" s="211">
        <f>IF(ISNUMBER(BP291),IF(ABS(BP291-BP308)&lt;=1.1,0,ROUND(BP291-BP308,0)),"")</f>
        <v>0</v>
      </c>
      <c r="BQ309" s="211">
        <f>IF(ISNUMBER(BQ291),IF(ABS(BQ291-BQ308)&lt;=1.1,0,ROUND(BQ291-BQ308,0)),"")</f>
        <v>0</v>
      </c>
      <c r="BR309" s="211">
        <f>IF(ISNUMBER(BR291),IF(ABS(BR291-BR308)&lt;=1.1,0,ROUND(BR291-BR308,0)),"")</f>
        <v>0</v>
      </c>
      <c r="BS309" s="211">
        <f>IF(ISNUMBER(BS291),IF(ABS(BS291-BS308)&lt;=1.1,0,ROUND(BS291-BS308,0)),"")</f>
        <v>0</v>
      </c>
      <c r="BT309" s="211">
        <f>IF(ISNUMBER(BT291),IF(ABS(BT291-BT308)&lt;=1.1,0,ROUND(BT291-BT308,0)),"")</f>
        <v>0</v>
      </c>
      <c r="BU309" s="211">
        <f>IF(ISNUMBER(BU291),IF(ABS(BU291-BU308)&lt;=1.1,0,ROUND(BU291-BU308,0)),"")</f>
        <v>0</v>
      </c>
      <c r="BV309" s="211">
        <f>IF(ISNUMBER(BV291),IF(ABS(BV291-BV308)&lt;=1.1,0,ROUND(BV291-BV308,0)),"")</f>
        <v>0</v>
      </c>
      <c r="BW309" s="211">
        <f>IF(ISNUMBER(BW291),IF(ABS(BW291-BW308)&lt;=1.1,0,ROUND(BW291-BW308,0)),"")</f>
        <v>0</v>
      </c>
      <c r="BX309" s="211">
        <f>IF(ISNUMBER(BX291),IF(ABS(BX291-BX308)&lt;=1.1,0,ROUND(BX291-BX308,0)),"")</f>
        <v>0</v>
      </c>
      <c r="BY309" s="153" t="n"/>
      <c r="BZ309" s="153" t="n"/>
      <c r="CA309" s="274">
        <f>IF(ISNUMBER(CA291),IF(ABS(CA291-CA308)&lt;=1.1,0,ROUND(CA291-CA308,0)),"")</f>
        <v>0</v>
      </c>
      <c r="CB309" s="274">
        <f>IF(ISNUMBER(CB291),IF(ABS(CB291-CB308)&lt;=1.1,0,ROUND(CB291-CB308,0)),"")</f>
        <v>0</v>
      </c>
      <c r="CC309" s="274">
        <f>IF(ISNUMBER(CC291),IF(ABS(CC291-CC308)&lt;=1.1,0,ROUND(CC291-CC308,0)),"")</f>
        <v>0</v>
      </c>
      <c r="CD309" s="274">
        <f>IF(ISNUMBER(CD291),IF(ABS(CD291-CD308)&lt;=1.1,0,ROUND(CD291-CD308,0)),"")</f>
        <v>0</v>
      </c>
      <c r="CE309" s="274">
        <f>IF(ISNUMBER(CE291),IF(ABS(CE291-CE308)&lt;=1.1,0,ROUND(CE291-CE308,0)),"")</f>
        <v>0</v>
      </c>
      <c r="CF309" s="153" t="n"/>
    </row>
    <row r="310" ht="15" customHeight="1" s="251">
      <c r="B310" s="57" t="inlineStr">
        <is>
          <t xml:space="preserve">  Check: model total assets vs reported (should be 0)</t>
        </is>
      </c>
      <c r="C310" s="211">
        <f>IF(ISNUMBER(C311),IF(ABS(C291-C311)&lt;=1.1,0,ROUND(C291-C311,0)),"")</f>
        <v>0</v>
      </c>
      <c r="D310" s="211">
        <f>IF(ISNUMBER(D311),IF(ABS(D291-D311)&lt;=1.1,0,ROUND(D291-D311,0)),"")</f>
        <v>0</v>
      </c>
      <c r="E310" s="211">
        <f>IF(ISNUMBER(E311),IF(ABS(E291-E311)&lt;=1.1,0,ROUND(E291-E311,0)),"")</f>
        <v>0</v>
      </c>
      <c r="F310" s="211">
        <f>IF(ISNUMBER(F311),IF(ABS(F291-F311)&lt;=1.1,0,ROUND(F291-F311,0)),"")</f>
        <v>0</v>
      </c>
      <c r="G310" s="211">
        <f>IF(ISNUMBER(G311),IF(ABS(G291-G311)&lt;=1.1,0,ROUND(G291-G311,0)),"")</f>
        <v>0</v>
      </c>
      <c r="H310" s="211">
        <f>IF(ISNUMBER(H311),IF(ABS(H291-H311)&lt;=1.1,0,ROUND(H291-H311,0)),"")</f>
        <v>0</v>
      </c>
      <c r="I310" s="211">
        <f>IF(ISNUMBER(I311),IF(ABS(I291-I311)&lt;=1.1,0,ROUND(I291-I311,0)),"")</f>
        <v>0</v>
      </c>
      <c r="J310" s="211">
        <f>IF(ISNUMBER(J311),IF(ABS(J291-J311)&lt;=1.1,0,ROUND(J291-J311,0)),"")</f>
        <v>0</v>
      </c>
      <c r="K310" s="211">
        <f>IF(ISNUMBER(K311),IF(ABS(K291-K311)&lt;=1.1,0,ROUND(K291-K311,0)),"")</f>
        <v>0</v>
      </c>
      <c r="L310" s="211">
        <f>IF(ISNUMBER(L311),IF(ABS(L291-L311)&lt;=1.1,0,ROUND(L291-L311,0)),"")</f>
        <v>0</v>
      </c>
      <c r="M310" s="211">
        <f>IF(ISNUMBER(M311),IF(ABS(M291-M311)&lt;=1.1,0,ROUND(M291-M311,0)),"")</f>
        <v>0</v>
      </c>
      <c r="N310" s="211">
        <f>IF(ISNUMBER(N311),IF(ABS(N291-N311)&lt;=1.1,0,ROUND(N291-N311,0)),"")</f>
        <v>0</v>
      </c>
      <c r="O310" s="211">
        <f>IF(ISNUMBER(O311),IF(ABS(O291-O311)&lt;=1.1,0,ROUND(O291-O311,0)),"")</f>
        <v>0</v>
      </c>
      <c r="P310" s="211">
        <f>IF(ISNUMBER(P311),IF(ABS(P291-P311)&lt;=1.1,0,ROUND(P291-P311,0)),"")</f>
        <v>0</v>
      </c>
      <c r="Q310" s="211">
        <f>IF(ISNUMBER(Q311),IF(ABS(Q291-Q311)&lt;=1.1,0,ROUND(Q291-Q311,0)),"")</f>
        <v>0</v>
      </c>
      <c r="R310" s="211">
        <f>IF(ISNUMBER(R311),IF(ABS(R291-R311)&lt;=1.1,0,ROUND(R291-R311,0)),"")</f>
        <v>0</v>
      </c>
      <c r="S310" s="211">
        <f>IF(ISNUMBER(S311),IF(ABS(S291-S311)&lt;=1.1,0,ROUND(S291-S311,0)),"")</f>
        <v>0</v>
      </c>
      <c r="T310" s="211">
        <f>IF(ISNUMBER(T311),IF(ABS(T291-T311)&lt;=1.1,0,ROUND(T291-T311,0)),"")</f>
        <v>0</v>
      </c>
      <c r="U310" s="211">
        <f>IF(ISNUMBER(U311),IF(ABS(U291-U311)&lt;=1.1,0,ROUND(U291-U311,0)),"")</f>
        <v>0</v>
      </c>
      <c r="V310" s="211">
        <f>IF(ISNUMBER(V311),IF(ABS(V291-V311)&lt;=1.1,0,ROUND(V291-V311,0)),"")</f>
        <v>0</v>
      </c>
      <c r="W310" s="211">
        <f>IF(ISNUMBER(W311),IF(ABS(W291-W311)&lt;=1.1,0,ROUND(W291-W311,0)),"")</f>
        <v>0</v>
      </c>
      <c r="X310" s="211">
        <f>IF(ISNUMBER(X311),IF(ABS(X291-X311)&lt;=1.1,0,ROUND(X291-X311,0)),"")</f>
        <v>0</v>
      </c>
      <c r="Y310" s="211">
        <f>IF(ISNUMBER(Y311),IF(ABS(Y291-Y311)&lt;=1.1,0,ROUND(Y291-Y311,0)),"")</f>
        <v>0</v>
      </c>
      <c r="Z310" s="211">
        <f>IF(ISNUMBER(Z311),IF(ABS(Z291-Z311)&lt;=1.1,0,ROUND(Z291-Z311,0)),"")</f>
        <v>0</v>
      </c>
      <c r="AA310" s="211">
        <f>IF(ISNUMBER(AA311),IF(ABS(AA291-AA311)&lt;=1.1,0,ROUND(AA291-AA311,0)),"")</f>
        <v>0</v>
      </c>
      <c r="AB310" s="211">
        <f>IF(ISNUMBER(AB311),IF(ABS(AB291-AB311)&lt;=1.1,0,ROUND(AB291-AB311,0)),"")</f>
        <v>0</v>
      </c>
      <c r="AC310" s="211">
        <f>IF(ISNUMBER(AC311),IF(ABS(AC291-AC311)&lt;=1.1,0,ROUND(AC291-AC311,0)),"")</f>
        <v>0</v>
      </c>
      <c r="AD310" s="211">
        <f>IF(ISNUMBER(AD311),IF(ABS(AD291-AD311)&lt;=1.1,0,ROUND(AD291-AD311,0)),"")</f>
        <v>0</v>
      </c>
      <c r="AE310" s="211">
        <f>IF(ISNUMBER(AE311),IF(ABS(AE291-AE311)&lt;=1.1,0,ROUND(AE291-AE311,0)),"")</f>
        <v>0</v>
      </c>
      <c r="AF310" s="211">
        <f>IF(ISNUMBER(AF311),IF(ABS(AF291-AF311)&lt;=1.1,0,ROUND(AF291-AF311,0)),"")</f>
        <v>0</v>
      </c>
      <c r="AG310" s="211">
        <f>IF(ISNUMBER(AG311),IF(ABS(AG291-AG311)&lt;=1.1,0,ROUND(AG291-AG311,0)),"")</f>
        <v>0</v>
      </c>
      <c r="AH310" s="211">
        <f>IF(ISNUMBER(AH311),IF(ABS(AH291-AH311)&lt;=1.1,0,ROUND(AH291-AH311,0)),"")</f>
        <v>0</v>
      </c>
      <c r="AI310" s="211">
        <f>IF(ISNUMBER(AI311),IF(ABS(AI291-AI311)&lt;=1.1,0,ROUND(AI291-AI311,0)),"")</f>
        <v>0</v>
      </c>
      <c r="AJ310" s="211">
        <f>IF(ISNUMBER(AJ311),IF(ABS(AJ291-AJ311)&lt;=1.1,0,ROUND(AJ291-AJ311,0)),"")</f>
        <v>0</v>
      </c>
      <c r="AK310" s="211">
        <f>IF(ISNUMBER(AK311),IF(ABS(AK291-AK311)&lt;=1.1,0,ROUND(AK291-AK311,0)),"")</f>
        <v>0</v>
      </c>
      <c r="AL310" s="211">
        <f>IF(ISNUMBER(AL311),IF(ABS(AL291-AL311)&lt;=1.1,0,ROUND(AL291-AL311,0)),"")</f>
        <v>0</v>
      </c>
      <c r="AM310" s="211">
        <f>IF(ISNUMBER(AM311),IF(ABS(AM291-AM311)&lt;=1.1,0,ROUND(AM291-AM311,0)),"")</f>
        <v>0</v>
      </c>
      <c r="AN310" s="211">
        <f>IF(ISNUMBER(AN311),IF(ABS(AN291-AN311)&lt;=1.1,0,ROUND(AN291-AN311,0)),"")</f>
        <v>0</v>
      </c>
      <c r="AO310" s="211">
        <f>IF(ISNUMBER(AO311),IF(ABS(AO291-AO311)&lt;=1.1,0,ROUND(AO291-AO311,0)),"")</f>
        <v>0</v>
      </c>
      <c r="AP310" s="211">
        <f>IF(ISNUMBER(AP311),IF(ABS(AP291-AP311)&lt;=1.1,0,ROUND(AP291-AP311,0)),"")</f>
        <v>0</v>
      </c>
      <c r="AQ310" s="211">
        <f>IF(ISNUMBER(AQ311),IF(ABS(AQ291-AQ311)&lt;=1.1,0,ROUND(AQ291-AQ311,0)),"")</f>
        <v>0</v>
      </c>
      <c r="AR310" s="211">
        <f>IF(ISNUMBER(AR311),IF(ABS(AR291-AR311)&lt;=1.1,0,ROUND(AR291-AR311,0)),"")</f>
        <v>0</v>
      </c>
      <c r="AS310" s="211">
        <f>IF(ISNUMBER(AS311),IF(ABS(AS291-AS311)&lt;=1.1,0,ROUND(AS291-AS311,0)),"")</f>
        <v>0</v>
      </c>
      <c r="AT310" s="211">
        <f>IF(ISNUMBER(AT311),IF(ABS(AT291-AT311)&lt;=1.1,0,ROUND(AT291-AT311,0)),"")</f>
        <v>0</v>
      </c>
      <c r="AU310" s="211">
        <f>IF(ISNUMBER(AU311),IF(ABS(AU291-AU311)&lt;=1.1,0,ROUND(AU291-AU311,0)),"")</f>
        <v>0</v>
      </c>
      <c r="AV310" s="211">
        <f>IF(ISNUMBER(AV311),IF(ABS(AV291-AV311)&lt;=1.1,0,ROUND(AV291-AV311,0)),"")</f>
        <v>0</v>
      </c>
      <c r="AW310" s="211">
        <f>IF(ISNUMBER(AW311),IF(ABS(AW291-AW311)&lt;=1.1,0,ROUND(AW291-AW311,0)),"")</f>
        <v>0</v>
      </c>
      <c r="AX310" s="211">
        <f>IF(ISNUMBER(AX311),IF(ABS(AX291-AX311)&lt;=1.1,0,ROUND(AX291-AX311,0)),"")</f>
        <v>0</v>
      </c>
      <c r="AY310" s="211">
        <f>IF(ISNUMBER(AY311),IF(ABS(AY291-AY311)&lt;=1.1,0,ROUND(AY291-AY311,0)),"")</f>
        <v>0</v>
      </c>
      <c r="AZ310" s="211">
        <f>IF(ISNUMBER(AZ311),IF(ABS(AZ291-AZ311)&lt;=1.1,0,ROUND(AZ291-AZ311,0)),"")</f>
        <v>0</v>
      </c>
      <c r="BA310" s="211">
        <f>IF(ISNUMBER(BA311),IF(ABS(BA291-BA311)&lt;=1.1,0,ROUND(BA291-BA311,0)),"")</f>
        <v>0</v>
      </c>
      <c r="BB310" s="211">
        <f>IF(ISNUMBER(BB311),IF(ABS(BB291-BB311)&lt;=1.1,0,ROUND(BB291-BB311,0)),"")</f>
        <v>0</v>
      </c>
      <c r="BC310" s="211">
        <f>IF(ISNUMBER(BC311),IF(ABS(BC291-BC311)&lt;=1.1,0,ROUND(BC291-BC311,0)),"")</f>
        <v>0</v>
      </c>
      <c r="BD310" s="211">
        <f>IF(ISNUMBER(BD311),IF(ABS(BD291-BD311)&lt;=1.1,0,ROUND(BD291-BD311,0)),"")</f>
        <v>0</v>
      </c>
      <c r="BE310" s="211">
        <f>IF(ISNUMBER(BE311),IF(ABS(BE291-BE311)&lt;=1.1,0,ROUND(BE291-BE311,0)),"")</f>
        <v>0</v>
      </c>
      <c r="BF310" s="211">
        <f>IF(ISNUMBER(BF311),IF(ABS(BF291-BF311)&lt;=1.1,0,ROUND(BF291-BF311,0)),"")</f>
        <v>0</v>
      </c>
      <c r="BG310" s="211">
        <f>IF(ISNUMBER(BG311),IF(ABS(BG291-BG311)&lt;=1.1,0,ROUND(BG291-BG311,0)),"")</f>
        <v>0</v>
      </c>
      <c r="BH310" s="211">
        <f>IF(ISNUMBER(BH311),IF(ABS(BH291-BH311)&lt;=1.1,0,ROUND(BH291-BH311,0)),"")</f>
        <v>0</v>
      </c>
      <c r="BI310" s="211">
        <f>IF(ISNUMBER(BI311),IF(ABS(BI291-BI311)&lt;=1.1,0,ROUND(BI291-BI311,0)),"")</f>
        <v>0</v>
      </c>
      <c r="BJ310" s="211">
        <f>IF(ISNUMBER(BJ311),IF(ABS(BJ291-BJ311)&lt;=1.1,0,ROUND(BJ291-BJ311,0)),"")</f>
        <v>0</v>
      </c>
      <c r="BK310" s="211">
        <f>IF(ISNUMBER(BK311),IF(ABS(BK291-BK311)&lt;=1.1,0,ROUND(BK291-BK311,0)),"")</f>
        <v>0</v>
      </c>
      <c r="BL310" s="211">
        <f>IF(ISNUMBER(BL311),IF(ABS(BL291-BL311)&lt;=1.1,0,ROUND(BL291-BL311,0)),"")</f>
        <v>0</v>
      </c>
      <c r="BM310" s="211">
        <f>IF(ISNUMBER(BM311),IF(ABS(BM291-BM311)&lt;=1.1,0,ROUND(BM291-BM311,0)),"")</f>
        <v>0</v>
      </c>
      <c r="BN310" s="211">
        <f>IF(ISNUMBER(BN311),IF(ABS(BN291-BN311)&lt;=1.1,0,ROUND(BN291-BN311,0)),"")</f>
        <v>0</v>
      </c>
      <c r="BO310" s="211">
        <f>IF(ISNUMBER(BO311),IF(ABS(BO291-BO311)&lt;=1.1,0,ROUND(BO291-BO311,0)),"")</f>
        <v>0</v>
      </c>
      <c r="BP310" s="211">
        <f>IF(ISNUMBER(BP311),IF(ABS(BP291-BP311)&lt;=1.1,0,ROUND(BP291-BP311,0)),"")</f>
        <v>0</v>
      </c>
      <c r="BQ310" s="211">
        <f>IF(ISNUMBER(BQ311),IF(ABS(BQ291-BQ311)&lt;=1.1,0,ROUND(BQ291-BQ311,0)),"")</f>
        <v>0</v>
      </c>
      <c r="BR310" s="211">
        <f>IF(ISNUMBER(BR311),IF(ABS(BR291-BR311)&lt;=1.1,0,ROUND(BR291-BR311,0)),"")</f>
        <v>0</v>
      </c>
      <c r="BS310" s="211">
        <f>IF(ISNUMBER(BS311),IF(ABS(BS291-BS311)&lt;=1.1,0,ROUND(BS291-BS311,0)),"")</f>
        <v>0</v>
      </c>
      <c r="BT310" s="211">
        <f>IF(ISNUMBER(BT311),IF(ABS(BT291-BT311)&lt;=1.1,0,ROUND(BT291-BT311,0)),"")</f>
        <v>0</v>
      </c>
      <c r="BU310" s="211">
        <f>IF(ISNUMBER(BU311),IF(ABS(BU291-BU311)&lt;=1.1,0,ROUND(BU291-BU311,0)),"")</f>
        <v>0</v>
      </c>
      <c r="BV310" s="211">
        <f>IF(ISNUMBER(BV311),IF(ABS(BV291-BV311)&lt;=1.1,0,ROUND(BV291-BV311,0)),"")</f>
        <v>0</v>
      </c>
      <c r="BW310" s="211">
        <f>IF(ISNUMBER(BW311),IF(ABS(BW291-BW311)&lt;=1.1,0,ROUND(BW291-BW311,0)),"")</f>
        <v>0</v>
      </c>
      <c r="BX310" s="211">
        <f>IF(ISNUMBER(BX311),IF(ABS(BX291-BX311)&lt;=1.1,0,ROUND(BX291-BX311,0)),"")</f>
        <v>0</v>
      </c>
      <c r="BY310" s="153" t="n"/>
      <c r="BZ310" s="153" t="n"/>
      <c r="CA310" s="153" t="n"/>
      <c r="CB310" s="153" t="n"/>
      <c r="CC310" s="153" t="n"/>
      <c r="CD310" s="153" t="n"/>
      <c r="CE310" s="153" t="n"/>
      <c r="CF310" s="153" t="n"/>
    </row>
    <row r="311" ht="15" customHeight="1" s="251">
      <c r="B311" s="156" t="inlineStr">
        <is>
          <t xml:space="preserve">  Memo: total assets as reported</t>
        </is>
      </c>
      <c r="C311" s="253" t="n">
        <v>5082.47</v>
      </c>
      <c r="D311" s="253" t="n">
        <v>6260.041</v>
      </c>
      <c r="E311" s="253" t="n">
        <v>6475.849</v>
      </c>
      <c r="F311" s="253" t="n">
        <v>7470.279</v>
      </c>
      <c r="G311" s="253" t="n">
        <v>8837</v>
      </c>
      <c r="H311" s="253" t="n">
        <v>10693</v>
      </c>
      <c r="I311" s="253" t="n">
        <v>12462</v>
      </c>
      <c r="J311" s="253" t="n">
        <v>11809</v>
      </c>
      <c r="K311" s="253" t="n">
        <v>12021</v>
      </c>
      <c r="L311" s="253" t="n">
        <v>13730</v>
      </c>
      <c r="M311" s="253" t="n">
        <v>14242</v>
      </c>
      <c r="N311" s="253" t="n">
        <v>14242</v>
      </c>
      <c r="O311" s="253" t="n">
        <v>14802</v>
      </c>
      <c r="P311" s="253" t="n">
        <v>14375</v>
      </c>
      <c r="Q311" s="253" t="n">
        <v>14659</v>
      </c>
      <c r="R311" s="253" t="n">
        <v>15329</v>
      </c>
      <c r="S311" s="253" t="n">
        <v>15329</v>
      </c>
      <c r="T311" s="253" t="n">
        <v>14633</v>
      </c>
      <c r="U311" s="253" t="n">
        <v>15272</v>
      </c>
      <c r="V311" s="253" t="n">
        <v>14634</v>
      </c>
      <c r="W311" s="253" t="n">
        <v>16269</v>
      </c>
      <c r="X311" s="253" t="n">
        <v>16269</v>
      </c>
      <c r="Y311" s="253" t="n">
        <v>15905</v>
      </c>
      <c r="Z311" s="253" t="n">
        <v>16282</v>
      </c>
      <c r="AA311" s="253" t="n">
        <v>17323</v>
      </c>
      <c r="AB311" s="253" t="n">
        <v>18675</v>
      </c>
      <c r="AC311" s="253" t="n">
        <v>18675</v>
      </c>
      <c r="AD311" s="253" t="n">
        <v>18570</v>
      </c>
      <c r="AE311" s="253" t="n">
        <v>19839</v>
      </c>
      <c r="AF311" s="253" t="n">
        <v>20914</v>
      </c>
      <c r="AG311" s="253" t="n">
        <v>21329</v>
      </c>
      <c r="AH311" s="253" t="n">
        <v>21329</v>
      </c>
      <c r="AI311" s="253" t="n">
        <v>22944</v>
      </c>
      <c r="AJ311" s="253" t="n">
        <v>22471</v>
      </c>
      <c r="AK311" s="253" t="n">
        <v>23340</v>
      </c>
      <c r="AL311" s="253" t="n">
        <v>24860</v>
      </c>
      <c r="AM311" s="253" t="n">
        <v>24860</v>
      </c>
      <c r="AN311" s="253" t="n">
        <v>23520</v>
      </c>
      <c r="AO311" s="253" t="n">
        <v>24731</v>
      </c>
      <c r="AP311" s="253" t="n">
        <v>25981</v>
      </c>
      <c r="AQ311" s="253" t="n">
        <v>29236</v>
      </c>
      <c r="AR311" s="253" t="n">
        <v>29236</v>
      </c>
      <c r="AS311" s="253" t="n">
        <v>30648</v>
      </c>
      <c r="AT311" s="253" t="n">
        <v>32127</v>
      </c>
      <c r="AU311" s="253" t="n">
        <v>31594</v>
      </c>
      <c r="AV311" s="253" t="n">
        <v>33584</v>
      </c>
      <c r="AW311" s="253" t="n">
        <v>33584</v>
      </c>
      <c r="AX311" s="253" t="n">
        <v>34800</v>
      </c>
      <c r="AY311" s="253" t="n">
        <v>34911</v>
      </c>
      <c r="AZ311" s="253" t="n">
        <v>35410</v>
      </c>
      <c r="BA311" s="253" t="n">
        <v>37669</v>
      </c>
      <c r="BB311" s="253" t="n">
        <v>37669</v>
      </c>
      <c r="BC311" s="253" t="n">
        <v>37163</v>
      </c>
      <c r="BD311" s="253" t="n">
        <v>36231</v>
      </c>
      <c r="BE311" s="253" t="n">
        <v>37612</v>
      </c>
      <c r="BF311" s="253" t="n">
        <v>38724</v>
      </c>
      <c r="BG311" s="253" t="n">
        <v>38724</v>
      </c>
      <c r="BH311" s="253" t="n">
        <v>38936</v>
      </c>
      <c r="BI311" s="253" t="n">
        <v>39004</v>
      </c>
      <c r="BJ311" s="253" t="n">
        <v>39674</v>
      </c>
      <c r="BK311" s="253" t="n">
        <v>42448</v>
      </c>
      <c r="BL311" s="253" t="n">
        <v>42448</v>
      </c>
      <c r="BM311" s="253" t="n">
        <v>42602</v>
      </c>
      <c r="BN311" s="253" t="n">
        <v>42333</v>
      </c>
      <c r="BO311" s="253" t="n">
        <v>47237</v>
      </c>
      <c r="BP311" s="253" t="n">
        <v>48081</v>
      </c>
      <c r="BQ311" s="253" t="n">
        <v>48081</v>
      </c>
      <c r="BR311" s="253" t="n">
        <v>48470</v>
      </c>
      <c r="BS311" s="253" t="n">
        <v>51431</v>
      </c>
      <c r="BT311" s="253" t="n">
        <v>53289</v>
      </c>
      <c r="BU311" s="253" t="n">
        <v>54157</v>
      </c>
      <c r="BV311" s="253" t="n">
        <v>54157</v>
      </c>
      <c r="BW311" s="253" t="n">
        <v>52449</v>
      </c>
      <c r="BX311" s="253" t="n">
        <v>57691</v>
      </c>
      <c r="BY311" s="153" t="n"/>
      <c r="BZ311" s="153" t="n"/>
      <c r="CA311" s="153" t="n"/>
      <c r="CB311" s="153" t="n"/>
      <c r="CC311" s="153" t="n"/>
      <c r="CD311" s="153" t="n"/>
      <c r="CE311" s="153" t="n"/>
      <c r="CF311" s="153" t="n"/>
    </row>
    <row r="312" ht="15" customHeight="1" s="251">
      <c r="B312" s="156" t="inlineStr">
        <is>
          <t xml:space="preserve">  Memo: restricted cash held in prepaid / other assets (in cash-flow cash 2018–Q3-24; derived = CF cash − BS lines)</t>
        </is>
      </c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  <c r="AA312" s="34" t="n"/>
      <c r="AB312" s="34" t="n"/>
      <c r="AC312" s="34" t="n"/>
      <c r="AD312" s="34" t="n"/>
      <c r="AE312" s="34" t="n"/>
      <c r="AF312" s="34" t="n"/>
      <c r="AG312" s="34" t="n"/>
      <c r="AH312" s="34" t="n"/>
      <c r="AI312" s="253" t="n">
        <v>21</v>
      </c>
      <c r="AJ312" s="253" t="n">
        <v>17</v>
      </c>
      <c r="AK312" s="253" t="n">
        <v>23</v>
      </c>
      <c r="AL312" s="253" t="n">
        <v>22</v>
      </c>
      <c r="AM312" s="253" t="n">
        <v>22</v>
      </c>
      <c r="AN312" s="253" t="n">
        <v>22</v>
      </c>
      <c r="AO312" s="253" t="n">
        <v>31</v>
      </c>
      <c r="AP312" s="253" t="n">
        <v>32</v>
      </c>
      <c r="AQ312" s="253" t="n">
        <v>27</v>
      </c>
      <c r="AR312" s="253" t="n">
        <v>27</v>
      </c>
      <c r="AS312" s="253" t="n">
        <v>21</v>
      </c>
      <c r="AT312" s="253" t="n">
        <v>30</v>
      </c>
      <c r="AU312" s="253" t="n">
        <v>25</v>
      </c>
      <c r="AV312" s="253" t="n">
        <v>24</v>
      </c>
      <c r="AW312" s="253" t="n">
        <v>24</v>
      </c>
      <c r="AX312" s="253" t="n">
        <v>24</v>
      </c>
      <c r="AY312" s="253" t="n">
        <v>15</v>
      </c>
      <c r="AZ312" s="253" t="n">
        <v>17</v>
      </c>
      <c r="BA312" s="253" t="n">
        <v>22</v>
      </c>
      <c r="BB312" s="253" t="n">
        <v>22</v>
      </c>
      <c r="BC312" s="253" t="n">
        <v>21</v>
      </c>
      <c r="BD312" s="253" t="n">
        <v>26</v>
      </c>
      <c r="BE312" s="253" t="n">
        <v>26</v>
      </c>
      <c r="BF312" s="253" t="n">
        <v>31</v>
      </c>
      <c r="BG312" s="253" t="n">
        <v>31</v>
      </c>
      <c r="BH312" s="253" t="n">
        <v>30</v>
      </c>
      <c r="BI312" s="253" t="n">
        <v>30</v>
      </c>
      <c r="BJ312" s="253" t="n">
        <v>28</v>
      </c>
      <c r="BK312" s="253" t="n">
        <v>32</v>
      </c>
      <c r="BL312" s="253" t="n">
        <v>32</v>
      </c>
      <c r="BM312" s="253" t="n">
        <v>33</v>
      </c>
      <c r="BN312" s="253" t="n">
        <v>34</v>
      </c>
      <c r="BO312" s="253" t="n">
        <v>36</v>
      </c>
      <c r="BP312" s="253" t="n">
        <v>0</v>
      </c>
      <c r="BQ312" s="253" t="n">
        <v>0</v>
      </c>
      <c r="BR312" s="253" t="n">
        <v>0</v>
      </c>
      <c r="BS312" s="253" t="n">
        <v>0</v>
      </c>
      <c r="BT312" s="253" t="n">
        <v>0</v>
      </c>
      <c r="BU312" s="253" t="n">
        <v>0</v>
      </c>
      <c r="BV312" s="253" t="n">
        <v>0</v>
      </c>
      <c r="BW312" s="253" t="n">
        <v>0</v>
      </c>
      <c r="BX312" s="253" t="n">
        <v>0</v>
      </c>
      <c r="BY312" s="153" t="n"/>
      <c r="BZ312" s="153" t="n"/>
      <c r="CA312" s="274">
        <f>0</f>
        <v>0</v>
      </c>
      <c r="CB312" s="274">
        <f>0</f>
        <v>0</v>
      </c>
      <c r="CC312" s="274">
        <f>0</f>
        <v>0</v>
      </c>
      <c r="CD312" s="274">
        <f>0</f>
        <v>0</v>
      </c>
      <c r="CE312" s="274">
        <f>0</f>
        <v>0</v>
      </c>
      <c r="CF312" s="153" t="inlineStr">
        <is>
          <t>Mastercard's cash-flow cash includes restricted cash that the balance sheet carried inside prepaid / other assets until Q3-24 (separate line from Q4-24).</t>
        </is>
      </c>
    </row>
    <row r="313" ht="15" customHeight="1" s="251">
      <c r="B313" s="57" t="inlineStr">
        <is>
          <t xml:space="preserve">  Check: BS cash (+ restricted cash and security deposits from 2018, + memo) vs cash-flow ending cash (should be 0)</t>
        </is>
      </c>
      <c r="C313" s="211">
        <f>IF(AND(ISNUMBER(C279),ISNUMBER(C252)),IF(ABS(C279+IF(ISNUMBER(C312),C280+C281+C312,0)-C252)&lt;=1.1,0,ROUND(C279+IF(ISNUMBER(C312),C280+C281+C312,0)-C252,0)),"")</f>
        <v>0</v>
      </c>
      <c r="D313" s="211">
        <f>IF(AND(ISNUMBER(D279),ISNUMBER(D252)),IF(ABS(D279+IF(ISNUMBER(D312),D280+D281+D312,0)-D252)&lt;=1.1,0,ROUND(D279+IF(ISNUMBER(D312),D280+D281+D312,0)-D252,0)),"")</f>
        <v>0</v>
      </c>
      <c r="E313" s="211">
        <f>IF(AND(ISNUMBER(E279),ISNUMBER(E252)),IF(ABS(E279+IF(ISNUMBER(E312),E280+E281+E312,0)-E252)&lt;=1.1,0,ROUND(E279+IF(ISNUMBER(E312),E280+E281+E312,0)-E252,0)),"")</f>
        <v>0</v>
      </c>
      <c r="F313" s="211">
        <f>IF(AND(ISNUMBER(F279),ISNUMBER(F252)),IF(ABS(F279+IF(ISNUMBER(F312),F280+F281+F312,0)-F252)&lt;=1.1,0,ROUND(F279+IF(ISNUMBER(F312),F280+F281+F312,0)-F252,0)),"")</f>
        <v>0</v>
      </c>
      <c r="G313" s="211">
        <f>IF(AND(ISNUMBER(G279),ISNUMBER(G252)),IF(ABS(G279+IF(ISNUMBER(G312),G280+G281+G312,0)-G252)&lt;=1.1,0,ROUND(G279+IF(ISNUMBER(G312),G280+G281+G312,0)-G252,0)),"")</f>
        <v>0</v>
      </c>
      <c r="H313" s="211">
        <f>IF(AND(ISNUMBER(H279),ISNUMBER(H252)),IF(ABS(H279+IF(ISNUMBER(H312),H280+H281+H312,0)-H252)&lt;=1.1,0,ROUND(H279+IF(ISNUMBER(H312),H280+H281+H312,0)-H252,0)),"")</f>
        <v>0</v>
      </c>
      <c r="I313" s="211">
        <f>IF(AND(ISNUMBER(I279),ISNUMBER(I252)),IF(ABS(I279+IF(ISNUMBER(I312),I280+I281+I312,0)-I252)&lt;=1.1,0,ROUND(I279+IF(ISNUMBER(I312),I280+I281+I312,0)-I252,0)),"")</f>
        <v>0</v>
      </c>
      <c r="J313" s="211">
        <f>IF(AND(ISNUMBER(J279),ISNUMBER(J252)),IF(ABS(J279+IF(ISNUMBER(J312),J280+J281+J312,0)-J252)&lt;=1.1,0,ROUND(J279+IF(ISNUMBER(J312),J280+J281+J312,0)-J252,0)),"")</f>
        <v>0</v>
      </c>
      <c r="K313" s="211">
        <f>IF(AND(ISNUMBER(K279),ISNUMBER(K252)),IF(ABS(K279+IF(ISNUMBER(K312),K280+K281+K312,0)-K252)&lt;=1.1,0,ROUND(K279+IF(ISNUMBER(K312),K280+K281+K312,0)-K252,0)),"")</f>
        <v>0</v>
      </c>
      <c r="L313" s="211">
        <f>IF(AND(ISNUMBER(L279),ISNUMBER(L252)),IF(ABS(L279+IF(ISNUMBER(L312),L280+L281+L312,0)-L252)&lt;=1.1,0,ROUND(L279+IF(ISNUMBER(L312),L280+L281+L312,0)-L252,0)),"")</f>
        <v>0</v>
      </c>
      <c r="M313" s="211">
        <f>IF(AND(ISNUMBER(M279),ISNUMBER(M252)),IF(ABS(M279+IF(ISNUMBER(M312),M280+M281+M312,0)-M252)&lt;=1.1,0,ROUND(M279+IF(ISNUMBER(M312),M280+M281+M312,0)-M252,0)),"")</f>
        <v>0</v>
      </c>
      <c r="N313" s="211">
        <f>IF(AND(ISNUMBER(N279),ISNUMBER(N252)),IF(ABS(N279+IF(ISNUMBER(N312),N280+N281+N312,0)-N252)&lt;=1.1,0,ROUND(N279+IF(ISNUMBER(N312),N280+N281+N312,0)-N252,0)),"")</f>
        <v>0</v>
      </c>
      <c r="O313" s="211">
        <f>IF(AND(ISNUMBER(O279),ISNUMBER(O252)),IF(ABS(O279+IF(ISNUMBER(O312),O280+O281+O312,0)-O252)&lt;=1.1,0,ROUND(O279+IF(ISNUMBER(O312),O280+O281+O312,0)-O252,0)),"")</f>
        <v>0</v>
      </c>
      <c r="P313" s="211">
        <f>IF(AND(ISNUMBER(P279),ISNUMBER(P252)),IF(ABS(P279+IF(ISNUMBER(P312),P280+P281+P312,0)-P252)&lt;=1.1,0,ROUND(P279+IF(ISNUMBER(P312),P280+P281+P312,0)-P252,0)),"")</f>
        <v>0</v>
      </c>
      <c r="Q313" s="211">
        <f>IF(AND(ISNUMBER(Q279),ISNUMBER(Q252)),IF(ABS(Q279+IF(ISNUMBER(Q312),Q280+Q281+Q312,0)-Q252)&lt;=1.1,0,ROUND(Q279+IF(ISNUMBER(Q312),Q280+Q281+Q312,0)-Q252,0)),"")</f>
        <v>0</v>
      </c>
      <c r="R313" s="211">
        <f>IF(AND(ISNUMBER(R279),ISNUMBER(R252)),IF(ABS(R279+IF(ISNUMBER(R312),R280+R281+R312,0)-R252)&lt;=1.1,0,ROUND(R279+IF(ISNUMBER(R312),R280+R281+R312,0)-R252,0)),"")</f>
        <v>0</v>
      </c>
      <c r="S313" s="211">
        <f>IF(AND(ISNUMBER(S279),ISNUMBER(S252)),IF(ABS(S279+IF(ISNUMBER(S312),S280+S281+S312,0)-S252)&lt;=1.1,0,ROUND(S279+IF(ISNUMBER(S312),S280+S281+S312,0)-S252,0)),"")</f>
        <v>0</v>
      </c>
      <c r="T313" s="211">
        <f>IF(AND(ISNUMBER(T279),ISNUMBER(T252)),IF(ABS(T279+IF(ISNUMBER(T312),T280+T281+T312,0)-T252)&lt;=1.1,0,ROUND(T279+IF(ISNUMBER(T312),T280+T281+T312,0)-T252,0)),"")</f>
        <v>0</v>
      </c>
      <c r="U313" s="211">
        <f>IF(AND(ISNUMBER(U279),ISNUMBER(U252)),IF(ABS(U279+IF(ISNUMBER(U312),U280+U281+U312,0)-U252)&lt;=1.1,0,ROUND(U279+IF(ISNUMBER(U312),U280+U281+U312,0)-U252,0)),"")</f>
        <v>0</v>
      </c>
      <c r="V313" s="211">
        <f>IF(AND(ISNUMBER(V279),ISNUMBER(V252)),IF(ABS(V279+IF(ISNUMBER(V312),V280+V281+V312,0)-V252)&lt;=1.1,0,ROUND(V279+IF(ISNUMBER(V312),V280+V281+V312,0)-V252,0)),"")</f>
        <v>0</v>
      </c>
      <c r="W313" s="211">
        <f>IF(AND(ISNUMBER(W279),ISNUMBER(W252)),IF(ABS(W279+IF(ISNUMBER(W312),W280+W281+W312,0)-W252)&lt;=1.1,0,ROUND(W279+IF(ISNUMBER(W312),W280+W281+W312,0)-W252,0)),"")</f>
        <v>0</v>
      </c>
      <c r="X313" s="211">
        <f>IF(AND(ISNUMBER(X279),ISNUMBER(X252)),IF(ABS(X279+IF(ISNUMBER(X312),X280+X281+X312,0)-X252)&lt;=1.1,0,ROUND(X279+IF(ISNUMBER(X312),X280+X281+X312,0)-X252,0)),"")</f>
        <v>0</v>
      </c>
      <c r="Y313" s="211">
        <f>IF(AND(ISNUMBER(Y279),ISNUMBER(Y252)),IF(ABS(Y279+IF(ISNUMBER(Y312),Y280+Y281+Y312,0)-Y252)&lt;=1.1,0,ROUND(Y279+IF(ISNUMBER(Y312),Y280+Y281+Y312,0)-Y252,0)),"")</f>
        <v>0</v>
      </c>
      <c r="Z313" s="211">
        <f>IF(AND(ISNUMBER(Z279),ISNUMBER(Z252)),IF(ABS(Z279+IF(ISNUMBER(Z312),Z280+Z281+Z312,0)-Z252)&lt;=1.1,0,ROUND(Z279+IF(ISNUMBER(Z312),Z280+Z281+Z312,0)-Z252,0)),"")</f>
        <v>0</v>
      </c>
      <c r="AA313" s="211">
        <f>IF(AND(ISNUMBER(AA279),ISNUMBER(AA252)),IF(ABS(AA279+IF(ISNUMBER(AA312),AA280+AA281+AA312,0)-AA252)&lt;=1.1,0,ROUND(AA279+IF(ISNUMBER(AA312),AA280+AA281+AA312,0)-AA252,0)),"")</f>
        <v>0</v>
      </c>
      <c r="AB313" s="211">
        <f>IF(AND(ISNUMBER(AB279),ISNUMBER(AB252)),IF(ABS(AB279+IF(ISNUMBER(AB312),AB280+AB281+AB312,0)-AB252)&lt;=1.1,0,ROUND(AB279+IF(ISNUMBER(AB312),AB280+AB281+AB312,0)-AB252,0)),"")</f>
        <v>0</v>
      </c>
      <c r="AC313" s="211">
        <f>IF(AND(ISNUMBER(AC279),ISNUMBER(AC252)),IF(ABS(AC279+IF(ISNUMBER(AC312),AC280+AC281+AC312,0)-AC252)&lt;=1.1,0,ROUND(AC279+IF(ISNUMBER(AC312),AC280+AC281+AC312,0)-AC252,0)),"")</f>
        <v>0</v>
      </c>
      <c r="AD313" s="211">
        <f>IF(AND(ISNUMBER(AD279),ISNUMBER(AD252)),IF(ABS(AD279+IF(ISNUMBER(AD312),AD280+AD281+AD312,0)-AD252)&lt;=1.1,0,ROUND(AD279+IF(ISNUMBER(AD312),AD280+AD281+AD312,0)-AD252,0)),"")</f>
        <v>0</v>
      </c>
      <c r="AE313" s="211">
        <f>IF(AND(ISNUMBER(AE279),ISNUMBER(AE252)),IF(ABS(AE279+IF(ISNUMBER(AE312),AE280+AE281+AE312,0)-AE252)&lt;=1.1,0,ROUND(AE279+IF(ISNUMBER(AE312),AE280+AE281+AE312,0)-AE252,0)),"")</f>
        <v>0</v>
      </c>
      <c r="AF313" s="211">
        <f>IF(AND(ISNUMBER(AF279),ISNUMBER(AF252)),IF(ABS(AF279+IF(ISNUMBER(AF312),AF280+AF281+AF312,0)-AF252)&lt;=1.1,0,ROUND(AF279+IF(ISNUMBER(AF312),AF280+AF281+AF312,0)-AF252,0)),"")</f>
        <v>0</v>
      </c>
      <c r="AG313" s="211">
        <f>IF(AND(ISNUMBER(AG279),ISNUMBER(AG252)),IF(ABS(AG279+IF(ISNUMBER(AG312),AG280+AG281+AG312,0)-AG252)&lt;=1.1,0,ROUND(AG279+IF(ISNUMBER(AG312),AG280+AG281+AG312,0)-AG252,0)),"")</f>
        <v>0</v>
      </c>
      <c r="AH313" s="211">
        <f>IF(AND(ISNUMBER(AH279),ISNUMBER(AH252)),IF(ABS(AH279+IF(ISNUMBER(AH312),AH280+AH281+AH312,0)-AH252)&lt;=1.1,0,ROUND(AH279+IF(ISNUMBER(AH312),AH280+AH281+AH312,0)-AH252,0)),"")</f>
        <v>0</v>
      </c>
      <c r="AI313" s="211">
        <f>IF(AND(ISNUMBER(AI279),ISNUMBER(AI252)),IF(ABS(AI279+IF(ISNUMBER(AI312),AI280+AI281+AI312,0)-AI252)&lt;=1.1,0,ROUND(AI279+IF(ISNUMBER(AI312),AI280+AI281+AI312,0)-AI252,0)),"")</f>
        <v>0</v>
      </c>
      <c r="AJ313" s="211">
        <f>IF(AND(ISNUMBER(AJ279),ISNUMBER(AJ252)),IF(ABS(AJ279+IF(ISNUMBER(AJ312),AJ280+AJ281+AJ312,0)-AJ252)&lt;=1.1,0,ROUND(AJ279+IF(ISNUMBER(AJ312),AJ280+AJ281+AJ312,0)-AJ252,0)),"")</f>
        <v>0</v>
      </c>
      <c r="AK313" s="211">
        <f>IF(AND(ISNUMBER(AK279),ISNUMBER(AK252)),IF(ABS(AK279+IF(ISNUMBER(AK312),AK280+AK281+AK312,0)-AK252)&lt;=1.1,0,ROUND(AK279+IF(ISNUMBER(AK312),AK280+AK281+AK312,0)-AK252,0)),"")</f>
        <v>0</v>
      </c>
      <c r="AL313" s="211">
        <f>IF(AND(ISNUMBER(AL279),ISNUMBER(AL252)),IF(ABS(AL279+IF(ISNUMBER(AL312),AL280+AL281+AL312,0)-AL252)&lt;=1.1,0,ROUND(AL279+IF(ISNUMBER(AL312),AL280+AL281+AL312,0)-AL252,0)),"")</f>
        <v>0</v>
      </c>
      <c r="AM313" s="211">
        <f>IF(AND(ISNUMBER(AM279),ISNUMBER(AM252)),IF(ABS(AM279+IF(ISNUMBER(AM312),AM280+AM281+AM312,0)-AM252)&lt;=1.1,0,ROUND(AM279+IF(ISNUMBER(AM312),AM280+AM281+AM312,0)-AM252,0)),"")</f>
        <v>0</v>
      </c>
      <c r="AN313" s="211">
        <f>IF(AND(ISNUMBER(AN279),ISNUMBER(AN252)),IF(ABS(AN279+IF(ISNUMBER(AN312),AN280+AN281+AN312,0)-AN252)&lt;=1.1,0,ROUND(AN279+IF(ISNUMBER(AN312),AN280+AN281+AN312,0)-AN252,0)),"")</f>
        <v>0</v>
      </c>
      <c r="AO313" s="211">
        <f>IF(AND(ISNUMBER(AO279),ISNUMBER(AO252)),IF(ABS(AO279+IF(ISNUMBER(AO312),AO280+AO281+AO312,0)-AO252)&lt;=1.1,0,ROUND(AO279+IF(ISNUMBER(AO312),AO280+AO281+AO312,0)-AO252,0)),"")</f>
        <v>0</v>
      </c>
      <c r="AP313" s="211">
        <f>IF(AND(ISNUMBER(AP279),ISNUMBER(AP252)),IF(ABS(AP279+IF(ISNUMBER(AP312),AP280+AP281+AP312,0)-AP252)&lt;=1.1,0,ROUND(AP279+IF(ISNUMBER(AP312),AP280+AP281+AP312,0)-AP252,0)),"")</f>
        <v>0</v>
      </c>
      <c r="AQ313" s="211">
        <f>IF(AND(ISNUMBER(AQ279),ISNUMBER(AQ252)),IF(ABS(AQ279+IF(ISNUMBER(AQ312),AQ280+AQ281+AQ312,0)-AQ252)&lt;=1.1,0,ROUND(AQ279+IF(ISNUMBER(AQ312),AQ280+AQ281+AQ312,0)-AQ252,0)),"")</f>
        <v>0</v>
      </c>
      <c r="AR313" s="211">
        <f>IF(AND(ISNUMBER(AR279),ISNUMBER(AR252)),IF(ABS(AR279+IF(ISNUMBER(AR312),AR280+AR281+AR312,0)-AR252)&lt;=1.1,0,ROUND(AR279+IF(ISNUMBER(AR312),AR280+AR281+AR312,0)-AR252,0)),"")</f>
        <v>0</v>
      </c>
      <c r="AS313" s="211">
        <f>IF(AND(ISNUMBER(AS279),ISNUMBER(AS252)),IF(ABS(AS279+IF(ISNUMBER(AS312),AS280+AS281+AS312,0)-AS252)&lt;=1.1,0,ROUND(AS279+IF(ISNUMBER(AS312),AS280+AS281+AS312,0)-AS252,0)),"")</f>
        <v>0</v>
      </c>
      <c r="AT313" s="211">
        <f>IF(AND(ISNUMBER(AT279),ISNUMBER(AT252)),IF(ABS(AT279+IF(ISNUMBER(AT312),AT280+AT281+AT312,0)-AT252)&lt;=1.1,0,ROUND(AT279+IF(ISNUMBER(AT312),AT280+AT281+AT312,0)-AT252,0)),"")</f>
        <v>0</v>
      </c>
      <c r="AU313" s="211">
        <f>IF(AND(ISNUMBER(AU279),ISNUMBER(AU252)),IF(ABS(AU279+IF(ISNUMBER(AU312),AU280+AU281+AU312,0)-AU252)&lt;=1.1,0,ROUND(AU279+IF(ISNUMBER(AU312),AU280+AU281+AU312,0)-AU252,0)),"")</f>
        <v>0</v>
      </c>
      <c r="AV313" s="211">
        <f>IF(AND(ISNUMBER(AV279),ISNUMBER(AV252)),IF(ABS(AV279+IF(ISNUMBER(AV312),AV280+AV281+AV312,0)-AV252)&lt;=1.1,0,ROUND(AV279+IF(ISNUMBER(AV312),AV280+AV281+AV312,0)-AV252,0)),"")</f>
        <v>0</v>
      </c>
      <c r="AW313" s="211">
        <f>IF(AND(ISNUMBER(AW279),ISNUMBER(AW252)),IF(ABS(AW279+IF(ISNUMBER(AW312),AW280+AW281+AW312,0)-AW252)&lt;=1.1,0,ROUND(AW279+IF(ISNUMBER(AW312),AW280+AW281+AW312,0)-AW252,0)),"")</f>
        <v>0</v>
      </c>
      <c r="AX313" s="211">
        <f>IF(AND(ISNUMBER(AX279),ISNUMBER(AX252)),IF(ABS(AX279+IF(ISNUMBER(AX312),AX280+AX281+AX312,0)-AX252)&lt;=1.1,0,ROUND(AX279+IF(ISNUMBER(AX312),AX280+AX281+AX312,0)-AX252,0)),"")</f>
        <v>0</v>
      </c>
      <c r="AY313" s="211">
        <f>IF(AND(ISNUMBER(AY279),ISNUMBER(AY252)),IF(ABS(AY279+IF(ISNUMBER(AY312),AY280+AY281+AY312,0)-AY252)&lt;=1.1,0,ROUND(AY279+IF(ISNUMBER(AY312),AY280+AY281+AY312,0)-AY252,0)),"")</f>
        <v>0</v>
      </c>
      <c r="AZ313" s="211">
        <f>IF(AND(ISNUMBER(AZ279),ISNUMBER(AZ252)),IF(ABS(AZ279+IF(ISNUMBER(AZ312),AZ280+AZ281+AZ312,0)-AZ252)&lt;=1.1,0,ROUND(AZ279+IF(ISNUMBER(AZ312),AZ280+AZ281+AZ312,0)-AZ252,0)),"")</f>
        <v>0</v>
      </c>
      <c r="BA313" s="211">
        <f>IF(AND(ISNUMBER(BA279),ISNUMBER(BA252)),IF(ABS(BA279+IF(ISNUMBER(BA312),BA280+BA281+BA312,0)-BA252)&lt;=1.1,0,ROUND(BA279+IF(ISNUMBER(BA312),BA280+BA281+BA312,0)-BA252,0)),"")</f>
        <v>0</v>
      </c>
      <c r="BB313" s="211">
        <f>IF(AND(ISNUMBER(BB279),ISNUMBER(BB252)),IF(ABS(BB279+IF(ISNUMBER(BB312),BB280+BB281+BB312,0)-BB252)&lt;=1.1,0,ROUND(BB279+IF(ISNUMBER(BB312),BB280+BB281+BB312,0)-BB252,0)),"")</f>
        <v>0</v>
      </c>
      <c r="BC313" s="211">
        <f>IF(AND(ISNUMBER(BC279),ISNUMBER(BC252)),IF(ABS(BC279+IF(ISNUMBER(BC312),BC280+BC281+BC312,0)-BC252)&lt;=1.1,0,ROUND(BC279+IF(ISNUMBER(BC312),BC280+BC281+BC312,0)-BC252,0)),"")</f>
        <v>0</v>
      </c>
      <c r="BD313" s="211">
        <f>IF(AND(ISNUMBER(BD279),ISNUMBER(BD252)),IF(ABS(BD279+IF(ISNUMBER(BD312),BD280+BD281+BD312,0)-BD252)&lt;=1.1,0,ROUND(BD279+IF(ISNUMBER(BD312),BD280+BD281+BD312,0)-BD252,0)),"")</f>
        <v>0</v>
      </c>
      <c r="BE313" s="211">
        <f>IF(AND(ISNUMBER(BE279),ISNUMBER(BE252)),IF(ABS(BE279+IF(ISNUMBER(BE312),BE280+BE281+BE312,0)-BE252)&lt;=1.1,0,ROUND(BE279+IF(ISNUMBER(BE312),BE280+BE281+BE312,0)-BE252,0)),"")</f>
        <v>0</v>
      </c>
      <c r="BF313" s="211">
        <f>IF(AND(ISNUMBER(BF279),ISNUMBER(BF252)),IF(ABS(BF279+IF(ISNUMBER(BF312),BF280+BF281+BF312,0)-BF252)&lt;=1.1,0,ROUND(BF279+IF(ISNUMBER(BF312),BF280+BF281+BF312,0)-BF252,0)),"")</f>
        <v>0</v>
      </c>
      <c r="BG313" s="211">
        <f>IF(AND(ISNUMBER(BG279),ISNUMBER(BG252)),IF(ABS(BG279+IF(ISNUMBER(BG312),BG280+BG281+BG312,0)-BG252)&lt;=1.1,0,ROUND(BG279+IF(ISNUMBER(BG312),BG280+BG281+BG312,0)-BG252,0)),"")</f>
        <v>0</v>
      </c>
      <c r="BH313" s="211">
        <f>IF(AND(ISNUMBER(BH279),ISNUMBER(BH252)),IF(ABS(BH279+IF(ISNUMBER(BH312),BH280+BH281+BH312,0)-BH252)&lt;=1.1,0,ROUND(BH279+IF(ISNUMBER(BH312),BH280+BH281+BH312,0)-BH252,0)),"")</f>
        <v>0</v>
      </c>
      <c r="BI313" s="211">
        <f>IF(AND(ISNUMBER(BI279),ISNUMBER(BI252)),IF(ABS(BI279+IF(ISNUMBER(BI312),BI280+BI281+BI312,0)-BI252)&lt;=1.1,0,ROUND(BI279+IF(ISNUMBER(BI312),BI280+BI281+BI312,0)-BI252,0)),"")</f>
        <v>0</v>
      </c>
      <c r="BJ313" s="211">
        <f>IF(AND(ISNUMBER(BJ279),ISNUMBER(BJ252)),IF(ABS(BJ279+IF(ISNUMBER(BJ312),BJ280+BJ281+BJ312,0)-BJ252)&lt;=1.1,0,ROUND(BJ279+IF(ISNUMBER(BJ312),BJ280+BJ281+BJ312,0)-BJ252,0)),"")</f>
        <v>0</v>
      </c>
      <c r="BK313" s="211">
        <f>IF(AND(ISNUMBER(BK279),ISNUMBER(BK252)),IF(ABS(BK279+IF(ISNUMBER(BK312),BK280+BK281+BK312,0)-BK252)&lt;=1.1,0,ROUND(BK279+IF(ISNUMBER(BK312),BK280+BK281+BK312,0)-BK252,0)),"")</f>
        <v>0</v>
      </c>
      <c r="BL313" s="211">
        <f>IF(AND(ISNUMBER(BL279),ISNUMBER(BL252)),IF(ABS(BL279+IF(ISNUMBER(BL312),BL280+BL281+BL312,0)-BL252)&lt;=1.1,0,ROUND(BL279+IF(ISNUMBER(BL312),BL280+BL281+BL312,0)-BL252,0)),"")</f>
        <v>0</v>
      </c>
      <c r="BM313" s="211">
        <f>IF(AND(ISNUMBER(BM279),ISNUMBER(BM252)),IF(ABS(BM279+IF(ISNUMBER(BM312),BM280+BM281+BM312,0)-BM252)&lt;=1.1,0,ROUND(BM279+IF(ISNUMBER(BM312),BM280+BM281+BM312,0)-BM252,0)),"")</f>
        <v>0</v>
      </c>
      <c r="BN313" s="211">
        <f>IF(AND(ISNUMBER(BN279),ISNUMBER(BN252)),IF(ABS(BN279+IF(ISNUMBER(BN312),BN280+BN281+BN312,0)-BN252)&lt;=1.1,0,ROUND(BN279+IF(ISNUMBER(BN312),BN280+BN281+BN312,0)-BN252,0)),"")</f>
        <v>0</v>
      </c>
      <c r="BO313" s="211">
        <f>IF(AND(ISNUMBER(BO279),ISNUMBER(BO252)),IF(ABS(BO279+IF(ISNUMBER(BO312),BO280+BO281+BO312,0)-BO252)&lt;=1.1,0,ROUND(BO279+IF(ISNUMBER(BO312),BO280+BO281+BO312,0)-BO252,0)),"")</f>
        <v>0</v>
      </c>
      <c r="BP313" s="211">
        <f>IF(AND(ISNUMBER(BP279),ISNUMBER(BP252)),IF(ABS(BP279+IF(ISNUMBER(BP312),BP280+BP281+BP312,0)-BP252)&lt;=1.1,0,ROUND(BP279+IF(ISNUMBER(BP312),BP280+BP281+BP312,0)-BP252,0)),"")</f>
        <v>0</v>
      </c>
      <c r="BQ313" s="211">
        <f>IF(AND(ISNUMBER(BQ279),ISNUMBER(BQ252)),IF(ABS(BQ279+IF(ISNUMBER(BQ312),BQ280+BQ281+BQ312,0)-BQ252)&lt;=1.1,0,ROUND(BQ279+IF(ISNUMBER(BQ312),BQ280+BQ281+BQ312,0)-BQ252,0)),"")</f>
        <v>0</v>
      </c>
      <c r="BR313" s="211">
        <f>IF(AND(ISNUMBER(BR279),ISNUMBER(BR252)),IF(ABS(BR279+IF(ISNUMBER(BR312),BR280+BR281+BR312,0)-BR252)&lt;=1.1,0,ROUND(BR279+IF(ISNUMBER(BR312),BR280+BR281+BR312,0)-BR252,0)),"")</f>
        <v>0</v>
      </c>
      <c r="BS313" s="211">
        <f>IF(AND(ISNUMBER(BS279),ISNUMBER(BS252)),IF(ABS(BS279+IF(ISNUMBER(BS312),BS280+BS281+BS312,0)-BS252)&lt;=1.1,0,ROUND(BS279+IF(ISNUMBER(BS312),BS280+BS281+BS312,0)-BS252,0)),"")</f>
        <v>0</v>
      </c>
      <c r="BT313" s="211">
        <f>IF(AND(ISNUMBER(BT279),ISNUMBER(BT252)),IF(ABS(BT279+IF(ISNUMBER(BT312),BT280+BT281+BT312,0)-BT252)&lt;=1.1,0,ROUND(BT279+IF(ISNUMBER(BT312),BT280+BT281+BT312,0)-BT252,0)),"")</f>
        <v>0</v>
      </c>
      <c r="BU313" s="211">
        <f>IF(AND(ISNUMBER(BU279),ISNUMBER(BU252)),IF(ABS(BU279+IF(ISNUMBER(BU312),BU280+BU281+BU312,0)-BU252)&lt;=1.1,0,ROUND(BU279+IF(ISNUMBER(BU312),BU280+BU281+BU312,0)-BU252,0)),"")</f>
        <v>0</v>
      </c>
      <c r="BV313" s="211">
        <f>IF(AND(ISNUMBER(BV279),ISNUMBER(BV252)),IF(ABS(BV279+IF(ISNUMBER(BV312),BV280+BV281+BV312,0)-BV252)&lt;=1.1,0,ROUND(BV279+IF(ISNUMBER(BV312),BV280+BV281+BV312,0)-BV252,0)),"")</f>
        <v>0</v>
      </c>
      <c r="BW313" s="211">
        <f>IF(AND(ISNUMBER(BW279),ISNUMBER(BW252)),IF(ABS(BW279+IF(ISNUMBER(BW312),BW280+BW281+BW312,0)-BW252)&lt;=1.1,0,ROUND(BW279+IF(ISNUMBER(BW312),BW280+BW281+BW312,0)-BW252,0)),"")</f>
        <v>0</v>
      </c>
      <c r="BX313" s="211">
        <f>IF(AND(ISNUMBER(BX279),ISNUMBER(BX252)),IF(ABS(BX279+IF(ISNUMBER(BX312),BX280+BX281+BX312,0)-BX252)&lt;=1.1,0,ROUND(BX279+IF(ISNUMBER(BX312),BX280+BX281+BX312,0)-BX252,0)),"")</f>
        <v>0</v>
      </c>
      <c r="BY313" s="153" t="n"/>
      <c r="BZ313" s="153" t="n"/>
      <c r="CA313" s="274">
        <f>IF(AND(ISNUMBER(CA279),ISNUMBER(CA252)),IF(ABS(CA279+IF(ISNUMBER(CA312),CA280+CA281+CA312,0)-CA252)&lt;=1.1,0,ROUND(CA279+IF(ISNUMBER(CA312),CA280+CA281+CA312,0)-CA252,0)),"")</f>
        <v>0</v>
      </c>
      <c r="CB313" s="274">
        <f>IF(AND(ISNUMBER(CB279),ISNUMBER(CB252)),IF(ABS(CB279+IF(ISNUMBER(CB312),CB280+CB281+CB312,0)-CB252)&lt;=1.1,0,ROUND(CB279+IF(ISNUMBER(CB312),CB280+CB281+CB312,0)-CB252,0)),"")</f>
        <v>0</v>
      </c>
      <c r="CC313" s="274">
        <f>IF(AND(ISNUMBER(CC279),ISNUMBER(CC252)),IF(ABS(CC279+IF(ISNUMBER(CC312),CC280+CC281+CC312,0)-CC252)&lt;=1.1,0,ROUND(CC279+IF(ISNUMBER(CC312),CC280+CC281+CC312,0)-CC252,0)),"")</f>
        <v>0</v>
      </c>
      <c r="CD313" s="274">
        <f>IF(AND(ISNUMBER(CD279),ISNUMBER(CD252)),IF(ABS(CD279+IF(ISNUMBER(CD312),CD280+CD281+CD312,0)-CD252)&lt;=1.1,0,ROUND(CD279+IF(ISNUMBER(CD312),CD280+CD281+CD312,0)-CD252,0)),"")</f>
        <v>0</v>
      </c>
      <c r="CE313" s="274">
        <f>IF(AND(ISNUMBER(CE279),ISNUMBER(CE252)),IF(ABS(CE279+IF(ISNUMBER(CE312),CE280+CE281+CE312,0)-CE252)&lt;=1.1,0,ROUND(CE279+IF(ISNUMBER(CE312),CE280+CE281+CE312,0)-CE252,0)),"")</f>
        <v>0</v>
      </c>
      <c r="CF313" s="153" t="n"/>
    </row>
    <row r="314" ht="15" customHeight="1" s="251">
      <c r="B314" s="156" t="inlineStr">
        <is>
          <t xml:space="preserve">  Memo: Class A + Class B shares outstanding at period end (m; equity captions; to 2013 not parsed)</t>
        </is>
      </c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278" t="n">
        <v>1152.561805</v>
      </c>
      <c r="S314" s="278" t="n">
        <v>1152.561805</v>
      </c>
      <c r="T314" s="278" t="n">
        <v>1142.956051</v>
      </c>
      <c r="U314" s="278" t="n">
        <v>1134.018504</v>
      </c>
      <c r="V314" s="278" t="n">
        <v>1124.313435</v>
      </c>
      <c r="W314" s="278" t="n">
        <v>1116</v>
      </c>
      <c r="X314" s="278" t="n">
        <v>1116</v>
      </c>
      <c r="Y314" s="278" t="n">
        <v>1102</v>
      </c>
      <c r="Z314" s="278" t="n">
        <v>1097</v>
      </c>
      <c r="AA314" s="278" t="n">
        <v>1092</v>
      </c>
      <c r="AB314" s="278" t="n">
        <v>1081</v>
      </c>
      <c r="AC314" s="278" t="n">
        <v>1081</v>
      </c>
      <c r="AD314" s="278" t="n">
        <v>1074</v>
      </c>
      <c r="AE314" s="278" t="n">
        <v>1067</v>
      </c>
      <c r="AF314" s="278" t="n">
        <v>1060</v>
      </c>
      <c r="AG314" s="278" t="n">
        <v>1054</v>
      </c>
      <c r="AH314" s="278" t="n">
        <v>1054</v>
      </c>
      <c r="AI314" s="278" t="n">
        <v>1048</v>
      </c>
      <c r="AJ314" s="278" t="n">
        <v>1039</v>
      </c>
      <c r="AK314" s="278" t="n">
        <v>1035</v>
      </c>
      <c r="AL314" s="278" t="n">
        <v>1031</v>
      </c>
      <c r="AM314" s="278" t="n">
        <v>1031</v>
      </c>
      <c r="AN314" s="278" t="n">
        <v>1024</v>
      </c>
      <c r="AO314" s="278" t="n">
        <v>1016</v>
      </c>
      <c r="AP314" s="278" t="n">
        <v>1010</v>
      </c>
      <c r="AQ314" s="278" t="n">
        <v>1007</v>
      </c>
      <c r="AR314" s="278" t="n">
        <v>1007</v>
      </c>
      <c r="AS314" s="278" t="n">
        <v>1004</v>
      </c>
      <c r="AT314" s="278" t="n">
        <v>1004</v>
      </c>
      <c r="AU314" s="278" t="n">
        <v>998</v>
      </c>
      <c r="AV314" s="278" t="n">
        <v>995</v>
      </c>
      <c r="AW314" s="278" t="n">
        <v>995</v>
      </c>
      <c r="AX314" s="278" t="n">
        <v>992</v>
      </c>
      <c r="AY314" s="278" t="n">
        <v>988</v>
      </c>
      <c r="AZ314" s="278" t="n">
        <v>984</v>
      </c>
      <c r="BA314" s="278" t="n">
        <v>980</v>
      </c>
      <c r="BB314" s="278" t="n">
        <v>980</v>
      </c>
      <c r="BC314" s="278" t="n">
        <v>975</v>
      </c>
      <c r="BD314" s="278" t="n">
        <v>968</v>
      </c>
      <c r="BE314" s="278" t="n">
        <v>963</v>
      </c>
      <c r="BF314" s="278" t="n">
        <v>956</v>
      </c>
      <c r="BG314" s="278" t="n">
        <v>956</v>
      </c>
      <c r="BH314" s="278" t="n">
        <v>948</v>
      </c>
      <c r="BI314" s="278" t="n">
        <v>943</v>
      </c>
      <c r="BJ314" s="278" t="n">
        <v>939</v>
      </c>
      <c r="BK314" s="278" t="n">
        <v>934</v>
      </c>
      <c r="BL314" s="278" t="n">
        <v>934</v>
      </c>
      <c r="BM314" s="278" t="n">
        <v>931</v>
      </c>
      <c r="BN314" s="278" t="n">
        <v>926</v>
      </c>
      <c r="BO314" s="278" t="n">
        <v>920</v>
      </c>
      <c r="BP314" s="278" t="n">
        <v>914</v>
      </c>
      <c r="BQ314" s="278" t="n">
        <v>914</v>
      </c>
      <c r="BR314" s="278" t="n">
        <v>910</v>
      </c>
      <c r="BS314" s="278" t="n">
        <v>906</v>
      </c>
      <c r="BT314" s="278" t="n">
        <v>900</v>
      </c>
      <c r="BU314" s="278" t="n">
        <v>894</v>
      </c>
      <c r="BV314" s="278" t="n">
        <v>894</v>
      </c>
      <c r="BW314" s="278" t="n">
        <v>887</v>
      </c>
      <c r="BX314" s="278" t="n">
        <v>877.2</v>
      </c>
      <c r="BY314" s="153" t="n"/>
      <c r="BZ314" s="153" t="n"/>
      <c r="CA314" s="289">
        <f>CA273</f>
        <v>865.935294117647</v>
      </c>
      <c r="CB314" s="289">
        <f>CB273</f>
        <v>844.736087568197</v>
      </c>
      <c r="CC314" s="289">
        <f>CC273</f>
        <v>820.759950500095</v>
      </c>
      <c r="CD314" s="289">
        <f>CD273</f>
        <v>795.832267943497</v>
      </c>
      <c r="CE314" s="289">
        <f>CE273</f>
        <v>770.177630017595</v>
      </c>
      <c r="CF314" s="153" t="n"/>
    </row>
    <row r="315" ht="15" customHeight="1" s="251">
      <c r="CN315" s="11" t="n"/>
      <c r="CO315" s="12" t="n"/>
      <c r="CP315" s="12" t="n"/>
      <c r="CQ315" s="12" t="n"/>
      <c r="CR315" s="13" t="n"/>
    </row>
    <row r="316" ht="15" customHeight="1" s="251">
      <c r="B316" s="10" t="inlineStr">
        <is>
          <t>WORKING CAPITAL &amp; BALANCE-SHEET DRIVERS</t>
        </is>
      </c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inlineStr">
        <is>
          <t>WORKING CAPITAL — forecast drivers (blue = input, at FY2025 year-end levels)</t>
        </is>
      </c>
    </row>
    <row r="317" ht="15" customHeight="1" s="251">
      <c r="B317" s="25" t="inlineStr">
        <is>
          <t xml:space="preserve">  Net revenue — annualised (quarters × 4)</t>
        </is>
      </c>
      <c r="C317" s="211">
        <f>IF(ISNUMBER(C123),C123*1,"")</f>
        <v>3326.074</v>
      </c>
      <c r="D317" s="211">
        <f>IF(ISNUMBER(D123),D123*1,"")</f>
        <v>4067.599</v>
      </c>
      <c r="E317" s="211">
        <f>IF(ISNUMBER(E123),E123*1,"")</f>
        <v>4991.6</v>
      </c>
      <c r="F317" s="211">
        <f>IF(ISNUMBER(F123),F123*1,"")</f>
        <v>5098.684</v>
      </c>
      <c r="G317" s="211">
        <f>IF(ISNUMBER(G123),G123*1,"")</f>
        <v>5539</v>
      </c>
      <c r="H317" s="211">
        <f>IF(ISNUMBER(H123),H123*1,"")</f>
        <v>6714</v>
      </c>
      <c r="I317" s="211">
        <f>IF(ISNUMBER(I123),I123*1,"")</f>
        <v>7391</v>
      </c>
      <c r="J317" s="211">
        <f>IF(ISNUMBER(J123),J123*4,"")</f>
        <v>7624</v>
      </c>
      <c r="K317" s="211">
        <f>IF(ISNUMBER(K123),K123*4,"")</f>
        <v>8384</v>
      </c>
      <c r="L317" s="211">
        <f>IF(ISNUMBER(L123),L123*4,"")</f>
        <v>8872</v>
      </c>
      <c r="M317" s="211">
        <f>IF(ISNUMBER(M123),M123*4,"")</f>
        <v>8504</v>
      </c>
      <c r="N317" s="211">
        <f>IF(ISNUMBER(N123),N123*1,"")</f>
        <v>8346</v>
      </c>
      <c r="O317" s="211">
        <f>IF(ISNUMBER(O123),O123*4,"")</f>
        <v>8708</v>
      </c>
      <c r="P317" s="211">
        <f>IF(ISNUMBER(P123),P123*4,"")</f>
        <v>9508</v>
      </c>
      <c r="Q317" s="211">
        <f>IF(ISNUMBER(Q123),Q123*4,"")</f>
        <v>10012</v>
      </c>
      <c r="R317" s="211">
        <f>IF(ISNUMBER(R123),R123*4,"")</f>
        <v>9664</v>
      </c>
      <c r="S317" s="211">
        <f>IF(ISNUMBER(S123),S123*1,"")</f>
        <v>9473</v>
      </c>
      <c r="T317" s="211">
        <f>IF(ISNUMBER(T123),T123*4,"")</f>
        <v>8920</v>
      </c>
      <c r="U317" s="211">
        <f>IF(ISNUMBER(U123),U123*4,"")</f>
        <v>9560</v>
      </c>
      <c r="V317" s="211">
        <f>IF(ISNUMBER(V123),V123*4,"")</f>
        <v>10120</v>
      </c>
      <c r="W317" s="211">
        <f>IF(ISNUMBER(W123),W123*4,"")</f>
        <v>10068</v>
      </c>
      <c r="X317" s="211">
        <f>IF(ISNUMBER(X123),X123*1,"")</f>
        <v>9667</v>
      </c>
      <c r="Y317" s="211">
        <f>IF(ISNUMBER(Y123),Y123*4,"")</f>
        <v>9784</v>
      </c>
      <c r="Z317" s="211">
        <f>IF(ISNUMBER(Z123),Z123*4,"")</f>
        <v>10776</v>
      </c>
      <c r="AA317" s="211">
        <f>IF(ISNUMBER(AA123),AA123*4,"")</f>
        <v>11520</v>
      </c>
      <c r="AB317" s="211">
        <f>IF(ISNUMBER(AB123),AB123*4,"")</f>
        <v>11024</v>
      </c>
      <c r="AC317" s="211">
        <f>IF(ISNUMBER(AC123),AC123*1,"")</f>
        <v>10776</v>
      </c>
      <c r="AD317" s="211">
        <f>IF(ISNUMBER(AD123),AD123*4,"")</f>
        <v>10936</v>
      </c>
      <c r="AE317" s="211">
        <f>IF(ISNUMBER(AE123),AE123*4,"")</f>
        <v>12212</v>
      </c>
      <c r="AF317" s="211">
        <f>IF(ISNUMBER(AF123),AF123*4,"")</f>
        <v>13592</v>
      </c>
      <c r="AG317" s="211">
        <f>IF(ISNUMBER(AG123),AG123*4,"")</f>
        <v>13248</v>
      </c>
      <c r="AH317" s="211">
        <f>IF(ISNUMBER(AH123),AH123*1,"")</f>
        <v>12497</v>
      </c>
      <c r="AI317" s="211">
        <f>IF(ISNUMBER(AI123),AI123*4,"")</f>
        <v>14320</v>
      </c>
      <c r="AJ317" s="211">
        <f>IF(ISNUMBER(AJ123),AJ123*4,"")</f>
        <v>14660</v>
      </c>
      <c r="AK317" s="211">
        <f>IF(ISNUMBER(AK123),AK123*4,"")</f>
        <v>15592</v>
      </c>
      <c r="AL317" s="211">
        <f>IF(ISNUMBER(AL123),AL123*4,"")</f>
        <v>15228</v>
      </c>
      <c r="AM317" s="211">
        <f>IF(ISNUMBER(AM123),AM123*1,"")</f>
        <v>14950</v>
      </c>
      <c r="AN317" s="211">
        <f>IF(ISNUMBER(AN123),AN123*4,"")</f>
        <v>15556</v>
      </c>
      <c r="AO317" s="211">
        <f>IF(ISNUMBER(AO123),AO123*4,"")</f>
        <v>16452</v>
      </c>
      <c r="AP317" s="211">
        <f>IF(ISNUMBER(AP123),AP123*4,"")</f>
        <v>17868</v>
      </c>
      <c r="AQ317" s="211">
        <f>IF(ISNUMBER(AQ123),AQ123*4,"")</f>
        <v>17656</v>
      </c>
      <c r="AR317" s="211">
        <f>IF(ISNUMBER(AR123),AR123*1,"")</f>
        <v>16883</v>
      </c>
      <c r="AS317" s="211">
        <f>IF(ISNUMBER(AS123),AS123*4,"")</f>
        <v>16036</v>
      </c>
      <c r="AT317" s="211">
        <f>IF(ISNUMBER(AT123),AT123*4,"")</f>
        <v>13340</v>
      </c>
      <c r="AU317" s="211">
        <f>IF(ISNUMBER(AU123),AU123*4,"")</f>
        <v>15348</v>
      </c>
      <c r="AV317" s="211">
        <f>IF(ISNUMBER(AV123),AV123*4,"")</f>
        <v>16480</v>
      </c>
      <c r="AW317" s="211">
        <f>IF(ISNUMBER(AW123),AW123*1,"")</f>
        <v>15301</v>
      </c>
      <c r="AX317" s="211">
        <f>IF(ISNUMBER(AX123),AX123*4,"")</f>
        <v>16620</v>
      </c>
      <c r="AY317" s="211">
        <f>IF(ISNUMBER(AY123),AY123*4,"")</f>
        <v>18112</v>
      </c>
      <c r="AZ317" s="211">
        <f>IF(ISNUMBER(AZ123),AZ123*4,"")</f>
        <v>19940</v>
      </c>
      <c r="BA317" s="211">
        <f>IF(ISNUMBER(BA123),BA123*4,"")</f>
        <v>20864</v>
      </c>
      <c r="BB317" s="211">
        <f>IF(ISNUMBER(BB123),BB123*1,"")</f>
        <v>18884</v>
      </c>
      <c r="BC317" s="211">
        <f>IF(ISNUMBER(BC123),BC123*4,"")</f>
        <v>20668</v>
      </c>
      <c r="BD317" s="211">
        <f>IF(ISNUMBER(BD123),BD123*4,"")</f>
        <v>21988</v>
      </c>
      <c r="BE317" s="211">
        <f>IF(ISNUMBER(BE123),BE123*4,"")</f>
        <v>23024</v>
      </c>
      <c r="BF317" s="211">
        <f>IF(ISNUMBER(BF123),BF123*4,"")</f>
        <v>23268</v>
      </c>
      <c r="BG317" s="211">
        <f>IF(ISNUMBER(BG123),BG123*1,"")</f>
        <v>22237</v>
      </c>
      <c r="BH317" s="211">
        <f>IF(ISNUMBER(BH123),BH123*4,"")</f>
        <v>22992</v>
      </c>
      <c r="BI317" s="211">
        <f>IF(ISNUMBER(BI123),BI123*4,"")</f>
        <v>25076</v>
      </c>
      <c r="BJ317" s="211">
        <f>IF(ISNUMBER(BJ123),BJ123*4,"")</f>
        <v>26132</v>
      </c>
      <c r="BK317" s="211">
        <f>IF(ISNUMBER(BK123),BK123*4,"")</f>
        <v>26192</v>
      </c>
      <c r="BL317" s="211">
        <f>IF(ISNUMBER(BL123),BL123*1,"")</f>
        <v>25098</v>
      </c>
      <c r="BM317" s="211">
        <f>IF(ISNUMBER(BM123),BM123*4,"")</f>
        <v>25392</v>
      </c>
      <c r="BN317" s="211">
        <f>IF(ISNUMBER(BN123),BN123*4,"")</f>
        <v>27844</v>
      </c>
      <c r="BO317" s="211">
        <f>IF(ISNUMBER(BO123),BO123*4,"")</f>
        <v>29476</v>
      </c>
      <c r="BP317" s="211">
        <f>IF(ISNUMBER(BP123),BP123*4,"")</f>
        <v>29956</v>
      </c>
      <c r="BQ317" s="211">
        <f>IF(ISNUMBER(BQ123),BQ123*1,"")</f>
        <v>28167</v>
      </c>
      <c r="BR317" s="211">
        <f>IF(ISNUMBER(BR123),BR123*4,"")</f>
        <v>29000</v>
      </c>
      <c r="BS317" s="211">
        <f>IF(ISNUMBER(BS123),BS123*4,"")</f>
        <v>32532</v>
      </c>
      <c r="BT317" s="211">
        <f>IF(ISNUMBER(BT123),BT123*4,"")</f>
        <v>34408</v>
      </c>
      <c r="BU317" s="211">
        <f>IF(ISNUMBER(BU123),BU123*4,"")</f>
        <v>35224</v>
      </c>
      <c r="BV317" s="211">
        <f>IF(ISNUMBER(BV123),BV123*1,"")</f>
        <v>32791</v>
      </c>
      <c r="BW317" s="211">
        <f>IF(ISNUMBER(BW123),BW123*4,"")</f>
        <v>33592</v>
      </c>
      <c r="BX317" s="211">
        <f>IF(ISNUMBER(BX123),BX123*4,"")</f>
        <v>37108</v>
      </c>
      <c r="BY317" s="35" t="n"/>
      <c r="BZ317" s="35" t="n"/>
      <c r="CA317" s="254">
        <f>IF(ISNUMBER(CA123),CA123*1,"")</f>
        <v>37217.785</v>
      </c>
      <c r="CB317" s="254">
        <f>IF(ISNUMBER(CB123),CB123*1,"")</f>
        <v>41825.0132406573</v>
      </c>
      <c r="CC317" s="254">
        <f>IF(ISNUMBER(CC123),CC123*1,"")</f>
        <v>46784.2455603929</v>
      </c>
      <c r="CD317" s="254">
        <f>IF(ISNUMBER(CD123),CD123*1,"")</f>
        <v>51988.5998121384</v>
      </c>
      <c r="CE317" s="254">
        <f>IF(ISNUMBER(CE123),CE123*1,"")</f>
        <v>57398.9793869104</v>
      </c>
      <c r="CF317" s="19" t="n"/>
    </row>
    <row r="318" ht="15" customHeight="1" s="251">
      <c r="B318" s="25" t="inlineStr">
        <is>
          <t xml:space="preserve">  DSO — receivables / net revenue × 365</t>
        </is>
      </c>
      <c r="C318" s="290">
        <f>IFERROR(C283/C317*365,"")</f>
        <v>49.5209261730196</v>
      </c>
      <c r="D318" s="290">
        <f>IFERROR(D283/D317*365,"")</f>
        <v>47.7950370722384</v>
      </c>
      <c r="E318" s="290">
        <f>IFERROR(E283/E317*365,"")</f>
        <v>46.760744050004</v>
      </c>
      <c r="F318" s="290">
        <f>IFERROR(F283/F317*365,"")</f>
        <v>38.4044745663783</v>
      </c>
      <c r="G318" s="290">
        <f>IFERROR(G283/G317*365,"")</f>
        <v>42.8326412709875</v>
      </c>
      <c r="H318" s="290">
        <f>IFERROR(H283/H317*365,"")</f>
        <v>43.9261245159369</v>
      </c>
      <c r="I318" s="290">
        <f>IFERROR(I283/I317*365,"")</f>
        <v>45.6805574347179</v>
      </c>
      <c r="J318" s="290">
        <f>IFERROR(J283/J317*365,"")</f>
        <v>45.0504984260231</v>
      </c>
      <c r="K318" s="290">
        <f>IFERROR(K283/K317*365,"")</f>
        <v>41.3150047709924</v>
      </c>
      <c r="L318" s="290">
        <f>IFERROR(L283/L317*365,"")</f>
        <v>40.7292605951308</v>
      </c>
      <c r="M318" s="290">
        <f>IFERROR(M283/M317*365,"")</f>
        <v>41.4616650987771</v>
      </c>
      <c r="N318" s="290">
        <f>IFERROR(N283/N317*365,"")</f>
        <v>42.2465851905104</v>
      </c>
      <c r="O318" s="290">
        <f>IFERROR(O283/O317*365,"")</f>
        <v>41.705902618282</v>
      </c>
      <c r="P318" s="290">
        <f>IFERROR(P283/P317*365,"")</f>
        <v>43.5328144720236</v>
      </c>
      <c r="Q318" s="290">
        <f>IFERROR(Q283/Q317*365,"")</f>
        <v>39.0446464242908</v>
      </c>
      <c r="R318" s="290">
        <f>IFERROR(R283/R317*365,"")</f>
        <v>41.8858650662252</v>
      </c>
      <c r="S318" s="290">
        <f>IFERROR(S283/S317*365,"")</f>
        <v>42.7303916393962</v>
      </c>
      <c r="T318" s="290">
        <f>IFERROR(T283/T317*365,"")</f>
        <v>43.8654708520179</v>
      </c>
      <c r="U318" s="290">
        <f>IFERROR(U283/U317*365,"")</f>
        <v>43.0669456066946</v>
      </c>
      <c r="V318" s="290">
        <f>IFERROR(V283/V317*365,"")</f>
        <v>38.9886363636364</v>
      </c>
      <c r="W318" s="290">
        <f>IFERROR(W283/W317*365,"")</f>
        <v>39.1175009932459</v>
      </c>
      <c r="X318" s="290">
        <f>IFERROR(X283/X317*365,"")</f>
        <v>40.7401468914865</v>
      </c>
      <c r="Y318" s="290">
        <f>IFERROR(Y283/Y317*365,"")</f>
        <v>44.2446852003271</v>
      </c>
      <c r="Z318" s="290">
        <f>IFERROR(Z283/Z317*365,"")</f>
        <v>40.7474944320713</v>
      </c>
      <c r="AA318" s="290">
        <f>IFERROR(AA283/AA317*365,"")</f>
        <v>41.1258680555556</v>
      </c>
      <c r="AB318" s="290">
        <f>IFERROR(AB283/AB317*365,"")</f>
        <v>46.8831640058055</v>
      </c>
      <c r="AC318" s="290">
        <f>IFERROR(AC283/AC317*365,"")</f>
        <v>47.9621380846325</v>
      </c>
      <c r="AD318" s="290">
        <f>IFERROR(AD283/AD317*365,"")</f>
        <v>51.832937088515</v>
      </c>
      <c r="AE318" s="290">
        <f>IFERROR(AE283/AE317*365,"")</f>
        <v>51.049787094661</v>
      </c>
      <c r="AF318" s="290">
        <f>IFERROR(AF283/AF317*365,"")</f>
        <v>49.8947910535609</v>
      </c>
      <c r="AG318" s="290">
        <f>IFERROR(AG283/AG317*365,"")</f>
        <v>54.248565821256</v>
      </c>
      <c r="AH318" s="290">
        <f>IFERROR(AH283/AH317*365,"")</f>
        <v>57.5086020644955</v>
      </c>
      <c r="AI318" s="290">
        <f>IFERROR(AI283/AI317*365,"")</f>
        <v>54.0872905027933</v>
      </c>
      <c r="AJ318" s="290">
        <f>IFERROR(AJ283/AJ317*365,"")</f>
        <v>53.8785811732606</v>
      </c>
      <c r="AK318" s="290">
        <f>IFERROR(AK283/AK317*365,"")</f>
        <v>53.3032965623397</v>
      </c>
      <c r="AL318" s="290">
        <f>IFERROR(AL283/AL317*365,"")</f>
        <v>54.5534541633832</v>
      </c>
      <c r="AM318" s="290">
        <f>IFERROR(AM283/AM317*365,"")</f>
        <v>55.5678929765886</v>
      </c>
      <c r="AN318" s="290">
        <f>IFERROR(AN283/AN317*365,"")</f>
        <v>60.4657366932373</v>
      </c>
      <c r="AO318" s="290">
        <f>IFERROR(AO283/AO317*365,"")</f>
        <v>57.8382567469001</v>
      </c>
      <c r="AP318" s="290">
        <f>IFERROR(AP283/AP317*365,"")</f>
        <v>51.0689500783524</v>
      </c>
      <c r="AQ318" s="290">
        <f>IFERROR(AQ283/AQ317*365,"")</f>
        <v>51.9715677390122</v>
      </c>
      <c r="AR318" s="290">
        <f>IFERROR(AR283/AR317*365,"")</f>
        <v>54.3511224308476</v>
      </c>
      <c r="AS318" s="290">
        <f>IFERROR(AS283/AS317*365,"")</f>
        <v>55.560301820903</v>
      </c>
      <c r="AT318" s="290">
        <f>IFERROR(AT283/AT317*365,"")</f>
        <v>58.7447526236882</v>
      </c>
      <c r="AU318" s="290">
        <f>IFERROR(AU283/AU317*365,"")</f>
        <v>56.0532316914256</v>
      </c>
      <c r="AV318" s="290">
        <f>IFERROR(AV283/AV317*365,"")</f>
        <v>58.6037621359223</v>
      </c>
      <c r="AW318" s="290">
        <f>IFERROR(AW283/AW317*365,"")</f>
        <v>63.1194039605255</v>
      </c>
      <c r="AX318" s="290">
        <f>IFERROR(AX283/AX317*365,"")</f>
        <v>58.1540312876053</v>
      </c>
      <c r="AY318" s="290">
        <f>IFERROR(AY283/AY317*365,"")</f>
        <v>55.8825640459364</v>
      </c>
      <c r="AZ318" s="290">
        <f>IFERROR(AZ283/AZ317*365,"")</f>
        <v>51.6198595787362</v>
      </c>
      <c r="BA318" s="290">
        <f>IFERROR(BA283/BA317*365,"")</f>
        <v>52.5877108895706</v>
      </c>
      <c r="BB318" s="290">
        <f>IFERROR(BB283/BB317*365,"")</f>
        <v>58.1015674645202</v>
      </c>
      <c r="BC318" s="290">
        <f>IFERROR(BC283/BC317*365,"")</f>
        <v>51.0201761176698</v>
      </c>
      <c r="BD318" s="290">
        <f>IFERROR(BD283/BD317*365,"")</f>
        <v>52.704884482445</v>
      </c>
      <c r="BE318" s="290">
        <f>IFERROR(BE283/BE317*365,"")</f>
        <v>50.2065236275191</v>
      </c>
      <c r="BF318" s="290">
        <f>IFERROR(BF283/BF317*365,"")</f>
        <v>53.7272219357057</v>
      </c>
      <c r="BG318" s="290">
        <f>IFERROR(BG283/BG317*365,"")</f>
        <v>56.2182398704861</v>
      </c>
      <c r="BH318" s="290">
        <f>IFERROR(BH283/BH317*365,"")</f>
        <v>55.7374304105776</v>
      </c>
      <c r="BI318" s="290">
        <f>IFERROR(BI283/BI317*365,"")</f>
        <v>54.7732892008295</v>
      </c>
      <c r="BJ318" s="290">
        <f>IFERROR(BJ283/BJ317*365,"")</f>
        <v>54.8226312566968</v>
      </c>
      <c r="BK318" s="290">
        <f>IFERROR(BK283/BK317*365,"")</f>
        <v>56.5783445326817</v>
      </c>
      <c r="BL318" s="290">
        <f>IFERROR(BL283/BL317*365,"")</f>
        <v>59.0445453821022</v>
      </c>
      <c r="BM318" s="290">
        <f>IFERROR(BM283/BM317*365,"")</f>
        <v>60.8189587271582</v>
      </c>
      <c r="BN318" s="290">
        <f>IFERROR(BN283/BN317*365,"")</f>
        <v>54.9912009768711</v>
      </c>
      <c r="BO318" s="290">
        <f>IFERROR(BO283/BO317*365,"")</f>
        <v>49.7051838784096</v>
      </c>
      <c r="BP318" s="290">
        <f>IFERROR(BP283/BP317*365,"")</f>
        <v>45.97225931366</v>
      </c>
      <c r="BQ318" s="290">
        <f>IFERROR(BQ283/BQ317*365,"")</f>
        <v>48.8921432882451</v>
      </c>
      <c r="BR318" s="290">
        <f>IFERROR(BR283/BR317*365,"")</f>
        <v>49.9043103448276</v>
      </c>
      <c r="BS318" s="290">
        <f>IFERROR(BS283/BS317*365,"")</f>
        <v>46.9433173490717</v>
      </c>
      <c r="BT318" s="290">
        <f>IFERROR(BT283/BT317*365,"")</f>
        <v>45.0521681004418</v>
      </c>
      <c r="BU318" s="290">
        <f>IFERROR(BU283/BU317*365,"")</f>
        <v>47.7596241199182</v>
      </c>
      <c r="BV318" s="290">
        <f>IFERROR(BV283/BV317*365,"")</f>
        <v>51.3032539416303</v>
      </c>
      <c r="BW318" s="290">
        <f>IFERROR(BW283/BW317*365,"")</f>
        <v>51.2860204810669</v>
      </c>
      <c r="BX318" s="290">
        <f>IFERROR(BX283/BX317*365,"")</f>
        <v>49.6430688800259</v>
      </c>
      <c r="BY318" s="35" t="n"/>
      <c r="BZ318" s="35" t="n"/>
      <c r="CA318" s="291" t="n">
        <v>51</v>
      </c>
      <c r="CB318" s="291" t="n">
        <v>51</v>
      </c>
      <c r="CC318" s="291" t="n">
        <v>51</v>
      </c>
      <c r="CD318" s="291" t="n">
        <v>51</v>
      </c>
      <c r="CE318" s="291" t="n">
        <v>51</v>
      </c>
      <c r="CF318" s="19" t="n"/>
    </row>
    <row r="319" ht="15" customHeight="1" s="251">
      <c r="B319" s="25" t="inlineStr">
        <is>
          <t xml:space="preserve">  Settlement assets ÷ GDV (USD m per USD bn of period GDV)</t>
        </is>
      </c>
      <c r="C319" s="292">
        <f>IFERROR(C284/C11,"")</f>
        <v>0.159485173824131</v>
      </c>
      <c r="D319" s="292">
        <f>IFERROR(D284/D11,"")</f>
        <v>0.313074692442882</v>
      </c>
      <c r="E319" s="292">
        <f>IFERROR(E284/E11,"")</f>
        <v>0.202602052901698</v>
      </c>
      <c r="F319" s="292">
        <f>IFERROR(F284/F11,"")</f>
        <v>0.18711206193969</v>
      </c>
      <c r="G319" s="292">
        <f>IFERROR(G284/G11,"")</f>
        <v>0.182251558489182</v>
      </c>
      <c r="H319" s="292">
        <f>IFERROR(H284/H11,"")</f>
        <v>0.18497999384426</v>
      </c>
      <c r="I319" s="292">
        <f>IFERROR(I284/I11,"")</f>
        <v>0.306279133534412</v>
      </c>
      <c r="J319" s="292">
        <f>IFERROR(J284/J11,"")</f>
        <v>0.707497360084477</v>
      </c>
      <c r="K319" s="292">
        <f>IFERROR(K284/K11,"")</f>
        <v>0.663356504468719</v>
      </c>
      <c r="L319" s="292">
        <f>IFERROR(L284/L11,"")</f>
        <v>1.2755980861244</v>
      </c>
      <c r="M319" s="292">
        <f>IFERROR(M284/M11,"")</f>
        <v>1.22373188405797</v>
      </c>
      <c r="N319" s="292">
        <f>IFERROR(N284/N11,"")</f>
        <v>0.329271264928101</v>
      </c>
      <c r="O319" s="292">
        <f>IFERROR(O284/O11,"")</f>
        <v>1.41244019138756</v>
      </c>
      <c r="P319" s="292">
        <f>IFERROR(P284/P11,"")</f>
        <v>1.19483985765125</v>
      </c>
      <c r="Q319" s="292">
        <f>IFERROR(Q284/Q11,"")</f>
        <v>1.02679343128781</v>
      </c>
      <c r="R319" s="292">
        <f>IFERROR(R284/R11,"")</f>
        <v>0.897610921501707</v>
      </c>
      <c r="S319" s="292">
        <f>IFERROR(S284/S11,"")</f>
        <v>0.233829739942209</v>
      </c>
      <c r="T319" s="292">
        <f>IFERROR(T284/T11,"")</f>
        <v>1.0065851364064</v>
      </c>
      <c r="U319" s="292">
        <f>IFERROR(U284/U11,"")</f>
        <v>1.11656441717791</v>
      </c>
      <c r="V319" s="292">
        <f>IFERROR(V284/V11,"")</f>
        <v>0.786885245901639</v>
      </c>
      <c r="W319" s="292">
        <f>IFERROR(W284/W11,"")</f>
        <v>0.890742285237698</v>
      </c>
      <c r="X319" s="292">
        <f>IFERROR(X284/X11,"")</f>
        <v>0.234005258545136</v>
      </c>
      <c r="Y319" s="292">
        <f>IFERROR(Y284/Y11,"")</f>
        <v>0.893952673093777</v>
      </c>
      <c r="Z319" s="292">
        <f>IFERROR(Z284/Z11,"")</f>
        <v>0.818403908794788</v>
      </c>
      <c r="AA319" s="292">
        <f>IFERROR(AA284/AA11,"")</f>
        <v>0.931203931203931</v>
      </c>
      <c r="AB319" s="292">
        <f>IFERROR(AB284/AB11,"")</f>
        <v>0.887175324675325</v>
      </c>
      <c r="AC319" s="292">
        <f>IFERROR(AC284/AC11,"")</f>
        <v>0.226434638491817</v>
      </c>
      <c r="AD319" s="292">
        <f>IFERROR(AD284/AD11,"")</f>
        <v>0.918712955122777</v>
      </c>
      <c r="AE319" s="292">
        <f>IFERROR(AE284/AE11,"")</f>
        <v>0.991419656786271</v>
      </c>
      <c r="AF319" s="292">
        <f>IFERROR(AF284/AF11,"")</f>
        <v>0.886178861788618</v>
      </c>
      <c r="AG319" s="292">
        <f>IFERROR(AG284/AG11,"")</f>
        <v>0.96830985915493</v>
      </c>
      <c r="AH319" s="292">
        <f>IFERROR(AH284/AH11,"")</f>
        <v>0.262304463945059</v>
      </c>
      <c r="AI319" s="292">
        <f>IFERROR(AI284/AI11,"")</f>
        <v>1.08197879858657</v>
      </c>
      <c r="AJ319" s="292">
        <f>IFERROR(AJ284/AJ11,"")</f>
        <v>1.03864406779661</v>
      </c>
      <c r="AK319" s="292">
        <f>IFERROR(AK284/AK11,"")</f>
        <v>0.909400544959128</v>
      </c>
      <c r="AL319" s="292">
        <f>IFERROR(AL284/AL11,"")</f>
        <v>1.58193548387097</v>
      </c>
      <c r="AM319" s="292">
        <f>IFERROR(AM284/AM11,"")</f>
        <v>0.415522792746992</v>
      </c>
      <c r="AN319" s="292">
        <f>IFERROR(AN284/AN11,"")</f>
        <v>0.960916442048518</v>
      </c>
      <c r="AO319" s="292">
        <f>IFERROR(AO284/AO11,"")</f>
        <v>0.969336670838548</v>
      </c>
      <c r="AP319" s="292">
        <f>IFERROR(AP284/AP11,"")</f>
        <v>1.64830508474576</v>
      </c>
      <c r="AQ319" s="292">
        <f>IFERROR(AQ284/AQ11,"")</f>
        <v>1.73522595596756</v>
      </c>
      <c r="AR319" s="292">
        <f>IFERROR(AR284/AR11,"")</f>
        <v>0.463550533973069</v>
      </c>
      <c r="AS319" s="292">
        <f>IFERROR(AS284/AS11,"")</f>
        <v>0.743769968051118</v>
      </c>
      <c r="AT319" s="292">
        <f>IFERROR(AT284/AT11,"")</f>
        <v>1.2885032537961</v>
      </c>
      <c r="AU319" s="292">
        <f>IFERROR(AU284/AU11,"")</f>
        <v>0.834344660194175</v>
      </c>
      <c r="AV319" s="292">
        <f>IFERROR(AV284/AV11,"")</f>
        <v>0.976531196336577</v>
      </c>
      <c r="AW319" s="292">
        <f>IFERROR(AW284/AW11,"")</f>
        <v>0.269212561148809</v>
      </c>
      <c r="AX319" s="292">
        <f>IFERROR(AX284/AX11,"")</f>
        <v>0.980713033313852</v>
      </c>
      <c r="AY319" s="292">
        <f>IFERROR(AY284/AY11,"")</f>
        <v>0.492121848739496</v>
      </c>
      <c r="AZ319" s="292">
        <f>IFERROR(AZ284/AZ11,"")</f>
        <v>0.432012042147516</v>
      </c>
      <c r="BA319" s="292">
        <f>IFERROR(BA284/BA11,"")</f>
        <v>0.624230951254141</v>
      </c>
      <c r="BB319" s="292">
        <f>IFERROR(BB284/BB11,"")</f>
        <v>0.170854922279793</v>
      </c>
      <c r="BC319" s="292">
        <f>IFERROR(BC284/BC11,"")</f>
        <v>0.573736321000521</v>
      </c>
      <c r="BD319" s="292">
        <f>IFERROR(BD284/BD11,"")</f>
        <v>0.517526777020448</v>
      </c>
      <c r="BE319" s="292">
        <f>IFERROR(BE284/BE11,"")</f>
        <v>0.492508458192363</v>
      </c>
      <c r="BF319" s="292">
        <f>IFERROR(BF284/BF11,"")</f>
        <v>0.595405532114393</v>
      </c>
      <c r="BG319" s="292">
        <f>IFERROR(BG284/BG11,"")</f>
        <v>0.155313684725449</v>
      </c>
      <c r="BH319" s="292">
        <f>IFERROR(BH284/BH11,"")</f>
        <v>0.586337760910816</v>
      </c>
      <c r="BI319" s="292">
        <f>IFERROR(BI284/BI11,"")</f>
        <v>0.607851786501985</v>
      </c>
      <c r="BJ319" s="292">
        <f>IFERROR(BJ284/BJ11,"")</f>
        <v>0.485032537960954</v>
      </c>
      <c r="BK319" s="292">
        <f>IFERROR(BK284/BK11,"")</f>
        <v>0.524234693877551</v>
      </c>
      <c r="BL319" s="292">
        <f>IFERROR(BL284/BL11,"")</f>
        <v>0.136544850498339</v>
      </c>
      <c r="BM319" s="292">
        <f>IFERROR(BM284/BM11,"")</f>
        <v>0.719213973799127</v>
      </c>
      <c r="BN319" s="292">
        <f>IFERROR(BN284/BN11,"")</f>
        <v>0.630045776113192</v>
      </c>
      <c r="BO319" s="292">
        <f>IFERROR(BO284/BO11,"")</f>
        <v>0.790567545963229</v>
      </c>
      <c r="BP319" s="292">
        <f>IFERROR(BP284/BP11,"")</f>
        <v>0.711050370948848</v>
      </c>
      <c r="BQ319" s="292">
        <f>IFERROR(BQ284/BQ11,"")</f>
        <v>0.186635236240648</v>
      </c>
      <c r="BR319" s="292">
        <f>IFERROR(BR284/BR11,"")</f>
        <v>0.876706661150186</v>
      </c>
      <c r="BS319" s="292">
        <f>IFERROR(BS284/BS11,"")</f>
        <v>0.919042189281642</v>
      </c>
      <c r="BT319" s="292">
        <f>IFERROR(BT284/BT11,"")</f>
        <v>0.670549690571533</v>
      </c>
      <c r="BU319" s="292">
        <f>IFERROR(BU284/BU11,"")</f>
        <v>0.576800283788578</v>
      </c>
      <c r="BV319" s="292">
        <f>IFERROR(BV284/BV11,"")</f>
        <v>0.15293453724605</v>
      </c>
      <c r="BW319" s="292">
        <f>IFERROR(BW284/BW11,"")</f>
        <v>0.762856085830559</v>
      </c>
      <c r="BX319" s="292">
        <f>IFERROR(BX284/BX11,"")</f>
        <v>0.82297813259285</v>
      </c>
      <c r="BY319" s="35" t="n"/>
      <c r="BZ319" s="35" t="n"/>
      <c r="CA319" s="288" t="n">
        <v>0.153</v>
      </c>
      <c r="CB319" s="288" t="n">
        <v>0.153</v>
      </c>
      <c r="CC319" s="288" t="n">
        <v>0.153</v>
      </c>
      <c r="CD319" s="288" t="n">
        <v>0.153</v>
      </c>
      <c r="CE319" s="288" t="n">
        <v>0.153</v>
      </c>
      <c r="CF319" s="19" t="n"/>
    </row>
    <row r="320" ht="15" customHeight="1" s="251">
      <c r="B320" s="25" t="inlineStr">
        <is>
          <t xml:space="preserve">  Settlement obligations ÷ GDV</t>
        </is>
      </c>
      <c r="C320" s="292">
        <f>IFERROR(C294/C11,"")</f>
        <v>0.146246932515337</v>
      </c>
      <c r="D320" s="292">
        <f>IFERROR(D294/D11,"")</f>
        <v>0.265471001757469</v>
      </c>
      <c r="E320" s="292">
        <f>IFERROR(E294/E11,"")</f>
        <v>0.210121200157916</v>
      </c>
      <c r="F320" s="292">
        <f>IFERROR(F294/F11,"")</f>
        <v>0.194611246943765</v>
      </c>
      <c r="G320" s="292">
        <f>IFERROR(G294/G11,"")</f>
        <v>0.233223322332233</v>
      </c>
      <c r="H320" s="292">
        <f>IFERROR(H294/H11,"")</f>
        <v>0.215143120960295</v>
      </c>
      <c r="I320" s="292">
        <f>IFERROR(I294/I11,"")</f>
        <v>0.291746641074856</v>
      </c>
      <c r="J320" s="292">
        <f>IFERROR(J294/J11,"")</f>
        <v>0.658922914466737</v>
      </c>
      <c r="K320" s="292">
        <f>IFERROR(K294/K11,"")</f>
        <v>0.602780536246276</v>
      </c>
      <c r="L320" s="292">
        <f>IFERROR(L294/L11,"")</f>
        <v>1.16555023923445</v>
      </c>
      <c r="M320" s="292">
        <f>IFERROR(M294/M11,"")</f>
        <v>1.29800724637681</v>
      </c>
      <c r="N320" s="292">
        <f>IFERROR(N294/N11,"")</f>
        <v>0.349256641481843</v>
      </c>
      <c r="O320" s="292">
        <f>IFERROR(O294/O11,"")</f>
        <v>1.31483253588517</v>
      </c>
      <c r="P320" s="292">
        <f>IFERROR(P294/P11,"")</f>
        <v>1.18772241992883</v>
      </c>
      <c r="Q320" s="292">
        <f>IFERROR(Q294/Q11,"")</f>
        <v>1.05963699222126</v>
      </c>
      <c r="R320" s="292">
        <f>IFERROR(R294/R11,"")</f>
        <v>0.974402730375427</v>
      </c>
      <c r="S320" s="292">
        <f>IFERROR(S294/S11,"")</f>
        <v>0.253834185374528</v>
      </c>
      <c r="T320" s="292">
        <f>IFERROR(T294/T11,"")</f>
        <v>1.12982126058326</v>
      </c>
      <c r="U320" s="292">
        <f>IFERROR(U294/U11,"")</f>
        <v>1.16564417177914</v>
      </c>
      <c r="V320" s="292">
        <f>IFERROR(V294/V11,"")</f>
        <v>0.761863675582399</v>
      </c>
      <c r="W320" s="292">
        <f>IFERROR(W294/W11,"")</f>
        <v>0.722268557130942</v>
      </c>
      <c r="X320" s="292">
        <f>IFERROR(X294/X11,"")</f>
        <v>0.189745836985101</v>
      </c>
      <c r="Y320" s="292">
        <f>IFERROR(Y294/Y11,"")</f>
        <v>0.744084136722174</v>
      </c>
      <c r="Z320" s="292">
        <f>IFERROR(Z294/Z11,"")</f>
        <v>0.674267100977199</v>
      </c>
      <c r="AA320" s="292">
        <f>IFERROR(AA294/AA11,"")</f>
        <v>0.861588861588862</v>
      </c>
      <c r="AB320" s="292">
        <f>IFERROR(AB294/AB11,"")</f>
        <v>0.767857142857143</v>
      </c>
      <c r="AC320" s="292">
        <f>IFERROR(AC294/AC11,"")</f>
        <v>0.19598094054278</v>
      </c>
      <c r="AD320" s="292">
        <f>IFERROR(AD294/AD11,"")</f>
        <v>0.696020321761219</v>
      </c>
      <c r="AE320" s="292">
        <f>IFERROR(AE294/AE11,"")</f>
        <v>0.862714508580343</v>
      </c>
      <c r="AF320" s="292">
        <f>IFERROR(AF294/AF11,"")</f>
        <v>0.740576496674058</v>
      </c>
      <c r="AG320" s="292">
        <f>IFERROR(AG294/AG11,"")</f>
        <v>0.945774647887324</v>
      </c>
      <c r="AH320" s="292">
        <f>IFERROR(AH294/AH11,"")</f>
        <v>0.256199923693247</v>
      </c>
      <c r="AI320" s="292">
        <f>IFERROR(AI294/AI11,"")</f>
        <v>0.904593639575972</v>
      </c>
      <c r="AJ320" s="292">
        <f>IFERROR(AJ294/AJ11,"")</f>
        <v>0.835254237288136</v>
      </c>
      <c r="AK320" s="292">
        <f>IFERROR(AK294/AK11,"")</f>
        <v>0.786784741144414</v>
      </c>
      <c r="AL320" s="292">
        <f>IFERROR(AL294/AL11,"")</f>
        <v>1.41225806451613</v>
      </c>
      <c r="AM320" s="292">
        <f>IFERROR(AM294/AM11,"")</f>
        <v>0.37095407558041</v>
      </c>
      <c r="AN320" s="292">
        <f>IFERROR(AN294/AN11,"")</f>
        <v>0.801212938005391</v>
      </c>
      <c r="AO320" s="292">
        <f>IFERROR(AO294/AO11,"")</f>
        <v>0.832290362953692</v>
      </c>
      <c r="AP320" s="292">
        <f>IFERROR(AP294/AP11,"")</f>
        <v>1.30629539951574</v>
      </c>
      <c r="AQ320" s="292">
        <f>IFERROR(AQ294/AQ11,"")</f>
        <v>1.57242178447277</v>
      </c>
      <c r="AR320" s="292">
        <f>IFERROR(AR294/AR11,"")</f>
        <v>0.420058814425012</v>
      </c>
      <c r="AS320" s="292">
        <f>IFERROR(AS294/AS11,"")</f>
        <v>0.734185303514377</v>
      </c>
      <c r="AT320" s="292">
        <f>IFERROR(AT294/AT11,"")</f>
        <v>1.10412147505423</v>
      </c>
      <c r="AU320" s="292">
        <f>IFERROR(AU294/AU11,"")</f>
        <v>0.685072815533981</v>
      </c>
      <c r="AV320" s="292">
        <f>IFERROR(AV294/AV11,"")</f>
        <v>0.844304522037779</v>
      </c>
      <c r="AW320" s="292">
        <f>IFERROR(AW294/AW11,"")</f>
        <v>0.232759981063595</v>
      </c>
      <c r="AX320" s="292">
        <f>IFERROR(AX294/AX11,"")</f>
        <v>0.758036236119229</v>
      </c>
      <c r="AY320" s="292">
        <f>IFERROR(AY294/AY11,"")</f>
        <v>0.298844537815126</v>
      </c>
      <c r="AZ320" s="292">
        <f>IFERROR(AZ294/AZ11,"")</f>
        <v>0.248871048670346</v>
      </c>
      <c r="BA320" s="292">
        <f>IFERROR(BA294/BA11,"")</f>
        <v>0.43208707998107</v>
      </c>
      <c r="BB320" s="292">
        <f>IFERROR(BB294/BB11,"")</f>
        <v>0.118264248704663</v>
      </c>
      <c r="BC320" s="292">
        <f>IFERROR(BC294/BC11,"")</f>
        <v>0.285044293903075</v>
      </c>
      <c r="BD320" s="292">
        <f>IFERROR(BD294/BD11,"")</f>
        <v>0.327166504381694</v>
      </c>
      <c r="BE320" s="292">
        <f>IFERROR(BE294/BE11,"")</f>
        <v>0.509424842919285</v>
      </c>
      <c r="BF320" s="292">
        <f>IFERROR(BF294/BF11,"")</f>
        <v>0.520862634786685</v>
      </c>
      <c r="BG320" s="292">
        <f>IFERROR(BG294/BG11,"")</f>
        <v>0.135868900574783</v>
      </c>
      <c r="BH320" s="292">
        <f>IFERROR(BH294/BH11,"")</f>
        <v>0.412713472485769</v>
      </c>
      <c r="BI320" s="292">
        <f>IFERROR(BI294/BI11,"")</f>
        <v>0.503749448610498</v>
      </c>
      <c r="BJ320" s="292">
        <f>IFERROR(BJ294/BJ11,"")</f>
        <v>0.430368763557484</v>
      </c>
      <c r="BK320" s="292">
        <f>IFERROR(BK294/BK11,"")</f>
        <v>0.594812925170068</v>
      </c>
      <c r="BL320" s="292">
        <f>IFERROR(BL294/BL11,"")</f>
        <v>0.154928017718715</v>
      </c>
      <c r="BM320" s="292">
        <f>IFERROR(BM294/BM11,"")</f>
        <v>0.796506550218341</v>
      </c>
      <c r="BN320" s="292">
        <f>IFERROR(BN294/BN11,"")</f>
        <v>0.663337494798169</v>
      </c>
      <c r="BO320" s="292">
        <f>IFERROR(BO294/BO11,"")</f>
        <v>0.850919264588329</v>
      </c>
      <c r="BP320" s="292">
        <f>IFERROR(BP294/BP11,"")</f>
        <v>0.904334244435767</v>
      </c>
      <c r="BQ320" s="292">
        <f>IFERROR(BQ294/BQ11,"")</f>
        <v>0.23736804345598</v>
      </c>
      <c r="BR320" s="292">
        <f>IFERROR(BR294/BR11,"")</f>
        <v>1.00992966487381</v>
      </c>
      <c r="BS320" s="292">
        <f>IFERROR(BS294/BS11,"")</f>
        <v>1.01710376282782</v>
      </c>
      <c r="BT320" s="292">
        <f>IFERROR(BT294/BT11,"")</f>
        <v>0.881689115398617</v>
      </c>
      <c r="BU320" s="292">
        <f>IFERROR(BU294/BU11,"")</f>
        <v>0.854558354026251</v>
      </c>
      <c r="BV320" s="292">
        <f>IFERROR(BV294/BV11,"")</f>
        <v>0.226580135440181</v>
      </c>
      <c r="BW320" s="292">
        <f>IFERROR(BW294/BW11,"")</f>
        <v>0.941176470588235</v>
      </c>
      <c r="BX320" s="292">
        <f>IFERROR(BX294/BX11,"")</f>
        <v>1.09649427282194</v>
      </c>
      <c r="BY320" s="35" t="n"/>
      <c r="BZ320" s="35" t="n"/>
      <c r="CA320" s="288" t="n">
        <v>0.227</v>
      </c>
      <c r="CB320" s="288" t="n">
        <v>0.227</v>
      </c>
      <c r="CC320" s="288" t="n">
        <v>0.227</v>
      </c>
      <c r="CD320" s="288" t="n">
        <v>0.227</v>
      </c>
      <c r="CE320" s="288" t="n">
        <v>0.227</v>
      </c>
      <c r="CF320" s="19" t="n"/>
    </row>
    <row r="321" ht="15" customHeight="1" s="251">
      <c r="B321" s="25" t="inlineStr">
        <is>
          <t xml:space="preserve">  Prepaid &amp; other current assets % of net revenue</t>
        </is>
      </c>
      <c r="C321" s="215">
        <f>IFERROR(C285/C317,"")</f>
        <v>0.0662032774977346</v>
      </c>
      <c r="D321" s="215">
        <f>IFERROR(D285/D317,"")</f>
        <v>0.057654650814891</v>
      </c>
      <c r="E321" s="215">
        <f>IFERROR(E285/E317,"")</f>
        <v>0.176763763122045</v>
      </c>
      <c r="F321" s="215">
        <f>IFERROR(F285/F317,"")</f>
        <v>0.133706854553057</v>
      </c>
      <c r="G321" s="215">
        <f>IFERROR(G285/G317,"")</f>
        <v>0.111211410001805</v>
      </c>
      <c r="H321" s="215">
        <f>IFERROR(H285/H317,"")</f>
        <v>0.111260053619303</v>
      </c>
      <c r="I321" s="215">
        <f>IFERROR(I285/I317,"")</f>
        <v>0.109457448247869</v>
      </c>
      <c r="J321" s="215">
        <f>IFERROR(J285/J317,"")</f>
        <v>0.080797481636936</v>
      </c>
      <c r="K321" s="215">
        <f>IFERROR(K285/K317,"")</f>
        <v>0.082418893129771</v>
      </c>
      <c r="L321" s="215">
        <f>IFERROR(L285/L317,"")</f>
        <v>0.0703336339044184</v>
      </c>
      <c r="M321" s="215">
        <f>IFERROR(M285/M317,"")</f>
        <v>0.0827845719661336</v>
      </c>
      <c r="N321" s="215">
        <f>IFERROR(N285/N317,"")</f>
        <v>0.0843517852863647</v>
      </c>
      <c r="O321" s="215">
        <f>IFERROR(O285/O317,"")</f>
        <v>0.0983004134129536</v>
      </c>
      <c r="P321" s="215">
        <f>IFERROR(P285/P317,"")</f>
        <v>0.0976020193521245</v>
      </c>
      <c r="Q321" s="215">
        <f>IFERROR(Q285/Q317,"")</f>
        <v>0.0883939272872553</v>
      </c>
      <c r="R321" s="215">
        <f>IFERROR(R285/R317,"")</f>
        <v>0.107719370860927</v>
      </c>
      <c r="S321" s="215">
        <f>IFERROR(S285/S317,"")</f>
        <v>0.10989126992505</v>
      </c>
      <c r="T321" s="215">
        <f>IFERROR(T285/T317,"")</f>
        <v>0.10280269058296</v>
      </c>
      <c r="U321" s="215">
        <f>IFERROR(U285/U317,"")</f>
        <v>0.125209205020921</v>
      </c>
      <c r="V321" s="215">
        <f>IFERROR(V285/V317,"")</f>
        <v>0.109782608695652</v>
      </c>
      <c r="W321" s="215">
        <f>IFERROR(W285/W317,"")</f>
        <v>0.0659515295987286</v>
      </c>
      <c r="X321" s="215">
        <f>IFERROR(X285/X317,"")</f>
        <v>0.0686872866452881</v>
      </c>
      <c r="Y321" s="215">
        <f>IFERROR(Y285/Y317,"")</f>
        <v>0.0728740801308258</v>
      </c>
      <c r="Z321" s="215">
        <f>IFERROR(Z285/Z317,"")</f>
        <v>0.0802709725315516</v>
      </c>
      <c r="AA321" s="215">
        <f>IFERROR(AA285/AA317,"")</f>
        <v>0.0713541666666667</v>
      </c>
      <c r="AB321" s="215">
        <f>IFERROR(AB285/AB317,"")</f>
        <v>0.0771044992743106</v>
      </c>
      <c r="AC321" s="215">
        <f>IFERROR(AC285/AC317,"")</f>
        <v>0.0788789903489235</v>
      </c>
      <c r="AD321" s="215">
        <f>IFERROR(AD285/AD317,"")</f>
        <v>0.0969275786393563</v>
      </c>
      <c r="AE321" s="215">
        <f>IFERROR(AE285/AE317,"")</f>
        <v>0.087373075663282</v>
      </c>
      <c r="AF321" s="215">
        <f>IFERROR(AF285/AF317,"")</f>
        <v>0.0868157739846969</v>
      </c>
      <c r="AG321" s="215">
        <f>IFERROR(AG285/AG317,"")</f>
        <v>0.0785024154589372</v>
      </c>
      <c r="AH321" s="215">
        <f>IFERROR(AH285/AH317,"")</f>
        <v>0.0832199727934704</v>
      </c>
      <c r="AI321" s="215">
        <f>IFERROR(AI285/AI317,"")</f>
        <v>0.0888966480446927</v>
      </c>
      <c r="AJ321" s="215">
        <f>IFERROR(AJ285/AJ317,"")</f>
        <v>0.0902455661664393</v>
      </c>
      <c r="AK321" s="215">
        <f>IFERROR(AK285/AK317,"")</f>
        <v>0.0881862493586455</v>
      </c>
      <c r="AL321" s="215">
        <f>IFERROR(AL285/AL317,"")</f>
        <v>0.0940372997110586</v>
      </c>
      <c r="AM321" s="215">
        <f>IFERROR(AM285/AM317,"")</f>
        <v>0.0957859531772575</v>
      </c>
      <c r="AN321" s="215">
        <f>IFERROR(AN285/AN317,"")</f>
        <v>0.097261506814091</v>
      </c>
      <c r="AO321" s="215">
        <f>IFERROR(AO285/AO317,"")</f>
        <v>0.108558230002431</v>
      </c>
      <c r="AP321" s="215">
        <f>IFERROR(AP285/AP317,"")</f>
        <v>0.108182225207074</v>
      </c>
      <c r="AQ321" s="215">
        <f>IFERROR(AQ285/AQ317,"")</f>
        <v>0.0998527412777526</v>
      </c>
      <c r="AR321" s="215">
        <f>IFERROR(AR285/AR317,"")</f>
        <v>0.104424569093171</v>
      </c>
      <c r="AS321" s="215">
        <f>IFERROR(AS285/AS317,"")</f>
        <v>0.10781990521327</v>
      </c>
      <c r="AT321" s="215">
        <f>IFERROR(AT285/AT317,"")</f>
        <v>0.134182908545727</v>
      </c>
      <c r="AU321" s="215">
        <f>IFERROR(AU285/AU317,"")</f>
        <v>0.127573625228043</v>
      </c>
      <c r="AV321" s="215">
        <f>IFERROR(AV285/AV317,"")</f>
        <v>0.114259708737864</v>
      </c>
      <c r="AW321" s="215">
        <f>IFERROR(AW285/AW317,"")</f>
        <v>0.123063852035815</v>
      </c>
      <c r="AX321" s="215">
        <f>IFERROR(AX285/AX317,"")</f>
        <v>0.120276774969916</v>
      </c>
      <c r="AY321" s="215">
        <f>IFERROR(AY285/AY317,"")</f>
        <v>0.122405035335689</v>
      </c>
      <c r="AZ321" s="215">
        <f>IFERROR(AZ285/AZ317,"")</f>
        <v>0.118706118355065</v>
      </c>
      <c r="BA321" s="215">
        <f>IFERROR(BA285/BA317,"")</f>
        <v>0.10884777607362</v>
      </c>
      <c r="BB321" s="215">
        <f>IFERROR(BB285/BB317,"")</f>
        <v>0.120260538021606</v>
      </c>
      <c r="BC321" s="215">
        <f>IFERROR(BC285/BC317,"")</f>
        <v>0.112250822527579</v>
      </c>
      <c r="BD321" s="215">
        <f>IFERROR(BD285/BD317,"")</f>
        <v>0.109559759869019</v>
      </c>
      <c r="BE321" s="215">
        <f>IFERROR(BE285/BE317,"")</f>
        <v>0.107496525364837</v>
      </c>
      <c r="BF321" s="215">
        <f>IFERROR(BF285/BF317,"")</f>
        <v>0.100825167612171</v>
      </c>
      <c r="BG321" s="215">
        <f>IFERROR(BG285/BG317,"")</f>
        <v>0.105499842604668</v>
      </c>
      <c r="BH321" s="215">
        <f>IFERROR(BH285/BH317,"")</f>
        <v>0.108776965901183</v>
      </c>
      <c r="BI321" s="215">
        <f>IFERROR(BI285/BI317,"")</f>
        <v>0.101850374860424</v>
      </c>
      <c r="BJ321" s="215">
        <f>IFERROR(BJ285/BJ317,"")</f>
        <v>0.100413286392163</v>
      </c>
      <c r="BK321" s="215">
        <f>IFERROR(BK285/BK317,"")</f>
        <v>0.100908674404398</v>
      </c>
      <c r="BL321" s="215">
        <f>IFERROR(BL285/BL317,"")</f>
        <v>0.105307195792493</v>
      </c>
      <c r="BM321" s="215">
        <f>IFERROR(BM285/BM317,"")</f>
        <v>0.119250157529931</v>
      </c>
      <c r="BN321" s="215">
        <f>IFERROR(BN285/BN317,"")</f>
        <v>0.105624191926447</v>
      </c>
      <c r="BO321" s="215">
        <f>IFERROR(BO285/BO317,"")</f>
        <v>0.103100827792102</v>
      </c>
      <c r="BP321" s="215">
        <f>IFERROR(BP285/BP317,"")</f>
        <v>0.0998798237414875</v>
      </c>
      <c r="BQ321" s="215">
        <f>IFERROR(BQ285/BQ317,"")</f>
        <v>0.106223594987042</v>
      </c>
      <c r="BR321" s="215">
        <f>IFERROR(BR285/BR317,"")</f>
        <v>0.117896551724138</v>
      </c>
      <c r="BS321" s="215">
        <f>IFERROR(BS285/BS317,"")</f>
        <v>0.111582441903357</v>
      </c>
      <c r="BT321" s="215">
        <f>IFERROR(BT285/BT317,"")</f>
        <v>0.11491513601488</v>
      </c>
      <c r="BU321" s="215">
        <f>IFERROR(BU285/BU317,"")</f>
        <v>0.106262775380422</v>
      </c>
      <c r="BV321" s="215">
        <f>IFERROR(BV285/BV317,"")</f>
        <v>0.114147174529597</v>
      </c>
      <c r="BW321" s="215">
        <f>IFERROR(BW285/BW317,"")</f>
        <v>0.138098356751608</v>
      </c>
      <c r="BX321" s="215">
        <f>IFERROR(BX285/BX317,"")</f>
        <v>0.129648593295246</v>
      </c>
      <c r="BY321" s="24" t="n"/>
      <c r="BZ321" s="24" t="n"/>
      <c r="CA321" s="259" t="n">
        <v>0.114</v>
      </c>
      <c r="CB321" s="259" t="n">
        <v>0.114</v>
      </c>
      <c r="CC321" s="259" t="n">
        <v>0.114</v>
      </c>
      <c r="CD321" s="259" t="n">
        <v>0.114</v>
      </c>
      <c r="CE321" s="259" t="n">
        <v>0.114</v>
      </c>
      <c r="CF321" s="153" t="inlineStr">
        <is>
          <t>Balance-sheet drivers held at FY2025 year-end levels: DSO 51d; settlement assets / obligations 0.153 / 0.227 × GDV; prepaid &amp; other current 11.4%, other noncurrent assets 40.2%, payables 3.0%, accrued expenses 40.5%, other current liabilities 7.4% of net revenue (customer-incentive prepayments and accruals grow with revenue). Year ends compared with year ends.</t>
        </is>
      </c>
    </row>
    <row r="322" ht="15" customHeight="1" s="251">
      <c r="B322" s="25" t="inlineStr">
        <is>
          <t xml:space="preserve">  Other noncurrent assets % of net revenue</t>
        </is>
      </c>
      <c r="C322" s="215">
        <f>IFERROR(C290/C317,"")</f>
        <v>0.229737522376231</v>
      </c>
      <c r="D322" s="215">
        <f>IFERROR(D290/D317,"")</f>
        <v>0.201031615948376</v>
      </c>
      <c r="E322" s="215">
        <f>IFERROR(E290/E317,"")</f>
        <v>0.23344598926196</v>
      </c>
      <c r="F322" s="215">
        <f>IFERROR(F290/F317,"")</f>
        <v>0.25383138080336</v>
      </c>
      <c r="G322" s="215">
        <f>IFERROR(G290/G317,"")</f>
        <v>0.133056508395017</v>
      </c>
      <c r="H322" s="215">
        <f>IFERROR(H290/H317,"")</f>
        <v>0.122728626750074</v>
      </c>
      <c r="I322" s="215">
        <f>IFERROR(I290/I317,"")</f>
        <v>0.117575429576512</v>
      </c>
      <c r="J322" s="215">
        <f>IFERROR(J290/J317,"")</f>
        <v>0.115293809024134</v>
      </c>
      <c r="K322" s="215">
        <f>IFERROR(K290/K317,"")</f>
        <v>0.107466603053435</v>
      </c>
      <c r="L322" s="215">
        <f>IFERROR(L290/L317,"")</f>
        <v>0.106064021641118</v>
      </c>
      <c r="M322" s="215">
        <f>IFERROR(M290/M317,"")</f>
        <v>0.114299153339605</v>
      </c>
      <c r="N322" s="215">
        <f>IFERROR(N290/N317,"")</f>
        <v>0.11646297627606</v>
      </c>
      <c r="O322" s="215">
        <f>IFERROR(O290/O317,"")</f>
        <v>0.105994487827285</v>
      </c>
      <c r="P322" s="215">
        <f>IFERROR(P290/P317,"")</f>
        <v>0.102334875893984</v>
      </c>
      <c r="Q322" s="215">
        <f>IFERROR(Q290/Q317,"")</f>
        <v>0.0987814622453056</v>
      </c>
      <c r="R322" s="215">
        <f>IFERROR(R290/R317,"")</f>
        <v>0.15324917218543</v>
      </c>
      <c r="S322" s="215">
        <f>IFERROR(S290/S317,"")</f>
        <v>0.156339068932756</v>
      </c>
      <c r="T322" s="215">
        <f>IFERROR(T290/T317,"")</f>
        <v>0.175560538116592</v>
      </c>
      <c r="U322" s="215">
        <f>IFERROR(U290/U317,"")</f>
        <v>0.169560669456067</v>
      </c>
      <c r="V322" s="215">
        <f>IFERROR(V290/V317,"")</f>
        <v>0.162154150197628</v>
      </c>
      <c r="W322" s="215">
        <f>IFERROR(W290/W317,"")</f>
        <v>0.19020659515296</v>
      </c>
      <c r="X322" s="215">
        <f>IFERROR(X290/X317,"")</f>
        <v>0.198096617358022</v>
      </c>
      <c r="Y322" s="215">
        <f>IFERROR(Y290/Y317,"")</f>
        <v>0.199918233851186</v>
      </c>
      <c r="Z322" s="215">
        <f>IFERROR(Z290/Z317,"")</f>
        <v>0.18634001484781</v>
      </c>
      <c r="AA322" s="215">
        <f>IFERROR(AA290/AA317,"")</f>
        <v>0.198611111111111</v>
      </c>
      <c r="AB322" s="215">
        <f>IFERROR(AB290/AB317,"")</f>
        <v>0.202830188679245</v>
      </c>
      <c r="AC322" s="215">
        <f>IFERROR(AC290/AC317,"")</f>
        <v>0.207498144023757</v>
      </c>
      <c r="AD322" s="215">
        <f>IFERROR(AD290/AD317,"")</f>
        <v>0.224945135332846</v>
      </c>
      <c r="AE322" s="215">
        <f>IFERROR(AE290/AE317,"")</f>
        <v>0.210203078938749</v>
      </c>
      <c r="AF322" s="215">
        <f>IFERROR(AF290/AF317,"")</f>
        <v>0.192760447321954</v>
      </c>
      <c r="AG322" s="215">
        <f>IFERROR(AG290/AG317,"")</f>
        <v>0.192330917874396</v>
      </c>
      <c r="AH322" s="215">
        <f>IFERROR(AH290/AH317,"")</f>
        <v>0.203888933344003</v>
      </c>
      <c r="AI322" s="215">
        <f>IFERROR(AI290/AI317,"")</f>
        <v>0.221787709497207</v>
      </c>
      <c r="AJ322" s="215">
        <f>IFERROR(AJ290/AJ317,"")</f>
        <v>0.224351978171896</v>
      </c>
      <c r="AK322" s="215">
        <f>IFERROR(AK290/AK317,"")</f>
        <v>0.219792201128784</v>
      </c>
      <c r="AL322" s="215">
        <f>IFERROR(AL290/AL317,"")</f>
        <v>0.254334121355398</v>
      </c>
      <c r="AM322" s="215">
        <f>IFERROR(AM290/AM317,"")</f>
        <v>0.259063545150502</v>
      </c>
      <c r="AN322" s="215">
        <f>IFERROR(AN290/AN317,"")</f>
        <v>0.247492928773464</v>
      </c>
      <c r="AO322" s="215">
        <f>IFERROR(AO290/AO317,"")</f>
        <v>0.271213226355458</v>
      </c>
      <c r="AP322" s="215">
        <f>IFERROR(AP290/AP317,"")</f>
        <v>0.257891202149093</v>
      </c>
      <c r="AQ322" s="215">
        <f>IFERROR(AQ290/AQ317,"")</f>
        <v>0.287041232442229</v>
      </c>
      <c r="AR322" s="215">
        <f>IFERROR(AR290/AR317,"")</f>
        <v>0.300183616655808</v>
      </c>
      <c r="AS322" s="215">
        <f>IFERROR(AS290/AS317,"")</f>
        <v>0.318470940384136</v>
      </c>
      <c r="AT322" s="215">
        <f>IFERROR(AT290/AT317,"")</f>
        <v>0.398275862068966</v>
      </c>
      <c r="AU322" s="215">
        <f>IFERROR(AU290/AU317,"")</f>
        <v>0.363044044826688</v>
      </c>
      <c r="AV322" s="215">
        <f>IFERROR(AV290/AV317,"")</f>
        <v>0.355339805825243</v>
      </c>
      <c r="AW322" s="215">
        <f>IFERROR(AW290/AW317,"")</f>
        <v>0.382720083654663</v>
      </c>
      <c r="AX322" s="215">
        <f>IFERROR(AX290/AX317,"")</f>
        <v>0.371419975932611</v>
      </c>
      <c r="AY322" s="215">
        <f>IFERROR(AY290/AY317,"")</f>
        <v>0.370969522968198</v>
      </c>
      <c r="AZ322" s="215">
        <f>IFERROR(AZ290/AZ317,"")</f>
        <v>0.35295887662989</v>
      </c>
      <c r="BA322" s="215">
        <f>IFERROR(BA290/BA317,"")</f>
        <v>0.35851226993865</v>
      </c>
      <c r="BB322" s="215">
        <f>IFERROR(BB290/BB317,"")</f>
        <v>0.396102520652404</v>
      </c>
      <c r="BC322" s="215">
        <f>IFERROR(BC290/BC317,"")</f>
        <v>0.384797754983549</v>
      </c>
      <c r="BD322" s="215">
        <f>IFERROR(BD290/BD317,"")</f>
        <v>0.358149899945425</v>
      </c>
      <c r="BE322" s="215">
        <f>IFERROR(BE290/BE317,"")</f>
        <v>0.350938151494093</v>
      </c>
      <c r="BF322" s="215">
        <f>IFERROR(BF290/BF317,"")</f>
        <v>0.375236376138903</v>
      </c>
      <c r="BG322" s="215">
        <f>IFERROR(BG290/BG317,"")</f>
        <v>0.392633898457526</v>
      </c>
      <c r="BH322" s="215">
        <f>IFERROR(BH290/BH317,"")</f>
        <v>0.387439109255393</v>
      </c>
      <c r="BI322" s="215">
        <f>IFERROR(BI290/BI317,"")</f>
        <v>0.353325889296539</v>
      </c>
      <c r="BJ322" s="215">
        <f>IFERROR(BJ290/BJ317,"")</f>
        <v>0.35240318383591</v>
      </c>
      <c r="BK322" s="215">
        <f>IFERROR(BK290/BK317,"")</f>
        <v>0.369578497251069</v>
      </c>
      <c r="BL322" s="215">
        <f>IFERROR(BL290/BL317,"")</f>
        <v>0.38568810263766</v>
      </c>
      <c r="BM322" s="215">
        <f>IFERROR(BM290/BM317,"")</f>
        <v>0.410877441713926</v>
      </c>
      <c r="BN322" s="215">
        <f>IFERROR(BN290/BN317,"")</f>
        <v>0.384032466599627</v>
      </c>
      <c r="BO322" s="215">
        <f>IFERROR(BO290/BO317,"")</f>
        <v>0.366569412403311</v>
      </c>
      <c r="BP322" s="215">
        <f>IFERROR(BP290/BP317,"")</f>
        <v>0.386333288823608</v>
      </c>
      <c r="BQ322" s="215">
        <f>IFERROR(BQ290/BQ317,"")</f>
        <v>0.410870877267725</v>
      </c>
      <c r="BR322" s="215">
        <f>IFERROR(BR290/BR317,"")</f>
        <v>0.400344827586207</v>
      </c>
      <c r="BS322" s="215">
        <f>IFERROR(BS290/BS317,"")</f>
        <v>0.363918603221444</v>
      </c>
      <c r="BT322" s="215">
        <f>IFERROR(BT290/BT317,"")</f>
        <v>0.366252034410602</v>
      </c>
      <c r="BU322" s="215">
        <f>IFERROR(BU290/BU317,"")</f>
        <v>0.374233477174654</v>
      </c>
      <c r="BV322" s="215">
        <f>IFERROR(BV290/BV317,"")</f>
        <v>0.402000548931109</v>
      </c>
      <c r="BW322" s="215">
        <f>IFERROR(BW290/BW317,"")</f>
        <v>0.374553465110741</v>
      </c>
      <c r="BX322" s="215">
        <f>IFERROR(BX290/BX317,"")</f>
        <v>0.368222485717366</v>
      </c>
      <c r="BY322" s="24" t="n"/>
      <c r="BZ322" s="24" t="n"/>
      <c r="CA322" s="259" t="n">
        <v>0.402</v>
      </c>
      <c r="CB322" s="259" t="n">
        <v>0.402</v>
      </c>
      <c r="CC322" s="259" t="n">
        <v>0.402</v>
      </c>
      <c r="CD322" s="259" t="n">
        <v>0.402</v>
      </c>
      <c r="CE322" s="259" t="n">
        <v>0.402</v>
      </c>
      <c r="CF322" s="153" t="n"/>
    </row>
    <row r="323" ht="15" customHeight="1" s="251">
      <c r="B323" s="25" t="inlineStr">
        <is>
          <t xml:space="preserve">  Accounts payable % of net revenue</t>
        </is>
      </c>
      <c r="C323" s="215">
        <f>IFERROR(C293/C317,"")</f>
        <v>0.0837792544603638</v>
      </c>
      <c r="D323" s="215">
        <f>IFERROR(D293/D317,"")</f>
        <v>0.0620491351286103</v>
      </c>
      <c r="E323" s="215">
        <f>IFERROR(E293/E317,"")</f>
        <v>0.0525566952480167</v>
      </c>
      <c r="F323" s="215">
        <f>IFERROR(F293/F317,"")</f>
        <v>0.0569586191260333</v>
      </c>
      <c r="G323" s="215">
        <f>IFERROR(G293/G317,"")</f>
        <v>0.0491063368839141</v>
      </c>
      <c r="H323" s="215">
        <f>IFERROR(H293/H317,"")</f>
        <v>0.0536193029490617</v>
      </c>
      <c r="I323" s="215">
        <f>IFERROR(I293/I317,"")</f>
        <v>0.0483019889054255</v>
      </c>
      <c r="J323" s="215">
        <f>IFERROR(J293/J317,"")</f>
        <v>0.0343651626442812</v>
      </c>
      <c r="K323" s="215">
        <f>IFERROR(K293/K317,"")</f>
        <v>0.0308921755725191</v>
      </c>
      <c r="L323" s="215">
        <f>IFERROR(L293/L317,"")</f>
        <v>0.0315599639314698</v>
      </c>
      <c r="M323" s="215">
        <f>IFERROR(M293/M317,"")</f>
        <v>0.0397460018814676</v>
      </c>
      <c r="N323" s="215">
        <f>IFERROR(N293/N317,"")</f>
        <v>0.0404984423676012</v>
      </c>
      <c r="O323" s="215">
        <f>IFERROR(O293/O317,"")</f>
        <v>0.0341065686724851</v>
      </c>
      <c r="P323" s="215">
        <f>IFERROR(P293/P317,"")</f>
        <v>0.0441733277240219</v>
      </c>
      <c r="Q323" s="215">
        <f>IFERROR(Q293/Q317,"")</f>
        <v>0.0318617658809429</v>
      </c>
      <c r="R323" s="215">
        <f>IFERROR(R293/R317,"")</f>
        <v>0.0433567880794702</v>
      </c>
      <c r="S323" s="215">
        <f>IFERROR(S293/S317,"")</f>
        <v>0.0442309722368838</v>
      </c>
      <c r="T323" s="215">
        <f>IFERROR(T293/T317,"")</f>
        <v>0.0455156950672646</v>
      </c>
      <c r="U323" s="215">
        <f>IFERROR(U293/U317,"")</f>
        <v>0.0503138075313808</v>
      </c>
      <c r="V323" s="215">
        <f>IFERROR(V293/V317,"")</f>
        <v>0.0376482213438735</v>
      </c>
      <c r="W323" s="215">
        <f>IFERROR(W293/W317,"")</f>
        <v>0.0468812077870481</v>
      </c>
      <c r="X323" s="215">
        <f>IFERROR(X293/X317,"")</f>
        <v>0.0488259025550843</v>
      </c>
      <c r="Y323" s="215">
        <f>IFERROR(Y293/Y317,"")</f>
        <v>0.0418029435813573</v>
      </c>
      <c r="Z323" s="215">
        <f>IFERROR(Z293/Z317,"")</f>
        <v>0.0419450631031923</v>
      </c>
      <c r="AA323" s="215">
        <f>IFERROR(AA293/AA317,"")</f>
        <v>0.0379340277777778</v>
      </c>
      <c r="AB323" s="215">
        <f>IFERROR(AB293/AB317,"")</f>
        <v>0.0552431059506531</v>
      </c>
      <c r="AC323" s="215">
        <f>IFERROR(AC293/AC317,"")</f>
        <v>0.0565144766146993</v>
      </c>
      <c r="AD323" s="215">
        <f>IFERROR(AD293/AD317,"")</f>
        <v>0.0621799561082663</v>
      </c>
      <c r="AE323" s="215">
        <f>IFERROR(AE293/AE317,"")</f>
        <v>0.0535538814281035</v>
      </c>
      <c r="AF323" s="215">
        <f>IFERROR(AF293/AF317,"")</f>
        <v>0.0531194820482637</v>
      </c>
      <c r="AG323" s="215">
        <f>IFERROR(AG293/AG317,"")</f>
        <v>0.0704257246376812</v>
      </c>
      <c r="AH323" s="215">
        <f>IFERROR(AH293/AH317,"")</f>
        <v>0.0746579179002961</v>
      </c>
      <c r="AI323" s="215">
        <f>IFERROR(AI293/AI317,"")</f>
        <v>0.0258379888268156</v>
      </c>
      <c r="AJ323" s="215">
        <f>IFERROR(AJ293/AJ317,"")</f>
        <v>0.0235334242837654</v>
      </c>
      <c r="AK323" s="215">
        <f>IFERROR(AK293/AK317,"")</f>
        <v>0.0244997434581837</v>
      </c>
      <c r="AL323" s="215">
        <f>IFERROR(AL293/AL317,"")</f>
        <v>0.035263987391647</v>
      </c>
      <c r="AM323" s="215">
        <f>IFERROR(AM293/AM317,"")</f>
        <v>0.0359197324414716</v>
      </c>
      <c r="AN323" s="215">
        <f>IFERROR(AN293/AN317,"")</f>
        <v>0.0326562098225765</v>
      </c>
      <c r="AO323" s="215">
        <f>IFERROR(AO293/AO317,"")</f>
        <v>0.0262582056892779</v>
      </c>
      <c r="AP323" s="215">
        <f>IFERROR(AP293/AP317,"")</f>
        <v>0.0282628162077457</v>
      </c>
      <c r="AQ323" s="215">
        <f>IFERROR(AQ293/AQ317,"")</f>
        <v>0.0276959673765292</v>
      </c>
      <c r="AR323" s="215">
        <f>IFERROR(AR293/AR317,"")</f>
        <v>0.0289640466741693</v>
      </c>
      <c r="AS323" s="215">
        <f>IFERROR(AS293/AS317,"")</f>
        <v>0.0231354452481916</v>
      </c>
      <c r="AT323" s="215">
        <f>IFERROR(AT293/AT317,"")</f>
        <v>0.0276611694152924</v>
      </c>
      <c r="AU323" s="215">
        <f>IFERROR(AU293/AU317,"")</f>
        <v>0.0222178785509513</v>
      </c>
      <c r="AV323" s="215">
        <f>IFERROR(AV293/AV317,"")</f>
        <v>0.0319781553398058</v>
      </c>
      <c r="AW323" s="215">
        <f>IFERROR(AW293/AW317,"")</f>
        <v>0.034442193320698</v>
      </c>
      <c r="AX323" s="215">
        <f>IFERROR(AX293/AX317,"")</f>
        <v>0.0286401925391095</v>
      </c>
      <c r="AY323" s="215">
        <f>IFERROR(AY293/AY317,"")</f>
        <v>0.0302009717314488</v>
      </c>
      <c r="AZ323" s="215">
        <f>IFERROR(AZ293/AZ317,"")</f>
        <v>0.0279338014042126</v>
      </c>
      <c r="BA323" s="215">
        <f>IFERROR(BA293/BA317,"")</f>
        <v>0.0353719325153374</v>
      </c>
      <c r="BB323" s="215">
        <f>IFERROR(BB293/BB317,"")</f>
        <v>0.0390807032408388</v>
      </c>
      <c r="BC323" s="215">
        <f>IFERROR(BC293/BC317,"")</f>
        <v>0.0322237275014515</v>
      </c>
      <c r="BD323" s="215">
        <f>IFERROR(BD293/BD317,"")</f>
        <v>0.0287884300527561</v>
      </c>
      <c r="BE323" s="215">
        <f>IFERROR(BE293/BE317,"")</f>
        <v>0.0267112578179291</v>
      </c>
      <c r="BF323" s="215">
        <f>IFERROR(BF293/BF317,"")</f>
        <v>0.0397971462953412</v>
      </c>
      <c r="BG323" s="215">
        <f>IFERROR(BG293/BG317,"")</f>
        <v>0.0416423078652696</v>
      </c>
      <c r="BH323" s="215">
        <f>IFERROR(BH293/BH317,"")</f>
        <v>0.0319676409185804</v>
      </c>
      <c r="BI323" s="215">
        <f>IFERROR(BI293/BI317,"")</f>
        <v>0.0256420481735524</v>
      </c>
      <c r="BJ323" s="215">
        <f>IFERROR(BJ293/BJ317,"")</f>
        <v>0.0225394152762896</v>
      </c>
      <c r="BK323" s="215">
        <f>IFERROR(BK293/BK317,"")</f>
        <v>0.0318417837507636</v>
      </c>
      <c r="BL323" s="215">
        <f>IFERROR(BL293/BL317,"")</f>
        <v>0.0332297394214679</v>
      </c>
      <c r="BM323" s="215">
        <f>IFERROR(BM293/BM317,"")</f>
        <v>0.031112161310649</v>
      </c>
      <c r="BN323" s="215">
        <f>IFERROR(BN293/BN317,"")</f>
        <v>0.0299885073983623</v>
      </c>
      <c r="BO323" s="215">
        <f>IFERROR(BO293/BO317,"")</f>
        <v>0.0309065002035554</v>
      </c>
      <c r="BP323" s="215">
        <f>IFERROR(BP293/BP317,"")</f>
        <v>0.0310121511550274</v>
      </c>
      <c r="BQ323" s="215">
        <f>IFERROR(BQ293/BQ317,"")</f>
        <v>0.0329818582028615</v>
      </c>
      <c r="BR323" s="215">
        <f>IFERROR(BR293/BR317,"")</f>
        <v>0.0342413793103448</v>
      </c>
      <c r="BS323" s="215">
        <f>IFERROR(BS293/BS317,"")</f>
        <v>0.0251444731341448</v>
      </c>
      <c r="BT323" s="215">
        <f>IFERROR(BT293/BT317,"")</f>
        <v>0.0271739130434783</v>
      </c>
      <c r="BU323" s="215">
        <f>IFERROR(BU293/BU317,"")</f>
        <v>0.0283613445378151</v>
      </c>
      <c r="BV323" s="215">
        <f>IFERROR(BV293/BV317,"")</f>
        <v>0.030465676557592</v>
      </c>
      <c r="BW323" s="215">
        <f>IFERROR(BW293/BW317,"")</f>
        <v>0.0306620623958085</v>
      </c>
      <c r="BX323" s="215">
        <f>IFERROR(BX293/BX317,"")</f>
        <v>0.0304516546297294</v>
      </c>
      <c r="BY323" s="24" t="n"/>
      <c r="BZ323" s="24" t="n"/>
      <c r="CA323" s="259" t="n">
        <v>0.03</v>
      </c>
      <c r="CB323" s="259" t="n">
        <v>0.03</v>
      </c>
      <c r="CC323" s="259" t="n">
        <v>0.03</v>
      </c>
      <c r="CD323" s="259" t="n">
        <v>0.03</v>
      </c>
      <c r="CE323" s="259" t="n">
        <v>0.03</v>
      </c>
      <c r="CF323" s="153" t="n"/>
    </row>
    <row r="324" ht="15" customHeight="1" s="251">
      <c r="B324" s="25" t="inlineStr">
        <is>
          <t xml:space="preserve">  Accrued expenses % of net revenue</t>
        </is>
      </c>
      <c r="C324" s="215">
        <f>IFERROR(C297/C317,"")</f>
        <v>0.281541240513591</v>
      </c>
      <c r="D324" s="215">
        <f>IFERROR(D297/D317,"")</f>
        <v>0.26343722672761</v>
      </c>
      <c r="E324" s="215">
        <f>IFERROR(E297/E317,"")</f>
        <v>0.206759556054171</v>
      </c>
      <c r="F324" s="215">
        <f>IFERROR(F297/F317,"")</f>
        <v>0.240256309275099</v>
      </c>
      <c r="G324" s="215">
        <f>IFERROR(G297/G317,"")</f>
        <v>0.237407474273335</v>
      </c>
      <c r="H324" s="215">
        <f>IFERROR(H297/H317,"")</f>
        <v>0.239797438188859</v>
      </c>
      <c r="I324" s="215">
        <f>IFERROR(I297/I317,"")</f>
        <v>0.236503856041131</v>
      </c>
      <c r="J324" s="215">
        <f>IFERROR(J297/J317,"")</f>
        <v>0.223373557187828</v>
      </c>
      <c r="K324" s="215">
        <f>IFERROR(K297/K317,"")</f>
        <v>0.192748091603053</v>
      </c>
      <c r="L324" s="215">
        <f>IFERROR(L297/L317,"")</f>
        <v>0.225879170423805</v>
      </c>
      <c r="M324" s="215">
        <f>IFERROR(M297/M317,"")</f>
        <v>0.24706020696143</v>
      </c>
      <c r="N324" s="215">
        <f>IFERROR(N297/N317,"")</f>
        <v>0.251737359213995</v>
      </c>
      <c r="O324" s="215">
        <f>IFERROR(O297/O317,"")</f>
        <v>0.244372990353698</v>
      </c>
      <c r="P324" s="215">
        <f>IFERROR(P297/P317,"")</f>
        <v>0.200147244425747</v>
      </c>
      <c r="Q324" s="215">
        <f>IFERROR(Q297/Q317,"")</f>
        <v>0.2095485417499</v>
      </c>
      <c r="R324" s="215">
        <f>IFERROR(R297/R317,"")</f>
        <v>0.252379966887417</v>
      </c>
      <c r="S324" s="215">
        <f>IFERROR(S297/S317,"")</f>
        <v>0.25746859495408</v>
      </c>
      <c r="T324" s="215">
        <f>IFERROR(T297/T317,"")</f>
        <v>0.243161434977578</v>
      </c>
      <c r="U324" s="215">
        <f>IFERROR(U297/U317,"")</f>
        <v>0.249476987447699</v>
      </c>
      <c r="V324" s="215">
        <f>IFERROR(V297/V317,"")</f>
        <v>0.248221343873518</v>
      </c>
      <c r="W324" s="215">
        <f>IFERROR(W297/W317,"")</f>
        <v>0.274433849821216</v>
      </c>
      <c r="X324" s="215">
        <f>IFERROR(X297/X317,"")</f>
        <v>0.285817730423089</v>
      </c>
      <c r="Y324" s="215">
        <f>IFERROR(Y297/Y317,"")</f>
        <v>0.293949304987735</v>
      </c>
      <c r="Z324" s="215">
        <f>IFERROR(Z297/Z317,"")</f>
        <v>0.255475129918337</v>
      </c>
      <c r="AA324" s="215">
        <f>IFERROR(AA297/AA317,"")</f>
        <v>0.278993055555556</v>
      </c>
      <c r="AB324" s="215">
        <f>IFERROR(AB297/AB317,"")</f>
        <v>0.300979680696662</v>
      </c>
      <c r="AC324" s="215">
        <f>IFERROR(AC297/AC317,"")</f>
        <v>0.307906458797327</v>
      </c>
      <c r="AD324" s="215">
        <f>IFERROR(AD297/AD317,"")</f>
        <v>0.288771031455743</v>
      </c>
      <c r="AE324" s="215">
        <f>IFERROR(AE297/AE317,"")</f>
        <v>0.270717327219129</v>
      </c>
      <c r="AF324" s="215">
        <f>IFERROR(AF297/AF317,"")</f>
        <v>0.271115361977634</v>
      </c>
      <c r="AG324" s="215">
        <f>IFERROR(AG297/AG317,"")</f>
        <v>0.296724033816425</v>
      </c>
      <c r="AH324" s="215">
        <f>IFERROR(AH297/AH317,"")</f>
        <v>0.314555493318396</v>
      </c>
      <c r="AI324" s="215">
        <f>IFERROR(AI297/AI317,"")</f>
        <v>0.314315642458101</v>
      </c>
      <c r="AJ324" s="215">
        <f>IFERROR(AJ297/AJ317,"")</f>
        <v>0.301364256480218</v>
      </c>
      <c r="AK324" s="215">
        <f>IFERROR(AK297/AK317,"")</f>
        <v>0.304322729604926</v>
      </c>
      <c r="AL324" s="215">
        <f>IFERROR(AL297/AL317,"")</f>
        <v>0.311728395061728</v>
      </c>
      <c r="AM324" s="215">
        <f>IFERROR(AM297/AM317,"")</f>
        <v>0.31752508361204</v>
      </c>
      <c r="AN324" s="215">
        <f>IFERROR(AN297/AN317,"")</f>
        <v>0.278284906145539</v>
      </c>
      <c r="AO324" s="215">
        <f>IFERROR(AO297/AO317,"")</f>
        <v>0.288840262582057</v>
      </c>
      <c r="AP324" s="215">
        <f>IFERROR(AP297/AP317,"")</f>
        <v>0.278990373852698</v>
      </c>
      <c r="AQ324" s="215">
        <f>IFERROR(AQ297/AQ317,"")</f>
        <v>0.310885817852288</v>
      </c>
      <c r="AR324" s="215">
        <f>IFERROR(AR297/AR317,"")</f>
        <v>0.325119943138068</v>
      </c>
      <c r="AS324" s="215">
        <f>IFERROR(AS297/AS317,"")</f>
        <v>0.291593913694188</v>
      </c>
      <c r="AT324" s="215">
        <f>IFERROR(AT297/AT317,"")</f>
        <v>0.339580209895053</v>
      </c>
      <c r="AU324" s="215">
        <f>IFERROR(AU297/AU317,"")</f>
        <v>0.326492051081574</v>
      </c>
      <c r="AV324" s="215">
        <f>IFERROR(AV297/AV317,"")</f>
        <v>0.329490291262136</v>
      </c>
      <c r="AW324" s="215">
        <f>IFERROR(AW297/AW317,"")</f>
        <v>0.354878766093719</v>
      </c>
      <c r="AX324" s="215">
        <f>IFERROR(AX297/AX317,"")</f>
        <v>0.312876052948255</v>
      </c>
      <c r="AY324" s="215">
        <f>IFERROR(AY297/AY317,"")</f>
        <v>0.30719964664311</v>
      </c>
      <c r="AZ324" s="215">
        <f>IFERROR(AZ297/AZ317,"")</f>
        <v>0.299097291875627</v>
      </c>
      <c r="BA324" s="215">
        <f>IFERROR(BA297/BA317,"")</f>
        <v>0.318347392638037</v>
      </c>
      <c r="BB324" s="215">
        <f>IFERROR(BB297/BB317,"")</f>
        <v>0.351726329167549</v>
      </c>
      <c r="BC324" s="215">
        <f>IFERROR(BC297/BC317,"")</f>
        <v>0.288078188503968</v>
      </c>
      <c r="BD324" s="215">
        <f>IFERROR(BD297/BD317,"")</f>
        <v>0.27792432235765</v>
      </c>
      <c r="BE324" s="215">
        <f>IFERROR(BE297/BE317,"")</f>
        <v>0.299166087560806</v>
      </c>
      <c r="BF324" s="215">
        <f>IFERROR(BF297/BF317,"")</f>
        <v>0.33526731992436</v>
      </c>
      <c r="BG324" s="215">
        <f>IFERROR(BG297/BG317,"")</f>
        <v>0.350811710212709</v>
      </c>
      <c r="BH324" s="215">
        <f>IFERROR(BH297/BH317,"")</f>
        <v>0.317936673625609</v>
      </c>
      <c r="BI324" s="215">
        <f>IFERROR(BI297/BI317,"")</f>
        <v>0.283817195724996</v>
      </c>
      <c r="BJ324" s="215">
        <f>IFERROR(BJ297/BJ317,"")</f>
        <v>0.29752793509873</v>
      </c>
      <c r="BK324" s="215">
        <f>IFERROR(BK297/BK317,"")</f>
        <v>0.325175626145388</v>
      </c>
      <c r="BL324" s="215">
        <f>IFERROR(BL297/BL317,"")</f>
        <v>0.339349748983983</v>
      </c>
      <c r="BM324" s="215">
        <f>IFERROR(BM297/BM317,"")</f>
        <v>0.317501575299307</v>
      </c>
      <c r="BN324" s="215">
        <f>IFERROR(BN297/BN317,"")</f>
        <v>0.287566441603218</v>
      </c>
      <c r="BO324" s="215">
        <f>IFERROR(BO297/BO317,"")</f>
        <v>0.308895372506446</v>
      </c>
      <c r="BP324" s="215">
        <f>IFERROR(BP297/BP317,"")</f>
        <v>0.346942181866738</v>
      </c>
      <c r="BQ324" s="215">
        <f>IFERROR(BQ297/BQ317,"")</f>
        <v>0.368977881918557</v>
      </c>
      <c r="BR324" s="215">
        <f>IFERROR(BR297/BR317,"")</f>
        <v>0.319413793103448</v>
      </c>
      <c r="BS324" s="215">
        <f>IFERROR(BS297/BS317,"")</f>
        <v>0.310955367023239</v>
      </c>
      <c r="BT324" s="215">
        <f>IFERROR(BT297/BT317,"")</f>
        <v>0.348145780051151</v>
      </c>
      <c r="BU324" s="215">
        <f>IFERROR(BU297/BU317,"")</f>
        <v>0.376788553259142</v>
      </c>
      <c r="BV324" s="215">
        <f>IFERROR(BV297/BV317,"")</f>
        <v>0.404745204476838</v>
      </c>
      <c r="BW324" s="215">
        <f>IFERROR(BW297/BW317,"")</f>
        <v>0.366962371993332</v>
      </c>
      <c r="BX324" s="215">
        <f>IFERROR(BX297/BX317,"")</f>
        <v>0.351056375983615</v>
      </c>
      <c r="BY324" s="24" t="n"/>
      <c r="BZ324" s="24" t="n"/>
      <c r="CA324" s="259" t="n">
        <v>0.405</v>
      </c>
      <c r="CB324" s="259" t="n">
        <v>0.405</v>
      </c>
      <c r="CC324" s="259" t="n">
        <v>0.405</v>
      </c>
      <c r="CD324" s="259" t="n">
        <v>0.405</v>
      </c>
      <c r="CE324" s="259" t="n">
        <v>0.405</v>
      </c>
      <c r="CF324" s="153" t="n"/>
    </row>
    <row r="325" ht="15" customHeight="1" s="251">
      <c r="B325" s="25" t="inlineStr">
        <is>
          <t xml:space="preserve">  Other current liabilities % of net revenue</t>
        </is>
      </c>
      <c r="C325" s="215">
        <f>IFERROR(C299/C317,"")</f>
        <v>0.0250373262891926</v>
      </c>
      <c r="D325" s="215">
        <f>IFERROR(D299/D317,"")</f>
        <v>0.0260337855329397</v>
      </c>
      <c r="E325" s="215">
        <f>IFERROR(E299/E317,"")</f>
        <v>0.0236699655421107</v>
      </c>
      <c r="F325" s="215">
        <f>IFERROR(F299/F317,"")</f>
        <v>0.0238641971143927</v>
      </c>
      <c r="G325" s="215">
        <f>IFERROR(G299/G317,"")</f>
        <v>0.0232894024192092</v>
      </c>
      <c r="H325" s="215">
        <f>IFERROR(H299/H317,"")</f>
        <v>0.0205540661304736</v>
      </c>
      <c r="I325" s="215">
        <f>IFERROR(I299/I317,"")</f>
        <v>0.0316601271817075</v>
      </c>
      <c r="J325" s="215">
        <f>IFERROR(J299/J317,"")</f>
        <v>0.037906610703043</v>
      </c>
      <c r="K325" s="215">
        <f>IFERROR(K299/K317,"")</f>
        <v>0.0335162213740458</v>
      </c>
      <c r="L325" s="215">
        <f>IFERROR(L299/L317,"")</f>
        <v>0.0352795311091073</v>
      </c>
      <c r="M325" s="215">
        <f>IFERROR(M299/M317,"")</f>
        <v>0.0426857949200376</v>
      </c>
      <c r="N325" s="215">
        <f>IFERROR(N299/N317,"")</f>
        <v>0.0434938892882818</v>
      </c>
      <c r="O325" s="215">
        <f>IFERROR(O299/O317,"")</f>
        <v>0.0485760220486909</v>
      </c>
      <c r="P325" s="215">
        <f>IFERROR(P299/P317,"")</f>
        <v>0.0436474547749264</v>
      </c>
      <c r="Q325" s="215">
        <f>IFERROR(Q299/Q317,"")</f>
        <v>0.0463443867359169</v>
      </c>
      <c r="R325" s="215">
        <f>IFERROR(R299/R317,"")</f>
        <v>0.0518418874172185</v>
      </c>
      <c r="S325" s="215">
        <f>IFERROR(S299/S317,"")</f>
        <v>0.0528871529610472</v>
      </c>
      <c r="T325" s="215">
        <f>IFERROR(T299/T317,"")</f>
        <v>0.05347533632287</v>
      </c>
      <c r="U325" s="215">
        <f>IFERROR(U299/U317,"")</f>
        <v>0.0583682008368201</v>
      </c>
      <c r="V325" s="215">
        <f>IFERROR(V299/V317,"")</f>
        <v>0.0578063241106719</v>
      </c>
      <c r="W325" s="215">
        <f>IFERROR(W299/W317,"")</f>
        <v>0.0560190703218117</v>
      </c>
      <c r="X325" s="215">
        <f>IFERROR(X299/X317,"")</f>
        <v>0.0583428157649736</v>
      </c>
      <c r="Y325" s="215">
        <f>IFERROR(Y299/Y317,"")</f>
        <v>0.0673548650858545</v>
      </c>
      <c r="Z325" s="215">
        <f>IFERROR(Z299/Z317,"")</f>
        <v>0.0633815887156644</v>
      </c>
      <c r="AA325" s="215">
        <f>IFERROR(AA299/AA317,"")</f>
        <v>0.0611979166666667</v>
      </c>
      <c r="AB325" s="215">
        <f>IFERROR(AB299/AB317,"")</f>
        <v>0.0562409288824383</v>
      </c>
      <c r="AC325" s="215">
        <f>IFERROR(AC299/AC317,"")</f>
        <v>0.0575352635486266</v>
      </c>
      <c r="AD325" s="215">
        <f>IFERROR(AD299/AD317,"")</f>
        <v>0.0655632772494514</v>
      </c>
      <c r="AE325" s="215">
        <f>IFERROR(AE299/AE317,"")</f>
        <v>0.0645266950540452</v>
      </c>
      <c r="AF325" s="215">
        <f>IFERROR(AF299/AF317,"")</f>
        <v>0.0618010594467334</v>
      </c>
      <c r="AG325" s="215">
        <f>IFERROR(AG299/AG317,"")</f>
        <v>0.0597826086956522</v>
      </c>
      <c r="AH325" s="215">
        <f>IFERROR(AH299/AH317,"")</f>
        <v>0.0633752100504121</v>
      </c>
      <c r="AI325" s="215">
        <f>IFERROR(AI299/AI317,"")</f>
        <v>0.0701117318435754</v>
      </c>
      <c r="AJ325" s="215">
        <f>IFERROR(AJ299/AJ317,"")</f>
        <v>0.103615279672578</v>
      </c>
      <c r="AK325" s="215">
        <f>IFERROR(AK299/AK317,"")</f>
        <v>0.0624037968188815</v>
      </c>
      <c r="AL325" s="215">
        <f>IFERROR(AL299/AL317,"")</f>
        <v>0.0623194116101918</v>
      </c>
      <c r="AM325" s="215">
        <f>IFERROR(AM299/AM317,"")</f>
        <v>0.0634782608695652</v>
      </c>
      <c r="AN325" s="215">
        <f>IFERROR(AN299/AN317,"")</f>
        <v>0.0707765492414502</v>
      </c>
      <c r="AO325" s="215">
        <f>IFERROR(AO299/AO317,"")</f>
        <v>0.0599927060539752</v>
      </c>
      <c r="AP325" s="215">
        <f>IFERROR(AP299/AP317,"")</f>
        <v>0.0534475039176181</v>
      </c>
      <c r="AQ325" s="215">
        <f>IFERROR(AQ299/AQ317,"")</f>
        <v>0.0525600362483009</v>
      </c>
      <c r="AR325" s="215">
        <f>IFERROR(AR299/AR317,"")</f>
        <v>0.0549665343836996</v>
      </c>
      <c r="AS325" s="215">
        <f>IFERROR(AS299/AS317,"")</f>
        <v>0.0714642055375405</v>
      </c>
      <c r="AT325" s="215">
        <f>IFERROR(AT299/AT317,"")</f>
        <v>0.0821589205397301</v>
      </c>
      <c r="AU325" s="215">
        <f>IFERROR(AU299/AU317,"")</f>
        <v>0.0723872817305186</v>
      </c>
      <c r="AV325" s="215">
        <f>IFERROR(AV299/AV317,"")</f>
        <v>0.0745145631067961</v>
      </c>
      <c r="AW325" s="215">
        <f>IFERROR(AW299/AW317,"")</f>
        <v>0.0802561924057251</v>
      </c>
      <c r="AX325" s="215">
        <f>IFERROR(AX299/AX317,"")</f>
        <v>0.0753910950661853</v>
      </c>
      <c r="AY325" s="215">
        <f>IFERROR(AY299/AY317,"")</f>
        <v>0.0693462897526502</v>
      </c>
      <c r="AZ325" s="215">
        <f>IFERROR(AZ299/AZ317,"")</f>
        <v>0.0613841524573721</v>
      </c>
      <c r="BA325" s="215">
        <f>IFERROR(BA299/BA317,"")</f>
        <v>0.0653757668711656</v>
      </c>
      <c r="BB325" s="215">
        <f>IFERROR(BB299/BB317,"")</f>
        <v>0.0722304596483796</v>
      </c>
      <c r="BC325" s="215">
        <f>IFERROR(BC299/BC317,"")</f>
        <v>0.0704470679311012</v>
      </c>
      <c r="BD325" s="215">
        <f>IFERROR(BD299/BD317,"")</f>
        <v>0.0632162997998909</v>
      </c>
      <c r="BE325" s="215">
        <f>IFERROR(BE299/BE317,"")</f>
        <v>0.0584173036831133</v>
      </c>
      <c r="BF325" s="215">
        <f>IFERROR(BF299/BF317,"")</f>
        <v>0.0600395392814165</v>
      </c>
      <c r="BG325" s="215">
        <f>IFERROR(BG299/BG317,"")</f>
        <v>0.0628232225569996</v>
      </c>
      <c r="BH325" s="215">
        <f>IFERROR(BH299/BH317,"")</f>
        <v>0.0758959638135004</v>
      </c>
      <c r="BI325" s="215">
        <f>IFERROR(BI299/BI317,"")</f>
        <v>0.0636465145956293</v>
      </c>
      <c r="BJ325" s="215">
        <f>IFERROR(BJ299/BJ317,"")</f>
        <v>0.0584341037808051</v>
      </c>
      <c r="BK325" s="215">
        <f>IFERROR(BK299/BK317,"")</f>
        <v>0.0614309712889432</v>
      </c>
      <c r="BL325" s="215">
        <f>IFERROR(BL299/BL317,"")</f>
        <v>0.0641086939198342</v>
      </c>
      <c r="BM325" s="215">
        <f>IFERROR(BM299/BM317,"")</f>
        <v>0.0664382482671708</v>
      </c>
      <c r="BN325" s="215">
        <f>IFERROR(BN299/BN317,"")</f>
        <v>0.0637480247090935</v>
      </c>
      <c r="BO325" s="215">
        <f>IFERROR(BO299/BO317,"")</f>
        <v>0.063305740263265</v>
      </c>
      <c r="BP325" s="215">
        <f>IFERROR(BP299/BP317,"")</f>
        <v>0.0676992922953665</v>
      </c>
      <c r="BQ325" s="215">
        <f>IFERROR(BQ299/BQ317,"")</f>
        <v>0.0719991479390777</v>
      </c>
      <c r="BR325" s="215">
        <f>IFERROR(BR299/BR317,"")</f>
        <v>0.0749655172413793</v>
      </c>
      <c r="BS325" s="215">
        <f>IFERROR(BS299/BS317,"")</f>
        <v>0.0733124308373294</v>
      </c>
      <c r="BT325" s="215">
        <f>IFERROR(BT299/BT317,"")</f>
        <v>0.0685887003022553</v>
      </c>
      <c r="BU325" s="215">
        <f>IFERROR(BU299/BU317,"")</f>
        <v>0.0684760390642744</v>
      </c>
      <c r="BV325" s="215">
        <f>IFERROR(BV299/BV317,"")</f>
        <v>0.0735567686255375</v>
      </c>
      <c r="BW325" s="215">
        <f>IFERROR(BW299/BW317,"")</f>
        <v>0.0785603715170279</v>
      </c>
      <c r="BX325" s="215">
        <f>IFERROR(BX299/BX317,"")</f>
        <v>0.0737576802845748</v>
      </c>
      <c r="BY325" s="24" t="n"/>
      <c r="BZ325" s="24" t="n"/>
      <c r="CA325" s="259" t="n">
        <v>0.074</v>
      </c>
      <c r="CB325" s="259" t="n">
        <v>0.074</v>
      </c>
      <c r="CC325" s="259" t="n">
        <v>0.074</v>
      </c>
      <c r="CD325" s="259" t="n">
        <v>0.074</v>
      </c>
      <c r="CE325" s="259" t="n">
        <v>0.074</v>
      </c>
      <c r="CF325" s="153" t="n"/>
    </row>
    <row r="326" ht="15" customHeight="1" s="251">
      <c r="B326" s="25" t="inlineStr">
        <is>
          <t xml:space="preserve">  Operating NWC (receivables + settlement assets + prepaid &amp; other − payables − settlement obligations − accrued − other current)</t>
        </is>
      </c>
      <c r="C326" s="211">
        <f>IF(ISNUMBER(C283),C283+C284+C285-C293-C294-C297-C299,"")</f>
        <v>-601.007</v>
      </c>
      <c r="D326" s="211">
        <f>IF(ISNUMBER(D283),D283+D284+D285-D293-D294-D297-D299,"")</f>
        <v>-554.348</v>
      </c>
      <c r="E326" s="211">
        <f>IF(ISNUMBER(E283),E283+E284+E285-E293-E294-E297-E299,"")</f>
        <v>90.216</v>
      </c>
      <c r="F326" s="211">
        <f>IF(ISNUMBER(F283),F283+F284+F285-F293-F294-F297-F299,"")</f>
        <v>-437.283</v>
      </c>
      <c r="G326" s="211">
        <f>IF(ISNUMBER(G283),G283+G284+G285-G293-G294-G297-G299,"")</f>
        <v>-589</v>
      </c>
      <c r="H326" s="211">
        <f>IF(ISNUMBER(H283),H283+H284+H285-H293-H294-H297-H299,"")</f>
        <v>-651</v>
      </c>
      <c r="I326" s="211">
        <f>IF(ISNUMBER(I283),I283+I284+I285-I293-I294-I297-I299,"")</f>
        <v>-552</v>
      </c>
      <c r="J326" s="211">
        <f>IF(ISNUMBER(J283),J283+J284+J285-J293-J294-J297-J299,"")</f>
        <v>-651</v>
      </c>
      <c r="K326" s="211">
        <f>IF(ISNUMBER(K283),K283+K284+K285-K293-K294-K297-K299,"")</f>
        <v>-455</v>
      </c>
      <c r="L326" s="211">
        <f>IF(ISNUMBER(L283),L283+L284+L285-L293-L294-L297-L299,"")</f>
        <v>-868</v>
      </c>
      <c r="M326" s="211">
        <f>IF(ISNUMBER(M283),M283+M284+M285-M293-M294-M297-M299,"")</f>
        <v>-1214</v>
      </c>
      <c r="N326" s="211">
        <f>IF(ISNUMBER(N283),N283+N284+N285-N293-N294-N297-N299,"")</f>
        <v>-1214</v>
      </c>
      <c r="O326" s="211">
        <f>IF(ISNUMBER(O283),O283+O284+O285-O293-O294-O297-O299,"")</f>
        <v>-895</v>
      </c>
      <c r="P326" s="211">
        <f>IF(ISNUMBER(P283),P283+P284+P285-P293-P294-P297-P299,"")</f>
        <v>-668</v>
      </c>
      <c r="Q326" s="211">
        <f>IF(ISNUMBER(Q283),Q283+Q284+Q285-Q293-Q294-Q297-Q299,"")</f>
        <v>-963</v>
      </c>
      <c r="R326" s="211">
        <f>IF(ISNUMBER(R283),R283+R284+R285-R293-R294-R297-R299,"")</f>
        <v>-1299</v>
      </c>
      <c r="S326" s="211">
        <f>IF(ISNUMBER(S283),S283+S284+S285-S293-S294-S297-S299,"")</f>
        <v>-1299</v>
      </c>
      <c r="T326" s="211">
        <f>IF(ISNUMBER(T283),T283+T284+T285-T293-T294-T297-T299,"")</f>
        <v>-1194</v>
      </c>
      <c r="U326" s="211">
        <f>IF(ISNUMBER(U283),U283+U284+U285-U293-U294-U297-U299,"")</f>
        <v>-1155</v>
      </c>
      <c r="V326" s="211">
        <f>IF(ISNUMBER(V283),V283+V284+V285-V293-V294-V297-V299,"")</f>
        <v>-1257</v>
      </c>
      <c r="W326" s="211">
        <f>IF(ISNUMBER(W283),W283+W284+W285-W293-W294-W297-W299,"")</f>
        <v>-1854</v>
      </c>
      <c r="X326" s="211">
        <f>IF(ISNUMBER(X283),X283+X284+X285-X293-X294-X297-X299,"")</f>
        <v>-1854</v>
      </c>
      <c r="Y326" s="211">
        <f>IF(ISNUMBER(Y283),Y283+Y284+Y285-Y293-Y294-Y297-Y299,"")</f>
        <v>-1874</v>
      </c>
      <c r="Z326" s="211">
        <f>IF(ISNUMBER(Z283),Z283+Z284+Z285-Z293-Z294-Z297-Z299,"")</f>
        <v>-1643</v>
      </c>
      <c r="AA326" s="211">
        <f>IF(ISNUMBER(AA283),AA283+AA284+AA285-AA293-AA294-AA297-AA299,"")</f>
        <v>-2151</v>
      </c>
      <c r="AB326" s="211">
        <f>IF(ISNUMBER(AB283),AB283+AB284+AB285-AB293-AB294-AB297-AB299,"")</f>
        <v>-2134</v>
      </c>
      <c r="AC326" s="211">
        <f>IF(ISNUMBER(AC283),AC283+AC284+AC285-AC293-AC294-AC297-AC299,"")</f>
        <v>-2134</v>
      </c>
      <c r="AD326" s="211">
        <f>IF(ISNUMBER(AD283),AD283+AD284+AD285-AD293-AD294-AD297-AD299,"")</f>
        <v>-1679</v>
      </c>
      <c r="AE326" s="211">
        <f>IF(ISNUMBER(AE283),AE283+AE284+AE285-AE293-AE294-AE297-AE299,"")</f>
        <v>-1808</v>
      </c>
      <c r="AF326" s="211">
        <f>IF(ISNUMBER(AF283),AF283+AF284+AF285-AF293-AF294-AF297-AF299,"")</f>
        <v>-2012</v>
      </c>
      <c r="AG326" s="211">
        <f>IF(ISNUMBER(AG283),AG283+AG284+AG285-AG293-AG294-AG297-AG299,"")</f>
        <v>-2615</v>
      </c>
      <c r="AH326" s="211">
        <f>IF(ISNUMBER(AH283),AH283+AH284+AH285-AH293-AH294-AH297-AH299,"")</f>
        <v>-2615</v>
      </c>
      <c r="AI326" s="211">
        <f>IF(ISNUMBER(AI283),AI283+AI284+AI285-AI293-AI294-AI297-AI299,"")</f>
        <v>-2229</v>
      </c>
      <c r="AJ326" s="211">
        <f>IF(ISNUMBER(AJ283),AJ283+AJ284+AJ285-AJ293-AJ294-AJ297-AJ299,"")</f>
        <v>-2495</v>
      </c>
      <c r="AK326" s="211">
        <f>IF(ISNUMBER(AK283),AK283+AK284+AK285-AK293-AK294-AK297-AK299,"")</f>
        <v>-2268</v>
      </c>
      <c r="AL326" s="211">
        <f>IF(ISNUMBER(AL283),AL283+AL284+AL285-AL293-AL294-AL297-AL299,"")</f>
        <v>-2262</v>
      </c>
      <c r="AM326" s="211">
        <f>IF(ISNUMBER(AM283),AM283+AM284+AM285-AM293-AM294-AM297-AM299,"")</f>
        <v>-2262</v>
      </c>
      <c r="AN326" s="211">
        <f>IF(ISNUMBER(AN283),AN283+AN284+AN285-AN293-AN294-AN297-AN299,"")</f>
        <v>-1611</v>
      </c>
      <c r="AO326" s="211">
        <f>IF(ISNUMBER(AO283),AO283+AO284+AO285-AO293-AO294-AO297-AO299,"")</f>
        <v>-1559</v>
      </c>
      <c r="AP326" s="211">
        <f>IF(ISNUMBER(AP283),AP283+AP284+AP285-AP293-AP294-AP297-AP299,"")</f>
        <v>-1447</v>
      </c>
      <c r="AQ326" s="211">
        <f>IF(ISNUMBER(AQ283),AQ283+AQ284+AQ285-AQ293-AQ294-AQ297-AQ299,"")</f>
        <v>-2348</v>
      </c>
      <c r="AR326" s="211">
        <f>IF(ISNUMBER(AR283),AR283+AR284+AR285-AR293-AR294-AR297-AR299,"")</f>
        <v>-2348</v>
      </c>
      <c r="AS326" s="211">
        <f>IF(ISNUMBER(AS283),AS283+AS284+AS285-AS293-AS294-AS297-AS299,"")</f>
        <v>-2008</v>
      </c>
      <c r="AT326" s="211">
        <f>IF(ISNUMBER(AT283),AT283+AT284+AT285-AT293-AT294-AT297-AT299,"")</f>
        <v>-1803</v>
      </c>
      <c r="AU326" s="211">
        <f>IF(ISNUMBER(AU283),AU283+AU284+AU285-AU293-AU294-AU297-AU299,"")</f>
        <v>-1902</v>
      </c>
      <c r="AV326" s="211">
        <f>IF(ISNUMBER(AV283),AV283+AV284+AV285-AV293-AV294-AV297-AV299,"")</f>
        <v>-2425</v>
      </c>
      <c r="AW326" s="211">
        <f>IF(ISNUMBER(AW283),AW283+AW284+AW285-AW293-AW294-AW297-AW299,"")</f>
        <v>-2425</v>
      </c>
      <c r="AX326" s="211">
        <f>IF(ISNUMBER(AX283),AX283+AX284+AX285-AX293-AX294-AX297-AX299,"")</f>
        <v>-1901</v>
      </c>
      <c r="AY326" s="211">
        <f>IF(ISNUMBER(AY283),AY283+AY284+AY285-AY293-AY294-AY297-AY299,"")</f>
        <v>-2009</v>
      </c>
      <c r="AZ326" s="211">
        <f>IF(ISNUMBER(AZ283),AZ283+AZ284+AZ285-AZ293-AZ294-AZ297-AZ299,"")</f>
        <v>-2193</v>
      </c>
      <c r="BA326" s="211">
        <f>IF(ISNUMBER(BA283),BA283+BA284+BA285-BA293-BA294-BA297-BA299,"")</f>
        <v>-3061</v>
      </c>
      <c r="BB326" s="211">
        <f>IF(ISNUMBER(BB283),BB283+BB284+BB285-BB293-BB294-BB297-BB299,"")</f>
        <v>-3061</v>
      </c>
      <c r="BC326" s="211">
        <f>IF(ISNUMBER(BC283),BC283+BC284+BC285-BC293-BC294-BC297-BC299,"")</f>
        <v>-2313</v>
      </c>
      <c r="BD326" s="211">
        <f>IF(ISNUMBER(BD283),BD283+BD284+BD285-BD293-BD294-BD297-BD299,"")</f>
        <v>-2159</v>
      </c>
      <c r="BE326" s="211">
        <f>IF(ISNUMBER(BE283),BE283+BE284+BE285-BE293-BE294-BE297-BE299,"")</f>
        <v>-3241</v>
      </c>
      <c r="BF326" s="211">
        <f>IF(ISNUMBER(BF283),BF283+BF284+BF285-BF293-BF294-BF297-BF299,"")</f>
        <v>-4194</v>
      </c>
      <c r="BG326" s="211">
        <f>IF(ISNUMBER(BG283),BG283+BG284+BG285-BG293-BG294-BG297-BG299,"")</f>
        <v>-4194</v>
      </c>
      <c r="BH326" s="211">
        <f>IF(ISNUMBER(BH283),BH283+BH284+BH285-BH293-BH294-BH297-BH299,"")</f>
        <v>-3412</v>
      </c>
      <c r="BI326" s="211">
        <f>IF(ISNUMBER(BI283),BI283+BI284+BI285-BI293-BI294-BI297-BI299,"")</f>
        <v>-2803</v>
      </c>
      <c r="BJ326" s="211">
        <f>IF(ISNUMBER(BJ283),BJ283+BJ284+BJ285-BJ293-BJ294-BJ297-BJ299,"")</f>
        <v>-3216</v>
      </c>
      <c r="BK326" s="211">
        <f>IF(ISNUMBER(BK283),BK283+BK284+BK285-BK293-BK294-BK297-BK299,"")</f>
        <v>-4423</v>
      </c>
      <c r="BL326" s="211">
        <f>IF(ISNUMBER(BL283),BL283+BL284+BL285-BL293-BL294-BL297-BL299,"")</f>
        <v>-4423</v>
      </c>
      <c r="BM326" s="211">
        <f>IF(ISNUMBER(BM283),BM283+BM284+BM285-BM293-BM294-BM297-BM299,"")</f>
        <v>-3457</v>
      </c>
      <c r="BN326" s="211">
        <f>IF(ISNUMBER(BN283),BN283+BN284+BN285-BN293-BN294-BN297-BN299,"")</f>
        <v>-3561</v>
      </c>
      <c r="BO326" s="211">
        <f>IF(ISNUMBER(BO283),BO283+BO284+BO285-BO293-BO294-BO297-BO299,"")</f>
        <v>-4980</v>
      </c>
      <c r="BP326" s="211">
        <f>IF(ISNUMBER(BP283),BP283+BP284+BP285-BP293-BP294-BP297-BP299,"")</f>
        <v>-7080</v>
      </c>
      <c r="BQ326" s="211">
        <f>IF(ISNUMBER(BQ283),BQ283+BQ284+BQ285-BQ293-BQ294-BQ297-BQ299,"")</f>
        <v>-7080</v>
      </c>
      <c r="BR326" s="211">
        <f>IF(ISNUMBER(BR283),BR283+BR284+BR285-BR293-BR294-BR297-BR299,"")</f>
        <v>-5368</v>
      </c>
      <c r="BS326" s="211">
        <f>IF(ISNUMBER(BS283),BS283+BS284+BS285-BS293-BS294-BS297-BS299,"")</f>
        <v>-5763</v>
      </c>
      <c r="BT326" s="211">
        <f>IF(ISNUMBER(BT283),BT283+BT284+BT285-BT293-BT294-BT297-BT299,"")</f>
        <v>-7653</v>
      </c>
      <c r="BU326" s="211">
        <f>IF(ISNUMBER(BU283),BU283+BU284+BU285-BU293-BU294-BU297-BU299,"")</f>
        <v>-9114</v>
      </c>
      <c r="BV326" s="211">
        <f>IF(ISNUMBER(BV283),BV283+BV284+BV285-BV293-BV294-BV297-BV299,"")</f>
        <v>-9114</v>
      </c>
      <c r="BW326" s="211">
        <f>IF(ISNUMBER(BW283),BW283+BW284+BW285-BW293-BW294-BW297-BW299,"")</f>
        <v>-7119</v>
      </c>
      <c r="BX326" s="211">
        <f>IF(ISNUMBER(BX283),BX283+BX284+BX285-BX293-BX294-BX297-BX299,"")</f>
        <v>-7824</v>
      </c>
      <c r="BY326" s="35" t="n"/>
      <c r="BZ326" s="35" t="n"/>
      <c r="CA326" s="254">
        <f>IF(ISNUMBER(CA283),CA283+CA284+CA285-CA293-CA294-CA297-CA299,"")</f>
        <v>-10358.4350982597</v>
      </c>
      <c r="CB326" s="254">
        <f>IF(ISNUMBER(CB283),CB283+CB284+CB285-CB293-CB294-CB297-CB299,"")</f>
        <v>-11607.4453318758</v>
      </c>
      <c r="CC326" s="254">
        <f>IF(ISNUMBER(CC283),CC283+CC284+CC285-CC293-CC294-CC297-CC299,"")</f>
        <v>-12947.8569110162</v>
      </c>
      <c r="CD326" s="254">
        <f>IF(ISNUMBER(CD283),CD283+CD284+CD285-CD293-CD294-CD297-CD299,"")</f>
        <v>-14356.7976310187</v>
      </c>
      <c r="CE326" s="254">
        <f>IF(ISNUMBER(CE283),CE283+CE284+CE285-CE293-CE294-CE297-CE299,"")</f>
        <v>-15819.3363103784</v>
      </c>
      <c r="CF326" s="19" t="n"/>
    </row>
    <row r="327" ht="15" customHeight="1" s="251">
      <c r="B327" s="25" t="inlineStr">
        <is>
          <t xml:space="preserve">  NWC % of net revenue</t>
        </is>
      </c>
      <c r="C327" s="215">
        <f>IF(ISNUMBER(C326),IFERROR(C326/C317,""),"")</f>
        <v>-0.180695618918882</v>
      </c>
      <c r="D327" s="215">
        <f>IF(ISNUMBER(D326),IFERROR(D326/D317,""),"")</f>
        <v>-0.136283837221909</v>
      </c>
      <c r="E327" s="215">
        <f>IF(ISNUMBER(E326),IFERROR(E326/E317,""),"")</f>
        <v>0.0180735635868259</v>
      </c>
      <c r="F327" s="215">
        <f>IF(ISNUMBER(F326),IFERROR(F326/F317,""),"")</f>
        <v>-0.0857638951541221</v>
      </c>
      <c r="G327" s="215">
        <f>IF(ISNUMBER(G326),IFERROR(G326/G317,""),"")</f>
        <v>-0.106336883914064</v>
      </c>
      <c r="H327" s="215">
        <f>IF(ISNUMBER(H326),IFERROR(H326/H317,""),"")</f>
        <v>-0.0969615728328865</v>
      </c>
      <c r="I327" s="215">
        <f>IF(ISNUMBER(I326),IFERROR(I326/I317,""),"")</f>
        <v>-0.0746854282235151</v>
      </c>
      <c r="J327" s="215">
        <f>IF(ISNUMBER(J326),IFERROR(J326/J317,""),"")</f>
        <v>-0.0853882476390346</v>
      </c>
      <c r="K327" s="215">
        <f>IF(ISNUMBER(K326),IFERROR(K326/K317,""),"")</f>
        <v>-0.0542700381679389</v>
      </c>
      <c r="L327" s="215">
        <f>IF(ISNUMBER(L326),IFERROR(L326/L317,""),"")</f>
        <v>-0.0978358881875564</v>
      </c>
      <c r="M327" s="215">
        <f>IF(ISNUMBER(M326),IFERROR(M326/M317,""),"")</f>
        <v>-0.142756349952963</v>
      </c>
      <c r="N327" s="215">
        <f>IF(ISNUMBER(N326),IFERROR(N326/N317,""),"")</f>
        <v>-0.145458902468248</v>
      </c>
      <c r="O327" s="215">
        <f>IF(ISNUMBER(O326),IFERROR(O326/O317,""),"")</f>
        <v>-0.102779053743684</v>
      </c>
      <c r="P327" s="215">
        <f>IF(ISNUMBER(P326),IFERROR(P326/P317,""),"")</f>
        <v>-0.0702566259991586</v>
      </c>
      <c r="Q327" s="215">
        <f>IF(ISNUMBER(Q326),IFERROR(Q326/Q317,""),"")</f>
        <v>-0.0961845785057931</v>
      </c>
      <c r="R327" s="215">
        <f>IF(ISNUMBER(R326),IFERROR(R326/R317,""),"")</f>
        <v>-0.134416390728477</v>
      </c>
      <c r="S327" s="215">
        <f>IF(ISNUMBER(S326),IFERROR(S326/S317,""),"")</f>
        <v>-0.137126570252296</v>
      </c>
      <c r="T327" s="215">
        <f>IF(ISNUMBER(T326),IFERROR(T326/T317,""),"")</f>
        <v>-0.133856502242152</v>
      </c>
      <c r="U327" s="215">
        <f>IF(ISNUMBER(U326),IFERROR(U326/U317,""),"")</f>
        <v>-0.12081589958159</v>
      </c>
      <c r="V327" s="215">
        <f>IF(ISNUMBER(V326),IFERROR(V326/V317,""),"")</f>
        <v>-0.124209486166008</v>
      </c>
      <c r="W327" s="215">
        <f>IF(ISNUMBER(W326),IFERROR(W326/W317,""),"")</f>
        <v>-0.184147794994041</v>
      </c>
      <c r="X327" s="215">
        <f>IF(ISNUMBER(X326),IFERROR(X326/X317,""),"")</f>
        <v>-0.19178649012103</v>
      </c>
      <c r="Y327" s="215">
        <f>IF(ISNUMBER(Y326),IFERROR(Y326/Y317,""),"")</f>
        <v>-0.191537203597711</v>
      </c>
      <c r="Z327" s="215">
        <f>IF(ISNUMBER(Z326),IFERROR(Z326/Z317,""),"")</f>
        <v>-0.15246844840386</v>
      </c>
      <c r="AA327" s="215">
        <f>IF(ISNUMBER(AA326),IFERROR(AA326/AA317,""),"")</f>
        <v>-0.18671875</v>
      </c>
      <c r="AB327" s="215">
        <f>IF(ISNUMBER(AB326),IFERROR(AB326/AB317,""),"")</f>
        <v>-0.193577648766328</v>
      </c>
      <c r="AC327" s="215">
        <f>IF(ISNUMBER(AC326),IFERROR(AC326/AC317,""),"")</f>
        <v>-0.198032665181886</v>
      </c>
      <c r="AD327" s="215">
        <f>IF(ISNUMBER(AD326),IFERROR(AD326/AD317,""),"")</f>
        <v>-0.153529626920263</v>
      </c>
      <c r="AE327" s="215">
        <f>IF(ISNUMBER(AE326),IFERROR(AE326/AE317,""),"")</f>
        <v>-0.148051097281363</v>
      </c>
      <c r="AF327" s="215">
        <f>IF(ISNUMBER(AF326),IFERROR(AF326/AF317,""),"")</f>
        <v>-0.14802825191289</v>
      </c>
      <c r="AG327" s="215">
        <f>IF(ISNUMBER(AG326),IFERROR(AG326/AG317,""),"")</f>
        <v>-0.197388285024155</v>
      </c>
      <c r="AH327" s="215">
        <f>IF(ISNUMBER(AH326),IFERROR(AH326/AH317,""),"")</f>
        <v>-0.209250220052813</v>
      </c>
      <c r="AI327" s="215">
        <f>IF(ISNUMBER(AI326),IFERROR(AI326/AI317,""),"")</f>
        <v>-0.155656424581006</v>
      </c>
      <c r="AJ327" s="215">
        <f>IF(ISNUMBER(AJ326),IFERROR(AJ326/AJ317,""),"")</f>
        <v>-0.170190995907231</v>
      </c>
      <c r="AK327" s="215">
        <f>IF(ISNUMBER(AK326),IFERROR(AK326/AK317,""),"")</f>
        <v>-0.145459209851206</v>
      </c>
      <c r="AL327" s="215">
        <f>IF(ISNUMBER(AL326),IFERROR(AL326/AL317,""),"")</f>
        <v>-0.148542159180457</v>
      </c>
      <c r="AM327" s="215">
        <f>IF(ISNUMBER(AM326),IFERROR(AM326/AM317,""),"")</f>
        <v>-0.151304347826087</v>
      </c>
      <c r="AN327" s="215">
        <f>IF(ISNUMBER(AN326),IFERROR(AN326/AN317,""),"")</f>
        <v>-0.103561326819234</v>
      </c>
      <c r="AO327" s="215">
        <f>IF(ISNUMBER(AO326),IFERROR(AO326/AO317,""),"")</f>
        <v>-0.0947605154388524</v>
      </c>
      <c r="AP327" s="215">
        <f>IF(ISNUMBER(AP326),IFERROR(AP326/AP317,""),"")</f>
        <v>-0.0809827624804119</v>
      </c>
      <c r="AQ327" s="215">
        <f>IF(ISNUMBER(AQ326),IFERROR(AQ326/AQ317,""),"")</f>
        <v>-0.132985953783416</v>
      </c>
      <c r="AR327" s="215">
        <f>IF(ISNUMBER(AR326),IFERROR(AR326/AR317,""),"")</f>
        <v>-0.139074808979447</v>
      </c>
      <c r="AS327" s="215">
        <f>IF(ISNUMBER(AS326),IFERROR(AS326/AS317,""),"")</f>
        <v>-0.125218258917436</v>
      </c>
      <c r="AT327" s="215">
        <f>IF(ISNUMBER(AT326),IFERROR(AT326/AT317,""),"")</f>
        <v>-0.135157421289355</v>
      </c>
      <c r="AU327" s="215">
        <f>IF(ISNUMBER(AU326),IFERROR(AU326/AU317,""),"")</f>
        <v>-0.123924941360438</v>
      </c>
      <c r="AV327" s="215">
        <f>IF(ISNUMBER(AV326),IFERROR(AV326/AV317,""),"")</f>
        <v>-0.147148058252427</v>
      </c>
      <c r="AW327" s="215">
        <f>IF(ISNUMBER(AW326),IFERROR(AW326/AW317,""),"")</f>
        <v>-0.158486373439644</v>
      </c>
      <c r="AX327" s="215">
        <f>IF(ISNUMBER(AX326),IFERROR(AX326/AX317,""),"")</f>
        <v>-0.114380264741276</v>
      </c>
      <c r="AY327" s="215">
        <f>IF(ISNUMBER(AY326),IFERROR(AY326/AY317,""),"")</f>
        <v>-0.11092093639576</v>
      </c>
      <c r="AZ327" s="215">
        <f>IF(ISNUMBER(AZ326),IFERROR(AZ326/AZ317,""),"")</f>
        <v>-0.109979939819458</v>
      </c>
      <c r="BA327" s="215">
        <f>IF(ISNUMBER(BA326),IFERROR(BA326/BA317,""),"")</f>
        <v>-0.146712039877301</v>
      </c>
      <c r="BB327" s="215">
        <f>IF(ISNUMBER(BB326),IFERROR(BB326/BB317,""),"")</f>
        <v>-0.162094895149333</v>
      </c>
      <c r="BC327" s="215">
        <f>IF(ISNUMBER(BC326),IFERROR(BC326/BC317,""),"")</f>
        <v>-0.111912134700987</v>
      </c>
      <c r="BD327" s="215">
        <f>IF(ISNUMBER(BD326),IFERROR(BD326/BD317,""),"")</f>
        <v>-0.0981899217755139</v>
      </c>
      <c r="BE327" s="215">
        <f>IF(ISNUMBER(BE326),IFERROR(BE326/BE317,""),"")</f>
        <v>-0.140766157053509</v>
      </c>
      <c r="BF327" s="215">
        <f>IF(ISNUMBER(BF326),IFERROR(BF326/BF317,""),"")</f>
        <v>-0.180247550283651</v>
      </c>
      <c r="BG327" s="215">
        <f>IF(ISNUMBER(BG326),IFERROR(BG326/BG317,""),"")</f>
        <v>-0.18860457795566</v>
      </c>
      <c r="BH327" s="215">
        <f>IF(ISNUMBER(BH326),IFERROR(BH326/BH317,""),"")</f>
        <v>-0.148399443284621</v>
      </c>
      <c r="BI327" s="215">
        <f>IF(ISNUMBER(BI326),IFERROR(BI326/BI317,""),"")</f>
        <v>-0.111780188227788</v>
      </c>
      <c r="BJ327" s="215">
        <f>IF(ISNUMBER(BJ326),IFERROR(BJ326/BJ317,""),"")</f>
        <v>-0.123067503444053</v>
      </c>
      <c r="BK327" s="215">
        <f>IF(ISNUMBER(BK326),IFERROR(BK326/BK317,""),"")</f>
        <v>-0.168868356750153</v>
      </c>
      <c r="BL327" s="215">
        <f>IF(ISNUMBER(BL326),IFERROR(BL326/BL317,""),"")</f>
        <v>-0.176229181608096</v>
      </c>
      <c r="BM327" s="215">
        <f>IF(ISNUMBER(BM326),IFERROR(BM326/BM317,""),"")</f>
        <v>-0.136145242596093</v>
      </c>
      <c r="BN327" s="215">
        <f>IF(ISNUMBER(BN326),IFERROR(BN326/BN317,""),"")</f>
        <v>-0.127891107599483</v>
      </c>
      <c r="BO327" s="215">
        <f>IF(ISNUMBER(BO326),IFERROR(BO326/BO317,""),"")</f>
        <v>-0.168951010991994</v>
      </c>
      <c r="BP327" s="215">
        <f>IF(ISNUMBER(BP326),IFERROR(BP326/BP317,""),"")</f>
        <v>-0.23634664174122</v>
      </c>
      <c r="BQ327" s="215">
        <f>IF(ISNUMBER(BQ326),IFERROR(BQ326/BQ317,""),"")</f>
        <v>-0.251357972095005</v>
      </c>
      <c r="BR327" s="215">
        <f>IF(ISNUMBER(BR326),IFERROR(BR326/BR317,""),"")</f>
        <v>-0.185103448275862</v>
      </c>
      <c r="BS327" s="215">
        <f>IF(ISNUMBER(BS326),IFERROR(BS326/BS317,""),"")</f>
        <v>-0.177148653633346</v>
      </c>
      <c r="BT327" s="215">
        <f>IF(ISNUMBER(BT326),IFERROR(BT326/BT317,""),"")</f>
        <v>-0.222419204836085</v>
      </c>
      <c r="BU327" s="215">
        <f>IF(ISNUMBER(BU326),IFERROR(BU326/BU317,""),"")</f>
        <v>-0.258744038155803</v>
      </c>
      <c r="BV327" s="215">
        <f>IF(ISNUMBER(BV326),IFERROR(BV326/BV317,""),"")</f>
        <v>-0.277942118264158</v>
      </c>
      <c r="BW327" s="215">
        <f>IF(ISNUMBER(BW326),IFERROR(BW326/BW317,""),"")</f>
        <v>-0.211925458442486</v>
      </c>
      <c r="BX327" s="215">
        <f>IF(ISNUMBER(BX326),IFERROR(BX326/BX317,""),"")</f>
        <v>-0.210844022852215</v>
      </c>
      <c r="BY327" s="24" t="n"/>
      <c r="BZ327" s="24" t="n"/>
      <c r="CA327" s="256">
        <f>IF(ISNUMBER(CA326),IFERROR(CA326/CA317,""),"")</f>
        <v>-0.278319494248775</v>
      </c>
      <c r="CB327" s="256">
        <f>IF(ISNUMBER(CB326),IFERROR(CB326/CB317,""),"")</f>
        <v>-0.277524008542151</v>
      </c>
      <c r="CC327" s="256">
        <f>IF(ISNUMBER(CC326),IFERROR(CC326/CC317,""),"")</f>
        <v>-0.276756774763036</v>
      </c>
      <c r="CD327" s="256">
        <f>IF(ISNUMBER(CD326),IFERROR(CD326/CD317,""),"")</f>
        <v>-0.276152804324356</v>
      </c>
      <c r="CE327" s="256">
        <f>IF(ISNUMBER(CE326),IFERROR(CE326/CE317,""),"")</f>
        <v>-0.275603093980901</v>
      </c>
      <c r="CF327" s="153" t="n"/>
      <c r="CH327" s="37">
        <f>IFERROR(AVERAGE(CA327,CB327,CC327,CD327,CE327),"n/m")</f>
        <v>-0.276871235171844</v>
      </c>
      <c r="CI327" s="37">
        <f>IFERROR(AVERAGE(BB327,BG327,BL327,BQ327,BV327),"n/m")</f>
        <v>-0.21124574901445</v>
      </c>
      <c r="CJ327" s="37">
        <f>IFERROR(AVERAGE(AC327,AH327,AM327,AR327,AW327,BB327,BG327,BL327,BQ327,BV327),"n/m")</f>
        <v>-0.191237716055213</v>
      </c>
      <c r="CK327" s="37">
        <f>IFERROR(AVERAGE(C327,D327,E327,F327,G327,H327,I327,N327,S327,X327,AC327,AH327,AM327,AR327,AW327,BB327,BG327,BL327,BQ327,BV327),"n/m")</f>
        <v>-0.152470139803613</v>
      </c>
    </row>
    <row r="328" ht="15" customHeight="1" s="251">
      <c r="B328" s="25" t="inlineStr">
        <is>
          <t xml:space="preserve">  ΔNWC (y/y)</t>
        </is>
      </c>
      <c r="C328" s="34" t="n"/>
      <c r="D328" s="211">
        <f>IF(AND(ISNUMBER(D326),ISNUMBER(C326)),D326-C326,"")</f>
        <v>46.6590000000002</v>
      </c>
      <c r="E328" s="211">
        <f>IF(AND(ISNUMBER(E326),ISNUMBER(D326)),E326-D326,"")</f>
        <v>644.564</v>
      </c>
      <c r="F328" s="211">
        <f>IF(AND(ISNUMBER(F326),ISNUMBER(E326)),F326-E326,"")</f>
        <v>-527.499</v>
      </c>
      <c r="G328" s="211">
        <f>IF(AND(ISNUMBER(G326),ISNUMBER(F326)),G326-F326,"")</f>
        <v>-151.717</v>
      </c>
      <c r="H328" s="211">
        <f>IF(AND(ISNUMBER(H326),ISNUMBER(G326)),H326-G326,"")</f>
        <v>-62</v>
      </c>
      <c r="I328" s="211">
        <f>IF(AND(ISNUMBER(I326),ISNUMBER(H326)),I326-H326,"")</f>
        <v>99</v>
      </c>
      <c r="J328" s="34" t="n"/>
      <c r="K328" s="34" t="n"/>
      <c r="L328" s="34" t="n"/>
      <c r="M328" s="34" t="n"/>
      <c r="N328" s="211">
        <f>IF(AND(ISNUMBER(N326),ISNUMBER(I326)),N326-I326,"")</f>
        <v>-662</v>
      </c>
      <c r="O328" s="211">
        <f>IF(AND(ISNUMBER(O326),ISNUMBER(J326)),O326-J326,"")</f>
        <v>-244</v>
      </c>
      <c r="P328" s="211">
        <f>IF(AND(ISNUMBER(P326),ISNUMBER(K326)),P326-K326,"")</f>
        <v>-213</v>
      </c>
      <c r="Q328" s="211">
        <f>IF(AND(ISNUMBER(Q326),ISNUMBER(L326)),Q326-L326,"")</f>
        <v>-95</v>
      </c>
      <c r="R328" s="211">
        <f>IF(AND(ISNUMBER(R326),ISNUMBER(M326)),R326-M326,"")</f>
        <v>-85</v>
      </c>
      <c r="S328" s="211">
        <f>IF(AND(ISNUMBER(S326),ISNUMBER(N326)),S326-N326,"")</f>
        <v>-85</v>
      </c>
      <c r="T328" s="211">
        <f>IF(AND(ISNUMBER(T326),ISNUMBER(O326)),T326-O326,"")</f>
        <v>-299</v>
      </c>
      <c r="U328" s="211">
        <f>IF(AND(ISNUMBER(U326),ISNUMBER(P326)),U326-P326,"")</f>
        <v>-487</v>
      </c>
      <c r="V328" s="211">
        <f>IF(AND(ISNUMBER(V326),ISNUMBER(Q326)),V326-Q326,"")</f>
        <v>-294</v>
      </c>
      <c r="W328" s="211">
        <f>IF(AND(ISNUMBER(W326),ISNUMBER(R326)),W326-R326,"")</f>
        <v>-555</v>
      </c>
      <c r="X328" s="211">
        <f>IF(AND(ISNUMBER(X326),ISNUMBER(S326)),X326-S326,"")</f>
        <v>-555</v>
      </c>
      <c r="Y328" s="211">
        <f>IF(AND(ISNUMBER(Y326),ISNUMBER(T326)),Y326-T326,"")</f>
        <v>-680</v>
      </c>
      <c r="Z328" s="211">
        <f>IF(AND(ISNUMBER(Z326),ISNUMBER(U326)),Z326-U326,"")</f>
        <v>-488</v>
      </c>
      <c r="AA328" s="211">
        <f>IF(AND(ISNUMBER(AA326),ISNUMBER(V326)),AA326-V326,"")</f>
        <v>-894</v>
      </c>
      <c r="AB328" s="211">
        <f>IF(AND(ISNUMBER(AB326),ISNUMBER(W326)),AB326-W326,"")</f>
        <v>-280</v>
      </c>
      <c r="AC328" s="211">
        <f>IF(AND(ISNUMBER(AC326),ISNUMBER(X326)),AC326-X326,"")</f>
        <v>-280</v>
      </c>
      <c r="AD328" s="211">
        <f>IF(AND(ISNUMBER(AD326),ISNUMBER(Y326)),AD326-Y326,"")</f>
        <v>195</v>
      </c>
      <c r="AE328" s="211">
        <f>IF(AND(ISNUMBER(AE326),ISNUMBER(Z326)),AE326-Z326,"")</f>
        <v>-165</v>
      </c>
      <c r="AF328" s="211">
        <f>IF(AND(ISNUMBER(AF326),ISNUMBER(AA326)),AF326-AA326,"")</f>
        <v>139</v>
      </c>
      <c r="AG328" s="211">
        <f>IF(AND(ISNUMBER(AG326),ISNUMBER(AB326)),AG326-AB326,"")</f>
        <v>-481</v>
      </c>
      <c r="AH328" s="211">
        <f>IF(AND(ISNUMBER(AH326),ISNUMBER(AC326)),AH326-AC326,"")</f>
        <v>-481</v>
      </c>
      <c r="AI328" s="211">
        <f>IF(AND(ISNUMBER(AI326),ISNUMBER(AD326)),AI326-AD326,"")</f>
        <v>-550</v>
      </c>
      <c r="AJ328" s="211">
        <f>IF(AND(ISNUMBER(AJ326),ISNUMBER(AE326)),AJ326-AE326,"")</f>
        <v>-687</v>
      </c>
      <c r="AK328" s="211">
        <f>IF(AND(ISNUMBER(AK326),ISNUMBER(AF326)),AK326-AF326,"")</f>
        <v>-256</v>
      </c>
      <c r="AL328" s="211">
        <f>IF(AND(ISNUMBER(AL326),ISNUMBER(AG326)),AL326-AG326,"")</f>
        <v>353</v>
      </c>
      <c r="AM328" s="211">
        <f>IF(AND(ISNUMBER(AM326),ISNUMBER(AH326)),AM326-AH326,"")</f>
        <v>353</v>
      </c>
      <c r="AN328" s="211">
        <f>IF(AND(ISNUMBER(AN326),ISNUMBER(AI326)),AN326-AI326,"")</f>
        <v>618</v>
      </c>
      <c r="AO328" s="211">
        <f>IF(AND(ISNUMBER(AO326),ISNUMBER(AJ326)),AO326-AJ326,"")</f>
        <v>936</v>
      </c>
      <c r="AP328" s="211">
        <f>IF(AND(ISNUMBER(AP326),ISNUMBER(AK326)),AP326-AK326,"")</f>
        <v>821</v>
      </c>
      <c r="AQ328" s="211">
        <f>IF(AND(ISNUMBER(AQ326),ISNUMBER(AL326)),AQ326-AL326,"")</f>
        <v>-86</v>
      </c>
      <c r="AR328" s="211">
        <f>IF(AND(ISNUMBER(AR326),ISNUMBER(AM326)),AR326-AM326,"")</f>
        <v>-86</v>
      </c>
      <c r="AS328" s="211">
        <f>IF(AND(ISNUMBER(AS326),ISNUMBER(AN326)),AS326-AN326,"")</f>
        <v>-397</v>
      </c>
      <c r="AT328" s="211">
        <f>IF(AND(ISNUMBER(AT326),ISNUMBER(AO326)),AT326-AO326,"")</f>
        <v>-244</v>
      </c>
      <c r="AU328" s="211">
        <f>IF(AND(ISNUMBER(AU326),ISNUMBER(AP326)),AU326-AP326,"")</f>
        <v>-455</v>
      </c>
      <c r="AV328" s="211">
        <f>IF(AND(ISNUMBER(AV326),ISNUMBER(AQ326)),AV326-AQ326,"")</f>
        <v>-77</v>
      </c>
      <c r="AW328" s="211">
        <f>IF(AND(ISNUMBER(AW326),ISNUMBER(AR326)),AW326-AR326,"")</f>
        <v>-77</v>
      </c>
      <c r="AX328" s="211">
        <f>IF(AND(ISNUMBER(AX326),ISNUMBER(AS326)),AX326-AS326,"")</f>
        <v>107</v>
      </c>
      <c r="AY328" s="211">
        <f>IF(AND(ISNUMBER(AY326),ISNUMBER(AT326)),AY326-AT326,"")</f>
        <v>-206</v>
      </c>
      <c r="AZ328" s="211">
        <f>IF(AND(ISNUMBER(AZ326),ISNUMBER(AU326)),AZ326-AU326,"")</f>
        <v>-291</v>
      </c>
      <c r="BA328" s="211">
        <f>IF(AND(ISNUMBER(BA326),ISNUMBER(AV326)),BA326-AV326,"")</f>
        <v>-636</v>
      </c>
      <c r="BB328" s="211">
        <f>IF(AND(ISNUMBER(BB326),ISNUMBER(AW326)),BB326-AW326,"")</f>
        <v>-636</v>
      </c>
      <c r="BC328" s="211">
        <f>IF(AND(ISNUMBER(BC326),ISNUMBER(AX326)),BC326-AX326,"")</f>
        <v>-412</v>
      </c>
      <c r="BD328" s="211">
        <f>IF(AND(ISNUMBER(BD326),ISNUMBER(AY326)),BD326-AY326,"")</f>
        <v>-150</v>
      </c>
      <c r="BE328" s="211">
        <f>IF(AND(ISNUMBER(BE326),ISNUMBER(AZ326)),BE326-AZ326,"")</f>
        <v>-1048</v>
      </c>
      <c r="BF328" s="211">
        <f>IF(AND(ISNUMBER(BF326),ISNUMBER(BA326)),BF326-BA326,"")</f>
        <v>-1133</v>
      </c>
      <c r="BG328" s="211">
        <f>IF(AND(ISNUMBER(BG326),ISNUMBER(BB326)),BG326-BB326,"")</f>
        <v>-1133</v>
      </c>
      <c r="BH328" s="211">
        <f>IF(AND(ISNUMBER(BH326),ISNUMBER(BC326)),BH326-BC326,"")</f>
        <v>-1099</v>
      </c>
      <c r="BI328" s="211">
        <f>IF(AND(ISNUMBER(BI326),ISNUMBER(BD326)),BI326-BD326,"")</f>
        <v>-644</v>
      </c>
      <c r="BJ328" s="211">
        <f>IF(AND(ISNUMBER(BJ326),ISNUMBER(BE326)),BJ326-BE326,"")</f>
        <v>25</v>
      </c>
      <c r="BK328" s="211">
        <f>IF(AND(ISNUMBER(BK326),ISNUMBER(BF326)),BK326-BF326,"")</f>
        <v>-229</v>
      </c>
      <c r="BL328" s="211">
        <f>IF(AND(ISNUMBER(BL326),ISNUMBER(BG326)),BL326-BG326,"")</f>
        <v>-229</v>
      </c>
      <c r="BM328" s="211">
        <f>IF(AND(ISNUMBER(BM326),ISNUMBER(BH326)),BM326-BH326,"")</f>
        <v>-45</v>
      </c>
      <c r="BN328" s="211">
        <f>IF(AND(ISNUMBER(BN326),ISNUMBER(BI326)),BN326-BI326,"")</f>
        <v>-758</v>
      </c>
      <c r="BO328" s="211">
        <f>IF(AND(ISNUMBER(BO326),ISNUMBER(BJ326)),BO326-BJ326,"")</f>
        <v>-1764</v>
      </c>
      <c r="BP328" s="211">
        <f>IF(AND(ISNUMBER(BP326),ISNUMBER(BK326)),BP326-BK326,"")</f>
        <v>-2657</v>
      </c>
      <c r="BQ328" s="211">
        <f>IF(AND(ISNUMBER(BQ326),ISNUMBER(BL326)),BQ326-BL326,"")</f>
        <v>-2657</v>
      </c>
      <c r="BR328" s="211">
        <f>IF(AND(ISNUMBER(BR326),ISNUMBER(BM326)),BR326-BM326,"")</f>
        <v>-1911</v>
      </c>
      <c r="BS328" s="211">
        <f>IF(AND(ISNUMBER(BS326),ISNUMBER(BN326)),BS326-BN326,"")</f>
        <v>-2202</v>
      </c>
      <c r="BT328" s="211">
        <f>IF(AND(ISNUMBER(BT326),ISNUMBER(BO326)),BT326-BO326,"")</f>
        <v>-2673</v>
      </c>
      <c r="BU328" s="211">
        <f>IF(AND(ISNUMBER(BU326),ISNUMBER(BP326)),BU326-BP326,"")</f>
        <v>-2034</v>
      </c>
      <c r="BV328" s="211">
        <f>IF(AND(ISNUMBER(BV326),ISNUMBER(BQ326)),BV326-BQ326,"")</f>
        <v>-2034</v>
      </c>
      <c r="BW328" s="211">
        <f>IF(AND(ISNUMBER(BW326),ISNUMBER(BR326)),BW326-BR326,"")</f>
        <v>-1751</v>
      </c>
      <c r="BX328" s="211">
        <f>IF(AND(ISNUMBER(BX326),ISNUMBER(BS326)),BX326-BS326,"")</f>
        <v>-2061</v>
      </c>
      <c r="BY328" s="35" t="n"/>
      <c r="BZ328" s="35" t="n"/>
      <c r="CA328" s="254">
        <f>IF(AND(ISNUMBER(CA326),ISNUMBER(BV326)),CA326-BV326,"")</f>
        <v>-1244.43509825966</v>
      </c>
      <c r="CB328" s="254">
        <f>IF(AND(ISNUMBER(CB326),ISNUMBER(CA326)),CB326-CA326,"")</f>
        <v>-1249.01023361611</v>
      </c>
      <c r="CC328" s="254">
        <f>IF(AND(ISNUMBER(CC326),ISNUMBER(CB326)),CC326-CB326,"")</f>
        <v>-1340.41157914047</v>
      </c>
      <c r="CD328" s="254">
        <f>IF(AND(ISNUMBER(CD326),ISNUMBER(CC326)),CD326-CC326,"")</f>
        <v>-1408.94072000244</v>
      </c>
      <c r="CE328" s="254">
        <f>IF(AND(ISNUMBER(CE326),ISNUMBER(CD326)),CE326-CD326,"")</f>
        <v>-1462.53867935977</v>
      </c>
      <c r="CF328" s="19" t="n"/>
    </row>
    <row r="329" ht="15" customHeight="1" s="251">
      <c r="B329" s="25" t="inlineStr">
        <is>
          <t xml:space="preserve">  Property &amp; equipment share of capex (rest = capitalized software)</t>
        </is>
      </c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  <c r="AV329" s="36" t="n"/>
      <c r="AW329" s="36" t="n"/>
      <c r="AX329" s="36" t="n"/>
      <c r="AY329" s="36" t="n"/>
      <c r="AZ329" s="36" t="n"/>
      <c r="BA329" s="36" t="n"/>
      <c r="BB329" s="36" t="n"/>
      <c r="BC329" s="36" t="n"/>
      <c r="BD329" s="36" t="n"/>
      <c r="BE329" s="36" t="n"/>
      <c r="BF329" s="36" t="n"/>
      <c r="BG329" s="36" t="n"/>
      <c r="BH329" s="36" t="n"/>
      <c r="BI329" s="36" t="n"/>
      <c r="BJ329" s="36" t="n"/>
      <c r="BK329" s="36" t="n"/>
      <c r="BL329" s="36" t="n"/>
      <c r="BM329" s="36" t="n"/>
      <c r="BN329" s="36" t="n"/>
      <c r="BO329" s="36" t="n"/>
      <c r="BP329" s="36" t="n"/>
      <c r="BQ329" s="36" t="n"/>
      <c r="BR329" s="36" t="n"/>
      <c r="BS329" s="36" t="n"/>
      <c r="BT329" s="36" t="n"/>
      <c r="BU329" s="36" t="n"/>
      <c r="BV329" s="36" t="n"/>
      <c r="BW329" s="36" t="n"/>
      <c r="BX329" s="36" t="n"/>
      <c r="BY329" s="24" t="n"/>
      <c r="BZ329" s="24" t="n"/>
      <c r="CA329" s="259" t="n">
        <v>0.45</v>
      </c>
      <c r="CB329" s="259" t="n">
        <v>0.45</v>
      </c>
      <c r="CC329" s="259" t="n">
        <v>0.45</v>
      </c>
      <c r="CD329" s="259" t="n">
        <v>0.45</v>
      </c>
      <c r="CE329" s="259" t="n">
        <v>0.45</v>
      </c>
      <c r="CF329" s="19" t="n"/>
    </row>
    <row r="330" ht="15" customHeight="1" s="251">
      <c r="B330" s="25" t="inlineStr">
        <is>
          <t xml:space="preserve">  Depreciation share of organic D&amp;A (rest = amortization of capitalized software / intangibles)</t>
        </is>
      </c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  <c r="AV330" s="36" t="n"/>
      <c r="AW330" s="36" t="n"/>
      <c r="AX330" s="36" t="n"/>
      <c r="AY330" s="36" t="n"/>
      <c r="AZ330" s="36" t="n"/>
      <c r="BA330" s="36" t="n"/>
      <c r="BB330" s="36" t="n"/>
      <c r="BC330" s="36" t="n"/>
      <c r="BD330" s="36" t="n"/>
      <c r="BE330" s="36" t="n"/>
      <c r="BF330" s="36" t="n"/>
      <c r="BG330" s="36" t="n"/>
      <c r="BH330" s="36" t="n"/>
      <c r="BI330" s="36" t="n"/>
      <c r="BJ330" s="36" t="n"/>
      <c r="BK330" s="36" t="n"/>
      <c r="BL330" s="36" t="n"/>
      <c r="BM330" s="36" t="n"/>
      <c r="BN330" s="36" t="n"/>
      <c r="BO330" s="36" t="n"/>
      <c r="BP330" s="36" t="n"/>
      <c r="BQ330" s="36" t="n"/>
      <c r="BR330" s="36" t="n"/>
      <c r="BS330" s="36" t="n"/>
      <c r="BT330" s="36" t="n"/>
      <c r="BU330" s="36" t="n"/>
      <c r="BV330" s="36" t="n"/>
      <c r="BW330" s="36" t="n"/>
      <c r="BX330" s="36" t="n"/>
      <c r="BY330" s="24" t="n"/>
      <c r="BZ330" s="24" t="n"/>
      <c r="CA330" s="259" t="n">
        <v>0.34</v>
      </c>
      <c r="CB330" s="259" t="n">
        <v>0.34</v>
      </c>
      <c r="CC330" s="259" t="n">
        <v>0.34</v>
      </c>
      <c r="CD330" s="259" t="n">
        <v>0.34</v>
      </c>
      <c r="CE330" s="259" t="n">
        <v>0.34</v>
      </c>
      <c r="CF330" s="19" t="inlineStr">
        <is>
          <t>FY2025: amortization of intangible assets $760m (10-K) of $1,1xx m D&amp;A; assumption held.</t>
        </is>
      </c>
    </row>
    <row r="331" ht="15" customHeight="1" s="251">
      <c r="CN331" s="11" t="n"/>
      <c r="CO331" s="12" t="n"/>
      <c r="CP331" s="12" t="n"/>
      <c r="CQ331" s="12" t="n"/>
      <c r="CR331" s="13" t="n"/>
    </row>
    <row r="332" ht="15" customHeight="1" s="251">
      <c r="B332" s="10" t="inlineStr">
        <is>
          <t>BALANCE SHEET FORECAST SCHEDULES</t>
        </is>
      </c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inlineStr">
        <is>
          <t>BS FORECAST SCHEDULES — explicit driver assumptions</t>
        </is>
      </c>
    </row>
    <row r="333" ht="15" customHeight="1" s="251">
      <c r="B333" s="25" t="inlineStr">
        <is>
          <t>Share count &amp; pricing</t>
        </is>
      </c>
      <c r="CF333" s="153" t="n"/>
    </row>
    <row r="334" ht="15" customHeight="1" s="251">
      <c r="B334" s="69" t="inlineStr">
        <is>
          <t xml:space="preserve">  Dilutive securities (m shares; options &amp; RSUs)</t>
        </is>
      </c>
      <c r="C334" s="44" t="n"/>
      <c r="D334" s="44" t="n"/>
      <c r="E334" s="44" t="n"/>
      <c r="F334" s="44" t="n"/>
      <c r="G334" s="44" t="n"/>
      <c r="H334" s="44" t="n"/>
      <c r="I334" s="44" t="n"/>
      <c r="J334" s="44" t="n"/>
      <c r="K334" s="44" t="n"/>
      <c r="L334" s="44" t="n"/>
      <c r="M334" s="44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  <c r="AC334" s="44" t="n"/>
      <c r="AD334" s="44" t="n"/>
      <c r="AE334" s="44" t="n"/>
      <c r="AF334" s="44" t="n"/>
      <c r="AG334" s="44" t="n"/>
      <c r="AH334" s="44" t="n"/>
      <c r="AI334" s="44" t="n"/>
      <c r="AJ334" s="44" t="n"/>
      <c r="AK334" s="44" t="n"/>
      <c r="AL334" s="44" t="n"/>
      <c r="AM334" s="44" t="n"/>
      <c r="AN334" s="44" t="n"/>
      <c r="AO334" s="44" t="n"/>
      <c r="AP334" s="44" t="n"/>
      <c r="AQ334" s="44" t="n"/>
      <c r="AR334" s="44" t="n"/>
      <c r="AS334" s="44" t="n"/>
      <c r="AT334" s="44" t="n"/>
      <c r="AU334" s="44" t="n"/>
      <c r="AV334" s="44" t="n"/>
      <c r="AW334" s="44" t="n"/>
      <c r="AX334" s="44" t="n"/>
      <c r="AY334" s="44" t="n"/>
      <c r="AZ334" s="44" t="n"/>
      <c r="BA334" s="44" t="n"/>
      <c r="BB334" s="44" t="n"/>
      <c r="BC334" s="44" t="n"/>
      <c r="BD334" s="44" t="n"/>
      <c r="BE334" s="44" t="n"/>
      <c r="BF334" s="44" t="n"/>
      <c r="BG334" s="44" t="n"/>
      <c r="BH334" s="44" t="n"/>
      <c r="BI334" s="44" t="n"/>
      <c r="BJ334" s="44" t="n"/>
      <c r="BK334" s="44" t="n"/>
      <c r="BL334" s="44" t="n"/>
      <c r="BM334" s="44" t="n"/>
      <c r="BN334" s="44" t="n"/>
      <c r="BO334" s="44" t="n"/>
      <c r="BP334" s="44" t="n"/>
      <c r="BQ334" s="44" t="n"/>
      <c r="BR334" s="44" t="n"/>
      <c r="BS334" s="44" t="n"/>
      <c r="BT334" s="44" t="n"/>
      <c r="BU334" s="44" t="n"/>
      <c r="BV334" s="44" t="n"/>
      <c r="BW334" s="44" t="n"/>
      <c r="BX334" s="44" t="n"/>
      <c r="BY334" s="153" t="n"/>
      <c r="BZ334" s="153" t="n"/>
      <c r="CA334" s="35" t="n"/>
      <c r="CB334" s="293" t="n">
        <v>1</v>
      </c>
      <c r="CC334" s="293" t="n">
        <v>1</v>
      </c>
      <c r="CD334" s="293" t="n">
        <v>1</v>
      </c>
      <c r="CE334" s="293" t="n">
        <v>1</v>
      </c>
      <c r="CF334" s="19" t="n"/>
    </row>
    <row r="335" ht="15" customHeight="1" s="251">
      <c r="B335" s="69" t="inlineStr">
        <is>
          <t xml:space="preserve">  Share-price appreciation % (buyback pricing)</t>
        </is>
      </c>
      <c r="C335" s="44" t="n"/>
      <c r="D335" s="44" t="n"/>
      <c r="E335" s="44" t="n"/>
      <c r="F335" s="44" t="n"/>
      <c r="G335" s="44" t="n"/>
      <c r="H335" s="44" t="n"/>
      <c r="I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  <c r="Y335" s="44" t="n"/>
      <c r="Z335" s="44" t="n"/>
      <c r="AA335" s="44" t="n"/>
      <c r="AB335" s="44" t="n"/>
      <c r="AC335" s="44" t="n"/>
      <c r="AD335" s="44" t="n"/>
      <c r="AE335" s="44" t="n"/>
      <c r="AF335" s="44" t="n"/>
      <c r="AG335" s="44" t="n"/>
      <c r="AH335" s="44" t="n"/>
      <c r="AI335" s="44" t="n"/>
      <c r="AJ335" s="44" t="n"/>
      <c r="AK335" s="44" t="n"/>
      <c r="AL335" s="44" t="n"/>
      <c r="AM335" s="44" t="n"/>
      <c r="AN335" s="44" t="n"/>
      <c r="AO335" s="44" t="n"/>
      <c r="AP335" s="44" t="n"/>
      <c r="AQ335" s="44" t="n"/>
      <c r="AR335" s="44" t="n"/>
      <c r="AS335" s="44" t="n"/>
      <c r="AT335" s="44" t="n"/>
      <c r="AU335" s="44" t="n"/>
      <c r="AV335" s="44" t="n"/>
      <c r="AW335" s="44" t="n"/>
      <c r="AX335" s="44" t="n"/>
      <c r="AY335" s="44" t="n"/>
      <c r="AZ335" s="44" t="n"/>
      <c r="BA335" s="44" t="n"/>
      <c r="BB335" s="44" t="n"/>
      <c r="BC335" s="44" t="n"/>
      <c r="BD335" s="44" t="n"/>
      <c r="BE335" s="44" t="n"/>
      <c r="BF335" s="44" t="n"/>
      <c r="BG335" s="44" t="n"/>
      <c r="BH335" s="44" t="n"/>
      <c r="BI335" s="44" t="n"/>
      <c r="BJ335" s="44" t="n"/>
      <c r="BK335" s="44" t="n"/>
      <c r="BL335" s="44" t="n"/>
      <c r="BM335" s="44" t="n"/>
      <c r="BN335" s="44" t="n"/>
      <c r="BO335" s="44" t="n"/>
      <c r="BP335" s="44" t="n"/>
      <c r="BQ335" s="44" t="n"/>
      <c r="BR335" s="44" t="n"/>
      <c r="BS335" s="44" t="n"/>
      <c r="BT335" s="44" t="n"/>
      <c r="BU335" s="44" t="n"/>
      <c r="BV335" s="44" t="n"/>
      <c r="BW335" s="44" t="n"/>
      <c r="BX335" s="44" t="n"/>
      <c r="BY335" s="153" t="n"/>
      <c r="BZ335" s="153" t="n"/>
      <c r="CA335" s="35" t="n"/>
      <c r="CB335" s="259" t="n">
        <v>0.09</v>
      </c>
      <c r="CC335" s="259" t="n">
        <v>0.09</v>
      </c>
      <c r="CD335" s="259" t="n">
        <v>0.09</v>
      </c>
      <c r="CE335" s="259" t="n">
        <v>0.09</v>
      </c>
      <c r="CF335" s="19" t="n"/>
    </row>
    <row r="336" ht="15" customHeight="1" s="251">
      <c r="B336" s="25" t="inlineStr">
        <is>
          <t>Debt schedule (senior notes repaid at maturity and refinanced; commercial paper drawn or repaid to a minimum cash balance)</t>
        </is>
      </c>
      <c r="CF336" s="153" t="n"/>
    </row>
    <row r="337" ht="15" customHeight="1" s="251">
      <c r="B337" s="69" t="inlineStr">
        <is>
          <t xml:space="preserve">  Total debt (short-term + long-term debt)</t>
        </is>
      </c>
      <c r="C337" s="211">
        <f>IF(ISNUMBER(C301),N(C298)+C301,"")</f>
        <v>229.668</v>
      </c>
      <c r="D337" s="211">
        <f>IF(ISNUMBER(D301),N(D298)+D301,"")</f>
        <v>229.824</v>
      </c>
      <c r="E337" s="211">
        <f>IF(ISNUMBER(E301),N(E298)+E301,"")</f>
        <v>168.767</v>
      </c>
      <c r="F337" s="211">
        <f>IF(ISNUMBER(F301),N(F298)+F301,"")</f>
        <v>21.598</v>
      </c>
      <c r="G337" s="211">
        <f>IF(ISNUMBER(G301),N(G298)+G301,"")</f>
        <v>0</v>
      </c>
      <c r="H337" s="211">
        <f>IF(ISNUMBER(H301),N(H298)+H301,"")</f>
        <v>0</v>
      </c>
      <c r="I337" s="211">
        <f>IF(ISNUMBER(I301),N(I298)+I301,"")</f>
        <v>0</v>
      </c>
      <c r="J337" s="211">
        <f>IF(ISNUMBER(J301),N(J298)+J301,"")</f>
        <v>0</v>
      </c>
      <c r="K337" s="211">
        <f>IF(ISNUMBER(K301),N(K298)+K301,"")</f>
        <v>0</v>
      </c>
      <c r="L337" s="211">
        <f>IF(ISNUMBER(L301),N(L298)+L301,"")</f>
        <v>0</v>
      </c>
      <c r="M337" s="211">
        <f>IF(ISNUMBER(M301),N(M298)+M301,"")</f>
        <v>0</v>
      </c>
      <c r="N337" s="211">
        <f>IF(ISNUMBER(N301),N(N298)+N301,"")</f>
        <v>0</v>
      </c>
      <c r="O337" s="211">
        <f>IF(ISNUMBER(O301),N(O298)+O301,"")</f>
        <v>1494</v>
      </c>
      <c r="P337" s="211">
        <f>IF(ISNUMBER(P301),N(P298)+P301,"")</f>
        <v>1494</v>
      </c>
      <c r="Q337" s="211">
        <f>IF(ISNUMBER(Q301),N(Q298)+Q301,"")</f>
        <v>1494</v>
      </c>
      <c r="R337" s="211">
        <f>IF(ISNUMBER(R301),N(R298)+R301,"")</f>
        <v>1494</v>
      </c>
      <c r="S337" s="211">
        <f>IF(ISNUMBER(S301),N(S298)+S301,"")</f>
        <v>1494</v>
      </c>
      <c r="T337" s="211">
        <f>IF(ISNUMBER(T301),N(T298)+T301,"")</f>
        <v>1495</v>
      </c>
      <c r="U337" s="211">
        <f>IF(ISNUMBER(U301),N(U298)+U301,"")</f>
        <v>1495</v>
      </c>
      <c r="V337" s="211">
        <f>IF(ISNUMBER(V301),N(V298)+V301,"")</f>
        <v>1495</v>
      </c>
      <c r="W337" s="211">
        <f>IF(ISNUMBER(W301),N(W298)+W301,"")</f>
        <v>3287</v>
      </c>
      <c r="X337" s="211">
        <f>IF(ISNUMBER(X301),N(X298)+X301,"")</f>
        <v>3287</v>
      </c>
      <c r="Y337" s="211">
        <f>IF(ISNUMBER(Y301),N(Y298)+Y301,"")</f>
        <v>3333</v>
      </c>
      <c r="Z337" s="211">
        <f>IF(ISNUMBER(Z301),N(Z298)+Z301,"")</f>
        <v>3306</v>
      </c>
      <c r="AA337" s="211">
        <f>IF(ISNUMBER(AA301),N(AA298)+AA301,"")</f>
        <v>3326</v>
      </c>
      <c r="AB337" s="211">
        <f>IF(ISNUMBER(AB301),N(AB298)+AB301,"")</f>
        <v>5180</v>
      </c>
      <c r="AC337" s="211">
        <f>IF(ISNUMBER(AC301),N(AC298)+AC301,"")</f>
        <v>5180</v>
      </c>
      <c r="AD337" s="211">
        <f>IF(ISNUMBER(AD301),N(AD298)+AD301,"")</f>
        <v>5216</v>
      </c>
      <c r="AE337" s="211">
        <f>IF(ISNUMBER(AE301),N(AE298)+AE301,"")</f>
        <v>5326</v>
      </c>
      <c r="AF337" s="211">
        <f>IF(ISNUMBER(AF301),N(AF298)+AF301,"")</f>
        <v>5393</v>
      </c>
      <c r="AG337" s="211">
        <f>IF(ISNUMBER(AG301),N(AG298)+AG301,"")</f>
        <v>5424</v>
      </c>
      <c r="AH337" s="211">
        <f>IF(ISNUMBER(AH301),N(AH298)+AH301,"")</f>
        <v>5424</v>
      </c>
      <c r="AI337" s="211">
        <f>IF(ISNUMBER(AI301),N(AI298)+AI301,"")</f>
        <v>6469</v>
      </c>
      <c r="AJ337" s="211">
        <f>IF(ISNUMBER(AJ301),N(AJ298)+AJ301,"")</f>
        <v>5858</v>
      </c>
      <c r="AK337" s="211">
        <f>IF(ISNUMBER(AK301),N(AK298)+AK301,"")</f>
        <v>6358</v>
      </c>
      <c r="AL337" s="211">
        <f>IF(ISNUMBER(AL301),N(AL298)+AL301,"")</f>
        <v>6334</v>
      </c>
      <c r="AM337" s="211">
        <f>IF(ISNUMBER(AM301),N(AM298)+AM301,"")</f>
        <v>6334</v>
      </c>
      <c r="AN337" s="211">
        <f>IF(ISNUMBER(AN301),N(AN298)+AN301,"")</f>
        <v>6299</v>
      </c>
      <c r="AO337" s="211">
        <f>IF(ISNUMBER(AO301),N(AO298)+AO301,"")</f>
        <v>7806</v>
      </c>
      <c r="AP337" s="211">
        <f>IF(ISNUMBER(AP301),N(AP298)+AP301,"")</f>
        <v>7735</v>
      </c>
      <c r="AQ337" s="211">
        <f>IF(ISNUMBER(AQ301),N(AQ298)+AQ301,"")</f>
        <v>8527</v>
      </c>
      <c r="AR337" s="211">
        <f>IF(ISNUMBER(AR301),N(AR298)+AR301,"")</f>
        <v>8527</v>
      </c>
      <c r="AS337" s="211">
        <f>IF(ISNUMBER(AS301),N(AS298)+AS301,"")</f>
        <v>12466</v>
      </c>
      <c r="AT337" s="211">
        <f>IF(ISNUMBER(AT301),N(AT298)+AT301,"")</f>
        <v>12498</v>
      </c>
      <c r="AU337" s="211">
        <f>IF(ISNUMBER(AU301),N(AU298)+AU301,"")</f>
        <v>12574</v>
      </c>
      <c r="AV337" s="211">
        <f>IF(ISNUMBER(AV301),N(AV298)+AV301,"")</f>
        <v>12672</v>
      </c>
      <c r="AW337" s="211">
        <f>IF(ISNUMBER(AW301),N(AW298)+AW301,"")</f>
        <v>12672</v>
      </c>
      <c r="AX337" s="211">
        <f>IF(ISNUMBER(AX301),N(AX298)+AX301,"")</f>
        <v>13870</v>
      </c>
      <c r="AY337" s="211">
        <f>IF(ISNUMBER(AY301),N(AY298)+AY301,"")</f>
        <v>13899</v>
      </c>
      <c r="AZ337" s="211">
        <f>IF(ISNUMBER(AZ301),N(AZ298)+AZ301,"")</f>
        <v>13861</v>
      </c>
      <c r="BA337" s="211">
        <f>IF(ISNUMBER(BA301),N(BA298)+BA301,"")</f>
        <v>13901</v>
      </c>
      <c r="BB337" s="211">
        <f>IF(ISNUMBER(BB301),N(BB298)+BB301,"")</f>
        <v>13901</v>
      </c>
      <c r="BC337" s="211">
        <f>IF(ISNUMBER(BC301),N(BC298)+BC301,"")</f>
        <v>14646</v>
      </c>
      <c r="BD337" s="211">
        <f>IF(ISNUMBER(BD301),N(BD298)+BD301,"")</f>
        <v>14481</v>
      </c>
      <c r="BE337" s="211">
        <f>IF(ISNUMBER(BE301),N(BE298)+BE301,"")</f>
        <v>14534</v>
      </c>
      <c r="BF337" s="211">
        <f>IF(ISNUMBER(BF301),N(BF298)+BF301,"")</f>
        <v>14023</v>
      </c>
      <c r="BG337" s="211">
        <f>IF(ISNUMBER(BG301),N(BG298)+BG301,"")</f>
        <v>14023</v>
      </c>
      <c r="BH337" s="211">
        <f>IF(ISNUMBER(BH301),N(BH298)+BH301,"")</f>
        <v>15568</v>
      </c>
      <c r="BI337" s="211">
        <f>IF(ISNUMBER(BI301),N(BI298)+BI301,"")</f>
        <v>15620</v>
      </c>
      <c r="BJ337" s="211">
        <f>IF(ISNUMBER(BJ301),N(BJ298)+BJ301,"")</f>
        <v>15566</v>
      </c>
      <c r="BK337" s="211">
        <f>IF(ISNUMBER(BK301),N(BK298)+BK301,"")</f>
        <v>15681</v>
      </c>
      <c r="BL337" s="211">
        <f>IF(ISNUMBER(BL301),N(BL298)+BL301,"")</f>
        <v>15681</v>
      </c>
      <c r="BM337" s="211">
        <f>IF(ISNUMBER(BM301),N(BM298)+BM301,"")</f>
        <v>15629</v>
      </c>
      <c r="BN337" s="211">
        <f>IF(ISNUMBER(BN301),N(BN298)+BN301,"")</f>
        <v>15605</v>
      </c>
      <c r="BO337" s="211">
        <f>IF(ISNUMBER(BO301),N(BO298)+BO301,"")</f>
        <v>18358</v>
      </c>
      <c r="BP337" s="211">
        <f>IF(ISNUMBER(BP301),N(BP298)+BP301,"")</f>
        <v>18226</v>
      </c>
      <c r="BQ337" s="211">
        <f>IF(ISNUMBER(BQ301),N(BQ298)+BQ301,"")</f>
        <v>18226</v>
      </c>
      <c r="BR337" s="211">
        <f>IF(ISNUMBER(BR301),N(BR298)+BR301,"")</f>
        <v>18802</v>
      </c>
      <c r="BS337" s="211">
        <f>IF(ISNUMBER(BS301),N(BS298)+BS301,"")</f>
        <v>18970</v>
      </c>
      <c r="BT337" s="211">
        <f>IF(ISNUMBER(BT301),N(BT298)+BT301,"")</f>
        <v>18983</v>
      </c>
      <c r="BU337" s="211">
        <f>IF(ISNUMBER(BU301),N(BU298)+BU301,"")</f>
        <v>19000</v>
      </c>
      <c r="BV337" s="211">
        <f>IF(ISNUMBER(BV301),N(BV298)+BV301,"")</f>
        <v>19000</v>
      </c>
      <c r="BW337" s="211">
        <f>IF(ISNUMBER(BW301),N(BW298)+BW301,"")</f>
        <v>18960</v>
      </c>
      <c r="BX337" s="211">
        <f>IF(ISNUMBER(BX301),N(BX298)+BX301,"")</f>
        <v>24643</v>
      </c>
      <c r="BY337" s="153" t="n"/>
      <c r="BZ337" s="153" t="n"/>
      <c r="CA337" s="254">
        <f>CA338+CA344</f>
        <v>23183</v>
      </c>
      <c r="CB337" s="254">
        <f>CB338+CB344</f>
        <v>24171</v>
      </c>
      <c r="CC337" s="254">
        <f>CC338+CC344</f>
        <v>25171</v>
      </c>
      <c r="CD337" s="254">
        <f>CD338+CD344</f>
        <v>26439.4465892268</v>
      </c>
      <c r="CE337" s="254">
        <f>CE338+CE344</f>
        <v>28309.9594361328</v>
      </c>
      <c r="CF337" s="19" t="inlineStr">
        <is>
          <t>Total debt $24,643m at 30-Jun-2026: senior notes $24,088m principal (29 USD / EUR tranches, 1.0–5.0% coupons, Nov-2026 to Mar-2051), commercial paper $710m (3.84%), less $134m discount / costs and $21m hedge adjustment. $8bn revolver to Nov-2030 undrawn; CP + revolver capacity $8bn combined.</t>
        </is>
      </c>
    </row>
    <row r="338" ht="15" customHeight="1" s="251">
      <c r="B338" s="69" t="inlineStr">
        <is>
          <t xml:space="preserve">  Senior notes (carrying amount)</t>
        </is>
      </c>
      <c r="C338" s="44" t="n"/>
      <c r="D338" s="44" t="n"/>
      <c r="E338" s="44" t="n"/>
      <c r="F338" s="44" t="n"/>
      <c r="G338" s="44" t="n"/>
      <c r="H338" s="44" t="n"/>
      <c r="I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  <c r="AC338" s="44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44" t="n"/>
      <c r="AN338" s="44" t="n"/>
      <c r="AO338" s="44" t="n"/>
      <c r="AP338" s="44" t="n"/>
      <c r="AQ338" s="44" t="n"/>
      <c r="AR338" s="44" t="n"/>
      <c r="AS338" s="44" t="n"/>
      <c r="AT338" s="44" t="n"/>
      <c r="AU338" s="44" t="n"/>
      <c r="AV338" s="44" t="n"/>
      <c r="AW338" s="44" t="n"/>
      <c r="AX338" s="44" t="n"/>
      <c r="AY338" s="44" t="n"/>
      <c r="AZ338" s="44" t="n"/>
      <c r="BA338" s="44" t="n"/>
      <c r="BB338" s="44" t="n"/>
      <c r="BC338" s="44" t="n"/>
      <c r="BD338" s="44" t="n"/>
      <c r="BE338" s="44" t="n"/>
      <c r="BF338" s="44" t="n"/>
      <c r="BG338" s="44" t="n"/>
      <c r="BH338" s="44" t="n"/>
      <c r="BI338" s="44" t="n"/>
      <c r="BJ338" s="44" t="n"/>
      <c r="BK338" s="44" t="n"/>
      <c r="BL338" s="44" t="n"/>
      <c r="BM338" s="44" t="n"/>
      <c r="BN338" s="44" t="n"/>
      <c r="BO338" s="44" t="n"/>
      <c r="BP338" s="44" t="n"/>
      <c r="BQ338" s="44" t="n"/>
      <c r="BR338" s="44" t="n"/>
      <c r="BS338" s="44" t="n"/>
      <c r="BT338" s="44" t="n"/>
      <c r="BU338" s="44" t="n"/>
      <c r="BV338" s="44" t="n"/>
      <c r="BW338" s="44" t="n"/>
      <c r="BX338" s="44" t="n"/>
      <c r="BY338" s="153" t="n"/>
      <c r="BZ338" s="153" t="n"/>
      <c r="CA338" s="254">
        <f>BX337-710.0-CA340+CA339</f>
        <v>23183</v>
      </c>
      <c r="CB338" s="254">
        <f>CA338-CB340+CB339</f>
        <v>24171</v>
      </c>
      <c r="CC338" s="254">
        <f>CB338-CC340+CC339</f>
        <v>25171</v>
      </c>
      <c r="CD338" s="254">
        <f>CC338-CD340+CD339</f>
        <v>26166</v>
      </c>
      <c r="CE338" s="254">
        <f>CD338-CE340+CE339</f>
        <v>27195</v>
      </c>
      <c r="CF338" s="19" t="n"/>
    </row>
    <row r="339" ht="15" customHeight="1" s="251">
      <c r="B339" s="69" t="inlineStr">
        <is>
          <t xml:space="preserve">  New notes issued (input)</t>
        </is>
      </c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  <c r="Z339" s="44" t="n"/>
      <c r="AA339" s="44" t="n"/>
      <c r="AB339" s="44" t="n"/>
      <c r="AC339" s="44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  <c r="AQ339" s="44" t="n"/>
      <c r="AR339" s="44" t="n"/>
      <c r="AS339" s="44" t="n"/>
      <c r="AT339" s="44" t="n"/>
      <c r="AU339" s="44" t="n"/>
      <c r="AV339" s="44" t="n"/>
      <c r="AW339" s="44" t="n"/>
      <c r="AX339" s="44" t="n"/>
      <c r="AY339" s="44" t="n"/>
      <c r="AZ339" s="44" t="n"/>
      <c r="BA339" s="44" t="n"/>
      <c r="BB339" s="44" t="n"/>
      <c r="BC339" s="44" t="n"/>
      <c r="BD339" s="44" t="n"/>
      <c r="BE339" s="44" t="n"/>
      <c r="BF339" s="44" t="n"/>
      <c r="BG339" s="44" t="n"/>
      <c r="BH339" s="44" t="n"/>
      <c r="BI339" s="44" t="n"/>
      <c r="BJ339" s="44" t="n"/>
      <c r="BK339" s="44" t="n"/>
      <c r="BL339" s="44" t="n"/>
      <c r="BM339" s="44" t="n"/>
      <c r="BN339" s="44" t="n"/>
      <c r="BO339" s="44" t="n"/>
      <c r="BP339" s="44" t="n"/>
      <c r="BQ339" s="44" t="n"/>
      <c r="BR339" s="44" t="n"/>
      <c r="BS339" s="44" t="n"/>
      <c r="BT339" s="44" t="n"/>
      <c r="BU339" s="44" t="n"/>
      <c r="BV339" s="44" t="n"/>
      <c r="BW339" s="44" t="n"/>
      <c r="BX339" s="44" t="n"/>
      <c r="BY339" s="153" t="n"/>
      <c r="BZ339" s="153" t="n"/>
      <c r="CA339" s="269" t="n">
        <v>0</v>
      </c>
      <c r="CB339" s="269" t="n">
        <v>2900</v>
      </c>
      <c r="CC339" s="269" t="n">
        <v>5500</v>
      </c>
      <c r="CD339" s="269" t="n">
        <v>4000</v>
      </c>
      <c r="CE339" s="269" t="n">
        <v>2700</v>
      </c>
      <c r="CF339" s="19" t="inlineStr">
        <is>
          <t>2026E H2: none (the $5.0bn June-2026 issue is in H1). 2027E+: maturities refinanced plus incremental issuance (assumption, gross debt rising with EBITDA).</t>
        </is>
      </c>
    </row>
    <row r="340" ht="15" customHeight="1" s="251">
      <c r="B340" s="69" t="inlineStr">
        <is>
          <t xml:space="preserve">  Notes repaid at maturity (input)</t>
        </is>
      </c>
      <c r="C340" s="44" t="n"/>
      <c r="D340" s="44" t="n"/>
      <c r="E340" s="44" t="n"/>
      <c r="F340" s="44" t="n"/>
      <c r="G340" s="44" t="n"/>
      <c r="H340" s="44" t="n"/>
      <c r="I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  <c r="AC340" s="44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44" t="n"/>
      <c r="AN340" s="44" t="n"/>
      <c r="AO340" s="44" t="n"/>
      <c r="AP340" s="44" t="n"/>
      <c r="AQ340" s="44" t="n"/>
      <c r="AR340" s="44" t="n"/>
      <c r="AS340" s="44" t="n"/>
      <c r="AT340" s="44" t="n"/>
      <c r="AU340" s="44" t="n"/>
      <c r="AV340" s="44" t="n"/>
      <c r="AW340" s="44" t="n"/>
      <c r="AX340" s="44" t="n"/>
      <c r="AY340" s="44" t="n"/>
      <c r="AZ340" s="44" t="n"/>
      <c r="BA340" s="44" t="n"/>
      <c r="BB340" s="44" t="n"/>
      <c r="BC340" s="44" t="n"/>
      <c r="BD340" s="44" t="n"/>
      <c r="BE340" s="44" t="n"/>
      <c r="BF340" s="44" t="n"/>
      <c r="BG340" s="44" t="n"/>
      <c r="BH340" s="44" t="n"/>
      <c r="BI340" s="44" t="n"/>
      <c r="BJ340" s="44" t="n"/>
      <c r="BK340" s="44" t="n"/>
      <c r="BL340" s="44" t="n"/>
      <c r="BM340" s="44" t="n"/>
      <c r="BN340" s="44" t="n"/>
      <c r="BO340" s="44" t="n"/>
      <c r="BP340" s="44" t="n"/>
      <c r="BQ340" s="44" t="n"/>
      <c r="BR340" s="44" t="n"/>
      <c r="BS340" s="44" t="n"/>
      <c r="BT340" s="44" t="n"/>
      <c r="BU340" s="44" t="n"/>
      <c r="BV340" s="44" t="n"/>
      <c r="BW340" s="44" t="n"/>
      <c r="BX340" s="44" t="n"/>
      <c r="BY340" s="153" t="n"/>
      <c r="BZ340" s="153" t="n"/>
      <c r="CA340" s="269" t="n">
        <v>750</v>
      </c>
      <c r="CB340" s="269" t="n">
        <v>1912</v>
      </c>
      <c r="CC340" s="269" t="n">
        <v>4500</v>
      </c>
      <c r="CD340" s="269" t="n">
        <v>3005</v>
      </c>
      <c r="CE340" s="269" t="n">
        <v>1671</v>
      </c>
      <c r="CF340" s="19" t="inlineStr">
        <is>
          <t>Principal by year (Q2-26 10-Q Note 9): Nov-2026 $750m (2.95%); 2027 $1,912m (Mar $1,000m 3.3%; Dec EUR $912m 2.1%); 2028 $4,500m (Jan $750m, Feb $500m, Mar $1,500m incl. $300m floating, Jun $1,750m incl. $500m floating); 2029 $3,005m (Feb EUR $855m 1.0%, Jun $1,000m 2.95% and $1,150m 4.425%); 2030 $1,671m (Mar $1,500m 3.35%, Dec EUR $171m 2.5%). EUR tranches at the 30-Jun-2026 USD carrying amounts.</t>
        </is>
      </c>
    </row>
    <row r="341" ht="15" customHeight="1" s="251">
      <c r="B341" s="69" t="inlineStr">
        <is>
          <t xml:space="preserve">  Maturities in the following year (current portion)</t>
        </is>
      </c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  <c r="Z341" s="44" t="n"/>
      <c r="AA341" s="44" t="n"/>
      <c r="AB341" s="44" t="n"/>
      <c r="AC341" s="44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  <c r="AQ341" s="44" t="n"/>
      <c r="AR341" s="44" t="n"/>
      <c r="AS341" s="44" t="n"/>
      <c r="AT341" s="44" t="n"/>
      <c r="AU341" s="44" t="n"/>
      <c r="AV341" s="44" t="n"/>
      <c r="AW341" s="44" t="n"/>
      <c r="AX341" s="44" t="n"/>
      <c r="AY341" s="44" t="n"/>
      <c r="AZ341" s="44" t="n"/>
      <c r="BA341" s="44" t="n"/>
      <c r="BB341" s="44" t="n"/>
      <c r="BC341" s="44" t="n"/>
      <c r="BD341" s="44" t="n"/>
      <c r="BE341" s="44" t="n"/>
      <c r="BF341" s="44" t="n"/>
      <c r="BG341" s="44" t="n"/>
      <c r="BH341" s="44" t="n"/>
      <c r="BI341" s="44" t="n"/>
      <c r="BJ341" s="44" t="n"/>
      <c r="BK341" s="44" t="n"/>
      <c r="BL341" s="44" t="n"/>
      <c r="BM341" s="44" t="n"/>
      <c r="BN341" s="44" t="n"/>
      <c r="BO341" s="44" t="n"/>
      <c r="BP341" s="44" t="n"/>
      <c r="BQ341" s="44" t="n"/>
      <c r="BR341" s="44" t="n"/>
      <c r="BS341" s="44" t="n"/>
      <c r="BT341" s="44" t="n"/>
      <c r="BU341" s="44" t="n"/>
      <c r="BV341" s="44" t="n"/>
      <c r="BW341" s="44" t="n"/>
      <c r="BX341" s="44" t="n"/>
      <c r="BY341" s="153" t="n"/>
      <c r="BZ341" s="153" t="n"/>
      <c r="CA341" s="269" t="n">
        <v>1912</v>
      </c>
      <c r="CB341" s="269" t="n">
        <v>4500</v>
      </c>
      <c r="CC341" s="269" t="n">
        <v>3005</v>
      </c>
      <c r="CD341" s="269" t="n">
        <v>1671</v>
      </c>
      <c r="CE341" s="269" t="n">
        <v>2700</v>
      </c>
      <c r="CF341" s="19" t="n"/>
    </row>
    <row r="342" ht="15" customHeight="1" s="251">
      <c r="B342" s="69" t="inlineStr">
        <is>
          <t xml:space="preserve">  Cash before commercial-paper draws / repayments (opening cash + CFO + CFI + buybacks, dividends, other financing + FX − notes repaid + issued)</t>
        </is>
      </c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  <c r="AC342" s="44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  <c r="AQ342" s="44" t="n"/>
      <c r="AR342" s="44" t="n"/>
      <c r="AS342" s="44" t="n"/>
      <c r="AT342" s="44" t="n"/>
      <c r="AU342" s="44" t="n"/>
      <c r="AV342" s="44" t="n"/>
      <c r="AW342" s="44" t="n"/>
      <c r="AX342" s="44" t="n"/>
      <c r="AY342" s="44" t="n"/>
      <c r="AZ342" s="44" t="n"/>
      <c r="BA342" s="44" t="n"/>
      <c r="BB342" s="44" t="n"/>
      <c r="BC342" s="44" t="n"/>
      <c r="BD342" s="44" t="n"/>
      <c r="BE342" s="44" t="n"/>
      <c r="BF342" s="44" t="n"/>
      <c r="BG342" s="44" t="n"/>
      <c r="BH342" s="44" t="n"/>
      <c r="BI342" s="44" t="n"/>
      <c r="BJ342" s="44" t="n"/>
      <c r="BK342" s="44" t="n"/>
      <c r="BL342" s="44" t="n"/>
      <c r="BM342" s="44" t="n"/>
      <c r="BN342" s="44" t="n"/>
      <c r="BO342" s="44" t="n"/>
      <c r="BP342" s="44" t="n"/>
      <c r="BQ342" s="44" t="n"/>
      <c r="BR342" s="44" t="n"/>
      <c r="BS342" s="44" t="n"/>
      <c r="BT342" s="44" t="n"/>
      <c r="BU342" s="44" t="n"/>
      <c r="BV342" s="44" t="n"/>
      <c r="BW342" s="44" t="n"/>
      <c r="BX342" s="44" t="n"/>
      <c r="BY342" s="153" t="n"/>
      <c r="BZ342" s="153" t="n"/>
      <c r="CA342" s="254">
        <f>BX252+(CA239-SUM(BW239:BX239))+(CA243-SUM(BW243:BX243))+(CA244-SUM(BW244:BX244))+(CA245-SUM(BW245:BX245))+(CA247-SUM(BW247:BX247))+(CA249-SUM(BW249:BX249))-CA340+CA339</f>
        <v>13443.8957577669</v>
      </c>
      <c r="CB342" s="254">
        <f>CB251+CB239+CB243+CB244+CB245+CB247+CB249-CB340+CB339</f>
        <v>13197.0770328506</v>
      </c>
      <c r="CC342" s="254">
        <f>CC251+CC239+CC243+CC244+CC245+CC247+CC249-CC340+CC339</f>
        <v>12514.0671751139</v>
      </c>
      <c r="CD342" s="254">
        <f>CD251+CD239+CD243+CD244+CD245+CD247+CD249-CD340+CD339</f>
        <v>11726.5534107732</v>
      </c>
      <c r="CE342" s="254">
        <f>CE251+CE239+CE243+CE244+CE245+CE247+CE249-CE340+CE339</f>
        <v>11158.487153094</v>
      </c>
      <c r="CF342" s="19" t="n"/>
    </row>
    <row r="343" ht="15" customHeight="1" s="251">
      <c r="B343" s="69" t="inlineStr">
        <is>
          <t xml:space="preserve">  Minimum cash balance (cash-flow basis: incl. restricted cash and security deposits)</t>
        </is>
      </c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  <c r="Z343" s="44" t="n"/>
      <c r="AA343" s="44" t="n"/>
      <c r="AB343" s="44" t="n"/>
      <c r="AC343" s="44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  <c r="AQ343" s="44" t="n"/>
      <c r="AR343" s="44" t="n"/>
      <c r="AS343" s="44" t="n"/>
      <c r="AT343" s="44" t="n"/>
      <c r="AU343" s="44" t="n"/>
      <c r="AV343" s="44" t="n"/>
      <c r="AW343" s="44" t="n"/>
      <c r="AX343" s="44" t="n"/>
      <c r="AY343" s="44" t="n"/>
      <c r="AZ343" s="44" t="n"/>
      <c r="BA343" s="44" t="n"/>
      <c r="BB343" s="44" t="n"/>
      <c r="BC343" s="44" t="n"/>
      <c r="BD343" s="44" t="n"/>
      <c r="BE343" s="44" t="n"/>
      <c r="BF343" s="44" t="n"/>
      <c r="BG343" s="44" t="n"/>
      <c r="BH343" s="44" t="n"/>
      <c r="BI343" s="44" t="n"/>
      <c r="BJ343" s="44" t="n"/>
      <c r="BK343" s="44" t="n"/>
      <c r="BL343" s="44" t="n"/>
      <c r="BM343" s="44" t="n"/>
      <c r="BN343" s="44" t="n"/>
      <c r="BO343" s="44" t="n"/>
      <c r="BP343" s="44" t="n"/>
      <c r="BQ343" s="44" t="n"/>
      <c r="BR343" s="44" t="n"/>
      <c r="BS343" s="44" t="n"/>
      <c r="BT343" s="44" t="n"/>
      <c r="BU343" s="44" t="n"/>
      <c r="BV343" s="44" t="n"/>
      <c r="BW343" s="44" t="n"/>
      <c r="BX343" s="44" t="n"/>
      <c r="BY343" s="153" t="n"/>
      <c r="BZ343" s="153" t="n"/>
      <c r="CA343" s="269" t="n">
        <v>12000</v>
      </c>
      <c r="CB343" s="269" t="n">
        <v>12000</v>
      </c>
      <c r="CC343" s="269" t="n">
        <v>12000</v>
      </c>
      <c r="CD343" s="269" t="n">
        <v>12000</v>
      </c>
      <c r="CE343" s="269" t="n">
        <v>12000</v>
      </c>
      <c r="CF343" s="19" t="inlineStr">
        <is>
          <t>Cash-flow basis (cash + restricted cash + restricted security deposits): $13.2bn at 31-Dec-2025, $14.0bn at 30-Jun-2026; unrestricted cash has been $8–11bn since 2021. $12.0bn assumed (≈ $9.3bn unrestricted).</t>
        </is>
      </c>
    </row>
    <row r="344" ht="15" customHeight="1" s="251">
      <c r="B344" s="69" t="inlineStr">
        <is>
          <t xml:space="preserve">  Commercial paper / revolver (year end)</t>
        </is>
      </c>
      <c r="C344" s="44" t="n"/>
      <c r="D344" s="44" t="n"/>
      <c r="E344" s="44" t="n"/>
      <c r="F344" s="44" t="n"/>
      <c r="G344" s="44" t="n"/>
      <c r="H344" s="44" t="n"/>
      <c r="I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  <c r="AC344" s="44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  <c r="AQ344" s="44" t="n"/>
      <c r="AR344" s="44" t="n"/>
      <c r="AS344" s="44" t="n"/>
      <c r="AT344" s="44" t="n"/>
      <c r="AU344" s="44" t="n"/>
      <c r="AV344" s="44" t="n"/>
      <c r="AW344" s="44" t="n"/>
      <c r="AX344" s="44" t="n"/>
      <c r="AY344" s="44" t="n"/>
      <c r="AZ344" s="44" t="n"/>
      <c r="BA344" s="44" t="n"/>
      <c r="BB344" s="44" t="n"/>
      <c r="BC344" s="44" t="n"/>
      <c r="BD344" s="44" t="n"/>
      <c r="BE344" s="44" t="n"/>
      <c r="BF344" s="44" t="n"/>
      <c r="BG344" s="44" t="n"/>
      <c r="BH344" s="44" t="n"/>
      <c r="BI344" s="44" t="n"/>
      <c r="BJ344" s="44" t="n"/>
      <c r="BK344" s="44" t="n"/>
      <c r="BL344" s="44" t="n"/>
      <c r="BM344" s="44" t="n"/>
      <c r="BN344" s="44" t="n"/>
      <c r="BO344" s="44" t="n"/>
      <c r="BP344" s="44" t="n"/>
      <c r="BQ344" s="44" t="n"/>
      <c r="BR344" s="44" t="n"/>
      <c r="BS344" s="44" t="n"/>
      <c r="BT344" s="44" t="n"/>
      <c r="BU344" s="44" t="n"/>
      <c r="BV344" s="44" t="n"/>
      <c r="BW344" s="44" t="n"/>
      <c r="BX344" s="44" t="n"/>
      <c r="BY344" s="153" t="n"/>
      <c r="BZ344" s="153" t="n"/>
      <c r="CA344" s="254">
        <f>MAX(0,710.0+CA343-CA342)</f>
        <v>0</v>
      </c>
      <c r="CB344" s="254">
        <f>MAX(0,CA344+CB343-CB342)</f>
        <v>0</v>
      </c>
      <c r="CC344" s="254">
        <f>MAX(0,CB344+CC343-CC342)</f>
        <v>0</v>
      </c>
      <c r="CD344" s="254">
        <f>MAX(0,CC344+CD343-CD342)</f>
        <v>273.446589226769</v>
      </c>
      <c r="CE344" s="254">
        <f>MAX(0,CD344+CE343-CE342)</f>
        <v>1114.95943613277</v>
      </c>
      <c r="CF344" s="19" t="inlineStr">
        <is>
          <t>$8bn commercial-paper program backed by the $8bn revolver (Nov-2030; undrawn); $710m CP at 30-Jun-2026. Shortfalls below the minimum cash balance are drawn; surplus repays CP.</t>
        </is>
      </c>
    </row>
    <row r="345" ht="15" customHeight="1" s="251">
      <c r="B345" s="156" t="inlineStr">
        <is>
          <t xml:space="preserve">  Memo: CP / revolver headroom vs the $8.0bn facility (negative = would need other financing)</t>
        </is>
      </c>
      <c r="C345" s="44" t="n"/>
      <c r="D345" s="44" t="n"/>
      <c r="E345" s="44" t="n"/>
      <c r="F345" s="44" t="n"/>
      <c r="G345" s="44" t="n"/>
      <c r="H345" s="44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  <c r="Z345" s="44" t="n"/>
      <c r="AA345" s="44" t="n"/>
      <c r="AB345" s="44" t="n"/>
      <c r="AC345" s="44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  <c r="AQ345" s="44" t="n"/>
      <c r="AR345" s="44" t="n"/>
      <c r="AS345" s="44" t="n"/>
      <c r="AT345" s="44" t="n"/>
      <c r="AU345" s="44" t="n"/>
      <c r="AV345" s="44" t="n"/>
      <c r="AW345" s="44" t="n"/>
      <c r="AX345" s="44" t="n"/>
      <c r="AY345" s="44" t="n"/>
      <c r="AZ345" s="44" t="n"/>
      <c r="BA345" s="44" t="n"/>
      <c r="BB345" s="44" t="n"/>
      <c r="BC345" s="44" t="n"/>
      <c r="BD345" s="44" t="n"/>
      <c r="BE345" s="44" t="n"/>
      <c r="BF345" s="44" t="n"/>
      <c r="BG345" s="44" t="n"/>
      <c r="BH345" s="44" t="n"/>
      <c r="BI345" s="44" t="n"/>
      <c r="BJ345" s="44" t="n"/>
      <c r="BK345" s="44" t="n"/>
      <c r="BL345" s="44" t="n"/>
      <c r="BM345" s="44" t="n"/>
      <c r="BN345" s="44" t="n"/>
      <c r="BO345" s="44" t="n"/>
      <c r="BP345" s="44" t="n"/>
      <c r="BQ345" s="44" t="n"/>
      <c r="BR345" s="44" t="n"/>
      <c r="BS345" s="44" t="n"/>
      <c r="BT345" s="44" t="n"/>
      <c r="BU345" s="44" t="n"/>
      <c r="BV345" s="44" t="n"/>
      <c r="BW345" s="44" t="n"/>
      <c r="BX345" s="44" t="n"/>
      <c r="BY345" s="35" t="n"/>
      <c r="BZ345" s="35" t="n"/>
      <c r="CA345" s="254">
        <f>8000-CA344</f>
        <v>8000</v>
      </c>
      <c r="CB345" s="254">
        <f>8000-CB344</f>
        <v>8000</v>
      </c>
      <c r="CC345" s="254">
        <f>8000-CC344</f>
        <v>8000</v>
      </c>
      <c r="CD345" s="254">
        <f>8000-CD344</f>
        <v>7726.55341077323</v>
      </c>
      <c r="CE345" s="254">
        <f>8000-CE344</f>
        <v>6885.04056386723</v>
      </c>
      <c r="CF345" s="153" t="n"/>
    </row>
    <row r="346" ht="15" customHeight="1" s="251">
      <c r="B346" s="69" t="inlineStr">
        <is>
          <t xml:space="preserve">  Net issuance / (repayment)</t>
        </is>
      </c>
      <c r="C346" s="44" t="n"/>
      <c r="D346" s="44" t="n"/>
      <c r="E346" s="44" t="n"/>
      <c r="F346" s="44" t="n"/>
      <c r="G346" s="44" t="n"/>
      <c r="H346" s="44" t="n"/>
      <c r="I346" s="44" t="n"/>
      <c r="J346" s="44" t="n"/>
      <c r="K346" s="44" t="n"/>
      <c r="L346" s="44" t="n"/>
      <c r="M346" s="44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  <c r="AC346" s="44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  <c r="AQ346" s="44" t="n"/>
      <c r="AR346" s="44" t="n"/>
      <c r="AS346" s="44" t="n"/>
      <c r="AT346" s="44" t="n"/>
      <c r="AU346" s="44" t="n"/>
      <c r="AV346" s="44" t="n"/>
      <c r="AW346" s="44" t="n"/>
      <c r="AX346" s="44" t="n"/>
      <c r="AY346" s="44" t="n"/>
      <c r="AZ346" s="44" t="n"/>
      <c r="BA346" s="44" t="n"/>
      <c r="BB346" s="44" t="n"/>
      <c r="BC346" s="44" t="n"/>
      <c r="BD346" s="44" t="n"/>
      <c r="BE346" s="44" t="n"/>
      <c r="BF346" s="44" t="n"/>
      <c r="BG346" s="44" t="n"/>
      <c r="BH346" s="44" t="n"/>
      <c r="BI346" s="44" t="n"/>
      <c r="BJ346" s="44" t="n"/>
      <c r="BK346" s="44" t="n"/>
      <c r="BL346" s="44" t="n"/>
      <c r="BM346" s="44" t="n"/>
      <c r="BN346" s="44" t="n"/>
      <c r="BO346" s="44" t="n"/>
      <c r="BP346" s="44" t="n"/>
      <c r="BQ346" s="44" t="n"/>
      <c r="BR346" s="44" t="n"/>
      <c r="BS346" s="44" t="n"/>
      <c r="BT346" s="44" t="n"/>
      <c r="BU346" s="44" t="n"/>
      <c r="BV346" s="44" t="n"/>
      <c r="BW346" s="44" t="n"/>
      <c r="BX346" s="44" t="n"/>
      <c r="BY346" s="153" t="n"/>
      <c r="BZ346" s="153" t="n"/>
      <c r="CA346" s="254">
        <f>IFERROR(CA337-BX337,"")</f>
        <v>-1460</v>
      </c>
      <c r="CB346" s="254">
        <f>IFERROR(CB337-CA337,"")</f>
        <v>988</v>
      </c>
      <c r="CC346" s="254">
        <f>IFERROR(CC337-CB337,"")</f>
        <v>1000</v>
      </c>
      <c r="CD346" s="254">
        <f>IFERROR(CD337-CC337,"")</f>
        <v>1268.44658922677</v>
      </c>
      <c r="CE346" s="254">
        <f>IFERROR(CE337-CD337,"")</f>
        <v>1870.512846906</v>
      </c>
      <c r="CF346" s="19" t="n"/>
    </row>
    <row r="347" ht="15" customHeight="1" s="251">
      <c r="B347" s="69" t="inlineStr">
        <is>
          <t xml:space="preserve">  Interest rate on opening notes %</t>
        </is>
      </c>
      <c r="C347" s="44" t="n"/>
      <c r="D347" s="44" t="n"/>
      <c r="E347" s="44" t="n"/>
      <c r="F347" s="44" t="n"/>
      <c r="G347" s="44" t="n"/>
      <c r="H347" s="44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  <c r="Z347" s="44" t="n"/>
      <c r="AA347" s="44" t="n"/>
      <c r="AB347" s="44" t="n"/>
      <c r="AC347" s="44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44" t="n"/>
      <c r="AN347" s="44" t="n"/>
      <c r="AO347" s="44" t="n"/>
      <c r="AP347" s="44" t="n"/>
      <c r="AQ347" s="44" t="n"/>
      <c r="AR347" s="44" t="n"/>
      <c r="AS347" s="44" t="n"/>
      <c r="AT347" s="44" t="n"/>
      <c r="AU347" s="44" t="n"/>
      <c r="AV347" s="44" t="n"/>
      <c r="AW347" s="44" t="n"/>
      <c r="AX347" s="44" t="n"/>
      <c r="AY347" s="44" t="n"/>
      <c r="AZ347" s="44" t="n"/>
      <c r="BA347" s="44" t="n"/>
      <c r="BB347" s="44" t="n"/>
      <c r="BC347" s="44" t="n"/>
      <c r="BD347" s="44" t="n"/>
      <c r="BE347" s="44" t="n"/>
      <c r="BF347" s="44" t="n"/>
      <c r="BG347" s="44" t="n"/>
      <c r="BH347" s="44" t="n"/>
      <c r="BI347" s="44" t="n"/>
      <c r="BJ347" s="44" t="n"/>
      <c r="BK347" s="44" t="n"/>
      <c r="BL347" s="44" t="n"/>
      <c r="BM347" s="44" t="n"/>
      <c r="BN347" s="44" t="n"/>
      <c r="BO347" s="44" t="n"/>
      <c r="BP347" s="44" t="n"/>
      <c r="BQ347" s="44" t="n"/>
      <c r="BR347" s="44" t="n"/>
      <c r="BS347" s="44" t="n"/>
      <c r="BT347" s="44" t="n"/>
      <c r="BU347" s="44" t="n"/>
      <c r="BV347" s="44" t="n"/>
      <c r="BW347" s="44" t="n"/>
      <c r="BX347" s="44" t="n"/>
      <c r="BY347" s="153" t="n"/>
      <c r="BZ347" s="153" t="n"/>
      <c r="CA347" s="35" t="n"/>
      <c r="CB347" s="259" t="n">
        <v>0.039</v>
      </c>
      <c r="CC347" s="259" t="n">
        <v>0.04</v>
      </c>
      <c r="CD347" s="259" t="n">
        <v>0.041</v>
      </c>
      <c r="CE347" s="259" t="n">
        <v>0.042</v>
      </c>
      <c r="CF347" s="19" t="inlineStr">
        <is>
          <t>Weighted-average coupon ≈3.8% on $24.1bn of notes (principal-weighted, floating tranches at ~SOFR + 0.4%); Q2-26 interest expense $218m (before the full quarter of the $5.0bn June-2026 notes).</t>
        </is>
      </c>
    </row>
    <row r="348" ht="15" customHeight="1" s="251">
      <c r="B348" s="69" t="inlineStr">
        <is>
          <t xml:space="preserve">  Interest rate on opening commercial paper %</t>
        </is>
      </c>
      <c r="C348" s="44" t="n"/>
      <c r="D348" s="44" t="n"/>
      <c r="E348" s="44" t="n"/>
      <c r="F348" s="44" t="n"/>
      <c r="G348" s="44" t="n"/>
      <c r="H348" s="44" t="n"/>
      <c r="I348" s="44" t="n"/>
      <c r="J348" s="44" t="n"/>
      <c r="K348" s="44" t="n"/>
      <c r="L348" s="44" t="n"/>
      <c r="M348" s="44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  <c r="AC348" s="44" t="n"/>
      <c r="AD348" s="44" t="n"/>
      <c r="AE348" s="44" t="n"/>
      <c r="AF348" s="44" t="n"/>
      <c r="AG348" s="44" t="n"/>
      <c r="AH348" s="44" t="n"/>
      <c r="AI348" s="44" t="n"/>
      <c r="AJ348" s="44" t="n"/>
      <c r="AK348" s="44" t="n"/>
      <c r="AL348" s="44" t="n"/>
      <c r="AM348" s="44" t="n"/>
      <c r="AN348" s="44" t="n"/>
      <c r="AO348" s="44" t="n"/>
      <c r="AP348" s="44" t="n"/>
      <c r="AQ348" s="44" t="n"/>
      <c r="AR348" s="44" t="n"/>
      <c r="AS348" s="44" t="n"/>
      <c r="AT348" s="44" t="n"/>
      <c r="AU348" s="44" t="n"/>
      <c r="AV348" s="44" t="n"/>
      <c r="AW348" s="44" t="n"/>
      <c r="AX348" s="44" t="n"/>
      <c r="AY348" s="44" t="n"/>
      <c r="AZ348" s="44" t="n"/>
      <c r="BA348" s="44" t="n"/>
      <c r="BB348" s="44" t="n"/>
      <c r="BC348" s="44" t="n"/>
      <c r="BD348" s="44" t="n"/>
      <c r="BE348" s="44" t="n"/>
      <c r="BF348" s="44" t="n"/>
      <c r="BG348" s="44" t="n"/>
      <c r="BH348" s="44" t="n"/>
      <c r="BI348" s="44" t="n"/>
      <c r="BJ348" s="44" t="n"/>
      <c r="BK348" s="44" t="n"/>
      <c r="BL348" s="44" t="n"/>
      <c r="BM348" s="44" t="n"/>
      <c r="BN348" s="44" t="n"/>
      <c r="BO348" s="44" t="n"/>
      <c r="BP348" s="44" t="n"/>
      <c r="BQ348" s="44" t="n"/>
      <c r="BR348" s="44" t="n"/>
      <c r="BS348" s="44" t="n"/>
      <c r="BT348" s="44" t="n"/>
      <c r="BU348" s="44" t="n"/>
      <c r="BV348" s="44" t="n"/>
      <c r="BW348" s="44" t="n"/>
      <c r="BX348" s="44" t="n"/>
      <c r="BY348" s="153" t="n"/>
      <c r="BZ348" s="153" t="n"/>
      <c r="CA348" s="35" t="n"/>
      <c r="CB348" s="259" t="n">
        <v>0.04</v>
      </c>
      <c r="CC348" s="259" t="n">
        <v>0.04</v>
      </c>
      <c r="CD348" s="259" t="n">
        <v>0.04</v>
      </c>
      <c r="CE348" s="259" t="n">
        <v>0.04</v>
      </c>
      <c r="CF348" s="19" t="inlineStr">
        <is>
          <t>CP at 3.84% weighted average at 30-Jun-2026.</t>
        </is>
      </c>
    </row>
    <row r="349" ht="15" customHeight="1" s="251">
      <c r="B349" s="69" t="inlineStr">
        <is>
          <t xml:space="preserve">  Discount / issuance-cost amortization, hedges &amp; other interest ($m)</t>
        </is>
      </c>
      <c r="C349" s="44" t="n"/>
      <c r="D349" s="44" t="n"/>
      <c r="E349" s="44" t="n"/>
      <c r="F349" s="44" t="n"/>
      <c r="G349" s="44" t="n"/>
      <c r="H349" s="44" t="n"/>
      <c r="I349" s="44" t="n"/>
      <c r="J349" s="44" t="n"/>
      <c r="K349" s="44" t="n"/>
      <c r="L349" s="44" t="n"/>
      <c r="M349" s="44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  <c r="Z349" s="44" t="n"/>
      <c r="AA349" s="44" t="n"/>
      <c r="AB349" s="44" t="n"/>
      <c r="AC349" s="44" t="n"/>
      <c r="AD349" s="44" t="n"/>
      <c r="AE349" s="44" t="n"/>
      <c r="AF349" s="44" t="n"/>
      <c r="AG349" s="44" t="n"/>
      <c r="AH349" s="44" t="n"/>
      <c r="AI349" s="44" t="n"/>
      <c r="AJ349" s="44" t="n"/>
      <c r="AK349" s="44" t="n"/>
      <c r="AL349" s="44" t="n"/>
      <c r="AM349" s="44" t="n"/>
      <c r="AN349" s="44" t="n"/>
      <c r="AO349" s="44" t="n"/>
      <c r="AP349" s="44" t="n"/>
      <c r="AQ349" s="44" t="n"/>
      <c r="AR349" s="44" t="n"/>
      <c r="AS349" s="44" t="n"/>
      <c r="AT349" s="44" t="n"/>
      <c r="AU349" s="44" t="n"/>
      <c r="AV349" s="44" t="n"/>
      <c r="AW349" s="44" t="n"/>
      <c r="AX349" s="44" t="n"/>
      <c r="AY349" s="44" t="n"/>
      <c r="AZ349" s="44" t="n"/>
      <c r="BA349" s="44" t="n"/>
      <c r="BB349" s="44" t="n"/>
      <c r="BC349" s="44" t="n"/>
      <c r="BD349" s="44" t="n"/>
      <c r="BE349" s="44" t="n"/>
      <c r="BF349" s="44" t="n"/>
      <c r="BG349" s="44" t="n"/>
      <c r="BH349" s="44" t="n"/>
      <c r="BI349" s="44" t="n"/>
      <c r="BJ349" s="44" t="n"/>
      <c r="BK349" s="44" t="n"/>
      <c r="BL349" s="44" t="n"/>
      <c r="BM349" s="44" t="n"/>
      <c r="BN349" s="44" t="n"/>
      <c r="BO349" s="44" t="n"/>
      <c r="BP349" s="44" t="n"/>
      <c r="BQ349" s="44" t="n"/>
      <c r="BR349" s="44" t="n"/>
      <c r="BS349" s="44" t="n"/>
      <c r="BT349" s="44" t="n"/>
      <c r="BU349" s="44" t="n"/>
      <c r="BV349" s="44" t="n"/>
      <c r="BW349" s="44" t="n"/>
      <c r="BX349" s="44" t="n"/>
      <c r="BY349" s="153" t="n"/>
      <c r="BZ349" s="153" t="n"/>
      <c r="CA349" s="35" t="n"/>
      <c r="CB349" s="269" t="n">
        <v>40</v>
      </c>
      <c r="CC349" s="269" t="n">
        <v>40</v>
      </c>
      <c r="CD349" s="269" t="n">
        <v>40</v>
      </c>
      <c r="CE349" s="269" t="n">
        <v>40</v>
      </c>
      <c r="CF349" s="19" t="n"/>
    </row>
    <row r="350" ht="15" customHeight="1" s="251">
      <c r="B350" s="69" t="inlineStr">
        <is>
          <t xml:space="preserve">  Investment income yield on opening cash &amp; investments %</t>
        </is>
      </c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  <c r="AC350" s="44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  <c r="AQ350" s="44" t="n"/>
      <c r="AR350" s="44" t="n"/>
      <c r="AS350" s="44" t="n"/>
      <c r="AT350" s="44" t="n"/>
      <c r="AU350" s="44" t="n"/>
      <c r="AV350" s="44" t="n"/>
      <c r="AW350" s="44" t="n"/>
      <c r="AX350" s="44" t="n"/>
      <c r="AY350" s="44" t="n"/>
      <c r="AZ350" s="44" t="n"/>
      <c r="BA350" s="44" t="n"/>
      <c r="BB350" s="44" t="n"/>
      <c r="BC350" s="44" t="n"/>
      <c r="BD350" s="44" t="n"/>
      <c r="BE350" s="44" t="n"/>
      <c r="BF350" s="44" t="n"/>
      <c r="BG350" s="44" t="n"/>
      <c r="BH350" s="44" t="n"/>
      <c r="BI350" s="44" t="n"/>
      <c r="BJ350" s="44" t="n"/>
      <c r="BK350" s="44" t="n"/>
      <c r="BL350" s="44" t="n"/>
      <c r="BM350" s="44" t="n"/>
      <c r="BN350" s="44" t="n"/>
      <c r="BO350" s="44" t="n"/>
      <c r="BP350" s="44" t="n"/>
      <c r="BQ350" s="44" t="n"/>
      <c r="BR350" s="44" t="n"/>
      <c r="BS350" s="44" t="n"/>
      <c r="BT350" s="44" t="n"/>
      <c r="BU350" s="44" t="n"/>
      <c r="BV350" s="44" t="n"/>
      <c r="BW350" s="44" t="n"/>
      <c r="BX350" s="44" t="n"/>
      <c r="BY350" s="153" t="n"/>
      <c r="BZ350" s="153" t="n"/>
      <c r="CA350" s="35" t="n"/>
      <c r="CB350" s="259" t="n">
        <v>0.028</v>
      </c>
      <c r="CC350" s="259" t="n">
        <v>0.028</v>
      </c>
      <c r="CD350" s="259" t="n">
        <v>0.028</v>
      </c>
      <c r="CE350" s="259" t="n">
        <v>0.028</v>
      </c>
      <c r="CF350" s="19" t="inlineStr">
        <is>
          <t>H1-26 investment income $169m on ~$13–14bn average cash and investments (~2.5% annualised); held at 2.8% then flat (assumption).</t>
        </is>
      </c>
    </row>
    <row r="351" ht="15" customHeight="1" s="251">
      <c r="B351" s="25" t="inlineStr">
        <is>
          <t>Leverage-targeted buybacks (repurchases plug to a target net debt / adjusted EBITDA, 2027E+)</t>
        </is>
      </c>
      <c r="CF351" s="153" t="n"/>
    </row>
    <row r="352" ht="15" customHeight="1" s="251">
      <c r="B352" s="69" t="inlineStr">
        <is>
          <t xml:space="preserve">  Target net debt / adjusted EBITDA (x) (scenario)</t>
        </is>
      </c>
      <c r="C352" s="44" t="n"/>
      <c r="D352" s="44" t="n"/>
      <c r="E352" s="44" t="n"/>
      <c r="F352" s="44" t="n"/>
      <c r="G352" s="44" t="n"/>
      <c r="H352" s="44" t="n"/>
      <c r="I352" s="44" t="n"/>
      <c r="J352" s="44" t="n"/>
      <c r="K352" s="44" t="n"/>
      <c r="L352" s="44" t="n"/>
      <c r="M352" s="44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  <c r="AC352" s="44" t="n"/>
      <c r="AD352" s="44" t="n"/>
      <c r="AE352" s="44" t="n"/>
      <c r="AF352" s="44" t="n"/>
      <c r="AG352" s="44" t="n"/>
      <c r="AH352" s="44" t="n"/>
      <c r="AI352" s="44" t="n"/>
      <c r="AJ352" s="44" t="n"/>
      <c r="AK352" s="44" t="n"/>
      <c r="AL352" s="44" t="n"/>
      <c r="AM352" s="44" t="n"/>
      <c r="AN352" s="44" t="n"/>
      <c r="AO352" s="44" t="n"/>
      <c r="AP352" s="44" t="n"/>
      <c r="AQ352" s="44" t="n"/>
      <c r="AR352" s="44" t="n"/>
      <c r="AS352" s="44" t="n"/>
      <c r="AT352" s="44" t="n"/>
      <c r="AU352" s="44" t="n"/>
      <c r="AV352" s="44" t="n"/>
      <c r="AW352" s="44" t="n"/>
      <c r="AX352" s="44" t="n"/>
      <c r="AY352" s="44" t="n"/>
      <c r="AZ352" s="44" t="n"/>
      <c r="BA352" s="44" t="n"/>
      <c r="BB352" s="44" t="n"/>
      <c r="BC352" s="44" t="n"/>
      <c r="BD352" s="44" t="n"/>
      <c r="BE352" s="44" t="n"/>
      <c r="BF352" s="44" t="n"/>
      <c r="BG352" s="44" t="n"/>
      <c r="BH352" s="44" t="n"/>
      <c r="BI352" s="44" t="n"/>
      <c r="BJ352" s="44" t="n"/>
      <c r="BK352" s="44" t="n"/>
      <c r="BL352" s="44" t="n"/>
      <c r="BM352" s="44" t="n"/>
      <c r="BN352" s="44" t="n"/>
      <c r="BO352" s="44" t="n"/>
      <c r="BP352" s="44" t="n"/>
      <c r="BQ352" s="44" t="n"/>
      <c r="BR352" s="44" t="n"/>
      <c r="BS352" s="44" t="n"/>
      <c r="BT352" s="44" t="n"/>
      <c r="BU352" s="44" t="n"/>
      <c r="BV352" s="44" t="n"/>
      <c r="BW352" s="44" t="n"/>
      <c r="BX352" s="44" t="n"/>
      <c r="BY352" s="153" t="n"/>
      <c r="BZ352" s="153" t="n"/>
      <c r="CA352" s="35" t="n"/>
      <c r="CB352" s="294">
        <f>CHOOSE(MATCH($CF$2,{"Bull","Base","Bear"},0),$CO$25,$CP$25,$CQ$25)</f>
        <v>0.5</v>
      </c>
      <c r="CC352" s="294">
        <f>CHOOSE(MATCH($CF$2,{"Bull","Base","Bear"},0),$CO$25,$CP$25,$CQ$25)</f>
        <v>0.5</v>
      </c>
      <c r="CD352" s="294">
        <f>CHOOSE(MATCH($CF$2,{"Bull","Base","Bear"},0),$CO$25,$CP$25,$CQ$25)</f>
        <v>0.5</v>
      </c>
      <c r="CE352" s="294">
        <f>CHOOSE(MATCH($CF$2,{"Bull","Base","Bear"},0),$CO$25,$CP$25,$CQ$25)</f>
        <v>0.5</v>
      </c>
      <c r="CF352" s="19" t="inlineStr">
        <is>
          <t>Net debt (total debt − unrestricted cash − investments) $13.0bn at 30-Jun-2026 ≈ 0.6x LTM adjusted EBITDA (model); FY2023–25 0.3–0.4x. Mastercard has no stated leverage target; it returns excess capital through buybacks (FY2025 $11.7bn). Target = leverage up to which surplus cash is returned (assumption).</t>
        </is>
      </c>
    </row>
    <row r="353" ht="15" customHeight="1" s="251">
      <c r="B353" s="69" t="inlineStr">
        <is>
          <t xml:space="preserve">  Net debt before buybacks (year end)</t>
        </is>
      </c>
      <c r="C353" s="44" t="n"/>
      <c r="D353" s="44" t="n"/>
      <c r="E353" s="44" t="n"/>
      <c r="F353" s="44" t="n"/>
      <c r="G353" s="44" t="n"/>
      <c r="H353" s="44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  <c r="Z353" s="44" t="n"/>
      <c r="AA353" s="44" t="n"/>
      <c r="AB353" s="44" t="n"/>
      <c r="AC353" s="44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  <c r="AQ353" s="44" t="n"/>
      <c r="AR353" s="44" t="n"/>
      <c r="AS353" s="44" t="n"/>
      <c r="AT353" s="44" t="n"/>
      <c r="AU353" s="44" t="n"/>
      <c r="AV353" s="44" t="n"/>
      <c r="AW353" s="44" t="n"/>
      <c r="AX353" s="44" t="n"/>
      <c r="AY353" s="44" t="n"/>
      <c r="AZ353" s="44" t="n"/>
      <c r="BA353" s="44" t="n"/>
      <c r="BB353" s="44" t="n"/>
      <c r="BC353" s="44" t="n"/>
      <c r="BD353" s="44" t="n"/>
      <c r="BE353" s="44" t="n"/>
      <c r="BF353" s="44" t="n"/>
      <c r="BG353" s="44" t="n"/>
      <c r="BH353" s="44" t="n"/>
      <c r="BI353" s="44" t="n"/>
      <c r="BJ353" s="44" t="n"/>
      <c r="BK353" s="44" t="n"/>
      <c r="BL353" s="44" t="n"/>
      <c r="BM353" s="44" t="n"/>
      <c r="BN353" s="44" t="n"/>
      <c r="BO353" s="44" t="n"/>
      <c r="BP353" s="44" t="n"/>
      <c r="BQ353" s="44" t="n"/>
      <c r="BR353" s="44" t="n"/>
      <c r="BS353" s="44" t="n"/>
      <c r="BT353" s="44" t="n"/>
      <c r="BU353" s="44" t="n"/>
      <c r="BV353" s="44" t="n"/>
      <c r="BW353" s="44" t="n"/>
      <c r="BX353" s="44" t="n"/>
      <c r="BY353" s="153" t="n"/>
      <c r="BZ353" s="153" t="n"/>
      <c r="CA353" s="35" t="n"/>
      <c r="CB353" s="254">
        <f>CA337-CA252+CA280+CA281-CA282-CB239-CB243-CB245-CB247-CB249</f>
        <v>-1705.92244049649</v>
      </c>
      <c r="CC353" s="254">
        <f>CB337-CB252+CB280+CB281-CB282-CC239-CC243-CC245-CC247-CC249</f>
        <v>-3340.1050032279</v>
      </c>
      <c r="CD353" s="254">
        <f>CC337-CC252+CC280+CC281-CC282-CD239-CD243-CD245-CD247-CD249</f>
        <v>-3943.47064985854</v>
      </c>
      <c r="CE353" s="254">
        <f>CD337-CD252+CD280+CD281-CD282-CE239-CE243-CE245-CE247-CE249</f>
        <v>-4550.92366867715</v>
      </c>
      <c r="CF353" s="19" t="inlineStr">
        <is>
          <t>Same net-debt definition as the leverage ratio (total debt − unrestricted cash − investments); restricted cash and security deposits held flat.</t>
        </is>
      </c>
    </row>
    <row r="354" ht="15" customHeight="1" s="251">
      <c r="B354" s="69" t="inlineStr">
        <is>
          <t xml:space="preserve">  Target net debt = target leverage × adjusted EBITDA</t>
        </is>
      </c>
      <c r="C354" s="44" t="n"/>
      <c r="D354" s="44" t="n"/>
      <c r="E354" s="44" t="n"/>
      <c r="F354" s="44" t="n"/>
      <c r="G354" s="44" t="n"/>
      <c r="H354" s="44" t="n"/>
      <c r="I354" s="44" t="n"/>
      <c r="J354" s="44" t="n"/>
      <c r="K354" s="44" t="n"/>
      <c r="L354" s="44" t="n"/>
      <c r="M354" s="44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  <c r="AC354" s="44" t="n"/>
      <c r="AD354" s="44" t="n"/>
      <c r="AE354" s="44" t="n"/>
      <c r="AF354" s="44" t="n"/>
      <c r="AG354" s="44" t="n"/>
      <c r="AH354" s="44" t="n"/>
      <c r="AI354" s="44" t="n"/>
      <c r="AJ354" s="44" t="n"/>
      <c r="AK354" s="44" t="n"/>
      <c r="AL354" s="44" t="n"/>
      <c r="AM354" s="44" t="n"/>
      <c r="AN354" s="44" t="n"/>
      <c r="AO354" s="44" t="n"/>
      <c r="AP354" s="44" t="n"/>
      <c r="AQ354" s="44" t="n"/>
      <c r="AR354" s="44" t="n"/>
      <c r="AS354" s="44" t="n"/>
      <c r="AT354" s="44" t="n"/>
      <c r="AU354" s="44" t="n"/>
      <c r="AV354" s="44" t="n"/>
      <c r="AW354" s="44" t="n"/>
      <c r="AX354" s="44" t="n"/>
      <c r="AY354" s="44" t="n"/>
      <c r="AZ354" s="44" t="n"/>
      <c r="BA354" s="44" t="n"/>
      <c r="BB354" s="44" t="n"/>
      <c r="BC354" s="44" t="n"/>
      <c r="BD354" s="44" t="n"/>
      <c r="BE354" s="44" t="n"/>
      <c r="BF354" s="44" t="n"/>
      <c r="BG354" s="44" t="n"/>
      <c r="BH354" s="44" t="n"/>
      <c r="BI354" s="44" t="n"/>
      <c r="BJ354" s="44" t="n"/>
      <c r="BK354" s="44" t="n"/>
      <c r="BL354" s="44" t="n"/>
      <c r="BM354" s="44" t="n"/>
      <c r="BN354" s="44" t="n"/>
      <c r="BO354" s="44" t="n"/>
      <c r="BP354" s="44" t="n"/>
      <c r="BQ354" s="44" t="n"/>
      <c r="BR354" s="44" t="n"/>
      <c r="BS354" s="44" t="n"/>
      <c r="BT354" s="44" t="n"/>
      <c r="BU354" s="44" t="n"/>
      <c r="BV354" s="44" t="n"/>
      <c r="BW354" s="44" t="n"/>
      <c r="BX354" s="44" t="n"/>
      <c r="BY354" s="153" t="n"/>
      <c r="BZ354" s="153" t="n"/>
      <c r="CA354" s="35" t="n"/>
      <c r="CB354" s="254">
        <f>CB352*CB185</f>
        <v>13339.9229671494</v>
      </c>
      <c r="CC354" s="254">
        <f>CC352*CC185</f>
        <v>15022.9328248861</v>
      </c>
      <c r="CD354" s="254">
        <f>CD352*CD185</f>
        <v>16805.4465892268</v>
      </c>
      <c r="CE354" s="254">
        <f>CE352*CE185</f>
        <v>18675.9594361328</v>
      </c>
      <c r="CF354" s="19" t="n"/>
    </row>
    <row r="355" ht="15" customHeight="1" s="251">
      <c r="B355" s="69" t="inlineStr">
        <is>
          <t xml:space="preserve">  Share repurchases: plug to target leverage</t>
        </is>
      </c>
      <c r="C355" s="44" t="n"/>
      <c r="D355" s="44" t="n"/>
      <c r="E355" s="44" t="n"/>
      <c r="F355" s="44" t="n"/>
      <c r="G355" s="44" t="n"/>
      <c r="H355" s="44" t="n"/>
      <c r="I355" s="44" t="n"/>
      <c r="J355" s="44" t="n"/>
      <c r="K355" s="44" t="n"/>
      <c r="L355" s="44" t="n"/>
      <c r="M355" s="44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44" t="n"/>
      <c r="X355" s="44" t="n"/>
      <c r="Y355" s="44" t="n"/>
      <c r="Z355" s="44" t="n"/>
      <c r="AA355" s="44" t="n"/>
      <c r="AB355" s="44" t="n"/>
      <c r="AC355" s="44" t="n"/>
      <c r="AD355" s="44" t="n"/>
      <c r="AE355" s="44" t="n"/>
      <c r="AF355" s="44" t="n"/>
      <c r="AG355" s="44" t="n"/>
      <c r="AH355" s="44" t="n"/>
      <c r="AI355" s="44" t="n"/>
      <c r="AJ355" s="44" t="n"/>
      <c r="AK355" s="44" t="n"/>
      <c r="AL355" s="44" t="n"/>
      <c r="AM355" s="44" t="n"/>
      <c r="AN355" s="44" t="n"/>
      <c r="AO355" s="44" t="n"/>
      <c r="AP355" s="44" t="n"/>
      <c r="AQ355" s="44" t="n"/>
      <c r="AR355" s="44" t="n"/>
      <c r="AS355" s="44" t="n"/>
      <c r="AT355" s="44" t="n"/>
      <c r="AU355" s="44" t="n"/>
      <c r="AV355" s="44" t="n"/>
      <c r="AW355" s="44" t="n"/>
      <c r="AX355" s="44" t="n"/>
      <c r="AY355" s="44" t="n"/>
      <c r="AZ355" s="44" t="n"/>
      <c r="BA355" s="44" t="n"/>
      <c r="BB355" s="44" t="n"/>
      <c r="BC355" s="44" t="n"/>
      <c r="BD355" s="44" t="n"/>
      <c r="BE355" s="44" t="n"/>
      <c r="BF355" s="44" t="n"/>
      <c r="BG355" s="44" t="n"/>
      <c r="BH355" s="44" t="n"/>
      <c r="BI355" s="44" t="n"/>
      <c r="BJ355" s="44" t="n"/>
      <c r="BK355" s="44" t="n"/>
      <c r="BL355" s="44" t="n"/>
      <c r="BM355" s="44" t="n"/>
      <c r="BN355" s="44" t="n"/>
      <c r="BO355" s="44" t="n"/>
      <c r="BP355" s="44" t="n"/>
      <c r="BQ355" s="44" t="n"/>
      <c r="BR355" s="44" t="n"/>
      <c r="BS355" s="44" t="n"/>
      <c r="BT355" s="44" t="n"/>
      <c r="BU355" s="44" t="n"/>
      <c r="BV355" s="44" t="n"/>
      <c r="BW355" s="44" t="n"/>
      <c r="BX355" s="44" t="n"/>
      <c r="BY355" s="153" t="n"/>
      <c r="BZ355" s="153" t="n"/>
      <c r="CA355" s="35" t="n"/>
      <c r="CB355" s="254">
        <f>MAX(0,CB354-CB353)</f>
        <v>15045.8454076459</v>
      </c>
      <c r="CC355" s="254">
        <f>MAX(0,CC354-CC353)</f>
        <v>18363.037828114</v>
      </c>
      <c r="CD355" s="254">
        <f>MAX(0,CD354-CD353)</f>
        <v>20748.9172390853</v>
      </c>
      <c r="CE355" s="254">
        <f>MAX(0,CE354-CE353)</f>
        <v>23226.8831048099</v>
      </c>
      <c r="CF355" s="19" t="inlineStr">
        <is>
          <t>Cash beyond the leverage target is returned via buybacks; feeds the cash-flow repurchase line.</t>
        </is>
      </c>
    </row>
    <row r="356" ht="15" customHeight="1" s="251">
      <c r="B356" s="25" t="inlineStr">
        <is>
          <t>Historical reference (driver context)</t>
        </is>
      </c>
      <c r="CF356" s="153" t="n"/>
    </row>
    <row r="357" ht="15" customHeight="1" s="251">
      <c r="B357" s="25" t="inlineStr">
        <is>
          <t xml:space="preserve">  D&amp;A % of net revenue</t>
        </is>
      </c>
      <c r="C357" s="215">
        <f>IF(AND(ISNUMBER(C126),ISNUMBER(C123)),IFERROR(C126/C123,""),"")</f>
        <v>0.0299999338559515</v>
      </c>
      <c r="D357" s="215">
        <f>IF(AND(ISNUMBER(D126),ISNUMBER(D123)),IFERROR(D126/D123,""),"")</f>
        <v>0.024004824467702</v>
      </c>
      <c r="E357" s="215">
        <f>IF(AND(ISNUMBER(E126),ISNUMBER(E123)),IFERROR(E126/E123,""),"")</f>
        <v>0.0224388973475439</v>
      </c>
      <c r="F357" s="215">
        <f>IF(AND(ISNUMBER(F126),ISNUMBER(F123)),IFERROR(F126/F123,""),"")</f>
        <v>0.027728135338452</v>
      </c>
      <c r="G357" s="215">
        <f>IF(AND(ISNUMBER(G126),ISNUMBER(G123)),IFERROR(G126/G123,""),"")</f>
        <v>0.0267196244809532</v>
      </c>
      <c r="H357" s="215">
        <f>IF(AND(ISNUMBER(H126),ISNUMBER(H123)),IFERROR(H126/H123,""),"")</f>
        <v>0.0288948465892166</v>
      </c>
      <c r="I357" s="215">
        <f>IF(AND(ISNUMBER(I126),ISNUMBER(I123)),IFERROR(I126/I123,""),"")</f>
        <v>0.0311189284264646</v>
      </c>
      <c r="J357" s="215">
        <f>IF(AND(ISNUMBER(J126),ISNUMBER(J123)),IFERROR(J126/J123,""),"")</f>
        <v>0.0325288562434418</v>
      </c>
      <c r="K357" s="215">
        <f>IF(AND(ISNUMBER(K126),ISNUMBER(K123)),IFERROR(K126/K123,""),"")</f>
        <v>0.0291030534351145</v>
      </c>
      <c r="L357" s="215">
        <f>IF(AND(ISNUMBER(L126),ISNUMBER(L123)),IFERROR(L126/L123,""),"")</f>
        <v>0.0288548241659152</v>
      </c>
      <c r="M357" s="215">
        <f>IF(AND(ISNUMBER(M126),ISNUMBER(M123)),IFERROR(M126/M123,""),"")</f>
        <v>0.0333960489181562</v>
      </c>
      <c r="N357" s="215">
        <f>IF(AND(ISNUMBER(N126),ISNUMBER(N123)),IFERROR(N126/N123,""),"")</f>
        <v>0.0309130122214234</v>
      </c>
      <c r="O357" s="215">
        <f>IF(AND(ISNUMBER(O126),ISNUMBER(O123)),IFERROR(O126/O123,""),"")</f>
        <v>0.0335323840146991</v>
      </c>
      <c r="P357" s="215">
        <f>IF(AND(ISNUMBER(P126),ISNUMBER(P123)),IFERROR(P126/P123,""),"")</f>
        <v>0.0340765671013883</v>
      </c>
      <c r="Q357" s="215">
        <f>IF(AND(ISNUMBER(Q126),ISNUMBER(Q123)),IFERROR(Q126/Q123,""),"")</f>
        <v>0.0331602077506992</v>
      </c>
      <c r="R357" s="215">
        <f>IF(AND(ISNUMBER(R126),ISNUMBER(R123)),IFERROR(R126/R123,""),"")</f>
        <v>0.0347682119205298</v>
      </c>
      <c r="S357" s="215">
        <f>IF(AND(ISNUMBER(S126),ISNUMBER(S123)),IFERROR(S126/S123,""),"")</f>
        <v>0.0338857806397129</v>
      </c>
      <c r="T357" s="215">
        <f>IF(AND(ISNUMBER(T126),ISNUMBER(T123)),IFERROR(T126/T123,""),"")</f>
        <v>0.0390134529147982</v>
      </c>
      <c r="U357" s="215">
        <f>IF(AND(ISNUMBER(U126),ISNUMBER(U123)),IFERROR(U126/U123,""),"")</f>
        <v>0.0384937238493724</v>
      </c>
      <c r="V357" s="215">
        <f>IF(AND(ISNUMBER(V126),ISNUMBER(V123)),IFERROR(V126/V123,""),"")</f>
        <v>0.0371541501976285</v>
      </c>
      <c r="W357" s="215">
        <f>IF(AND(ISNUMBER(W126),ISNUMBER(W123)),IFERROR(W126/W123,""),"")</f>
        <v>0.0369487485101311</v>
      </c>
      <c r="X357" s="215">
        <f>IF(AND(ISNUMBER(X126),ISNUMBER(X123)),IFERROR(X126/X123,""),"")</f>
        <v>0.037860763421951</v>
      </c>
      <c r="Y357" s="215">
        <f>IF(AND(ISNUMBER(Y126),ISNUMBER(Y123)),IFERROR(Y126/Y123,""),"")</f>
        <v>0.0388389206868357</v>
      </c>
      <c r="Z357" s="215">
        <f>IF(AND(ISNUMBER(Z126),ISNUMBER(Z123)),IFERROR(Z126/Z123,""),"")</f>
        <v>0.0345211581291759</v>
      </c>
      <c r="AA357" s="215">
        <f>IF(AND(ISNUMBER(AA126),ISNUMBER(AA123)),IFERROR(AA126/AA123,""),"")</f>
        <v>0.0322916666666667</v>
      </c>
      <c r="AB357" s="215">
        <f>IF(AND(ISNUMBER(AB126),ISNUMBER(AB123)),IFERROR(AB126/AB123,""),"")</f>
        <v>0.0333817126269956</v>
      </c>
      <c r="AC357" s="215">
        <f>IF(AND(ISNUMBER(AC126),ISNUMBER(AC123)),IFERROR(AC126/AC123,""),"")</f>
        <v>0.0346139569413512</v>
      </c>
      <c r="AD357" s="215">
        <f>IF(AND(ISNUMBER(AD126),ISNUMBER(AD123)),IFERROR(AD126/AD123,""),"")</f>
        <v>0.0336503291880029</v>
      </c>
      <c r="AE357" s="215">
        <f>IF(AND(ISNUMBER(AE126),ISNUMBER(AE123)),IFERROR(AE126/AE123,""),"")</f>
        <v>0.0363576809695382</v>
      </c>
      <c r="AF357" s="215">
        <f>IF(AND(ISNUMBER(AF126),ISNUMBER(AF123)),IFERROR(AF126/AF123,""),"")</f>
        <v>0.0347263095938788</v>
      </c>
      <c r="AG357" s="215">
        <f>IF(AND(ISNUMBER(AG126),ISNUMBER(AG123)),IFERROR(AG126/AG123,""),"")</f>
        <v>0.0347222222222222</v>
      </c>
      <c r="AH357" s="215">
        <f>IF(AND(ISNUMBER(AH126),ISNUMBER(AH123)),IFERROR(AH126/AH123,""),"")</f>
        <v>0.0348883732095703</v>
      </c>
      <c r="AI357" s="215">
        <f>IF(AND(ISNUMBER(AI126),ISNUMBER(AI123)),IFERROR(AI126/AI123,""),"")</f>
        <v>0.0335195530726257</v>
      </c>
      <c r="AJ357" s="215">
        <f>IF(AND(ISNUMBER(AJ126),ISNUMBER(AJ123)),IFERROR(AJ126/AJ123,""),"")</f>
        <v>0.0313778990450205</v>
      </c>
      <c r="AK357" s="215">
        <f>IF(AND(ISNUMBER(AK126),ISNUMBER(AK123)),IFERROR(AK126/AK123,""),"")</f>
        <v>0.0284761416110826</v>
      </c>
      <c r="AL357" s="215">
        <f>IF(AND(ISNUMBER(AL126),ISNUMBER(AL123)),IFERROR(AL126/AL123,""),"")</f>
        <v>0.0296821644339375</v>
      </c>
      <c r="AM357" s="215">
        <f>IF(AND(ISNUMBER(AM126),ISNUMBER(AM123)),IFERROR(AM126/AM123,""),"")</f>
        <v>0.0307023411371237</v>
      </c>
      <c r="AN357" s="215">
        <f>IF(AND(ISNUMBER(AN126),ISNUMBER(AN123)),IFERROR(AN126/AN123,""),"")</f>
        <v>0.0300848547184366</v>
      </c>
      <c r="AO357" s="215">
        <f>IF(AND(ISNUMBER(AO126),ISNUMBER(AO123)),IFERROR(AO126/AO123,""),"")</f>
        <v>0.0296620471675176</v>
      </c>
      <c r="AP357" s="215">
        <f>IF(AND(ISNUMBER(AP126),ISNUMBER(AP123)),IFERROR(AP126/AP123,""),"")</f>
        <v>0.0306693530333557</v>
      </c>
      <c r="AQ357" s="215">
        <f>IF(AND(ISNUMBER(AQ126),ISNUMBER(AQ123)),IFERROR(AQ126/AQ123,""),"")</f>
        <v>0.0330765745355686</v>
      </c>
      <c r="AR357" s="215">
        <f>IF(AND(ISNUMBER(AR126),ISNUMBER(AR123)),IFERROR(AR126/AR123,""),"")</f>
        <v>0.030918675590831</v>
      </c>
      <c r="AS357" s="215">
        <f>IF(AND(ISNUMBER(AS126),ISNUMBER(AS123)),IFERROR(AS126/AS123,""),"")</f>
        <v>0.0359191818408581</v>
      </c>
      <c r="AT357" s="215">
        <f>IF(AND(ISNUMBER(AT126),ISNUMBER(AT123)),IFERROR(AT126/AT123,""),"")</f>
        <v>0.0434782608695652</v>
      </c>
      <c r="AU357" s="215">
        <f>IF(AND(ISNUMBER(AU126),ISNUMBER(AU123)),IFERROR(AU126/AU123,""),"")</f>
        <v>0.0367474589523065</v>
      </c>
      <c r="AV357" s="215">
        <f>IF(AND(ISNUMBER(AV126),ISNUMBER(AV123)),IFERROR(AV126/AV123,""),"")</f>
        <v>0.0364077669902913</v>
      </c>
      <c r="AW357" s="215">
        <f>IF(AND(ISNUMBER(AW126),ISNUMBER(AW123)),IFERROR(AW126/AW123,""),"")</f>
        <v>0.0379060192144304</v>
      </c>
      <c r="AX357" s="215">
        <f>IF(AND(ISNUMBER(AX126),ISNUMBER(AX123)),IFERROR(AX126/AX123,""),"")</f>
        <v>0.0392298435619735</v>
      </c>
      <c r="AY357" s="215">
        <f>IF(AND(ISNUMBER(AY126),ISNUMBER(AY123)),IFERROR(AY126/AY123,""),"")</f>
        <v>0.0410777385159011</v>
      </c>
      <c r="AZ357" s="215">
        <f>IF(AND(ISNUMBER(AZ126),ISNUMBER(AZ123)),IFERROR(AZ126/AZ123,""),"")</f>
        <v>0.0377131394182548</v>
      </c>
      <c r="BA357" s="215">
        <f>IF(AND(ISNUMBER(BA126),ISNUMBER(BA123)),IFERROR(BA126/BA123,""),"")</f>
        <v>0.0362346625766871</v>
      </c>
      <c r="BB357" s="215">
        <f>IF(AND(ISNUMBER(BB126),ISNUMBER(BB123)),IFERROR(BB126/BB123,""),"")</f>
        <v>0.0384452446515569</v>
      </c>
      <c r="BC357" s="215">
        <f>IF(AND(ISNUMBER(BC126),ISNUMBER(BC123)),IFERROR(BC126/BC123,""),"")</f>
        <v>0.0371588929746468</v>
      </c>
      <c r="BD357" s="215">
        <f>IF(AND(ISNUMBER(BD126),ISNUMBER(BD123)),IFERROR(BD126/BD123,""),"")</f>
        <v>0.0343823903947608</v>
      </c>
      <c r="BE357" s="215">
        <f>IF(AND(ISNUMBER(BE126),ISNUMBER(BE123)),IFERROR(BE126/BE123,""),"")</f>
        <v>0.0321403752605976</v>
      </c>
      <c r="BF357" s="215">
        <f>IF(AND(ISNUMBER(BF126),ISNUMBER(BF123)),IFERROR(BF126/BF123,""),"")</f>
        <v>0.0316314251332302</v>
      </c>
      <c r="BG357" s="215">
        <f>IF(AND(ISNUMBER(BG126),ISNUMBER(BG123)),IFERROR(BG126/BG123,""),"")</f>
        <v>0.0337275711651752</v>
      </c>
      <c r="BH357" s="215">
        <f>IF(AND(ISNUMBER(BH126),ISNUMBER(BH123)),IFERROR(BH126/BH123,""),"")</f>
        <v>0.0332289491997216</v>
      </c>
      <c r="BI357" s="215">
        <f>IF(AND(ISNUMBER(BI126),ISNUMBER(BI123)),IFERROR(BI126/BI123,""),"")</f>
        <v>0.0306268942415058</v>
      </c>
      <c r="BJ357" s="215">
        <f>IF(AND(ISNUMBER(BJ126),ISNUMBER(BJ123)),IFERROR(BJ126/BJ123,""),"")</f>
        <v>0.0322975662023573</v>
      </c>
      <c r="BK357" s="215">
        <f>IF(AND(ISNUMBER(BK126),ISNUMBER(BK123)),IFERROR(BK126/BK123,""),"")</f>
        <v>0.0313072693952352</v>
      </c>
      <c r="BL357" s="215">
        <f>IF(AND(ISNUMBER(BL126),ISNUMBER(BL123)),IFERROR(BL126/BL123,""),"")</f>
        <v>0.0318352059925094</v>
      </c>
      <c r="BM357" s="215">
        <f>IF(AND(ISNUMBER(BM126),ISNUMBER(BM123)),IFERROR(BM126/BM123,""),"")</f>
        <v>0.0340264650283554</v>
      </c>
      <c r="BN357" s="215">
        <f>IF(AND(ISNUMBER(BN126),ISNUMBER(BN123)),IFERROR(BN126/BN123,""),"")</f>
        <v>0.0323229421060193</v>
      </c>
      <c r="BO357" s="215">
        <f>IF(AND(ISNUMBER(BO126),ISNUMBER(BO123)),IFERROR(BO126/BO123,""),"")</f>
        <v>0.0305333152395169</v>
      </c>
      <c r="BP357" s="215">
        <f>IF(AND(ISNUMBER(BP126),ISNUMBER(BP123)),IFERROR(BP126/BP123,""),"")</f>
        <v>0.0308452396848711</v>
      </c>
      <c r="BQ357" s="215">
        <f>IF(AND(ISNUMBER(BQ126),ISNUMBER(BQ123)),IFERROR(BQ126/BQ123,""),"")</f>
        <v>0.0318457769730536</v>
      </c>
      <c r="BR357" s="215">
        <f>IF(AND(ISNUMBER(BR126),ISNUMBER(BR123)),IFERROR(BR126/BR123,""),"")</f>
        <v>0.0379310344827586</v>
      </c>
      <c r="BS357" s="215">
        <f>IF(AND(ISNUMBER(BS126),ISNUMBER(BS123)),IFERROR(BS126/BS123,""),"")</f>
        <v>0.0345505963359154</v>
      </c>
      <c r="BT357" s="215">
        <f>IF(AND(ISNUMBER(BT126),ISNUMBER(BT123)),IFERROR(BT126/BT123,""),"")</f>
        <v>0.0337130899790746</v>
      </c>
      <c r="BU357" s="215">
        <f>IF(AND(ISNUMBER(BU126),ISNUMBER(BU123)),IFERROR(BU126/BU123,""),"")</f>
        <v>0.0337270043152396</v>
      </c>
      <c r="BV357" s="215">
        <f>IF(AND(ISNUMBER(BV126),ISNUMBER(BV123)),IFERROR(BV126/BV123,""),"")</f>
        <v>0.0348571254307584</v>
      </c>
      <c r="BW357" s="215">
        <f>IF(AND(ISNUMBER(BW126),ISNUMBER(BW123)),IFERROR(BW126/BW123,""),"")</f>
        <v>0.0356037151702786</v>
      </c>
      <c r="BX357" s="215">
        <f>IF(AND(ISNUMBER(BX126),ISNUMBER(BX123)),IFERROR(BX126/BX123,""),"")</f>
        <v>0.0333081815241996</v>
      </c>
      <c r="BY357" s="24" t="n"/>
      <c r="BZ357" s="24" t="n"/>
      <c r="CA357" s="256">
        <f>IF(AND(ISNUMBER(CA126),ISNUMBER(CA123)),IFERROR(CA126/CA123,""),"")</f>
        <v>0.0338010443125511</v>
      </c>
      <c r="CB357" s="256">
        <f>IF(AND(ISNUMBER(CB126),ISNUMBER(CB123)),IFERROR(CB126/CB123,""),"")</f>
        <v>0.0355690371601893</v>
      </c>
      <c r="CC357" s="256">
        <f>IF(AND(ISNUMBER(CC126),ISNUMBER(CC123)),IFERROR(CC126/CC123,""),"")</f>
        <v>0.0362042676709808</v>
      </c>
      <c r="CD357" s="256">
        <f>IF(AND(ISNUMBER(CD126),ISNUMBER(CD123)),IFERROR(CD126/CD123,""),"")</f>
        <v>0.036704919934527</v>
      </c>
      <c r="CE357" s="256">
        <f>IF(AND(ISNUMBER(CE126),ISNUMBER(CE123)),IFERROR(CE126/CE123,""),"")</f>
        <v>0.0371032781750231</v>
      </c>
      <c r="CF357" s="153" t="n"/>
    </row>
    <row r="358" ht="15" customHeight="1" s="251">
      <c r="B358" s="25" t="inlineStr">
        <is>
          <t xml:space="preserve">  Interest expense ÷ average total debt %</t>
        </is>
      </c>
      <c r="C358" s="36" t="n"/>
      <c r="D358" s="215">
        <f>IFERROR(D134*1/AVERAGE(D337,C337),"")</f>
        <v>0.24930575505123</v>
      </c>
      <c r="E358" s="215">
        <f>IFERROR(E134*1/AVERAGE(E337,D337),"")</f>
        <v>0.519831105067601</v>
      </c>
      <c r="F358" s="215">
        <f>IFERROR(F134*1/AVERAGE(F337,E337),"")</f>
        <v>1.20935045833005</v>
      </c>
      <c r="G358" s="215">
        <f>IFERROR(G134*1/AVERAGE(G337,F337),"")</f>
        <v>4.81526067228447</v>
      </c>
      <c r="H358" s="215">
        <f>IFERROR(H134*1/AVERAGE(H337,G337),"")</f>
      </c>
      <c r="I358" s="215">
        <f>IFERROR(I134*1/AVERAGE(I337,H337),"")</f>
      </c>
      <c r="J358" s="36" t="n"/>
      <c r="K358" s="215">
        <f>IFERROR(K134*4/AVERAGE(K337,J337),"")</f>
      </c>
      <c r="L358" s="215">
        <f>IFERROR(L134*4/AVERAGE(L337,K337),"")</f>
      </c>
      <c r="M358" s="215">
        <f>IFERROR(M134*4/AVERAGE(M337,L337),"")</f>
      </c>
      <c r="N358" s="215">
        <f>IFERROR(N134*1/AVERAGE(N337,I337),"")</f>
      </c>
      <c r="O358" s="215">
        <f>IFERROR(O134*4/AVERAGE(O337,M337),"")</f>
        <v>0.0321285140562249</v>
      </c>
      <c r="P358" s="215">
        <f>IFERROR(P134*4/AVERAGE(P337,O337),"")</f>
        <v>0.0401606425702811</v>
      </c>
      <c r="Q358" s="215">
        <f>IFERROR(Q134*4/AVERAGE(Q337,P337),"")</f>
        <v>0.0294511378848728</v>
      </c>
      <c r="R358" s="215">
        <f>IFERROR(R134*4/AVERAGE(R337,Q337),"")</f>
        <v>0.0428380187416332</v>
      </c>
      <c r="S358" s="215">
        <f>IFERROR(S134*1/AVERAGE(S337,N337),"")</f>
        <v>0.0642570281124498</v>
      </c>
      <c r="T358" s="215">
        <f>IFERROR(T134*4/AVERAGE(T337,R337),"")</f>
        <v>0.0455001672800268</v>
      </c>
      <c r="U358" s="215">
        <f>IFERROR(U134*4/AVERAGE(U337,T337),"")</f>
        <v>0.0454849498327759</v>
      </c>
      <c r="V358" s="215">
        <f>IFERROR(V134*4/AVERAGE(V337,U337),"")</f>
        <v>0.0401337792642141</v>
      </c>
      <c r="W358" s="215">
        <f>IFERROR(W134*4/AVERAGE(W337,V337),"")</f>
        <v>0.0200752823086575</v>
      </c>
      <c r="X358" s="215">
        <f>IFERROR(X134*1/AVERAGE(X337,S337),"")</f>
        <v>0.0255176741267517</v>
      </c>
      <c r="Y358" s="215">
        <f>IFERROR(Y134*4/AVERAGE(Y337,W337),"")</f>
        <v>0.0241691842900302</v>
      </c>
      <c r="Z358" s="215">
        <f>IFERROR(Z134*4/AVERAGE(Z337,Y337),"")</f>
        <v>0.0265100165687604</v>
      </c>
      <c r="AA358" s="215">
        <f>IFERROR(AA134*4/AVERAGE(AA337,Z337),"")</f>
        <v>0.0277442702050663</v>
      </c>
      <c r="AB358" s="215">
        <f>IFERROR(AB134*4/AVERAGE(AB337,AA337),"")</f>
        <v>0.0282153773806725</v>
      </c>
      <c r="AC358" s="215">
        <f>IFERROR(AC134*1/AVERAGE(AC337,X337),"")</f>
        <v>0.0224400614149049</v>
      </c>
      <c r="AD358" s="215">
        <f>IFERROR(AD134*4/AVERAGE(AD337,AB337),"")</f>
        <v>0.0300115429011158</v>
      </c>
      <c r="AE358" s="215">
        <f>IFERROR(AE134*4/AVERAGE(AE337,AD337),"")</f>
        <v>0.0295959021058623</v>
      </c>
      <c r="AF358" s="215">
        <f>IFERROR(AF134*4/AVERAGE(AF337,AE337),"")</f>
        <v>0.0261218397238548</v>
      </c>
      <c r="AG358" s="215">
        <f>IFERROR(AG134*4/AVERAGE(AG337,AF337),"")</f>
        <v>0.0303226402884349</v>
      </c>
      <c r="AH358" s="215">
        <f>IFERROR(AH134*1/AVERAGE(AH337,AC337),"")</f>
        <v>0.029045643153527</v>
      </c>
      <c r="AI358" s="215">
        <f>IFERROR(AI134*4/AVERAGE(AI337,AG337),"")</f>
        <v>0.0289245774825528</v>
      </c>
      <c r="AJ358" s="215">
        <f>IFERROR(AJ134*4/AVERAGE(AJ337,AI337),"")</f>
        <v>0.0311511316622049</v>
      </c>
      <c r="AK358" s="215">
        <f>IFERROR(AK134*4/AVERAGE(AK337,AJ337),"")</f>
        <v>0.031434184675835</v>
      </c>
      <c r="AL358" s="215">
        <f>IFERROR(AL134*4/AVERAGE(AL337,AK337),"")</f>
        <v>0.0296249606051056</v>
      </c>
      <c r="AM358" s="215">
        <f>IFERROR(AM134*1/AVERAGE(AM337,AH337),"")</f>
        <v>0.0316380336791971</v>
      </c>
      <c r="AN358" s="215">
        <f>IFERROR(AN134*4/AVERAGE(AN337,AL337),"")</f>
        <v>0.0291300562020106</v>
      </c>
      <c r="AO358" s="215">
        <f>IFERROR(AO134*4/AVERAGE(AO337,AN337),"")</f>
        <v>0.0289259127968805</v>
      </c>
      <c r="AP358" s="215">
        <f>IFERROR(AP134*4/AVERAGE(AP337,AO337),"")</f>
        <v>0.0324303455376102</v>
      </c>
      <c r="AQ358" s="215">
        <f>IFERROR(AQ134*4/AVERAGE(AQ337,AP337),"")</f>
        <v>0.0314844422580248</v>
      </c>
      <c r="AR358" s="215">
        <f>IFERROR(AR134*1/AVERAGE(AR337,AM337),"")</f>
        <v>0.0301460197833255</v>
      </c>
      <c r="AS358" s="215">
        <f>IFERROR(AS134*4/AVERAGE(AS337,AQ337),"")</f>
        <v>0.026294479112085</v>
      </c>
      <c r="AT358" s="215">
        <f>IFERROR(AT134*4/AVERAGE(AT337,AS337),"")</f>
        <v>0.0323666079153982</v>
      </c>
      <c r="AU358" s="215">
        <f>IFERROR(AU134*4/AVERAGE(AU337,AT337),"")</f>
        <v>0.0335035098915124</v>
      </c>
      <c r="AV358" s="215">
        <f>IFERROR(AV134*4/AVERAGE(AV337,AU337),"")</f>
        <v>0.03327259763923</v>
      </c>
      <c r="AW358" s="215">
        <f>IFERROR(AW134*1/AVERAGE(AW337,AR337),"")</f>
        <v>0.0358507476767772</v>
      </c>
      <c r="AX358" s="215">
        <f>IFERROR(AX134*4/AVERAGE(AX337,AV337),"")</f>
        <v>0.0322507723607867</v>
      </c>
      <c r="AY358" s="215">
        <f>IFERROR(AY134*4/AVERAGE(AY337,AX337),"")</f>
        <v>0.0305376498973676</v>
      </c>
      <c r="AZ358" s="215">
        <f>IFERROR(AZ134*4/AVERAGE(AZ337,AY337),"")</f>
        <v>0.031700288184438</v>
      </c>
      <c r="BA358" s="215">
        <f>IFERROR(BA134*4/AVERAGE(BA337,AZ337),"")</f>
        <v>0.0311216771126</v>
      </c>
      <c r="BB358" s="215">
        <f>IFERROR(BB134*1/AVERAGE(BB337,AW337),"")</f>
        <v>0.0324389417830128</v>
      </c>
      <c r="BC358" s="215">
        <f>IFERROR(BC134*4/AVERAGE(BC337,BA337),"")</f>
        <v>0.0308263565348373</v>
      </c>
      <c r="BD358" s="215">
        <f>IFERROR(BD134*4/AVERAGE(BD337,BC337),"")</f>
        <v>0.0313111545988258</v>
      </c>
      <c r="BE358" s="215">
        <f>IFERROR(BE134*4/AVERAGE(BE337,BD337),"")</f>
        <v>0.0330863346544891</v>
      </c>
      <c r="BF358" s="215">
        <f>IFERROR(BF134*4/AVERAGE(BF337,BE337),"")</f>
        <v>0.035577966873271</v>
      </c>
      <c r="BG358" s="215">
        <f>IFERROR(BG134*1/AVERAGE(BG337,BB337),"")</f>
        <v>0.0337344220025784</v>
      </c>
      <c r="BH358" s="215">
        <f>IFERROR(BH134*4/AVERAGE(BH337,BF337),"")</f>
        <v>0.0356865263086749</v>
      </c>
      <c r="BI358" s="215">
        <f>IFERROR(BI134*4/AVERAGE(BI337,BH337),"")</f>
        <v>0.0369372835706041</v>
      </c>
      <c r="BJ358" s="215">
        <f>IFERROR(BJ134*4/AVERAGE(BJ337,BI337),"")</f>
        <v>0.0387353299557494</v>
      </c>
      <c r="BK358" s="215">
        <f>IFERROR(BK134*4/AVERAGE(BK337,BJ337),"")</f>
        <v>0.0378916375972093</v>
      </c>
      <c r="BL358" s="215">
        <f>IFERROR(BL134*1/AVERAGE(BL337,BG337),"")</f>
        <v>0.0387153245354161</v>
      </c>
      <c r="BM358" s="215">
        <f>IFERROR(BM134*4/AVERAGE(BM337,BK337),"")</f>
        <v>0.0383264132864899</v>
      </c>
      <c r="BN358" s="215">
        <f>IFERROR(BN134*4/AVERAGE(BN337,BM337),"")</f>
        <v>0.0391880642889159</v>
      </c>
      <c r="BO358" s="215">
        <f>IFERROR(BO134*4/AVERAGE(BO337,BN337),"")</f>
        <v>0.0374525218620263</v>
      </c>
      <c r="BP358" s="215">
        <f>IFERROR(BP134*4/AVERAGE(BP337,BO337),"")</f>
        <v>0.0402361688169692</v>
      </c>
      <c r="BQ358" s="215">
        <f>IFERROR(BQ134*1/AVERAGE(BQ337,BL337),"")</f>
        <v>0.0381042262659628</v>
      </c>
      <c r="BR358" s="215">
        <f>IFERROR(BR134*4/AVERAGE(BR337,BP337),"")</f>
        <v>0.0393215944690504</v>
      </c>
      <c r="BS358" s="215">
        <f>IFERROR(BS134*4/AVERAGE(BS337,BR337),"")</f>
        <v>0.0413004341840517</v>
      </c>
      <c r="BT358" s="215">
        <f>IFERROR(BT134*4/AVERAGE(BT337,BS337),"")</f>
        <v>0.0392063868468896</v>
      </c>
      <c r="BU358" s="215">
        <f>IFERROR(BU134*4/AVERAGE(BU337,BT337),"")</f>
        <v>0.0334886659821499</v>
      </c>
      <c r="BV358" s="215">
        <f>IFERROR(BV134*1/AVERAGE(BV337,BQ337),"")</f>
        <v>0.0387900929457906</v>
      </c>
      <c r="BW358" s="215">
        <f>IFERROR(BW134*4/AVERAGE(BW337,BU337),"")</f>
        <v>0.0389884088514226</v>
      </c>
      <c r="BX358" s="215">
        <f>IFERROR(BX134*4/AVERAGE(BX337,BW337),"")</f>
        <v>0.039997247895787</v>
      </c>
      <c r="BY358" s="24" t="n"/>
      <c r="BZ358" s="24" t="n"/>
      <c r="CA358" s="256">
        <f>IFERROR(CA134*1/AVERAGE(CA337,BV337),"")</f>
        <v>0.0432875803048622</v>
      </c>
      <c r="CB358" s="256">
        <f>IFERROR(CB134*1/AVERAGE(CB337,CA337),"")</f>
        <v>0.0398757021582126</v>
      </c>
      <c r="CC358" s="256">
        <f>IFERROR(CC134*1/AVERAGE(CC337,CB337),"")</f>
        <v>0.0408106683960926</v>
      </c>
      <c r="CD358" s="256">
        <f>IFERROR(CD134*1/AVERAGE(CD337,CC337),"")</f>
        <v>0.0415424035576461</v>
      </c>
      <c r="CE358" s="256">
        <f>IFERROR(CE134*1/AVERAGE(CE337,CD337),"")</f>
        <v>0.042006295485158</v>
      </c>
      <c r="CF358" s="153" t="n"/>
    </row>
    <row r="359" ht="15" customHeight="1" s="251">
      <c r="B359" s="25" t="inlineStr">
        <is>
          <t xml:space="preserve">  Litigation provisions (special items) % of net revenue</t>
        </is>
      </c>
      <c r="C359" s="215">
        <f>IF(AND(ISNUMBER(C114),ISNUMBER(C123)),IFERROR(C114/C123,""),"")</f>
        <v>0.00751636914873211</v>
      </c>
      <c r="D359" s="215">
        <f>IF(AND(ISNUMBER(D114),ISNUMBER(D123)),IFERROR(D114/D123,""),"")</f>
        <v>0.000737535828875954</v>
      </c>
      <c r="E359" s="215">
        <f>IF(AND(ISNUMBER(E114),ISNUMBER(E123)),IFERROR(E114/E123,""),"")</f>
        <v>0.497435691962497</v>
      </c>
      <c r="F359" s="215">
        <f>IF(AND(ISNUMBER(F114),ISNUMBER(F123)),IFERROR(F114/F123,""),"")</f>
        <v>0.00137290328249407</v>
      </c>
      <c r="G359" s="215">
        <f>IF(AND(ISNUMBER(G114),ISNUMBER(G123)),IFERROR(G114/G123,""),"")</f>
        <v>0</v>
      </c>
      <c r="H359" s="215">
        <f>IF(AND(ISNUMBER(H114),ISNUMBER(H123)),IFERROR(H114/H123,""),"")</f>
        <v>0.114685731307715</v>
      </c>
      <c r="I359" s="215">
        <f>IF(AND(ISNUMBER(I114),ISNUMBER(I123)),IFERROR(I114/I123,""),"")</f>
        <v>0.00270599377621432</v>
      </c>
      <c r="J359" s="215">
        <f>IF(AND(ISNUMBER(J114),ISNUMBER(J123)),IFERROR(J114/J123,""),"")</f>
        <v>0</v>
      </c>
      <c r="K359" s="215">
        <f>IF(AND(ISNUMBER(K114),ISNUMBER(K123)),IFERROR(K114/K123,""),"")</f>
        <v>0</v>
      </c>
      <c r="L359" s="215">
        <f>IF(AND(ISNUMBER(L114),ISNUMBER(L123)),IFERROR(L114/L123,""),"")</f>
        <v>0</v>
      </c>
      <c r="M359" s="215">
        <f>IF(AND(ISNUMBER(M114),ISNUMBER(M123)),IFERROR(M114/M123,""),"")</f>
        <v>0.0446848541862653</v>
      </c>
      <c r="N359" s="215">
        <f>IF(AND(ISNUMBER(N114),ISNUMBER(N123)),IFERROR(N114/N123,""),"")</f>
        <v>0.0113826982985861</v>
      </c>
      <c r="O359" s="215">
        <f>IF(AND(ISNUMBER(O114),ISNUMBER(O123)),IFERROR(O114/O123,""),"")</f>
        <v>0</v>
      </c>
      <c r="P359" s="215">
        <f>IF(AND(ISNUMBER(P114),ISNUMBER(P123)),IFERROR(P114/P123,""),"")</f>
        <v>0</v>
      </c>
      <c r="Q359" s="215">
        <f>IF(AND(ISNUMBER(Q114),ISNUMBER(Q123)),IFERROR(Q114/Q123,""),"")</f>
        <v>0</v>
      </c>
      <c r="R359" s="215">
        <f>IF(AND(ISNUMBER(R114),ISNUMBER(R123)),IFERROR(R114/R123,""),"")</f>
        <v>0</v>
      </c>
      <c r="S359" s="215">
        <f>IF(AND(ISNUMBER(S114),ISNUMBER(S123)),IFERROR(S114/S123,""),"")</f>
        <v>0</v>
      </c>
      <c r="T359" s="215">
        <f>IF(AND(ISNUMBER(T114),ISNUMBER(T123)),IFERROR(T114/T123,""),"")</f>
        <v>0</v>
      </c>
      <c r="U359" s="215">
        <f>IF(AND(ISNUMBER(U114),ISNUMBER(U123)),IFERROR(U114/U123,""),"")</f>
        <v>0.0255230125523013</v>
      </c>
      <c r="V359" s="215">
        <f>IF(AND(ISNUMBER(V114),ISNUMBER(V123)),IFERROR(V114/V123,""),"")</f>
        <v>0</v>
      </c>
      <c r="W359" s="215">
        <f>IF(AND(ISNUMBER(W114),ISNUMBER(W123)),IFERROR(W114/W123,""),"")</f>
        <v>0</v>
      </c>
      <c r="X359" s="215">
        <f>IF(AND(ISNUMBER(X114),ISNUMBER(X123)),IFERROR(X114/X123,""),"")</f>
        <v>0.00631012723699183</v>
      </c>
      <c r="Y359" s="215">
        <f>IF(AND(ISNUMBER(Y114),ISNUMBER(Y123)),IFERROR(Y114/Y123,""),"")</f>
        <v>0</v>
      </c>
      <c r="Z359" s="215">
        <f>IF(AND(ISNUMBER(Z114),ISNUMBER(Z123)),IFERROR(Z114/Z123,""),"")</f>
        <v>0.0397178916109874</v>
      </c>
      <c r="AA359" s="215">
        <f>IF(AND(ISNUMBER(AA114),ISNUMBER(AA123)),IFERROR(AA114/AA123,""),"")</f>
        <v>0</v>
      </c>
      <c r="AB359" s="215">
        <f>IF(AND(ISNUMBER(AB114),ISNUMBER(AB123)),IFERROR(AB114/AB123,""),"")</f>
        <v>0.00362844702467344</v>
      </c>
      <c r="AC359" s="215">
        <f>IF(AND(ISNUMBER(AC114),ISNUMBER(AC123)),IFERROR(AC114/AC123,""),"")</f>
        <v>0.0108574610244989</v>
      </c>
      <c r="AD359" s="215">
        <f>IF(AND(ISNUMBER(AD114),ISNUMBER(AD123)),IFERROR(AD114/AD123,""),"")</f>
        <v>0.00548646671543526</v>
      </c>
      <c r="AE359" s="215">
        <f>IF(AND(ISNUMBER(AE114),ISNUMBER(AE123)),IFERROR(AE114/AE123,""),"")</f>
        <v>0</v>
      </c>
      <c r="AF359" s="215">
        <f>IF(AND(ISNUMBER(AF114),ISNUMBER(AF123)),IFERROR(AF114/AF123,""),"")</f>
        <v>0</v>
      </c>
      <c r="AG359" s="215">
        <f>IF(AND(ISNUMBER(AG114),ISNUMBER(AG123)),IFERROR(AG114/AG123,""),"")</f>
        <v>0</v>
      </c>
      <c r="AH359" s="215">
        <f>IF(AND(ISNUMBER(AH114),ISNUMBER(AH123)),IFERROR(AH114/AH123,""),"")</f>
        <v>0.00120028806913659</v>
      </c>
      <c r="AI359" s="215">
        <f>IF(AND(ISNUMBER(AI114),ISNUMBER(AI123)),IFERROR(AI114/AI123,""),"")</f>
        <v>0.0326815642458101</v>
      </c>
      <c r="AJ359" s="215">
        <f>IF(AND(ISNUMBER(AJ114),ISNUMBER(AJ123)),IFERROR(AJ114/AJ123,""),"")</f>
        <v>0.0613915416098226</v>
      </c>
      <c r="AK359" s="215">
        <f>IF(AND(ISNUMBER(AK114),ISNUMBER(AK123)),IFERROR(AK114/AK123,""),"")</f>
        <v>0.00743971267316573</v>
      </c>
      <c r="AL359" s="215">
        <f>IF(AND(ISNUMBER(AL114),ISNUMBER(AL123)),IFERROR(AL114/AL123,""),"")</f>
        <v>0.198844234305227</v>
      </c>
      <c r="AM359" s="215">
        <f>IF(AND(ISNUMBER(AM114),ISNUMBER(AM123)),IFERROR(AM114/AM123,""),"")</f>
        <v>0.0754515050167224</v>
      </c>
      <c r="AN359" s="215">
        <f>IF(AND(ISNUMBER(AN114),ISNUMBER(AN123)),IFERROR(AN114/AN123,""),"")</f>
        <v>0</v>
      </c>
      <c r="AO359" s="215">
        <f>IF(AND(ISNUMBER(AO114),ISNUMBER(AO123)),IFERROR(AO114/AO123,""),"")</f>
        <v>0</v>
      </c>
      <c r="AP359" s="215">
        <f>IF(AND(ISNUMBER(AP114),ISNUMBER(AP123)),IFERROR(AP114/AP123,""),"")</f>
        <v>0</v>
      </c>
      <c r="AQ359" s="215">
        <f>IF(AND(ISNUMBER(AQ114),ISNUMBER(AQ123)),IFERROR(AQ114/AQ123,""),"")</f>
        <v>0</v>
      </c>
      <c r="AR359" s="215">
        <f>IF(AND(ISNUMBER(AR114),ISNUMBER(AR123)),IFERROR(AR114/AR123,""),"")</f>
        <v>0</v>
      </c>
      <c r="AS359" s="215">
        <f>IF(AND(ISNUMBER(AS114),ISNUMBER(AS123)),IFERROR(AS114/AS123,""),"")</f>
        <v>0.00149663257670242</v>
      </c>
      <c r="AT359" s="215">
        <f>IF(AND(ISNUMBER(AT114),ISNUMBER(AT123)),IFERROR(AT114/AT123,""),"")</f>
        <v>0.00659670164917541</v>
      </c>
      <c r="AU359" s="215">
        <f>IF(AND(ISNUMBER(AU114),ISNUMBER(AU123)),IFERROR(AU114/AU123,""),"")</f>
        <v>0</v>
      </c>
      <c r="AV359" s="215">
        <f>IF(AND(ISNUMBER(AV114),ISNUMBER(AV123)),IFERROR(AV114/AV123,""),"")</f>
        <v>0.0109223300970874</v>
      </c>
      <c r="AW359" s="215">
        <f>IF(AND(ISNUMBER(AW114),ISNUMBER(AW123)),IFERROR(AW114/AW123,""),"")</f>
        <v>0.00477093000457486</v>
      </c>
      <c r="AX359" s="215">
        <f>IF(AND(ISNUMBER(AX114),ISNUMBER(AX123)),IFERROR(AX114/AX123,""),"")</f>
        <v>0</v>
      </c>
      <c r="AY359" s="215">
        <f>IF(AND(ISNUMBER(AY114),ISNUMBER(AY123)),IFERROR(AY114/AY123,""),"")</f>
        <v>0.0147968197879859</v>
      </c>
      <c r="AZ359" s="215">
        <f>IF(AND(ISNUMBER(AZ114),ISNUMBER(AZ123)),IFERROR(AZ114/AZ123,""),"")</f>
        <v>0.00541624874623872</v>
      </c>
      <c r="BA359" s="215">
        <f>IF(AND(ISNUMBER(BA114),ISNUMBER(BA123)),IFERROR(BA114/BA123,""),"")</f>
        <v>0</v>
      </c>
      <c r="BB359" s="215">
        <f>IF(AND(ISNUMBER(BB114),ISNUMBER(BB123)),IFERROR(BB114/BB123,""),"")</f>
        <v>0.00497775894937513</v>
      </c>
      <c r="BC359" s="215">
        <f>IF(AND(ISNUMBER(BC114),ISNUMBER(BC123)),IFERROR(BC114/BC123,""),"")</f>
        <v>0</v>
      </c>
      <c r="BD359" s="215">
        <f>IF(AND(ISNUMBER(BD114),ISNUMBER(BD123)),IFERROR(BD114/BD123,""),"")</f>
        <v>0.0241950154629798</v>
      </c>
      <c r="BE359" s="215">
        <f>IF(AND(ISNUMBER(BE114),ISNUMBER(BE123)),IFERROR(BE114/BE123,""),"")</f>
        <v>0.0361362056984017</v>
      </c>
      <c r="BF359" s="215">
        <f>IF(AND(ISNUMBER(BF114),ISNUMBER(BF123)),IFERROR(BF114/BF123,""),"")</f>
        <v>0.00257864878803507</v>
      </c>
      <c r="BG359" s="215">
        <f>IF(AND(ISNUMBER(BG114),ISNUMBER(BG123)),IFERROR(BG114/BG123,""),"")</f>
        <v>0.0160093537797365</v>
      </c>
      <c r="BH359" s="215">
        <f>IF(AND(ISNUMBER(BH114),ISNUMBER(BH123)),IFERROR(BH114/BH123,""),"")</f>
        <v>0.0367084203201113</v>
      </c>
      <c r="BI359" s="215">
        <f>IF(AND(ISNUMBER(BI114),ISNUMBER(BI123)),IFERROR(BI114/BI123,""),"")</f>
        <v>0.00319030148349019</v>
      </c>
      <c r="BJ359" s="215">
        <f>IF(AND(ISNUMBER(BJ114),ISNUMBER(BJ123)),IFERROR(BJ114/BJ123,""),"")</f>
        <v>0</v>
      </c>
      <c r="BK359" s="215">
        <f>IF(AND(ISNUMBER(BK114),ISNUMBER(BK123)),IFERROR(BK114/BK123,""),"")</f>
        <v>0.0470372632864997</v>
      </c>
      <c r="BL359" s="215">
        <f>IF(AND(ISNUMBER(BL114),ISNUMBER(BL123)),IFERROR(BL114/BL123,""),"")</f>
        <v>0.0214758148059606</v>
      </c>
      <c r="BM359" s="215">
        <f>IF(AND(ISNUMBER(BM114),ISNUMBER(BM123)),IFERROR(BM114/BM123,""),"")</f>
        <v>0.0198487712665406</v>
      </c>
      <c r="BN359" s="215">
        <f>IF(AND(ISNUMBER(BN114),ISNUMBER(BN123)),IFERROR(BN114/BN123,""),"")</f>
        <v>0.0140784370061773</v>
      </c>
      <c r="BO359" s="215">
        <f>IF(AND(ISNUMBER(BO114),ISNUMBER(BO123)),IFERROR(BO114/BO123,""),"")</f>
        <v>0.0238838376984666</v>
      </c>
      <c r="BP359" s="215">
        <f>IF(AND(ISNUMBER(BP114),ISNUMBER(BP123)),IFERROR(BP114/BP123,""),"")</f>
        <v>0.0373881693149953</v>
      </c>
      <c r="BQ359" s="215">
        <f>IF(AND(ISNUMBER(BQ114),ISNUMBER(BQ123)),IFERROR(BQ114/BQ123,""),"")</f>
        <v>0.0241417261334185</v>
      </c>
      <c r="BR359" s="215">
        <f>IF(AND(ISNUMBER(BR114),ISNUMBER(BR123)),IFERROR(BR114/BR123,""),"")</f>
        <v>0.0208275862068966</v>
      </c>
      <c r="BS359" s="215">
        <f>IF(AND(ISNUMBER(BS114),ISNUMBER(BS123)),IFERROR(BS114/BS123,""),"")</f>
        <v>0.0118037624492807</v>
      </c>
      <c r="BT359" s="215">
        <f>IF(AND(ISNUMBER(BT114),ISNUMBER(BT123)),IFERROR(BT114/BT123,""),"")</f>
        <v>0.00964891885607998</v>
      </c>
      <c r="BU359" s="215">
        <f>IF(AND(ISNUMBER(BU114),ISNUMBER(BU123)),IFERROR(BU114/BU123,""),"")</f>
        <v>0.0197592550533727</v>
      </c>
      <c r="BV359" s="215">
        <f>IF(AND(ISNUMBER(BV114),ISNUMBER(BV123)),IFERROR(BV114/BV123,""),"")</f>
        <v>0.0153700710560825</v>
      </c>
      <c r="BW359" s="215">
        <f>IF(AND(ISNUMBER(BW114),ISNUMBER(BW123)),IFERROR(BW114/BW123,""),"")</f>
        <v>0</v>
      </c>
      <c r="BX359" s="215">
        <f>IF(AND(ISNUMBER(BX114),ISNUMBER(BX123)),IFERROR(BX114/BX123,""),"")</f>
        <v>0.00883906435270023</v>
      </c>
      <c r="BY359" s="24" t="n"/>
      <c r="BZ359" s="24" t="n"/>
      <c r="CA359" s="256">
        <f>IF(AND(ISNUMBER(CA114),ISNUMBER(CA123)),IFERROR(CA114/CA123,""),"")</f>
        <v>0.00757702265193912</v>
      </c>
      <c r="CB359" s="256">
        <f>IF(AND(ISNUMBER(CB114),ISNUMBER(CB123)),IFERROR(CB114/CB123,""),"")</f>
        <v>0.0107591119555836</v>
      </c>
      <c r="CC359" s="256">
        <f>IF(AND(ISNUMBER(CC114),ISNUMBER(CC123)),IFERROR(CC114/CC123,""),"")</f>
        <v>0.00961862256427975</v>
      </c>
      <c r="CD359" s="256">
        <f>IF(AND(ISNUMBER(CD114),ISNUMBER(CD123)),IFERROR(CD114/CD123,""),"")</f>
        <v>0.00865574379048642</v>
      </c>
      <c r="CE359" s="256">
        <f>IF(AND(ISNUMBER(CE114),ISNUMBER(CE123)),IFERROR(CE114/CE123,""),"")</f>
        <v>0.00783986065268995</v>
      </c>
      <c r="CF359" s="153" t="n"/>
      <c r="CH359" s="37">
        <f>IFERROR(AVERAGE(CA359,CB359,CC359,CD359,CE359),"n/m")</f>
        <v>0.00889007232299577</v>
      </c>
      <c r="CI359" s="37">
        <f>IFERROR(AVERAGE(BB359,BG359,BL359,BQ359,BV359),"n/m")</f>
        <v>0.0163949449449146</v>
      </c>
      <c r="CJ359" s="37">
        <f>IFERROR(AVERAGE(AC359,AH359,AM359,AR359,AW359,BB359,BG359,BL359,BQ359,BV359),"n/m")</f>
        <v>0.0174254908839506</v>
      </c>
      <c r="CK359" s="37">
        <f>IFERROR(AVERAGE(C359,D359,E359,F359,G359,H359,I359,N359,S359,X359,AC359,AH359,AM359,AR359,AW359,BB359,BG359,BL359,BQ359,BV359),"n/m")</f>
        <v>0.0408200979840806</v>
      </c>
    </row>
    <row r="360" ht="15" customHeight="1" s="251">
      <c r="CN360" s="11" t="n"/>
      <c r="CO360" s="12" t="n"/>
      <c r="CP360" s="12" t="n"/>
      <c r="CQ360" s="12" t="n"/>
      <c r="CR360" s="13" t="n"/>
    </row>
    <row r="361" ht="15" customHeight="1" s="251">
      <c r="B361" s="10" t="inlineStr">
        <is>
          <t>RATIO ANALYSIS</t>
        </is>
      </c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0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n"/>
      <c r="CD361" s="10" t="n"/>
      <c r="CE361" s="10" t="n"/>
      <c r="CF361" s="10" t="inlineStr">
        <is>
          <t>RETURNS — annual columns (NOPAT on adjusted operating income, full-cost)</t>
        </is>
      </c>
    </row>
    <row r="362" ht="15" customHeight="1" s="251">
      <c r="B362" s="25" t="inlineStr">
        <is>
          <t>DuPont decomposition of ROIC</t>
        </is>
      </c>
      <c r="CF362" s="153" t="n"/>
    </row>
    <row r="363" ht="15" customHeight="1" s="251">
      <c r="B363" s="25" t="inlineStr">
        <is>
          <t>Adjusted EBIT (= adjusted operating income, full-cost)</t>
        </is>
      </c>
      <c r="C363" s="211">
        <f>C189</f>
        <v>649.495</v>
      </c>
      <c r="D363" s="211">
        <f>D189</f>
        <v>1111.112</v>
      </c>
      <c r="E363" s="211">
        <f>E189</f>
        <v>1948.495</v>
      </c>
      <c r="F363" s="211">
        <f>F189</f>
        <v>2267.108</v>
      </c>
      <c r="G363" s="211">
        <f>G189</f>
        <v>2752</v>
      </c>
      <c r="H363" s="211">
        <f>H189</f>
        <v>3483</v>
      </c>
      <c r="I363" s="211">
        <f>I189</f>
        <v>3957</v>
      </c>
      <c r="J363" s="34" t="n"/>
      <c r="K363" s="34" t="n"/>
      <c r="L363" s="34" t="n"/>
      <c r="M363" s="34" t="n"/>
      <c r="N363" s="211">
        <f>N189</f>
        <v>4598</v>
      </c>
      <c r="O363" s="34" t="n"/>
      <c r="P363" s="34" t="n"/>
      <c r="Q363" s="34" t="n"/>
      <c r="R363" s="34" t="n"/>
      <c r="S363" s="211">
        <f>S189</f>
        <v>5106</v>
      </c>
      <c r="T363" s="34" t="n"/>
      <c r="U363" s="34" t="n"/>
      <c r="V363" s="34" t="n"/>
      <c r="W363" s="34" t="n"/>
      <c r="X363" s="211">
        <f>X189</f>
        <v>5218</v>
      </c>
      <c r="Y363" s="34" t="n"/>
      <c r="Z363" s="34" t="n"/>
      <c r="AA363" s="34" t="n"/>
      <c r="AB363" s="34" t="n"/>
      <c r="AC363" s="211">
        <f>AC189</f>
        <v>5878</v>
      </c>
      <c r="AD363" s="34" t="n"/>
      <c r="AE363" s="34" t="n"/>
      <c r="AF363" s="34" t="n"/>
      <c r="AG363" s="34" t="n"/>
      <c r="AH363" s="211">
        <f>AH189</f>
        <v>6804</v>
      </c>
      <c r="AI363" s="34" t="n"/>
      <c r="AJ363" s="34" t="n"/>
      <c r="AK363" s="34" t="n"/>
      <c r="AL363" s="34" t="n"/>
      <c r="AM363" s="211">
        <f>AM189</f>
        <v>8410</v>
      </c>
      <c r="AN363" s="34" t="n"/>
      <c r="AO363" s="34" t="n"/>
      <c r="AP363" s="34" t="n"/>
      <c r="AQ363" s="34" t="n"/>
      <c r="AR363" s="211">
        <f>AR189</f>
        <v>9664</v>
      </c>
      <c r="AS363" s="34" t="n"/>
      <c r="AT363" s="34" t="n"/>
      <c r="AU363" s="34" t="n"/>
      <c r="AV363" s="34" t="n"/>
      <c r="AW363" s="211">
        <f>AW189</f>
        <v>8154</v>
      </c>
      <c r="AX363" s="34" t="n"/>
      <c r="AY363" s="34" t="n"/>
      <c r="AZ363" s="34" t="n"/>
      <c r="BA363" s="34" t="n"/>
      <c r="BB363" s="211">
        <f>BB189</f>
        <v>10258</v>
      </c>
      <c r="BC363" s="34" t="n"/>
      <c r="BD363" s="34" t="n"/>
      <c r="BE363" s="34" t="n"/>
      <c r="BF363" s="34" t="n"/>
      <c r="BG363" s="211">
        <f>BG189</f>
        <v>12650</v>
      </c>
      <c r="BH363" s="34" t="n"/>
      <c r="BI363" s="34" t="n"/>
      <c r="BJ363" s="34" t="n"/>
      <c r="BK363" s="34" t="n"/>
      <c r="BL363" s="211">
        <f>BL189</f>
        <v>14547</v>
      </c>
      <c r="BM363" s="34" t="n"/>
      <c r="BN363" s="34" t="n"/>
      <c r="BO363" s="34" t="n"/>
      <c r="BP363" s="34" t="n"/>
      <c r="BQ363" s="211">
        <f>BQ189</f>
        <v>16452</v>
      </c>
      <c r="BR363" s="34" t="n"/>
      <c r="BS363" s="34" t="n"/>
      <c r="BT363" s="34" t="n"/>
      <c r="BU363" s="34" t="n"/>
      <c r="BV363" s="211">
        <f>BV189</f>
        <v>19401</v>
      </c>
      <c r="BW363" s="34" t="n"/>
      <c r="BX363" s="34" t="n"/>
      <c r="BY363" s="35" t="n"/>
      <c r="BZ363" s="35" t="n"/>
      <c r="CA363" s="254">
        <f>CA189</f>
        <v>22287.935</v>
      </c>
      <c r="CB363" s="254">
        <f>CB189</f>
        <v>25192.1704841164</v>
      </c>
      <c r="CC363" s="254">
        <f>CC189</f>
        <v>28352.0763007189</v>
      </c>
      <c r="CD363" s="254">
        <f>CD189</f>
        <v>31702.6557848408</v>
      </c>
      <c r="CE363" s="254">
        <f>CE189</f>
        <v>35222.2285731106</v>
      </c>
      <c r="CF363" s="19" t="n"/>
    </row>
    <row r="364" ht="15" customHeight="1" s="251">
      <c r="B364" s="25" t="inlineStr">
        <is>
          <t>Effective tax rate (adjusted)</t>
        </is>
      </c>
      <c r="C364" s="215">
        <f>IFERROR(C207+0,0.2)</f>
        <v>0.35376400649347</v>
      </c>
      <c r="D364" s="215">
        <f>IFERROR(D207+0,0.2)</f>
        <v>0.350555908994517</v>
      </c>
      <c r="E364" s="215">
        <f>IFERROR(E207+0,0.2)</f>
        <v>0.388083783627611</v>
      </c>
      <c r="F364" s="215">
        <f>IFERROR(F207+0,0.2)</f>
        <v>0.340647922227401</v>
      </c>
      <c r="G364" s="215">
        <f>IFERROR(G207+0,0.2)</f>
        <v>0.330068915487849</v>
      </c>
      <c r="H364" s="215">
        <f>IFERROR(H207+0,0.2)</f>
        <v>0.31769055745165</v>
      </c>
      <c r="I364" s="215">
        <f>IFERROR(I207+0,0.2)</f>
        <v>0.298836032388664</v>
      </c>
      <c r="J364" s="34" t="n"/>
      <c r="K364" s="34" t="n"/>
      <c r="L364" s="34" t="n"/>
      <c r="M364" s="34" t="n"/>
      <c r="N364" s="215">
        <f>IFERROR(N207+0,0.2)</f>
        <v>0.308596300326442</v>
      </c>
      <c r="O364" s="34" t="n"/>
      <c r="P364" s="34" t="n"/>
      <c r="Q364" s="34" t="n"/>
      <c r="R364" s="34" t="n"/>
      <c r="S364" s="215">
        <f>IFERROR(S207+0,0.2)</f>
        <v>0.287851939358141</v>
      </c>
      <c r="T364" s="34" t="n"/>
      <c r="U364" s="34" t="n"/>
      <c r="V364" s="34" t="n"/>
      <c r="W364" s="34" t="n"/>
      <c r="X364" s="215">
        <f>IFERROR(X207+0,0.2)</f>
        <v>0.234405649274225</v>
      </c>
      <c r="Y364" s="34" t="n"/>
      <c r="Z364" s="34" t="n"/>
      <c r="AA364" s="34" t="n"/>
      <c r="AB364" s="34" t="n"/>
      <c r="AC364" s="215">
        <f>IFERROR(AC207+0,0.2)</f>
        <v>0.280930071143502</v>
      </c>
      <c r="AD364" s="34" t="n"/>
      <c r="AE364" s="34" t="n"/>
      <c r="AF364" s="34" t="n"/>
      <c r="AG364" s="34" t="n"/>
      <c r="AH364" s="215">
        <f>IFERROR(AH207+0,0.2)</f>
        <v>0.268198090692124</v>
      </c>
      <c r="AI364" s="34" t="n"/>
      <c r="AJ364" s="34" t="n"/>
      <c r="AK364" s="34" t="n"/>
      <c r="AL364" s="34" t="n"/>
      <c r="AM364" s="215">
        <f>IFERROR(AM207+0,0.2)</f>
        <v>0.184829572731637</v>
      </c>
      <c r="AN364" s="34" t="n"/>
      <c r="AO364" s="34" t="n"/>
      <c r="AP364" s="34" t="n"/>
      <c r="AQ364" s="34" t="n"/>
      <c r="AR364" s="215">
        <f>IFERROR(AR207+0,0.2)</f>
        <v>0.170117105813467</v>
      </c>
      <c r="AS364" s="34" t="n"/>
      <c r="AT364" s="34" t="n"/>
      <c r="AU364" s="34" t="n"/>
      <c r="AV364" s="34" t="n"/>
      <c r="AW364" s="215">
        <f>IFERROR(AW207+0,0.2)</f>
        <v>0.171728822247853</v>
      </c>
      <c r="AX364" s="34" t="n"/>
      <c r="AY364" s="34" t="n"/>
      <c r="AZ364" s="34" t="n"/>
      <c r="BA364" s="34" t="n"/>
      <c r="BB364" s="215">
        <f>IFERROR(BB207+0,0.2)</f>
        <v>0.15349451442503</v>
      </c>
      <c r="BC364" s="34" t="n"/>
      <c r="BD364" s="34" t="n"/>
      <c r="BE364" s="34" t="n"/>
      <c r="BF364" s="34" t="n"/>
      <c r="BG364" s="215">
        <f>IFERROR(BG207+0,0.2)</f>
        <v>0.15665008562342</v>
      </c>
      <c r="BH364" s="34" t="n"/>
      <c r="BI364" s="34" t="n"/>
      <c r="BJ364" s="34" t="n"/>
      <c r="BK364" s="34" t="n"/>
      <c r="BL364" s="215">
        <f>IFERROR(BL207+0,0.2)</f>
        <v>0.184844441323127</v>
      </c>
      <c r="BM364" s="34" t="n"/>
      <c r="BN364" s="34" t="n"/>
      <c r="BO364" s="34" t="n"/>
      <c r="BP364" s="34" t="n"/>
      <c r="BQ364" s="215">
        <f>IFERROR(BQ207+0,0.2)</f>
        <v>0.161703708289482</v>
      </c>
      <c r="BR364" s="34" t="n"/>
      <c r="BS364" s="34" t="n"/>
      <c r="BT364" s="34" t="n"/>
      <c r="BU364" s="34" t="n"/>
      <c r="BV364" s="215">
        <f>IFERROR(BV207+0,0.2)</f>
        <v>0.195878977569118</v>
      </c>
      <c r="BW364" s="34" t="n"/>
      <c r="BX364" s="34" t="n"/>
      <c r="BY364" s="35" t="n"/>
      <c r="BZ364" s="35" t="n"/>
      <c r="CA364" s="256">
        <f>IFERROR(CA207+0,0.2)</f>
        <v>0.200926505487123</v>
      </c>
      <c r="CB364" s="256">
        <f>IFERROR(CB207+0,0.2)</f>
        <v>0.205</v>
      </c>
      <c r="CC364" s="256">
        <f>IFERROR(CC207+0,0.2)</f>
        <v>0.205</v>
      </c>
      <c r="CD364" s="256">
        <f>IFERROR(CD207+0,0.2)</f>
        <v>0.205</v>
      </c>
      <c r="CE364" s="256">
        <f>IFERROR(CE207+0,0.2)</f>
        <v>0.205</v>
      </c>
      <c r="CF364" s="19" t="n"/>
    </row>
    <row r="365" ht="15" customHeight="1" s="251">
      <c r="B365" s="25" t="inlineStr">
        <is>
          <t>NOPAT = Adjusted EBIT × (1 − tax rate)</t>
        </is>
      </c>
      <c r="C365" s="211">
        <f>IFERROR(C363*(1-C364),"n/a")</f>
        <v>419.727046602524</v>
      </c>
      <c r="D365" s="211">
        <f>IFERROR(D363*(1-D364),"n/a")</f>
        <v>721.605122845285</v>
      </c>
      <c r="E365" s="211">
        <f>IFERROR(E363*(1-E364),"n/a")</f>
        <v>1192.31568802052</v>
      </c>
      <c r="F365" s="211">
        <f>IFERROR(F363*(1-F364),"n/a")</f>
        <v>1494.82237033488</v>
      </c>
      <c r="G365" s="211">
        <f>IFERROR(G363*(1-G364),"n/a")</f>
        <v>1843.65034457744</v>
      </c>
      <c r="H365" s="211">
        <f>IFERROR(H363*(1-H364),"n/a")</f>
        <v>2376.48378839591</v>
      </c>
      <c r="I365" s="211">
        <f>IFERROR(I363*(1-I364),"n/a")</f>
        <v>2774.50581983806</v>
      </c>
      <c r="J365" s="34" t="n"/>
      <c r="K365" s="34" t="n"/>
      <c r="L365" s="34" t="n"/>
      <c r="M365" s="34" t="n"/>
      <c r="N365" s="211">
        <f>IFERROR(N363*(1-N364),"n/a")</f>
        <v>3179.07421109902</v>
      </c>
      <c r="O365" s="34" t="n"/>
      <c r="P365" s="34" t="n"/>
      <c r="Q365" s="34" t="n"/>
      <c r="R365" s="34" t="n"/>
      <c r="S365" s="211">
        <f>IFERROR(S363*(1-S364),"n/a")</f>
        <v>3636.22799763733</v>
      </c>
      <c r="T365" s="34" t="n"/>
      <c r="U365" s="34" t="n"/>
      <c r="V365" s="34" t="n"/>
      <c r="W365" s="34" t="n"/>
      <c r="X365" s="211">
        <f>IFERROR(X363*(1-X364),"n/a")</f>
        <v>3994.87132208709</v>
      </c>
      <c r="Y365" s="34" t="n"/>
      <c r="Z365" s="34" t="n"/>
      <c r="AA365" s="34" t="n"/>
      <c r="AB365" s="34" t="n"/>
      <c r="AC365" s="211">
        <f>IFERROR(AC363*(1-AC364),"n/a")</f>
        <v>4226.6930418185</v>
      </c>
      <c r="AD365" s="34" t="n"/>
      <c r="AE365" s="34" t="n"/>
      <c r="AF365" s="34" t="n"/>
      <c r="AG365" s="34" t="n"/>
      <c r="AH365" s="211">
        <f>IFERROR(AH363*(1-AH364),"n/a")</f>
        <v>4979.18019093079</v>
      </c>
      <c r="AI365" s="34" t="n"/>
      <c r="AJ365" s="34" t="n"/>
      <c r="AK365" s="34" t="n"/>
      <c r="AL365" s="34" t="n"/>
      <c r="AM365" s="211">
        <f>IFERROR(AM363*(1-AM364),"n/a")</f>
        <v>6855.58329332693</v>
      </c>
      <c r="AN365" s="34" t="n"/>
      <c r="AO365" s="34" t="n"/>
      <c r="AP365" s="34" t="n"/>
      <c r="AQ365" s="34" t="n"/>
      <c r="AR365" s="211">
        <f>IFERROR(AR363*(1-AR364),"n/a")</f>
        <v>8019.98828941865</v>
      </c>
      <c r="AS365" s="34" t="n"/>
      <c r="AT365" s="34" t="n"/>
      <c r="AU365" s="34" t="n"/>
      <c r="AV365" s="34" t="n"/>
      <c r="AW365" s="211">
        <f>IFERROR(AW363*(1-AW364),"n/a")</f>
        <v>6753.723183391</v>
      </c>
      <c r="AX365" s="34" t="n"/>
      <c r="AY365" s="34" t="n"/>
      <c r="AZ365" s="34" t="n"/>
      <c r="BA365" s="34" t="n"/>
      <c r="BB365" s="211">
        <f>IFERROR(BB363*(1-BB364),"n/a")</f>
        <v>8683.45327102804</v>
      </c>
      <c r="BC365" s="34" t="n"/>
      <c r="BD365" s="34" t="n"/>
      <c r="BE365" s="34" t="n"/>
      <c r="BF365" s="34" t="n"/>
      <c r="BG365" s="211">
        <f>IFERROR(BG363*(1-BG364),"n/a")</f>
        <v>10668.3764168637</v>
      </c>
      <c r="BH365" s="34" t="n"/>
      <c r="BI365" s="34" t="n"/>
      <c r="BJ365" s="34" t="n"/>
      <c r="BK365" s="34" t="n"/>
      <c r="BL365" s="211">
        <f>IFERROR(BL363*(1-BL364),"n/a")</f>
        <v>11858.0679120725</v>
      </c>
      <c r="BM365" s="34" t="n"/>
      <c r="BN365" s="34" t="n"/>
      <c r="BO365" s="34" t="n"/>
      <c r="BP365" s="34" t="n"/>
      <c r="BQ365" s="211">
        <f>IFERROR(BQ363*(1-BQ364),"n/a")</f>
        <v>13791.6505912214</v>
      </c>
      <c r="BR365" s="34" t="n"/>
      <c r="BS365" s="34" t="n"/>
      <c r="BT365" s="34" t="n"/>
      <c r="BU365" s="34" t="n"/>
      <c r="BV365" s="211">
        <f>IFERROR(BV363*(1-BV364),"n/a")</f>
        <v>15600.7519561815</v>
      </c>
      <c r="BW365" s="34" t="n"/>
      <c r="BX365" s="34" t="n"/>
      <c r="BY365" s="35" t="n"/>
      <c r="BZ365" s="35" t="n"/>
      <c r="CA365" s="254">
        <f>IFERROR(CA363*(1-CA364),"n/a")</f>
        <v>17809.6981059259</v>
      </c>
      <c r="CB365" s="254">
        <f>IFERROR(CB363*(1-CB364),"n/a")</f>
        <v>20027.7755348725</v>
      </c>
      <c r="CC365" s="254">
        <f>IFERROR(CC363*(1-CC364),"n/a")</f>
        <v>22539.9006590715</v>
      </c>
      <c r="CD365" s="254">
        <f>IFERROR(CD363*(1-CD364),"n/a")</f>
        <v>25203.6113489485</v>
      </c>
      <c r="CE365" s="254">
        <f>IFERROR(CE363*(1-CE364),"n/a")</f>
        <v>28001.6717156229</v>
      </c>
      <c r="CF365" s="19" t="n"/>
    </row>
    <row r="366" ht="15" customHeight="1" s="251">
      <c r="B366" s="25" t="inlineStr">
        <is>
          <t>Invested capital (IC) = Equity + Net debt</t>
        </is>
      </c>
      <c r="C366" s="211">
        <f>IFERROR(C367+C368,"n/a")</f>
        <v>114.726</v>
      </c>
      <c r="D366" s="211">
        <f>IFERROR(D367+D368,"n/a")</f>
        <v>291.769</v>
      </c>
      <c r="E366" s="211">
        <f>IFERROR(E367+E368,"n/a")</f>
        <v>7.48699999999985</v>
      </c>
      <c r="F366" s="211">
        <f>IFERROR(F367+F368,"n/a")</f>
        <v>653.681000000001</v>
      </c>
      <c r="G366" s="211">
        <f>IFERROR(G367+G368,"n/a")</f>
        <v>1018</v>
      </c>
      <c r="H366" s="211">
        <f>IFERROR(H367+H368,"n/a")</f>
        <v>928</v>
      </c>
      <c r="I366" s="211">
        <f>IFERROR(I367+I368,"n/a")</f>
        <v>1926</v>
      </c>
      <c r="J366" s="34" t="n"/>
      <c r="K366" s="34" t="n"/>
      <c r="L366" s="34" t="n"/>
      <c r="M366" s="34" t="n"/>
      <c r="N366" s="211">
        <f>IFERROR(N367+N368,"n/a")</f>
        <v>1200</v>
      </c>
      <c r="O366" s="34" t="n"/>
      <c r="P366" s="34" t="n"/>
      <c r="Q366" s="34" t="n"/>
      <c r="R366" s="34" t="n"/>
      <c r="S366" s="211">
        <f>IFERROR(S367+S368,"n/a")</f>
        <v>2013</v>
      </c>
      <c r="T366" s="34" t="n"/>
      <c r="U366" s="34" t="n"/>
      <c r="V366" s="34" t="n"/>
      <c r="W366" s="34" t="n"/>
      <c r="X366" s="211">
        <f>IFERROR(X367+X368,"n/a")</f>
        <v>2611</v>
      </c>
      <c r="Y366" s="34" t="n"/>
      <c r="Z366" s="34" t="n"/>
      <c r="AA366" s="34" t="n"/>
      <c r="AB366" s="34" t="n"/>
      <c r="AC366" s="211">
        <f>IFERROR(AC367+AC368,"n/a")</f>
        <v>2529</v>
      </c>
      <c r="AD366" s="34" t="n"/>
      <c r="AE366" s="34" t="n"/>
      <c r="AF366" s="34" t="n"/>
      <c r="AG366" s="34" t="n"/>
      <c r="AH366" s="211">
        <f>IFERROR(AH367+AH368,"n/a")</f>
        <v>3210</v>
      </c>
      <c r="AI366" s="34" t="n"/>
      <c r="AJ366" s="34" t="n"/>
      <c r="AK366" s="34" t="n"/>
      <c r="AL366" s="34" t="n"/>
      <c r="AM366" s="211">
        <f>IFERROR(AM367+AM368,"n/a")</f>
        <v>3445</v>
      </c>
      <c r="AN366" s="34" t="n"/>
      <c r="AO366" s="34" t="n"/>
      <c r="AP366" s="34" t="n"/>
      <c r="AQ366" s="34" t="n"/>
      <c r="AR366" s="211">
        <f>IFERROR(AR367+AR368,"n/a")</f>
        <v>6842</v>
      </c>
      <c r="AS366" s="34" t="n"/>
      <c r="AT366" s="34" t="n"/>
      <c r="AU366" s="34" t="n"/>
      <c r="AV366" s="34" t="n"/>
      <c r="AW366" s="211">
        <f>IFERROR(AW367+AW368,"n/a")</f>
        <v>8593</v>
      </c>
      <c r="AX366" s="34" t="n"/>
      <c r="AY366" s="34" t="n"/>
      <c r="AZ366" s="34" t="n"/>
      <c r="BA366" s="34" t="n"/>
      <c r="BB366" s="211">
        <f>IFERROR(BB367+BB368,"n/a")</f>
        <v>13419</v>
      </c>
      <c r="BC366" s="34" t="n"/>
      <c r="BD366" s="34" t="n"/>
      <c r="BE366" s="34" t="n"/>
      <c r="BF366" s="34" t="n"/>
      <c r="BG366" s="211">
        <f>IFERROR(BG367+BG368,"n/a")</f>
        <v>12992</v>
      </c>
      <c r="BH366" s="34" t="n"/>
      <c r="BI366" s="34" t="n"/>
      <c r="BJ366" s="34" t="n"/>
      <c r="BK366" s="34" t="n"/>
      <c r="BL366" s="211">
        <f>IFERROR(BL367+BL368,"n/a")</f>
        <v>13498</v>
      </c>
      <c r="BM366" s="34" t="n"/>
      <c r="BN366" s="34" t="n"/>
      <c r="BO366" s="34" t="n"/>
      <c r="BP366" s="34" t="n"/>
      <c r="BQ366" s="211">
        <f>IFERROR(BQ367+BQ368,"n/a")</f>
        <v>15969</v>
      </c>
      <c r="BR366" s="34" t="n"/>
      <c r="BS366" s="34" t="n"/>
      <c r="BT366" s="34" t="n"/>
      <c r="BU366" s="34" t="n"/>
      <c r="BV366" s="211">
        <f>IFERROR(BV367+BV368,"n/a")</f>
        <v>15848</v>
      </c>
      <c r="BW366" s="34" t="n"/>
      <c r="BX366" s="34" t="n"/>
      <c r="BY366" s="35" t="n"/>
      <c r="BZ366" s="35" t="n"/>
      <c r="CA366" s="254">
        <f>IFERROR(CA367+CA368,"n/a")</f>
        <v>18953.1144717403</v>
      </c>
      <c r="CB366" s="254">
        <f>IFERROR(CB367+CB368,"n/a")</f>
        <v>20741.5350703124</v>
      </c>
      <c r="CC366" s="254">
        <f>IFERROR(CC367+CC368,"n/a")</f>
        <v>22572.315357068</v>
      </c>
      <c r="CD366" s="254">
        <f>IFERROR(CD367+CD368,"n/a")</f>
        <v>24426.8316451401</v>
      </c>
      <c r="CE366" s="254">
        <f>IFERROR(CE367+CE368,"n/a")</f>
        <v>26305.5344311601</v>
      </c>
      <c r="CF366" s="19" t="n"/>
    </row>
    <row r="367" ht="15" customHeight="1" s="251">
      <c r="B367" s="25" t="inlineStr">
        <is>
          <t xml:space="preserve">  Total equity (incl. redeemable NCI)</t>
        </is>
      </c>
      <c r="C367" s="211">
        <f>IF(ISNUMBER(C307),C307+N(C304),"n/a")</f>
        <v>2368.979</v>
      </c>
      <c r="D367" s="211">
        <f>IF(ISNUMBER(D307),D307+N(D304),"n/a")</f>
        <v>3031.927</v>
      </c>
      <c r="E367" s="211">
        <f>IF(ISNUMBER(E307),E307+N(E304),"n/a")</f>
        <v>1931.975</v>
      </c>
      <c r="F367" s="211">
        <f>IF(ISNUMBER(F307),F307+N(F304),"n/a")</f>
        <v>3511.867</v>
      </c>
      <c r="G367" s="211">
        <f>IF(ISNUMBER(G307),G307+N(G304),"n/a")</f>
        <v>5216</v>
      </c>
      <c r="H367" s="211">
        <f>IF(ISNUMBER(H307),H307+N(H304),"n/a")</f>
        <v>5877</v>
      </c>
      <c r="I367" s="211">
        <f>IF(ISNUMBER(I307),I307+N(I304),"n/a")</f>
        <v>6929</v>
      </c>
      <c r="J367" s="34" t="n"/>
      <c r="K367" s="34" t="n"/>
      <c r="L367" s="34" t="n"/>
      <c r="M367" s="34" t="n"/>
      <c r="N367" s="211">
        <f>IF(ISNUMBER(N307),N307+N(N304),"n/a")</f>
        <v>7495</v>
      </c>
      <c r="O367" s="34" t="n"/>
      <c r="P367" s="34" t="n"/>
      <c r="Q367" s="34" t="n"/>
      <c r="R367" s="34" t="n"/>
      <c r="S367" s="211">
        <f>IF(ISNUMBER(S307),S307+N(S304),"n/a")</f>
        <v>6824</v>
      </c>
      <c r="T367" s="34" t="n"/>
      <c r="U367" s="34" t="n"/>
      <c r="V367" s="34" t="n"/>
      <c r="W367" s="34" t="n"/>
      <c r="X367" s="211">
        <f>IF(ISNUMBER(X307),X307+N(X304),"n/a")</f>
        <v>6062</v>
      </c>
      <c r="Y367" s="34" t="n"/>
      <c r="Z367" s="34" t="n"/>
      <c r="AA367" s="34" t="n"/>
      <c r="AB367" s="34" t="n"/>
      <c r="AC367" s="211">
        <f>IF(ISNUMBER(AC307),AC307+N(AC304),"n/a")</f>
        <v>5684</v>
      </c>
      <c r="AD367" s="34" t="n"/>
      <c r="AE367" s="34" t="n"/>
      <c r="AF367" s="34" t="n"/>
      <c r="AG367" s="34" t="n"/>
      <c r="AH367" s="211">
        <f>IF(ISNUMBER(AH307),AH307+N(AH304),"n/a")</f>
        <v>5568</v>
      </c>
      <c r="AI367" s="34" t="n"/>
      <c r="AJ367" s="34" t="n"/>
      <c r="AK367" s="34" t="n"/>
      <c r="AL367" s="34" t="n"/>
      <c r="AM367" s="211">
        <f>IF(ISNUMBER(AM307),AM307+N(AM304),"n/a")</f>
        <v>5489</v>
      </c>
      <c r="AN367" s="34" t="n"/>
      <c r="AO367" s="34" t="n"/>
      <c r="AP367" s="34" t="n"/>
      <c r="AQ367" s="34" t="n"/>
      <c r="AR367" s="211">
        <f>IF(ISNUMBER(AR307),AR307+N(AR304),"n/a")</f>
        <v>5991</v>
      </c>
      <c r="AS367" s="34" t="n"/>
      <c r="AT367" s="34" t="n"/>
      <c r="AU367" s="34" t="n"/>
      <c r="AV367" s="34" t="n"/>
      <c r="AW367" s="211">
        <f>IF(ISNUMBER(AW307),AW307+N(AW304),"n/a")</f>
        <v>6517</v>
      </c>
      <c r="AX367" s="34" t="n"/>
      <c r="AY367" s="34" t="n"/>
      <c r="AZ367" s="34" t="n"/>
      <c r="BA367" s="34" t="n"/>
      <c r="BB367" s="211">
        <f>IF(ISNUMBER(BB307),BB307+N(BB304),"n/a")</f>
        <v>7412</v>
      </c>
      <c r="BC367" s="34" t="n"/>
      <c r="BD367" s="34" t="n"/>
      <c r="BE367" s="34" t="n"/>
      <c r="BF367" s="34" t="n"/>
      <c r="BG367" s="211">
        <f>IF(ISNUMBER(BG307),BG307+N(BG304),"n/a")</f>
        <v>6377</v>
      </c>
      <c r="BH367" s="34" t="n"/>
      <c r="BI367" s="34" t="n"/>
      <c r="BJ367" s="34" t="n"/>
      <c r="BK367" s="34" t="n"/>
      <c r="BL367" s="211">
        <f>IF(ISNUMBER(BL307),BL307+N(BL304),"n/a")</f>
        <v>6997</v>
      </c>
      <c r="BM367" s="34" t="n"/>
      <c r="BN367" s="34" t="n"/>
      <c r="BO367" s="34" t="n"/>
      <c r="BP367" s="34" t="n"/>
      <c r="BQ367" s="211">
        <f>IF(ISNUMBER(BQ307),BQ307+N(BQ304),"n/a")</f>
        <v>6515</v>
      </c>
      <c r="BR367" s="34" t="n"/>
      <c r="BS367" s="34" t="n"/>
      <c r="BT367" s="34" t="n"/>
      <c r="BU367" s="34" t="n"/>
      <c r="BV367" s="211">
        <f>IF(ISNUMBER(BV307),BV307+N(BV304),"n/a")</f>
        <v>7746</v>
      </c>
      <c r="BW367" s="34" t="n"/>
      <c r="BX367" s="34" t="n"/>
      <c r="BY367" s="35" t="n"/>
      <c r="BZ367" s="35" t="n"/>
      <c r="CA367" s="254">
        <f>IF(ISNUMBER(CA307),CA307+N(CA304),"n/a")</f>
        <v>6138.01022950726</v>
      </c>
      <c r="CB367" s="254">
        <f>IF(ISNUMBER(CB307),CB307+N(CB304),"n/a")</f>
        <v>7401.61210316307</v>
      </c>
      <c r="CC367" s="254">
        <f>IF(ISNUMBER(CC307),CC307+N(CC304),"n/a")</f>
        <v>7549.38253218189</v>
      </c>
      <c r="CD367" s="254">
        <f>IF(ISNUMBER(CD307),CD307+N(CD304),"n/a")</f>
        <v>7621.38505591332</v>
      </c>
      <c r="CE367" s="254">
        <f>IF(ISNUMBER(CE307),CE307+N(CE304),"n/a")</f>
        <v>7629.57499502734</v>
      </c>
      <c r="CF367" s="19" t="n"/>
    </row>
    <row r="368" ht="15" customHeight="1" s="251">
      <c r="B368" s="25" t="inlineStr">
        <is>
          <t xml:space="preserve">  Net debt = Total debt − cash &amp; investments (unrestricted)</t>
        </is>
      </c>
      <c r="C368" s="211">
        <f>IFERROR(C337-C279-C282,"n/a")</f>
        <v>-2254.253</v>
      </c>
      <c r="D368" s="211">
        <f>IFERROR(D337-D279-D282,"n/a")</f>
        <v>-2740.158</v>
      </c>
      <c r="E368" s="211">
        <f>IFERROR(E337-E279-E282,"n/a")</f>
        <v>-1924.488</v>
      </c>
      <c r="F368" s="211">
        <f>IFERROR(F337-F279-F282,"n/a")</f>
        <v>-2858.186</v>
      </c>
      <c r="G368" s="211">
        <f>IFERROR(G337-G279-G282,"n/a")</f>
        <v>-4198</v>
      </c>
      <c r="H368" s="211">
        <f>IFERROR(H337-H279-H282,"n/a")</f>
        <v>-4949</v>
      </c>
      <c r="I368" s="211">
        <f>IFERROR(I337-I279-I282,"n/a")</f>
        <v>-5003</v>
      </c>
      <c r="J368" s="34" t="n"/>
      <c r="K368" s="34" t="n"/>
      <c r="L368" s="34" t="n"/>
      <c r="M368" s="34" t="n"/>
      <c r="N368" s="211">
        <f>IFERROR(N337-N279-N282,"n/a")</f>
        <v>-6295</v>
      </c>
      <c r="O368" s="34" t="n"/>
      <c r="P368" s="34" t="n"/>
      <c r="Q368" s="34" t="n"/>
      <c r="R368" s="34" t="n"/>
      <c r="S368" s="211">
        <f>IFERROR(S337-S279-S282,"n/a")</f>
        <v>-4811</v>
      </c>
      <c r="T368" s="34" t="n"/>
      <c r="U368" s="34" t="n"/>
      <c r="V368" s="34" t="n"/>
      <c r="W368" s="34" t="n"/>
      <c r="X368" s="211">
        <f>IFERROR(X337-X279-X282,"n/a")</f>
        <v>-3451</v>
      </c>
      <c r="Y368" s="34" t="n"/>
      <c r="Z368" s="34" t="n"/>
      <c r="AA368" s="34" t="n"/>
      <c r="AB368" s="34" t="n"/>
      <c r="AC368" s="211">
        <f>IFERROR(AC337-AC279-AC282,"n/a")</f>
        <v>-3155</v>
      </c>
      <c r="AD368" s="34" t="n"/>
      <c r="AE368" s="34" t="n"/>
      <c r="AF368" s="34" t="n"/>
      <c r="AG368" s="34" t="n"/>
      <c r="AH368" s="211">
        <f>IFERROR(AH337-AH279-AH282,"n/a")</f>
        <v>-2358</v>
      </c>
      <c r="AI368" s="34" t="n"/>
      <c r="AJ368" s="34" t="n"/>
      <c r="AK368" s="34" t="n"/>
      <c r="AL368" s="34" t="n"/>
      <c r="AM368" s="211">
        <f>IFERROR(AM337-AM279-AM282,"n/a")</f>
        <v>-2044</v>
      </c>
      <c r="AN368" s="34" t="n"/>
      <c r="AO368" s="34" t="n"/>
      <c r="AP368" s="34" t="n"/>
      <c r="AQ368" s="34" t="n"/>
      <c r="AR368" s="211">
        <f>IFERROR(AR337-AR279-AR282,"n/a")</f>
        <v>851</v>
      </c>
      <c r="AS368" s="34" t="n"/>
      <c r="AT368" s="34" t="n"/>
      <c r="AU368" s="34" t="n"/>
      <c r="AV368" s="34" t="n"/>
      <c r="AW368" s="211">
        <f>IFERROR(AW337-AW279-AW282,"n/a")</f>
        <v>2076</v>
      </c>
      <c r="AX368" s="34" t="n"/>
      <c r="AY368" s="34" t="n"/>
      <c r="AZ368" s="34" t="n"/>
      <c r="BA368" s="34" t="n"/>
      <c r="BB368" s="211">
        <f>IFERROR(BB337-BB279-BB282,"n/a")</f>
        <v>6007</v>
      </c>
      <c r="BC368" s="34" t="n"/>
      <c r="BD368" s="34" t="n"/>
      <c r="BE368" s="34" t="n"/>
      <c r="BF368" s="34" t="n"/>
      <c r="BG368" s="211">
        <f>IFERROR(BG337-BG279-BG282,"n/a")</f>
        <v>6615</v>
      </c>
      <c r="BH368" s="34" t="n"/>
      <c r="BI368" s="34" t="n"/>
      <c r="BJ368" s="34" t="n"/>
      <c r="BK368" s="34" t="n"/>
      <c r="BL368" s="211">
        <f>IFERROR(BL337-BL279-BL282,"n/a")</f>
        <v>6501</v>
      </c>
      <c r="BM368" s="34" t="n"/>
      <c r="BN368" s="34" t="n"/>
      <c r="BO368" s="34" t="n"/>
      <c r="BP368" s="34" t="n"/>
      <c r="BQ368" s="211">
        <f>IFERROR(BQ337-BQ279-BQ282,"n/a")</f>
        <v>9454</v>
      </c>
      <c r="BR368" s="34" t="n"/>
      <c r="BS368" s="34" t="n"/>
      <c r="BT368" s="34" t="n"/>
      <c r="BU368" s="34" t="n"/>
      <c r="BV368" s="211">
        <f>IFERROR(BV337-BV279-BV282,"n/a")</f>
        <v>8102</v>
      </c>
      <c r="BW368" s="34" t="n"/>
      <c r="BX368" s="34" t="n"/>
      <c r="BY368" s="35" t="n"/>
      <c r="BZ368" s="35" t="n"/>
      <c r="CA368" s="254">
        <f>IFERROR(CA337-CA279-CA282,"n/a")</f>
        <v>12815.1042422331</v>
      </c>
      <c r="CB368" s="254">
        <f>IFERROR(CB337-CB279-CB282,"n/a")</f>
        <v>13339.9229671494</v>
      </c>
      <c r="CC368" s="254">
        <f>IFERROR(CC337-CC279-CC282,"n/a")</f>
        <v>15022.9328248861</v>
      </c>
      <c r="CD368" s="254">
        <f>IFERROR(CD337-CD279-CD282,"n/a")</f>
        <v>16805.4465892268</v>
      </c>
      <c r="CE368" s="254">
        <f>IFERROR(CE337-CE279-CE282,"n/a")</f>
        <v>18675.9594361328</v>
      </c>
      <c r="CF368" s="19" t="n"/>
    </row>
    <row r="369" ht="15" customHeight="1" s="251">
      <c r="B369" s="55" t="inlineStr">
        <is>
          <t>ROIC = NOPAT / IC</t>
        </is>
      </c>
      <c r="C369" s="295">
        <f>IFERROR(C365/C366,"n/a")</f>
        <v>3.65851722018133</v>
      </c>
      <c r="D369" s="295">
        <f>IFERROR(D365/D366,"n/a")</f>
        <v>2.47320696456884</v>
      </c>
      <c r="E369" s="295">
        <f>IFERROR(E365/E366,"n/a")</f>
        <v>159.251460935026</v>
      </c>
      <c r="F369" s="295">
        <f>IFERROR(F365/F366,"n/a")</f>
        <v>2.28677653218448</v>
      </c>
      <c r="G369" s="295">
        <f>IFERROR(G365/G366,"n/a")</f>
        <v>1.81105141903481</v>
      </c>
      <c r="H369" s="295">
        <f>IFERROR(H365/H366,"n/a")</f>
        <v>2.56086615128869</v>
      </c>
      <c r="I369" s="295">
        <f>IFERROR(I365/I366,"n/a")</f>
        <v>1.44055338517033</v>
      </c>
      <c r="J369" s="56" t="n"/>
      <c r="K369" s="56" t="n"/>
      <c r="L369" s="56" t="n"/>
      <c r="M369" s="56" t="n"/>
      <c r="N369" s="295">
        <f>IFERROR(N365/N366,"n/a")</f>
        <v>2.64922850924918</v>
      </c>
      <c r="O369" s="56" t="n"/>
      <c r="P369" s="56" t="n"/>
      <c r="Q369" s="56" t="n"/>
      <c r="R369" s="56" t="n"/>
      <c r="S369" s="295">
        <f>IFERROR(S365/S366,"n/a")</f>
        <v>1.80637257706772</v>
      </c>
      <c r="T369" s="56" t="n"/>
      <c r="U369" s="56" t="n"/>
      <c r="V369" s="56" t="n"/>
      <c r="W369" s="56" t="n"/>
      <c r="X369" s="295">
        <f>IFERROR(X365/X366,"n/a")</f>
        <v>1.53001582615362</v>
      </c>
      <c r="Y369" s="56" t="n"/>
      <c r="Z369" s="56" t="n"/>
      <c r="AA369" s="56" t="n"/>
      <c r="AB369" s="56" t="n"/>
      <c r="AC369" s="295">
        <f>IFERROR(AC365/AC366,"n/a")</f>
        <v>1.67129024982938</v>
      </c>
      <c r="AD369" s="56" t="n"/>
      <c r="AE369" s="56" t="n"/>
      <c r="AF369" s="56" t="n"/>
      <c r="AG369" s="56" t="n"/>
      <c r="AH369" s="295">
        <f>IFERROR(AH365/AH366,"n/a")</f>
        <v>1.55114647692548</v>
      </c>
      <c r="AI369" s="56" t="n"/>
      <c r="AJ369" s="56" t="n"/>
      <c r="AK369" s="56" t="n"/>
      <c r="AL369" s="56" t="n"/>
      <c r="AM369" s="295">
        <f>IFERROR(AM365/AM366,"n/a")</f>
        <v>1.99000966424584</v>
      </c>
      <c r="AN369" s="56" t="n"/>
      <c r="AO369" s="56" t="n"/>
      <c r="AP369" s="56" t="n"/>
      <c r="AQ369" s="56" t="n"/>
      <c r="AR369" s="295">
        <f>IFERROR(AR365/AR366,"n/a")</f>
        <v>1.17217016799454</v>
      </c>
      <c r="AS369" s="56" t="n"/>
      <c r="AT369" s="56" t="n"/>
      <c r="AU369" s="56" t="n"/>
      <c r="AV369" s="56" t="n"/>
      <c r="AW369" s="295">
        <f>IFERROR(AW365/AW366,"n/a")</f>
        <v>0.785956381169673</v>
      </c>
      <c r="AX369" s="56" t="n"/>
      <c r="AY369" s="56" t="n"/>
      <c r="AZ369" s="56" t="n"/>
      <c r="BA369" s="56" t="n"/>
      <c r="BB369" s="295">
        <f>IFERROR(BB365/BB366,"n/a")</f>
        <v>0.647101369031078</v>
      </c>
      <c r="BC369" s="56" t="n"/>
      <c r="BD369" s="56" t="n"/>
      <c r="BE369" s="56" t="n"/>
      <c r="BF369" s="56" t="n"/>
      <c r="BG369" s="295">
        <f>IFERROR(BG365/BG366,"n/a")</f>
        <v>0.821149662628058</v>
      </c>
      <c r="BH369" s="56" t="n"/>
      <c r="BI369" s="56" t="n"/>
      <c r="BJ369" s="56" t="n"/>
      <c r="BK369" s="56" t="n"/>
      <c r="BL369" s="295">
        <f>IFERROR(BL365/BL366,"n/a")</f>
        <v>0.878505549864608</v>
      </c>
      <c r="BM369" s="56" t="n"/>
      <c r="BN369" s="56" t="n"/>
      <c r="BO369" s="56" t="n"/>
      <c r="BP369" s="56" t="n"/>
      <c r="BQ369" s="295">
        <f>IFERROR(BQ365/BQ366,"n/a")</f>
        <v>0.863651486706835</v>
      </c>
      <c r="BR369" s="56" t="n"/>
      <c r="BS369" s="56" t="n"/>
      <c r="BT369" s="56" t="n"/>
      <c r="BU369" s="56" t="n"/>
      <c r="BV369" s="295">
        <f>IFERROR(BV365/BV366,"n/a")</f>
        <v>0.98439878572574</v>
      </c>
      <c r="BW369" s="56" t="n"/>
      <c r="BX369" s="56" t="n"/>
      <c r="BY369" s="56" t="n"/>
      <c r="BZ369" s="56" t="n"/>
      <c r="CA369" s="295">
        <f>IFERROR(CA365/CA366,"n/a")</f>
        <v>0.939671320641294</v>
      </c>
      <c r="CB369" s="295">
        <f>IFERROR(CB365/CB366,"n/a")</f>
        <v>0.965587911742293</v>
      </c>
      <c r="CC369" s="295">
        <f>IFERROR(CC365/CC366,"n/a")</f>
        <v>0.998563962203977</v>
      </c>
      <c r="CD369" s="295">
        <f>IFERROR(CD365/CD366,"n/a")</f>
        <v>1.03180026436064</v>
      </c>
      <c r="CE369" s="295">
        <f>IFERROR(CE365/CE366,"n/a")</f>
        <v>1.06447834347945</v>
      </c>
      <c r="CF369" s="153" t="n"/>
      <c r="CH369" s="37">
        <f>IFERROR(AVERAGE(CA369,CB369,CC369,CD369,CE369),"n/m")</f>
        <v>1.00002036048553</v>
      </c>
      <c r="CI369" s="37">
        <f>IFERROR(AVERAGE(BB369,BG369,BL369,BQ369,BV369),"n/m")</f>
        <v>0.838961370791264</v>
      </c>
      <c r="CJ369" s="37">
        <f>IFERROR(AVERAGE(AC369,AH369,AM369,AR369,AW369,BB369,BG369,BL369,BQ369,BV369),"n/m")</f>
        <v>1.13653797941212</v>
      </c>
      <c r="CK369" s="37">
        <f>IFERROR(AVERAGE(C369,D369,E369,F369,G369,H369,I369,N369,S369,X369,AC369,AH369,AM369,AR369,AW369,BB369,BG369,BL369,BQ369,BV369),"n/m")</f>
        <v>9.54167146570232</v>
      </c>
    </row>
    <row r="370" ht="15" customHeight="1" s="251">
      <c r="B370" s="25" t="inlineStr">
        <is>
          <t xml:space="preserve">  Margin = Adjusted EBIT / Net revenue</t>
        </is>
      </c>
      <c r="C370" s="215">
        <f>IFERROR(C363/C123,"n/a")</f>
        <v>0.195273767210231</v>
      </c>
      <c r="D370" s="215">
        <f>IFERROR(D363/D123,"n/a")</f>
        <v>0.27316163663134</v>
      </c>
      <c r="E370" s="215">
        <f>IFERROR(E363/E123,"n/a")</f>
        <v>0.390354796057377</v>
      </c>
      <c r="F370" s="215">
        <f>IFERROR(F363/F123,"n/a")</f>
        <v>0.444645716424081</v>
      </c>
      <c r="G370" s="215">
        <f>IFERROR(G363/G123,"n/a")</f>
        <v>0.496840584943131</v>
      </c>
      <c r="H370" s="215">
        <f>IFERROR(H363/H123,"n/a")</f>
        <v>0.518766756032172</v>
      </c>
      <c r="I370" s="215">
        <f>IFERROR(I363/I123,"n/a")</f>
        <v>0.535380868624002</v>
      </c>
      <c r="J370" s="34" t="n"/>
      <c r="K370" s="34" t="n"/>
      <c r="L370" s="34" t="n"/>
      <c r="M370" s="34" t="n"/>
      <c r="N370" s="215">
        <f>IFERROR(N363/N123,"n/a")</f>
        <v>0.55092259765157</v>
      </c>
      <c r="O370" s="34" t="n"/>
      <c r="P370" s="34" t="n"/>
      <c r="Q370" s="34" t="n"/>
      <c r="R370" s="34" t="n"/>
      <c r="S370" s="215">
        <f>IFERROR(S363/S123,"n/a")</f>
        <v>0.539005594848517</v>
      </c>
      <c r="T370" s="34" t="n"/>
      <c r="U370" s="34" t="n"/>
      <c r="V370" s="34" t="n"/>
      <c r="W370" s="34" t="n"/>
      <c r="X370" s="215">
        <f>IFERROR(X363/X123,"n/a")</f>
        <v>0.539774490534809</v>
      </c>
      <c r="Y370" s="34" t="n"/>
      <c r="Z370" s="34" t="n"/>
      <c r="AA370" s="34" t="n"/>
      <c r="AB370" s="34" t="n"/>
      <c r="AC370" s="215">
        <f>IFERROR(AC363/AC123,"n/a")</f>
        <v>0.54547141796585</v>
      </c>
      <c r="AD370" s="34" t="n"/>
      <c r="AE370" s="34" t="n"/>
      <c r="AF370" s="34" t="n"/>
      <c r="AG370" s="34" t="n"/>
      <c r="AH370" s="215">
        <f>IFERROR(AH363/AH123,"n/a")</f>
        <v>0.544450668160359</v>
      </c>
      <c r="AI370" s="34" t="n"/>
      <c r="AJ370" s="34" t="n"/>
      <c r="AK370" s="34" t="n"/>
      <c r="AL370" s="34" t="n"/>
      <c r="AM370" s="215">
        <f>IFERROR(AM363/AM123,"n/a")</f>
        <v>0.562541806020067</v>
      </c>
      <c r="AN370" s="34" t="n"/>
      <c r="AO370" s="34" t="n"/>
      <c r="AP370" s="34" t="n"/>
      <c r="AQ370" s="34" t="n"/>
      <c r="AR370" s="215">
        <f>IFERROR(AR363/AR123,"n/a")</f>
        <v>0.572410116685423</v>
      </c>
      <c r="AS370" s="34" t="n"/>
      <c r="AT370" s="34" t="n"/>
      <c r="AU370" s="34" t="n"/>
      <c r="AV370" s="34" t="n"/>
      <c r="AW370" s="215">
        <f>IFERROR(AW363/AW123,"n/a")</f>
        <v>0.532906345990458</v>
      </c>
      <c r="AX370" s="34" t="n"/>
      <c r="AY370" s="34" t="n"/>
      <c r="AZ370" s="34" t="n"/>
      <c r="BA370" s="34" t="n"/>
      <c r="BB370" s="215">
        <f>IFERROR(BB363/BB123,"n/a")</f>
        <v>0.543211184071171</v>
      </c>
      <c r="BC370" s="34" t="n"/>
      <c r="BD370" s="34" t="n"/>
      <c r="BE370" s="34" t="n"/>
      <c r="BF370" s="34" t="n"/>
      <c r="BG370" s="215">
        <f>IFERROR(BG363/BG123,"n/a")</f>
        <v>0.568871700319288</v>
      </c>
      <c r="BH370" s="34" t="n"/>
      <c r="BI370" s="34" t="n"/>
      <c r="BJ370" s="34" t="n"/>
      <c r="BK370" s="34" t="n"/>
      <c r="BL370" s="215">
        <f>IFERROR(BL363/BL123,"n/a")</f>
        <v>0.579607936887401</v>
      </c>
      <c r="BM370" s="34" t="n"/>
      <c r="BN370" s="34" t="n"/>
      <c r="BO370" s="34" t="n"/>
      <c r="BP370" s="34" t="n"/>
      <c r="BQ370" s="215">
        <f>IFERROR(BQ363/BQ123,"n/a")</f>
        <v>0.584087762275003</v>
      </c>
      <c r="BR370" s="34" t="n"/>
      <c r="BS370" s="34" t="n"/>
      <c r="BT370" s="34" t="n"/>
      <c r="BU370" s="34" t="n"/>
      <c r="BV370" s="215">
        <f>IFERROR(BV363/BV123,"n/a")</f>
        <v>0.591656247140984</v>
      </c>
      <c r="BW370" s="34" t="n"/>
      <c r="BX370" s="34" t="n"/>
      <c r="BY370" s="35" t="n"/>
      <c r="BZ370" s="35" t="n"/>
      <c r="CA370" s="256">
        <f>IFERROR(CA363/CA123,"n/a")</f>
        <v>0.598851731772861</v>
      </c>
      <c r="CB370" s="256">
        <f>IFERROR(CB363/CB123,"n/a")</f>
        <v>0.602323072539461</v>
      </c>
      <c r="CC370" s="256">
        <f>IFERROR(CC363/CC123,"n/a")</f>
        <v>0.606017601889502</v>
      </c>
      <c r="CD370" s="256">
        <f>IFERROR(CD363/CD123,"n/a")</f>
        <v>0.609800146559032</v>
      </c>
      <c r="CE370" s="256">
        <f>IFERROR(CE363/CE123,"n/a")</f>
        <v>0.61363858642307</v>
      </c>
      <c r="CF370" s="19" t="n"/>
    </row>
    <row r="371" ht="15" customHeight="1" s="251">
      <c r="B371" s="25" t="inlineStr">
        <is>
          <t xml:space="preserve">  Capital turnover = Net revenue / IC</t>
        </is>
      </c>
      <c r="C371" s="285">
        <f>IFERROR(C123/C366,"n/a")</f>
        <v>28.9914579084078</v>
      </c>
      <c r="D371" s="285">
        <f>IFERROR(D123/D366,"n/a")</f>
        <v>13.9411623578927</v>
      </c>
      <c r="E371" s="285">
        <f>IFERROR(E123/E366,"n/a")</f>
        <v>666.702283958875</v>
      </c>
      <c r="F371" s="285">
        <f>IFERROR(F123/F366,"n/a")</f>
        <v>7.79995747161077</v>
      </c>
      <c r="G371" s="285">
        <f>IFERROR(G123/G366,"n/a")</f>
        <v>5.44106090373281</v>
      </c>
      <c r="H371" s="285">
        <f>IFERROR(H123/H366,"n/a")</f>
        <v>7.23491379310345</v>
      </c>
      <c r="I371" s="285">
        <f>IFERROR(I123/I366,"n/a")</f>
        <v>3.83748701973001</v>
      </c>
      <c r="J371" s="34" t="n"/>
      <c r="K371" s="34" t="n"/>
      <c r="L371" s="34" t="n"/>
      <c r="M371" s="34" t="n"/>
      <c r="N371" s="285">
        <f>IFERROR(N123/N366,"n/a")</f>
        <v>6.955</v>
      </c>
      <c r="O371" s="34" t="n"/>
      <c r="P371" s="34" t="n"/>
      <c r="Q371" s="34" t="n"/>
      <c r="R371" s="34" t="n"/>
      <c r="S371" s="285">
        <f>IFERROR(S123/S366,"n/a")</f>
        <v>4.70591157476403</v>
      </c>
      <c r="T371" s="34" t="n"/>
      <c r="U371" s="34" t="n"/>
      <c r="V371" s="34" t="n"/>
      <c r="W371" s="34" t="n"/>
      <c r="X371" s="285">
        <f>IFERROR(X123/X366,"n/a")</f>
        <v>3.70241286863271</v>
      </c>
      <c r="Y371" s="34" t="n"/>
      <c r="Z371" s="34" t="n"/>
      <c r="AA371" s="34" t="n"/>
      <c r="AB371" s="34" t="n"/>
      <c r="AC371" s="285">
        <f>IFERROR(AC123/AC366,"n/a")</f>
        <v>4.26097271648873</v>
      </c>
      <c r="AD371" s="34" t="n"/>
      <c r="AE371" s="34" t="n"/>
      <c r="AF371" s="34" t="n"/>
      <c r="AG371" s="34" t="n"/>
      <c r="AH371" s="285">
        <f>IFERROR(AH123/AH366,"n/a")</f>
        <v>3.89314641744548</v>
      </c>
      <c r="AI371" s="34" t="n"/>
      <c r="AJ371" s="34" t="n"/>
      <c r="AK371" s="34" t="n"/>
      <c r="AL371" s="34" t="n"/>
      <c r="AM371" s="285">
        <f>IFERROR(AM123/AM366,"n/a")</f>
        <v>4.33962264150943</v>
      </c>
      <c r="AN371" s="34" t="n"/>
      <c r="AO371" s="34" t="n"/>
      <c r="AP371" s="34" t="n"/>
      <c r="AQ371" s="34" t="n"/>
      <c r="AR371" s="285">
        <f>IFERROR(AR123/AR366,"n/a")</f>
        <v>2.46755334697457</v>
      </c>
      <c r="AS371" s="34" t="n"/>
      <c r="AT371" s="34" t="n"/>
      <c r="AU371" s="34" t="n"/>
      <c r="AV371" s="34" t="n"/>
      <c r="AW371" s="285">
        <f>IFERROR(AW123/AW366,"n/a")</f>
        <v>1.78063540090772</v>
      </c>
      <c r="AX371" s="34" t="n"/>
      <c r="AY371" s="34" t="n"/>
      <c r="AZ371" s="34" t="n"/>
      <c r="BA371" s="34" t="n"/>
      <c r="BB371" s="285">
        <f>IFERROR(BB123/BB366,"n/a")</f>
        <v>1.40725836500484</v>
      </c>
      <c r="BC371" s="34" t="n"/>
      <c r="BD371" s="34" t="n"/>
      <c r="BE371" s="34" t="n"/>
      <c r="BF371" s="34" t="n"/>
      <c r="BG371" s="285">
        <f>IFERROR(BG123/BG366,"n/a")</f>
        <v>1.71159174876847</v>
      </c>
      <c r="BH371" s="34" t="n"/>
      <c r="BI371" s="34" t="n"/>
      <c r="BJ371" s="34" t="n"/>
      <c r="BK371" s="34" t="n"/>
      <c r="BL371" s="285">
        <f>IFERROR(BL123/BL366,"n/a")</f>
        <v>1.85938657578901</v>
      </c>
      <c r="BM371" s="34" t="n"/>
      <c r="BN371" s="34" t="n"/>
      <c r="BO371" s="34" t="n"/>
      <c r="BP371" s="34" t="n"/>
      <c r="BQ371" s="285">
        <f>IFERROR(BQ123/BQ366,"n/a")</f>
        <v>1.76385496900244</v>
      </c>
      <c r="BR371" s="34" t="n"/>
      <c r="BS371" s="34" t="n"/>
      <c r="BT371" s="34" t="n"/>
      <c r="BU371" s="34" t="n"/>
      <c r="BV371" s="285">
        <f>IFERROR(BV123/BV366,"n/a")</f>
        <v>2.06909389197375</v>
      </c>
      <c r="BW371" s="34" t="n"/>
      <c r="BX371" s="34" t="n"/>
      <c r="BY371" s="35" t="n"/>
      <c r="BZ371" s="35" t="n"/>
      <c r="CA371" s="286">
        <f>IFERROR(CA123/CA366,"n/a")</f>
        <v>1.9636764741485</v>
      </c>
      <c r="CB371" s="286">
        <f>IFERROR(CB123/CB366,"n/a")</f>
        <v>2.01648591094503</v>
      </c>
      <c r="CC371" s="286">
        <f>IFERROR(CC123/CC366,"n/a")</f>
        <v>2.07263831026282</v>
      </c>
      <c r="CD371" s="286">
        <f>IFERROR(CD123/CD366,"n/a")</f>
        <v>2.12833987507676</v>
      </c>
      <c r="CE371" s="286">
        <f>IFERROR(CE123/CE366,"n/a")</f>
        <v>2.182011528301</v>
      </c>
      <c r="CF371" s="19" t="n"/>
    </row>
    <row r="372" ht="15" customHeight="1" s="251">
      <c r="B372" s="25" t="inlineStr">
        <is>
          <t xml:space="preserve">  Tax burden = (1 − tax rate)</t>
        </is>
      </c>
      <c r="C372" s="215">
        <f>IFERROR(1-C364,"n/a")</f>
        <v>0.64623599350653</v>
      </c>
      <c r="D372" s="215">
        <f>IFERROR(1-D364,"n/a")</f>
        <v>0.649444091005483</v>
      </c>
      <c r="E372" s="215">
        <f>IFERROR(1-E364,"n/a")</f>
        <v>0.611916216372389</v>
      </c>
      <c r="F372" s="215">
        <f>IFERROR(1-F364,"n/a")</f>
        <v>0.659352077772599</v>
      </c>
      <c r="G372" s="215">
        <f>IFERROR(1-G364,"n/a")</f>
        <v>0.669931084512151</v>
      </c>
      <c r="H372" s="215">
        <f>IFERROR(1-H364,"n/a")</f>
        <v>0.682309442548351</v>
      </c>
      <c r="I372" s="215">
        <f>IFERROR(1-I364,"n/a")</f>
        <v>0.701163967611336</v>
      </c>
      <c r="J372" s="34" t="n"/>
      <c r="K372" s="34" t="n"/>
      <c r="L372" s="34" t="n"/>
      <c r="M372" s="34" t="n"/>
      <c r="N372" s="215">
        <f>IFERROR(1-N364,"n/a")</f>
        <v>0.691403699673558</v>
      </c>
      <c r="O372" s="34" t="n"/>
      <c r="P372" s="34" t="n"/>
      <c r="Q372" s="34" t="n"/>
      <c r="R372" s="34" t="n"/>
      <c r="S372" s="215">
        <f>IFERROR(1-S364,"n/a")</f>
        <v>0.712148060641859</v>
      </c>
      <c r="T372" s="34" t="n"/>
      <c r="U372" s="34" t="n"/>
      <c r="V372" s="34" t="n"/>
      <c r="W372" s="34" t="n"/>
      <c r="X372" s="215">
        <f>IFERROR(1-X364,"n/a")</f>
        <v>0.765594350725775</v>
      </c>
      <c r="Y372" s="34" t="n"/>
      <c r="Z372" s="34" t="n"/>
      <c r="AA372" s="34" t="n"/>
      <c r="AB372" s="34" t="n"/>
      <c r="AC372" s="215">
        <f>IFERROR(1-AC364,"n/a")</f>
        <v>0.719069928856498</v>
      </c>
      <c r="AD372" s="34" t="n"/>
      <c r="AE372" s="34" t="n"/>
      <c r="AF372" s="34" t="n"/>
      <c r="AG372" s="34" t="n"/>
      <c r="AH372" s="215">
        <f>IFERROR(1-AH364,"n/a")</f>
        <v>0.731801909307876</v>
      </c>
      <c r="AI372" s="34" t="n"/>
      <c r="AJ372" s="34" t="n"/>
      <c r="AK372" s="34" t="n"/>
      <c r="AL372" s="34" t="n"/>
      <c r="AM372" s="215">
        <f>IFERROR(1-AM364,"n/a")</f>
        <v>0.815170427268363</v>
      </c>
      <c r="AN372" s="34" t="n"/>
      <c r="AO372" s="34" t="n"/>
      <c r="AP372" s="34" t="n"/>
      <c r="AQ372" s="34" t="n"/>
      <c r="AR372" s="215">
        <f>IFERROR(1-AR364,"n/a")</f>
        <v>0.829882894186533</v>
      </c>
      <c r="AS372" s="34" t="n"/>
      <c r="AT372" s="34" t="n"/>
      <c r="AU372" s="34" t="n"/>
      <c r="AV372" s="34" t="n"/>
      <c r="AW372" s="215">
        <f>IFERROR(1-AW364,"n/a")</f>
        <v>0.828271177752147</v>
      </c>
      <c r="AX372" s="34" t="n"/>
      <c r="AY372" s="34" t="n"/>
      <c r="AZ372" s="34" t="n"/>
      <c r="BA372" s="34" t="n"/>
      <c r="BB372" s="215">
        <f>IFERROR(1-BB364,"n/a")</f>
        <v>0.84650548557497</v>
      </c>
      <c r="BC372" s="34" t="n"/>
      <c r="BD372" s="34" t="n"/>
      <c r="BE372" s="34" t="n"/>
      <c r="BF372" s="34" t="n"/>
      <c r="BG372" s="215">
        <f>IFERROR(1-BG364,"n/a")</f>
        <v>0.84334991437658</v>
      </c>
      <c r="BH372" s="34" t="n"/>
      <c r="BI372" s="34" t="n"/>
      <c r="BJ372" s="34" t="n"/>
      <c r="BK372" s="34" t="n"/>
      <c r="BL372" s="215">
        <f>IFERROR(1-BL364,"n/a")</f>
        <v>0.815155558676873</v>
      </c>
      <c r="BM372" s="34" t="n"/>
      <c r="BN372" s="34" t="n"/>
      <c r="BO372" s="34" t="n"/>
      <c r="BP372" s="34" t="n"/>
      <c r="BQ372" s="215">
        <f>IFERROR(1-BQ364,"n/a")</f>
        <v>0.838296291710518</v>
      </c>
      <c r="BR372" s="34" t="n"/>
      <c r="BS372" s="34" t="n"/>
      <c r="BT372" s="34" t="n"/>
      <c r="BU372" s="34" t="n"/>
      <c r="BV372" s="215">
        <f>IFERROR(1-BV364,"n/a")</f>
        <v>0.804121022430882</v>
      </c>
      <c r="BW372" s="34" t="n"/>
      <c r="BX372" s="34" t="n"/>
      <c r="BY372" s="35" t="n"/>
      <c r="BZ372" s="35" t="n"/>
      <c r="CA372" s="256">
        <f>IFERROR(1-CA364,"n/a")</f>
        <v>0.799073494512878</v>
      </c>
      <c r="CB372" s="256">
        <f>IFERROR(1-CB364,"n/a")</f>
        <v>0.795</v>
      </c>
      <c r="CC372" s="256">
        <f>IFERROR(1-CC364,"n/a")</f>
        <v>0.795</v>
      </c>
      <c r="CD372" s="256">
        <f>IFERROR(1-CD364,"n/a")</f>
        <v>0.795</v>
      </c>
      <c r="CE372" s="256">
        <f>IFERROR(1-CE364,"n/a")</f>
        <v>0.795</v>
      </c>
      <c r="CF372" s="19" t="n"/>
    </row>
    <row r="373" ht="15" customHeight="1" s="251">
      <c r="B373" s="25" t="inlineStr">
        <is>
          <t xml:space="preserve">  Check: Margin × Turnover × Tax burden = ROIC</t>
        </is>
      </c>
      <c r="C373" s="215">
        <f>IFERROR(C370*C371*C372,"n/a")</f>
        <v>3.65851722018133</v>
      </c>
      <c r="D373" s="215">
        <f>IFERROR(D370*D371*D372,"n/a")</f>
        <v>2.47320696456884</v>
      </c>
      <c r="E373" s="215">
        <f>IFERROR(E370*E371*E372,"n/a")</f>
        <v>159.251460935026</v>
      </c>
      <c r="F373" s="215">
        <f>IFERROR(F370*F371*F372,"n/a")</f>
        <v>2.28677653218448</v>
      </c>
      <c r="G373" s="215">
        <f>IFERROR(G370*G371*G372,"n/a")</f>
        <v>1.81105141903481</v>
      </c>
      <c r="H373" s="215">
        <f>IFERROR(H370*H371*H372,"n/a")</f>
        <v>2.56086615128869</v>
      </c>
      <c r="I373" s="215">
        <f>IFERROR(I370*I371*I372,"n/a")</f>
        <v>1.44055338517033</v>
      </c>
      <c r="J373" s="34" t="n"/>
      <c r="K373" s="34" t="n"/>
      <c r="L373" s="34" t="n"/>
      <c r="M373" s="34" t="n"/>
      <c r="N373" s="215">
        <f>IFERROR(N370*N371*N372,"n/a")</f>
        <v>2.64922850924918</v>
      </c>
      <c r="O373" s="34" t="n"/>
      <c r="P373" s="34" t="n"/>
      <c r="Q373" s="34" t="n"/>
      <c r="R373" s="34" t="n"/>
      <c r="S373" s="215">
        <f>IFERROR(S370*S371*S372,"n/a")</f>
        <v>1.80637257706773</v>
      </c>
      <c r="T373" s="34" t="n"/>
      <c r="U373" s="34" t="n"/>
      <c r="V373" s="34" t="n"/>
      <c r="W373" s="34" t="n"/>
      <c r="X373" s="215">
        <f>IFERROR(X370*X371*X372,"n/a")</f>
        <v>1.53001582615362</v>
      </c>
      <c r="Y373" s="34" t="n"/>
      <c r="Z373" s="34" t="n"/>
      <c r="AA373" s="34" t="n"/>
      <c r="AB373" s="34" t="n"/>
      <c r="AC373" s="215">
        <f>IFERROR(AC370*AC371*AC372,"n/a")</f>
        <v>1.67129024982938</v>
      </c>
      <c r="AD373" s="34" t="n"/>
      <c r="AE373" s="34" t="n"/>
      <c r="AF373" s="34" t="n"/>
      <c r="AG373" s="34" t="n"/>
      <c r="AH373" s="215">
        <f>IFERROR(AH370*AH371*AH372,"n/a")</f>
        <v>1.55114647692548</v>
      </c>
      <c r="AI373" s="34" t="n"/>
      <c r="AJ373" s="34" t="n"/>
      <c r="AK373" s="34" t="n"/>
      <c r="AL373" s="34" t="n"/>
      <c r="AM373" s="215">
        <f>IFERROR(AM370*AM371*AM372,"n/a")</f>
        <v>1.99000966424584</v>
      </c>
      <c r="AN373" s="34" t="n"/>
      <c r="AO373" s="34" t="n"/>
      <c r="AP373" s="34" t="n"/>
      <c r="AQ373" s="34" t="n"/>
      <c r="AR373" s="215">
        <f>IFERROR(AR370*AR371*AR372,"n/a")</f>
        <v>1.17217016799454</v>
      </c>
      <c r="AS373" s="34" t="n"/>
      <c r="AT373" s="34" t="n"/>
      <c r="AU373" s="34" t="n"/>
      <c r="AV373" s="34" t="n"/>
      <c r="AW373" s="215">
        <f>IFERROR(AW370*AW371*AW372,"n/a")</f>
        <v>0.785956381169674</v>
      </c>
      <c r="AX373" s="34" t="n"/>
      <c r="AY373" s="34" t="n"/>
      <c r="AZ373" s="34" t="n"/>
      <c r="BA373" s="34" t="n"/>
      <c r="BB373" s="215">
        <f>IFERROR(BB370*BB371*BB372,"n/a")</f>
        <v>0.647101369031078</v>
      </c>
      <c r="BC373" s="34" t="n"/>
      <c r="BD373" s="34" t="n"/>
      <c r="BE373" s="34" t="n"/>
      <c r="BF373" s="34" t="n"/>
      <c r="BG373" s="215">
        <f>IFERROR(BG370*BG371*BG372,"n/a")</f>
        <v>0.821149662628058</v>
      </c>
      <c r="BH373" s="34" t="n"/>
      <c r="BI373" s="34" t="n"/>
      <c r="BJ373" s="34" t="n"/>
      <c r="BK373" s="34" t="n"/>
      <c r="BL373" s="215">
        <f>IFERROR(BL370*BL371*BL372,"n/a")</f>
        <v>0.878505549864608</v>
      </c>
      <c r="BM373" s="34" t="n"/>
      <c r="BN373" s="34" t="n"/>
      <c r="BO373" s="34" t="n"/>
      <c r="BP373" s="34" t="n"/>
      <c r="BQ373" s="215">
        <f>IFERROR(BQ370*BQ371*BQ372,"n/a")</f>
        <v>0.863651486706835</v>
      </c>
      <c r="BR373" s="34" t="n"/>
      <c r="BS373" s="34" t="n"/>
      <c r="BT373" s="34" t="n"/>
      <c r="BU373" s="34" t="n"/>
      <c r="BV373" s="215">
        <f>IFERROR(BV370*BV371*BV372,"n/a")</f>
        <v>0.98439878572574</v>
      </c>
      <c r="BW373" s="34" t="n"/>
      <c r="BX373" s="34" t="n"/>
      <c r="BY373" s="35" t="n"/>
      <c r="BZ373" s="35" t="n"/>
      <c r="CA373" s="256">
        <f>IFERROR(CA370*CA371*CA372,"n/a")</f>
        <v>0.939671320641294</v>
      </c>
      <c r="CB373" s="256">
        <f>IFERROR(CB370*CB371*CB372,"n/a")</f>
        <v>0.965587911742293</v>
      </c>
      <c r="CC373" s="256">
        <f>IFERROR(CC370*CC371*CC372,"n/a")</f>
        <v>0.998563962203977</v>
      </c>
      <c r="CD373" s="256">
        <f>IFERROR(CD370*CD371*CD372,"n/a")</f>
        <v>1.03180026436064</v>
      </c>
      <c r="CE373" s="256">
        <f>IFERROR(CE370*CE371*CE372,"n/a")</f>
        <v>1.06447834347945</v>
      </c>
      <c r="CF373" s="19" t="n"/>
    </row>
    <row r="374" ht="15" customHeight="1" s="251">
      <c r="B374" s="25" t="inlineStr">
        <is>
          <t>RONTA decomposition</t>
        </is>
      </c>
      <c r="CF374" s="153" t="n"/>
    </row>
    <row r="375" ht="15" customHeight="1" s="251">
      <c r="B375" s="25" t="inlineStr">
        <is>
          <t>NOPAT = Adjusted EBIT × (1 − tax rate)</t>
        </is>
      </c>
      <c r="C375" s="211">
        <f>C365</f>
        <v>419.727046602524</v>
      </c>
      <c r="D375" s="211">
        <f>D365</f>
        <v>721.605122845285</v>
      </c>
      <c r="E375" s="211">
        <f>E365</f>
        <v>1192.31568802052</v>
      </c>
      <c r="F375" s="211">
        <f>F365</f>
        <v>1494.82237033488</v>
      </c>
      <c r="G375" s="211">
        <f>G365</f>
        <v>1843.65034457744</v>
      </c>
      <c r="H375" s="211">
        <f>H365</f>
        <v>2376.48378839591</v>
      </c>
      <c r="I375" s="211">
        <f>I365</f>
        <v>2774.50581983806</v>
      </c>
      <c r="J375" s="34" t="n"/>
      <c r="K375" s="34" t="n"/>
      <c r="L375" s="34" t="n"/>
      <c r="M375" s="34" t="n"/>
      <c r="N375" s="211">
        <f>N365</f>
        <v>3179.07421109902</v>
      </c>
      <c r="O375" s="34" t="n"/>
      <c r="P375" s="34" t="n"/>
      <c r="Q375" s="34" t="n"/>
      <c r="R375" s="34" t="n"/>
      <c r="S375" s="211">
        <f>S365</f>
        <v>3636.22799763733</v>
      </c>
      <c r="T375" s="34" t="n"/>
      <c r="U375" s="34" t="n"/>
      <c r="V375" s="34" t="n"/>
      <c r="W375" s="34" t="n"/>
      <c r="X375" s="211">
        <f>X365</f>
        <v>3994.87132208709</v>
      </c>
      <c r="Y375" s="34" t="n"/>
      <c r="Z375" s="34" t="n"/>
      <c r="AA375" s="34" t="n"/>
      <c r="AB375" s="34" t="n"/>
      <c r="AC375" s="211">
        <f>AC365</f>
        <v>4226.6930418185</v>
      </c>
      <c r="AD375" s="34" t="n"/>
      <c r="AE375" s="34" t="n"/>
      <c r="AF375" s="34" t="n"/>
      <c r="AG375" s="34" t="n"/>
      <c r="AH375" s="211">
        <f>AH365</f>
        <v>4979.18019093079</v>
      </c>
      <c r="AI375" s="34" t="n"/>
      <c r="AJ375" s="34" t="n"/>
      <c r="AK375" s="34" t="n"/>
      <c r="AL375" s="34" t="n"/>
      <c r="AM375" s="211">
        <f>AM365</f>
        <v>6855.58329332693</v>
      </c>
      <c r="AN375" s="34" t="n"/>
      <c r="AO375" s="34" t="n"/>
      <c r="AP375" s="34" t="n"/>
      <c r="AQ375" s="34" t="n"/>
      <c r="AR375" s="211">
        <f>AR365</f>
        <v>8019.98828941865</v>
      </c>
      <c r="AS375" s="34" t="n"/>
      <c r="AT375" s="34" t="n"/>
      <c r="AU375" s="34" t="n"/>
      <c r="AV375" s="34" t="n"/>
      <c r="AW375" s="211">
        <f>AW365</f>
        <v>6753.723183391</v>
      </c>
      <c r="AX375" s="34" t="n"/>
      <c r="AY375" s="34" t="n"/>
      <c r="AZ375" s="34" t="n"/>
      <c r="BA375" s="34" t="n"/>
      <c r="BB375" s="211">
        <f>BB365</f>
        <v>8683.45327102804</v>
      </c>
      <c r="BC375" s="34" t="n"/>
      <c r="BD375" s="34" t="n"/>
      <c r="BE375" s="34" t="n"/>
      <c r="BF375" s="34" t="n"/>
      <c r="BG375" s="211">
        <f>BG365</f>
        <v>10668.3764168637</v>
      </c>
      <c r="BH375" s="34" t="n"/>
      <c r="BI375" s="34" t="n"/>
      <c r="BJ375" s="34" t="n"/>
      <c r="BK375" s="34" t="n"/>
      <c r="BL375" s="211">
        <f>BL365</f>
        <v>11858.0679120725</v>
      </c>
      <c r="BM375" s="34" t="n"/>
      <c r="BN375" s="34" t="n"/>
      <c r="BO375" s="34" t="n"/>
      <c r="BP375" s="34" t="n"/>
      <c r="BQ375" s="211">
        <f>BQ365</f>
        <v>13791.6505912214</v>
      </c>
      <c r="BR375" s="34" t="n"/>
      <c r="BS375" s="34" t="n"/>
      <c r="BT375" s="34" t="n"/>
      <c r="BU375" s="34" t="n"/>
      <c r="BV375" s="211">
        <f>BV365</f>
        <v>15600.7519561815</v>
      </c>
      <c r="BW375" s="34" t="n"/>
      <c r="BX375" s="34" t="n"/>
      <c r="BY375" s="35" t="n"/>
      <c r="BZ375" s="35" t="n"/>
      <c r="CA375" s="254">
        <f>CA365</f>
        <v>17809.6981059259</v>
      </c>
      <c r="CB375" s="254">
        <f>CB365</f>
        <v>20027.7755348725</v>
      </c>
      <c r="CC375" s="254">
        <f>CC365</f>
        <v>22539.9006590715</v>
      </c>
      <c r="CD375" s="254">
        <f>CD365</f>
        <v>25203.6113489485</v>
      </c>
      <c r="CE375" s="254">
        <f>CE365</f>
        <v>28001.6717156229</v>
      </c>
      <c r="CF375" s="19" t="n"/>
    </row>
    <row r="376" ht="15" customHeight="1" s="251">
      <c r="B376" s="25" t="inlineStr">
        <is>
          <t xml:space="preserve">  Total assets</t>
        </is>
      </c>
      <c r="C376" s="211">
        <f>C291</f>
        <v>5082.47</v>
      </c>
      <c r="D376" s="211">
        <f>D291</f>
        <v>6260.041</v>
      </c>
      <c r="E376" s="211">
        <f>E291</f>
        <v>6475.849</v>
      </c>
      <c r="F376" s="211">
        <f>F291</f>
        <v>7470.279</v>
      </c>
      <c r="G376" s="211">
        <f>G291</f>
        <v>8837</v>
      </c>
      <c r="H376" s="211">
        <f>H291</f>
        <v>10693</v>
      </c>
      <c r="I376" s="211">
        <f>I291</f>
        <v>12462</v>
      </c>
      <c r="J376" s="34" t="n"/>
      <c r="K376" s="34" t="n"/>
      <c r="L376" s="34" t="n"/>
      <c r="M376" s="34" t="n"/>
      <c r="N376" s="211">
        <f>N291</f>
        <v>14242</v>
      </c>
      <c r="O376" s="34" t="n"/>
      <c r="P376" s="34" t="n"/>
      <c r="Q376" s="34" t="n"/>
      <c r="R376" s="34" t="n"/>
      <c r="S376" s="211">
        <f>S291</f>
        <v>15329</v>
      </c>
      <c r="T376" s="34" t="n"/>
      <c r="U376" s="34" t="n"/>
      <c r="V376" s="34" t="n"/>
      <c r="W376" s="34" t="n"/>
      <c r="X376" s="211">
        <f>X291</f>
        <v>16269</v>
      </c>
      <c r="Y376" s="34" t="n"/>
      <c r="Z376" s="34" t="n"/>
      <c r="AA376" s="34" t="n"/>
      <c r="AB376" s="34" t="n"/>
      <c r="AC376" s="211">
        <f>AC291</f>
        <v>18675</v>
      </c>
      <c r="AD376" s="34" t="n"/>
      <c r="AE376" s="34" t="n"/>
      <c r="AF376" s="34" t="n"/>
      <c r="AG376" s="34" t="n"/>
      <c r="AH376" s="211">
        <f>AH291</f>
        <v>21329</v>
      </c>
      <c r="AI376" s="34" t="n"/>
      <c r="AJ376" s="34" t="n"/>
      <c r="AK376" s="34" t="n"/>
      <c r="AL376" s="34" t="n"/>
      <c r="AM376" s="211">
        <f>AM291</f>
        <v>24860</v>
      </c>
      <c r="AN376" s="34" t="n"/>
      <c r="AO376" s="34" t="n"/>
      <c r="AP376" s="34" t="n"/>
      <c r="AQ376" s="34" t="n"/>
      <c r="AR376" s="211">
        <f>AR291</f>
        <v>29236</v>
      </c>
      <c r="AS376" s="34" t="n"/>
      <c r="AT376" s="34" t="n"/>
      <c r="AU376" s="34" t="n"/>
      <c r="AV376" s="34" t="n"/>
      <c r="AW376" s="211">
        <f>AW291</f>
        <v>33584</v>
      </c>
      <c r="AX376" s="34" t="n"/>
      <c r="AY376" s="34" t="n"/>
      <c r="AZ376" s="34" t="n"/>
      <c r="BA376" s="34" t="n"/>
      <c r="BB376" s="211">
        <f>BB291</f>
        <v>37669</v>
      </c>
      <c r="BC376" s="34" t="n"/>
      <c r="BD376" s="34" t="n"/>
      <c r="BE376" s="34" t="n"/>
      <c r="BF376" s="34" t="n"/>
      <c r="BG376" s="211">
        <f>BG291</f>
        <v>38724</v>
      </c>
      <c r="BH376" s="34" t="n"/>
      <c r="BI376" s="34" t="n"/>
      <c r="BJ376" s="34" t="n"/>
      <c r="BK376" s="34" t="n"/>
      <c r="BL376" s="211">
        <f>BL291</f>
        <v>42448</v>
      </c>
      <c r="BM376" s="34" t="n"/>
      <c r="BN376" s="34" t="n"/>
      <c r="BO376" s="34" t="n"/>
      <c r="BP376" s="34" t="n"/>
      <c r="BQ376" s="211">
        <f>BQ291</f>
        <v>48081</v>
      </c>
      <c r="BR376" s="34" t="n"/>
      <c r="BS376" s="34" t="n"/>
      <c r="BT376" s="34" t="n"/>
      <c r="BU376" s="34" t="n"/>
      <c r="BV376" s="211">
        <f>BV291</f>
        <v>54157</v>
      </c>
      <c r="BW376" s="34" t="n"/>
      <c r="BX376" s="34" t="n"/>
      <c r="BY376" s="35" t="n"/>
      <c r="BZ376" s="35" t="n"/>
      <c r="CA376" s="254">
        <f>CA291</f>
        <v>58284.9255276498</v>
      </c>
      <c r="CB376" s="254">
        <f>CB291</f>
        <v>63105.2469081173</v>
      </c>
      <c r="CC376" s="254">
        <f>CC291</f>
        <v>67005.6428331183</v>
      </c>
      <c r="CD376" s="254">
        <f>CD291</f>
        <v>71241.7546050706</v>
      </c>
      <c r="CE376" s="254">
        <f>CE291</f>
        <v>76124.070018816</v>
      </c>
      <c r="CF376" s="19" t="n"/>
    </row>
    <row r="377" ht="15" customHeight="1" s="251">
      <c r="B377" s="25" t="inlineStr">
        <is>
          <t xml:space="preserve">  − Goodwill &amp; intangible assets</t>
        </is>
      </c>
      <c r="C377" s="211">
        <f>IFERROR(-(C288+C289),"n/a")</f>
        <v>-488.386</v>
      </c>
      <c r="D377" s="211">
        <f>IFERROR(-(D288+D289),"n/a")</f>
        <v>-560.384</v>
      </c>
      <c r="E377" s="211">
        <f>IFERROR(-(E288+E289),"n/a")</f>
        <v>-692.275</v>
      </c>
      <c r="F377" s="211">
        <f>IFERROR(-(F288+F289),"n/a")</f>
        <v>-723.932</v>
      </c>
      <c r="G377" s="211">
        <f>IFERROR(-(G288+G289),"n/a")</f>
        <v>-1207</v>
      </c>
      <c r="H377" s="211">
        <f>IFERROR(-(H288+H289),"n/a")</f>
        <v>-1679</v>
      </c>
      <c r="I377" s="211">
        <f>IFERROR(-(I288+I289),"n/a")</f>
        <v>-1764</v>
      </c>
      <c r="J377" s="34" t="n"/>
      <c r="K377" s="34" t="n"/>
      <c r="L377" s="34" t="n"/>
      <c r="M377" s="34" t="n"/>
      <c r="N377" s="211">
        <f>IFERROR(-(N288+N289),"n/a")</f>
        <v>-1794</v>
      </c>
      <c r="O377" s="34" t="n"/>
      <c r="P377" s="34" t="n"/>
      <c r="Q377" s="34" t="n"/>
      <c r="R377" s="34" t="n"/>
      <c r="S377" s="211">
        <f>IFERROR(-(S288+S289),"n/a")</f>
        <v>-2236</v>
      </c>
      <c r="T377" s="34" t="n"/>
      <c r="U377" s="34" t="n"/>
      <c r="V377" s="34" t="n"/>
      <c r="W377" s="34" t="n"/>
      <c r="X377" s="211">
        <f>IFERROR(-(X288+X289),"n/a")</f>
        <v>-2694</v>
      </c>
      <c r="Y377" s="34" t="n"/>
      <c r="Z377" s="34" t="n"/>
      <c r="AA377" s="34" t="n"/>
      <c r="AB377" s="34" t="n"/>
      <c r="AC377" s="211">
        <f>IFERROR(-(AC288+AC289),"n/a")</f>
        <v>-2478</v>
      </c>
      <c r="AD377" s="34" t="n"/>
      <c r="AE377" s="34" t="n"/>
      <c r="AF377" s="34" t="n"/>
      <c r="AG377" s="34" t="n"/>
      <c r="AH377" s="211">
        <f>IFERROR(-(AH288+AH289),"n/a")</f>
        <v>-4155</v>
      </c>
      <c r="AI377" s="34" t="n"/>
      <c r="AJ377" s="34" t="n"/>
      <c r="AK377" s="34" t="n"/>
      <c r="AL377" s="34" t="n"/>
      <c r="AM377" s="211">
        <f>IFERROR(-(AM288+AM289),"n/a")</f>
        <v>-3895</v>
      </c>
      <c r="AN377" s="34" t="n"/>
      <c r="AO377" s="34" t="n"/>
      <c r="AP377" s="34" t="n"/>
      <c r="AQ377" s="34" t="n"/>
      <c r="AR377" s="211">
        <f>IFERROR(-(AR288+AR289),"n/a")</f>
        <v>-5438</v>
      </c>
      <c r="AS377" s="34" t="n"/>
      <c r="AT377" s="34" t="n"/>
      <c r="AU377" s="34" t="n"/>
      <c r="AV377" s="34" t="n"/>
      <c r="AW377" s="211">
        <f>IFERROR(-(AW288+AW289),"n/a")</f>
        <v>-6713</v>
      </c>
      <c r="AX377" s="34" t="n"/>
      <c r="AY377" s="34" t="n"/>
      <c r="AZ377" s="34" t="n"/>
      <c r="BA377" s="34" t="n"/>
      <c r="BB377" s="211">
        <f>IFERROR(-(BB288+BB289),"n/a")</f>
        <v>-11333</v>
      </c>
      <c r="BC377" s="34" t="n"/>
      <c r="BD377" s="34" t="n"/>
      <c r="BE377" s="34" t="n"/>
      <c r="BF377" s="34" t="n"/>
      <c r="BG377" s="211">
        <f>IFERROR(-(BG288+BG289),"n/a")</f>
        <v>-11381</v>
      </c>
      <c r="BH377" s="34" t="n"/>
      <c r="BI377" s="34" t="n"/>
      <c r="BJ377" s="34" t="n"/>
      <c r="BK377" s="34" t="n"/>
      <c r="BL377" s="211">
        <f>IFERROR(-(BL288+BL289),"n/a")</f>
        <v>-11746</v>
      </c>
      <c r="BM377" s="34" t="n"/>
      <c r="BN377" s="34" t="n"/>
      <c r="BO377" s="34" t="n"/>
      <c r="BP377" s="34" t="n"/>
      <c r="BQ377" s="211">
        <f>IFERROR(-(BQ288+BQ289),"n/a")</f>
        <v>-14646</v>
      </c>
      <c r="BR377" s="34" t="n"/>
      <c r="BS377" s="34" t="n"/>
      <c r="BT377" s="34" t="n"/>
      <c r="BU377" s="34" t="n"/>
      <c r="BV377" s="211">
        <f>IFERROR(-(BV288+BV289),"n/a")</f>
        <v>-15114</v>
      </c>
      <c r="BW377" s="34" t="n"/>
      <c r="BX377" s="34" t="n"/>
      <c r="BY377" s="35" t="n"/>
      <c r="BZ377" s="35" t="n"/>
      <c r="CA377" s="254">
        <f>IFERROR(-(CA288+CA289),"n/a")</f>
        <v>-16420</v>
      </c>
      <c r="CB377" s="254">
        <f>IFERROR(-(CB288+CB289),"n/a")</f>
        <v>-17335.9719941741</v>
      </c>
      <c r="CC377" s="254">
        <f>IFERROR(-(CC288+CC289),"n/a")</f>
        <v>-18212.2619261275</v>
      </c>
      <c r="CD377" s="254">
        <f>IFERROR(-(CD288+CD289),"n/a")</f>
        <v>-19048.7619422102</v>
      </c>
      <c r="CE377" s="254">
        <f>IFERROR(-(CE288+CE289),"n/a")</f>
        <v>-19845.38139128</v>
      </c>
      <c r="CF377" s="19" t="n"/>
    </row>
    <row r="378" ht="15" customHeight="1" s="251">
      <c r="B378" s="25" t="inlineStr">
        <is>
          <t xml:space="preserve">  − Non-interest-bearing current liabilities (total CL excl. short-term debt)</t>
        </is>
      </c>
      <c r="C378" s="211">
        <f>IFERROR(-(C300-N(C298)),"n/a")</f>
        <v>-1811.59</v>
      </c>
      <c r="D378" s="211">
        <f>IFERROR(-(D300-N(D298)),"n/a")</f>
        <v>-2283.342</v>
      </c>
      <c r="E378" s="211">
        <f>IFERROR(-(E300-N(E298)),"n/a")</f>
        <v>-2841.071</v>
      </c>
      <c r="F378" s="211">
        <f>IFERROR(-(F300-N(F298)),"n/a")</f>
        <v>-3167.131</v>
      </c>
      <c r="G378" s="211">
        <f>IFERROR(-(G300-N(G298)),"n/a")</f>
        <v>-3143</v>
      </c>
      <c r="H378" s="211">
        <f>IFERROR(-(H300-N(H298)),"n/a")</f>
        <v>-4217</v>
      </c>
      <c r="I378" s="211">
        <f>IFERROR(-(I300-N(I298)),"n/a")</f>
        <v>-4906</v>
      </c>
      <c r="J378" s="34" t="n"/>
      <c r="K378" s="34" t="n"/>
      <c r="L378" s="34" t="n"/>
      <c r="M378" s="34" t="n"/>
      <c r="N378" s="211">
        <f>IFERROR(-(N300-N(N298)),"n/a")</f>
        <v>-6032</v>
      </c>
      <c r="O378" s="34" t="n"/>
      <c r="P378" s="34" t="n"/>
      <c r="Q378" s="34" t="n"/>
      <c r="R378" s="34" t="n"/>
      <c r="S378" s="211">
        <f>IFERROR(-(S300-N(S298)),"n/a")</f>
        <v>-6222</v>
      </c>
      <c r="T378" s="34" t="n"/>
      <c r="U378" s="34" t="n"/>
      <c r="V378" s="34" t="n"/>
      <c r="W378" s="34" t="n"/>
      <c r="X378" s="211">
        <f>IFERROR(-(X300-N(X298)),"n/a")</f>
        <v>-6269</v>
      </c>
      <c r="Y378" s="34" t="n"/>
      <c r="Z378" s="34" t="n"/>
      <c r="AA378" s="34" t="n"/>
      <c r="AB378" s="34" t="n"/>
      <c r="AC378" s="211">
        <f>IFERROR(-(AC300-N(AC298)),"n/a")</f>
        <v>-7206</v>
      </c>
      <c r="AD378" s="34" t="n"/>
      <c r="AE378" s="34" t="n"/>
      <c r="AF378" s="34" t="n"/>
      <c r="AG378" s="34" t="n"/>
      <c r="AH378" s="211">
        <f>IFERROR(-(AH300-N(AH298)),"n/a")</f>
        <v>-8793</v>
      </c>
      <c r="AI378" s="34" t="n"/>
      <c r="AJ378" s="34" t="n"/>
      <c r="AK378" s="34" t="n"/>
      <c r="AL378" s="34" t="n"/>
      <c r="AM378" s="211">
        <f>IFERROR(-(AM300-N(AM298)),"n/a")</f>
        <v>-11093</v>
      </c>
      <c r="AN378" s="34" t="n"/>
      <c r="AO378" s="34" t="n"/>
      <c r="AP378" s="34" t="n"/>
      <c r="AQ378" s="34" t="n"/>
      <c r="AR378" s="211">
        <f>IFERROR(-(AR300-N(AR298)),"n/a")</f>
        <v>-11904</v>
      </c>
      <c r="AS378" s="34" t="n"/>
      <c r="AT378" s="34" t="n"/>
      <c r="AU378" s="34" t="n"/>
      <c r="AV378" s="34" t="n"/>
      <c r="AW378" s="211">
        <f>IFERROR(-(AW300-N(AW298)),"n/a")</f>
        <v>-11198</v>
      </c>
      <c r="AX378" s="34" t="n"/>
      <c r="AY378" s="34" t="n"/>
      <c r="AZ378" s="34" t="n"/>
      <c r="BA378" s="34" t="n"/>
      <c r="BB378" s="211">
        <f>IFERROR(-(BB300-N(BB298)),"n/a")</f>
        <v>-12370</v>
      </c>
      <c r="BC378" s="34" t="n"/>
      <c r="BD378" s="34" t="n"/>
      <c r="BE378" s="34" t="n"/>
      <c r="BF378" s="34" t="n"/>
      <c r="BG378" s="211">
        <f>IFERROR(-(BG300-N(BG298)),"n/a")</f>
        <v>-13897</v>
      </c>
      <c r="BH378" s="34" t="n"/>
      <c r="BI378" s="34" t="n"/>
      <c r="BJ378" s="34" t="n"/>
      <c r="BK378" s="34" t="n"/>
      <c r="BL378" s="211">
        <f>IFERROR(-(BL300-N(BL298)),"n/a")</f>
        <v>-14927</v>
      </c>
      <c r="BM378" s="34" t="n"/>
      <c r="BN378" s="34" t="n"/>
      <c r="BO378" s="34" t="n"/>
      <c r="BP378" s="34" t="n"/>
      <c r="BQ378" s="211">
        <f>IFERROR(-(BQ300-N(BQ298)),"n/a")</f>
        <v>-18470</v>
      </c>
      <c r="BR378" s="34" t="n"/>
      <c r="BS378" s="34" t="n"/>
      <c r="BT378" s="34" t="n"/>
      <c r="BU378" s="34" t="n"/>
      <c r="BV378" s="211">
        <f>IFERROR(-(BV300-N(BV298)),"n/a")</f>
        <v>-22013</v>
      </c>
      <c r="BW378" s="34" t="n"/>
      <c r="BX378" s="34" t="n"/>
      <c r="BY378" s="35" t="n"/>
      <c r="BZ378" s="35" t="n"/>
      <c r="CA378" s="254">
        <f>IFERROR(-(CA300-N(CA298)),"n/a")</f>
        <v>-24066.9152981425</v>
      </c>
      <c r="CB378" s="254">
        <f>IFERROR(-(CB300-N(CB298)),"n/a")</f>
        <v>-26635.6348049542</v>
      </c>
      <c r="CC378" s="254">
        <f>IFERROR(-(CC300-N(CC298)),"n/a")</f>
        <v>-29388.2603009364</v>
      </c>
      <c r="CD378" s="254">
        <f>IFERROR(-(CD300-N(CD298)),"n/a")</f>
        <v>-32283.9229599305</v>
      </c>
      <c r="CE378" s="254">
        <f>IFERROR(-(CE300-N(CE298)),"n/a")</f>
        <v>-35287.5355876559</v>
      </c>
      <c r="CF378" s="19" t="n"/>
    </row>
    <row r="379" ht="15" customHeight="1" s="251">
      <c r="B379" s="25" t="inlineStr">
        <is>
          <t xml:space="preserve">  = Net tangible assets</t>
        </is>
      </c>
      <c r="C379" s="211">
        <f>IFERROR(SUM(C376:C378),"n/a")</f>
        <v>2782.494</v>
      </c>
      <c r="D379" s="211">
        <f>IFERROR(SUM(D376:D378),"n/a")</f>
        <v>3416.315</v>
      </c>
      <c r="E379" s="211">
        <f>IFERROR(SUM(E376:E378),"n/a")</f>
        <v>2942.503</v>
      </c>
      <c r="F379" s="211">
        <f>IFERROR(SUM(F376:F378),"n/a")</f>
        <v>3579.216</v>
      </c>
      <c r="G379" s="211">
        <f>IFERROR(SUM(G376:G378),"n/a")</f>
        <v>4487</v>
      </c>
      <c r="H379" s="211">
        <f>IFERROR(SUM(H376:H378),"n/a")</f>
        <v>4797</v>
      </c>
      <c r="I379" s="211">
        <f>IFERROR(SUM(I376:I378),"n/a")</f>
        <v>5792</v>
      </c>
      <c r="J379" s="34" t="n"/>
      <c r="K379" s="34" t="n"/>
      <c r="L379" s="34" t="n"/>
      <c r="M379" s="34" t="n"/>
      <c r="N379" s="211">
        <f>IFERROR(SUM(N376:N378),"n/a")</f>
        <v>6416</v>
      </c>
      <c r="O379" s="34" t="n"/>
      <c r="P379" s="34" t="n"/>
      <c r="Q379" s="34" t="n"/>
      <c r="R379" s="34" t="n"/>
      <c r="S379" s="211">
        <f>IFERROR(SUM(S376:S378),"n/a")</f>
        <v>6871</v>
      </c>
      <c r="T379" s="34" t="n"/>
      <c r="U379" s="34" t="n"/>
      <c r="V379" s="34" t="n"/>
      <c r="W379" s="34" t="n"/>
      <c r="X379" s="211">
        <f>IFERROR(SUM(X376:X378),"n/a")</f>
        <v>7306</v>
      </c>
      <c r="Y379" s="34" t="n"/>
      <c r="Z379" s="34" t="n"/>
      <c r="AA379" s="34" t="n"/>
      <c r="AB379" s="34" t="n"/>
      <c r="AC379" s="211">
        <f>IFERROR(SUM(AC376:AC378),"n/a")</f>
        <v>8991</v>
      </c>
      <c r="AD379" s="34" t="n"/>
      <c r="AE379" s="34" t="n"/>
      <c r="AF379" s="34" t="n"/>
      <c r="AG379" s="34" t="n"/>
      <c r="AH379" s="211">
        <f>IFERROR(SUM(AH376:AH378),"n/a")</f>
        <v>8381</v>
      </c>
      <c r="AI379" s="34" t="n"/>
      <c r="AJ379" s="34" t="n"/>
      <c r="AK379" s="34" t="n"/>
      <c r="AL379" s="34" t="n"/>
      <c r="AM379" s="211">
        <f>IFERROR(SUM(AM376:AM378),"n/a")</f>
        <v>9872</v>
      </c>
      <c r="AN379" s="34" t="n"/>
      <c r="AO379" s="34" t="n"/>
      <c r="AP379" s="34" t="n"/>
      <c r="AQ379" s="34" t="n"/>
      <c r="AR379" s="211">
        <f>IFERROR(SUM(AR376:AR378),"n/a")</f>
        <v>11894</v>
      </c>
      <c r="AS379" s="34" t="n"/>
      <c r="AT379" s="34" t="n"/>
      <c r="AU379" s="34" t="n"/>
      <c r="AV379" s="34" t="n"/>
      <c r="AW379" s="211">
        <f>IFERROR(SUM(AW376:AW378),"n/a")</f>
        <v>15673</v>
      </c>
      <c r="AX379" s="34" t="n"/>
      <c r="AY379" s="34" t="n"/>
      <c r="AZ379" s="34" t="n"/>
      <c r="BA379" s="34" t="n"/>
      <c r="BB379" s="211">
        <f>IFERROR(SUM(BB376:BB378),"n/a")</f>
        <v>13966</v>
      </c>
      <c r="BC379" s="34" t="n"/>
      <c r="BD379" s="34" t="n"/>
      <c r="BE379" s="34" t="n"/>
      <c r="BF379" s="34" t="n"/>
      <c r="BG379" s="211">
        <f>IFERROR(SUM(BG376:BG378),"n/a")</f>
        <v>13446</v>
      </c>
      <c r="BH379" s="34" t="n"/>
      <c r="BI379" s="34" t="n"/>
      <c r="BJ379" s="34" t="n"/>
      <c r="BK379" s="34" t="n"/>
      <c r="BL379" s="211">
        <f>IFERROR(SUM(BL376:BL378),"n/a")</f>
        <v>15775</v>
      </c>
      <c r="BM379" s="34" t="n"/>
      <c r="BN379" s="34" t="n"/>
      <c r="BO379" s="34" t="n"/>
      <c r="BP379" s="34" t="n"/>
      <c r="BQ379" s="211">
        <f>IFERROR(SUM(BQ376:BQ378),"n/a")</f>
        <v>14965</v>
      </c>
      <c r="BR379" s="34" t="n"/>
      <c r="BS379" s="34" t="n"/>
      <c r="BT379" s="34" t="n"/>
      <c r="BU379" s="34" t="n"/>
      <c r="BV379" s="211">
        <f>IFERROR(SUM(BV376:BV378),"n/a")</f>
        <v>17030</v>
      </c>
      <c r="BW379" s="34" t="n"/>
      <c r="BX379" s="34" t="n"/>
      <c r="BY379" s="35" t="n"/>
      <c r="BZ379" s="35" t="n"/>
      <c r="CA379" s="254">
        <f>IFERROR(SUM(CA376:CA378),"n/a")</f>
        <v>17798.0102295073</v>
      </c>
      <c r="CB379" s="254">
        <f>IFERROR(SUM(CB376:CB378),"n/a")</f>
        <v>19133.640108989</v>
      </c>
      <c r="CC379" s="254">
        <f>IFERROR(SUM(CC376:CC378),"n/a")</f>
        <v>19405.1206060544</v>
      </c>
      <c r="CD379" s="254">
        <f>IFERROR(SUM(CD376:CD378),"n/a")</f>
        <v>19909.0697029299</v>
      </c>
      <c r="CE379" s="254">
        <f>IFERROR(SUM(CE376:CE378),"n/a")</f>
        <v>20991.1530398802</v>
      </c>
      <c r="CF379" s="19" t="n"/>
    </row>
    <row r="380" ht="15" customHeight="1" s="251">
      <c r="B380" s="55" t="inlineStr">
        <is>
          <t>RONTA = NOPAT / NTA</t>
        </is>
      </c>
      <c r="C380" s="295">
        <f>IFERROR(C375/C379,"n/a")</f>
        <v>0.150845625040889</v>
      </c>
      <c r="D380" s="295">
        <f>IFERROR(D375/D379,"n/a")</f>
        <v>0.211223239907703</v>
      </c>
      <c r="E380" s="295">
        <f>IFERROR(E375/E379,"n/a")</f>
        <v>0.405204578557955</v>
      </c>
      <c r="F380" s="295">
        <f>IFERROR(F375/F379,"n/a")</f>
        <v>0.417639608879398</v>
      </c>
      <c r="G380" s="295">
        <f>IFERROR(G375/G379,"n/a")</f>
        <v>0.410887083703463</v>
      </c>
      <c r="H380" s="295">
        <f>IFERROR(H375/H379,"n/a")</f>
        <v>0.495410420762123</v>
      </c>
      <c r="I380" s="295">
        <f>IFERROR(I375/I379,"n/a")</f>
        <v>0.479023794861543</v>
      </c>
      <c r="J380" s="56" t="n"/>
      <c r="K380" s="56" t="n"/>
      <c r="L380" s="56" t="n"/>
      <c r="M380" s="56" t="n"/>
      <c r="N380" s="295">
        <f>IFERROR(N375/N379,"n/a")</f>
        <v>0.495491616443114</v>
      </c>
      <c r="O380" s="56" t="n"/>
      <c r="P380" s="56" t="n"/>
      <c r="Q380" s="56" t="n"/>
      <c r="R380" s="56" t="n"/>
      <c r="S380" s="295">
        <f>IFERROR(S375/S379,"n/a")</f>
        <v>0.529213796774462</v>
      </c>
      <c r="T380" s="56" t="n"/>
      <c r="U380" s="56" t="n"/>
      <c r="V380" s="56" t="n"/>
      <c r="W380" s="56" t="n"/>
      <c r="X380" s="295">
        <f>IFERROR(X375/X379,"n/a")</f>
        <v>0.546793227769928</v>
      </c>
      <c r="Y380" s="56" t="n"/>
      <c r="Z380" s="56" t="n"/>
      <c r="AA380" s="56" t="n"/>
      <c r="AB380" s="56" t="n"/>
      <c r="AC380" s="295">
        <f>IFERROR(AC375/AC379,"n/a")</f>
        <v>0.47010266286492</v>
      </c>
      <c r="AD380" s="56" t="n"/>
      <c r="AE380" s="56" t="n"/>
      <c r="AF380" s="56" t="n"/>
      <c r="AG380" s="56" t="n"/>
      <c r="AH380" s="295">
        <f>IFERROR(AH375/AH379,"n/a")</f>
        <v>0.594103351739743</v>
      </c>
      <c r="AI380" s="56" t="n"/>
      <c r="AJ380" s="56" t="n"/>
      <c r="AK380" s="56" t="n"/>
      <c r="AL380" s="56" t="n"/>
      <c r="AM380" s="295">
        <f>IFERROR(AM375/AM379,"n/a")</f>
        <v>0.694447254186278</v>
      </c>
      <c r="AN380" s="56" t="n"/>
      <c r="AO380" s="56" t="n"/>
      <c r="AP380" s="56" t="n"/>
      <c r="AQ380" s="56" t="n"/>
      <c r="AR380" s="295">
        <f>IFERROR(AR375/AR379,"n/a")</f>
        <v>0.674288573181323</v>
      </c>
      <c r="AS380" s="56" t="n"/>
      <c r="AT380" s="56" t="n"/>
      <c r="AU380" s="56" t="n"/>
      <c r="AV380" s="56" t="n"/>
      <c r="AW380" s="295">
        <f>IFERROR(AW375/AW379,"n/a")</f>
        <v>0.430914514348944</v>
      </c>
      <c r="AX380" s="56" t="n"/>
      <c r="AY380" s="56" t="n"/>
      <c r="AZ380" s="56" t="n"/>
      <c r="BA380" s="56" t="n"/>
      <c r="BB380" s="295">
        <f>IFERROR(BB375/BB379,"n/a")</f>
        <v>0.621756642634114</v>
      </c>
      <c r="BC380" s="56" t="n"/>
      <c r="BD380" s="56" t="n"/>
      <c r="BE380" s="56" t="n"/>
      <c r="BF380" s="56" t="n"/>
      <c r="BG380" s="295">
        <f>IFERROR(BG375/BG379,"n/a")</f>
        <v>0.793423800153483</v>
      </c>
      <c r="BH380" s="56" t="n"/>
      <c r="BI380" s="56" t="n"/>
      <c r="BJ380" s="56" t="n"/>
      <c r="BK380" s="56" t="n"/>
      <c r="BL380" s="295">
        <f>IFERROR(BL375/BL379,"n/a")</f>
        <v>0.751700026121869</v>
      </c>
      <c r="BM380" s="56" t="n"/>
      <c r="BN380" s="56" t="n"/>
      <c r="BO380" s="56" t="n"/>
      <c r="BP380" s="56" t="n"/>
      <c r="BQ380" s="295">
        <f>IFERROR(BQ375/BQ379,"n/a")</f>
        <v>0.921593758183859</v>
      </c>
      <c r="BR380" s="56" t="n"/>
      <c r="BS380" s="56" t="n"/>
      <c r="BT380" s="56" t="n"/>
      <c r="BU380" s="56" t="n"/>
      <c r="BV380" s="295">
        <f>IFERROR(BV375/BV379,"n/a")</f>
        <v>0.916074689147477</v>
      </c>
      <c r="BW380" s="56" t="n"/>
      <c r="BX380" s="56" t="n"/>
      <c r="BY380" s="56" t="n"/>
      <c r="BZ380" s="56" t="n"/>
      <c r="CA380" s="295">
        <f>IFERROR(CA375/CA379,"n/a")</f>
        <v>1.00065669567934</v>
      </c>
      <c r="CB380" s="295">
        <f>IFERROR(CB375/CB379,"n/a")</f>
        <v>1.04673106741793</v>
      </c>
      <c r="CC380" s="295">
        <f>IFERROR(CC375/CC379,"n/a")</f>
        <v>1.16154396134179</v>
      </c>
      <c r="CD380" s="295">
        <f>IFERROR(CD375/CD379,"n/a")</f>
        <v>1.2659361650253</v>
      </c>
      <c r="CE380" s="295">
        <f>IFERROR(CE375/CE379,"n/a")</f>
        <v>1.33397492088328</v>
      </c>
      <c r="CF380" s="153" t="n"/>
    </row>
    <row r="381" ht="15" customHeight="1" s="251">
      <c r="B381" s="25" t="inlineStr">
        <is>
          <t>Return on Equity (ROE)</t>
        </is>
      </c>
      <c r="CF381" s="153" t="n"/>
    </row>
    <row r="382" ht="15" customHeight="1" s="251">
      <c r="B382" s="25" t="inlineStr">
        <is>
          <t>Net income attributable to Mastercard</t>
        </is>
      </c>
      <c r="C382" s="211">
        <f>C142</f>
        <v>50.1900000000004</v>
      </c>
      <c r="D382" s="211">
        <f>D142</f>
        <v>1085.886</v>
      </c>
      <c r="E382" s="211">
        <f>E142</f>
        <v>-253.914999999999</v>
      </c>
      <c r="F382" s="211">
        <f>F142</f>
        <v>1462.532</v>
      </c>
      <c r="G382" s="211">
        <f>G142</f>
        <v>1846</v>
      </c>
      <c r="H382" s="211">
        <f>H142</f>
        <v>1906</v>
      </c>
      <c r="I382" s="211">
        <f>I142</f>
        <v>2759</v>
      </c>
      <c r="J382" s="34" t="n"/>
      <c r="K382" s="34" t="n"/>
      <c r="L382" s="34" t="n"/>
      <c r="M382" s="34" t="n"/>
      <c r="N382" s="211">
        <f>N142</f>
        <v>3116</v>
      </c>
      <c r="O382" s="34" t="n"/>
      <c r="P382" s="34" t="n"/>
      <c r="Q382" s="34" t="n"/>
      <c r="R382" s="34" t="n"/>
      <c r="S382" s="211">
        <f>S142</f>
        <v>3617</v>
      </c>
      <c r="T382" s="34" t="n"/>
      <c r="U382" s="34" t="n"/>
      <c r="V382" s="34" t="n"/>
      <c r="W382" s="34" t="n"/>
      <c r="X382" s="211">
        <f>X142</f>
        <v>3808</v>
      </c>
      <c r="Y382" s="34" t="n"/>
      <c r="Z382" s="34" t="n"/>
      <c r="AA382" s="34" t="n"/>
      <c r="AB382" s="34" t="n"/>
      <c r="AC382" s="211">
        <f>AC142</f>
        <v>4059</v>
      </c>
      <c r="AD382" s="34" t="n"/>
      <c r="AE382" s="34" t="n"/>
      <c r="AF382" s="34" t="n"/>
      <c r="AG382" s="34" t="n"/>
      <c r="AH382" s="211">
        <f>AH142</f>
        <v>3915</v>
      </c>
      <c r="AI382" s="34" t="n"/>
      <c r="AJ382" s="34" t="n"/>
      <c r="AK382" s="34" t="n"/>
      <c r="AL382" s="34" t="n"/>
      <c r="AM382" s="211">
        <f>AM142</f>
        <v>5859</v>
      </c>
      <c r="AN382" s="34" t="n"/>
      <c r="AO382" s="34" t="n"/>
      <c r="AP382" s="34" t="n"/>
      <c r="AQ382" s="34" t="n"/>
      <c r="AR382" s="211">
        <f>AR142</f>
        <v>8118</v>
      </c>
      <c r="AS382" s="34" t="n"/>
      <c r="AT382" s="34" t="n"/>
      <c r="AU382" s="34" t="n"/>
      <c r="AV382" s="34" t="n"/>
      <c r="AW382" s="211">
        <f>AW142</f>
        <v>6411</v>
      </c>
      <c r="AX382" s="34" t="n"/>
      <c r="AY382" s="34" t="n"/>
      <c r="AZ382" s="34" t="n"/>
      <c r="BA382" s="34" t="n"/>
      <c r="BB382" s="211">
        <f>BB142</f>
        <v>8687</v>
      </c>
      <c r="BC382" s="34" t="n"/>
      <c r="BD382" s="34" t="n"/>
      <c r="BE382" s="34" t="n"/>
      <c r="BF382" s="34" t="n"/>
      <c r="BG382" s="211">
        <f>BG142</f>
        <v>9930</v>
      </c>
      <c r="BH382" s="34" t="n"/>
      <c r="BI382" s="34" t="n"/>
      <c r="BJ382" s="34" t="n"/>
      <c r="BK382" s="34" t="n"/>
      <c r="BL382" s="211">
        <f>BL142</f>
        <v>11195</v>
      </c>
      <c r="BM382" s="34" t="n"/>
      <c r="BN382" s="34" t="n"/>
      <c r="BO382" s="34" t="n"/>
      <c r="BP382" s="34" t="n"/>
      <c r="BQ382" s="211">
        <f>BQ142</f>
        <v>12874</v>
      </c>
      <c r="BR382" s="34" t="n"/>
      <c r="BS382" s="34" t="n"/>
      <c r="BT382" s="34" t="n"/>
      <c r="BU382" s="34" t="n"/>
      <c r="BV382" s="211">
        <f>BV142</f>
        <v>14968</v>
      </c>
      <c r="BW382" s="34" t="n"/>
      <c r="BX382" s="34" t="n"/>
      <c r="BY382" s="35" t="n"/>
      <c r="BZ382" s="35" t="n"/>
      <c r="CA382" s="254">
        <f>CA142</f>
        <v>17062.648325</v>
      </c>
      <c r="CB382" s="254">
        <f>CB142</f>
        <v>19329.2218194404</v>
      </c>
      <c r="CC382" s="254">
        <f>CC142</f>
        <v>21801.8084738228</v>
      </c>
      <c r="CD382" s="254">
        <f>CD142</f>
        <v>24398.5044192665</v>
      </c>
      <c r="CE382" s="254">
        <f>CE142</f>
        <v>27123.1920540855</v>
      </c>
      <c r="CF382" s="19" t="n"/>
    </row>
    <row r="383" ht="15" customHeight="1" s="251">
      <c r="B383" s="25" t="inlineStr">
        <is>
          <t>Mastercard stockholders' equity</t>
        </is>
      </c>
      <c r="C383" s="211">
        <f>C305</f>
        <v>2364.359</v>
      </c>
      <c r="D383" s="211">
        <f>D305</f>
        <v>3027.307</v>
      </c>
      <c r="E383" s="211">
        <f>E305</f>
        <v>1927.355</v>
      </c>
      <c r="F383" s="211">
        <f>F305</f>
        <v>3503.76</v>
      </c>
      <c r="G383" s="211">
        <f>G305</f>
        <v>5205</v>
      </c>
      <c r="H383" s="211">
        <f>H305</f>
        <v>5868</v>
      </c>
      <c r="I383" s="211">
        <f>I305</f>
        <v>6917</v>
      </c>
      <c r="J383" s="34" t="n"/>
      <c r="K383" s="34" t="n"/>
      <c r="L383" s="34" t="n"/>
      <c r="M383" s="34" t="n"/>
      <c r="N383" s="211">
        <f>N305</f>
        <v>7484</v>
      </c>
      <c r="O383" s="34" t="n"/>
      <c r="P383" s="34" t="n"/>
      <c r="Q383" s="34" t="n"/>
      <c r="R383" s="34" t="n"/>
      <c r="S383" s="211">
        <f>S305</f>
        <v>6790</v>
      </c>
      <c r="T383" s="34" t="n"/>
      <c r="U383" s="34" t="n"/>
      <c r="V383" s="34" t="n"/>
      <c r="W383" s="34" t="n"/>
      <c r="X383" s="211">
        <f>X305</f>
        <v>6028</v>
      </c>
      <c r="Y383" s="34" t="n"/>
      <c r="Z383" s="34" t="n"/>
      <c r="AA383" s="34" t="n"/>
      <c r="AB383" s="34" t="n"/>
      <c r="AC383" s="211">
        <f>AC305</f>
        <v>5656</v>
      </c>
      <c r="AD383" s="34" t="n"/>
      <c r="AE383" s="34" t="n"/>
      <c r="AF383" s="34" t="n"/>
      <c r="AG383" s="34" t="n"/>
      <c r="AH383" s="211">
        <f>AH305</f>
        <v>5468</v>
      </c>
      <c r="AI383" s="34" t="n"/>
      <c r="AJ383" s="34" t="n"/>
      <c r="AK383" s="34" t="n"/>
      <c r="AL383" s="34" t="n"/>
      <c r="AM383" s="211">
        <f>AM305</f>
        <v>5395</v>
      </c>
      <c r="AN383" s="34" t="n"/>
      <c r="AO383" s="34" t="n"/>
      <c r="AP383" s="34" t="n"/>
      <c r="AQ383" s="34" t="n"/>
      <c r="AR383" s="211">
        <f>AR305</f>
        <v>5893</v>
      </c>
      <c r="AS383" s="34" t="n"/>
      <c r="AT383" s="34" t="n"/>
      <c r="AU383" s="34" t="n"/>
      <c r="AV383" s="34" t="n"/>
      <c r="AW383" s="211">
        <f>AW305</f>
        <v>6391</v>
      </c>
      <c r="AX383" s="34" t="n"/>
      <c r="AY383" s="34" t="n"/>
      <c r="AZ383" s="34" t="n"/>
      <c r="BA383" s="34" t="n"/>
      <c r="BB383" s="211">
        <f>BB305</f>
        <v>7312</v>
      </c>
      <c r="BC383" s="34" t="n"/>
      <c r="BD383" s="34" t="n"/>
      <c r="BE383" s="34" t="n"/>
      <c r="BF383" s="34" t="n"/>
      <c r="BG383" s="211">
        <f>BG305</f>
        <v>6298</v>
      </c>
      <c r="BH383" s="34" t="n"/>
      <c r="BI383" s="34" t="n"/>
      <c r="BJ383" s="34" t="n"/>
      <c r="BK383" s="34" t="n"/>
      <c r="BL383" s="211">
        <f>BL305</f>
        <v>6929</v>
      </c>
      <c r="BM383" s="34" t="n"/>
      <c r="BN383" s="34" t="n"/>
      <c r="BO383" s="34" t="n"/>
      <c r="BP383" s="34" t="n"/>
      <c r="BQ383" s="211">
        <f>BQ305</f>
        <v>6485</v>
      </c>
      <c r="BR383" s="34" t="n"/>
      <c r="BS383" s="34" t="n"/>
      <c r="BT383" s="34" t="n"/>
      <c r="BU383" s="34" t="n"/>
      <c r="BV383" s="211">
        <f>BV305</f>
        <v>7737</v>
      </c>
      <c r="BW383" s="34" t="n"/>
      <c r="BX383" s="34" t="n"/>
      <c r="BY383" s="35" t="n"/>
      <c r="BZ383" s="35" t="n"/>
      <c r="CA383" s="254">
        <f>CA305</f>
        <v>6143.01022950726</v>
      </c>
      <c r="CB383" s="254">
        <f>CB305</f>
        <v>7406.61210316307</v>
      </c>
      <c r="CC383" s="254">
        <f>CC305</f>
        <v>7554.38253218189</v>
      </c>
      <c r="CD383" s="254">
        <f>CD305</f>
        <v>7626.38505591332</v>
      </c>
      <c r="CE383" s="254">
        <f>CE305</f>
        <v>7634.57499502734</v>
      </c>
      <c r="CF383" s="19" t="n"/>
    </row>
    <row r="384" ht="15" customHeight="1" s="251">
      <c r="B384" s="25" t="inlineStr">
        <is>
          <t>ROE = Net income / Equity (year end; equity reduced by buybacks)</t>
        </is>
      </c>
      <c r="C384" s="215">
        <f>IFERROR(C382/C383,"n/a")</f>
        <v>0.0212277407957084</v>
      </c>
      <c r="D384" s="215">
        <f>IFERROR(D382/D383,"n/a")</f>
        <v>0.358697020156859</v>
      </c>
      <c r="E384" s="215">
        <f>IFERROR(E382/E383,"n/a")</f>
        <v>-0.131742725133667</v>
      </c>
      <c r="F384" s="215">
        <f>IFERROR(F382/F383,"n/a")</f>
        <v>0.417417859670754</v>
      </c>
      <c r="G384" s="215">
        <f>IFERROR(G382/G383,"n/a")</f>
        <v>0.354658981748319</v>
      </c>
      <c r="H384" s="215">
        <f>IFERROR(H382/H383,"n/a")</f>
        <v>0.324812542603954</v>
      </c>
      <c r="I384" s="215">
        <f>IFERROR(I382/I383,"n/a")</f>
        <v>0.398872343501518</v>
      </c>
      <c r="J384" s="34" t="n"/>
      <c r="K384" s="34" t="n"/>
      <c r="L384" s="34" t="n"/>
      <c r="M384" s="34" t="n"/>
      <c r="N384" s="215">
        <f>IFERROR(N382/N383,"n/a")</f>
        <v>0.416354890432924</v>
      </c>
      <c r="O384" s="34" t="n"/>
      <c r="P384" s="34" t="n"/>
      <c r="Q384" s="34" t="n"/>
      <c r="R384" s="34" t="n"/>
      <c r="S384" s="215">
        <f>IFERROR(S382/S383,"n/a")</f>
        <v>0.532695139911635</v>
      </c>
      <c r="T384" s="34" t="n"/>
      <c r="U384" s="34" t="n"/>
      <c r="V384" s="34" t="n"/>
      <c r="W384" s="34" t="n"/>
      <c r="X384" s="215">
        <f>IFERROR(X382/X383,"n/a")</f>
        <v>0.631718646317186</v>
      </c>
      <c r="Y384" s="34" t="n"/>
      <c r="Z384" s="34" t="n"/>
      <c r="AA384" s="34" t="n"/>
      <c r="AB384" s="34" t="n"/>
      <c r="AC384" s="215">
        <f>IFERROR(AC382/AC383,"n/a")</f>
        <v>0.717644978783593</v>
      </c>
      <c r="AD384" s="34" t="n"/>
      <c r="AE384" s="34" t="n"/>
      <c r="AF384" s="34" t="n"/>
      <c r="AG384" s="34" t="n"/>
      <c r="AH384" s="215">
        <f>IFERROR(AH382/AH383,"n/a")</f>
        <v>0.715983906364301</v>
      </c>
      <c r="AI384" s="34" t="n"/>
      <c r="AJ384" s="34" t="n"/>
      <c r="AK384" s="34" t="n"/>
      <c r="AL384" s="34" t="n"/>
      <c r="AM384" s="215">
        <f>IFERROR(AM382/AM383,"n/a")</f>
        <v>1.08600556070436</v>
      </c>
      <c r="AN384" s="34" t="n"/>
      <c r="AO384" s="34" t="n"/>
      <c r="AP384" s="34" t="n"/>
      <c r="AQ384" s="34" t="n"/>
      <c r="AR384" s="215">
        <f>IFERROR(AR382/AR383,"n/a")</f>
        <v>1.37756660444595</v>
      </c>
      <c r="AS384" s="34" t="n"/>
      <c r="AT384" s="34" t="n"/>
      <c r="AU384" s="34" t="n"/>
      <c r="AV384" s="34" t="n"/>
      <c r="AW384" s="215">
        <f>IFERROR(AW382/AW383,"n/a")</f>
        <v>1.00312940071976</v>
      </c>
      <c r="AX384" s="34" t="n"/>
      <c r="AY384" s="34" t="n"/>
      <c r="AZ384" s="34" t="n"/>
      <c r="BA384" s="34" t="n"/>
      <c r="BB384" s="215">
        <f>IFERROR(BB382/BB383,"n/a")</f>
        <v>1.18804704595186</v>
      </c>
      <c r="BC384" s="34" t="n"/>
      <c r="BD384" s="34" t="n"/>
      <c r="BE384" s="34" t="n"/>
      <c r="BF384" s="34" t="n"/>
      <c r="BG384" s="215">
        <f>IFERROR(BG382/BG383,"n/a")</f>
        <v>1.57669101302001</v>
      </c>
      <c r="BH384" s="34" t="n"/>
      <c r="BI384" s="34" t="n"/>
      <c r="BJ384" s="34" t="n"/>
      <c r="BK384" s="34" t="n"/>
      <c r="BL384" s="215">
        <f>IFERROR(BL382/BL383,"n/a")</f>
        <v>1.61567325732429</v>
      </c>
      <c r="BM384" s="34" t="n"/>
      <c r="BN384" s="34" t="n"/>
      <c r="BO384" s="34" t="n"/>
      <c r="BP384" s="34" t="n"/>
      <c r="BQ384" s="215">
        <f>IFERROR(BQ382/BQ383,"n/a")</f>
        <v>1.9851966075559</v>
      </c>
      <c r="BR384" s="34" t="n"/>
      <c r="BS384" s="34" t="n"/>
      <c r="BT384" s="34" t="n"/>
      <c r="BU384" s="34" t="n"/>
      <c r="BV384" s="215">
        <f>IFERROR(BV382/BV383,"n/a")</f>
        <v>1.93459997415019</v>
      </c>
      <c r="BW384" s="34" t="n"/>
      <c r="BX384" s="34" t="n"/>
      <c r="BY384" s="35" t="n"/>
      <c r="BZ384" s="35" t="n"/>
      <c r="CA384" s="256">
        <f>IFERROR(CA382/CA383,"n/a")</f>
        <v>2.77757120491864</v>
      </c>
      <c r="CB384" s="256">
        <f>IFERROR(CB382/CB383,"n/a")</f>
        <v>2.60972514156448</v>
      </c>
      <c r="CC384" s="256">
        <f>IFERROR(CC382/CC383,"n/a")</f>
        <v>2.88598153203739</v>
      </c>
      <c r="CD384" s="256">
        <f>IFERROR(CD382/CD383,"n/a")</f>
        <v>3.19922273008605</v>
      </c>
      <c r="CE384" s="256">
        <f>IFERROR(CE382/CE383,"n/a")</f>
        <v>3.55267871122515</v>
      </c>
      <c r="CF384" s="19" t="n"/>
      <c r="CH384" s="37">
        <f>IFERROR(AVERAGE(CA384,CB384,CC384,CD384,CE384),"n/m")</f>
        <v>3.00503586396634</v>
      </c>
      <c r="CI384" s="37">
        <f>IFERROR(AVERAGE(BB384,BG384,BL384,BQ384,BV384),"n/m")</f>
        <v>1.66004157960045</v>
      </c>
      <c r="CJ384" s="37">
        <f>IFERROR(AVERAGE(AC384,AH384,AM384,AR384,AW384,BB384,BG384,BL384,BQ384,BV384),"n/m")</f>
        <v>1.32005383490202</v>
      </c>
      <c r="CK384" s="37">
        <f>IFERROR(AVERAGE(C384,D384,E384,F384,G384,H384,I384,N384,S384,X384,AC384,AH384,AM384,AR384,AW384,BB384,BG384,BL384,BQ384,BV384),"n/m")</f>
        <v>0.82626253945127</v>
      </c>
    </row>
    <row r="385" ht="15" customHeight="1" s="251">
      <c r="B385" s="25" t="inlineStr">
        <is>
          <t>Leverage</t>
        </is>
      </c>
      <c r="CF385" s="153" t="n"/>
    </row>
    <row r="386" ht="15" customHeight="1" s="251">
      <c r="B386" s="25" t="inlineStr">
        <is>
          <t>Net debt = Total debt − cash &amp; investments</t>
        </is>
      </c>
      <c r="C386" s="211">
        <f>C368</f>
        <v>-2254.253</v>
      </c>
      <c r="D386" s="211">
        <f>D368</f>
        <v>-2740.158</v>
      </c>
      <c r="E386" s="211">
        <f>E368</f>
        <v>-1924.488</v>
      </c>
      <c r="F386" s="211">
        <f>F368</f>
        <v>-2858.186</v>
      </c>
      <c r="G386" s="211">
        <f>G368</f>
        <v>-4198</v>
      </c>
      <c r="H386" s="211">
        <f>H368</f>
        <v>-4949</v>
      </c>
      <c r="I386" s="211">
        <f>I368</f>
        <v>-5003</v>
      </c>
      <c r="J386" s="34" t="n"/>
      <c r="K386" s="34" t="n"/>
      <c r="L386" s="34" t="n"/>
      <c r="M386" s="34" t="n"/>
      <c r="N386" s="211">
        <f>N368</f>
        <v>-6295</v>
      </c>
      <c r="O386" s="34" t="n"/>
      <c r="P386" s="34" t="n"/>
      <c r="Q386" s="34" t="n"/>
      <c r="R386" s="34" t="n"/>
      <c r="S386" s="211">
        <f>S368</f>
        <v>-4811</v>
      </c>
      <c r="T386" s="34" t="n"/>
      <c r="U386" s="34" t="n"/>
      <c r="V386" s="34" t="n"/>
      <c r="W386" s="34" t="n"/>
      <c r="X386" s="211">
        <f>X368</f>
        <v>-3451</v>
      </c>
      <c r="Y386" s="34" t="n"/>
      <c r="Z386" s="34" t="n"/>
      <c r="AA386" s="34" t="n"/>
      <c r="AB386" s="34" t="n"/>
      <c r="AC386" s="211">
        <f>AC368</f>
        <v>-3155</v>
      </c>
      <c r="AD386" s="34" t="n"/>
      <c r="AE386" s="34" t="n"/>
      <c r="AF386" s="34" t="n"/>
      <c r="AG386" s="34" t="n"/>
      <c r="AH386" s="211">
        <f>AH368</f>
        <v>-2358</v>
      </c>
      <c r="AI386" s="34" t="n"/>
      <c r="AJ386" s="34" t="n"/>
      <c r="AK386" s="34" t="n"/>
      <c r="AL386" s="34" t="n"/>
      <c r="AM386" s="211">
        <f>AM368</f>
        <v>-2044</v>
      </c>
      <c r="AN386" s="34" t="n"/>
      <c r="AO386" s="34" t="n"/>
      <c r="AP386" s="34" t="n"/>
      <c r="AQ386" s="34" t="n"/>
      <c r="AR386" s="211">
        <f>AR368</f>
        <v>851</v>
      </c>
      <c r="AS386" s="34" t="n"/>
      <c r="AT386" s="34" t="n"/>
      <c r="AU386" s="34" t="n"/>
      <c r="AV386" s="34" t="n"/>
      <c r="AW386" s="211">
        <f>AW368</f>
        <v>2076</v>
      </c>
      <c r="AX386" s="34" t="n"/>
      <c r="AY386" s="34" t="n"/>
      <c r="AZ386" s="34" t="n"/>
      <c r="BA386" s="34" t="n"/>
      <c r="BB386" s="211">
        <f>BB368</f>
        <v>6007</v>
      </c>
      <c r="BC386" s="34" t="n"/>
      <c r="BD386" s="34" t="n"/>
      <c r="BE386" s="34" t="n"/>
      <c r="BF386" s="34" t="n"/>
      <c r="BG386" s="211">
        <f>BG368</f>
        <v>6615</v>
      </c>
      <c r="BH386" s="34" t="n"/>
      <c r="BI386" s="34" t="n"/>
      <c r="BJ386" s="34" t="n"/>
      <c r="BK386" s="34" t="n"/>
      <c r="BL386" s="211">
        <f>BL368</f>
        <v>6501</v>
      </c>
      <c r="BM386" s="34" t="n"/>
      <c r="BN386" s="34" t="n"/>
      <c r="BO386" s="34" t="n"/>
      <c r="BP386" s="34" t="n"/>
      <c r="BQ386" s="211">
        <f>BQ368</f>
        <v>9454</v>
      </c>
      <c r="BR386" s="34" t="n"/>
      <c r="BS386" s="34" t="n"/>
      <c r="BT386" s="34" t="n"/>
      <c r="BU386" s="34" t="n"/>
      <c r="BV386" s="211">
        <f>BV368</f>
        <v>8102</v>
      </c>
      <c r="BW386" s="34" t="n"/>
      <c r="BX386" s="34" t="n"/>
      <c r="BY386" s="35" t="n"/>
      <c r="BZ386" s="35" t="n"/>
      <c r="CA386" s="254">
        <f>CA368</f>
        <v>12815.1042422331</v>
      </c>
      <c r="CB386" s="254">
        <f>CB368</f>
        <v>13339.9229671494</v>
      </c>
      <c r="CC386" s="254">
        <f>CC368</f>
        <v>15022.9328248861</v>
      </c>
      <c r="CD386" s="254">
        <f>CD368</f>
        <v>16805.4465892268</v>
      </c>
      <c r="CE386" s="254">
        <f>CE368</f>
        <v>18675.9594361328</v>
      </c>
      <c r="CF386" s="19" t="n"/>
    </row>
    <row r="387" ht="15" customHeight="1" s="251">
      <c r="B387" s="25" t="inlineStr">
        <is>
          <t>Adjusted EBITDA (model)</t>
        </is>
      </c>
      <c r="C387" s="211">
        <f>C185</f>
        <v>749.277</v>
      </c>
      <c r="D387" s="211">
        <f>D185</f>
        <v>1208.754</v>
      </c>
      <c r="E387" s="211">
        <f>E185</f>
        <v>2060.501</v>
      </c>
      <c r="F387" s="211">
        <f>F185</f>
        <v>2408.485</v>
      </c>
      <c r="G387" s="211">
        <f>G185</f>
        <v>2900</v>
      </c>
      <c r="H387" s="211">
        <f>H185</f>
        <v>3677</v>
      </c>
      <c r="I387" s="211">
        <f>I185</f>
        <v>4187</v>
      </c>
      <c r="J387" s="34" t="n"/>
      <c r="K387" s="34" t="n"/>
      <c r="L387" s="34" t="n"/>
      <c r="M387" s="34" t="n"/>
      <c r="N387" s="211">
        <f>N185</f>
        <v>4856</v>
      </c>
      <c r="O387" s="34" t="n"/>
      <c r="P387" s="34" t="n"/>
      <c r="Q387" s="34" t="n"/>
      <c r="R387" s="34" t="n"/>
      <c r="S387" s="211">
        <f>S185</f>
        <v>5427</v>
      </c>
      <c r="T387" s="34" t="n"/>
      <c r="U387" s="34" t="n"/>
      <c r="V387" s="34" t="n"/>
      <c r="W387" s="34" t="n"/>
      <c r="X387" s="211">
        <f>X185</f>
        <v>5584</v>
      </c>
      <c r="Y387" s="34" t="n"/>
      <c r="Z387" s="34" t="n"/>
      <c r="AA387" s="34" t="n"/>
      <c r="AB387" s="34" t="n"/>
      <c r="AC387" s="211">
        <f>AC185</f>
        <v>6251</v>
      </c>
      <c r="AD387" s="34" t="n"/>
      <c r="AE387" s="34" t="n"/>
      <c r="AF387" s="34" t="n"/>
      <c r="AG387" s="34" t="n"/>
      <c r="AH387" s="211">
        <f>AH185</f>
        <v>7240</v>
      </c>
      <c r="AI387" s="34" t="n"/>
      <c r="AJ387" s="34" t="n"/>
      <c r="AK387" s="34" t="n"/>
      <c r="AL387" s="34" t="n"/>
      <c r="AM387" s="211">
        <f>AM185</f>
        <v>8869</v>
      </c>
      <c r="AN387" s="34" t="n"/>
      <c r="AO387" s="34" t="n"/>
      <c r="AP387" s="34" t="n"/>
      <c r="AQ387" s="34" t="n"/>
      <c r="AR387" s="211">
        <f>AR185</f>
        <v>10186</v>
      </c>
      <c r="AS387" s="34" t="n"/>
      <c r="AT387" s="34" t="n"/>
      <c r="AU387" s="34" t="n"/>
      <c r="AV387" s="34" t="n"/>
      <c r="AW387" s="211">
        <f>AW185</f>
        <v>8734</v>
      </c>
      <c r="AX387" s="34" t="n"/>
      <c r="AY387" s="34" t="n"/>
      <c r="AZ387" s="34" t="n"/>
      <c r="BA387" s="34" t="n"/>
      <c r="BB387" s="211">
        <f>BB185</f>
        <v>10984</v>
      </c>
      <c r="BC387" s="34" t="n"/>
      <c r="BD387" s="34" t="n"/>
      <c r="BE387" s="34" t="n"/>
      <c r="BF387" s="34" t="n"/>
      <c r="BG387" s="211">
        <f>BG185</f>
        <v>13400</v>
      </c>
      <c r="BH387" s="34" t="n"/>
      <c r="BI387" s="34" t="n"/>
      <c r="BJ387" s="34" t="n"/>
      <c r="BK387" s="34" t="n"/>
      <c r="BL387" s="211">
        <f>BL185</f>
        <v>15346</v>
      </c>
      <c r="BM387" s="34" t="n"/>
      <c r="BN387" s="34" t="n"/>
      <c r="BO387" s="34" t="n"/>
      <c r="BP387" s="34" t="n"/>
      <c r="BQ387" s="211">
        <f>BQ185</f>
        <v>17349</v>
      </c>
      <c r="BR387" s="34" t="n"/>
      <c r="BS387" s="34" t="n"/>
      <c r="BT387" s="34" t="n"/>
      <c r="BU387" s="34" t="n"/>
      <c r="BV387" s="211">
        <f>BV185</f>
        <v>20544</v>
      </c>
      <c r="BW387" s="34" t="n"/>
      <c r="BX387" s="34" t="n"/>
      <c r="BY387" s="35" t="n"/>
      <c r="BZ387" s="35" t="n"/>
      <c r="CA387" s="254">
        <f>CA185</f>
        <v>23545.935</v>
      </c>
      <c r="CB387" s="254">
        <f>CB185</f>
        <v>26679.8459342987</v>
      </c>
      <c r="CC387" s="254">
        <f>CC185</f>
        <v>30045.8656497722</v>
      </c>
      <c r="CD387" s="254">
        <f>CD185</f>
        <v>33610.8931784535</v>
      </c>
      <c r="CE387" s="254">
        <f>CE185</f>
        <v>37351.9188722655</v>
      </c>
      <c r="CF387" s="19" t="n"/>
    </row>
    <row r="388" ht="15" customHeight="1" s="251">
      <c r="B388" s="55" t="inlineStr">
        <is>
          <t>Net debt / adjusted EBITDA (x)</t>
        </is>
      </c>
      <c r="C388" s="296">
        <f>IFERROR(C386/C387,"n/a")</f>
        <v>-3.00857092904226</v>
      </c>
      <c r="D388" s="296">
        <f>IFERROR(D386/D387,"n/a")</f>
        <v>-2.26692776197638</v>
      </c>
      <c r="E388" s="296">
        <f>IFERROR(E386/E387,"n/a")</f>
        <v>-0.933990325653809</v>
      </c>
      <c r="F388" s="296">
        <f>IFERROR(F386/F387,"n/a")</f>
        <v>-1.18671530028213</v>
      </c>
      <c r="G388" s="296">
        <f>IFERROR(G386/G387,"n/a")</f>
        <v>-1.44758620689655</v>
      </c>
      <c r="H388" s="296">
        <f>IFERROR(H386/H387,"n/a")</f>
        <v>-1.34593418547729</v>
      </c>
      <c r="I388" s="296">
        <f>IFERROR(I386/I387,"n/a")</f>
        <v>-1.19488894196322</v>
      </c>
      <c r="J388" s="56" t="n"/>
      <c r="K388" s="56" t="n"/>
      <c r="L388" s="56" t="n"/>
      <c r="M388" s="56" t="n"/>
      <c r="N388" s="296">
        <f>IFERROR(N386/N387,"n/a")</f>
        <v>-1.29633443163097</v>
      </c>
      <c r="O388" s="56" t="n"/>
      <c r="P388" s="56" t="n"/>
      <c r="Q388" s="56" t="n"/>
      <c r="R388" s="56" t="n"/>
      <c r="S388" s="296">
        <f>IFERROR(S386/S387,"n/a")</f>
        <v>-0.886493458632762</v>
      </c>
      <c r="T388" s="56" t="n"/>
      <c r="U388" s="56" t="n"/>
      <c r="V388" s="56" t="n"/>
      <c r="W388" s="56" t="n"/>
      <c r="X388" s="296">
        <f>IFERROR(X386/X387,"n/a")</f>
        <v>-0.618015759312321</v>
      </c>
      <c r="Y388" s="56" t="n"/>
      <c r="Z388" s="56" t="n"/>
      <c r="AA388" s="56" t="n"/>
      <c r="AB388" s="56" t="n"/>
      <c r="AC388" s="296">
        <f>IFERROR(AC386/AC387,"n/a")</f>
        <v>-0.504719244920813</v>
      </c>
      <c r="AD388" s="56" t="n"/>
      <c r="AE388" s="56" t="n"/>
      <c r="AF388" s="56" t="n"/>
      <c r="AG388" s="56" t="n"/>
      <c r="AH388" s="296">
        <f>IFERROR(AH386/AH387,"n/a")</f>
        <v>-0.325690607734807</v>
      </c>
      <c r="AI388" s="56" t="n"/>
      <c r="AJ388" s="56" t="n"/>
      <c r="AK388" s="56" t="n"/>
      <c r="AL388" s="56" t="n"/>
      <c r="AM388" s="296">
        <f>IFERROR(AM386/AM387,"n/a")</f>
        <v>-0.230465666929755</v>
      </c>
      <c r="AN388" s="56" t="n"/>
      <c r="AO388" s="56" t="n"/>
      <c r="AP388" s="56" t="n"/>
      <c r="AQ388" s="56" t="n"/>
      <c r="AR388" s="296">
        <f>IFERROR(AR386/AR387,"n/a")</f>
        <v>0.0835460435892401</v>
      </c>
      <c r="AS388" s="56" t="n"/>
      <c r="AT388" s="56" t="n"/>
      <c r="AU388" s="56" t="n"/>
      <c r="AV388" s="56" t="n"/>
      <c r="AW388" s="296">
        <f>IFERROR(AW386/AW387,"n/a")</f>
        <v>0.237691779253492</v>
      </c>
      <c r="AX388" s="56" t="n"/>
      <c r="AY388" s="56" t="n"/>
      <c r="AZ388" s="56" t="n"/>
      <c r="BA388" s="56" t="n"/>
      <c r="BB388" s="296">
        <f>IFERROR(BB386/BB387,"n/a")</f>
        <v>0.546886380189366</v>
      </c>
      <c r="BC388" s="56" t="n"/>
      <c r="BD388" s="56" t="n"/>
      <c r="BE388" s="56" t="n"/>
      <c r="BF388" s="56" t="n"/>
      <c r="BG388" s="296">
        <f>IFERROR(BG386/BG387,"n/a")</f>
        <v>0.49365671641791</v>
      </c>
      <c r="BH388" s="56" t="n"/>
      <c r="BI388" s="56" t="n"/>
      <c r="BJ388" s="56" t="n"/>
      <c r="BK388" s="56" t="n"/>
      <c r="BL388" s="296">
        <f>IFERROR(BL386/BL387,"n/a")</f>
        <v>0.423628307050697</v>
      </c>
      <c r="BM388" s="56" t="n"/>
      <c r="BN388" s="56" t="n"/>
      <c r="BO388" s="56" t="n"/>
      <c r="BP388" s="56" t="n"/>
      <c r="BQ388" s="296">
        <f>IFERROR(BQ386/BQ387,"n/a")</f>
        <v>0.544930543547179</v>
      </c>
      <c r="BR388" s="56" t="n"/>
      <c r="BS388" s="56" t="n"/>
      <c r="BT388" s="56" t="n"/>
      <c r="BU388" s="56" t="n"/>
      <c r="BV388" s="296">
        <f>IFERROR(BV386/BV387,"n/a")</f>
        <v>0.394373052959502</v>
      </c>
      <c r="BW388" s="56" t="n"/>
      <c r="BX388" s="56" t="n"/>
      <c r="BY388" s="56" t="n"/>
      <c r="BZ388" s="56" t="n"/>
      <c r="CA388" s="296">
        <f>IFERROR(CA386/CA387,"n/a")</f>
        <v>0.544259730702267</v>
      </c>
      <c r="CB388" s="296">
        <f>IFERROR(CB386/CB387,"n/a")</f>
        <v>0.5</v>
      </c>
      <c r="CC388" s="296">
        <f>IFERROR(CC386/CC387,"n/a")</f>
        <v>0.5</v>
      </c>
      <c r="CD388" s="296">
        <f>IFERROR(CD386/CD387,"n/a")</f>
        <v>0.5</v>
      </c>
      <c r="CE388" s="296">
        <f>IFERROR(CE386/CE387,"n/a")</f>
        <v>0.5</v>
      </c>
      <c r="CF388" s="153" t="n"/>
      <c r="CH388" s="37">
        <f>IFERROR(AVERAGE(CA388,CB388,CC388,CD388,CE388),"n/m")</f>
        <v>0.508851946140453</v>
      </c>
      <c r="CI388" s="37">
        <f>IFERROR(AVERAGE(BB388,BG388,BL388,BQ388,BV388),"n/m")</f>
        <v>0.480695000032931</v>
      </c>
      <c r="CJ388" s="37">
        <f>IFERROR(AVERAGE(AC388,AH388,AM388,AR388,AW388,BB388,BG388,BL388,BQ388,BV388),"n/m")</f>
        <v>0.166383730342201</v>
      </c>
      <c r="CK388" s="37">
        <f>IFERROR(AVERAGE(C388,D388,E388,F388,G388,H388,I388,N388,S388,X388,AC388,AH388,AM388,AR388,AW388,BB388,BG388,BL388,BQ388,BV388),"n/m")</f>
        <v>-0.626080999872284</v>
      </c>
    </row>
    <row r="389" ht="15" customHeight="1" s="251">
      <c r="B389" s="25" t="inlineStr">
        <is>
          <t>Total debt / adjusted EBITDA (x)</t>
        </is>
      </c>
      <c r="C389" s="285">
        <f>IFERROR(C337/C387,"n/a")</f>
        <v>0.306519484783331</v>
      </c>
      <c r="D389" s="285">
        <f>IFERROR(D337/D387,"n/a")</f>
        <v>0.190132979911545</v>
      </c>
      <c r="E389" s="285">
        <f>IFERROR(E337/E387,"n/a")</f>
        <v>0.0819058083446695</v>
      </c>
      <c r="F389" s="285">
        <f>IFERROR(F337/F387,"n/a")</f>
        <v>0.00896746294870012</v>
      </c>
      <c r="G389" s="285">
        <f>IFERROR(G337/G387,"n/a")</f>
        <v>0</v>
      </c>
      <c r="H389" s="285">
        <f>IFERROR(H337/H387,"n/a")</f>
        <v>0</v>
      </c>
      <c r="I389" s="285">
        <f>IFERROR(I337/I387,"n/a")</f>
        <v>0</v>
      </c>
      <c r="J389" s="34" t="n"/>
      <c r="K389" s="34" t="n"/>
      <c r="L389" s="34" t="n"/>
      <c r="M389" s="34" t="n"/>
      <c r="N389" s="285">
        <f>IFERROR(N337/N387,"n/a")</f>
        <v>0</v>
      </c>
      <c r="O389" s="34" t="n"/>
      <c r="P389" s="34" t="n"/>
      <c r="Q389" s="34" t="n"/>
      <c r="R389" s="34" t="n"/>
      <c r="S389" s="285">
        <f>IFERROR(S337/S387,"n/a")</f>
        <v>0.275290215588723</v>
      </c>
      <c r="T389" s="34" t="n"/>
      <c r="U389" s="34" t="n"/>
      <c r="V389" s="34" t="n"/>
      <c r="W389" s="34" t="n"/>
      <c r="X389" s="285">
        <f>IFERROR(X337/X387,"n/a")</f>
        <v>0.588646131805158</v>
      </c>
      <c r="Y389" s="34" t="n"/>
      <c r="Z389" s="34" t="n"/>
      <c r="AA389" s="34" t="n"/>
      <c r="AB389" s="34" t="n"/>
      <c r="AC389" s="285">
        <f>IFERROR(AC337/AC387,"n/a")</f>
        <v>0.828667413213886</v>
      </c>
      <c r="AD389" s="34" t="n"/>
      <c r="AE389" s="34" t="n"/>
      <c r="AF389" s="34" t="n"/>
      <c r="AG389" s="34" t="n"/>
      <c r="AH389" s="285">
        <f>IFERROR(AH337/AH387,"n/a")</f>
        <v>0.749171270718232</v>
      </c>
      <c r="AI389" s="34" t="n"/>
      <c r="AJ389" s="34" t="n"/>
      <c r="AK389" s="34" t="n"/>
      <c r="AL389" s="34" t="n"/>
      <c r="AM389" s="285">
        <f>IFERROR(AM337/AM387,"n/a")</f>
        <v>0.714172962002481</v>
      </c>
      <c r="AN389" s="34" t="n"/>
      <c r="AO389" s="34" t="n"/>
      <c r="AP389" s="34" t="n"/>
      <c r="AQ389" s="34" t="n"/>
      <c r="AR389" s="285">
        <f>IFERROR(AR337/AR387,"n/a")</f>
        <v>0.837129393284901</v>
      </c>
      <c r="AS389" s="34" t="n"/>
      <c r="AT389" s="34" t="n"/>
      <c r="AU389" s="34" t="n"/>
      <c r="AV389" s="34" t="n"/>
      <c r="AW389" s="285">
        <f>IFERROR(AW337/AW387,"n/a")</f>
        <v>1.45088161209068</v>
      </c>
      <c r="AX389" s="34" t="n"/>
      <c r="AY389" s="34" t="n"/>
      <c r="AZ389" s="34" t="n"/>
      <c r="BA389" s="34" t="n"/>
      <c r="BB389" s="285">
        <f>IFERROR(BB337/BB387,"n/a")</f>
        <v>1.26556809905317</v>
      </c>
      <c r="BC389" s="34" t="n"/>
      <c r="BD389" s="34" t="n"/>
      <c r="BE389" s="34" t="n"/>
      <c r="BF389" s="34" t="n"/>
      <c r="BG389" s="285">
        <f>IFERROR(BG337/BG387,"n/a")</f>
        <v>1.04649253731343</v>
      </c>
      <c r="BH389" s="34" t="n"/>
      <c r="BI389" s="34" t="n"/>
      <c r="BJ389" s="34" t="n"/>
      <c r="BK389" s="34" t="n"/>
      <c r="BL389" s="285">
        <f>IFERROR(BL337/BL387,"n/a")</f>
        <v>1.02182979277988</v>
      </c>
      <c r="BM389" s="34" t="n"/>
      <c r="BN389" s="34" t="n"/>
      <c r="BO389" s="34" t="n"/>
      <c r="BP389" s="34" t="n"/>
      <c r="BQ389" s="285">
        <f>IFERROR(BQ337/BQ387,"n/a")</f>
        <v>1.05055046400369</v>
      </c>
      <c r="BR389" s="34" t="n"/>
      <c r="BS389" s="34" t="n"/>
      <c r="BT389" s="34" t="n"/>
      <c r="BU389" s="34" t="n"/>
      <c r="BV389" s="285">
        <f>IFERROR(BV337/BV387,"n/a")</f>
        <v>0.924844236760125</v>
      </c>
      <c r="BW389" s="34" t="n"/>
      <c r="BX389" s="34" t="n"/>
      <c r="BY389" s="35" t="n"/>
      <c r="BZ389" s="35" t="n"/>
      <c r="CA389" s="286">
        <f>IFERROR(CA337/CA387,"n/a")</f>
        <v>0.984586086727921</v>
      </c>
      <c r="CB389" s="286">
        <f>IFERROR(CB337/CB387,"n/a")</f>
        <v>0.905964751802654</v>
      </c>
      <c r="CC389" s="286">
        <f>IFERROR(CC337/CC387,"n/a")</f>
        <v>0.837752531193616</v>
      </c>
      <c r="CD389" s="286">
        <f>IFERROR(CD337/CD387,"n/a")</f>
        <v>0.78663326347352</v>
      </c>
      <c r="CE389" s="286">
        <f>IFERROR(CE337/CE387,"n/a")</f>
        <v>0.757925169331887</v>
      </c>
      <c r="CF389" s="19" t="n"/>
    </row>
    <row r="390" ht="15" customHeight="1" s="251">
      <c r="CN390" s="11" t="n"/>
      <c r="CO390" s="12" t="n"/>
      <c r="CP390" s="12" t="n"/>
      <c r="CQ390" s="12" t="n"/>
      <c r="CR390" s="13" t="n"/>
    </row>
    <row r="391" ht="15" customHeight="1" s="251">
      <c r="B391" s="10" t="inlineStr">
        <is>
          <t>VALUATION</t>
        </is>
      </c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  <c r="BF391" s="10" t="n"/>
      <c r="BG391" s="10" t="n"/>
      <c r="BH391" s="10" t="n"/>
      <c r="BI391" s="10" t="n"/>
      <c r="BJ391" s="10" t="n"/>
      <c r="BK391" s="10" t="n"/>
      <c r="BL391" s="10" t="n"/>
      <c r="BM391" s="10" t="n"/>
      <c r="BN391" s="10" t="n"/>
      <c r="BO391" s="10" t="n"/>
      <c r="BP391" s="10" t="n"/>
      <c r="BQ391" s="10" t="n"/>
      <c r="BR391" s="10" t="n"/>
      <c r="BS391" s="10" t="n"/>
      <c r="BT391" s="10" t="n"/>
      <c r="BU391" s="10" t="n"/>
      <c r="BV391" s="10" t="n"/>
      <c r="BW391" s="10" t="n"/>
      <c r="BX391" s="10" t="n"/>
      <c r="BY391" s="10" t="n"/>
      <c r="BZ391" s="10" t="n"/>
      <c r="CA391" s="10" t="n"/>
      <c r="CB391" s="10" t="n"/>
      <c r="CC391" s="10" t="n"/>
      <c r="CD391" s="10" t="n"/>
      <c r="CE391" s="10" t="n"/>
      <c r="CF391" s="10" t="inlineStr">
        <is>
          <t>VALUATION — share price input $595.00 (user-provided, 13-Oct-2026; ~$520bn market cap); update to market</t>
        </is>
      </c>
    </row>
    <row r="392" ht="15" customHeight="1" s="251">
      <c r="B392" s="69" t="inlineStr">
        <is>
          <t>Share price ($) — current</t>
        </is>
      </c>
      <c r="C392" s="44" t="n"/>
      <c r="D392" s="44" t="n"/>
      <c r="E392" s="44" t="n"/>
      <c r="F392" s="44" t="n"/>
      <c r="G392" s="44" t="n"/>
      <c r="H392" s="44" t="n"/>
      <c r="I392" s="44" t="n"/>
      <c r="J392" s="44" t="n"/>
      <c r="K392" s="44" t="n"/>
      <c r="L392" s="44" t="n"/>
      <c r="M392" s="44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44" t="n"/>
      <c r="X392" s="44" t="n"/>
      <c r="Y392" s="44" t="n"/>
      <c r="Z392" s="44" t="n"/>
      <c r="AA392" s="44" t="n"/>
      <c r="AB392" s="44" t="n"/>
      <c r="AC392" s="44" t="n"/>
      <c r="AD392" s="44" t="n"/>
      <c r="AE392" s="44" t="n"/>
      <c r="AF392" s="44" t="n"/>
      <c r="AG392" s="44" t="n"/>
      <c r="AH392" s="44" t="n"/>
      <c r="AI392" s="44" t="n"/>
      <c r="AJ392" s="44" t="n"/>
      <c r="AK392" s="44" t="n"/>
      <c r="AL392" s="44" t="n"/>
      <c r="AM392" s="44" t="n"/>
      <c r="AN392" s="44" t="n"/>
      <c r="AO392" s="44" t="n"/>
      <c r="AP392" s="44" t="n"/>
      <c r="AQ392" s="44" t="n"/>
      <c r="AR392" s="44" t="n"/>
      <c r="AS392" s="44" t="n"/>
      <c r="AT392" s="44" t="n"/>
      <c r="AU392" s="44" t="n"/>
      <c r="AV392" s="44" t="n"/>
      <c r="AW392" s="44" t="n"/>
      <c r="AX392" s="44" t="n"/>
      <c r="AY392" s="44" t="n"/>
      <c r="AZ392" s="44" t="n"/>
      <c r="BA392" s="44" t="n"/>
      <c r="BB392" s="44" t="n"/>
      <c r="BC392" s="44" t="n"/>
      <c r="BD392" s="44" t="n"/>
      <c r="BE392" s="44" t="n"/>
      <c r="BF392" s="44" t="n"/>
      <c r="BG392" s="44" t="n"/>
      <c r="BH392" s="44" t="n"/>
      <c r="BI392" s="44" t="n"/>
      <c r="BJ392" s="44" t="n"/>
      <c r="BK392" s="44" t="n"/>
      <c r="BL392" s="44" t="n"/>
      <c r="BM392" s="44" t="n"/>
      <c r="BN392" s="44" t="n"/>
      <c r="BO392" s="44" t="n"/>
      <c r="BP392" s="44" t="n"/>
      <c r="BQ392" s="44" t="n"/>
      <c r="BR392" s="44" t="n"/>
      <c r="BS392" s="44" t="n"/>
      <c r="BT392" s="44" t="n"/>
      <c r="BU392" s="44" t="n"/>
      <c r="BV392" s="44" t="n"/>
      <c r="BW392" s="44" t="n"/>
      <c r="BX392" s="44" t="n"/>
      <c r="BY392" s="153" t="n"/>
      <c r="BZ392" s="153" t="n"/>
      <c r="CA392" s="288" t="n">
        <v>595</v>
      </c>
      <c r="CB392" s="287">
        <f>CA392</f>
        <v>595</v>
      </c>
      <c r="CC392" s="287">
        <f>CB392</f>
        <v>595</v>
      </c>
      <c r="CD392" s="287">
        <f>CC392</f>
        <v>595</v>
      </c>
      <c r="CE392" s="287">
        <f>CD392</f>
        <v>595</v>
      </c>
      <c r="CF392" s="19" t="n"/>
    </row>
    <row r="393" ht="15" customHeight="1" s="251">
      <c r="B393" s="25" t="inlineStr">
        <is>
          <t>Diluted shares at period end (m)</t>
        </is>
      </c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  <c r="AA393" s="34" t="n"/>
      <c r="AB393" s="34" t="n"/>
      <c r="AC393" s="34" t="n"/>
      <c r="AD393" s="34" t="n"/>
      <c r="AE393" s="34" t="n"/>
      <c r="AF393" s="34" t="n"/>
      <c r="AG393" s="34" t="n"/>
      <c r="AH393" s="34" t="n"/>
      <c r="AI393" s="34" t="n"/>
      <c r="AJ393" s="34" t="n"/>
      <c r="AK393" s="34" t="n"/>
      <c r="AL393" s="34" t="n"/>
      <c r="AM393" s="34" t="n"/>
      <c r="AN393" s="34" t="n"/>
      <c r="AO393" s="34" t="n"/>
      <c r="AP393" s="34" t="n"/>
      <c r="AQ393" s="34" t="n"/>
      <c r="AR393" s="34" t="n"/>
      <c r="AS393" s="34" t="n"/>
      <c r="AT393" s="34" t="n"/>
      <c r="AU393" s="34" t="n"/>
      <c r="AV393" s="34" t="n"/>
      <c r="AW393" s="34" t="n"/>
      <c r="AX393" s="34" t="n"/>
      <c r="AY393" s="34" t="n"/>
      <c r="AZ393" s="34" t="n"/>
      <c r="BA393" s="34" t="n"/>
      <c r="BB393" s="34" t="n"/>
      <c r="BC393" s="34" t="n"/>
      <c r="BD393" s="34" t="n"/>
      <c r="BE393" s="34" t="n"/>
      <c r="BF393" s="34" t="n"/>
      <c r="BG393" s="34" t="n"/>
      <c r="BH393" s="34" t="n"/>
      <c r="BI393" s="34" t="n"/>
      <c r="BJ393" s="34" t="n"/>
      <c r="BK393" s="34" t="n"/>
      <c r="BL393" s="34" t="n"/>
      <c r="BM393" s="34" t="n"/>
      <c r="BN393" s="34" t="n"/>
      <c r="BO393" s="34" t="n"/>
      <c r="BP393" s="34" t="n"/>
      <c r="BQ393" s="34" t="n"/>
      <c r="BR393" s="34" t="n"/>
      <c r="BS393" s="34" t="n"/>
      <c r="BT393" s="34" t="n"/>
      <c r="BU393" s="34" t="n"/>
      <c r="BV393" s="34" t="n"/>
      <c r="BW393" s="34" t="n"/>
      <c r="BX393" s="34" t="n"/>
      <c r="BY393" s="35" t="n"/>
      <c r="BZ393" s="35" t="n"/>
      <c r="CA393" s="265">
        <f>CA273+(BX152-BX151)</f>
        <v>866.935294117647</v>
      </c>
      <c r="CB393" s="265">
        <f>CB273+N(CB334)</f>
        <v>845.736087568197</v>
      </c>
      <c r="CC393" s="265">
        <f>CC273+N(CC334)</f>
        <v>821.759950500095</v>
      </c>
      <c r="CD393" s="265">
        <f>CD273+N(CD334)</f>
        <v>796.832267943497</v>
      </c>
      <c r="CE393" s="265">
        <f>CE273+N(CE334)</f>
        <v>771.177630017595</v>
      </c>
      <c r="CF393" s="19" t="n"/>
    </row>
    <row r="394" ht="15" customHeight="1" s="251">
      <c r="B394" s="25" t="inlineStr">
        <is>
          <t>Market capitalisation (USDm)</t>
        </is>
      </c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  <c r="AA394" s="34" t="n"/>
      <c r="AB394" s="34" t="n"/>
      <c r="AC394" s="34" t="n"/>
      <c r="AD394" s="34" t="n"/>
      <c r="AE394" s="34" t="n"/>
      <c r="AF394" s="34" t="n"/>
      <c r="AG394" s="34" t="n"/>
      <c r="AH394" s="34" t="n"/>
      <c r="AI394" s="34" t="n"/>
      <c r="AJ394" s="34" t="n"/>
      <c r="AK394" s="34" t="n"/>
      <c r="AL394" s="34" t="n"/>
      <c r="AM394" s="34" t="n"/>
      <c r="AN394" s="34" t="n"/>
      <c r="AO394" s="34" t="n"/>
      <c r="AP394" s="34" t="n"/>
      <c r="AQ394" s="34" t="n"/>
      <c r="AR394" s="34" t="n"/>
      <c r="AS394" s="34" t="n"/>
      <c r="AT394" s="34" t="n"/>
      <c r="AU394" s="34" t="n"/>
      <c r="AV394" s="34" t="n"/>
      <c r="AW394" s="34" t="n"/>
      <c r="AX394" s="34" t="n"/>
      <c r="AY394" s="34" t="n"/>
      <c r="AZ394" s="34" t="n"/>
      <c r="BA394" s="34" t="n"/>
      <c r="BB394" s="34" t="n"/>
      <c r="BC394" s="34" t="n"/>
      <c r="BD394" s="34" t="n"/>
      <c r="BE394" s="34" t="n"/>
      <c r="BF394" s="34" t="n"/>
      <c r="BG394" s="34" t="n"/>
      <c r="BH394" s="34" t="n"/>
      <c r="BI394" s="34" t="n"/>
      <c r="BJ394" s="34" t="n"/>
      <c r="BK394" s="34" t="n"/>
      <c r="BL394" s="34" t="n"/>
      <c r="BM394" s="34" t="n"/>
      <c r="BN394" s="34" t="n"/>
      <c r="BO394" s="34" t="n"/>
      <c r="BP394" s="34" t="n"/>
      <c r="BQ394" s="34" t="n"/>
      <c r="BR394" s="34" t="n"/>
      <c r="BS394" s="34" t="n"/>
      <c r="BT394" s="34" t="n"/>
      <c r="BU394" s="34" t="n"/>
      <c r="BV394" s="34" t="n"/>
      <c r="BW394" s="34" t="n"/>
      <c r="BX394" s="34" t="n"/>
      <c r="BY394" s="35" t="n"/>
      <c r="BZ394" s="35" t="n"/>
      <c r="CA394" s="254">
        <f>IFERROR(CA392*CA393,"n/a")</f>
        <v>515826.5</v>
      </c>
      <c r="CB394" s="254">
        <f>IFERROR(CB392*CB393,"n/a")</f>
        <v>503212.972103077</v>
      </c>
      <c r="CC394" s="254">
        <f>IFERROR(CC392*CC393,"n/a")</f>
        <v>488947.170547557</v>
      </c>
      <c r="CD394" s="254">
        <f>IFERROR(CD392*CD393,"n/a")</f>
        <v>474115.199426381</v>
      </c>
      <c r="CE394" s="254">
        <f>IFERROR(CE392*CE393,"n/a")</f>
        <v>458850.689860469</v>
      </c>
      <c r="CF394" s="19" t="n"/>
    </row>
    <row r="395" ht="15" customHeight="1" s="251">
      <c r="B395" s="25" t="inlineStr">
        <is>
          <t>Net debt (USDm)</t>
        </is>
      </c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  <c r="AA395" s="34" t="n"/>
      <c r="AB395" s="34" t="n"/>
      <c r="AC395" s="34" t="n"/>
      <c r="AD395" s="34" t="n"/>
      <c r="AE395" s="34" t="n"/>
      <c r="AF395" s="34" t="n"/>
      <c r="AG395" s="34" t="n"/>
      <c r="AH395" s="34" t="n"/>
      <c r="AI395" s="34" t="n"/>
      <c r="AJ395" s="34" t="n"/>
      <c r="AK395" s="34" t="n"/>
      <c r="AL395" s="34" t="n"/>
      <c r="AM395" s="34" t="n"/>
      <c r="AN395" s="34" t="n"/>
      <c r="AO395" s="34" t="n"/>
      <c r="AP395" s="34" t="n"/>
      <c r="AQ395" s="34" t="n"/>
      <c r="AR395" s="34" t="n"/>
      <c r="AS395" s="34" t="n"/>
      <c r="AT395" s="34" t="n"/>
      <c r="AU395" s="34" t="n"/>
      <c r="AV395" s="34" t="n"/>
      <c r="AW395" s="34" t="n"/>
      <c r="AX395" s="34" t="n"/>
      <c r="AY395" s="34" t="n"/>
      <c r="AZ395" s="34" t="n"/>
      <c r="BA395" s="34" t="n"/>
      <c r="BB395" s="34" t="n"/>
      <c r="BC395" s="34" t="n"/>
      <c r="BD395" s="34" t="n"/>
      <c r="BE395" s="34" t="n"/>
      <c r="BF395" s="34" t="n"/>
      <c r="BG395" s="34" t="n"/>
      <c r="BH395" s="34" t="n"/>
      <c r="BI395" s="34" t="n"/>
      <c r="BJ395" s="34" t="n"/>
      <c r="BK395" s="34" t="n"/>
      <c r="BL395" s="34" t="n"/>
      <c r="BM395" s="34" t="n"/>
      <c r="BN395" s="34" t="n"/>
      <c r="BO395" s="34" t="n"/>
      <c r="BP395" s="34" t="n"/>
      <c r="BQ395" s="34" t="n"/>
      <c r="BR395" s="34" t="n"/>
      <c r="BS395" s="34" t="n"/>
      <c r="BT395" s="34" t="n"/>
      <c r="BU395" s="34" t="n"/>
      <c r="BV395" s="34" t="n"/>
      <c r="BW395" s="34" t="n"/>
      <c r="BX395" s="34" t="n"/>
      <c r="BY395" s="35" t="n"/>
      <c r="BZ395" s="35" t="n"/>
      <c r="CA395" s="254">
        <f>CA386</f>
        <v>12815.1042422331</v>
      </c>
      <c r="CB395" s="254">
        <f>CB386</f>
        <v>13339.9229671494</v>
      </c>
      <c r="CC395" s="254">
        <f>CC386</f>
        <v>15022.9328248861</v>
      </c>
      <c r="CD395" s="254">
        <f>CD386</f>
        <v>16805.4465892268</v>
      </c>
      <c r="CE395" s="254">
        <f>CE386</f>
        <v>18675.9594361328</v>
      </c>
      <c r="CF395" s="19" t="n"/>
    </row>
    <row r="396" ht="15" customHeight="1" s="251">
      <c r="B396" s="25" t="inlineStr">
        <is>
          <t>Non-controlling interests (USDm)</t>
        </is>
      </c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  <c r="AA396" s="34" t="n"/>
      <c r="AB396" s="34" t="n"/>
      <c r="AC396" s="34" t="n"/>
      <c r="AD396" s="34" t="n"/>
      <c r="AE396" s="34" t="n"/>
      <c r="AF396" s="34" t="n"/>
      <c r="AG396" s="34" t="n"/>
      <c r="AH396" s="34" t="n"/>
      <c r="AI396" s="34" t="n"/>
      <c r="AJ396" s="34" t="n"/>
      <c r="AK396" s="34" t="n"/>
      <c r="AL396" s="34" t="n"/>
      <c r="AM396" s="34" t="n"/>
      <c r="AN396" s="34" t="n"/>
      <c r="AO396" s="34" t="n"/>
      <c r="AP396" s="34" t="n"/>
      <c r="AQ396" s="34" t="n"/>
      <c r="AR396" s="34" t="n"/>
      <c r="AS396" s="34" t="n"/>
      <c r="AT396" s="34" t="n"/>
      <c r="AU396" s="34" t="n"/>
      <c r="AV396" s="34" t="n"/>
      <c r="AW396" s="34" t="n"/>
      <c r="AX396" s="34" t="n"/>
      <c r="AY396" s="34" t="n"/>
      <c r="AZ396" s="34" t="n"/>
      <c r="BA396" s="34" t="n"/>
      <c r="BB396" s="34" t="n"/>
      <c r="BC396" s="34" t="n"/>
      <c r="BD396" s="34" t="n"/>
      <c r="BE396" s="34" t="n"/>
      <c r="BF396" s="34" t="n"/>
      <c r="BG396" s="34" t="n"/>
      <c r="BH396" s="34" t="n"/>
      <c r="BI396" s="34" t="n"/>
      <c r="BJ396" s="34" t="n"/>
      <c r="BK396" s="34" t="n"/>
      <c r="BL396" s="34" t="n"/>
      <c r="BM396" s="34" t="n"/>
      <c r="BN396" s="34" t="n"/>
      <c r="BO396" s="34" t="n"/>
      <c r="BP396" s="34" t="n"/>
      <c r="BQ396" s="34" t="n"/>
      <c r="BR396" s="34" t="n"/>
      <c r="BS396" s="34" t="n"/>
      <c r="BT396" s="34" t="n"/>
      <c r="BU396" s="34" t="n"/>
      <c r="BV396" s="34" t="n"/>
      <c r="BW396" s="34" t="n"/>
      <c r="BX396" s="34" t="n"/>
      <c r="BY396" s="35" t="n"/>
      <c r="BZ396" s="35" t="n"/>
      <c r="CA396" s="254">
        <f>CA306+N(CA304)</f>
        <v>-5</v>
      </c>
      <c r="CB396" s="254">
        <f>CB306+N(CB304)</f>
        <v>-5</v>
      </c>
      <c r="CC396" s="254">
        <f>CC306+N(CC304)</f>
        <v>-5</v>
      </c>
      <c r="CD396" s="254">
        <f>CD306+N(CD304)</f>
        <v>-5</v>
      </c>
      <c r="CE396" s="254">
        <f>CE306+N(CE304)</f>
        <v>-5</v>
      </c>
      <c r="CF396" s="19" t="n"/>
    </row>
    <row r="397" ht="15" customHeight="1" s="251">
      <c r="B397" s="16" t="inlineStr">
        <is>
          <t>Enterprise value (USDm)</t>
        </is>
      </c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  <c r="AA397" s="43" t="n"/>
      <c r="AB397" s="43" t="n"/>
      <c r="AC397" s="43" t="n"/>
      <c r="AD397" s="43" t="n"/>
      <c r="AE397" s="43" t="n"/>
      <c r="AF397" s="43" t="n"/>
      <c r="AG397" s="43" t="n"/>
      <c r="AH397" s="43" t="n"/>
      <c r="AI397" s="43" t="n"/>
      <c r="AJ397" s="43" t="n"/>
      <c r="AK397" s="43" t="n"/>
      <c r="AL397" s="43" t="n"/>
      <c r="AM397" s="43" t="n"/>
      <c r="AN397" s="43" t="n"/>
      <c r="AO397" s="43" t="n"/>
      <c r="AP397" s="43" t="n"/>
      <c r="AQ397" s="43" t="n"/>
      <c r="AR397" s="43" t="n"/>
      <c r="AS397" s="43" t="n"/>
      <c r="AT397" s="43" t="n"/>
      <c r="AU397" s="43" t="n"/>
      <c r="AV397" s="43" t="n"/>
      <c r="AW397" s="43" t="n"/>
      <c r="AX397" s="43" t="n"/>
      <c r="AY397" s="43" t="n"/>
      <c r="AZ397" s="43" t="n"/>
      <c r="BA397" s="43" t="n"/>
      <c r="BB397" s="43" t="n"/>
      <c r="BC397" s="43" t="n"/>
      <c r="BD397" s="43" t="n"/>
      <c r="BE397" s="43" t="n"/>
      <c r="BF397" s="43" t="n"/>
      <c r="BG397" s="43" t="n"/>
      <c r="BH397" s="43" t="n"/>
      <c r="BI397" s="43" t="n"/>
      <c r="BJ397" s="43" t="n"/>
      <c r="BK397" s="43" t="n"/>
      <c r="BL397" s="43" t="n"/>
      <c r="BM397" s="43" t="n"/>
      <c r="BN397" s="43" t="n"/>
      <c r="BO397" s="43" t="n"/>
      <c r="BP397" s="43" t="n"/>
      <c r="BQ397" s="43" t="n"/>
      <c r="BR397" s="43" t="n"/>
      <c r="BS397" s="43" t="n"/>
      <c r="BT397" s="43" t="n"/>
      <c r="BU397" s="43" t="n"/>
      <c r="BV397" s="43" t="n"/>
      <c r="BW397" s="43" t="n"/>
      <c r="BX397" s="43" t="n"/>
      <c r="BY397" s="32" t="n"/>
      <c r="BZ397" s="32" t="n"/>
      <c r="CA397" s="263">
        <f>IFERROR(CA394+CA395+CA396,"n/a")</f>
        <v>528636.604242233</v>
      </c>
      <c r="CB397" s="263">
        <f>IFERROR(CB394+CB395+CB396,"n/a")</f>
        <v>516547.895070227</v>
      </c>
      <c r="CC397" s="263">
        <f>IFERROR(CC394+CC395+CC396,"n/a")</f>
        <v>503965.103372443</v>
      </c>
      <c r="CD397" s="263">
        <f>IFERROR(CD394+CD395+CD396,"n/a")</f>
        <v>490915.646015608</v>
      </c>
      <c r="CE397" s="263">
        <f>IFERROR(CE394+CE395+CE396,"n/a")</f>
        <v>477521.649296602</v>
      </c>
      <c r="CF397" s="153" t="n"/>
    </row>
    <row r="398" ht="15" customHeight="1" s="251">
      <c r="B398" s="25" t="inlineStr">
        <is>
          <t>Multiples</t>
        </is>
      </c>
      <c r="CF398" s="153" t="n"/>
    </row>
    <row r="399" ht="15" customHeight="1" s="251">
      <c r="B399" s="25" t="inlineStr">
        <is>
          <t xml:space="preserve">  EV / Net revenue</t>
        </is>
      </c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  <c r="AA399" s="34" t="n"/>
      <c r="AB399" s="34" t="n"/>
      <c r="AC399" s="34" t="n"/>
      <c r="AD399" s="34" t="n"/>
      <c r="AE399" s="34" t="n"/>
      <c r="AF399" s="34" t="n"/>
      <c r="AG399" s="34" t="n"/>
      <c r="AH399" s="34" t="n"/>
      <c r="AI399" s="34" t="n"/>
      <c r="AJ399" s="34" t="n"/>
      <c r="AK399" s="34" t="n"/>
      <c r="AL399" s="34" t="n"/>
      <c r="AM399" s="34" t="n"/>
      <c r="AN399" s="34" t="n"/>
      <c r="AO399" s="34" t="n"/>
      <c r="AP399" s="34" t="n"/>
      <c r="AQ399" s="34" t="n"/>
      <c r="AR399" s="34" t="n"/>
      <c r="AS399" s="34" t="n"/>
      <c r="AT399" s="34" t="n"/>
      <c r="AU399" s="34" t="n"/>
      <c r="AV399" s="34" t="n"/>
      <c r="AW399" s="34" t="n"/>
      <c r="AX399" s="34" t="n"/>
      <c r="AY399" s="34" t="n"/>
      <c r="AZ399" s="34" t="n"/>
      <c r="BA399" s="34" t="n"/>
      <c r="BB399" s="34" t="n"/>
      <c r="BC399" s="34" t="n"/>
      <c r="BD399" s="34" t="n"/>
      <c r="BE399" s="34" t="n"/>
      <c r="BF399" s="34" t="n"/>
      <c r="BG399" s="34" t="n"/>
      <c r="BH399" s="34" t="n"/>
      <c r="BI399" s="34" t="n"/>
      <c r="BJ399" s="34" t="n"/>
      <c r="BK399" s="34" t="n"/>
      <c r="BL399" s="34" t="n"/>
      <c r="BM399" s="34" t="n"/>
      <c r="BN399" s="34" t="n"/>
      <c r="BO399" s="34" t="n"/>
      <c r="BP399" s="34" t="n"/>
      <c r="BQ399" s="34" t="n"/>
      <c r="BR399" s="34" t="n"/>
      <c r="BS399" s="34" t="n"/>
      <c r="BT399" s="34" t="n"/>
      <c r="BU399" s="34" t="n"/>
      <c r="BV399" s="34" t="n"/>
      <c r="BW399" s="34" t="n"/>
      <c r="BX399" s="34" t="n"/>
      <c r="BY399" s="35" t="n"/>
      <c r="BZ399" s="35" t="n"/>
      <c r="CA399" s="294">
        <f>IFERROR(CA397/CA123,"n/a")</f>
        <v>14.2038706559843</v>
      </c>
      <c r="CB399" s="294">
        <f>IFERROR(CB397/CB123,"n/a")</f>
        <v>12.3502147410703</v>
      </c>
      <c r="CC399" s="294">
        <f>IFERROR(CC397/CC123,"n/a")</f>
        <v>10.7721113664617</v>
      </c>
      <c r="CD399" s="294">
        <f>IFERROR(CD397/CD123,"n/a")</f>
        <v>9.44275567700494</v>
      </c>
      <c r="CE399" s="294">
        <f>IFERROR(CE397/CE123,"n/a")</f>
        <v>8.31934042028453</v>
      </c>
      <c r="CF399" s="19" t="n"/>
    </row>
    <row r="400" ht="15" customHeight="1" s="251">
      <c r="B400" s="25" t="inlineStr">
        <is>
          <t xml:space="preserve">  EV / Adjusted EBITDA</t>
        </is>
      </c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  <c r="AA400" s="34" t="n"/>
      <c r="AB400" s="34" t="n"/>
      <c r="AC400" s="34" t="n"/>
      <c r="AD400" s="34" t="n"/>
      <c r="AE400" s="34" t="n"/>
      <c r="AF400" s="34" t="n"/>
      <c r="AG400" s="34" t="n"/>
      <c r="AH400" s="34" t="n"/>
      <c r="AI400" s="34" t="n"/>
      <c r="AJ400" s="34" t="n"/>
      <c r="AK400" s="34" t="n"/>
      <c r="AL400" s="34" t="n"/>
      <c r="AM400" s="34" t="n"/>
      <c r="AN400" s="34" t="n"/>
      <c r="AO400" s="34" t="n"/>
      <c r="AP400" s="34" t="n"/>
      <c r="AQ400" s="34" t="n"/>
      <c r="AR400" s="34" t="n"/>
      <c r="AS400" s="34" t="n"/>
      <c r="AT400" s="34" t="n"/>
      <c r="AU400" s="34" t="n"/>
      <c r="AV400" s="34" t="n"/>
      <c r="AW400" s="34" t="n"/>
      <c r="AX400" s="34" t="n"/>
      <c r="AY400" s="34" t="n"/>
      <c r="AZ400" s="34" t="n"/>
      <c r="BA400" s="34" t="n"/>
      <c r="BB400" s="34" t="n"/>
      <c r="BC400" s="34" t="n"/>
      <c r="BD400" s="34" t="n"/>
      <c r="BE400" s="34" t="n"/>
      <c r="BF400" s="34" t="n"/>
      <c r="BG400" s="34" t="n"/>
      <c r="BH400" s="34" t="n"/>
      <c r="BI400" s="34" t="n"/>
      <c r="BJ400" s="34" t="n"/>
      <c r="BK400" s="34" t="n"/>
      <c r="BL400" s="34" t="n"/>
      <c r="BM400" s="34" t="n"/>
      <c r="BN400" s="34" t="n"/>
      <c r="BO400" s="34" t="n"/>
      <c r="BP400" s="34" t="n"/>
      <c r="BQ400" s="34" t="n"/>
      <c r="BR400" s="34" t="n"/>
      <c r="BS400" s="34" t="n"/>
      <c r="BT400" s="34" t="n"/>
      <c r="BU400" s="34" t="n"/>
      <c r="BV400" s="34" t="n"/>
      <c r="BW400" s="34" t="n"/>
      <c r="BX400" s="34" t="n"/>
      <c r="BY400" s="35" t="n"/>
      <c r="BZ400" s="35" t="n"/>
      <c r="CA400" s="294">
        <f>IFERROR(CA397/CA185,"n/a")</f>
        <v>22.4512895428546</v>
      </c>
      <c r="CB400" s="294">
        <f>IFERROR(CB397/CB185,"n/a")</f>
        <v>19.3609774337628</v>
      </c>
      <c r="CC400" s="294">
        <f>IFERROR(CC397/CC185,"n/a")</f>
        <v>16.7731929992259</v>
      </c>
      <c r="CD400" s="294">
        <f>IFERROR(CD397/CD185,"n/a")</f>
        <v>14.6058494610406</v>
      </c>
      <c r="CE400" s="294">
        <f>IFERROR(CE397/CE185,"n/a")</f>
        <v>12.7843940475885</v>
      </c>
      <c r="CF400" s="19" t="n"/>
    </row>
    <row r="401" ht="15" customHeight="1" s="251">
      <c r="B401" s="25" t="inlineStr">
        <is>
          <t xml:space="preserve">  EV / Adjusted operating income</t>
        </is>
      </c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  <c r="AA401" s="34" t="n"/>
      <c r="AB401" s="34" t="n"/>
      <c r="AC401" s="34" t="n"/>
      <c r="AD401" s="34" t="n"/>
      <c r="AE401" s="34" t="n"/>
      <c r="AF401" s="34" t="n"/>
      <c r="AG401" s="34" t="n"/>
      <c r="AH401" s="34" t="n"/>
      <c r="AI401" s="34" t="n"/>
      <c r="AJ401" s="34" t="n"/>
      <c r="AK401" s="34" t="n"/>
      <c r="AL401" s="34" t="n"/>
      <c r="AM401" s="34" t="n"/>
      <c r="AN401" s="34" t="n"/>
      <c r="AO401" s="34" t="n"/>
      <c r="AP401" s="34" t="n"/>
      <c r="AQ401" s="34" t="n"/>
      <c r="AR401" s="34" t="n"/>
      <c r="AS401" s="34" t="n"/>
      <c r="AT401" s="34" t="n"/>
      <c r="AU401" s="34" t="n"/>
      <c r="AV401" s="34" t="n"/>
      <c r="AW401" s="34" t="n"/>
      <c r="AX401" s="34" t="n"/>
      <c r="AY401" s="34" t="n"/>
      <c r="AZ401" s="34" t="n"/>
      <c r="BA401" s="34" t="n"/>
      <c r="BB401" s="34" t="n"/>
      <c r="BC401" s="34" t="n"/>
      <c r="BD401" s="34" t="n"/>
      <c r="BE401" s="34" t="n"/>
      <c r="BF401" s="34" t="n"/>
      <c r="BG401" s="34" t="n"/>
      <c r="BH401" s="34" t="n"/>
      <c r="BI401" s="34" t="n"/>
      <c r="BJ401" s="34" t="n"/>
      <c r="BK401" s="34" t="n"/>
      <c r="BL401" s="34" t="n"/>
      <c r="BM401" s="34" t="n"/>
      <c r="BN401" s="34" t="n"/>
      <c r="BO401" s="34" t="n"/>
      <c r="BP401" s="34" t="n"/>
      <c r="BQ401" s="34" t="n"/>
      <c r="BR401" s="34" t="n"/>
      <c r="BS401" s="34" t="n"/>
      <c r="BT401" s="34" t="n"/>
      <c r="BU401" s="34" t="n"/>
      <c r="BV401" s="34" t="n"/>
      <c r="BW401" s="34" t="n"/>
      <c r="BX401" s="34" t="n"/>
      <c r="BY401" s="35" t="n"/>
      <c r="BZ401" s="35" t="n"/>
      <c r="CA401" s="294">
        <f>IFERROR(CA397/CA170,"n/a")</f>
        <v>23.7185097785969</v>
      </c>
      <c r="CB401" s="294">
        <f>IFERROR(CB397/CB170,"n/a")</f>
        <v>20.5043029299881</v>
      </c>
      <c r="CC401" s="294">
        <f>IFERROR(CC397/CC170,"n/a")</f>
        <v>17.7752450306317</v>
      </c>
      <c r="CD401" s="294">
        <f>IFERROR(CD397/CD170,"n/a")</f>
        <v>15.4850006683146</v>
      </c>
      <c r="CE401" s="294">
        <f>IFERROR(CE397/CE170,"n/a")</f>
        <v>13.5573945386622</v>
      </c>
      <c r="CF401" s="19" t="n"/>
    </row>
    <row r="402" ht="15" customHeight="1" s="251">
      <c r="B402" s="25" t="inlineStr">
        <is>
          <t xml:space="preserve">  EV / IC</t>
        </is>
      </c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  <c r="AA402" s="34" t="n"/>
      <c r="AB402" s="34" t="n"/>
      <c r="AC402" s="34" t="n"/>
      <c r="AD402" s="34" t="n"/>
      <c r="AE402" s="34" t="n"/>
      <c r="AF402" s="34" t="n"/>
      <c r="AG402" s="34" t="n"/>
      <c r="AH402" s="34" t="n"/>
      <c r="AI402" s="34" t="n"/>
      <c r="AJ402" s="34" t="n"/>
      <c r="AK402" s="34" t="n"/>
      <c r="AL402" s="34" t="n"/>
      <c r="AM402" s="34" t="n"/>
      <c r="AN402" s="34" t="n"/>
      <c r="AO402" s="34" t="n"/>
      <c r="AP402" s="34" t="n"/>
      <c r="AQ402" s="34" t="n"/>
      <c r="AR402" s="34" t="n"/>
      <c r="AS402" s="34" t="n"/>
      <c r="AT402" s="34" t="n"/>
      <c r="AU402" s="34" t="n"/>
      <c r="AV402" s="34" t="n"/>
      <c r="AW402" s="34" t="n"/>
      <c r="AX402" s="34" t="n"/>
      <c r="AY402" s="34" t="n"/>
      <c r="AZ402" s="34" t="n"/>
      <c r="BA402" s="34" t="n"/>
      <c r="BB402" s="34" t="n"/>
      <c r="BC402" s="34" t="n"/>
      <c r="BD402" s="34" t="n"/>
      <c r="BE402" s="34" t="n"/>
      <c r="BF402" s="34" t="n"/>
      <c r="BG402" s="34" t="n"/>
      <c r="BH402" s="34" t="n"/>
      <c r="BI402" s="34" t="n"/>
      <c r="BJ402" s="34" t="n"/>
      <c r="BK402" s="34" t="n"/>
      <c r="BL402" s="34" t="n"/>
      <c r="BM402" s="34" t="n"/>
      <c r="BN402" s="34" t="n"/>
      <c r="BO402" s="34" t="n"/>
      <c r="BP402" s="34" t="n"/>
      <c r="BQ402" s="34" t="n"/>
      <c r="BR402" s="34" t="n"/>
      <c r="BS402" s="34" t="n"/>
      <c r="BT402" s="34" t="n"/>
      <c r="BU402" s="34" t="n"/>
      <c r="BV402" s="34" t="n"/>
      <c r="BW402" s="34" t="n"/>
      <c r="BX402" s="34" t="n"/>
      <c r="BY402" s="35" t="n"/>
      <c r="BZ402" s="35" t="n"/>
      <c r="CA402" s="294">
        <f>IFERROR(CA397/CA366,"n/a")</f>
        <v>27.8918066490046</v>
      </c>
      <c r="CB402" s="294">
        <f>IFERROR(CB397/CB366,"n/a")</f>
        <v>24.9040340225139</v>
      </c>
      <c r="CC402" s="294">
        <f>IFERROR(CC397/CC366,"n/a")</f>
        <v>22.326690700546</v>
      </c>
      <c r="CD402" s="294">
        <f>IFERROR(CD397/CD366,"n/a")</f>
        <v>20.097393437977</v>
      </c>
      <c r="CE402" s="294">
        <f>IFERROR(CE397/CE366,"n/a")</f>
        <v>18.1528967049214</v>
      </c>
      <c r="CF402" s="19" t="n"/>
    </row>
    <row r="403" ht="15" customHeight="1" s="251">
      <c r="B403" s="25" t="inlineStr">
        <is>
          <t xml:space="preserve">  P / E (GAAP diluted)</t>
        </is>
      </c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  <c r="AC403" s="34" t="n"/>
      <c r="AD403" s="34" t="n"/>
      <c r="AE403" s="34" t="n"/>
      <c r="AF403" s="34" t="n"/>
      <c r="AG403" s="34" t="n"/>
      <c r="AH403" s="34" t="n"/>
      <c r="AI403" s="34" t="n"/>
      <c r="AJ403" s="34" t="n"/>
      <c r="AK403" s="34" t="n"/>
      <c r="AL403" s="34" t="n"/>
      <c r="AM403" s="34" t="n"/>
      <c r="AN403" s="34" t="n"/>
      <c r="AO403" s="34" t="n"/>
      <c r="AP403" s="34" t="n"/>
      <c r="AQ403" s="34" t="n"/>
      <c r="AR403" s="34" t="n"/>
      <c r="AS403" s="34" t="n"/>
      <c r="AT403" s="34" t="n"/>
      <c r="AU403" s="34" t="n"/>
      <c r="AV403" s="34" t="n"/>
      <c r="AW403" s="34" t="n"/>
      <c r="AX403" s="34" t="n"/>
      <c r="AY403" s="34" t="n"/>
      <c r="AZ403" s="34" t="n"/>
      <c r="BA403" s="34" t="n"/>
      <c r="BB403" s="34" t="n"/>
      <c r="BC403" s="34" t="n"/>
      <c r="BD403" s="34" t="n"/>
      <c r="BE403" s="34" t="n"/>
      <c r="BF403" s="34" t="n"/>
      <c r="BG403" s="34" t="n"/>
      <c r="BH403" s="34" t="n"/>
      <c r="BI403" s="34" t="n"/>
      <c r="BJ403" s="34" t="n"/>
      <c r="BK403" s="34" t="n"/>
      <c r="BL403" s="34" t="n"/>
      <c r="BM403" s="34" t="n"/>
      <c r="BN403" s="34" t="n"/>
      <c r="BO403" s="34" t="n"/>
      <c r="BP403" s="34" t="n"/>
      <c r="BQ403" s="34" t="n"/>
      <c r="BR403" s="34" t="n"/>
      <c r="BS403" s="34" t="n"/>
      <c r="BT403" s="34" t="n"/>
      <c r="BU403" s="34" t="n"/>
      <c r="BV403" s="34" t="n"/>
      <c r="BW403" s="34" t="n"/>
      <c r="BX403" s="34" t="n"/>
      <c r="BY403" s="35" t="n"/>
      <c r="BZ403" s="35" t="n"/>
      <c r="CA403" s="294">
        <f>IFERROR(CA392/CA153,"n/a")</f>
        <v>30.6968100744701</v>
      </c>
      <c r="CB403" s="294">
        <f>IFERROR(CB392/CB153,"n/a")</f>
        <v>26.3600749585836</v>
      </c>
      <c r="CC403" s="294">
        <f>IFERROR(CC392/CC153,"n/a")</f>
        <v>22.7540789527142</v>
      </c>
      <c r="CD403" s="294">
        <f>IFERROR(CD392/CD153,"n/a")</f>
        <v>19.73609434055</v>
      </c>
      <c r="CE403" s="294">
        <f>IFERROR(CE392/CE153,"n/a")</f>
        <v>17.1986742457608</v>
      </c>
      <c r="CF403" s="19" t="n"/>
    </row>
    <row r="404" ht="15" customHeight="1" s="251">
      <c r="B404" s="25" t="inlineStr">
        <is>
          <t xml:space="preserve">  P / E (adjusted EPS)</t>
        </is>
      </c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  <c r="AA404" s="34" t="n"/>
      <c r="AB404" s="34" t="n"/>
      <c r="AC404" s="34" t="n"/>
      <c r="AD404" s="34" t="n"/>
      <c r="AE404" s="34" t="n"/>
      <c r="AF404" s="34" t="n"/>
      <c r="AG404" s="34" t="n"/>
      <c r="AH404" s="34" t="n"/>
      <c r="AI404" s="34" t="n"/>
      <c r="AJ404" s="34" t="n"/>
      <c r="AK404" s="34" t="n"/>
      <c r="AL404" s="34" t="n"/>
      <c r="AM404" s="34" t="n"/>
      <c r="AN404" s="34" t="n"/>
      <c r="AO404" s="34" t="n"/>
      <c r="AP404" s="34" t="n"/>
      <c r="AQ404" s="34" t="n"/>
      <c r="AR404" s="34" t="n"/>
      <c r="AS404" s="34" t="n"/>
      <c r="AT404" s="34" t="n"/>
      <c r="AU404" s="34" t="n"/>
      <c r="AV404" s="34" t="n"/>
      <c r="AW404" s="34" t="n"/>
      <c r="AX404" s="34" t="n"/>
      <c r="AY404" s="34" t="n"/>
      <c r="AZ404" s="34" t="n"/>
      <c r="BA404" s="34" t="n"/>
      <c r="BB404" s="34" t="n"/>
      <c r="BC404" s="34" t="n"/>
      <c r="BD404" s="34" t="n"/>
      <c r="BE404" s="34" t="n"/>
      <c r="BF404" s="34" t="n"/>
      <c r="BG404" s="34" t="n"/>
      <c r="BH404" s="34" t="n"/>
      <c r="BI404" s="34" t="n"/>
      <c r="BJ404" s="34" t="n"/>
      <c r="BK404" s="34" t="n"/>
      <c r="BL404" s="34" t="n"/>
      <c r="BM404" s="34" t="n"/>
      <c r="BN404" s="34" t="n"/>
      <c r="BO404" s="34" t="n"/>
      <c r="BP404" s="34" t="n"/>
      <c r="BQ404" s="34" t="n"/>
      <c r="BR404" s="34" t="n"/>
      <c r="BS404" s="34" t="n"/>
      <c r="BT404" s="34" t="n"/>
      <c r="BU404" s="34" t="n"/>
      <c r="BV404" s="34" t="n"/>
      <c r="BW404" s="34" t="n"/>
      <c r="BX404" s="34" t="n"/>
      <c r="BY404" s="35" t="n"/>
      <c r="BZ404" s="35" t="n"/>
      <c r="CA404" s="294">
        <f>IFERROR(CA392/CA201,"n/a")</f>
        <v>29.9165750463519</v>
      </c>
      <c r="CB404" s="294">
        <f>IFERROR(CB392/CB201,"n/a")</f>
        <v>25.8810618882687</v>
      </c>
      <c r="CC404" s="294">
        <f>IFERROR(CC392/CC201,"n/a")</f>
        <v>22.3867308507676</v>
      </c>
      <c r="CD404" s="294">
        <f>IFERROR(CD392/CD201,"n/a")</f>
        <v>19.450890139997</v>
      </c>
      <c r="CE404" s="294">
        <f>IFERROR(CE392/CE201,"n/a")</f>
        <v>16.974779966616</v>
      </c>
      <c r="CF404" s="19" t="n"/>
    </row>
    <row r="405" ht="15" customHeight="1" s="251">
      <c r="B405" s="25" t="inlineStr">
        <is>
          <t xml:space="preserve">  FCF yield</t>
        </is>
      </c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  <c r="AA405" s="34" t="n"/>
      <c r="AB405" s="34" t="n"/>
      <c r="AC405" s="34" t="n"/>
      <c r="AD405" s="34" t="n"/>
      <c r="AE405" s="34" t="n"/>
      <c r="AF405" s="34" t="n"/>
      <c r="AG405" s="34" t="n"/>
      <c r="AH405" s="34" t="n"/>
      <c r="AI405" s="34" t="n"/>
      <c r="AJ405" s="34" t="n"/>
      <c r="AK405" s="34" t="n"/>
      <c r="AL405" s="34" t="n"/>
      <c r="AM405" s="34" t="n"/>
      <c r="AN405" s="34" t="n"/>
      <c r="AO405" s="34" t="n"/>
      <c r="AP405" s="34" t="n"/>
      <c r="AQ405" s="34" t="n"/>
      <c r="AR405" s="34" t="n"/>
      <c r="AS405" s="34" t="n"/>
      <c r="AT405" s="34" t="n"/>
      <c r="AU405" s="34" t="n"/>
      <c r="AV405" s="34" t="n"/>
      <c r="AW405" s="34" t="n"/>
      <c r="AX405" s="34" t="n"/>
      <c r="AY405" s="34" t="n"/>
      <c r="AZ405" s="34" t="n"/>
      <c r="BA405" s="34" t="n"/>
      <c r="BB405" s="34" t="n"/>
      <c r="BC405" s="34" t="n"/>
      <c r="BD405" s="34" t="n"/>
      <c r="BE405" s="34" t="n"/>
      <c r="BF405" s="34" t="n"/>
      <c r="BG405" s="34" t="n"/>
      <c r="BH405" s="34" t="n"/>
      <c r="BI405" s="34" t="n"/>
      <c r="BJ405" s="34" t="n"/>
      <c r="BK405" s="34" t="n"/>
      <c r="BL405" s="34" t="n"/>
      <c r="BM405" s="34" t="n"/>
      <c r="BN405" s="34" t="n"/>
      <c r="BO405" s="34" t="n"/>
      <c r="BP405" s="34" t="n"/>
      <c r="BQ405" s="34" t="n"/>
      <c r="BR405" s="34" t="n"/>
      <c r="BS405" s="34" t="n"/>
      <c r="BT405" s="34" t="n"/>
      <c r="BU405" s="34" t="n"/>
      <c r="BV405" s="34" t="n"/>
      <c r="BW405" s="34" t="n"/>
      <c r="BX405" s="34" t="n"/>
      <c r="BY405" s="35" t="n"/>
      <c r="BZ405" s="35" t="n"/>
      <c r="CA405" s="256">
        <f>IFERROR(CA256/CA394,"n/a")</f>
        <v>0.0314920297108607</v>
      </c>
      <c r="CB405" s="256">
        <f>IFERROR(CB256/CB394,"n/a")</f>
        <v>0.0383409262654065</v>
      </c>
      <c r="CC405" s="256">
        <f>IFERROR(CC256/CC394,"n/a")</f>
        <v>0.0446124774231261</v>
      </c>
      <c r="CD405" s="256">
        <f>IFERROR(CD256/CD394,"n/a")</f>
        <v>0.051632563050985</v>
      </c>
      <c r="CE405" s="256">
        <f>IFERROR(CE256/CE394,"n/a")</f>
        <v>0.0594478149424264</v>
      </c>
      <c r="CF405" s="19" t="n"/>
    </row>
    <row r="406" ht="15" customHeight="1" s="251">
      <c r="B406" s="25" t="inlineStr">
        <is>
          <t xml:space="preserve">  Dividend yield</t>
        </is>
      </c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  <c r="AA406" s="34" t="n"/>
      <c r="AB406" s="34" t="n"/>
      <c r="AC406" s="34" t="n"/>
      <c r="AD406" s="34" t="n"/>
      <c r="AE406" s="34" t="n"/>
      <c r="AF406" s="34" t="n"/>
      <c r="AG406" s="34" t="n"/>
      <c r="AH406" s="34" t="n"/>
      <c r="AI406" s="34" t="n"/>
      <c r="AJ406" s="34" t="n"/>
      <c r="AK406" s="34" t="n"/>
      <c r="AL406" s="34" t="n"/>
      <c r="AM406" s="34" t="n"/>
      <c r="AN406" s="34" t="n"/>
      <c r="AO406" s="34" t="n"/>
      <c r="AP406" s="34" t="n"/>
      <c r="AQ406" s="34" t="n"/>
      <c r="AR406" s="34" t="n"/>
      <c r="AS406" s="34" t="n"/>
      <c r="AT406" s="34" t="n"/>
      <c r="AU406" s="34" t="n"/>
      <c r="AV406" s="34" t="n"/>
      <c r="AW406" s="34" t="n"/>
      <c r="AX406" s="34" t="n"/>
      <c r="AY406" s="34" t="n"/>
      <c r="AZ406" s="34" t="n"/>
      <c r="BA406" s="34" t="n"/>
      <c r="BB406" s="34" t="n"/>
      <c r="BC406" s="34" t="n"/>
      <c r="BD406" s="34" t="n"/>
      <c r="BE406" s="34" t="n"/>
      <c r="BF406" s="34" t="n"/>
      <c r="BG406" s="34" t="n"/>
      <c r="BH406" s="34" t="n"/>
      <c r="BI406" s="34" t="n"/>
      <c r="BJ406" s="34" t="n"/>
      <c r="BK406" s="34" t="n"/>
      <c r="BL406" s="34" t="n"/>
      <c r="BM406" s="34" t="n"/>
      <c r="BN406" s="34" t="n"/>
      <c r="BO406" s="34" t="n"/>
      <c r="BP406" s="34" t="n"/>
      <c r="BQ406" s="34" t="n"/>
      <c r="BR406" s="34" t="n"/>
      <c r="BS406" s="34" t="n"/>
      <c r="BT406" s="34" t="n"/>
      <c r="BU406" s="34" t="n"/>
      <c r="BV406" s="34" t="n"/>
      <c r="BW406" s="34" t="n"/>
      <c r="BX406" s="34" t="n"/>
      <c r="BY406" s="35" t="n"/>
      <c r="BZ406" s="35" t="n"/>
      <c r="CA406" s="256">
        <f>IFERROR(CA157/CA392,"n/a")</f>
        <v>0.00605042016806723</v>
      </c>
      <c r="CB406" s="256">
        <f>IFERROR(CB157/CB392,"n/a")</f>
        <v>0.00683697478991597</v>
      </c>
      <c r="CC406" s="256">
        <f>IFERROR(CC157/CC392,"n/a")</f>
        <v>0.00772578151260504</v>
      </c>
      <c r="CD406" s="256">
        <f>IFERROR(CD157/CD392,"n/a")</f>
        <v>0.0087301331092437</v>
      </c>
      <c r="CE406" s="256">
        <f>IFERROR(CE157/CE392,"n/a")</f>
        <v>0.00986505041344538</v>
      </c>
      <c r="CF406" s="19" t="n"/>
    </row>
    <row r="407" ht="15" customHeight="1" s="251"/>
    <row r="408" ht="15" customHeight="1" s="251"/>
    <row r="409" ht="15" customHeight="1" s="251"/>
    <row r="410" ht="15" customHeight="1" s="251"/>
    <row r="411" ht="15" customHeight="1" s="251"/>
    <row r="412" ht="15" customHeight="1" s="251"/>
    <row r="413" ht="15" customHeight="1" s="251"/>
    <row r="414" ht="15" customHeight="1" s="251"/>
    <row r="415" ht="15" customHeight="1" s="251"/>
    <row r="416" ht="15" customHeight="1" s="251"/>
    <row r="417" ht="15" customHeight="1" s="251"/>
    <row r="418" ht="15" customHeight="1" s="251"/>
    <row r="419" ht="15" customHeight="1" s="251"/>
    <row r="420" ht="15" customHeight="1" s="251"/>
    <row r="421" ht="15" customHeight="1" s="251"/>
    <row r="422" ht="15" customHeight="1" s="251"/>
    <row r="423" ht="15" customHeight="1" s="251"/>
    <row r="424" ht="15" customHeight="1" s="251"/>
    <row r="425" ht="15" customHeight="1" s="251"/>
    <row r="426" ht="15" customHeight="1" s="251"/>
    <row r="427" ht="15" customHeight="1" s="251"/>
    <row r="428" ht="15" customHeight="1" s="251"/>
    <row r="429" ht="15" customHeight="1" s="251"/>
    <row r="430" ht="15" customHeight="1" s="251"/>
    <row r="431" ht="15" customHeight="1" s="251"/>
    <row r="432" ht="15" customHeight="1" s="251"/>
    <row r="433" ht="15" customHeight="1" s="251"/>
    <row r="434" ht="15" customHeight="1" s="251"/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CF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Mastercard Incorporated (MA) — Bull / Base / Bear Case P&amp;L Summary</t>
        </is>
      </c>
      <c r="J2" s="152" t="inlineStr">
        <is>
          <t>Share price ($):</t>
        </is>
      </c>
      <c r="K2" s="74">
        <f>Model!$CA$392</f>
        <v>595</v>
      </c>
    </row>
    <row r="3" ht="15" customHeight="1" s="251">
      <c r="B3" s="4" t="inlineStr">
        <is>
          <t>Adjusted figures (company definitions: adjusted operating income, adjusted EPS; adjusted EBITDA is a model definition) · USD millions · Live panel linked to Model — toggle the scenario on the Model sheet (cell CF2). Bull and Bear panels are value snapshots generated from the Model with the switch set to each case. 2026E = Q1–Q2 actual + Q3/Q4 calibrated to the FY26 outlook (net revenue growth high end of low double digits; adjusted opex growth low double digits) — outlook UNVERIFIED (earnings call, not an SEC filing).</t>
        </is>
      </c>
      <c r="J3" s="152" t="inlineStr">
        <is>
          <t>As of:</t>
        </is>
      </c>
      <c r="K3" s="297" t="str">
        <f>TODAY()</f>
        <v>2026-10-13 00:00:00</v>
      </c>
    </row>
    <row r="5" ht="15" customHeight="1" s="251">
      <c r="B5" s="10" t="inlineStr">
        <is>
          <t>Scenario:</t>
        </is>
      </c>
      <c r="C5" s="75" t="str">
        <f>Model!$CF$2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2025A</t>
        </is>
      </c>
      <c r="D7" s="150" t="inlineStr">
        <is>
          <t>2026E</t>
        </is>
      </c>
      <c r="E7" s="150" t="inlineStr">
        <is>
          <t>2027E</t>
        </is>
      </c>
      <c r="F7" s="150" t="inlineStr">
        <is>
          <t>2028E</t>
        </is>
      </c>
      <c r="G7" s="150" t="inlineStr">
        <is>
          <t>2029E</t>
        </is>
      </c>
      <c r="H7" s="150" t="inlineStr">
        <is>
          <t>2030E</t>
        </is>
      </c>
      <c r="I7" s="150" t="inlineStr">
        <is>
          <t>25-'30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2025A</t>
        </is>
      </c>
      <c r="P7" s="150" t="inlineStr">
        <is>
          <t>2026E</t>
        </is>
      </c>
      <c r="Q7" s="150" t="inlineStr">
        <is>
          <t>2027E</t>
        </is>
      </c>
      <c r="R7" s="150" t="inlineStr">
        <is>
          <t>2028E</t>
        </is>
      </c>
      <c r="S7" s="150" t="inlineStr">
        <is>
          <t>2029E</t>
        </is>
      </c>
      <c r="T7" s="150" t="inlineStr">
        <is>
          <t>2030E</t>
        </is>
      </c>
      <c r="U7" s="150" t="inlineStr">
        <is>
          <t>25-'30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2025A</t>
        </is>
      </c>
      <c r="AB7" s="150" t="inlineStr">
        <is>
          <t>2026E</t>
        </is>
      </c>
      <c r="AC7" s="150" t="inlineStr">
        <is>
          <t>2027E</t>
        </is>
      </c>
      <c r="AD7" s="150" t="inlineStr">
        <is>
          <t>2028E</t>
        </is>
      </c>
      <c r="AE7" s="150" t="inlineStr">
        <is>
          <t>2029E</t>
        </is>
      </c>
      <c r="AF7" s="150" t="inlineStr">
        <is>
          <t>2030E</t>
        </is>
      </c>
      <c r="AG7" s="150" t="inlineStr">
        <is>
          <t>25-'30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Net revenue</t>
        </is>
      </c>
      <c r="C9" s="80">
        <f>Model!BV123</f>
        <v>32791</v>
      </c>
      <c r="D9" s="81">
        <f>Model!CA123</f>
        <v>37217.785</v>
      </c>
      <c r="E9" s="81">
        <f>Model!CB123</f>
        <v>41825.0132406573</v>
      </c>
      <c r="F9" s="81">
        <f>Model!CC123</f>
        <v>46784.2455603929</v>
      </c>
      <c r="G9" s="81">
        <f>Model!CD123</f>
        <v>51988.5998121384</v>
      </c>
      <c r="H9" s="81">
        <f>Model!CE123</f>
        <v>57398.9793869104</v>
      </c>
      <c r="I9" s="298">
        <f>IFERROR((H9/C9)^(1/5)-1,"n/m")</f>
        <v>0.118484324380902</v>
      </c>
      <c r="N9" s="79" t="inlineStr">
        <is>
          <t>Net revenue</t>
        </is>
      </c>
      <c r="O9" s="80" t="n">
        <v>32791</v>
      </c>
      <c r="P9" s="81" t="n">
        <v>37381.74</v>
      </c>
      <c r="Q9" s="81" t="n">
        <v>43080.8550781114</v>
      </c>
      <c r="R9" s="81" t="n">
        <v>49449.6984703651</v>
      </c>
      <c r="S9" s="81" t="n">
        <v>56381.20720576</v>
      </c>
      <c r="T9" s="81" t="n">
        <v>63865.689802229</v>
      </c>
      <c r="U9" s="298" t="n">
        <v>0.142622019792438</v>
      </c>
      <c r="Z9" s="79" t="inlineStr">
        <is>
          <t>Net revenue</t>
        </is>
      </c>
      <c r="AA9" s="80" t="n">
        <v>32791</v>
      </c>
      <c r="AB9" s="81" t="n">
        <v>37053.83</v>
      </c>
      <c r="AC9" s="81" t="n">
        <v>39942.1880068447</v>
      </c>
      <c r="AD9" s="81" t="n">
        <v>42817.3973713092</v>
      </c>
      <c r="AE9" s="81" t="n">
        <v>45595.0979141465</v>
      </c>
      <c r="AF9" s="81" t="n">
        <v>48233.3908228567</v>
      </c>
      <c r="AG9" s="298" t="n">
        <v>0.0802359504093848</v>
      </c>
    </row>
    <row r="10" ht="15" customHeight="1" s="251">
      <c r="B10" s="83" t="inlineStr">
        <is>
          <t xml:space="preserve">   Net revenue y/y %</t>
        </is>
      </c>
      <c r="C10" s="299" t="n"/>
      <c r="D10" s="300">
        <f>IFERROR(D9/C9-1,"")</f>
        <v>0.135</v>
      </c>
      <c r="E10" s="300">
        <f>IFERROR(E9/D9-1,"")</f>
        <v>0.123791038092604</v>
      </c>
      <c r="F10" s="300">
        <f>IFERROR(F9/E9-1,"")</f>
        <v>0.118570968315075</v>
      </c>
      <c r="G10" s="300">
        <f>IFERROR(G9/F9-1,"")</f>
        <v>0.111241598307432</v>
      </c>
      <c r="H10" s="300">
        <f>IFERROR(H9/G9-1,"")</f>
        <v>0.104068576463349</v>
      </c>
      <c r="N10" s="83" t="inlineStr">
        <is>
          <t xml:space="preserve">   Net revenue y/y %</t>
        </is>
      </c>
      <c r="O10" s="299" t="n"/>
      <c r="P10" s="300" t="n">
        <v>0.14</v>
      </c>
      <c r="Q10" s="300" t="n">
        <v>0.152457191080762</v>
      </c>
      <c r="R10" s="300" t="n">
        <v>0.147834656037029</v>
      </c>
      <c r="S10" s="300" t="n">
        <v>0.140172922177654</v>
      </c>
      <c r="T10" s="300" t="n">
        <v>0.132747824450704</v>
      </c>
      <c r="Z10" s="83" t="inlineStr">
        <is>
          <t xml:space="preserve">   Net revenue y/y %</t>
        </is>
      </c>
      <c r="AA10" s="299" t="n"/>
      <c r="AB10" s="300" t="n">
        <v>0.13</v>
      </c>
      <c r="AC10" s="300" t="n">
        <v>0.0779503227289788</v>
      </c>
      <c r="AD10" s="300" t="n">
        <v>0.0719842729690168</v>
      </c>
      <c r="AE10" s="300" t="n">
        <v>0.0648731757035403</v>
      </c>
      <c r="AF10" s="300" t="n">
        <v>0.0578635210670671</v>
      </c>
    </row>
    <row r="11" ht="15" customHeight="1" s="251">
      <c r="B11" s="79" t="inlineStr">
        <is>
          <t xml:space="preserve">   Payment network y/y %</t>
        </is>
      </c>
      <c r="C11" s="86">
        <f>Model!BV212</f>
        <v>0.123507355062013</v>
      </c>
      <c r="D11" s="87">
        <f>Model!CA212</f>
        <v>0.0937559538014658</v>
      </c>
      <c r="E11" s="87">
        <f>Model!CB212</f>
        <v>0.101275</v>
      </c>
      <c r="F11" s="87">
        <f>Model!CC212</f>
        <v>0.0961999999999998</v>
      </c>
      <c r="G11" s="87">
        <f>Model!CD212</f>
        <v>0.0908</v>
      </c>
      <c r="H11" s="87">
        <f>Model!CE212</f>
        <v>0.08575</v>
      </c>
      <c r="N11" s="79" t="inlineStr">
        <is>
          <t xml:space="preserve">   Payment network y/y %</t>
        </is>
      </c>
      <c r="O11" s="86" t="n">
        <v>0.123507355062013</v>
      </c>
      <c r="P11" s="87" t="n">
        <v>0.0986397147048976</v>
      </c>
      <c r="Q11" s="87" t="n">
        <v>0.1275</v>
      </c>
      <c r="R11" s="87" t="n">
        <v>0.122375</v>
      </c>
      <c r="S11" s="87" t="n">
        <v>0.1169</v>
      </c>
      <c r="T11" s="87" t="n">
        <v>0.1118</v>
      </c>
      <c r="Z11" s="79" t="inlineStr">
        <is>
          <t xml:space="preserve">   Payment network y/y %</t>
        </is>
      </c>
      <c r="AA11" s="86" t="n">
        <v>0.123507355062013</v>
      </c>
      <c r="AB11" s="87" t="n">
        <v>0.08887219289803359</v>
      </c>
      <c r="AC11" s="87" t="n">
        <v>0.0599999999999998</v>
      </c>
      <c r="AD11" s="87" t="n">
        <v>0.0550000000000002</v>
      </c>
      <c r="AE11" s="87" t="n">
        <v>0.0497249999999998</v>
      </c>
      <c r="AF11" s="87" t="n">
        <v>0.0447499999999998</v>
      </c>
    </row>
    <row r="12" ht="15" customHeight="1" s="251">
      <c r="B12" s="79" t="inlineStr">
        <is>
          <t>Adjusted EBITDA (model)</t>
        </is>
      </c>
      <c r="C12" s="80">
        <f>Model!BV185</f>
        <v>20544</v>
      </c>
      <c r="D12" s="81">
        <f>Model!CA185</f>
        <v>23545.935</v>
      </c>
      <c r="E12" s="81">
        <f>Model!CB185</f>
        <v>26679.8459342987</v>
      </c>
      <c r="F12" s="81">
        <f>Model!CC185</f>
        <v>30045.8656497722</v>
      </c>
      <c r="G12" s="81">
        <f>Model!CD185</f>
        <v>33610.8931784535</v>
      </c>
      <c r="H12" s="81">
        <f>Model!CE185</f>
        <v>37351.9188722655</v>
      </c>
      <c r="I12" s="298">
        <f>IFERROR((H12/C12)^(1/5)-1,"n/m")</f>
        <v>0.127004323832197</v>
      </c>
      <c r="N12" s="79" t="inlineStr">
        <is>
          <t>Adjusted EBITDA (model)</t>
        </is>
      </c>
      <c r="O12" s="80" t="n">
        <v>20544</v>
      </c>
      <c r="P12" s="81" t="n">
        <v>23776.84</v>
      </c>
      <c r="Q12" s="81" t="n">
        <v>27904.9069855381</v>
      </c>
      <c r="R12" s="81" t="n">
        <v>32230.298402678</v>
      </c>
      <c r="S12" s="81" t="n">
        <v>36975.0297841843</v>
      </c>
      <c r="T12" s="81" t="n">
        <v>42139.3018770756</v>
      </c>
      <c r="U12" s="298" t="n">
        <v>0.154517355709861</v>
      </c>
      <c r="Z12" s="79" t="inlineStr">
        <is>
          <t>Adjusted EBITDA (model)</t>
        </is>
      </c>
      <c r="AA12" s="80" t="n">
        <v>20544</v>
      </c>
      <c r="AB12" s="81" t="n">
        <v>23315.03</v>
      </c>
      <c r="AC12" s="81" t="n">
        <v>24886.6034402574</v>
      </c>
      <c r="AD12" s="81" t="n">
        <v>26876.6544018109</v>
      </c>
      <c r="AE12" s="81" t="n">
        <v>28829.3686817406</v>
      </c>
      <c r="AF12" s="81" t="n">
        <v>30716.0114801597</v>
      </c>
      <c r="AG12" s="298" t="n">
        <v>0.0837671000082843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0.626513372571742</v>
      </c>
      <c r="D13" s="89">
        <f>IFERROR(D12/D9,"")</f>
        <v>0.632652776085412</v>
      </c>
      <c r="E13" s="89">
        <f>IFERROR(E12/E9,"")</f>
        <v>0.63789210969965</v>
      </c>
      <c r="F13" s="89">
        <f>IFERROR(F12/F9,"")</f>
        <v>0.642221869560483</v>
      </c>
      <c r="G13" s="89">
        <f>IFERROR(G12/G9,"")</f>
        <v>0.646505066493559</v>
      </c>
      <c r="H13" s="89">
        <f>IFERROR(H12/H9,"")</f>
        <v>0.650741864598093</v>
      </c>
      <c r="J13" s="90">
        <f>IFERROR(AVERAGE(Model!C186,Model!D186,Model!E186,Model!F186,Model!G186,Model!H186,Model!I186,Model!N186,Model!S186,Model!X186,Model!AC186,Model!AH186,Model!AM186,Model!AR186,Model!AW186,Model!BB186,Model!BG186,Model!BL186,Model!BQ186,Model!BV186),"")</f>
        <v>0.537132351578448</v>
      </c>
      <c r="K13" s="90">
        <f>IFERROR(MIN(Model!C186,Model!D186,Model!E186,Model!F186,Model!G186,Model!H186,Model!I186,Model!N186,Model!S186,Model!X186,Model!AC186,Model!AH186,Model!AM186,Model!AR186,Model!AW186,Model!BB186,Model!BG186,Model!BL186,Model!BQ186,Model!BV186),"")</f>
        <v>0.225273701066182</v>
      </c>
      <c r="L13" s="90">
        <f>IFERROR(MAX(Model!C186,Model!D186,Model!E186,Model!F186,Model!G186,Model!H186,Model!I186,Model!N186,Model!S186,Model!X186,Model!AC186,Model!AH186,Model!AM186,Model!AR186,Model!AW186,Model!BB186,Model!BG186,Model!BL186,Model!BQ186,Model!BV186),"")</f>
        <v>0.626513372571742</v>
      </c>
      <c r="N13" s="83" t="inlineStr">
        <is>
          <t xml:space="preserve">   Adjusted EBITDA margin %</t>
        </is>
      </c>
      <c r="O13" s="88" t="n">
        <v>0.626513372571742</v>
      </c>
      <c r="P13" s="89" t="n">
        <v>0.636054929492314</v>
      </c>
      <c r="Q13" s="89" t="n">
        <v>0.647733359399267</v>
      </c>
      <c r="R13" s="89" t="n">
        <v>0.651779472871679</v>
      </c>
      <c r="S13" s="89" t="n">
        <v>0.655804152068721</v>
      </c>
      <c r="T13" s="89" t="n">
        <v>0.659811269674956</v>
      </c>
      <c r="V13" s="90" t="n">
        <v>0.537132351578448</v>
      </c>
      <c r="W13" s="90" t="n">
        <v>0.225273701066182</v>
      </c>
      <c r="X13" s="90" t="n">
        <v>0.626513372571742</v>
      </c>
      <c r="Z13" s="83" t="inlineStr">
        <is>
          <t xml:space="preserve">   Adjusted EBITDA margin %</t>
        </is>
      </c>
      <c r="AA13" s="88" t="n">
        <v>0.626513372571742</v>
      </c>
      <c r="AB13" s="89" t="n">
        <v>0.629220515126236</v>
      </c>
      <c r="AC13" s="89" t="n">
        <v>0.623065602615277</v>
      </c>
      <c r="AD13" s="89" t="n">
        <v>0.627704065446542</v>
      </c>
      <c r="AE13" s="89" t="n">
        <v>0.632290969876301</v>
      </c>
      <c r="AF13" s="89" t="n">
        <v>0.636820487967935</v>
      </c>
      <c r="AH13" s="90" t="n">
        <v>0.537132351578448</v>
      </c>
      <c r="AI13" s="90" t="n">
        <v>0.225273701066182</v>
      </c>
      <c r="AJ13" s="90" t="n">
        <v>0.626513372571742</v>
      </c>
    </row>
    <row r="15" ht="15" customHeight="1" s="251">
      <c r="B15" s="79" t="inlineStr">
        <is>
          <t>Operating income (GAAP)</t>
        </is>
      </c>
      <c r="C15" s="80">
        <f>Model!BV130</f>
        <v>18897</v>
      </c>
      <c r="D15" s="81">
        <f>Model!CA130</f>
        <v>21803.935</v>
      </c>
      <c r="E15" s="81">
        <f>Model!CB130</f>
        <v>24742.1704841164</v>
      </c>
      <c r="F15" s="81">
        <f>Model!CC130</f>
        <v>27902.0763007189</v>
      </c>
      <c r="G15" s="81">
        <f>Model!CD130</f>
        <v>31252.6557848408</v>
      </c>
      <c r="H15" s="81">
        <f>Model!CE130</f>
        <v>34772.2285731106</v>
      </c>
      <c r="I15" s="298">
        <f>IFERROR((H15/C15)^(1/5)-1,"n/m")</f>
        <v>0.129712495819857</v>
      </c>
      <c r="N15" s="79" t="inlineStr">
        <is>
          <t>Operating income (GAAP)</t>
        </is>
      </c>
      <c r="O15" s="80" t="n">
        <v>18897</v>
      </c>
      <c r="P15" s="81" t="n">
        <v>22034.84</v>
      </c>
      <c r="Q15" s="81" t="n">
        <v>25915.1579128823</v>
      </c>
      <c r="R15" s="81" t="n">
        <v>29967.7586546856</v>
      </c>
      <c r="S15" s="81" t="n">
        <v>34420.5687391885</v>
      </c>
      <c r="T15" s="81" t="n">
        <v>39274.1184237998</v>
      </c>
      <c r="U15" s="298" t="n">
        <v>0.157557881875253</v>
      </c>
      <c r="Z15" s="79" t="inlineStr">
        <is>
          <t>Operating income (GAAP)</t>
        </is>
      </c>
      <c r="AA15" s="80" t="n">
        <v>18897</v>
      </c>
      <c r="AB15" s="81" t="n">
        <v>21573.03</v>
      </c>
      <c r="AC15" s="81" t="n">
        <v>23022.3190480247</v>
      </c>
      <c r="AD15" s="81" t="n">
        <v>24895.8628911864</v>
      </c>
      <c r="AE15" s="81" t="n">
        <v>26735.3853526596</v>
      </c>
      <c r="AF15" s="81" t="n">
        <v>28513.5761921826</v>
      </c>
      <c r="AG15" s="298" t="n">
        <v>0.08575481856938789</v>
      </c>
    </row>
    <row r="16" ht="15" customHeight="1" s="251">
      <c r="B16" s="83" t="inlineStr">
        <is>
          <t xml:space="preserve">   Operating income y/y %</t>
        </is>
      </c>
      <c r="C16" s="299" t="n"/>
      <c r="D16" s="300">
        <f>IFERROR(D15/C15-1,"")</f>
        <v>0.153830502196116</v>
      </c>
      <c r="E16" s="300">
        <f>IFERROR(E15/D15-1,"")</f>
        <v>0.134757119947219</v>
      </c>
      <c r="F16" s="300">
        <f>IFERROR(F15/E15-1,"")</f>
        <v>0.127713363653001</v>
      </c>
      <c r="G16" s="300">
        <f>IFERROR(G15/F15-1,"")</f>
        <v>0.12008351808699</v>
      </c>
      <c r="H16" s="300">
        <f>IFERROR(H15/G15-1,"")</f>
        <v>0.112616758476473</v>
      </c>
      <c r="N16" s="83" t="inlineStr">
        <is>
          <t xml:space="preserve">   Operating income y/y %</t>
        </is>
      </c>
      <c r="O16" s="299" t="n"/>
      <c r="P16" s="300" t="n">
        <v>0.166049637508599</v>
      </c>
      <c r="Q16" s="300" t="n">
        <v>0.176099209836889</v>
      </c>
      <c r="R16" s="300" t="n">
        <v>0.156379550355308</v>
      </c>
      <c r="S16" s="300" t="n">
        <v>0.148586690643501</v>
      </c>
      <c r="T16" s="300" t="n">
        <v>0.141007248351637</v>
      </c>
      <c r="Z16" s="83" t="inlineStr">
        <is>
          <t xml:space="preserve">   Operating income y/y %</t>
        </is>
      </c>
      <c r="AA16" s="299" t="n"/>
      <c r="AB16" s="300" t="n">
        <v>0.141611366883631</v>
      </c>
      <c r="AC16" s="300" t="n">
        <v>0.06718059762697701</v>
      </c>
      <c r="AD16" s="300" t="n">
        <v>0.08137945787535331</v>
      </c>
      <c r="AE16" s="300" t="n">
        <v>0.0738886806018062</v>
      </c>
      <c r="AF16" s="300" t="n">
        <v>0.06651076152699199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0.576286176084901</v>
      </c>
      <c r="D17" s="89">
        <f>IFERROR(D15/D9,"")</f>
        <v>0.585847196441164</v>
      </c>
      <c r="E17" s="89">
        <f>IFERROR(E15/E9,"")</f>
        <v>0.591563960583878</v>
      </c>
      <c r="F17" s="89">
        <f>IFERROR(F15/F9,"")</f>
        <v>0.596398979325222</v>
      </c>
      <c r="G17" s="89">
        <f>IFERROR(G15/G9,"")</f>
        <v>0.601144402768545</v>
      </c>
      <c r="H17" s="89">
        <f>IFERROR(H15/H9,"")</f>
        <v>0.60579872577038</v>
      </c>
      <c r="J17" s="90">
        <f>IFERROR(AVERAGE(Model!C225,Model!D225,Model!E225,Model!F225,Model!G225,Model!H225,Model!I225,Model!N225,Model!S225,Model!X225,Model!AC225,Model!AH225,Model!AM225,Model!AR225,Model!AW225,Model!BB225,Model!BG225,Model!BL225,Model!BQ225,Model!BV225),"")</f>
        <v>0.45701045887839</v>
      </c>
      <c r="K17" s="90">
        <f>IFERROR(MIN(Model!C225,Model!D225,Model!E225,Model!F225,Model!G225,Model!H225,Model!I225,Model!N225,Model!S225,Model!X225,Model!AC225,Model!AH225,Model!AM225,Model!AR225,Model!AW225,Model!BB225,Model!BG225,Model!BL225,Model!BQ225,Model!BV225),"")</f>
        <v>-0.10708089590512</v>
      </c>
      <c r="L17" s="90">
        <f>IFERROR(MAX(Model!C225,Model!D225,Model!E225,Model!F225,Model!G225,Model!H225,Model!I225,Model!N225,Model!S225,Model!X225,Model!AC225,Model!AH225,Model!AM225,Model!AR225,Model!AW225,Model!BB225,Model!BG225,Model!BL225,Model!BQ225,Model!BV225),"")</f>
        <v>0.576286176084901</v>
      </c>
      <c r="N17" s="83" t="inlineStr">
        <is>
          <t xml:space="preserve">   Operating margin (GAAP) %</t>
        </is>
      </c>
      <c r="O17" s="88" t="n">
        <v>0.576286176084901</v>
      </c>
      <c r="P17" s="89" t="n">
        <v>0.589454637478084</v>
      </c>
      <c r="Q17" s="89" t="n">
        <v>0.601546971755658</v>
      </c>
      <c r="R17" s="89" t="n">
        <v>0.606025103927481</v>
      </c>
      <c r="S17" s="89" t="n">
        <v>0.610497193037612</v>
      </c>
      <c r="T17" s="89" t="n">
        <v>0.614948629622867</v>
      </c>
      <c r="V17" s="90" t="n">
        <v>0.45701045887839</v>
      </c>
      <c r="W17" s="90" t="n">
        <v>-0.10708089590512</v>
      </c>
      <c r="X17" s="90" t="n">
        <v>0.576286176084901</v>
      </c>
      <c r="Z17" s="83" t="inlineStr">
        <is>
          <t xml:space="preserve">   Operating margin (GAAP) %</t>
        </is>
      </c>
      <c r="AA17" s="88" t="n">
        <v>0.576286176084901</v>
      </c>
      <c r="AB17" s="89" t="n">
        <v>0.582207831147279</v>
      </c>
      <c r="AC17" s="89" t="n">
        <v>0.576391034063519</v>
      </c>
      <c r="AD17" s="89" t="n">
        <v>0.581442694316316</v>
      </c>
      <c r="AE17" s="89" t="n">
        <v>0.586365345743991</v>
      </c>
      <c r="AF17" s="89" t="n">
        <v>0.591158442434668</v>
      </c>
      <c r="AH17" s="90" t="n">
        <v>0.45701045887839</v>
      </c>
      <c r="AI17" s="90" t="n">
        <v>-0.10708089590512</v>
      </c>
      <c r="AJ17" s="90" t="n">
        <v>0.576286176084901</v>
      </c>
    </row>
    <row r="19" ht="15" customHeight="1" s="251">
      <c r="B19" s="79" t="inlineStr">
        <is>
          <t>Adjusted Net Income</t>
        </is>
      </c>
      <c r="C19" s="80">
        <f>Model!BV198</f>
        <v>15415</v>
      </c>
      <c r="D19" s="81">
        <f>Model!CA198</f>
        <v>17507.648325</v>
      </c>
      <c r="E19" s="81">
        <f>Model!CB198</f>
        <v>19686.9718194404</v>
      </c>
      <c r="F19" s="81">
        <f>Model!CC198</f>
        <v>22159.5584738228</v>
      </c>
      <c r="G19" s="81">
        <f>Model!CD198</f>
        <v>24756.2544192665</v>
      </c>
      <c r="H19" s="81">
        <f>Model!CE198</f>
        <v>27480.9420540855</v>
      </c>
      <c r="I19" s="298">
        <f>IFERROR((H19/C19)^(1/5)-1,"n/m")</f>
        <v>0.122580819250254</v>
      </c>
      <c r="N19" s="79" t="inlineStr">
        <is>
          <t>Adjusted Net Income</t>
        </is>
      </c>
      <c r="O19" s="80" t="n">
        <v>15415</v>
      </c>
      <c r="P19" s="81" t="n">
        <v>17691.2178</v>
      </c>
      <c r="Q19" s="81" t="n">
        <v>20605.2656234818</v>
      </c>
      <c r="R19" s="81" t="n">
        <v>23616.242380977</v>
      </c>
      <c r="S19" s="81" t="n">
        <v>27039.9322402113</v>
      </c>
      <c r="T19" s="81" t="n">
        <v>30771.2935239249</v>
      </c>
      <c r="U19" s="298" t="n">
        <v>0.148260551196016</v>
      </c>
      <c r="Z19" s="79" t="inlineStr">
        <is>
          <t>Adjusted Net Income</t>
        </is>
      </c>
      <c r="AA19" s="80" t="n">
        <v>15415</v>
      </c>
      <c r="AB19" s="81" t="n">
        <v>17324.07885</v>
      </c>
      <c r="AC19" s="81" t="n">
        <v>18338.3666199279</v>
      </c>
      <c r="AD19" s="81" t="n">
        <v>19900.3727607191</v>
      </c>
      <c r="AE19" s="81" t="n">
        <v>21319.9526122691</v>
      </c>
      <c r="AF19" s="81" t="n">
        <v>22689.4888087285</v>
      </c>
      <c r="AG19" s="298" t="n">
        <v>0.08037925503990979</v>
      </c>
    </row>
    <row r="21" ht="15" customHeight="1" s="251">
      <c r="B21" s="79" t="inlineStr">
        <is>
          <t>FDSO (m)</t>
        </is>
      </c>
      <c r="C21" s="91">
        <f>Model!BV152</f>
        <v>906</v>
      </c>
      <c r="D21" s="92">
        <f>Model!CA152</f>
        <v>880.283823529412</v>
      </c>
      <c r="E21" s="92">
        <f>Model!CB152</f>
        <v>856.335690842922</v>
      </c>
      <c r="F21" s="92">
        <f>Model!CC152</f>
        <v>833.748019034146</v>
      </c>
      <c r="G21" s="92">
        <f>Model!CD152</f>
        <v>809.296109221796</v>
      </c>
      <c r="H21" s="92">
        <f>Model!CE152</f>
        <v>784.004948980546</v>
      </c>
      <c r="I21" s="298">
        <f>IFERROR((H21/C21)^(1/5)-1,"n/m")</f>
        <v>-0.0285104770685641</v>
      </c>
      <c r="N21" s="79" t="inlineStr">
        <is>
          <t>FDSO (m)</t>
        </is>
      </c>
      <c r="O21" s="91" t="n">
        <v>906</v>
      </c>
      <c r="P21" s="92" t="n">
        <v>879.94768907563</v>
      </c>
      <c r="Q21" s="92" t="n">
        <v>850.477190729787</v>
      </c>
      <c r="R21" s="92" t="n">
        <v>821.8070656268731</v>
      </c>
      <c r="S21" s="92" t="n">
        <v>793.673504940899</v>
      </c>
      <c r="T21" s="92" t="n">
        <v>763.591315982086</v>
      </c>
      <c r="U21" s="298" t="n">
        <v>-0.0336230633861022</v>
      </c>
      <c r="Z21" s="79" t="inlineStr">
        <is>
          <t>FDSO (m)</t>
        </is>
      </c>
      <c r="AA21" s="91" t="n">
        <v>906</v>
      </c>
      <c r="AB21" s="92" t="n">
        <v>880.703991596639</v>
      </c>
      <c r="AC21" s="92" t="n">
        <v>862.404280610064</v>
      </c>
      <c r="AD21" s="92" t="n">
        <v>846.105477175442</v>
      </c>
      <c r="AE21" s="92" t="n">
        <v>826.1515591740761</v>
      </c>
      <c r="AF21" s="92" t="n">
        <v>806.737533029715</v>
      </c>
      <c r="AG21" s="298" t="n">
        <v>-0.0229409471354456</v>
      </c>
    </row>
    <row r="23" ht="15" customHeight="1" s="251">
      <c r="B23" s="79" t="inlineStr">
        <is>
          <t>Adjusted EPS — Diluted ($)</t>
        </is>
      </c>
      <c r="C23" s="93">
        <f>Model!BV201</f>
        <v>17.014348785872</v>
      </c>
      <c r="D23" s="94">
        <f>Model!CA201</f>
        <v>19.8886402964953</v>
      </c>
      <c r="E23" s="94">
        <f>Model!CB201</f>
        <v>22.9897831305639</v>
      </c>
      <c r="F23" s="94">
        <f>Model!CC201</f>
        <v>26.5782442271868</v>
      </c>
      <c r="G23" s="94">
        <f>Model!CD201</f>
        <v>30.5898596782723</v>
      </c>
      <c r="H23" s="94">
        <f>Model!CE201</f>
        <v>35.0520007428772</v>
      </c>
      <c r="I23" s="298">
        <f>IFERROR((H23/C23)^(1/5)-1,"n/m")</f>
        <v>0.155525399659387</v>
      </c>
      <c r="N23" s="79" t="inlineStr">
        <is>
          <t>Adjusted EPS — Diluted ($)</t>
        </is>
      </c>
      <c r="O23" s="93" t="n">
        <v>17.014348785872</v>
      </c>
      <c r="P23" s="94" t="n">
        <v>20.1048517083832</v>
      </c>
      <c r="Q23" s="94" t="n">
        <v>24.2278874120077</v>
      </c>
      <c r="R23" s="94" t="n">
        <v>28.7369668244</v>
      </c>
      <c r="S23" s="94" t="n">
        <v>34.0693396867579</v>
      </c>
      <c r="T23" s="94" t="n">
        <v>40.2981187447748</v>
      </c>
      <c r="U23" s="298" t="n">
        <v>0.188211874363871</v>
      </c>
      <c r="Z23" s="79" t="inlineStr">
        <is>
          <t>Adjusted EPS — Diluted ($)</t>
        </is>
      </c>
      <c r="AA23" s="93" t="n">
        <v>17.014348785872</v>
      </c>
      <c r="AB23" s="94" t="n">
        <v>19.670716852995</v>
      </c>
      <c r="AC23" s="94" t="n">
        <v>21.2642342254556</v>
      </c>
      <c r="AD23" s="94" t="n">
        <v>23.5199668333937</v>
      </c>
      <c r="AE23" s="94" t="n">
        <v>25.8063455494572</v>
      </c>
      <c r="AF23" s="94" t="n">
        <v>28.1249946603051</v>
      </c>
      <c r="AG23" s="298" t="n">
        <v>0.105746118284703</v>
      </c>
    </row>
    <row r="24" ht="15" customHeight="1" s="251">
      <c r="B24" s="83" t="inlineStr">
        <is>
          <t xml:space="preserve">   EPS y/y %</t>
        </is>
      </c>
      <c r="C24" s="299" t="n"/>
      <c r="D24" s="300">
        <f>IFERROR(D23/C23-1,"")</f>
        <v>0.168933383627943</v>
      </c>
      <c r="E24" s="300">
        <f>IFERROR(E23/D23-1,"")</f>
        <v>0.155925331638438</v>
      </c>
      <c r="F24" s="300">
        <f>IFERROR(F23/E23-1,"")</f>
        <v>0.15608938441234</v>
      </c>
      <c r="G24" s="300">
        <f>IFERROR(G23/F23-1,"")</f>
        <v>0.150936059462574</v>
      </c>
      <c r="H24" s="300">
        <f>IFERROR(H23/G23-1,"")</f>
        <v>0.145869942246721</v>
      </c>
      <c r="N24" s="83" t="inlineStr">
        <is>
          <t xml:space="preserve">   EPS y/y %</t>
        </is>
      </c>
      <c r="O24" s="299" t="n"/>
      <c r="P24" s="300" t="n">
        <v>0.181640976178732</v>
      </c>
      <c r="Q24" s="300" t="n">
        <v>0.205076653308778</v>
      </c>
      <c r="R24" s="300" t="n">
        <v>0.186111126228761</v>
      </c>
      <c r="S24" s="300" t="n">
        <v>0.185557957279969</v>
      </c>
      <c r="T24" s="300" t="n">
        <v>0.182826527173282</v>
      </c>
      <c r="Z24" s="83" t="inlineStr">
        <is>
          <t xml:space="preserve">   EPS y/y %</t>
        </is>
      </c>
      <c r="AA24" s="299" t="n"/>
      <c r="AB24" s="300" t="n">
        <v>0.156125168265552</v>
      </c>
      <c r="AC24" s="300" t="n">
        <v>0.08100962381642619</v>
      </c>
      <c r="AD24" s="300" t="n">
        <v>0.106081064759799</v>
      </c>
      <c r="AE24" s="300" t="n">
        <v>0.097210116504814</v>
      </c>
      <c r="AF24" s="300" t="n">
        <v>0.0898480223170022</v>
      </c>
    </row>
    <row r="26" ht="15" customHeight="1" s="251">
      <c r="B26" s="83" t="inlineStr">
        <is>
          <t>P / E (x) — assumed (adjusted EPS)</t>
        </is>
      </c>
      <c r="C26" s="301" t="n"/>
      <c r="D26" s="301" t="n"/>
      <c r="E26" s="301" t="n"/>
      <c r="F26" s="301" t="n"/>
      <c r="G26" s="301" t="n">
        <v>33</v>
      </c>
      <c r="H26" s="301" t="n">
        <v>33</v>
      </c>
      <c r="N26" s="83" t="inlineStr">
        <is>
          <t>P / E (x) — assumed (adjusted EPS)</t>
        </is>
      </c>
      <c r="O26" s="301" t="n"/>
      <c r="P26" s="301" t="n"/>
      <c r="Q26" s="301" t="n"/>
      <c r="R26" s="301" t="n"/>
      <c r="S26" s="301" t="n">
        <v>37</v>
      </c>
      <c r="T26" s="301" t="n">
        <v>37</v>
      </c>
      <c r="Z26" s="83" t="inlineStr">
        <is>
          <t>P / E (x) — assumed (adjusted EPS)</t>
        </is>
      </c>
      <c r="AA26" s="301" t="n"/>
      <c r="AB26" s="301" t="n"/>
      <c r="AC26" s="301" t="n"/>
      <c r="AD26" s="301" t="n">
        <v>26</v>
      </c>
      <c r="AE26" s="301" t="n">
        <v>26</v>
      </c>
      <c r="AF26" s="301" t="n">
        <v>26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1009.46536938299</v>
      </c>
      <c r="H27" s="96">
        <f>H26*H23</f>
        <v>1156.71602451495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1260.56556841004</v>
      </c>
      <c r="T27" s="96">
        <f>T26*T23</f>
        <v>1491.03039355667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611.519137668236</v>
      </c>
      <c r="AE27" s="96">
        <f>AE26*AE23</f>
        <v>670.964984285887</v>
      </c>
      <c r="AF27" s="96">
        <f>AF26*AF23</f>
        <v>731.249861167933</v>
      </c>
    </row>
    <row r="28" ht="15" customHeight="1" s="251">
      <c r="B28" t="inlineStr">
        <is>
          <t xml:space="preserve">   Upside / (Downside) vs current</t>
        </is>
      </c>
      <c r="E28" s="302" t="n"/>
      <c r="F28" s="302" t="n"/>
      <c r="G28" s="302">
        <f>IFERROR(G27/$K$2-1,"")</f>
        <v>0.696580452744515</v>
      </c>
      <c r="H28" s="302">
        <f>IFERROR(H27/$K$2-1,"")</f>
        <v>0.944060545403274</v>
      </c>
      <c r="N28" t="inlineStr">
        <is>
          <t xml:space="preserve">   Upside / (Downside) vs current</t>
        </is>
      </c>
      <c r="O28" s="302" t="n"/>
      <c r="P28" s="302" t="n"/>
      <c r="Q28" s="302" t="n"/>
      <c r="R28" s="302" t="n"/>
      <c r="S28" s="302">
        <f>IFERROR(S27/$K$2-1,"")</f>
        <v>1.11859759396646</v>
      </c>
      <c r="T28" s="302">
        <f>IFERROR(T27/$K$2-1,"")</f>
        <v>1.50593343454902</v>
      </c>
      <c r="Z28" t="inlineStr">
        <is>
          <t xml:space="preserve">   Upside / (Downside) vs current</t>
        </is>
      </c>
      <c r="AA28" s="302" t="n"/>
      <c r="AB28" s="302" t="n"/>
      <c r="AC28" s="302" t="n"/>
      <c r="AD28" s="302">
        <f>IFERROR(AD27/$K$2-1,"")</f>
        <v>0.027763256585271</v>
      </c>
      <c r="AE28" s="302">
        <f>IFERROR(AE27/$K$2-1,"")</f>
        <v>0.127672242497289</v>
      </c>
      <c r="AF28" s="302">
        <f>IFERROR(AF27/$K$2-1,"")</f>
        <v>0.22899136330745</v>
      </c>
    </row>
    <row r="29" ht="15" customHeight="1" s="251">
      <c r="B29" s="75" t="inlineStr">
        <is>
          <t>IRR (to Dec-Y-1)</t>
        </is>
      </c>
      <c r="C29" s="303" t="n"/>
      <c r="D29" s="303" t="n"/>
      <c r="E29" s="303" t="n"/>
      <c r="F29" s="303" t="n"/>
      <c r="G29" s="303">
        <f>IFERROR((G27/$K$2)^(1/((DATE(2029-1,12,31)-$K$3)/365.25))-1,"")</f>
        <v>0.26917373348871</v>
      </c>
      <c r="H29" s="303">
        <f>IFERROR((H27/$K$2)^(1/((DATE(2030-1,12,31)-$K$3)/365.25))-1,"")</f>
        <v>0.229548726241921</v>
      </c>
      <c r="N29" s="75" t="inlineStr">
        <is>
          <t>IRR (to Dec-Y-1)</t>
        </is>
      </c>
      <c r="O29" s="303" t="n"/>
      <c r="P29" s="303" t="n"/>
      <c r="Q29" s="303" t="n"/>
      <c r="R29" s="303" t="n"/>
      <c r="S29" s="303">
        <f>IFERROR((S27/$K$2)^(1/((DATE(2029-1,12,31)-$K$3)/365.25))-1,"")</f>
        <v>0.402890293452234</v>
      </c>
      <c r="T29" s="303">
        <f>IFERROR((T27/$K$2)^(1/((DATE(2030-1,12,31)-$K$3)/365.25))-1,"")</f>
        <v>0.33051600469053</v>
      </c>
      <c r="Z29" s="75" t="inlineStr">
        <is>
          <t>IRR (to Dec-Y-1)</t>
        </is>
      </c>
      <c r="AA29" s="303" t="n"/>
      <c r="AB29" s="303" t="n"/>
      <c r="AC29" s="303" t="n"/>
      <c r="AD29" s="303">
        <f>IFERROR((AD27/$K$2)^(1/((DATE(2028-1,12,31)-$K$3)/365.25))-1,"")</f>
        <v>0.0227834016544024</v>
      </c>
      <c r="AE29" s="303">
        <f>IFERROR((AE27/$K$2)^(1/((DATE(2029-1,12,31)-$K$3)/365.25))-1,"")</f>
        <v>0.0556759268123297</v>
      </c>
      <c r="AF29" s="303">
        <f>IFERROR((AF27/$K$2)^(1/((DATE(2030-1,12,31)-$K$3)/365.25))-1,"")</f>
        <v>0.066194282684247</v>
      </c>
    </row>
    <row r="31" ht="15" customHeight="1" s="251">
      <c r="B31" s="79" t="inlineStr">
        <is>
          <t>Free Cash Flow</t>
        </is>
      </c>
      <c r="C31" s="80">
        <f>Model!BV256</f>
        <v>16433</v>
      </c>
      <c r="D31" s="81">
        <f>Model!CA256</f>
        <v>16244.4234636493</v>
      </c>
      <c r="E31" s="81">
        <f>Model!CB256</f>
        <v>19293.6514592002</v>
      </c>
      <c r="F31" s="81">
        <f>Model!CC256</f>
        <v>21813.1446071543</v>
      </c>
      <c r="G31" s="81">
        <f>Model!CD256</f>
        <v>24479.7829278129</v>
      </c>
      <c r="H31" s="81">
        <f>Model!CE256</f>
        <v>27277.6708970299</v>
      </c>
      <c r="I31" s="298">
        <f>IFERROR((H31/C31)^(1/5)-1,"n/m")</f>
        <v>0.106669869841594</v>
      </c>
      <c r="N31" s="79" t="inlineStr">
        <is>
          <t>Free Cash Flow</t>
        </is>
      </c>
      <c r="O31" s="80" t="n">
        <v>16433</v>
      </c>
      <c r="P31" s="81" t="n">
        <v>16403.9364728274</v>
      </c>
      <c r="Q31" s="81" t="n">
        <v>20089.0476963116</v>
      </c>
      <c r="R31" s="81" t="n">
        <v>23138.2936642585</v>
      </c>
      <c r="S31" s="81" t="n">
        <v>26627.3688269755</v>
      </c>
      <c r="T31" s="81" t="n">
        <v>30427.3257616961</v>
      </c>
      <c r="U31" s="298" t="n">
        <v>0.131121834384198</v>
      </c>
      <c r="Z31" s="79" t="inlineStr">
        <is>
          <t>Free Cash Flow</t>
        </is>
      </c>
      <c r="AA31" s="80" t="n">
        <v>16433</v>
      </c>
      <c r="AB31" s="81" t="n">
        <v>16084.9104544712</v>
      </c>
      <c r="AC31" s="81" t="n">
        <v>18143.8377761548</v>
      </c>
      <c r="AD31" s="81" t="n">
        <v>19759.5675818229</v>
      </c>
      <c r="AE31" s="81" t="n">
        <v>21248.2871474552</v>
      </c>
      <c r="AF31" s="81" t="n">
        <v>22686.5294556385</v>
      </c>
      <c r="AG31" s="298" t="n">
        <v>0.0666212742262879</v>
      </c>
    </row>
    <row r="32" ht="15" customHeight="1" s="251">
      <c r="B32" s="83" t="inlineStr">
        <is>
          <t xml:space="preserve">   FCF %</t>
        </is>
      </c>
      <c r="C32" s="88">
        <f>IFERROR(C31/C9,"")</f>
        <v>0.501143606477387</v>
      </c>
      <c r="D32" s="89">
        <f>IFERROR(D31/D9,"")</f>
        <v>0.436469377843127</v>
      </c>
      <c r="E32" s="89">
        <f>IFERROR(E31/E9,"")</f>
        <v>0.461294569070098</v>
      </c>
      <c r="F32" s="89">
        <f>IFERROR(F31/F9,"")</f>
        <v>0.466249788702825</v>
      </c>
      <c r="G32" s="89">
        <f>IFERROR(G31/G9,"")</f>
        <v>0.470868286821938</v>
      </c>
      <c r="H32" s="89">
        <f>IFERROR(H31/H9,"")</f>
        <v>0.475229197250334</v>
      </c>
      <c r="J32" s="90">
        <f>IFERROR(AVERAGE(Model!C258,Model!D258,Model!E258,Model!F258,Model!G258,Model!H258,Model!I258,Model!N258,Model!S258,Model!X258,Model!AC258,Model!AH258,Model!AM258,Model!AR258,Model!AW258,Model!BB258,Model!BG258,Model!BL258,Model!BQ258,Model!BV258),"")</f>
        <v>0.358456202887679</v>
      </c>
      <c r="K32" s="90">
        <f>IFERROR(MIN(Model!C258,Model!D258,Model!E258,Model!F258,Model!G258,Model!H258,Model!I258,Model!N258,Model!S258,Model!X258,Model!AC258,Model!AH258,Model!AM258,Model!AR258,Model!AW258,Model!BB258,Model!BG258,Model!BL258,Model!BQ258,Model!BV258),"")</f>
        <v>0.0486727702540268</v>
      </c>
      <c r="L32" s="90">
        <f>IFERROR(MAX(Model!C258,Model!D258,Model!E258,Model!F258,Model!G258,Model!H258,Model!I258,Model!N258,Model!S258,Model!X258,Model!AC258,Model!AH258,Model!AM258,Model!AR258,Model!AW258,Model!BB258,Model!BG258,Model!BL258,Model!BQ258,Model!BV258),"")</f>
        <v>0.501143606477387</v>
      </c>
      <c r="N32" s="83" t="inlineStr">
        <is>
          <t xml:space="preserve">   FCF %</t>
        </is>
      </c>
      <c r="O32" s="88" t="n">
        <v>0.501143606477387</v>
      </c>
      <c r="P32" s="89" t="n">
        <v>0.438822175554893</v>
      </c>
      <c r="Q32" s="89" t="n">
        <v>0.466310328796572</v>
      </c>
      <c r="R32" s="89" t="n">
        <v>0.467915768548621</v>
      </c>
      <c r="S32" s="89" t="n">
        <v>0.472273832835832</v>
      </c>
      <c r="T32" s="89" t="n">
        <v>0.476426792788421</v>
      </c>
      <c r="V32" s="90" t="n">
        <v>0.358456202887679</v>
      </c>
      <c r="W32" s="90" t="n">
        <v>0.0486727702540268</v>
      </c>
      <c r="X32" s="90" t="n">
        <v>0.501143606477387</v>
      </c>
      <c r="Z32" s="83" t="inlineStr">
        <is>
          <t xml:space="preserve">   FCF %</t>
        </is>
      </c>
      <c r="AA32" s="88" t="n">
        <v>0.501143606477387</v>
      </c>
      <c r="AB32" s="89" t="n">
        <v>0.434095758912673</v>
      </c>
      <c r="AC32" s="89" t="n">
        <v>0.454252475428876</v>
      </c>
      <c r="AD32" s="89" t="n">
        <v>0.461484555225753</v>
      </c>
      <c r="AE32" s="89" t="n">
        <v>0.466021307541982</v>
      </c>
      <c r="AF32" s="89" t="n">
        <v>0.470349048006135</v>
      </c>
      <c r="AH32" s="90" t="n">
        <v>0.358456202887679</v>
      </c>
      <c r="AI32" s="90" t="n">
        <v>0.0486727702540268</v>
      </c>
      <c r="AJ32" s="90" t="n">
        <v>0.501143606477387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18.1379690949227</v>
      </c>
      <c r="D33" s="100">
        <f>IFERROR(D31/D21,"")</f>
        <v>18.4536203318139</v>
      </c>
      <c r="E33" s="100">
        <f>IFERROR(E31/E21,"")</f>
        <v>22.530476850975</v>
      </c>
      <c r="F33" s="100">
        <f>IFERROR(F31/F21,"")</f>
        <v>26.1627543444405</v>
      </c>
      <c r="G33" s="100">
        <f>IFERROR(G31/G21,"")</f>
        <v>30.2482399814726</v>
      </c>
      <c r="H33" s="100">
        <f>IFERROR(H31/H21,"")</f>
        <v>34.7927279445104</v>
      </c>
      <c r="N33" s="83" t="inlineStr">
        <is>
          <t xml:space="preserve">   FCF / share ($)</t>
        </is>
      </c>
      <c r="O33" s="99" t="n">
        <v>18.1379690949227</v>
      </c>
      <c r="P33" s="100" t="n">
        <v>18.6419450570515</v>
      </c>
      <c r="Q33" s="100" t="n">
        <v>23.6209129595508</v>
      </c>
      <c r="R33" s="100" t="n">
        <v>28.1553841917976</v>
      </c>
      <c r="S33" s="100" t="n">
        <v>33.5495246612249</v>
      </c>
      <c r="T33" s="100" t="n">
        <v>39.8476581973203</v>
      </c>
      <c r="Z33" s="83" t="inlineStr">
        <is>
          <t xml:space="preserve">   FCF / share ($)</t>
        </is>
      </c>
      <c r="AA33" s="99" t="n">
        <v>18.1379690949227</v>
      </c>
      <c r="AB33" s="100" t="n">
        <v>18.26369655179</v>
      </c>
      <c r="AC33" s="100" t="n">
        <v>21.0386685039641</v>
      </c>
      <c r="AD33" s="100" t="n">
        <v>23.3535512000069</v>
      </c>
      <c r="AE33" s="100" t="n">
        <v>25.719599402194</v>
      </c>
      <c r="AF33" s="100" t="n">
        <v>28.1213263630352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0.0299646138430297</v>
      </c>
      <c r="H34" s="101">
        <f>IFERROR(H33/H$27,"")</f>
        <v>0.0300788847107916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0.0266146605158676</v>
      </c>
      <c r="T34" s="101">
        <f>IFERROR(T33/T$27,"")</f>
        <v>0.0267249134353785</v>
      </c>
      <c r="Z34" s="83" t="inlineStr">
        <is>
          <t xml:space="preserve">   FCF Yield (on PT)</t>
        </is>
      </c>
      <c r="AC34" s="101" t="n"/>
      <c r="AD34" s="101">
        <f>IFERROR(AD33/AD$27,"")</f>
        <v>0.0381894036694511</v>
      </c>
      <c r="AE34" s="101">
        <f>IFERROR(AE33/AE$27,"")</f>
        <v>0.0383322528068548</v>
      </c>
      <c r="AF34" s="101">
        <f>IFERROR(AF33/AF$27,"")</f>
        <v>0.0384565219856871</v>
      </c>
    </row>
    <row r="35" ht="15" customHeight="1" s="251">
      <c r="B35" s="79" t="inlineStr">
        <is>
          <t>Adjusted EBITDA (leverage basis)</t>
        </is>
      </c>
      <c r="C35" s="80">
        <f>Model!BV185</f>
        <v>20544</v>
      </c>
      <c r="D35" s="81">
        <f>Model!CA185</f>
        <v>23545.935</v>
      </c>
      <c r="E35" s="81">
        <f>Model!CB185</f>
        <v>26679.8459342987</v>
      </c>
      <c r="F35" s="81">
        <f>Model!CC185</f>
        <v>30045.8656497722</v>
      </c>
      <c r="G35" s="81">
        <f>Model!CD185</f>
        <v>33610.8931784535</v>
      </c>
      <c r="H35" s="81">
        <f>Model!CE185</f>
        <v>37351.9188722655</v>
      </c>
      <c r="I35" s="298">
        <f>IFERROR((H35/C35)^(1/5)-1,"n/m")</f>
        <v>0.127004323832197</v>
      </c>
      <c r="N35" s="79" t="inlineStr">
        <is>
          <t>Adjusted EBITDA (leverage basis)</t>
        </is>
      </c>
      <c r="O35" s="80" t="n">
        <v>20544</v>
      </c>
      <c r="P35" s="81" t="n">
        <v>23776.84</v>
      </c>
      <c r="Q35" s="81" t="n">
        <v>27904.9069855381</v>
      </c>
      <c r="R35" s="81" t="n">
        <v>32230.298402678</v>
      </c>
      <c r="S35" s="81" t="n">
        <v>36975.0297841843</v>
      </c>
      <c r="T35" s="81" t="n">
        <v>42139.3018770756</v>
      </c>
      <c r="U35" s="298" t="n">
        <v>0.154517355709861</v>
      </c>
      <c r="Z35" s="79" t="inlineStr">
        <is>
          <t>Adjusted EBITDA (leverage basis)</t>
        </is>
      </c>
      <c r="AA35" s="80" t="n">
        <v>20544</v>
      </c>
      <c r="AB35" s="81" t="n">
        <v>23315.03</v>
      </c>
      <c r="AC35" s="81" t="n">
        <v>24886.6034402574</v>
      </c>
      <c r="AD35" s="81" t="n">
        <v>26876.6544018109</v>
      </c>
      <c r="AE35" s="81" t="n">
        <v>28829.3686817406</v>
      </c>
      <c r="AF35" s="81" t="n">
        <v>30716.0114801597</v>
      </c>
      <c r="AG35" s="298" t="n">
        <v>0.0837671000082843</v>
      </c>
    </row>
    <row r="36" ht="15" customHeight="1" s="251">
      <c r="B36" s="83" t="inlineStr">
        <is>
          <t xml:space="preserve">   Adjusted EBITDA % of net revenue</t>
        </is>
      </c>
      <c r="C36" s="88">
        <f>IFERROR(C35/C9,"")</f>
        <v>0.626513372571742</v>
      </c>
      <c r="D36" s="89">
        <f>IFERROR(D35/D9,"")</f>
        <v>0.632652776085412</v>
      </c>
      <c r="E36" s="89">
        <f>IFERROR(E35/E9,"")</f>
        <v>0.63789210969965</v>
      </c>
      <c r="F36" s="89">
        <f>IFERROR(F35/F9,"")</f>
        <v>0.642221869560483</v>
      </c>
      <c r="G36" s="89">
        <f>IFERROR(G35/G9,"")</f>
        <v>0.646505066493559</v>
      </c>
      <c r="H36" s="89">
        <f>IFERROR(H35/H9,"")</f>
        <v>0.650741864598093</v>
      </c>
      <c r="J36" s="90">
        <f>IFERROR(AVERAGE(Model!C224,Model!D224,Model!E224,Model!F224,Model!G224,Model!H224,Model!I224,Model!N224,Model!S224,Model!X224,Model!AC224,Model!AH224,Model!AM224,Model!AR224,Model!AW224,Model!BB224,Model!BG224,Model!BL224,Model!BQ224,Model!BV224),"")</f>
        <v>0.537132351578448</v>
      </c>
      <c r="K36" s="90">
        <f>IFERROR(MIN(Model!C224,Model!D224,Model!E224,Model!F224,Model!G224,Model!H224,Model!I224,Model!N224,Model!S224,Model!X224,Model!AC224,Model!AH224,Model!AM224,Model!AR224,Model!AW224,Model!BB224,Model!BG224,Model!BL224,Model!BQ224,Model!BV224),"")</f>
        <v>0.225273701066182</v>
      </c>
      <c r="L36" s="90">
        <f>IFERROR(MAX(Model!C224,Model!D224,Model!E224,Model!F224,Model!G224,Model!H224,Model!I224,Model!N224,Model!S224,Model!X224,Model!AC224,Model!AH224,Model!AM224,Model!AR224,Model!AW224,Model!BB224,Model!BG224,Model!BL224,Model!BQ224,Model!BV224),"")</f>
        <v>0.626513372571742</v>
      </c>
      <c r="N36" s="83" t="inlineStr">
        <is>
          <t xml:space="preserve">   Adjusted EBITDA % of net revenue</t>
        </is>
      </c>
      <c r="O36" s="88" t="n">
        <v>0.626513372571742</v>
      </c>
      <c r="P36" s="89" t="n">
        <v>0.636054929492314</v>
      </c>
      <c r="Q36" s="89" t="n">
        <v>0.647733359399267</v>
      </c>
      <c r="R36" s="89" t="n">
        <v>0.651779472871679</v>
      </c>
      <c r="S36" s="89" t="n">
        <v>0.655804152068721</v>
      </c>
      <c r="T36" s="89" t="n">
        <v>0.659811269674956</v>
      </c>
      <c r="V36" s="90" t="n">
        <v>0.537132351578448</v>
      </c>
      <c r="W36" s="90" t="n">
        <v>0.225273701066182</v>
      </c>
      <c r="X36" s="90" t="n">
        <v>0.626513372571742</v>
      </c>
      <c r="Z36" s="83" t="inlineStr">
        <is>
          <t xml:space="preserve">   Adjusted EBITDA % of net revenue</t>
        </is>
      </c>
      <c r="AA36" s="88" t="n">
        <v>0.626513372571742</v>
      </c>
      <c r="AB36" s="89" t="n">
        <v>0.629220515126236</v>
      </c>
      <c r="AC36" s="89" t="n">
        <v>0.623065602615277</v>
      </c>
      <c r="AD36" s="89" t="n">
        <v>0.627704065446542</v>
      </c>
      <c r="AE36" s="89" t="n">
        <v>0.632290969876301</v>
      </c>
      <c r="AF36" s="89" t="n">
        <v>0.636820487967935</v>
      </c>
      <c r="AH36" s="90" t="n">
        <v>0.537132351578448</v>
      </c>
      <c r="AI36" s="90" t="n">
        <v>0.225273701066182</v>
      </c>
      <c r="AJ36" s="90" t="n">
        <v>0.626513372571742</v>
      </c>
    </row>
    <row r="38" ht="15" customHeight="1" s="251">
      <c r="B38" s="79" t="inlineStr">
        <is>
          <t>Net Debt</t>
        </is>
      </c>
      <c r="C38" s="80">
        <f>Model!BV386</f>
        <v>8102</v>
      </c>
      <c r="D38" s="81">
        <f>Model!CA386</f>
        <v>12815.1042422331</v>
      </c>
      <c r="E38" s="81">
        <f>Model!CB386</f>
        <v>13339.9229671494</v>
      </c>
      <c r="F38" s="81">
        <f>Model!CC386</f>
        <v>15022.9328248861</v>
      </c>
      <c r="G38" s="81">
        <f>Model!CD386</f>
        <v>16805.4465892268</v>
      </c>
      <c r="H38" s="81">
        <f>Model!CE386</f>
        <v>18675.9594361328</v>
      </c>
      <c r="N38" s="79" t="inlineStr">
        <is>
          <t>Net Debt</t>
        </is>
      </c>
      <c r="O38" s="80" t="n">
        <v>8102</v>
      </c>
      <c r="P38" s="81" t="n">
        <v>13454.4214851558</v>
      </c>
      <c r="Q38" s="81" t="n">
        <v>19533.4348898766</v>
      </c>
      <c r="R38" s="81" t="n">
        <v>22561.2088818746</v>
      </c>
      <c r="S38" s="81" t="n">
        <v>25882.520848929</v>
      </c>
      <c r="T38" s="81" t="n">
        <v>29497.5113139529</v>
      </c>
      <c r="Z38" s="79" t="inlineStr">
        <is>
          <t>Net Debt</t>
        </is>
      </c>
      <c r="AA38" s="80" t="n">
        <v>8102</v>
      </c>
      <c r="AB38" s="81" t="n">
        <v>11976.0794362851</v>
      </c>
      <c r="AC38" s="81" t="n">
        <v>7465.98103207722</v>
      </c>
      <c r="AD38" s="81" t="n">
        <v>8062.99632054326</v>
      </c>
      <c r="AE38" s="81" t="n">
        <v>8648.81060452217</v>
      </c>
      <c r="AF38" s="81" t="n">
        <v>9214.80344404791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0.394373052959502</v>
      </c>
      <c r="D39" s="103">
        <f>IFERROR(D38/D35,"")</f>
        <v>0.544259730702267</v>
      </c>
      <c r="E39" s="103">
        <f>IFERROR(E38/E35,"")</f>
        <v>0.5</v>
      </c>
      <c r="F39" s="103">
        <f>IFERROR(F38/F35,"")</f>
        <v>0.5</v>
      </c>
      <c r="G39" s="103">
        <f>IFERROR(G38/G35,"")</f>
        <v>0.5</v>
      </c>
      <c r="H39" s="103">
        <f>IFERROR(H38/H35,"")</f>
        <v>0.5</v>
      </c>
      <c r="N39" s="83" t="inlineStr">
        <is>
          <t xml:space="preserve">   Net Debt / Adjusted EBITDA (x)</t>
        </is>
      </c>
      <c r="O39" s="102" t="n">
        <v>0.394373052959502</v>
      </c>
      <c r="P39" s="103" t="n">
        <v>0.565862473110634</v>
      </c>
      <c r="Q39" s="103" t="n">
        <v>0.7</v>
      </c>
      <c r="R39" s="103" t="n">
        <v>0.7</v>
      </c>
      <c r="S39" s="103" t="n">
        <v>0.7</v>
      </c>
      <c r="T39" s="103" t="n">
        <v>0.7</v>
      </c>
      <c r="Z39" s="83" t="inlineStr">
        <is>
          <t xml:space="preserve">   Net Debt / Adjusted EBITDA (x)</t>
        </is>
      </c>
      <c r="AA39" s="102" t="n">
        <v>0.394373052959502</v>
      </c>
      <c r="AB39" s="103" t="n">
        <v>0.513663479578844</v>
      </c>
      <c r="AC39" s="103" t="n">
        <v>0.3</v>
      </c>
      <c r="AD39" s="103" t="n">
        <v>0.3</v>
      </c>
      <c r="AE39" s="103" t="n">
        <v>0.3</v>
      </c>
      <c r="AF39" s="103" t="n">
        <v>0.3</v>
      </c>
    </row>
    <row r="40" ht="15" customHeight="1" s="251">
      <c r="B40" s="252" t="inlineStr">
        <is>
          <t xml:space="preserve">   Share repurchases ($m; 2026E = H2)</t>
        </is>
      </c>
      <c r="C40" s="102" t="n"/>
      <c r="D40" s="248">
        <f>Model!CA269</f>
        <v>7000</v>
      </c>
      <c r="E40" s="248">
        <f>Model!CB269</f>
        <v>15045.8454076459</v>
      </c>
      <c r="F40" s="248">
        <f>Model!CC269</f>
        <v>18363.037828114</v>
      </c>
      <c r="G40" s="248">
        <f>Model!CD269</f>
        <v>20748.9172390853</v>
      </c>
      <c r="H40" s="248">
        <f>Model!CE269</f>
        <v>23226.8831048099</v>
      </c>
      <c r="N40" s="252" t="inlineStr">
        <is>
          <t xml:space="preserve">   Share repurchases ($m; 2026E = H2)</t>
        </is>
      </c>
      <c r="O40" s="102" t="n"/>
      <c r="P40" s="248" t="n">
        <v>7800</v>
      </c>
      <c r="Q40" s="248" t="n">
        <v>20900.9059043937</v>
      </c>
      <c r="R40" s="248" t="n">
        <v>20580.6315695895</v>
      </c>
      <c r="S40" s="248" t="n">
        <v>24005.4751934465</v>
      </c>
      <c r="T40" s="248" t="n">
        <v>27725.1192910825</v>
      </c>
      <c r="Z40" s="83" t="n"/>
      <c r="AA40" s="102" t="n"/>
      <c r="AB40" s="103" t="n">
        <v>6000</v>
      </c>
      <c r="AC40" s="103" t="n">
        <v>9354.277620686349</v>
      </c>
      <c r="AD40" s="103" t="n">
        <v>15675.3993426542</v>
      </c>
      <c r="AE40" s="103" t="n">
        <v>16746.6576822213</v>
      </c>
      <c r="AF40" s="103" t="n">
        <v>17717.0412730922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Model!CA268</f>
        <v>595</v>
      </c>
      <c r="E41" s="249">
        <f>Model!CB268</f>
        <v>648.55</v>
      </c>
      <c r="F41" s="249">
        <f>Model!CC268</f>
        <v>706.9195</v>
      </c>
      <c r="G41" s="249">
        <f>Model!CD268</f>
        <v>770.542255</v>
      </c>
      <c r="H41" s="249">
        <f>Model!CE268</f>
        <v>839.89105795</v>
      </c>
      <c r="N41" s="252" t="inlineStr">
        <is>
          <t xml:space="preserve">   Implied avg buyback price ($)</t>
        </is>
      </c>
      <c r="O41" s="102" t="n"/>
      <c r="P41" s="249" t="n">
        <v>595</v>
      </c>
      <c r="Q41" s="249" t="n">
        <v>648.55</v>
      </c>
      <c r="R41" s="249" t="n">
        <v>706.9195</v>
      </c>
      <c r="S41" s="249" t="n">
        <v>770.542255</v>
      </c>
      <c r="T41" s="249" t="n">
        <v>839.89105795</v>
      </c>
      <c r="Z41" s="83" t="n"/>
      <c r="AA41" s="102" t="n"/>
      <c r="AB41" s="103" t="n">
        <v>595</v>
      </c>
      <c r="AC41" s="103" t="n">
        <v>648.55</v>
      </c>
      <c r="AD41" s="103" t="n">
        <v>706.9195</v>
      </c>
      <c r="AE41" s="103" t="n">
        <v>770.542255</v>
      </c>
      <c r="AF41" s="103" t="n">
        <v>839.89105795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Model!CA270</f>
        <v>11.7647058823529</v>
      </c>
      <c r="E42" s="250">
        <f>Model!CB270</f>
        <v>23.1992065494501</v>
      </c>
      <c r="F42" s="250">
        <f>Model!CC270</f>
        <v>25.9761370681018</v>
      </c>
      <c r="G42" s="250">
        <f>Model!CD270</f>
        <v>26.9276825565981</v>
      </c>
      <c r="H42" s="250">
        <f>Model!CE270</f>
        <v>27.6546379259019</v>
      </c>
      <c r="N42" s="252" t="inlineStr">
        <is>
          <t xml:space="preserve">   Shares repurchased (m)</t>
        </is>
      </c>
      <c r="O42" s="102" t="n"/>
      <c r="P42" s="250" t="n">
        <v>13.109243697479</v>
      </c>
      <c r="Q42" s="250" t="n">
        <v>32.2271311454687</v>
      </c>
      <c r="R42" s="250" t="n">
        <v>29.113119060359</v>
      </c>
      <c r="S42" s="250" t="n">
        <v>31.1540023115883</v>
      </c>
      <c r="T42" s="250" t="n">
        <v>33.0103756060384</v>
      </c>
      <c r="Z42" s="83" t="n"/>
      <c r="AA42" s="102" t="n"/>
      <c r="AB42" s="103" t="n">
        <v>10.0840336134454</v>
      </c>
      <c r="AC42" s="103" t="n">
        <v>14.4233715529818</v>
      </c>
      <c r="AD42" s="103" t="n">
        <v>22.1742353162619</v>
      </c>
      <c r="AE42" s="103" t="n">
        <v>21.7336006864689</v>
      </c>
      <c r="AF42" s="103" t="n">
        <v>21.094451602254</v>
      </c>
    </row>
    <row r="44" ht="15" customHeight="1" s="251">
      <c r="B44" s="79" t="inlineStr">
        <is>
          <t>ROIC</t>
        </is>
      </c>
      <c r="C44" s="86">
        <f>Model!BV369</f>
        <v>0.98439878572574</v>
      </c>
      <c r="D44" s="87">
        <f>Model!CA369</f>
        <v>0.939671320641294</v>
      </c>
      <c r="E44" s="87">
        <f>Model!CB369</f>
        <v>0.965587911742293</v>
      </c>
      <c r="F44" s="87">
        <f>Model!CC369</f>
        <v>0.998563962203977</v>
      </c>
      <c r="G44" s="87">
        <f>Model!CD369</f>
        <v>1.03180026436064</v>
      </c>
      <c r="H44" s="87">
        <f>Model!CE369</f>
        <v>1.06447834347945</v>
      </c>
      <c r="J44" s="90">
        <f>IFERROR(AVERAGE(Model!C369,Model!D369,Model!E369,Model!F369,Model!G369,Model!H369,Model!I369,Model!N369,Model!S369,Model!X369,Model!AC369,Model!AH369,Model!AM369,Model!AR369,Model!AW369,Model!BB369,Model!BG369,Model!BL369,Model!BQ369,Model!BV369),"")</f>
        <v>9.54167146570232</v>
      </c>
      <c r="K44" s="90">
        <f>IFERROR(MIN(Model!C369,Model!D369,Model!E369,Model!F369,Model!G369,Model!H369,Model!I369,Model!N369,Model!S369,Model!X369,Model!AC369,Model!AH369,Model!AM369,Model!AR369,Model!AW369,Model!BB369,Model!BG369,Model!BL369,Model!BQ369,Model!BV369),"")</f>
        <v>0.647101369031078</v>
      </c>
      <c r="L44" s="90">
        <f>IFERROR(MAX(Model!C369,Model!D369,Model!E369,Model!F369,Model!G369,Model!H369,Model!I369,Model!N369,Model!S369,Model!X369,Model!AC369,Model!AH369,Model!AM369,Model!AR369,Model!AW369,Model!BB369,Model!BG369,Model!BL369,Model!BQ369,Model!BV369),"")</f>
        <v>159.251460935026</v>
      </c>
      <c r="N44" s="79" t="inlineStr">
        <is>
          <t>ROIC</t>
        </is>
      </c>
      <c r="O44" s="86" t="n">
        <v>0.98439878572574</v>
      </c>
      <c r="P44" s="87" t="n">
        <v>0.948152471297102</v>
      </c>
      <c r="Q44" s="87" t="n">
        <v>0.978945788103853</v>
      </c>
      <c r="R44" s="87" t="n">
        <v>1.01089947582085</v>
      </c>
      <c r="S44" s="87" t="n">
        <v>1.04646999155444</v>
      </c>
      <c r="T44" s="87" t="n">
        <v>1.08424564262891</v>
      </c>
      <c r="V44" s="90" t="n">
        <v>9.54167146570232</v>
      </c>
      <c r="W44" s="90" t="n">
        <v>0.647101369031078</v>
      </c>
      <c r="X44" s="90" t="n">
        <v>159.251460935026</v>
      </c>
      <c r="Z44" s="79" t="inlineStr">
        <is>
          <t>ROIC</t>
        </is>
      </c>
      <c r="AA44" s="86" t="n">
        <v>0.98439878572574</v>
      </c>
      <c r="AB44" s="87" t="n">
        <v>0.931168631092934</v>
      </c>
      <c r="AC44" s="87" t="n">
        <v>0.933734496206951</v>
      </c>
      <c r="AD44" s="87" t="n">
        <v>0.957763108593302</v>
      </c>
      <c r="AE44" s="87" t="n">
        <v>0.979123524969695</v>
      </c>
      <c r="AF44" s="87" t="n">
        <v>0.9973768722090131</v>
      </c>
      <c r="AH44" s="90" t="n">
        <v>9.54167146570232</v>
      </c>
      <c r="AI44" s="90" t="n">
        <v>0.647101369031078</v>
      </c>
      <c r="AJ44" s="90" t="n">
        <v>159.251460935026</v>
      </c>
    </row>
    <row r="45" ht="15" customHeight="1" s="251">
      <c r="B45" s="79" t="inlineStr">
        <is>
          <t>RONTA</t>
        </is>
      </c>
      <c r="C45" s="86">
        <f>Model!BV380</f>
        <v>0.916074689147477</v>
      </c>
      <c r="D45" s="87">
        <f>Model!CA380</f>
        <v>1.00065669567934</v>
      </c>
      <c r="E45" s="87">
        <f>Model!CB380</f>
        <v>1.04673106741793</v>
      </c>
      <c r="F45" s="87">
        <f>Model!CC380</f>
        <v>1.16154396134179</v>
      </c>
      <c r="G45" s="87">
        <f>Model!CD380</f>
        <v>1.2659361650253</v>
      </c>
      <c r="H45" s="87">
        <f>Model!CE380</f>
        <v>1.33397492088328</v>
      </c>
      <c r="J45" s="90">
        <f>IFERROR(AVERAGE(Model!C380,Model!D380,Model!E380,Model!F380,Model!G380,Model!H380,Model!I380,Model!N380,Model!S380,Model!X380,Model!AC380,Model!AH380,Model!AM380,Model!AR380,Model!AW380,Model!BB380,Model!BG380,Model!BL380,Model!BQ380,Model!BV380),"")</f>
        <v>0.550506913263129</v>
      </c>
      <c r="K45" s="90">
        <f>IFERROR(MIN(Model!C380,Model!D380,Model!E380,Model!F380,Model!G380,Model!H380,Model!I380,Model!N380,Model!S380,Model!X380,Model!AC380,Model!AH380,Model!AM380,Model!AR380,Model!AW380,Model!BB380,Model!BG380,Model!BL380,Model!BQ380,Model!BV380),"")</f>
        <v>0.150845625040889</v>
      </c>
      <c r="L45" s="90">
        <f>IFERROR(MAX(Model!C380,Model!D380,Model!E380,Model!F380,Model!G380,Model!H380,Model!I380,Model!N380,Model!S380,Model!X380,Model!AC380,Model!AH380,Model!AM380,Model!AR380,Model!AW380,Model!BB380,Model!BG380,Model!BL380,Model!BQ380,Model!BV380),"")</f>
        <v>0.921593758183859</v>
      </c>
      <c r="N45" s="79" t="inlineStr">
        <is>
          <t>RONTA</t>
        </is>
      </c>
      <c r="O45" s="86" t="n">
        <v>0.916074689147477</v>
      </c>
      <c r="P45" s="87" t="n">
        <v>1.0471695215318</v>
      </c>
      <c r="Q45" s="87" t="n">
        <v>1.15700170482452</v>
      </c>
      <c r="R45" s="87" t="n">
        <v>1.25430146193286</v>
      </c>
      <c r="S45" s="87" t="n">
        <v>1.3482638009953</v>
      </c>
      <c r="T45" s="87" t="n">
        <v>1.43751175694871</v>
      </c>
      <c r="V45" s="90" t="n">
        <v>0.5505069132631289</v>
      </c>
      <c r="W45" s="90" t="n">
        <v>0.150845625040889</v>
      </c>
      <c r="X45" s="90" t="n">
        <v>0.921593758183859</v>
      </c>
      <c r="Z45" s="79" t="inlineStr">
        <is>
          <t>RONTA</t>
        </is>
      </c>
      <c r="AA45" s="86" t="n">
        <v>0.916074689147477</v>
      </c>
      <c r="AB45" s="87" t="n">
        <v>0.9469814283247761</v>
      </c>
      <c r="AC45" s="87" t="n">
        <v>0.754244587885922</v>
      </c>
      <c r="AD45" s="87" t="n">
        <v>0.7812717375121629</v>
      </c>
      <c r="AE45" s="87" t="n">
        <v>0.804964664048739</v>
      </c>
      <c r="AF45" s="87" t="n">
        <v>0.823564689032201</v>
      </c>
      <c r="AH45" s="90" t="n">
        <v>0.5505069132631289</v>
      </c>
      <c r="AI45" s="90" t="n">
        <v>0.150845625040889</v>
      </c>
      <c r="AJ45" s="90" t="n">
        <v>0.921593758183859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816956.395835794</v>
      </c>
      <c r="H47" s="104">
        <f>H27*H21</f>
        <v>906871.087784822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1000477.49288781</v>
      </c>
      <c r="T47" s="104">
        <f>T27*T21</f>
        <v>1138537.86038522</v>
      </c>
      <c r="Z47" s="83" t="inlineStr">
        <is>
          <t>Implied Market Cap (USDm)</t>
        </is>
      </c>
      <c r="AC47" s="104" t="n"/>
      <c r="AD47" s="104">
        <f>AD27*AD21</f>
        <v>517409.691778698</v>
      </c>
      <c r="AE47" s="104">
        <f>AE27*AE21</f>
        <v>554318.767918995</v>
      </c>
      <c r="AF47" s="104">
        <f>AF27*AF21</f>
        <v>589926.70902694</v>
      </c>
    </row>
    <row r="48" ht="15" customHeight="1" s="251">
      <c r="B48" s="83" t="inlineStr">
        <is>
          <t>(+) Net Debt &amp; NCI</t>
        </is>
      </c>
      <c r="E48" s="104" t="n"/>
      <c r="F48" s="104">
        <f>F38+Model!CC306</f>
        <v>15017.9328248861</v>
      </c>
      <c r="G48" s="104">
        <f>G38+Model!CD306</f>
        <v>16800.4465892268</v>
      </c>
      <c r="H48" s="104">
        <f>H38+Model!CE306</f>
        <v>18670.9594361328</v>
      </c>
      <c r="N48" s="83" t="inlineStr">
        <is>
          <t>(+) Net Debt &amp; NCI</t>
        </is>
      </c>
      <c r="Q48" s="104" t="n"/>
      <c r="R48" s="104">
        <f>R38+Model!CC306</f>
        <v>22556.2088818746</v>
      </c>
      <c r="S48" s="104">
        <f>S38+Model!CD306</f>
        <v>25877.520848929</v>
      </c>
      <c r="T48" s="104">
        <f>T38+Model!CE306</f>
        <v>29492.5113139529</v>
      </c>
      <c r="Z48" s="83" t="inlineStr">
        <is>
          <t>(+) Net Debt &amp; NCI</t>
        </is>
      </c>
      <c r="AC48" s="104" t="n"/>
      <c r="AD48" s="104">
        <f>AD38+Model!CC306</f>
        <v>8057.99632054326</v>
      </c>
      <c r="AE48" s="104">
        <f>AE38+Model!CD306</f>
        <v>8643.81060452217</v>
      </c>
      <c r="AF48" s="104">
        <f>AF38+Model!CE306</f>
        <v>9209.80344404791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15017.9328248861</v>
      </c>
      <c r="G49" s="104">
        <f>G47+G48</f>
        <v>833756.842425021</v>
      </c>
      <c r="H49" s="104">
        <f>H47+H48</f>
        <v>925542.047220955</v>
      </c>
      <c r="N49" s="83" t="inlineStr">
        <is>
          <t>Implied Enterprise Value (USDm)</t>
        </is>
      </c>
      <c r="Q49" s="104" t="n"/>
      <c r="R49" s="104">
        <f>R47+R48</f>
        <v>22556.2088818746</v>
      </c>
      <c r="S49" s="104">
        <f>S47+S48</f>
        <v>1026355.01373674</v>
      </c>
      <c r="T49" s="104">
        <f>T47+T48</f>
        <v>1168030.37169918</v>
      </c>
      <c r="Z49" s="83" t="inlineStr">
        <is>
          <t>Implied Enterprise Value (USDm)</t>
        </is>
      </c>
      <c r="AC49" s="104" t="n"/>
      <c r="AD49" s="104">
        <f>AD47+AD48</f>
        <v>525467.688099241</v>
      </c>
      <c r="AE49" s="104">
        <f>AE47+AE48</f>
        <v>562962.578523517</v>
      </c>
      <c r="AF49" s="104">
        <f>AF47+AF48</f>
        <v>599136.512470987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0.499833587753527</v>
      </c>
      <c r="G50" s="105">
        <f>IFERROR(G49/G35,"")</f>
        <v>24.8061495420034</v>
      </c>
      <c r="H50" s="105">
        <f>IFERROR(H49/H35,"")</f>
        <v>24.7789691979703</v>
      </c>
      <c r="N50" s="83" t="inlineStr">
        <is>
          <t>Implied EV / Adjusted EBITDA (x)</t>
        </is>
      </c>
      <c r="Q50" s="105" t="n"/>
      <c r="R50" s="105">
        <f>IFERROR(R49/R35,"")</f>
        <v>0.699844866468888</v>
      </c>
      <c r="S50" s="105">
        <f>IFERROR(S49/S35,"")</f>
        <v>27.7580577954195</v>
      </c>
      <c r="T50" s="105">
        <f>IFERROR(T49/T35,"")</f>
        <v>27.7183133006435</v>
      </c>
      <c r="Z50" s="83" t="inlineStr">
        <is>
          <t>Implied EV / Adjusted EBITDA (x)</t>
        </is>
      </c>
      <c r="AC50" s="105" t="n"/>
      <c r="AD50" s="105">
        <f>IFERROR(AD49/AD35,"")</f>
        <v>19.5510825210386</v>
      </c>
      <c r="AE50" s="105">
        <f>IFERROR(AE49/AE35,"")</f>
        <v>19.5273987695775</v>
      </c>
      <c r="AF50" s="105">
        <f>IFERROR(AF49/AF35,"")</f>
        <v>19.5056741939944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MASTERCARD INCORPORATED (MA)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are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</v>
      </c>
      <c r="D7" s="198" t="inlineStr">
        <is>
          <t>Assumption: payment networks (V, AXP, PYPL) ~0.9–1.2; volume-linked, recurring network revenue with consumer-spending cyclicality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0.0925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0.047</v>
      </c>
      <c r="D9" s="198" t="inlineStr">
        <is>
          <t>June-2026 notes priced at 4.325%–5.0% (SOFR + 0.39% floaters); A+/Aa3-rated; commercial paper 3.84% (Q2-26 10-Q Note 9)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0.205</v>
      </c>
      <c r="D10" s="198" t="inlineStr">
        <is>
          <t>Model 2027E+ effective tax rate (non-GAAP rate guided 20–21% for H2-26, UNVERIFIED)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0.037365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0.03</v>
      </c>
      <c r="D12" s="198" t="inlineStr">
        <is>
          <t>Net debt ~$13bn at 30-Jun-2026 vs ~$520bn market cap ($595 × ~879m diluted shares)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0.09084595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2026-10-13 00:00:00</v>
      </c>
      <c r="D15" s="198" t="inlineStr">
        <is>
          <t>Periods = (31-Dec of the year − today) / 365.25; cash flows assumed at year end. 2026E UFCF excluded (its cash flows sit in YE2026E net debt; valuation date Oct-2026).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2026E</t>
        </is>
      </c>
      <c r="E17" s="203" t="inlineStr">
        <is>
          <t>2027E</t>
        </is>
      </c>
      <c r="F17" s="203" t="inlineStr">
        <is>
          <t>2028E</t>
        </is>
      </c>
      <c r="G17" s="203" t="inlineStr">
        <is>
          <t>2029E</t>
        </is>
      </c>
      <c r="H17" s="203" t="inlineStr">
        <is>
          <t>2030E</t>
        </is>
      </c>
      <c r="I17" s="203" t="inlineStr">
        <is>
          <t>2031E</t>
        </is>
      </c>
      <c r="J17" s="203" t="inlineStr">
        <is>
          <t>2032E</t>
        </is>
      </c>
      <c r="K17" s="203" t="inlineStr">
        <is>
          <t>2033E</t>
        </is>
      </c>
      <c r="L17" s="203" t="inlineStr">
        <is>
          <t>2034E</t>
        </is>
      </c>
      <c r="M17" s="203" t="inlineStr">
        <is>
          <t>2035E</t>
        </is>
      </c>
      <c r="N17" s="203" t="inlineStr">
        <is>
          <t>Terminal</t>
        </is>
      </c>
      <c r="O17" s="192" t="n"/>
      <c r="P17" s="204" t="inlineStr">
        <is>
          <t>CAGR 26–30E</t>
        </is>
      </c>
      <c r="Q17" s="204" t="inlineStr">
        <is>
          <t>CAGR 26–35E</t>
        </is>
      </c>
    </row>
    <row r="18" ht="15.75" customHeight="1" s="251">
      <c r="A18" s="192" t="n"/>
      <c r="B18" s="197" t="inlineStr">
        <is>
          <t>Adj. EBIT (adjusted operating income, full-cost) less litigation provisions &amp; restructuring (cash)</t>
        </is>
      </c>
      <c r="C18" s="192" t="n"/>
      <c r="D18" s="173">
        <f>Model!CA189-Model!CA191</f>
        <v>21803.935</v>
      </c>
      <c r="E18" s="173">
        <f>Model!CB189-Model!CB191</f>
        <v>24742.1704841164</v>
      </c>
      <c r="F18" s="173">
        <f>Model!CC189-Model!CC191</f>
        <v>27902.0763007189</v>
      </c>
      <c r="G18" s="173">
        <f>Model!CD189-Model!CD191</f>
        <v>31252.6557848408</v>
      </c>
      <c r="H18" s="173">
        <f>Model!CE189-Model!CE191</f>
        <v>34772.2285731106</v>
      </c>
      <c r="I18" s="174">
        <f>H18*(1+I$26)</f>
        <v>37901.7291446906</v>
      </c>
      <c r="J18" s="174">
        <f>I18*(1+J$26)</f>
        <v>41028.6217991275</v>
      </c>
      <c r="K18" s="174">
        <f>J18*(1+K$26)</f>
        <v>44105.7684340621</v>
      </c>
      <c r="L18" s="174">
        <f>K18*(1+L$26)</f>
        <v>47082.9078033613</v>
      </c>
      <c r="M18" s="174">
        <f>L18*(1+M$26)</f>
        <v>49907.8822715629</v>
      </c>
      <c r="N18" s="192" t="n"/>
      <c r="O18" s="192" t="n"/>
      <c r="P18" s="176">
        <f>(H18/D18)^(1/(COLUMNS(D18:H18)-1))-1</f>
        <v>0.123762179653128</v>
      </c>
      <c r="Q18" s="176">
        <f>(M18/D18)^(1/(COLUMNS(D18:M18)-1))-1</f>
        <v>0.0963756022680646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0.795</v>
      </c>
      <c r="E19" s="177">
        <f>1-$C$10</f>
        <v>0.795</v>
      </c>
      <c r="F19" s="177">
        <f>1-$C$10</f>
        <v>0.795</v>
      </c>
      <c r="G19" s="177">
        <f>1-$C$10</f>
        <v>0.795</v>
      </c>
      <c r="H19" s="177">
        <f>1-$C$10</f>
        <v>0.795</v>
      </c>
      <c r="I19" s="177">
        <f>1-$C$10</f>
        <v>0.795</v>
      </c>
      <c r="J19" s="177">
        <f>1-$C$10</f>
        <v>0.795</v>
      </c>
      <c r="K19" s="177">
        <f>1-$C$10</f>
        <v>0.795</v>
      </c>
      <c r="L19" s="177">
        <f>1-$C$10</f>
        <v>0.795</v>
      </c>
      <c r="M19" s="177">
        <f>1-$C$10</f>
        <v>0.795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17334.128325</v>
      </c>
      <c r="E20" s="174">
        <f>E18*E19</f>
        <v>19670.0255348725</v>
      </c>
      <c r="F20" s="174">
        <f>F18*F19</f>
        <v>22182.1506590715</v>
      </c>
      <c r="G20" s="174">
        <f>G18*G19</f>
        <v>24845.8613489485</v>
      </c>
      <c r="H20" s="174">
        <f>H18*H19</f>
        <v>27643.9217156229</v>
      </c>
      <c r="I20" s="174">
        <f>I18*I19</f>
        <v>30131.874670029</v>
      </c>
      <c r="J20" s="174">
        <f>J18*J19</f>
        <v>32617.7543303064</v>
      </c>
      <c r="K20" s="174">
        <f>K18*K19</f>
        <v>35064.0859050794</v>
      </c>
      <c r="L20" s="174">
        <f>L18*L19</f>
        <v>37430.9117036722</v>
      </c>
      <c r="M20" s="174">
        <f>M18*M19</f>
        <v>39676.7664058925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D&amp;A (depreciation + amortization of capitalized software and acquired intangibles)</t>
        </is>
      </c>
      <c r="C21" s="192" t="n"/>
      <c r="D21" s="173">
        <f>Model!CA148</f>
        <v>1258</v>
      </c>
      <c r="E21" s="173">
        <f>Model!CB148</f>
        <v>1487.67545018235</v>
      </c>
      <c r="F21" s="173">
        <f>Model!CC148</f>
        <v>1693.78934905336</v>
      </c>
      <c r="G21" s="173">
        <f>Model!CD148</f>
        <v>1908.23739361271</v>
      </c>
      <c r="H21" s="173">
        <f>Model!CE148</f>
        <v>2129.69029915495</v>
      </c>
      <c r="I21" s="174">
        <f>H21*(1+I$26)</f>
        <v>2321.3624260789</v>
      </c>
      <c r="J21" s="174">
        <f>I21*(1+J$26)</f>
        <v>2512.87482623041</v>
      </c>
      <c r="K21" s="174">
        <f>J21*(1+K$26)</f>
        <v>2701.34043819769</v>
      </c>
      <c r="L21" s="174">
        <f>K21*(1+L$26)</f>
        <v>2883.68091777603</v>
      </c>
      <c r="M21" s="174">
        <f>L21*(1+M$26)</f>
        <v>3056.70177284259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(property, equipment &amp; capitalized software) and acquisitions (M&amp;A lever 2027E–30E)</t>
        </is>
      </c>
      <c r="C22" s="192" t="n"/>
      <c r="D22" s="173">
        <f>Model!CA240</f>
        <v>-1513</v>
      </c>
      <c r="E22" s="173">
        <f>Model!CB240+Model!CB241</f>
        <v>-2673.00052962629</v>
      </c>
      <c r="F22" s="173">
        <f>Model!CC240+Model!CC241</f>
        <v>-2871.36982241572</v>
      </c>
      <c r="G22" s="173">
        <f>Model!CD240+Model!CD241</f>
        <v>-3079.54399248554</v>
      </c>
      <c r="H22" s="173">
        <f>Model!CE240+Model!CE241</f>
        <v>-3295.95917547641</v>
      </c>
      <c r="I22" s="174">
        <f>Model!CE240*(1+I$26)</f>
        <v>-2502.59550126929</v>
      </c>
      <c r="J22" s="174">
        <f>I22*(1+J$26)</f>
        <v>-2709.05963012401</v>
      </c>
      <c r="K22" s="174">
        <f>J22*(1+K$26)</f>
        <v>-2912.23910238331</v>
      </c>
      <c r="L22" s="174">
        <f>K22*(1+L$26)</f>
        <v>-3108.81524179418</v>
      </c>
      <c r="M22" s="174">
        <f>L22*(1+M$26)</f>
        <v>-3295.34415630183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Model!CA238</f>
        <v>-1373.11447174034</v>
      </c>
      <c r="E23" s="173">
        <f>Model!CB238</f>
        <v>-603.095519128144</v>
      </c>
      <c r="F23" s="173">
        <f>Model!CC238</f>
        <v>-653.199813393222</v>
      </c>
      <c r="G23" s="173">
        <f>Model!CD238</f>
        <v>-683.209689199241</v>
      </c>
      <c r="H23" s="173">
        <f>Model!CE238</f>
        <v>-712.433909698567</v>
      </c>
      <c r="I23" s="174">
        <f>H23*(1+I$26)</f>
        <v>-776.552961571438</v>
      </c>
      <c r="J23" s="174">
        <f>I23*(1+J$26)</f>
        <v>-840.618580901082</v>
      </c>
      <c r="K23" s="174">
        <f>J23*(1+K$26)</f>
        <v>-903.664974468663</v>
      </c>
      <c r="L23" s="174">
        <f>K23*(1+L$26)</f>
        <v>-964.662360245298</v>
      </c>
      <c r="M23" s="174">
        <f>L23*(1+M$26)</f>
        <v>-1022.54210186002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15706.0138532597</v>
      </c>
      <c r="E24" s="219">
        <f>E20+E21+E22+E23</f>
        <v>17881.6049363004</v>
      </c>
      <c r="F24" s="219">
        <f>F20+F21+F22+F23</f>
        <v>20351.3703723159</v>
      </c>
      <c r="G24" s="219">
        <f>G20+G21+G22+G23</f>
        <v>22991.3450608764</v>
      </c>
      <c r="H24" s="219">
        <f>H20+H21+H22+H23</f>
        <v>25765.2189296029</v>
      </c>
      <c r="I24" s="219">
        <f>I20+I21+I22+I23</f>
        <v>29174.0886332672</v>
      </c>
      <c r="J24" s="219">
        <f>J20+J21+J22+J23</f>
        <v>31580.9509455117</v>
      </c>
      <c r="K24" s="219">
        <f>K20+K21+K22+K23</f>
        <v>33949.5222664251</v>
      </c>
      <c r="L24" s="219">
        <f>L20+L21+L22+L23</f>
        <v>36241.1150194088</v>
      </c>
      <c r="M24" s="219">
        <f>M20+M21+M22+M23</f>
        <v>38415.5819205733</v>
      </c>
      <c r="N24" s="219">
        <f>M24*(1+$C$27)</f>
        <v>39952.2051973962</v>
      </c>
      <c r="O24" s="192" t="n"/>
      <c r="P24" s="181">
        <f>(H24/D24)^(1/(COLUMNS(D24:H24)-1))-1</f>
        <v>0.131727750746687</v>
      </c>
      <c r="Q24" s="181">
        <f>(M24/D24)^(1/(COLUMNS(D24:M24)-1))-1</f>
        <v>0.104485859370727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785749.99970295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(2031E–35E; 9.0% → 6.0%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0.09</v>
      </c>
      <c r="J26" s="183">
        <f>I26+($M$26-$I$26)/4</f>
        <v>0.0825</v>
      </c>
      <c r="K26" s="183">
        <f>J26+($M$26-$I$26)/4</f>
        <v>0.075</v>
      </c>
      <c r="L26" s="183">
        <f>K26+($M$26-$I$26)/4</f>
        <v>0.0675</v>
      </c>
      <c r="M26" s="182" t="n">
        <v>0.06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0.04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(DATE(2026,12,31)-$C$15)/365.25</f>
        <v>0.216290212183436</v>
      </c>
      <c r="E29" s="177">
        <f>(DATE(2027,12,31)-$C$15)/365.25</f>
        <v>1.21560574948665</v>
      </c>
      <c r="F29" s="177">
        <f>(DATE(2028,12,31)-$C$15)/365.25</f>
        <v>2.217659137577</v>
      </c>
      <c r="G29" s="177">
        <f>(DATE(2029,12,31)-$C$15)/365.25</f>
        <v>3.21697467488022</v>
      </c>
      <c r="H29" s="177">
        <f>(DATE(2030,12,31)-$C$15)/365.25</f>
        <v>4.21629021218344</v>
      </c>
      <c r="I29" s="177">
        <f>(DATE(2031,12,31)-$C$15)/365.25</f>
        <v>5.21560574948665</v>
      </c>
      <c r="J29" s="177">
        <f>(DATE(2032,12,31)-$C$15)/365.25</f>
        <v>6.217659137577</v>
      </c>
      <c r="K29" s="177">
        <f>(DATE(2033,12,31)-$C$15)/365.25</f>
        <v>7.21697467488022</v>
      </c>
      <c r="L29" s="177">
        <f>(DATE(2034,12,31)-$C$15)/365.25</f>
        <v>8.21629021218344</v>
      </c>
      <c r="M29" s="177">
        <f>(DATE(2035,12,31)-$C$15)/365.25</f>
        <v>9.21560574948665</v>
      </c>
      <c r="N29" s="177">
        <f>M29</f>
        <v>9.21560574948665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0.981368561545362</v>
      </c>
      <c r="E30" s="185">
        <f>1/(1+$C$13)^E29</f>
        <v>0.899693463436674</v>
      </c>
      <c r="F30" s="185">
        <f>1/(1+$C$13)^F29</f>
        <v>0.824619496605072</v>
      </c>
      <c r="G30" s="185">
        <f>1/(1+$C$13)^G29</f>
        <v>0.755989951165488</v>
      </c>
      <c r="H30" s="185">
        <f>1/(1+$C$13)^H29</f>
        <v>0.69307214856807</v>
      </c>
      <c r="I30" s="185">
        <f>1/(1+$C$13)^I29</f>
        <v>0.63539072494313</v>
      </c>
      <c r="J30" s="185">
        <f>1/(1+$C$13)^J29</f>
        <v>0.582371219802704</v>
      </c>
      <c r="K30" s="185">
        <f>1/(1+$C$13)^K29</f>
        <v>0.533902959888038</v>
      </c>
      <c r="L30" s="185">
        <f>1/(1+$C$13)^L29</f>
        <v>0.489468505455641</v>
      </c>
      <c r="M30" s="185">
        <f>1/(1+$C$13)^M29</f>
        <v>0.44873214016873</v>
      </c>
      <c r="N30" s="185">
        <f>1/(1+$C$13)^N29</f>
        <v>0.44873214016873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 (2026E excluded: in YE2026E net debt)</t>
        </is>
      </c>
      <c r="C31" s="221" t="n"/>
      <c r="D31" s="222">
        <f>0*D24*D30</f>
        <v>0</v>
      </c>
      <c r="E31" s="222">
        <f>E24*E30</f>
        <v>16087.9630769465</v>
      </c>
      <c r="F31" s="222">
        <f>F24*F30</f>
        <v>16782.1367916425</v>
      </c>
      <c r="G31" s="222">
        <f>G24*G30</f>
        <v>17381.2258298008</v>
      </c>
      <c r="H31" s="222">
        <f>H24*H30</f>
        <v>17857.1556418666</v>
      </c>
      <c r="I31" s="222">
        <f>I24*I30</f>
        <v>18536.9453262467</v>
      </c>
      <c r="J31" s="222">
        <f>J24*J30</f>
        <v>18391.836924667</v>
      </c>
      <c r="K31" s="222">
        <f>K24*K30</f>
        <v>18125.7504248292</v>
      </c>
      <c r="L31" s="222">
        <f>L24*L30</f>
        <v>17738.884404596</v>
      </c>
      <c r="M31" s="222">
        <f>M24*M30</f>
        <v>17238.306291046</v>
      </c>
      <c r="N31" s="222">
        <f>N25*N30</f>
        <v>352591.279004284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Mastercard's adjusted operating income expenses share-based compensation and the amortization of acquired intangibles and capitalized software (neither is adjusted out); D&amp;A is added back in row 21 and capex (incl. capitalized software) deducted in row 22, so the basis is consistent full cost. Litigation provisions and restructuring (cash; excluded from adjusted results) are deducted inside row 18 ($450m a year assumed from 2027E). Row 22 includes acquisitions from the M&amp;A lever in 2027E–30E; the fade period and terminal value assume no new acquisitions. The 2026E column (incl. the BVNK consideration) is excluded: those cash flows are in YE2026E net debt.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Model!BV366+Model!CA55</f>
        <v>17348</v>
      </c>
      <c r="E34" s="174">
        <f>D38</f>
        <v>18976.1144717403</v>
      </c>
      <c r="F34" s="174">
        <f>E38</f>
        <v>20764.5350703124</v>
      </c>
      <c r="G34" s="174">
        <f>F38</f>
        <v>22595.315357068</v>
      </c>
      <c r="H34" s="174">
        <f>G38</f>
        <v>24449.8316451401</v>
      </c>
      <c r="I34" s="174">
        <f>H38</f>
        <v>26328.5344311601</v>
      </c>
      <c r="J34" s="174">
        <f>I38</f>
        <v>27286.3204679219</v>
      </c>
      <c r="K34" s="174">
        <f>J38</f>
        <v>28323.1238527166</v>
      </c>
      <c r="L34" s="174">
        <f>K38</f>
        <v>29437.6874913709</v>
      </c>
      <c r="M34" s="174">
        <f>L38</f>
        <v>30627.4841756344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1513</v>
      </c>
      <c r="E35" s="174">
        <f>-E22</f>
        <v>2673.00052962629</v>
      </c>
      <c r="F35" s="174">
        <f>-F22</f>
        <v>2871.36982241572</v>
      </c>
      <c r="G35" s="174">
        <f>-G22</f>
        <v>3079.54399248554</v>
      </c>
      <c r="H35" s="174">
        <f>-H22</f>
        <v>3295.95917547641</v>
      </c>
      <c r="I35" s="174">
        <f>-I22</f>
        <v>2502.59550126929</v>
      </c>
      <c r="J35" s="174">
        <f>-J22</f>
        <v>2709.05963012401</v>
      </c>
      <c r="K35" s="174">
        <f>-K22</f>
        <v>2912.23910238331</v>
      </c>
      <c r="L35" s="174">
        <f>-L22</f>
        <v>3108.81524179418</v>
      </c>
      <c r="M35" s="174">
        <f>-M22</f>
        <v>3295.34415630183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-1258</v>
      </c>
      <c r="E36" s="174">
        <f>-E21</f>
        <v>-1487.67545018235</v>
      </c>
      <c r="F36" s="174">
        <f>-F21</f>
        <v>-1693.78934905336</v>
      </c>
      <c r="G36" s="174">
        <f>-G21</f>
        <v>-1908.23739361271</v>
      </c>
      <c r="H36" s="174">
        <f>-H21</f>
        <v>-2129.69029915495</v>
      </c>
      <c r="I36" s="174">
        <f>-I21</f>
        <v>-2321.3624260789</v>
      </c>
      <c r="J36" s="174">
        <f>-J21</f>
        <v>-2512.87482623041</v>
      </c>
      <c r="K36" s="174">
        <f>-K21</f>
        <v>-2701.34043819769</v>
      </c>
      <c r="L36" s="174">
        <f>-L21</f>
        <v>-2883.68091777603</v>
      </c>
      <c r="M36" s="174">
        <f>-M21</f>
        <v>-3056.70177284259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1373.11447174034</v>
      </c>
      <c r="E37" s="174">
        <f>-E23</f>
        <v>603.095519128144</v>
      </c>
      <c r="F37" s="174">
        <f>-F23</f>
        <v>653.199813393222</v>
      </c>
      <c r="G37" s="174">
        <f>-G23</f>
        <v>683.209689199241</v>
      </c>
      <c r="H37" s="174">
        <f>-H23</f>
        <v>712.433909698567</v>
      </c>
      <c r="I37" s="174">
        <f>-I23</f>
        <v>776.552961571438</v>
      </c>
      <c r="J37" s="174">
        <f>-J23</f>
        <v>840.618580901082</v>
      </c>
      <c r="K37" s="174">
        <f>-K23</f>
        <v>903.664974468663</v>
      </c>
      <c r="L37" s="174">
        <f>-L23</f>
        <v>964.662360245298</v>
      </c>
      <c r="M37" s="174">
        <f>-M23</f>
        <v>1022.54210186002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18976.1144717403</v>
      </c>
      <c r="E38" s="224">
        <f>SUM(E34:E37)</f>
        <v>20764.5350703124</v>
      </c>
      <c r="F38" s="224">
        <f>SUM(F34:F37)</f>
        <v>22595.315357068</v>
      </c>
      <c r="G38" s="224">
        <f>SUM(G34:G37)</f>
        <v>24449.8316451401</v>
      </c>
      <c r="H38" s="224">
        <f>SUM(H34:H37)</f>
        <v>26328.5344311601</v>
      </c>
      <c r="I38" s="224">
        <f>SUM(I34:I37)</f>
        <v>27286.3204679219</v>
      </c>
      <c r="J38" s="224">
        <f>SUM(J34:J37)</f>
        <v>28323.1238527166</v>
      </c>
      <c r="K38" s="224">
        <f>SUM(K34:K37)</f>
        <v>29437.6874913709</v>
      </c>
      <c r="L38" s="224">
        <f>SUM(L34:L37)</f>
        <v>30627.4841756344</v>
      </c>
      <c r="M38" s="224">
        <f>SUM(M34:M37)</f>
        <v>31888.6686609536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17334.128325</v>
      </c>
      <c r="E39" s="174">
        <f>E20</f>
        <v>19670.0255348725</v>
      </c>
      <c r="F39" s="174">
        <f>F20</f>
        <v>22182.1506590715</v>
      </c>
      <c r="G39" s="174">
        <f>G20</f>
        <v>24845.8613489485</v>
      </c>
      <c r="H39" s="174">
        <f>H20</f>
        <v>27643.9217156229</v>
      </c>
      <c r="I39" s="174">
        <f>I20</f>
        <v>30131.874670029</v>
      </c>
      <c r="J39" s="174">
        <f>J20</f>
        <v>32617.7543303064</v>
      </c>
      <c r="K39" s="174">
        <f>K20</f>
        <v>35064.0859050794</v>
      </c>
      <c r="L39" s="174">
        <f>L20</f>
        <v>37430.9117036722</v>
      </c>
      <c r="M39" s="174">
        <f>M20</f>
        <v>39676.7664058925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0.9544143650624</v>
      </c>
      <c r="E40" s="180">
        <f>IFERROR(E39/AVERAGE(E34,E38),"")</f>
        <v>0.989919679800809</v>
      </c>
      <c r="F40" s="180">
        <f>IFERROR(F39/AVERAGE(F34,F38),"")</f>
        <v>1.0231654602325</v>
      </c>
      <c r="G40" s="180">
        <f>IFERROR(G39/AVERAGE(G34,G38),"")</f>
        <v>1.0562560830252</v>
      </c>
      <c r="H40" s="180">
        <f>IFERROR(H39/AVERAGE(H34,H38),"")</f>
        <v>1.0888070590568</v>
      </c>
      <c r="I40" s="180">
        <f>IFERROR(I39/AVERAGE(I34,I38),"")</f>
        <v>1.12401216889407</v>
      </c>
      <c r="J40" s="180">
        <f>IFERROR(J39/AVERAGE(J34,J38),"")</f>
        <v>1.17310125029251</v>
      </c>
      <c r="K40" s="180">
        <f>IFERROR(K39/AVERAGE(K34,K38),"")</f>
        <v>1.21411334394868</v>
      </c>
      <c r="L40" s="180">
        <f>IFERROR(L39/AVERAGE(L34,L38),"")</f>
        <v>1.24634328562932</v>
      </c>
      <c r="M40" s="180">
        <f>IFERROR(M39/AVERAGE(M34,M38),"")</f>
        <v>1.26932847290217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0.0939253731837331</v>
      </c>
      <c r="E41" s="175">
        <f>IFERROR(SUM(E35:E37)/E39,"")</f>
        <v>0.0909211121969028</v>
      </c>
      <c r="F41" s="175">
        <f>IFERROR(SUM(F35:F37)/F39,"")</f>
        <v>0.0825339397831054</v>
      </c>
      <c r="G41" s="175">
        <f>IFERROR(SUM(G35:G37)/G39,"")</f>
        <v>0.0746408531395334</v>
      </c>
      <c r="H41" s="175">
        <f>IFERROR(SUM(H35:H37)/H39,"")</f>
        <v>0.0679607909958117</v>
      </c>
      <c r="I41" s="175">
        <f>IFERROR(SUM(I35:I37)/I39,"")</f>
        <v>0.0317864735351002</v>
      </c>
      <c r="J41" s="175">
        <f>IFERROR(SUM(J35:J37)/J39,"")</f>
        <v>0.0317864735351002</v>
      </c>
      <c r="K41" s="175">
        <f>IFERROR(SUM(K35:K37)/K39,"")</f>
        <v>0.0317864735351002</v>
      </c>
      <c r="L41" s="175">
        <f>IFERROR(SUM(L35:L37)/L39,"")</f>
        <v>0.0317864735351002</v>
      </c>
      <c r="M41" s="175">
        <f>IFERROR(SUM(M35:M37)/M39,"")</f>
        <v>0.0317864735351002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1.2583969075975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2025A book IC (equity + net debt) + the BVNK consideration (2026E), rolled forward with capex + M&amp;A − D&amp;A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158140.204711641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352591.279004284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510731.483715926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NCI (Model 2026E year end)</t>
        </is>
      </c>
      <c r="C48" s="173">
        <f>Model!CA386+Model!CA306+Model!CA304</f>
        <v>12810.1042422331</v>
      </c>
      <c r="D48" s="198" t="inlineStr">
        <is>
          <t>Net debt = total debt − unrestricted cash − investments (restricted cash and customer security deposits excluded); NCI and redeemable NCI deducted (nil at YE2026E).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497921.379473692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2026E year end)</t>
        </is>
      </c>
      <c r="C50" s="186">
        <f>Model!CA393</f>
        <v>866.935294117647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574.34664715141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Model!CA392</f>
        <v>595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-0.0347115173925876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0.146513316146905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490.197215259401</v>
      </c>
      <c r="D55" s="175">
        <f>C55/C52-1</f>
        <v>-0.176139134017814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0.08084595</v>
      </c>
      <c r="E61" s="228">
        <f>F61-0.005</f>
        <v>0.08584595</v>
      </c>
      <c r="F61" s="228">
        <f>$C$13</f>
        <v>0.09084595</v>
      </c>
      <c r="G61" s="228">
        <f>F61+0.005</f>
        <v>0.09584595</v>
      </c>
      <c r="H61" s="234">
        <f>F61+0.01</f>
        <v>0.10084595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0.03</v>
      </c>
      <c r="C62" s="192" t="n"/>
      <c r="D62" s="225">
        <f t="array" ref="D62">IFERROR((SUMPRODUCT($D$24:$M$24/(1+D$61)^$D$29:$M$29)+($M$24*(1+$B62)/(D$61-$B62))/(1+D$61)^$M$29-$C$48)/$C$50,"")</f>
        <v>633.064758959565</v>
      </c>
      <c r="E62" s="225">
        <f t="array" ref="E62">IFERROR((SUMPRODUCT($D$24:$M$24/(1+E$61)^$D$29:$M$29)+($M$24*(1+$B62)/(E$61-$B62))/(1+E$61)^$M$29-$C$48)/$C$50,"")</f>
        <v>572.518216662585</v>
      </c>
      <c r="F62" s="225">
        <f t="array" ref="F62">IFERROR((SUMPRODUCT($D$24:$M$24/(1+F$61)^$D$29:$M$29)+($M$24*(1+$B62)/(F$61-$B62))/(1+F$61)^$M$29-$C$48)/$C$50,"")</f>
        <v>522.015278660176</v>
      </c>
      <c r="G62" s="225">
        <f t="array" ref="G62">IFERROR((SUMPRODUCT($D$24:$M$24/(1+G$61)^$D$29:$M$29)+($M$24*(1+$B62)/(G$61-$B62))/(1+G$61)^$M$29-$C$48)/$C$50,"")</f>
        <v>479.264974888946</v>
      </c>
      <c r="H62" s="235">
        <f t="array" ref="H62">IFERROR((SUMPRODUCT($D$24:$M$24/(1+H$61)^$D$29:$M$29)+($M$24*(1+$B62)/(H$61-$B62))/(1+H$61)^$M$29-$C$48)/$C$50,"")</f>
        <v>442.62319623326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0.035</v>
      </c>
      <c r="C63" s="192" t="n"/>
      <c r="D63" s="225">
        <f t="array" ref="D63">IFERROR((SUMPRODUCT($D$24:$M$24/(1+D$61)^$D$29:$M$29)+($M$24*(1+$B63)/(D$61-$B63))/(1+D$61)^$M$29-$C$48)/$C$50,"")</f>
        <v>683.246223068903</v>
      </c>
      <c r="E63" s="225">
        <f t="array" ref="E63">IFERROR((SUMPRODUCT($D$24:$M$24/(1+E$61)^$D$29:$M$29)+($M$24*(1+$B63)/(E$61-$B63))/(1+E$61)^$M$29-$C$48)/$C$50,"")</f>
        <v>612.1811771756</v>
      </c>
      <c r="F63" s="225">
        <f t="array" ref="F63">IFERROR((SUMPRODUCT($D$24:$M$24/(1+F$61)^$D$29:$M$29)+($M$24*(1+$B63)/(F$61-$B63))/(1+F$61)^$M$29-$C$48)/$C$50,"")</f>
        <v>553.931978366609</v>
      </c>
      <c r="G63" s="225">
        <f t="array" ref="G63">IFERROR((SUMPRODUCT($D$24:$M$24/(1+G$61)^$D$29:$M$29)+($M$24*(1+$B63)/(G$61-$B63))/(1+G$61)^$M$29-$C$48)/$C$50,"")</f>
        <v>505.336336594312</v>
      </c>
      <c r="H63" s="235">
        <f t="array" ref="H63">IFERROR((SUMPRODUCT($D$24:$M$24/(1+H$61)^$D$29:$M$29)+($M$24*(1+$B63)/(H$61-$B63))/(1+H$61)^$M$29-$C$48)/$C$50,"")</f>
        <v>464.192581342374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0.04</v>
      </c>
      <c r="C64" s="192" t="n"/>
      <c r="D64" s="225">
        <f t="array" ref="D64">IFERROR((SUMPRODUCT($D$24:$M$24/(1+D$61)^$D$29:$M$29)+($M$24*(1+$B64)/(D$61-$B64))/(1+D$61)^$M$29-$C$48)/$C$50,"")</f>
        <v>745.713229345662</v>
      </c>
      <c r="E64" s="225">
        <f t="array" ref="E64">IFERROR((SUMPRODUCT($D$24:$M$24/(1+E$61)^$D$29:$M$29)+($M$24*(1+$B64)/(E$61-$B64))/(1+E$61)^$M$29-$C$48)/$C$50,"")</f>
        <v>660.495493045634</v>
      </c>
      <c r="F64" s="226">
        <f t="array" ref="F64">IFERROR((SUMPRODUCT($D$24:$M$24/(1+F$61)^$D$29:$M$29)+($M$24*(1+$B64)/(F$61-$B64))/(1+F$61)^$M$29-$C$48)/$C$50,"")</f>
        <v>592.125815132422</v>
      </c>
      <c r="G64" s="225">
        <f t="array" ref="G64">IFERROR((SUMPRODUCT($D$24:$M$24/(1+G$61)^$D$29:$M$29)+($M$24*(1+$B64)/(G$61-$B64))/(1+G$61)^$M$29-$C$48)/$C$50,"")</f>
        <v>536.076140989858</v>
      </c>
      <c r="H64" s="235">
        <f t="array" ref="H64">IFERROR((SUMPRODUCT($D$24:$M$24/(1+H$61)^$D$29:$M$29)+($M$24*(1+$B64)/(H$61-$B64))/(1+H$61)^$M$29-$C$48)/$C$50,"")</f>
        <v>489.306883592088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0.045</v>
      </c>
      <c r="C65" s="192" t="n"/>
      <c r="D65" s="225">
        <f t="array" ref="D65">IFERROR((SUMPRODUCT($D$24:$M$24/(1+D$61)^$D$29:$M$29)+($M$24*(1+$B65)/(D$61-$B65))/(1+D$61)^$M$29-$C$48)/$C$50,"")</f>
        <v>825.606752781754</v>
      </c>
      <c r="E65" s="225">
        <f t="array" ref="E65">IFERROR((SUMPRODUCT($D$24:$M$24/(1+E$61)^$D$29:$M$29)+($M$24*(1+$B65)/(E$61-$B65))/(1+E$61)^$M$29-$C$48)/$C$50,"")</f>
        <v>720.638231530404</v>
      </c>
      <c r="F65" s="225">
        <f t="array" ref="F65">IFERROR((SUMPRODUCT($D$24:$M$24/(1+F$61)^$D$29:$M$29)+($M$24*(1+$B65)/(F$61-$B65))/(1+F$61)^$M$29-$C$48)/$C$50,"")</f>
        <v>638.650559375516</v>
      </c>
      <c r="G65" s="225">
        <f t="array" ref="G65">IFERROR((SUMPRODUCT($D$24:$M$24/(1+G$61)^$D$29:$M$29)+($M$24*(1+$B65)/(G$61-$B65))/(1+G$61)^$M$29-$C$48)/$C$50,"")</f>
        <v>572.8616195041</v>
      </c>
      <c r="H65" s="235">
        <f t="array" ref="H65">IFERROR((SUMPRODUCT($D$24:$M$24/(1+H$61)^$D$29:$M$29)+($M$24*(1+$B65)/(H$61-$B65))/(1+H$61)^$M$29-$C$48)/$C$50,"")</f>
        <v>518.918253623748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0.05</v>
      </c>
      <c r="C66" s="229" t="n"/>
      <c r="D66" s="230">
        <f t="array" ref="D66">IFERROR((SUMPRODUCT($D$24:$M$24/(1+D$61)^$D$29:$M$29)+($M$24*(1+$B66)/(D$61-$B66))/(1+D$61)^$M$29-$C$48)/$C$50,"")</f>
        <v>931.40109089079</v>
      </c>
      <c r="E66" s="230">
        <f t="array" ref="E66">IFERROR((SUMPRODUCT($D$24:$M$24/(1+E$61)^$D$29:$M$29)+($M$24*(1+$B66)/(E$61-$B66))/(1+E$61)^$M$29-$C$48)/$C$50,"")</f>
        <v>797.55908260105</v>
      </c>
      <c r="F66" s="230">
        <f t="array" ref="F66">IFERROR((SUMPRODUCT($D$24:$M$24/(1+F$61)^$D$29:$M$29)+($M$24*(1+$B66)/(F$61-$B66))/(1+F$61)^$M$29-$C$48)/$C$50,"")</f>
        <v>696.565599166419</v>
      </c>
      <c r="G66" s="230">
        <f t="array" ref="G66">IFERROR((SUMPRODUCT($D$24:$M$24/(1+G$61)^$D$29:$M$29)+($M$24*(1+$B66)/(G$61-$B66))/(1+G$61)^$M$29-$C$48)/$C$50,"")</f>
        <v>617.670811893665</v>
      </c>
      <c r="H66" s="236">
        <f t="array" ref="H66">IFERROR((SUMPRODUCT($D$24:$M$24/(1+H$61)^$D$29:$M$29)+($M$24*(1+$B66)/(H$61-$B66))/(1+H$61)^$M$29-$C$48)/$C$50,"")</f>
        <v>554.353365768922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(Mastercard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0.09084595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0.11</v>
      </c>
      <c r="D78" s="198" t="inlineStr">
        <is>
          <t>Model adjusted EBIT CAGR 2026–30E: high-single-digit GDV growth, rising yield and mid-teens value-added services growth with modest margin expansion → ~11%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0.4</v>
      </c>
      <c r="D79" s="198" t="inlineStr">
        <is>
          <t>A two-sided network with ~60% adjusted operating margins and capex of ~4% of revenue earns very high returns on organic investment; acquired VAS businesses (Recorded Future, BVNK) earn far less on their purchase price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15</v>
      </c>
      <c r="D80" s="198" t="inlineStr">
        <is>
          <t>Global acceptance network, brand and issuer relationships sustain a long competitive-advantage period; risks are regulation (interchange, routing — CCCA), account-to-account and stablecoin rails, and rebate competition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11.0076453600848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0.772885125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-48.8586481506174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-0.298354622267265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14.5772035134667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304">
        <f>C83+C87</f>
        <v>25.5848488735515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2028E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2028E Adj. EBIT less litigation provisions &amp; restructuring</t>
        </is>
      </c>
      <c r="C91" s="209">
        <f>Model!CC189-Model!CC191</f>
        <v>27902.0763007189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0.205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2028E NOPAT</t>
        </is>
      </c>
      <c r="C93" s="211">
        <f>C91*(1-C92)</f>
        <v>22182.1506590715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305">
        <f>C88</f>
        <v>25.5848488735515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(2028E basis)</t>
        </is>
      </c>
      <c r="C95" s="211">
        <f>C93*C94</f>
        <v>567526.972302696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YE2027 net debt + NCI (Model)</t>
        </is>
      </c>
      <c r="C96" s="209">
        <f>Model!CB386+Model!CB306</f>
        <v>13334.9229671494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554192.049335546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2028E (m, Model)</t>
        </is>
      </c>
      <c r="C98" s="212">
        <f>Model!CC393</f>
        <v>821.759950500095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2028 ($)</t>
        </is>
      </c>
      <c r="C99" s="213">
        <f>C97/C98</f>
        <v>674.396518105177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595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0.133439526227187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515826.5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YE2026 net debt + NCI</t>
        </is>
      </c>
      <c r="C106" s="211">
        <f>C48</f>
        <v>12810.1042422331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528636.604242233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MA market-implied EV/NOPAT (on 2028E NOPAT)</t>
        </is>
      </c>
      <c r="C108" s="306">
        <f>C107/C93</f>
        <v>23.8316208544028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1.75322801914873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0.073567300766487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Mastercard Incorporated — Operating Performance (2011–2025) and Model Forecast (2026E–2030E)</t>
        </is>
      </c>
    </row>
    <row r="3" ht="15" customHeight="1" s="251">
      <c r="B3" s="4" t="inlineStr">
        <is>
          <t>USDm · Linked to Model. Bars = contribution to net revenue growth (pp): payment network vs value-added services (from 2021; earlier years = total net revenue growth). Adjusted EBITDA is a model definition (adjusted operating income + D&amp;A). ROIC on adjusted EBIT (full-cost).</t>
        </is>
      </c>
    </row>
    <row r="7" ht="15" customHeight="1" s="251">
      <c r="C7" s="10" t="n">
        <v>2011</v>
      </c>
      <c r="D7" s="10" t="n">
        <v>2012</v>
      </c>
      <c r="E7" s="10" t="n">
        <v>2013</v>
      </c>
      <c r="F7" s="10" t="n">
        <v>2014</v>
      </c>
      <c r="G7" s="10" t="n">
        <v>2015</v>
      </c>
      <c r="H7" s="10" t="n">
        <v>2016</v>
      </c>
      <c r="I7" s="10" t="n">
        <v>2017</v>
      </c>
      <c r="J7" s="10" t="n">
        <v>2018</v>
      </c>
      <c r="K7" s="10" t="n">
        <v>2019</v>
      </c>
      <c r="L7" s="10" t="n">
        <v>2020</v>
      </c>
      <c r="M7" s="10" t="n">
        <v>2021</v>
      </c>
      <c r="N7" s="10" t="n">
        <v>2022</v>
      </c>
      <c r="O7" s="10" t="n">
        <v>2023</v>
      </c>
      <c r="P7" s="10" t="n">
        <v>2024</v>
      </c>
      <c r="Q7" s="10" t="n">
        <v>2025</v>
      </c>
      <c r="R7" s="10" t="inlineStr">
        <is>
          <t>2026E</t>
        </is>
      </c>
      <c r="S7" s="10" t="inlineStr">
        <is>
          <t>2027E</t>
        </is>
      </c>
      <c r="T7" s="10" t="inlineStr">
        <is>
          <t>2028E</t>
        </is>
      </c>
      <c r="U7" s="10" t="inlineStr">
        <is>
          <t>2029E</t>
        </is>
      </c>
      <c r="V7" s="10" t="inlineStr">
        <is>
          <t>2030E</t>
        </is>
      </c>
    </row>
    <row r="8" ht="15" customHeight="1" s="251">
      <c r="B8" t="inlineStr">
        <is>
          <t>Payment network contribution to growth (pp)</t>
        </is>
      </c>
      <c r="C8" s="108">
        <f>IFERROR(Model!H215+0,0)</f>
        <v>0.212132153818379</v>
      </c>
      <c r="D8" s="108">
        <f>IFERROR(Model!I215+0,0)</f>
        <v>0.100834078045874</v>
      </c>
      <c r="E8" s="108">
        <f>IFERROR(Model!N215+0,0)</f>
        <v>0.129211202814234</v>
      </c>
      <c r="F8" s="108">
        <f>IFERROR(Model!S215+0,0)</f>
        <v>0.13503474718428</v>
      </c>
      <c r="G8" s="108">
        <f>IFERROR(Model!X215+0,0)</f>
        <v>0.0204792568352159</v>
      </c>
      <c r="H8" s="108">
        <f>IFERROR(Model!AC215+0,0)</f>
        <v>0.114720182062688</v>
      </c>
      <c r="I8" s="108">
        <f>IFERROR(Model!AH215+0,0)</f>
        <v>0.159706755753526</v>
      </c>
      <c r="J8" s="108">
        <f>IFERROR(Model!AM215+0,0)</f>
        <v>0.196287108906138</v>
      </c>
      <c r="K8" s="108">
        <f>IFERROR(Model!AR215+0,0)</f>
        <v>0.129297658862876</v>
      </c>
      <c r="L8" s="108">
        <f>IFERROR(Model!AW215+0,0)</f>
        <v>-0.0937037256411776</v>
      </c>
      <c r="M8" s="108">
        <f>IFERROR(Model!BB215+0,0)</f>
        <v>0.13371675053918</v>
      </c>
      <c r="N8" s="108">
        <f>IFERROR(Model!BG215+0,0)</f>
        <v>0.127886041092989</v>
      </c>
      <c r="O8" s="108">
        <f>IFERROR(Model!BL215+0,0)</f>
        <v>0.0659261591041957</v>
      </c>
      <c r="P8" s="108">
        <f>IFERROR(Model!BQ215+0,0)</f>
        <v>0.0602040003187505</v>
      </c>
      <c r="Q8" s="108">
        <f>IFERROR(Model!BV215+0,0)</f>
        <v>0.0760109347818369</v>
      </c>
      <c r="R8" s="108">
        <f>IFERROR(Model!CA215+0,0)</f>
        <v>0.0556857356054206</v>
      </c>
      <c r="S8" s="108">
        <f>IFERROR(Model!CB215+0,0)</f>
        <v>0.057965812153865</v>
      </c>
      <c r="T8" s="108">
        <f>IFERROR(Model!CC215+0,0)</f>
        <v>0.0539578903586809</v>
      </c>
      <c r="U8" s="108">
        <f>IFERROR(Model!CD215+0,0)</f>
        <v>0.049910508225526</v>
      </c>
      <c r="V8" s="108">
        <f>IFERROR(Model!CE215+0,0)</f>
        <v>0.0462675934922987</v>
      </c>
    </row>
    <row r="9" ht="15" customHeight="1" s="251">
      <c r="B9" t="inlineStr">
        <is>
          <t>Value-added services contribution to growth (pp)</t>
        </is>
      </c>
      <c r="C9" s="108">
        <f>IFERROR(Model!H216+0,0)</f>
        <v>0</v>
      </c>
      <c r="D9" s="108">
        <f>IFERROR(Model!I216+0,0)</f>
        <v>0</v>
      </c>
      <c r="E9" s="108">
        <f>IFERROR(Model!N216+0,0)</f>
        <v>0</v>
      </c>
      <c r="F9" s="108">
        <f>IFERROR(Model!S216+0,0)</f>
        <v>0</v>
      </c>
      <c r="G9" s="108">
        <f>IFERROR(Model!X216+0,0)</f>
        <v>0</v>
      </c>
      <c r="H9" s="108">
        <f>IFERROR(Model!AC216+0,0)</f>
        <v>0</v>
      </c>
      <c r="I9" s="108">
        <f>IFERROR(Model!AH216+0,0)</f>
        <v>0</v>
      </c>
      <c r="J9" s="108">
        <f>IFERROR(Model!AM216+0,0)</f>
        <v>0</v>
      </c>
      <c r="K9" s="108">
        <f>IFERROR(Model!AR216+0,0)</f>
        <v>0</v>
      </c>
      <c r="L9" s="108">
        <f>IFERROR(Model!AW216+0,0)</f>
        <v>0</v>
      </c>
      <c r="M9" s="108">
        <f>IFERROR(Model!BB216+0,0)</f>
        <v>0.100450950918241</v>
      </c>
      <c r="N9" s="108">
        <f>IFERROR(Model!BG216+0,0)</f>
        <v>0.049671679728871</v>
      </c>
      <c r="O9" s="108">
        <f>IFERROR(Model!BL216+0,0)</f>
        <v>0.0627332823672258</v>
      </c>
      <c r="P9" s="108">
        <f>IFERROR(Model!BQ216+0,0)</f>
        <v>0.0620766594947805</v>
      </c>
      <c r="Q9" s="108">
        <f>IFERROR(Model!BV216+0,0)</f>
        <v>0.0881528029254092</v>
      </c>
      <c r="R9" s="108">
        <f>IFERROR(Model!CA216+0,0)</f>
        <v>0.0793142643945795</v>
      </c>
      <c r="S9" s="108">
        <f>IFERROR(Model!CB216+0,0)</f>
        <v>0.0658252259387387</v>
      </c>
      <c r="T9" s="108">
        <f>IFERROR(Model!CC216+0,0)</f>
        <v>0.0646130779563937</v>
      </c>
      <c r="U9" s="108">
        <f>IFERROR(Model!CD216+0,0)</f>
        <v>0.061331090081906</v>
      </c>
      <c r="V9" s="108">
        <f>IFERROR(Model!CE216+0,0)</f>
        <v>0.0578009829710502</v>
      </c>
    </row>
    <row r="11" ht="15" customHeight="1" s="251">
      <c r="C11" s="10">
        <f>C7</f>
        <v>2011</v>
      </c>
      <c r="D11" s="10">
        <f>D7</f>
        <v>2012</v>
      </c>
      <c r="E11" s="10">
        <f>E7</f>
        <v>2013</v>
      </c>
      <c r="F11" s="10">
        <f>F7</f>
        <v>2014</v>
      </c>
      <c r="G11" s="10">
        <f>G7</f>
        <v>2015</v>
      </c>
      <c r="H11" s="10">
        <f>H7</f>
        <v>2016</v>
      </c>
      <c r="I11" s="10">
        <f>I7</f>
        <v>2017</v>
      </c>
      <c r="J11" s="10">
        <f>J7</f>
        <v>2018</v>
      </c>
      <c r="K11" s="10">
        <f>K7</f>
        <v>2019</v>
      </c>
      <c r="L11" s="10">
        <f>L7</f>
        <v>2020</v>
      </c>
      <c r="M11" s="10">
        <f>M7</f>
        <v>2021</v>
      </c>
      <c r="N11" s="10">
        <f>N7</f>
        <v>2022</v>
      </c>
      <c r="O11" s="10">
        <f>O7</f>
        <v>2023</v>
      </c>
      <c r="P11" s="10">
        <f>P7</f>
        <v>2024</v>
      </c>
      <c r="Q11" s="10">
        <f>Q7</f>
        <v>2025</v>
      </c>
      <c r="R11" s="10" t="str">
        <f>R7</f>
        <v>2026E</v>
      </c>
      <c r="S11" s="10" t="str">
        <f>S7</f>
        <v>2027E</v>
      </c>
      <c r="T11" s="10" t="str">
        <f>T7</f>
        <v>2028E</v>
      </c>
      <c r="U11" s="10" t="str">
        <f>U7</f>
        <v>2029E</v>
      </c>
      <c r="V11" s="10" t="str">
        <f>V7</f>
        <v>2030E</v>
      </c>
    </row>
    <row r="12" ht="15" customHeight="1" s="251">
      <c r="B12" t="inlineStr">
        <is>
          <t>Adjusted EBITDA (model)</t>
        </is>
      </c>
      <c r="C12" s="106">
        <f>Model!H185</f>
        <v>3677</v>
      </c>
      <c r="D12" s="106">
        <f>Model!I185</f>
        <v>4187</v>
      </c>
      <c r="E12" s="106">
        <f>Model!N185</f>
        <v>4856</v>
      </c>
      <c r="F12" s="106">
        <f>Model!S185</f>
        <v>5427</v>
      </c>
      <c r="G12" s="106">
        <f>Model!X185</f>
        <v>5584</v>
      </c>
      <c r="H12" s="106">
        <f>Model!AC185</f>
        <v>6251</v>
      </c>
      <c r="I12" s="106">
        <f>Model!AH185</f>
        <v>7240</v>
      </c>
      <c r="J12" s="106">
        <f>Model!AM185</f>
        <v>8869</v>
      </c>
      <c r="K12" s="106">
        <f>Model!AR185</f>
        <v>10186</v>
      </c>
      <c r="L12" s="106">
        <f>Model!AW185</f>
        <v>8734</v>
      </c>
      <c r="M12" s="106">
        <f>Model!BB185</f>
        <v>10984</v>
      </c>
      <c r="N12" s="106">
        <f>Model!BG185</f>
        <v>13400</v>
      </c>
      <c r="O12" s="106">
        <f>Model!BL185</f>
        <v>15346</v>
      </c>
      <c r="P12" s="106">
        <f>Model!BQ185</f>
        <v>17349</v>
      </c>
      <c r="Q12" s="106">
        <f>Model!BV185</f>
        <v>20544</v>
      </c>
      <c r="R12" s="106">
        <f>Model!CA185</f>
        <v>23545.935</v>
      </c>
      <c r="S12" s="106">
        <f>Model!CB185</f>
        <v>26679.8459342987</v>
      </c>
      <c r="T12" s="106">
        <f>Model!CC185</f>
        <v>30045.8656497722</v>
      </c>
      <c r="U12" s="106">
        <f>Model!CD185</f>
        <v>33610.8931784535</v>
      </c>
      <c r="V12" s="106">
        <f>Model!CE185</f>
        <v>37351.9188722655</v>
      </c>
    </row>
    <row r="13" ht="15" customHeight="1" s="251">
      <c r="B13" t="inlineStr">
        <is>
          <t>Operating income (GAAP)</t>
        </is>
      </c>
      <c r="C13" s="106">
        <f>Model!H130</f>
        <v>2713</v>
      </c>
      <c r="D13" s="106">
        <f>Model!I130</f>
        <v>3937</v>
      </c>
      <c r="E13" s="106">
        <f>Model!N130</f>
        <v>4503</v>
      </c>
      <c r="F13" s="106">
        <f>Model!S130</f>
        <v>5106</v>
      </c>
      <c r="G13" s="106">
        <f>Model!X130</f>
        <v>5078</v>
      </c>
      <c r="H13" s="106">
        <f>Model!AC130</f>
        <v>5761</v>
      </c>
      <c r="I13" s="106">
        <f>Model!AH130</f>
        <v>6622</v>
      </c>
      <c r="J13" s="106">
        <f>Model!AM130</f>
        <v>7282</v>
      </c>
      <c r="K13" s="106">
        <f>Model!AR130</f>
        <v>9664</v>
      </c>
      <c r="L13" s="106">
        <f>Model!AW130</f>
        <v>8081</v>
      </c>
      <c r="M13" s="106">
        <f>Model!BB130</f>
        <v>10082</v>
      </c>
      <c r="N13" s="106">
        <f>Model!BG130</f>
        <v>12264</v>
      </c>
      <c r="O13" s="106">
        <f>Model!BL130</f>
        <v>14008</v>
      </c>
      <c r="P13" s="106">
        <f>Model!BQ130</f>
        <v>15582</v>
      </c>
      <c r="Q13" s="106">
        <f>Model!BV130</f>
        <v>18897</v>
      </c>
      <c r="R13" s="106">
        <f>Model!CA130</f>
        <v>21803.935</v>
      </c>
      <c r="S13" s="106">
        <f>Model!CB130</f>
        <v>24742.1704841164</v>
      </c>
      <c r="T13" s="106">
        <f>Model!CC130</f>
        <v>27902.0763007189</v>
      </c>
      <c r="U13" s="106">
        <f>Model!CD130</f>
        <v>31252.6557848408</v>
      </c>
      <c r="V13" s="106">
        <f>Model!CE130</f>
        <v>34772.2285731106</v>
      </c>
    </row>
    <row r="14" ht="15" customHeight="1" s="251">
      <c r="B14" t="inlineStr">
        <is>
          <t>Adj. EBITDA Margin %</t>
        </is>
      </c>
      <c r="C14" s="108">
        <f>Model!H224</f>
        <v>0.547661602621388</v>
      </c>
      <c r="D14" s="108">
        <f>Model!I224</f>
        <v>0.566499797050467</v>
      </c>
      <c r="E14" s="108">
        <f>Model!N224</f>
        <v>0.581835609872993</v>
      </c>
      <c r="F14" s="108">
        <f>Model!S224</f>
        <v>0.57289137548823</v>
      </c>
      <c r="G14" s="108">
        <f>Model!X224</f>
        <v>0.57763525395676</v>
      </c>
      <c r="H14" s="108">
        <f>Model!AC224</f>
        <v>0.580085374907201</v>
      </c>
      <c r="I14" s="108">
        <f>Model!AH224</f>
        <v>0.579339041369929</v>
      </c>
      <c r="J14" s="108">
        <f>Model!AM224</f>
        <v>0.593244147157191</v>
      </c>
      <c r="K14" s="108">
        <f>Model!AR224</f>
        <v>0.603328792276254</v>
      </c>
      <c r="L14" s="108">
        <f>Model!AW224</f>
        <v>0.570812365204889</v>
      </c>
      <c r="M14" s="108">
        <f>Model!BB224</f>
        <v>0.581656428722728</v>
      </c>
      <c r="N14" s="108">
        <f>Model!BG224</f>
        <v>0.602599271484463</v>
      </c>
      <c r="O14" s="108">
        <f>Model!BL224</f>
        <v>0.611443142879911</v>
      </c>
      <c r="P14" s="108">
        <f>Model!BQ224</f>
        <v>0.615933539248056</v>
      </c>
      <c r="Q14" s="108">
        <f>Model!BV224</f>
        <v>0.626513372571742</v>
      </c>
      <c r="R14" s="108">
        <f>Model!CA224</f>
        <v>0.632652776085412</v>
      </c>
      <c r="S14" s="108">
        <f>Model!CB224</f>
        <v>0.63789210969965</v>
      </c>
      <c r="T14" s="108">
        <f>Model!CC224</f>
        <v>0.642221869560483</v>
      </c>
      <c r="U14" s="108">
        <f>Model!CD224</f>
        <v>0.646505066493559</v>
      </c>
      <c r="V14" s="108">
        <f>Model!CE224</f>
        <v>0.650741864598093</v>
      </c>
    </row>
    <row r="15" ht="15" customHeight="1" s="251">
      <c r="B15" t="inlineStr">
        <is>
          <t>Operating Margin %</t>
        </is>
      </c>
      <c r="C15" s="108">
        <f>Model!H225</f>
        <v>0.404081024724456</v>
      </c>
      <c r="D15" s="108">
        <f>Model!I225</f>
        <v>0.532674874847788</v>
      </c>
      <c r="E15" s="108">
        <f>Model!N225</f>
        <v>0.539539899352983</v>
      </c>
      <c r="F15" s="108">
        <f>Model!S225</f>
        <v>0.539005594848517</v>
      </c>
      <c r="G15" s="108">
        <f>Model!X225</f>
        <v>0.525292231302369</v>
      </c>
      <c r="H15" s="108">
        <f>Model!AC225</f>
        <v>0.534613956941351</v>
      </c>
      <c r="I15" s="108">
        <f>Model!AH225</f>
        <v>0.529887172921501</v>
      </c>
      <c r="J15" s="108">
        <f>Model!AM225</f>
        <v>0.487090301003345</v>
      </c>
      <c r="K15" s="108">
        <f>Model!AR225</f>
        <v>0.572410116685423</v>
      </c>
      <c r="L15" s="108">
        <f>Model!AW225</f>
        <v>0.528135415985883</v>
      </c>
      <c r="M15" s="108">
        <f>Model!BB225</f>
        <v>0.533891124761703</v>
      </c>
      <c r="N15" s="108">
        <f>Model!BG225</f>
        <v>0.551513243692944</v>
      </c>
      <c r="O15" s="108">
        <f>Model!BL225</f>
        <v>0.558132122081441</v>
      </c>
      <c r="P15" s="108">
        <f>Model!BQ225</f>
        <v>0.5532005538396</v>
      </c>
      <c r="Q15" s="108">
        <f>Model!BV225</f>
        <v>0.576286176084901</v>
      </c>
      <c r="R15" s="108">
        <f>Model!CA225</f>
        <v>0.585847196441164</v>
      </c>
      <c r="S15" s="108">
        <f>Model!CB225</f>
        <v>0.591563960583878</v>
      </c>
      <c r="T15" s="108">
        <f>Model!CC225</f>
        <v>0.596398979325222</v>
      </c>
      <c r="U15" s="108">
        <f>Model!CD225</f>
        <v>0.601144402768545</v>
      </c>
      <c r="V15" s="108">
        <f>Model!CE225</f>
        <v>0.60579872577038</v>
      </c>
    </row>
    <row r="17" ht="15" customHeight="1" s="251">
      <c r="C17" s="10">
        <f>C7</f>
        <v>2011</v>
      </c>
      <c r="D17" s="10">
        <f>D7</f>
        <v>2012</v>
      </c>
      <c r="E17" s="10">
        <f>E7</f>
        <v>2013</v>
      </c>
      <c r="F17" s="10">
        <f>F7</f>
        <v>2014</v>
      </c>
      <c r="G17" s="10">
        <f>G7</f>
        <v>2015</v>
      </c>
      <c r="H17" s="10">
        <f>H7</f>
        <v>2016</v>
      </c>
      <c r="I17" s="10">
        <f>I7</f>
        <v>2017</v>
      </c>
      <c r="J17" s="10">
        <f>J7</f>
        <v>2018</v>
      </c>
      <c r="K17" s="10">
        <f>K7</f>
        <v>2019</v>
      </c>
      <c r="L17" s="10">
        <f>L7</f>
        <v>2020</v>
      </c>
      <c r="M17" s="10">
        <f>M7</f>
        <v>2021</v>
      </c>
      <c r="N17" s="10">
        <f>N7</f>
        <v>2022</v>
      </c>
      <c r="O17" s="10">
        <f>O7</f>
        <v>2023</v>
      </c>
      <c r="P17" s="10">
        <f>P7</f>
        <v>2024</v>
      </c>
      <c r="Q17" s="10">
        <f>Q7</f>
        <v>2025</v>
      </c>
      <c r="R17" s="10" t="str">
        <f>R7</f>
        <v>2026E</v>
      </c>
      <c r="S17" s="10" t="str">
        <f>S7</f>
        <v>2027E</v>
      </c>
      <c r="T17" s="10" t="str">
        <f>T7</f>
        <v>2028E</v>
      </c>
      <c r="U17" s="10" t="str">
        <f>U7</f>
        <v>2029E</v>
      </c>
      <c r="V17" s="10" t="str">
        <f>V7</f>
        <v>2030E</v>
      </c>
    </row>
    <row r="18" ht="15" customHeight="1" s="251">
      <c r="B18" t="inlineStr">
        <is>
          <t>ROIC</t>
        </is>
      </c>
      <c r="C18" s="108">
        <f>IFERROR(Model!H369+0,NA())</f>
        <v>2.56086615128869</v>
      </c>
      <c r="D18" s="108">
        <f>IFERROR(Model!I369+0,NA())</f>
        <v>1.44055338517033</v>
      </c>
      <c r="E18" s="108">
        <f>IFERROR(Model!N369+0,NA())</f>
        <v>2.64922850924918</v>
      </c>
      <c r="F18" s="108">
        <f>IFERROR(Model!S369+0,NA())</f>
        <v>1.80637257706772</v>
      </c>
      <c r="G18" s="108">
        <f>IFERROR(Model!X369+0,NA())</f>
        <v>1.53001582615362</v>
      </c>
      <c r="H18" s="108">
        <f>IFERROR(Model!AC369+0,NA())</f>
        <v>1.67129024982938</v>
      </c>
      <c r="I18" s="108">
        <f>IFERROR(Model!AH369+0,NA())</f>
        <v>1.55114647692548</v>
      </c>
      <c r="J18" s="108">
        <f>IFERROR(Model!AM369+0,NA())</f>
        <v>1.99000966424584</v>
      </c>
      <c r="K18" s="108">
        <f>IFERROR(Model!AR369+0,NA())</f>
        <v>1.17217016799454</v>
      </c>
      <c r="L18" s="108">
        <f>IFERROR(Model!AW369+0,NA())</f>
        <v>0.785956381169673</v>
      </c>
      <c r="M18" s="108">
        <f>IFERROR(Model!BB369+0,NA())</f>
        <v>0.647101369031078</v>
      </c>
      <c r="N18" s="108">
        <f>IFERROR(Model!BG369+0,NA())</f>
        <v>0.821149662628058</v>
      </c>
      <c r="O18" s="108">
        <f>IFERROR(Model!BL369+0,NA())</f>
        <v>0.878505549864608</v>
      </c>
      <c r="P18" s="108">
        <f>IFERROR(Model!BQ369+0,NA())</f>
        <v>0.863651486706835</v>
      </c>
      <c r="Q18" s="108">
        <f>IFERROR(Model!BV369+0,NA())</f>
        <v>0.98439878572574</v>
      </c>
      <c r="R18" s="108">
        <f>IFERROR(Model!CA369+0,NA())</f>
        <v>0.939671320641294</v>
      </c>
      <c r="S18" s="108">
        <f>IFERROR(Model!CB369+0,NA())</f>
        <v>0.965587911742293</v>
      </c>
      <c r="T18" s="108">
        <f>IFERROR(Model!CC369+0,NA())</f>
        <v>0.998563962203977</v>
      </c>
      <c r="U18" s="108">
        <f>IFERROR(Model!CD369+0,NA())</f>
        <v>1.03180026436064</v>
      </c>
      <c r="V18" s="108">
        <f>IFERROR(Model!CE369+0,NA())</f>
        <v>1.06447834347945</v>
      </c>
    </row>
    <row r="19" ht="15" customHeight="1" s="251">
      <c r="B19" t="inlineStr">
        <is>
          <t>RONTA</t>
        </is>
      </c>
      <c r="C19" s="108">
        <f>IFERROR(Model!H380+0,NA())</f>
        <v>0.495410420762123</v>
      </c>
      <c r="D19" s="108">
        <f>IFERROR(Model!I380+0,NA())</f>
        <v>0.479023794861543</v>
      </c>
      <c r="E19" s="108">
        <f>IFERROR(Model!N380+0,NA())</f>
        <v>0.495491616443114</v>
      </c>
      <c r="F19" s="108">
        <f>IFERROR(Model!S380+0,NA())</f>
        <v>0.529213796774462</v>
      </c>
      <c r="G19" s="108">
        <f>IFERROR(Model!X380+0,NA())</f>
        <v>0.546793227769928</v>
      </c>
      <c r="H19" s="108">
        <f>IFERROR(Model!AC380+0,NA())</f>
        <v>0.47010266286492</v>
      </c>
      <c r="I19" s="108">
        <f>IFERROR(Model!AH380+0,NA())</f>
        <v>0.594103351739743</v>
      </c>
      <c r="J19" s="108">
        <f>IFERROR(Model!AM380+0,NA())</f>
        <v>0.694447254186278</v>
      </c>
      <c r="K19" s="108">
        <f>IFERROR(Model!AR380+0,NA())</f>
        <v>0.674288573181323</v>
      </c>
      <c r="L19" s="108">
        <f>IFERROR(Model!AW380+0,NA())</f>
        <v>0.430914514348944</v>
      </c>
      <c r="M19" s="108">
        <f>IFERROR(Model!BB380+0,NA())</f>
        <v>0.621756642634114</v>
      </c>
      <c r="N19" s="108">
        <f>IFERROR(Model!BG380+0,NA())</f>
        <v>0.793423800153483</v>
      </c>
      <c r="O19" s="108">
        <f>IFERROR(Model!BL380+0,NA())</f>
        <v>0.751700026121869</v>
      </c>
      <c r="P19" s="108">
        <f>IFERROR(Model!BQ380+0,NA())</f>
        <v>0.921593758183859</v>
      </c>
      <c r="Q19" s="108">
        <f>IFERROR(Model!BV380+0,NA())</f>
        <v>0.916074689147477</v>
      </c>
      <c r="R19" s="108">
        <f>IFERROR(Model!CA380+0,NA())</f>
        <v>1.00065669567934</v>
      </c>
      <c r="S19" s="108">
        <f>IFERROR(Model!CB380+0,NA())</f>
        <v>1.04673106741793</v>
      </c>
      <c r="T19" s="108">
        <f>IFERROR(Model!CC380+0,NA())</f>
        <v>1.16154396134179</v>
      </c>
      <c r="U19" s="108">
        <f>IFERROR(Model!CD380+0,NA())</f>
        <v>1.2659361650253</v>
      </c>
      <c r="V19" s="108">
        <f>IFERROR(Model!CE380+0,NA())</f>
        <v>1.33397492088328</v>
      </c>
    </row>
    <row r="20" ht="15" customHeight="1" s="251">
      <c r="B20" t="inlineStr">
        <is>
          <t>Adj. EBITDA margin %</t>
        </is>
      </c>
      <c r="C20" s="108">
        <f>IFERROR(Model!H224+0,NA())</f>
        <v>0.547661602621388</v>
      </c>
      <c r="D20" s="108">
        <f>IFERROR(Model!I224+0,NA())</f>
        <v>0.566499797050467</v>
      </c>
      <c r="E20" s="108">
        <f>IFERROR(Model!N224+0,NA())</f>
        <v>0.581835609872993</v>
      </c>
      <c r="F20" s="108">
        <f>IFERROR(Model!S224+0,NA())</f>
        <v>0.57289137548823</v>
      </c>
      <c r="G20" s="108">
        <f>IFERROR(Model!X224+0,NA())</f>
        <v>0.57763525395676</v>
      </c>
      <c r="H20" s="108">
        <f>IFERROR(Model!AC224+0,NA())</f>
        <v>0.580085374907201</v>
      </c>
      <c r="I20" s="108">
        <f>IFERROR(Model!AH224+0,NA())</f>
        <v>0.579339041369929</v>
      </c>
      <c r="J20" s="108">
        <f>IFERROR(Model!AM224+0,NA())</f>
        <v>0.593244147157191</v>
      </c>
      <c r="K20" s="108">
        <f>IFERROR(Model!AR224+0,NA())</f>
        <v>0.603328792276254</v>
      </c>
      <c r="L20" s="108">
        <f>IFERROR(Model!AW224+0,NA())</f>
        <v>0.570812365204889</v>
      </c>
      <c r="M20" s="108">
        <f>IFERROR(Model!BB224+0,NA())</f>
        <v>0.581656428722728</v>
      </c>
      <c r="N20" s="108">
        <f>IFERROR(Model!BG224+0,NA())</f>
        <v>0.602599271484463</v>
      </c>
      <c r="O20" s="108">
        <f>IFERROR(Model!BL224+0,NA())</f>
        <v>0.611443142879911</v>
      </c>
      <c r="P20" s="108">
        <f>IFERROR(Model!BQ224+0,NA())</f>
        <v>0.615933539248056</v>
      </c>
      <c r="Q20" s="108">
        <f>IFERROR(Model!BV224+0,NA())</f>
        <v>0.626513372571742</v>
      </c>
      <c r="R20" s="108">
        <f>IFERROR(Model!CA224+0,NA())</f>
        <v>0.632652776085412</v>
      </c>
      <c r="S20" s="108">
        <f>IFERROR(Model!CB224+0,NA())</f>
        <v>0.63789210969965</v>
      </c>
      <c r="T20" s="108">
        <f>IFERROR(Model!CC224+0,NA())</f>
        <v>0.642221869560483</v>
      </c>
      <c r="U20" s="108">
        <f>IFERROR(Model!CD224+0,NA())</f>
        <v>0.646505066493559</v>
      </c>
      <c r="V20" s="108">
        <f>IFERROR(Model!CE224+0,NA())</f>
        <v>0.650741864598093</v>
      </c>
    </row>
    <row r="21" ht="15" customHeight="1" s="251">
      <c r="B21" t="inlineStr">
        <is>
          <t>FCF margin %</t>
        </is>
      </c>
      <c r="C21" s="108">
        <f>IFERROR(Model!H258+0,NA())</f>
        <v>0.373398868036938</v>
      </c>
      <c r="D21" s="108">
        <f>IFERROR(Model!I258+0,NA())</f>
        <v>0.369368150453254</v>
      </c>
      <c r="E21" s="108">
        <f>IFERROR(Model!N258+0,NA())</f>
        <v>0.459621375509226</v>
      </c>
      <c r="F21" s="108">
        <f>IFERROR(Model!S258+0,NA())</f>
        <v>0.324395650797002</v>
      </c>
      <c r="G21" s="108">
        <f>IFERROR(Model!X258+0,NA())</f>
        <v>0.382848867280439</v>
      </c>
      <c r="H21" s="108">
        <f>IFERROR(Model!AC258+0,NA())</f>
        <v>0.380660727542687</v>
      </c>
      <c r="I21" s="108">
        <f>IFERROR(Model!AH258+0,NA())</f>
        <v>0.410658558053933</v>
      </c>
      <c r="J21" s="108">
        <f>IFERROR(Model!AM258+0,NA())</f>
        <v>0.382541806020067</v>
      </c>
      <c r="K21" s="108">
        <f>IFERROR(Model!AR258+0,NA())</f>
        <v>0.441568441627673</v>
      </c>
      <c r="L21" s="108">
        <f>IFERROR(Model!AW258+0,NA())</f>
        <v>0.425854519312463</v>
      </c>
      <c r="M21" s="108">
        <f>IFERROR(Model!BB258+0,NA())</f>
        <v>0.458006778224952</v>
      </c>
      <c r="N21" s="108">
        <f>IFERROR(Model!BG258+0,NA())</f>
        <v>0.454108018167918</v>
      </c>
      <c r="O21" s="108">
        <f>IFERROR(Model!BL258+0,NA())</f>
        <v>0.43397880309188</v>
      </c>
      <c r="P21" s="108">
        <f>IFERROR(Model!BQ258+0,NA())</f>
        <v>0.48233748713033</v>
      </c>
      <c r="Q21" s="108">
        <f>IFERROR(Model!BV258+0,NA())</f>
        <v>0.501143606477387</v>
      </c>
      <c r="R21" s="108">
        <f>IFERROR(Model!CA258+0,NA())</f>
        <v>0.436469377843127</v>
      </c>
      <c r="S21" s="108">
        <f>IFERROR(Model!CB258+0,NA())</f>
        <v>0.461294569070098</v>
      </c>
      <c r="T21" s="108">
        <f>IFERROR(Model!CC258+0,NA())</f>
        <v>0.466249788702825</v>
      </c>
      <c r="U21" s="108">
        <f>IFERROR(Model!CD258+0,NA())</f>
        <v>0.470868286821938</v>
      </c>
      <c r="V21" s="108">
        <f>IFERROR(Model!CE258+0,NA())</f>
        <v>0.475229197250334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2026-10-13T10:42:12Z</dcterms:modified>
  <cp:lastModifiedBy>Payton Liske</cp:lastModifiedBy>
  <cp:revision>3</cp:revision>
</cp:coreProperties>
</file>