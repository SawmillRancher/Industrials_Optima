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1" showHorizontalScroll="1" showVerticalScroll="1" showSheetTabs="1" xWindow="5505" yWindow="5505" windowWidth="14400" windowHeight="7275" tabRatio="500" firstSheet="0" activeTab="0" autoFilterDateGrouping="1"/>
  </bookViews>
  <sheets>
    <sheet xmlns:r="http://schemas.openxmlformats.org/officeDocument/2006/relationships" name="Model" sheetId="1" state="visible" r:id="rId1"/>
    <sheet xmlns:r="http://schemas.openxmlformats.org/officeDocument/2006/relationships" name="Bull-Base-Bear" sheetId="2" state="visible" r:id="rId2"/>
    <sheet xmlns:r="http://schemas.openxmlformats.org/officeDocument/2006/relationships" name="DCF" sheetId="3" state="visible" r:id="rId3"/>
    <sheet xmlns:r="http://schemas.openxmlformats.org/officeDocument/2006/relationships" name="Charts" sheetId="4" state="visible" r:id="rId4"/>
  </sheets>
  <definedNames/>
  <calcPr calcId="191029" fullCalcOnLoad="1" iterate="1" iterateDelta="0.0001"/>
</workbook>
</file>

<file path=xl/styles.xml><?xml version="1.0" encoding="utf-8"?>
<styleSheet xmlns="http://schemas.openxmlformats.org/spreadsheetml/2006/main">
  <numFmts count="22">
    <numFmt numFmtId="164" formatCode="#,##0.0;\(#,##0.0\);\-"/>
    <numFmt numFmtId="165" formatCode="0%;\(0%\);&quot;n/m&quot;"/>
    <numFmt numFmtId="166" formatCode="0.0%;\(0.0%\);\-"/>
    <numFmt numFmtId="167" formatCode="#,##0;\(#,##0\);\-"/>
    <numFmt numFmtId="168" formatCode="0.00;\(0.00\);\-"/>
    <numFmt numFmtId="169" formatCode="0.000\x;\(0.000&quot;x)&quot;;\-"/>
    <numFmt numFmtId="170" formatCode="0.0\x;\(0.0&quot;x)&quot;;\-"/>
    <numFmt numFmtId="171" formatCode="\+0.0%;\-0.0%"/>
    <numFmt numFmtId="172" formatCode="\+#,##0;\-#,##0"/>
    <numFmt numFmtId="173" formatCode="0.00\x;\(0.00&quot;x)&quot;;\-"/>
    <numFmt numFmtId="174" formatCode="0\d;\(0&quot;)d&quot;;\-"/>
    <numFmt numFmtId="175" formatCode="0%;\(0%\);\-"/>
    <numFmt numFmtId="176" formatCode="0.0\x"/>
    <numFmt numFmtId="177" formatCode="dd\-mmm\-yy"/>
    <numFmt numFmtId="178" formatCode="0.0%"/>
    <numFmt numFmtId="179" formatCode="0.000"/>
    <numFmt numFmtId="180" formatCode="d/mmm/yyyy"/>
    <numFmt numFmtId="181" formatCode="#,##0.0"/>
    <numFmt numFmtId="182" formatCode="0.0%;\(0.0%\)"/>
    <numFmt numFmtId="183" formatCode="0.00\x"/>
    <numFmt numFmtId="184" formatCode="0.0\x;\(0.0\x\)"/>
    <numFmt numFmtId="185" formatCode="&quot;$&quot;#,##0.00;\(&quot;$&quot;#,##0.00\);\-"/>
  </numFmts>
  <fonts count="56">
    <font>
      <name val="Calibri"/>
      <charset val="1"/>
      <family val="2"/>
      <color theme="1"/>
      <sz val="11"/>
    </font>
    <font>
      <name val="Calibri"/>
      <family val="2"/>
      <b val="1"/>
      <color rgb="FFC00000"/>
      <sz val="10"/>
    </font>
    <font>
      <name val="Calibri"/>
      <family val="2"/>
      <b val="1"/>
      <color rgb="FF1F3864"/>
      <sz val="16"/>
    </font>
    <font>
      <name val="Calibri"/>
      <family val="2"/>
      <b val="1"/>
      <color rgb="FF0000FF"/>
      <sz val="12"/>
    </font>
    <font>
      <name val="Calibri"/>
      <family val="2"/>
      <color rgb="FF595959"/>
      <sz val="10"/>
    </font>
    <font>
      <name val="Calibri"/>
      <family val="2"/>
      <color rgb="FFC00000"/>
      <sz val="10"/>
    </font>
    <font>
      <name val="Calibri"/>
      <family val="2"/>
      <b val="1"/>
      <color rgb="FFFFFFFF"/>
      <sz val="12"/>
    </font>
    <font>
      <name val="Calibri"/>
      <family val="2"/>
      <color rgb="FF666666"/>
      <sz val="9"/>
    </font>
    <font>
      <name val="Calibri"/>
      <family val="2"/>
      <b val="1"/>
      <color rgb="FF000000"/>
      <sz val="11"/>
    </font>
    <font>
      <name val="Calibri"/>
      <family val="2"/>
      <b val="1"/>
      <color rgb="FF000000"/>
      <sz val="12"/>
    </font>
    <font>
      <name val="Calibri"/>
      <family val="2"/>
      <sz val="10"/>
    </font>
    <font>
      <name val="Calibri"/>
      <family val="2"/>
      <b val="1"/>
      <color rgb="FFFFFFFF"/>
      <sz val="11"/>
    </font>
    <font>
      <name val="Calibri"/>
      <family val="2"/>
      <b val="1"/>
      <sz val="12"/>
    </font>
    <font>
      <name val="Calibri"/>
      <family val="2"/>
      <color rgb="FF404040"/>
      <sz val="12"/>
    </font>
    <font>
      <name val="Calibri"/>
      <family val="2"/>
      <color rgb="FFA6A6A6"/>
      <sz val="12"/>
    </font>
    <font>
      <name val="Calibri"/>
      <family val="2"/>
      <color rgb="FF000000"/>
      <sz val="12"/>
    </font>
    <font>
      <name val="Calibri"/>
      <family val="2"/>
      <sz val="12"/>
    </font>
    <font>
      <name val="Calibri"/>
      <family val="2"/>
      <color rgb="FF0000FF"/>
      <sz val="12"/>
    </font>
    <font>
      <name val="Calibri"/>
      <family val="2"/>
      <b val="1"/>
      <color rgb="FF595959"/>
      <sz val="12"/>
    </font>
    <font>
      <name val="Arial"/>
      <family val="2"/>
      <sz val="10"/>
    </font>
    <font>
      <name val="Calibri"/>
      <family val="2"/>
      <b val="1"/>
      <color rgb="FF2F3E46"/>
      <sz val="16"/>
    </font>
    <font>
      <name val="Calibri"/>
      <family val="2"/>
      <b val="1"/>
      <color rgb="FF008000"/>
      <sz val="12"/>
    </font>
    <font>
      <name val="Calibri"/>
      <family val="2"/>
      <b val="1"/>
      <color rgb="FF2F3E46"/>
      <sz val="12"/>
    </font>
    <font>
      <name val="Calibri"/>
      <family val="2"/>
      <b val="1"/>
      <color rgb="FFFFFFFF"/>
      <sz val="9"/>
    </font>
    <font>
      <name val="Calibri"/>
      <family val="2"/>
      <color rgb="FF595959"/>
      <sz val="12"/>
    </font>
    <font>
      <name val="Calibri"/>
      <family val="2"/>
      <color rgb="FF008000"/>
      <sz val="12"/>
    </font>
    <font>
      <name val="Calibri"/>
      <family val="2"/>
      <b val="1"/>
      <sz val="14"/>
    </font>
    <font>
      <name val="Calibri"/>
      <charset val="1"/>
      <family val="2"/>
      <color theme="1"/>
      <sz val="11"/>
    </font>
    <font>
      <name val="Calibri"/>
      <family val="2"/>
      <b val="1"/>
      <color rgb="FFFFFFFF"/>
      <sz val="14"/>
    </font>
    <font>
      <name val="Calibri"/>
      <family val="2"/>
      <color theme="1"/>
      <sz val="11"/>
    </font>
    <font>
      <name val="Calibri"/>
      <family val="2"/>
      <color rgb="FF000000"/>
      <sz val="11"/>
    </font>
    <font>
      <name val="Calibri"/>
      <family val="2"/>
      <b val="1"/>
      <color theme="1"/>
      <sz val="11"/>
    </font>
    <font>
      <name val="Calibri"/>
      <family val="2"/>
      <color rgb="FF0000FF"/>
      <sz val="11"/>
    </font>
    <font>
      <name val="Calibri"/>
      <family val="2"/>
      <sz val="11"/>
    </font>
    <font>
      <name val="Calibri"/>
      <family val="2"/>
      <color rgb="FF595959"/>
      <sz val="11"/>
    </font>
    <font>
      <name val="Calibri"/>
      <family val="2"/>
      <b val="1"/>
      <sz val="11"/>
    </font>
    <font>
      <name val="Calibri"/>
      <family val="2"/>
      <color rgb="FF008000"/>
      <sz val="11"/>
    </font>
    <font>
      <name val="Calibri"/>
      <family val="2"/>
      <b val="1"/>
      <color rgb="FF0000FF"/>
      <sz val="11"/>
    </font>
    <font>
      <name val="Calibri"/>
      <charset val="1"/>
      <family val="2"/>
      <color theme="1"/>
      <sz val="10"/>
    </font>
    <font>
      <name val="Calibri"/>
      <family val="2"/>
      <b val="1"/>
      <color rgb="FF666666"/>
      <sz val="12"/>
    </font>
    <font>
      <name val="Calibri"/>
      <family val="2"/>
      <b val="1"/>
      <color rgb="FFC00000"/>
      <sz val="11"/>
    </font>
    <font>
      <name val="Calibri"/>
      <color rgb="FF000000"/>
      <sz val="11"/>
    </font>
    <font>
      <name val="Calibri"/>
      <b val="1"/>
      <color rgb="FFFFFFFF"/>
      <sz val="14"/>
    </font>
    <font>
      <name val="Calibri"/>
      <b val="1"/>
      <color rgb="FFFFFFFF"/>
      <sz val="11"/>
    </font>
    <font>
      <name val="Calibri"/>
      <b val="1"/>
      <color rgb="FFFFFFFF"/>
      <sz val="12"/>
    </font>
    <font>
      <name val="Calibri"/>
      <color rgb="FF000000"/>
      <sz val="12"/>
    </font>
    <font>
      <name val="Calibri"/>
      <color rgb="FF0000FF"/>
      <sz val="12"/>
    </font>
    <font>
      <name val="Calibri"/>
      <color rgb="FF595959"/>
      <sz val="9"/>
    </font>
    <font>
      <name val="Calibri"/>
      <b val="1"/>
      <color rgb="FF000000"/>
      <sz val="12"/>
    </font>
    <font>
      <name val="Calibri"/>
      <color rgb="FF008000"/>
      <sz val="12"/>
    </font>
    <font>
      <name val="Calibri"/>
      <b val="1"/>
      <color rgb="FF000000"/>
      <sz val="11"/>
    </font>
    <font>
      <name val="Calibri"/>
      <b val="1"/>
      <color rgb="FF0000FF"/>
      <sz val="12"/>
    </font>
    <font>
      <name val="Tahoma"/>
      <charset val="1"/>
      <color indexed="81"/>
      <sz val="9"/>
    </font>
    <font>
      <name val="Tahoma"/>
      <charset val="1"/>
      <b val="1"/>
      <color indexed="81"/>
      <sz val="9"/>
    </font>
    <font>
      <name val="Calibri"/>
      <family val="2"/>
      <color rgb="FF2F3E46"/>
      <sz val="12"/>
    </font>
    <font>
      <name val="Calibri"/>
      <charset val="1"/>
      <family val="2"/>
      <color rgb="FF000000"/>
      <sz val="11"/>
    </font>
  </fonts>
  <fills count="19">
    <fill>
      <patternFill/>
    </fill>
    <fill>
      <patternFill patternType="gray125"/>
    </fill>
    <fill>
      <patternFill patternType="solid">
        <fgColor rgb="FFFFFDE7"/>
        <bgColor rgb="FFFFF8DC"/>
      </patternFill>
    </fill>
    <fill>
      <patternFill patternType="solid">
        <fgColor rgb="FFFFFF00"/>
        <bgColor rgb="FFFFFF00"/>
      </patternFill>
    </fill>
    <fill>
      <patternFill patternType="solid">
        <fgColor rgb="FF84A98C"/>
        <bgColor rgb="FFA6A6A6"/>
      </patternFill>
    </fill>
    <fill>
      <patternFill patternType="solid">
        <fgColor rgb="FF2F3E46"/>
        <bgColor rgb="FF404040"/>
      </patternFill>
    </fill>
    <fill>
      <patternFill patternType="solid">
        <fgColor rgb="FFCAD2C5"/>
        <bgColor rgb="FFD9D9D9"/>
      </patternFill>
    </fill>
    <fill>
      <patternFill patternType="solid">
        <fgColor rgb="FF52796F"/>
        <bgColor rgb="FF666666"/>
      </patternFill>
    </fill>
    <fill>
      <patternFill patternType="solid">
        <fgColor rgb="FFE9ECEC"/>
        <bgColor rgb="FFE8EDE9"/>
      </patternFill>
    </fill>
    <fill>
      <patternFill patternType="solid">
        <fgColor rgb="FFF5F5F5"/>
        <bgColor rgb="FFF0F2F0"/>
      </patternFill>
    </fill>
    <fill>
      <patternFill patternType="solid">
        <fgColor rgb="FFE8EDE9"/>
        <bgColor rgb="FFE9ECEC"/>
      </patternFill>
    </fill>
    <fill>
      <patternFill patternType="solid">
        <fgColor rgb="FFF0F2F0"/>
        <bgColor rgb="FFF5F5F5"/>
      </patternFill>
    </fill>
    <fill>
      <patternFill patternType="solid">
        <fgColor rgb="FFFFF8DC"/>
        <bgColor rgb="FFFFFDE7"/>
      </patternFill>
    </fill>
    <fill>
      <patternFill patternType="solid">
        <fgColor rgb="FFFFFDE7"/>
        <bgColor indexed="64"/>
      </patternFill>
    </fill>
    <fill>
      <patternFill patternType="solid">
        <fgColor rgb="FF2F3E46"/>
        <bgColor indexed="64"/>
      </patternFill>
    </fill>
    <fill>
      <patternFill patternType="solid">
        <fgColor rgb="FF52796F"/>
        <bgColor indexed="64"/>
      </patternFill>
    </fill>
    <fill>
      <patternFill patternType="solid">
        <fgColor rgb="FFCAD2C5"/>
        <bgColor indexed="64"/>
      </patternFill>
    </fill>
    <fill>
      <patternFill patternType="solid">
        <fgColor rgb="FFFFFF00"/>
        <bgColor indexed="64"/>
      </patternFill>
    </fill>
    <fill>
      <patternFill patternType="solid">
        <fgColor rgb="FFFFFDE7"/>
      </patternFill>
    </fill>
  </fills>
  <borders count="12">
    <border>
      <left/>
      <right/>
      <top/>
      <bottom/>
      <diagonal/>
    </border>
    <border>
      <left style="medium">
        <color auto="1"/>
      </left>
      <right style="medium">
        <color auto="1"/>
      </right>
      <top style="medium">
        <color auto="1"/>
      </top>
      <bottom style="thin">
        <color auto="1"/>
      </bottom>
      <diagonal/>
    </border>
    <border>
      <left/>
      <right/>
      <top style="thin">
        <color auto="1"/>
      </top>
      <bottom/>
      <diagonal/>
    </border>
    <border>
      <left/>
      <right/>
      <top/>
      <bottom style="thin">
        <color indexed="64"/>
      </bottom>
      <diagonal/>
    </border>
    <border>
      <left/>
      <right/>
      <top style="thin">
        <color rgb="FF2F3E46"/>
      </top>
      <bottom/>
      <diagonal/>
    </border>
    <border>
      <left/>
      <right/>
      <top/>
      <bottom style="thin">
        <color rgb="FF2F3E46"/>
      </bottom>
      <diagonal/>
    </border>
    <border>
      <left style="thin">
        <color rgb="FF2F3E46"/>
      </left>
      <right/>
      <top style="thin">
        <color rgb="FF2F3E46"/>
      </top>
      <bottom/>
      <diagonal/>
    </border>
    <border>
      <left style="thin">
        <color rgb="FF2F3E46"/>
      </left>
      <right/>
      <top/>
      <bottom/>
      <diagonal/>
    </border>
    <border>
      <left style="thin">
        <color rgb="FF2F3E46"/>
      </left>
      <right/>
      <top/>
      <bottom style="thin">
        <color rgb="FF2F3E46"/>
      </bottom>
      <diagonal/>
    </border>
    <border>
      <left/>
      <right style="thin">
        <color rgb="FF2F3E46"/>
      </right>
      <top style="thin">
        <color rgb="FF2F3E46"/>
      </top>
      <bottom/>
      <diagonal/>
    </border>
    <border>
      <left/>
      <right style="thin">
        <color rgb="FF2F3E46"/>
      </right>
      <top/>
      <bottom/>
      <diagonal/>
    </border>
    <border>
      <left/>
      <right style="thin">
        <color rgb="FF2F3E46"/>
      </right>
      <top/>
      <bottom style="thin">
        <color rgb="FF2F3E46"/>
      </bottom>
      <diagonal/>
    </border>
  </borders>
  <cellStyleXfs count="2">
    <xf numFmtId="0" fontId="27" fillId="0" borderId="0"/>
    <xf numFmtId="9" fontId="27" fillId="0" borderId="0"/>
  </cellStyleXfs>
  <cellXfs count="298">
    <xf numFmtId="0" fontId="0" fillId="0" borderId="0" pivotButton="0" quotePrefix="0" xfId="0"/>
    <xf numFmtId="0" fontId="1" fillId="2" borderId="0" pivotButton="0" quotePrefix="0" xfId="0"/>
    <xf numFmtId="0" fontId="2" fillId="0" borderId="0" pivotButton="0" quotePrefix="0" xfId="0"/>
    <xf numFmtId="0" fontId="3" fillId="3" borderId="1" applyAlignment="1" pivotButton="0" quotePrefix="0" xfId="0">
      <alignment horizontal="center"/>
    </xf>
    <xf numFmtId="0" fontId="4" fillId="0" borderId="0" pivotButton="0" quotePrefix="0" xfId="0"/>
    <xf numFmtId="0" fontId="5" fillId="0" borderId="0" pivotButton="0" quotePrefix="0" xfId="0"/>
    <xf numFmtId="0" fontId="6" fillId="4" borderId="0" applyAlignment="1" pivotButton="0" quotePrefix="0" xfId="0">
      <alignment horizontal="center"/>
    </xf>
    <xf numFmtId="0" fontId="6" fillId="5" borderId="0" applyAlignment="1" pivotButton="0" quotePrefix="0" xfId="0">
      <alignment horizontal="left"/>
    </xf>
    <xf numFmtId="0" fontId="6" fillId="5" borderId="0" applyAlignment="1" pivotButton="0" quotePrefix="0" xfId="0">
      <alignment horizontal="center"/>
    </xf>
    <xf numFmtId="0" fontId="7" fillId="2" borderId="0" applyAlignment="1" pivotButton="0" quotePrefix="0" xfId="0">
      <alignment horizontal="center"/>
    </xf>
    <xf numFmtId="0" fontId="6" fillId="5" borderId="0" pivotButton="0" quotePrefix="0" xfId="0"/>
    <xf numFmtId="0" fontId="8" fillId="0" borderId="0" pivotButton="0" quotePrefix="0" xfId="0"/>
    <xf numFmtId="0" fontId="9" fillId="6" borderId="0" applyAlignment="1" pivotButton="0" quotePrefix="0" xfId="0">
      <alignment horizontal="center"/>
    </xf>
    <xf numFmtId="0" fontId="10" fillId="0" borderId="0" pivotButton="0" quotePrefix="0" xfId="0"/>
    <xf numFmtId="0" fontId="11" fillId="7" borderId="0" pivotButton="0" quotePrefix="0" xfId="0"/>
    <xf numFmtId="0" fontId="6" fillId="7" borderId="0" pivotButton="0" quotePrefix="0" xfId="0"/>
    <xf numFmtId="0" fontId="12" fillId="0" borderId="2" pivotButton="0" quotePrefix="0" xfId="0"/>
    <xf numFmtId="164" fontId="3" fillId="0" borderId="2" applyAlignment="1" pivotButton="0" quotePrefix="0" xfId="0">
      <alignment horizontal="right"/>
    </xf>
    <xf numFmtId="164" fontId="9" fillId="2" borderId="2" applyAlignment="1" pivotButton="0" quotePrefix="0" xfId="0">
      <alignment horizontal="right"/>
    </xf>
    <xf numFmtId="0" fontId="10" fillId="2" borderId="0" pivotButton="0" quotePrefix="0" xfId="0"/>
    <xf numFmtId="165" fontId="12" fillId="6" borderId="0" pivotButton="0" quotePrefix="0" xfId="0"/>
    <xf numFmtId="0" fontId="6" fillId="7" borderId="0" applyAlignment="1" pivotButton="0" quotePrefix="0" xfId="0">
      <alignment horizontal="center"/>
    </xf>
    <xf numFmtId="0" fontId="13" fillId="0" borderId="0" pivotButton="0" quotePrefix="0" xfId="0"/>
    <xf numFmtId="166" fontId="14" fillId="0" borderId="0" applyAlignment="1" pivotButton="0" quotePrefix="0" xfId="0">
      <alignment horizontal="right"/>
    </xf>
    <xf numFmtId="166" fontId="15" fillId="2" borderId="0" applyAlignment="1" pivotButton="0" quotePrefix="0" xfId="0">
      <alignment horizontal="right"/>
    </xf>
    <xf numFmtId="0" fontId="16" fillId="0" borderId="0" pivotButton="0" quotePrefix="0" xfId="0"/>
    <xf numFmtId="167" fontId="17" fillId="0" borderId="0" pivotButton="0" quotePrefix="0" xfId="0"/>
    <xf numFmtId="168" fontId="17" fillId="0" borderId="0" applyAlignment="1" pivotButton="0" quotePrefix="0" xfId="0">
      <alignment horizontal="right"/>
    </xf>
    <xf numFmtId="168" fontId="15" fillId="2" borderId="0" applyAlignment="1" pivotButton="0" quotePrefix="0" xfId="0">
      <alignment horizontal="right"/>
    </xf>
    <xf numFmtId="169" fontId="15" fillId="0" borderId="0" applyAlignment="1" pivotButton="0" quotePrefix="0" xfId="0">
      <alignment horizontal="right"/>
    </xf>
    <xf numFmtId="169" fontId="15" fillId="2" borderId="0" applyAlignment="1" pivotButton="0" quotePrefix="0" xfId="0">
      <alignment horizontal="right"/>
    </xf>
    <xf numFmtId="167" fontId="3" fillId="0" borderId="2" applyAlignment="1" pivotButton="0" quotePrefix="0" xfId="0">
      <alignment horizontal="right"/>
    </xf>
    <xf numFmtId="167" fontId="9" fillId="2" borderId="2" applyAlignment="1" pivotButton="0" quotePrefix="0" xfId="0">
      <alignment horizontal="right"/>
    </xf>
    <xf numFmtId="166" fontId="15" fillId="0" borderId="0" pivotButton="0" quotePrefix="0" xfId="0"/>
    <xf numFmtId="167" fontId="17" fillId="0" borderId="0" applyAlignment="1" pivotButton="0" quotePrefix="0" xfId="0">
      <alignment horizontal="right"/>
    </xf>
    <xf numFmtId="167" fontId="15" fillId="2" borderId="0" applyAlignment="1" pivotButton="0" quotePrefix="0" xfId="0">
      <alignment horizontal="right"/>
    </xf>
    <xf numFmtId="166" fontId="15" fillId="0" borderId="0" applyAlignment="1" pivotButton="0" quotePrefix="0" xfId="0">
      <alignment horizontal="right"/>
    </xf>
    <xf numFmtId="166" fontId="12" fillId="6" borderId="0" pivotButton="0" quotePrefix="0" xfId="0"/>
    <xf numFmtId="168" fontId="15" fillId="0" borderId="0" applyAlignment="1" pivotButton="0" quotePrefix="0" xfId="0">
      <alignment horizontal="right"/>
    </xf>
    <xf numFmtId="170" fontId="17" fillId="0" borderId="0" pivotButton="0" quotePrefix="0" xfId="0"/>
    <xf numFmtId="166" fontId="17" fillId="0" borderId="0" applyAlignment="1" pivotButton="0" quotePrefix="0" xfId="0">
      <alignment horizontal="right"/>
    </xf>
    <xf numFmtId="171" fontId="3" fillId="8" borderId="0" applyAlignment="1" pivotButton="0" quotePrefix="0" xfId="0">
      <alignment horizontal="center"/>
    </xf>
    <xf numFmtId="166" fontId="17" fillId="0" borderId="0" pivotButton="0" quotePrefix="0" xfId="0"/>
    <xf numFmtId="167" fontId="9" fillId="0" borderId="2" applyAlignment="1" pivotButton="0" quotePrefix="0" xfId="0">
      <alignment horizontal="right"/>
    </xf>
    <xf numFmtId="167" fontId="15" fillId="0" borderId="0" applyAlignment="1" pivotButton="0" quotePrefix="0" xfId="0">
      <alignment horizontal="right"/>
    </xf>
    <xf numFmtId="164" fontId="17" fillId="0" borderId="0" applyAlignment="1" pivotButton="0" quotePrefix="0" xfId="0">
      <alignment horizontal="right"/>
    </xf>
    <xf numFmtId="166" fontId="3" fillId="2" borderId="0" applyAlignment="1" pivotButton="0" quotePrefix="0" xfId="0">
      <alignment horizontal="right"/>
    </xf>
    <xf numFmtId="1" fontId="3" fillId="2" borderId="0" applyAlignment="1" pivotButton="0" quotePrefix="0" xfId="0">
      <alignment horizontal="right"/>
    </xf>
    <xf numFmtId="1" fontId="15" fillId="2" borderId="0" applyAlignment="1" pivotButton="0" quotePrefix="0" xfId="0">
      <alignment horizontal="right"/>
    </xf>
    <xf numFmtId="167" fontId="3" fillId="2" borderId="0" applyAlignment="1" pivotButton="0" quotePrefix="0" xfId="0">
      <alignment horizontal="right"/>
    </xf>
    <xf numFmtId="172" fontId="3" fillId="8" borderId="0" applyAlignment="1" pivotButton="0" quotePrefix="0" xfId="0">
      <alignment horizontal="center"/>
    </xf>
    <xf numFmtId="167" fontId="15" fillId="0" borderId="0" pivotButton="0" quotePrefix="0" xfId="0"/>
    <xf numFmtId="170" fontId="3" fillId="2" borderId="0" applyAlignment="1" pivotButton="0" quotePrefix="0" xfId="0">
      <alignment horizontal="right"/>
    </xf>
    <xf numFmtId="170" fontId="15" fillId="2" borderId="0" applyAlignment="1" pivotButton="0" quotePrefix="0" xfId="0">
      <alignment horizontal="right"/>
    </xf>
    <xf numFmtId="167" fontId="3" fillId="2" borderId="2" applyAlignment="1" pivotButton="0" quotePrefix="0" xfId="0">
      <alignment horizontal="right"/>
    </xf>
    <xf numFmtId="0" fontId="11" fillId="5" borderId="2" pivotButton="0" quotePrefix="0" xfId="0"/>
    <xf numFmtId="167" fontId="9" fillId="6" borderId="2" applyAlignment="1" pivotButton="0" quotePrefix="0" xfId="0">
      <alignment horizontal="right"/>
    </xf>
    <xf numFmtId="0" fontId="18" fillId="0" borderId="0" pivotButton="0" quotePrefix="0" xfId="0"/>
    <xf numFmtId="167" fontId="3" fillId="6" borderId="2" applyAlignment="1" pivotButton="0" quotePrefix="0" xfId="0">
      <alignment horizontal="right"/>
    </xf>
    <xf numFmtId="164" fontId="15" fillId="2" borderId="0" applyAlignment="1" pivotButton="0" quotePrefix="0" xfId="0">
      <alignment horizontal="right"/>
    </xf>
    <xf numFmtId="168" fontId="9" fillId="6" borderId="2" applyAlignment="1" pivotButton="0" quotePrefix="0" xfId="0">
      <alignment horizontal="right"/>
    </xf>
    <xf numFmtId="168" fontId="9" fillId="0" borderId="2" applyAlignment="1" pivotButton="0" quotePrefix="0" xfId="0">
      <alignment horizontal="right"/>
    </xf>
    <xf numFmtId="168" fontId="9" fillId="2" borderId="2" applyAlignment="1" pivotButton="0" quotePrefix="0" xfId="0">
      <alignment horizontal="right"/>
    </xf>
    <xf numFmtId="164" fontId="15" fillId="0" borderId="0" applyAlignment="1" pivotButton="0" quotePrefix="0" xfId="0">
      <alignment horizontal="right"/>
    </xf>
    <xf numFmtId="173" fontId="15" fillId="0" borderId="0" applyAlignment="1" pivotButton="0" quotePrefix="0" xfId="0">
      <alignment horizontal="right"/>
    </xf>
    <xf numFmtId="173" fontId="15" fillId="2" borderId="0" applyAlignment="1" pivotButton="0" quotePrefix="0" xfId="0">
      <alignment horizontal="right"/>
    </xf>
    <xf numFmtId="164" fontId="3" fillId="2" borderId="0" applyAlignment="1" pivotButton="0" quotePrefix="0" xfId="0">
      <alignment horizontal="right"/>
    </xf>
    <xf numFmtId="174" fontId="15" fillId="0" borderId="0" applyAlignment="1" pivotButton="0" quotePrefix="0" xfId="0">
      <alignment horizontal="right"/>
    </xf>
    <xf numFmtId="174" fontId="3" fillId="2" borderId="0" applyAlignment="1" pivotButton="0" quotePrefix="0" xfId="0">
      <alignment horizontal="right"/>
    </xf>
    <xf numFmtId="0" fontId="13" fillId="8" borderId="0" pivotButton="0" quotePrefix="0" xfId="0"/>
    <xf numFmtId="166" fontId="9" fillId="6" borderId="2" applyAlignment="1" pivotButton="0" quotePrefix="0" xfId="0">
      <alignment horizontal="right"/>
    </xf>
    <xf numFmtId="173" fontId="9" fillId="6" borderId="2" applyAlignment="1" pivotButton="0" quotePrefix="0" xfId="0">
      <alignment horizontal="right"/>
    </xf>
    <xf numFmtId="168" fontId="3" fillId="2" borderId="0" applyAlignment="1" pivotButton="0" quotePrefix="0" xfId="0">
      <alignment horizontal="right"/>
    </xf>
    <xf numFmtId="0" fontId="20" fillId="0" borderId="0" pivotButton="0" quotePrefix="0" xfId="0"/>
    <xf numFmtId="4" fontId="21" fillId="2" borderId="0" pivotButton="0" quotePrefix="0" xfId="0"/>
    <xf numFmtId="0" fontId="22" fillId="6" borderId="0" pivotButton="0" quotePrefix="0" xfId="0"/>
    <xf numFmtId="0" fontId="12" fillId="0" borderId="0" pivotButton="0" quotePrefix="0" xfId="0"/>
    <xf numFmtId="0" fontId="21" fillId="3" borderId="0" pivotButton="0" quotePrefix="0" xfId="0"/>
    <xf numFmtId="0" fontId="23" fillId="5" borderId="0" pivotButton="0" quotePrefix="0" xfId="0"/>
    <xf numFmtId="0" fontId="22" fillId="0" borderId="0" pivotButton="0" quotePrefix="0" xfId="0"/>
    <xf numFmtId="167" fontId="21" fillId="9" borderId="0" pivotButton="0" quotePrefix="0" xfId="0"/>
    <xf numFmtId="167" fontId="21" fillId="2" borderId="0" pivotButton="0" quotePrefix="0" xfId="0"/>
    <xf numFmtId="175" fontId="12" fillId="10" borderId="0" pivotButton="0" quotePrefix="0" xfId="0"/>
    <xf numFmtId="0" fontId="24" fillId="0" borderId="0" pivotButton="0" quotePrefix="0" xfId="0"/>
    <xf numFmtId="175" fontId="24" fillId="9" borderId="0" pivotButton="0" quotePrefix="0" xfId="0"/>
    <xf numFmtId="175" fontId="24" fillId="2" borderId="0" pivotButton="0" quotePrefix="0" xfId="0"/>
    <xf numFmtId="166" fontId="21" fillId="9" borderId="0" pivotButton="0" quotePrefix="0" xfId="0"/>
    <xf numFmtId="166" fontId="21" fillId="2" borderId="0" pivotButton="0" quotePrefix="0" xfId="0"/>
    <xf numFmtId="166" fontId="24" fillId="9" borderId="0" pivotButton="0" quotePrefix="0" xfId="0"/>
    <xf numFmtId="166" fontId="24" fillId="2" borderId="0" pivotButton="0" quotePrefix="0" xfId="0"/>
    <xf numFmtId="166" fontId="24" fillId="11" borderId="0" pivotButton="0" quotePrefix="0" xfId="0"/>
    <xf numFmtId="164" fontId="21" fillId="9" borderId="0" pivotButton="0" quotePrefix="0" xfId="0"/>
    <xf numFmtId="164" fontId="21" fillId="2" borderId="0" pivotButton="0" quotePrefix="0" xfId="0"/>
    <xf numFmtId="168" fontId="21" fillId="9" borderId="0" pivotButton="0" quotePrefix="0" xfId="0"/>
    <xf numFmtId="168" fontId="21" fillId="2" borderId="0" pivotButton="0" quotePrefix="0" xfId="0"/>
    <xf numFmtId="176" fontId="3" fillId="12" borderId="0" pivotButton="0" quotePrefix="0" xfId="0"/>
    <xf numFmtId="167" fontId="6" fillId="5" borderId="0" pivotButton="0" quotePrefix="0" xfId="0"/>
    <xf numFmtId="175" fontId="24" fillId="0" borderId="0" pivotButton="0" quotePrefix="0" xfId="0"/>
    <xf numFmtId="175" fontId="22" fillId="6" borderId="0" pivotButton="0" quotePrefix="0" xfId="0"/>
    <xf numFmtId="168" fontId="24" fillId="9" borderId="0" pivotButton="0" quotePrefix="0" xfId="0"/>
    <xf numFmtId="168" fontId="24" fillId="2" borderId="0" pivotButton="0" quotePrefix="0" xfId="0"/>
    <xf numFmtId="166" fontId="24" fillId="0" borderId="0" pivotButton="0" quotePrefix="0" xfId="0"/>
    <xf numFmtId="173" fontId="24" fillId="9" borderId="0" pivotButton="0" quotePrefix="0" xfId="0"/>
    <xf numFmtId="173" fontId="24" fillId="2" borderId="0" pivotButton="0" quotePrefix="0" xfId="0"/>
    <xf numFmtId="167" fontId="24" fillId="0" borderId="0" pivotButton="0" quotePrefix="0" xfId="0"/>
    <xf numFmtId="173" fontId="24" fillId="0" borderId="0" pivotButton="0" quotePrefix="0" xfId="0"/>
    <xf numFmtId="167" fontId="25" fillId="0" borderId="0" pivotButton="0" quotePrefix="0" xfId="0"/>
    <xf numFmtId="0" fontId="26" fillId="0" borderId="0" pivotButton="0" quotePrefix="0" xfId="0"/>
    <xf numFmtId="166" fontId="25" fillId="0" borderId="0" pivotButton="0" quotePrefix="0" xfId="0"/>
    <xf numFmtId="0" fontId="28" fillId="5" borderId="0" pivotButton="0" quotePrefix="0" xfId="0"/>
    <xf numFmtId="0" fontId="29" fillId="0" borderId="0" pivotButton="0" quotePrefix="0" xfId="0"/>
    <xf numFmtId="177" fontId="29" fillId="0" borderId="0" pivotButton="0" quotePrefix="0" xfId="0"/>
    <xf numFmtId="167" fontId="29" fillId="0" borderId="0" pivotButton="0" quotePrefix="0" xfId="0"/>
    <xf numFmtId="166" fontId="30" fillId="0" borderId="0" pivotButton="0" quotePrefix="0" xfId="0"/>
    <xf numFmtId="178" fontId="29" fillId="0" borderId="0" pivotButton="0" quotePrefix="0" xfId="0"/>
    <xf numFmtId="2" fontId="29" fillId="0" borderId="0" pivotButton="0" quotePrefix="0" xfId="0"/>
    <xf numFmtId="179" fontId="29" fillId="0" borderId="0" pivotButton="0" quotePrefix="0" xfId="0"/>
    <xf numFmtId="167" fontId="30" fillId="0" borderId="0" pivotButton="0" quotePrefix="0" xfId="0"/>
    <xf numFmtId="0" fontId="31" fillId="0" borderId="0" pivotButton="0" quotePrefix="0" xfId="0"/>
    <xf numFmtId="166" fontId="31" fillId="0" borderId="0" pivotButton="0" quotePrefix="0" xfId="0"/>
    <xf numFmtId="166" fontId="29" fillId="0" borderId="0" pivotButton="0" quotePrefix="0" xfId="0"/>
    <xf numFmtId="164" fontId="29" fillId="0" borderId="0" pivotButton="0" quotePrefix="0" xfId="0"/>
    <xf numFmtId="4" fontId="29" fillId="0" borderId="0" pivotButton="0" quotePrefix="0" xfId="0"/>
    <xf numFmtId="178" fontId="32" fillId="0" borderId="0" pivotButton="0" quotePrefix="0" xfId="0"/>
    <xf numFmtId="3" fontId="29" fillId="0" borderId="0" pivotButton="0" quotePrefix="0" xfId="0"/>
    <xf numFmtId="3" fontId="29" fillId="3" borderId="0" pivotButton="0" quotePrefix="0" xfId="0"/>
    <xf numFmtId="176" fontId="29" fillId="0" borderId="0" pivotButton="0" quotePrefix="0" xfId="0"/>
    <xf numFmtId="0" fontId="33" fillId="0" borderId="0" pivotButton="0" quotePrefix="0" xfId="0"/>
    <xf numFmtId="10" fontId="32" fillId="2" borderId="0" pivotButton="0" quotePrefix="0" xfId="0"/>
    <xf numFmtId="0" fontId="34" fillId="0" borderId="0" pivotButton="0" quotePrefix="0" xfId="0"/>
    <xf numFmtId="2" fontId="32" fillId="2" borderId="0" pivotButton="0" quotePrefix="0" xfId="0"/>
    <xf numFmtId="10" fontId="33" fillId="0" borderId="0" pivotButton="0" quotePrefix="0" xfId="0"/>
    <xf numFmtId="0" fontId="35" fillId="0" borderId="0" pivotButton="0" quotePrefix="0" xfId="0"/>
    <xf numFmtId="10" fontId="35" fillId="6" borderId="0" pivotButton="0" quotePrefix="0" xfId="0"/>
    <xf numFmtId="167" fontId="36" fillId="0" borderId="0" pivotButton="0" quotePrefix="0" xfId="0"/>
    <xf numFmtId="0" fontId="35" fillId="6" borderId="0" pivotButton="0" quotePrefix="0" xfId="0"/>
    <xf numFmtId="167" fontId="35" fillId="6" borderId="0" pivotButton="0" quotePrefix="0" xfId="0"/>
    <xf numFmtId="178" fontId="32" fillId="2" borderId="0" pivotButton="0" quotePrefix="0" xfId="0"/>
    <xf numFmtId="178" fontId="30" fillId="2" borderId="0" pivotButton="0" quotePrefix="0" xfId="0"/>
    <xf numFmtId="178" fontId="37" fillId="3" borderId="0" pivotButton="0" quotePrefix="0" xfId="0"/>
    <xf numFmtId="10" fontId="30" fillId="0" borderId="0" pivotButton="0" quotePrefix="0" xfId="0"/>
    <xf numFmtId="1" fontId="32" fillId="2" borderId="0" pivotButton="0" quotePrefix="0" xfId="0"/>
    <xf numFmtId="0" fontId="30" fillId="0" borderId="0" applyAlignment="1" pivotButton="0" quotePrefix="0" xfId="0">
      <alignment horizontal="right"/>
    </xf>
    <xf numFmtId="178" fontId="32" fillId="13" borderId="0" pivotButton="0" quotePrefix="0" xfId="0"/>
    <xf numFmtId="1" fontId="32" fillId="13" borderId="0" pivotButton="0" quotePrefix="0" xfId="0"/>
    <xf numFmtId="0" fontId="38" fillId="2" borderId="0" pivotButton="0" quotePrefix="0" xfId="0"/>
    <xf numFmtId="0" fontId="16" fillId="0" borderId="3" pivotButton="0" quotePrefix="0" xfId="0"/>
    <xf numFmtId="168" fontId="15" fillId="0" borderId="3" applyAlignment="1" pivotButton="0" quotePrefix="0" xfId="0">
      <alignment horizontal="right"/>
    </xf>
    <xf numFmtId="168" fontId="15" fillId="2" borderId="3" applyAlignment="1" pivotButton="0" quotePrefix="0" xfId="0">
      <alignment horizontal="right"/>
    </xf>
    <xf numFmtId="9" fontId="30" fillId="0" borderId="0" applyAlignment="1" pivotButton="0" quotePrefix="0" xfId="1">
      <alignment horizontal="left"/>
    </xf>
    <xf numFmtId="0" fontId="11" fillId="5" borderId="0" applyAlignment="1" pivotButton="0" quotePrefix="0" xfId="0">
      <alignment horizontal="center" vertical="center" wrapText="1"/>
    </xf>
    <xf numFmtId="0" fontId="11" fillId="7" borderId="0" applyAlignment="1" pivotButton="0" quotePrefix="0" xfId="0">
      <alignment horizontal="center" vertical="center" wrapText="1"/>
    </xf>
    <xf numFmtId="0" fontId="6" fillId="5" borderId="0" applyAlignment="1" pivotButton="0" quotePrefix="0" xfId="0">
      <alignment shrinkToFit="1"/>
    </xf>
    <xf numFmtId="0" fontId="0" fillId="2" borderId="0" pivotButton="0" quotePrefix="0" xfId="0"/>
    <xf numFmtId="0" fontId="0" fillId="0" borderId="2" pivotButton="0" quotePrefix="0" xfId="0"/>
    <xf numFmtId="166" fontId="17" fillId="2" borderId="0" applyAlignment="1" pivotButton="0" quotePrefix="0" xfId="0">
      <alignment horizontal="right"/>
    </xf>
    <xf numFmtId="0" fontId="39" fillId="0" borderId="0" pivotButton="0" quotePrefix="0" xfId="0"/>
    <xf numFmtId="0" fontId="0" fillId="2" borderId="2" pivotButton="0" quotePrefix="0" xfId="0"/>
    <xf numFmtId="0" fontId="40" fillId="0" borderId="0" pivotButton="0" quotePrefix="0" xfId="0"/>
    <xf numFmtId="0" fontId="1" fillId="0" borderId="0" pivotButton="0" quotePrefix="0" xfId="0"/>
    <xf numFmtId="0" fontId="0" fillId="6" borderId="2" pivotButton="0" quotePrefix="0" xfId="0"/>
    <xf numFmtId="177" fontId="0" fillId="0" borderId="0" pivotButton="0" quotePrefix="0" xfId="0"/>
    <xf numFmtId="0" fontId="11" fillId="5" borderId="0" pivotButton="0" quotePrefix="0" xfId="0"/>
    <xf numFmtId="0" fontId="11" fillId="5" borderId="0" applyAlignment="1" pivotButton="0" quotePrefix="0" xfId="0">
      <alignment horizontal="right"/>
    </xf>
    <xf numFmtId="166" fontId="8" fillId="0" borderId="0" pivotButton="0" quotePrefix="0" xfId="0"/>
    <xf numFmtId="4" fontId="11" fillId="5" borderId="0" pivotButton="0" quotePrefix="0" xfId="0"/>
    <xf numFmtId="4" fontId="8" fillId="0" borderId="0" pivotButton="0" quotePrefix="0" xfId="0"/>
    <xf numFmtId="178" fontId="8" fillId="0" borderId="0" pivotButton="0" quotePrefix="0" xfId="0"/>
    <xf numFmtId="176" fontId="11" fillId="5" borderId="0" pivotButton="0" quotePrefix="0" xfId="0"/>
    <xf numFmtId="10" fontId="46" fillId="13" borderId="0" pivotButton="0" quotePrefix="0" xfId="0"/>
    <xf numFmtId="2" fontId="46" fillId="13" borderId="0" pivotButton="0" quotePrefix="0" xfId="0"/>
    <xf numFmtId="10" fontId="45" fillId="0" borderId="0" pivotButton="0" quotePrefix="0" xfId="0"/>
    <xf numFmtId="180" fontId="46" fillId="0" borderId="0" applyAlignment="1" pivotButton="0" quotePrefix="0" xfId="0">
      <alignment horizontal="center"/>
    </xf>
    <xf numFmtId="167" fontId="49" fillId="0" borderId="0" pivotButton="0" quotePrefix="0" xfId="0"/>
    <xf numFmtId="167" fontId="45" fillId="0" borderId="0" pivotButton="0" quotePrefix="0" xfId="0"/>
    <xf numFmtId="166" fontId="45" fillId="0" borderId="0" pivotButton="0" quotePrefix="0" xfId="0"/>
    <xf numFmtId="166" fontId="45" fillId="0" borderId="0" applyAlignment="1" pivotButton="0" quotePrefix="0" xfId="0">
      <alignment horizontal="center"/>
    </xf>
    <xf numFmtId="2" fontId="45" fillId="0" borderId="0" pivotButton="0" quotePrefix="0" xfId="0"/>
    <xf numFmtId="167" fontId="48" fillId="0" borderId="0" pivotButton="0" quotePrefix="0" xfId="0"/>
    <xf numFmtId="167" fontId="48" fillId="16" borderId="0" pivotButton="0" quotePrefix="0" xfId="0"/>
    <xf numFmtId="166" fontId="48" fillId="16" borderId="0" pivotButton="0" quotePrefix="0" xfId="0"/>
    <xf numFmtId="166" fontId="48" fillId="16" borderId="0" applyAlignment="1" pivotButton="0" quotePrefix="0" xfId="0">
      <alignment horizontal="center"/>
    </xf>
    <xf numFmtId="178" fontId="46" fillId="13" borderId="0" pivotButton="0" quotePrefix="0" xfId="0"/>
    <xf numFmtId="178" fontId="45" fillId="13" borderId="0" pivotButton="0" quotePrefix="0" xfId="0"/>
    <xf numFmtId="178" fontId="51" fillId="17" borderId="0" pivotButton="0" quotePrefix="0" xfId="0"/>
    <xf numFmtId="179" fontId="45" fillId="0" borderId="0" pivotButton="0" quotePrefix="0" xfId="0"/>
    <xf numFmtId="181" fontId="49" fillId="0" borderId="0" pivotButton="0" quotePrefix="0" xfId="0"/>
    <xf numFmtId="4" fontId="44" fillId="14" borderId="0" pivotButton="0" quotePrefix="0" xfId="0"/>
    <xf numFmtId="4" fontId="49" fillId="0" borderId="0" pivotButton="0" quotePrefix="0" xfId="0"/>
    <xf numFmtId="182" fontId="48" fillId="16" borderId="0" pivotButton="0" quotePrefix="0" xfId="0"/>
    <xf numFmtId="4" fontId="48" fillId="16" borderId="0" pivotButton="0" quotePrefix="0" xfId="0"/>
    <xf numFmtId="1" fontId="46" fillId="13" borderId="0" pivotButton="0" quotePrefix="0" xfId="0"/>
    <xf numFmtId="0" fontId="41" fillId="0" borderId="0" pivotButton="0" quotePrefix="0" xfId="0"/>
    <xf numFmtId="0" fontId="42" fillId="14" borderId="0" pivotButton="0" quotePrefix="0" xfId="0"/>
    <xf numFmtId="0" fontId="43" fillId="14" borderId="0" pivotButton="0" quotePrefix="0" xfId="0"/>
    <xf numFmtId="0" fontId="44" fillId="15" borderId="0" pivotButton="0" quotePrefix="0" xfId="0"/>
    <xf numFmtId="0" fontId="43" fillId="15" borderId="0" pivotButton="0" quotePrefix="0" xfId="0"/>
    <xf numFmtId="0" fontId="45" fillId="0" borderId="0" pivotButton="0" quotePrefix="0" xfId="0"/>
    <xf numFmtId="0" fontId="47" fillId="0" borderId="0" pivotButton="0" quotePrefix="0" xfId="0"/>
    <xf numFmtId="0" fontId="48" fillId="0" borderId="0" pivotButton="0" quotePrefix="0" xfId="0"/>
    <xf numFmtId="0" fontId="48" fillId="16" borderId="0" pivotButton="0" quotePrefix="0" xfId="0"/>
    <xf numFmtId="0" fontId="41" fillId="15" borderId="0" pivotButton="0" quotePrefix="0" xfId="0"/>
    <xf numFmtId="0" fontId="44" fillId="14" borderId="0" pivotButton="0" quotePrefix="0" xfId="0"/>
    <xf numFmtId="0" fontId="44" fillId="14" borderId="0" applyAlignment="1" pivotButton="0" quotePrefix="0" xfId="0">
      <alignment horizontal="center"/>
    </xf>
    <xf numFmtId="0" fontId="43" fillId="14" borderId="0" applyAlignment="1" pivotButton="0" quotePrefix="0" xfId="0">
      <alignment horizontal="center"/>
    </xf>
    <xf numFmtId="0" fontId="47" fillId="0" borderId="0" applyAlignment="1" pivotButton="0" quotePrefix="0" xfId="0">
      <alignment horizontal="right"/>
    </xf>
    <xf numFmtId="0" fontId="50" fillId="0" borderId="0" applyAlignment="1" pivotButton="0" quotePrefix="0" xfId="0">
      <alignment horizontal="centerContinuous"/>
    </xf>
    <xf numFmtId="0" fontId="44" fillId="15" borderId="0" applyAlignment="1" pivotButton="0" quotePrefix="0" xfId="0">
      <alignment horizontal="right"/>
    </xf>
    <xf numFmtId="1" fontId="46" fillId="13" borderId="0" applyAlignment="1" pivotButton="0" quotePrefix="0" xfId="0">
      <alignment horizontal="center"/>
    </xf>
    <xf numFmtId="167" fontId="49" fillId="0" borderId="0" applyAlignment="1" pivotButton="0" quotePrefix="0" xfId="0">
      <alignment horizontal="right"/>
    </xf>
    <xf numFmtId="178" fontId="49" fillId="0" borderId="0" applyAlignment="1" pivotButton="0" quotePrefix="0" xfId="0">
      <alignment horizontal="right"/>
    </xf>
    <xf numFmtId="167" fontId="45" fillId="0" borderId="0" applyAlignment="1" pivotButton="0" quotePrefix="0" xfId="0">
      <alignment horizontal="right"/>
    </xf>
    <xf numFmtId="181" fontId="49" fillId="0" borderId="0" applyAlignment="1" pivotButton="0" quotePrefix="0" xfId="0">
      <alignment horizontal="right"/>
    </xf>
    <xf numFmtId="4" fontId="44" fillId="14" borderId="0" applyAlignment="1" pivotButton="0" quotePrefix="0" xfId="0">
      <alignment horizontal="right"/>
    </xf>
    <xf numFmtId="4" fontId="45" fillId="0" borderId="0" applyAlignment="1" pivotButton="0" quotePrefix="0" xfId="0">
      <alignment horizontal="right"/>
    </xf>
    <xf numFmtId="166" fontId="45" fillId="0" borderId="0" applyAlignment="1" pivotButton="0" quotePrefix="0" xfId="0">
      <alignment horizontal="right"/>
    </xf>
    <xf numFmtId="10" fontId="48" fillId="16" borderId="4" pivotButton="0" quotePrefix="0" xfId="0"/>
    <xf numFmtId="0" fontId="48" fillId="16" borderId="4" pivotButton="0" quotePrefix="0" xfId="0"/>
    <xf numFmtId="0" fontId="50" fillId="16" borderId="4" pivotButton="0" quotePrefix="0" xfId="0"/>
    <xf numFmtId="167" fontId="48" fillId="16" borderId="4" pivotButton="0" quotePrefix="0" xfId="0"/>
    <xf numFmtId="0" fontId="45" fillId="0" borderId="4" pivotButton="0" quotePrefix="0" xfId="0"/>
    <xf numFmtId="0" fontId="41" fillId="0" borderId="4" pivotButton="0" quotePrefix="0" xfId="0"/>
    <xf numFmtId="167" fontId="45" fillId="0" borderId="4" pivotButton="0" quotePrefix="0" xfId="0"/>
    <xf numFmtId="0" fontId="48" fillId="0" borderId="4" pivotButton="0" quotePrefix="0" xfId="0"/>
    <xf numFmtId="167" fontId="48" fillId="0" borderId="4" pivotButton="0" quotePrefix="0" xfId="0"/>
    <xf numFmtId="3" fontId="45" fillId="0" borderId="0" applyAlignment="1" pivotButton="0" quotePrefix="0" xfId="0">
      <alignment horizontal="center"/>
    </xf>
    <xf numFmtId="3" fontId="48" fillId="17" borderId="0" applyAlignment="1" pivotButton="0" quotePrefix="0" xfId="0">
      <alignment horizontal="center"/>
    </xf>
    <xf numFmtId="0" fontId="43" fillId="14" borderId="4" pivotButton="0" quotePrefix="0" xfId="0"/>
    <xf numFmtId="10" fontId="44" fillId="14" borderId="4" applyAlignment="1" pivotButton="0" quotePrefix="0" xfId="0">
      <alignment horizontal="center"/>
    </xf>
    <xf numFmtId="0" fontId="41" fillId="0" borderId="5" pivotButton="0" quotePrefix="0" xfId="0"/>
    <xf numFmtId="3" fontId="45" fillId="0" borderId="5" applyAlignment="1" pivotButton="0" quotePrefix="0" xfId="0">
      <alignment horizontal="center"/>
    </xf>
    <xf numFmtId="0" fontId="44" fillId="14" borderId="6" pivotButton="0" quotePrefix="0" xfId="0"/>
    <xf numFmtId="10" fontId="48" fillId="0" borderId="7" applyAlignment="1" pivotButton="0" quotePrefix="0" xfId="0">
      <alignment horizontal="right"/>
    </xf>
    <xf numFmtId="10" fontId="48" fillId="0" borderId="8" applyAlignment="1" pivotButton="0" quotePrefix="0" xfId="0">
      <alignment horizontal="right"/>
    </xf>
    <xf numFmtId="10" fontId="44" fillId="14" borderId="9" applyAlignment="1" pivotButton="0" quotePrefix="0" xfId="0">
      <alignment horizontal="center"/>
    </xf>
    <xf numFmtId="3" fontId="45" fillId="0" borderId="10" applyAlignment="1" pivotButton="0" quotePrefix="0" xfId="0">
      <alignment horizontal="center"/>
    </xf>
    <xf numFmtId="3" fontId="45" fillId="0" borderId="11" applyAlignment="1" pivotButton="0" quotePrefix="0" xfId="0">
      <alignment horizontal="center"/>
    </xf>
    <xf numFmtId="0" fontId="45" fillId="0" borderId="0" applyAlignment="1" pivotButton="0" quotePrefix="0" xfId="0">
      <alignment horizontal="left" indent="2"/>
    </xf>
    <xf numFmtId="10" fontId="49" fillId="0" borderId="0" applyAlignment="1" pivotButton="0" quotePrefix="0" xfId="0">
      <alignment horizontal="center"/>
    </xf>
    <xf numFmtId="10" fontId="46" fillId="13" borderId="0" applyAlignment="1" pivotButton="0" quotePrefix="0" xfId="0">
      <alignment horizontal="center"/>
    </xf>
    <xf numFmtId="183" fontId="45" fillId="0" borderId="0" applyAlignment="1" pivotButton="0" quotePrefix="0" xfId="0">
      <alignment horizontal="center"/>
    </xf>
    <xf numFmtId="2" fontId="45" fillId="0" borderId="0" applyAlignment="1" pivotButton="0" quotePrefix="0" xfId="0">
      <alignment horizontal="center"/>
    </xf>
    <xf numFmtId="179" fontId="45" fillId="0" borderId="0" applyAlignment="1" pivotButton="0" quotePrefix="0" xfId="0">
      <alignment horizontal="center"/>
    </xf>
    <xf numFmtId="176" fontId="44" fillId="14" borderId="0" applyAlignment="1" pivotButton="0" quotePrefix="0" xfId="0">
      <alignment horizontal="center"/>
    </xf>
    <xf numFmtId="176" fontId="45" fillId="0" borderId="0" applyAlignment="1" pivotButton="0" quotePrefix="0" xfId="0">
      <alignment horizontal="right"/>
    </xf>
    <xf numFmtId="182" fontId="48" fillId="16" borderId="0" applyAlignment="1" pivotButton="0" quotePrefix="0" xfId="0">
      <alignment horizontal="right"/>
    </xf>
    <xf numFmtId="176" fontId="44" fillId="14" borderId="0" applyAlignment="1" pivotButton="0" quotePrefix="0" xfId="0">
      <alignment horizontal="right"/>
    </xf>
    <xf numFmtId="184" fontId="48" fillId="0" borderId="0" applyAlignment="1" pivotButton="0" quotePrefix="0" xfId="0">
      <alignment horizontal="right"/>
    </xf>
    <xf numFmtId="167" fontId="25" fillId="2" borderId="0" pivotButton="0" quotePrefix="0" xfId="0"/>
    <xf numFmtId="185" fontId="25" fillId="2" borderId="0" pivotButton="0" quotePrefix="0" xfId="0"/>
    <xf numFmtId="168" fontId="25" fillId="2" borderId="0" pivotButton="0" quotePrefix="0" xfId="0"/>
    <xf numFmtId="0" fontId="0" fillId="0" borderId="0" pivotButton="0" quotePrefix="0" xfId="0"/>
    <xf numFmtId="0" fontId="54" fillId="0" borderId="0" pivotButton="0" quotePrefix="0" xfId="0"/>
    <xf numFmtId="167" fontId="9" fillId="18" borderId="2" applyAlignment="1" pivotButton="0" quotePrefix="0" xfId="0">
      <alignment horizontal="right"/>
    </xf>
    <xf numFmtId="166" fontId="15" fillId="18" borderId="0" applyAlignment="1" pivotButton="0" quotePrefix="0" xfId="0">
      <alignment horizontal="right"/>
    </xf>
    <xf numFmtId="166" fontId="17" fillId="18" borderId="0" applyAlignment="1" pivotButton="0" quotePrefix="0" xfId="0">
      <alignment horizontal="right"/>
    </xf>
    <xf numFmtId="164" fontId="17" fillId="0" borderId="0" pivotButton="0" quotePrefix="0" xfId="0"/>
    <xf numFmtId="167" fontId="15" fillId="18" borderId="0" applyAlignment="1" pivotButton="0" quotePrefix="0" xfId="0">
      <alignment horizontal="right"/>
    </xf>
    <xf numFmtId="173" fontId="17" fillId="0" borderId="0" pivotButton="0" quotePrefix="0" xfId="0"/>
    <xf numFmtId="166" fontId="3" fillId="8" borderId="0" applyAlignment="1" pivotButton="0" quotePrefix="0" xfId="0">
      <alignment horizontal="center"/>
    </xf>
    <xf numFmtId="167" fontId="3" fillId="8" borderId="0" applyAlignment="1" pivotButton="0" quotePrefix="0" xfId="0">
      <alignment horizontal="center"/>
    </xf>
    <xf numFmtId="167" fontId="17" fillId="18" borderId="0" applyAlignment="1" pivotButton="0" quotePrefix="0" xfId="0">
      <alignment horizontal="right"/>
    </xf>
    <xf numFmtId="170" fontId="17" fillId="0" borderId="0" applyAlignment="1" pivotButton="0" quotePrefix="0" xfId="0">
      <alignment horizontal="right"/>
    </xf>
    <xf numFmtId="170" fontId="15" fillId="18" borderId="0" applyAlignment="1" pivotButton="0" quotePrefix="0" xfId="0">
      <alignment horizontal="right"/>
    </xf>
    <xf numFmtId="170" fontId="17" fillId="18" borderId="0" applyAlignment="1" pivotButton="0" quotePrefix="0" xfId="0">
      <alignment horizontal="right"/>
    </xf>
    <xf numFmtId="167" fontId="3" fillId="18" borderId="2" applyAlignment="1" pivotButton="0" quotePrefix="0" xfId="0">
      <alignment horizontal="right"/>
    </xf>
    <xf numFmtId="164" fontId="15" fillId="18" borderId="0" applyAlignment="1" pivotButton="0" quotePrefix="0" xfId="0">
      <alignment horizontal="right"/>
    </xf>
    <xf numFmtId="164" fontId="17" fillId="18" borderId="0" applyAlignment="1" pivotButton="0" quotePrefix="0" xfId="0">
      <alignment horizontal="right"/>
    </xf>
    <xf numFmtId="167" fontId="55" fillId="18" borderId="0" applyAlignment="1" pivotButton="0" quotePrefix="0" xfId="0">
      <alignment horizontal="right"/>
    </xf>
    <xf numFmtId="167" fontId="27" fillId="18" borderId="0" applyAlignment="1" pivotButton="0" quotePrefix="0" xfId="0">
      <alignment horizontal="right"/>
    </xf>
    <xf numFmtId="167" fontId="27" fillId="0" borderId="0" applyAlignment="1" pivotButton="0" quotePrefix="0" xfId="0">
      <alignment horizontal="right"/>
    </xf>
    <xf numFmtId="168" fontId="15" fillId="18" borderId="0" applyAlignment="1" pivotButton="0" quotePrefix="0" xfId="0">
      <alignment horizontal="right"/>
    </xf>
    <xf numFmtId="168" fontId="9" fillId="18" borderId="2" applyAlignment="1" pivotButton="0" quotePrefix="0" xfId="0">
      <alignment horizontal="right"/>
    </xf>
    <xf numFmtId="168" fontId="27" fillId="18" borderId="0" applyAlignment="1" pivotButton="0" quotePrefix="0" xfId="0">
      <alignment horizontal="right"/>
    </xf>
    <xf numFmtId="0" fontId="55" fillId="0" borderId="0" applyAlignment="1" pivotButton="0" quotePrefix="0" xfId="0">
      <alignment horizontal="right"/>
    </xf>
    <xf numFmtId="0" fontId="27" fillId="0" borderId="0" applyAlignment="1" pivotButton="0" quotePrefix="0" xfId="0">
      <alignment horizontal="right"/>
    </xf>
    <xf numFmtId="0" fontId="27" fillId="18" borderId="0" applyAlignment="1" pivotButton="0" quotePrefix="0" xfId="0">
      <alignment horizontal="right"/>
    </xf>
    <xf numFmtId="166" fontId="27" fillId="18" borderId="0" applyAlignment="1" pivotButton="0" quotePrefix="0" xfId="0">
      <alignment horizontal="right"/>
    </xf>
    <xf numFmtId="173" fontId="15" fillId="18" borderId="0" applyAlignment="1" pivotButton="0" quotePrefix="0" xfId="0">
      <alignment horizontal="right"/>
    </xf>
    <xf numFmtId="164" fontId="9" fillId="0" borderId="2" applyAlignment="1" pivotButton="0" quotePrefix="0" xfId="0">
      <alignment horizontal="right"/>
    </xf>
    <xf numFmtId="164" fontId="9" fillId="18" borderId="2" applyAlignment="1" pivotButton="0" quotePrefix="0" xfId="0">
      <alignment horizontal="right"/>
    </xf>
    <xf numFmtId="174" fontId="15" fillId="18" borderId="0" applyAlignment="1" pivotButton="0" quotePrefix="0" xfId="0">
      <alignment horizontal="right"/>
    </xf>
    <xf numFmtId="174" fontId="17" fillId="18" borderId="0" applyAlignment="1" pivotButton="0" quotePrefix="0" xfId="0">
      <alignment horizontal="right"/>
    </xf>
    <xf numFmtId="174" fontId="12" fillId="6" borderId="0" pivotButton="0" quotePrefix="0" xfId="0"/>
    <xf numFmtId="173" fontId="17" fillId="0" borderId="0" applyAlignment="1" pivotButton="0" quotePrefix="0" xfId="0">
      <alignment horizontal="right"/>
    </xf>
    <xf numFmtId="166" fontId="55" fillId="18" borderId="0" applyAlignment="1" pivotButton="0" quotePrefix="0" xfId="0">
      <alignment horizontal="right"/>
    </xf>
    <xf numFmtId="168" fontId="27" fillId="0" borderId="0" applyAlignment="1" pivotButton="0" quotePrefix="0" xfId="0">
      <alignment horizontal="right"/>
    </xf>
    <xf numFmtId="168" fontId="17" fillId="18" borderId="0" applyAlignment="1" pivotButton="0" quotePrefix="0" xfId="0">
      <alignment horizontal="right"/>
    </xf>
    <xf numFmtId="177" fontId="0" fillId="0" borderId="0" pivotButton="0" quotePrefix="0" xfId="0"/>
    <xf numFmtId="175" fontId="12" fillId="10" borderId="0" pivotButton="0" quotePrefix="0" xfId="0"/>
    <xf numFmtId="175" fontId="24" fillId="9" borderId="0" pivotButton="0" quotePrefix="0" xfId="0"/>
    <xf numFmtId="175" fontId="24" fillId="2" borderId="0" pivotButton="0" quotePrefix="0" xfId="0"/>
    <xf numFmtId="176" fontId="3" fillId="12" borderId="0" pivotButton="0" quotePrefix="0" xfId="0"/>
    <xf numFmtId="175" fontId="24" fillId="0" borderId="0" pivotButton="0" quotePrefix="0" xfId="0"/>
    <xf numFmtId="175" fontId="22" fillId="6" borderId="0" pivotButton="0" quotePrefix="0" xfId="0"/>
    <xf numFmtId="176" fontId="44" fillId="14" borderId="0" applyAlignment="1" pivotButton="0" quotePrefix="0" xfId="0">
      <alignment horizontal="center"/>
    </xf>
    <xf numFmtId="176" fontId="45" fillId="0" borderId="0" applyAlignment="1" pivotButton="0" quotePrefix="0" xfId="0">
      <alignment horizontal="right"/>
    </xf>
    <xf numFmtId="176" fontId="44" fillId="14" borderId="0" applyAlignment="1" pivotButton="0" quotePrefix="0" xfId="0">
      <alignment horizontal="right"/>
    </xf>
  </cellXfs>
  <cellStyles count="2">
    <cellStyle name="Normal" xfId="0" builtinId="0"/>
    <cellStyle name="Percent" xfId="1" builtinId="5"/>
  </cellStyle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AD2C5"/>
      <rgbColor rgb="FF878787"/>
      <rgbColor rgb="FF84A98C"/>
      <rgbColor rgb="FF595959"/>
      <rgbColor rgb="FFFFF8DC"/>
      <rgbColor rgb="FFE8EDE9"/>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9ECEC"/>
      <rgbColor rgb="FFF0F2F0"/>
      <rgbColor rgb="FFFFFDE7"/>
      <rgbColor rgb="FFA8C5D6"/>
      <rgbColor rgb="FFFF99CC"/>
      <rgbColor rgb="FFCC99FF"/>
      <rgbColor rgb="FFF5F5F5"/>
      <rgbColor rgb="FF3366FF"/>
      <rgbColor rgb="FF33CCCC"/>
      <rgbColor rgb="FF99CC00"/>
      <rgbColor rgb="FFFFCC00"/>
      <rgbColor rgb="FFFF9900"/>
      <rgbColor rgb="FFC8553D"/>
      <rgbColor rgb="FF666666"/>
      <rgbColor rgb="FFA6A6A6"/>
      <rgbColor rgb="FF1F3864"/>
      <rgbColor rgb="FF52796F"/>
      <rgbColor rgb="FF003300"/>
      <rgbColor rgb="FF404040"/>
      <rgbColor rgb="FF993300"/>
      <rgbColor rgb="FF993366"/>
      <rgbColor rgb="FF1F4E79"/>
      <rgbColor rgb="FF2F3E4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Organic Sales Drivers: Volume vs. Price, y/y %</a:t>
            </a:r>
          </a:p>
        </rich>
      </tx>
    </title>
    <plotArea>
      <barChart>
        <barDir val="col"/>
        <grouping val="stacked"/>
        <ser>
          <idx val="0"/>
          <order val="0"/>
          <tx>
            <strRef>
              <f>'Charts'!B8</f>
            </strRef>
          </tx>
          <spPr>
            <a:solidFill xmlns:a="http://schemas.openxmlformats.org/drawingml/2006/main">
              <a:srgbClr val="2F3E46"/>
            </a:solidFill>
            <a:ln xmlns:a="http://schemas.openxmlformats.org/drawingml/2006/main">
              <a:prstDash val="solid"/>
            </a:ln>
          </spPr>
          <cat>
            <numRef>
              <f>'Charts'!$C$7:$V$7</f>
            </numRef>
          </cat>
          <val>
            <numRef>
              <f>'Charts'!$C$8:$V$8</f>
            </numRef>
          </val>
        </ser>
        <ser>
          <idx val="1"/>
          <order val="1"/>
          <tx>
            <strRef>
              <f>'Charts'!B9</f>
            </strRef>
          </tx>
          <spPr>
            <a:solidFill xmlns:a="http://schemas.openxmlformats.org/drawingml/2006/main">
              <a:srgbClr val="84A98C"/>
            </a:solidFill>
            <a:ln xmlns:a="http://schemas.openxmlformats.org/drawingml/2006/main">
              <a:prstDash val="solid"/>
            </a:ln>
          </spPr>
          <cat>
            <numRef>
              <f>'Charts'!$C$7:$V$7</f>
            </numRef>
          </cat>
          <val>
            <numRef>
              <f>'Charts'!$C$9:$V$9</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b"/>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Adjusted EBIT &amp; Operating Income (USDm)</a:t>
            </a:r>
          </a:p>
        </rich>
      </tx>
    </title>
    <plotArea>
      <barChart>
        <barDir val="col"/>
        <grouping val="clustered"/>
        <ser>
          <idx val="0"/>
          <order val="0"/>
          <tx>
            <strRef>
              <f>'Charts'!B12</f>
            </strRef>
          </tx>
          <spPr>
            <a:solidFill xmlns:a="http://schemas.openxmlformats.org/drawingml/2006/main">
              <a:srgbClr val="A8C5D6"/>
            </a:solidFill>
            <a:ln xmlns:a="http://schemas.openxmlformats.org/drawingml/2006/main">
              <a:prstDash val="solid"/>
            </a:ln>
          </spPr>
          <cat>
            <numRef>
              <f>'Charts'!$C$7:$V$7</f>
            </numRef>
          </cat>
          <val>
            <numRef>
              <f>'Charts'!$C$12:$V$12</f>
            </numRef>
          </val>
        </ser>
        <ser>
          <idx val="1"/>
          <order val="1"/>
          <tx>
            <strRef>
              <f>'Charts'!B13</f>
            </strRef>
          </tx>
          <spPr>
            <a:solidFill xmlns:a="http://schemas.openxmlformats.org/drawingml/2006/main">
              <a:srgbClr val="1F4E79"/>
            </a:solidFill>
            <a:ln xmlns:a="http://schemas.openxmlformats.org/drawingml/2006/main">
              <a:prstDash val="solid"/>
            </a:ln>
          </spPr>
          <cat>
            <numRef>
              <f>'Charts'!$C$7:$V$7</f>
            </numRef>
          </cat>
          <val>
            <numRef>
              <f>'Charts'!$C$13:$V$13</f>
            </numRef>
          </val>
        </ser>
        <gapWidth val="150"/>
        <axId val="10"/>
        <axId val="100"/>
      </barChart>
      <lineChart>
        <grouping val="standard"/>
        <ser>
          <idx val="2"/>
          <order val="2"/>
          <tx>
            <strRef>
              <f>'Charts'!B14</f>
            </strRef>
          </tx>
          <spPr>
            <a:ln xmlns:a="http://schemas.openxmlformats.org/drawingml/2006/main">
              <a:solidFill>
                <a:srgbClr val="2F3E46"/>
              </a:solidFill>
              <a:prstDash val="solid"/>
            </a:ln>
          </spPr>
          <marker>
            <symbol val="none"/>
            <spPr>
              <a:ln xmlns:a="http://schemas.openxmlformats.org/drawingml/2006/main">
                <a:prstDash val="solid"/>
              </a:ln>
            </spPr>
          </marker>
          <val>
            <numRef>
              <f>'Charts'!$C$14:$V$14</f>
            </numRef>
          </val>
        </ser>
        <ser>
          <idx val="3"/>
          <order val="3"/>
          <tx>
            <strRef>
              <f>'Charts'!B15</f>
            </strRef>
          </tx>
          <spPr>
            <a:ln xmlns:a="http://schemas.openxmlformats.org/drawingml/2006/main">
              <a:solidFill>
                <a:srgbClr val="C8553D"/>
              </a:solidFill>
              <a:prstDash val="solid"/>
            </a:ln>
          </spPr>
          <marker>
            <symbol val="none"/>
            <spPr>
              <a:ln xmlns:a="http://schemas.openxmlformats.org/drawingml/2006/main">
                <a:prstDash val="solid"/>
              </a:ln>
            </spPr>
          </marker>
          <val>
            <numRef>
              <f>'Charts'!$C$15:$V$15</f>
            </numRef>
          </val>
        </ser>
        <axId val="10"/>
        <axId val="2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valAx>
        <axId val="200"/>
        <scaling>
          <orientation val="minMax"/>
        </scaling>
        <axPos val="l"/>
        <majorGridlines/>
        <numFmt formatCode="0%" sourceLinked="0"/>
        <majorTickMark val="none"/>
        <minorTickMark val="none"/>
        <crossAx val="10"/>
        <crosses val="max"/>
      </valAx>
    </plotArea>
    <legend>
      <legendPos val="b"/>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Returns Profile: ROIC, RONTA, Adjusted EBIT Margin &amp; FCF Margin</a:t>
            </a:r>
          </a:p>
        </rich>
      </tx>
    </title>
    <plotArea>
      <lineChart>
        <grouping val="standard"/>
        <ser>
          <idx val="0"/>
          <order val="0"/>
          <tx>
            <strRef>
              <f>'Charts'!B18</f>
            </strRef>
          </tx>
          <spPr>
            <a:ln xmlns:a="http://schemas.openxmlformats.org/drawingml/2006/main">
              <a:solidFill>
                <a:srgbClr val="2F3E46"/>
              </a:solidFill>
              <a:prstDash val="solid"/>
            </a:ln>
          </spPr>
          <marker>
            <symbol val="none"/>
            <spPr>
              <a:ln xmlns:a="http://schemas.openxmlformats.org/drawingml/2006/main">
                <a:prstDash val="solid"/>
              </a:ln>
            </spPr>
          </marker>
          <cat>
            <numRef>
              <f>'Charts'!$C$7:$V$7</f>
            </numRef>
          </cat>
          <val>
            <numRef>
              <f>'Charts'!$C$18:$V$18</f>
            </numRef>
          </val>
        </ser>
        <ser>
          <idx val="1"/>
          <order val="1"/>
          <tx>
            <strRef>
              <f>'Charts'!B19</f>
            </strRef>
          </tx>
          <spPr>
            <a:ln xmlns:a="http://schemas.openxmlformats.org/drawingml/2006/main">
              <a:solidFill>
                <a:srgbClr val="84A98C"/>
              </a:solidFill>
              <a:prstDash val="solid"/>
            </a:ln>
          </spPr>
          <marker>
            <symbol val="none"/>
            <spPr>
              <a:ln xmlns:a="http://schemas.openxmlformats.org/drawingml/2006/main">
                <a:prstDash val="solid"/>
              </a:ln>
            </spPr>
          </marker>
          <cat>
            <numRef>
              <f>'Charts'!$C$7:$V$7</f>
            </numRef>
          </cat>
          <val>
            <numRef>
              <f>'Charts'!$C$19:$V$19</f>
            </numRef>
          </val>
        </ser>
        <ser>
          <idx val="2"/>
          <order val="2"/>
          <tx>
            <strRef>
              <f>'Charts'!B20</f>
            </strRef>
          </tx>
          <spPr>
            <a:ln xmlns:a="http://schemas.openxmlformats.org/drawingml/2006/main">
              <a:solidFill>
                <a:srgbClr val="1F4E79"/>
              </a:solidFill>
              <a:prstDash val="solid"/>
            </a:ln>
          </spPr>
          <marker>
            <symbol val="none"/>
            <spPr>
              <a:ln xmlns:a="http://schemas.openxmlformats.org/drawingml/2006/main">
                <a:prstDash val="solid"/>
              </a:ln>
            </spPr>
          </marker>
          <cat>
            <numRef>
              <f>'Charts'!$C$7:$V$7</f>
            </numRef>
          </cat>
          <val>
            <numRef>
              <f>'Charts'!$C$20:$V$20</f>
            </numRef>
          </val>
        </ser>
        <ser>
          <idx val="3"/>
          <order val="3"/>
          <tx>
            <strRef>
              <f>'Charts'!B21</f>
            </strRef>
          </tx>
          <spPr>
            <a:ln xmlns:a="http://schemas.openxmlformats.org/drawingml/2006/main">
              <a:solidFill>
                <a:srgbClr val="C8553D"/>
              </a:solidFill>
              <a:prstDash val="solid"/>
            </a:ln>
          </spPr>
          <marker>
            <symbol val="none"/>
            <spPr>
              <a:ln xmlns:a="http://schemas.openxmlformats.org/drawingml/2006/main">
                <a:prstDash val="solid"/>
              </a:ln>
            </spPr>
          </marker>
          <cat>
            <numRef>
              <f>'Charts'!$C$7:$V$7</f>
            </numRef>
          </cat>
          <val>
            <numRef>
              <f>'Charts'!$C$21:$V$21</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b"/>
    </legend>
    <plotVisOnly val="1"/>
    <dispBlanksAs val="gap"/>
  </chart>
</chartSpace>
</file>

<file path=xl/charts/chart4.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en-CA" sz="1800" b="1" strike="noStrike" spc="-1">
                <a:solidFill>
                  <a:srgbClr val="000000"/>
                </a:solidFill>
                <a:latin typeface="Calibri"/>
              </a:rPr>
              <a:t>Aggregates Revenue Drivers: Shipment Volume vs. Price (ASP), y/y %</a:t>
            </a:r>
          </a:p>
        </rich>
      </tx>
      <overlay val="0"/>
      <spPr>
        <a:noFill xmlns:a="http://schemas.openxmlformats.org/drawingml/2006/main"/>
        <a:ln xmlns:a="http://schemas.openxmlformats.org/drawingml/2006/main" w="0">
          <a:noFill/>
          <a:prstDash val="solid"/>
        </a:ln>
      </spPr>
    </title>
    <plotArea>
      <layout/>
      <barChart>
        <barDir val="col"/>
        <grouping val="stacked"/>
        <varyColors val="0"/>
        <ser>
          <idx val="0"/>
          <order val="0"/>
          <tx>
            <strRef>
              <f>Charts!$B$8</f>
              <strCache>
                <ptCount val="1"/>
                <pt idx="0">
                  <v>Aggregates volume %</v>
                </pt>
              </strCache>
            </strRef>
          </tx>
          <spPr>
            <a:solidFill xmlns:a="http://schemas.openxmlformats.org/drawingml/2006/main">
              <a:srgbClr val="2F3E46"/>
            </a:solidFill>
            <a:ln xmlns:a="http://schemas.openxmlformats.org/drawingml/2006/main" w="0">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endParaRPr lang="en-US"/>
              </a:p>
            </txPr>
            <dLblPos val="ctr"/>
            <showLegendKey val="0"/>
            <showVal val="0"/>
            <showCatName val="0"/>
            <showSerName val="0"/>
            <showPercent val="0"/>
            <showBubbleSize val="1"/>
            <showLeaderLines val="0"/>
          </dLbls>
          <cat>
            <numRef>
              <f>Charts!$C$7:$V$7</f>
              <numCache>
                <formatCode>General</formatCode>
                <ptCount val="20"/>
                <pt idx="0">
                  <v>2006</v>
                </pt>
                <pt idx="1">
                  <v>2007</v>
                </pt>
                <pt idx="2">
                  <v>2008</v>
                </pt>
                <pt idx="3">
                  <v>2009</v>
                </pt>
                <pt idx="4">
                  <v>2010</v>
                </pt>
                <pt idx="5">
                  <v>2011</v>
                </pt>
                <pt idx="6">
                  <v>2012</v>
                </pt>
                <pt idx="7">
                  <v>2013</v>
                </pt>
                <pt idx="8">
                  <v>2014</v>
                </pt>
                <pt idx="9">
                  <v>2015</v>
                </pt>
                <pt idx="10">
                  <v>2016</v>
                </pt>
                <pt idx="11">
                  <v>2017</v>
                </pt>
                <pt idx="12">
                  <v>2018</v>
                </pt>
                <pt idx="13">
                  <v>2019</v>
                </pt>
                <pt idx="14">
                  <v>2020</v>
                </pt>
                <pt idx="15">
                  <v>2021</v>
                </pt>
                <pt idx="16">
                  <v>2022</v>
                </pt>
                <pt idx="17">
                  <v>2023</v>
                </pt>
                <pt idx="18">
                  <v>2024</v>
                </pt>
                <pt idx="19">
                  <v>2025</v>
                </pt>
              </numCache>
            </numRef>
          </cat>
          <val>
            <numRef>
              <f>Charts!$C$8:$V$8</f>
              <numCache>
                <formatCode>0.0%;\(0.0%\);\-</formatCode>
                <ptCount val="20"/>
                <pt idx="0">
                  <v>0</v>
                </pt>
                <pt idx="1">
                  <v>-0.08143483298906751</v>
                </pt>
                <pt idx="2">
                  <v>-0.125988613801652</v>
                </pt>
                <pt idx="3">
                  <v>-0.2256220388440903</v>
                </pt>
                <pt idx="4">
                  <v>0.05353279146846468</v>
                </pt>
                <pt idx="5">
                  <v>-0.03794411070173154</v>
                </pt>
                <pt idx="6">
                  <v>0.02604058397428721</v>
                </pt>
                <pt idx="7">
                  <v>0.0007948196460714207</v>
                </pt>
                <pt idx="8">
                  <v>0.1371687961816668</v>
                </pt>
                <pt idx="9">
                  <v>0.0710167750770283</v>
                </pt>
                <pt idx="10">
                  <v>0.01409008962933611</v>
                </pt>
                <pt idx="11">
                  <v>-0.005850238926783713</v>
                </pt>
                <pt idx="12">
                  <v>0.08331113901254295</v>
                </pt>
                <pt idx="13">
                  <v>0.1187688777541034</v>
                </pt>
                <pt idx="14">
                  <v>-0.02420392829860929</v>
                </pt>
                <pt idx="15">
                  <v>0.07882037533512065</v>
                </pt>
                <pt idx="16">
                  <v>0.03230616302186884</v>
                </pt>
                <pt idx="17">
                  <v>-0.04285026480500709</v>
                </pt>
                <pt idx="18">
                  <v>-0.03873239436619724</v>
                </pt>
                <pt idx="19">
                  <v>0.0387231815803244</v>
                </pt>
              </numCache>
            </numRef>
          </val>
        </ser>
        <ser>
          <idx val="1"/>
          <order val="1"/>
          <tx>
            <strRef>
              <f>Charts!$B$9</f>
              <strCache>
                <ptCount val="1"/>
                <pt idx="0">
                  <v>Aggregates price (ASP) %</v>
                </pt>
              </strCache>
            </strRef>
          </tx>
          <spPr>
            <a:solidFill xmlns:a="http://schemas.openxmlformats.org/drawingml/2006/main">
              <a:srgbClr val="84A98C"/>
            </a:solidFill>
            <a:ln xmlns:a="http://schemas.openxmlformats.org/drawingml/2006/main" w="0">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endParaRPr lang="en-US"/>
              </a:p>
            </txPr>
            <dLblPos val="ctr"/>
            <showLegendKey val="0"/>
            <showVal val="0"/>
            <showCatName val="0"/>
            <showSerName val="0"/>
            <showPercent val="0"/>
            <showBubbleSize val="1"/>
            <showLeaderLines val="0"/>
          </dLbls>
          <cat>
            <numRef>
              <f>Charts!$C$7:$V$7</f>
              <numCache>
                <formatCode>General</formatCode>
                <ptCount val="20"/>
                <pt idx="0">
                  <v>2006</v>
                </pt>
                <pt idx="1">
                  <v>2007</v>
                </pt>
                <pt idx="2">
                  <v>2008</v>
                </pt>
                <pt idx="3">
                  <v>2009</v>
                </pt>
                <pt idx="4">
                  <v>2010</v>
                </pt>
                <pt idx="5">
                  <v>2011</v>
                </pt>
                <pt idx="6">
                  <v>2012</v>
                </pt>
                <pt idx="7">
                  <v>2013</v>
                </pt>
                <pt idx="8">
                  <v>2014</v>
                </pt>
                <pt idx="9">
                  <v>2015</v>
                </pt>
                <pt idx="10">
                  <v>2016</v>
                </pt>
                <pt idx="11">
                  <v>2017</v>
                </pt>
                <pt idx="12">
                  <v>2018</v>
                </pt>
                <pt idx="13">
                  <v>2019</v>
                </pt>
                <pt idx="14">
                  <v>2020</v>
                </pt>
                <pt idx="15">
                  <v>2021</v>
                </pt>
                <pt idx="16">
                  <v>2022</v>
                </pt>
                <pt idx="17">
                  <v>2023</v>
                </pt>
                <pt idx="18">
                  <v>2024</v>
                </pt>
                <pt idx="19">
                  <v>2025</v>
                </pt>
              </numCache>
            </numRef>
          </cat>
          <val>
            <numRef>
              <f>Charts!$C$9:$V$9</f>
              <numCache>
                <formatCode>0.0%;\(0.0%\);\-</formatCode>
                <ptCount val="20"/>
                <pt idx="0">
                  <v>0</v>
                </pt>
                <pt idx="1">
                  <v>0.104</v>
                </pt>
                <pt idx="2">
                  <v>0.06900000000000001</v>
                </pt>
                <pt idx="3">
                  <v>0.021</v>
                </pt>
                <pt idx="4">
                  <v>-0.034</v>
                </pt>
                <pt idx="5">
                  <v>0.027</v>
                </pt>
                <pt idx="6">
                  <v>0.008</v>
                </pt>
                <pt idx="7">
                  <v>0.02904162633107465</v>
                </pt>
                <pt idx="8">
                  <v>0.045</v>
                </pt>
                <pt idx="9">
                  <v>0.08</v>
                </pt>
                <pt idx="10">
                  <v>0.073</v>
                </pt>
                <pt idx="11">
                  <v>0.04503105590062106</v>
                </pt>
                <pt idx="12">
                  <v>0.01857355126300142</v>
                </pt>
                <pt idx="13">
                  <v>0.04522246535375629</v>
                </pt>
                <pt idx="14">
                  <v>0.03070481507327272</v>
                </pt>
                <pt idx="15">
                  <v>0.02098849018280302</v>
                </pt>
                <pt idx="16">
                  <v>0.1061007957559681</v>
                </pt>
                <pt idx="17">
                  <v>0.1894484412470023</v>
                </pt>
                <pt idx="18">
                  <v>0.09879032258064524</v>
                </pt>
                <pt idx="19">
                  <v>0.0688073394495412</v>
                </pt>
              </numCache>
            </numRef>
          </val>
        </ser>
        <dLbls>
          <showLegendKey val="0"/>
          <showVal val="0"/>
          <showCatName val="0"/>
          <showSerName val="0"/>
          <showPercent val="0"/>
          <showBubbleSize val="0"/>
        </dLbls>
        <gapWidth val="150"/>
        <overlap val="100"/>
        <axId val="20044735"/>
        <axId val="65342648"/>
      </barChart>
      <catAx>
        <axId val="20044735"/>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n-US"/>
          </a:p>
        </txPr>
        <crossAx val="65342648"/>
        <crosses val="autoZero"/>
        <auto val="1"/>
        <lblAlgn val="ctr"/>
        <lblOffset val="100"/>
        <noMultiLvlLbl val="0"/>
      </catAx>
      <valAx>
        <axId val="65342648"/>
        <scaling>
          <orientation val="minMax"/>
        </scaling>
        <delete val="0"/>
        <axPos val="l"/>
        <majorGridlines>
          <spPr>
            <a:ln xmlns:a="http://schemas.openxmlformats.org/drawingml/2006/main" w="9360">
              <a:solidFill>
                <a:srgbClr val="878787"/>
              </a:solidFill>
              <a:prstDash val="solid"/>
              <a:round/>
            </a:ln>
          </spPr>
        </majorGridlines>
        <numFmt formatCode="0%"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n-US"/>
          </a:p>
        </txPr>
        <crossAx val="20044735"/>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n-US"/>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5.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en-CA" sz="1800" b="1" strike="noStrike" spc="-1">
                <a:solidFill>
                  <a:srgbClr val="000000"/>
                </a:solidFill>
                <a:latin typeface="Calibri"/>
              </a:rPr>
              <a:t>Adjusted EBITDA &amp; Earnings from Operations (USDm)</a:t>
            </a:r>
          </a:p>
        </rich>
      </tx>
      <overlay val="0"/>
      <spPr>
        <a:noFill xmlns:a="http://schemas.openxmlformats.org/drawingml/2006/main"/>
        <a:ln xmlns:a="http://schemas.openxmlformats.org/drawingml/2006/main" w="0">
          <a:noFill/>
          <a:prstDash val="solid"/>
        </a:ln>
      </spPr>
    </title>
    <plotArea>
      <layout/>
      <barChart>
        <barDir val="col"/>
        <grouping val="clustered"/>
        <varyColors val="0"/>
        <ser>
          <idx val="0"/>
          <order val="0"/>
          <tx>
            <strRef>
              <f>Charts!$B$12</f>
              <strCache>
                <ptCount val="1"/>
                <pt idx="0">
                  <v>Adjusted EBITDA</v>
                </pt>
              </strCache>
            </strRef>
          </tx>
          <spPr>
            <a:solidFill xmlns:a="http://schemas.openxmlformats.org/drawingml/2006/main">
              <a:srgbClr val="A8C5D6"/>
            </a:solidFill>
            <a:ln xmlns:a="http://schemas.openxmlformats.org/drawingml/2006/main" w="0">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endParaRPr lang="en-US"/>
              </a:p>
            </txPr>
            <dLblPos val="outEnd"/>
            <showLegendKey val="0"/>
            <showVal val="0"/>
            <showCatName val="0"/>
            <showSerName val="0"/>
            <showPercent val="0"/>
            <showBubbleSize val="1"/>
            <showLeaderLines val="0"/>
          </dLbls>
          <cat>
            <numRef>
              <f>Charts!$C$7:$V$7</f>
              <numCache>
                <formatCode>General</formatCode>
                <ptCount val="20"/>
                <pt idx="0">
                  <v>2006</v>
                </pt>
                <pt idx="1">
                  <v>2007</v>
                </pt>
                <pt idx="2">
                  <v>2008</v>
                </pt>
                <pt idx="3">
                  <v>2009</v>
                </pt>
                <pt idx="4">
                  <v>2010</v>
                </pt>
                <pt idx="5">
                  <v>2011</v>
                </pt>
                <pt idx="6">
                  <v>2012</v>
                </pt>
                <pt idx="7">
                  <v>2013</v>
                </pt>
                <pt idx="8">
                  <v>2014</v>
                </pt>
                <pt idx="9">
                  <v>2015</v>
                </pt>
                <pt idx="10">
                  <v>2016</v>
                </pt>
                <pt idx="11">
                  <v>2017</v>
                </pt>
                <pt idx="12">
                  <v>2018</v>
                </pt>
                <pt idx="13">
                  <v>2019</v>
                </pt>
                <pt idx="14">
                  <v>2020</v>
                </pt>
                <pt idx="15">
                  <v>2021</v>
                </pt>
                <pt idx="16">
                  <v>2022</v>
                </pt>
                <pt idx="17">
                  <v>2023</v>
                </pt>
                <pt idx="18">
                  <v>2024</v>
                </pt>
                <pt idx="19">
                  <v>2025</v>
                </pt>
              </numCache>
            </numRef>
          </cat>
          <val>
            <numRef>
              <f>Charts!$C$12:$V$12</f>
              <numCache>
                <formatCode>#,##0;\(#,##0\);\-</formatCode>
                <ptCount val="20"/>
                <pt idx="0">
                  <v>535</v>
                </pt>
                <pt idx="1">
                  <v>590.5999999999999</v>
                </pt>
                <pt idx="2">
                  <v>497.6999999999999</v>
                </pt>
                <pt idx="3">
                  <v>364.1</v>
                </pt>
                <pt idx="4">
                  <v>374.7</v>
                </pt>
                <pt idx="5">
                  <v>335.9</v>
                </pt>
                <pt idx="6">
                  <v>329.9</v>
                </pt>
                <pt idx="7">
                  <v>390.2</v>
                </pt>
                <pt idx="8">
                  <v>537.0000000000002</v>
                </pt>
                <pt idx="9">
                  <v>766.6999999999998</v>
                </pt>
                <pt idx="10">
                  <v>971.5999999999998</v>
                </pt>
                <pt idx="11">
                  <v>1004.4</v>
                </pt>
                <pt idx="12">
                  <v>1103.765</v>
                </pt>
                <pt idx="13">
                  <v>1254.549</v>
                </pt>
                <pt idx="14">
                  <v>1392.8</v>
                </pt>
                <pt idx="15">
                  <v>1528.5</v>
                </pt>
                <pt idx="16">
                  <v>1600.3</v>
                </pt>
                <pt idx="17">
                  <v>2127.699999999999</v>
                </pt>
                <pt idx="18">
                  <v>2066</v>
                </pt>
                <pt idx="19">
                  <v>2065</v>
                </pt>
              </numCache>
            </numRef>
          </val>
        </ser>
        <ser>
          <idx val="1"/>
          <order val="1"/>
          <tx>
            <strRef>
              <f>Charts!$B$13</f>
              <strCache>
                <ptCount val="1"/>
                <pt idx="0">
                  <v>Earnings from Operations (GAAP)</v>
                </pt>
              </strCache>
            </strRef>
          </tx>
          <spPr>
            <a:solidFill xmlns:a="http://schemas.openxmlformats.org/drawingml/2006/main">
              <a:srgbClr val="1F4E79"/>
            </a:solidFill>
            <a:ln xmlns:a="http://schemas.openxmlformats.org/drawingml/2006/main" w="0">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endParaRPr lang="en-US"/>
              </a:p>
            </txPr>
            <dLblPos val="outEnd"/>
            <showLegendKey val="0"/>
            <showVal val="0"/>
            <showCatName val="0"/>
            <showSerName val="0"/>
            <showPercent val="0"/>
            <showBubbleSize val="1"/>
            <showLeaderLines val="0"/>
          </dLbls>
          <cat>
            <numRef>
              <f>Charts!$C$7:$V$7</f>
              <numCache>
                <formatCode>General</formatCode>
                <ptCount val="20"/>
                <pt idx="0">
                  <v>2006</v>
                </pt>
                <pt idx="1">
                  <v>2007</v>
                </pt>
                <pt idx="2">
                  <v>2008</v>
                </pt>
                <pt idx="3">
                  <v>2009</v>
                </pt>
                <pt idx="4">
                  <v>2010</v>
                </pt>
                <pt idx="5">
                  <v>2011</v>
                </pt>
                <pt idx="6">
                  <v>2012</v>
                </pt>
                <pt idx="7">
                  <v>2013</v>
                </pt>
                <pt idx="8">
                  <v>2014</v>
                </pt>
                <pt idx="9">
                  <v>2015</v>
                </pt>
                <pt idx="10">
                  <v>2016</v>
                </pt>
                <pt idx="11">
                  <v>2017</v>
                </pt>
                <pt idx="12">
                  <v>2018</v>
                </pt>
                <pt idx="13">
                  <v>2019</v>
                </pt>
                <pt idx="14">
                  <v>2020</v>
                </pt>
                <pt idx="15">
                  <v>2021</v>
                </pt>
                <pt idx="16">
                  <v>2022</v>
                </pt>
                <pt idx="17">
                  <v>2023</v>
                </pt>
                <pt idx="18">
                  <v>2024</v>
                </pt>
                <pt idx="19">
                  <v>2025</v>
                </pt>
              </numCache>
            </numRef>
          </cat>
          <val>
            <numRef>
              <f>Charts!$C$13:$V$13</f>
              <numCache>
                <formatCode>#,##0;\(#,##0\);\-</formatCode>
                <ptCount val="20"/>
                <pt idx="0">
                  <v>388</v>
                </pt>
                <pt idx="1">
                  <v>433</v>
                </pt>
                <pt idx="2">
                  <v>323.2999999999999</v>
                </pt>
                <pt idx="3">
                  <v>187.5999999999998</v>
                </pt>
                <pt idx="4">
                  <v>196.4</v>
                </pt>
                <pt idx="5">
                  <v>161</v>
                </pt>
                <pt idx="6">
                  <v>154.9999999999999</v>
                </pt>
                <pt idx="7">
                  <v>218</v>
                </pt>
                <pt idx="8">
                  <v>314.9000000000001</v>
                </pt>
                <pt idx="9">
                  <v>479.3999999999997</v>
                </pt>
                <pt idx="10">
                  <v>667.3</v>
                </pt>
                <pt idx="11">
                  <v>700.4000000000001</v>
                </pt>
                <pt idx="12">
                  <v>690.7370000000002</v>
                </pt>
                <pt idx="13">
                  <v>884.9340000000002</v>
                </pt>
                <pt idx="14">
                  <v>1005.4</v>
                </pt>
                <pt idx="15">
                  <v>973.8000000000001</v>
                </pt>
                <pt idx="16">
                  <v>1206.7</v>
                </pt>
                <pt idx="17">
                  <v>1596</v>
                </pt>
                <pt idx="18">
                  <v>2707</v>
                </pt>
                <pt idx="19">
                  <v>1437</v>
                </pt>
              </numCache>
            </numRef>
          </val>
        </ser>
        <dLbls>
          <showLegendKey val="0"/>
          <showVal val="0"/>
          <showCatName val="0"/>
          <showSerName val="0"/>
          <showPercent val="0"/>
          <showBubbleSize val="0"/>
        </dLbls>
        <gapWidth val="150"/>
        <axId val="22608424"/>
        <axId val="81960370"/>
      </barChart>
      <lineChart>
        <grouping val="standard"/>
        <varyColors val="0"/>
        <ser>
          <idx val="2"/>
          <order val="2"/>
          <tx>
            <strRef>
              <f>Charts!$B$14</f>
              <strCache>
                <ptCount val="1"/>
                <pt idx="0">
                  <v>Adj. EBITDA Margin %</v>
                </pt>
              </strCache>
            </strRef>
          </tx>
          <spPr>
            <a:ln xmlns:a="http://schemas.openxmlformats.org/drawingml/2006/main" w="28440">
              <a:solidFill>
                <a:srgbClr val="2F3E46"/>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endParaRPr lang="en-US"/>
              </a:p>
            </txPr>
            <dLblPos val="r"/>
            <showLegendKey val="0"/>
            <showVal val="0"/>
            <showCatName val="0"/>
            <showSerName val="0"/>
            <showPercent val="0"/>
            <showBubbleSize val="1"/>
            <showLeaderLines val="0"/>
          </dLbls>
          <cat>
            <numRef>
              <f>Charts!$C$7:$V$7</f>
              <numCache>
                <formatCode>General</formatCode>
                <ptCount val="20"/>
                <pt idx="0">
                  <v>2006</v>
                </pt>
                <pt idx="1">
                  <v>2007</v>
                </pt>
                <pt idx="2">
                  <v>2008</v>
                </pt>
                <pt idx="3">
                  <v>2009</v>
                </pt>
                <pt idx="4">
                  <v>2010</v>
                </pt>
                <pt idx="5">
                  <v>2011</v>
                </pt>
                <pt idx="6">
                  <v>2012</v>
                </pt>
                <pt idx="7">
                  <v>2013</v>
                </pt>
                <pt idx="8">
                  <v>2014</v>
                </pt>
                <pt idx="9">
                  <v>2015</v>
                </pt>
                <pt idx="10">
                  <v>2016</v>
                </pt>
                <pt idx="11">
                  <v>2017</v>
                </pt>
                <pt idx="12">
                  <v>2018</v>
                </pt>
                <pt idx="13">
                  <v>2019</v>
                </pt>
                <pt idx="14">
                  <v>2020</v>
                </pt>
                <pt idx="15">
                  <v>2021</v>
                </pt>
                <pt idx="16">
                  <v>2022</v>
                </pt>
                <pt idx="17">
                  <v>2023</v>
                </pt>
                <pt idx="18">
                  <v>2024</v>
                </pt>
                <pt idx="19">
                  <v>2025</v>
                </pt>
              </numCache>
            </numRef>
          </cat>
          <val>
            <numRef>
              <f>Charts!$C$14:$V$14</f>
              <numCache>
                <formatCode>0.0%;\(0.0%\);\-</formatCode>
                <ptCount val="20"/>
                <pt idx="0">
                  <v>0.2424764321972444</v>
                </pt>
                <pt idx="1">
                  <v>0.2675909564587015</v>
                </pt>
                <pt idx="2">
                  <v>0.2347530776850148</v>
                </pt>
                <pt idx="3">
                  <v>0.2138494067896159</v>
                </pt>
                <pt idx="4">
                  <v>0.2101632172303551</v>
                </pt>
                <pt idx="5">
                  <v>0.1959857634634459</v>
                </pt>
                <pt idx="6">
                  <v>0.1619061641146447</v>
                </pt>
                <pt idx="7">
                  <v>0.1810252841568082</v>
                </pt>
                <pt idx="8">
                  <v>0.1815415821501015</v>
                </pt>
                <pt idx="9">
                  <v>0.2166063962029607</v>
                </pt>
                <pt idx="10">
                  <v>0.2544254739708808</v>
                </pt>
                <pt idx="11">
                  <v>0.253278192455114</v>
                </pt>
                <pt idx="12">
                  <v>0.2600603402473691</v>
                </pt>
                <pt idx="13">
                  <v>0.2647231603988776</v>
                </pt>
                <pt idx="14">
                  <v>0.2944671134696293</v>
                </pt>
                <pt idx="15">
                  <v>0.282323605467307</v>
                </pt>
                <pt idx="16">
                  <v>0.2597594429204474</v>
                </pt>
                <pt idx="17">
                  <v>0.3139497137460898</v>
                </pt>
                <pt idx="18">
                  <v>0.3160954712362301</v>
                </pt>
                <pt idx="19">
                  <v>0.3357723577235772</v>
                </pt>
              </numCache>
            </numRef>
          </val>
          <smooth val="1"/>
        </ser>
        <ser>
          <idx val="3"/>
          <order val="3"/>
          <tx>
            <strRef>
              <f>Charts!$B$15</f>
              <strCache>
                <ptCount val="1"/>
                <pt idx="0">
                  <v>GAAP Op. Margin %</v>
                </pt>
              </strCache>
            </strRef>
          </tx>
          <spPr>
            <a:ln xmlns:a="http://schemas.openxmlformats.org/drawingml/2006/main" w="28440">
              <a:solidFill>
                <a:srgbClr val="C8553D"/>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endParaRPr lang="en-US"/>
              </a:p>
            </txPr>
            <dLblPos val="r"/>
            <showLegendKey val="0"/>
            <showVal val="0"/>
            <showCatName val="0"/>
            <showSerName val="0"/>
            <showPercent val="0"/>
            <showBubbleSize val="1"/>
            <showLeaderLines val="0"/>
          </dLbls>
          <cat>
            <numRef>
              <f>Charts!$C$7:$V$7</f>
              <numCache>
                <formatCode>General</formatCode>
                <ptCount val="20"/>
                <pt idx="0">
                  <v>2006</v>
                </pt>
                <pt idx="1">
                  <v>2007</v>
                </pt>
                <pt idx="2">
                  <v>2008</v>
                </pt>
                <pt idx="3">
                  <v>2009</v>
                </pt>
                <pt idx="4">
                  <v>2010</v>
                </pt>
                <pt idx="5">
                  <v>2011</v>
                </pt>
                <pt idx="6">
                  <v>2012</v>
                </pt>
                <pt idx="7">
                  <v>2013</v>
                </pt>
                <pt idx="8">
                  <v>2014</v>
                </pt>
                <pt idx="9">
                  <v>2015</v>
                </pt>
                <pt idx="10">
                  <v>2016</v>
                </pt>
                <pt idx="11">
                  <v>2017</v>
                </pt>
                <pt idx="12">
                  <v>2018</v>
                </pt>
                <pt idx="13">
                  <v>2019</v>
                </pt>
                <pt idx="14">
                  <v>2020</v>
                </pt>
                <pt idx="15">
                  <v>2021</v>
                </pt>
                <pt idx="16">
                  <v>2022</v>
                </pt>
                <pt idx="17">
                  <v>2023</v>
                </pt>
                <pt idx="18">
                  <v>2024</v>
                </pt>
                <pt idx="19">
                  <v>2025</v>
                </pt>
              </numCache>
            </numRef>
          </cat>
          <val>
            <numRef>
              <f>Charts!$C$15:$V$15</f>
              <numCache>
                <formatCode>0.0%;\(0.0%\);\-</formatCode>
                <ptCount val="20"/>
                <pt idx="0">
                  <v>0.1758520667150109</v>
                </pt>
                <pt idx="1">
                  <v>0.1961850391916995</v>
                </pt>
                <pt idx="2">
                  <v>0.1524928069430687</v>
                </pt>
                <pt idx="3">
                  <v>0.1101844238223892</v>
                </pt>
                <pt idx="4">
                  <v>0.1101576083908239</v>
                </pt>
                <pt idx="5">
                  <v>0.09393780267226792</v>
                </pt>
                <pt idx="6">
                  <v>0.07606988614055746</v>
                </pt>
                <pt idx="7">
                  <v>0.1011366272326606</v>
                </pt>
                <pt idx="8">
                  <v>0.1064570655848547</v>
                </pt>
                <pt idx="9">
                  <v>0.1354390326590575</v>
                </pt>
                <pt idx="10">
                  <v>0.1747407562585105</v>
                </pt>
                <pt idx="11">
                  <v>0.1766189227355255</v>
                </pt>
                <pt idx="12">
                  <v>0.1627459642600074</v>
                </pt>
                <pt idx="13">
                  <v>0.1867304706507441</v>
                </pt>
                <pt idx="14">
                  <v>0.2125626334594811</v>
                </pt>
                <pt idx="15">
                  <v>0.1798670114517917</v>
                </pt>
                <pt idx="16">
                  <v>0.1958705991202299</v>
                </pt>
                <pt idx="17">
                  <v>0.2354954848610045</v>
                </pt>
                <pt idx="18">
                  <v>0.4141676866585067</v>
                </pt>
                <pt idx="19">
                  <v>0.2336585365853659</v>
                </pt>
              </numCache>
            </numRef>
          </val>
          <smooth val="1"/>
        </ser>
        <dLbls>
          <showLegendKey val="0"/>
          <showVal val="0"/>
          <showCatName val="0"/>
          <showSerName val="0"/>
          <showPercent val="0"/>
          <showBubbleSize val="0"/>
        </dLbls>
        <hiLowLines>
          <spPr>
            <a:ln xmlns:a="http://schemas.openxmlformats.org/drawingml/2006/main" w="0">
              <a:noFill/>
              <a:prstDash val="solid"/>
            </a:ln>
          </spPr>
        </hiLowLines>
        <marker val="1"/>
        <smooth val="0"/>
        <axId val="99874911"/>
        <axId val="65694817"/>
      </lineChart>
      <catAx>
        <axId val="22608424"/>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n-US"/>
          </a:p>
        </txPr>
        <crossAx val="81960370"/>
        <crosses val="autoZero"/>
        <auto val="1"/>
        <lblAlgn val="ctr"/>
        <lblOffset val="100"/>
        <noMultiLvlLbl val="0"/>
      </catAx>
      <valAx>
        <axId val="81960370"/>
        <scaling>
          <orientation val="minMax"/>
        </scaling>
        <delete val="0"/>
        <axPos val="l"/>
        <majorGridlines>
          <spPr>
            <a:ln xmlns:a="http://schemas.openxmlformats.org/drawingml/2006/main" w="9360">
              <a:solidFill>
                <a:srgbClr val="878787"/>
              </a:solidFill>
              <a:prstDash val="solid"/>
              <a:round/>
            </a:ln>
          </spPr>
        </majorGridlines>
        <numFmt formatCode="#,##0"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n-US"/>
          </a:p>
        </txPr>
        <crossAx val="22608424"/>
        <crosses val="autoZero"/>
        <crossBetween val="between"/>
      </valAx>
      <catAx>
        <axId val="99874911"/>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n-US"/>
          </a:p>
        </txPr>
        <crossAx val="65694817"/>
        <crosses val="autoZero"/>
        <auto val="1"/>
        <lblAlgn val="ctr"/>
        <lblOffset val="100"/>
        <noMultiLvlLbl val="0"/>
      </catAx>
      <valAx>
        <axId val="65694817"/>
        <scaling>
          <orientation val="minMax"/>
        </scaling>
        <delete val="0"/>
        <axPos val="r"/>
        <numFmt formatCode="0%"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n-US"/>
          </a:p>
        </txPr>
        <crossAx val="99874911"/>
        <crosses val="max"/>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n-US"/>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6.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Returns Profile: ROIC, RONTA, Adjusted EBITDA Margin &amp; FCF Margin</a:t>
            </a:r>
          </a:p>
        </rich>
      </tx>
      <overlay val="0"/>
      <spPr>
        <a:noFill xmlns:a="http://schemas.openxmlformats.org/drawingml/2006/main"/>
        <a:ln xmlns:a="http://schemas.openxmlformats.org/drawingml/2006/main" w="0">
          <a:noFill/>
          <a:prstDash val="solid"/>
        </a:ln>
      </spPr>
    </title>
    <plotArea>
      <layout/>
      <lineChart>
        <grouping val="standard"/>
        <varyColors val="0"/>
        <ser>
          <idx val="0"/>
          <order val="0"/>
          <tx>
            <strRef>
              <f>Charts!$B$18</f>
              <strCache>
                <ptCount val="1"/>
                <pt idx="0">
                  <v>ROIC</v>
                </pt>
              </strCache>
            </strRef>
          </tx>
          <spPr>
            <a:ln xmlns:a="http://schemas.openxmlformats.org/drawingml/2006/main" w="28440">
              <a:solidFill>
                <a:srgbClr val="2F3E46"/>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endParaRPr lang="en-US"/>
              </a:p>
            </txPr>
            <dLblPos val="r"/>
            <showLegendKey val="0"/>
            <showVal val="0"/>
            <showCatName val="0"/>
            <showSerName val="0"/>
            <showPercent val="0"/>
            <showBubbleSize val="1"/>
            <showLeaderLines val="0"/>
          </dLbls>
          <cat>
            <numRef>
              <f>Charts!$C$7:$V$7</f>
              <numCache>
                <formatCode>General</formatCode>
                <ptCount val="20"/>
                <pt idx="0">
                  <v>2006</v>
                </pt>
                <pt idx="1">
                  <v>2007</v>
                </pt>
                <pt idx="2">
                  <v>2008</v>
                </pt>
                <pt idx="3">
                  <v>2009</v>
                </pt>
                <pt idx="4">
                  <v>2010</v>
                </pt>
                <pt idx="5">
                  <v>2011</v>
                </pt>
                <pt idx="6">
                  <v>2012</v>
                </pt>
                <pt idx="7">
                  <v>2013</v>
                </pt>
                <pt idx="8">
                  <v>2014</v>
                </pt>
                <pt idx="9">
                  <v>2015</v>
                </pt>
                <pt idx="10">
                  <v>2016</v>
                </pt>
                <pt idx="11">
                  <v>2017</v>
                </pt>
                <pt idx="12">
                  <v>2018</v>
                </pt>
                <pt idx="13">
                  <v>2019</v>
                </pt>
                <pt idx="14">
                  <v>2020</v>
                </pt>
                <pt idx="15">
                  <v>2021</v>
                </pt>
                <pt idx="16">
                  <v>2022</v>
                </pt>
                <pt idx="17">
                  <v>2023</v>
                </pt>
                <pt idx="18">
                  <v>2024</v>
                </pt>
                <pt idx="19">
                  <v>2025</v>
                </pt>
              </numCache>
            </numRef>
          </cat>
          <val>
            <numRef>
              <f>Charts!$C$18:$V$18</f>
              <numCache>
                <formatCode>0.0%;\(0.0%\);\-</formatCode>
                <ptCount val="20"/>
                <pt idx="0">
                  <v>0.1421089225457171</v>
                </pt>
                <pt idx="1">
                  <v>0.1488839162911565</v>
                </pt>
                <pt idx="2">
                  <v>0.09654253471653466</v>
                </pt>
                <pt idx="3">
                  <v>0.05939721120548978</v>
                </pt>
                <pt idx="4">
                  <v>0.06186732051446051</v>
                </pt>
                <pt idx="5">
                  <v>0.05229496682671207</v>
                </pt>
                <pt idx="6">
                  <v>0.05218524215971639</v>
                </pt>
                <pt idx="7">
                  <v>0.06234019585176093</v>
                </pt>
                <pt idx="8">
                  <v>0.03361714998529663</v>
                </pt>
                <pt idx="9">
                  <v>0.0646463765753955</v>
                </pt>
                <pt idx="10">
                  <v>0.08352291583717089</v>
                </pt>
                <pt idx="11">
                  <v>0.1307408341694765</v>
                </pt>
                <pt idx="12">
                  <v>0.0777092734611203</v>
                </pt>
                <pt idx="13">
                  <v>0.08849387925332362</v>
                </pt>
                <pt idx="14">
                  <v>0.09821895870236456</v>
                </pt>
                <pt idx="15">
                  <v>0.07834119966021579</v>
                </pt>
                <pt idx="16">
                  <v>0.07764537720685044</v>
                </pt>
                <pt idx="17">
                  <v>0.1174640506857074</v>
                </pt>
                <pt idx="18">
                  <v>0.081333230459273</v>
                </pt>
                <pt idx="19">
                  <v>0.07837384252467521</v>
                </pt>
              </numCache>
            </numRef>
          </val>
          <smooth val="1"/>
        </ser>
        <ser>
          <idx val="1"/>
          <order val="1"/>
          <tx>
            <strRef>
              <f>Charts!$B$19</f>
              <strCache>
                <ptCount val="1"/>
                <pt idx="0">
                  <v>RONTA</v>
                </pt>
              </strCache>
            </strRef>
          </tx>
          <spPr>
            <a:ln xmlns:a="http://schemas.openxmlformats.org/drawingml/2006/main" w="28440">
              <a:solidFill>
                <a:srgbClr val="84A98C"/>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endParaRPr lang="en-US"/>
              </a:p>
            </txPr>
            <dLblPos val="r"/>
            <showLegendKey val="0"/>
            <showVal val="0"/>
            <showCatName val="0"/>
            <showSerName val="0"/>
            <showPercent val="0"/>
            <showBubbleSize val="1"/>
            <showLeaderLines val="0"/>
          </dLbls>
          <cat>
            <numRef>
              <f>Charts!$C$7:$V$7</f>
              <numCache>
                <formatCode>General</formatCode>
                <ptCount val="20"/>
                <pt idx="0">
                  <v>2006</v>
                </pt>
                <pt idx="1">
                  <v>2007</v>
                </pt>
                <pt idx="2">
                  <v>2008</v>
                </pt>
                <pt idx="3">
                  <v>2009</v>
                </pt>
                <pt idx="4">
                  <v>2010</v>
                </pt>
                <pt idx="5">
                  <v>2011</v>
                </pt>
                <pt idx="6">
                  <v>2012</v>
                </pt>
                <pt idx="7">
                  <v>2013</v>
                </pt>
                <pt idx="8">
                  <v>2014</v>
                </pt>
                <pt idx="9">
                  <v>2015</v>
                </pt>
                <pt idx="10">
                  <v>2016</v>
                </pt>
                <pt idx="11">
                  <v>2017</v>
                </pt>
                <pt idx="12">
                  <v>2018</v>
                </pt>
                <pt idx="13">
                  <v>2019</v>
                </pt>
                <pt idx="14">
                  <v>2020</v>
                </pt>
                <pt idx="15">
                  <v>2021</v>
                </pt>
                <pt idx="16">
                  <v>2022</v>
                </pt>
                <pt idx="17">
                  <v>2023</v>
                </pt>
                <pt idx="18">
                  <v>2024</v>
                </pt>
                <pt idx="19">
                  <v>2025</v>
                </pt>
              </numCache>
            </numRef>
          </cat>
          <val>
            <numRef>
              <f>Charts!$C$19:$V$19</f>
              <numCache>
                <formatCode>0.0%;\(0.0%\);\-</formatCode>
                <ptCount val="20"/>
                <pt idx="0">
                  <v>0.1577568610178595</v>
                </pt>
                <pt idx="1">
                  <v>0.1633039512879359</v>
                </pt>
                <pt idx="2">
                  <v>0.1023004050311182</v>
                </pt>
                <pt idx="3">
                  <v>0.05787971493524694</v>
                </pt>
                <pt idx="4">
                  <v>0.06550310498758558</v>
                </pt>
                <pt idx="5">
                  <v>0.05619788235350321</v>
                </pt>
                <pt idx="6">
                  <v>0.05546296065288805</v>
                </pt>
                <pt idx="7">
                  <v>0.06668273687234359</v>
                </pt>
                <pt idx="8">
                  <v>0.03985122445855536</v>
                </pt>
                <pt idx="9">
                  <v>0.07885989924730435</v>
                </pt>
                <pt idx="10">
                  <v>0.1025641604800029</v>
                </pt>
                <pt idx="11">
                  <v>0.1285374606744599</v>
                </pt>
                <pt idx="12">
                  <v>0.09970994362684617</v>
                </pt>
                <pt idx="13">
                  <v>0.1062778777449464</v>
                </pt>
                <pt idx="14">
                  <v>0.114027004810715</v>
                </pt>
                <pt idx="15">
                  <v>0.09817452396578083</v>
                </pt>
                <pt idx="16">
                  <v>0.09570403775469982</v>
                </pt>
                <pt idx="17">
                  <v>0.1270960776721298</v>
                </pt>
                <pt idx="18">
                  <v>0.09034975272189151</v>
                </pt>
                <pt idx="19">
                  <v>0.08700617528514368</v>
                </pt>
              </numCache>
            </numRef>
          </val>
          <smooth val="1"/>
        </ser>
        <ser>
          <idx val="2"/>
          <order val="2"/>
          <tx>
            <strRef>
              <f>Charts!$B$20</f>
              <strCache>
                <ptCount val="1"/>
                <pt idx="0">
                  <v>Adj. EBITDA margin %</v>
                </pt>
              </strCache>
            </strRef>
          </tx>
          <spPr>
            <a:ln xmlns:a="http://schemas.openxmlformats.org/drawingml/2006/main" w="28440">
              <a:solidFill>
                <a:srgbClr val="1F4E79"/>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endParaRPr lang="en-US"/>
              </a:p>
            </txPr>
            <dLblPos val="r"/>
            <showLegendKey val="0"/>
            <showVal val="0"/>
            <showCatName val="0"/>
            <showSerName val="0"/>
            <showPercent val="0"/>
            <showBubbleSize val="1"/>
            <showLeaderLines val="0"/>
          </dLbls>
          <cat>
            <numRef>
              <f>Charts!$C$7:$V$7</f>
              <numCache>
                <formatCode>General</formatCode>
                <ptCount val="20"/>
                <pt idx="0">
                  <v>2006</v>
                </pt>
                <pt idx="1">
                  <v>2007</v>
                </pt>
                <pt idx="2">
                  <v>2008</v>
                </pt>
                <pt idx="3">
                  <v>2009</v>
                </pt>
                <pt idx="4">
                  <v>2010</v>
                </pt>
                <pt idx="5">
                  <v>2011</v>
                </pt>
                <pt idx="6">
                  <v>2012</v>
                </pt>
                <pt idx="7">
                  <v>2013</v>
                </pt>
                <pt idx="8">
                  <v>2014</v>
                </pt>
                <pt idx="9">
                  <v>2015</v>
                </pt>
                <pt idx="10">
                  <v>2016</v>
                </pt>
                <pt idx="11">
                  <v>2017</v>
                </pt>
                <pt idx="12">
                  <v>2018</v>
                </pt>
                <pt idx="13">
                  <v>2019</v>
                </pt>
                <pt idx="14">
                  <v>2020</v>
                </pt>
                <pt idx="15">
                  <v>2021</v>
                </pt>
                <pt idx="16">
                  <v>2022</v>
                </pt>
                <pt idx="17">
                  <v>2023</v>
                </pt>
                <pt idx="18">
                  <v>2024</v>
                </pt>
                <pt idx="19">
                  <v>2025</v>
                </pt>
              </numCache>
            </numRef>
          </cat>
          <val>
            <numRef>
              <f>Charts!$C$20:$V$20</f>
              <numCache>
                <formatCode>0.0%;\(0.0%\);\-</formatCode>
                <ptCount val="20"/>
                <pt idx="0">
                  <v>0.2424764321972444</v>
                </pt>
                <pt idx="1">
                  <v>0.2675909564587015</v>
                </pt>
                <pt idx="2">
                  <v>0.2347530776850148</v>
                </pt>
                <pt idx="3">
                  <v>0.2138494067896159</v>
                </pt>
                <pt idx="4">
                  <v>0.2101632172303551</v>
                </pt>
                <pt idx="5">
                  <v>0.1959857634634459</v>
                </pt>
                <pt idx="6">
                  <v>0.1619061641146447</v>
                </pt>
                <pt idx="7">
                  <v>0.1810252841568082</v>
                </pt>
                <pt idx="8">
                  <v>0.1815415821501015</v>
                </pt>
                <pt idx="9">
                  <v>0.2166063962029607</v>
                </pt>
                <pt idx="10">
                  <v>0.2544254739708808</v>
                </pt>
                <pt idx="11">
                  <v>0.253278192455114</v>
                </pt>
                <pt idx="12">
                  <v>0.2600603402473691</v>
                </pt>
                <pt idx="13">
                  <v>0.2647231603988776</v>
                </pt>
                <pt idx="14">
                  <v>0.2944671134696293</v>
                </pt>
                <pt idx="15">
                  <v>0.282323605467307</v>
                </pt>
                <pt idx="16">
                  <v>0.2597594429204474</v>
                </pt>
                <pt idx="17">
                  <v>0.3139497137460898</v>
                </pt>
                <pt idx="18">
                  <v>0.3160954712362301</v>
                </pt>
                <pt idx="19">
                  <v>0.3357723577235772</v>
                </pt>
              </numCache>
            </numRef>
          </val>
          <smooth val="1"/>
        </ser>
        <ser>
          <idx val="3"/>
          <order val="3"/>
          <tx>
            <strRef>
              <f>Charts!$B$21</f>
              <strCache>
                <ptCount val="1"/>
                <pt idx="0">
                  <v>FCF margin %</v>
                </pt>
              </strCache>
            </strRef>
          </tx>
          <spPr>
            <a:ln xmlns:a="http://schemas.openxmlformats.org/drawingml/2006/main" w="28440">
              <a:solidFill>
                <a:srgbClr val="C8553D"/>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endParaRPr lang="en-US"/>
              </a:p>
            </txPr>
            <dLblPos val="r"/>
            <showLegendKey val="0"/>
            <showVal val="0"/>
            <showCatName val="0"/>
            <showSerName val="0"/>
            <showPercent val="0"/>
            <showBubbleSize val="1"/>
            <showLeaderLines val="0"/>
          </dLbls>
          <cat>
            <numRef>
              <f>Charts!$C$7:$V$7</f>
              <numCache>
                <formatCode>General</formatCode>
                <ptCount val="20"/>
                <pt idx="0">
                  <v>2006</v>
                </pt>
                <pt idx="1">
                  <v>2007</v>
                </pt>
                <pt idx="2">
                  <v>2008</v>
                </pt>
                <pt idx="3">
                  <v>2009</v>
                </pt>
                <pt idx="4">
                  <v>2010</v>
                </pt>
                <pt idx="5">
                  <v>2011</v>
                </pt>
                <pt idx="6">
                  <v>2012</v>
                </pt>
                <pt idx="7">
                  <v>2013</v>
                </pt>
                <pt idx="8">
                  <v>2014</v>
                </pt>
                <pt idx="9">
                  <v>2015</v>
                </pt>
                <pt idx="10">
                  <v>2016</v>
                </pt>
                <pt idx="11">
                  <v>2017</v>
                </pt>
                <pt idx="12">
                  <v>2018</v>
                </pt>
                <pt idx="13">
                  <v>2019</v>
                </pt>
                <pt idx="14">
                  <v>2020</v>
                </pt>
                <pt idx="15">
                  <v>2021</v>
                </pt>
                <pt idx="16">
                  <v>2022</v>
                </pt>
                <pt idx="17">
                  <v>2023</v>
                </pt>
                <pt idx="18">
                  <v>2024</v>
                </pt>
                <pt idx="19">
                  <v>2025</v>
                </pt>
              </numCache>
            </numRef>
          </cat>
          <val>
            <numRef>
              <f>Charts!$C$21:$V$21</f>
              <numCache>
                <formatCode>0.0%;\(0.0%\);\-</formatCode>
                <ptCount val="20"/>
                <pt idx="0">
                  <v>0.03273023930384337</v>
                </pt>
                <pt idx="1">
                  <v>0.05919305876489511</v>
                </pt>
                <pt idx="2">
                  <v>0.04121881043347014</v>
                </pt>
                <pt idx="3">
                  <v>0.1052143780101022</v>
                </pt>
                <pt idx="4">
                  <v>0.0750978742498177</v>
                </pt>
                <pt idx="5">
                  <v>0.06052336775774549</v>
                </pt>
                <pt idx="6">
                  <v>0.03517177071063997</v>
                </pt>
                <pt idx="7">
                  <v>0.07131431222454188</v>
                </pt>
                <pt idx="8">
                  <v>0.05053245436105477</v>
                </pt>
                <pt idx="9">
                  <v>0.07201915470674651</v>
                </pt>
                <pt idx="10">
                  <v>0.07630328899130616</v>
                </pt>
                <pt idx="11">
                  <v>0.06242510591083318</v>
                </pt>
                <pt idx="12">
                  <v>0.07756207494112644</v>
                </pt>
                <pt idx="13">
                  <v>0.120824680139554</v>
                </pt>
                <pt idx="14">
                  <v>0.1459650309731707</v>
                </pt>
                <pt idx="15">
                  <v>0.1319911340967861</v>
                </pt>
                <pt idx="16">
                  <v>0.08268540912558639</v>
                </pt>
                <pt idx="17">
                  <v>0.1295667827421354</v>
                </pt>
                <pt idx="18">
                  <v>0.09241126070991432</v>
                </pt>
                <pt idx="19">
                  <v>0.1590243902439024</v>
                </pt>
              </numCache>
            </numRef>
          </val>
          <smooth val="1"/>
        </ser>
        <dLbls>
          <showLegendKey val="0"/>
          <showVal val="0"/>
          <showCatName val="0"/>
          <showSerName val="0"/>
          <showPercent val="0"/>
          <showBubbleSize val="0"/>
        </dLbls>
        <hiLowLines>
          <spPr>
            <a:ln xmlns:a="http://schemas.openxmlformats.org/drawingml/2006/main" w="0">
              <a:noFill/>
              <a:prstDash val="solid"/>
            </a:ln>
          </spPr>
        </hiLowLines>
        <smooth val="0"/>
        <axId val="27004353"/>
        <axId val="61682655"/>
      </lineChart>
      <catAx>
        <axId val="27004353"/>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n-US"/>
          </a:p>
        </txPr>
        <crossAx val="61682655"/>
        <crosses val="autoZero"/>
        <auto val="1"/>
        <lblAlgn val="ctr"/>
        <lblOffset val="100"/>
        <noMultiLvlLbl val="0"/>
      </catAx>
      <valAx>
        <axId val="61682655"/>
        <scaling>
          <orientation val="minMax"/>
        </scaling>
        <delete val="0"/>
        <axPos val="l"/>
        <majorGridlines>
          <spPr>
            <a:ln xmlns:a="http://schemas.openxmlformats.org/drawingml/2006/main" w="9360">
              <a:solidFill>
                <a:srgbClr val="878787"/>
              </a:solidFill>
              <a:prstDash val="solid"/>
              <a:round/>
            </a:ln>
          </spPr>
        </majorGridlines>
        <numFmt formatCode="0%"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n-US"/>
          </a:p>
        </txPr>
        <crossAx val="27004353"/>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n-US"/>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omments/comment1.xml><?xml version="1.0" encoding="utf-8"?>
<comments xmlns="http://schemas.openxmlformats.org/spreadsheetml/2006/main">
  <authors>
    <author>Model</author>
  </authors>
  <commentList>
    <comment ref="CF2" authorId="0" shapeId="0">
      <text>
        <t>Scenario toggle. Choose Bull / Base / Bear. Drives the FY26 outlook end-points used in the Q3/Q4-26E calibration and every scenario lever in the table to the right (columns CN–CR).</t>
      </text>
    </comment>
    <comment ref="B11" authorId="0" shapeId="0">
      <text>
        <t>Source: Lincoln Electric earnings releases (Form 8-K Ex. 99.1) "Segment Highlights" — Net sales (external). 2013–Q3/15 on the recast 3-segment basis (8-K 10-Feb-2016 Ex. 99.1; no 2013 quarters recast — FY2013 only).</t>
      </text>
    </comment>
    <comment ref="B13" authorId="0" shapeId="0">
      <text>
        <t>Source: earnings-release table "Change in Net Sales by Segment" (volume, price, acquisitions, foreign exchange). Segment-level split published from Q1/16 (3-segment basis); consolidated split back to 2006.</t>
      </text>
    </comment>
    <comment ref="B24" authorId="0" shapeId="0">
      <text>
        <t>Source: earnings-release segment table — "EBIT, as adjusted" (to 2019) / "Adjusted EBIT" (2020+). EBIT = operating income + other income (+ equity earnings in affiliates while reported), adjusted for special items.</t>
      </text>
    </comment>
    <comment ref="B35" authorId="0" shapeId="0">
      <text>
        <t>Source: Lincoln Electric earnings releases (Form 8-K Ex. 99.1) "Segment Highlights" — Net sales (external). 2013–Q3/15 on the recast 3-segment basis (8-K 10-Feb-2016 Ex. 99.1; no 2013 quarters recast — FY2013 only).</t>
      </text>
    </comment>
    <comment ref="B37" authorId="0" shapeId="0">
      <text>
        <t>Source: earnings-release table "Change in Net Sales by Segment" (volume, price, acquisitions, foreign exchange). Segment-level split published from Q1/16 (3-segment basis); consolidated split back to 2006.</t>
      </text>
    </comment>
    <comment ref="B48" authorId="0" shapeId="0">
      <text>
        <t>Source: earnings-release segment table — "EBIT, as adjusted" (to 2019) / "Adjusted EBIT" (2020+). EBIT = operating income + other income (+ equity earnings in affiliates while reported), adjusted for special items.</t>
      </text>
    </comment>
    <comment ref="B59" authorId="0" shapeId="0">
      <text>
        <t>Source: Lincoln Electric earnings releases (Form 8-K Ex. 99.1) "Segment Highlights" — Net sales (external). 2013–Q3/15 on the recast 3-segment basis (8-K 10-Feb-2016 Ex. 99.1; no 2013 quarters recast — FY2013 only).</t>
      </text>
    </comment>
    <comment ref="B61" authorId="0" shapeId="0">
      <text>
        <t>Source: earnings-release table "Change in Net Sales by Segment" (volume, price, acquisitions, foreign exchange). Segment-level split published from Q1/16 (3-segment basis); consolidated split back to 2006.</t>
      </text>
    </comment>
    <comment ref="B72" authorId="0" shapeId="0">
      <text>
        <t>Source: earnings-release segment table — "EBIT, as adjusted" (to 2019) / "Adjusted EBIT" (2020+). EBIT = operating income + other income (+ equity earnings in affiliates while reported), adjusted for special items.</t>
      </text>
    </comment>
    <comment ref="B105" authorId="0" shapeId="0">
      <text>
        <t>Source: earnings-release "Change in Net Sales" table (consolidated); 2006–2008 from the 10-K MD&amp;A net-sales variance discussion.</t>
      </text>
    </comment>
    <comment ref="B154" authorId="0" shapeId="0">
      <text>
        <t>Source: Lincoln Electric Forms 10-K / 10-Q and earnings releases (Form 8-K Ex. 99.1), SEC EDGAR CIK 0000059527. Q4 = fourth-quarter columns of the Q4 earnings release.</t>
      </text>
    </comment>
    <comment ref="B202" authorId="0" shapeId="0">
      <text>
        <t>Source: earnings releases (Form 8-K Ex. 99.1), "Adjusted operating income" reconciliation. 2006–2008: not tabulated by the company (only described in release text) → n/p.</t>
      </text>
    </comment>
    <comment ref="B224" authorId="0" shapeId="0">
      <text>
        <t>Source: earnings-release segment table (Consolidated column) / adjusted EBIT reconciliation (2020+). 2006–2008: segment profit after special items per the 10-K segment note / Q4-08 release.</t>
      </text>
    </comment>
    <comment ref="B236" authorId="0" shapeId="0">
      <text>
        <t>As published ("Tax effect of special items"). Periods in which LECO disclosed special items only after tax (2006–Q1/18 releases) → tax effect derived as published adjusted net income − net income − pre-tax special items − discrete tax items − NCI share.</t>
      </text>
    </comment>
    <comment ref="B245" authorId="0" shapeId="0">
      <text>
        <t>Source: earnings releases. 2006–2010 restated for the 2-for-1 split (May-2011).</t>
      </text>
    </comment>
    <comment ref="B269" authorId="0" shapeId="0">
      <text>
        <t>Source: Forms 10-K / 10-Q statements of cash flows (year-to-date); discrete quarters derived (Q2 = 6M − 3M, Q3 = 9M − 6M, Q4 = FY − 9M).</t>
      </text>
    </comment>
    <comment ref="B321" authorId="0" shapeId="0">
      <text>
        <t>Source: Forms 10-K / 10-Q balance sheets (10-Q balance sheets are condensed: goodwill / intangibles / accrued compensation not always shown separately → captured in the "other" lines).</t>
      </text>
    </comment>
  </commentList>
</comments>
</file>

<file path=xl/comments/comment2.xml><?xml version="1.0" encoding="utf-8"?>
<comments xmlns="http://schemas.openxmlformats.org/spreadsheetml/2006/main">
  <authors>
    <author>Unknown Author</author>
    <author>User</author>
  </authors>
  <commentList>
    <comment ref="N26" authorId="0" shapeId="0">
      <text>
        <t>P/E on adjusted EPS (continuing operations). MLM has traded at ~25–35x NTM EPS over 2019–26 (≈28x 2027E adjusted EPS at $518.70). Base 26x, Bull 30x, Bear 21x applied to 2028E–2030E.</t>
      </text>
    </comment>
    <comment ref="P40" authorId="1" shapeId="0">
      <text>
        <t>User:
Snapshot (values) of Model rows 290–292 (Share Buyback Schedule) with Model!CF2 = Bull, captured 6-Oct-2026. Base panel (D40:H42) is live-linked.</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s>
</file>

<file path=xl/drawings/drawing1.xml><?xml version="1.0" encoding="utf-8"?>
<wsDr xmlns="http://schemas.openxmlformats.org/drawingml/2006/spreadsheetDrawing">
  <twoCellAnchor editAs="oneCell">
    <from>
      <col>1</col>
      <colOff>0</colOff>
      <row>22</row>
      <rowOff>160560</rowOff>
    </from>
    <to>
      <col>12</col>
      <colOff>543600</colOff>
      <row>37</row>
      <rowOff>2160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editAs="oneCell">
    <from>
      <col>1</col>
      <colOff>0</colOff>
      <row>43</row>
      <rowOff>160560</rowOff>
    </from>
    <to>
      <col>12</col>
      <colOff>543600</colOff>
      <row>58</row>
      <rowOff>1800</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editAs="oneCell">
    <from>
      <col>1</col>
      <colOff>0</colOff>
      <row>64</row>
      <rowOff>160560</rowOff>
    </from>
    <to>
      <col>12</col>
      <colOff>543600</colOff>
      <row>79</row>
      <rowOff>2160</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oneCellAnchor>
    <from>
      <col>1</col>
      <colOff>0</colOff>
      <row>22</row>
      <rowOff>0</rowOff>
    </from>
    <ext cx="86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col>
      <colOff>0</colOff>
      <row>43</row>
      <rowOff>0</rowOff>
    </from>
    <ext cx="864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0</colOff>
      <row>64</row>
      <rowOff>0</rowOff>
    </from>
    <ext cx="8640000" cy="270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CR438"/>
  <sheetViews>
    <sheetView showGridLines="0" zoomScale="70" workbookViewId="0">
      <pane xSplit="2" ySplit="7" topLeftCell="C8" activePane="bottomRight" state="frozen"/>
      <selection pane="topRight" activeCell="A1" sqref="A1"/>
      <selection pane="bottomLeft" activeCell="A1" sqref="A1"/>
      <selection pane="bottomRight" activeCell="A1" sqref="A1"/>
    </sheetView>
  </sheetViews>
  <sheetFormatPr baseColWidth="8" defaultRowHeight="15"/>
  <cols>
    <col width="2.42578125" customWidth="1" style="251" min="1" max="1"/>
    <col width="62" customWidth="1" style="251" min="2" max="2"/>
    <col width="14.140625" customWidth="1" style="251" min="3" max="3"/>
    <col width="14.140625" customWidth="1" style="251" min="4" max="4"/>
    <col width="14.140625" customWidth="1" style="251" min="5" max="5"/>
    <col width="14.140625" customWidth="1" style="251" min="6" max="6"/>
    <col width="14.140625" customWidth="1" style="251" min="7" max="7"/>
    <col width="14.140625" customWidth="1" style="251" min="8" max="8"/>
    <col width="14.140625" customWidth="1" style="251" min="9" max="9"/>
    <col hidden="1" outlineLevel="1" width="9.5703125" customWidth="1" style="251" min="10" max="13"/>
    <col width="14.140625" customWidth="1" style="251" min="14" max="14"/>
    <col hidden="1" outlineLevel="1" width="9.5703125" customWidth="1" style="251" min="15" max="18"/>
    <col width="14.140625" customWidth="1" style="251" min="19" max="19"/>
    <col hidden="1" outlineLevel="1" width="9.5703125" customWidth="1" style="251" min="20" max="23"/>
    <col width="14.140625" customWidth="1" style="251" min="24" max="24"/>
    <col hidden="1" outlineLevel="1" width="9.5703125" customWidth="1" style="251" min="25" max="28"/>
    <col width="14.140625" customWidth="1" style="251" min="29" max="29"/>
    <col hidden="1" outlineLevel="1" width="9.5703125" customWidth="1" style="251" min="30" max="33"/>
    <col width="14.140625" customWidth="1" style="251" min="34" max="34"/>
    <col hidden="1" outlineLevel="1" width="9.5703125" customWidth="1" style="251" min="35" max="38"/>
    <col width="14.140625" customWidth="1" style="251" min="39" max="39"/>
    <col hidden="1" outlineLevel="1" width="9.5703125" customWidth="1" style="251" min="40" max="43"/>
    <col width="14.140625" customWidth="1" style="251" min="44" max="44"/>
    <col hidden="1" outlineLevel="1" width="9.5703125" customWidth="1" style="251" min="45" max="48"/>
    <col width="14.140625" customWidth="1" style="251" min="49" max="49"/>
    <col hidden="1" outlineLevel="1" width="9.5703125" customWidth="1" style="251" min="50" max="53"/>
    <col width="14.140625" customWidth="1" style="251" min="54" max="54"/>
    <col hidden="1" outlineLevel="1" width="9.5703125" customWidth="1" style="251" min="55" max="58"/>
    <col width="14.140625" customWidth="1" style="251" min="59" max="59"/>
    <col hidden="1" outlineLevel="1" width="9.5703125" customWidth="1" style="251" min="60" max="63"/>
    <col width="14.140625" customWidth="1" style="251" min="64" max="64"/>
    <col hidden="1" outlineLevel="1" width="9.5703125" customWidth="1" style="251" min="65" max="68"/>
    <col width="14.140625" customWidth="1" style="251" min="69" max="69"/>
    <col hidden="1" outlineLevel="1" width="9.5703125" customWidth="1" style="251" min="70" max="73"/>
    <col width="14.140625" customWidth="1" style="251" min="74" max="74"/>
    <col hidden="1" outlineLevel="1" width="9.5703125" customWidth="1" style="251" min="75" max="78"/>
    <col width="14.140625" customWidth="1" style="251" min="79" max="79"/>
    <col width="14.140625" customWidth="1" style="251" min="80" max="80"/>
    <col width="14.140625" customWidth="1" style="251" min="81" max="81"/>
    <col width="14.140625" customWidth="1" style="251" min="82" max="82"/>
    <col width="14.140625" customWidth="1" style="251" min="83" max="83"/>
    <col width="86.85546875" customWidth="1" style="251" min="84" max="84"/>
    <col width="2" customWidth="1" style="251" min="85" max="85"/>
    <col width="14.14" customWidth="1" style="251" min="86" max="86"/>
    <col width="12.43" customWidth="1" style="251" min="87" max="87"/>
    <col width="13.43" customWidth="1" style="251" min="88" max="88"/>
    <col width="13.43" customWidth="1" style="251" min="89" max="89"/>
    <col width="2" customWidth="1" style="251" min="90" max="90"/>
    <col width="6" customWidth="1" style="251" min="91" max="91"/>
    <col width="46" customWidth="1" style="251" min="92" max="92"/>
    <col width="11.57" customWidth="1" style="251" min="93" max="93"/>
    <col width="11.57" customWidth="1" style="251" min="94" max="94"/>
    <col width="11.57" customWidth="1" style="251" min="95" max="95"/>
    <col width="60" customWidth="1" style="251" min="96" max="96"/>
  </cols>
  <sheetData>
    <row r="1">
      <c r="CF1" s="1" t="inlineStr">
        <is>
          <t>SCENARIO SWITCH ▼ (Bull / Base / Bear) — drives all scenario-linked forecast drivers</t>
        </is>
      </c>
    </row>
    <row r="2">
      <c r="B2" s="2" t="inlineStr">
        <is>
          <t>Lincoln Electric Holdings, Inc. (Nasdaq: LECO) — 3-Statement Financial Model</t>
        </is>
      </c>
      <c r="CF2" s="3" t="inlineStr">
        <is>
          <t>Base</t>
        </is>
      </c>
    </row>
    <row r="3">
      <c r="B3" s="4" t="inlineStr">
        <is>
          <t>US GAAP as reported · USD millions (per-share data in USD; shares in millions) · Source: Lincoln Electric Forms 10-K / 10-Q and Form 8-K earnings releases (Ex. 99.1), segment-recast 8-K (10-Feb-2016), SEC EDGAR CIK 0000059527 (investor-relations releases are the same documents as filed on EDGAR); XBRL company facts used to cross-check totals</t>
        </is>
      </c>
    </row>
    <row r="4">
      <c r="B4" s="5" t="inlineStr">
        <is>
          <t>Basis notes: calendar fiscal year. Three reportable segments (Americas Welding, International Welding, The Harris Products Group) from Q1/16, recast for FY2013 and 2014–15 quarters (no 2013 quarterly recast); five legacy segments (North America / Europe / Asia Pacific / South America Welding + Harris) 2009–2015 and North America / Europe / Other Countries 2006–2008 shown as memo. Per-share data 2006–2010 restated for the 2-for-1 split (May-2011). Venezuela deconsolidated Q4/15. Adjusted measures = company definitions (special items: rationalization &amp; asset impairments, acquisition costs &amp; inventory step-up, pension settlements, Venezuela, disposal gains, discrete tax items). FY26 outlook per the Q2-26 call (30-Jul-2026).</t>
        </is>
      </c>
    </row>
    <row r="5">
      <c r="CH5" s="6" t="inlineStr">
        <is>
          <t>Forecast</t>
        </is>
      </c>
      <c r="CI5" s="6" t="inlineStr">
        <is>
          <t>Historical</t>
        </is>
      </c>
      <c r="CJ5" s="6" t="inlineStr">
        <is>
          <t>Historical</t>
        </is>
      </c>
      <c r="CK5" s="6" t="inlineStr">
        <is>
          <t>Historical</t>
        </is>
      </c>
    </row>
    <row r="6">
      <c r="B6" s="7" t="inlineStr">
        <is>
          <t>(USDm)</t>
        </is>
      </c>
      <c r="C6" s="8" t="n">
        <v>2006</v>
      </c>
      <c r="D6" s="8" t="n">
        <v>2007</v>
      </c>
      <c r="E6" s="8" t="n">
        <v>2008</v>
      </c>
      <c r="F6" s="8" t="n">
        <v>2009</v>
      </c>
      <c r="G6" s="8" t="n">
        <v>2010</v>
      </c>
      <c r="H6" s="8" t="n">
        <v>2011</v>
      </c>
      <c r="I6" s="8" t="n">
        <v>2012</v>
      </c>
      <c r="J6" s="8" t="inlineStr">
        <is>
          <t>Q1/13</t>
        </is>
      </c>
      <c r="K6" s="8" t="inlineStr">
        <is>
          <t>Q2/13</t>
        </is>
      </c>
      <c r="L6" s="8" t="inlineStr">
        <is>
          <t>Q3/13</t>
        </is>
      </c>
      <c r="M6" s="8" t="inlineStr">
        <is>
          <t>Q4/13</t>
        </is>
      </c>
      <c r="N6" s="8" t="n">
        <v>2013</v>
      </c>
      <c r="O6" s="8" t="inlineStr">
        <is>
          <t>Q1/14</t>
        </is>
      </c>
      <c r="P6" s="8" t="inlineStr">
        <is>
          <t>Q2/14</t>
        </is>
      </c>
      <c r="Q6" s="8" t="inlineStr">
        <is>
          <t>Q3/14</t>
        </is>
      </c>
      <c r="R6" s="8" t="inlineStr">
        <is>
          <t>Q4/14</t>
        </is>
      </c>
      <c r="S6" s="8" t="n">
        <v>2014</v>
      </c>
      <c r="T6" s="8" t="inlineStr">
        <is>
          <t>Q1/15</t>
        </is>
      </c>
      <c r="U6" s="8" t="inlineStr">
        <is>
          <t>Q2/15</t>
        </is>
      </c>
      <c r="V6" s="8" t="inlineStr">
        <is>
          <t>Q3/15</t>
        </is>
      </c>
      <c r="W6" s="8" t="inlineStr">
        <is>
          <t>Q4/15</t>
        </is>
      </c>
      <c r="X6" s="8" t="n">
        <v>2015</v>
      </c>
      <c r="Y6" s="8" t="inlineStr">
        <is>
          <t>Q1/16</t>
        </is>
      </c>
      <c r="Z6" s="8" t="inlineStr">
        <is>
          <t>Q2/16</t>
        </is>
      </c>
      <c r="AA6" s="8" t="inlineStr">
        <is>
          <t>Q3/16</t>
        </is>
      </c>
      <c r="AB6" s="8" t="inlineStr">
        <is>
          <t>Q4/16</t>
        </is>
      </c>
      <c r="AC6" s="8" t="n">
        <v>2016</v>
      </c>
      <c r="AD6" s="8" t="inlineStr">
        <is>
          <t>Q1/17</t>
        </is>
      </c>
      <c r="AE6" s="8" t="inlineStr">
        <is>
          <t>Q2/17</t>
        </is>
      </c>
      <c r="AF6" s="8" t="inlineStr">
        <is>
          <t>Q3/17</t>
        </is>
      </c>
      <c r="AG6" s="8" t="inlineStr">
        <is>
          <t>Q4/17</t>
        </is>
      </c>
      <c r="AH6" s="8" t="n">
        <v>2017</v>
      </c>
      <c r="AI6" s="8" t="inlineStr">
        <is>
          <t>Q1/18</t>
        </is>
      </c>
      <c r="AJ6" s="8" t="inlineStr">
        <is>
          <t>Q2/18</t>
        </is>
      </c>
      <c r="AK6" s="8" t="inlineStr">
        <is>
          <t>Q3/18</t>
        </is>
      </c>
      <c r="AL6" s="8" t="inlineStr">
        <is>
          <t>Q4/18</t>
        </is>
      </c>
      <c r="AM6" s="8" t="n">
        <v>2018</v>
      </c>
      <c r="AN6" s="8" t="inlineStr">
        <is>
          <t>Q1/19</t>
        </is>
      </c>
      <c r="AO6" s="8" t="inlineStr">
        <is>
          <t>Q2/19</t>
        </is>
      </c>
      <c r="AP6" s="8" t="inlineStr">
        <is>
          <t>Q3/19</t>
        </is>
      </c>
      <c r="AQ6" s="8" t="inlineStr">
        <is>
          <t>Q4/19</t>
        </is>
      </c>
      <c r="AR6" s="8" t="n">
        <v>2019</v>
      </c>
      <c r="AS6" s="8" t="inlineStr">
        <is>
          <t>Q1/20</t>
        </is>
      </c>
      <c r="AT6" s="8" t="inlineStr">
        <is>
          <t>Q2/20</t>
        </is>
      </c>
      <c r="AU6" s="8" t="inlineStr">
        <is>
          <t>Q3/20</t>
        </is>
      </c>
      <c r="AV6" s="8" t="inlineStr">
        <is>
          <t>Q4/20</t>
        </is>
      </c>
      <c r="AW6" s="8" t="n">
        <v>2020</v>
      </c>
      <c r="AX6" s="8" t="inlineStr">
        <is>
          <t>Q1/21</t>
        </is>
      </c>
      <c r="AY6" s="8" t="inlineStr">
        <is>
          <t>Q2/21</t>
        </is>
      </c>
      <c r="AZ6" s="8" t="inlineStr">
        <is>
          <t>Q3/21</t>
        </is>
      </c>
      <c r="BA6" s="8" t="inlineStr">
        <is>
          <t>Q4/21</t>
        </is>
      </c>
      <c r="BB6" s="8" t="n">
        <v>2021</v>
      </c>
      <c r="BC6" s="8" t="inlineStr">
        <is>
          <t>Q1/22</t>
        </is>
      </c>
      <c r="BD6" s="8" t="inlineStr">
        <is>
          <t>Q2/22</t>
        </is>
      </c>
      <c r="BE6" s="8" t="inlineStr">
        <is>
          <t>Q3/22</t>
        </is>
      </c>
      <c r="BF6" s="8" t="inlineStr">
        <is>
          <t>Q4/22</t>
        </is>
      </c>
      <c r="BG6" s="8" t="n">
        <v>2022</v>
      </c>
      <c r="BH6" s="8" t="inlineStr">
        <is>
          <t>Q1/23</t>
        </is>
      </c>
      <c r="BI6" s="8" t="inlineStr">
        <is>
          <t>Q2/23</t>
        </is>
      </c>
      <c r="BJ6" s="8" t="inlineStr">
        <is>
          <t>Q3/23</t>
        </is>
      </c>
      <c r="BK6" s="8" t="inlineStr">
        <is>
          <t>Q4/23</t>
        </is>
      </c>
      <c r="BL6" s="8" t="n">
        <v>2023</v>
      </c>
      <c r="BM6" s="8" t="inlineStr">
        <is>
          <t>Q1/24</t>
        </is>
      </c>
      <c r="BN6" s="8" t="inlineStr">
        <is>
          <t>Q2/24</t>
        </is>
      </c>
      <c r="BO6" s="8" t="inlineStr">
        <is>
          <t>Q3/24</t>
        </is>
      </c>
      <c r="BP6" s="8" t="inlineStr">
        <is>
          <t>Q4/24</t>
        </is>
      </c>
      <c r="BQ6" s="8" t="n">
        <v>2024</v>
      </c>
      <c r="BR6" s="8" t="inlineStr">
        <is>
          <t>Q1/25</t>
        </is>
      </c>
      <c r="BS6" s="8" t="inlineStr">
        <is>
          <t>Q2/25</t>
        </is>
      </c>
      <c r="BT6" s="8" t="inlineStr">
        <is>
          <t>Q3/25</t>
        </is>
      </c>
      <c r="BU6" s="8" t="inlineStr">
        <is>
          <t>Q4/25</t>
        </is>
      </c>
      <c r="BV6" s="8" t="n">
        <v>2025</v>
      </c>
      <c r="BW6" s="8" t="inlineStr">
        <is>
          <t>Q1/26</t>
        </is>
      </c>
      <c r="BX6" s="8" t="inlineStr">
        <is>
          <t>Q2/26</t>
        </is>
      </c>
      <c r="BY6" s="8" t="inlineStr">
        <is>
          <t>Q3/26E</t>
        </is>
      </c>
      <c r="BZ6" s="8" t="inlineStr">
        <is>
          <t>Q4/26E</t>
        </is>
      </c>
      <c r="CA6" s="8" t="inlineStr">
        <is>
          <t>2026E</t>
        </is>
      </c>
      <c r="CB6" s="8" t="inlineStr">
        <is>
          <t>2027E</t>
        </is>
      </c>
      <c r="CC6" s="8" t="inlineStr">
        <is>
          <t>2028E</t>
        </is>
      </c>
      <c r="CD6" s="8" t="inlineStr">
        <is>
          <t>2029E</t>
        </is>
      </c>
      <c r="CE6" s="8" t="inlineStr">
        <is>
          <t>2030E</t>
        </is>
      </c>
      <c r="CF6" s="8" t="inlineStr">
        <is>
          <t>Modelling Notes</t>
        </is>
      </c>
      <c r="CH6" s="6" t="inlineStr">
        <is>
          <t>5Y CAGR</t>
        </is>
      </c>
      <c r="CI6" s="6" t="inlineStr">
        <is>
          <t>5Y CAGR</t>
        </is>
      </c>
      <c r="CJ6" s="6" t="inlineStr">
        <is>
          <t>10Y CAGR</t>
        </is>
      </c>
      <c r="CK6" s="6" t="inlineStr">
        <is>
          <t>19Y CAGR</t>
        </is>
      </c>
    </row>
    <row r="7">
      <c r="CH7" s="9" t="inlineStr">
        <is>
          <t>25-'30</t>
        </is>
      </c>
      <c r="CI7" s="9" t="inlineStr">
        <is>
          <t>20-'25</t>
        </is>
      </c>
      <c r="CJ7" s="9" t="inlineStr">
        <is>
          <t>15-'25</t>
        </is>
      </c>
      <c r="CK7" s="9" t="inlineStr">
        <is>
          <t>06-'25</t>
        </is>
      </c>
    </row>
    <row r="8">
      <c r="B8" s="10" t="inlineStr">
        <is>
          <t>SEGMENT P&amp;L — AMERICAS WELDING · INTERNATIONAL WELDING · THE HARRIS PRODUCTS GROUP (volume × price × acquisitions × FX build)</t>
        </is>
      </c>
      <c r="C8" s="10" t="n"/>
      <c r="D8" s="10" t="n"/>
      <c r="E8" s="10" t="n"/>
      <c r="F8" s="10" t="n"/>
      <c r="G8" s="10" t="n"/>
      <c r="H8" s="10" t="n"/>
      <c r="I8" s="10" t="n"/>
      <c r="J8" s="10" t="n"/>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0" t="n"/>
      <c r="AL8" s="10" t="n"/>
      <c r="AM8" s="10" t="n"/>
      <c r="AN8" s="10" t="n"/>
      <c r="AO8" s="10" t="n"/>
      <c r="AP8" s="10" t="n"/>
      <c r="AQ8" s="10" t="n"/>
      <c r="AR8" s="10" t="n"/>
      <c r="AS8" s="10" t="n"/>
      <c r="AT8" s="10" t="n"/>
      <c r="AU8" s="10" t="n"/>
      <c r="AV8" s="10" t="n"/>
      <c r="AW8" s="10" t="n"/>
      <c r="AX8" s="10" t="n"/>
      <c r="AY8" s="10" t="n"/>
      <c r="AZ8" s="10" t="n"/>
      <c r="BA8" s="10" t="n"/>
      <c r="BB8" s="10" t="n"/>
      <c r="BC8" s="10" t="n"/>
      <c r="BD8" s="10" t="n"/>
      <c r="BE8" s="10" t="n"/>
      <c r="BF8" s="10" t="n"/>
      <c r="BG8" s="10" t="n"/>
      <c r="BH8" s="10" t="n"/>
      <c r="BI8" s="10" t="n"/>
      <c r="BJ8" s="10" t="n"/>
      <c r="BK8" s="10" t="n"/>
      <c r="BL8" s="10" t="n"/>
      <c r="BM8" s="10" t="n"/>
      <c r="BN8" s="10" t="n"/>
      <c r="BO8" s="10" t="n"/>
      <c r="BP8" s="10" t="n"/>
      <c r="BQ8" s="10" t="n"/>
      <c r="BR8" s="10" t="n"/>
      <c r="BS8" s="10" t="n"/>
      <c r="BT8" s="10" t="n"/>
      <c r="BU8" s="10" t="n"/>
      <c r="BV8" s="10" t="n"/>
      <c r="BW8" s="10" t="n"/>
      <c r="BX8" s="10" t="n"/>
      <c r="BY8" s="10" t="n"/>
      <c r="BZ8" s="10" t="n"/>
      <c r="CA8" s="10" t="n"/>
      <c r="CB8" s="10" t="n"/>
      <c r="CC8" s="10" t="n"/>
      <c r="CD8" s="10" t="n"/>
      <c r="CE8" s="10" t="n"/>
      <c r="CF8" s="10" t="inlineStr">
        <is>
          <t>SEGMENT BUILD — modelling logic (prior-year net sales × (1 + volume + price + acquisitions + FX) → total segment sales × adjusted EBIT margin → group adjusted EBIT)</t>
        </is>
      </c>
    </row>
    <row r="9">
      <c r="CF9" s="19" t="n"/>
      <c r="CN9" s="11" t="inlineStr">
        <is>
          <t>SCENARIO INPUT TABLE — driver assumptions per Bull / Base / Bear</t>
        </is>
      </c>
      <c r="CO9" s="12" t="inlineStr">
        <is>
          <t>Bull</t>
        </is>
      </c>
      <c r="CP9" s="12" t="inlineStr">
        <is>
          <t>Base</t>
        </is>
      </c>
      <c r="CQ9" s="12" t="inlineStr">
        <is>
          <t>Bear</t>
        </is>
      </c>
      <c r="CR9" s="13" t="inlineStr">
        <is>
          <t>Bull / Bear = Base + Δ (Δ inputs on each lever header). Outlook block = high / mid / low end of the FY26 ranges.</t>
        </is>
      </c>
    </row>
    <row r="10">
      <c r="B10" s="14" t="inlineStr">
        <is>
          <t>Americas Welding (arc-welding equipment, consumables, automation &amp; cutting — North and South America)</t>
        </is>
      </c>
      <c r="C10" s="14" t="n"/>
      <c r="D10" s="14" t="n"/>
      <c r="E10" s="14" t="n"/>
      <c r="F10" s="14" t="n"/>
      <c r="G10" s="14" t="n"/>
      <c r="H10" s="14" t="n"/>
      <c r="I10" s="14" t="n"/>
      <c r="J10" s="14" t="n"/>
      <c r="K10" s="14" t="n"/>
      <c r="L10" s="14" t="n"/>
      <c r="M10" s="14" t="n"/>
      <c r="N10" s="14" t="n"/>
      <c r="O10" s="14" t="n"/>
      <c r="P10" s="14" t="n"/>
      <c r="Q10" s="14" t="n"/>
      <c r="R10" s="14" t="n"/>
      <c r="S10" s="14" t="n"/>
      <c r="T10" s="14" t="n"/>
      <c r="U10" s="14" t="n"/>
      <c r="V10" s="14" t="n"/>
      <c r="W10" s="14" t="n"/>
      <c r="X10" s="14" t="n"/>
      <c r="Y10" s="14" t="n"/>
      <c r="Z10" s="14" t="n"/>
      <c r="AA10" s="14" t="n"/>
      <c r="AB10" s="14" t="n"/>
      <c r="AC10" s="14" t="n"/>
      <c r="AD10" s="14" t="n"/>
      <c r="AE10" s="14" t="n"/>
      <c r="AF10" s="14" t="n"/>
      <c r="AG10" s="14" t="n"/>
      <c r="AH10" s="14" t="n"/>
      <c r="AI10" s="14" t="n"/>
      <c r="AJ10" s="14" t="n"/>
      <c r="AK10" s="14" t="n"/>
      <c r="AL10" s="14" t="n"/>
      <c r="AM10" s="14" t="n"/>
      <c r="AN10" s="14" t="n"/>
      <c r="AO10" s="14" t="n"/>
      <c r="AP10" s="14" t="n"/>
      <c r="AQ10" s="14" t="n"/>
      <c r="AR10" s="14" t="n"/>
      <c r="AS10" s="14" t="n"/>
      <c r="AT10" s="14" t="n"/>
      <c r="AU10" s="14" t="n"/>
      <c r="AV10" s="14" t="n"/>
      <c r="AW10" s="14" t="n"/>
      <c r="AX10" s="14" t="n"/>
      <c r="AY10" s="14" t="n"/>
      <c r="AZ10" s="14" t="n"/>
      <c r="BA10" s="14" t="n"/>
      <c r="BB10" s="14" t="n"/>
      <c r="BC10" s="14" t="n"/>
      <c r="BD10" s="14" t="n"/>
      <c r="BE10" s="14" t="n"/>
      <c r="BF10" s="14" t="n"/>
      <c r="BG10" s="14" t="n"/>
      <c r="BH10" s="14" t="n"/>
      <c r="BI10" s="14" t="n"/>
      <c r="BJ10" s="14" t="n"/>
      <c r="BK10" s="14" t="n"/>
      <c r="BL10" s="14" t="n"/>
      <c r="BM10" s="14" t="n"/>
      <c r="BN10" s="14" t="n"/>
      <c r="BO10" s="14" t="n"/>
      <c r="BP10" s="14" t="n"/>
      <c r="BQ10" s="14" t="n"/>
      <c r="BR10" s="14" t="n"/>
      <c r="BS10" s="14" t="n"/>
      <c r="BT10" s="14" t="n"/>
      <c r="BU10" s="14" t="n"/>
      <c r="BV10" s="14" t="n"/>
      <c r="BW10" s="14" t="n"/>
      <c r="BX10" s="14" t="n"/>
      <c r="BY10" s="14" t="n"/>
      <c r="BZ10" s="14" t="n"/>
      <c r="CA10" s="14" t="n"/>
      <c r="CB10" s="14" t="n"/>
      <c r="CC10" s="14" t="n"/>
      <c r="CD10" s="14" t="n"/>
      <c r="CE10" s="14" t="n"/>
      <c r="CF10" s="15" t="inlineStr">
        <is>
          <t>AMERICAS WELDING — modelling logic</t>
        </is>
      </c>
    </row>
    <row r="11">
      <c r="B11" s="16" t="inlineStr">
        <is>
          <t xml:space="preserve">  Net sales (external customers)</t>
        </is>
      </c>
      <c r="C11" s="43" t="n"/>
      <c r="D11" s="43" t="n"/>
      <c r="E11" s="43" t="n"/>
      <c r="F11" s="43" t="n"/>
      <c r="G11" s="43" t="n"/>
      <c r="H11" s="43" t="n"/>
      <c r="I11" s="43" t="n"/>
      <c r="J11" s="43" t="n"/>
      <c r="K11" s="43" t="n"/>
      <c r="L11" s="43" t="n"/>
      <c r="M11" s="43" t="n"/>
      <c r="N11" s="31" t="n">
        <v>1848.663</v>
      </c>
      <c r="O11" s="31" t="n">
        <v>441.849</v>
      </c>
      <c r="P11" s="31" t="n">
        <v>465.524</v>
      </c>
      <c r="Q11" s="31" t="n">
        <v>469.39</v>
      </c>
      <c r="R11" s="31" t="n">
        <v>460.907</v>
      </c>
      <c r="S11" s="31" t="n">
        <v>1837.67</v>
      </c>
      <c r="T11" s="31" t="n">
        <v>448.837</v>
      </c>
      <c r="U11" s="31" t="n">
        <v>451.001</v>
      </c>
      <c r="V11" s="31" t="n">
        <v>454.172</v>
      </c>
      <c r="W11" s="31" t="n">
        <v>387.34</v>
      </c>
      <c r="X11" s="31" t="n">
        <v>1741.35</v>
      </c>
      <c r="Y11" s="31" t="n">
        <v>359.008</v>
      </c>
      <c r="Z11" s="31" t="n">
        <v>388.372</v>
      </c>
      <c r="AA11" s="31" t="n">
        <v>377.52</v>
      </c>
      <c r="AB11" s="31" t="n">
        <v>370.082</v>
      </c>
      <c r="AC11" s="31" t="n">
        <v>1494.982</v>
      </c>
      <c r="AD11" s="31" t="n">
        <v>383.324</v>
      </c>
      <c r="AE11" s="31" t="n">
        <v>405.147</v>
      </c>
      <c r="AF11" s="31" t="n">
        <v>398.289</v>
      </c>
      <c r="AG11" s="31" t="n">
        <v>423.019</v>
      </c>
      <c r="AH11" s="31" t="n">
        <v>1609.779</v>
      </c>
      <c r="AI11" s="31" t="n">
        <v>434.772</v>
      </c>
      <c r="AJ11" s="31" t="n">
        <v>462.515</v>
      </c>
      <c r="AK11" s="31" t="n">
        <v>454.01</v>
      </c>
      <c r="AL11" s="31" t="n">
        <v>455.217</v>
      </c>
      <c r="AM11" s="31" t="n">
        <v>1806.514</v>
      </c>
      <c r="AN11" s="31" t="n">
        <v>457.719</v>
      </c>
      <c r="AO11" s="31" t="n">
        <v>476.607</v>
      </c>
      <c r="AP11" s="31" t="n">
        <v>443.521</v>
      </c>
      <c r="AQ11" s="31" t="n">
        <v>437.899</v>
      </c>
      <c r="AR11" s="31" t="n">
        <v>1815.746</v>
      </c>
      <c r="AS11" s="31" t="n">
        <v>418.535</v>
      </c>
      <c r="AT11" s="31" t="n">
        <v>333.229</v>
      </c>
      <c r="AU11" s="31" t="n">
        <v>371.535</v>
      </c>
      <c r="AV11" s="31" t="n">
        <v>386.571</v>
      </c>
      <c r="AW11" s="31" t="n">
        <v>1509.87</v>
      </c>
      <c r="AX11" s="31" t="n">
        <v>425.242</v>
      </c>
      <c r="AY11" s="31" t="n">
        <v>457.468</v>
      </c>
      <c r="AZ11" s="31" t="n">
        <v>461.508</v>
      </c>
      <c r="BA11" s="31" t="n">
        <v>480.263</v>
      </c>
      <c r="BB11" s="31" t="n">
        <v>1824.481</v>
      </c>
      <c r="BC11" s="31" t="n">
        <v>534.0549999999999</v>
      </c>
      <c r="BD11" s="31" t="n">
        <v>595.659</v>
      </c>
      <c r="BE11" s="31" t="n">
        <v>585.628</v>
      </c>
      <c r="BF11" s="31" t="n">
        <v>573.592</v>
      </c>
      <c r="BG11" s="31" t="n">
        <v>2288.934</v>
      </c>
      <c r="BH11" s="31" t="n">
        <v>658.645</v>
      </c>
      <c r="BI11" s="31" t="n">
        <v>676.966</v>
      </c>
      <c r="BJ11" s="31" t="n">
        <v>665.228</v>
      </c>
      <c r="BK11" s="31" t="n">
        <v>654.707</v>
      </c>
      <c r="BL11" s="31" t="n">
        <v>2655.546</v>
      </c>
      <c r="BM11" s="31" t="n">
        <v>624.099</v>
      </c>
      <c r="BN11" s="31" t="n">
        <v>648.936</v>
      </c>
      <c r="BO11" s="31" t="n">
        <v>637.026</v>
      </c>
      <c r="BP11" s="31" t="n">
        <v>654.7859999999999</v>
      </c>
      <c r="BQ11" s="31" t="n">
        <v>2564.847</v>
      </c>
      <c r="BR11" s="31" t="n">
        <v>653.107</v>
      </c>
      <c r="BS11" s="31" t="n">
        <v>696.73</v>
      </c>
      <c r="BT11" s="31" t="n">
        <v>691.794</v>
      </c>
      <c r="BU11" s="31" t="n">
        <v>681.9299999999999</v>
      </c>
      <c r="BV11" s="31" t="n">
        <v>2723.561</v>
      </c>
      <c r="BW11" s="31" t="n">
        <v>706.225</v>
      </c>
      <c r="BX11" s="31" t="n">
        <v>774.438</v>
      </c>
      <c r="BY11" s="253">
        <f>BT11*(1+BY12)</f>
        <v>774.641652994794</v>
      </c>
      <c r="BZ11" s="253">
        <f>BU11*(1+BZ12)</f>
        <v>763.596363117836</v>
      </c>
      <c r="CA11" s="253">
        <f>SUM(BW11,BX11,BY11,BZ11)</f>
        <v>3018.90101611263</v>
      </c>
      <c r="CB11" s="253">
        <f>CA11*(1+CB12)</f>
        <v>3200.03507707939</v>
      </c>
      <c r="CC11" s="253">
        <f>CB11*(1+CC12)</f>
        <v>3376.03700631875</v>
      </c>
      <c r="CD11" s="253">
        <f>CC11*(1+CD12)</f>
        <v>3544.83885663469</v>
      </c>
      <c r="CE11" s="253">
        <f>CD11*(1+CE12)</f>
        <v>3722.08079946643</v>
      </c>
      <c r="CF11" s="19" t="inlineStr">
        <is>
          <t>Historical: segment table of the earnings release (current 3-segment basis from FY2013 / Q1-14, per the Feb-2016 recast 8-K). Q3/Q4-26E: prior-year quarter × (1 + volume + price + acquisitions + FX). 2027E+: prior year × (1 + scenario levers AW_vol + AW_price (+ FX)).</t>
        </is>
      </c>
      <c r="CH11" s="20">
        <f>IFERROR((CE11/BV11)^(1/5)-1,"n/m")</f>
        <v>0.0644609600936594</v>
      </c>
      <c r="CI11" s="20">
        <f>IFERROR((BV11/AW11)^(1/5)-1,"n/m")</f>
        <v>0.125225356142814</v>
      </c>
      <c r="CJ11" s="20">
        <f>IFERROR((BV11/X11)^(1/10)-1,"n/m")</f>
        <v>0.0457433309983915</v>
      </c>
      <c r="CK11" s="20" t="str">
        <f>IFERROR((BV11/C11)^(1/19)-1,"n/m")</f>
        <v>n/m</v>
      </c>
      <c r="CN11" s="15" t="inlineStr">
        <is>
          <t>FY26 outlook — Q2-26 earnings call (30-Jul-26); company assumptions</t>
        </is>
      </c>
      <c r="CO11" s="21" t="inlineStr">
        <is>
          <t>High</t>
        </is>
      </c>
      <c r="CP11" s="21" t="inlineStr">
        <is>
          <t>Mid</t>
        </is>
      </c>
      <c r="CQ11" s="21" t="inlineStr">
        <is>
          <t>Low</t>
        </is>
      </c>
      <c r="CR11" s="13" t="inlineStr">
        <is>
          <t>Lincoln Electric gives qualitative / range outlook on its earnings call (not in the 8-K). Captured from call coverage; IR site &amp; slides not reachable from this environment — verify against the Q2-26 presentation.</t>
        </is>
      </c>
    </row>
    <row r="12">
      <c r="B12" s="22" t="inlineStr">
        <is>
          <t xml:space="preserve">  Net sales y/y %</t>
        </is>
      </c>
      <c r="C12" s="23" t="n"/>
      <c r="D12" s="23" t="n"/>
      <c r="E12" s="23" t="n"/>
      <c r="F12" s="23" t="n"/>
      <c r="G12" s="23" t="n"/>
      <c r="H12" s="23" t="n"/>
      <c r="I12" s="23" t="n"/>
      <c r="J12" s="23" t="n"/>
      <c r="K12" s="23" t="n"/>
      <c r="L12" s="23" t="n"/>
      <c r="M12" s="23" t="n"/>
      <c r="N12" s="23" t="n"/>
      <c r="O12" s="23" t="n"/>
      <c r="P12" s="23" t="n"/>
      <c r="Q12" s="23" t="n"/>
      <c r="R12" s="23" t="n"/>
      <c r="S12" s="23">
        <f>IF(AND(ISNUMBER(S11),ISNUMBER(N11)),IFERROR(S11/N11-1,""),"")</f>
        <v>-0.00594645968464769</v>
      </c>
      <c r="T12" s="23">
        <f>IF(AND(ISNUMBER(T11),ISNUMBER(O11)),IFERROR(T11/O11-1,""),"")</f>
        <v>0.0158153577353348</v>
      </c>
      <c r="U12" s="23">
        <f>IF(AND(ISNUMBER(U11),ISNUMBER(P11)),IFERROR(U11/P11-1,""),"")</f>
        <v>-0.0311971026198435</v>
      </c>
      <c r="V12" s="23">
        <f>IF(AND(ISNUMBER(V11),ISNUMBER(Q11)),IFERROR(V11/Q11-1,""),"")</f>
        <v>-0.032420801465732</v>
      </c>
      <c r="W12" s="23">
        <f>IF(AND(ISNUMBER(W11),ISNUMBER(R11)),IFERROR(W11/R11-1,""),"")</f>
        <v>-0.159613544597934</v>
      </c>
      <c r="X12" s="23">
        <f>IF(AND(ISNUMBER(X11),ISNUMBER(S11)),IFERROR(X11/S11-1,""),"")</f>
        <v>-0.0524141984142964</v>
      </c>
      <c r="Y12" s="23">
        <f>IF(AND(ISNUMBER(Y11),ISNUMBER(T11)),IFERROR(Y11/T11-1,""),"")</f>
        <v>-0.200137243587316</v>
      </c>
      <c r="Z12" s="23">
        <f>IF(AND(ISNUMBER(Z11),ISNUMBER(U11)),IFERROR(Z11/U11-1,""),"")</f>
        <v>-0.138866654397662</v>
      </c>
      <c r="AA12" s="23">
        <f>IF(AND(ISNUMBER(AA11),ISNUMBER(V11)),IFERROR(AA11/V11-1,""),"")</f>
        <v>-0.168773063949341</v>
      </c>
      <c r="AB12" s="23">
        <f>IF(AND(ISNUMBER(AB11),ISNUMBER(W11)),IFERROR(AB11/W11-1,""),"")</f>
        <v>-0.0445551711674498</v>
      </c>
      <c r="AC12" s="23">
        <f>IF(AND(ISNUMBER(AC11),ISNUMBER(X11)),IFERROR(AC11/X11-1,""),"")</f>
        <v>-0.141481034829299</v>
      </c>
      <c r="AD12" s="23">
        <f>IF(AND(ISNUMBER(AD11),ISNUMBER(Y11)),IFERROR(AD11/Y11-1,""),"")</f>
        <v>0.0677310812015333</v>
      </c>
      <c r="AE12" s="23">
        <f>IF(AND(ISNUMBER(AE11),ISNUMBER(Z11)),IFERROR(AE11/Z11-1,""),"")</f>
        <v>0.0431931241181136</v>
      </c>
      <c r="AF12" s="23">
        <f>IF(AND(ISNUMBER(AF11),ISNUMBER(AA11)),IFERROR(AF11/AA11-1,""),"")</f>
        <v>0.0550143038779403</v>
      </c>
      <c r="AG12" s="23">
        <f>IF(AND(ISNUMBER(AG11),ISNUMBER(AB11)),IFERROR(AG11/AB11-1,""),"")</f>
        <v>0.143041271934328</v>
      </c>
      <c r="AH12" s="23">
        <f>IF(AND(ISNUMBER(AH11),ISNUMBER(AC11)),IFERROR(AH11/AC11-1,""),"")</f>
        <v>0.076788215510287</v>
      </c>
      <c r="AI12" s="23">
        <f>IF(AND(ISNUMBER(AI11),ISNUMBER(AD11)),IFERROR(AI11/AD11-1,""),"")</f>
        <v>0.134215441767278</v>
      </c>
      <c r="AJ12" s="23">
        <f>IF(AND(ISNUMBER(AJ11),ISNUMBER(AE11)),IFERROR(AJ11/AE11-1,""),"")</f>
        <v>0.141597987890815</v>
      </c>
      <c r="AK12" s="23">
        <f>IF(AND(ISNUMBER(AK11),ISNUMBER(AF11)),IFERROR(AK11/AF11-1,""),"")</f>
        <v>0.139900926211871</v>
      </c>
      <c r="AL12" s="23">
        <f>IF(AND(ISNUMBER(AL11),ISNUMBER(AG11)),IFERROR(AL11/AG11-1,""),"")</f>
        <v>0.0761147844423062</v>
      </c>
      <c r="AM12" s="23">
        <f>IF(AND(ISNUMBER(AM11),ISNUMBER(AH11)),IFERROR(AM11/AH11-1,""),"")</f>
        <v>0.122212427917124</v>
      </c>
      <c r="AN12" s="23">
        <f>IF(AND(ISNUMBER(AN11),ISNUMBER(AI11)),IFERROR(AN11/AI11-1,""),"")</f>
        <v>0.0527793878170628</v>
      </c>
      <c r="AO12" s="23">
        <f>IF(AND(ISNUMBER(AO11),ISNUMBER(AJ11)),IFERROR(AO11/AJ11-1,""),"")</f>
        <v>0.030468201031318</v>
      </c>
      <c r="AP12" s="23">
        <f>IF(AND(ISNUMBER(AP11),ISNUMBER(AK11)),IFERROR(AP11/AK11-1,""),"")</f>
        <v>-0.0231030153520847</v>
      </c>
      <c r="AQ12" s="23">
        <f>IF(AND(ISNUMBER(AQ11),ISNUMBER(AL11)),IFERROR(AQ11/AL11-1,""),"")</f>
        <v>-0.0380433946886869</v>
      </c>
      <c r="AR12" s="23">
        <f>IF(AND(ISNUMBER(AR11),ISNUMBER(AM11)),IFERROR(AR11/AM11-1,""),"")</f>
        <v>0.00511039493743204</v>
      </c>
      <c r="AS12" s="23">
        <f>IF(AND(ISNUMBER(AS11),ISNUMBER(AN11)),IFERROR(AS11/AN11-1,""),"")</f>
        <v>-0.0856071082913316</v>
      </c>
      <c r="AT12" s="23">
        <f>IF(AND(ISNUMBER(AT11),ISNUMBER(AO11)),IFERROR(AT11/AO11-1,""),"")</f>
        <v>-0.300830663418708</v>
      </c>
      <c r="AU12" s="23">
        <f>IF(AND(ISNUMBER(AU11),ISNUMBER(AP11)),IFERROR(AU11/AP11-1,""),"")</f>
        <v>-0.162305730732028</v>
      </c>
      <c r="AV12" s="23">
        <f>IF(AND(ISNUMBER(AV11),ISNUMBER(AQ11)),IFERROR(AV11/AQ11-1,""),"")</f>
        <v>-0.117214243467101</v>
      </c>
      <c r="AW12" s="23">
        <f>IF(AND(ISNUMBER(AW11),ISNUMBER(AR11)),IFERROR(AW11/AR11-1,""),"")</f>
        <v>-0.168457482489291</v>
      </c>
      <c r="AX12" s="23">
        <f>IF(AND(ISNUMBER(AX11),ISNUMBER(AS11)),IFERROR(AX11/AS11-1,""),"")</f>
        <v>0.0160249441504294</v>
      </c>
      <c r="AY12" s="23">
        <f>IF(AND(ISNUMBER(AY11),ISNUMBER(AT11)),IFERROR(AY11/AT11-1,""),"")</f>
        <v>0.372833696947145</v>
      </c>
      <c r="AZ12" s="23">
        <f>IF(AND(ISNUMBER(AZ11),ISNUMBER(AU11)),IFERROR(AZ11/AU11-1,""),"")</f>
        <v>0.242165610238605</v>
      </c>
      <c r="BA12" s="23">
        <f>IF(AND(ISNUMBER(BA11),ISNUMBER(AV11)),IFERROR(BA11/AV11-1,""),"")</f>
        <v>0.24236686145624</v>
      </c>
      <c r="BB12" s="23">
        <f>IF(AND(ISNUMBER(BB11),ISNUMBER(AW11)),IFERROR(BB11/AW11-1,""),"")</f>
        <v>0.208369594733322</v>
      </c>
      <c r="BC12" s="23">
        <f>IF(AND(ISNUMBER(BC11),ISNUMBER(AX11)),IFERROR(BC11/AX11-1,""),"")</f>
        <v>0.255884884371722</v>
      </c>
      <c r="BD12" s="23">
        <f>IF(AND(ISNUMBER(BD11),ISNUMBER(AY11)),IFERROR(BD11/AY11-1,""),"")</f>
        <v>0.302077959551269</v>
      </c>
      <c r="BE12" s="23">
        <f>IF(AND(ISNUMBER(BE11),ISNUMBER(AZ11)),IFERROR(BE11/AZ11-1,""),"")</f>
        <v>0.268944416998189</v>
      </c>
      <c r="BF12" s="23">
        <f>IF(AND(ISNUMBER(BF11),ISNUMBER(BA11)),IFERROR(BF11/BA11-1,""),"")</f>
        <v>0.194328940601296</v>
      </c>
      <c r="BG12" s="23">
        <f>IF(AND(ISNUMBER(BG11),ISNUMBER(BB11)),IFERROR(BG11/BB11-1,""),"")</f>
        <v>0.254567189244503</v>
      </c>
      <c r="BH12" s="23">
        <f>IF(AND(ISNUMBER(BH11),ISNUMBER(BC11)),IFERROR(BH11/BC11-1,""),"")</f>
        <v>0.233290578685716</v>
      </c>
      <c r="BI12" s="23">
        <f>IF(AND(ISNUMBER(BI11),ISNUMBER(BD11)),IFERROR(BI11/BD11-1,""),"")</f>
        <v>0.13649923865836</v>
      </c>
      <c r="BJ12" s="23">
        <f>IF(AND(ISNUMBER(BJ11),ISNUMBER(BE11)),IFERROR(BJ11/BE11-1,""),"")</f>
        <v>0.135922462723777</v>
      </c>
      <c r="BK12" s="23">
        <f>IF(AND(ISNUMBER(BK11),ISNUMBER(BF11)),IFERROR(BK11/BF11-1,""),"")</f>
        <v>0.141415849593439</v>
      </c>
      <c r="BL12" s="23">
        <f>IF(AND(ISNUMBER(BL11),ISNUMBER(BG11)),IFERROR(BL11/BG11-1,""),"")</f>
        <v>0.160167134570066</v>
      </c>
      <c r="BM12" s="23">
        <f>IF(AND(ISNUMBER(BM11),ISNUMBER(BH11)),IFERROR(BM11/BH11-1,""),"")</f>
        <v>-0.0524501058992324</v>
      </c>
      <c r="BN12" s="23">
        <f>IF(AND(ISNUMBER(BN11),ISNUMBER(BI11)),IFERROR(BN11/BI11-1,""),"")</f>
        <v>-0.0414053290711793</v>
      </c>
      <c r="BO12" s="23">
        <f>IF(AND(ISNUMBER(BO11),ISNUMBER(BJ11)),IFERROR(BO11/BJ11-1,""),"")</f>
        <v>-0.0423944873036012</v>
      </c>
      <c r="BP12" s="23">
        <f>IF(AND(ISNUMBER(BP11),ISNUMBER(BK11)),IFERROR(BP11/BK11-1,""),"")</f>
        <v>0.000120664663735059</v>
      </c>
      <c r="BQ12" s="23">
        <f>IF(AND(ISNUMBER(BQ11),ISNUMBER(BL11)),IFERROR(BQ11/BL11-1,""),"")</f>
        <v>-0.0341545580456899</v>
      </c>
      <c r="BR12" s="23">
        <f>IF(AND(ISNUMBER(BR11),ISNUMBER(BM11)),IFERROR(BR11/BM11-1,""),"")</f>
        <v>0.0464798052873021</v>
      </c>
      <c r="BS12" s="23">
        <f>IF(AND(ISNUMBER(BS11),ISNUMBER(BN11)),IFERROR(BS11/BN11-1,""),"")</f>
        <v>0.073649789809781</v>
      </c>
      <c r="BT12" s="23">
        <f>IF(AND(ISNUMBER(BT11),ISNUMBER(BO11)),IFERROR(BT11/BO11-1,""),"")</f>
        <v>0.0859745128142337</v>
      </c>
      <c r="BU12" s="23">
        <f>IF(AND(ISNUMBER(BU11),ISNUMBER(BP11)),IFERROR(BU11/BP11-1,""),"")</f>
        <v>0.0414547653737252</v>
      </c>
      <c r="BV12" s="23">
        <f>IF(AND(ISNUMBER(BV11),ISNUMBER(BQ11)),IFERROR(BV11/BQ11-1,""),"")</f>
        <v>0.0618804942361084</v>
      </c>
      <c r="BW12" s="23">
        <f>IF(AND(ISNUMBER(BW11),ISNUMBER(BR11)),IFERROR(BW11/BR11-1,""),"")</f>
        <v>0.0813312366886285</v>
      </c>
      <c r="BX12" s="23">
        <f>IF(AND(ISNUMBER(BX11),ISNUMBER(BS11)),IFERROR(BX11/BS11-1,""),"")</f>
        <v>0.111532444418928</v>
      </c>
      <c r="BY12" s="254">
        <f>BY13+BY14+BY15+BY16</f>
        <v>0.119757692311287</v>
      </c>
      <c r="BZ12" s="254">
        <f>BZ13+BZ14+BZ15+BZ16</f>
        <v>0.119757692311287</v>
      </c>
      <c r="CA12" s="254">
        <f>IFERROR(CA11/BV11-1,"")</f>
        <v>0.108438920998145</v>
      </c>
      <c r="CB12" s="254">
        <f>CB13+CB14+CB15+CB16</f>
        <v>0.06</v>
      </c>
      <c r="CC12" s="254">
        <f>CC13+CC14+CC15+CC16</f>
        <v>0.055</v>
      </c>
      <c r="CD12" s="254">
        <f>CD13+CD14+CD15+CD16</f>
        <v>0.05</v>
      </c>
      <c r="CE12" s="254">
        <f>CE13+CE14+CE15+CE16</f>
        <v>0.05</v>
      </c>
      <c r="CF12" s="19" t="n"/>
      <c r="CN12" s="25" t="inlineStr">
        <is>
          <t xml:space="preserve">  FY26 net sales growth — "low double-digit %"</t>
        </is>
      </c>
      <c r="CO12" s="42" t="n">
        <v>0.13</v>
      </c>
      <c r="CP12" s="42" t="n">
        <v>0.115</v>
      </c>
      <c r="CQ12" s="42" t="n">
        <v>0.1</v>
      </c>
      <c r="CR12" s="13" t="inlineStr">
        <is>
          <t>Raised on the Q2-26 call to low double-digit (from mid-to-high single digit). 1H/26 +11.9%. Drives the Q3/Q4-26E volume calibration.</t>
        </is>
      </c>
    </row>
    <row r="13">
      <c r="B13" s="25" t="inlineStr">
        <is>
          <t xml:space="preserve">  Volume % (company "change in net sales due to volume")</t>
        </is>
      </c>
      <c r="C13" s="36" t="n"/>
      <c r="D13" s="36" t="n"/>
      <c r="E13" s="36" t="n"/>
      <c r="F13" s="36" t="n"/>
      <c r="G13" s="36" t="n"/>
      <c r="H13" s="36" t="n"/>
      <c r="I13" s="36" t="n"/>
      <c r="J13" s="36" t="n"/>
      <c r="K13" s="36" t="n"/>
      <c r="L13" s="36" t="n"/>
      <c r="M13" s="36" t="n"/>
      <c r="N13" s="36" t="n"/>
      <c r="O13" s="36" t="n"/>
      <c r="P13" s="36" t="n"/>
      <c r="Q13" s="36" t="n"/>
      <c r="R13" s="36" t="n"/>
      <c r="S13" s="36" t="n"/>
      <c r="T13" s="36" t="n"/>
      <c r="U13" s="36" t="n"/>
      <c r="V13" s="36" t="n"/>
      <c r="W13" s="36" t="n"/>
      <c r="X13" s="36" t="n"/>
      <c r="Y13" s="40" t="n">
        <v>-0.19</v>
      </c>
      <c r="Z13" s="40" t="n">
        <v>-0.133</v>
      </c>
      <c r="AA13" s="40" t="n">
        <v>-0.179</v>
      </c>
      <c r="AB13" s="40" t="n">
        <v>-0.058</v>
      </c>
      <c r="AC13" s="40" t="n">
        <v>-0.143</v>
      </c>
      <c r="AD13" s="40" t="n">
        <v>0.04099999999999999</v>
      </c>
      <c r="AE13" s="40" t="n">
        <v>0.017</v>
      </c>
      <c r="AF13" s="40" t="n">
        <v>0.022</v>
      </c>
      <c r="AG13" s="40" t="n">
        <v>0.101</v>
      </c>
      <c r="AH13" s="40" t="n">
        <v>0.045</v>
      </c>
      <c r="AI13" s="40" t="n">
        <v>0.075</v>
      </c>
      <c r="AJ13" s="40" t="n">
        <v>0.077</v>
      </c>
      <c r="AK13" s="40" t="n">
        <v>0.058</v>
      </c>
      <c r="AL13" s="40" t="n">
        <v>-0.001</v>
      </c>
      <c r="AM13" s="40" t="n">
        <v>0.051</v>
      </c>
      <c r="AN13" s="40" t="n">
        <v>-0.029</v>
      </c>
      <c r="AO13" s="40" t="n">
        <v>-0.036</v>
      </c>
      <c r="AP13" s="40" t="n">
        <v>-0.045</v>
      </c>
      <c r="AQ13" s="40" t="n">
        <v>-0.065</v>
      </c>
      <c r="AR13" s="40" t="n">
        <v>-0.044</v>
      </c>
      <c r="AS13" s="40" t="n">
        <v>-0.08199999999999999</v>
      </c>
      <c r="AT13" s="40" t="n">
        <v>-0.292</v>
      </c>
      <c r="AU13" s="40" t="n">
        <v>-0.156</v>
      </c>
      <c r="AV13" s="40" t="n">
        <v>-0.124</v>
      </c>
      <c r="AW13" s="40" t="n">
        <v>-0.165</v>
      </c>
      <c r="AX13" s="40" t="n">
        <v>-0.009000000000000001</v>
      </c>
      <c r="AY13" s="40" t="n">
        <v>0.271</v>
      </c>
      <c r="AZ13" s="40" t="n">
        <v>0.114</v>
      </c>
      <c r="BA13" s="40" t="n">
        <v>0.09300000000000001</v>
      </c>
      <c r="BB13" s="40" t="n">
        <v>0.109</v>
      </c>
      <c r="BC13" s="40" t="n">
        <v>0.052</v>
      </c>
      <c r="BD13" s="40" t="n">
        <v>0.099</v>
      </c>
      <c r="BE13" s="40" t="n">
        <v>0.114</v>
      </c>
      <c r="BF13" s="40" t="n">
        <v>0.077</v>
      </c>
      <c r="BG13" s="40" t="n">
        <v>0.08599999999999999</v>
      </c>
      <c r="BH13" s="40" t="n">
        <v>0.11</v>
      </c>
      <c r="BI13" s="40" t="n">
        <v>0.058</v>
      </c>
      <c r="BJ13" s="40" t="n">
        <v>0.004</v>
      </c>
      <c r="BK13" s="40" t="n">
        <v>0.026</v>
      </c>
      <c r="BL13" s="40" t="n">
        <v>0.048</v>
      </c>
      <c r="BM13" s="40" t="n">
        <v>-0.065</v>
      </c>
      <c r="BN13" s="40" t="n">
        <v>-0.067</v>
      </c>
      <c r="BO13" s="40" t="n">
        <v>-0.08599999999999999</v>
      </c>
      <c r="BP13" s="40" t="n">
        <v>-0.07200000000000001</v>
      </c>
      <c r="BQ13" s="40" t="n">
        <v>-0.07200000000000001</v>
      </c>
      <c r="BR13" s="40" t="n">
        <v>-0.04</v>
      </c>
      <c r="BS13" s="40" t="n">
        <v>-0.034</v>
      </c>
      <c r="BT13" s="40" t="n">
        <v>-0.024</v>
      </c>
      <c r="BU13" s="40" t="n">
        <v>-0.06900000000000001</v>
      </c>
      <c r="BV13" s="40" t="n">
        <v>-0.042</v>
      </c>
      <c r="BW13" s="40" t="n">
        <v>-0.004</v>
      </c>
      <c r="BX13" s="40" t="n">
        <v>0.07099999999999999</v>
      </c>
      <c r="BY13" s="254">
        <f>$BX$13+BY139</f>
        <v>0.0827576923112866</v>
      </c>
      <c r="BZ13" s="254">
        <f>$BX$13+BZ139</f>
        <v>0.0827576923112866</v>
      </c>
      <c r="CA13" s="254">
        <f>IFERROR(CA18/BV11,"")</f>
        <v>0.0590239132197259</v>
      </c>
      <c r="CB13" s="254">
        <f>CHOOSE(MATCH($CF$2,{"Bull","Base","Bear"},0),$CO$23,$CP$23,$CQ$23)</f>
        <v>0.03</v>
      </c>
      <c r="CC13" s="254">
        <f>CHOOSE(MATCH($CF$2,{"Bull","Base","Bear"},0),$CO$24,$CP$24,$CQ$24)</f>
        <v>0.03</v>
      </c>
      <c r="CD13" s="254">
        <f>CHOOSE(MATCH($CF$2,{"Bull","Base","Bear"},0),$CO$25,$CP$25,$CQ$25)</f>
        <v>0.025</v>
      </c>
      <c r="CE13" s="254">
        <f>CHOOSE(MATCH($CF$2,{"Bull","Base","Bear"},0),$CO$26,$CP$26,$CQ$26)</f>
        <v>0.025</v>
      </c>
      <c r="CF13" s="19" t="inlineStr">
        <is>
          <t>Q3/Q4-26E: Q2/26 y/y volume + outlook calibration Δ (Group block). 2027E–2030E: scenario lever AW_vol (Bull/Base/Bear table →).</t>
        </is>
      </c>
      <c r="CN13" s="25" t="inlineStr">
        <is>
          <t xml:space="preserve">  FY26 organic sales growth — "high single-digit to low double-digit" (memo)</t>
        </is>
      </c>
      <c r="CO13" s="42" t="n">
        <v>0.11</v>
      </c>
      <c r="CP13" s="42" t="n">
        <v>0.095</v>
      </c>
      <c r="CQ13" s="42" t="n">
        <v>0.08</v>
      </c>
      <c r="CR13" s="13" t="inlineStr">
        <is>
          <t>~1/3 volume, ~2/3 price per management. Memo / cross-check only.</t>
        </is>
      </c>
    </row>
    <row r="14">
      <c r="B14" s="25" t="inlineStr">
        <is>
          <t xml:space="preserve">  Price %</t>
        </is>
      </c>
      <c r="C14" s="36" t="n"/>
      <c r="D14" s="36" t="n"/>
      <c r="E14" s="36" t="n"/>
      <c r="F14" s="36" t="n"/>
      <c r="G14" s="36" t="n"/>
      <c r="H14" s="36" t="n"/>
      <c r="I14" s="36" t="n"/>
      <c r="J14" s="36" t="n"/>
      <c r="K14" s="36" t="n"/>
      <c r="L14" s="36" t="n"/>
      <c r="M14" s="36" t="n"/>
      <c r="N14" s="36" t="n"/>
      <c r="O14" s="36" t="n"/>
      <c r="P14" s="36" t="n"/>
      <c r="Q14" s="36" t="n"/>
      <c r="R14" s="36" t="n"/>
      <c r="S14" s="36" t="n"/>
      <c r="T14" s="36" t="n"/>
      <c r="U14" s="36" t="n"/>
      <c r="V14" s="36" t="n"/>
      <c r="W14" s="36" t="n"/>
      <c r="X14" s="36" t="n"/>
      <c r="Y14" s="40" t="n">
        <v>0.179</v>
      </c>
      <c r="Z14" s="40" t="n">
        <v>0.43</v>
      </c>
      <c r="AA14" s="40" t="n">
        <v>-0.012</v>
      </c>
      <c r="AB14" s="40" t="n">
        <v>0</v>
      </c>
      <c r="AC14" s="40" t="n">
        <v>0.154</v>
      </c>
      <c r="AD14" s="40" t="n">
        <v>0.015</v>
      </c>
      <c r="AE14" s="40" t="n">
        <v>0.027</v>
      </c>
      <c r="AF14" s="40" t="n">
        <v>0.024</v>
      </c>
      <c r="AG14" s="40" t="n">
        <v>0.029</v>
      </c>
      <c r="AH14" s="40" t="n">
        <v>0.024</v>
      </c>
      <c r="AI14" s="40" t="n">
        <v>0.046</v>
      </c>
      <c r="AJ14" s="40" t="n">
        <v>0.05400000000000001</v>
      </c>
      <c r="AK14" s="40" t="n">
        <v>0.091</v>
      </c>
      <c r="AL14" s="40" t="n">
        <v>0.083</v>
      </c>
      <c r="AM14" s="40" t="n">
        <v>0.06900000000000001</v>
      </c>
      <c r="AN14" s="40" t="n">
        <v>0.063</v>
      </c>
      <c r="AO14" s="40" t="n">
        <v>0.025</v>
      </c>
      <c r="AP14" s="40" t="n">
        <v>-0.012</v>
      </c>
      <c r="AQ14" s="40" t="n">
        <v>-0.017</v>
      </c>
      <c r="AR14" s="40" t="n">
        <v>0.014</v>
      </c>
      <c r="AS14" s="40" t="n">
        <v>-0.012</v>
      </c>
      <c r="AT14" s="40" t="n">
        <v>-0.003</v>
      </c>
      <c r="AU14" s="40" t="n">
        <v>-0.002</v>
      </c>
      <c r="AV14" s="40" t="n">
        <v>0.012</v>
      </c>
      <c r="AW14" s="40" t="n">
        <v>-0.001</v>
      </c>
      <c r="AX14" s="40" t="n">
        <v>0.022</v>
      </c>
      <c r="AY14" s="40" t="n">
        <v>0.08199999999999999</v>
      </c>
      <c r="AZ14" s="40" t="n">
        <v>0.118</v>
      </c>
      <c r="BA14" s="40" t="n">
        <v>0.146</v>
      </c>
      <c r="BB14" s="40" t="n">
        <v>0.091</v>
      </c>
      <c r="BC14" s="40" t="n">
        <v>0.198</v>
      </c>
      <c r="BD14" s="40" t="n">
        <v>0.196</v>
      </c>
      <c r="BE14" s="40" t="n">
        <v>0.151</v>
      </c>
      <c r="BF14" s="40" t="n">
        <v>0.114</v>
      </c>
      <c r="BG14" s="40" t="n">
        <v>0.164</v>
      </c>
      <c r="BH14" s="40" t="n">
        <v>0.046</v>
      </c>
      <c r="BI14" s="40" t="n">
        <v>0.01</v>
      </c>
      <c r="BJ14" s="40" t="n">
        <v>0.006</v>
      </c>
      <c r="BK14" s="40" t="n">
        <v>0.005</v>
      </c>
      <c r="BL14" s="40" t="n">
        <v>0.016</v>
      </c>
      <c r="BM14" s="40" t="n">
        <v>0.003</v>
      </c>
      <c r="BN14" s="40" t="n">
        <v>0.01</v>
      </c>
      <c r="BO14" s="40" t="n">
        <v>0.004</v>
      </c>
      <c r="BP14" s="40" t="n">
        <v>-0.001</v>
      </c>
      <c r="BQ14" s="40" t="n">
        <v>0.004</v>
      </c>
      <c r="BR14" s="40" t="n">
        <v>0.021</v>
      </c>
      <c r="BS14" s="40" t="n">
        <v>0.065</v>
      </c>
      <c r="BT14" s="40" t="n">
        <v>0.096</v>
      </c>
      <c r="BU14" s="40" t="n">
        <v>0.104</v>
      </c>
      <c r="BV14" s="40" t="n">
        <v>0.07200000000000001</v>
      </c>
      <c r="BW14" s="40" t="n">
        <v>0.076</v>
      </c>
      <c r="BX14" s="40" t="n">
        <v>0.03700000000000001</v>
      </c>
      <c r="BY14" s="254">
        <f>$BX$14</f>
        <v>0.037</v>
      </c>
      <c r="BZ14" s="254">
        <f>$BX$14</f>
        <v>0.037</v>
      </c>
      <c r="CA14" s="254">
        <f>IFERROR(CA19/BV11,"")</f>
        <v>0.0462584785139749</v>
      </c>
      <c r="CB14" s="254">
        <f>CHOOSE(MATCH($CF$2,{"Bull","Base","Bear"},0),$CO$28,$CP$28,$CQ$28)</f>
        <v>0.03</v>
      </c>
      <c r="CC14" s="254">
        <f>CHOOSE(MATCH($CF$2,{"Bull","Base","Bear"},0),$CO$29,$CP$29,$CQ$29)</f>
        <v>0.025</v>
      </c>
      <c r="CD14" s="254">
        <f>CHOOSE(MATCH($CF$2,{"Bull","Base","Bear"},0),$CO$30,$CP$30,$CQ$30)</f>
        <v>0.025</v>
      </c>
      <c r="CE14" s="254">
        <f>CHOOSE(MATCH($CF$2,{"Bull","Base","Bear"},0),$CO$31,$CP$31,$CQ$31)</f>
        <v>0.025</v>
      </c>
      <c r="CF14" s="19" t="inlineStr">
        <is>
          <t>Q3/Q4-26E: Q2/26 y/y price held (carry-over of the 2025–26 increases; HPG includes metals pass-through). 2027E+: scenario lever. Note: 2016 Americas Welding as published includes Venezuela hyperinflationary price (+15.4%) offset by FX (−17.7%); ex-Venezuela price −0.5%, FX −1.0%.</t>
        </is>
      </c>
      <c r="CN14" s="25" t="inlineStr">
        <is>
          <t xml:space="preserve">  2H/26 incremental adjusted operating income margin — "mid-20%"</t>
        </is>
      </c>
      <c r="CO14" s="42" t="n">
        <v>0.275</v>
      </c>
      <c r="CP14" s="42" t="n">
        <v>0.25</v>
      </c>
      <c r="CQ14" s="42" t="n">
        <v>0.225</v>
      </c>
      <c r="CR14" s="13" t="inlineStr">
        <is>
          <t>Q2-26 call: adjusted operating margin to improve y/y at mid-20% incrementals in 2H; price/cost neutral in 2H. Drives the Q3/Q4-26E margin calibration.</t>
        </is>
      </c>
    </row>
    <row r="15">
      <c r="B15" s="25" t="inlineStr">
        <is>
          <t xml:space="preserve">  Acquisitions %</t>
        </is>
      </c>
      <c r="C15" s="36" t="n"/>
      <c r="D15" s="36" t="n"/>
      <c r="E15" s="36" t="n"/>
      <c r="F15" s="36" t="n"/>
      <c r="G15" s="36" t="n"/>
      <c r="H15" s="36" t="n"/>
      <c r="I15" s="36" t="n"/>
      <c r="J15" s="36" t="n"/>
      <c r="K15" s="36" t="n"/>
      <c r="L15" s="36" t="n"/>
      <c r="M15" s="36" t="n"/>
      <c r="N15" s="36" t="n"/>
      <c r="O15" s="36" t="n"/>
      <c r="P15" s="36" t="n"/>
      <c r="Q15" s="36" t="n"/>
      <c r="R15" s="36" t="n"/>
      <c r="S15" s="36" t="n"/>
      <c r="T15" s="36" t="n"/>
      <c r="U15" s="36" t="n"/>
      <c r="V15" s="36" t="n"/>
      <c r="W15" s="36" t="n"/>
      <c r="X15" s="36" t="n"/>
      <c r="Y15" s="40" t="n">
        <v>0.016</v>
      </c>
      <c r="Z15" s="40" t="n">
        <v>0.036</v>
      </c>
      <c r="AA15" s="40" t="n">
        <v>0.027</v>
      </c>
      <c r="AB15" s="40" t="n">
        <v>0.019</v>
      </c>
      <c r="AC15" s="40" t="n">
        <v>0.025</v>
      </c>
      <c r="AD15" s="40" t="n">
        <v>0.009000000000000001</v>
      </c>
      <c r="AE15" s="40" t="n">
        <v>0.003</v>
      </c>
      <c r="AF15" s="40" t="n">
        <v>0.003</v>
      </c>
      <c r="AG15" s="40" t="n">
        <v>0.006999999999999999</v>
      </c>
      <c r="AH15" s="40" t="n">
        <v>0.006</v>
      </c>
      <c r="AI15" s="40" t="n">
        <v>0.009000000000000001</v>
      </c>
      <c r="AJ15" s="40" t="n">
        <v>0.01</v>
      </c>
      <c r="AK15" s="40" t="n">
        <v>0.003</v>
      </c>
      <c r="AL15" s="40" t="n">
        <v>0.006999999999999999</v>
      </c>
      <c r="AM15" s="40" t="n">
        <v>0.006999999999999999</v>
      </c>
      <c r="AN15" s="40" t="n">
        <v>0.029</v>
      </c>
      <c r="AO15" s="40" t="n">
        <v>0.047</v>
      </c>
      <c r="AP15" s="40" t="n">
        <v>0.038</v>
      </c>
      <c r="AQ15" s="40" t="n">
        <v>0.043</v>
      </c>
      <c r="AR15" s="40" t="n">
        <v>0.039</v>
      </c>
      <c r="AS15" s="40" t="n">
        <v>0.014</v>
      </c>
      <c r="AT15" s="40" t="n">
        <v>0</v>
      </c>
      <c r="AU15" s="40" t="n">
        <v>0</v>
      </c>
      <c r="AV15" s="40" t="n">
        <v>0</v>
      </c>
      <c r="AW15" s="40" t="n">
        <v>0.003</v>
      </c>
      <c r="AX15" s="40" t="n">
        <v>0</v>
      </c>
      <c r="AY15" s="40" t="n">
        <v>0</v>
      </c>
      <c r="AZ15" s="40" t="n">
        <v>0</v>
      </c>
      <c r="BA15" s="40" t="n">
        <v>0</v>
      </c>
      <c r="BB15" s="40" t="n">
        <v>0</v>
      </c>
      <c r="BC15" s="40" t="n">
        <v>0.004</v>
      </c>
      <c r="BD15" s="40" t="n">
        <v>0.012</v>
      </c>
      <c r="BE15" s="40" t="n">
        <v>0.01</v>
      </c>
      <c r="BF15" s="40" t="n">
        <v>0.012</v>
      </c>
      <c r="BG15" s="40" t="n">
        <v>0.01</v>
      </c>
      <c r="BH15" s="40" t="n">
        <v>0.08500000000000001</v>
      </c>
      <c r="BI15" s="40" t="n">
        <v>0.07400000000000001</v>
      </c>
      <c r="BJ15" s="40" t="n">
        <v>0.123</v>
      </c>
      <c r="BK15" s="40" t="n">
        <v>0.107</v>
      </c>
      <c r="BL15" s="40" t="n">
        <v>0.09699999999999999</v>
      </c>
      <c r="BM15" s="40" t="n">
        <v>0.006</v>
      </c>
      <c r="BN15" s="40" t="n">
        <v>0.018</v>
      </c>
      <c r="BO15" s="40" t="n">
        <v>0.045</v>
      </c>
      <c r="BP15" s="40" t="n">
        <v>0.083</v>
      </c>
      <c r="BQ15" s="40" t="n">
        <v>0.038</v>
      </c>
      <c r="BR15" s="40" t="n">
        <v>0.076</v>
      </c>
      <c r="BS15" s="40" t="n">
        <v>0.047</v>
      </c>
      <c r="BT15" s="40" t="n">
        <v>0.014</v>
      </c>
      <c r="BU15" s="40" t="n">
        <v>0</v>
      </c>
      <c r="BV15" s="40" t="n">
        <v>0.034</v>
      </c>
      <c r="BW15" s="40" t="n">
        <v>0</v>
      </c>
      <c r="BX15" s="40" t="n">
        <v>0</v>
      </c>
      <c r="BY15" s="255" t="n">
        <v>0</v>
      </c>
      <c r="BZ15" s="255" t="n">
        <v>0</v>
      </c>
      <c r="CA15" s="254">
        <f>IFERROR(CA20/BV11,"")</f>
        <v>0</v>
      </c>
      <c r="CB15" s="255" t="n">
        <v>0</v>
      </c>
      <c r="CC15" s="255" t="n">
        <v>0</v>
      </c>
      <c r="CD15" s="255" t="n">
        <v>0</v>
      </c>
      <c r="CE15" s="255" t="n">
        <v>0</v>
      </c>
      <c r="CF15" s="19" t="inlineStr">
        <is>
          <t>No Americas Welding acquisitions in the last 12 months (Vanair Jul-24 and RedViking Apr-24 fully anniversaried). 2027E+: future deals in the M&amp;A lever.</t>
        </is>
      </c>
      <c r="CN15" s="25" t="inlineStr">
        <is>
          <t xml:space="preserve">  FY26 interest expense, net ($m)</t>
        </is>
      </c>
      <c r="CO15" s="256" t="n">
        <v>50</v>
      </c>
      <c r="CP15" s="256" t="n">
        <v>52.5</v>
      </c>
      <c r="CQ15" s="256" t="n">
        <v>55</v>
      </c>
      <c r="CR15" s="13" t="inlineStr">
        <is>
          <t>Company assumption $50–55m (maintained on the Q2-26 call).</t>
        </is>
      </c>
    </row>
    <row r="16">
      <c r="B16" s="25" t="inlineStr">
        <is>
          <t xml:space="preserve">  Foreign exchange %</t>
        </is>
      </c>
      <c r="C16" s="36" t="n"/>
      <c r="D16" s="36" t="n"/>
      <c r="E16" s="36" t="n"/>
      <c r="F16" s="36" t="n"/>
      <c r="G16" s="36" t="n"/>
      <c r="H16" s="36" t="n"/>
      <c r="I16" s="36" t="n"/>
      <c r="J16" s="36" t="n"/>
      <c r="K16" s="36" t="n"/>
      <c r="L16" s="36" t="n"/>
      <c r="M16" s="36" t="n"/>
      <c r="N16" s="36" t="n"/>
      <c r="O16" s="36" t="n"/>
      <c r="P16" s="36" t="n"/>
      <c r="Q16" s="36" t="n"/>
      <c r="R16" s="36" t="n"/>
      <c r="S16" s="36" t="n"/>
      <c r="T16" s="36" t="n"/>
      <c r="U16" s="36" t="n"/>
      <c r="V16" s="36" t="n"/>
      <c r="W16" s="36" t="n"/>
      <c r="X16" s="36" t="n"/>
      <c r="Y16" s="40" t="n">
        <v>-0.205</v>
      </c>
      <c r="Z16" s="40" t="n">
        <v>-0.472</v>
      </c>
      <c r="AA16" s="40" t="n">
        <v>-0.004</v>
      </c>
      <c r="AB16" s="40" t="n">
        <v>-0.005</v>
      </c>
      <c r="AC16" s="40" t="n">
        <v>-0.177</v>
      </c>
      <c r="AD16" s="40" t="n">
        <v>0.002</v>
      </c>
      <c r="AE16" s="40" t="n">
        <v>-0.005</v>
      </c>
      <c r="AF16" s="40" t="n">
        <v>0.005</v>
      </c>
      <c r="AG16" s="40" t="n">
        <v>0.006</v>
      </c>
      <c r="AH16" s="40" t="n">
        <v>0.002</v>
      </c>
      <c r="AI16" s="40" t="n">
        <v>0.004</v>
      </c>
      <c r="AJ16" s="40" t="n">
        <v>0.001</v>
      </c>
      <c r="AK16" s="40" t="n">
        <v>-0.012</v>
      </c>
      <c r="AL16" s="40" t="n">
        <v>-0.013</v>
      </c>
      <c r="AM16" s="40" t="n">
        <v>-0.005</v>
      </c>
      <c r="AN16" s="40" t="n">
        <v>-0.011</v>
      </c>
      <c r="AO16" s="40" t="n">
        <v>-0.005</v>
      </c>
      <c r="AP16" s="40" t="n">
        <v>-0.004</v>
      </c>
      <c r="AQ16" s="40" t="n">
        <v>0.001</v>
      </c>
      <c r="AR16" s="40" t="n">
        <v>-0.005</v>
      </c>
      <c r="AS16" s="40" t="n">
        <v>-0.005</v>
      </c>
      <c r="AT16" s="40" t="n">
        <v>-0.006</v>
      </c>
      <c r="AU16" s="40" t="n">
        <v>-0.005</v>
      </c>
      <c r="AV16" s="40" t="n">
        <v>-0.005</v>
      </c>
      <c r="AW16" s="40" t="n">
        <v>-0.005</v>
      </c>
      <c r="AX16" s="40" t="n">
        <v>0.003</v>
      </c>
      <c r="AY16" s="40" t="n">
        <v>0.02</v>
      </c>
      <c r="AZ16" s="40" t="n">
        <v>0.01</v>
      </c>
      <c r="BA16" s="40" t="n">
        <v>0.003</v>
      </c>
      <c r="BB16" s="40" t="n">
        <v>0.009000000000000001</v>
      </c>
      <c r="BC16" s="40" t="n">
        <v>0.002</v>
      </c>
      <c r="BD16" s="40" t="n">
        <v>-0.005</v>
      </c>
      <c r="BE16" s="40" t="n">
        <v>-0.006999999999999999</v>
      </c>
      <c r="BF16" s="40" t="n">
        <v>-0.009000000000000001</v>
      </c>
      <c r="BG16" s="40" t="n">
        <v>-0.005</v>
      </c>
      <c r="BH16" s="40" t="n">
        <v>-0.008</v>
      </c>
      <c r="BI16" s="40" t="n">
        <v>-0.005</v>
      </c>
      <c r="BJ16" s="40" t="n">
        <v>0.003</v>
      </c>
      <c r="BK16" s="40" t="n">
        <v>0.004</v>
      </c>
      <c r="BL16" s="40" t="n">
        <v>-0.001</v>
      </c>
      <c r="BM16" s="40" t="n">
        <v>0.003</v>
      </c>
      <c r="BN16" s="40" t="n">
        <v>-0.002</v>
      </c>
      <c r="BO16" s="40" t="n">
        <v>-0.005</v>
      </c>
      <c r="BP16" s="40" t="n">
        <v>-0.01</v>
      </c>
      <c r="BQ16" s="40" t="n">
        <v>-0.004</v>
      </c>
      <c r="BR16" s="40" t="n">
        <v>-0.011</v>
      </c>
      <c r="BS16" s="40" t="n">
        <v>-0.004</v>
      </c>
      <c r="BT16" s="40" t="n">
        <v>0</v>
      </c>
      <c r="BU16" s="40" t="n">
        <v>0.006</v>
      </c>
      <c r="BV16" s="40" t="n">
        <v>-0.002</v>
      </c>
      <c r="BW16" s="40" t="n">
        <v>0.009000000000000001</v>
      </c>
      <c r="BX16" s="40" t="n">
        <v>0.004</v>
      </c>
      <c r="BY16" s="255" t="n">
        <v>0</v>
      </c>
      <c r="BZ16" s="255" t="n">
        <v>0</v>
      </c>
      <c r="CA16" s="254">
        <f>IFERROR(CA21/BV11,"")</f>
        <v>0.0031565292644446</v>
      </c>
      <c r="CB16" s="255" t="n">
        <v>0</v>
      </c>
      <c r="CC16" s="255" t="n">
        <v>0</v>
      </c>
      <c r="CD16" s="255" t="n">
        <v>0</v>
      </c>
      <c r="CE16" s="255" t="n">
        <v>0</v>
      </c>
      <c r="CF16" s="19" t="inlineStr">
        <is>
          <t>Q3/Q4-26E: FX input (spot-rate translation vs prior-year quarter). 2027E+: International Welding FX lever; Americas &amp; Harris 0%.</t>
        </is>
      </c>
      <c r="CN16" s="25" t="inlineStr">
        <is>
          <t xml:space="preserve">  FY26 effective tax rate — "low-to-mid 20%"</t>
        </is>
      </c>
      <c r="CO16" s="42" t="n">
        <v>0.22</v>
      </c>
      <c r="CP16" s="42" t="n">
        <v>0.23</v>
      </c>
      <c r="CQ16" s="42" t="n">
        <v>0.24</v>
      </c>
      <c r="CR16" s="13" t="inlineStr">
        <is>
          <t>Company assumption (adjusted ETR). 1H/26 22.7% adjusted.</t>
        </is>
      </c>
    </row>
    <row r="17">
      <c r="B17" s="25" t="inlineStr">
        <is>
          <t xml:space="preserve">  Organic growth % (volume + price)</t>
        </is>
      </c>
      <c r="C17" s="36" t="n"/>
      <c r="D17" s="36" t="n"/>
      <c r="E17" s="36" t="n"/>
      <c r="F17" s="36" t="n"/>
      <c r="G17" s="36" t="n"/>
      <c r="H17" s="36" t="n"/>
      <c r="I17" s="36" t="n"/>
      <c r="J17" s="36" t="n"/>
      <c r="K17" s="36" t="n"/>
      <c r="L17" s="36" t="n"/>
      <c r="M17" s="36" t="n"/>
      <c r="N17" s="36" t="n"/>
      <c r="O17" s="36" t="n"/>
      <c r="P17" s="36" t="n"/>
      <c r="Q17" s="36" t="n"/>
      <c r="R17" s="36" t="n"/>
      <c r="S17" s="36" t="n"/>
      <c r="T17" s="36" t="n"/>
      <c r="U17" s="36" t="n"/>
      <c r="V17" s="36" t="n"/>
      <c r="W17" s="36" t="n"/>
      <c r="X17" s="36" t="n"/>
      <c r="Y17" s="36">
        <f>Y13+Y14</f>
        <v>-0.011</v>
      </c>
      <c r="Z17" s="36">
        <f>Z13+Z14</f>
        <v>0.297</v>
      </c>
      <c r="AA17" s="36">
        <f>AA13+AA14</f>
        <v>-0.191</v>
      </c>
      <c r="AB17" s="36">
        <f>AB13+AB14</f>
        <v>-0.058</v>
      </c>
      <c r="AC17" s="36">
        <f>AC13+AC14</f>
        <v>0.011</v>
      </c>
      <c r="AD17" s="36">
        <f>AD13+AD14</f>
        <v>0.056</v>
      </c>
      <c r="AE17" s="36">
        <f>AE13+AE14</f>
        <v>0.044</v>
      </c>
      <c r="AF17" s="36">
        <f>AF13+AF14</f>
        <v>0.046</v>
      </c>
      <c r="AG17" s="36">
        <f>AG13+AG14</f>
        <v>0.13</v>
      </c>
      <c r="AH17" s="36">
        <f>AH13+AH14</f>
        <v>0.069</v>
      </c>
      <c r="AI17" s="36">
        <f>AI13+AI14</f>
        <v>0.121</v>
      </c>
      <c r="AJ17" s="36">
        <f>AJ13+AJ14</f>
        <v>0.131</v>
      </c>
      <c r="AK17" s="36">
        <f>AK13+AK14</f>
        <v>0.149</v>
      </c>
      <c r="AL17" s="36">
        <f>AL13+AL14</f>
        <v>0.082</v>
      </c>
      <c r="AM17" s="36">
        <f>AM13+AM14</f>
        <v>0.12</v>
      </c>
      <c r="AN17" s="36">
        <f>AN13+AN14</f>
        <v>0.034</v>
      </c>
      <c r="AO17" s="36">
        <f>AO13+AO14</f>
        <v>-0.011</v>
      </c>
      <c r="AP17" s="36">
        <f>AP13+AP14</f>
        <v>-0.057</v>
      </c>
      <c r="AQ17" s="36">
        <f>AQ13+AQ14</f>
        <v>-0.082</v>
      </c>
      <c r="AR17" s="36">
        <f>AR13+AR14</f>
        <v>-0.03</v>
      </c>
      <c r="AS17" s="36">
        <f>AS13+AS14</f>
        <v>-0.094</v>
      </c>
      <c r="AT17" s="36">
        <f>AT13+AT14</f>
        <v>-0.295</v>
      </c>
      <c r="AU17" s="36">
        <f>AU13+AU14</f>
        <v>-0.158</v>
      </c>
      <c r="AV17" s="36">
        <f>AV13+AV14</f>
        <v>-0.112</v>
      </c>
      <c r="AW17" s="36">
        <f>AW13+AW14</f>
        <v>-0.166</v>
      </c>
      <c r="AX17" s="36">
        <f>AX13+AX14</f>
        <v>0.013</v>
      </c>
      <c r="AY17" s="36">
        <f>AY13+AY14</f>
        <v>0.353</v>
      </c>
      <c r="AZ17" s="36">
        <f>AZ13+AZ14</f>
        <v>0.232</v>
      </c>
      <c r="BA17" s="36">
        <f>BA13+BA14</f>
        <v>0.239</v>
      </c>
      <c r="BB17" s="36">
        <f>BB13+BB14</f>
        <v>0.2</v>
      </c>
      <c r="BC17" s="36">
        <f>BC13+BC14</f>
        <v>0.25</v>
      </c>
      <c r="BD17" s="36">
        <f>BD13+BD14</f>
        <v>0.295</v>
      </c>
      <c r="BE17" s="36">
        <f>BE13+BE14</f>
        <v>0.265</v>
      </c>
      <c r="BF17" s="36">
        <f>BF13+BF14</f>
        <v>0.191</v>
      </c>
      <c r="BG17" s="36">
        <f>BG13+BG14</f>
        <v>0.25</v>
      </c>
      <c r="BH17" s="36">
        <f>BH13+BH14</f>
        <v>0.156</v>
      </c>
      <c r="BI17" s="36">
        <f>BI13+BI14</f>
        <v>0.068</v>
      </c>
      <c r="BJ17" s="36">
        <f>BJ13+BJ14</f>
        <v>0.01</v>
      </c>
      <c r="BK17" s="36">
        <f>BK13+BK14</f>
        <v>0.031</v>
      </c>
      <c r="BL17" s="36">
        <f>BL13+BL14</f>
        <v>0.064</v>
      </c>
      <c r="BM17" s="36">
        <f>BM13+BM14</f>
        <v>-0.062</v>
      </c>
      <c r="BN17" s="36">
        <f>BN13+BN14</f>
        <v>-0.057</v>
      </c>
      <c r="BO17" s="36">
        <f>BO13+BO14</f>
        <v>-0.082</v>
      </c>
      <c r="BP17" s="36">
        <f>BP13+BP14</f>
        <v>-0.073</v>
      </c>
      <c r="BQ17" s="36">
        <f>BQ13+BQ14</f>
        <v>-0.068</v>
      </c>
      <c r="BR17" s="36">
        <f>BR13+BR14</f>
        <v>-0.019</v>
      </c>
      <c r="BS17" s="36">
        <f>BS13+BS14</f>
        <v>0.031</v>
      </c>
      <c r="BT17" s="36">
        <f>BT13+BT14</f>
        <v>0.072</v>
      </c>
      <c r="BU17" s="36">
        <f>BU13+BU14</f>
        <v>0.035</v>
      </c>
      <c r="BV17" s="36">
        <f>BV13+BV14</f>
        <v>0.03</v>
      </c>
      <c r="BW17" s="36">
        <f>BW13+BW14</f>
        <v>0.072</v>
      </c>
      <c r="BX17" s="36">
        <f>BX13+BX14</f>
        <v>0.108</v>
      </c>
      <c r="BY17" s="254">
        <f>BY13+BY14</f>
        <v>0.119757692311287</v>
      </c>
      <c r="BZ17" s="254">
        <f>BZ13+BZ14</f>
        <v>0.119757692311287</v>
      </c>
      <c r="CA17" s="254">
        <f>CA13+CA14</f>
        <v>0.105282391733701</v>
      </c>
      <c r="CB17" s="254">
        <f>CB13+CB14</f>
        <v>0.06</v>
      </c>
      <c r="CC17" s="254">
        <f>CC13+CC14</f>
        <v>0.055</v>
      </c>
      <c r="CD17" s="254">
        <f>CD13+CD14</f>
        <v>0.05</v>
      </c>
      <c r="CE17" s="254">
        <f>CE13+CE14</f>
        <v>0.05</v>
      </c>
      <c r="CF17" s="19" t="n"/>
      <c r="CN17" s="25" t="inlineStr">
        <is>
          <t xml:space="preserve">  FY26 capital expenditures ($m)</t>
        </is>
      </c>
      <c r="CO17" s="26" t="n">
        <v>130</v>
      </c>
      <c r="CP17" s="26" t="n">
        <v>120</v>
      </c>
      <c r="CQ17" s="26" t="n">
        <v>110</v>
      </c>
      <c r="CR17" s="13" t="inlineStr">
        <is>
          <t>Company assumption $110–130m.</t>
        </is>
      </c>
    </row>
    <row r="18" outlineLevel="2" s="251">
      <c r="B18" s="25" t="inlineStr">
        <is>
          <t xml:space="preserve">  Δ Net sales — volume ($)</t>
        </is>
      </c>
      <c r="C18" s="34" t="n"/>
      <c r="D18" s="34" t="n"/>
      <c r="E18" s="34" t="n"/>
      <c r="F18" s="34" t="n"/>
      <c r="G18" s="34" t="n"/>
      <c r="H18" s="34" t="n"/>
      <c r="I18" s="34" t="n"/>
      <c r="J18" s="34" t="n"/>
      <c r="K18" s="34" t="n"/>
      <c r="L18" s="34" t="n"/>
      <c r="M18" s="34" t="n"/>
      <c r="N18" s="34" t="n"/>
      <c r="O18" s="34" t="n"/>
      <c r="P18" s="34" t="n"/>
      <c r="Q18" s="34" t="n"/>
      <c r="R18" s="34" t="n"/>
      <c r="S18" s="34" t="n"/>
      <c r="T18" s="34" t="n"/>
      <c r="U18" s="34" t="n"/>
      <c r="V18" s="34" t="n"/>
      <c r="W18" s="34" t="n"/>
      <c r="X18" s="34" t="n"/>
      <c r="Y18" s="34" t="n">
        <v>-85.063</v>
      </c>
      <c r="Z18" s="34" t="n">
        <v>-59.999</v>
      </c>
      <c r="AA18" s="34" t="n">
        <v>-81.33799999999999</v>
      </c>
      <c r="AB18" s="34" t="n">
        <v>-22.315</v>
      </c>
      <c r="AC18" s="34" t="n">
        <v>-248.715</v>
      </c>
      <c r="AD18" s="34" t="n">
        <v>14.761</v>
      </c>
      <c r="AE18" s="34" t="n">
        <v>6.766</v>
      </c>
      <c r="AF18" s="34" t="n">
        <v>8.401</v>
      </c>
      <c r="AG18" s="34" t="n">
        <v>37.378</v>
      </c>
      <c r="AH18" s="34" t="n">
        <v>67.306</v>
      </c>
      <c r="AI18" s="34" t="n">
        <v>28.562</v>
      </c>
      <c r="AJ18" s="34" t="n">
        <v>31.023</v>
      </c>
      <c r="AK18" s="34" t="n">
        <v>23.084</v>
      </c>
      <c r="AL18" s="34" t="n">
        <v>-0.411</v>
      </c>
      <c r="AM18" s="34" t="n">
        <v>82.258</v>
      </c>
      <c r="AN18" s="34" t="n">
        <v>-12.395</v>
      </c>
      <c r="AO18" s="34" t="n">
        <v>-16.756</v>
      </c>
      <c r="AP18" s="34" t="n">
        <v>-20.605</v>
      </c>
      <c r="AQ18" s="34" t="n">
        <v>-29.529</v>
      </c>
      <c r="AR18" s="34" t="n">
        <v>-79.285</v>
      </c>
      <c r="AS18" s="34" t="n">
        <v>-37.692</v>
      </c>
      <c r="AT18" s="34" t="n">
        <v>-139.035</v>
      </c>
      <c r="AU18" s="34" t="n">
        <v>-69.02800000000001</v>
      </c>
      <c r="AV18" s="34" t="n">
        <v>-54.412</v>
      </c>
      <c r="AW18" s="34" t="n">
        <v>-300.167</v>
      </c>
      <c r="AX18" s="34" t="n">
        <v>-3.79</v>
      </c>
      <c r="AY18" s="34" t="n">
        <v>90.285</v>
      </c>
      <c r="AZ18" s="34" t="n">
        <v>42.341</v>
      </c>
      <c r="BA18" s="34" t="n">
        <v>35.759</v>
      </c>
      <c r="BB18" s="34" t="n">
        <v>164.595</v>
      </c>
      <c r="BC18" s="34" t="n">
        <v>22.004</v>
      </c>
      <c r="BD18" s="34" t="n">
        <v>45.284</v>
      </c>
      <c r="BE18" s="34" t="n">
        <v>52.521</v>
      </c>
      <c r="BF18" s="34" t="n">
        <v>36.752</v>
      </c>
      <c r="BG18" s="34" t="n">
        <v>156.561</v>
      </c>
      <c r="BH18" s="34" t="n">
        <v>58.65</v>
      </c>
      <c r="BI18" s="34" t="n">
        <v>34.384</v>
      </c>
      <c r="BJ18" s="34" t="n">
        <v>2.072</v>
      </c>
      <c r="BK18" s="34" t="n">
        <v>14.754</v>
      </c>
      <c r="BL18" s="34" t="n">
        <v>109.86</v>
      </c>
      <c r="BM18" s="34" t="n">
        <v>-42.653</v>
      </c>
      <c r="BN18" s="34" t="n">
        <v>-45.665</v>
      </c>
      <c r="BO18" s="34" t="n">
        <v>-57.292</v>
      </c>
      <c r="BP18" s="34" t="n">
        <v>-46.844</v>
      </c>
      <c r="BQ18" s="34" t="n">
        <v>-192.454</v>
      </c>
      <c r="BR18" s="34" t="n">
        <v>-24.74</v>
      </c>
      <c r="BS18" s="34" t="n">
        <v>-22.346</v>
      </c>
      <c r="BT18" s="34" t="n">
        <v>-15.011</v>
      </c>
      <c r="BU18" s="34" t="n">
        <v>-45.383</v>
      </c>
      <c r="BV18" s="34" t="n">
        <v>-107.48</v>
      </c>
      <c r="BW18" s="34" t="n">
        <v>-2.635</v>
      </c>
      <c r="BX18" s="34" t="n">
        <v>49.704</v>
      </c>
      <c r="BY18" s="257">
        <f>BT11*BY13</f>
        <v>57.2512749947942</v>
      </c>
      <c r="BZ18" s="257">
        <f>BU11*BZ13</f>
        <v>56.4349531178357</v>
      </c>
      <c r="CA18" s="257">
        <f>SUM(BW18,BX18,BY18,BZ18)</f>
        <v>160.75522811263</v>
      </c>
      <c r="CB18" s="257">
        <f>CA11*CB13</f>
        <v>90.5670304833789</v>
      </c>
      <c r="CC18" s="257">
        <f>CB11*CC13</f>
        <v>96.0010523123816</v>
      </c>
      <c r="CD18" s="257">
        <f>CC11*CD13</f>
        <v>84.4009251579689</v>
      </c>
      <c r="CE18" s="257">
        <f>CD11*CE13</f>
        <v>88.6209714158673</v>
      </c>
      <c r="CF18" s="19" t="n"/>
      <c r="CN18" s="25" t="inlineStr">
        <is>
          <t xml:space="preserve">  FY26 cash conversion (FCF / adjusted net income; memo)</t>
        </is>
      </c>
      <c r="CO18" s="42" t="n">
        <v>1</v>
      </c>
      <c r="CP18" s="42" t="n">
        <v>1</v>
      </c>
      <c r="CQ18" s="42" t="n">
        <v>1</v>
      </c>
      <c r="CR18" s="13" t="inlineStr">
        <is>
          <t>Company target ~100% cash conversion.</t>
        </is>
      </c>
    </row>
    <row r="19" outlineLevel="2" s="251">
      <c r="B19" s="25" t="inlineStr">
        <is>
          <t xml:space="preserve">  Δ Net sales — price ($)</t>
        </is>
      </c>
      <c r="C19" s="34" t="n"/>
      <c r="D19" s="34" t="n"/>
      <c r="E19" s="34" t="n"/>
      <c r="F19" s="34" t="n"/>
      <c r="G19" s="34" t="n"/>
      <c r="H19" s="34" t="n"/>
      <c r="I19" s="34" t="n"/>
      <c r="J19" s="34" t="n"/>
      <c r="K19" s="34" t="n"/>
      <c r="L19" s="34" t="n"/>
      <c r="M19" s="34" t="n"/>
      <c r="N19" s="34" t="n"/>
      <c r="O19" s="34" t="n"/>
      <c r="P19" s="34" t="n"/>
      <c r="Q19" s="34" t="n"/>
      <c r="R19" s="34" t="n"/>
      <c r="S19" s="34" t="n"/>
      <c r="T19" s="34" t="n"/>
      <c r="U19" s="34" t="n"/>
      <c r="V19" s="34" t="n"/>
      <c r="W19" s="34" t="n"/>
      <c r="X19" s="34" t="n"/>
      <c r="Y19" s="34" t="n">
        <v>80.31999999999999</v>
      </c>
      <c r="Z19" s="34" t="n">
        <v>193.706</v>
      </c>
      <c r="AA19" s="34" t="n">
        <v>-5.645</v>
      </c>
      <c r="AB19" s="34" t="n">
        <v>-0.176</v>
      </c>
      <c r="AC19" s="34" t="n">
        <v>268.205</v>
      </c>
      <c r="AD19" s="34" t="n">
        <v>5.52</v>
      </c>
      <c r="AE19" s="34" t="n">
        <v>10.508</v>
      </c>
      <c r="AF19" s="34" t="n">
        <v>9.196999999999999</v>
      </c>
      <c r="AG19" s="34" t="n">
        <v>10.784</v>
      </c>
      <c r="AH19" s="34" t="n">
        <v>36.009</v>
      </c>
      <c r="AI19" s="34" t="n">
        <v>17.682</v>
      </c>
      <c r="AJ19" s="34" t="n">
        <v>21.958</v>
      </c>
      <c r="AK19" s="34" t="n">
        <v>36.128</v>
      </c>
      <c r="AL19" s="34" t="n">
        <v>35.27</v>
      </c>
      <c r="AM19" s="34" t="n">
        <v>111.038</v>
      </c>
      <c r="AN19" s="34" t="n">
        <v>27.428</v>
      </c>
      <c r="AO19" s="34" t="n">
        <v>11.599</v>
      </c>
      <c r="AP19" s="34" t="n">
        <v>-5.603</v>
      </c>
      <c r="AQ19" s="34" t="n">
        <v>-7.719</v>
      </c>
      <c r="AR19" s="34" t="n">
        <v>25.705</v>
      </c>
      <c r="AS19" s="34" t="n">
        <v>-5.392</v>
      </c>
      <c r="AT19" s="34" t="n">
        <v>-1.405</v>
      </c>
      <c r="AU19" s="34" t="n">
        <v>-0.6820000000000001</v>
      </c>
      <c r="AV19" s="34" t="n">
        <v>5.164</v>
      </c>
      <c r="AW19" s="34" t="n">
        <v>-2.315</v>
      </c>
      <c r="AX19" s="34" t="n">
        <v>9.065</v>
      </c>
      <c r="AY19" s="34" t="n">
        <v>27.33</v>
      </c>
      <c r="AZ19" s="34" t="n">
        <v>43.957</v>
      </c>
      <c r="BA19" s="34" t="n">
        <v>56.615</v>
      </c>
      <c r="BB19" s="34" t="n">
        <v>136.967</v>
      </c>
      <c r="BC19" s="34" t="n">
        <v>84.218</v>
      </c>
      <c r="BD19" s="34" t="n">
        <v>89.854</v>
      </c>
      <c r="BE19" s="34" t="n">
        <v>69.88800000000001</v>
      </c>
      <c r="BF19" s="34" t="n">
        <v>54.968</v>
      </c>
      <c r="BG19" s="34" t="n">
        <v>298.928</v>
      </c>
      <c r="BH19" s="34" t="n">
        <v>24.699</v>
      </c>
      <c r="BI19" s="34" t="n">
        <v>5.974</v>
      </c>
      <c r="BJ19" s="34" t="n">
        <v>3.488</v>
      </c>
      <c r="BK19" s="34" t="n">
        <v>2.964</v>
      </c>
      <c r="BL19" s="34" t="n">
        <v>37.125</v>
      </c>
      <c r="BM19" s="34" t="n">
        <v>2.284</v>
      </c>
      <c r="BN19" s="34" t="n">
        <v>6.522</v>
      </c>
      <c r="BO19" s="34" t="n">
        <v>2.505</v>
      </c>
      <c r="BP19" s="34" t="n">
        <v>-0.541</v>
      </c>
      <c r="BQ19" s="34" t="n">
        <v>10.77</v>
      </c>
      <c r="BR19" s="34" t="n">
        <v>13.369</v>
      </c>
      <c r="BS19" s="34" t="n">
        <v>42.265</v>
      </c>
      <c r="BT19" s="34" t="n">
        <v>60.885</v>
      </c>
      <c r="BU19" s="34" t="n">
        <v>67.964</v>
      </c>
      <c r="BV19" s="34" t="n">
        <v>184.483</v>
      </c>
      <c r="BW19" s="34" t="n">
        <v>49.479</v>
      </c>
      <c r="BX19" s="34" t="n">
        <v>25.681</v>
      </c>
      <c r="BY19" s="257">
        <f>BT11*BY14</f>
        <v>25.596378</v>
      </c>
      <c r="BZ19" s="257">
        <f>BU11*BZ14</f>
        <v>25.23141</v>
      </c>
      <c r="CA19" s="257">
        <f>SUM(BW19,BX19,BY19,BZ19)</f>
        <v>125.987788</v>
      </c>
      <c r="CB19" s="257">
        <f>CA11*CB14</f>
        <v>90.5670304833789</v>
      </c>
      <c r="CC19" s="257">
        <f>CB11*CC14</f>
        <v>80.0008769269847</v>
      </c>
      <c r="CD19" s="257">
        <f>CC11*CD14</f>
        <v>84.4009251579689</v>
      </c>
      <c r="CE19" s="257">
        <f>CD11*CE14</f>
        <v>88.6209714158673</v>
      </c>
      <c r="CF19" s="19" t="n"/>
      <c r="CN19" s="15" t="inlineStr">
        <is>
          <t>Capital returns</t>
        </is>
      </c>
      <c r="CO19" s="21" t="inlineStr">
        <is>
          <t>Bull</t>
        </is>
      </c>
      <c r="CP19" s="21" t="inlineStr">
        <is>
          <t>Base</t>
        </is>
      </c>
      <c r="CQ19" s="21" t="inlineStr">
        <is>
          <t>Bear</t>
        </is>
      </c>
      <c r="CR19" s="13" t="n"/>
    </row>
    <row r="20" outlineLevel="2" s="251">
      <c r="B20" s="25" t="inlineStr">
        <is>
          <t xml:space="preserve">  Δ Net sales — acquisitions ($)</t>
        </is>
      </c>
      <c r="C20" s="34" t="n"/>
      <c r="D20" s="34" t="n"/>
      <c r="E20" s="34" t="n"/>
      <c r="F20" s="34" t="n"/>
      <c r="G20" s="34" t="n"/>
      <c r="H20" s="34" t="n"/>
      <c r="I20" s="34" t="n"/>
      <c r="J20" s="34" t="n"/>
      <c r="K20" s="34" t="n"/>
      <c r="L20" s="34" t="n"/>
      <c r="M20" s="34" t="n"/>
      <c r="N20" s="34" t="n"/>
      <c r="O20" s="34" t="n"/>
      <c r="P20" s="34" t="n"/>
      <c r="Q20" s="34" t="n"/>
      <c r="R20" s="34" t="n"/>
      <c r="S20" s="34" t="n"/>
      <c r="T20" s="34" t="n"/>
      <c r="U20" s="34" t="n"/>
      <c r="V20" s="34" t="n"/>
      <c r="W20" s="34" t="n"/>
      <c r="X20" s="34" t="n"/>
      <c r="Y20" s="34" t="n">
        <v>6.977</v>
      </c>
      <c r="Z20" s="34" t="n">
        <v>16.323</v>
      </c>
      <c r="AA20" s="34" t="n">
        <v>12.3</v>
      </c>
      <c r="AB20" s="34" t="n">
        <v>7.232</v>
      </c>
      <c r="AC20" s="34" t="n">
        <v>42.832</v>
      </c>
      <c r="AD20" s="34" t="n">
        <v>3.338</v>
      </c>
      <c r="AE20" s="34" t="n">
        <v>1.354</v>
      </c>
      <c r="AF20" s="34" t="n">
        <v>1.14</v>
      </c>
      <c r="AG20" s="34" t="n">
        <v>2.638</v>
      </c>
      <c r="AH20" s="34" t="n">
        <v>8.470000000000001</v>
      </c>
      <c r="AI20" s="34" t="n">
        <v>3.606</v>
      </c>
      <c r="AJ20" s="34" t="n">
        <v>4.059</v>
      </c>
      <c r="AK20" s="34" t="n">
        <v>1.148</v>
      </c>
      <c r="AL20" s="34" t="n">
        <v>2.831</v>
      </c>
      <c r="AM20" s="34" t="n">
        <v>11.644</v>
      </c>
      <c r="AN20" s="34" t="n">
        <v>12.72</v>
      </c>
      <c r="AO20" s="34" t="n">
        <v>21.512</v>
      </c>
      <c r="AP20" s="34" t="n">
        <v>17.38</v>
      </c>
      <c r="AQ20" s="34" t="n">
        <v>19.45</v>
      </c>
      <c r="AR20" s="34" t="n">
        <v>71.062</v>
      </c>
      <c r="AS20" s="34" t="n">
        <v>6.19</v>
      </c>
      <c r="AT20" s="34" t="n">
        <v>0</v>
      </c>
      <c r="AU20" s="34" t="n">
        <v>0</v>
      </c>
      <c r="AV20" s="34" t="n">
        <v>0</v>
      </c>
      <c r="AW20" s="34" t="n">
        <v>6.19</v>
      </c>
      <c r="AX20" s="34" t="n">
        <v>0</v>
      </c>
      <c r="AY20" s="34" t="n">
        <v>0</v>
      </c>
      <c r="AZ20" s="34" t="n">
        <v>0</v>
      </c>
      <c r="BA20" s="34" t="n">
        <v>0</v>
      </c>
      <c r="BB20" s="34" t="n">
        <v>0</v>
      </c>
      <c r="BC20" s="34" t="n">
        <v>1.745</v>
      </c>
      <c r="BD20" s="34" t="n">
        <v>5.437</v>
      </c>
      <c r="BE20" s="34" t="n">
        <v>4.724</v>
      </c>
      <c r="BF20" s="34" t="n">
        <v>5.696</v>
      </c>
      <c r="BG20" s="34" t="n">
        <v>17.602</v>
      </c>
      <c r="BH20" s="34" t="n">
        <v>45.249</v>
      </c>
      <c r="BI20" s="34" t="n">
        <v>43.947</v>
      </c>
      <c r="BJ20" s="34" t="n">
        <v>72.15900000000001</v>
      </c>
      <c r="BK20" s="34" t="n">
        <v>61.138</v>
      </c>
      <c r="BL20" s="34" t="n">
        <v>222.493</v>
      </c>
      <c r="BM20" s="34" t="n">
        <v>4.164</v>
      </c>
      <c r="BN20" s="34" t="n">
        <v>12.42</v>
      </c>
      <c r="BO20" s="34" t="n">
        <v>30.212</v>
      </c>
      <c r="BP20" s="34" t="n">
        <v>54.301</v>
      </c>
      <c r="BQ20" s="34" t="n">
        <v>101.097</v>
      </c>
      <c r="BR20" s="34" t="n">
        <v>47.327</v>
      </c>
      <c r="BS20" s="34" t="n">
        <v>30.192</v>
      </c>
      <c r="BT20" s="34" t="n">
        <v>8.842000000000001</v>
      </c>
      <c r="BU20" s="34" t="n">
        <v>0</v>
      </c>
      <c r="BV20" s="34" t="n">
        <v>86.361</v>
      </c>
      <c r="BW20" s="34" t="n">
        <v>0</v>
      </c>
      <c r="BX20" s="34" t="n">
        <v>0</v>
      </c>
      <c r="BY20" s="257">
        <f>BT11*BY15</f>
        <v>0</v>
      </c>
      <c r="BZ20" s="257">
        <f>BU11*BZ15</f>
        <v>0</v>
      </c>
      <c r="CA20" s="257">
        <f>SUM(BW20,BX20,BY20,BZ20)</f>
        <v>0</v>
      </c>
      <c r="CB20" s="257">
        <f>CA11*CB15</f>
        <v>0</v>
      </c>
      <c r="CC20" s="257">
        <f>CB11*CC15</f>
        <v>0</v>
      </c>
      <c r="CD20" s="257">
        <f>CC11*CD15</f>
        <v>0</v>
      </c>
      <c r="CE20" s="257">
        <f>CD11*CE15</f>
        <v>0</v>
      </c>
      <c r="CF20" s="19" t="n"/>
      <c r="CN20" s="25" t="inlineStr">
        <is>
          <t xml:space="preserve">  2H/26 share repurchases ($m)</t>
        </is>
      </c>
      <c r="CO20" s="26" t="n">
        <v>160</v>
      </c>
      <c r="CP20" s="26" t="n">
        <v>130</v>
      </c>
      <c r="CQ20" s="26" t="n">
        <v>100</v>
      </c>
      <c r="CR20" s="13" t="inlineStr">
        <is>
          <t>1H/26 repurchases $133m (Q1 $57m, Q2 $76m). Base keeps the 1H pace.</t>
        </is>
      </c>
    </row>
    <row r="21" outlineLevel="2" s="251">
      <c r="B21" s="25" t="inlineStr">
        <is>
          <t xml:space="preserve">  Δ Net sales — foreign exchange ($)</t>
        </is>
      </c>
      <c r="C21" s="34" t="n"/>
      <c r="D21" s="34" t="n"/>
      <c r="E21" s="34" t="n"/>
      <c r="F21" s="34" t="n"/>
      <c r="G21" s="34" t="n"/>
      <c r="H21" s="34" t="n"/>
      <c r="I21" s="34" t="n"/>
      <c r="J21" s="34" t="n"/>
      <c r="K21" s="34" t="n"/>
      <c r="L21" s="34" t="n"/>
      <c r="M21" s="34" t="n"/>
      <c r="N21" s="34" t="n"/>
      <c r="O21" s="34" t="n"/>
      <c r="P21" s="34" t="n"/>
      <c r="Q21" s="34" t="n"/>
      <c r="R21" s="34" t="n"/>
      <c r="S21" s="34" t="n"/>
      <c r="T21" s="34" t="n"/>
      <c r="U21" s="34" t="n"/>
      <c r="V21" s="34" t="n"/>
      <c r="W21" s="34" t="n"/>
      <c r="X21" s="34" t="n"/>
      <c r="Y21" s="34" t="n">
        <v>-92.063</v>
      </c>
      <c r="Z21" s="34" t="n">
        <v>-212.659</v>
      </c>
      <c r="AA21" s="34" t="n">
        <v>-1.969</v>
      </c>
      <c r="AB21" s="34" t="n">
        <v>-1.999</v>
      </c>
      <c r="AC21" s="34" t="n">
        <v>-308.69</v>
      </c>
      <c r="AD21" s="34" t="n">
        <v>0.697</v>
      </c>
      <c r="AE21" s="34" t="n">
        <v>-1.853</v>
      </c>
      <c r="AF21" s="34" t="n">
        <v>2.031</v>
      </c>
      <c r="AG21" s="34" t="n">
        <v>2.137</v>
      </c>
      <c r="AH21" s="34" t="n">
        <v>3.012</v>
      </c>
      <c r="AI21" s="34" t="n">
        <v>1.598</v>
      </c>
      <c r="AJ21" s="34" t="n">
        <v>0.328</v>
      </c>
      <c r="AK21" s="34" t="n">
        <v>-4.639</v>
      </c>
      <c r="AL21" s="34" t="n">
        <v>-5.492</v>
      </c>
      <c r="AM21" s="34" t="n">
        <v>-8.205</v>
      </c>
      <c r="AN21" s="34" t="n">
        <v>-4.806</v>
      </c>
      <c r="AO21" s="34" t="n">
        <v>-2.263</v>
      </c>
      <c r="AP21" s="34" t="n">
        <v>-1.661</v>
      </c>
      <c r="AQ21" s="34" t="n">
        <v>0.48</v>
      </c>
      <c r="AR21" s="34" t="n">
        <v>-8.25</v>
      </c>
      <c r="AS21" s="34" t="n">
        <v>-2.29</v>
      </c>
      <c r="AT21" s="34" t="n">
        <v>-2.938</v>
      </c>
      <c r="AU21" s="34" t="n">
        <v>-2.276</v>
      </c>
      <c r="AV21" s="34" t="n">
        <v>-2.08</v>
      </c>
      <c r="AW21" s="34" t="n">
        <v>-9.584</v>
      </c>
      <c r="AX21" s="34" t="n">
        <v>1.432</v>
      </c>
      <c r="AY21" s="34" t="n">
        <v>6.624</v>
      </c>
      <c r="AZ21" s="34" t="n">
        <v>3.675</v>
      </c>
      <c r="BA21" s="34" t="n">
        <v>1.318</v>
      </c>
      <c r="BB21" s="34" t="n">
        <v>13.049</v>
      </c>
      <c r="BC21" s="34" t="n">
        <v>0.846</v>
      </c>
      <c r="BD21" s="34" t="n">
        <v>-2.384</v>
      </c>
      <c r="BE21" s="34" t="n">
        <v>-3.013</v>
      </c>
      <c r="BF21" s="34" t="n">
        <v>-4.087</v>
      </c>
      <c r="BG21" s="34" t="n">
        <v>-8.638</v>
      </c>
      <c r="BH21" s="34" t="n">
        <v>-4.008</v>
      </c>
      <c r="BI21" s="34" t="n">
        <v>-2.998</v>
      </c>
      <c r="BJ21" s="34" t="n">
        <v>1.881</v>
      </c>
      <c r="BK21" s="34" t="n">
        <v>2.259</v>
      </c>
      <c r="BL21" s="34" t="n">
        <v>-2.866</v>
      </c>
      <c r="BM21" s="34" t="n">
        <v>1.659</v>
      </c>
      <c r="BN21" s="34" t="n">
        <v>-1.307</v>
      </c>
      <c r="BO21" s="34" t="n">
        <v>-3.627</v>
      </c>
      <c r="BP21" s="34" t="n">
        <v>-6.837</v>
      </c>
      <c r="BQ21" s="34" t="n">
        <v>-10.112</v>
      </c>
      <c r="BR21" s="34" t="n">
        <v>-6.948</v>
      </c>
      <c r="BS21" s="34" t="n">
        <v>-2.317</v>
      </c>
      <c r="BT21" s="34" t="n">
        <v>0.052</v>
      </c>
      <c r="BU21" s="34" t="n">
        <v>4.563</v>
      </c>
      <c r="BV21" s="34" t="n">
        <v>-4.65</v>
      </c>
      <c r="BW21" s="34" t="n">
        <v>6.274</v>
      </c>
      <c r="BX21" s="34" t="n">
        <v>2.323</v>
      </c>
      <c r="BY21" s="257">
        <f>BT11*BY16</f>
        <v>0</v>
      </c>
      <c r="BZ21" s="257">
        <f>BU11*BZ16</f>
        <v>0</v>
      </c>
      <c r="CA21" s="257">
        <f>SUM(BW21,BX21,BY21,BZ21)</f>
        <v>8.597</v>
      </c>
      <c r="CB21" s="257">
        <f>CA11*CB16</f>
        <v>0</v>
      </c>
      <c r="CC21" s="257">
        <f>CB11*CC16</f>
        <v>0</v>
      </c>
      <c r="CD21" s="257">
        <f>CC11*CD16</f>
        <v>0</v>
      </c>
      <c r="CE21" s="257">
        <f>CD11*CE16</f>
        <v>0</v>
      </c>
      <c r="CF21" s="19" t="n"/>
      <c r="CN21" s="25" t="inlineStr">
        <is>
          <t xml:space="preserve">  Minimum net debt / Adjusted EBITDA (x) — buyback floor 2027E+</t>
        </is>
      </c>
      <c r="CO21" s="258" t="n">
        <v>1.25</v>
      </c>
      <c r="CP21" s="258" t="n">
        <v>1</v>
      </c>
      <c r="CQ21" s="258" t="n">
        <v>0.75</v>
      </c>
      <c r="CR21" s="13" t="inlineStr">
        <is>
          <t>LECO runs ~0.5–1.0x net leverage; surplus cash above the floor is returned through repurchases.</t>
        </is>
      </c>
    </row>
    <row r="22" outlineLevel="2" s="251">
      <c r="B22" s="25" t="inlineStr">
        <is>
          <t xml:space="preserve">  Inter-segment sales</t>
        </is>
      </c>
      <c r="C22" s="34" t="n"/>
      <c r="D22" s="34" t="n"/>
      <c r="E22" s="34" t="n"/>
      <c r="F22" s="34" t="n"/>
      <c r="G22" s="34" t="n"/>
      <c r="H22" s="34" t="n"/>
      <c r="I22" s="34" t="n"/>
      <c r="J22" s="34" t="n"/>
      <c r="K22" s="34" t="n"/>
      <c r="L22" s="34" t="n"/>
      <c r="M22" s="34" t="n"/>
      <c r="N22" s="34" t="n">
        <v>105.811</v>
      </c>
      <c r="O22" s="34" t="n">
        <v>28.217</v>
      </c>
      <c r="P22" s="34" t="n">
        <v>28.989</v>
      </c>
      <c r="Q22" s="34" t="n">
        <v>27.244</v>
      </c>
      <c r="R22" s="34" t="n">
        <v>26.074</v>
      </c>
      <c r="S22" s="34" t="n">
        <v>110.524</v>
      </c>
      <c r="T22" s="34" t="n">
        <v>23.023</v>
      </c>
      <c r="U22" s="34" t="n">
        <v>23.902</v>
      </c>
      <c r="V22" s="34" t="n">
        <v>25.571</v>
      </c>
      <c r="W22" s="34" t="n">
        <v>20.042</v>
      </c>
      <c r="X22" s="34" t="n">
        <v>92.538</v>
      </c>
      <c r="Y22" s="34" t="n">
        <v>23.831</v>
      </c>
      <c r="Z22" s="34" t="n">
        <v>23.456</v>
      </c>
      <c r="AA22" s="34" t="n">
        <v>22.386</v>
      </c>
      <c r="AB22" s="34" t="n">
        <v>23.939</v>
      </c>
      <c r="AC22" s="34" t="n">
        <v>93.61199999999999</v>
      </c>
      <c r="AD22" s="34" t="n">
        <v>22.46</v>
      </c>
      <c r="AE22" s="34" t="n">
        <v>27.374</v>
      </c>
      <c r="AF22" s="34" t="n">
        <v>25.546</v>
      </c>
      <c r="AG22" s="34" t="n">
        <v>22.002</v>
      </c>
      <c r="AH22" s="34" t="n">
        <v>97.38200000000001</v>
      </c>
      <c r="AI22" s="34" t="n">
        <v>26.586</v>
      </c>
      <c r="AJ22" s="34" t="n">
        <v>31.24</v>
      </c>
      <c r="AK22" s="34" t="n">
        <v>31.845</v>
      </c>
      <c r="AL22" s="34" t="n">
        <v>29.265</v>
      </c>
      <c r="AM22" s="34" t="n">
        <v>118.936</v>
      </c>
      <c r="AN22" s="34" t="n">
        <v>29.388</v>
      </c>
      <c r="AO22" s="34" t="n">
        <v>34.811</v>
      </c>
      <c r="AP22" s="34" t="n">
        <v>31.101</v>
      </c>
      <c r="AQ22" s="34" t="n">
        <v>28.042</v>
      </c>
      <c r="AR22" s="34" t="n">
        <v>123.342</v>
      </c>
      <c r="AS22" s="34" t="n">
        <v>24.783</v>
      </c>
      <c r="AT22" s="34" t="n">
        <v>27.493</v>
      </c>
      <c r="AU22" s="34" t="n">
        <v>29.368</v>
      </c>
      <c r="AV22" s="34" t="n">
        <v>27.734</v>
      </c>
      <c r="AW22" s="34" t="n">
        <v>109.378</v>
      </c>
      <c r="AX22" s="34" t="n">
        <v>32.748</v>
      </c>
      <c r="AY22" s="34" t="n">
        <v>39.765</v>
      </c>
      <c r="AZ22" s="34" t="n">
        <v>37.48</v>
      </c>
      <c r="BA22" s="34" t="n">
        <v>30.657</v>
      </c>
      <c r="BB22" s="34" t="n">
        <v>140.65</v>
      </c>
      <c r="BC22" s="34" t="n">
        <v>28.156</v>
      </c>
      <c r="BD22" s="34" t="n">
        <v>29.031</v>
      </c>
      <c r="BE22" s="34" t="n">
        <v>35.353</v>
      </c>
      <c r="BF22" s="34" t="n">
        <v>29.479</v>
      </c>
      <c r="BG22" s="34" t="n">
        <v>122.019</v>
      </c>
      <c r="BH22" s="34" t="n">
        <v>32.318</v>
      </c>
      <c r="BI22" s="34" t="n">
        <v>30.85</v>
      </c>
      <c r="BJ22" s="34" t="n">
        <v>28.875</v>
      </c>
      <c r="BK22" s="34" t="n">
        <v>35.493</v>
      </c>
      <c r="BL22" s="34" t="n">
        <v>127.536</v>
      </c>
      <c r="BM22" s="34" t="n">
        <v>29.978</v>
      </c>
      <c r="BN22" s="34" t="n">
        <v>37.8</v>
      </c>
      <c r="BO22" s="34" t="n">
        <v>30.845</v>
      </c>
      <c r="BP22" s="34" t="n">
        <v>37.134</v>
      </c>
      <c r="BQ22" s="34" t="n">
        <v>135.758</v>
      </c>
      <c r="BR22" s="34" t="n">
        <v>30.372</v>
      </c>
      <c r="BS22" s="34" t="n">
        <v>43.391</v>
      </c>
      <c r="BT22" s="34" t="n">
        <v>30.058</v>
      </c>
      <c r="BU22" s="34" t="n">
        <v>25.101</v>
      </c>
      <c r="BV22" s="34" t="n">
        <v>128.922</v>
      </c>
      <c r="BW22" s="34" t="n">
        <v>36.709</v>
      </c>
      <c r="BX22" s="34" t="n">
        <v>28.904</v>
      </c>
      <c r="BY22" s="257">
        <f>BY11*BT22/BT11</f>
        <v>33.6576767154927</v>
      </c>
      <c r="BZ22" s="257">
        <f>BZ11*BU22/BU11</f>
        <v>28.1070378347056</v>
      </c>
      <c r="CA22" s="257">
        <f>SUM(BW22,BX22,BY22,BZ22)</f>
        <v>127.377714550198</v>
      </c>
      <c r="CB22" s="257">
        <f>CB11*CA22/CA11</f>
        <v>135.02037742321</v>
      </c>
      <c r="CC22" s="257">
        <f>CC11*CB22/CB11</f>
        <v>142.446498181487</v>
      </c>
      <c r="CD22" s="257">
        <f>CD11*CC22/CC11</f>
        <v>149.568823090561</v>
      </c>
      <c r="CE22" s="257">
        <f>CE11*CD22/CD11</f>
        <v>157.047264245089</v>
      </c>
      <c r="CF22" s="19" t="inlineStr">
        <is>
          <t>Forecast: prior-year inter-segment sales ratio to external net sales.</t>
        </is>
      </c>
      <c r="CN22" s="15" t="inlineStr">
        <is>
          <t>AW_vol (Americas Welding volume y/y)</t>
        </is>
      </c>
      <c r="CO22" s="259" t="n">
        <v>0.02</v>
      </c>
      <c r="CP22" s="21" t="inlineStr">
        <is>
          <t>Δ →</t>
        </is>
      </c>
      <c r="CQ22" s="259" t="n">
        <v>-0.02</v>
      </c>
      <c r="CR22" s="13" t="inlineStr">
        <is>
          <t>Americas industrial capex, fabrication &amp; automation demand; volume inflected +7.1% in Q2/26 after nine quarters of declines (2025 −4.2%).</t>
        </is>
      </c>
    </row>
    <row r="23">
      <c r="B23" s="25" t="inlineStr">
        <is>
          <t xml:space="preserve">  Total segment sales (incl. inter-segment)</t>
        </is>
      </c>
      <c r="C23" s="34" t="n"/>
      <c r="D23" s="34" t="n"/>
      <c r="E23" s="34" t="n"/>
      <c r="F23" s="34" t="n"/>
      <c r="G23" s="34" t="n"/>
      <c r="H23" s="34" t="n"/>
      <c r="I23" s="34" t="n"/>
      <c r="J23" s="34" t="n"/>
      <c r="K23" s="34" t="n"/>
      <c r="L23" s="34" t="n"/>
      <c r="M23" s="34" t="n"/>
      <c r="N23" s="44">
        <f>N11+N(N22)</f>
        <v>1954.474</v>
      </c>
      <c r="O23" s="44">
        <f>O11+N(O22)</f>
        <v>470.066</v>
      </c>
      <c r="P23" s="44">
        <f>P11+N(P22)</f>
        <v>494.513</v>
      </c>
      <c r="Q23" s="44">
        <f>Q11+N(Q22)</f>
        <v>496.634</v>
      </c>
      <c r="R23" s="44">
        <f>R11+N(R22)</f>
        <v>486.981</v>
      </c>
      <c r="S23" s="44">
        <f>S11+N(S22)</f>
        <v>1948.194</v>
      </c>
      <c r="T23" s="44">
        <f>T11+N(T22)</f>
        <v>471.86</v>
      </c>
      <c r="U23" s="44">
        <f>U11+N(U22)</f>
        <v>474.903</v>
      </c>
      <c r="V23" s="44">
        <f>V11+N(V22)</f>
        <v>479.743</v>
      </c>
      <c r="W23" s="44">
        <f>W11+N(W22)</f>
        <v>407.382</v>
      </c>
      <c r="X23" s="44">
        <f>X11+N(X22)</f>
        <v>1833.888</v>
      </c>
      <c r="Y23" s="44">
        <f>Y11+N(Y22)</f>
        <v>382.839</v>
      </c>
      <c r="Z23" s="44">
        <f>Z11+N(Z22)</f>
        <v>411.828</v>
      </c>
      <c r="AA23" s="44">
        <f>AA11+N(AA22)</f>
        <v>399.906</v>
      </c>
      <c r="AB23" s="44">
        <f>AB11+N(AB22)</f>
        <v>394.021</v>
      </c>
      <c r="AC23" s="44">
        <f>AC11+N(AC22)</f>
        <v>1588.594</v>
      </c>
      <c r="AD23" s="44">
        <f>AD11+N(AD22)</f>
        <v>405.784</v>
      </c>
      <c r="AE23" s="44">
        <f>AE11+N(AE22)</f>
        <v>432.521</v>
      </c>
      <c r="AF23" s="44">
        <f>AF11+N(AF22)</f>
        <v>423.835</v>
      </c>
      <c r="AG23" s="44">
        <f>AG11+N(AG22)</f>
        <v>445.021</v>
      </c>
      <c r="AH23" s="44">
        <f>AH11+N(AH22)</f>
        <v>1707.161</v>
      </c>
      <c r="AI23" s="44">
        <f>AI11+N(AI22)</f>
        <v>461.358</v>
      </c>
      <c r="AJ23" s="44">
        <f>AJ11+N(AJ22)</f>
        <v>493.755</v>
      </c>
      <c r="AK23" s="44">
        <f>AK11+N(AK22)</f>
        <v>485.855</v>
      </c>
      <c r="AL23" s="44">
        <f>AL11+N(AL22)</f>
        <v>484.482</v>
      </c>
      <c r="AM23" s="44">
        <f>AM11+N(AM22)</f>
        <v>1925.45</v>
      </c>
      <c r="AN23" s="44">
        <f>AN11+N(AN22)</f>
        <v>487.107</v>
      </c>
      <c r="AO23" s="44">
        <f>AO11+N(AO22)</f>
        <v>511.418</v>
      </c>
      <c r="AP23" s="44">
        <f>AP11+N(AP22)</f>
        <v>474.622</v>
      </c>
      <c r="AQ23" s="44">
        <f>AQ11+N(AQ22)</f>
        <v>465.941</v>
      </c>
      <c r="AR23" s="44">
        <f>AR11+N(AR22)</f>
        <v>1939.088</v>
      </c>
      <c r="AS23" s="44">
        <f>AS11+N(AS22)</f>
        <v>443.318</v>
      </c>
      <c r="AT23" s="44">
        <f>AT11+N(AT22)</f>
        <v>360.722</v>
      </c>
      <c r="AU23" s="44">
        <f>AU11+N(AU22)</f>
        <v>400.903</v>
      </c>
      <c r="AV23" s="44">
        <f>AV11+N(AV22)</f>
        <v>414.305</v>
      </c>
      <c r="AW23" s="44">
        <f>AW11+N(AW22)</f>
        <v>1619.248</v>
      </c>
      <c r="AX23" s="44">
        <f>AX11+N(AX22)</f>
        <v>457.99</v>
      </c>
      <c r="AY23" s="44">
        <f>AY11+N(AY22)</f>
        <v>497.233</v>
      </c>
      <c r="AZ23" s="44">
        <f>AZ11+N(AZ22)</f>
        <v>498.988</v>
      </c>
      <c r="BA23" s="44">
        <f>BA11+N(BA22)</f>
        <v>510.92</v>
      </c>
      <c r="BB23" s="44">
        <f>BB11+N(BB22)</f>
        <v>1965.131</v>
      </c>
      <c r="BC23" s="44">
        <f>BC11+N(BC22)</f>
        <v>562.211</v>
      </c>
      <c r="BD23" s="44">
        <f>BD11+N(BD22)</f>
        <v>624.69</v>
      </c>
      <c r="BE23" s="44">
        <f>BE11+N(BE22)</f>
        <v>620.981</v>
      </c>
      <c r="BF23" s="44">
        <f>BF11+N(BF22)</f>
        <v>603.071</v>
      </c>
      <c r="BG23" s="44">
        <f>BG11+N(BG22)</f>
        <v>2410.953</v>
      </c>
      <c r="BH23" s="44">
        <f>BH11+N(BH22)</f>
        <v>690.963</v>
      </c>
      <c r="BI23" s="44">
        <f>BI11+N(BI22)</f>
        <v>707.816</v>
      </c>
      <c r="BJ23" s="44">
        <f>BJ11+N(BJ22)</f>
        <v>694.103</v>
      </c>
      <c r="BK23" s="44">
        <f>BK11+N(BK22)</f>
        <v>690.2</v>
      </c>
      <c r="BL23" s="44">
        <f>BL11+N(BL22)</f>
        <v>2783.082</v>
      </c>
      <c r="BM23" s="44">
        <f>BM11+N(BM22)</f>
        <v>654.077</v>
      </c>
      <c r="BN23" s="44">
        <f>BN11+N(BN22)</f>
        <v>686.736</v>
      </c>
      <c r="BO23" s="44">
        <f>BO11+N(BO22)</f>
        <v>667.871</v>
      </c>
      <c r="BP23" s="44">
        <f>BP11+N(BP22)</f>
        <v>691.92</v>
      </c>
      <c r="BQ23" s="44">
        <f>BQ11+N(BQ22)</f>
        <v>2700.605</v>
      </c>
      <c r="BR23" s="44">
        <f>BR11+N(BR22)</f>
        <v>683.479</v>
      </c>
      <c r="BS23" s="44">
        <f>BS11+N(BS22)</f>
        <v>740.121</v>
      </c>
      <c r="BT23" s="44">
        <f>BT11+N(BT22)</f>
        <v>721.852</v>
      </c>
      <c r="BU23" s="44">
        <f>BU11+N(BU22)</f>
        <v>707.031</v>
      </c>
      <c r="BV23" s="44">
        <f>BV11+N(BV22)</f>
        <v>2852.483</v>
      </c>
      <c r="BW23" s="44">
        <f>BW11+N(BW22)</f>
        <v>742.934</v>
      </c>
      <c r="BX23" s="44">
        <f>BX11+N(BX22)</f>
        <v>803.342</v>
      </c>
      <c r="BY23" s="257">
        <f>BY11+BY22</f>
        <v>808.299329710287</v>
      </c>
      <c r="BZ23" s="257">
        <f>BZ11+BZ22</f>
        <v>791.703400952541</v>
      </c>
      <c r="CA23" s="257">
        <f>CA11+CA22</f>
        <v>3146.27873066283</v>
      </c>
      <c r="CB23" s="257">
        <f>CB11+CB22</f>
        <v>3335.0554545026</v>
      </c>
      <c r="CC23" s="257">
        <f>CC11+CC22</f>
        <v>3518.48350450024</v>
      </c>
      <c r="CD23" s="257">
        <f>CD11+CD22</f>
        <v>3694.40767972525</v>
      </c>
      <c r="CE23" s="257">
        <f>CE11+CE22</f>
        <v>3879.12806371152</v>
      </c>
      <c r="CF23" s="19" t="n"/>
      <c r="CN23" s="25" t="inlineStr">
        <is>
          <t xml:space="preserve">  2027E</t>
        </is>
      </c>
      <c r="CO23" s="33">
        <f>CP23+$CO$22</f>
        <v>0.05</v>
      </c>
      <c r="CP23" s="42" t="n">
        <v>0.03</v>
      </c>
      <c r="CQ23" s="33">
        <f>CP23+$CQ$22</f>
        <v>0.01</v>
      </c>
    </row>
    <row r="24">
      <c r="B24" s="16" t="inlineStr">
        <is>
          <t xml:space="preserve">  Adjusted EBIT (segment profit, company definition)</t>
        </is>
      </c>
      <c r="C24" s="43" t="n"/>
      <c r="D24" s="43" t="n"/>
      <c r="E24" s="43" t="n"/>
      <c r="F24" s="43" t="n"/>
      <c r="G24" s="43" t="n"/>
      <c r="H24" s="43" t="n"/>
      <c r="I24" s="43" t="n"/>
      <c r="J24" s="43" t="n"/>
      <c r="K24" s="43" t="n"/>
      <c r="L24" s="43" t="n"/>
      <c r="M24" s="43" t="n"/>
      <c r="N24" s="31" t="n">
        <v>377.436</v>
      </c>
      <c r="O24" s="31" t="n">
        <v>83.688</v>
      </c>
      <c r="P24" s="31" t="n">
        <v>95.941</v>
      </c>
      <c r="Q24" s="31" t="n">
        <v>84.026</v>
      </c>
      <c r="R24" s="31" t="n">
        <v>89.59999999999999</v>
      </c>
      <c r="S24" s="31" t="n">
        <v>353.255</v>
      </c>
      <c r="T24" s="31" t="n">
        <v>75.41500000000001</v>
      </c>
      <c r="U24" s="31" t="n">
        <v>79.42100000000001</v>
      </c>
      <c r="V24" s="31" t="n">
        <v>82.765</v>
      </c>
      <c r="W24" s="31" t="n">
        <v>79.08799999999999</v>
      </c>
      <c r="X24" s="31" t="n">
        <v>316.689</v>
      </c>
      <c r="Y24" s="31" t="n">
        <v>61.438</v>
      </c>
      <c r="Z24" s="31" t="n">
        <v>65.20099999999999</v>
      </c>
      <c r="AA24" s="31" t="n">
        <v>68.285</v>
      </c>
      <c r="AB24" s="31" t="n">
        <v>71.709</v>
      </c>
      <c r="AC24" s="31" t="n">
        <v>266.633</v>
      </c>
      <c r="AD24" s="31" t="n">
        <v>68.723</v>
      </c>
      <c r="AE24" s="31" t="n">
        <v>74.498</v>
      </c>
      <c r="AF24" s="31" t="n">
        <v>74.096</v>
      </c>
      <c r="AG24" s="31" t="n">
        <v>74.54900000000001</v>
      </c>
      <c r="AH24" s="31" t="n">
        <v>291.866</v>
      </c>
      <c r="AI24" s="31" t="n">
        <v>77.43899999999999</v>
      </c>
      <c r="AJ24" s="31" t="n">
        <v>88.158</v>
      </c>
      <c r="AK24" s="31" t="n">
        <v>89.253</v>
      </c>
      <c r="AL24" s="31" t="n">
        <v>85.89400000000001</v>
      </c>
      <c r="AM24" s="31" t="n">
        <v>340.744</v>
      </c>
      <c r="AN24" s="31" t="n">
        <v>81.752</v>
      </c>
      <c r="AO24" s="31" t="n">
        <v>84.851</v>
      </c>
      <c r="AP24" s="31" t="n">
        <v>74.11</v>
      </c>
      <c r="AQ24" s="31" t="n">
        <v>75.006</v>
      </c>
      <c r="AR24" s="31" t="n">
        <v>315.719</v>
      </c>
      <c r="AS24" s="31" t="n">
        <v>70.702</v>
      </c>
      <c r="AT24" s="31" t="n">
        <v>46.702</v>
      </c>
      <c r="AU24" s="31" t="n">
        <v>59.12</v>
      </c>
      <c r="AV24" s="31" t="n">
        <v>69.20399999999999</v>
      </c>
      <c r="AW24" s="31" t="n">
        <v>245.728</v>
      </c>
      <c r="AX24" s="31" t="n">
        <v>76.617</v>
      </c>
      <c r="AY24" s="31" t="n">
        <v>84.134</v>
      </c>
      <c r="AZ24" s="31" t="n">
        <v>84.557</v>
      </c>
      <c r="BA24" s="31" t="n">
        <v>83.708</v>
      </c>
      <c r="BB24" s="31" t="n">
        <v>329.016</v>
      </c>
      <c r="BC24" s="31" t="n">
        <v>111.568</v>
      </c>
      <c r="BD24" s="31" t="n">
        <v>118.067</v>
      </c>
      <c r="BE24" s="31" t="n">
        <v>118.804</v>
      </c>
      <c r="BF24" s="31" t="n">
        <v>114.38</v>
      </c>
      <c r="BG24" s="31" t="n">
        <v>462.819</v>
      </c>
      <c r="BH24" s="31" t="n">
        <v>132.453</v>
      </c>
      <c r="BI24" s="31" t="n">
        <v>139.87</v>
      </c>
      <c r="BJ24" s="31" t="n">
        <v>136.476</v>
      </c>
      <c r="BK24" s="31" t="n">
        <v>129.469</v>
      </c>
      <c r="BL24" s="31" t="n">
        <v>538.269</v>
      </c>
      <c r="BM24" s="31" t="n">
        <v>136.1</v>
      </c>
      <c r="BN24" s="31" t="n">
        <v>136.651</v>
      </c>
      <c r="BO24" s="31" t="n">
        <v>125.515</v>
      </c>
      <c r="BP24" s="31" t="n">
        <v>131.923</v>
      </c>
      <c r="BQ24" s="31" t="n">
        <v>530.188</v>
      </c>
      <c r="BR24" s="31" t="n">
        <v>124.198</v>
      </c>
      <c r="BS24" s="31" t="n">
        <v>137.915</v>
      </c>
      <c r="BT24" s="31" t="n">
        <v>131.615</v>
      </c>
      <c r="BU24" s="31" t="n">
        <v>141.111</v>
      </c>
      <c r="BV24" s="31" t="n">
        <v>534.8390000000001</v>
      </c>
      <c r="BW24" s="31" t="n">
        <v>127.468</v>
      </c>
      <c r="BX24" s="31" t="n">
        <v>158.095</v>
      </c>
      <c r="BY24" s="253">
        <f>BY23*BY26</f>
        <v>152.202068260532</v>
      </c>
      <c r="BZ24" s="253">
        <f>BZ23*BZ26</f>
        <v>162.736217566332</v>
      </c>
      <c r="CA24" s="253">
        <f>SUM(BW24,BX24,BY24,BZ24)</f>
        <v>600.501285826863</v>
      </c>
      <c r="CB24" s="253">
        <f>CA24+CB30</f>
        <v>659.36985564106</v>
      </c>
      <c r="CC24" s="253">
        <f>CB24+CC30</f>
        <v>716.970487028489</v>
      </c>
      <c r="CD24" s="253">
        <f>CC24+CD30</f>
        <v>771.831088381168</v>
      </c>
      <c r="CE24" s="253">
        <f>CD24+CE30</f>
        <v>829.434719801482</v>
      </c>
      <c r="CF24" s="19" t="inlineStr">
        <is>
          <t>2027E+: prior-year adjusted EBIT + Δ bridge (price $ × fall-through + volume $ × incremental margin + (acquisitions + FX) $ × prior-year margin). 2026E = sum of quarters.</t>
        </is>
      </c>
      <c r="CH24" s="20">
        <f>IFERROR((CE24/BV24)^(1/5)-1,"n/m")</f>
        <v>0.0917214127562289</v>
      </c>
      <c r="CI24" s="20">
        <f>IFERROR((BV24/AW24)^(1/5)-1,"n/m")</f>
        <v>0.168298137771873</v>
      </c>
      <c r="CJ24" s="20">
        <f>IFERROR((BV24/X24)^(1/10)-1,"n/m")</f>
        <v>0.0538019768611862</v>
      </c>
      <c r="CK24" s="20" t="str">
        <f>IFERROR((BV24/C24)^(1/19)-1,"n/m")</f>
        <v>n/m</v>
      </c>
      <c r="CN24" s="25" t="inlineStr">
        <is>
          <t xml:space="preserve">  2028E</t>
        </is>
      </c>
      <c r="CO24" s="33">
        <f>CP24+$CO$22</f>
        <v>0.05</v>
      </c>
      <c r="CP24" s="42" t="n">
        <v>0.03</v>
      </c>
      <c r="CQ24" s="33">
        <f>CP24+$CQ$22</f>
        <v>0.01</v>
      </c>
    </row>
    <row r="25">
      <c r="B25" s="25" t="inlineStr">
        <is>
          <t xml:space="preserve">  Adjusted EBIT margin before outlook calibration % (Q3/Q4-26E helper)</t>
        </is>
      </c>
      <c r="C25" s="36" t="n"/>
      <c r="D25" s="36" t="n"/>
      <c r="E25" s="36" t="n"/>
      <c r="F25" s="36" t="n"/>
      <c r="G25" s="36" t="n"/>
      <c r="H25" s="36" t="n"/>
      <c r="I25" s="36" t="n"/>
      <c r="J25" s="36" t="n"/>
      <c r="K25" s="36" t="n"/>
      <c r="L25" s="36" t="n"/>
      <c r="M25" s="36" t="n"/>
      <c r="N25" s="36" t="n"/>
      <c r="O25" s="36" t="n"/>
      <c r="P25" s="36" t="n"/>
      <c r="Q25" s="36" t="n"/>
      <c r="R25" s="36" t="n"/>
      <c r="S25" s="36" t="n"/>
      <c r="T25" s="36" t="n"/>
      <c r="U25" s="36" t="n"/>
      <c r="V25" s="36" t="n"/>
      <c r="W25" s="36" t="n"/>
      <c r="X25" s="36" t="n"/>
      <c r="Y25" s="36" t="n"/>
      <c r="Z25" s="36" t="n"/>
      <c r="AA25" s="36" t="n"/>
      <c r="AB25" s="36" t="n"/>
      <c r="AC25" s="36" t="n"/>
      <c r="AD25" s="36" t="n"/>
      <c r="AE25" s="36" t="n"/>
      <c r="AF25" s="36" t="n"/>
      <c r="AG25" s="36" t="n"/>
      <c r="AH25" s="36" t="n"/>
      <c r="AI25" s="36" t="n"/>
      <c r="AJ25" s="36" t="n"/>
      <c r="AK25" s="36" t="n"/>
      <c r="AL25" s="36" t="n"/>
      <c r="AM25" s="36" t="n"/>
      <c r="AN25" s="36" t="n"/>
      <c r="AO25" s="36" t="n"/>
      <c r="AP25" s="36" t="n"/>
      <c r="AQ25" s="36" t="n"/>
      <c r="AR25" s="36" t="n"/>
      <c r="AS25" s="36" t="n"/>
      <c r="AT25" s="36" t="n"/>
      <c r="AU25" s="36" t="n"/>
      <c r="AV25" s="36" t="n"/>
      <c r="AW25" s="36" t="n"/>
      <c r="AX25" s="36" t="n"/>
      <c r="AY25" s="36" t="n"/>
      <c r="AZ25" s="36" t="n"/>
      <c r="BA25" s="36" t="n"/>
      <c r="BB25" s="36" t="n"/>
      <c r="BC25" s="36" t="n"/>
      <c r="BD25" s="36" t="n"/>
      <c r="BE25" s="36" t="n"/>
      <c r="BF25" s="36" t="n"/>
      <c r="BG25" s="36" t="n"/>
      <c r="BH25" s="36" t="n"/>
      <c r="BI25" s="36" t="n"/>
      <c r="BJ25" s="36" t="n"/>
      <c r="BK25" s="36" t="n"/>
      <c r="BL25" s="36" t="n"/>
      <c r="BM25" s="36" t="n"/>
      <c r="BN25" s="36" t="n"/>
      <c r="BO25" s="36" t="n"/>
      <c r="BP25" s="36" t="n"/>
      <c r="BQ25" s="36" t="n"/>
      <c r="BR25" s="36" t="n"/>
      <c r="BS25" s="36" t="n"/>
      <c r="BT25" s="36" t="n"/>
      <c r="BU25" s="36" t="n"/>
      <c r="BV25" s="36" t="n"/>
      <c r="BW25" s="36" t="n"/>
      <c r="BX25" s="36" t="n"/>
      <c r="BY25" s="254">
        <f>BT26+($BW$24+$BX$24)/($BW$23+$BX$23)-($BR$24+$BS$24)/($BR$23+$BS$23)</f>
        <v>0.182887678870478</v>
      </c>
      <c r="BZ25" s="254">
        <f>BU26+($BW$24+$BX$24)/($BW$23+$BX$23)-($BR$24+$BS$24)/($BR$23+$BS$23)</f>
        <v>0.200140539467029</v>
      </c>
      <c r="CA25" s="254" t="n"/>
      <c r="CB25" s="254" t="n"/>
      <c r="CC25" s="254" t="n"/>
      <c r="CD25" s="254" t="n"/>
      <c r="CE25" s="254" t="n"/>
      <c r="CF25" s="19" t="inlineStr">
        <is>
          <t>Q3/Q4-26E: prior-year quarter margin + (1H/26 − 1H/25 margin drift).</t>
        </is>
      </c>
      <c r="CN25" s="25" t="inlineStr">
        <is>
          <t xml:space="preserve">  2029E</t>
        </is>
      </c>
      <c r="CO25" s="33">
        <f>CP25+$CO$22</f>
        <v>0.045</v>
      </c>
      <c r="CP25" s="42" t="n">
        <v>0.025</v>
      </c>
      <c r="CQ25" s="33">
        <f>CP25+$CQ$22</f>
        <v>0.005</v>
      </c>
    </row>
    <row r="26">
      <c r="B26" s="25" t="inlineStr">
        <is>
          <t xml:space="preserve">  Adjusted EBIT margin % (on total segment sales)</t>
        </is>
      </c>
      <c r="C26" s="36" t="n"/>
      <c r="D26" s="36" t="n"/>
      <c r="E26" s="36" t="n"/>
      <c r="F26" s="36" t="n"/>
      <c r="G26" s="36" t="n"/>
      <c r="H26" s="36" t="n"/>
      <c r="I26" s="36" t="n"/>
      <c r="J26" s="36" t="n"/>
      <c r="K26" s="36" t="n"/>
      <c r="L26" s="36" t="n"/>
      <c r="M26" s="36" t="n"/>
      <c r="N26" s="36">
        <f>IF(AND(ISNUMBER(N24),ISNUMBER(N23)),IFERROR(N24/N23,""),"")</f>
        <v>0.19311385058077</v>
      </c>
      <c r="O26" s="36">
        <f>IF(AND(ISNUMBER(O24),ISNUMBER(O23)),IFERROR(O24/O23,""),"")</f>
        <v>0.17803457386835</v>
      </c>
      <c r="P26" s="36">
        <f>IF(AND(ISNUMBER(P24),ISNUMBER(P23)),IFERROR(P24/P23,""),"")</f>
        <v>0.194011077565201</v>
      </c>
      <c r="Q26" s="36">
        <f>IF(AND(ISNUMBER(Q24),ISNUMBER(Q23)),IFERROR(Q24/Q23,""),"")</f>
        <v>0.16919099377006</v>
      </c>
      <c r="R26" s="36">
        <f>IF(AND(ISNUMBER(R24),ISNUMBER(R23)),IFERROR(R24/R23,""),"")</f>
        <v>0.183990751179204</v>
      </c>
      <c r="S26" s="36">
        <f>IF(AND(ISNUMBER(S24),ISNUMBER(S23)),IFERROR(S24/S23,""),"")</f>
        <v>0.181324344495466</v>
      </c>
      <c r="T26" s="36">
        <f>IF(AND(ISNUMBER(T24),ISNUMBER(T23)),IFERROR(T24/T23,""),"")</f>
        <v>0.15982494807782</v>
      </c>
      <c r="U26" s="36">
        <f>IF(AND(ISNUMBER(U24),ISNUMBER(U23)),IFERROR(U24/U23,""),"")</f>
        <v>0.167236256667151</v>
      </c>
      <c r="V26" s="36">
        <f>IF(AND(ISNUMBER(V24),ISNUMBER(V23)),IFERROR(V24/V23,""),"")</f>
        <v>0.17251945312386</v>
      </c>
      <c r="W26" s="36">
        <f>IF(AND(ISNUMBER(W24),ISNUMBER(W23)),IFERROR(W24/W23,""),"")</f>
        <v>0.194137198010712</v>
      </c>
      <c r="X26" s="36">
        <f>IF(AND(ISNUMBER(X24),ISNUMBER(X23)),IFERROR(X24/X23,""),"")</f>
        <v>0.172687208815369</v>
      </c>
      <c r="Y26" s="36">
        <f>IF(AND(ISNUMBER(Y24),ISNUMBER(Y23)),IFERROR(Y24/Y23,""),"")</f>
        <v>0.160479992895186</v>
      </c>
      <c r="Z26" s="36">
        <f>IF(AND(ISNUMBER(Z24),ISNUMBER(Z23)),IFERROR(Z24/Z23,""),"")</f>
        <v>0.158320949522616</v>
      </c>
      <c r="AA26" s="36">
        <f>IF(AND(ISNUMBER(AA24),ISNUMBER(AA23)),IFERROR(AA24/AA23,""),"")</f>
        <v>0.170752626867314</v>
      </c>
      <c r="AB26" s="36">
        <f>IF(AND(ISNUMBER(AB24),ISNUMBER(AB23)),IFERROR(AB24/AB23,""),"")</f>
        <v>0.181992837945186</v>
      </c>
      <c r="AC26" s="36">
        <f>IF(AND(ISNUMBER(AC24),ISNUMBER(AC23)),IFERROR(AC24/AC23,""),"")</f>
        <v>0.167842129581252</v>
      </c>
      <c r="AD26" s="36">
        <f>IF(AND(ISNUMBER(AD24),ISNUMBER(AD23)),IFERROR(AD24/AD23,""),"")</f>
        <v>0.169358575005422</v>
      </c>
      <c r="AE26" s="36">
        <f>IF(AND(ISNUMBER(AE24),ISNUMBER(AE23)),IFERROR(AE24/AE23,""),"")</f>
        <v>0.17224134781895</v>
      </c>
      <c r="AF26" s="36">
        <f>IF(AND(ISNUMBER(AF24),ISNUMBER(AF23)),IFERROR(AF24/AF23,""),"")</f>
        <v>0.174822749418996</v>
      </c>
      <c r="AG26" s="36">
        <f>IF(AND(ISNUMBER(AG24),ISNUMBER(AG23)),IFERROR(AG24/AG23,""),"")</f>
        <v>0.167517937355765</v>
      </c>
      <c r="AH26" s="36">
        <f>IF(AND(ISNUMBER(AH24),ISNUMBER(AH23)),IFERROR(AH24/AH23,""),"")</f>
        <v>0.170965714422951</v>
      </c>
      <c r="AI26" s="36">
        <f>IF(AND(ISNUMBER(AI24),ISNUMBER(AI23)),IFERROR(AI24/AI23,""),"")</f>
        <v>0.167850129400596</v>
      </c>
      <c r="AJ26" s="36">
        <f>IF(AND(ISNUMBER(AJ24),ISNUMBER(AJ23)),IFERROR(AJ24/AJ23,""),"")</f>
        <v>0.178546040040101</v>
      </c>
      <c r="AK26" s="36">
        <f>IF(AND(ISNUMBER(AK24),ISNUMBER(AK23)),IFERROR(AK24/AK23,""),"")</f>
        <v>0.183702956643443</v>
      </c>
      <c r="AL26" s="36">
        <f>IF(AND(ISNUMBER(AL24),ISNUMBER(AL23)),IFERROR(AL24/AL23,""),"")</f>
        <v>0.177290384369285</v>
      </c>
      <c r="AM26" s="36">
        <f>IF(AND(ISNUMBER(AM24),ISNUMBER(AM23)),IFERROR(AM24/AM23,""),"")</f>
        <v>0.176968500869927</v>
      </c>
      <c r="AN26" s="36">
        <f>IF(AND(ISNUMBER(AN24),ISNUMBER(AN23)),IFERROR(AN24/AN23,""),"")</f>
        <v>0.167831708433671</v>
      </c>
      <c r="AO26" s="36">
        <f>IF(AND(ISNUMBER(AO24),ISNUMBER(AO23)),IFERROR(AO24/AO23,""),"")</f>
        <v>0.165913206027164</v>
      </c>
      <c r="AP26" s="36">
        <f>IF(AND(ISNUMBER(AP24),ISNUMBER(AP23)),IFERROR(AP24/AP23,""),"")</f>
        <v>0.156145311426778</v>
      </c>
      <c r="AQ26" s="36">
        <f>IF(AND(ISNUMBER(AQ24),ISNUMBER(AQ23)),IFERROR(AQ24/AQ23,""),"")</f>
        <v>0.160977462811815</v>
      </c>
      <c r="AR26" s="36">
        <f>IF(AND(ISNUMBER(AR24),ISNUMBER(AR23)),IFERROR(AR24/AR23,""),"")</f>
        <v>0.162818293960872</v>
      </c>
      <c r="AS26" s="36">
        <f>IF(AND(ISNUMBER(AS24),ISNUMBER(AS23)),IFERROR(AS24/AS23,""),"")</f>
        <v>0.159483711466712</v>
      </c>
      <c r="AT26" s="36">
        <f>IF(AND(ISNUMBER(AT24),ISNUMBER(AT23)),IFERROR(AT24/AT23,""),"")</f>
        <v>0.1294681222659</v>
      </c>
      <c r="AU26" s="36">
        <f>IF(AND(ISNUMBER(AU24),ISNUMBER(AU23)),IFERROR(AU24/AU23,""),"")</f>
        <v>0.147467093037468</v>
      </c>
      <c r="AV26" s="36">
        <f>IF(AND(ISNUMBER(AV24),ISNUMBER(AV23)),IFERROR(AV24/AV23,""),"")</f>
        <v>0.167036362100385</v>
      </c>
      <c r="AW26" s="36">
        <f>IF(AND(ISNUMBER(AW24),ISNUMBER(AW23)),IFERROR(AW24/AW23,""),"")</f>
        <v>0.15175439463257</v>
      </c>
      <c r="AX26" s="36">
        <f>IF(AND(ISNUMBER(AX24),ISNUMBER(AX23)),IFERROR(AX24/AX23,""),"")</f>
        <v>0.167289678813948</v>
      </c>
      <c r="AY26" s="36">
        <f>IF(AND(ISNUMBER(AY24),ISNUMBER(AY23)),IFERROR(AY24/AY23,""),"")</f>
        <v>0.169204377022442</v>
      </c>
      <c r="AZ26" s="36">
        <f>IF(AND(ISNUMBER(AZ24),ISNUMBER(AZ23)),IFERROR(AZ24/AZ23,""),"")</f>
        <v>0.169456980929401</v>
      </c>
      <c r="BA26" s="36">
        <f>IF(AND(ISNUMBER(BA24),ISNUMBER(BA23)),IFERROR(BA24/BA23,""),"")</f>
        <v>0.163837782823143</v>
      </c>
      <c r="BB26" s="36">
        <f>IF(AND(ISNUMBER(BB24),ISNUMBER(BB23)),IFERROR(BB24/BB23,""),"")</f>
        <v>0.167427006138522</v>
      </c>
      <c r="BC26" s="36">
        <f>IF(AND(ISNUMBER(BC24),ISNUMBER(BC23)),IFERROR(BC24/BC23,""),"")</f>
        <v>0.198445067777045</v>
      </c>
      <c r="BD26" s="36">
        <f>IF(AND(ISNUMBER(BD24),ISNUMBER(BD23)),IFERROR(BD24/BD23,""),"")</f>
        <v>0.189000944468456</v>
      </c>
      <c r="BE26" s="36">
        <f>IF(AND(ISNUMBER(BE24),ISNUMBER(BE23)),IFERROR(BE24/BE23,""),"")</f>
        <v>0.191316642538178</v>
      </c>
      <c r="BF26" s="36">
        <f>IF(AND(ISNUMBER(BF24),ISNUMBER(BF23)),IFERROR(BF24/BF23,""),"")</f>
        <v>0.189662577043167</v>
      </c>
      <c r="BG26" s="36">
        <f>IF(AND(ISNUMBER(BG24),ISNUMBER(BG23)),IFERROR(BG24/BG23,""),"")</f>
        <v>0.191965168960158</v>
      </c>
      <c r="BH26" s="36">
        <f>IF(AND(ISNUMBER(BH24),ISNUMBER(BH23)),IFERROR(BH24/BH23,""),"")</f>
        <v>0.1916933323492</v>
      </c>
      <c r="BI26" s="36">
        <f>IF(AND(ISNUMBER(BI24),ISNUMBER(BI23)),IFERROR(BI24/BI23,""),"")</f>
        <v>0.197607852888321</v>
      </c>
      <c r="BJ26" s="36">
        <f>IF(AND(ISNUMBER(BJ24),ISNUMBER(BJ23)),IFERROR(BJ24/BJ23,""),"")</f>
        <v>0.196622115161583</v>
      </c>
      <c r="BK26" s="36">
        <f>IF(AND(ISNUMBER(BK24),ISNUMBER(BK23)),IFERROR(BK24/BK23,""),"")</f>
        <v>0.187581860330339</v>
      </c>
      <c r="BL26" s="36">
        <f>IF(AND(ISNUMBER(BL24),ISNUMBER(BL23)),IFERROR(BL24/BL23,""),"")</f>
        <v>0.193407524463886</v>
      </c>
      <c r="BM26" s="36">
        <f>IF(AND(ISNUMBER(BM24),ISNUMBER(BM23)),IFERROR(BM24/BM23,""),"")</f>
        <v>0.208079476881162</v>
      </c>
      <c r="BN26" s="36">
        <f>IF(AND(ISNUMBER(BN24),ISNUMBER(BN23)),IFERROR(BN24/BN23,""),"")</f>
        <v>0.198986218867221</v>
      </c>
      <c r="BO26" s="36">
        <f>IF(AND(ISNUMBER(BO24),ISNUMBER(BO23)),IFERROR(BO24/BO23,""),"")</f>
        <v>0.187932999037239</v>
      </c>
      <c r="BP26" s="36">
        <f>IF(AND(ISNUMBER(BP24),ISNUMBER(BP23)),IFERROR(BP24/BP23,""),"")</f>
        <v>0.190662215285004</v>
      </c>
      <c r="BQ26" s="36">
        <f>IF(AND(ISNUMBER(BQ24),ISNUMBER(BQ23)),IFERROR(BQ24/BQ23,""),"")</f>
        <v>0.19632193527006</v>
      </c>
      <c r="BR26" s="36">
        <f>IF(AND(ISNUMBER(BR24),ISNUMBER(BR23)),IFERROR(BR24/BR23,""),"")</f>
        <v>0.181714434532736</v>
      </c>
      <c r="BS26" s="36">
        <f>IF(AND(ISNUMBER(BS24),ISNUMBER(BS23)),IFERROR(BS24/BS23,""),"")</f>
        <v>0.186341152325093</v>
      </c>
      <c r="BT26" s="36">
        <f>IF(AND(ISNUMBER(BT24),ISNUMBER(BT23)),IFERROR(BT24/BT23,""),"")</f>
        <v>0.182329618813829</v>
      </c>
      <c r="BU26" s="36">
        <f>IF(AND(ISNUMBER(BU24),ISNUMBER(BU23)),IFERROR(BU24/BU23,""),"")</f>
        <v>0.199582479410379</v>
      </c>
      <c r="BV26" s="36">
        <f>IF(AND(ISNUMBER(BV24),ISNUMBER(BV23)),IFERROR(BV24/BV23,""),"")</f>
        <v>0.187499452231617</v>
      </c>
      <c r="BW26" s="36">
        <f>IF(AND(ISNUMBER(BW24),ISNUMBER(BW23)),IFERROR(BW24/BW23,""),"")</f>
        <v>0.171573787173558</v>
      </c>
      <c r="BX26" s="36">
        <f>IF(AND(ISNUMBER(BX24),ISNUMBER(BX23)),IFERROR(BX24/BX23,""),"")</f>
        <v>0.19679663206953</v>
      </c>
      <c r="BY26" s="254">
        <f>BY25+BY144</f>
        <v>0.188299139521846</v>
      </c>
      <c r="BZ26" s="254">
        <f>BZ25+BZ144</f>
        <v>0.205552000118396</v>
      </c>
      <c r="CA26" s="254">
        <f>IFERROR(CA24/CA23,"")</f>
        <v>0.190860803264037</v>
      </c>
      <c r="CB26" s="254">
        <f>IFERROR(CB24/CB23,"")</f>
        <v>0.197708813132584</v>
      </c>
      <c r="CC26" s="254">
        <f>IFERROR(CC24/CC23,"")</f>
        <v>0.203772587284113</v>
      </c>
      <c r="CD26" s="254">
        <f>IFERROR(CD24/CD23,"")</f>
        <v>0.208918764601141</v>
      </c>
      <c r="CE26" s="254">
        <f>IFERROR(CE24/CE23,"")</f>
        <v>0.213819885855453</v>
      </c>
      <c r="CF26" s="19" t="inlineStr">
        <is>
          <t>Q3/Q4-26E: margin before calibration + outlook calibration Δ. 2027E+: output of the Δ adjusted EBIT bridge.</t>
        </is>
      </c>
      <c r="CH26" s="20">
        <f>IFERROR(AVERAGE(CA26,CB26,CC26,CD26,CE26),"n/m")</f>
        <v>0.203016170827466</v>
      </c>
      <c r="CI26" s="20">
        <f>IFERROR(AVERAGE(AW26,BB26,BG26,BL26,BQ26,BV26),"n/m")</f>
        <v>0.181395913616136</v>
      </c>
      <c r="CJ26" s="20">
        <f>IFERROR(AVERAGE(X26,AC26,AH26,AM26,AR26,AW26,BB26,BG26,BL26,BQ26,BV26),"n/m")</f>
        <v>0.176332484486108</v>
      </c>
      <c r="CK26" s="20">
        <f>IFERROR(AVERAGE(C26,D26,E26,F26,G26,H26,I26,N26,S26,X26,AC26,AH26,AM26,AR26,AW26,BB26,BG26,BL26,BQ26,BV26),"n/m")</f>
        <v>0.178007348032571</v>
      </c>
      <c r="CN26" s="25" t="inlineStr">
        <is>
          <t xml:space="preserve">  2030E</t>
        </is>
      </c>
      <c r="CO26" s="33">
        <f>CP26+$CO$22</f>
        <v>0.045</v>
      </c>
      <c r="CP26" s="42" t="n">
        <v>0.025</v>
      </c>
      <c r="CQ26" s="33">
        <f>CP26+$CQ$22</f>
        <v>0.005</v>
      </c>
    </row>
    <row r="27" outlineLevel="2" s="251">
      <c r="B27" s="22" t="inlineStr">
        <is>
          <t xml:space="preserve">  Incremental adjusted EBIT margin (Δ adj. EBIT / Δ total sales)</t>
        </is>
      </c>
      <c r="C27" s="23" t="n"/>
      <c r="D27" s="23" t="n"/>
      <c r="E27" s="23" t="n"/>
      <c r="F27" s="23" t="n"/>
      <c r="G27" s="23" t="n"/>
      <c r="H27" s="23" t="n"/>
      <c r="I27" s="23" t="n"/>
      <c r="J27" s="23" t="n"/>
      <c r="K27" s="23" t="n"/>
      <c r="L27" s="23" t="n"/>
      <c r="M27" s="23" t="n"/>
      <c r="N27" s="23" t="n"/>
      <c r="O27" s="23" t="n"/>
      <c r="P27" s="23" t="n"/>
      <c r="Q27" s="23" t="n"/>
      <c r="R27" s="23" t="n"/>
      <c r="S27" s="23">
        <f>IFERROR((S24-N24)/(S23-N23),"")</f>
        <v>3.85047770700638</v>
      </c>
      <c r="T27" s="23">
        <f>IFERROR((T24-O24)/(T23-O23),"")</f>
        <v>-4.61148272017827</v>
      </c>
      <c r="U27" s="23">
        <f>IFERROR((U24-P24)/(U23-P23),"")</f>
        <v>0.84242733299337</v>
      </c>
      <c r="V27" s="23">
        <f>IFERROR((V24-Q24)/(V23-Q23),"")</f>
        <v>0.0746551417914865</v>
      </c>
      <c r="W27" s="23">
        <f>IFERROR((W24-R24)/(W23-R23),"")</f>
        <v>0.132061960577394</v>
      </c>
      <c r="X27" s="23">
        <f>IFERROR((X24-S24)/(X23-S23),"")</f>
        <v>0.319895718509964</v>
      </c>
      <c r="Y27" s="23">
        <f>IFERROR((Y24-T24)/(Y23-T23),"")</f>
        <v>0.157007897013064</v>
      </c>
      <c r="Z27" s="23">
        <f>IFERROR((Z24-U24)/(Z23-U23),"")</f>
        <v>0.225445897740785</v>
      </c>
      <c r="AA27" s="23">
        <f>IFERROR((AA24-V24)/(AA23-V23),"")</f>
        <v>0.181369540438644</v>
      </c>
      <c r="AB27" s="23">
        <f>IFERROR((AB24-W24)/(AB23-W23),"")</f>
        <v>0.552279021031362</v>
      </c>
      <c r="AC27" s="23">
        <f>IFERROR((AC24-X24)/(AC23-X23),"")</f>
        <v>0.204065325690804</v>
      </c>
      <c r="AD27" s="23">
        <f>IFERROR((AD24-Y24)/(AD23-Y23),"")</f>
        <v>0.317498365657006</v>
      </c>
      <c r="AE27" s="23">
        <f>IFERROR((AE24-Z24)/(AE23-Z23),"")</f>
        <v>0.449282366017495</v>
      </c>
      <c r="AF27" s="23">
        <f>IFERROR((AF24-AA24)/(AF23-AA23),"")</f>
        <v>0.24284341175979</v>
      </c>
      <c r="AG27" s="23">
        <f>IFERROR((AG24-AB24)/(AG23-AB23),"")</f>
        <v>0.055686274509804</v>
      </c>
      <c r="AH27" s="23">
        <f>IFERROR((AH24-AC24)/(AH23-AC23),"")</f>
        <v>0.212816382298616</v>
      </c>
      <c r="AI27" s="23">
        <f>IFERROR((AI24-AD24)/(AI23-AD23),"")</f>
        <v>0.156835930471083</v>
      </c>
      <c r="AJ27" s="23">
        <f>IFERROR((AJ24-AE24)/(AJ23-AE23),"")</f>
        <v>0.223078681778097</v>
      </c>
      <c r="AK27" s="23">
        <f>IFERROR((AK24-AF24)/(AK23-AF23),"")</f>
        <v>0.244388906804256</v>
      </c>
      <c r="AL27" s="23">
        <f>IFERROR((AL24-AG24)/(AL23-AG23),"")</f>
        <v>0.287499049694636</v>
      </c>
      <c r="AM27" s="23">
        <f>IFERROR((AM24-AH24)/(AM23-AH23),"")</f>
        <v>0.223914168831229</v>
      </c>
      <c r="AN27" s="23">
        <f>IFERROR((AN24-AI24)/(AN23-AI23),"")</f>
        <v>0.167501650549536</v>
      </c>
      <c r="AO27" s="23">
        <f>IFERROR((AO24-AJ24)/(AO23-AJ23),"")</f>
        <v>-0.187227537790862</v>
      </c>
      <c r="AP27" s="23">
        <f>IFERROR((AP24-AK24)/(AP23-AK23),"")</f>
        <v>1.34808154544645</v>
      </c>
      <c r="AQ27" s="23">
        <f>IFERROR((AQ24-AL24)/(AQ23-AL23),"")</f>
        <v>0.587239091742627</v>
      </c>
      <c r="AR27" s="23">
        <f>IFERROR((AR24-AM24)/(AR23-AM23),"")</f>
        <v>-1.83494647308985</v>
      </c>
      <c r="AS27" s="23">
        <f>IFERROR((AS24-AN24)/(AS23-AN23),"")</f>
        <v>0.252346479709516</v>
      </c>
      <c r="AT27" s="23">
        <f>IFERROR((AT24-AO24)/(AT23-AO23),"")</f>
        <v>0.253152041195519</v>
      </c>
      <c r="AU27" s="23">
        <f>IFERROR((AU24-AP24)/(AU23-AP23),"")</f>
        <v>0.203339708894586</v>
      </c>
      <c r="AV27" s="23">
        <f>IFERROR((AV24-AQ24)/(AV23-AQ23),"")</f>
        <v>0.112363467348362</v>
      </c>
      <c r="AW27" s="23">
        <f>IFERROR((AW24-AR24)/(AW23-AR23),"")</f>
        <v>0.218831290645322</v>
      </c>
      <c r="AX27" s="23">
        <f>IFERROR((AX24-AS24)/(AX23-AS23),"")</f>
        <v>0.403148854961833</v>
      </c>
      <c r="AY27" s="23">
        <f>IFERROR((AY24-AT24)/(AY23-AT23),"")</f>
        <v>0.274205009120144</v>
      </c>
      <c r="AZ27" s="23">
        <f>IFERROR((AZ24-AU24)/(AZ23-AU23),"")</f>
        <v>0.259336289952592</v>
      </c>
      <c r="BA27" s="23">
        <f>IFERROR((BA24-AV24)/(BA23-AV23),"")</f>
        <v>0.150121616726181</v>
      </c>
      <c r="BB27" s="23">
        <f>IFERROR((BB24-AW24)/(BB23-AW23),"")</f>
        <v>0.24079818898298</v>
      </c>
      <c r="BC27" s="23">
        <f>IFERROR((BC24-AX24)/(BC23-AX23),"")</f>
        <v>0.335354678999434</v>
      </c>
      <c r="BD27" s="23">
        <f>IFERROR((BD24-AY24)/(BD23-AY23),"")</f>
        <v>0.266230964168308</v>
      </c>
      <c r="BE27" s="23">
        <f>IFERROR((BE24-AZ24)/(BE23-AZ23),"")</f>
        <v>0.280729222168485</v>
      </c>
      <c r="BF27" s="23">
        <f>IFERROR((BF24-BA24)/(BF23-BA23),"")</f>
        <v>0.33284500439496</v>
      </c>
      <c r="BG27" s="23">
        <f>IFERROR((BG24-BB24)/(BG23-BB23),"")</f>
        <v>0.300126507888798</v>
      </c>
      <c r="BH27" s="23">
        <f>IFERROR((BH24-BC24)/(BH23-BC23),"")</f>
        <v>0.16221107244936</v>
      </c>
      <c r="BI27" s="23">
        <f>IFERROR((BI24-BD24)/(BI23-BD23),"")</f>
        <v>0.262288573972042</v>
      </c>
      <c r="BJ27" s="23">
        <f>IFERROR((BJ24-BE24)/(BJ23-BE23),"")</f>
        <v>0.24167829107519</v>
      </c>
      <c r="BK27" s="23">
        <f>IFERROR((BK24-BF24)/(BK23-BF23),"")</f>
        <v>0.173179997475008</v>
      </c>
      <c r="BL27" s="23">
        <f>IFERROR((BL24-BG24)/(BL23-BG23),"")</f>
        <v>0.20275227138976</v>
      </c>
      <c r="BM27" s="23">
        <f>IFERROR((BM24-BH24)/(BM23-BH23),"")</f>
        <v>-0.098872200835005</v>
      </c>
      <c r="BN27" s="23">
        <f>IFERROR((BN24-BI24)/(BN23-BI23),"")</f>
        <v>0.152703984819734</v>
      </c>
      <c r="BO27" s="23">
        <f>IFERROR((BO24-BJ24)/(BO23-BJ23),"")</f>
        <v>0.417848429399207</v>
      </c>
      <c r="BP27" s="23">
        <f>IFERROR((BP24-BK24)/(BP23-BK23),"")</f>
        <v>1.42674418604659</v>
      </c>
      <c r="BQ27" s="23">
        <f>IFERROR((BQ24-BL24)/(BQ23-BL23),"")</f>
        <v>0.0979788304618261</v>
      </c>
      <c r="BR27" s="23">
        <f>IFERROR((BR24-BM24)/(BR23-BM23),"")</f>
        <v>-0.40480239439494</v>
      </c>
      <c r="BS27" s="23">
        <f>IFERROR((BS24-BN24)/(BS23-BN23),"")</f>
        <v>0.0236770628453682</v>
      </c>
      <c r="BT27" s="23">
        <f>IFERROR((BT24-BO24)/(BT23-BO23),"")</f>
        <v>0.113002723180378</v>
      </c>
      <c r="BU27" s="23">
        <f>IFERROR((BU24-BP24)/(BU23-BP23),"")</f>
        <v>0.608033882602078</v>
      </c>
      <c r="BV27" s="23">
        <f>IFERROR((BV24-BQ24)/(BV23-BQ23),"")</f>
        <v>0.030623263408789</v>
      </c>
      <c r="BW27" s="23">
        <f>IFERROR((BW24-BR24)/(BW23-BR23),"")</f>
        <v>0.0549995795139182</v>
      </c>
      <c r="BX27" s="23">
        <f>IFERROR((BX24-BS24)/(BX23-BS23),"")</f>
        <v>0.319197734929849</v>
      </c>
      <c r="BY27" s="254">
        <f>IFERROR((BY24-BT24)/(BY23-BT23),"")</f>
        <v>0.238145797325674</v>
      </c>
      <c r="BZ27" s="254">
        <f>IFERROR((BZ24-BU24)/(BZ23-BU23),"")</f>
        <v>0.255398657922226</v>
      </c>
      <c r="CA27" s="254">
        <f>IFERROR((CA24-BV24)/(CA23-BV23),"")</f>
        <v>0.223496392131784</v>
      </c>
      <c r="CB27" s="254">
        <f>IFERROR((CB24-CA24)/(CB23-CA23),"")</f>
        <v>0.311842310941696</v>
      </c>
      <c r="CC27" s="254">
        <f>IFERROR((CC24-CB24)/(CC23-CB23),"")</f>
        <v>0.314023026402827</v>
      </c>
      <c r="CD27" s="254">
        <f>IFERROR((CD24-CC24)/(CD23-CC23),"")</f>
        <v>0.311842310941696</v>
      </c>
      <c r="CE27" s="254">
        <f>IFERROR((CE24-CD24)/(CE23-CD23),"")</f>
        <v>0.311842310941697</v>
      </c>
      <c r="CF27" s="19" t="n"/>
      <c r="CN27" s="15" t="inlineStr">
        <is>
          <t>AW_price (Americas Welding price y/y)</t>
        </is>
      </c>
      <c r="CO27" s="259" t="n">
        <v>0.01</v>
      </c>
      <c r="CP27" s="21" t="inlineStr">
        <is>
          <t>Δ →</t>
        </is>
      </c>
      <c r="CQ27" s="259" t="n">
        <v>-0.01</v>
      </c>
      <c r="CR27" s="13" t="inlineStr">
        <is>
          <t>Pricing to offset steel / tariff-driven inflation; 2025 +7.2%, 1H/26 +5.6%. Normalises to low-single-digit.</t>
        </is>
      </c>
    </row>
    <row r="28" outlineLevel="2" s="251">
      <c r="B28" s="22" t="inlineStr">
        <is>
          <t xml:space="preserve">  Price fall-through to adjusted EBIT %</t>
        </is>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54" t="n"/>
      <c r="BZ28" s="254" t="n"/>
      <c r="CA28" s="254" t="n"/>
      <c r="CB28" s="255" t="n">
        <v>0.3</v>
      </c>
      <c r="CC28" s="255" t="n">
        <v>0.3</v>
      </c>
      <c r="CD28" s="255" t="n">
        <v>0.3</v>
      </c>
      <c r="CE28" s="255" t="n">
        <v>0.3</v>
      </c>
      <c r="CF28" s="19" t="inlineStr">
        <is>
          <t>Input: share of price-driven sales growth that falls through to adjusted EBIT (price/cost broadly neutral — LECO prices to offset inflation; HPG price is largely metals pass-through).</t>
        </is>
      </c>
      <c r="CN28" s="25" t="inlineStr">
        <is>
          <t xml:space="preserve">  2027E</t>
        </is>
      </c>
      <c r="CO28" s="33">
        <f>CP28+$CO$27</f>
        <v>0.04</v>
      </c>
      <c r="CP28" s="42" t="n">
        <v>0.03</v>
      </c>
      <c r="CQ28" s="33">
        <f>CP28+$CQ$27</f>
        <v>0.02</v>
      </c>
    </row>
    <row r="29" outlineLevel="2" s="251">
      <c r="B29" s="22" t="inlineStr">
        <is>
          <t xml:space="preserve">  Volume incremental adjusted EBIT margin %</t>
        </is>
      </c>
      <c r="C29" s="23" t="n"/>
      <c r="D29" s="23" t="n"/>
      <c r="E29" s="23" t="n"/>
      <c r="F29" s="23" t="n"/>
      <c r="G29" s="23" t="n"/>
      <c r="H29" s="23" t="n"/>
      <c r="I29" s="23" t="n"/>
      <c r="J29" s="23" t="n"/>
      <c r="K29" s="23" t="n"/>
      <c r="L29" s="23" t="n"/>
      <c r="M29" s="23" t="n"/>
      <c r="N29" s="23" t="n"/>
      <c r="O29" s="23" t="n"/>
      <c r="P29" s="23" t="n"/>
      <c r="Q29" s="23" t="n"/>
      <c r="R29" s="23" t="n"/>
      <c r="S29" s="23" t="n"/>
      <c r="T29" s="23" t="n"/>
      <c r="U29" s="23" t="n"/>
      <c r="V29" s="23" t="n"/>
      <c r="W29" s="23" t="n"/>
      <c r="X29" s="23" t="n"/>
      <c r="Y29" s="23" t="n"/>
      <c r="Z29" s="23" t="n"/>
      <c r="AA29" s="23" t="n"/>
      <c r="AB29" s="23" t="n"/>
      <c r="AC29" s="23" t="n"/>
      <c r="AD29" s="23" t="n"/>
      <c r="AE29" s="23" t="n"/>
      <c r="AF29" s="23" t="n"/>
      <c r="AG29" s="23" t="n"/>
      <c r="AH29" s="23" t="n"/>
      <c r="AI29" s="23" t="n"/>
      <c r="AJ29" s="23" t="n"/>
      <c r="AK29" s="23" t="n"/>
      <c r="AL29" s="23" t="n"/>
      <c r="AM29" s="23" t="n"/>
      <c r="AN29" s="23" t="n"/>
      <c r="AO29" s="23" t="n"/>
      <c r="AP29" s="23" t="n"/>
      <c r="AQ29" s="23" t="n"/>
      <c r="AR29" s="23" t="n"/>
      <c r="AS29" s="23" t="n"/>
      <c r="AT29" s="23" t="n"/>
      <c r="AU29" s="23" t="n"/>
      <c r="AV29" s="23" t="n"/>
      <c r="AW29" s="23" t="n"/>
      <c r="AX29" s="23" t="n"/>
      <c r="AY29" s="23" t="n"/>
      <c r="AZ29" s="23" t="n"/>
      <c r="BA29" s="23" t="n"/>
      <c r="BB29" s="23" t="n"/>
      <c r="BC29" s="23" t="n"/>
      <c r="BD29" s="23" t="n"/>
      <c r="BE29" s="23" t="n"/>
      <c r="BF29" s="23" t="n"/>
      <c r="BG29" s="23" t="n"/>
      <c r="BH29" s="23" t="n"/>
      <c r="BI29" s="23" t="n"/>
      <c r="BJ29" s="23" t="n"/>
      <c r="BK29" s="23" t="n"/>
      <c r="BL29" s="23" t="n"/>
      <c r="BM29" s="23" t="n"/>
      <c r="BN29" s="23" t="n"/>
      <c r="BO29" s="23" t="n"/>
      <c r="BP29" s="23" t="n"/>
      <c r="BQ29" s="23" t="n"/>
      <c r="BR29" s="23" t="n"/>
      <c r="BS29" s="23" t="n"/>
      <c r="BT29" s="23" t="n"/>
      <c r="BU29" s="23" t="n"/>
      <c r="BV29" s="23" t="n"/>
      <c r="BW29" s="23" t="n"/>
      <c r="BX29" s="23" t="n"/>
      <c r="BY29" s="254" t="n"/>
      <c r="BZ29" s="254" t="n"/>
      <c r="CA29" s="254" t="n"/>
      <c r="CB29" s="255" t="n">
        <v>0.35</v>
      </c>
      <c r="CC29" s="255" t="n">
        <v>0.35</v>
      </c>
      <c r="CD29" s="255" t="n">
        <v>0.35</v>
      </c>
      <c r="CE29" s="255" t="n">
        <v>0.35</v>
      </c>
      <c r="CF29" s="19" t="inlineStr">
        <is>
          <t>Input: incremental margin on volume-driven sales (company targets mid-20s–30s% incrementals through the cycle).</t>
        </is>
      </c>
      <c r="CN29" s="25" t="inlineStr">
        <is>
          <t xml:space="preserve">  2028E</t>
        </is>
      </c>
      <c r="CO29" s="33">
        <f>CP29+$CO$27</f>
        <v>0.035</v>
      </c>
      <c r="CP29" s="42" t="n">
        <v>0.025</v>
      </c>
      <c r="CQ29" s="33">
        <f>CP29+$CQ$27</f>
        <v>0.015</v>
      </c>
    </row>
    <row r="30" outlineLevel="2" s="251">
      <c r="B30" s="25" t="inlineStr">
        <is>
          <t xml:space="preserve">  Δ Adjusted EBIT (price × fall-through + volume × incremental + (acq. + FX) × prior margin)</t>
        </is>
      </c>
      <c r="C30" s="34" t="n"/>
      <c r="D30" s="34" t="n"/>
      <c r="E30" s="34" t="n"/>
      <c r="F30" s="34" t="n"/>
      <c r="G30" s="34" t="n"/>
      <c r="H30" s="34" t="n"/>
      <c r="I30" s="34" t="n"/>
      <c r="J30" s="34" t="n"/>
      <c r="K30" s="34" t="n"/>
      <c r="L30" s="34" t="n"/>
      <c r="M30" s="34" t="n"/>
      <c r="N30" s="34" t="n"/>
      <c r="O30" s="34" t="n"/>
      <c r="P30" s="34" t="n"/>
      <c r="Q30" s="34" t="n"/>
      <c r="R30" s="34" t="n"/>
      <c r="S30" s="34" t="n"/>
      <c r="T30" s="34" t="n"/>
      <c r="U30" s="34" t="n"/>
      <c r="V30" s="34" t="n"/>
      <c r="W30" s="34" t="n"/>
      <c r="X30" s="34" t="n"/>
      <c r="Y30" s="34" t="n"/>
      <c r="Z30" s="34" t="n"/>
      <c r="AA30" s="34" t="n"/>
      <c r="AB30" s="34" t="n"/>
      <c r="AC30" s="34" t="n"/>
      <c r="AD30" s="34" t="n"/>
      <c r="AE30" s="34" t="n"/>
      <c r="AF30" s="34" t="n"/>
      <c r="AG30" s="34" t="n"/>
      <c r="AH30" s="34" t="n"/>
      <c r="AI30" s="34" t="n"/>
      <c r="AJ30" s="34" t="n"/>
      <c r="AK30" s="34" t="n"/>
      <c r="AL30" s="34" t="n"/>
      <c r="AM30" s="34" t="n"/>
      <c r="AN30" s="34" t="n"/>
      <c r="AO30" s="34" t="n"/>
      <c r="AP30" s="34" t="n"/>
      <c r="AQ30" s="34" t="n"/>
      <c r="AR30" s="34" t="n"/>
      <c r="AS30" s="34" t="n"/>
      <c r="AT30" s="34" t="n"/>
      <c r="AU30" s="34" t="n"/>
      <c r="AV30" s="34" t="n"/>
      <c r="AW30" s="34" t="n"/>
      <c r="AX30" s="34" t="n"/>
      <c r="AY30" s="34" t="n"/>
      <c r="AZ30" s="34" t="n"/>
      <c r="BA30" s="34" t="n"/>
      <c r="BB30" s="34" t="n"/>
      <c r="BC30" s="34" t="n"/>
      <c r="BD30" s="34" t="n"/>
      <c r="BE30" s="34" t="n"/>
      <c r="BF30" s="34" t="n"/>
      <c r="BG30" s="34" t="n"/>
      <c r="BH30" s="34" t="n"/>
      <c r="BI30" s="34" t="n"/>
      <c r="BJ30" s="34" t="n"/>
      <c r="BK30" s="34" t="n"/>
      <c r="BL30" s="34" t="n"/>
      <c r="BM30" s="34" t="n"/>
      <c r="BN30" s="34" t="n"/>
      <c r="BO30" s="34" t="n"/>
      <c r="BP30" s="34" t="n"/>
      <c r="BQ30" s="34" t="n"/>
      <c r="BR30" s="34" t="n"/>
      <c r="BS30" s="34" t="n"/>
      <c r="BT30" s="34" t="n"/>
      <c r="BU30" s="34" t="n"/>
      <c r="BV30" s="34" t="n"/>
      <c r="BW30" s="34" t="n"/>
      <c r="BX30" s="34" t="n"/>
      <c r="BY30" s="257" t="n"/>
      <c r="BZ30" s="257" t="n"/>
      <c r="CA30" s="257" t="n"/>
      <c r="CB30" s="257">
        <f>CB19*CB28+CB18*CB29+(CB20+CB21)*CA26</f>
        <v>58.8685698141963</v>
      </c>
      <c r="CC30" s="257">
        <f>CC19*CC28+CC18*CC29+(CC20+CC21)*CB26</f>
        <v>57.600631387429</v>
      </c>
      <c r="CD30" s="257">
        <f>CD19*CD28+CD18*CD29+(CD20+CD21)*CC26</f>
        <v>54.8606013526798</v>
      </c>
      <c r="CE30" s="257">
        <f>CE19*CE28+CE18*CE29+(CE20+CE21)*CD26</f>
        <v>57.6036314203138</v>
      </c>
      <c r="CF30" s="19" t="n"/>
      <c r="CN30" s="25" t="inlineStr">
        <is>
          <t xml:space="preserve">  2029E</t>
        </is>
      </c>
      <c r="CO30" s="33">
        <f>CP30+$CO$27</f>
        <v>0.035</v>
      </c>
      <c r="CP30" s="42" t="n">
        <v>0.025</v>
      </c>
      <c r="CQ30" s="33">
        <f>CP30+$CQ$27</f>
        <v>0.015</v>
      </c>
    </row>
    <row r="31" outlineLevel="2" s="251">
      <c r="B31" s="25" t="inlineStr">
        <is>
          <t xml:space="preserve">  Special items (pre-tax, charged to the segment)</t>
        </is>
      </c>
      <c r="C31" s="34" t="n"/>
      <c r="D31" s="34" t="n"/>
      <c r="E31" s="34" t="n"/>
      <c r="F31" s="34" t="n"/>
      <c r="G31" s="34" t="n"/>
      <c r="H31" s="34" t="n"/>
      <c r="I31" s="34" t="n"/>
      <c r="J31" s="34" t="n"/>
      <c r="K31" s="34" t="n"/>
      <c r="L31" s="34" t="n"/>
      <c r="M31" s="34" t="n"/>
      <c r="N31" s="34" t="n">
        <v>13.25</v>
      </c>
      <c r="O31" s="34" t="n">
        <v>17.618</v>
      </c>
      <c r="P31" s="34" t="n">
        <v>3.447</v>
      </c>
      <c r="Q31" s="34" t="n">
        <v>0.582</v>
      </c>
      <c r="R31" s="34" t="n">
        <v>0</v>
      </c>
      <c r="S31" s="34" t="n">
        <v>21.647</v>
      </c>
      <c r="T31" s="34" t="n">
        <v>0</v>
      </c>
      <c r="U31" s="34" t="n">
        <v>0</v>
      </c>
      <c r="V31" s="34" t="n">
        <v>166.178</v>
      </c>
      <c r="W31" s="34" t="n">
        <v>7.061</v>
      </c>
      <c r="X31" s="34" t="n">
        <v>173.239</v>
      </c>
      <c r="Y31" s="34" t="n">
        <v>0</v>
      </c>
      <c r="Z31" s="34" t="n">
        <v>0</v>
      </c>
      <c r="AA31" s="34" t="n">
        <v>0</v>
      </c>
      <c r="AB31" s="34" t="n">
        <v>0</v>
      </c>
      <c r="AC31" s="34" t="n">
        <v>0</v>
      </c>
      <c r="AD31" s="34" t="n">
        <v>0</v>
      </c>
      <c r="AE31" s="34" t="n">
        <v>0</v>
      </c>
      <c r="AF31" s="34" t="n">
        <v>5.283</v>
      </c>
      <c r="AG31" s="34" t="n">
        <v>3.959</v>
      </c>
      <c r="AH31" s="34" t="n">
        <v>9.242000000000001</v>
      </c>
      <c r="AI31" s="34" t="n">
        <v>0.758</v>
      </c>
      <c r="AJ31" s="34" t="n">
        <v>0</v>
      </c>
      <c r="AK31" s="34" t="n">
        <v>4.232</v>
      </c>
      <c r="AL31" s="34" t="n">
        <v>1.696</v>
      </c>
      <c r="AM31" s="34" t="n">
        <v>6.686</v>
      </c>
      <c r="AN31" s="34" t="n">
        <v>1.336</v>
      </c>
      <c r="AO31" s="34" t="n">
        <v>1.779</v>
      </c>
      <c r="AP31" s="34" t="n">
        <v>0</v>
      </c>
      <c r="AQ31" s="34" t="n">
        <v>0</v>
      </c>
      <c r="AR31" s="34" t="n">
        <v>3.115</v>
      </c>
      <c r="AS31" s="34" t="n">
        <v>1.19</v>
      </c>
      <c r="AT31" s="34" t="n">
        <v>26.007</v>
      </c>
      <c r="AU31" s="34" t="n">
        <v>7.044</v>
      </c>
      <c r="AV31" s="34" t="n">
        <v>0.748</v>
      </c>
      <c r="AW31" s="34" t="n">
        <v>34.989</v>
      </c>
      <c r="AX31" s="34" t="n">
        <v>4.44</v>
      </c>
      <c r="AY31" s="34" t="n">
        <v>1.65</v>
      </c>
      <c r="AZ31" s="34" t="n">
        <v>73.574</v>
      </c>
      <c r="BA31" s="34" t="n">
        <v>43.45</v>
      </c>
      <c r="BB31" s="34" t="n">
        <v>123.114</v>
      </c>
      <c r="BC31" s="34" t="n">
        <v>-3.735</v>
      </c>
      <c r="BD31" s="34" t="n">
        <v>0.461</v>
      </c>
      <c r="BE31" s="34" t="n">
        <v>-0.353</v>
      </c>
      <c r="BF31" s="34" t="n">
        <v>0.5669999999999999</v>
      </c>
      <c r="BG31" s="34" t="n">
        <v>-3.06</v>
      </c>
      <c r="BH31" s="34" t="n">
        <v>2.785</v>
      </c>
      <c r="BI31" s="34" t="n">
        <v>2.957</v>
      </c>
      <c r="BJ31" s="34" t="n">
        <v>4.056</v>
      </c>
      <c r="BK31" s="34" t="n">
        <v>0.06</v>
      </c>
      <c r="BL31" s="34" t="n">
        <v>9.858000000000001</v>
      </c>
      <c r="BM31" s="34" t="n">
        <v>0</v>
      </c>
      <c r="BN31" s="34" t="n">
        <v>0.354</v>
      </c>
      <c r="BO31" s="34" t="n">
        <v>23.357</v>
      </c>
      <c r="BP31" s="34" t="n">
        <v>4.11</v>
      </c>
      <c r="BQ31" s="34" t="n">
        <v>27.821</v>
      </c>
      <c r="BR31" s="34" t="n">
        <v>2.135</v>
      </c>
      <c r="BS31" s="34" t="n">
        <v>0.905</v>
      </c>
      <c r="BT31" s="34" t="n">
        <v>4.375</v>
      </c>
      <c r="BU31" s="34" t="n">
        <v>3.295</v>
      </c>
      <c r="BV31" s="34" t="n">
        <v>10.71</v>
      </c>
      <c r="BW31" s="34" t="n">
        <v>0.573</v>
      </c>
      <c r="BX31" s="34" t="n">
        <v>1.012</v>
      </c>
      <c r="BY31" s="257" t="n"/>
      <c r="BZ31" s="257" t="n"/>
      <c r="CA31" s="257" t="n"/>
      <c r="CB31" s="257" t="n"/>
      <c r="CC31" s="257" t="n"/>
      <c r="CD31" s="257" t="n"/>
      <c r="CE31" s="257" t="n"/>
      <c r="CF31" s="19" t="inlineStr">
        <is>
          <t>Historical disclosure only; forecast special items are modelled at the consolidated level.</t>
        </is>
      </c>
      <c r="CN31" s="25" t="inlineStr">
        <is>
          <t xml:space="preserve">  2030E</t>
        </is>
      </c>
      <c r="CO31" s="33">
        <f>CP31+$CO$27</f>
        <v>0.035</v>
      </c>
      <c r="CP31" s="42" t="n">
        <v>0.025</v>
      </c>
      <c r="CQ31" s="33">
        <f>CP31+$CQ$27</f>
        <v>0.015</v>
      </c>
    </row>
    <row r="32" outlineLevel="2" s="251">
      <c r="B32" s="25" t="inlineStr">
        <is>
          <t xml:space="preserve">  EBIT (GAAP, as reported in the segment table)</t>
        </is>
      </c>
      <c r="C32" s="34" t="n"/>
      <c r="D32" s="34" t="n"/>
      <c r="E32" s="34" t="n"/>
      <c r="F32" s="34" t="n"/>
      <c r="G32" s="34" t="n"/>
      <c r="H32" s="34" t="n"/>
      <c r="I32" s="34" t="n"/>
      <c r="J32" s="34" t="n"/>
      <c r="K32" s="34" t="n"/>
      <c r="L32" s="34" t="n"/>
      <c r="M32" s="34" t="n"/>
      <c r="N32" s="34" t="n">
        <v>364.186</v>
      </c>
      <c r="O32" s="34" t="n">
        <v>66.06999999999999</v>
      </c>
      <c r="P32" s="34" t="n">
        <v>92.494</v>
      </c>
      <c r="Q32" s="34" t="n">
        <v>83.444</v>
      </c>
      <c r="R32" s="34" t="n">
        <v>89.59999999999999</v>
      </c>
      <c r="S32" s="34" t="n">
        <v>331.608</v>
      </c>
      <c r="T32" s="34" t="n">
        <v>75.41500000000001</v>
      </c>
      <c r="U32" s="34" t="n">
        <v>79.42100000000001</v>
      </c>
      <c r="V32" s="34" t="n">
        <v>-83.413</v>
      </c>
      <c r="W32" s="34" t="n">
        <v>72.027</v>
      </c>
      <c r="X32" s="34" t="n">
        <v>143.45</v>
      </c>
      <c r="Y32" s="34" t="n">
        <v>61.438</v>
      </c>
      <c r="Z32" s="34" t="n">
        <v>65.20099999999999</v>
      </c>
      <c r="AA32" s="34" t="n">
        <v>68.285</v>
      </c>
      <c r="AB32" s="34" t="n">
        <v>71.709</v>
      </c>
      <c r="AC32" s="34" t="n">
        <v>266.633</v>
      </c>
      <c r="AD32" s="34" t="n">
        <v>68.723</v>
      </c>
      <c r="AE32" s="34" t="n">
        <v>74.498</v>
      </c>
      <c r="AF32" s="34" t="n">
        <v>68.813</v>
      </c>
      <c r="AG32" s="34" t="n">
        <v>70.59</v>
      </c>
      <c r="AH32" s="34" t="n">
        <v>282.624</v>
      </c>
      <c r="AI32" s="34" t="n">
        <v>76.681</v>
      </c>
      <c r="AJ32" s="34" t="n">
        <v>88.158</v>
      </c>
      <c r="AK32" s="34" t="n">
        <v>85.021</v>
      </c>
      <c r="AL32" s="34" t="n">
        <v>84.19799999999999</v>
      </c>
      <c r="AM32" s="34" t="n">
        <v>334.058</v>
      </c>
      <c r="AN32" s="34" t="n">
        <v>80.416</v>
      </c>
      <c r="AO32" s="34" t="n">
        <v>83.072</v>
      </c>
      <c r="AP32" s="34" t="n">
        <v>74.11</v>
      </c>
      <c r="AQ32" s="34" t="n">
        <v>75.006</v>
      </c>
      <c r="AR32" s="34" t="n">
        <v>312.604</v>
      </c>
      <c r="AS32" s="34" t="n">
        <v>69.512</v>
      </c>
      <c r="AT32" s="34" t="n">
        <v>20.695</v>
      </c>
      <c r="AU32" s="34" t="n">
        <v>52.076</v>
      </c>
      <c r="AV32" s="34" t="n">
        <v>68.456</v>
      </c>
      <c r="AW32" s="34" t="n">
        <v>210.739</v>
      </c>
      <c r="AX32" s="34" t="n">
        <v>72.17700000000001</v>
      </c>
      <c r="AY32" s="34" t="n">
        <v>82.48399999999999</v>
      </c>
      <c r="AZ32" s="34" t="n">
        <v>10.983</v>
      </c>
      <c r="BA32" s="34" t="n">
        <v>40.258</v>
      </c>
      <c r="BB32" s="34" t="n">
        <v>205.902</v>
      </c>
      <c r="BC32" s="34" t="n">
        <v>115.303</v>
      </c>
      <c r="BD32" s="34" t="n">
        <v>117.606</v>
      </c>
      <c r="BE32" s="34" t="n">
        <v>119.157</v>
      </c>
      <c r="BF32" s="34" t="n">
        <v>113.813</v>
      </c>
      <c r="BG32" s="34" t="n">
        <v>465.879</v>
      </c>
      <c r="BH32" s="34" t="n">
        <v>129.668</v>
      </c>
      <c r="BI32" s="34" t="n">
        <v>136.913</v>
      </c>
      <c r="BJ32" s="34" t="n">
        <v>132.42</v>
      </c>
      <c r="BK32" s="34" t="n">
        <v>129.409</v>
      </c>
      <c r="BL32" s="34" t="n">
        <v>528.4109999999999</v>
      </c>
      <c r="BM32" s="34" t="n">
        <v>136.1</v>
      </c>
      <c r="BN32" s="34" t="n">
        <v>136.297</v>
      </c>
      <c r="BO32" s="34" t="n">
        <v>102.158</v>
      </c>
      <c r="BP32" s="34" t="n">
        <v>127.813</v>
      </c>
      <c r="BQ32" s="34" t="n">
        <v>502.367</v>
      </c>
      <c r="BR32" s="34" t="n">
        <v>122.063</v>
      </c>
      <c r="BS32" s="34" t="n">
        <v>137.01</v>
      </c>
      <c r="BT32" s="34" t="n">
        <v>127.24</v>
      </c>
      <c r="BU32" s="34" t="n">
        <v>137.816</v>
      </c>
      <c r="BV32" s="34" t="n">
        <v>524.129</v>
      </c>
      <c r="BW32" s="34" t="n">
        <v>126.895</v>
      </c>
      <c r="BX32" s="34" t="n">
        <v>157.083</v>
      </c>
      <c r="BY32" s="257" t="n"/>
      <c r="BZ32" s="257" t="n"/>
      <c r="CA32" s="257" t="n"/>
      <c r="CB32" s="257" t="n"/>
      <c r="CC32" s="257" t="n"/>
      <c r="CD32" s="257" t="n"/>
      <c r="CE32" s="257" t="n"/>
      <c r="CF32" s="19" t="n"/>
      <c r="CN32" s="15" t="inlineStr">
        <is>
          <t>IW_vol (International Welding volume y/y)</t>
        </is>
      </c>
      <c r="CO32" s="259" t="n">
        <v>0.02</v>
      </c>
      <c r="CP32" s="21" t="inlineStr">
        <is>
          <t>Δ →</t>
        </is>
      </c>
      <c r="CQ32" s="259" t="n">
        <v>-0.02</v>
      </c>
      <c r="CR32" s="13" t="inlineStr">
        <is>
          <t>Europe weak (2024–1H/26 volumes −4% to −10% p.a.); Asia Pacific improving. Base assumes a gradual recovery.</t>
        </is>
      </c>
    </row>
    <row r="33">
      <c r="CF33" s="19" t="n"/>
      <c r="CN33" s="25" t="inlineStr">
        <is>
          <t xml:space="preserve">  2027E</t>
        </is>
      </c>
      <c r="CO33" s="33">
        <f>CP33+$CO$32</f>
        <v>0.04</v>
      </c>
      <c r="CP33" s="42" t="n">
        <v>0.02</v>
      </c>
      <c r="CQ33" s="33">
        <f>CP33+$CQ$32</f>
        <v>0</v>
      </c>
    </row>
    <row r="34">
      <c r="B34" s="14" t="inlineStr">
        <is>
          <t>International Welding (welding &amp; cutting — Europe, Middle East, Africa, Asia Pacific)</t>
        </is>
      </c>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4" t="n"/>
      <c r="AL34" s="14" t="n"/>
      <c r="AM34" s="14" t="n"/>
      <c r="AN34" s="14" t="n"/>
      <c r="AO34" s="14" t="n"/>
      <c r="AP34" s="14" t="n"/>
      <c r="AQ34" s="14" t="n"/>
      <c r="AR34" s="14" t="n"/>
      <c r="AS34" s="14" t="n"/>
      <c r="AT34" s="14" t="n"/>
      <c r="AU34" s="14" t="n"/>
      <c r="AV34" s="14" t="n"/>
      <c r="AW34" s="14" t="n"/>
      <c r="AX34" s="14" t="n"/>
      <c r="AY34" s="14" t="n"/>
      <c r="AZ34" s="14" t="n"/>
      <c r="BA34" s="14" t="n"/>
      <c r="BB34" s="14" t="n"/>
      <c r="BC34" s="14" t="n"/>
      <c r="BD34" s="14" t="n"/>
      <c r="BE34" s="14" t="n"/>
      <c r="BF34" s="14" t="n"/>
      <c r="BG34" s="14" t="n"/>
      <c r="BH34" s="14" t="n"/>
      <c r="BI34" s="14" t="n"/>
      <c r="BJ34" s="14" t="n"/>
      <c r="BK34" s="14" t="n"/>
      <c r="BL34" s="14" t="n"/>
      <c r="BM34" s="14" t="n"/>
      <c r="BN34" s="14" t="n"/>
      <c r="BO34" s="14" t="n"/>
      <c r="BP34" s="14" t="n"/>
      <c r="BQ34" s="14" t="n"/>
      <c r="BR34" s="14" t="n"/>
      <c r="BS34" s="14" t="n"/>
      <c r="BT34" s="14" t="n"/>
      <c r="BU34" s="14" t="n"/>
      <c r="BV34" s="14" t="n"/>
      <c r="BW34" s="14" t="n"/>
      <c r="BX34" s="14" t="n"/>
      <c r="BY34" s="14" t="n"/>
      <c r="BZ34" s="14" t="n"/>
      <c r="CA34" s="14" t="n"/>
      <c r="CB34" s="14" t="n"/>
      <c r="CC34" s="14" t="n"/>
      <c r="CD34" s="14" t="n"/>
      <c r="CE34" s="14" t="n"/>
      <c r="CF34" s="15" t="inlineStr">
        <is>
          <t>INTERNATIONAL WELDING — modelling logic</t>
        </is>
      </c>
      <c r="CN34" s="25" t="inlineStr">
        <is>
          <t xml:space="preserve">  2028E</t>
        </is>
      </c>
      <c r="CO34" s="33">
        <f>CP34+$CO$32</f>
        <v>0.045</v>
      </c>
      <c r="CP34" s="42" t="n">
        <v>0.025</v>
      </c>
      <c r="CQ34" s="33">
        <f>CP34+$CQ$32</f>
        <v>0.005</v>
      </c>
    </row>
    <row r="35">
      <c r="B35" s="16" t="inlineStr">
        <is>
          <t xml:space="preserve">  Net sales (external customers)</t>
        </is>
      </c>
      <c r="C35" s="43" t="n"/>
      <c r="D35" s="43" t="n"/>
      <c r="E35" s="43" t="n"/>
      <c r="F35" s="43" t="n"/>
      <c r="G35" s="43" t="n"/>
      <c r="H35" s="43" t="n"/>
      <c r="I35" s="43" t="n"/>
      <c r="J35" s="43" t="n"/>
      <c r="K35" s="43" t="n"/>
      <c r="L35" s="43" t="n"/>
      <c r="M35" s="43" t="n"/>
      <c r="N35" s="31" t="n">
        <v>695.831</v>
      </c>
      <c r="O35" s="31" t="n">
        <v>170.742</v>
      </c>
      <c r="P35" s="31" t="n">
        <v>185.588</v>
      </c>
      <c r="Q35" s="31" t="n">
        <v>168.004</v>
      </c>
      <c r="R35" s="31" t="n">
        <v>157.09</v>
      </c>
      <c r="S35" s="31" t="n">
        <v>681.424</v>
      </c>
      <c r="T35" s="31" t="n">
        <v>139.247</v>
      </c>
      <c r="U35" s="31" t="n">
        <v>141.927</v>
      </c>
      <c r="V35" s="31" t="n">
        <v>128.072</v>
      </c>
      <c r="W35" s="31" t="n">
        <v>121.214</v>
      </c>
      <c r="X35" s="31" t="n">
        <v>530.46</v>
      </c>
      <c r="Y35" s="31" t="n">
        <v>124.305</v>
      </c>
      <c r="Z35" s="31" t="n">
        <v>132.815</v>
      </c>
      <c r="AA35" s="31" t="n">
        <v>119.564</v>
      </c>
      <c r="AB35" s="31" t="n">
        <v>130.605</v>
      </c>
      <c r="AC35" s="31" t="n">
        <v>507.289</v>
      </c>
      <c r="AD35" s="31" t="n">
        <v>128.888</v>
      </c>
      <c r="AE35" s="31" t="n">
        <v>141.498</v>
      </c>
      <c r="AF35" s="31" t="n">
        <v>197.617</v>
      </c>
      <c r="AG35" s="31" t="n">
        <v>256.021</v>
      </c>
      <c r="AH35" s="31" t="n">
        <v>724.024</v>
      </c>
      <c r="AI35" s="31" t="n">
        <v>247.32</v>
      </c>
      <c r="AJ35" s="31" t="n">
        <v>243.373</v>
      </c>
      <c r="AK35" s="31" t="n">
        <v>209.622</v>
      </c>
      <c r="AL35" s="31" t="n">
        <v>219.456</v>
      </c>
      <c r="AM35" s="31" t="n">
        <v>919.771</v>
      </c>
      <c r="AN35" s="31" t="n">
        <v>218.086</v>
      </c>
      <c r="AO35" s="31" t="n">
        <v>212.306</v>
      </c>
      <c r="AP35" s="31" t="n">
        <v>205.378</v>
      </c>
      <c r="AQ35" s="31" t="n">
        <v>218.606</v>
      </c>
      <c r="AR35" s="31" t="n">
        <v>854.376</v>
      </c>
      <c r="AS35" s="31" t="n">
        <v>197.923</v>
      </c>
      <c r="AT35" s="31" t="n">
        <v>177.167</v>
      </c>
      <c r="AU35" s="31" t="n">
        <v>196.937</v>
      </c>
      <c r="AV35" s="31" t="n">
        <v>214.782</v>
      </c>
      <c r="AW35" s="31" t="n">
        <v>786.809</v>
      </c>
      <c r="AX35" s="31" t="n">
        <v>223.079</v>
      </c>
      <c r="AY35" s="31" t="n">
        <v>252.352</v>
      </c>
      <c r="AZ35" s="31" t="n">
        <v>227.165</v>
      </c>
      <c r="BA35" s="31" t="n">
        <v>245.529</v>
      </c>
      <c r="BB35" s="31" t="n">
        <v>948.125</v>
      </c>
      <c r="BC35" s="31" t="n">
        <v>258.041</v>
      </c>
      <c r="BD35" s="31" t="n">
        <v>236.629</v>
      </c>
      <c r="BE35" s="31" t="n">
        <v>216.497</v>
      </c>
      <c r="BF35" s="31" t="n">
        <v>243.114</v>
      </c>
      <c r="BG35" s="31" t="n">
        <v>954.2809999999999</v>
      </c>
      <c r="BH35" s="31" t="n">
        <v>252.416</v>
      </c>
      <c r="BI35" s="31" t="n">
        <v>253.403</v>
      </c>
      <c r="BJ35" s="31" t="n">
        <v>242.01</v>
      </c>
      <c r="BK35" s="31" t="n">
        <v>292.177</v>
      </c>
      <c r="BL35" s="31" t="n">
        <v>1040.006</v>
      </c>
      <c r="BM35" s="31" t="n">
        <v>235.761</v>
      </c>
      <c r="BN35" s="31" t="n">
        <v>238.758</v>
      </c>
      <c r="BO35" s="31" t="n">
        <v>216.224</v>
      </c>
      <c r="BP35" s="31" t="n">
        <v>242.979</v>
      </c>
      <c r="BQ35" s="31" t="n">
        <v>933.722</v>
      </c>
      <c r="BR35" s="31" t="n">
        <v>219.061</v>
      </c>
      <c r="BS35" s="31" t="n">
        <v>232.824</v>
      </c>
      <c r="BT35" s="31" t="n">
        <v>219.629</v>
      </c>
      <c r="BU35" s="31" t="n">
        <v>259.351</v>
      </c>
      <c r="BV35" s="31" t="n">
        <v>930.865</v>
      </c>
      <c r="BW35" s="31" t="n">
        <v>227.035</v>
      </c>
      <c r="BX35" s="31" t="n">
        <v>243.292</v>
      </c>
      <c r="BY35" s="253">
        <f>BT35*(1+BY36)</f>
        <v>220.805704604636</v>
      </c>
      <c r="BZ35" s="253">
        <f>BU35*(1+BZ36)</f>
        <v>254.360488258624</v>
      </c>
      <c r="CA35" s="253">
        <f>SUM(BW35,BX35,BY35,BZ35)</f>
        <v>945.49319286326</v>
      </c>
      <c r="CB35" s="253">
        <f>CA35*(1+CB36)</f>
        <v>978.585454613474</v>
      </c>
      <c r="CC35" s="253">
        <f>CB35*(1+CC36)</f>
        <v>1017.72887279801</v>
      </c>
      <c r="CD35" s="253">
        <f>CC35*(1+CD36)</f>
        <v>1058.43802770993</v>
      </c>
      <c r="CE35" s="253">
        <f>CD35*(1+CE36)</f>
        <v>1100.77554881833</v>
      </c>
      <c r="CF35" s="19" t="inlineStr">
        <is>
          <t>Historical: segment table of the earnings release (current 3-segment basis from FY2013 / Q1-14, per the Feb-2016 recast 8-K). Q3/Q4-26E: prior-year quarter × (1 + volume + price + acquisitions + FX). 2027E+: prior year × (1 + scenario levers IW_vol + IW_price (+ FX)).</t>
        </is>
      </c>
      <c r="CH35" s="20">
        <f>IFERROR((CE35/BV35)^(1/5)-1,"n/m")</f>
        <v>0.0340997057579664</v>
      </c>
      <c r="CI35" s="20">
        <f>IFERROR((BV35/AW35)^(1/5)-1,"n/m")</f>
        <v>0.0341974830299001</v>
      </c>
      <c r="CJ35" s="20">
        <f>IFERROR((BV35/X35)^(1/10)-1,"n/m")</f>
        <v>0.0578483330703257</v>
      </c>
      <c r="CK35" s="20" t="str">
        <f>IFERROR((BV35/C35)^(1/19)-1,"n/m")</f>
        <v>n/m</v>
      </c>
      <c r="CN35" s="25" t="inlineStr">
        <is>
          <t xml:space="preserve">  2029E</t>
        </is>
      </c>
      <c r="CO35" s="33">
        <f>CP35+$CO$32</f>
        <v>0.045</v>
      </c>
      <c r="CP35" s="42" t="n">
        <v>0.025</v>
      </c>
      <c r="CQ35" s="33">
        <f>CP35+$CQ$32</f>
        <v>0.005</v>
      </c>
    </row>
    <row r="36">
      <c r="B36" s="22" t="inlineStr">
        <is>
          <t xml:space="preserve">  Net sales y/y %</t>
        </is>
      </c>
      <c r="C36" s="23" t="n"/>
      <c r="D36" s="23" t="n"/>
      <c r="E36" s="23" t="n"/>
      <c r="F36" s="23" t="n"/>
      <c r="G36" s="23" t="n"/>
      <c r="H36" s="23" t="n"/>
      <c r="I36" s="23" t="n"/>
      <c r="J36" s="23" t="n"/>
      <c r="K36" s="23" t="n"/>
      <c r="L36" s="23" t="n"/>
      <c r="M36" s="23" t="n"/>
      <c r="N36" s="23" t="n"/>
      <c r="O36" s="23" t="n"/>
      <c r="P36" s="23" t="n"/>
      <c r="Q36" s="23" t="n"/>
      <c r="R36" s="23" t="n"/>
      <c r="S36" s="23">
        <f>IF(AND(ISNUMBER(S35),ISNUMBER(N35)),IFERROR(S35/N35-1,""),"")</f>
        <v>-0.0207047400877513</v>
      </c>
      <c r="T36" s="23">
        <f>IF(AND(ISNUMBER(T35),ISNUMBER(O35)),IFERROR(T35/O35-1,""),"")</f>
        <v>-0.184459594007333</v>
      </c>
      <c r="U36" s="23">
        <f>IF(AND(ISNUMBER(U35),ISNUMBER(P35)),IFERROR(U35/P35-1,""),"")</f>
        <v>-0.235257667521607</v>
      </c>
      <c r="V36" s="23">
        <f>IF(AND(ISNUMBER(V35),ISNUMBER(Q35)),IFERROR(V35/Q35-1,""),"")</f>
        <v>-0.237684817028166</v>
      </c>
      <c r="W36" s="23">
        <f>IF(AND(ISNUMBER(W35),ISNUMBER(R35)),IFERROR(W35/R35-1,""),"")</f>
        <v>-0.228378636450442</v>
      </c>
      <c r="X36" s="23">
        <f>IF(AND(ISNUMBER(X35),ISNUMBER(S35)),IFERROR(X35/S35-1,""),"")</f>
        <v>-0.22154194745122</v>
      </c>
      <c r="Y36" s="23">
        <f>IF(AND(ISNUMBER(Y35),ISNUMBER(T35)),IFERROR(Y35/T35-1,""),"")</f>
        <v>-0.107305722924013</v>
      </c>
      <c r="Z36" s="23">
        <f>IF(AND(ISNUMBER(Z35),ISNUMBER(U35)),IFERROR(Z35/U35-1,""),"")</f>
        <v>-0.0642020193479747</v>
      </c>
      <c r="AA36" s="23">
        <f>IF(AND(ISNUMBER(AA35),ISNUMBER(V35)),IFERROR(AA35/V35-1,""),"")</f>
        <v>-0.0664313823474296</v>
      </c>
      <c r="AB36" s="23">
        <f>IF(AND(ISNUMBER(AB35),ISNUMBER(W35)),IFERROR(AB35/W35-1,""),"")</f>
        <v>0.0774745491444882</v>
      </c>
      <c r="AC36" s="23">
        <f>IF(AND(ISNUMBER(AC35),ISNUMBER(X35)),IFERROR(AC35/X35-1,""),"")</f>
        <v>-0.043680956151265</v>
      </c>
      <c r="AD36" s="23">
        <f>IF(AND(ISNUMBER(AD35),ISNUMBER(Y35)),IFERROR(AD35/Y35-1,""),"")</f>
        <v>0.0368689915932585</v>
      </c>
      <c r="AE36" s="23">
        <f>IF(AND(ISNUMBER(AE35),ISNUMBER(Z35)),IFERROR(AE35/Z35-1,""),"")</f>
        <v>0.0653766517336143</v>
      </c>
      <c r="AF36" s="23">
        <f>IF(AND(ISNUMBER(AF35),ISNUMBER(AA35)),IFERROR(AF35/AA35-1,""),"")</f>
        <v>0.652813555919842</v>
      </c>
      <c r="AG36" s="23">
        <f>IF(AND(ISNUMBER(AG35),ISNUMBER(AB35)),IFERROR(AG35/AB35-1,""),"")</f>
        <v>0.960269514949658</v>
      </c>
      <c r="AH36" s="23">
        <f>IF(AND(ISNUMBER(AH35),ISNUMBER(AC35)),IFERROR(AH35/AC35-1,""),"")</f>
        <v>0.427241670921309</v>
      </c>
      <c r="AI36" s="23">
        <f>IF(AND(ISNUMBER(AI35),ISNUMBER(AD35)),IFERROR(AI35/AD35-1,""),"")</f>
        <v>0.918875302588294</v>
      </c>
      <c r="AJ36" s="23">
        <f>IF(AND(ISNUMBER(AJ35),ISNUMBER(AE35)),IFERROR(AJ35/AE35-1,""),"")</f>
        <v>0.71997484063379</v>
      </c>
      <c r="AK36" s="23">
        <f>IF(AND(ISNUMBER(AK35),ISNUMBER(AF35)),IFERROR(AK35/AF35-1,""),"")</f>
        <v>0.0607488222167123</v>
      </c>
      <c r="AL36" s="23">
        <f>IF(AND(ISNUMBER(AL35),ISNUMBER(AG35)),IFERROR(AL35/AG35-1,""),"")</f>
        <v>-0.142820315520993</v>
      </c>
      <c r="AM36" s="23">
        <f>IF(AND(ISNUMBER(AM35),ISNUMBER(AH35)),IFERROR(AM35/AH35-1,""),"")</f>
        <v>0.270359822326332</v>
      </c>
      <c r="AN36" s="23">
        <f>IF(AND(ISNUMBER(AN35),ISNUMBER(AI35)),IFERROR(AN35/AI35-1,""),"")</f>
        <v>-0.118203137635452</v>
      </c>
      <c r="AO36" s="23">
        <f>IF(AND(ISNUMBER(AO35),ISNUMBER(AJ35)),IFERROR(AO35/AJ35-1,""),"")</f>
        <v>-0.12765179374869</v>
      </c>
      <c r="AP36" s="23">
        <f>IF(AND(ISNUMBER(AP35),ISNUMBER(AK35)),IFERROR(AP35/AK35-1,""),"")</f>
        <v>-0.0202459665493127</v>
      </c>
      <c r="AQ36" s="23">
        <f>IF(AND(ISNUMBER(AQ35),ISNUMBER(AL35)),IFERROR(AQ35/AL35-1,""),"")</f>
        <v>-0.00387321376494598</v>
      </c>
      <c r="AR36" s="23">
        <f>IF(AND(ISNUMBER(AR35),ISNUMBER(AM35)),IFERROR(AR35/AM35-1,""),"")</f>
        <v>-0.0710992192621859</v>
      </c>
      <c r="AS36" s="23">
        <f>IF(AND(ISNUMBER(AS35),ISNUMBER(AN35)),IFERROR(AS35/AN35-1,""),"")</f>
        <v>-0.0924543528699687</v>
      </c>
      <c r="AT36" s="23">
        <f>IF(AND(ISNUMBER(AT35),ISNUMBER(AO35)),IFERROR(AT35/AO35-1,""),"")</f>
        <v>-0.165511101900088</v>
      </c>
      <c r="AU36" s="23">
        <f>IF(AND(ISNUMBER(AU35),ISNUMBER(AP35)),IFERROR(AU35/AP35-1,""),"")</f>
        <v>-0.0410998256872692</v>
      </c>
      <c r="AV36" s="23">
        <f>IF(AND(ISNUMBER(AV35),ISNUMBER(AQ35)),IFERROR(AV35/AQ35-1,""),"")</f>
        <v>-0.0174926580240249</v>
      </c>
      <c r="AW36" s="23">
        <f>IF(AND(ISNUMBER(AW35),ISNUMBER(AR35)),IFERROR(AW35/AR35-1,""),"")</f>
        <v>-0.0790834480369299</v>
      </c>
      <c r="AX36" s="23">
        <f>IF(AND(ISNUMBER(AX35),ISNUMBER(AS35)),IFERROR(AX35/AS35-1,""),"")</f>
        <v>0.12709993280215</v>
      </c>
      <c r="AY36" s="23">
        <f>IF(AND(ISNUMBER(AY35),ISNUMBER(AT35)),IFERROR(AY35/AT35-1,""),"")</f>
        <v>0.424373613596212</v>
      </c>
      <c r="AZ36" s="23">
        <f>IF(AND(ISNUMBER(AZ35),ISNUMBER(AU35)),IFERROR(AZ35/AU35-1,""),"")</f>
        <v>0.153490710227128</v>
      </c>
      <c r="BA36" s="23">
        <f>IF(AND(ISNUMBER(BA35),ISNUMBER(AV35)),IFERROR(BA35/AV35-1,""),"")</f>
        <v>0.143154454283879</v>
      </c>
      <c r="BB36" s="23">
        <f>IF(AND(ISNUMBER(BB35),ISNUMBER(AW35)),IFERROR(BB35/AW35-1,""),"")</f>
        <v>0.205025616127929</v>
      </c>
      <c r="BC36" s="23">
        <f>IF(AND(ISNUMBER(BC35),ISNUMBER(AX35)),IFERROR(BC35/AX35-1,""),"")</f>
        <v>0.156724747735107</v>
      </c>
      <c r="BD36" s="23">
        <f>IF(AND(ISNUMBER(BD35),ISNUMBER(AY35)),IFERROR(BD35/AY35-1,""),"")</f>
        <v>-0.0623058267816384</v>
      </c>
      <c r="BE36" s="23">
        <f>IF(AND(ISNUMBER(BE35),ISNUMBER(AZ35)),IFERROR(BE35/AZ35-1,""),"")</f>
        <v>-0.0469614597319128</v>
      </c>
      <c r="BF36" s="23">
        <f>IF(AND(ISNUMBER(BF35),ISNUMBER(BA35)),IFERROR(BF35/BA35-1,""),"")</f>
        <v>-0.00983590533093848</v>
      </c>
      <c r="BG36" s="23">
        <f>IF(AND(ISNUMBER(BG35),ISNUMBER(BB35)),IFERROR(BG35/BB35-1,""),"")</f>
        <v>0.00649281476598551</v>
      </c>
      <c r="BH36" s="23">
        <f>IF(AND(ISNUMBER(BH35),ISNUMBER(BC35)),IFERROR(BH35/BC35-1,""),"")</f>
        <v>-0.021798861421247</v>
      </c>
      <c r="BI36" s="23">
        <f>IF(AND(ISNUMBER(BI35),ISNUMBER(BD35)),IFERROR(BI35/BD35-1,""),"")</f>
        <v>0.0708873384073803</v>
      </c>
      <c r="BJ36" s="23">
        <f>IF(AND(ISNUMBER(BJ35),ISNUMBER(BE35)),IFERROR(BJ35/BE35-1,""),"")</f>
        <v>0.117844589070518</v>
      </c>
      <c r="BK36" s="23">
        <f>IF(AND(ISNUMBER(BK35),ISNUMBER(BF35)),IFERROR(BK35/BF35-1,""),"")</f>
        <v>0.201810673182129</v>
      </c>
      <c r="BL36" s="23">
        <f>IF(AND(ISNUMBER(BL35),ISNUMBER(BG35)),IFERROR(BL35/BG35-1,""),"")</f>
        <v>0.089832030607337</v>
      </c>
      <c r="BM36" s="23">
        <f>IF(AND(ISNUMBER(BM35),ISNUMBER(BH35)),IFERROR(BM35/BH35-1,""),"")</f>
        <v>-0.0659823466024341</v>
      </c>
      <c r="BN36" s="23">
        <f>IF(AND(ISNUMBER(BN35),ISNUMBER(BI35)),IFERROR(BN35/BI35-1,""),"")</f>
        <v>-0.0577933173640406</v>
      </c>
      <c r="BO36" s="23">
        <f>IF(AND(ISNUMBER(BO35),ISNUMBER(BJ35)),IFERROR(BO35/BJ35-1,""),"")</f>
        <v>-0.106549316143961</v>
      </c>
      <c r="BP36" s="23">
        <f>IF(AND(ISNUMBER(BP35),ISNUMBER(BK35)),IFERROR(BP35/BK35-1,""),"")</f>
        <v>-0.168384232845159</v>
      </c>
      <c r="BQ36" s="23">
        <f>IF(AND(ISNUMBER(BQ35),ISNUMBER(BL35)),IFERROR(BQ35/BL35-1,""),"")</f>
        <v>-0.10219556425636</v>
      </c>
      <c r="BR36" s="23">
        <f>IF(AND(ISNUMBER(BR35),ISNUMBER(BM35)),IFERROR(BR35/BM35-1,""),"")</f>
        <v>-0.0708344467490382</v>
      </c>
      <c r="BS36" s="23">
        <f>IF(AND(ISNUMBER(BS35),ISNUMBER(BN35)),IFERROR(BS35/BN35-1,""),"")</f>
        <v>-0.0248536174704094</v>
      </c>
      <c r="BT36" s="23">
        <f>IF(AND(ISNUMBER(BT35),ISNUMBER(BO35)),IFERROR(BT35/BO35-1,""),"")</f>
        <v>0.0157475580879087</v>
      </c>
      <c r="BU36" s="23">
        <f>IF(AND(ISNUMBER(BU35),ISNUMBER(BP35)),IFERROR(BU35/BP35-1,""),"")</f>
        <v>0.0673803085863387</v>
      </c>
      <c r="BV36" s="23">
        <f>IF(AND(ISNUMBER(BV35),ISNUMBER(BQ35)),IFERROR(BV35/BQ35-1,""),"")</f>
        <v>-0.00305979724157723</v>
      </c>
      <c r="BW36" s="23">
        <f>IF(AND(ISNUMBER(BW35),ISNUMBER(BR35)),IFERROR(BW35/BR35-1,""),"")</f>
        <v>0.0364008198629604</v>
      </c>
      <c r="BX36" s="23">
        <f>IF(AND(ISNUMBER(BX35),ISNUMBER(BS35)),IFERROR(BX35/BS35-1,""),"")</f>
        <v>0.0449610005841321</v>
      </c>
      <c r="BY36" s="254">
        <f>BY37+BY38+BY39+BY40</f>
        <v>0.00535769231128666</v>
      </c>
      <c r="BZ36" s="254">
        <f>BZ37+BZ38+BZ39+BZ40</f>
        <v>-0.0192423076887133</v>
      </c>
      <c r="CA36" s="254">
        <f>IFERROR(CA35/BV35-1,"")</f>
        <v>0.0157146233484555</v>
      </c>
      <c r="CB36" s="254">
        <f>CB37+CB38+CB39+CB40</f>
        <v>0.035</v>
      </c>
      <c r="CC36" s="254">
        <f>CC37+CC38+CC39+CC40</f>
        <v>0.04</v>
      </c>
      <c r="CD36" s="254">
        <f>CD37+CD38+CD39+CD40</f>
        <v>0.04</v>
      </c>
      <c r="CE36" s="254">
        <f>CE37+CE38+CE39+CE40</f>
        <v>0.04</v>
      </c>
      <c r="CF36" s="19" t="n"/>
      <c r="CN36" s="25" t="inlineStr">
        <is>
          <t xml:space="preserve">  2030E</t>
        </is>
      </c>
      <c r="CO36" s="33">
        <f>CP36+$CO$32</f>
        <v>0.045</v>
      </c>
      <c r="CP36" s="42" t="n">
        <v>0.025</v>
      </c>
      <c r="CQ36" s="33">
        <f>CP36+$CQ$32</f>
        <v>0.005</v>
      </c>
    </row>
    <row r="37">
      <c r="B37" s="25" t="inlineStr">
        <is>
          <t xml:space="preserve">  Volume % (company "change in net sales due to volume")</t>
        </is>
      </c>
      <c r="C37" s="36" t="n"/>
      <c r="D37" s="36" t="n"/>
      <c r="E37" s="36" t="n"/>
      <c r="F37" s="36" t="n"/>
      <c r="G37" s="36" t="n"/>
      <c r="H37" s="36" t="n"/>
      <c r="I37" s="36" t="n"/>
      <c r="J37" s="36" t="n"/>
      <c r="K37" s="36" t="n"/>
      <c r="L37" s="36" t="n"/>
      <c r="M37" s="36" t="n"/>
      <c r="N37" s="36" t="n"/>
      <c r="O37" s="36" t="n"/>
      <c r="P37" s="36" t="n"/>
      <c r="Q37" s="36" t="n"/>
      <c r="R37" s="36" t="n"/>
      <c r="S37" s="36" t="n"/>
      <c r="T37" s="36" t="n"/>
      <c r="U37" s="36" t="n"/>
      <c r="V37" s="36" t="n"/>
      <c r="W37" s="36" t="n"/>
      <c r="X37" s="36" t="n"/>
      <c r="Y37" s="40" t="n">
        <v>-0.07099999999999999</v>
      </c>
      <c r="Z37" s="40" t="n">
        <v>-0.036</v>
      </c>
      <c r="AA37" s="40" t="n">
        <v>-0.049</v>
      </c>
      <c r="AB37" s="40" t="n">
        <v>0.104</v>
      </c>
      <c r="AC37" s="40" t="n">
        <v>-0.016</v>
      </c>
      <c r="AD37" s="40" t="n">
        <v>0.027</v>
      </c>
      <c r="AE37" s="40" t="n">
        <v>0.033</v>
      </c>
      <c r="AF37" s="40" t="n">
        <v>0.067</v>
      </c>
      <c r="AG37" s="40" t="n">
        <v>-0.025</v>
      </c>
      <c r="AH37" s="40" t="n">
        <v>0.025</v>
      </c>
      <c r="AI37" s="40" t="n">
        <v>-0.03700000000000001</v>
      </c>
      <c r="AJ37" s="40" t="n">
        <v>-0.045</v>
      </c>
      <c r="AK37" s="40" t="n">
        <v>-0.105</v>
      </c>
      <c r="AL37" s="40" t="n">
        <v>-0.137</v>
      </c>
      <c r="AM37" s="40" t="n">
        <v>-0.092</v>
      </c>
      <c r="AN37" s="40" t="n">
        <v>-0.07200000000000001</v>
      </c>
      <c r="AO37" s="40" t="n">
        <v>-0.09699999999999999</v>
      </c>
      <c r="AP37" s="40" t="n">
        <v>-0.062</v>
      </c>
      <c r="AQ37" s="40" t="n">
        <v>-0.078</v>
      </c>
      <c r="AR37" s="40" t="n">
        <v>-0.078</v>
      </c>
      <c r="AS37" s="40" t="n">
        <v>-0.14</v>
      </c>
      <c r="AT37" s="40" t="n">
        <v>-0.209</v>
      </c>
      <c r="AU37" s="40" t="n">
        <v>-0.053</v>
      </c>
      <c r="AV37" s="40" t="n">
        <v>-0.034</v>
      </c>
      <c r="AW37" s="40" t="n">
        <v>-0.109</v>
      </c>
      <c r="AX37" s="40" t="n">
        <v>0.057</v>
      </c>
      <c r="AY37" s="40" t="n">
        <v>0.255</v>
      </c>
      <c r="AZ37" s="40" t="n">
        <v>0.038</v>
      </c>
      <c r="BA37" s="40" t="n">
        <v>-0.008</v>
      </c>
      <c r="BB37" s="40" t="n">
        <v>0.079</v>
      </c>
      <c r="BC37" s="40" t="n">
        <v>-0.005</v>
      </c>
      <c r="BD37" s="40" t="n">
        <v>-0.067</v>
      </c>
      <c r="BE37" s="40" t="n">
        <v>0.024</v>
      </c>
      <c r="BF37" s="40" t="n">
        <v>0.014</v>
      </c>
      <c r="BG37" s="40" t="n">
        <v>-0.01</v>
      </c>
      <c r="BH37" s="40" t="n">
        <v>-0.057</v>
      </c>
      <c r="BI37" s="40" t="n">
        <v>0.038</v>
      </c>
      <c r="BJ37" s="40" t="n">
        <v>0.029</v>
      </c>
      <c r="BK37" s="40" t="n">
        <v>0.049</v>
      </c>
      <c r="BL37" s="40" t="n">
        <v>0.013</v>
      </c>
      <c r="BM37" s="40" t="n">
        <v>-0.049</v>
      </c>
      <c r="BN37" s="40" t="n">
        <v>-0.038</v>
      </c>
      <c r="BO37" s="40" t="n">
        <v>-0.119</v>
      </c>
      <c r="BP37" s="40" t="n">
        <v>-0.157</v>
      </c>
      <c r="BQ37" s="40" t="n">
        <v>-0.09300000000000001</v>
      </c>
      <c r="BR37" s="40" t="n">
        <v>-0.058</v>
      </c>
      <c r="BS37" s="40" t="n">
        <v>-0.068</v>
      </c>
      <c r="BT37" s="40" t="n">
        <v>-0.042</v>
      </c>
      <c r="BU37" s="40" t="n">
        <v>-0.036</v>
      </c>
      <c r="BV37" s="40" t="n">
        <v>-0.051</v>
      </c>
      <c r="BW37" s="40" t="n">
        <v>-0.099</v>
      </c>
      <c r="BX37" s="40" t="n">
        <v>-0.047</v>
      </c>
      <c r="BY37" s="254">
        <f>$BX$37+BY139</f>
        <v>-0.0352423076887133</v>
      </c>
      <c r="BZ37" s="254">
        <f>$BX$37+BZ139</f>
        <v>-0.0352423076887133</v>
      </c>
      <c r="CA37" s="254">
        <f>IFERROR(CA42/BV35,"")</f>
        <v>-0.0531144264063424</v>
      </c>
      <c r="CB37" s="254">
        <f>CHOOSE(MATCH($CF$2,{"Bull","Base","Bear"},0),$CO$33,$CP$33,$CQ$33)</f>
        <v>0.02</v>
      </c>
      <c r="CC37" s="254">
        <f>CHOOSE(MATCH($CF$2,{"Bull","Base","Bear"},0),$CO$34,$CP$34,$CQ$34)</f>
        <v>0.025</v>
      </c>
      <c r="CD37" s="254">
        <f>CHOOSE(MATCH($CF$2,{"Bull","Base","Bear"},0),$CO$35,$CP$35,$CQ$35)</f>
        <v>0.025</v>
      </c>
      <c r="CE37" s="254">
        <f>CHOOSE(MATCH($CF$2,{"Bull","Base","Bear"},0),$CO$36,$CP$36,$CQ$36)</f>
        <v>0.025</v>
      </c>
      <c r="CF37" s="19" t="inlineStr">
        <is>
          <t>Q3/Q4-26E: Q2/26 y/y volume + outlook calibration Δ (Group block). 2027E–2030E: scenario lever IW_vol (Bull/Base/Bear table →).</t>
        </is>
      </c>
      <c r="CN37" s="15" t="inlineStr">
        <is>
          <t>IW_price (International Welding price y/y)</t>
        </is>
      </c>
      <c r="CO37" s="259" t="n">
        <v>0.01</v>
      </c>
      <c r="CP37" s="21" t="inlineStr">
        <is>
          <t>Δ →</t>
        </is>
      </c>
      <c r="CQ37" s="259" t="n">
        <v>-0.01</v>
      </c>
      <c r="CR37" s="13" t="inlineStr">
        <is>
          <t>Limited pricing power in Europe; 1H/26 +0.9%.</t>
        </is>
      </c>
    </row>
    <row r="38">
      <c r="B38" s="25" t="inlineStr">
        <is>
          <t xml:space="preserve">  Price %</t>
        </is>
      </c>
      <c r="C38" s="36" t="n"/>
      <c r="D38" s="36" t="n"/>
      <c r="E38" s="36" t="n"/>
      <c r="F38" s="36" t="n"/>
      <c r="G38" s="36" t="n"/>
      <c r="H38" s="36" t="n"/>
      <c r="I38" s="36" t="n"/>
      <c r="J38" s="36" t="n"/>
      <c r="K38" s="36" t="n"/>
      <c r="L38" s="36" t="n"/>
      <c r="M38" s="36" t="n"/>
      <c r="N38" s="36" t="n"/>
      <c r="O38" s="36" t="n"/>
      <c r="P38" s="36" t="n"/>
      <c r="Q38" s="36" t="n"/>
      <c r="R38" s="36" t="n"/>
      <c r="S38" s="36" t="n"/>
      <c r="T38" s="36" t="n"/>
      <c r="U38" s="36" t="n"/>
      <c r="V38" s="36" t="n"/>
      <c r="W38" s="36" t="n"/>
      <c r="X38" s="36" t="n"/>
      <c r="Y38" s="40" t="n">
        <v>-0.022</v>
      </c>
      <c r="Z38" s="40" t="n">
        <v>-0.027</v>
      </c>
      <c r="AA38" s="40" t="n">
        <v>-0.01</v>
      </c>
      <c r="AB38" s="40" t="n">
        <v>-0.002</v>
      </c>
      <c r="AC38" s="40" t="n">
        <v>-0.016</v>
      </c>
      <c r="AD38" s="40" t="n">
        <v>0.026</v>
      </c>
      <c r="AE38" s="40" t="n">
        <v>0.033</v>
      </c>
      <c r="AF38" s="40" t="n">
        <v>0.029</v>
      </c>
      <c r="AG38" s="40" t="n">
        <v>0.05599999999999999</v>
      </c>
      <c r="AH38" s="40" t="n">
        <v>0.036</v>
      </c>
      <c r="AI38" s="40" t="n">
        <v>0.05400000000000001</v>
      </c>
      <c r="AJ38" s="40" t="n">
        <v>0.055</v>
      </c>
      <c r="AK38" s="40" t="n">
        <v>0.052</v>
      </c>
      <c r="AL38" s="40" t="n">
        <v>0.038</v>
      </c>
      <c r="AM38" s="40" t="n">
        <v>0.048</v>
      </c>
      <c r="AN38" s="40" t="n">
        <v>0.026</v>
      </c>
      <c r="AO38" s="40" t="n">
        <v>0.012</v>
      </c>
      <c r="AP38" s="40" t="n">
        <v>0.003</v>
      </c>
      <c r="AQ38" s="40" t="n">
        <v>-0.003</v>
      </c>
      <c r="AR38" s="40" t="n">
        <v>0.01</v>
      </c>
      <c r="AS38" s="40" t="n">
        <v>-0.008</v>
      </c>
      <c r="AT38" s="40" t="n">
        <v>-0.006</v>
      </c>
      <c r="AU38" s="40" t="n">
        <v>0</v>
      </c>
      <c r="AV38" s="40" t="n">
        <v>0.005</v>
      </c>
      <c r="AW38" s="40" t="n">
        <v>-0.002</v>
      </c>
      <c r="AX38" s="40" t="n">
        <v>0.023</v>
      </c>
      <c r="AY38" s="40" t="n">
        <v>0.083</v>
      </c>
      <c r="AZ38" s="40" t="n">
        <v>0.108</v>
      </c>
      <c r="BA38" s="40" t="n">
        <v>0.139</v>
      </c>
      <c r="BB38" s="40" t="n">
        <v>0.09</v>
      </c>
      <c r="BC38" s="40" t="n">
        <v>0.234</v>
      </c>
      <c r="BD38" s="40" t="n">
        <v>0.186</v>
      </c>
      <c r="BE38" s="40" t="n">
        <v>0.138</v>
      </c>
      <c r="BF38" s="40" t="n">
        <v>0.117</v>
      </c>
      <c r="BG38" s="40" t="n">
        <v>0.168</v>
      </c>
      <c r="BH38" s="40" t="n">
        <v>0.058</v>
      </c>
      <c r="BI38" s="40" t="n">
        <v>0.004</v>
      </c>
      <c r="BJ38" s="40" t="n">
        <v>0.002</v>
      </c>
      <c r="BK38" s="40" t="n">
        <v>-0.006999999999999999</v>
      </c>
      <c r="BL38" s="40" t="n">
        <v>0.015</v>
      </c>
      <c r="BM38" s="40" t="n">
        <v>-0.016</v>
      </c>
      <c r="BN38" s="40" t="n">
        <v>-0.012</v>
      </c>
      <c r="BO38" s="40" t="n">
        <v>-0.006</v>
      </c>
      <c r="BP38" s="40" t="n">
        <v>0</v>
      </c>
      <c r="BQ38" s="40" t="n">
        <v>-0.008</v>
      </c>
      <c r="BR38" s="40" t="n">
        <v>0.004</v>
      </c>
      <c r="BS38" s="40" t="n">
        <v>0.004</v>
      </c>
      <c r="BT38" s="40" t="n">
        <v>0</v>
      </c>
      <c r="BU38" s="40" t="n">
        <v>0.005</v>
      </c>
      <c r="BV38" s="40" t="n">
        <v>0.003</v>
      </c>
      <c r="BW38" s="40" t="n">
        <v>0.001</v>
      </c>
      <c r="BX38" s="40" t="n">
        <v>0.016</v>
      </c>
      <c r="BY38" s="254">
        <f>$BX$38</f>
        <v>0.016</v>
      </c>
      <c r="BZ38" s="254">
        <f>$BX$38</f>
        <v>0.016</v>
      </c>
      <c r="CA38" s="254">
        <f>IFERROR(CA43/BV35,"")</f>
        <v>0.0126083588919983</v>
      </c>
      <c r="CB38" s="254">
        <f>CHOOSE(MATCH($CF$2,{"Bull","Base","Bear"},0),$CO$38,$CP$38,$CQ$38)</f>
        <v>0.015</v>
      </c>
      <c r="CC38" s="254">
        <f>CHOOSE(MATCH($CF$2,{"Bull","Base","Bear"},0),$CO$39,$CP$39,$CQ$39)</f>
        <v>0.015</v>
      </c>
      <c r="CD38" s="254">
        <f>CHOOSE(MATCH($CF$2,{"Bull","Base","Bear"},0),$CO$40,$CP$40,$CQ$40)</f>
        <v>0.015</v>
      </c>
      <c r="CE38" s="254">
        <f>CHOOSE(MATCH($CF$2,{"Bull","Base","Bear"},0),$CO$41,$CP$41,$CQ$41)</f>
        <v>0.015</v>
      </c>
      <c r="CF38" s="19" t="inlineStr">
        <is>
          <t>Q3/Q4-26E: Q2/26 y/y price held (carry-over of the 2025–26 increases; HPG includes metals pass-through). 2027E+: scenario lever. Note: 2016 Americas Welding as published includes Venezuela hyperinflationary price (+15.4%) offset by FX (−17.7%); ex-Venezuela price −0.5%, FX −1.0%.</t>
        </is>
      </c>
      <c r="CN38" s="25" t="inlineStr">
        <is>
          <t xml:space="preserve">  2027E</t>
        </is>
      </c>
      <c r="CO38" s="33">
        <f>CP38+$CO$37</f>
        <v>0.025</v>
      </c>
      <c r="CP38" s="42" t="n">
        <v>0.015</v>
      </c>
      <c r="CQ38" s="33">
        <f>CP38+$CQ$37</f>
        <v>0.005</v>
      </c>
    </row>
    <row r="39">
      <c r="B39" s="25" t="inlineStr">
        <is>
          <t xml:space="preserve">  Acquisitions %</t>
        </is>
      </c>
      <c r="C39" s="36" t="n"/>
      <c r="D39" s="36" t="n"/>
      <c r="E39" s="36" t="n"/>
      <c r="F39" s="36" t="n"/>
      <c r="G39" s="36" t="n"/>
      <c r="H39" s="36" t="n"/>
      <c r="I39" s="36" t="n"/>
      <c r="J39" s="36" t="n"/>
      <c r="K39" s="36" t="n"/>
      <c r="L39" s="36" t="n"/>
      <c r="M39" s="36" t="n"/>
      <c r="N39" s="36" t="n"/>
      <c r="O39" s="36" t="n"/>
      <c r="P39" s="36" t="n"/>
      <c r="Q39" s="36" t="n"/>
      <c r="R39" s="36" t="n"/>
      <c r="S39" s="36" t="n"/>
      <c r="T39" s="36" t="n"/>
      <c r="U39" s="36" t="n"/>
      <c r="V39" s="36" t="n"/>
      <c r="W39" s="36" t="n"/>
      <c r="X39" s="36" t="n"/>
      <c r="Y39" s="40" t="n">
        <v>0.025</v>
      </c>
      <c r="Z39" s="40" t="n">
        <v>0.026</v>
      </c>
      <c r="AA39" s="40" t="n">
        <v>0.011</v>
      </c>
      <c r="AB39" s="40" t="n">
        <v>0</v>
      </c>
      <c r="AC39" s="40" t="n">
        <v>0.016</v>
      </c>
      <c r="AD39" s="40" t="n">
        <v>0</v>
      </c>
      <c r="AE39" s="40" t="n">
        <v>0</v>
      </c>
      <c r="AF39" s="40" t="n">
        <v>0.515</v>
      </c>
      <c r="AG39" s="40" t="n">
        <v>0.857</v>
      </c>
      <c r="AH39" s="40" t="n">
        <v>0.342</v>
      </c>
      <c r="AI39" s="40" t="n">
        <v>0.799</v>
      </c>
      <c r="AJ39" s="40" t="n">
        <v>0.6809999999999999</v>
      </c>
      <c r="AK39" s="40" t="n">
        <v>0.143</v>
      </c>
      <c r="AL39" s="40" t="n">
        <v>0</v>
      </c>
      <c r="AM39" s="40" t="n">
        <v>0.314</v>
      </c>
      <c r="AN39" s="40" t="n">
        <v>0</v>
      </c>
      <c r="AO39" s="40" t="n">
        <v>0</v>
      </c>
      <c r="AP39" s="40" t="n">
        <v>0.083</v>
      </c>
      <c r="AQ39" s="40" t="n">
        <v>0.09</v>
      </c>
      <c r="AR39" s="40" t="n">
        <v>0.04</v>
      </c>
      <c r="AS39" s="40" t="n">
        <v>0.08400000000000001</v>
      </c>
      <c r="AT39" s="40" t="n">
        <v>0.07200000000000001</v>
      </c>
      <c r="AU39" s="40" t="n">
        <v>0</v>
      </c>
      <c r="AV39" s="40" t="n">
        <v>0</v>
      </c>
      <c r="AW39" s="40" t="n">
        <v>0.039</v>
      </c>
      <c r="AX39" s="40" t="n">
        <v>0</v>
      </c>
      <c r="AY39" s="40" t="n">
        <v>0.02</v>
      </c>
      <c r="AZ39" s="40" t="n">
        <v>0.017</v>
      </c>
      <c r="BA39" s="40" t="n">
        <v>0.08199999999999999</v>
      </c>
      <c r="BB39" s="40" t="n">
        <v>0.031</v>
      </c>
      <c r="BC39" s="40" t="n">
        <v>0.079</v>
      </c>
      <c r="BD39" s="40" t="n">
        <v>0</v>
      </c>
      <c r="BE39" s="40" t="n">
        <v>0</v>
      </c>
      <c r="BF39" s="40" t="n">
        <v>0</v>
      </c>
      <c r="BG39" s="40" t="n">
        <v>0.019</v>
      </c>
      <c r="BH39" s="40" t="n">
        <v>0.029</v>
      </c>
      <c r="BI39" s="40" t="n">
        <v>0.025</v>
      </c>
      <c r="BJ39" s="40" t="n">
        <v>0.049</v>
      </c>
      <c r="BK39" s="40" t="n">
        <v>0.124</v>
      </c>
      <c r="BL39" s="40" t="n">
        <v>0.057</v>
      </c>
      <c r="BM39" s="40" t="n">
        <v>0</v>
      </c>
      <c r="BN39" s="40" t="n">
        <v>0</v>
      </c>
      <c r="BO39" s="40" t="n">
        <v>0.004</v>
      </c>
      <c r="BP39" s="40" t="n">
        <v>0.002</v>
      </c>
      <c r="BQ39" s="40" t="n">
        <v>0.002</v>
      </c>
      <c r="BR39" s="40" t="n">
        <v>0.003</v>
      </c>
      <c r="BS39" s="40" t="n">
        <v>0.001</v>
      </c>
      <c r="BT39" s="40" t="n">
        <v>0.03700000000000001</v>
      </c>
      <c r="BU39" s="40" t="n">
        <v>0.047</v>
      </c>
      <c r="BV39" s="40" t="n">
        <v>0.022</v>
      </c>
      <c r="BW39" s="40" t="n">
        <v>0.07200000000000001</v>
      </c>
      <c r="BX39" s="40" t="n">
        <v>0.07000000000000001</v>
      </c>
      <c r="BY39" s="255" t="n">
        <v>0.0246</v>
      </c>
      <c r="BZ39" s="255" t="n">
        <v>0</v>
      </c>
      <c r="CA39" s="254">
        <f>IFERROR(CA44/BV35,"")</f>
        <v>0.040166805498112</v>
      </c>
      <c r="CB39" s="255" t="n">
        <v>0</v>
      </c>
      <c r="CC39" s="255" t="n">
        <v>0</v>
      </c>
      <c r="CD39" s="255" t="n">
        <v>0</v>
      </c>
      <c r="CE39" s="255" t="n">
        <v>0</v>
      </c>
      <c r="CF39" s="19" t="inlineStr">
        <is>
          <t>Alloy Steel (Australia; ~$48m sales; 100% consolidated from 1-Aug-2025) anniversaries on 1-Aug-2026: Q3/26E = one month (Q2/26 acquisition sales $16.2m ÷ 3 ÷ Q3/25 IW sales = 2.5%); Q4/26E 0%.</t>
        </is>
      </c>
      <c r="CN39" s="25" t="inlineStr">
        <is>
          <t xml:space="preserve">  2028E</t>
        </is>
      </c>
      <c r="CO39" s="33">
        <f>CP39+$CO$37</f>
        <v>0.025</v>
      </c>
      <c r="CP39" s="42" t="n">
        <v>0.015</v>
      </c>
      <c r="CQ39" s="33">
        <f>CP39+$CQ$37</f>
        <v>0.005</v>
      </c>
    </row>
    <row r="40">
      <c r="B40" s="25" t="inlineStr">
        <is>
          <t xml:space="preserve">  Foreign exchange %</t>
        </is>
      </c>
      <c r="C40" s="36" t="n"/>
      <c r="D40" s="36" t="n"/>
      <c r="E40" s="36" t="n"/>
      <c r="F40" s="36" t="n"/>
      <c r="G40" s="36" t="n"/>
      <c r="H40" s="36" t="n"/>
      <c r="I40" s="36" t="n"/>
      <c r="J40" s="36" t="n"/>
      <c r="K40" s="36" t="n"/>
      <c r="L40" s="36" t="n"/>
      <c r="M40" s="36" t="n"/>
      <c r="N40" s="36" t="n"/>
      <c r="O40" s="36" t="n"/>
      <c r="P40" s="36" t="n"/>
      <c r="Q40" s="36" t="n"/>
      <c r="R40" s="36" t="n"/>
      <c r="S40" s="36" t="n"/>
      <c r="T40" s="36" t="n"/>
      <c r="U40" s="36" t="n"/>
      <c r="V40" s="36" t="n"/>
      <c r="W40" s="36" t="n"/>
      <c r="X40" s="36" t="n"/>
      <c r="Y40" s="40" t="n">
        <v>-0.039</v>
      </c>
      <c r="Z40" s="40" t="n">
        <v>-0.027</v>
      </c>
      <c r="AA40" s="40" t="n">
        <v>-0.019</v>
      </c>
      <c r="AB40" s="40" t="n">
        <v>-0.025</v>
      </c>
      <c r="AC40" s="40" t="n">
        <v>-0.028</v>
      </c>
      <c r="AD40" s="40" t="n">
        <v>-0.016</v>
      </c>
      <c r="AE40" s="40" t="n">
        <v>-0.001</v>
      </c>
      <c r="AF40" s="40" t="n">
        <v>0.043</v>
      </c>
      <c r="AG40" s="40" t="n">
        <v>0.07200000000000001</v>
      </c>
      <c r="AH40" s="40" t="n">
        <v>0.025</v>
      </c>
      <c r="AI40" s="40" t="n">
        <v>0.102</v>
      </c>
      <c r="AJ40" s="40" t="n">
        <v>0.029</v>
      </c>
      <c r="AK40" s="40" t="n">
        <v>-0.031</v>
      </c>
      <c r="AL40" s="40" t="n">
        <v>-0.043</v>
      </c>
      <c r="AM40" s="40" t="n">
        <v>0</v>
      </c>
      <c r="AN40" s="40" t="n">
        <v>-0.07200000000000001</v>
      </c>
      <c r="AO40" s="40" t="n">
        <v>-0.043</v>
      </c>
      <c r="AP40" s="40" t="n">
        <v>-0.044</v>
      </c>
      <c r="AQ40" s="40" t="n">
        <v>-0.012</v>
      </c>
      <c r="AR40" s="40" t="n">
        <v>-0.044</v>
      </c>
      <c r="AS40" s="40" t="n">
        <v>-0.029</v>
      </c>
      <c r="AT40" s="40" t="n">
        <v>-0.022</v>
      </c>
      <c r="AU40" s="40" t="n">
        <v>0.012</v>
      </c>
      <c r="AV40" s="40" t="n">
        <v>0.011</v>
      </c>
      <c r="AW40" s="40" t="n">
        <v>-0.006999999999999999</v>
      </c>
      <c r="AX40" s="40" t="n">
        <v>0.047</v>
      </c>
      <c r="AY40" s="40" t="n">
        <v>0.067</v>
      </c>
      <c r="AZ40" s="40" t="n">
        <v>-0.009000000000000001</v>
      </c>
      <c r="BA40" s="40" t="n">
        <v>-0.06900000000000001</v>
      </c>
      <c r="BB40" s="40" t="n">
        <v>0.006</v>
      </c>
      <c r="BC40" s="40" t="n">
        <v>-0.152</v>
      </c>
      <c r="BD40" s="40" t="n">
        <v>-0.181</v>
      </c>
      <c r="BE40" s="40" t="n">
        <v>-0.21</v>
      </c>
      <c r="BF40" s="40" t="n">
        <v>-0.14</v>
      </c>
      <c r="BG40" s="40" t="n">
        <v>-0.17</v>
      </c>
      <c r="BH40" s="40" t="n">
        <v>-0.051</v>
      </c>
      <c r="BI40" s="40" t="n">
        <v>0.003</v>
      </c>
      <c r="BJ40" s="40" t="n">
        <v>0.038</v>
      </c>
      <c r="BK40" s="40" t="n">
        <v>0.036</v>
      </c>
      <c r="BL40" s="40" t="n">
        <v>0.005</v>
      </c>
      <c r="BM40" s="40" t="n">
        <v>-0.001</v>
      </c>
      <c r="BN40" s="40" t="n">
        <v>-0.008</v>
      </c>
      <c r="BO40" s="40" t="n">
        <v>0.014</v>
      </c>
      <c r="BP40" s="40" t="n">
        <v>-0.013</v>
      </c>
      <c r="BQ40" s="40" t="n">
        <v>-0.003</v>
      </c>
      <c r="BR40" s="40" t="n">
        <v>-0.02</v>
      </c>
      <c r="BS40" s="40" t="n">
        <v>0.038</v>
      </c>
      <c r="BT40" s="40" t="n">
        <v>0.021</v>
      </c>
      <c r="BU40" s="40" t="n">
        <v>0.051</v>
      </c>
      <c r="BV40" s="40" t="n">
        <v>0.023</v>
      </c>
      <c r="BW40" s="40" t="n">
        <v>0.062</v>
      </c>
      <c r="BX40" s="40" t="n">
        <v>0.006</v>
      </c>
      <c r="BY40" s="255" t="n">
        <v>0</v>
      </c>
      <c r="BZ40" s="255" t="n">
        <v>0</v>
      </c>
      <c r="CA40" s="254">
        <f>IFERROR(CA45/BV35,"")</f>
        <v>0.0160538853646877</v>
      </c>
      <c r="CB40" s="254">
        <f>CHOOSE(MATCH($CF$2,{"Bull","Base","Bear"},0),$CO$53,$CP$53,$CQ$53)</f>
        <v>0</v>
      </c>
      <c r="CC40" s="254">
        <f>CHOOSE(MATCH($CF$2,{"Bull","Base","Bear"},0),$CO$54,$CP$54,$CQ$54)</f>
        <v>0</v>
      </c>
      <c r="CD40" s="254">
        <f>CHOOSE(MATCH($CF$2,{"Bull","Base","Bear"},0),$CO$55,$CP$55,$CQ$55)</f>
        <v>0</v>
      </c>
      <c r="CE40" s="254">
        <f>CHOOSE(MATCH($CF$2,{"Bull","Base","Bear"},0),$CO$56,$CP$56,$CQ$56)</f>
        <v>0</v>
      </c>
      <c r="CF40" s="19" t="inlineStr">
        <is>
          <t>Q3/Q4-26E: FX input (spot-rate translation vs prior-year quarter). 2027E+: International Welding FX lever; Americas &amp; Harris 0%.</t>
        </is>
      </c>
      <c r="CN40" s="25" t="inlineStr">
        <is>
          <t xml:space="preserve">  2029E</t>
        </is>
      </c>
      <c r="CO40" s="33">
        <f>CP40+$CO$37</f>
        <v>0.025</v>
      </c>
      <c r="CP40" s="42" t="n">
        <v>0.015</v>
      </c>
      <c r="CQ40" s="33">
        <f>CP40+$CQ$37</f>
        <v>0.005</v>
      </c>
    </row>
    <row r="41">
      <c r="B41" s="25" t="inlineStr">
        <is>
          <t xml:space="preserve">  Organic growth % (volume + price)</t>
        </is>
      </c>
      <c r="C41" s="36" t="n"/>
      <c r="D41" s="36" t="n"/>
      <c r="E41" s="36" t="n"/>
      <c r="F41" s="36" t="n"/>
      <c r="G41" s="36" t="n"/>
      <c r="H41" s="36" t="n"/>
      <c r="I41" s="36" t="n"/>
      <c r="J41" s="36" t="n"/>
      <c r="K41" s="36" t="n"/>
      <c r="L41" s="36" t="n"/>
      <c r="M41" s="36" t="n"/>
      <c r="N41" s="36" t="n"/>
      <c r="O41" s="36" t="n"/>
      <c r="P41" s="36" t="n"/>
      <c r="Q41" s="36" t="n"/>
      <c r="R41" s="36" t="n"/>
      <c r="S41" s="36" t="n"/>
      <c r="T41" s="36" t="n"/>
      <c r="U41" s="36" t="n"/>
      <c r="V41" s="36" t="n"/>
      <c r="W41" s="36" t="n"/>
      <c r="X41" s="36" t="n"/>
      <c r="Y41" s="36">
        <f>Y37+Y38</f>
        <v>-0.093</v>
      </c>
      <c r="Z41" s="36">
        <f>Z37+Z38</f>
        <v>-0.063</v>
      </c>
      <c r="AA41" s="36">
        <f>AA37+AA38</f>
        <v>-0.059</v>
      </c>
      <c r="AB41" s="36">
        <f>AB37+AB38</f>
        <v>0.102</v>
      </c>
      <c r="AC41" s="36">
        <f>AC37+AC38</f>
        <v>-0.032</v>
      </c>
      <c r="AD41" s="36">
        <f>AD37+AD38</f>
        <v>0.053</v>
      </c>
      <c r="AE41" s="36">
        <f>AE37+AE38</f>
        <v>0.066</v>
      </c>
      <c r="AF41" s="36">
        <f>AF37+AF38</f>
        <v>0.096</v>
      </c>
      <c r="AG41" s="36">
        <f>AG37+AG38</f>
        <v>0.031</v>
      </c>
      <c r="AH41" s="36">
        <f>AH37+AH38</f>
        <v>0.061</v>
      </c>
      <c r="AI41" s="36">
        <f>AI37+AI38</f>
        <v>0.017</v>
      </c>
      <c r="AJ41" s="36">
        <f>AJ37+AJ38</f>
        <v>0.01</v>
      </c>
      <c r="AK41" s="36">
        <f>AK37+AK38</f>
        <v>-0.053</v>
      </c>
      <c r="AL41" s="36">
        <f>AL37+AL38</f>
        <v>-0.099</v>
      </c>
      <c r="AM41" s="36">
        <f>AM37+AM38</f>
        <v>-0.044</v>
      </c>
      <c r="AN41" s="36">
        <f>AN37+AN38</f>
        <v>-0.046</v>
      </c>
      <c r="AO41" s="36">
        <f>AO37+AO38</f>
        <v>-0.085</v>
      </c>
      <c r="AP41" s="36">
        <f>AP37+AP38</f>
        <v>-0.059</v>
      </c>
      <c r="AQ41" s="36">
        <f>AQ37+AQ38</f>
        <v>-0.081</v>
      </c>
      <c r="AR41" s="36">
        <f>AR37+AR38</f>
        <v>-0.068</v>
      </c>
      <c r="AS41" s="36">
        <f>AS37+AS38</f>
        <v>-0.148</v>
      </c>
      <c r="AT41" s="36">
        <f>AT37+AT38</f>
        <v>-0.215</v>
      </c>
      <c r="AU41" s="36">
        <f>AU37+AU38</f>
        <v>-0.053</v>
      </c>
      <c r="AV41" s="36">
        <f>AV37+AV38</f>
        <v>-0.029</v>
      </c>
      <c r="AW41" s="36">
        <f>AW37+AW38</f>
        <v>-0.111</v>
      </c>
      <c r="AX41" s="36">
        <f>AX37+AX38</f>
        <v>0.08</v>
      </c>
      <c r="AY41" s="36">
        <f>AY37+AY38</f>
        <v>0.338</v>
      </c>
      <c r="AZ41" s="36">
        <f>AZ37+AZ38</f>
        <v>0.146</v>
      </c>
      <c r="BA41" s="36">
        <f>BA37+BA38</f>
        <v>0.131</v>
      </c>
      <c r="BB41" s="36">
        <f>BB37+BB38</f>
        <v>0.169</v>
      </c>
      <c r="BC41" s="36">
        <f>BC37+BC38</f>
        <v>0.229</v>
      </c>
      <c r="BD41" s="36">
        <f>BD37+BD38</f>
        <v>0.119</v>
      </c>
      <c r="BE41" s="36">
        <f>BE37+BE38</f>
        <v>0.162</v>
      </c>
      <c r="BF41" s="36">
        <f>BF37+BF38</f>
        <v>0.131</v>
      </c>
      <c r="BG41" s="36">
        <f>BG37+BG38</f>
        <v>0.158</v>
      </c>
      <c r="BH41" s="36">
        <f>BH37+BH38</f>
        <v>0.001</v>
      </c>
      <c r="BI41" s="36">
        <f>BI37+BI38</f>
        <v>0.042</v>
      </c>
      <c r="BJ41" s="36">
        <f>BJ37+BJ38</f>
        <v>0.031</v>
      </c>
      <c r="BK41" s="36">
        <f>BK37+BK38</f>
        <v>0.042</v>
      </c>
      <c r="BL41" s="36">
        <f>BL37+BL38</f>
        <v>0.028</v>
      </c>
      <c r="BM41" s="36">
        <f>BM37+BM38</f>
        <v>-0.065</v>
      </c>
      <c r="BN41" s="36">
        <f>BN37+BN38</f>
        <v>-0.05</v>
      </c>
      <c r="BO41" s="36">
        <f>BO37+BO38</f>
        <v>-0.125</v>
      </c>
      <c r="BP41" s="36">
        <f>BP37+BP38</f>
        <v>-0.157</v>
      </c>
      <c r="BQ41" s="36">
        <f>BQ37+BQ38</f>
        <v>-0.101</v>
      </c>
      <c r="BR41" s="36">
        <f>BR37+BR38</f>
        <v>-0.054</v>
      </c>
      <c r="BS41" s="36">
        <f>BS37+BS38</f>
        <v>-0.064</v>
      </c>
      <c r="BT41" s="36">
        <f>BT37+BT38</f>
        <v>-0.042</v>
      </c>
      <c r="BU41" s="36">
        <f>BU37+BU38</f>
        <v>-0.031</v>
      </c>
      <c r="BV41" s="36">
        <f>BV37+BV38</f>
        <v>-0.048</v>
      </c>
      <c r="BW41" s="36">
        <f>BW37+BW38</f>
        <v>-0.098</v>
      </c>
      <c r="BX41" s="36">
        <f>BX37+BX38</f>
        <v>-0.031</v>
      </c>
      <c r="BY41" s="254">
        <f>BY37+BY38</f>
        <v>-0.0192423076887133</v>
      </c>
      <c r="BZ41" s="254">
        <f>BZ37+BZ38</f>
        <v>-0.0192423076887133</v>
      </c>
      <c r="CA41" s="254">
        <f>CA37+CA38</f>
        <v>-0.0405060675143441</v>
      </c>
      <c r="CB41" s="254">
        <f>CB37+CB38</f>
        <v>0.035</v>
      </c>
      <c r="CC41" s="254">
        <f>CC37+CC38</f>
        <v>0.04</v>
      </c>
      <c r="CD41" s="254">
        <f>CD37+CD38</f>
        <v>0.04</v>
      </c>
      <c r="CE41" s="254">
        <f>CE37+CE38</f>
        <v>0.04</v>
      </c>
      <c r="CF41" s="19" t="n"/>
      <c r="CN41" s="25" t="inlineStr">
        <is>
          <t xml:space="preserve">  2030E</t>
        </is>
      </c>
      <c r="CO41" s="33">
        <f>CP41+$CO$37</f>
        <v>0.025</v>
      </c>
      <c r="CP41" s="42" t="n">
        <v>0.015</v>
      </c>
      <c r="CQ41" s="33">
        <f>CP41+$CQ$37</f>
        <v>0.005</v>
      </c>
    </row>
    <row r="42" outlineLevel="2" s="251">
      <c r="B42" s="25" t="inlineStr">
        <is>
          <t xml:space="preserve">  Δ Net sales — volume ($)</t>
        </is>
      </c>
      <c r="C42" s="34" t="n"/>
      <c r="D42" s="34" t="n"/>
      <c r="E42" s="34" t="n"/>
      <c r="F42" s="34" t="n"/>
      <c r="G42" s="34" t="n"/>
      <c r="H42" s="34" t="n"/>
      <c r="I42" s="34" t="n"/>
      <c r="J42" s="34" t="n"/>
      <c r="K42" s="34" t="n"/>
      <c r="L42" s="34" t="n"/>
      <c r="M42" s="34" t="n"/>
      <c r="N42" s="34" t="n"/>
      <c r="O42" s="34" t="n"/>
      <c r="P42" s="34" t="n"/>
      <c r="Q42" s="34" t="n"/>
      <c r="R42" s="34" t="n"/>
      <c r="S42" s="34" t="n"/>
      <c r="T42" s="34" t="n"/>
      <c r="U42" s="34" t="n"/>
      <c r="V42" s="34" t="n"/>
      <c r="W42" s="34" t="n"/>
      <c r="X42" s="34" t="n"/>
      <c r="Y42" s="34" t="n">
        <v>-9.821999999999999</v>
      </c>
      <c r="Z42" s="34" t="n">
        <v>-5.112</v>
      </c>
      <c r="AA42" s="34" t="n">
        <v>-6.322</v>
      </c>
      <c r="AB42" s="34" t="n">
        <v>12.627</v>
      </c>
      <c r="AC42" s="34" t="n">
        <v>-8.629</v>
      </c>
      <c r="AD42" s="34" t="n">
        <v>3.347</v>
      </c>
      <c r="AE42" s="34" t="n">
        <v>4.377</v>
      </c>
      <c r="AF42" s="34" t="n">
        <v>7.988</v>
      </c>
      <c r="AG42" s="34" t="n">
        <v>-3.209</v>
      </c>
      <c r="AH42" s="34" t="n">
        <v>12.503</v>
      </c>
      <c r="AI42" s="34" t="n">
        <v>-4.737</v>
      </c>
      <c r="AJ42" s="34" t="n">
        <v>-6.369</v>
      </c>
      <c r="AK42" s="34" t="n">
        <v>-20.659</v>
      </c>
      <c r="AL42" s="34" t="n">
        <v>-35.198</v>
      </c>
      <c r="AM42" s="34" t="n">
        <v>-66.96299999999999</v>
      </c>
      <c r="AN42" s="34" t="n">
        <v>-17.917</v>
      </c>
      <c r="AO42" s="34" t="n">
        <v>-23.55</v>
      </c>
      <c r="AP42" s="34" t="n">
        <v>-12.966</v>
      </c>
      <c r="AQ42" s="34" t="n">
        <v>-17.076</v>
      </c>
      <c r="AR42" s="34" t="n">
        <v>-71.509</v>
      </c>
      <c r="AS42" s="34" t="n">
        <v>-30.507</v>
      </c>
      <c r="AT42" s="34" t="n">
        <v>-44.452</v>
      </c>
      <c r="AU42" s="34" t="n">
        <v>-10.964</v>
      </c>
      <c r="AV42" s="34" t="n">
        <v>-7.341</v>
      </c>
      <c r="AW42" s="34" t="n">
        <v>-93.264</v>
      </c>
      <c r="AX42" s="34" t="n">
        <v>11.25</v>
      </c>
      <c r="AY42" s="34" t="n">
        <v>45.095</v>
      </c>
      <c r="AZ42" s="34" t="n">
        <v>7.452</v>
      </c>
      <c r="BA42" s="34" t="n">
        <v>-1.764</v>
      </c>
      <c r="BB42" s="34" t="n">
        <v>62.033</v>
      </c>
      <c r="BC42" s="34" t="n">
        <v>-1.024</v>
      </c>
      <c r="BD42" s="34" t="n">
        <v>-16.862</v>
      </c>
      <c r="BE42" s="34" t="n">
        <v>5.538</v>
      </c>
      <c r="BF42" s="34" t="n">
        <v>3.329</v>
      </c>
      <c r="BG42" s="34" t="n">
        <v>-9.019</v>
      </c>
      <c r="BH42" s="34" t="n">
        <v>-14.657</v>
      </c>
      <c r="BI42" s="34" t="n">
        <v>9.006</v>
      </c>
      <c r="BJ42" s="34" t="n">
        <v>6.296</v>
      </c>
      <c r="BK42" s="34" t="n">
        <v>11.874</v>
      </c>
      <c r="BL42" s="34" t="n">
        <v>12.519</v>
      </c>
      <c r="BM42" s="34" t="n">
        <v>-12.272</v>
      </c>
      <c r="BN42" s="34" t="n">
        <v>-9.557</v>
      </c>
      <c r="BO42" s="34" t="n">
        <v>-28.899</v>
      </c>
      <c r="BP42" s="34" t="n">
        <v>-45.93</v>
      </c>
      <c r="BQ42" s="34" t="n">
        <v>-96.658</v>
      </c>
      <c r="BR42" s="34" t="n">
        <v>-13.648</v>
      </c>
      <c r="BS42" s="34" t="n">
        <v>-16.172</v>
      </c>
      <c r="BT42" s="34" t="n">
        <v>-9.173999999999999</v>
      </c>
      <c r="BU42" s="34" t="n">
        <v>-8.635</v>
      </c>
      <c r="BV42" s="34" t="n">
        <v>-47.629</v>
      </c>
      <c r="BW42" s="34" t="n">
        <v>-21.631</v>
      </c>
      <c r="BX42" s="34" t="n">
        <v>-10.931</v>
      </c>
      <c r="BY42" s="257">
        <f>BT35*BY37</f>
        <v>-7.74023279536442</v>
      </c>
      <c r="BZ42" s="257">
        <f>BU35*BZ37</f>
        <v>-9.14012774137549</v>
      </c>
      <c r="CA42" s="257">
        <f>SUM(BW42,BX42,BY42,BZ42)</f>
        <v>-49.4423605367399</v>
      </c>
      <c r="CB42" s="257">
        <f>CA35*CB37</f>
        <v>18.9098638572652</v>
      </c>
      <c r="CC42" s="257">
        <f>CB35*CC37</f>
        <v>24.4646363653369</v>
      </c>
      <c r="CD42" s="257">
        <f>CC35*CD37</f>
        <v>25.4432218199503</v>
      </c>
      <c r="CE42" s="257">
        <f>CD35*CE37</f>
        <v>26.4609506927483</v>
      </c>
      <c r="CF42" s="19" t="n"/>
      <c r="CN42" s="15" t="inlineStr">
        <is>
          <t>HPG_vol (Harris Products volume y/y)</t>
        </is>
      </c>
      <c r="CO42" s="259" t="n">
        <v>0.02</v>
      </c>
      <c r="CP42" s="21" t="inlineStr">
        <is>
          <t>Δ →</t>
        </is>
      </c>
      <c r="CQ42" s="259" t="n">
        <v>-0.02</v>
      </c>
      <c r="CR42" s="13" t="inlineStr">
        <is>
          <t>HVAC/R, retail &amp; specialty gas equipment; 1H/26 volume −4.9% against metals-driven price.</t>
        </is>
      </c>
    </row>
    <row r="43" outlineLevel="2" s="251">
      <c r="B43" s="25" t="inlineStr">
        <is>
          <t xml:space="preserve">  Δ Net sales — price ($)</t>
        </is>
      </c>
      <c r="C43" s="34" t="n"/>
      <c r="D43" s="34" t="n"/>
      <c r="E43" s="34" t="n"/>
      <c r="F43" s="34" t="n"/>
      <c r="G43" s="34" t="n"/>
      <c r="H43" s="34" t="n"/>
      <c r="I43" s="34" t="n"/>
      <c r="J43" s="34" t="n"/>
      <c r="K43" s="34" t="n"/>
      <c r="L43" s="34" t="n"/>
      <c r="M43" s="34" t="n"/>
      <c r="N43" s="34" t="n"/>
      <c r="O43" s="34" t="n"/>
      <c r="P43" s="34" t="n"/>
      <c r="Q43" s="34" t="n"/>
      <c r="R43" s="34" t="n"/>
      <c r="S43" s="34" t="n"/>
      <c r="T43" s="34" t="n"/>
      <c r="U43" s="34" t="n"/>
      <c r="V43" s="34" t="n"/>
      <c r="W43" s="34" t="n"/>
      <c r="X43" s="34" t="n"/>
      <c r="Y43" s="34" t="n">
        <v>-3.105</v>
      </c>
      <c r="Z43" s="34" t="n">
        <v>-3.883</v>
      </c>
      <c r="AA43" s="34" t="n">
        <v>-1.255</v>
      </c>
      <c r="AB43" s="34" t="n">
        <v>-0.185</v>
      </c>
      <c r="AC43" s="34" t="n">
        <v>-8.428000000000001</v>
      </c>
      <c r="AD43" s="34" t="n">
        <v>3.199</v>
      </c>
      <c r="AE43" s="34" t="n">
        <v>4.423</v>
      </c>
      <c r="AF43" s="34" t="n">
        <v>3.446</v>
      </c>
      <c r="AG43" s="34" t="n">
        <v>7.259</v>
      </c>
      <c r="AH43" s="34" t="n">
        <v>18.327</v>
      </c>
      <c r="AI43" s="34" t="n">
        <v>7.019</v>
      </c>
      <c r="AJ43" s="34" t="n">
        <v>7.772</v>
      </c>
      <c r="AK43" s="34" t="n">
        <v>10.36</v>
      </c>
      <c r="AL43" s="34" t="n">
        <v>9.625999999999999</v>
      </c>
      <c r="AM43" s="34" t="n">
        <v>34.777</v>
      </c>
      <c r="AN43" s="34" t="n">
        <v>6.475</v>
      </c>
      <c r="AO43" s="34" t="n">
        <v>2.837</v>
      </c>
      <c r="AP43" s="34" t="n">
        <v>0.607</v>
      </c>
      <c r="AQ43" s="34" t="n">
        <v>-0.76</v>
      </c>
      <c r="AR43" s="34" t="n">
        <v>9.159000000000001</v>
      </c>
      <c r="AS43" s="34" t="n">
        <v>-1.691</v>
      </c>
      <c r="AT43" s="34" t="n">
        <v>-1.28</v>
      </c>
      <c r="AU43" s="34" t="n">
        <v>0.07000000000000001</v>
      </c>
      <c r="AV43" s="34" t="n">
        <v>1.101</v>
      </c>
      <c r="AW43" s="34" t="n">
        <v>-1.8</v>
      </c>
      <c r="AX43" s="34" t="n">
        <v>4.62</v>
      </c>
      <c r="AY43" s="34" t="n">
        <v>14.712</v>
      </c>
      <c r="AZ43" s="34" t="n">
        <v>21.205</v>
      </c>
      <c r="BA43" s="34" t="n">
        <v>29.92</v>
      </c>
      <c r="BB43" s="34" t="n">
        <v>70.45699999999999</v>
      </c>
      <c r="BC43" s="34" t="n">
        <v>52.19</v>
      </c>
      <c r="BD43" s="34" t="n">
        <v>46.813</v>
      </c>
      <c r="BE43" s="34" t="n">
        <v>31.43</v>
      </c>
      <c r="BF43" s="34" t="n">
        <v>28.697</v>
      </c>
      <c r="BG43" s="34" t="n">
        <v>159.13</v>
      </c>
      <c r="BH43" s="34" t="n">
        <v>14.869</v>
      </c>
      <c r="BI43" s="34" t="n">
        <v>0.999</v>
      </c>
      <c r="BJ43" s="34" t="n">
        <v>0.477</v>
      </c>
      <c r="BK43" s="34" t="n">
        <v>-1.654</v>
      </c>
      <c r="BL43" s="34" t="n">
        <v>14.691</v>
      </c>
      <c r="BM43" s="34" t="n">
        <v>-4.01</v>
      </c>
      <c r="BN43" s="34" t="n">
        <v>-3.149</v>
      </c>
      <c r="BO43" s="34" t="n">
        <v>-1.349</v>
      </c>
      <c r="BP43" s="34" t="n">
        <v>0.095</v>
      </c>
      <c r="BQ43" s="34" t="n">
        <v>-8.413</v>
      </c>
      <c r="BR43" s="34" t="n">
        <v>0.828</v>
      </c>
      <c r="BS43" s="34" t="n">
        <v>0.852</v>
      </c>
      <c r="BT43" s="34" t="n">
        <v>0.093</v>
      </c>
      <c r="BU43" s="34" t="n">
        <v>1.289</v>
      </c>
      <c r="BV43" s="34" t="n">
        <v>3.062</v>
      </c>
      <c r="BW43" s="34" t="n">
        <v>0.297</v>
      </c>
      <c r="BX43" s="34" t="n">
        <v>3.776</v>
      </c>
      <c r="BY43" s="257">
        <f>BT35*BY38</f>
        <v>3.514064</v>
      </c>
      <c r="BZ43" s="257">
        <f>BU35*BZ38</f>
        <v>4.149616</v>
      </c>
      <c r="CA43" s="257">
        <f>SUM(BW43,BX43,BY43,BZ43)</f>
        <v>11.73668</v>
      </c>
      <c r="CB43" s="257">
        <f>CA35*CB38</f>
        <v>14.1823978929489</v>
      </c>
      <c r="CC43" s="257">
        <f>CB35*CC38</f>
        <v>14.6787818192021</v>
      </c>
      <c r="CD43" s="257">
        <f>CC35*CD38</f>
        <v>15.2659330919702</v>
      </c>
      <c r="CE43" s="257">
        <f>CD35*CE38</f>
        <v>15.876570415649</v>
      </c>
      <c r="CF43" s="19" t="n"/>
      <c r="CN43" s="25" t="inlineStr">
        <is>
          <t xml:space="preserve">  2027E</t>
        </is>
      </c>
      <c r="CO43" s="33">
        <f>CP43+$CO$42</f>
        <v>0.05</v>
      </c>
      <c r="CP43" s="42" t="n">
        <v>0.03</v>
      </c>
      <c r="CQ43" s="33">
        <f>CP43+$CQ$42</f>
        <v>0.01</v>
      </c>
    </row>
    <row r="44" outlineLevel="2" s="251">
      <c r="B44" s="25" t="inlineStr">
        <is>
          <t xml:space="preserve">  Δ Net sales — acquisitions ($)</t>
        </is>
      </c>
      <c r="C44" s="34" t="n"/>
      <c r="D44" s="34" t="n"/>
      <c r="E44" s="34" t="n"/>
      <c r="F44" s="34" t="n"/>
      <c r="G44" s="34" t="n"/>
      <c r="H44" s="34" t="n"/>
      <c r="I44" s="34" t="n"/>
      <c r="J44" s="34" t="n"/>
      <c r="K44" s="34" t="n"/>
      <c r="L44" s="34" t="n"/>
      <c r="M44" s="34" t="n"/>
      <c r="N44" s="34" t="n"/>
      <c r="O44" s="34" t="n"/>
      <c r="P44" s="34" t="n"/>
      <c r="Q44" s="34" t="n"/>
      <c r="R44" s="34" t="n"/>
      <c r="S44" s="34" t="n"/>
      <c r="T44" s="34" t="n"/>
      <c r="U44" s="34" t="n"/>
      <c r="V44" s="34" t="n"/>
      <c r="W44" s="34" t="n"/>
      <c r="X44" s="34" t="n"/>
      <c r="Y44" s="34" t="n">
        <v>3.465</v>
      </c>
      <c r="Z44" s="34" t="n">
        <v>3.702</v>
      </c>
      <c r="AA44" s="34" t="n">
        <v>1.454</v>
      </c>
      <c r="AB44" s="34" t="n">
        <v>0</v>
      </c>
      <c r="AC44" s="34" t="n">
        <v>8.622</v>
      </c>
      <c r="AD44" s="34" t="n">
        <v>0</v>
      </c>
      <c r="AE44" s="34" t="n">
        <v>0</v>
      </c>
      <c r="AF44" s="34" t="n">
        <v>61.52</v>
      </c>
      <c r="AG44" s="34" t="n">
        <v>111.91</v>
      </c>
      <c r="AH44" s="34" t="n">
        <v>173.43</v>
      </c>
      <c r="AI44" s="34" t="n">
        <v>102.946</v>
      </c>
      <c r="AJ44" s="34" t="n">
        <v>96.318</v>
      </c>
      <c r="AK44" s="34" t="n">
        <v>28.334</v>
      </c>
      <c r="AL44" s="34" t="n">
        <v>0</v>
      </c>
      <c r="AM44" s="34" t="n">
        <v>227.598</v>
      </c>
      <c r="AN44" s="34" t="n">
        <v>0</v>
      </c>
      <c r="AO44" s="34" t="n">
        <v>0</v>
      </c>
      <c r="AP44" s="34" t="n">
        <v>17.413</v>
      </c>
      <c r="AQ44" s="34" t="n">
        <v>19.648</v>
      </c>
      <c r="AR44" s="34" t="n">
        <v>37.061</v>
      </c>
      <c r="AS44" s="34" t="n">
        <v>18.302</v>
      </c>
      <c r="AT44" s="34" t="n">
        <v>15.219</v>
      </c>
      <c r="AU44" s="34" t="n">
        <v>0</v>
      </c>
      <c r="AV44" s="34" t="n">
        <v>0</v>
      </c>
      <c r="AW44" s="34" t="n">
        <v>33.521</v>
      </c>
      <c r="AX44" s="34" t="n">
        <v>0</v>
      </c>
      <c r="AY44" s="34" t="n">
        <v>3.585</v>
      </c>
      <c r="AZ44" s="34" t="n">
        <v>3.371</v>
      </c>
      <c r="BA44" s="34" t="n">
        <v>17.517</v>
      </c>
      <c r="BB44" s="34" t="n">
        <v>24.473</v>
      </c>
      <c r="BC44" s="34" t="n">
        <v>17.632</v>
      </c>
      <c r="BD44" s="34" t="n">
        <v>0</v>
      </c>
      <c r="BE44" s="34" t="n">
        <v>0</v>
      </c>
      <c r="BF44" s="34" t="n">
        <v>0</v>
      </c>
      <c r="BG44" s="34" t="n">
        <v>17.632</v>
      </c>
      <c r="BH44" s="34" t="n">
        <v>7.356</v>
      </c>
      <c r="BI44" s="34" t="n">
        <v>6.009</v>
      </c>
      <c r="BJ44" s="34" t="n">
        <v>10.564</v>
      </c>
      <c r="BK44" s="34" t="n">
        <v>30.149</v>
      </c>
      <c r="BL44" s="34" t="n">
        <v>54.078</v>
      </c>
      <c r="BM44" s="34" t="n">
        <v>0</v>
      </c>
      <c r="BN44" s="34" t="n">
        <v>0.057</v>
      </c>
      <c r="BO44" s="34" t="n">
        <v>1.064</v>
      </c>
      <c r="BP44" s="34" t="n">
        <v>0.539</v>
      </c>
      <c r="BQ44" s="34" t="n">
        <v>1.66</v>
      </c>
      <c r="BR44" s="34" t="n">
        <v>0.8149999999999999</v>
      </c>
      <c r="BS44" s="34" t="n">
        <v>0.315</v>
      </c>
      <c r="BT44" s="34" t="n">
        <v>7.868</v>
      </c>
      <c r="BU44" s="34" t="n">
        <v>11.119</v>
      </c>
      <c r="BV44" s="34" t="n">
        <v>20.117</v>
      </c>
      <c r="BW44" s="34" t="n">
        <v>15.794</v>
      </c>
      <c r="BX44" s="34" t="n">
        <v>16.193</v>
      </c>
      <c r="BY44" s="257">
        <f>BT35*BY39</f>
        <v>5.4028734</v>
      </c>
      <c r="BZ44" s="257">
        <f>BU35*BZ39</f>
        <v>0</v>
      </c>
      <c r="CA44" s="257">
        <f>SUM(BW44,BX44,BY44,BZ44)</f>
        <v>37.3898734</v>
      </c>
      <c r="CB44" s="257">
        <f>CA35*CB39</f>
        <v>0</v>
      </c>
      <c r="CC44" s="257">
        <f>CB35*CC39</f>
        <v>0</v>
      </c>
      <c r="CD44" s="257">
        <f>CC35*CD39</f>
        <v>0</v>
      </c>
      <c r="CE44" s="257">
        <f>CD35*CE39</f>
        <v>0</v>
      </c>
      <c r="CF44" s="19" t="n"/>
      <c r="CN44" s="25" t="inlineStr">
        <is>
          <t xml:space="preserve">  2028E</t>
        </is>
      </c>
      <c r="CO44" s="33">
        <f>CP44+$CO$42</f>
        <v>0.05</v>
      </c>
      <c r="CP44" s="42" t="n">
        <v>0.03</v>
      </c>
      <c r="CQ44" s="33">
        <f>CP44+$CQ$42</f>
        <v>0.01</v>
      </c>
    </row>
    <row r="45" outlineLevel="2" s="251">
      <c r="B45" s="25" t="inlineStr">
        <is>
          <t xml:space="preserve">  Δ Net sales — foreign exchange ($)</t>
        </is>
      </c>
      <c r="C45" s="34" t="n"/>
      <c r="D45" s="34" t="n"/>
      <c r="E45" s="34" t="n"/>
      <c r="F45" s="34" t="n"/>
      <c r="G45" s="34" t="n"/>
      <c r="H45" s="34" t="n"/>
      <c r="I45" s="34" t="n"/>
      <c r="J45" s="34" t="n"/>
      <c r="K45" s="34" t="n"/>
      <c r="L45" s="34" t="n"/>
      <c r="M45" s="34" t="n"/>
      <c r="N45" s="34" t="n"/>
      <c r="O45" s="34" t="n"/>
      <c r="P45" s="34" t="n"/>
      <c r="Q45" s="34" t="n"/>
      <c r="R45" s="34" t="n"/>
      <c r="S45" s="34" t="n"/>
      <c r="T45" s="34" t="n"/>
      <c r="U45" s="34" t="n"/>
      <c r="V45" s="34" t="n"/>
      <c r="W45" s="34" t="n"/>
      <c r="X45" s="34" t="n"/>
      <c r="Y45" s="34" t="n">
        <v>-5.48</v>
      </c>
      <c r="Z45" s="34" t="n">
        <v>-3.819</v>
      </c>
      <c r="AA45" s="34" t="n">
        <v>-2.385</v>
      </c>
      <c r="AB45" s="34" t="n">
        <v>-3.051</v>
      </c>
      <c r="AC45" s="34" t="n">
        <v>-14.736</v>
      </c>
      <c r="AD45" s="34" t="n">
        <v>-1.963</v>
      </c>
      <c r="AE45" s="34" t="n">
        <v>-0.117</v>
      </c>
      <c r="AF45" s="34" t="n">
        <v>5.099</v>
      </c>
      <c r="AG45" s="34" t="n">
        <v>9.456</v>
      </c>
      <c r="AH45" s="34" t="n">
        <v>12.475</v>
      </c>
      <c r="AI45" s="34" t="n">
        <v>13.204</v>
      </c>
      <c r="AJ45" s="34" t="n">
        <v>4.154</v>
      </c>
      <c r="AK45" s="34" t="n">
        <v>-6.03</v>
      </c>
      <c r="AL45" s="34" t="n">
        <v>-10.993</v>
      </c>
      <c r="AM45" s="34" t="n">
        <v>0.335</v>
      </c>
      <c r="AN45" s="34" t="n">
        <v>-17.792</v>
      </c>
      <c r="AO45" s="34" t="n">
        <v>-10.354</v>
      </c>
      <c r="AP45" s="34" t="n">
        <v>-9.298</v>
      </c>
      <c r="AQ45" s="34" t="n">
        <v>-2.662</v>
      </c>
      <c r="AR45" s="34" t="n">
        <v>-40.106</v>
      </c>
      <c r="AS45" s="34" t="n">
        <v>-6.267</v>
      </c>
      <c r="AT45" s="34" t="n">
        <v>-4.626</v>
      </c>
      <c r="AU45" s="34" t="n">
        <v>2.453</v>
      </c>
      <c r="AV45" s="34" t="n">
        <v>2.416</v>
      </c>
      <c r="AW45" s="34" t="n">
        <v>-6.024</v>
      </c>
      <c r="AX45" s="34" t="n">
        <v>9.286</v>
      </c>
      <c r="AY45" s="34" t="n">
        <v>11.793</v>
      </c>
      <c r="AZ45" s="34" t="n">
        <v>-1.8</v>
      </c>
      <c r="BA45" s="34" t="n">
        <v>-14.926</v>
      </c>
      <c r="BB45" s="34" t="n">
        <v>4.353</v>
      </c>
      <c r="BC45" s="34" t="n">
        <v>-33.836</v>
      </c>
      <c r="BD45" s="34" t="n">
        <v>-45.674</v>
      </c>
      <c r="BE45" s="34" t="n">
        <v>-47.636</v>
      </c>
      <c r="BF45" s="34" t="n">
        <v>-34.441</v>
      </c>
      <c r="BG45" s="34" t="n">
        <v>-161.587</v>
      </c>
      <c r="BH45" s="34" t="n">
        <v>-13.193</v>
      </c>
      <c r="BI45" s="34" t="n">
        <v>0.76</v>
      </c>
      <c r="BJ45" s="34" t="n">
        <v>8.176</v>
      </c>
      <c r="BK45" s="34" t="n">
        <v>8.694000000000001</v>
      </c>
      <c r="BL45" s="34" t="n">
        <v>4.437</v>
      </c>
      <c r="BM45" s="34" t="n">
        <v>-0.373</v>
      </c>
      <c r="BN45" s="34" t="n">
        <v>-1.996</v>
      </c>
      <c r="BO45" s="34" t="n">
        <v>3.398</v>
      </c>
      <c r="BP45" s="34" t="n">
        <v>-3.902</v>
      </c>
      <c r="BQ45" s="34" t="n">
        <v>-2.873</v>
      </c>
      <c r="BR45" s="34" t="n">
        <v>-4.695</v>
      </c>
      <c r="BS45" s="34" t="n">
        <v>9.071</v>
      </c>
      <c r="BT45" s="34" t="n">
        <v>4.618</v>
      </c>
      <c r="BU45" s="34" t="n">
        <v>12.599</v>
      </c>
      <c r="BV45" s="34" t="n">
        <v>21.593</v>
      </c>
      <c r="BW45" s="34" t="n">
        <v>13.514</v>
      </c>
      <c r="BX45" s="34" t="n">
        <v>1.43</v>
      </c>
      <c r="BY45" s="257">
        <f>BT35*BY40</f>
        <v>0</v>
      </c>
      <c r="BZ45" s="257">
        <f>BU35*BZ40</f>
        <v>0</v>
      </c>
      <c r="CA45" s="257">
        <f>SUM(BW45,BX45,BY45,BZ45)</f>
        <v>14.944</v>
      </c>
      <c r="CB45" s="257">
        <f>CA35*CB40</f>
        <v>0</v>
      </c>
      <c r="CC45" s="257">
        <f>CB35*CC40</f>
        <v>0</v>
      </c>
      <c r="CD45" s="257">
        <f>CC35*CD40</f>
        <v>0</v>
      </c>
      <c r="CE45" s="257">
        <f>CD35*CE40</f>
        <v>0</v>
      </c>
      <c r="CF45" s="19" t="n"/>
      <c r="CN45" s="25" t="inlineStr">
        <is>
          <t xml:space="preserve">  2029E</t>
        </is>
      </c>
      <c r="CO45" s="33">
        <f>CP45+$CO$42</f>
        <v>0.05</v>
      </c>
      <c r="CP45" s="42" t="n">
        <v>0.03</v>
      </c>
      <c r="CQ45" s="33">
        <f>CP45+$CQ$42</f>
        <v>0.01</v>
      </c>
    </row>
    <row r="46" outlineLevel="2" s="251">
      <c r="B46" s="25" t="inlineStr">
        <is>
          <t xml:space="preserve">  Inter-segment sales</t>
        </is>
      </c>
      <c r="C46" s="34" t="n"/>
      <c r="D46" s="34" t="n"/>
      <c r="E46" s="34" t="n"/>
      <c r="F46" s="34" t="n"/>
      <c r="G46" s="34" t="n"/>
      <c r="H46" s="34" t="n"/>
      <c r="I46" s="34" t="n"/>
      <c r="J46" s="34" t="n"/>
      <c r="K46" s="34" t="n"/>
      <c r="L46" s="34" t="n"/>
      <c r="M46" s="34" t="n"/>
      <c r="N46" s="34" t="n">
        <v>22.668</v>
      </c>
      <c r="O46" s="34" t="n">
        <v>5.988</v>
      </c>
      <c r="P46" s="34" t="n">
        <v>6.08</v>
      </c>
      <c r="Q46" s="34" t="n">
        <v>4.715</v>
      </c>
      <c r="R46" s="34" t="n">
        <v>4.825</v>
      </c>
      <c r="S46" s="34" t="n">
        <v>21.608</v>
      </c>
      <c r="T46" s="34" t="n">
        <v>5.027</v>
      </c>
      <c r="U46" s="34" t="n">
        <v>5.311</v>
      </c>
      <c r="V46" s="34" t="n">
        <v>5.4</v>
      </c>
      <c r="W46" s="34" t="n">
        <v>3.009</v>
      </c>
      <c r="X46" s="34" t="n">
        <v>18.747</v>
      </c>
      <c r="Y46" s="34" t="n">
        <v>4.426</v>
      </c>
      <c r="Z46" s="34" t="n">
        <v>3.841</v>
      </c>
      <c r="AA46" s="34" t="n">
        <v>3.688</v>
      </c>
      <c r="AB46" s="34" t="n">
        <v>4.02</v>
      </c>
      <c r="AC46" s="34" t="n">
        <v>15.975</v>
      </c>
      <c r="AD46" s="34" t="n">
        <v>4.285</v>
      </c>
      <c r="AE46" s="34" t="n">
        <v>5.478</v>
      </c>
      <c r="AF46" s="34" t="n">
        <v>5.451</v>
      </c>
      <c r="AG46" s="34" t="n">
        <v>3.646</v>
      </c>
      <c r="AH46" s="34" t="n">
        <v>18.86</v>
      </c>
      <c r="AI46" s="34" t="n">
        <v>4.509</v>
      </c>
      <c r="AJ46" s="34" t="n">
        <v>5.497</v>
      </c>
      <c r="AK46" s="34" t="n">
        <v>3.663</v>
      </c>
      <c r="AL46" s="34" t="n">
        <v>4.907</v>
      </c>
      <c r="AM46" s="34" t="n">
        <v>18.576</v>
      </c>
      <c r="AN46" s="34" t="n">
        <v>4.209</v>
      </c>
      <c r="AO46" s="34" t="n">
        <v>4.188</v>
      </c>
      <c r="AP46" s="34" t="n">
        <v>4.441</v>
      </c>
      <c r="AQ46" s="34" t="n">
        <v>4.853</v>
      </c>
      <c r="AR46" s="34" t="n">
        <v>17.691</v>
      </c>
      <c r="AS46" s="34" t="n">
        <v>4.483</v>
      </c>
      <c r="AT46" s="34" t="n">
        <v>4.286</v>
      </c>
      <c r="AU46" s="34" t="n">
        <v>4.898</v>
      </c>
      <c r="AV46" s="34" t="n">
        <v>4.827</v>
      </c>
      <c r="AW46" s="34" t="n">
        <v>18.494</v>
      </c>
      <c r="AX46" s="34" t="n">
        <v>4.285</v>
      </c>
      <c r="AY46" s="34" t="n">
        <v>6.897</v>
      </c>
      <c r="AZ46" s="34" t="n">
        <v>7.078</v>
      </c>
      <c r="BA46" s="34" t="n">
        <v>8.071</v>
      </c>
      <c r="BB46" s="34" t="n">
        <v>26.331</v>
      </c>
      <c r="BC46" s="34" t="n">
        <v>6.228</v>
      </c>
      <c r="BD46" s="34" t="n">
        <v>9.526999999999999</v>
      </c>
      <c r="BE46" s="34" t="n">
        <v>9.994</v>
      </c>
      <c r="BF46" s="34" t="n">
        <v>5.754</v>
      </c>
      <c r="BG46" s="34" t="n">
        <v>31.503</v>
      </c>
      <c r="BH46" s="34" t="n">
        <v>6.753</v>
      </c>
      <c r="BI46" s="34" t="n">
        <v>8.292</v>
      </c>
      <c r="BJ46" s="34" t="n">
        <v>4.896</v>
      </c>
      <c r="BK46" s="34" t="n">
        <v>11.557</v>
      </c>
      <c r="BL46" s="34" t="n">
        <v>31.498</v>
      </c>
      <c r="BM46" s="34" t="n">
        <v>8.407999999999999</v>
      </c>
      <c r="BN46" s="34" t="n">
        <v>8.849</v>
      </c>
      <c r="BO46" s="34" t="n">
        <v>7.371</v>
      </c>
      <c r="BP46" s="34" t="n">
        <v>11.233</v>
      </c>
      <c r="BQ46" s="34" t="n">
        <v>35.861</v>
      </c>
      <c r="BR46" s="34" t="n">
        <v>6.832</v>
      </c>
      <c r="BS46" s="34" t="n">
        <v>7.641</v>
      </c>
      <c r="BT46" s="34" t="n">
        <v>9.83</v>
      </c>
      <c r="BU46" s="34" t="n">
        <v>5.857</v>
      </c>
      <c r="BV46" s="34" t="n">
        <v>30.16</v>
      </c>
      <c r="BW46" s="34" t="n">
        <v>5.807</v>
      </c>
      <c r="BX46" s="34" t="n">
        <v>7.564</v>
      </c>
      <c r="BY46" s="257">
        <f>BY35*BT46/BT35</f>
        <v>9.88266611541995</v>
      </c>
      <c r="BZ46" s="257">
        <f>BZ35*BU46/BU35</f>
        <v>5.74429780386721</v>
      </c>
      <c r="CA46" s="257">
        <f>SUM(BW46,BX46,BY46,BZ46)</f>
        <v>28.9979639192872</v>
      </c>
      <c r="CB46" s="257">
        <f>CB35*CA46/CA35</f>
        <v>30.0128926564622</v>
      </c>
      <c r="CC46" s="257">
        <f>CC35*CB46/CB35</f>
        <v>31.2134083627207</v>
      </c>
      <c r="CD46" s="257">
        <f>CD35*CC46/CC35</f>
        <v>32.4619446972295</v>
      </c>
      <c r="CE46" s="257">
        <f>CE35*CD46/CD35</f>
        <v>33.7604224851187</v>
      </c>
      <c r="CF46" s="19" t="inlineStr">
        <is>
          <t>Forecast: prior-year inter-segment sales ratio to external net sales.</t>
        </is>
      </c>
      <c r="CN46" s="25" t="inlineStr">
        <is>
          <t xml:space="preserve">  2030E</t>
        </is>
      </c>
      <c r="CO46" s="33">
        <f>CP46+$CO$42</f>
        <v>0.05</v>
      </c>
      <c r="CP46" s="42" t="n">
        <v>0.03</v>
      </c>
      <c r="CQ46" s="33">
        <f>CP46+$CQ$42</f>
        <v>0.01</v>
      </c>
    </row>
    <row r="47">
      <c r="B47" s="25" t="inlineStr">
        <is>
          <t xml:space="preserve">  Total segment sales (incl. inter-segment)</t>
        </is>
      </c>
      <c r="C47" s="34" t="n"/>
      <c r="D47" s="34" t="n"/>
      <c r="E47" s="34" t="n"/>
      <c r="F47" s="34" t="n"/>
      <c r="G47" s="34" t="n"/>
      <c r="H47" s="34" t="n"/>
      <c r="I47" s="34" t="n"/>
      <c r="J47" s="34" t="n"/>
      <c r="K47" s="34" t="n"/>
      <c r="L47" s="34" t="n"/>
      <c r="M47" s="34" t="n"/>
      <c r="N47" s="44">
        <f>N35+N(N46)</f>
        <v>718.499</v>
      </c>
      <c r="O47" s="44">
        <f>O35+N(O46)</f>
        <v>176.73</v>
      </c>
      <c r="P47" s="44">
        <f>P35+N(P46)</f>
        <v>191.668</v>
      </c>
      <c r="Q47" s="44">
        <f>Q35+N(Q46)</f>
        <v>172.719</v>
      </c>
      <c r="R47" s="44">
        <f>R35+N(R46)</f>
        <v>161.915</v>
      </c>
      <c r="S47" s="44">
        <f>S35+N(S46)</f>
        <v>703.032</v>
      </c>
      <c r="T47" s="44">
        <f>T35+N(T46)</f>
        <v>144.274</v>
      </c>
      <c r="U47" s="44">
        <f>U35+N(U46)</f>
        <v>147.238</v>
      </c>
      <c r="V47" s="44">
        <f>V35+N(V46)</f>
        <v>133.472</v>
      </c>
      <c r="W47" s="44">
        <f>W35+N(W46)</f>
        <v>124.223</v>
      </c>
      <c r="X47" s="44">
        <f>X35+N(X46)</f>
        <v>549.207</v>
      </c>
      <c r="Y47" s="44">
        <f>Y35+N(Y46)</f>
        <v>128.731</v>
      </c>
      <c r="Z47" s="44">
        <f>Z35+N(Z46)</f>
        <v>136.656</v>
      </c>
      <c r="AA47" s="44">
        <f>AA35+N(AA46)</f>
        <v>123.252</v>
      </c>
      <c r="AB47" s="44">
        <f>AB35+N(AB46)</f>
        <v>134.625</v>
      </c>
      <c r="AC47" s="44">
        <f>AC35+N(AC46)</f>
        <v>523.264</v>
      </c>
      <c r="AD47" s="44">
        <f>AD35+N(AD46)</f>
        <v>133.173</v>
      </c>
      <c r="AE47" s="44">
        <f>AE35+N(AE46)</f>
        <v>146.976</v>
      </c>
      <c r="AF47" s="44">
        <f>AF35+N(AF46)</f>
        <v>203.068</v>
      </c>
      <c r="AG47" s="44">
        <f>AG35+N(AG46)</f>
        <v>259.667</v>
      </c>
      <c r="AH47" s="44">
        <f>AH35+N(AH46)</f>
        <v>742.884</v>
      </c>
      <c r="AI47" s="44">
        <f>AI35+N(AI46)</f>
        <v>251.829</v>
      </c>
      <c r="AJ47" s="44">
        <f>AJ35+N(AJ46)</f>
        <v>248.87</v>
      </c>
      <c r="AK47" s="44">
        <f>AK35+N(AK46)</f>
        <v>213.285</v>
      </c>
      <c r="AL47" s="44">
        <f>AL35+N(AL46)</f>
        <v>224.363</v>
      </c>
      <c r="AM47" s="44">
        <f>AM35+N(AM46)</f>
        <v>938.347</v>
      </c>
      <c r="AN47" s="44">
        <f>AN35+N(AN46)</f>
        <v>222.295</v>
      </c>
      <c r="AO47" s="44">
        <f>AO35+N(AO46)</f>
        <v>216.494</v>
      </c>
      <c r="AP47" s="44">
        <f>AP35+N(AP46)</f>
        <v>209.819</v>
      </c>
      <c r="AQ47" s="44">
        <f>AQ35+N(AQ46)</f>
        <v>223.459</v>
      </c>
      <c r="AR47" s="44">
        <f>AR35+N(AR46)</f>
        <v>872.067</v>
      </c>
      <c r="AS47" s="44">
        <f>AS35+N(AS46)</f>
        <v>202.406</v>
      </c>
      <c r="AT47" s="44">
        <f>AT35+N(AT46)</f>
        <v>181.453</v>
      </c>
      <c r="AU47" s="44">
        <f>AU35+N(AU46)</f>
        <v>201.835</v>
      </c>
      <c r="AV47" s="44">
        <f>AV35+N(AV46)</f>
        <v>219.609</v>
      </c>
      <c r="AW47" s="44">
        <f>AW35+N(AW46)</f>
        <v>805.303</v>
      </c>
      <c r="AX47" s="44">
        <f>AX35+N(AX46)</f>
        <v>227.364</v>
      </c>
      <c r="AY47" s="44">
        <f>AY35+N(AY46)</f>
        <v>259.249</v>
      </c>
      <c r="AZ47" s="44">
        <f>AZ35+N(AZ46)</f>
        <v>234.243</v>
      </c>
      <c r="BA47" s="44">
        <f>BA35+N(BA46)</f>
        <v>253.6</v>
      </c>
      <c r="BB47" s="44">
        <f>BB35+N(BB46)</f>
        <v>974.456</v>
      </c>
      <c r="BC47" s="44">
        <f>BC35+N(BC46)</f>
        <v>264.269</v>
      </c>
      <c r="BD47" s="44">
        <f>BD35+N(BD46)</f>
        <v>246.156</v>
      </c>
      <c r="BE47" s="44">
        <f>BE35+N(BE46)</f>
        <v>226.491</v>
      </c>
      <c r="BF47" s="44">
        <f>BF35+N(BF46)</f>
        <v>248.868</v>
      </c>
      <c r="BG47" s="44">
        <f>BG35+N(BG46)</f>
        <v>985.784</v>
      </c>
      <c r="BH47" s="44">
        <f>BH35+N(BH46)</f>
        <v>259.169</v>
      </c>
      <c r="BI47" s="44">
        <f>BI35+N(BI46)</f>
        <v>261.695</v>
      </c>
      <c r="BJ47" s="44">
        <f>BJ35+N(BJ46)</f>
        <v>246.906</v>
      </c>
      <c r="BK47" s="44">
        <f>BK35+N(BK46)</f>
        <v>303.734</v>
      </c>
      <c r="BL47" s="44">
        <f>BL35+N(BL46)</f>
        <v>1071.504</v>
      </c>
      <c r="BM47" s="44">
        <f>BM35+N(BM46)</f>
        <v>244.169</v>
      </c>
      <c r="BN47" s="44">
        <f>BN35+N(BN46)</f>
        <v>247.607</v>
      </c>
      <c r="BO47" s="44">
        <f>BO35+N(BO46)</f>
        <v>223.595</v>
      </c>
      <c r="BP47" s="44">
        <f>BP35+N(BP46)</f>
        <v>254.212</v>
      </c>
      <c r="BQ47" s="44">
        <f>BQ35+N(BQ46)</f>
        <v>969.583</v>
      </c>
      <c r="BR47" s="44">
        <f>BR35+N(BR46)</f>
        <v>225.893</v>
      </c>
      <c r="BS47" s="44">
        <f>BS35+N(BS46)</f>
        <v>240.465</v>
      </c>
      <c r="BT47" s="44">
        <f>BT35+N(BT46)</f>
        <v>229.459</v>
      </c>
      <c r="BU47" s="44">
        <f>BU35+N(BU46)</f>
        <v>265.208</v>
      </c>
      <c r="BV47" s="44">
        <f>BV35+N(BV46)</f>
        <v>961.025</v>
      </c>
      <c r="BW47" s="44">
        <f>BW35+N(BW46)</f>
        <v>232.842</v>
      </c>
      <c r="BX47" s="44">
        <f>BX35+N(BX46)</f>
        <v>250.856</v>
      </c>
      <c r="BY47" s="257">
        <f>BY35+BY46</f>
        <v>230.688370720055</v>
      </c>
      <c r="BZ47" s="257">
        <f>BZ35+BZ46</f>
        <v>260.104786062492</v>
      </c>
      <c r="CA47" s="257">
        <f>CA35+CA46</f>
        <v>974.491156782547</v>
      </c>
      <c r="CB47" s="257">
        <f>CB35+CB46</f>
        <v>1008.59834726994</v>
      </c>
      <c r="CC47" s="257">
        <f>CC35+CC46</f>
        <v>1048.94228116073</v>
      </c>
      <c r="CD47" s="257">
        <f>CD35+CD46</f>
        <v>1090.89997240716</v>
      </c>
      <c r="CE47" s="257">
        <f>CE35+CE46</f>
        <v>1134.53597130345</v>
      </c>
      <c r="CF47" s="19" t="n"/>
      <c r="CN47" s="15" t="inlineStr">
        <is>
          <t>HPG_price (Harris Products price y/y, incl. metals pass-through)</t>
        </is>
      </c>
      <c r="CO47" s="259" t="n">
        <v>0.015</v>
      </c>
      <c r="CP47" s="21" t="inlineStr">
        <is>
          <t>Δ →</t>
        </is>
      </c>
      <c r="CQ47" s="259" t="n">
        <v>-0.015</v>
      </c>
      <c r="CR47" s="13" t="inlineStr">
        <is>
          <t>Silver / copper alloy pass-through drove +37.5% price in 1H/26; Base assumes normalised low-single-digit price from 2027 (metals flat).</t>
        </is>
      </c>
    </row>
    <row r="48">
      <c r="B48" s="16" t="inlineStr">
        <is>
          <t xml:space="preserve">  Adjusted EBIT (segment profit, company definition)</t>
        </is>
      </c>
      <c r="C48" s="43" t="n"/>
      <c r="D48" s="43" t="n"/>
      <c r="E48" s="43" t="n"/>
      <c r="F48" s="43" t="n"/>
      <c r="G48" s="43" t="n"/>
      <c r="H48" s="43" t="n"/>
      <c r="I48" s="43" t="n"/>
      <c r="J48" s="43" t="n"/>
      <c r="K48" s="43" t="n"/>
      <c r="L48" s="43" t="n"/>
      <c r="M48" s="43" t="n"/>
      <c r="N48" s="31" t="n">
        <v>38.037</v>
      </c>
      <c r="O48" s="31" t="n">
        <v>8.314</v>
      </c>
      <c r="P48" s="31" t="n">
        <v>15.328</v>
      </c>
      <c r="Q48" s="31" t="n">
        <v>14.729</v>
      </c>
      <c r="R48" s="31" t="n">
        <v>10.349</v>
      </c>
      <c r="S48" s="31" t="n">
        <v>48.72</v>
      </c>
      <c r="T48" s="31" t="n">
        <v>10.934</v>
      </c>
      <c r="U48" s="31" t="n">
        <v>11.017</v>
      </c>
      <c r="V48" s="31" t="n">
        <v>9.268000000000001</v>
      </c>
      <c r="W48" s="31" t="n">
        <v>3.292</v>
      </c>
      <c r="X48" s="31" t="n">
        <v>34.511</v>
      </c>
      <c r="Y48" s="31" t="n">
        <v>6.233</v>
      </c>
      <c r="Z48" s="31" t="n">
        <v>9.67</v>
      </c>
      <c r="AA48" s="31" t="n">
        <v>5.796</v>
      </c>
      <c r="AB48" s="31" t="n">
        <v>7.447</v>
      </c>
      <c r="AC48" s="31" t="n">
        <v>29.146</v>
      </c>
      <c r="AD48" s="31" t="n">
        <v>9.605</v>
      </c>
      <c r="AE48" s="31" t="n">
        <v>9.496</v>
      </c>
      <c r="AF48" s="31" t="n">
        <v>10.612</v>
      </c>
      <c r="AG48" s="31" t="n">
        <v>12.008</v>
      </c>
      <c r="AH48" s="31" t="n">
        <v>41.721</v>
      </c>
      <c r="AI48" s="31" t="n">
        <v>14.973</v>
      </c>
      <c r="AJ48" s="31" t="n">
        <v>16.276</v>
      </c>
      <c r="AK48" s="31" t="n">
        <v>10.721</v>
      </c>
      <c r="AL48" s="31" t="n">
        <v>12.303</v>
      </c>
      <c r="AM48" s="31" t="n">
        <v>54.273</v>
      </c>
      <c r="AN48" s="31" t="n">
        <v>13.337</v>
      </c>
      <c r="AO48" s="31" t="n">
        <v>15.178</v>
      </c>
      <c r="AP48" s="31" t="n">
        <v>10.184</v>
      </c>
      <c r="AQ48" s="31" t="n">
        <v>11.582</v>
      </c>
      <c r="AR48" s="31" t="n">
        <v>50.281</v>
      </c>
      <c r="AS48" s="31" t="n">
        <v>6.615</v>
      </c>
      <c r="AT48" s="31" t="n">
        <v>9.682</v>
      </c>
      <c r="AU48" s="31" t="n">
        <v>13.432</v>
      </c>
      <c r="AV48" s="31" t="n">
        <v>15.25</v>
      </c>
      <c r="AW48" s="31" t="n">
        <v>44.979</v>
      </c>
      <c r="AX48" s="31" t="n">
        <v>18.816</v>
      </c>
      <c r="AY48" s="31" t="n">
        <v>29.997</v>
      </c>
      <c r="AZ48" s="31" t="n">
        <v>29.032</v>
      </c>
      <c r="BA48" s="31" t="n">
        <v>28.363</v>
      </c>
      <c r="BB48" s="31" t="n">
        <v>106.208</v>
      </c>
      <c r="BC48" s="31" t="n">
        <v>37.087</v>
      </c>
      <c r="BD48" s="31" t="n">
        <v>35.009</v>
      </c>
      <c r="BE48" s="31" t="n">
        <v>25.225</v>
      </c>
      <c r="BF48" s="31" t="n">
        <v>22.836</v>
      </c>
      <c r="BG48" s="31" t="n">
        <v>120.157</v>
      </c>
      <c r="BH48" s="31" t="n">
        <v>29.598</v>
      </c>
      <c r="BI48" s="31" t="n">
        <v>33.774</v>
      </c>
      <c r="BJ48" s="31" t="n">
        <v>30.239</v>
      </c>
      <c r="BK48" s="31" t="n">
        <v>42.888</v>
      </c>
      <c r="BL48" s="31" t="n">
        <v>136.497</v>
      </c>
      <c r="BM48" s="31" t="n">
        <v>27.776</v>
      </c>
      <c r="BN48" s="31" t="n">
        <v>25.709</v>
      </c>
      <c r="BO48" s="31" t="n">
        <v>20.101</v>
      </c>
      <c r="BP48" s="31" t="n">
        <v>32.53</v>
      </c>
      <c r="BQ48" s="31" t="n">
        <v>106.117</v>
      </c>
      <c r="BR48" s="31" t="n">
        <v>23.012</v>
      </c>
      <c r="BS48" s="31" t="n">
        <v>30.55</v>
      </c>
      <c r="BT48" s="31" t="n">
        <v>25.821</v>
      </c>
      <c r="BU48" s="31" t="n">
        <v>31.202</v>
      </c>
      <c r="BV48" s="31" t="n">
        <v>110.585</v>
      </c>
      <c r="BW48" s="31" t="n">
        <v>22.662</v>
      </c>
      <c r="BX48" s="31" t="n">
        <v>26.595</v>
      </c>
      <c r="BY48" s="253">
        <f>BY47*BY50</f>
        <v>24.2047211920196</v>
      </c>
      <c r="BZ48" s="253">
        <f>BZ47*BZ50</f>
        <v>28.623239964923</v>
      </c>
      <c r="CA48" s="253">
        <f>SUM(BW48,BX48,BY48,BZ48)</f>
        <v>102.084961156943</v>
      </c>
      <c r="CB48" s="253">
        <f>CA48+CB54</f>
        <v>111.303519787359</v>
      </c>
      <c r="CC48" s="253">
        <f>CB48+CC54</f>
        <v>122.312606151761</v>
      </c>
      <c r="CD48" s="253">
        <f>CC48+CD54</f>
        <v>133.762055970739</v>
      </c>
      <c r="CE48" s="253">
        <f>CD48+CE54</f>
        <v>145.669483782475</v>
      </c>
      <c r="CF48" s="19" t="inlineStr">
        <is>
          <t>2027E+: prior-year adjusted EBIT + Δ bridge (price $ × fall-through + volume $ × incremental margin + (acquisitions + FX) $ × prior-year margin). 2026E = sum of quarters.</t>
        </is>
      </c>
      <c r="CH48" s="20">
        <f>IFERROR((CE48/BV48)^(1/5)-1,"n/m")</f>
        <v>0.0566580640787204</v>
      </c>
      <c r="CI48" s="20">
        <f>IFERROR((BV48/AW48)^(1/5)-1,"n/m")</f>
        <v>0.197118894089464</v>
      </c>
      <c r="CJ48" s="20">
        <f>IFERROR((BV48/X48)^(1/10)-1,"n/m")</f>
        <v>0.123502046545876</v>
      </c>
      <c r="CK48" s="20" t="str">
        <f>IFERROR((BV48/C48)^(1/19)-1,"n/m")</f>
        <v>n/m</v>
      </c>
      <c r="CN48" s="25" t="inlineStr">
        <is>
          <t xml:space="preserve">  2027E</t>
        </is>
      </c>
      <c r="CO48" s="33">
        <f>CP48+$CO$47</f>
        <v>0.045</v>
      </c>
      <c r="CP48" s="42" t="n">
        <v>0.03</v>
      </c>
      <c r="CQ48" s="33">
        <f>CP48+$CQ$47</f>
        <v>0.015</v>
      </c>
    </row>
    <row r="49">
      <c r="B49" s="25" t="inlineStr">
        <is>
          <t xml:space="preserve">  Adjusted EBIT margin before outlook calibration % (Q3/Q4-26E helper)</t>
        </is>
      </c>
      <c r="C49" s="36" t="n"/>
      <c r="D49" s="36" t="n"/>
      <c r="E49" s="36" t="n"/>
      <c r="F49" s="36" t="n"/>
      <c r="G49" s="36" t="n"/>
      <c r="H49" s="36" t="n"/>
      <c r="I49" s="36" t="n"/>
      <c r="J49" s="36" t="n"/>
      <c r="K49" s="36" t="n"/>
      <c r="L49" s="36" t="n"/>
      <c r="M49" s="36" t="n"/>
      <c r="N49" s="36" t="n"/>
      <c r="O49" s="36" t="n"/>
      <c r="P49" s="36" t="n"/>
      <c r="Q49" s="36" t="n"/>
      <c r="R49" s="36" t="n"/>
      <c r="S49" s="36" t="n"/>
      <c r="T49" s="36" t="n"/>
      <c r="U49" s="36" t="n"/>
      <c r="V49" s="36" t="n"/>
      <c r="W49" s="36" t="n"/>
      <c r="X49" s="36" t="n"/>
      <c r="Y49" s="36" t="n"/>
      <c r="Z49" s="36" t="n"/>
      <c r="AA49" s="36" t="n"/>
      <c r="AB49" s="36" t="n"/>
      <c r="AC49" s="36" t="n"/>
      <c r="AD49" s="36" t="n"/>
      <c r="AE49" s="36" t="n"/>
      <c r="AF49" s="36" t="n"/>
      <c r="AG49" s="36" t="n"/>
      <c r="AH49" s="36" t="n"/>
      <c r="AI49" s="36" t="n"/>
      <c r="AJ49" s="36" t="n"/>
      <c r="AK49" s="36" t="n"/>
      <c r="AL49" s="36" t="n"/>
      <c r="AM49" s="36" t="n"/>
      <c r="AN49" s="36" t="n"/>
      <c r="AO49" s="36" t="n"/>
      <c r="AP49" s="36" t="n"/>
      <c r="AQ49" s="36" t="n"/>
      <c r="AR49" s="36" t="n"/>
      <c r="AS49" s="36" t="n"/>
      <c r="AT49" s="36" t="n"/>
      <c r="AU49" s="36" t="n"/>
      <c r="AV49" s="36" t="n"/>
      <c r="AW49" s="36" t="n"/>
      <c r="AX49" s="36" t="n"/>
      <c r="AY49" s="36" t="n"/>
      <c r="AZ49" s="36" t="n"/>
      <c r="BA49" s="36" t="n"/>
      <c r="BB49" s="36" t="n"/>
      <c r="BC49" s="36" t="n"/>
      <c r="BD49" s="36" t="n"/>
      <c r="BE49" s="36" t="n"/>
      <c r="BF49" s="36" t="n"/>
      <c r="BG49" s="36" t="n"/>
      <c r="BH49" s="36" t="n"/>
      <c r="BI49" s="36" t="n"/>
      <c r="BJ49" s="36" t="n"/>
      <c r="BK49" s="36" t="n"/>
      <c r="BL49" s="36" t="n"/>
      <c r="BM49" s="36" t="n"/>
      <c r="BN49" s="36" t="n"/>
      <c r="BO49" s="36" t="n"/>
      <c r="BP49" s="36" t="n"/>
      <c r="BQ49" s="36" t="n"/>
      <c r="BR49" s="36" t="n"/>
      <c r="BS49" s="36" t="n"/>
      <c r="BT49" s="36" t="n"/>
      <c r="BU49" s="36" t="n"/>
      <c r="BV49" s="36" t="n"/>
      <c r="BW49" s="36" t="n"/>
      <c r="BX49" s="36" t="n"/>
      <c r="BY49" s="254">
        <f>BT50+($BW$48+$BX$48)/($BW$47+$BX$47)-($BR$48+$BS$48)/($BR$47+$BS$47)</f>
        <v>0.0995124291679091</v>
      </c>
      <c r="BZ49" s="254">
        <f>BU50+($BW$48+$BX$48)/($BW$47+$BX$47)-($BR$48+$BS$48)/($BR$47+$BS$47)</f>
        <v>0.104633573114547</v>
      </c>
      <c r="CA49" s="254" t="n"/>
      <c r="CB49" s="254" t="n"/>
      <c r="CC49" s="254" t="n"/>
      <c r="CD49" s="254" t="n"/>
      <c r="CE49" s="254" t="n"/>
      <c r="CF49" s="19" t="inlineStr">
        <is>
          <t>Q3/Q4-26E: prior-year quarter margin + (1H/26 − 1H/25 margin drift).</t>
        </is>
      </c>
      <c r="CN49" s="25" t="inlineStr">
        <is>
          <t xml:space="preserve">  2028E</t>
        </is>
      </c>
      <c r="CO49" s="33">
        <f>CP49+$CO$47</f>
        <v>0.04</v>
      </c>
      <c r="CP49" s="42" t="n">
        <v>0.025</v>
      </c>
      <c r="CQ49" s="33">
        <f>CP49+$CQ$47</f>
        <v>0.01</v>
      </c>
    </row>
    <row r="50">
      <c r="B50" s="25" t="inlineStr">
        <is>
          <t xml:space="preserve">  Adjusted EBIT margin % (on total segment sales)</t>
        </is>
      </c>
      <c r="C50" s="36" t="n"/>
      <c r="D50" s="36" t="n"/>
      <c r="E50" s="36" t="n"/>
      <c r="F50" s="36" t="n"/>
      <c r="G50" s="36" t="n"/>
      <c r="H50" s="36" t="n"/>
      <c r="I50" s="36" t="n"/>
      <c r="J50" s="36" t="n"/>
      <c r="K50" s="36" t="n"/>
      <c r="L50" s="36" t="n"/>
      <c r="M50" s="36" t="n"/>
      <c r="N50" s="36">
        <f>IF(AND(ISNUMBER(N48),ISNUMBER(N47)),IFERROR(N48/N47,""),"")</f>
        <v>0.0529395308831328</v>
      </c>
      <c r="O50" s="36">
        <f>IF(AND(ISNUMBER(O48),ISNUMBER(O47)),IFERROR(O48/O47,""),"")</f>
        <v>0.0470435127029933</v>
      </c>
      <c r="P50" s="36">
        <f>IF(AND(ISNUMBER(P48),ISNUMBER(P47)),IFERROR(P48/P47,""),"")</f>
        <v>0.0799716175887472</v>
      </c>
      <c r="Q50" s="36">
        <f>IF(AND(ISNUMBER(Q48),ISNUMBER(Q47)),IFERROR(Q48/Q47,""),"")</f>
        <v>0.0852772422258119</v>
      </c>
      <c r="R50" s="36">
        <f>IF(AND(ISNUMBER(R48),ISNUMBER(R47)),IFERROR(R48/R47,""),"")</f>
        <v>0.0639162523546305</v>
      </c>
      <c r="S50" s="36">
        <f>IF(AND(ISNUMBER(S48),ISNUMBER(S47)),IFERROR(S48/S47,""),"")</f>
        <v>0.0692998327245417</v>
      </c>
      <c r="T50" s="36">
        <f>IF(AND(ISNUMBER(T48),ISNUMBER(T47)),IFERROR(T48/T47,""),"")</f>
        <v>0.0757863509710689</v>
      </c>
      <c r="U50" s="36">
        <f>IF(AND(ISNUMBER(U48),ISNUMBER(U47)),IFERROR(U48/U47,""),"")</f>
        <v>0.0748244339097244</v>
      </c>
      <c r="V50" s="36">
        <f>IF(AND(ISNUMBER(V48),ISNUMBER(V47)),IFERROR(V48/V47,""),"")</f>
        <v>0.0694377847039079</v>
      </c>
      <c r="W50" s="36">
        <f>IF(AND(ISNUMBER(W48),ISNUMBER(W47)),IFERROR(W48/W47,""),"")</f>
        <v>0.0265007285285334</v>
      </c>
      <c r="X50" s="36">
        <f>IF(AND(ISNUMBER(X48),ISNUMBER(X47)),IFERROR(X48/X47,""),"")</f>
        <v>0.0628378735158146</v>
      </c>
      <c r="Y50" s="36">
        <f>IF(AND(ISNUMBER(Y48),ISNUMBER(Y47)),IFERROR(Y48/Y47,""),"")</f>
        <v>0.0484187957834554</v>
      </c>
      <c r="Z50" s="36">
        <f>IF(AND(ISNUMBER(Z48),ISNUMBER(Z47)),IFERROR(Z48/Z47,""),"")</f>
        <v>0.0707616204191547</v>
      </c>
      <c r="AA50" s="36">
        <f>IF(AND(ISNUMBER(AA48),ISNUMBER(AA47)),IFERROR(AA48/AA47,""),"")</f>
        <v>0.0470256060753578</v>
      </c>
      <c r="AB50" s="36">
        <f>IF(AND(ISNUMBER(AB48),ISNUMBER(AB47)),IFERROR(AB48/AB47,""),"")</f>
        <v>0.0553166202414113</v>
      </c>
      <c r="AC50" s="36">
        <f>IF(AND(ISNUMBER(AC48),ISNUMBER(AC47)),IFERROR(AC48/AC47,""),"")</f>
        <v>0.0557003730430528</v>
      </c>
      <c r="AD50" s="36">
        <f>IF(AND(ISNUMBER(AD48),ISNUMBER(AD47)),IFERROR(AD48/AD47,""),"")</f>
        <v>0.0721242293858365</v>
      </c>
      <c r="AE50" s="36">
        <f>IF(AND(ISNUMBER(AE48),ISNUMBER(AE47)),IFERROR(AE48/AE47,""),"")</f>
        <v>0.0646091878946223</v>
      </c>
      <c r="AF50" s="36">
        <f>IF(AND(ISNUMBER(AF48),ISNUMBER(AF47)),IFERROR(AF48/AF47,""),"")</f>
        <v>0.052258356806587</v>
      </c>
      <c r="AG50" s="36">
        <f>IF(AND(ISNUMBER(AG48),ISNUMBER(AG47)),IFERROR(AG48/AG47,""),"")</f>
        <v>0.0462438430759396</v>
      </c>
      <c r="AH50" s="36">
        <f>IF(AND(ISNUMBER(AH48),ISNUMBER(AH47)),IFERROR(AH48/AH47,""),"")</f>
        <v>0.0561608541845026</v>
      </c>
      <c r="AI50" s="36">
        <f>IF(AND(ISNUMBER(AI48),ISNUMBER(AI47)),IFERROR(AI48/AI47,""),"")</f>
        <v>0.0594570124965751</v>
      </c>
      <c r="AJ50" s="36">
        <f>IF(AND(ISNUMBER(AJ48),ISNUMBER(AJ47)),IFERROR(AJ48/AJ47,""),"")</f>
        <v>0.0653996062201149</v>
      </c>
      <c r="AK50" s="36">
        <f>IF(AND(ISNUMBER(AK48),ISNUMBER(AK47)),IFERROR(AK48/AK47,""),"")</f>
        <v>0.0502660759078229</v>
      </c>
      <c r="AL50" s="36">
        <f>IF(AND(ISNUMBER(AL48),ISNUMBER(AL47)),IFERROR(AL48/AL47,""),"")</f>
        <v>0.0548352446704671</v>
      </c>
      <c r="AM50" s="36">
        <f>IF(AND(ISNUMBER(AM48),ISNUMBER(AM47)),IFERROR(AM48/AM47,""),"")</f>
        <v>0.0578389444416618</v>
      </c>
      <c r="AN50" s="36">
        <f>IF(AND(ISNUMBER(AN48),ISNUMBER(AN47)),IFERROR(AN48/AN47,""),"")</f>
        <v>0.0599968510312873</v>
      </c>
      <c r="AO50" s="36">
        <f>IF(AND(ISNUMBER(AO48),ISNUMBER(AO47)),IFERROR(AO48/AO47,""),"")</f>
        <v>0.0701081785176495</v>
      </c>
      <c r="AP50" s="36">
        <f>IF(AND(ISNUMBER(AP48),ISNUMBER(AP47)),IFERROR(AP48/AP47,""),"")</f>
        <v>0.0485370724290937</v>
      </c>
      <c r="AQ50" s="36">
        <f>IF(AND(ISNUMBER(AQ48),ISNUMBER(AQ47)),IFERROR(AQ48/AQ47,""),"")</f>
        <v>0.0518305371455166</v>
      </c>
      <c r="AR50" s="36">
        <f>IF(AND(ISNUMBER(AR48),ISNUMBER(AR47)),IFERROR(AR48/AR47,""),"")</f>
        <v>0.0576572671595187</v>
      </c>
      <c r="AS50" s="36">
        <f>IF(AND(ISNUMBER(AS48),ISNUMBER(AS47)),IFERROR(AS48/AS47,""),"")</f>
        <v>0.0326818374949359</v>
      </c>
      <c r="AT50" s="36">
        <f>IF(AND(ISNUMBER(AT48),ISNUMBER(AT47)),IFERROR(AT48/AT47,""),"")</f>
        <v>0.0533581698842124</v>
      </c>
      <c r="AU50" s="36">
        <f>IF(AND(ISNUMBER(AU48),ISNUMBER(AU47)),IFERROR(AU48/AU47,""),"")</f>
        <v>0.0665494091708574</v>
      </c>
      <c r="AV50" s="36">
        <f>IF(AND(ISNUMBER(AV48),ISNUMBER(AV47)),IFERROR(AV48/AV47,""),"")</f>
        <v>0.0694415984772937</v>
      </c>
      <c r="AW50" s="36">
        <f>IF(AND(ISNUMBER(AW48),ISNUMBER(AW47)),IFERROR(AW48/AW47,""),"")</f>
        <v>0.0558535110387022</v>
      </c>
      <c r="AX50" s="36">
        <f>IF(AND(ISNUMBER(AX48),ISNUMBER(AX47)),IFERROR(AX48/AX47,""),"")</f>
        <v>0.0827571647226474</v>
      </c>
      <c r="AY50" s="36">
        <f>IF(AND(ISNUMBER(AY48),ISNUMBER(AY47)),IFERROR(AY48/AY47,""),"")</f>
        <v>0.115707292988594</v>
      </c>
      <c r="AZ50" s="36">
        <f>IF(AND(ISNUMBER(AZ48),ISNUMBER(AZ47)),IFERROR(AZ48/AZ47,""),"")</f>
        <v>0.123939669488523</v>
      </c>
      <c r="BA50" s="36">
        <f>IF(AND(ISNUMBER(BA48),ISNUMBER(BA47)),IFERROR(BA48/BA47,""),"")</f>
        <v>0.111841482649842</v>
      </c>
      <c r="BB50" s="36">
        <f>IF(AND(ISNUMBER(BB48),ISNUMBER(BB47)),IFERROR(BB48/BB47,""),"")</f>
        <v>0.108992094050424</v>
      </c>
      <c r="BC50" s="36">
        <f>IF(AND(ISNUMBER(BC48),ISNUMBER(BC47)),IFERROR(BC48/BC47,""),"")</f>
        <v>0.140338064623546</v>
      </c>
      <c r="BD50" s="36">
        <f>IF(AND(ISNUMBER(BD48),ISNUMBER(BD47)),IFERROR(BD48/BD47,""),"")</f>
        <v>0.142222818050342</v>
      </c>
      <c r="BE50" s="36">
        <f>IF(AND(ISNUMBER(BE48),ISNUMBER(BE47)),IFERROR(BE48/BE47,""),"")</f>
        <v>0.111373078841985</v>
      </c>
      <c r="BF50" s="36">
        <f>IF(AND(ISNUMBER(BF48),ISNUMBER(BF47)),IFERROR(BF48/BF47,""),"")</f>
        <v>0.091759486956941</v>
      </c>
      <c r="BG50" s="36">
        <f>IF(AND(ISNUMBER(BG48),ISNUMBER(BG47)),IFERROR(BG48/BG47,""),"")</f>
        <v>0.121889785186207</v>
      </c>
      <c r="BH50" s="36">
        <f>IF(AND(ISNUMBER(BH48),ISNUMBER(BH47)),IFERROR(BH48/BH47,""),"")</f>
        <v>0.114203473409243</v>
      </c>
      <c r="BI50" s="36">
        <f>IF(AND(ISNUMBER(BI48),ISNUMBER(BI47)),IFERROR(BI48/BI47,""),"")</f>
        <v>0.129058636962877</v>
      </c>
      <c r="BJ50" s="36">
        <f>IF(AND(ISNUMBER(BJ48),ISNUMBER(BJ47)),IFERROR(BJ48/BJ47,""),"")</f>
        <v>0.122471709881493</v>
      </c>
      <c r="BK50" s="36">
        <f>IF(AND(ISNUMBER(BK48),ISNUMBER(BK47)),IFERROR(BK48/BK47,""),"")</f>
        <v>0.141202499555532</v>
      </c>
      <c r="BL50" s="36">
        <f>IF(AND(ISNUMBER(BL48),ISNUMBER(BL47)),IFERROR(BL48/BL47,""),"")</f>
        <v>0.127388231868476</v>
      </c>
      <c r="BM50" s="36">
        <f>IF(AND(ISNUMBER(BM48),ISNUMBER(BM47)),IFERROR(BM48/BM47,""),"")</f>
        <v>0.113757274674508</v>
      </c>
      <c r="BN50" s="36">
        <f>IF(AND(ISNUMBER(BN48),ISNUMBER(BN47)),IFERROR(BN48/BN47,""),"")</f>
        <v>0.103829859414314</v>
      </c>
      <c r="BO50" s="36">
        <f>IF(AND(ISNUMBER(BO48),ISNUMBER(BO47)),IFERROR(BO48/BO47,""),"")</f>
        <v>0.0898991480131488</v>
      </c>
      <c r="BP50" s="36">
        <f>IF(AND(ISNUMBER(BP48),ISNUMBER(BP47)),IFERROR(BP48/BP47,""),"")</f>
        <v>0.127964061491983</v>
      </c>
      <c r="BQ50" s="36">
        <f>IF(AND(ISNUMBER(BQ48),ISNUMBER(BQ47)),IFERROR(BQ48/BQ47,""),"")</f>
        <v>0.109446019577488</v>
      </c>
      <c r="BR50" s="36">
        <f>IF(AND(ISNUMBER(BR48),ISNUMBER(BR47)),IFERROR(BR48/BR47,""),"")</f>
        <v>0.101871239923327</v>
      </c>
      <c r="BS50" s="36">
        <f>IF(AND(ISNUMBER(BS48),ISNUMBER(BS47)),IFERROR(BS48/BS47,""),"")</f>
        <v>0.127045515979456</v>
      </c>
      <c r="BT50" s="36">
        <f>IF(AND(ISNUMBER(BT48),ISNUMBER(BT47)),IFERROR(BT48/BT47,""),"")</f>
        <v>0.112529907303701</v>
      </c>
      <c r="BU50" s="36">
        <f>IF(AND(ISNUMBER(BU48),ISNUMBER(BU47)),IFERROR(BU48/BU47,""),"")</f>
        <v>0.117651051250339</v>
      </c>
      <c r="BV50" s="36">
        <f>IF(AND(ISNUMBER(BV48),ISNUMBER(BV47)),IFERROR(BV48/BV47,""),"")</f>
        <v>0.115069847298457</v>
      </c>
      <c r="BW50" s="36">
        <f>IF(AND(ISNUMBER(BW48),ISNUMBER(BW47)),IFERROR(BW48/BW47,""),"")</f>
        <v>0.097327801685263</v>
      </c>
      <c r="BX50" s="36">
        <f>IF(AND(ISNUMBER(BX48),ISNUMBER(BX47)),IFERROR(BX48/BX47,""),"")</f>
        <v>0.106016997799534</v>
      </c>
      <c r="BY50" s="254">
        <f>BY49+BY144</f>
        <v>0.104923889819277</v>
      </c>
      <c r="BZ50" s="254">
        <f>BZ49+BZ144</f>
        <v>0.110045033765915</v>
      </c>
      <c r="CA50" s="254">
        <f>IFERROR(CA48/CA47,"")</f>
        <v>0.1047571960468</v>
      </c>
      <c r="CB50" s="254">
        <f>IFERROR(CB48/CB47,"")</f>
        <v>0.11035465216519</v>
      </c>
      <c r="CC50" s="254">
        <f>IFERROR(CC48/CC47,"")</f>
        <v>0.11660565919453</v>
      </c>
      <c r="CD50" s="254">
        <f>IFERROR(CD48/CD47,"")</f>
        <v>0.122616242876587</v>
      </c>
      <c r="CE50" s="254">
        <f>IFERROR(CE48/CE47,"")</f>
        <v>0.12839565026318</v>
      </c>
      <c r="CF50" s="19" t="inlineStr">
        <is>
          <t>Q3/Q4-26E: margin before calibration + outlook calibration Δ. 2027E+: output of the Δ adjusted EBIT bridge.</t>
        </is>
      </c>
      <c r="CH50" s="20">
        <f>IFERROR(AVERAGE(CA50,CB50,CC50,CD50,CE50),"n/m")</f>
        <v>0.116545880109257</v>
      </c>
      <c r="CI50" s="20">
        <f>IFERROR(AVERAGE(AW50,BB50,BG50,BL50,BQ50,BV50),"n/m")</f>
        <v>0.106439914836626</v>
      </c>
      <c r="CJ50" s="20">
        <f>IFERROR(AVERAGE(X50,AC50,AH50,AM50,AR50,AW50,BB50,BG50,BL50,BQ50,BV50),"n/m")</f>
        <v>0.0844395273967551</v>
      </c>
      <c r="CK50" s="20">
        <f>IFERROR(AVERAGE(C50,D50,E50,F50,G50,H50,I50,N50,S50,X50,AC50,AH50,AM50,AR50,AW50,BB50,BG50,BL50,BQ50,BV50),"n/m")</f>
        <v>0.0808518588439985</v>
      </c>
      <c r="CN50" s="25" t="inlineStr">
        <is>
          <t xml:space="preserve">  2029E</t>
        </is>
      </c>
      <c r="CO50" s="33">
        <f>CP50+$CO$47</f>
        <v>0.04</v>
      </c>
      <c r="CP50" s="42" t="n">
        <v>0.025</v>
      </c>
      <c r="CQ50" s="33">
        <f>CP50+$CQ$47</f>
        <v>0.01</v>
      </c>
    </row>
    <row r="51" outlineLevel="2" s="251">
      <c r="B51" s="22" t="inlineStr">
        <is>
          <t xml:space="preserve">  Incremental adjusted EBIT margin (Δ adj. EBIT / Δ total sales)</t>
        </is>
      </c>
      <c r="C51" s="23" t="n"/>
      <c r="D51" s="23" t="n"/>
      <c r="E51" s="23" t="n"/>
      <c r="F51" s="23" t="n"/>
      <c r="G51" s="23" t="n"/>
      <c r="H51" s="23" t="n"/>
      <c r="I51" s="23" t="n"/>
      <c r="J51" s="23" t="n"/>
      <c r="K51" s="23" t="n"/>
      <c r="L51" s="23" t="n"/>
      <c r="M51" s="23" t="n"/>
      <c r="N51" s="23" t="n"/>
      <c r="O51" s="23" t="n"/>
      <c r="P51" s="23" t="n"/>
      <c r="Q51" s="23" t="n"/>
      <c r="R51" s="23" t="n"/>
      <c r="S51" s="23">
        <f>IFERROR((S48-N48)/(S47-N47),"")</f>
        <v>-0.69069632119997</v>
      </c>
      <c r="T51" s="23">
        <f>IFERROR((T48-O48)/(T47-O47),"")</f>
        <v>-0.0807246734039931</v>
      </c>
      <c r="U51" s="23">
        <f>IFERROR((U48-P48)/(U47-P47),"")</f>
        <v>0.0970290344361918</v>
      </c>
      <c r="V51" s="23">
        <f>IFERROR((V48-Q48)/(V47-Q47),"")</f>
        <v>0.139144393202028</v>
      </c>
      <c r="W51" s="23">
        <f>IFERROR((W48-R48)/(W47-R47),"")</f>
        <v>0.187228059004563</v>
      </c>
      <c r="X51" s="23">
        <f>IFERROR((X48-S48)/(X47-S47),"")</f>
        <v>0.092371201040143</v>
      </c>
      <c r="Y51" s="23">
        <f>IFERROR((Y48-T48)/(Y47-T47),"")</f>
        <v>0.302451264234704</v>
      </c>
      <c r="Z51" s="23">
        <f>IFERROR((Z48-U48)/(Z47-U47),"")</f>
        <v>0.127291627291627</v>
      </c>
      <c r="AA51" s="23">
        <f>IFERROR((AA48-V48)/(AA47-V47),"")</f>
        <v>0.33972602739726</v>
      </c>
      <c r="AB51" s="23">
        <f>IFERROR((AB48-W48)/(AB47-W47),"")</f>
        <v>0.399442414920208</v>
      </c>
      <c r="AC51" s="23">
        <f>IFERROR((AC48-X48)/(AC47-X47),"")</f>
        <v>0.206799522029064</v>
      </c>
      <c r="AD51" s="23">
        <f>IFERROR((AD48-Y48)/(AD47-Y47),"")</f>
        <v>0.759117514633047</v>
      </c>
      <c r="AE51" s="23">
        <f>IFERROR((AE48-Z48)/(AE47-Z47),"")</f>
        <v>-0.016860465116279</v>
      </c>
      <c r="AF51" s="23">
        <f>IFERROR((AF48-AA48)/(AF47-AA47),"")</f>
        <v>0.0603387791921419</v>
      </c>
      <c r="AG51" s="23">
        <f>IFERROR((AG48-AB48)/(AG47-AB47),"")</f>
        <v>0.0364757441499656</v>
      </c>
      <c r="AH51" s="23">
        <f>IFERROR((AH48-AC48)/(AH47-AC47),"")</f>
        <v>0.057257991075494</v>
      </c>
      <c r="AI51" s="23">
        <f>IFERROR((AI48-AD48)/(AI47-AD47),"")</f>
        <v>0.045240021574973</v>
      </c>
      <c r="AJ51" s="23">
        <f>IFERROR((AJ48-AE48)/(AJ47-AE47),"")</f>
        <v>0.0665397373741339</v>
      </c>
      <c r="AK51" s="23">
        <f>IFERROR((AK48-AF48)/(AK47-AF47),"")</f>
        <v>0.0106684936869922</v>
      </c>
      <c r="AL51" s="23">
        <f>IFERROR((AL48-AG48)/(AL47-AG47),"")</f>
        <v>-0.00835599365510995</v>
      </c>
      <c r="AM51" s="23">
        <f>IFERROR((AM48-AH48)/(AM47-AH47),"")</f>
        <v>0.0642167571356216</v>
      </c>
      <c r="AN51" s="23">
        <f>IFERROR((AN48-AI48)/(AN47-AI47),"")</f>
        <v>0.0553937834360399</v>
      </c>
      <c r="AO51" s="23">
        <f>IFERROR((AO48-AJ48)/(AO47-AJ47),"")</f>
        <v>0.0339140103780578</v>
      </c>
      <c r="AP51" s="23">
        <f>IFERROR((AP48-AK48)/(AP47-AK47),"")</f>
        <v>0.154933641084823</v>
      </c>
      <c r="AQ51" s="23">
        <f>IFERROR((AQ48-AL48)/(AQ47-AL47),"")</f>
        <v>0.797566371681419</v>
      </c>
      <c r="AR51" s="23">
        <f>IFERROR((AR48-AM48)/(AR47-AM47),"")</f>
        <v>0.0602293301146652</v>
      </c>
      <c r="AS51" s="23">
        <f>IFERROR((AS48-AN48)/(AS47-AN47),"")</f>
        <v>0.337975765498517</v>
      </c>
      <c r="AT51" s="23">
        <f>IFERROR((AT48-AO48)/(AT47-AO47),"")</f>
        <v>0.156844838902999</v>
      </c>
      <c r="AU51" s="23">
        <f>IFERROR((AU48-AP48)/(AU47-AP47),"")</f>
        <v>-0.40681362725451</v>
      </c>
      <c r="AV51" s="23">
        <f>IFERROR((AV48-AQ48)/(AV47-AQ47),"")</f>
        <v>-0.952727272727274</v>
      </c>
      <c r="AW51" s="23">
        <f>IFERROR((AW48-AR48)/(AW47-AR47),"")</f>
        <v>0.0794140554790006</v>
      </c>
      <c r="AX51" s="23">
        <f>IFERROR((AX48-AS48)/(AX47-AS47),"")</f>
        <v>0.488861286962096</v>
      </c>
      <c r="AY51" s="23">
        <f>IFERROR((AY48-AT48)/(AY47-AT47),"")</f>
        <v>0.26113167772122</v>
      </c>
      <c r="AZ51" s="23">
        <f>IFERROR((AZ48-AU48)/(AZ47-AU47),"")</f>
        <v>0.481362626511973</v>
      </c>
      <c r="BA51" s="23">
        <f>IFERROR((BA48-AV48)/(BA47-AV47),"")</f>
        <v>0.385778588449884</v>
      </c>
      <c r="BB51" s="23">
        <f>IFERROR((BB48-AW48)/(BB47-AW47),"")</f>
        <v>0.361974070811632</v>
      </c>
      <c r="BC51" s="23">
        <f>IFERROR((BC48-AX48)/(BC47-AX47),"")</f>
        <v>0.495081967213115</v>
      </c>
      <c r="BD51" s="23">
        <f>IFERROR((BD48-AY48)/(BD47-AY47),"")</f>
        <v>-0.382799969449323</v>
      </c>
      <c r="BE51" s="23">
        <f>IFERROR((BE48-AZ48)/(BE47-AZ47),"")</f>
        <v>0.491099071207431</v>
      </c>
      <c r="BF51" s="23">
        <f>IFERROR((BF48-BA48)/(BF47-BA47),"")</f>
        <v>1.16800507185123</v>
      </c>
      <c r="BG51" s="23">
        <f>IFERROR((BG48-BB48)/(BG47-BB47),"")</f>
        <v>1.23137358757062</v>
      </c>
      <c r="BH51" s="23">
        <f>IFERROR((BH48-BC48)/(BH47-BC47),"")</f>
        <v>1.46843137254901</v>
      </c>
      <c r="BI51" s="23">
        <f>IFERROR((BI48-BD48)/(BI47-BD47),"")</f>
        <v>-0.0794774438509555</v>
      </c>
      <c r="BJ51" s="23">
        <f>IFERROR((BJ48-BE48)/(BJ47-BE47),"")</f>
        <v>0.245603722752878</v>
      </c>
      <c r="BK51" s="23">
        <f>IFERROR((BK48-BF48)/(BK47-BF47),"")</f>
        <v>0.365472241461014</v>
      </c>
      <c r="BL51" s="23">
        <f>IFERROR((BL48-BG48)/(BL47-BG47),"")</f>
        <v>0.190620625291647</v>
      </c>
      <c r="BM51" s="23">
        <f>IFERROR((BM48-BH48)/(BM47-BH47),"")</f>
        <v>0.121466666666667</v>
      </c>
      <c r="BN51" s="23">
        <f>IFERROR((BN48-BI48)/(BN47-BI47),"")</f>
        <v>0.572473026689381</v>
      </c>
      <c r="BO51" s="23">
        <f>IFERROR((BO48-BJ48)/(BO47-BJ47),"")</f>
        <v>0.434901977607139</v>
      </c>
      <c r="BP51" s="23">
        <f>IFERROR((BP48-BK48)/(BP47-BK47),"")</f>
        <v>0.20915956544566</v>
      </c>
      <c r="BQ51" s="23">
        <f>IFERROR((BQ48-BL48)/(BQ47-BL47),"")</f>
        <v>0.298073998489025</v>
      </c>
      <c r="BR51" s="23">
        <f>IFERROR((BR48-BM48)/(BR47-BM47),"")</f>
        <v>0.260669730794485</v>
      </c>
      <c r="BS51" s="23">
        <f>IFERROR((BS48-BN48)/(BS47-BN47),"")</f>
        <v>-0.677821338560628</v>
      </c>
      <c r="BT51" s="23">
        <f>IFERROR((BT48-BO48)/(BT47-BO47),"")</f>
        <v>0.975443383356071</v>
      </c>
      <c r="BU51" s="23">
        <f>IFERROR((BU48-BP48)/(BU47-BP47),"")</f>
        <v>-0.120771189523463</v>
      </c>
      <c r="BV51" s="23">
        <f>IFERROR((BV48-BQ48)/(BV47-BQ47),"")</f>
        <v>-0.522084599205421</v>
      </c>
      <c r="BW51" s="23">
        <f>IFERROR((BW48-BR48)/(BW47-BR47),"")</f>
        <v>-0.0503669592747161</v>
      </c>
      <c r="BX51" s="23">
        <f>IFERROR((BX48-BS48)/(BX47-BS47),"")</f>
        <v>-0.380617842363584</v>
      </c>
      <c r="BY51" s="254">
        <f>IFERROR((BY48-BT48)/(BY47-BT47),"")</f>
        <v>-1.31472043510802</v>
      </c>
      <c r="BZ51" s="254">
        <f>IFERROR((BZ48-BU48)/(BZ47-BU47),"")</f>
        <v>0.50532077758357</v>
      </c>
      <c r="CA51" s="254">
        <f>IFERROR((CA48-BV48)/(CA47-BV47),"")</f>
        <v>-0.631214902686555</v>
      </c>
      <c r="CB51" s="254">
        <f>IFERROR((CB48-CA48)/(CB47-CA47),"")</f>
        <v>0.270281969833466</v>
      </c>
      <c r="CC51" s="254">
        <f>IFERROR((CC48-CB48)/(CC47-CB47),"")</f>
        <v>0.272880834928018</v>
      </c>
      <c r="CD51" s="254">
        <f>IFERROR((CD48-CC48)/(CD47-CC47),"")</f>
        <v>0.272880834928019</v>
      </c>
      <c r="CE51" s="254">
        <f>IFERROR((CE48-CD48)/(CE47-CD47),"")</f>
        <v>0.272880834928019</v>
      </c>
      <c r="CF51" s="19" t="n"/>
      <c r="CN51" s="25" t="inlineStr">
        <is>
          <t xml:space="preserve">  2030E</t>
        </is>
      </c>
      <c r="CO51" s="33">
        <f>CP51+$CO$47</f>
        <v>0.04</v>
      </c>
      <c r="CP51" s="42" t="n">
        <v>0.025</v>
      </c>
      <c r="CQ51" s="33">
        <f>CP51+$CQ$47</f>
        <v>0.01</v>
      </c>
    </row>
    <row r="52" outlineLevel="2" s="251">
      <c r="B52" s="22" t="inlineStr">
        <is>
          <t xml:space="preserve">  Price fall-through to adjusted EBIT %</t>
        </is>
      </c>
      <c r="C52" s="23" t="n"/>
      <c r="D52" s="23" t="n"/>
      <c r="E52" s="23" t="n"/>
      <c r="F52" s="23" t="n"/>
      <c r="G52" s="23" t="n"/>
      <c r="H52" s="23" t="n"/>
      <c r="I52" s="23" t="n"/>
      <c r="J52" s="23" t="n"/>
      <c r="K52" s="23" t="n"/>
      <c r="L52" s="23" t="n"/>
      <c r="M52" s="23" t="n"/>
      <c r="N52" s="23" t="n"/>
      <c r="O52" s="23" t="n"/>
      <c r="P52" s="23" t="n"/>
      <c r="Q52" s="23" t="n"/>
      <c r="R52" s="23" t="n"/>
      <c r="S52" s="23" t="n"/>
      <c r="T52" s="23" t="n"/>
      <c r="U52" s="23" t="n"/>
      <c r="V52" s="23" t="n"/>
      <c r="W52" s="23" t="n"/>
      <c r="X52" s="23" t="n"/>
      <c r="Y52" s="23" t="n"/>
      <c r="Z52" s="23" t="n"/>
      <c r="AA52" s="23" t="n"/>
      <c r="AB52" s="23" t="n"/>
      <c r="AC52" s="23" t="n"/>
      <c r="AD52" s="23" t="n"/>
      <c r="AE52" s="23" t="n"/>
      <c r="AF52" s="23" t="n"/>
      <c r="AG52" s="23" t="n"/>
      <c r="AH52" s="23" t="n"/>
      <c r="AI52" s="23" t="n"/>
      <c r="AJ52" s="23" t="n"/>
      <c r="AK52" s="23" t="n"/>
      <c r="AL52" s="23" t="n"/>
      <c r="AM52" s="23" t="n"/>
      <c r="AN52" s="23" t="n"/>
      <c r="AO52" s="23" t="n"/>
      <c r="AP52" s="23" t="n"/>
      <c r="AQ52" s="23" t="n"/>
      <c r="AR52" s="23" t="n"/>
      <c r="AS52" s="23" t="n"/>
      <c r="AT52" s="23" t="n"/>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54" t="n"/>
      <c r="BZ52" s="254" t="n"/>
      <c r="CA52" s="254" t="n"/>
      <c r="CB52" s="255" t="n">
        <v>0.25</v>
      </c>
      <c r="CC52" s="255" t="n">
        <v>0.25</v>
      </c>
      <c r="CD52" s="255" t="n">
        <v>0.25</v>
      </c>
      <c r="CE52" s="255" t="n">
        <v>0.25</v>
      </c>
      <c r="CF52" s="19" t="inlineStr">
        <is>
          <t>Input: share of price-driven sales growth that falls through to adjusted EBIT (price/cost broadly neutral — LECO prices to offset inflation; HPG price is largely metals pass-through).</t>
        </is>
      </c>
      <c r="CN52" s="15" t="inlineStr">
        <is>
          <t>IW_fx (International Welding FX translation y/y)</t>
        </is>
      </c>
      <c r="CO52" s="259" t="n">
        <v>0.01</v>
      </c>
      <c r="CP52" s="21" t="inlineStr">
        <is>
          <t>Δ →</t>
        </is>
      </c>
      <c r="CQ52" s="259" t="n">
        <v>-0.01</v>
      </c>
      <c r="CR52" s="13" t="inlineStr">
        <is>
          <t>Base 0% (constant currency); Bull assumes a weaker USD, Bear a stronger USD.</t>
        </is>
      </c>
    </row>
    <row r="53" outlineLevel="2" s="251">
      <c r="B53" s="22" t="inlineStr">
        <is>
          <t xml:space="preserve">  Volume incremental adjusted EBIT margin %</t>
        </is>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54" t="n"/>
      <c r="BZ53" s="254" t="n"/>
      <c r="CA53" s="254" t="n"/>
      <c r="CB53" s="255" t="n">
        <v>0.3</v>
      </c>
      <c r="CC53" s="255" t="n">
        <v>0.3</v>
      </c>
      <c r="CD53" s="255" t="n">
        <v>0.3</v>
      </c>
      <c r="CE53" s="255" t="n">
        <v>0.3</v>
      </c>
      <c r="CF53" s="19" t="inlineStr">
        <is>
          <t>Input: incremental margin on volume-driven sales (company targets mid-20s–30s% incrementals through the cycle).</t>
        </is>
      </c>
      <c r="CN53" s="25" t="inlineStr">
        <is>
          <t xml:space="preserve">  2027E</t>
        </is>
      </c>
      <c r="CO53" s="33">
        <f>CP53+$CO$52</f>
        <v>0.01</v>
      </c>
      <c r="CP53" s="42" t="n">
        <v>0</v>
      </c>
      <c r="CQ53" s="33">
        <f>CP53+$CQ$52</f>
        <v>-0.01</v>
      </c>
    </row>
    <row r="54" outlineLevel="2" s="251">
      <c r="B54" s="25" t="inlineStr">
        <is>
          <t xml:space="preserve">  Δ Adjusted EBIT (price × fall-through + volume × incremental + (acq. + FX) × prior margin)</t>
        </is>
      </c>
      <c r="C54" s="34" t="n"/>
      <c r="D54" s="34" t="n"/>
      <c r="E54" s="34" t="n"/>
      <c r="F54" s="34" t="n"/>
      <c r="G54" s="34" t="n"/>
      <c r="H54" s="34" t="n"/>
      <c r="I54" s="34" t="n"/>
      <c r="J54" s="34" t="n"/>
      <c r="K54" s="34" t="n"/>
      <c r="L54" s="34" t="n"/>
      <c r="M54" s="34" t="n"/>
      <c r="N54" s="34" t="n"/>
      <c r="O54" s="34" t="n"/>
      <c r="P54" s="34" t="n"/>
      <c r="Q54" s="34" t="n"/>
      <c r="R54" s="34" t="n"/>
      <c r="S54" s="34" t="n"/>
      <c r="T54" s="34" t="n"/>
      <c r="U54" s="34" t="n"/>
      <c r="V54" s="34" t="n"/>
      <c r="W54" s="34" t="n"/>
      <c r="X54" s="34" t="n"/>
      <c r="Y54" s="34" t="n"/>
      <c r="Z54" s="34" t="n"/>
      <c r="AA54" s="34" t="n"/>
      <c r="AB54" s="34" t="n"/>
      <c r="AC54" s="34" t="n"/>
      <c r="AD54" s="34" t="n"/>
      <c r="AE54" s="34" t="n"/>
      <c r="AF54" s="34" t="n"/>
      <c r="AG54" s="34" t="n"/>
      <c r="AH54" s="34" t="n"/>
      <c r="AI54" s="34" t="n"/>
      <c r="AJ54" s="34" t="n"/>
      <c r="AK54" s="34" t="n"/>
      <c r="AL54" s="34" t="n"/>
      <c r="AM54" s="34" t="n"/>
      <c r="AN54" s="34" t="n"/>
      <c r="AO54" s="34" t="n"/>
      <c r="AP54" s="34" t="n"/>
      <c r="AQ54" s="34" t="n"/>
      <c r="AR54" s="34" t="n"/>
      <c r="AS54" s="34" t="n"/>
      <c r="AT54" s="34" t="n"/>
      <c r="AU54" s="34" t="n"/>
      <c r="AV54" s="34" t="n"/>
      <c r="AW54" s="34" t="n"/>
      <c r="AX54" s="34" t="n"/>
      <c r="AY54" s="34" t="n"/>
      <c r="AZ54" s="34" t="n"/>
      <c r="BA54" s="34" t="n"/>
      <c r="BB54" s="34" t="n"/>
      <c r="BC54" s="34" t="n"/>
      <c r="BD54" s="34" t="n"/>
      <c r="BE54" s="34" t="n"/>
      <c r="BF54" s="34" t="n"/>
      <c r="BG54" s="34" t="n"/>
      <c r="BH54" s="34" t="n"/>
      <c r="BI54" s="34" t="n"/>
      <c r="BJ54" s="34" t="n"/>
      <c r="BK54" s="34" t="n"/>
      <c r="BL54" s="34" t="n"/>
      <c r="BM54" s="34" t="n"/>
      <c r="BN54" s="34" t="n"/>
      <c r="BO54" s="34" t="n"/>
      <c r="BP54" s="34" t="n"/>
      <c r="BQ54" s="34" t="n"/>
      <c r="BR54" s="34" t="n"/>
      <c r="BS54" s="34" t="n"/>
      <c r="BT54" s="34" t="n"/>
      <c r="BU54" s="34" t="n"/>
      <c r="BV54" s="34" t="n"/>
      <c r="BW54" s="34" t="n"/>
      <c r="BX54" s="34" t="n"/>
      <c r="BY54" s="257" t="n"/>
      <c r="BZ54" s="257" t="n"/>
      <c r="CA54" s="257" t="n"/>
      <c r="CB54" s="257">
        <f>CB43*CB52+CB42*CB53+(CB44+CB45)*CA50</f>
        <v>9.21855863041678</v>
      </c>
      <c r="CC54" s="257">
        <f>CC43*CC52+CC42*CC53+(CC44+CC45)*CB50</f>
        <v>11.0090863644016</v>
      </c>
      <c r="CD54" s="257">
        <f>CD43*CD52+CD42*CD53+(CD44+CD45)*CC50</f>
        <v>11.4494498189776</v>
      </c>
      <c r="CE54" s="257">
        <f>CE43*CE52+CE42*CE53+(CE44+CE45)*CD50</f>
        <v>11.9074278117368</v>
      </c>
      <c r="CF54" s="19" t="n"/>
      <c r="CN54" s="25" t="inlineStr">
        <is>
          <t xml:space="preserve">  2028E</t>
        </is>
      </c>
      <c r="CO54" s="33">
        <f>CP54+$CO$52</f>
        <v>0.01</v>
      </c>
      <c r="CP54" s="42" t="n">
        <v>0</v>
      </c>
      <c r="CQ54" s="33">
        <f>CP54+$CQ$52</f>
        <v>-0.01</v>
      </c>
    </row>
    <row r="55" outlineLevel="2" s="251">
      <c r="B55" s="25" t="inlineStr">
        <is>
          <t xml:space="preserve">  Special items (pre-tax, charged to the segment)</t>
        </is>
      </c>
      <c r="C55" s="34" t="n"/>
      <c r="D55" s="34" t="n"/>
      <c r="E55" s="34" t="n"/>
      <c r="F55" s="34" t="n"/>
      <c r="G55" s="34" t="n"/>
      <c r="H55" s="34" t="n"/>
      <c r="I55" s="34" t="n"/>
      <c r="J55" s="34" t="n"/>
      <c r="K55" s="34" t="n"/>
      <c r="L55" s="34" t="n"/>
      <c r="M55" s="34" t="n"/>
      <c r="N55" s="34" t="n">
        <v>8.116</v>
      </c>
      <c r="O55" s="34" t="n">
        <v>0.03</v>
      </c>
      <c r="P55" s="34" t="n">
        <v>0.857</v>
      </c>
      <c r="Q55" s="34" t="n">
        <v>28.486</v>
      </c>
      <c r="R55" s="34" t="n">
        <v>0.166</v>
      </c>
      <c r="S55" s="34" t="n">
        <v>29.539</v>
      </c>
      <c r="T55" s="34" t="n">
        <v>0</v>
      </c>
      <c r="U55" s="34" t="n">
        <v>1.239</v>
      </c>
      <c r="V55" s="34" t="n">
        <v>14.944</v>
      </c>
      <c r="W55" s="34" t="n">
        <v>0.488</v>
      </c>
      <c r="X55" s="34" t="n">
        <v>16.671</v>
      </c>
      <c r="Y55" s="34" t="n">
        <v>0</v>
      </c>
      <c r="Z55" s="34" t="n">
        <v>0</v>
      </c>
      <c r="AA55" s="34" t="n">
        <v>0</v>
      </c>
      <c r="AB55" s="34" t="n">
        <v>0</v>
      </c>
      <c r="AC55" s="34" t="n">
        <v>0</v>
      </c>
      <c r="AD55" s="34" t="n">
        <v>0</v>
      </c>
      <c r="AE55" s="34" t="n">
        <v>0</v>
      </c>
      <c r="AF55" s="34" t="n">
        <v>2.314</v>
      </c>
      <c r="AG55" s="34" t="n">
        <v>7.762</v>
      </c>
      <c r="AH55" s="34" t="n">
        <v>10.076</v>
      </c>
      <c r="AI55" s="34" t="n">
        <v>10.175</v>
      </c>
      <c r="AJ55" s="34" t="n">
        <v>11.542</v>
      </c>
      <c r="AK55" s="34" t="n">
        <v>2.636</v>
      </c>
      <c r="AL55" s="34" t="n">
        <v>0.9320000000000001</v>
      </c>
      <c r="AM55" s="34" t="n">
        <v>25.285</v>
      </c>
      <c r="AN55" s="34" t="n">
        <v>2.199</v>
      </c>
      <c r="AO55" s="34" t="n">
        <v>-2.627</v>
      </c>
      <c r="AP55" s="34" t="n">
        <v>-4.497</v>
      </c>
      <c r="AQ55" s="34" t="n">
        <v>7.081</v>
      </c>
      <c r="AR55" s="34" t="n">
        <v>2.156</v>
      </c>
      <c r="AS55" s="34" t="n">
        <v>6.137</v>
      </c>
      <c r="AT55" s="34" t="n">
        <v>0.5649999999999999</v>
      </c>
      <c r="AU55" s="34" t="n">
        <v>2.401</v>
      </c>
      <c r="AV55" s="34" t="n">
        <v>10.301</v>
      </c>
      <c r="AW55" s="34" t="n">
        <v>19.404</v>
      </c>
      <c r="AX55" s="34" t="n">
        <v>4.609</v>
      </c>
      <c r="AY55" s="34" t="n">
        <v>2.471</v>
      </c>
      <c r="AZ55" s="34" t="n">
        <v>6.615</v>
      </c>
      <c r="BA55" s="34" t="n">
        <v>1.539</v>
      </c>
      <c r="BB55" s="34" t="n">
        <v>15.234</v>
      </c>
      <c r="BC55" s="34" t="n">
        <v>1.347</v>
      </c>
      <c r="BD55" s="34" t="n">
        <v>0.154</v>
      </c>
      <c r="BE55" s="34" t="n">
        <v>8.364000000000001</v>
      </c>
      <c r="BF55" s="34" t="n">
        <v>1.816</v>
      </c>
      <c r="BG55" s="34" t="n">
        <v>11.681</v>
      </c>
      <c r="BH55" s="34" t="n">
        <v>0.302</v>
      </c>
      <c r="BI55" s="34" t="n">
        <v>3.255</v>
      </c>
      <c r="BJ55" s="34" t="n">
        <v>7.87</v>
      </c>
      <c r="BK55" s="34" t="n">
        <v>-21.147</v>
      </c>
      <c r="BL55" s="34" t="n">
        <v>-9.721</v>
      </c>
      <c r="BM55" s="34" t="n">
        <v>3.069</v>
      </c>
      <c r="BN55" s="34" t="n">
        <v>31.234</v>
      </c>
      <c r="BO55" s="34" t="n">
        <v>2.926</v>
      </c>
      <c r="BP55" s="34" t="n">
        <v>0.517</v>
      </c>
      <c r="BQ55" s="34" t="n">
        <v>37.747</v>
      </c>
      <c r="BR55" s="34" t="n">
        <v>1.412</v>
      </c>
      <c r="BS55" s="34" t="n">
        <v>1.551</v>
      </c>
      <c r="BT55" s="34" t="n">
        <v>2.762</v>
      </c>
      <c r="BU55" s="34" t="n">
        <v>5.717</v>
      </c>
      <c r="BV55" s="34" t="n">
        <v>11.442</v>
      </c>
      <c r="BW55" s="34" t="n">
        <v>1.772</v>
      </c>
      <c r="BX55" s="34" t="n">
        <v>2.282</v>
      </c>
      <c r="BY55" s="257" t="n"/>
      <c r="BZ55" s="257" t="n"/>
      <c r="CA55" s="257" t="n"/>
      <c r="CB55" s="257" t="n"/>
      <c r="CC55" s="257" t="n"/>
      <c r="CD55" s="257" t="n"/>
      <c r="CE55" s="257" t="n"/>
      <c r="CF55" s="19" t="inlineStr">
        <is>
          <t>Historical disclosure only; forecast special items are modelled at the consolidated level.</t>
        </is>
      </c>
      <c r="CN55" s="25" t="inlineStr">
        <is>
          <t xml:space="preserve">  2029E</t>
        </is>
      </c>
      <c r="CO55" s="33">
        <f>CP55+$CO$52</f>
        <v>0.01</v>
      </c>
      <c r="CP55" s="42" t="n">
        <v>0</v>
      </c>
      <c r="CQ55" s="33">
        <f>CP55+$CQ$52</f>
        <v>-0.01</v>
      </c>
    </row>
    <row r="56" outlineLevel="2" s="251">
      <c r="B56" s="25" t="inlineStr">
        <is>
          <t xml:space="preserve">  EBIT (GAAP, as reported in the segment table)</t>
        </is>
      </c>
      <c r="C56" s="34" t="n"/>
      <c r="D56" s="34" t="n"/>
      <c r="E56" s="34" t="n"/>
      <c r="F56" s="34" t="n"/>
      <c r="G56" s="34" t="n"/>
      <c r="H56" s="34" t="n"/>
      <c r="I56" s="34" t="n"/>
      <c r="J56" s="34" t="n"/>
      <c r="K56" s="34" t="n"/>
      <c r="L56" s="34" t="n"/>
      <c r="M56" s="34" t="n"/>
      <c r="N56" s="34" t="n">
        <v>29.921</v>
      </c>
      <c r="O56" s="34" t="n">
        <v>8.284000000000001</v>
      </c>
      <c r="P56" s="34" t="n">
        <v>14.471</v>
      </c>
      <c r="Q56" s="34" t="n">
        <v>-13.757</v>
      </c>
      <c r="R56" s="34" t="n">
        <v>10.183</v>
      </c>
      <c r="S56" s="34" t="n">
        <v>19.181</v>
      </c>
      <c r="T56" s="34" t="n">
        <v>10.934</v>
      </c>
      <c r="U56" s="34" t="n">
        <v>9.778</v>
      </c>
      <c r="V56" s="34" t="n">
        <v>-5.676</v>
      </c>
      <c r="W56" s="34" t="n">
        <v>2.804</v>
      </c>
      <c r="X56" s="34" t="n">
        <v>17.84</v>
      </c>
      <c r="Y56" s="34" t="n">
        <v>6.233</v>
      </c>
      <c r="Z56" s="34" t="n">
        <v>9.67</v>
      </c>
      <c r="AA56" s="34" t="n">
        <v>5.796</v>
      </c>
      <c r="AB56" s="34" t="n">
        <v>7.447</v>
      </c>
      <c r="AC56" s="34" t="n">
        <v>29.146</v>
      </c>
      <c r="AD56" s="34" t="n">
        <v>9.605</v>
      </c>
      <c r="AE56" s="34" t="n">
        <v>9.496</v>
      </c>
      <c r="AF56" s="34" t="n">
        <v>8.298</v>
      </c>
      <c r="AG56" s="34" t="n">
        <v>4.246</v>
      </c>
      <c r="AH56" s="34" t="n">
        <v>31.645</v>
      </c>
      <c r="AI56" s="34" t="n">
        <v>4.798</v>
      </c>
      <c r="AJ56" s="34" t="n">
        <v>4.734</v>
      </c>
      <c r="AK56" s="34" t="n">
        <v>8.085000000000001</v>
      </c>
      <c r="AL56" s="34" t="n">
        <v>11.371</v>
      </c>
      <c r="AM56" s="34" t="n">
        <v>28.988</v>
      </c>
      <c r="AN56" s="34" t="n">
        <v>11.138</v>
      </c>
      <c r="AO56" s="34" t="n">
        <v>17.805</v>
      </c>
      <c r="AP56" s="34" t="n">
        <v>14.681</v>
      </c>
      <c r="AQ56" s="34" t="n">
        <v>4.501</v>
      </c>
      <c r="AR56" s="34" t="n">
        <v>48.125</v>
      </c>
      <c r="AS56" s="34" t="n">
        <v>0.478</v>
      </c>
      <c r="AT56" s="34" t="n">
        <v>9.117000000000001</v>
      </c>
      <c r="AU56" s="34" t="n">
        <v>11.031</v>
      </c>
      <c r="AV56" s="34" t="n">
        <v>4.949</v>
      </c>
      <c r="AW56" s="34" t="n">
        <v>25.575</v>
      </c>
      <c r="AX56" s="34" t="n">
        <v>14.207</v>
      </c>
      <c r="AY56" s="34" t="n">
        <v>27.526</v>
      </c>
      <c r="AZ56" s="34" t="n">
        <v>22.417</v>
      </c>
      <c r="BA56" s="34" t="n">
        <v>26.824</v>
      </c>
      <c r="BB56" s="34" t="n">
        <v>90.974</v>
      </c>
      <c r="BC56" s="34" t="n">
        <v>35.74</v>
      </c>
      <c r="BD56" s="34" t="n">
        <v>34.855</v>
      </c>
      <c r="BE56" s="34" t="n">
        <v>16.861</v>
      </c>
      <c r="BF56" s="34" t="n">
        <v>21.02</v>
      </c>
      <c r="BG56" s="34" t="n">
        <v>108.476</v>
      </c>
      <c r="BH56" s="34" t="n">
        <v>29.296</v>
      </c>
      <c r="BI56" s="34" t="n">
        <v>30.519</v>
      </c>
      <c r="BJ56" s="34" t="n">
        <v>22.369</v>
      </c>
      <c r="BK56" s="34" t="n">
        <v>64.035</v>
      </c>
      <c r="BL56" s="34" t="n">
        <v>146.218</v>
      </c>
      <c r="BM56" s="34" t="n">
        <v>24.707</v>
      </c>
      <c r="BN56" s="34" t="n">
        <v>-5.525</v>
      </c>
      <c r="BO56" s="34" t="n">
        <v>17.175</v>
      </c>
      <c r="BP56" s="34" t="n">
        <v>32.013</v>
      </c>
      <c r="BQ56" s="34" t="n">
        <v>68.37</v>
      </c>
      <c r="BR56" s="34" t="n">
        <v>21.6</v>
      </c>
      <c r="BS56" s="34" t="n">
        <v>28.999</v>
      </c>
      <c r="BT56" s="34" t="n">
        <v>23.059</v>
      </c>
      <c r="BU56" s="34" t="n">
        <v>25.485</v>
      </c>
      <c r="BV56" s="34" t="n">
        <v>99.143</v>
      </c>
      <c r="BW56" s="34" t="n">
        <v>20.89</v>
      </c>
      <c r="BX56" s="34" t="n">
        <v>24.313</v>
      </c>
      <c r="BY56" s="257" t="n"/>
      <c r="BZ56" s="257" t="n"/>
      <c r="CA56" s="257" t="n"/>
      <c r="CB56" s="257" t="n"/>
      <c r="CC56" s="257" t="n"/>
      <c r="CD56" s="257" t="n"/>
      <c r="CE56" s="257" t="n"/>
      <c r="CF56" s="19" t="n"/>
      <c r="CN56" s="25" t="inlineStr">
        <is>
          <t xml:space="preserve">  2030E</t>
        </is>
      </c>
      <c r="CO56" s="33">
        <f>CP56+$CO$52</f>
        <v>0.01</v>
      </c>
      <c r="CP56" s="42" t="n">
        <v>0</v>
      </c>
      <c r="CQ56" s="33">
        <f>CP56+$CQ$52</f>
        <v>-0.01</v>
      </c>
    </row>
    <row r="57">
      <c r="CF57" s="19" t="n"/>
      <c r="CN57" s="15" t="inlineStr">
        <is>
          <t>MA_spend (bolt-on acquisitions, $m)</t>
        </is>
      </c>
      <c r="CO57" s="260" t="n">
        <v>150</v>
      </c>
      <c r="CP57" s="21" t="inlineStr">
        <is>
          <t>Δ →</t>
        </is>
      </c>
      <c r="CQ57" s="260" t="n">
        <v>-150</v>
      </c>
      <c r="CR57" s="13" t="inlineStr">
        <is>
          <t>LECO deployed $33–436m p.a. on acquisitions in 2016–25 (avg ~$150m); RISE strategy prioritises automation and growth bolt-ons.</t>
        </is>
      </c>
    </row>
    <row r="58">
      <c r="B58" s="14" t="inlineStr">
        <is>
          <t>The Harris Products Group (brazing &amp; soldering alloys, oxy-fuel cutting, gas regulators; US retail channel)</t>
        </is>
      </c>
      <c r="C58" s="14" t="n"/>
      <c r="D58" s="14" t="n"/>
      <c r="E58" s="14" t="n"/>
      <c r="F58" s="14" t="n"/>
      <c r="G58" s="14" t="n"/>
      <c r="H58" s="14" t="n"/>
      <c r="I58" s="14" t="n"/>
      <c r="J58" s="14" t="n"/>
      <c r="K58" s="14" t="n"/>
      <c r="L58" s="14" t="n"/>
      <c r="M58" s="14" t="n"/>
      <c r="N58" s="14" t="n"/>
      <c r="O58" s="14" t="n"/>
      <c r="P58" s="14" t="n"/>
      <c r="Q58" s="14" t="n"/>
      <c r="R58" s="14" t="n"/>
      <c r="S58" s="14" t="n"/>
      <c r="T58" s="14" t="n"/>
      <c r="U58" s="14" t="n"/>
      <c r="V58" s="14" t="n"/>
      <c r="W58" s="14" t="n"/>
      <c r="X58" s="14" t="n"/>
      <c r="Y58" s="14" t="n"/>
      <c r="Z58" s="14" t="n"/>
      <c r="AA58" s="14" t="n"/>
      <c r="AB58" s="14" t="n"/>
      <c r="AC58" s="14" t="n"/>
      <c r="AD58" s="14" t="n"/>
      <c r="AE58" s="14" t="n"/>
      <c r="AF58" s="14" t="n"/>
      <c r="AG58" s="14" t="n"/>
      <c r="AH58" s="14" t="n"/>
      <c r="AI58" s="14" t="n"/>
      <c r="AJ58" s="14" t="n"/>
      <c r="AK58" s="14" t="n"/>
      <c r="AL58" s="14" t="n"/>
      <c r="AM58" s="14" t="n"/>
      <c r="AN58" s="14" t="n"/>
      <c r="AO58" s="14" t="n"/>
      <c r="AP58" s="14" t="n"/>
      <c r="AQ58" s="14" t="n"/>
      <c r="AR58" s="14" t="n"/>
      <c r="AS58" s="14" t="n"/>
      <c r="AT58" s="14" t="n"/>
      <c r="AU58" s="14" t="n"/>
      <c r="AV58" s="14" t="n"/>
      <c r="AW58" s="14" t="n"/>
      <c r="AX58" s="14" t="n"/>
      <c r="AY58" s="14" t="n"/>
      <c r="AZ58" s="14" t="n"/>
      <c r="BA58" s="14" t="n"/>
      <c r="BB58" s="14" t="n"/>
      <c r="BC58" s="14" t="n"/>
      <c r="BD58" s="14" t="n"/>
      <c r="BE58" s="14" t="n"/>
      <c r="BF58" s="14" t="n"/>
      <c r="BG58" s="14" t="n"/>
      <c r="BH58" s="14" t="n"/>
      <c r="BI58" s="14" t="n"/>
      <c r="BJ58" s="14" t="n"/>
      <c r="BK58" s="14" t="n"/>
      <c r="BL58" s="14" t="n"/>
      <c r="BM58" s="14" t="n"/>
      <c r="BN58" s="14" t="n"/>
      <c r="BO58" s="14" t="n"/>
      <c r="BP58" s="14" t="n"/>
      <c r="BQ58" s="14" t="n"/>
      <c r="BR58" s="14" t="n"/>
      <c r="BS58" s="14" t="n"/>
      <c r="BT58" s="14" t="n"/>
      <c r="BU58" s="14" t="n"/>
      <c r="BV58" s="14" t="n"/>
      <c r="BW58" s="14" t="n"/>
      <c r="BX58" s="14" t="n"/>
      <c r="BY58" s="14" t="n"/>
      <c r="BZ58" s="14" t="n"/>
      <c r="CA58" s="14" t="n"/>
      <c r="CB58" s="14" t="n"/>
      <c r="CC58" s="14" t="n"/>
      <c r="CD58" s="14" t="n"/>
      <c r="CE58" s="14" t="n"/>
      <c r="CF58" s="15" t="inlineStr">
        <is>
          <t>HARRIS PRODUCTS GROUP — modelling logic</t>
        </is>
      </c>
      <c r="CN58" s="25" t="inlineStr">
        <is>
          <t xml:space="preserve">  2027E</t>
        </is>
      </c>
      <c r="CO58" s="51">
        <f>CP58+$CO$57</f>
        <v>350</v>
      </c>
      <c r="CP58" s="26" t="n">
        <v>200</v>
      </c>
      <c r="CQ58" s="51">
        <f>CP58+$CQ$57</f>
        <v>50</v>
      </c>
    </row>
    <row r="59">
      <c r="B59" s="16" t="inlineStr">
        <is>
          <t xml:space="preserve">  Net sales (external customers)</t>
        </is>
      </c>
      <c r="C59" s="43" t="n"/>
      <c r="D59" s="43" t="n"/>
      <c r="E59" s="43" t="n"/>
      <c r="F59" s="43" t="n"/>
      <c r="G59" s="43" t="n"/>
      <c r="H59" s="43" t="n"/>
      <c r="I59" s="43" t="n"/>
      <c r="J59" s="43" t="n"/>
      <c r="K59" s="43" t="n"/>
      <c r="L59" s="43" t="n"/>
      <c r="M59" s="43" t="n"/>
      <c r="N59" s="31" t="n">
        <v>308.177</v>
      </c>
      <c r="O59" s="31" t="n">
        <v>72.471</v>
      </c>
      <c r="P59" s="31" t="n">
        <v>77.419</v>
      </c>
      <c r="Q59" s="31" t="n">
        <v>78.383</v>
      </c>
      <c r="R59" s="31" t="n">
        <v>65.95699999999999</v>
      </c>
      <c r="S59" s="31" t="n">
        <v>294.23</v>
      </c>
      <c r="T59" s="31" t="n">
        <v>69.816</v>
      </c>
      <c r="U59" s="31" t="n">
        <v>71.812</v>
      </c>
      <c r="V59" s="31" t="n">
        <v>62.922</v>
      </c>
      <c r="W59" s="31" t="n">
        <v>59.431</v>
      </c>
      <c r="X59" s="31" t="n">
        <v>263.981</v>
      </c>
      <c r="Y59" s="31" t="n">
        <v>67.40900000000001</v>
      </c>
      <c r="Z59" s="31" t="n">
        <v>71.23099999999999</v>
      </c>
      <c r="AA59" s="31" t="n">
        <v>70.562</v>
      </c>
      <c r="AB59" s="31" t="n">
        <v>63.141</v>
      </c>
      <c r="AC59" s="31" t="n">
        <v>272.343</v>
      </c>
      <c r="AD59" s="31" t="n">
        <v>68.685</v>
      </c>
      <c r="AE59" s="31" t="n">
        <v>80.21299999999999</v>
      </c>
      <c r="AF59" s="31" t="n">
        <v>73.58499999999999</v>
      </c>
      <c r="AG59" s="31" t="n">
        <v>68.145</v>
      </c>
      <c r="AH59" s="31" t="n">
        <v>290.628</v>
      </c>
      <c r="AI59" s="31" t="n">
        <v>75.604</v>
      </c>
      <c r="AJ59" s="31" t="n">
        <v>84.164</v>
      </c>
      <c r="AK59" s="31" t="n">
        <v>73.467</v>
      </c>
      <c r="AL59" s="31" t="n">
        <v>69.154</v>
      </c>
      <c r="AM59" s="31" t="n">
        <v>302.389</v>
      </c>
      <c r="AN59" s="31" t="n">
        <v>83.369</v>
      </c>
      <c r="AO59" s="31" t="n">
        <v>88.095</v>
      </c>
      <c r="AP59" s="31" t="n">
        <v>81.884</v>
      </c>
      <c r="AQ59" s="31" t="n">
        <v>79.80200000000001</v>
      </c>
      <c r="AR59" s="31" t="n">
        <v>333.15</v>
      </c>
      <c r="AS59" s="31" t="n">
        <v>85.533</v>
      </c>
      <c r="AT59" s="31" t="n">
        <v>80.331</v>
      </c>
      <c r="AU59" s="31" t="n">
        <v>100.416</v>
      </c>
      <c r="AV59" s="31" t="n">
        <v>92.441</v>
      </c>
      <c r="AW59" s="31" t="n">
        <v>358.721</v>
      </c>
      <c r="AX59" s="31" t="n">
        <v>108.7</v>
      </c>
      <c r="AY59" s="31" t="n">
        <v>116.634</v>
      </c>
      <c r="AZ59" s="31" t="n">
        <v>117.781</v>
      </c>
      <c r="BA59" s="31" t="n">
        <v>118.459</v>
      </c>
      <c r="BB59" s="31" t="n">
        <v>461.574</v>
      </c>
      <c r="BC59" s="31" t="n">
        <v>133.352</v>
      </c>
      <c r="BD59" s="31" t="n">
        <v>137.301</v>
      </c>
      <c r="BE59" s="31" t="n">
        <v>133.115</v>
      </c>
      <c r="BF59" s="31" t="n">
        <v>114.228</v>
      </c>
      <c r="BG59" s="31" t="n">
        <v>517.996</v>
      </c>
      <c r="BH59" s="31" t="n">
        <v>128.282</v>
      </c>
      <c r="BI59" s="31" t="n">
        <v>130.196</v>
      </c>
      <c r="BJ59" s="31" t="n">
        <v>125.976</v>
      </c>
      <c r="BK59" s="31" t="n">
        <v>111.63</v>
      </c>
      <c r="BL59" s="31" t="n">
        <v>496.084</v>
      </c>
      <c r="BM59" s="31" t="n">
        <v>121.337</v>
      </c>
      <c r="BN59" s="31" t="n">
        <v>133.989</v>
      </c>
      <c r="BO59" s="31" t="n">
        <v>130.509</v>
      </c>
      <c r="BP59" s="31" t="n">
        <v>124.266</v>
      </c>
      <c r="BQ59" s="31" t="n">
        <v>510.101</v>
      </c>
      <c r="BR59" s="31" t="n">
        <v>132.22</v>
      </c>
      <c r="BS59" s="31" t="n">
        <v>159.119</v>
      </c>
      <c r="BT59" s="31" t="n">
        <v>149.804</v>
      </c>
      <c r="BU59" s="31" t="n">
        <v>137.434</v>
      </c>
      <c r="BV59" s="31" t="n">
        <v>578.577</v>
      </c>
      <c r="BW59" s="31" t="n">
        <v>188.174</v>
      </c>
      <c r="BX59" s="31" t="n">
        <v>201.933</v>
      </c>
      <c r="BY59" s="253">
        <f>BT59*(1+BY60)</f>
        <v>190.514389339</v>
      </c>
      <c r="BZ59" s="253">
        <f>BU59*(1+BZ60)</f>
        <v>174.782746685109</v>
      </c>
      <c r="CA59" s="253">
        <f>SUM(BW59,BX59,BY59,BZ59)</f>
        <v>755.404136024109</v>
      </c>
      <c r="CB59" s="253">
        <f>CA59*(1+CB60)</f>
        <v>800.728384185556</v>
      </c>
      <c r="CC59" s="253">
        <f>CB59*(1+CC60)</f>
        <v>844.768445315762</v>
      </c>
      <c r="CD59" s="253">
        <f>CC59*(1+CD60)</f>
        <v>891.230709808128</v>
      </c>
      <c r="CE59" s="253">
        <f>CD59*(1+CE60)</f>
        <v>940.248398847575</v>
      </c>
      <c r="CF59" s="19" t="inlineStr">
        <is>
          <t>Historical: segment table of the earnings release (current 3-segment basis from FY2013 / Q1-14, per the Feb-2016 recast 8-K). Q3/Q4-26E: prior-year quarter × (1 + volume + price + acquisitions + FX). 2027E+: prior year × (1 + scenario levers HPG_vol + HPG_price (+ FX)).</t>
        </is>
      </c>
      <c r="CH59" s="20">
        <f>IFERROR((CE59/BV59)^(1/5)-1,"n/m")</f>
        <v>0.101986533678888</v>
      </c>
      <c r="CI59" s="20">
        <f>IFERROR((BV59/AW59)^(1/5)-1,"n/m")</f>
        <v>0.100324727009547</v>
      </c>
      <c r="CJ59" s="20">
        <f>IFERROR((BV59/X59)^(1/10)-1,"n/m")</f>
        <v>0.08163031190819</v>
      </c>
      <c r="CK59" s="20" t="str">
        <f>IFERROR((BV59/C59)^(1/19)-1,"n/m")</f>
        <v>n/m</v>
      </c>
      <c r="CN59" s="25" t="inlineStr">
        <is>
          <t xml:space="preserve">  2028E</t>
        </is>
      </c>
      <c r="CO59" s="51">
        <f>CP59+$CO$57</f>
        <v>400</v>
      </c>
      <c r="CP59" s="26" t="n">
        <v>250</v>
      </c>
      <c r="CQ59" s="51">
        <f>CP59+$CQ$57</f>
        <v>100</v>
      </c>
    </row>
    <row r="60">
      <c r="B60" s="22" t="inlineStr">
        <is>
          <t xml:space="preserve">  Net sales y/y %</t>
        </is>
      </c>
      <c r="C60" s="23" t="n"/>
      <c r="D60" s="23" t="n"/>
      <c r="E60" s="23" t="n"/>
      <c r="F60" s="23" t="n"/>
      <c r="G60" s="23" t="n"/>
      <c r="H60" s="23" t="n"/>
      <c r="I60" s="23" t="n"/>
      <c r="J60" s="23" t="n"/>
      <c r="K60" s="23" t="n"/>
      <c r="L60" s="23" t="n"/>
      <c r="M60" s="23" t="n"/>
      <c r="N60" s="23" t="n"/>
      <c r="O60" s="23" t="n"/>
      <c r="P60" s="23" t="n"/>
      <c r="Q60" s="23" t="n"/>
      <c r="R60" s="23" t="n"/>
      <c r="S60" s="23">
        <f>IF(AND(ISNUMBER(S59),ISNUMBER(N59)),IFERROR(S59/N59-1,""),"")</f>
        <v>-0.0452564597617603</v>
      </c>
      <c r="T60" s="23">
        <f>IF(AND(ISNUMBER(T59),ISNUMBER(O59)),IFERROR(T59/O59-1,""),"")</f>
        <v>-0.0366353437926895</v>
      </c>
      <c r="U60" s="23">
        <f>IF(AND(ISNUMBER(U59),ISNUMBER(P59)),IFERROR(U59/P59-1,""),"")</f>
        <v>-0.0724240819437089</v>
      </c>
      <c r="V60" s="23">
        <f>IF(AND(ISNUMBER(V59),ISNUMBER(Q59)),IFERROR(V59/Q59-1,""),"")</f>
        <v>-0.197249403569652</v>
      </c>
      <c r="W60" s="23">
        <f>IF(AND(ISNUMBER(W59),ISNUMBER(R59)),IFERROR(W59/R59-1,""),"")</f>
        <v>-0.0989432509058932</v>
      </c>
      <c r="X60" s="23">
        <f>IF(AND(ISNUMBER(X59),ISNUMBER(S59)),IFERROR(X59/S59-1,""),"")</f>
        <v>-0.102807327600857</v>
      </c>
      <c r="Y60" s="23">
        <f>IF(AND(ISNUMBER(Y59),ISNUMBER(T59)),IFERROR(Y59/T59-1,""),"")</f>
        <v>-0.0344763378022229</v>
      </c>
      <c r="Z60" s="23">
        <f>IF(AND(ISNUMBER(Z59),ISNUMBER(U59)),IFERROR(Z59/U59-1,""),"")</f>
        <v>-0.00809056982119982</v>
      </c>
      <c r="AA60" s="23">
        <f>IF(AND(ISNUMBER(AA59),ISNUMBER(V59)),IFERROR(AA59/V59-1,""),"")</f>
        <v>0.121420171005372</v>
      </c>
      <c r="AB60" s="23">
        <f>IF(AND(ISNUMBER(AB59),ISNUMBER(W59)),IFERROR(AB59/W59-1,""),"")</f>
        <v>0.0624253335801182</v>
      </c>
      <c r="AC60" s="23">
        <f>IF(AND(ISNUMBER(AC59),ISNUMBER(X59)),IFERROR(AC59/X59-1,""),"")</f>
        <v>0.0316765221739443</v>
      </c>
      <c r="AD60" s="23">
        <f>IF(AND(ISNUMBER(AD59),ISNUMBER(Y59)),IFERROR(AD59/Y59-1,""),"")</f>
        <v>0.0189292231007729</v>
      </c>
      <c r="AE60" s="23">
        <f>IF(AND(ISNUMBER(AE59),ISNUMBER(Z59)),IFERROR(AE59/Z59-1,""),"")</f>
        <v>0.126096783703725</v>
      </c>
      <c r="AF60" s="23">
        <f>IF(AND(ISNUMBER(AF59),ISNUMBER(AA59)),IFERROR(AF59/AA59-1,""),"")</f>
        <v>0.042841756186049</v>
      </c>
      <c r="AG60" s="23">
        <f>IF(AND(ISNUMBER(AG59),ISNUMBER(AB59)),IFERROR(AG59/AB59-1,""),"")</f>
        <v>0.0792511996959187</v>
      </c>
      <c r="AH60" s="23">
        <f>IF(AND(ISNUMBER(AH59),ISNUMBER(AC59)),IFERROR(AH59/AC59-1,""),"")</f>
        <v>0.0671395996959716</v>
      </c>
      <c r="AI60" s="23">
        <f>IF(AND(ISNUMBER(AI59),ISNUMBER(AD59)),IFERROR(AI59/AD59-1,""),"")</f>
        <v>0.100735240591104</v>
      </c>
      <c r="AJ60" s="23">
        <f>IF(AND(ISNUMBER(AJ59),ISNUMBER(AE59)),IFERROR(AJ59/AE59-1,""),"")</f>
        <v>0.0492563549549325</v>
      </c>
      <c r="AK60" s="23">
        <f>IF(AND(ISNUMBER(AK59),ISNUMBER(AF59)),IFERROR(AK59/AF59-1,""),"")</f>
        <v>-0.00160358768770807</v>
      </c>
      <c r="AL60" s="23">
        <f>IF(AND(ISNUMBER(AL59),ISNUMBER(AG59)),IFERROR(AL59/AG59-1,""),"")</f>
        <v>0.0148066622642893</v>
      </c>
      <c r="AM60" s="23">
        <f>IF(AND(ISNUMBER(AM59),ISNUMBER(AH59)),IFERROR(AM59/AH59-1,""),"")</f>
        <v>0.04046753925981</v>
      </c>
      <c r="AN60" s="23">
        <f>IF(AND(ISNUMBER(AN59),ISNUMBER(AI59)),IFERROR(AN59/AI59-1,""),"")</f>
        <v>0.102706206020845</v>
      </c>
      <c r="AO60" s="23">
        <f>IF(AND(ISNUMBER(AO59),ISNUMBER(AJ59)),IFERROR(AO59/AJ59-1,""),"")</f>
        <v>0.0467064303027422</v>
      </c>
      <c r="AP60" s="23">
        <f>IF(AND(ISNUMBER(AP59),ISNUMBER(AK59)),IFERROR(AP59/AK59-1,""),"")</f>
        <v>0.114568445696707</v>
      </c>
      <c r="AQ60" s="23">
        <f>IF(AND(ISNUMBER(AQ59),ISNUMBER(AL59)),IFERROR(AQ59/AL59-1,""),"")</f>
        <v>0.153975185817162</v>
      </c>
      <c r="AR60" s="23">
        <f>IF(AND(ISNUMBER(AR59),ISNUMBER(AM59)),IFERROR(AR59/AM59-1,""),"")</f>
        <v>0.101726583969655</v>
      </c>
      <c r="AS60" s="23">
        <f>IF(AND(ISNUMBER(AS59),ISNUMBER(AN59)),IFERROR(AS59/AN59-1,""),"")</f>
        <v>0.0259568904508871</v>
      </c>
      <c r="AT60" s="23">
        <f>IF(AND(ISNUMBER(AT59),ISNUMBER(AO59)),IFERROR(AT59/AO59-1,""),"")</f>
        <v>-0.0881321300868381</v>
      </c>
      <c r="AU60" s="23">
        <f>IF(AND(ISNUMBER(AU59),ISNUMBER(AP59)),IFERROR(AU59/AP59-1,""),"")</f>
        <v>0.226320160226662</v>
      </c>
      <c r="AV60" s="23">
        <f>IF(AND(ISNUMBER(AV59),ISNUMBER(AQ59)),IFERROR(AV59/AQ59-1,""),"")</f>
        <v>0.158379489235859</v>
      </c>
      <c r="AW60" s="23">
        <f>IF(AND(ISNUMBER(AW59),ISNUMBER(AR59)),IFERROR(AW59/AR59-1,""),"")</f>
        <v>0.0767552153684528</v>
      </c>
      <c r="AX60" s="23">
        <f>IF(AND(ISNUMBER(AX59),ISNUMBER(AS59)),IFERROR(AX59/AS59-1,""),"")</f>
        <v>0.270854523984895</v>
      </c>
      <c r="AY60" s="23">
        <f>IF(AND(ISNUMBER(AY59),ISNUMBER(AT59)),IFERROR(AY59/AT59-1,""),"")</f>
        <v>0.451917690555327</v>
      </c>
      <c r="AZ60" s="23">
        <f>IF(AND(ISNUMBER(AZ59),ISNUMBER(AU59)),IFERROR(AZ59/AU59-1,""),"")</f>
        <v>0.172930608667941</v>
      </c>
      <c r="BA60" s="23">
        <f>IF(AND(ISNUMBER(BA59),ISNUMBER(AV59)),IFERROR(BA59/AV59-1,""),"")</f>
        <v>0.281455198450904</v>
      </c>
      <c r="BB60" s="23">
        <f>IF(AND(ISNUMBER(BB59),ISNUMBER(AW59)),IFERROR(BB59/AW59-1,""),"")</f>
        <v>0.286721435321601</v>
      </c>
      <c r="BC60" s="23">
        <f>IF(AND(ISNUMBER(BC59),ISNUMBER(AX59)),IFERROR(BC59/AX59-1,""),"")</f>
        <v>0.226789328426863</v>
      </c>
      <c r="BD60" s="23">
        <f>IF(AND(ISNUMBER(BD59),ISNUMBER(AY59)),IFERROR(BD59/AY59-1,""),"")</f>
        <v>0.177195328977828</v>
      </c>
      <c r="BE60" s="23">
        <f>IF(AND(ISNUMBER(BE59),ISNUMBER(AZ59)),IFERROR(BE59/AZ59-1,""),"")</f>
        <v>0.130190777799475</v>
      </c>
      <c r="BF60" s="23">
        <f>IF(AND(ISNUMBER(BF59),ISNUMBER(BA59)),IFERROR(BF59/BA59-1,""),"")</f>
        <v>-0.035716999130501</v>
      </c>
      <c r="BG60" s="23">
        <f>IF(AND(ISNUMBER(BG59),ISNUMBER(BB59)),IFERROR(BG59/BB59-1,""),"")</f>
        <v>0.122238254321084</v>
      </c>
      <c r="BH60" s="23">
        <f>IF(AND(ISNUMBER(BH59),ISNUMBER(BC59)),IFERROR(BH59/BC59-1,""),"")</f>
        <v>-0.0380196772451856</v>
      </c>
      <c r="BI60" s="23">
        <f>IF(AND(ISNUMBER(BI59),ISNUMBER(BD59)),IFERROR(BI59/BD59-1,""),"")</f>
        <v>-0.0517476201921325</v>
      </c>
      <c r="BJ60" s="23">
        <f>IF(AND(ISNUMBER(BJ59),ISNUMBER(BE59)),IFERROR(BJ59/BE59-1,""),"")</f>
        <v>-0.0536303196484244</v>
      </c>
      <c r="BK60" s="23">
        <f>IF(AND(ISNUMBER(BK59),ISNUMBER(BF59)),IFERROR(BK59/BF59-1,""),"")</f>
        <v>-0.0227439857127849</v>
      </c>
      <c r="BL60" s="23">
        <f>IF(AND(ISNUMBER(BL59),ISNUMBER(BG59)),IFERROR(BL59/BG59-1,""),"")</f>
        <v>-0.0423014849535517</v>
      </c>
      <c r="BM60" s="23">
        <f>IF(AND(ISNUMBER(BM59),ISNUMBER(BH59)),IFERROR(BM59/BH59-1,""),"")</f>
        <v>-0.0541385385322961</v>
      </c>
      <c r="BN60" s="23">
        <f>IF(AND(ISNUMBER(BN59),ISNUMBER(BI59)),IFERROR(BN59/BI59-1,""),"")</f>
        <v>0.0291329994777105</v>
      </c>
      <c r="BO60" s="23">
        <f>IF(AND(ISNUMBER(BO59),ISNUMBER(BJ59)),IFERROR(BO59/BJ59-1,""),"")</f>
        <v>0.0359830443894074</v>
      </c>
      <c r="BP60" s="23">
        <f>IF(AND(ISNUMBER(BP59),ISNUMBER(BK59)),IFERROR(BP59/BK59-1,""),"")</f>
        <v>0.11319537758667</v>
      </c>
      <c r="BQ60" s="23">
        <f>IF(AND(ISNUMBER(BQ59),ISNUMBER(BL59)),IFERROR(BQ59/BL59-1,""),"")</f>
        <v>0.0282552954741535</v>
      </c>
      <c r="BR60" s="23">
        <f>IF(AND(ISNUMBER(BR59),ISNUMBER(BM59)),IFERROR(BR59/BM59-1,""),"")</f>
        <v>0.0896923444621178</v>
      </c>
      <c r="BS60" s="23">
        <f>IF(AND(ISNUMBER(BS59),ISNUMBER(BN59)),IFERROR(BS59/BN59-1,""),"")</f>
        <v>0.187552709550784</v>
      </c>
      <c r="BT60" s="23">
        <f>IF(AND(ISNUMBER(BT59),ISNUMBER(BO59)),IFERROR(BT59/BO59-1,""),"")</f>
        <v>0.147844209977856</v>
      </c>
      <c r="BU60" s="23">
        <f>IF(AND(ISNUMBER(BU59),ISNUMBER(BP59)),IFERROR(BU59/BP59-1,""),"")</f>
        <v>0.10596623372443</v>
      </c>
      <c r="BV60" s="23">
        <f>IF(AND(ISNUMBER(BV59),ISNUMBER(BQ59)),IFERROR(BV59/BQ59-1,""),"")</f>
        <v>0.13424008186614</v>
      </c>
      <c r="BW60" s="23">
        <f>IF(AND(ISNUMBER(BW59),ISNUMBER(BR59)),IFERROR(BW59/BR59-1,""),"")</f>
        <v>0.423188625018908</v>
      </c>
      <c r="BX60" s="23">
        <f>IF(AND(ISNUMBER(BX59),ISNUMBER(BS59)),IFERROR(BX59/BS59-1,""),"")</f>
        <v>0.269069061519994</v>
      </c>
      <c r="BY60" s="254">
        <f>BY61+BY62+BY63+BY64</f>
        <v>0.271757692311287</v>
      </c>
      <c r="BZ60" s="254">
        <f>BZ61+BZ62+BZ63+BZ64</f>
        <v>0.271757692311287</v>
      </c>
      <c r="CA60" s="254">
        <f>IFERROR(CA59/BV59-1,"")</f>
        <v>0.30562420563574</v>
      </c>
      <c r="CB60" s="254">
        <f>CB61+CB62+CB63+CB64</f>
        <v>0.06</v>
      </c>
      <c r="CC60" s="254">
        <f>CC61+CC62+CC63+CC64</f>
        <v>0.055</v>
      </c>
      <c r="CD60" s="254">
        <f>CD61+CD62+CD63+CD64</f>
        <v>0.055</v>
      </c>
      <c r="CE60" s="254">
        <f>CE61+CE62+CE63+CE64</f>
        <v>0.055</v>
      </c>
      <c r="CF60" s="19" t="n"/>
      <c r="CN60" s="25" t="inlineStr">
        <is>
          <t xml:space="preserve">  2029E</t>
        </is>
      </c>
      <c r="CO60" s="51">
        <f>CP60+$CO$57</f>
        <v>400</v>
      </c>
      <c r="CP60" s="26" t="n">
        <v>250</v>
      </c>
      <c r="CQ60" s="51">
        <f>CP60+$CQ$57</f>
        <v>100</v>
      </c>
    </row>
    <row r="61">
      <c r="B61" s="25" t="inlineStr">
        <is>
          <t xml:space="preserve">  Volume % (company "change in net sales due to volume")</t>
        </is>
      </c>
      <c r="C61" s="36" t="n"/>
      <c r="D61" s="36" t="n"/>
      <c r="E61" s="36" t="n"/>
      <c r="F61" s="36" t="n"/>
      <c r="G61" s="36" t="n"/>
      <c r="H61" s="36" t="n"/>
      <c r="I61" s="36" t="n"/>
      <c r="J61" s="36" t="n"/>
      <c r="K61" s="36" t="n"/>
      <c r="L61" s="36" t="n"/>
      <c r="M61" s="36" t="n"/>
      <c r="N61" s="36" t="n"/>
      <c r="O61" s="36" t="n"/>
      <c r="P61" s="36" t="n"/>
      <c r="Q61" s="36" t="n"/>
      <c r="R61" s="36" t="n"/>
      <c r="S61" s="36" t="n"/>
      <c r="T61" s="36" t="n"/>
      <c r="U61" s="36" t="n"/>
      <c r="V61" s="36" t="n"/>
      <c r="W61" s="36" t="n"/>
      <c r="X61" s="36" t="n"/>
      <c r="Y61" s="40" t="n">
        <v>0.02</v>
      </c>
      <c r="Z61" s="40" t="n">
        <v>0.01</v>
      </c>
      <c r="AA61" s="40" t="n">
        <v>0.083</v>
      </c>
      <c r="AB61" s="40" t="n">
        <v>0.039</v>
      </c>
      <c r="AC61" s="40" t="n">
        <v>0.03700000000000001</v>
      </c>
      <c r="AD61" s="40" t="n">
        <v>-0.029</v>
      </c>
      <c r="AE61" s="40" t="n">
        <v>0.111</v>
      </c>
      <c r="AF61" s="40" t="n">
        <v>0.07200000000000001</v>
      </c>
      <c r="AG61" s="40" t="n">
        <v>0.06900000000000001</v>
      </c>
      <c r="AH61" s="40" t="n">
        <v>0.05599999999999999</v>
      </c>
      <c r="AI61" s="40" t="n">
        <v>0.09300000000000001</v>
      </c>
      <c r="AJ61" s="40" t="n">
        <v>0.035</v>
      </c>
      <c r="AK61" s="40" t="n">
        <v>0.002</v>
      </c>
      <c r="AL61" s="40" t="n">
        <v>0.046</v>
      </c>
      <c r="AM61" s="40" t="n">
        <v>0.043</v>
      </c>
      <c r="AN61" s="40" t="n">
        <v>0.039</v>
      </c>
      <c r="AO61" s="40" t="n">
        <v>-0.005</v>
      </c>
      <c r="AP61" s="40" t="n">
        <v>0.047</v>
      </c>
      <c r="AQ61" s="40" t="n">
        <v>0.057</v>
      </c>
      <c r="AR61" s="40" t="n">
        <v>0.033</v>
      </c>
      <c r="AS61" s="40" t="n">
        <v>0.034</v>
      </c>
      <c r="AT61" s="40" t="n">
        <v>-0.078</v>
      </c>
      <c r="AU61" s="40" t="n">
        <v>0.128</v>
      </c>
      <c r="AV61" s="40" t="n">
        <v>0.07400000000000001</v>
      </c>
      <c r="AW61" s="40" t="n">
        <v>0.03700000000000001</v>
      </c>
      <c r="AX61" s="40" t="n">
        <v>0.136</v>
      </c>
      <c r="AY61" s="40" t="n">
        <v>0.229</v>
      </c>
      <c r="AZ61" s="40" t="n">
        <v>-0.013</v>
      </c>
      <c r="BA61" s="40" t="n">
        <v>0.05400000000000001</v>
      </c>
      <c r="BB61" s="40" t="n">
        <v>0.094</v>
      </c>
      <c r="BC61" s="40" t="n">
        <v>0.029</v>
      </c>
      <c r="BD61" s="40" t="n">
        <v>-0.005</v>
      </c>
      <c r="BE61" s="40" t="n">
        <v>0.111</v>
      </c>
      <c r="BF61" s="40" t="n">
        <v>-0.024</v>
      </c>
      <c r="BG61" s="40" t="n">
        <v>0.028</v>
      </c>
      <c r="BH61" s="40" t="n">
        <v>-0.038</v>
      </c>
      <c r="BI61" s="40" t="n">
        <v>-0.064</v>
      </c>
      <c r="BJ61" s="40" t="n">
        <v>-0.112</v>
      </c>
      <c r="BK61" s="40" t="n">
        <v>-0.06900000000000001</v>
      </c>
      <c r="BL61" s="40" t="n">
        <v>-0.07099999999999999</v>
      </c>
      <c r="BM61" s="40" t="n">
        <v>-0.06900000000000001</v>
      </c>
      <c r="BN61" s="40" t="n">
        <v>-0.019</v>
      </c>
      <c r="BO61" s="40" t="n">
        <v>-0.03</v>
      </c>
      <c r="BP61" s="40" t="n">
        <v>0.027</v>
      </c>
      <c r="BQ61" s="40" t="n">
        <v>-0.024</v>
      </c>
      <c r="BR61" s="40" t="n">
        <v>0.006</v>
      </c>
      <c r="BS61" s="40" t="n">
        <v>0.11</v>
      </c>
      <c r="BT61" s="40" t="n">
        <v>0.023</v>
      </c>
      <c r="BU61" s="40" t="n">
        <v>-0.08900000000000001</v>
      </c>
      <c r="BV61" s="40" t="n">
        <v>0.015</v>
      </c>
      <c r="BW61" s="40" t="n">
        <v>-0.01</v>
      </c>
      <c r="BX61" s="40" t="n">
        <v>-0.08199999999999999</v>
      </c>
      <c r="BY61" s="254">
        <f>$BX$61+BY139</f>
        <v>-0.0702423076887133</v>
      </c>
      <c r="BZ61" s="254">
        <f>$BX$61+BZ139</f>
        <v>-0.0702423076887133</v>
      </c>
      <c r="CA61" s="254">
        <f>IFERROR(CA66/BV59,"")</f>
        <v>-0.0596882696268442</v>
      </c>
      <c r="CB61" s="254">
        <f>CHOOSE(MATCH($CF$2,{"Bull","Base","Bear"},0),$CO$43,$CP$43,$CQ$43)</f>
        <v>0.03</v>
      </c>
      <c r="CC61" s="254">
        <f>CHOOSE(MATCH($CF$2,{"Bull","Base","Bear"},0),$CO$44,$CP$44,$CQ$44)</f>
        <v>0.03</v>
      </c>
      <c r="CD61" s="254">
        <f>CHOOSE(MATCH($CF$2,{"Bull","Base","Bear"},0),$CO$45,$CP$45,$CQ$45)</f>
        <v>0.03</v>
      </c>
      <c r="CE61" s="254">
        <f>CHOOSE(MATCH($CF$2,{"Bull","Base","Bear"},0),$CO$46,$CP$46,$CQ$46)</f>
        <v>0.03</v>
      </c>
      <c r="CF61" s="19" t="inlineStr">
        <is>
          <t>Q3/Q4-26E: Q2/26 y/y volume + outlook calibration Δ (Group block). 2027E–2030E: scenario lever HPG_vol (Bull/Base/Bear table →).</t>
        </is>
      </c>
      <c r="CN61" s="25" t="inlineStr">
        <is>
          <t xml:space="preserve">  2030E</t>
        </is>
      </c>
      <c r="CO61" s="51">
        <f>CP61+$CO$57</f>
        <v>400</v>
      </c>
      <c r="CP61" s="26" t="n">
        <v>250</v>
      </c>
      <c r="CQ61" s="51">
        <f>CP61+$CQ$57</f>
        <v>100</v>
      </c>
    </row>
    <row r="62">
      <c r="B62" s="25" t="inlineStr">
        <is>
          <t xml:space="preserve">  Price %</t>
        </is>
      </c>
      <c r="C62" s="36" t="n"/>
      <c r="D62" s="36" t="n"/>
      <c r="E62" s="36" t="n"/>
      <c r="F62" s="36" t="n"/>
      <c r="G62" s="36" t="n"/>
      <c r="H62" s="36" t="n"/>
      <c r="I62" s="36" t="n"/>
      <c r="J62" s="36" t="n"/>
      <c r="K62" s="36" t="n"/>
      <c r="L62" s="36" t="n"/>
      <c r="M62" s="36" t="n"/>
      <c r="N62" s="36" t="n"/>
      <c r="O62" s="36" t="n"/>
      <c r="P62" s="36" t="n"/>
      <c r="Q62" s="36" t="n"/>
      <c r="R62" s="36" t="n"/>
      <c r="S62" s="36" t="n"/>
      <c r="T62" s="36" t="n"/>
      <c r="U62" s="36" t="n"/>
      <c r="V62" s="36" t="n"/>
      <c r="W62" s="36" t="n"/>
      <c r="X62" s="36" t="n"/>
      <c r="Y62" s="40" t="n">
        <v>-0.034</v>
      </c>
      <c r="Z62" s="40" t="n">
        <v>-0.011</v>
      </c>
      <c r="AA62" s="40" t="n">
        <v>0.035</v>
      </c>
      <c r="AB62" s="40" t="n">
        <v>0.015</v>
      </c>
      <c r="AC62" s="40" t="n">
        <v>0</v>
      </c>
      <c r="AD62" s="40" t="n">
        <v>0.04</v>
      </c>
      <c r="AE62" s="40" t="n">
        <v>0.01</v>
      </c>
      <c r="AF62" s="40" t="n">
        <v>-0.03700000000000001</v>
      </c>
      <c r="AG62" s="40" t="n">
        <v>-0.001</v>
      </c>
      <c r="AH62" s="40" t="n">
        <v>0.003</v>
      </c>
      <c r="AI62" s="40" t="n">
        <v>-0.006999999999999999</v>
      </c>
      <c r="AJ62" s="40" t="n">
        <v>0.015</v>
      </c>
      <c r="AK62" s="40" t="n">
        <v>0.01</v>
      </c>
      <c r="AL62" s="40" t="n">
        <v>-0.015</v>
      </c>
      <c r="AM62" s="40" t="n">
        <v>0.001</v>
      </c>
      <c r="AN62" s="40" t="n">
        <v>0.006</v>
      </c>
      <c r="AO62" s="40" t="n">
        <v>-0.008</v>
      </c>
      <c r="AP62" s="40" t="n">
        <v>0.01</v>
      </c>
      <c r="AQ62" s="40" t="n">
        <v>0.033</v>
      </c>
      <c r="AR62" s="40" t="n">
        <v>0.009000000000000001</v>
      </c>
      <c r="AS62" s="40" t="n">
        <v>0.004</v>
      </c>
      <c r="AT62" s="40" t="n">
        <v>0.003</v>
      </c>
      <c r="AU62" s="40" t="n">
        <v>0.116</v>
      </c>
      <c r="AV62" s="40" t="n">
        <v>0.106</v>
      </c>
      <c r="AW62" s="40" t="n">
        <v>0.05599999999999999</v>
      </c>
      <c r="AX62" s="40" t="n">
        <v>0.145</v>
      </c>
      <c r="AY62" s="40" t="n">
        <v>0.211</v>
      </c>
      <c r="AZ62" s="40" t="n">
        <v>0.08599999999999999</v>
      </c>
      <c r="BA62" s="40" t="n">
        <v>0.07000000000000001</v>
      </c>
      <c r="BB62" s="40" t="n">
        <v>0.124</v>
      </c>
      <c r="BC62" s="40" t="n">
        <v>0.062</v>
      </c>
      <c r="BD62" s="40" t="n">
        <v>0.04099999999999999</v>
      </c>
      <c r="BE62" s="40" t="n">
        <v>-0.005</v>
      </c>
      <c r="BF62" s="40" t="n">
        <v>-0.001</v>
      </c>
      <c r="BG62" s="40" t="n">
        <v>0.024</v>
      </c>
      <c r="BH62" s="40" t="n">
        <v>0.004</v>
      </c>
      <c r="BI62" s="40" t="n">
        <v>0.01</v>
      </c>
      <c r="BJ62" s="40" t="n">
        <v>0.047</v>
      </c>
      <c r="BK62" s="40" t="n">
        <v>0.036</v>
      </c>
      <c r="BL62" s="40" t="n">
        <v>0.024</v>
      </c>
      <c r="BM62" s="40" t="n">
        <v>0.011</v>
      </c>
      <c r="BN62" s="40" t="n">
        <v>0.052</v>
      </c>
      <c r="BO62" s="40" t="n">
        <v>0.07099999999999999</v>
      </c>
      <c r="BP62" s="40" t="n">
        <v>0.098</v>
      </c>
      <c r="BQ62" s="40" t="n">
        <v>0.057</v>
      </c>
      <c r="BR62" s="40" t="n">
        <v>0.095</v>
      </c>
      <c r="BS62" s="40" t="n">
        <v>0.07400000000000001</v>
      </c>
      <c r="BT62" s="40" t="n">
        <v>0.118</v>
      </c>
      <c r="BU62" s="40" t="n">
        <v>0.178</v>
      </c>
      <c r="BV62" s="40" t="n">
        <v>0.116</v>
      </c>
      <c r="BW62" s="40" t="n">
        <v>0.414</v>
      </c>
      <c r="BX62" s="40" t="n">
        <v>0.342</v>
      </c>
      <c r="BY62" s="254">
        <f>$BX$62</f>
        <v>0.342</v>
      </c>
      <c r="BZ62" s="254">
        <f>$BX$62</f>
        <v>0.342</v>
      </c>
      <c r="CA62" s="254">
        <f>IFERROR(CA67/BV59,"")</f>
        <v>0.358589083216236</v>
      </c>
      <c r="CB62" s="254">
        <f>CHOOSE(MATCH($CF$2,{"Bull","Base","Bear"},0),$CO$48,$CP$48,$CQ$48)</f>
        <v>0.03</v>
      </c>
      <c r="CC62" s="254">
        <f>CHOOSE(MATCH($CF$2,{"Bull","Base","Bear"},0),$CO$49,$CP$49,$CQ$49)</f>
        <v>0.025</v>
      </c>
      <c r="CD62" s="254">
        <f>CHOOSE(MATCH($CF$2,{"Bull","Base","Bear"},0),$CO$50,$CP$50,$CQ$50)</f>
        <v>0.025</v>
      </c>
      <c r="CE62" s="254">
        <f>CHOOSE(MATCH($CF$2,{"Bull","Base","Bear"},0),$CO$51,$CP$51,$CQ$51)</f>
        <v>0.025</v>
      </c>
      <c r="CF62" s="19" t="inlineStr">
        <is>
          <t>Q3/Q4-26E: Q2/26 y/y price held (carry-over of the 2025–26 increases; HPG includes metals pass-through). 2027E+: scenario lever. Note: 2016 Americas Welding as published includes Venezuela hyperinflationary price (+15.4%) offset by FX (−17.7%); ex-Venezuela price −0.5%, FX −1.0%.</t>
        </is>
      </c>
    </row>
    <row r="63">
      <c r="B63" s="25" t="inlineStr">
        <is>
          <t xml:space="preserve">  Acquisitions %</t>
        </is>
      </c>
      <c r="C63" s="36" t="n"/>
      <c r="D63" s="36" t="n"/>
      <c r="E63" s="36" t="n"/>
      <c r="F63" s="36" t="n"/>
      <c r="G63" s="36" t="n"/>
      <c r="H63" s="36" t="n"/>
      <c r="I63" s="36" t="n"/>
      <c r="J63" s="36" t="n"/>
      <c r="K63" s="36" t="n"/>
      <c r="L63" s="36" t="n"/>
      <c r="M63" s="36" t="n"/>
      <c r="N63" s="36" t="n"/>
      <c r="O63" s="36" t="n"/>
      <c r="P63" s="36" t="n"/>
      <c r="Q63" s="36" t="n"/>
      <c r="R63" s="36" t="n"/>
      <c r="S63" s="36" t="n"/>
      <c r="T63" s="36" t="n"/>
      <c r="U63" s="36" t="n"/>
      <c r="V63" s="36" t="n"/>
      <c r="W63" s="36" t="n"/>
      <c r="X63" s="36" t="n"/>
      <c r="Y63" s="40" t="n">
        <v>0</v>
      </c>
      <c r="Z63" s="40" t="n">
        <v>0</v>
      </c>
      <c r="AA63" s="40" t="n">
        <v>0</v>
      </c>
      <c r="AB63" s="40" t="n">
        <v>0</v>
      </c>
      <c r="AC63" s="40" t="n">
        <v>0</v>
      </c>
      <c r="AD63" s="40" t="n">
        <v>0</v>
      </c>
      <c r="AE63" s="40" t="n">
        <v>0</v>
      </c>
      <c r="AF63" s="40" t="n">
        <v>0</v>
      </c>
      <c r="AG63" s="40" t="n">
        <v>0</v>
      </c>
      <c r="AH63" s="40" t="n">
        <v>0</v>
      </c>
      <c r="AI63" s="40" t="n">
        <v>0</v>
      </c>
      <c r="AJ63" s="40" t="n">
        <v>0</v>
      </c>
      <c r="AK63" s="40" t="n">
        <v>0</v>
      </c>
      <c r="AL63" s="40" t="n">
        <v>0</v>
      </c>
      <c r="AM63" s="40" t="n">
        <v>0</v>
      </c>
      <c r="AN63" s="40" t="n">
        <v>0.076</v>
      </c>
      <c r="AO63" s="40" t="n">
        <v>0.067</v>
      </c>
      <c r="AP63" s="40" t="n">
        <v>0.065</v>
      </c>
      <c r="AQ63" s="40" t="n">
        <v>0.07000000000000001</v>
      </c>
      <c r="AR63" s="40" t="n">
        <v>0.07000000000000001</v>
      </c>
      <c r="AS63" s="40" t="n">
        <v>0</v>
      </c>
      <c r="AT63" s="40" t="n">
        <v>0</v>
      </c>
      <c r="AU63" s="40" t="n">
        <v>0</v>
      </c>
      <c r="AV63" s="40" t="n">
        <v>0</v>
      </c>
      <c r="AW63" s="40" t="n">
        <v>0</v>
      </c>
      <c r="AX63" s="40" t="n">
        <v>0</v>
      </c>
      <c r="AY63" s="40" t="n">
        <v>0</v>
      </c>
      <c r="AZ63" s="40" t="n">
        <v>0.098</v>
      </c>
      <c r="BA63" s="40" t="n">
        <v>0.163</v>
      </c>
      <c r="BB63" s="40" t="n">
        <v>0.07000000000000001</v>
      </c>
      <c r="BC63" s="40" t="n">
        <v>0.142</v>
      </c>
      <c r="BD63" s="40" t="n">
        <v>0.158</v>
      </c>
      <c r="BE63" s="40" t="n">
        <v>0.047</v>
      </c>
      <c r="BF63" s="40" t="n">
        <v>0</v>
      </c>
      <c r="BG63" s="40" t="n">
        <v>0.08500000000000001</v>
      </c>
      <c r="BH63" s="40" t="n">
        <v>0</v>
      </c>
      <c r="BI63" s="40" t="n">
        <v>0</v>
      </c>
      <c r="BJ63" s="40" t="n">
        <v>0</v>
      </c>
      <c r="BK63" s="40" t="n">
        <v>0</v>
      </c>
      <c r="BL63" s="40" t="n">
        <v>0</v>
      </c>
      <c r="BM63" s="40" t="n">
        <v>0</v>
      </c>
      <c r="BN63" s="40" t="n">
        <v>0</v>
      </c>
      <c r="BO63" s="40" t="n">
        <v>0</v>
      </c>
      <c r="BP63" s="40" t="n">
        <v>0</v>
      </c>
      <c r="BQ63" s="40" t="n">
        <v>0</v>
      </c>
      <c r="BR63" s="40" t="n">
        <v>0</v>
      </c>
      <c r="BS63" s="40" t="n">
        <v>0</v>
      </c>
      <c r="BT63" s="40" t="n">
        <v>0</v>
      </c>
      <c r="BU63" s="40" t="n">
        <v>0</v>
      </c>
      <c r="BV63" s="40" t="n">
        <v>0</v>
      </c>
      <c r="BW63" s="40" t="n">
        <v>0</v>
      </c>
      <c r="BX63" s="40" t="n">
        <v>0</v>
      </c>
      <c r="BY63" s="255" t="n">
        <v>0</v>
      </c>
      <c r="BZ63" s="255" t="n">
        <v>0</v>
      </c>
      <c r="CA63" s="254">
        <f>IFERROR(CA68/BV59,"")</f>
        <v>0</v>
      </c>
      <c r="CB63" s="255" t="n">
        <v>0</v>
      </c>
      <c r="CC63" s="255" t="n">
        <v>0</v>
      </c>
      <c r="CD63" s="255" t="n">
        <v>0</v>
      </c>
      <c r="CE63" s="255" t="n">
        <v>0</v>
      </c>
      <c r="CF63" s="19" t="inlineStr">
        <is>
          <t>No Harris acquisitions in the last 12 months.</t>
        </is>
      </c>
    </row>
    <row r="64">
      <c r="B64" s="25" t="inlineStr">
        <is>
          <t xml:space="preserve">  Foreign exchange %</t>
        </is>
      </c>
      <c r="C64" s="36" t="n"/>
      <c r="D64" s="36" t="n"/>
      <c r="E64" s="36" t="n"/>
      <c r="F64" s="36" t="n"/>
      <c r="G64" s="36" t="n"/>
      <c r="H64" s="36" t="n"/>
      <c r="I64" s="36" t="n"/>
      <c r="J64" s="36" t="n"/>
      <c r="K64" s="36" t="n"/>
      <c r="L64" s="36" t="n"/>
      <c r="M64" s="36" t="n"/>
      <c r="N64" s="36" t="n"/>
      <c r="O64" s="36" t="n"/>
      <c r="P64" s="36" t="n"/>
      <c r="Q64" s="36" t="n"/>
      <c r="R64" s="36" t="n"/>
      <c r="S64" s="36" t="n"/>
      <c r="T64" s="36" t="n"/>
      <c r="U64" s="36" t="n"/>
      <c r="V64" s="36" t="n"/>
      <c r="W64" s="36" t="n"/>
      <c r="X64" s="36" t="n"/>
      <c r="Y64" s="40" t="n">
        <v>-0.02</v>
      </c>
      <c r="Z64" s="40" t="n">
        <v>-0.006999999999999999</v>
      </c>
      <c r="AA64" s="40" t="n">
        <v>0.003</v>
      </c>
      <c r="AB64" s="40" t="n">
        <v>0.008</v>
      </c>
      <c r="AC64" s="40" t="n">
        <v>-0.005</v>
      </c>
      <c r="AD64" s="40" t="n">
        <v>0.008</v>
      </c>
      <c r="AE64" s="40" t="n">
        <v>0.005</v>
      </c>
      <c r="AF64" s="40" t="n">
        <v>0.008</v>
      </c>
      <c r="AG64" s="40" t="n">
        <v>0.011</v>
      </c>
      <c r="AH64" s="40" t="n">
        <v>0.008</v>
      </c>
      <c r="AI64" s="40" t="n">
        <v>0.015</v>
      </c>
      <c r="AJ64" s="40" t="n">
        <v>-0.001</v>
      </c>
      <c r="AK64" s="40" t="n">
        <v>-0.014</v>
      </c>
      <c r="AL64" s="40" t="n">
        <v>-0.016</v>
      </c>
      <c r="AM64" s="40" t="n">
        <v>-0.004</v>
      </c>
      <c r="AN64" s="40" t="n">
        <v>-0.019</v>
      </c>
      <c r="AO64" s="40" t="n">
        <v>-0.008</v>
      </c>
      <c r="AP64" s="40" t="n">
        <v>-0.006999999999999999</v>
      </c>
      <c r="AQ64" s="40" t="n">
        <v>-0.006</v>
      </c>
      <c r="AR64" s="40" t="n">
        <v>-0.01</v>
      </c>
      <c r="AS64" s="40" t="n">
        <v>-0.012</v>
      </c>
      <c r="AT64" s="40" t="n">
        <v>-0.013</v>
      </c>
      <c r="AU64" s="40" t="n">
        <v>-0.017</v>
      </c>
      <c r="AV64" s="40" t="n">
        <v>-0.022</v>
      </c>
      <c r="AW64" s="40" t="n">
        <v>-0.016</v>
      </c>
      <c r="AX64" s="40" t="n">
        <v>-0.011</v>
      </c>
      <c r="AY64" s="40" t="n">
        <v>0.011</v>
      </c>
      <c r="AZ64" s="40" t="n">
        <v>0.002</v>
      </c>
      <c r="BA64" s="40" t="n">
        <v>-0.005</v>
      </c>
      <c r="BB64" s="40" t="n">
        <v>-0.001</v>
      </c>
      <c r="BC64" s="40" t="n">
        <v>-0.006</v>
      </c>
      <c r="BD64" s="40" t="n">
        <v>-0.017</v>
      </c>
      <c r="BE64" s="40" t="n">
        <v>-0.023</v>
      </c>
      <c r="BF64" s="40" t="n">
        <v>-0.011</v>
      </c>
      <c r="BG64" s="40" t="n">
        <v>-0.014</v>
      </c>
      <c r="BH64" s="40" t="n">
        <v>-0.005</v>
      </c>
      <c r="BI64" s="40" t="n">
        <v>0.002</v>
      </c>
      <c r="BJ64" s="40" t="n">
        <v>0.012</v>
      </c>
      <c r="BK64" s="40" t="n">
        <v>0.01</v>
      </c>
      <c r="BL64" s="40" t="n">
        <v>0.005</v>
      </c>
      <c r="BM64" s="40" t="n">
        <v>0.004</v>
      </c>
      <c r="BN64" s="40" t="n">
        <v>-0.003</v>
      </c>
      <c r="BO64" s="40" t="n">
        <v>-0.005</v>
      </c>
      <c r="BP64" s="40" t="n">
        <v>-0.012</v>
      </c>
      <c r="BQ64" s="40" t="n">
        <v>-0.004</v>
      </c>
      <c r="BR64" s="40" t="n">
        <v>-0.012</v>
      </c>
      <c r="BS64" s="40" t="n">
        <v>0.004</v>
      </c>
      <c r="BT64" s="40" t="n">
        <v>0.006999999999999999</v>
      </c>
      <c r="BU64" s="40" t="n">
        <v>0.017</v>
      </c>
      <c r="BV64" s="40" t="n">
        <v>0.003</v>
      </c>
      <c r="BW64" s="40" t="n">
        <v>0.019</v>
      </c>
      <c r="BX64" s="40" t="n">
        <v>0.009000000000000001</v>
      </c>
      <c r="BY64" s="255" t="n">
        <v>0</v>
      </c>
      <c r="BZ64" s="255" t="n">
        <v>0</v>
      </c>
      <c r="CA64" s="254">
        <f>IFERROR(CA69/BV59,"")</f>
        <v>0.0067233920463482</v>
      </c>
      <c r="CB64" s="255" t="n">
        <v>0</v>
      </c>
      <c r="CC64" s="255" t="n">
        <v>0</v>
      </c>
      <c r="CD64" s="255" t="n">
        <v>0</v>
      </c>
      <c r="CE64" s="255" t="n">
        <v>0</v>
      </c>
      <c r="CF64" s="19" t="inlineStr">
        <is>
          <t>Q3/Q4-26E: FX input (spot-rate translation vs prior-year quarter). 2027E+: International Welding FX lever; Americas &amp; Harris 0%.</t>
        </is>
      </c>
    </row>
    <row r="65">
      <c r="B65" s="25" t="inlineStr">
        <is>
          <t xml:space="preserve">  Organic growth % (volume + price)</t>
        </is>
      </c>
      <c r="C65" s="36" t="n"/>
      <c r="D65" s="36" t="n"/>
      <c r="E65" s="36" t="n"/>
      <c r="F65" s="36" t="n"/>
      <c r="G65" s="36" t="n"/>
      <c r="H65" s="36" t="n"/>
      <c r="I65" s="36" t="n"/>
      <c r="J65" s="36" t="n"/>
      <c r="K65" s="36" t="n"/>
      <c r="L65" s="36" t="n"/>
      <c r="M65" s="36" t="n"/>
      <c r="N65" s="36" t="n"/>
      <c r="O65" s="36" t="n"/>
      <c r="P65" s="36" t="n"/>
      <c r="Q65" s="36" t="n"/>
      <c r="R65" s="36" t="n"/>
      <c r="S65" s="36" t="n"/>
      <c r="T65" s="36" t="n"/>
      <c r="U65" s="36" t="n"/>
      <c r="V65" s="36" t="n"/>
      <c r="W65" s="36" t="n"/>
      <c r="X65" s="36" t="n"/>
      <c r="Y65" s="36">
        <f>Y61+Y62</f>
        <v>-0.014</v>
      </c>
      <c r="Z65" s="36">
        <f>Z61+Z62</f>
        <v>-0.000999999999999999</v>
      </c>
      <c r="AA65" s="36">
        <f>AA61+AA62</f>
        <v>0.118</v>
      </c>
      <c r="AB65" s="36">
        <f>AB61+AB62</f>
        <v>0.054</v>
      </c>
      <c r="AC65" s="36">
        <f>AC61+AC62</f>
        <v>0.037</v>
      </c>
      <c r="AD65" s="36">
        <f>AD61+AD62</f>
        <v>0.011</v>
      </c>
      <c r="AE65" s="36">
        <f>AE61+AE62</f>
        <v>0.121</v>
      </c>
      <c r="AF65" s="36">
        <f>AF61+AF62</f>
        <v>0.035</v>
      </c>
      <c r="AG65" s="36">
        <f>AG61+AG62</f>
        <v>0.068</v>
      </c>
      <c r="AH65" s="36">
        <f>AH61+AH62</f>
        <v>0.059</v>
      </c>
      <c r="AI65" s="36">
        <f>AI61+AI62</f>
        <v>0.086</v>
      </c>
      <c r="AJ65" s="36">
        <f>AJ61+AJ62</f>
        <v>0.05</v>
      </c>
      <c r="AK65" s="36">
        <f>AK61+AK62</f>
        <v>0.012</v>
      </c>
      <c r="AL65" s="36">
        <f>AL61+AL62</f>
        <v>0.031</v>
      </c>
      <c r="AM65" s="36">
        <f>AM61+AM62</f>
        <v>0.044</v>
      </c>
      <c r="AN65" s="36">
        <f>AN61+AN62</f>
        <v>0.045</v>
      </c>
      <c r="AO65" s="36">
        <f>AO61+AO62</f>
        <v>-0.013</v>
      </c>
      <c r="AP65" s="36">
        <f>AP61+AP62</f>
        <v>0.057</v>
      </c>
      <c r="AQ65" s="36">
        <f>AQ61+AQ62</f>
        <v>0.09</v>
      </c>
      <c r="AR65" s="36">
        <f>AR61+AR62</f>
        <v>0.042</v>
      </c>
      <c r="AS65" s="36">
        <f>AS61+AS62</f>
        <v>0.038</v>
      </c>
      <c r="AT65" s="36">
        <f>AT61+AT62</f>
        <v>-0.075</v>
      </c>
      <c r="AU65" s="36">
        <f>AU61+AU62</f>
        <v>0.244</v>
      </c>
      <c r="AV65" s="36">
        <f>AV61+AV62</f>
        <v>0.18</v>
      </c>
      <c r="AW65" s="36">
        <f>AW61+AW62</f>
        <v>0.093</v>
      </c>
      <c r="AX65" s="36">
        <f>AX61+AX62</f>
        <v>0.281</v>
      </c>
      <c r="AY65" s="36">
        <f>AY61+AY62</f>
        <v>0.44</v>
      </c>
      <c r="AZ65" s="36">
        <f>AZ61+AZ62</f>
        <v>0.073</v>
      </c>
      <c r="BA65" s="36">
        <f>BA61+BA62</f>
        <v>0.124</v>
      </c>
      <c r="BB65" s="36">
        <f>BB61+BB62</f>
        <v>0.218</v>
      </c>
      <c r="BC65" s="36">
        <f>BC61+BC62</f>
        <v>0.091</v>
      </c>
      <c r="BD65" s="36">
        <f>BD61+BD62</f>
        <v>0.036</v>
      </c>
      <c r="BE65" s="36">
        <f>BE61+BE62</f>
        <v>0.106</v>
      </c>
      <c r="BF65" s="36">
        <f>BF61+BF62</f>
        <v>-0.025</v>
      </c>
      <c r="BG65" s="36">
        <f>BG61+BG62</f>
        <v>0.052</v>
      </c>
      <c r="BH65" s="36">
        <f>BH61+BH62</f>
        <v>-0.034</v>
      </c>
      <c r="BI65" s="36">
        <f>BI61+BI62</f>
        <v>-0.054</v>
      </c>
      <c r="BJ65" s="36">
        <f>BJ61+BJ62</f>
        <v>-0.065</v>
      </c>
      <c r="BK65" s="36">
        <f>BK61+BK62</f>
        <v>-0.033</v>
      </c>
      <c r="BL65" s="36">
        <f>BL61+BL62</f>
        <v>-0.047</v>
      </c>
      <c r="BM65" s="36">
        <f>BM61+BM62</f>
        <v>-0.058</v>
      </c>
      <c r="BN65" s="36">
        <f>BN61+BN62</f>
        <v>0.033</v>
      </c>
      <c r="BO65" s="36">
        <f>BO61+BO62</f>
        <v>0.041</v>
      </c>
      <c r="BP65" s="36">
        <f>BP61+BP62</f>
        <v>0.125</v>
      </c>
      <c r="BQ65" s="36">
        <f>BQ61+BQ62</f>
        <v>0.033</v>
      </c>
      <c r="BR65" s="36">
        <f>BR61+BR62</f>
        <v>0.101</v>
      </c>
      <c r="BS65" s="36">
        <f>BS61+BS62</f>
        <v>0.184</v>
      </c>
      <c r="BT65" s="36">
        <f>BT61+BT62</f>
        <v>0.141</v>
      </c>
      <c r="BU65" s="36">
        <f>BU61+BU62</f>
        <v>0.089</v>
      </c>
      <c r="BV65" s="36">
        <f>BV61+BV62</f>
        <v>0.131</v>
      </c>
      <c r="BW65" s="36">
        <f>BW61+BW62</f>
        <v>0.404</v>
      </c>
      <c r="BX65" s="36">
        <f>BX61+BX62</f>
        <v>0.26</v>
      </c>
      <c r="BY65" s="254">
        <f>BY61+BY62</f>
        <v>0.271757692311287</v>
      </c>
      <c r="BZ65" s="254">
        <f>BZ61+BZ62</f>
        <v>0.271757692311287</v>
      </c>
      <c r="CA65" s="254">
        <f>CA61+CA62</f>
        <v>0.298900813589391</v>
      </c>
      <c r="CB65" s="254">
        <f>CB61+CB62</f>
        <v>0.06</v>
      </c>
      <c r="CC65" s="254">
        <f>CC61+CC62</f>
        <v>0.055</v>
      </c>
      <c r="CD65" s="254">
        <f>CD61+CD62</f>
        <v>0.055</v>
      </c>
      <c r="CE65" s="254">
        <f>CE61+CE62</f>
        <v>0.055</v>
      </c>
      <c r="CF65" s="19" t="n"/>
    </row>
    <row r="66" outlineLevel="2" s="251">
      <c r="B66" s="25" t="inlineStr">
        <is>
          <t xml:space="preserve">  Δ Net sales — volume ($)</t>
        </is>
      </c>
      <c r="C66" s="34" t="n"/>
      <c r="D66" s="34" t="n"/>
      <c r="E66" s="34" t="n"/>
      <c r="F66" s="34" t="n"/>
      <c r="G66" s="34" t="n"/>
      <c r="H66" s="34" t="n"/>
      <c r="I66" s="34" t="n"/>
      <c r="J66" s="34" t="n"/>
      <c r="K66" s="34" t="n"/>
      <c r="L66" s="34" t="n"/>
      <c r="M66" s="34" t="n"/>
      <c r="N66" s="34" t="n"/>
      <c r="O66" s="34" t="n"/>
      <c r="P66" s="34" t="n"/>
      <c r="Q66" s="34" t="n"/>
      <c r="R66" s="34" t="n"/>
      <c r="S66" s="34" t="n"/>
      <c r="T66" s="34" t="n"/>
      <c r="U66" s="34" t="n"/>
      <c r="V66" s="34" t="n"/>
      <c r="W66" s="34" t="n"/>
      <c r="X66" s="34" t="n"/>
      <c r="Y66" s="34" t="n">
        <v>1.39</v>
      </c>
      <c r="Z66" s="34" t="n">
        <v>0.736</v>
      </c>
      <c r="AA66" s="34" t="n">
        <v>5.235</v>
      </c>
      <c r="AB66" s="34" t="n">
        <v>2.322</v>
      </c>
      <c r="AC66" s="34" t="n">
        <v>9.683</v>
      </c>
      <c r="AD66" s="34" t="n">
        <v>-1.984</v>
      </c>
      <c r="AE66" s="34" t="n">
        <v>7.916</v>
      </c>
      <c r="AF66" s="34" t="n">
        <v>5.05</v>
      </c>
      <c r="AG66" s="34" t="n">
        <v>4.38</v>
      </c>
      <c r="AH66" s="34" t="n">
        <v>15.362</v>
      </c>
      <c r="AI66" s="34" t="n">
        <v>6.38</v>
      </c>
      <c r="AJ66" s="34" t="n">
        <v>2.823</v>
      </c>
      <c r="AK66" s="34" t="n">
        <v>0.174</v>
      </c>
      <c r="AL66" s="34" t="n">
        <v>3.12</v>
      </c>
      <c r="AM66" s="34" t="n">
        <v>12.497</v>
      </c>
      <c r="AN66" s="34" t="n">
        <v>2.961</v>
      </c>
      <c r="AO66" s="34" t="n">
        <v>-0.417</v>
      </c>
      <c r="AP66" s="34" t="n">
        <v>3.429</v>
      </c>
      <c r="AQ66" s="34" t="n">
        <v>3.925</v>
      </c>
      <c r="AR66" s="34" t="n">
        <v>9.898</v>
      </c>
      <c r="AS66" s="34" t="n">
        <v>2.8</v>
      </c>
      <c r="AT66" s="34" t="n">
        <v>-6.891</v>
      </c>
      <c r="AU66" s="34" t="n">
        <v>10.461</v>
      </c>
      <c r="AV66" s="34" t="n">
        <v>5.872</v>
      </c>
      <c r="AW66" s="34" t="n">
        <v>12.242</v>
      </c>
      <c r="AX66" s="34" t="n">
        <v>11.641</v>
      </c>
      <c r="AY66" s="34" t="n">
        <v>18.421</v>
      </c>
      <c r="AZ66" s="34" t="n">
        <v>-1.287</v>
      </c>
      <c r="BA66" s="34" t="n">
        <v>4.997</v>
      </c>
      <c r="BB66" s="34" t="n">
        <v>33.772</v>
      </c>
      <c r="BC66" s="34" t="n">
        <v>3.142</v>
      </c>
      <c r="BD66" s="34" t="n">
        <v>-0.574</v>
      </c>
      <c r="BE66" s="34" t="n">
        <v>13.089</v>
      </c>
      <c r="BF66" s="34" t="n">
        <v>-2.837</v>
      </c>
      <c r="BG66" s="34" t="n">
        <v>12.82</v>
      </c>
      <c r="BH66" s="34" t="n">
        <v>-5.017</v>
      </c>
      <c r="BI66" s="34" t="n">
        <v>-8.853</v>
      </c>
      <c r="BJ66" s="34" t="n">
        <v>-14.919</v>
      </c>
      <c r="BK66" s="34" t="n">
        <v>-7.904</v>
      </c>
      <c r="BL66" s="34" t="n">
        <v>-36.693</v>
      </c>
      <c r="BM66" s="34" t="n">
        <v>-8.856</v>
      </c>
      <c r="BN66" s="34" t="n">
        <v>-2.523</v>
      </c>
      <c r="BO66" s="34" t="n">
        <v>-3.727</v>
      </c>
      <c r="BP66" s="34" t="n">
        <v>3.057</v>
      </c>
      <c r="BQ66" s="34" t="n">
        <v>-12.049</v>
      </c>
      <c r="BR66" s="34" t="n">
        <v>0.787</v>
      </c>
      <c r="BS66" s="34" t="n">
        <v>14.671</v>
      </c>
      <c r="BT66" s="34" t="n">
        <v>2.998</v>
      </c>
      <c r="BU66" s="34" t="n">
        <v>-11.029</v>
      </c>
      <c r="BV66" s="34" t="n">
        <v>7.427</v>
      </c>
      <c r="BW66" s="34" t="n">
        <v>-1.375</v>
      </c>
      <c r="BX66" s="34" t="n">
        <v>-12.983</v>
      </c>
      <c r="BY66" s="257">
        <f>BT59*BY61</f>
        <v>-10.522578661</v>
      </c>
      <c r="BZ66" s="257">
        <f>BU59*BZ61</f>
        <v>-9.65368131489063</v>
      </c>
      <c r="CA66" s="257">
        <f>SUM(BW66,BX66,BY66,BZ66)</f>
        <v>-34.5342599758906</v>
      </c>
      <c r="CB66" s="257">
        <f>CA59*CB61</f>
        <v>22.6621240807233</v>
      </c>
      <c r="CC66" s="257">
        <f>CB59*CC61</f>
        <v>24.0218515255667</v>
      </c>
      <c r="CD66" s="257">
        <f>CC59*CD61</f>
        <v>25.3430533594728</v>
      </c>
      <c r="CE66" s="257">
        <f>CD59*CE61</f>
        <v>26.7369212942438</v>
      </c>
      <c r="CF66" s="19" t="n"/>
    </row>
    <row r="67" outlineLevel="2" s="251">
      <c r="B67" s="25" t="inlineStr">
        <is>
          <t xml:space="preserve">  Δ Net sales — price ($)</t>
        </is>
      </c>
      <c r="C67" s="34" t="n"/>
      <c r="D67" s="34" t="n"/>
      <c r="E67" s="34" t="n"/>
      <c r="F67" s="34" t="n"/>
      <c r="G67" s="34" t="n"/>
      <c r="H67" s="34" t="n"/>
      <c r="I67" s="34" t="n"/>
      <c r="J67" s="34" t="n"/>
      <c r="K67" s="34" t="n"/>
      <c r="L67" s="34" t="n"/>
      <c r="M67" s="34" t="n"/>
      <c r="N67" s="34" t="n"/>
      <c r="O67" s="34" t="n"/>
      <c r="P67" s="34" t="n"/>
      <c r="Q67" s="34" t="n"/>
      <c r="R67" s="34" t="n"/>
      <c r="S67" s="34" t="n"/>
      <c r="T67" s="34" t="n"/>
      <c r="U67" s="34" t="n"/>
      <c r="V67" s="34" t="n"/>
      <c r="W67" s="34" t="n"/>
      <c r="X67" s="34" t="n"/>
      <c r="Y67" s="34" t="n">
        <v>-2.404</v>
      </c>
      <c r="Z67" s="34" t="n">
        <v>-0.8090000000000001</v>
      </c>
      <c r="AA67" s="34" t="n">
        <v>2.226</v>
      </c>
      <c r="AB67" s="34" t="n">
        <v>0.902</v>
      </c>
      <c r="AC67" s="34" t="n">
        <v>-0.08500000000000001</v>
      </c>
      <c r="AD67" s="34" t="n">
        <v>2.718</v>
      </c>
      <c r="AE67" s="34" t="n">
        <v>0.6919999999999999</v>
      </c>
      <c r="AF67" s="34" t="n">
        <v>-2.604</v>
      </c>
      <c r="AG67" s="34" t="n">
        <v>-0.064</v>
      </c>
      <c r="AH67" s="34" t="n">
        <v>0.742</v>
      </c>
      <c r="AI67" s="34" t="n">
        <v>-0.496</v>
      </c>
      <c r="AJ67" s="34" t="n">
        <v>1.174</v>
      </c>
      <c r="AK67" s="34" t="n">
        <v>0.753</v>
      </c>
      <c r="AL67" s="34" t="n">
        <v>-1.053</v>
      </c>
      <c r="AM67" s="34" t="n">
        <v>0.378</v>
      </c>
      <c r="AN67" s="34" t="n">
        <v>0.45</v>
      </c>
      <c r="AO67" s="34" t="n">
        <v>-0.635</v>
      </c>
      <c r="AP67" s="34" t="n">
        <v>0.761</v>
      </c>
      <c r="AQ67" s="34" t="n">
        <v>2.276</v>
      </c>
      <c r="AR67" s="34" t="n">
        <v>2.852</v>
      </c>
      <c r="AS67" s="34" t="n">
        <v>0.323</v>
      </c>
      <c r="AT67" s="34" t="n">
        <v>0.278</v>
      </c>
      <c r="AU67" s="34" t="n">
        <v>9.472</v>
      </c>
      <c r="AV67" s="34" t="n">
        <v>8.497999999999999</v>
      </c>
      <c r="AW67" s="34" t="n">
        <v>18.571</v>
      </c>
      <c r="AX67" s="34" t="n">
        <v>12.443</v>
      </c>
      <c r="AY67" s="34" t="n">
        <v>16.979</v>
      </c>
      <c r="AZ67" s="34" t="n">
        <v>8.609</v>
      </c>
      <c r="BA67" s="34" t="n">
        <v>6.428</v>
      </c>
      <c r="BB67" s="34" t="n">
        <v>44.459</v>
      </c>
      <c r="BC67" s="34" t="n">
        <v>6.723</v>
      </c>
      <c r="BD67" s="34" t="n">
        <v>4.82</v>
      </c>
      <c r="BE67" s="34" t="n">
        <v>-0.579</v>
      </c>
      <c r="BF67" s="34" t="n">
        <v>-0.097</v>
      </c>
      <c r="BG67" s="34" t="n">
        <v>10.867</v>
      </c>
      <c r="BH67" s="34" t="n">
        <v>0.5649999999999999</v>
      </c>
      <c r="BI67" s="34" t="n">
        <v>1.408</v>
      </c>
      <c r="BJ67" s="34" t="n">
        <v>6.231</v>
      </c>
      <c r="BK67" s="34" t="n">
        <v>4.126</v>
      </c>
      <c r="BL67" s="34" t="n">
        <v>12.33</v>
      </c>
      <c r="BM67" s="34" t="n">
        <v>1.443</v>
      </c>
      <c r="BN67" s="34" t="n">
        <v>6.728</v>
      </c>
      <c r="BO67" s="34" t="n">
        <v>8.898</v>
      </c>
      <c r="BP67" s="34" t="n">
        <v>10.972</v>
      </c>
      <c r="BQ67" s="34" t="n">
        <v>28.041</v>
      </c>
      <c r="BR67" s="34" t="n">
        <v>11.534</v>
      </c>
      <c r="BS67" s="34" t="n">
        <v>9.858000000000001</v>
      </c>
      <c r="BT67" s="34" t="n">
        <v>15.432</v>
      </c>
      <c r="BU67" s="34" t="n">
        <v>22.171</v>
      </c>
      <c r="BV67" s="34" t="n">
        <v>58.995</v>
      </c>
      <c r="BW67" s="34" t="n">
        <v>54.782</v>
      </c>
      <c r="BX67" s="34" t="n">
        <v>54.454</v>
      </c>
      <c r="BY67" s="257">
        <f>BT59*BY62</f>
        <v>51.232968</v>
      </c>
      <c r="BZ67" s="257">
        <f>BU59*BZ62</f>
        <v>47.002428</v>
      </c>
      <c r="CA67" s="257">
        <f>SUM(BW67,BX67,BY67,BZ67)</f>
        <v>207.471396</v>
      </c>
      <c r="CB67" s="257">
        <f>CA59*CB62</f>
        <v>22.6621240807233</v>
      </c>
      <c r="CC67" s="257">
        <f>CB59*CC62</f>
        <v>20.0182096046389</v>
      </c>
      <c r="CD67" s="257">
        <f>CC59*CD62</f>
        <v>21.119211132894</v>
      </c>
      <c r="CE67" s="257">
        <f>CD59*CE62</f>
        <v>22.2807677452032</v>
      </c>
      <c r="CF67" s="19" t="n"/>
    </row>
    <row r="68" outlineLevel="2" s="251">
      <c r="B68" s="25" t="inlineStr">
        <is>
          <t xml:space="preserve">  Δ Net sales — acquisitions ($)</t>
        </is>
      </c>
      <c r="C68" s="34" t="n"/>
      <c r="D68" s="34" t="n"/>
      <c r="E68" s="34" t="n"/>
      <c r="F68" s="34" t="n"/>
      <c r="G68" s="34" t="n"/>
      <c r="H68" s="34" t="n"/>
      <c r="I68" s="34" t="n"/>
      <c r="J68" s="34" t="n"/>
      <c r="K68" s="34" t="n"/>
      <c r="L68" s="34" t="n"/>
      <c r="M68" s="34" t="n"/>
      <c r="N68" s="34" t="n"/>
      <c r="O68" s="34" t="n"/>
      <c r="P68" s="34" t="n"/>
      <c r="Q68" s="34" t="n"/>
      <c r="R68" s="34" t="n"/>
      <c r="S68" s="34" t="n"/>
      <c r="T68" s="34" t="n"/>
      <c r="U68" s="34" t="n"/>
      <c r="V68" s="34" t="n"/>
      <c r="W68" s="34" t="n"/>
      <c r="X68" s="34" t="n"/>
      <c r="Y68" s="34" t="n">
        <v>0</v>
      </c>
      <c r="Z68" s="34" t="n">
        <v>0</v>
      </c>
      <c r="AA68" s="34" t="n">
        <v>0</v>
      </c>
      <c r="AB68" s="34" t="n">
        <v>0</v>
      </c>
      <c r="AC68" s="34" t="n">
        <v>0</v>
      </c>
      <c r="AD68" s="34" t="n">
        <v>0</v>
      </c>
      <c r="AE68" s="34" t="n">
        <v>0</v>
      </c>
      <c r="AF68" s="34" t="n">
        <v>0</v>
      </c>
      <c r="AG68" s="34" t="n">
        <v>0</v>
      </c>
      <c r="AH68" s="34" t="n">
        <v>0</v>
      </c>
      <c r="AI68" s="34" t="n">
        <v>0</v>
      </c>
      <c r="AJ68" s="34" t="n">
        <v>0</v>
      </c>
      <c r="AK68" s="34" t="n">
        <v>0</v>
      </c>
      <c r="AL68" s="34" t="n">
        <v>0</v>
      </c>
      <c r="AM68" s="34" t="n">
        <v>0</v>
      </c>
      <c r="AN68" s="34" t="n">
        <v>5.774</v>
      </c>
      <c r="AO68" s="34" t="n">
        <v>5.656</v>
      </c>
      <c r="AP68" s="34" t="n">
        <v>4.766</v>
      </c>
      <c r="AQ68" s="34" t="n">
        <v>4.836</v>
      </c>
      <c r="AR68" s="34" t="n">
        <v>21.032</v>
      </c>
      <c r="AS68" s="34" t="n">
        <v>0</v>
      </c>
      <c r="AT68" s="34" t="n">
        <v>0</v>
      </c>
      <c r="AU68" s="34" t="n">
        <v>0</v>
      </c>
      <c r="AV68" s="34" t="n">
        <v>0</v>
      </c>
      <c r="AW68" s="34" t="n">
        <v>0</v>
      </c>
      <c r="AX68" s="34" t="n">
        <v>0</v>
      </c>
      <c r="AY68" s="34" t="n">
        <v>0</v>
      </c>
      <c r="AZ68" s="34" t="n">
        <v>9.880000000000001</v>
      </c>
      <c r="BA68" s="34" t="n">
        <v>15.073</v>
      </c>
      <c r="BB68" s="34" t="n">
        <v>24.953</v>
      </c>
      <c r="BC68" s="34" t="n">
        <v>15.452</v>
      </c>
      <c r="BD68" s="34" t="n">
        <v>18.407</v>
      </c>
      <c r="BE68" s="34" t="n">
        <v>5.552</v>
      </c>
      <c r="BF68" s="34" t="n">
        <v>0</v>
      </c>
      <c r="BG68" s="34" t="n">
        <v>39.411</v>
      </c>
      <c r="BH68" s="34" t="n">
        <v>0</v>
      </c>
      <c r="BI68" s="34" t="n">
        <v>0</v>
      </c>
      <c r="BJ68" s="34" t="n">
        <v>0</v>
      </c>
      <c r="BK68" s="34" t="n">
        <v>0</v>
      </c>
      <c r="BL68" s="34" t="n">
        <v>0</v>
      </c>
      <c r="BM68" s="34" t="n">
        <v>0</v>
      </c>
      <c r="BN68" s="34" t="n">
        <v>0</v>
      </c>
      <c r="BO68" s="34" t="n">
        <v>0</v>
      </c>
      <c r="BP68" s="34" t="n">
        <v>0</v>
      </c>
      <c r="BQ68" s="34" t="n">
        <v>0</v>
      </c>
      <c r="BR68" s="34" t="n">
        <v>0</v>
      </c>
      <c r="BS68" s="34" t="n">
        <v>0</v>
      </c>
      <c r="BT68" s="34" t="n">
        <v>0</v>
      </c>
      <c r="BU68" s="34" t="n">
        <v>0</v>
      </c>
      <c r="BV68" s="34" t="n">
        <v>0</v>
      </c>
      <c r="BW68" s="34" t="n">
        <v>0</v>
      </c>
      <c r="BX68" s="34" t="n">
        <v>0</v>
      </c>
      <c r="BY68" s="257">
        <f>BT59*BY63</f>
        <v>0</v>
      </c>
      <c r="BZ68" s="257">
        <f>BU59*BZ63</f>
        <v>0</v>
      </c>
      <c r="CA68" s="257">
        <f>SUM(BW68,BX68,BY68,BZ68)</f>
        <v>0</v>
      </c>
      <c r="CB68" s="257">
        <f>CA59*CB63</f>
        <v>0</v>
      </c>
      <c r="CC68" s="257">
        <f>CB59*CC63</f>
        <v>0</v>
      </c>
      <c r="CD68" s="257">
        <f>CC59*CD63</f>
        <v>0</v>
      </c>
      <c r="CE68" s="257">
        <f>CD59*CE63</f>
        <v>0</v>
      </c>
      <c r="CF68" s="19" t="n"/>
    </row>
    <row r="69" outlineLevel="2" s="251">
      <c r="B69" s="25" t="inlineStr">
        <is>
          <t xml:space="preserve">  Δ Net sales — foreign exchange ($)</t>
        </is>
      </c>
      <c r="C69" s="34" t="n"/>
      <c r="D69" s="34" t="n"/>
      <c r="E69" s="34" t="n"/>
      <c r="F69" s="34" t="n"/>
      <c r="G69" s="34" t="n"/>
      <c r="H69" s="34" t="n"/>
      <c r="I69" s="34" t="n"/>
      <c r="J69" s="34" t="n"/>
      <c r="K69" s="34" t="n"/>
      <c r="L69" s="34" t="n"/>
      <c r="M69" s="34" t="n"/>
      <c r="N69" s="34" t="n"/>
      <c r="O69" s="34" t="n"/>
      <c r="P69" s="34" t="n"/>
      <c r="Q69" s="34" t="n"/>
      <c r="R69" s="34" t="n"/>
      <c r="S69" s="34" t="n"/>
      <c r="T69" s="34" t="n"/>
      <c r="U69" s="34" t="n"/>
      <c r="V69" s="34" t="n"/>
      <c r="W69" s="34" t="n"/>
      <c r="X69" s="34" t="n"/>
      <c r="Y69" s="34" t="n">
        <v>-1.393</v>
      </c>
      <c r="Z69" s="34" t="n">
        <v>-0.508</v>
      </c>
      <c r="AA69" s="34" t="n">
        <v>0.179</v>
      </c>
      <c r="AB69" s="34" t="n">
        <v>0.486</v>
      </c>
      <c r="AC69" s="34" t="n">
        <v>-1.236</v>
      </c>
      <c r="AD69" s="34" t="n">
        <v>0.542</v>
      </c>
      <c r="AE69" s="34" t="n">
        <v>0.374</v>
      </c>
      <c r="AF69" s="34" t="n">
        <v>0.577</v>
      </c>
      <c r="AG69" s="34" t="n">
        <v>0.6879999999999999</v>
      </c>
      <c r="AH69" s="34" t="n">
        <v>2.181</v>
      </c>
      <c r="AI69" s="34" t="n">
        <v>1.035</v>
      </c>
      <c r="AJ69" s="34" t="n">
        <v>-0.046</v>
      </c>
      <c r="AK69" s="34" t="n">
        <v>-1.045</v>
      </c>
      <c r="AL69" s="34" t="n">
        <v>-1.058</v>
      </c>
      <c r="AM69" s="34" t="n">
        <v>-1.114</v>
      </c>
      <c r="AN69" s="34" t="n">
        <v>-1.42</v>
      </c>
      <c r="AO69" s="34" t="n">
        <v>-0.673</v>
      </c>
      <c r="AP69" s="34" t="n">
        <v>-0.539</v>
      </c>
      <c r="AQ69" s="34" t="n">
        <v>-0.389</v>
      </c>
      <c r="AR69" s="34" t="n">
        <v>-3.021</v>
      </c>
      <c r="AS69" s="34" t="n">
        <v>-0.959</v>
      </c>
      <c r="AT69" s="34" t="n">
        <v>-1.151</v>
      </c>
      <c r="AU69" s="34" t="n">
        <v>-1.401</v>
      </c>
      <c r="AV69" s="34" t="n">
        <v>-1.731</v>
      </c>
      <c r="AW69" s="34" t="n">
        <v>-5.242</v>
      </c>
      <c r="AX69" s="34" t="n">
        <v>-0.917</v>
      </c>
      <c r="AY69" s="34" t="n">
        <v>0.903</v>
      </c>
      <c r="AZ69" s="34" t="n">
        <v>0.163</v>
      </c>
      <c r="BA69" s="34" t="n">
        <v>-0.48</v>
      </c>
      <c r="BB69" s="34" t="n">
        <v>-0.331</v>
      </c>
      <c r="BC69" s="34" t="n">
        <v>-0.665</v>
      </c>
      <c r="BD69" s="34" t="n">
        <v>-1.986</v>
      </c>
      <c r="BE69" s="34" t="n">
        <v>-2.728</v>
      </c>
      <c r="BF69" s="34" t="n">
        <v>-1.297</v>
      </c>
      <c r="BG69" s="34" t="n">
        <v>-6.676</v>
      </c>
      <c r="BH69" s="34" t="n">
        <v>-0.618</v>
      </c>
      <c r="BI69" s="34" t="n">
        <v>0.34</v>
      </c>
      <c r="BJ69" s="34" t="n">
        <v>1.549</v>
      </c>
      <c r="BK69" s="34" t="n">
        <v>1.18</v>
      </c>
      <c r="BL69" s="34" t="n">
        <v>2.451</v>
      </c>
      <c r="BM69" s="34" t="n">
        <v>0.468</v>
      </c>
      <c r="BN69" s="34" t="n">
        <v>-0.412</v>
      </c>
      <c r="BO69" s="34" t="n">
        <v>-0.638</v>
      </c>
      <c r="BP69" s="34" t="n">
        <v>-1.393</v>
      </c>
      <c r="BQ69" s="34" t="n">
        <v>-1.975</v>
      </c>
      <c r="BR69" s="34" t="n">
        <v>-1.438</v>
      </c>
      <c r="BS69" s="34" t="n">
        <v>0.601</v>
      </c>
      <c r="BT69" s="34" t="n">
        <v>0.865</v>
      </c>
      <c r="BU69" s="34" t="n">
        <v>2.026</v>
      </c>
      <c r="BV69" s="34" t="n">
        <v>2.054</v>
      </c>
      <c r="BW69" s="34" t="n">
        <v>2.547</v>
      </c>
      <c r="BX69" s="34" t="n">
        <v>1.343</v>
      </c>
      <c r="BY69" s="257">
        <f>BT59*BY64</f>
        <v>0</v>
      </c>
      <c r="BZ69" s="257">
        <f>BU59*BZ64</f>
        <v>0</v>
      </c>
      <c r="CA69" s="257">
        <f>SUM(BW69,BX69,BY69,BZ69)</f>
        <v>3.89</v>
      </c>
      <c r="CB69" s="257">
        <f>CA59*CB64</f>
        <v>0</v>
      </c>
      <c r="CC69" s="257">
        <f>CB59*CC64</f>
        <v>0</v>
      </c>
      <c r="CD69" s="257">
        <f>CC59*CD64</f>
        <v>0</v>
      </c>
      <c r="CE69" s="257">
        <f>CD59*CE64</f>
        <v>0</v>
      </c>
      <c r="CF69" s="19" t="n"/>
    </row>
    <row r="70" outlineLevel="2" s="251">
      <c r="B70" s="25" t="inlineStr">
        <is>
          <t xml:space="preserve">  Inter-segment sales</t>
        </is>
      </c>
      <c r="C70" s="34" t="n"/>
      <c r="D70" s="34" t="n"/>
      <c r="E70" s="34" t="n"/>
      <c r="F70" s="34" t="n"/>
      <c r="G70" s="34" t="n"/>
      <c r="H70" s="34" t="n"/>
      <c r="I70" s="34" t="n"/>
      <c r="J70" s="34" t="n"/>
      <c r="K70" s="34" t="n"/>
      <c r="L70" s="34" t="n"/>
      <c r="M70" s="34" t="n"/>
      <c r="N70" s="34" t="n">
        <v>9.605</v>
      </c>
      <c r="O70" s="34" t="n">
        <v>2.118</v>
      </c>
      <c r="P70" s="34" t="n">
        <v>2.262</v>
      </c>
      <c r="Q70" s="34" t="n">
        <v>2.009</v>
      </c>
      <c r="R70" s="34" t="n">
        <v>1.821</v>
      </c>
      <c r="S70" s="34" t="n">
        <v>8.210000000000001</v>
      </c>
      <c r="T70" s="34" t="n">
        <v>2.011</v>
      </c>
      <c r="U70" s="34" t="n">
        <v>2.716</v>
      </c>
      <c r="V70" s="34" t="n">
        <v>2.307</v>
      </c>
      <c r="W70" s="34" t="n">
        <v>2.278</v>
      </c>
      <c r="X70" s="34" t="n">
        <v>9.311999999999999</v>
      </c>
      <c r="Y70" s="34" t="n">
        <v>2.303</v>
      </c>
      <c r="Z70" s="34" t="n">
        <v>2.824</v>
      </c>
      <c r="AA70" s="34" t="n">
        <v>1.856</v>
      </c>
      <c r="AB70" s="34" t="n">
        <v>1.726</v>
      </c>
      <c r="AC70" s="34" t="n">
        <v>8.709</v>
      </c>
      <c r="AD70" s="34" t="n">
        <v>2.3</v>
      </c>
      <c r="AE70" s="34" t="n">
        <v>2.399</v>
      </c>
      <c r="AF70" s="34" t="n">
        <v>2.064</v>
      </c>
      <c r="AG70" s="34" t="n">
        <v>1.427</v>
      </c>
      <c r="AH70" s="34" t="n">
        <v>8.19</v>
      </c>
      <c r="AI70" s="34" t="n">
        <v>1.907</v>
      </c>
      <c r="AJ70" s="34" t="n">
        <v>2.003</v>
      </c>
      <c r="AK70" s="34" t="n">
        <v>1.537</v>
      </c>
      <c r="AL70" s="34" t="n">
        <v>1.522</v>
      </c>
      <c r="AM70" s="34" t="n">
        <v>6.969</v>
      </c>
      <c r="AN70" s="34" t="n">
        <v>1.867</v>
      </c>
      <c r="AO70" s="34" t="n">
        <v>2.113</v>
      </c>
      <c r="AP70" s="34" t="n">
        <v>1.857</v>
      </c>
      <c r="AQ70" s="34" t="n">
        <v>1.65</v>
      </c>
      <c r="AR70" s="34" t="n">
        <v>7.487</v>
      </c>
      <c r="AS70" s="34" t="n">
        <v>1.725</v>
      </c>
      <c r="AT70" s="34" t="n">
        <v>1.753</v>
      </c>
      <c r="AU70" s="34" t="n">
        <v>1.898</v>
      </c>
      <c r="AV70" s="34" t="n">
        <v>1.658</v>
      </c>
      <c r="AW70" s="34" t="n">
        <v>7.034</v>
      </c>
      <c r="AX70" s="34" t="n">
        <v>2.147</v>
      </c>
      <c r="AY70" s="34" t="n">
        <v>2.284</v>
      </c>
      <c r="AZ70" s="34" t="n">
        <v>1.945</v>
      </c>
      <c r="BA70" s="34" t="n">
        <v>1.72</v>
      </c>
      <c r="BB70" s="34" t="n">
        <v>8.096</v>
      </c>
      <c r="BC70" s="34" t="n">
        <v>3.062</v>
      </c>
      <c r="BD70" s="34" t="n">
        <v>2.866</v>
      </c>
      <c r="BE70" s="34" t="n">
        <v>2.642</v>
      </c>
      <c r="BF70" s="34" t="n">
        <v>2.47</v>
      </c>
      <c r="BG70" s="34" t="n">
        <v>11.04</v>
      </c>
      <c r="BH70" s="34" t="n">
        <v>2.897</v>
      </c>
      <c r="BI70" s="34" t="n">
        <v>2.867</v>
      </c>
      <c r="BJ70" s="34" t="n">
        <v>2.299</v>
      </c>
      <c r="BK70" s="34" t="n">
        <v>2.578</v>
      </c>
      <c r="BL70" s="34" t="n">
        <v>10.641</v>
      </c>
      <c r="BM70" s="34" t="n">
        <v>3.093</v>
      </c>
      <c r="BN70" s="34" t="n">
        <v>3.272</v>
      </c>
      <c r="BO70" s="34" t="n">
        <v>3.155</v>
      </c>
      <c r="BP70" s="34" t="n">
        <v>2.801</v>
      </c>
      <c r="BQ70" s="34" t="n">
        <v>12.321</v>
      </c>
      <c r="BR70" s="34" t="n">
        <v>3.984</v>
      </c>
      <c r="BS70" s="34" t="n">
        <v>5.11</v>
      </c>
      <c r="BT70" s="34" t="n">
        <v>3.441</v>
      </c>
      <c r="BU70" s="34" t="n">
        <v>2.549</v>
      </c>
      <c r="BV70" s="34" t="n">
        <v>15.084</v>
      </c>
      <c r="BW70" s="34" t="n">
        <v>4.664</v>
      </c>
      <c r="BX70" s="34" t="n">
        <v>4.972</v>
      </c>
      <c r="BY70" s="257">
        <f>BY59*BT70/BT59</f>
        <v>4.37611821924314</v>
      </c>
      <c r="BZ70" s="257">
        <f>BZ59*BU70/BU59</f>
        <v>3.24171035770147</v>
      </c>
      <c r="CA70" s="257">
        <f>SUM(BW70,BX70,BY70,BZ70)</f>
        <v>17.2538285769446</v>
      </c>
      <c r="CB70" s="257">
        <f>CB59*CA70/CA59</f>
        <v>18.2890582915613</v>
      </c>
      <c r="CC70" s="257">
        <f>CC59*CB70/CB59</f>
        <v>19.2949564975972</v>
      </c>
      <c r="CD70" s="257">
        <f>CD59*CC70/CC59</f>
        <v>20.356179104965</v>
      </c>
      <c r="CE70" s="257">
        <f>CE59*CD70/CD59</f>
        <v>21.4757689557381</v>
      </c>
      <c r="CF70" s="19" t="inlineStr">
        <is>
          <t>Forecast: prior-year inter-segment sales ratio to external net sales.</t>
        </is>
      </c>
    </row>
    <row r="71">
      <c r="B71" s="25" t="inlineStr">
        <is>
          <t xml:space="preserve">  Total segment sales (incl. inter-segment)</t>
        </is>
      </c>
      <c r="C71" s="34" t="n"/>
      <c r="D71" s="34" t="n"/>
      <c r="E71" s="34" t="n"/>
      <c r="F71" s="34" t="n"/>
      <c r="G71" s="34" t="n"/>
      <c r="H71" s="34" t="n"/>
      <c r="I71" s="34" t="n"/>
      <c r="J71" s="34" t="n"/>
      <c r="K71" s="34" t="n"/>
      <c r="L71" s="34" t="n"/>
      <c r="M71" s="34" t="n"/>
      <c r="N71" s="44">
        <f>N59+N(N70)</f>
        <v>317.782</v>
      </c>
      <c r="O71" s="44">
        <f>O59+N(O70)</f>
        <v>74.589</v>
      </c>
      <c r="P71" s="44">
        <f>P59+N(P70)</f>
        <v>79.681</v>
      </c>
      <c r="Q71" s="44">
        <f>Q59+N(Q70)</f>
        <v>80.392</v>
      </c>
      <c r="R71" s="44">
        <f>R59+N(R70)</f>
        <v>67.778</v>
      </c>
      <c r="S71" s="44">
        <f>S59+N(S70)</f>
        <v>302.44</v>
      </c>
      <c r="T71" s="44">
        <f>T59+N(T70)</f>
        <v>71.827</v>
      </c>
      <c r="U71" s="44">
        <f>U59+N(U70)</f>
        <v>74.528</v>
      </c>
      <c r="V71" s="44">
        <f>V59+N(V70)</f>
        <v>65.229</v>
      </c>
      <c r="W71" s="44">
        <f>W59+N(W70)</f>
        <v>61.709</v>
      </c>
      <c r="X71" s="44">
        <f>X59+N(X70)</f>
        <v>273.293</v>
      </c>
      <c r="Y71" s="44">
        <f>Y59+N(Y70)</f>
        <v>69.712</v>
      </c>
      <c r="Z71" s="44">
        <f>Z59+N(Z70)</f>
        <v>74.055</v>
      </c>
      <c r="AA71" s="44">
        <f>AA59+N(AA70)</f>
        <v>72.418</v>
      </c>
      <c r="AB71" s="44">
        <f>AB59+N(AB70)</f>
        <v>64.867</v>
      </c>
      <c r="AC71" s="44">
        <f>AC59+N(AC70)</f>
        <v>281.052</v>
      </c>
      <c r="AD71" s="44">
        <f>AD59+N(AD70)</f>
        <v>70.985</v>
      </c>
      <c r="AE71" s="44">
        <f>AE59+N(AE70)</f>
        <v>82.612</v>
      </c>
      <c r="AF71" s="44">
        <f>AF59+N(AF70)</f>
        <v>75.649</v>
      </c>
      <c r="AG71" s="44">
        <f>AG59+N(AG70)</f>
        <v>69.572</v>
      </c>
      <c r="AH71" s="44">
        <f>AH59+N(AH70)</f>
        <v>298.818</v>
      </c>
      <c r="AI71" s="44">
        <f>AI59+N(AI70)</f>
        <v>77.511</v>
      </c>
      <c r="AJ71" s="44">
        <f>AJ59+N(AJ70)</f>
        <v>86.167</v>
      </c>
      <c r="AK71" s="44">
        <f>AK59+N(AK70)</f>
        <v>75.004</v>
      </c>
      <c r="AL71" s="44">
        <f>AL59+N(AL70)</f>
        <v>70.676</v>
      </c>
      <c r="AM71" s="44">
        <f>AM59+N(AM70)</f>
        <v>309.358</v>
      </c>
      <c r="AN71" s="44">
        <f>AN59+N(AN70)</f>
        <v>85.236</v>
      </c>
      <c r="AO71" s="44">
        <f>AO59+N(AO70)</f>
        <v>90.208</v>
      </c>
      <c r="AP71" s="44">
        <f>AP59+N(AP70)</f>
        <v>83.741</v>
      </c>
      <c r="AQ71" s="44">
        <f>AQ59+N(AQ70)</f>
        <v>81.452</v>
      </c>
      <c r="AR71" s="44">
        <f>AR59+N(AR70)</f>
        <v>340.637</v>
      </c>
      <c r="AS71" s="44">
        <f>AS59+N(AS70)</f>
        <v>87.258</v>
      </c>
      <c r="AT71" s="44">
        <f>AT59+N(AT70)</f>
        <v>82.084</v>
      </c>
      <c r="AU71" s="44">
        <f>AU59+N(AU70)</f>
        <v>102.314</v>
      </c>
      <c r="AV71" s="44">
        <f>AV59+N(AV70)</f>
        <v>94.099</v>
      </c>
      <c r="AW71" s="44">
        <f>AW59+N(AW70)</f>
        <v>365.755</v>
      </c>
      <c r="AX71" s="44">
        <f>AX59+N(AX70)</f>
        <v>110.847</v>
      </c>
      <c r="AY71" s="44">
        <f>AY59+N(AY70)</f>
        <v>118.918</v>
      </c>
      <c r="AZ71" s="44">
        <f>AZ59+N(AZ70)</f>
        <v>119.726</v>
      </c>
      <c r="BA71" s="44">
        <f>BA59+N(BA70)</f>
        <v>120.179</v>
      </c>
      <c r="BB71" s="44">
        <f>BB59+N(BB70)</f>
        <v>469.67</v>
      </c>
      <c r="BC71" s="44">
        <f>BC59+N(BC70)</f>
        <v>136.414</v>
      </c>
      <c r="BD71" s="44">
        <f>BD59+N(BD70)</f>
        <v>140.167</v>
      </c>
      <c r="BE71" s="44">
        <f>BE59+N(BE70)</f>
        <v>135.757</v>
      </c>
      <c r="BF71" s="44">
        <f>BF59+N(BF70)</f>
        <v>116.698</v>
      </c>
      <c r="BG71" s="44">
        <f>BG59+N(BG70)</f>
        <v>529.036</v>
      </c>
      <c r="BH71" s="44">
        <f>BH59+N(BH70)</f>
        <v>131.179</v>
      </c>
      <c r="BI71" s="44">
        <f>BI59+N(BI70)</f>
        <v>133.063</v>
      </c>
      <c r="BJ71" s="44">
        <f>BJ59+N(BJ70)</f>
        <v>128.275</v>
      </c>
      <c r="BK71" s="44">
        <f>BK59+N(BK70)</f>
        <v>114.208</v>
      </c>
      <c r="BL71" s="44">
        <f>BL59+N(BL70)</f>
        <v>506.725</v>
      </c>
      <c r="BM71" s="44">
        <f>BM59+N(BM70)</f>
        <v>124.43</v>
      </c>
      <c r="BN71" s="44">
        <f>BN59+N(BN70)</f>
        <v>137.261</v>
      </c>
      <c r="BO71" s="44">
        <f>BO59+N(BO70)</f>
        <v>133.664</v>
      </c>
      <c r="BP71" s="44">
        <f>BP59+N(BP70)</f>
        <v>127.067</v>
      </c>
      <c r="BQ71" s="44">
        <f>BQ59+N(BQ70)</f>
        <v>522.422</v>
      </c>
      <c r="BR71" s="44">
        <f>BR59+N(BR70)</f>
        <v>136.204</v>
      </c>
      <c r="BS71" s="44">
        <f>BS59+N(BS70)</f>
        <v>164.229</v>
      </c>
      <c r="BT71" s="44">
        <f>BT59+N(BT70)</f>
        <v>153.245</v>
      </c>
      <c r="BU71" s="44">
        <f>BU59+N(BU70)</f>
        <v>139.983</v>
      </c>
      <c r="BV71" s="44">
        <f>BV59+N(BV70)</f>
        <v>593.661</v>
      </c>
      <c r="BW71" s="44">
        <f>BW59+N(BW70)</f>
        <v>192.838</v>
      </c>
      <c r="BX71" s="44">
        <f>BX59+N(BX70)</f>
        <v>206.905</v>
      </c>
      <c r="BY71" s="257">
        <f>BY59+BY70</f>
        <v>194.890507558243</v>
      </c>
      <c r="BZ71" s="257">
        <f>BZ59+BZ70</f>
        <v>178.024457042811</v>
      </c>
      <c r="CA71" s="257">
        <f>CA59+CA70</f>
        <v>772.657964601054</v>
      </c>
      <c r="CB71" s="257">
        <f>CB59+CB70</f>
        <v>819.017442477117</v>
      </c>
      <c r="CC71" s="257">
        <f>CC59+CC70</f>
        <v>864.063401813359</v>
      </c>
      <c r="CD71" s="257">
        <f>CD59+CD70</f>
        <v>911.586888913093</v>
      </c>
      <c r="CE71" s="257">
        <f>CE59+CE70</f>
        <v>961.724167803313</v>
      </c>
      <c r="CF71" s="19" t="n"/>
    </row>
    <row r="72">
      <c r="B72" s="16" t="inlineStr">
        <is>
          <t xml:space="preserve">  Adjusted EBIT (segment profit, company definition)</t>
        </is>
      </c>
      <c r="C72" s="43" t="n"/>
      <c r="D72" s="43" t="n"/>
      <c r="E72" s="43" t="n"/>
      <c r="F72" s="43" t="n"/>
      <c r="G72" s="43" t="n"/>
      <c r="H72" s="43" t="n"/>
      <c r="I72" s="43" t="n"/>
      <c r="J72" s="43" t="n"/>
      <c r="K72" s="43" t="n"/>
      <c r="L72" s="43" t="n"/>
      <c r="M72" s="43" t="n"/>
      <c r="N72" s="31" t="n">
        <v>27.826</v>
      </c>
      <c r="O72" s="31" t="n">
        <v>6.058</v>
      </c>
      <c r="P72" s="31" t="n">
        <v>7.178</v>
      </c>
      <c r="Q72" s="31" t="n">
        <v>8.946999999999999</v>
      </c>
      <c r="R72" s="31" t="n">
        <v>6.38</v>
      </c>
      <c r="S72" s="31" t="n">
        <v>28.563</v>
      </c>
      <c r="T72" s="31" t="n">
        <v>7.549</v>
      </c>
      <c r="U72" s="31" t="n">
        <v>8.25</v>
      </c>
      <c r="V72" s="31" t="n">
        <v>6.422</v>
      </c>
      <c r="W72" s="31" t="n">
        <v>5.661</v>
      </c>
      <c r="X72" s="31" t="n">
        <v>27.882</v>
      </c>
      <c r="Y72" s="31" t="n">
        <v>7.711</v>
      </c>
      <c r="Z72" s="31" t="n">
        <v>9.284000000000001</v>
      </c>
      <c r="AA72" s="31" t="n">
        <v>8.757</v>
      </c>
      <c r="AB72" s="31" t="n">
        <v>6.628</v>
      </c>
      <c r="AC72" s="31" t="n">
        <v>32.38</v>
      </c>
      <c r="AD72" s="31" t="n">
        <v>8.460000000000001</v>
      </c>
      <c r="AE72" s="31" t="n">
        <v>9.787000000000001</v>
      </c>
      <c r="AF72" s="31" t="n">
        <v>9.244</v>
      </c>
      <c r="AG72" s="31" t="n">
        <v>8.951000000000001</v>
      </c>
      <c r="AH72" s="31" t="n">
        <v>36.442</v>
      </c>
      <c r="AI72" s="31" t="n">
        <v>9.225</v>
      </c>
      <c r="AJ72" s="31" t="n">
        <v>10.157</v>
      </c>
      <c r="AK72" s="31" t="n">
        <v>8.676</v>
      </c>
      <c r="AL72" s="31" t="n">
        <v>8.506</v>
      </c>
      <c r="AM72" s="31" t="n">
        <v>36.564</v>
      </c>
      <c r="AN72" s="31" t="n">
        <v>10.519</v>
      </c>
      <c r="AO72" s="31" t="n">
        <v>13.488</v>
      </c>
      <c r="AP72" s="31" t="n">
        <v>11.038</v>
      </c>
      <c r="AQ72" s="31" t="n">
        <v>10.656</v>
      </c>
      <c r="AR72" s="31" t="n">
        <v>45.701</v>
      </c>
      <c r="AS72" s="31" t="n">
        <v>12.492</v>
      </c>
      <c r="AT72" s="31" t="n">
        <v>11.713</v>
      </c>
      <c r="AU72" s="31" t="n">
        <v>17.587</v>
      </c>
      <c r="AV72" s="31" t="n">
        <v>13.362</v>
      </c>
      <c r="AW72" s="31" t="n">
        <v>55.154</v>
      </c>
      <c r="AX72" s="31" t="n">
        <v>18.697</v>
      </c>
      <c r="AY72" s="31" t="n">
        <v>18.212</v>
      </c>
      <c r="AZ72" s="31" t="n">
        <v>15.98</v>
      </c>
      <c r="BA72" s="31" t="n">
        <v>15.558</v>
      </c>
      <c r="BB72" s="31" t="n">
        <v>68.447</v>
      </c>
      <c r="BC72" s="31" t="n">
        <v>19.598</v>
      </c>
      <c r="BD72" s="31" t="n">
        <v>17.922</v>
      </c>
      <c r="BE72" s="31" t="n">
        <v>14.432</v>
      </c>
      <c r="BF72" s="31" t="n">
        <v>12.056</v>
      </c>
      <c r="BG72" s="31" t="n">
        <v>64.008</v>
      </c>
      <c r="BH72" s="31" t="n">
        <v>18.983</v>
      </c>
      <c r="BI72" s="31" t="n">
        <v>19.51</v>
      </c>
      <c r="BJ72" s="31" t="n">
        <v>20.405</v>
      </c>
      <c r="BK72" s="31" t="n">
        <v>15.246</v>
      </c>
      <c r="BL72" s="31" t="n">
        <v>74.14400000000001</v>
      </c>
      <c r="BM72" s="31" t="n">
        <v>19.878</v>
      </c>
      <c r="BN72" s="31" t="n">
        <v>24.923</v>
      </c>
      <c r="BO72" s="31" t="n">
        <v>21.959</v>
      </c>
      <c r="BP72" s="31" t="n">
        <v>21.567</v>
      </c>
      <c r="BQ72" s="31" t="n">
        <v>88.328</v>
      </c>
      <c r="BR72" s="31" t="n">
        <v>24.329</v>
      </c>
      <c r="BS72" s="31" t="n">
        <v>31.884</v>
      </c>
      <c r="BT72" s="31" t="n">
        <v>28.078</v>
      </c>
      <c r="BU72" s="31" t="n">
        <v>23.317</v>
      </c>
      <c r="BV72" s="31" t="n">
        <v>107.608</v>
      </c>
      <c r="BW72" s="31" t="n">
        <v>40.809</v>
      </c>
      <c r="BX72" s="31" t="n">
        <v>42.253</v>
      </c>
      <c r="BY72" s="253">
        <f>BY71*BY74</f>
        <v>40.7937597439889</v>
      </c>
      <c r="BZ72" s="253">
        <f>BZ71*BZ74</f>
        <v>34.298829522205</v>
      </c>
      <c r="CA72" s="253">
        <f>SUM(BW72,BX72,BY72,BZ72)</f>
        <v>158.154589266194</v>
      </c>
      <c r="CB72" s="253">
        <f>CA72+CB78</f>
        <v>169.485651306556</v>
      </c>
      <c r="CC72" s="253">
        <f>CB72+CC78</f>
        <v>180.695848685153</v>
      </c>
      <c r="CD72" s="253">
        <f>CC72+CD78</f>
        <v>192.522606919574</v>
      </c>
      <c r="CE72" s="253">
        <f>CD72+CE78</f>
        <v>204.999836856888</v>
      </c>
      <c r="CF72" s="19" t="inlineStr">
        <is>
          <t>2027E+: prior-year adjusted EBIT + Δ bridge (price $ × fall-through + volume $ × incremental margin + (acquisitions + FX) $ × prior-year margin). 2026E = sum of quarters.</t>
        </is>
      </c>
      <c r="CH72" s="20">
        <f>IFERROR((CE72/BV72)^(1/5)-1,"n/m")</f>
        <v>0.137579589040275</v>
      </c>
      <c r="CI72" s="20">
        <f>IFERROR((BV72/AW72)^(1/5)-1,"n/m")</f>
        <v>0.143019156339535</v>
      </c>
      <c r="CJ72" s="20">
        <f>IFERROR((BV72/X72)^(1/10)-1,"n/m")</f>
        <v>0.144595577863238</v>
      </c>
      <c r="CK72" s="20" t="str">
        <f>IFERROR((BV72/C72)^(1/19)-1,"n/m")</f>
        <v>n/m</v>
      </c>
    </row>
    <row r="73">
      <c r="B73" s="25" t="inlineStr">
        <is>
          <t xml:space="preserve">  Adjusted EBIT margin before outlook calibration % (Q3/Q4-26E helper)</t>
        </is>
      </c>
      <c r="C73" s="36" t="n"/>
      <c r="D73" s="36" t="n"/>
      <c r="E73" s="36" t="n"/>
      <c r="F73" s="36" t="n"/>
      <c r="G73" s="36" t="n"/>
      <c r="H73" s="36" t="n"/>
      <c r="I73" s="36" t="n"/>
      <c r="J73" s="36" t="n"/>
      <c r="K73" s="36" t="n"/>
      <c r="L73" s="36" t="n"/>
      <c r="M73" s="36" t="n"/>
      <c r="N73" s="36" t="n"/>
      <c r="O73" s="36" t="n"/>
      <c r="P73" s="36" t="n"/>
      <c r="Q73" s="36" t="n"/>
      <c r="R73" s="36" t="n"/>
      <c r="S73" s="36" t="n"/>
      <c r="T73" s="36" t="n"/>
      <c r="U73" s="36" t="n"/>
      <c r="V73" s="36" t="n"/>
      <c r="W73" s="36" t="n"/>
      <c r="X73" s="36" t="n"/>
      <c r="Y73" s="36" t="n"/>
      <c r="Z73" s="36" t="n"/>
      <c r="AA73" s="36" t="n"/>
      <c r="AB73" s="36" t="n"/>
      <c r="AC73" s="36" t="n"/>
      <c r="AD73" s="36" t="n"/>
      <c r="AE73" s="36" t="n"/>
      <c r="AF73" s="36" t="n"/>
      <c r="AG73" s="36" t="n"/>
      <c r="AH73" s="36" t="n"/>
      <c r="AI73" s="36" t="n"/>
      <c r="AJ73" s="36" t="n"/>
      <c r="AK73" s="36" t="n"/>
      <c r="AL73" s="36" t="n"/>
      <c r="AM73" s="36" t="n"/>
      <c r="AN73" s="36" t="n"/>
      <c r="AO73" s="36" t="n"/>
      <c r="AP73" s="36" t="n"/>
      <c r="AQ73" s="36" t="n"/>
      <c r="AR73" s="36" t="n"/>
      <c r="AS73" s="36" t="n"/>
      <c r="AT73" s="36" t="n"/>
      <c r="AU73" s="36" t="n"/>
      <c r="AV73" s="36" t="n"/>
      <c r="AW73" s="36" t="n"/>
      <c r="AX73" s="36" t="n"/>
      <c r="AY73" s="36" t="n"/>
      <c r="AZ73" s="36" t="n"/>
      <c r="BA73" s="36" t="n"/>
      <c r="BB73" s="36" t="n"/>
      <c r="BC73" s="36" t="n"/>
      <c r="BD73" s="36" t="n"/>
      <c r="BE73" s="36" t="n"/>
      <c r="BF73" s="36" t="n"/>
      <c r="BG73" s="36" t="n"/>
      <c r="BH73" s="36" t="n"/>
      <c r="BI73" s="36" t="n"/>
      <c r="BJ73" s="36" t="n"/>
      <c r="BK73" s="36" t="n"/>
      <c r="BL73" s="36" t="n"/>
      <c r="BM73" s="36" t="n"/>
      <c r="BN73" s="36" t="n"/>
      <c r="BO73" s="36" t="n"/>
      <c r="BP73" s="36" t="n"/>
      <c r="BQ73" s="36" t="n"/>
      <c r="BR73" s="36" t="n"/>
      <c r="BS73" s="36" t="n"/>
      <c r="BT73" s="36" t="n"/>
      <c r="BU73" s="36" t="n"/>
      <c r="BV73" s="36" t="n"/>
      <c r="BW73" s="36" t="n"/>
      <c r="BX73" s="36" t="n"/>
      <c r="BY73" s="254">
        <f>BT74+($BW$72+$BX$72)/($BW$71+$BX$71)-($BR$72+$BS$72)/($BR$71+$BS$71)</f>
        <v>0.203904838305869</v>
      </c>
      <c r="BZ73" s="254">
        <f>BU74+($BW$72+$BX$72)/($BW$71+$BX$71)-($BR$72+$BS$72)/($BR$71+$BS$71)</f>
        <v>0.18725212103818</v>
      </c>
      <c r="CA73" s="254" t="n"/>
      <c r="CB73" s="254" t="n"/>
      <c r="CC73" s="254" t="n"/>
      <c r="CD73" s="254" t="n"/>
      <c r="CE73" s="254" t="n"/>
      <c r="CF73" s="19" t="inlineStr">
        <is>
          <t>Q3/Q4-26E: prior-year quarter margin + (1H/26 − 1H/25 margin drift).</t>
        </is>
      </c>
    </row>
    <row r="74">
      <c r="B74" s="25" t="inlineStr">
        <is>
          <t xml:space="preserve">  Adjusted EBIT margin % (on total segment sales)</t>
        </is>
      </c>
      <c r="C74" s="36" t="n"/>
      <c r="D74" s="36" t="n"/>
      <c r="E74" s="36" t="n"/>
      <c r="F74" s="36" t="n"/>
      <c r="G74" s="36" t="n"/>
      <c r="H74" s="36" t="n"/>
      <c r="I74" s="36" t="n"/>
      <c r="J74" s="36" t="n"/>
      <c r="K74" s="36" t="n"/>
      <c r="L74" s="36" t="n"/>
      <c r="M74" s="36" t="n"/>
      <c r="N74" s="36">
        <f>IF(AND(ISNUMBER(N72),ISNUMBER(N71)),IFERROR(N72/N71,""),"")</f>
        <v>0.0875631722375717</v>
      </c>
      <c r="O74" s="36">
        <f>IF(AND(ISNUMBER(O72),ISNUMBER(O71)),IFERROR(O72/O71,""),"")</f>
        <v>0.0812184102213463</v>
      </c>
      <c r="P74" s="36">
        <f>IF(AND(ISNUMBER(P72),ISNUMBER(P71)),IFERROR(P72/P71,""),"")</f>
        <v>0.0900842107905272</v>
      </c>
      <c r="Q74" s="36">
        <f>IF(AND(ISNUMBER(Q72),ISNUMBER(Q71)),IFERROR(Q72/Q71,""),"")</f>
        <v>0.111292168374963</v>
      </c>
      <c r="R74" s="36">
        <f>IF(AND(ISNUMBER(R72),ISNUMBER(R71)),IFERROR(R72/R71,""),"")</f>
        <v>0.0941308389152823</v>
      </c>
      <c r="S74" s="36">
        <f>IF(AND(ISNUMBER(S72),ISNUMBER(S71)),IFERROR(S72/S71,""),"")</f>
        <v>0.0944418727681524</v>
      </c>
      <c r="T74" s="36">
        <f>IF(AND(ISNUMBER(T72),ISNUMBER(T71)),IFERROR(T72/T71,""),"")</f>
        <v>0.105099753574561</v>
      </c>
      <c r="U74" s="36">
        <f>IF(AND(ISNUMBER(U72),ISNUMBER(U71)),IFERROR(U72/U71,""),"")</f>
        <v>0.110696650923143</v>
      </c>
      <c r="V74" s="36">
        <f>IF(AND(ISNUMBER(V72),ISNUMBER(V71)),IFERROR(V72/V71,""),"")</f>
        <v>0.0984531420073894</v>
      </c>
      <c r="W74" s="36">
        <f>IF(AND(ISNUMBER(W72),ISNUMBER(W71)),IFERROR(W72/W71,""),"")</f>
        <v>0.0917370237728694</v>
      </c>
      <c r="X74" s="36">
        <f>IF(AND(ISNUMBER(X72),ISNUMBER(X71)),IFERROR(X72/X71,""),"")</f>
        <v>0.102022371593857</v>
      </c>
      <c r="Y74" s="36">
        <f>IF(AND(ISNUMBER(Y72),ISNUMBER(Y71)),IFERROR(Y72/Y71,""),"")</f>
        <v>0.110612233187973</v>
      </c>
      <c r="Z74" s="36">
        <f>IF(AND(ISNUMBER(Z72),ISNUMBER(Z71)),IFERROR(Z72/Z71,""),"")</f>
        <v>0.125366281817568</v>
      </c>
      <c r="AA74" s="36">
        <f>IF(AND(ISNUMBER(AA72),ISNUMBER(AA71)),IFERROR(AA72/AA71,""),"")</f>
        <v>0.120922974950979</v>
      </c>
      <c r="AB74" s="36">
        <f>IF(AND(ISNUMBER(AB72),ISNUMBER(AB71)),IFERROR(AB72/AB71,""),"")</f>
        <v>0.102178303297516</v>
      </c>
      <c r="AC74" s="36">
        <f>IF(AND(ISNUMBER(AC72),ISNUMBER(AC71)),IFERROR(AC72/AC71,""),"")</f>
        <v>0.115209996726584</v>
      </c>
      <c r="AD74" s="36">
        <f>IF(AND(ISNUMBER(AD72),ISNUMBER(AD71)),IFERROR(AD72/AD71,""),"")</f>
        <v>0.119180108473621</v>
      </c>
      <c r="AE74" s="36">
        <f>IF(AND(ISNUMBER(AE72),ISNUMBER(AE71)),IFERROR(AE72/AE71,""),"")</f>
        <v>0.118469471747446</v>
      </c>
      <c r="AF74" s="36">
        <f>IF(AND(ISNUMBER(AF72),ISNUMBER(AF71)),IFERROR(AF72/AF71,""),"")</f>
        <v>0.122195931208608</v>
      </c>
      <c r="AG74" s="36">
        <f>IF(AND(ISNUMBER(AG72),ISNUMBER(AG71)),IFERROR(AG72/AG71,""),"")</f>
        <v>0.128658080837118</v>
      </c>
      <c r="AH74" s="36">
        <f>IF(AND(ISNUMBER(AH72),ISNUMBER(AH71)),IFERROR(AH72/AH71,""),"")</f>
        <v>0.121953831429164</v>
      </c>
      <c r="AI74" s="36">
        <f>IF(AND(ISNUMBER(AI72),ISNUMBER(AI71)),IFERROR(AI72/AI71,""),"")</f>
        <v>0.119015365561017</v>
      </c>
      <c r="AJ74" s="36">
        <f>IF(AND(ISNUMBER(AJ72),ISNUMBER(AJ71)),IFERROR(AJ72/AJ71,""),"")</f>
        <v>0.117875752898441</v>
      </c>
      <c r="AK74" s="36">
        <f>IF(AND(ISNUMBER(AK72),ISNUMBER(AK71)),IFERROR(AK72/AK71,""),"")</f>
        <v>0.115673830729028</v>
      </c>
      <c r="AL74" s="36">
        <f>IF(AND(ISNUMBER(AL72),ISNUMBER(AL71)),IFERROR(AL72/AL71,""),"")</f>
        <v>0.120352028977305</v>
      </c>
      <c r="AM74" s="36">
        <f>IF(AND(ISNUMBER(AM72),ISNUMBER(AM71)),IFERROR(AM72/AM71,""),"")</f>
        <v>0.118193161321188</v>
      </c>
      <c r="AN74" s="36">
        <f>IF(AND(ISNUMBER(AN72),ISNUMBER(AN71)),IFERROR(AN72/AN71,""),"")</f>
        <v>0.123410296119011</v>
      </c>
      <c r="AO74" s="36">
        <f>IF(AND(ISNUMBER(AO72),ISNUMBER(AO71)),IFERROR(AO72/AO71,""),"")</f>
        <v>0.149521106775452</v>
      </c>
      <c r="AP74" s="36">
        <f>IF(AND(ISNUMBER(AP72),ISNUMBER(AP71)),IFERROR(AP72/AP71,""),"")</f>
        <v>0.131811179708864</v>
      </c>
      <c r="AQ74" s="36">
        <f>IF(AND(ISNUMBER(AQ72),ISNUMBER(AQ71)),IFERROR(AQ72/AQ71,""),"")</f>
        <v>0.130825516868831</v>
      </c>
      <c r="AR74" s="36">
        <f>IF(AND(ISNUMBER(AR72),ISNUMBER(AR71)),IFERROR(AR72/AR71,""),"")</f>
        <v>0.134163346905944</v>
      </c>
      <c r="AS74" s="36">
        <f>IF(AND(ISNUMBER(AS72),ISNUMBER(AS71)),IFERROR(AS72/AS71,""),"")</f>
        <v>0.143161658529877</v>
      </c>
      <c r="AT74" s="36">
        <f>IF(AND(ISNUMBER(AT72),ISNUMBER(AT71)),IFERROR(AT72/AT71,""),"")</f>
        <v>0.142695287754008</v>
      </c>
      <c r="AU74" s="36">
        <f>IF(AND(ISNUMBER(AU72),ISNUMBER(AU71)),IFERROR(AU72/AU71,""),"")</f>
        <v>0.171892409640909</v>
      </c>
      <c r="AV74" s="36">
        <f>IF(AND(ISNUMBER(AV72),ISNUMBER(AV71)),IFERROR(AV72/AV71,""),"")</f>
        <v>0.141999383627881</v>
      </c>
      <c r="AW74" s="36">
        <f>IF(AND(ISNUMBER(AW72),ISNUMBER(AW71)),IFERROR(AW72/AW71,""),"")</f>
        <v>0.150794931033069</v>
      </c>
      <c r="AX74" s="36">
        <f>IF(AND(ISNUMBER(AX72),ISNUMBER(AX71)),IFERROR(AX72/AX71,""),"")</f>
        <v>0.168673937950508</v>
      </c>
      <c r="AY74" s="36">
        <f>IF(AND(ISNUMBER(AY72),ISNUMBER(AY71)),IFERROR(AY72/AY71,""),"")</f>
        <v>0.153147547049227</v>
      </c>
      <c r="AZ74" s="36">
        <f>IF(AND(ISNUMBER(AZ72),ISNUMBER(AZ71)),IFERROR(AZ72/AZ71,""),"")</f>
        <v>0.133471426423667</v>
      </c>
      <c r="BA74" s="36">
        <f>IF(AND(ISNUMBER(BA72),ISNUMBER(BA71)),IFERROR(BA72/BA71,""),"")</f>
        <v>0.129456893467245</v>
      </c>
      <c r="BB74" s="36">
        <f>IF(AND(ISNUMBER(BB72),ISNUMBER(BB71)),IFERROR(BB72/BB71,""),"")</f>
        <v>0.145734238933719</v>
      </c>
      <c r="BC74" s="36">
        <f>IF(AND(ISNUMBER(BC72),ISNUMBER(BC71)),IFERROR(BC72/BC71,""),"")</f>
        <v>0.143665606169455</v>
      </c>
      <c r="BD74" s="36">
        <f>IF(AND(ISNUMBER(BD72),ISNUMBER(BD71)),IFERROR(BD72/BD71,""),"")</f>
        <v>0.127861764894733</v>
      </c>
      <c r="BE74" s="36">
        <f>IF(AND(ISNUMBER(BE72),ISNUMBER(BE71)),IFERROR(BE72/BE71,""),"")</f>
        <v>0.106307593715241</v>
      </c>
      <c r="BF74" s="36">
        <f>IF(AND(ISNUMBER(BF72),ISNUMBER(BF71)),IFERROR(BF72/BF71,""),"")</f>
        <v>0.103309396904831</v>
      </c>
      <c r="BG74" s="36">
        <f>IF(AND(ISNUMBER(BG72),ISNUMBER(BG71)),IFERROR(BG72/BG71,""),"")</f>
        <v>0.120989875925268</v>
      </c>
      <c r="BH74" s="36">
        <f>IF(AND(ISNUMBER(BH72),ISNUMBER(BH71)),IFERROR(BH72/BH71,""),"")</f>
        <v>0.144710662529826</v>
      </c>
      <c r="BI74" s="36">
        <f>IF(AND(ISNUMBER(BI72),ISNUMBER(BI71)),IFERROR(BI72/BI71,""),"")</f>
        <v>0.14662227666594</v>
      </c>
      <c r="BJ74" s="36">
        <f>IF(AND(ISNUMBER(BJ72),ISNUMBER(BJ71)),IFERROR(BJ72/BJ71,""),"")</f>
        <v>0.159072305593452</v>
      </c>
      <c r="BK74" s="36">
        <f>IF(AND(ISNUMBER(BK72),ISNUMBER(BK71)),IFERROR(BK72/BK71,""),"")</f>
        <v>0.133493275427291</v>
      </c>
      <c r="BL74" s="36">
        <f>IF(AND(ISNUMBER(BL72),ISNUMBER(BL71)),IFERROR(BL72/BL71,""),"")</f>
        <v>0.146319996053086</v>
      </c>
      <c r="BM74" s="36">
        <f>IF(AND(ISNUMBER(BM72),ISNUMBER(BM71)),IFERROR(BM72/BM71,""),"")</f>
        <v>0.159752471268987</v>
      </c>
      <c r="BN74" s="36">
        <f>IF(AND(ISNUMBER(BN72),ISNUMBER(BN71)),IFERROR(BN72/BN71,""),"")</f>
        <v>0.181573790078755</v>
      </c>
      <c r="BO74" s="36">
        <f>IF(AND(ISNUMBER(BO72),ISNUMBER(BO71)),IFERROR(BO72/BO71,""),"")</f>
        <v>0.164285073018913</v>
      </c>
      <c r="BP74" s="36">
        <f>IF(AND(ISNUMBER(BP72),ISNUMBER(BP71)),IFERROR(BP72/BP71,""),"")</f>
        <v>0.169729355379445</v>
      </c>
      <c r="BQ74" s="36">
        <f>IF(AND(ISNUMBER(BQ72),ISNUMBER(BQ71)),IFERROR(BQ72/BQ71,""),"")</f>
        <v>0.169074043589282</v>
      </c>
      <c r="BR74" s="36">
        <f>IF(AND(ISNUMBER(BR72),ISNUMBER(BR71)),IFERROR(BR72/BR71,""),"")</f>
        <v>0.178621773222519</v>
      </c>
      <c r="BS74" s="36">
        <f>IF(AND(ISNUMBER(BS72),ISNUMBER(BS71)),IFERROR(BS72/BS71,""),"")</f>
        <v>0.194143543466745</v>
      </c>
      <c r="BT74" s="36">
        <f>IF(AND(ISNUMBER(BT72),ISNUMBER(BT71)),IFERROR(BT72/BT71,""),"")</f>
        <v>0.183222943652321</v>
      </c>
      <c r="BU74" s="36">
        <f>IF(AND(ISNUMBER(BU72),ISNUMBER(BU71)),IFERROR(BU72/BU71,""),"")</f>
        <v>0.166570226384632</v>
      </c>
      <c r="BV74" s="36">
        <f>IF(AND(ISNUMBER(BV72),ISNUMBER(BV71)),IFERROR(BV72/BV71,""),"")</f>
        <v>0.181261696490084</v>
      </c>
      <c r="BW74" s="36">
        <f>IF(AND(ISNUMBER(BW72),ISNUMBER(BW71)),IFERROR(BW72/BW71,""),"")</f>
        <v>0.211623227787054</v>
      </c>
      <c r="BX74" s="36">
        <f>IF(AND(ISNUMBER(BX72),ISNUMBER(BX71)),IFERROR(BX72/BX71,""),"")</f>
        <v>0.204214494574805</v>
      </c>
      <c r="BY74" s="254">
        <f>BY73+BY144</f>
        <v>0.209316298957237</v>
      </c>
      <c r="BZ74" s="254">
        <f>BZ73+BZ144</f>
        <v>0.192663581689548</v>
      </c>
      <c r="CA74" s="254">
        <f>IFERROR(CA72/CA71,"")</f>
        <v>0.204689004076796</v>
      </c>
      <c r="CB74" s="254">
        <f>IFERROR(CB72/CB71,"")</f>
        <v>0.206937779974437</v>
      </c>
      <c r="CC74" s="254">
        <f>IFERROR(CC72/CC71,"")</f>
        <v>0.209123367921772</v>
      </c>
      <c r="CD74" s="254">
        <f>IFERROR(CD72/CD71,"")</f>
        <v>0.211195015265219</v>
      </c>
      <c r="CE74" s="254">
        <f>IFERROR(CE72/CE71,"")</f>
        <v>0.213158662036258</v>
      </c>
      <c r="CF74" s="19" t="inlineStr">
        <is>
          <t>Q3/Q4-26E: margin before calibration + outlook calibration Δ. 2027E+: output of the Δ adjusted EBIT bridge.</t>
        </is>
      </c>
      <c r="CH74" s="20">
        <f>IFERROR(AVERAGE(CA74,CB74,CC74,CD74,CE74),"n/m")</f>
        <v>0.209020765854896</v>
      </c>
      <c r="CI74" s="20">
        <f>IFERROR(AVERAGE(AW74,BB74,BG74,BL74,BQ74,BV74),"n/m")</f>
        <v>0.152362463670751</v>
      </c>
      <c r="CJ74" s="20">
        <f>IFERROR(AVERAGE(X74,AC74,AH74,AM74,AR74,AW74,BB74,BG74,BL74,BQ74,BV74),"n/m")</f>
        <v>0.136883408181931</v>
      </c>
      <c r="CK74" s="20">
        <f>IFERROR(AVERAGE(C74,D74,E74,F74,G74,H74,I74,N74,S74,X74,AC74,AH74,AM74,AR74,AW74,BB74,BG74,BL74,BQ74,BV74),"n/m")</f>
        <v>0.129824810385152</v>
      </c>
    </row>
    <row r="75" outlineLevel="2" s="251">
      <c r="B75" s="22" t="inlineStr">
        <is>
          <t xml:space="preserve">  Incremental adjusted EBIT margin (Δ adj. EBIT / Δ total sales)</t>
        </is>
      </c>
      <c r="C75" s="23" t="n"/>
      <c r="D75" s="23" t="n"/>
      <c r="E75" s="23" t="n"/>
      <c r="F75" s="23" t="n"/>
      <c r="G75" s="23" t="n"/>
      <c r="H75" s="23" t="n"/>
      <c r="I75" s="23" t="n"/>
      <c r="J75" s="23" t="n"/>
      <c r="K75" s="23" t="n"/>
      <c r="L75" s="23" t="n"/>
      <c r="M75" s="23" t="n"/>
      <c r="N75" s="23" t="n"/>
      <c r="O75" s="23" t="n"/>
      <c r="P75" s="23" t="n"/>
      <c r="Q75" s="23" t="n"/>
      <c r="R75" s="23" t="n"/>
      <c r="S75" s="23">
        <f>IFERROR((S72-N72)/(S71-N71),"")</f>
        <v>-0.0480380654412721</v>
      </c>
      <c r="T75" s="23">
        <f>IFERROR((T72-O72)/(T71-O71),"")</f>
        <v>-0.539826212889211</v>
      </c>
      <c r="U75" s="23">
        <f>IFERROR((U72-P72)/(U71-P71),"")</f>
        <v>-0.208034154861246</v>
      </c>
      <c r="V75" s="23">
        <f>IFERROR((V72-Q72)/(V71-Q71),"")</f>
        <v>0.166523774978566</v>
      </c>
      <c r="W75" s="23">
        <f>IFERROR((W72-R72)/(W71-R71),"")</f>
        <v>0.118470917778876</v>
      </c>
      <c r="X75" s="23">
        <f>IFERROR((X72-S72)/(X71-S71),"")</f>
        <v>0.0233643256595875</v>
      </c>
      <c r="Y75" s="23">
        <f>IFERROR((Y72-T72)/(Y71-T71),"")</f>
        <v>-0.0765957446808512</v>
      </c>
      <c r="Z75" s="23">
        <f>IFERROR((Z72-U72)/(Z71-U71),"")</f>
        <v>-2.18604651162791</v>
      </c>
      <c r="AA75" s="23">
        <f>IFERROR((AA72-V72)/(AA71-V71),"")</f>
        <v>0.324801780497983</v>
      </c>
      <c r="AB75" s="23">
        <f>IFERROR((AB72-W72)/(AB71-W71),"")</f>
        <v>0.306206459784673</v>
      </c>
      <c r="AC75" s="23">
        <f>IFERROR((AC72-X72)/(AC71-X71),"")</f>
        <v>0.579713880654723</v>
      </c>
      <c r="AD75" s="23">
        <f>IFERROR((AD72-Y72)/(AD71-Y71),"")</f>
        <v>0.588373919874315</v>
      </c>
      <c r="AE75" s="23">
        <f>IFERROR((AE72-Z72)/(AE71-Z71),"")</f>
        <v>0.0587822835105761</v>
      </c>
      <c r="AF75" s="23">
        <f>IFERROR((AF72-AA72)/(AF71-AA71),"")</f>
        <v>0.150727329000309</v>
      </c>
      <c r="AG75" s="23">
        <f>IFERROR((AG72-AB72)/(AG71-AB71),"")</f>
        <v>0.493730074388948</v>
      </c>
      <c r="AH75" s="23">
        <f>IFERROR((AH72-AC72)/(AH71-AC71),"")</f>
        <v>0.228638973319825</v>
      </c>
      <c r="AI75" s="23">
        <f>IFERROR((AI72-AD72)/(AI71-AD71),"")</f>
        <v>0.117223414036163</v>
      </c>
      <c r="AJ75" s="23">
        <f>IFERROR((AJ72-AE72)/(AJ71-AE71),"")</f>
        <v>0.10407876230661</v>
      </c>
      <c r="AK75" s="23">
        <f>IFERROR((AK72-AF72)/(AK71-AF71),"")</f>
        <v>0.880620155038765</v>
      </c>
      <c r="AL75" s="23">
        <f>IFERROR((AL72-AG72)/(AL71-AG71),"")</f>
        <v>-0.403079710144928</v>
      </c>
      <c r="AM75" s="23">
        <f>IFERROR((AM72-AH72)/(AM71-AH71),"")</f>
        <v>0.0115749525616698</v>
      </c>
      <c r="AN75" s="23">
        <f>IFERROR((AN72-AI72)/(AN71-AI71),"")</f>
        <v>0.167508090614887</v>
      </c>
      <c r="AO75" s="23">
        <f>IFERROR((AO72-AJ72)/(AO71-AJ71),"")</f>
        <v>0.824300915614947</v>
      </c>
      <c r="AP75" s="23">
        <f>IFERROR((AP72-AK72)/(AP71-AK71),"")</f>
        <v>0.270344511846172</v>
      </c>
      <c r="AQ75" s="23">
        <f>IFERROR((AQ72-AL72)/(AQ71-AL71),"")</f>
        <v>0.199517446176689</v>
      </c>
      <c r="AR75" s="23">
        <f>IFERROR((AR72-AM72)/(AR71-AM71),"")</f>
        <v>0.292112919210972</v>
      </c>
      <c r="AS75" s="23">
        <f>IFERROR((AS72-AN72)/(AS71-AN71),"")</f>
        <v>0.975766567754703</v>
      </c>
      <c r="AT75" s="23">
        <f>IFERROR((AT72-AO72)/(AT71-AO71),"")</f>
        <v>0.21848842934515</v>
      </c>
      <c r="AU75" s="23">
        <f>IFERROR((AU72-AP72)/(AU71-AP71),"")</f>
        <v>0.352608625424003</v>
      </c>
      <c r="AV75" s="23">
        <f>IFERROR((AV72-AQ72)/(AV71-AQ71),"")</f>
        <v>0.213963785878074</v>
      </c>
      <c r="AW75" s="23">
        <f>IFERROR((AW72-AR72)/(AW71-AR71),"")</f>
        <v>0.376343657934549</v>
      </c>
      <c r="AX75" s="23">
        <f>IFERROR((AX72-AS72)/(AX71-AS71),"")</f>
        <v>0.263046335156217</v>
      </c>
      <c r="AY75" s="23">
        <f>IFERROR((AY72-AT72)/(AY71-AT71),"")</f>
        <v>0.176440245425422</v>
      </c>
      <c r="AZ75" s="23">
        <f>IFERROR((AZ72-AU72)/(AZ71-AU71),"")</f>
        <v>-0.0922926717206524</v>
      </c>
      <c r="BA75" s="23">
        <f>IFERROR((BA72-AV72)/(BA71-AV71),"")</f>
        <v>0.0842024539877301</v>
      </c>
      <c r="BB75" s="23">
        <f>IFERROR((BB72-AW72)/(BB71-AW71),"")</f>
        <v>0.127921859211856</v>
      </c>
      <c r="BC75" s="23">
        <f>IFERROR((BC72-AX72)/(BC71-AX71),"")</f>
        <v>0.0352407400164274</v>
      </c>
      <c r="BD75" s="23">
        <f>IFERROR((BD72-AY72)/(BD71-AY71),"")</f>
        <v>-0.0136477010682855</v>
      </c>
      <c r="BE75" s="23">
        <f>IFERROR((BE72-AZ72)/(BE71-AZ71),"")</f>
        <v>-0.096562909363109</v>
      </c>
      <c r="BF75" s="23">
        <f>IFERROR((BF72-BA72)/(BF71-BA71),"")</f>
        <v>1.00603274920999</v>
      </c>
      <c r="BG75" s="23">
        <f>IFERROR((BG72-BB72)/(BG71-BB71),"")</f>
        <v>-0.0747734393423847</v>
      </c>
      <c r="BH75" s="23">
        <f>IFERROR((BH72-BC72)/(BH71-BC71),"")</f>
        <v>0.117478510028653</v>
      </c>
      <c r="BI75" s="23">
        <f>IFERROR((BI72-BD72)/(BI71-BD71),"")</f>
        <v>-0.223536036036036</v>
      </c>
      <c r="BJ75" s="23">
        <f>IFERROR((BJ72-BE72)/(BJ71-BE71),"")</f>
        <v>-0.79831595829992</v>
      </c>
      <c r="BK75" s="23">
        <f>IFERROR((BK72-BF72)/(BK71-BF71),"")</f>
        <v>-1.28112449799197</v>
      </c>
      <c r="BL75" s="23">
        <f>IFERROR((BL72-BG72)/(BL71-BG71),"")</f>
        <v>-0.454305051319979</v>
      </c>
      <c r="BM75" s="23">
        <f>IFERROR((BM72-BH72)/(BM71-BH71),"")</f>
        <v>-0.1326122388502</v>
      </c>
      <c r="BN75" s="23">
        <f>IFERROR((BN72-BI72)/(BN71-BI71),"")</f>
        <v>1.28942353501667</v>
      </c>
      <c r="BO75" s="23">
        <f>IFERROR((BO72-BJ72)/(BO71-BJ71),"")</f>
        <v>0.288365188346633</v>
      </c>
      <c r="BP75" s="23">
        <f>IFERROR((BP72-BK72)/(BP71-BK71),"")</f>
        <v>0.491562329885683</v>
      </c>
      <c r="BQ75" s="23">
        <f>IFERROR((BQ72-BL72)/(BQ71-BL71),"")</f>
        <v>0.903612155188889</v>
      </c>
      <c r="BR75" s="23">
        <f>IFERROR((BR72-BM72)/(BR71-BM71),"")</f>
        <v>0.378036351282487</v>
      </c>
      <c r="BS75" s="23">
        <f>IFERROR((BS72-BN72)/(BS71-BN71),"")</f>
        <v>0.25812073568674</v>
      </c>
      <c r="BT75" s="23">
        <f>IFERROR((BT72-BO72)/(BT71-BO71),"")</f>
        <v>0.31249680813033</v>
      </c>
      <c r="BU75" s="23">
        <f>IFERROR((BU72-BP72)/(BU71-BP71),"")</f>
        <v>0.135490864044596</v>
      </c>
      <c r="BV75" s="23">
        <f>IFERROR((BV72-BQ72)/(BV71-BQ71),"")</f>
        <v>0.270638273979141</v>
      </c>
      <c r="BW75" s="23">
        <f>IFERROR((BW72-BR72)/(BW71-BR71),"")</f>
        <v>0.290991277324575</v>
      </c>
      <c r="BX75" s="23">
        <f>IFERROR((BX72-BS72)/(BX71-BS71),"")</f>
        <v>0.242970287749555</v>
      </c>
      <c r="BY75" s="254">
        <f>IFERROR((BY72-BT72)/(BY71-BT71),"")</f>
        <v>0.305333287779127</v>
      </c>
      <c r="BZ75" s="254">
        <f>IFERROR((BZ72-BU72)/(BZ71-BU71),"")</f>
        <v>0.288680570511438</v>
      </c>
      <c r="CA75" s="254">
        <f>IFERROR((CA72-BV72)/(CA71-BV71),"")</f>
        <v>0.282387968862217</v>
      </c>
      <c r="CB75" s="254">
        <f>IFERROR((CB72-CA72)/(CB71-CA71),"")</f>
        <v>0.244417378268451</v>
      </c>
      <c r="CC75" s="254">
        <f>IFERROR((CC72-CB72)/(CC71-CB71),"")</f>
        <v>0.248861330600606</v>
      </c>
      <c r="CD75" s="254">
        <f>IFERROR((CD72-CC72)/(CD71-CC71),"")</f>
        <v>0.248861330600605</v>
      </c>
      <c r="CE75" s="254">
        <f>IFERROR((CE72-CD72)/(CE71-CD71),"")</f>
        <v>0.248861330600605</v>
      </c>
      <c r="CF75" s="19" t="n"/>
    </row>
    <row r="76" outlineLevel="2" s="251">
      <c r="B76" s="22" t="inlineStr">
        <is>
          <t xml:space="preserve">  Price fall-through to adjusted EBIT %</t>
        </is>
      </c>
      <c r="C76" s="23" t="n"/>
      <c r="D76" s="23" t="n"/>
      <c r="E76" s="23" t="n"/>
      <c r="F76" s="23" t="n"/>
      <c r="G76" s="23" t="n"/>
      <c r="H76" s="23" t="n"/>
      <c r="I76" s="23" t="n"/>
      <c r="J76" s="23" t="n"/>
      <c r="K76" s="23" t="n"/>
      <c r="L76" s="23" t="n"/>
      <c r="M76" s="23" t="n"/>
      <c r="N76" s="23" t="n"/>
      <c r="O76" s="23" t="n"/>
      <c r="P76" s="23" t="n"/>
      <c r="Q76" s="23" t="n"/>
      <c r="R76" s="23" t="n"/>
      <c r="S76" s="23" t="n"/>
      <c r="T76" s="23" t="n"/>
      <c r="U76" s="23" t="n"/>
      <c r="V76" s="23" t="n"/>
      <c r="W76" s="23" t="n"/>
      <c r="X76" s="23" t="n"/>
      <c r="Y76" s="23" t="n"/>
      <c r="Z76" s="23" t="n"/>
      <c r="AA76" s="23" t="n"/>
      <c r="AB76" s="23" t="n"/>
      <c r="AC76" s="23" t="n"/>
      <c r="AD76" s="23" t="n"/>
      <c r="AE76" s="23" t="n"/>
      <c r="AF76" s="23" t="n"/>
      <c r="AG76" s="23" t="n"/>
      <c r="AH76" s="23" t="n"/>
      <c r="AI76" s="23" t="n"/>
      <c r="AJ76" s="23" t="n"/>
      <c r="AK76" s="23" t="n"/>
      <c r="AL76" s="23" t="n"/>
      <c r="AM76" s="23" t="n"/>
      <c r="AN76" s="23" t="n"/>
      <c r="AO76" s="23" t="n"/>
      <c r="AP76" s="23" t="n"/>
      <c r="AQ76" s="23" t="n"/>
      <c r="AR76" s="23" t="n"/>
      <c r="AS76" s="23" t="n"/>
      <c r="AT76" s="23" t="n"/>
      <c r="AU76" s="23" t="n"/>
      <c r="AV76" s="23" t="n"/>
      <c r="AW76" s="23" t="n"/>
      <c r="AX76" s="23" t="n"/>
      <c r="AY76" s="23" t="n"/>
      <c r="AZ76" s="23" t="n"/>
      <c r="BA76" s="23" t="n"/>
      <c r="BB76" s="23" t="n"/>
      <c r="BC76" s="23" t="n"/>
      <c r="BD76" s="23" t="n"/>
      <c r="BE76" s="23" t="n"/>
      <c r="BF76" s="23" t="n"/>
      <c r="BG76" s="23" t="n"/>
      <c r="BH76" s="23" t="n"/>
      <c r="BI76" s="23" t="n"/>
      <c r="BJ76" s="23" t="n"/>
      <c r="BK76" s="23" t="n"/>
      <c r="BL76" s="23" t="n"/>
      <c r="BM76" s="23" t="n"/>
      <c r="BN76" s="23" t="n"/>
      <c r="BO76" s="23" t="n"/>
      <c r="BP76" s="23" t="n"/>
      <c r="BQ76" s="23" t="n"/>
      <c r="BR76" s="23" t="n"/>
      <c r="BS76" s="23" t="n"/>
      <c r="BT76" s="23" t="n"/>
      <c r="BU76" s="23" t="n"/>
      <c r="BV76" s="23" t="n"/>
      <c r="BW76" s="23" t="n"/>
      <c r="BX76" s="23" t="n"/>
      <c r="BY76" s="254" t="n"/>
      <c r="BZ76" s="254" t="n"/>
      <c r="CA76" s="254" t="n"/>
      <c r="CB76" s="255" t="n">
        <v>0.2</v>
      </c>
      <c r="CC76" s="255" t="n">
        <v>0.2</v>
      </c>
      <c r="CD76" s="255" t="n">
        <v>0.2</v>
      </c>
      <c r="CE76" s="255" t="n">
        <v>0.2</v>
      </c>
      <c r="CF76" s="19" t="inlineStr">
        <is>
          <t>Input: share of price-driven sales growth that falls through to adjusted EBIT (price/cost broadly neutral — LECO prices to offset inflation; HPG price is largely metals pass-through).</t>
        </is>
      </c>
    </row>
    <row r="77" outlineLevel="2" s="251">
      <c r="B77" s="22" t="inlineStr">
        <is>
          <t xml:space="preserve">  Volume incremental adjusted EBIT margin %</t>
        </is>
      </c>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c r="AA77" s="23" t="n"/>
      <c r="AB77" s="23" t="n"/>
      <c r="AC77" s="23" t="n"/>
      <c r="AD77" s="23" t="n"/>
      <c r="AE77" s="23" t="n"/>
      <c r="AF77" s="23" t="n"/>
      <c r="AG77" s="23" t="n"/>
      <c r="AH77" s="23" t="n"/>
      <c r="AI77" s="23" t="n"/>
      <c r="AJ77" s="23" t="n"/>
      <c r="AK77" s="23" t="n"/>
      <c r="AL77" s="23" t="n"/>
      <c r="AM77" s="23" t="n"/>
      <c r="AN77" s="23" t="n"/>
      <c r="AO77" s="23" t="n"/>
      <c r="AP77" s="23" t="n"/>
      <c r="AQ77" s="23" t="n"/>
      <c r="AR77" s="23" t="n"/>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54" t="n"/>
      <c r="BZ77" s="254" t="n"/>
      <c r="CA77" s="254" t="n"/>
      <c r="CB77" s="255" t="n">
        <v>0.3</v>
      </c>
      <c r="CC77" s="255" t="n">
        <v>0.3</v>
      </c>
      <c r="CD77" s="255" t="n">
        <v>0.3</v>
      </c>
      <c r="CE77" s="255" t="n">
        <v>0.3</v>
      </c>
      <c r="CF77" s="19" t="inlineStr">
        <is>
          <t>Input: incremental margin on volume-driven sales (company targets mid-20s–30s% incrementals through the cycle).</t>
        </is>
      </c>
    </row>
    <row r="78" outlineLevel="2" s="251">
      <c r="B78" s="25" t="inlineStr">
        <is>
          <t xml:space="preserve">  Δ Adjusted EBIT (price × fall-through + volume × incremental + (acq. + FX) × prior margin)</t>
        </is>
      </c>
      <c r="C78" s="34" t="n"/>
      <c r="D78" s="34" t="n"/>
      <c r="E78" s="34" t="n"/>
      <c r="F78" s="34" t="n"/>
      <c r="G78" s="34" t="n"/>
      <c r="H78" s="34" t="n"/>
      <c r="I78" s="34" t="n"/>
      <c r="J78" s="34" t="n"/>
      <c r="K78" s="34" t="n"/>
      <c r="L78" s="34" t="n"/>
      <c r="M78" s="34" t="n"/>
      <c r="N78" s="34" t="n"/>
      <c r="O78" s="34" t="n"/>
      <c r="P78" s="34" t="n"/>
      <c r="Q78" s="34" t="n"/>
      <c r="R78" s="34" t="n"/>
      <c r="S78" s="34" t="n"/>
      <c r="T78" s="34" t="n"/>
      <c r="U78" s="34" t="n"/>
      <c r="V78" s="34" t="n"/>
      <c r="W78" s="34" t="n"/>
      <c r="X78" s="34" t="n"/>
      <c r="Y78" s="34" t="n"/>
      <c r="Z78" s="34" t="n"/>
      <c r="AA78" s="34" t="n"/>
      <c r="AB78" s="34" t="n"/>
      <c r="AC78" s="34" t="n"/>
      <c r="AD78" s="34" t="n"/>
      <c r="AE78" s="34" t="n"/>
      <c r="AF78" s="34" t="n"/>
      <c r="AG78" s="34" t="n"/>
      <c r="AH78" s="34" t="n"/>
      <c r="AI78" s="34" t="n"/>
      <c r="AJ78" s="34" t="n"/>
      <c r="AK78" s="34" t="n"/>
      <c r="AL78" s="34" t="n"/>
      <c r="AM78" s="34" t="n"/>
      <c r="AN78" s="34" t="n"/>
      <c r="AO78" s="34" t="n"/>
      <c r="AP78" s="34" t="n"/>
      <c r="AQ78" s="34" t="n"/>
      <c r="AR78" s="34" t="n"/>
      <c r="AS78" s="34" t="n"/>
      <c r="AT78" s="34" t="n"/>
      <c r="AU78" s="34" t="n"/>
      <c r="AV78" s="34" t="n"/>
      <c r="AW78" s="34" t="n"/>
      <c r="AX78" s="34" t="n"/>
      <c r="AY78" s="34" t="n"/>
      <c r="AZ78" s="34" t="n"/>
      <c r="BA78" s="34" t="n"/>
      <c r="BB78" s="34" t="n"/>
      <c r="BC78" s="34" t="n"/>
      <c r="BD78" s="34" t="n"/>
      <c r="BE78" s="34" t="n"/>
      <c r="BF78" s="34" t="n"/>
      <c r="BG78" s="34" t="n"/>
      <c r="BH78" s="34" t="n"/>
      <c r="BI78" s="34" t="n"/>
      <c r="BJ78" s="34" t="n"/>
      <c r="BK78" s="34" t="n"/>
      <c r="BL78" s="34" t="n"/>
      <c r="BM78" s="34" t="n"/>
      <c r="BN78" s="34" t="n"/>
      <c r="BO78" s="34" t="n"/>
      <c r="BP78" s="34" t="n"/>
      <c r="BQ78" s="34" t="n"/>
      <c r="BR78" s="34" t="n"/>
      <c r="BS78" s="34" t="n"/>
      <c r="BT78" s="34" t="n"/>
      <c r="BU78" s="34" t="n"/>
      <c r="BV78" s="34" t="n"/>
      <c r="BW78" s="34" t="n"/>
      <c r="BX78" s="34" t="n"/>
      <c r="BY78" s="257" t="n"/>
      <c r="BZ78" s="257" t="n"/>
      <c r="CA78" s="257" t="n"/>
      <c r="CB78" s="257">
        <f>CB67*CB76+CB66*CB77+(CB68+CB69)*CA74</f>
        <v>11.3310620403616</v>
      </c>
      <c r="CC78" s="257">
        <f>CC67*CC76+CC66*CC77+(CC68+CC69)*CB74</f>
        <v>11.2101973785978</v>
      </c>
      <c r="CD78" s="257">
        <f>CD67*CD76+CD66*CD77+(CD68+CD69)*CC74</f>
        <v>11.8267582344207</v>
      </c>
      <c r="CE78" s="257">
        <f>CE67*CE76+CE66*CE77+(CE68+CE69)*CD74</f>
        <v>12.4772299373138</v>
      </c>
      <c r="CF78" s="19" t="n"/>
    </row>
    <row r="79" outlineLevel="2" s="251">
      <c r="B79" s="25" t="inlineStr">
        <is>
          <t xml:space="preserve">  Special items (pre-tax, charged to the segment)</t>
        </is>
      </c>
      <c r="C79" s="34" t="n"/>
      <c r="D79" s="34" t="n"/>
      <c r="E79" s="34" t="n"/>
      <c r="F79" s="34" t="n"/>
      <c r="G79" s="34" t="n"/>
      <c r="H79" s="34" t="n"/>
      <c r="I79" s="34" t="n"/>
      <c r="J79" s="34" t="n"/>
      <c r="K79" s="34" t="n"/>
      <c r="L79" s="34" t="n"/>
      <c r="M79" s="34" t="n"/>
      <c r="N79" s="34" t="n">
        <v>0</v>
      </c>
      <c r="O79" s="34" t="n">
        <v>0</v>
      </c>
      <c r="P79" s="34" t="n">
        <v>0</v>
      </c>
      <c r="Q79" s="34" t="n">
        <v>0</v>
      </c>
      <c r="R79" s="34" t="n">
        <v>0</v>
      </c>
      <c r="S79" s="34" t="n">
        <v>0</v>
      </c>
      <c r="T79" s="34" t="n">
        <v>0</v>
      </c>
      <c r="U79" s="34" t="n">
        <v>0</v>
      </c>
      <c r="V79" s="34" t="n">
        <v>0</v>
      </c>
      <c r="W79" s="34" t="n">
        <v>0</v>
      </c>
      <c r="X79" s="34" t="n">
        <v>0</v>
      </c>
      <c r="Y79" s="34" t="n">
        <v>0</v>
      </c>
      <c r="Z79" s="34" t="n">
        <v>0</v>
      </c>
      <c r="AA79" s="34" t="n">
        <v>0</v>
      </c>
      <c r="AB79" s="34" t="n">
        <v>0</v>
      </c>
      <c r="AC79" s="34" t="n">
        <v>0</v>
      </c>
      <c r="AD79" s="34" t="n">
        <v>0</v>
      </c>
      <c r="AE79" s="34" t="n">
        <v>0</v>
      </c>
      <c r="AF79" s="34" t="n">
        <v>0</v>
      </c>
      <c r="AG79" s="34" t="n">
        <v>0</v>
      </c>
      <c r="AH79" s="34" t="n">
        <v>0</v>
      </c>
      <c r="AI79" s="34" t="n">
        <v>0</v>
      </c>
      <c r="AJ79" s="34" t="n">
        <v>0</v>
      </c>
      <c r="AK79" s="34" t="n">
        <v>0</v>
      </c>
      <c r="AL79" s="34" t="n">
        <v>0</v>
      </c>
      <c r="AM79" s="34" t="n">
        <v>0</v>
      </c>
      <c r="AN79" s="34" t="n">
        <v>0</v>
      </c>
      <c r="AO79" s="34" t="n">
        <v>0</v>
      </c>
      <c r="AP79" s="34" t="n">
        <v>0</v>
      </c>
      <c r="AQ79" s="34" t="n">
        <v>1.77</v>
      </c>
      <c r="AR79" s="34" t="n">
        <v>1.77</v>
      </c>
      <c r="AS79" s="34" t="n">
        <v>0</v>
      </c>
      <c r="AT79" s="34" t="n">
        <v>0</v>
      </c>
      <c r="AU79" s="34" t="n">
        <v>0</v>
      </c>
      <c r="AV79" s="34" t="n">
        <v>0</v>
      </c>
      <c r="AW79" s="34" t="n">
        <v>0</v>
      </c>
      <c r="AX79" s="34" t="n">
        <v>0</v>
      </c>
      <c r="AY79" s="34" t="n">
        <v>0</v>
      </c>
      <c r="AZ79" s="34" t="n">
        <v>0.547</v>
      </c>
      <c r="BA79" s="34" t="n">
        <v>3.238</v>
      </c>
      <c r="BB79" s="34" t="n">
        <v>3.785</v>
      </c>
      <c r="BC79" s="34" t="n">
        <v>0</v>
      </c>
      <c r="BD79" s="34" t="n">
        <v>0</v>
      </c>
      <c r="BE79" s="34" t="n">
        <v>0</v>
      </c>
      <c r="BF79" s="34" t="n">
        <v>0</v>
      </c>
      <c r="BG79" s="34" t="n">
        <v>0</v>
      </c>
      <c r="BH79" s="34" t="n">
        <v>0</v>
      </c>
      <c r="BI79" s="34" t="n">
        <v>0</v>
      </c>
      <c r="BJ79" s="34" t="n">
        <v>0</v>
      </c>
      <c r="BK79" s="34" t="n">
        <v>0</v>
      </c>
      <c r="BL79" s="34" t="n">
        <v>0</v>
      </c>
      <c r="BM79" s="34" t="n">
        <v>1.536</v>
      </c>
      <c r="BN79" s="34" t="n">
        <v>-0.14</v>
      </c>
      <c r="BO79" s="34" t="n">
        <v>1.269</v>
      </c>
      <c r="BP79" s="34" t="n">
        <v>1.289</v>
      </c>
      <c r="BQ79" s="34" t="n">
        <v>3.955</v>
      </c>
      <c r="BR79" s="34" t="n">
        <v>0.178</v>
      </c>
      <c r="BS79" s="34" t="n">
        <v>0.08599999999999999</v>
      </c>
      <c r="BT79" s="34" t="n">
        <v>0.316</v>
      </c>
      <c r="BU79" s="34" t="n">
        <v>0.488</v>
      </c>
      <c r="BV79" s="34" t="n">
        <v>1.068</v>
      </c>
      <c r="BW79" s="34" t="n">
        <v>-0.182</v>
      </c>
      <c r="BX79" s="34" t="n">
        <v>0.187</v>
      </c>
      <c r="BY79" s="257" t="n"/>
      <c r="BZ79" s="257" t="n"/>
      <c r="CA79" s="257" t="n"/>
      <c r="CB79" s="257" t="n"/>
      <c r="CC79" s="257" t="n"/>
      <c r="CD79" s="257" t="n"/>
      <c r="CE79" s="257" t="n"/>
      <c r="CF79" s="19" t="inlineStr">
        <is>
          <t>Historical disclosure only; forecast special items are modelled at the consolidated level.</t>
        </is>
      </c>
    </row>
    <row r="80" outlineLevel="2" s="251">
      <c r="B80" s="25" t="inlineStr">
        <is>
          <t xml:space="preserve">  EBIT (GAAP, as reported in the segment table)</t>
        </is>
      </c>
      <c r="C80" s="34" t="n"/>
      <c r="D80" s="34" t="n"/>
      <c r="E80" s="34" t="n"/>
      <c r="F80" s="34" t="n"/>
      <c r="G80" s="34" t="n"/>
      <c r="H80" s="34" t="n"/>
      <c r="I80" s="34" t="n"/>
      <c r="J80" s="34" t="n"/>
      <c r="K80" s="34" t="n"/>
      <c r="L80" s="34" t="n"/>
      <c r="M80" s="34" t="n"/>
      <c r="N80" s="34" t="n">
        <v>27.826</v>
      </c>
      <c r="O80" s="34" t="n">
        <v>6.058</v>
      </c>
      <c r="P80" s="34" t="n">
        <v>7.178</v>
      </c>
      <c r="Q80" s="34" t="n">
        <v>8.946999999999999</v>
      </c>
      <c r="R80" s="34" t="n">
        <v>6.38</v>
      </c>
      <c r="S80" s="34" t="n">
        <v>28.563</v>
      </c>
      <c r="T80" s="34" t="n">
        <v>7.549</v>
      </c>
      <c r="U80" s="34" t="n">
        <v>8.25</v>
      </c>
      <c r="V80" s="34" t="n">
        <v>6.422</v>
      </c>
      <c r="W80" s="34" t="n">
        <v>5.661</v>
      </c>
      <c r="X80" s="34" t="n">
        <v>27.882</v>
      </c>
      <c r="Y80" s="34" t="n">
        <v>7.711</v>
      </c>
      <c r="Z80" s="34" t="n">
        <v>9.284000000000001</v>
      </c>
      <c r="AA80" s="34" t="n">
        <v>8.757</v>
      </c>
      <c r="AB80" s="34" t="n">
        <v>6.628</v>
      </c>
      <c r="AC80" s="34" t="n">
        <v>32.38</v>
      </c>
      <c r="AD80" s="34" t="n">
        <v>8.460000000000001</v>
      </c>
      <c r="AE80" s="34" t="n">
        <v>9.787000000000001</v>
      </c>
      <c r="AF80" s="34" t="n">
        <v>9.244</v>
      </c>
      <c r="AG80" s="34" t="n">
        <v>8.951000000000001</v>
      </c>
      <c r="AH80" s="34" t="n">
        <v>36.442</v>
      </c>
      <c r="AI80" s="34" t="n">
        <v>9.225</v>
      </c>
      <c r="AJ80" s="34" t="n">
        <v>10.157</v>
      </c>
      <c r="AK80" s="34" t="n">
        <v>8.676</v>
      </c>
      <c r="AL80" s="34" t="n">
        <v>8.506</v>
      </c>
      <c r="AM80" s="34" t="n">
        <v>36.564</v>
      </c>
      <c r="AN80" s="34" t="n">
        <v>10.519</v>
      </c>
      <c r="AO80" s="34" t="n">
        <v>13.488</v>
      </c>
      <c r="AP80" s="34" t="n">
        <v>11.038</v>
      </c>
      <c r="AQ80" s="34" t="n">
        <v>8.885999999999999</v>
      </c>
      <c r="AR80" s="34" t="n">
        <v>43.931</v>
      </c>
      <c r="AS80" s="34" t="n">
        <v>12.492</v>
      </c>
      <c r="AT80" s="34" t="n">
        <v>11.713</v>
      </c>
      <c r="AU80" s="34" t="n">
        <v>17.587</v>
      </c>
      <c r="AV80" s="34" t="n">
        <v>13.362</v>
      </c>
      <c r="AW80" s="34" t="n">
        <v>55.154</v>
      </c>
      <c r="AX80" s="34" t="n">
        <v>18.697</v>
      </c>
      <c r="AY80" s="34" t="n">
        <v>18.212</v>
      </c>
      <c r="AZ80" s="34" t="n">
        <v>15.433</v>
      </c>
      <c r="BA80" s="34" t="n">
        <v>12.32</v>
      </c>
      <c r="BB80" s="34" t="n">
        <v>64.66200000000001</v>
      </c>
      <c r="BC80" s="34" t="n">
        <v>19.598</v>
      </c>
      <c r="BD80" s="34" t="n">
        <v>17.922</v>
      </c>
      <c r="BE80" s="34" t="n">
        <v>14.432</v>
      </c>
      <c r="BF80" s="34" t="n">
        <v>12.056</v>
      </c>
      <c r="BG80" s="34" t="n">
        <v>64.008</v>
      </c>
      <c r="BH80" s="34" t="n">
        <v>18.983</v>
      </c>
      <c r="BI80" s="34" t="n">
        <v>19.51</v>
      </c>
      <c r="BJ80" s="34" t="n">
        <v>20.405</v>
      </c>
      <c r="BK80" s="34" t="n">
        <v>15.246</v>
      </c>
      <c r="BL80" s="34" t="n">
        <v>74.14400000000001</v>
      </c>
      <c r="BM80" s="34" t="n">
        <v>18.342</v>
      </c>
      <c r="BN80" s="34" t="n">
        <v>25.063</v>
      </c>
      <c r="BO80" s="34" t="n">
        <v>20.69</v>
      </c>
      <c r="BP80" s="34" t="n">
        <v>20.278</v>
      </c>
      <c r="BQ80" s="34" t="n">
        <v>84.373</v>
      </c>
      <c r="BR80" s="34" t="n">
        <v>24.151</v>
      </c>
      <c r="BS80" s="34" t="n">
        <v>31.798</v>
      </c>
      <c r="BT80" s="34" t="n">
        <v>27.762</v>
      </c>
      <c r="BU80" s="34" t="n">
        <v>22.829</v>
      </c>
      <c r="BV80" s="34" t="n">
        <v>106.54</v>
      </c>
      <c r="BW80" s="34" t="n">
        <v>40.991</v>
      </c>
      <c r="BX80" s="34" t="n">
        <v>42.066</v>
      </c>
      <c r="BY80" s="257" t="n"/>
      <c r="BZ80" s="257" t="n"/>
      <c r="CA80" s="257" t="n"/>
      <c r="CB80" s="257" t="n"/>
      <c r="CC80" s="257" t="n"/>
      <c r="CD80" s="257" t="n"/>
      <c r="CE80" s="257" t="n"/>
      <c r="CF80" s="19" t="n"/>
    </row>
    <row r="81">
      <c r="CF81" s="19" t="n"/>
    </row>
    <row r="82">
      <c r="B82" s="14" t="inlineStr">
        <is>
          <t>Corporate / eliminations</t>
        </is>
      </c>
      <c r="C82" s="14" t="n"/>
      <c r="D82" s="14" t="n"/>
      <c r="E82" s="14" t="n"/>
      <c r="F82" s="14" t="n"/>
      <c r="G82" s="14" t="n"/>
      <c r="H82" s="14" t="n"/>
      <c r="I82" s="14" t="n"/>
      <c r="J82" s="14" t="n"/>
      <c r="K82" s="14" t="n"/>
      <c r="L82" s="14" t="n"/>
      <c r="M82" s="14" t="n"/>
      <c r="N82" s="14" t="n"/>
      <c r="O82" s="14" t="n"/>
      <c r="P82" s="14" t="n"/>
      <c r="Q82" s="14" t="n"/>
      <c r="R82" s="14" t="n"/>
      <c r="S82" s="14" t="n"/>
      <c r="T82" s="14" t="n"/>
      <c r="U82" s="14" t="n"/>
      <c r="V82" s="14" t="n"/>
      <c r="W82" s="14" t="n"/>
      <c r="X82" s="14" t="n"/>
      <c r="Y82" s="14" t="n"/>
      <c r="Z82" s="14" t="n"/>
      <c r="AA82" s="14" t="n"/>
      <c r="AB82" s="14" t="n"/>
      <c r="AC82" s="14" t="n"/>
      <c r="AD82" s="14" t="n"/>
      <c r="AE82" s="14" t="n"/>
      <c r="AF82" s="14" t="n"/>
      <c r="AG82" s="14" t="n"/>
      <c r="AH82" s="14" t="n"/>
      <c r="AI82" s="14" t="n"/>
      <c r="AJ82" s="14" t="n"/>
      <c r="AK82" s="14" t="n"/>
      <c r="AL82" s="14" t="n"/>
      <c r="AM82" s="14" t="n"/>
      <c r="AN82" s="14" t="n"/>
      <c r="AO82" s="14" t="n"/>
      <c r="AP82" s="14" t="n"/>
      <c r="AQ82" s="14" t="n"/>
      <c r="AR82" s="14" t="n"/>
      <c r="AS82" s="14" t="n"/>
      <c r="AT82" s="14" t="n"/>
      <c r="AU82" s="14" t="n"/>
      <c r="AV82" s="14" t="n"/>
      <c r="AW82" s="14" t="n"/>
      <c r="AX82" s="14" t="n"/>
      <c r="AY82" s="14" t="n"/>
      <c r="AZ82" s="14" t="n"/>
      <c r="BA82" s="14" t="n"/>
      <c r="BB82" s="14" t="n"/>
      <c r="BC82" s="14" t="n"/>
      <c r="BD82" s="14" t="n"/>
      <c r="BE82" s="14" t="n"/>
      <c r="BF82" s="14" t="n"/>
      <c r="BG82" s="14" t="n"/>
      <c r="BH82" s="14" t="n"/>
      <c r="BI82" s="14" t="n"/>
      <c r="BJ82" s="14" t="n"/>
      <c r="BK82" s="14" t="n"/>
      <c r="BL82" s="14" t="n"/>
      <c r="BM82" s="14" t="n"/>
      <c r="BN82" s="14" t="n"/>
      <c r="BO82" s="14" t="n"/>
      <c r="BP82" s="14" t="n"/>
      <c r="BQ82" s="14" t="n"/>
      <c r="BR82" s="14" t="n"/>
      <c r="BS82" s="14" t="n"/>
      <c r="BT82" s="14" t="n"/>
      <c r="BU82" s="14" t="n"/>
      <c r="BV82" s="14" t="n"/>
      <c r="BW82" s="14" t="n"/>
      <c r="BX82" s="14" t="n"/>
      <c r="BY82" s="14" t="n"/>
      <c r="BZ82" s="14" t="n"/>
      <c r="CA82" s="14" t="n"/>
      <c r="CB82" s="14" t="n"/>
      <c r="CC82" s="14" t="n"/>
      <c r="CD82" s="14" t="n"/>
      <c r="CE82" s="14" t="n"/>
      <c r="CF82" s="15" t="inlineStr">
        <is>
          <t>CORPORATE &amp; ELIMINATIONS</t>
        </is>
      </c>
    </row>
    <row r="83">
      <c r="B83" s="25" t="inlineStr">
        <is>
          <t xml:space="preserve">  Inter-segment eliminations</t>
        </is>
      </c>
      <c r="C83" s="34" t="n"/>
      <c r="D83" s="34" t="n"/>
      <c r="E83" s="34" t="n"/>
      <c r="F83" s="34" t="n"/>
      <c r="G83" s="34" t="n"/>
      <c r="H83" s="34" t="n"/>
      <c r="I83" s="34" t="n"/>
      <c r="J83" s="34" t="n"/>
      <c r="K83" s="34" t="n"/>
      <c r="L83" s="34" t="n"/>
      <c r="M83" s="34" t="n"/>
      <c r="N83" s="34" t="n">
        <v>-138.084</v>
      </c>
      <c r="O83" s="34" t="n">
        <v>-36.323</v>
      </c>
      <c r="P83" s="34" t="n">
        <v>-37.331</v>
      </c>
      <c r="Q83" s="34" t="n">
        <v>-33.968</v>
      </c>
      <c r="R83" s="34" t="n">
        <v>-32.72</v>
      </c>
      <c r="S83" s="34" t="n">
        <v>-140.342</v>
      </c>
      <c r="T83" s="34" t="n">
        <v>-30.061</v>
      </c>
      <c r="U83" s="34" t="n">
        <v>-31.929</v>
      </c>
      <c r="V83" s="34" t="n">
        <v>-33.278</v>
      </c>
      <c r="W83" s="34" t="n">
        <v>-25.329</v>
      </c>
      <c r="X83" s="34" t="n">
        <v>-120.597</v>
      </c>
      <c r="Y83" s="34" t="n">
        <v>-30.56</v>
      </c>
      <c r="Z83" s="34" t="n">
        <v>-30.121</v>
      </c>
      <c r="AA83" s="34" t="n">
        <v>-27.93</v>
      </c>
      <c r="AB83" s="34" t="n">
        <v>-29.685</v>
      </c>
      <c r="AC83" s="34" t="n">
        <v>-118.296</v>
      </c>
      <c r="AD83" s="34" t="n">
        <v>-29.045</v>
      </c>
      <c r="AE83" s="34" t="n">
        <v>-35.251</v>
      </c>
      <c r="AF83" s="34" t="n">
        <v>-33.061</v>
      </c>
      <c r="AG83" s="34" t="n">
        <v>-27.075</v>
      </c>
      <c r="AH83" s="34" t="n">
        <v>-124.432</v>
      </c>
      <c r="AI83" s="34" t="n">
        <v>-33.002</v>
      </c>
      <c r="AJ83" s="34" t="n">
        <v>-38.74</v>
      </c>
      <c r="AK83" s="34" t="n">
        <v>-37.045</v>
      </c>
      <c r="AL83" s="34" t="n">
        <v>-35.694</v>
      </c>
      <c r="AM83" s="34" t="n">
        <v>-144.481</v>
      </c>
      <c r="AN83" s="34" t="n">
        <v>-35.464</v>
      </c>
      <c r="AO83" s="34" t="n">
        <v>-41.112</v>
      </c>
      <c r="AP83" s="34" t="n">
        <v>-37.399</v>
      </c>
      <c r="AQ83" s="34" t="n">
        <v>-34.545</v>
      </c>
      <c r="AR83" s="34" t="n">
        <v>-148.52</v>
      </c>
      <c r="AS83" s="34" t="n">
        <v>-30.991</v>
      </c>
      <c r="AT83" s="34" t="n">
        <v>-33.532</v>
      </c>
      <c r="AU83" s="34" t="n">
        <v>-36.164</v>
      </c>
      <c r="AV83" s="34" t="n">
        <v>-34.219</v>
      </c>
      <c r="AW83" s="34" t="n">
        <v>-134.906</v>
      </c>
      <c r="AX83" s="34" t="n">
        <v>-39.18</v>
      </c>
      <c r="AY83" s="34" t="n">
        <v>-48.946</v>
      </c>
      <c r="AZ83" s="34" t="n">
        <v>-46.503</v>
      </c>
      <c r="BA83" s="34" t="n">
        <v>-40.448</v>
      </c>
      <c r="BB83" s="34" t="n">
        <v>-175.077</v>
      </c>
      <c r="BC83" s="34" t="n">
        <v>-37.446</v>
      </c>
      <c r="BD83" s="34" t="n">
        <v>-41.424</v>
      </c>
      <c r="BE83" s="34" t="n">
        <v>-47.989</v>
      </c>
      <c r="BF83" s="34" t="n">
        <v>-37.703</v>
      </c>
      <c r="BG83" s="34" t="n">
        <v>-164.562</v>
      </c>
      <c r="BH83" s="34" t="n">
        <v>-41.968</v>
      </c>
      <c r="BI83" s="34" t="n">
        <v>-42.009</v>
      </c>
      <c r="BJ83" s="34" t="n">
        <v>-36.07</v>
      </c>
      <c r="BK83" s="34" t="n">
        <v>-49.628</v>
      </c>
      <c r="BL83" s="34" t="n">
        <v>-169.675</v>
      </c>
      <c r="BM83" s="34" t="n">
        <v>-41.479</v>
      </c>
      <c r="BN83" s="34" t="n">
        <v>-49.921</v>
      </c>
      <c r="BO83" s="34" t="n">
        <v>-41.371</v>
      </c>
      <c r="BP83" s="34" t="n">
        <v>-51.168</v>
      </c>
      <c r="BQ83" s="34" t="n">
        <v>-183.94</v>
      </c>
      <c r="BR83" s="34" t="n">
        <v>-41.188</v>
      </c>
      <c r="BS83" s="34" t="n">
        <v>-56.142</v>
      </c>
      <c r="BT83" s="34" t="n">
        <v>-43.329</v>
      </c>
      <c r="BU83" s="34" t="n">
        <v>-33.507</v>
      </c>
      <c r="BV83" s="34" t="n">
        <v>-174.166</v>
      </c>
      <c r="BW83" s="34" t="n">
        <v>-47.18</v>
      </c>
      <c r="BX83" s="34" t="n">
        <v>-41.44</v>
      </c>
      <c r="BY83" s="257">
        <f>-(BY22+BY46+BY70)</f>
        <v>-47.9164610501557</v>
      </c>
      <c r="BZ83" s="257">
        <f>-(BZ22+BZ46+BZ70)</f>
        <v>-37.0930459962743</v>
      </c>
      <c r="CA83" s="257">
        <f>-(CA22+CA46+CA70)</f>
        <v>-173.62950704643</v>
      </c>
      <c r="CB83" s="257">
        <f>-(CB22+CB46+CB70)</f>
        <v>-183.322328371234</v>
      </c>
      <c r="CC83" s="257">
        <f>-(CC22+CC46+CC70)</f>
        <v>-192.954863041805</v>
      </c>
      <c r="CD83" s="257">
        <f>-(CD22+CD46+CD70)</f>
        <v>-202.386946892756</v>
      </c>
      <c r="CE83" s="257">
        <f>-(CE22+CE46+CE70)</f>
        <v>-212.283455685946</v>
      </c>
      <c r="CF83" s="19" t="n"/>
    </row>
    <row r="84">
      <c r="B84" s="25" t="inlineStr">
        <is>
          <t xml:space="preserve">  Corporate / eliminations adjusted EBIT</t>
        </is>
      </c>
      <c r="C84" s="34" t="n"/>
      <c r="D84" s="34" t="n"/>
      <c r="E84" s="34" t="n"/>
      <c r="F84" s="34" t="n"/>
      <c r="G84" s="34" t="n"/>
      <c r="H84" s="34" t="n"/>
      <c r="I84" s="34" t="n"/>
      <c r="J84" s="34" t="n"/>
      <c r="K84" s="34" t="n"/>
      <c r="L84" s="34" t="n"/>
      <c r="M84" s="34" t="n"/>
      <c r="N84" s="34" t="n">
        <v>-5.948</v>
      </c>
      <c r="O84" s="34" t="n">
        <v>2.67</v>
      </c>
      <c r="P84" s="34" t="n">
        <v>0.785</v>
      </c>
      <c r="Q84" s="34" t="n">
        <v>-0.302</v>
      </c>
      <c r="R84" s="34" t="n">
        <v>0.649</v>
      </c>
      <c r="S84" s="34" t="n">
        <v>3.802</v>
      </c>
      <c r="T84" s="34" t="n">
        <v>0.06</v>
      </c>
      <c r="U84" s="34" t="n">
        <v>0.634</v>
      </c>
      <c r="V84" s="34" t="n">
        <v>-0.748</v>
      </c>
      <c r="W84" s="34" t="n">
        <v>-0.221</v>
      </c>
      <c r="X84" s="34" t="n">
        <v>-0.275</v>
      </c>
      <c r="Y84" s="34" t="n">
        <v>1.197</v>
      </c>
      <c r="Z84" s="34" t="n">
        <v>-0.298</v>
      </c>
      <c r="AA84" s="34" t="n">
        <v>0.913</v>
      </c>
      <c r="AB84" s="34" t="n">
        <v>-1.248</v>
      </c>
      <c r="AC84" s="34" t="n">
        <v>0.5639999999999999</v>
      </c>
      <c r="AD84" s="34" t="n">
        <v>0.064</v>
      </c>
      <c r="AE84" s="34" t="n">
        <v>-0.265</v>
      </c>
      <c r="AF84" s="34" t="n">
        <v>0.57</v>
      </c>
      <c r="AG84" s="34" t="n">
        <v>-0.06</v>
      </c>
      <c r="AH84" s="34" t="n">
        <v>0.309</v>
      </c>
      <c r="AI84" s="34" t="n">
        <v>-0.158</v>
      </c>
      <c r="AJ84" s="34" t="n">
        <v>-3.186</v>
      </c>
      <c r="AK84" s="34" t="n">
        <v>-1.099</v>
      </c>
      <c r="AL84" s="34" t="n">
        <v>-4.444</v>
      </c>
      <c r="AM84" s="34" t="n">
        <v>-8.887</v>
      </c>
      <c r="AN84" s="34" t="n">
        <v>-3.042</v>
      </c>
      <c r="AO84" s="34" t="n">
        <v>-3.969</v>
      </c>
      <c r="AP84" s="34" t="n">
        <v>-1.632</v>
      </c>
      <c r="AQ84" s="34" t="n">
        <v>-2.305</v>
      </c>
      <c r="AR84" s="34" t="n">
        <v>-10.948</v>
      </c>
      <c r="AS84" s="34" t="n">
        <v>-1.099</v>
      </c>
      <c r="AT84" s="34" t="n">
        <v>-1.964</v>
      </c>
      <c r="AU84" s="34" t="n">
        <v>-1.839</v>
      </c>
      <c r="AV84" s="34" t="n">
        <v>-0.553</v>
      </c>
      <c r="AW84" s="34" t="n">
        <v>-5.455</v>
      </c>
      <c r="AX84" s="34" t="n">
        <v>-1.456</v>
      </c>
      <c r="AY84" s="34" t="n">
        <v>-3.888</v>
      </c>
      <c r="AZ84" s="34" t="n">
        <v>-4.704</v>
      </c>
      <c r="BA84" s="34" t="n">
        <v>-2.355</v>
      </c>
      <c r="BB84" s="34" t="n">
        <v>-12.403</v>
      </c>
      <c r="BC84" s="34" t="n">
        <v>-4.801</v>
      </c>
      <c r="BD84" s="34" t="n">
        <v>-3.984</v>
      </c>
      <c r="BE84" s="34" t="n">
        <v>-1.685</v>
      </c>
      <c r="BF84" s="34" t="n">
        <v>0.437</v>
      </c>
      <c r="BG84" s="34" t="n">
        <v>-10.033</v>
      </c>
      <c r="BH84" s="34" t="n">
        <v>-9.374000000000001</v>
      </c>
      <c r="BI84" s="34" t="n">
        <v>-2.183</v>
      </c>
      <c r="BJ84" s="34" t="n">
        <v>-2.952</v>
      </c>
      <c r="BK84" s="34" t="n">
        <v>-2.997</v>
      </c>
      <c r="BL84" s="34" t="n">
        <v>-17.536</v>
      </c>
      <c r="BM84" s="34" t="n">
        <v>-10.078</v>
      </c>
      <c r="BN84" s="34" t="n">
        <v>-6.264</v>
      </c>
      <c r="BO84" s="34" t="n">
        <v>4.503</v>
      </c>
      <c r="BP84" s="34" t="n">
        <v>0.8120000000000001</v>
      </c>
      <c r="BQ84" s="34" t="n">
        <v>-11.028</v>
      </c>
      <c r="BR84" s="34" t="n">
        <v>-1.65</v>
      </c>
      <c r="BS84" s="34" t="n">
        <v>-1.2</v>
      </c>
      <c r="BT84" s="34" t="n">
        <v>2.034</v>
      </c>
      <c r="BU84" s="34" t="n">
        <v>0.416</v>
      </c>
      <c r="BV84" s="34" t="n">
        <v>-0.4</v>
      </c>
      <c r="BW84" s="34" t="n">
        <v>-1.395</v>
      </c>
      <c r="BX84" s="34" t="n">
        <v>-3.044</v>
      </c>
      <c r="BY84" s="257">
        <f>($BW$84+$BX$84)/2</f>
        <v>-2.2195</v>
      </c>
      <c r="BZ84" s="257">
        <f>($BW$84+$BX$84)/2</f>
        <v>-2.2195</v>
      </c>
      <c r="CA84" s="257">
        <f>SUM(BW84,BX84,BY84,BZ84)</f>
        <v>-8.878</v>
      </c>
      <c r="CB84" s="261" t="n">
        <v>-8</v>
      </c>
      <c r="CC84" s="261" t="n">
        <v>-8</v>
      </c>
      <c r="CD84" s="261" t="n">
        <v>-8</v>
      </c>
      <c r="CE84" s="261" t="n">
        <v>-8</v>
      </c>
      <c r="CF84" s="19" t="inlineStr">
        <is>
          <t>Q3/Q4-26E: 1H/26 run-rate. 2027E+: -8 p.a. input (unallocated corporate costs net of inter-segment profit eliminations).</t>
        </is>
      </c>
    </row>
    <row r="85" outlineLevel="2" s="251">
      <c r="B85" s="25" t="inlineStr">
        <is>
          <t xml:space="preserve">  Corporate special items (pre-tax)</t>
        </is>
      </c>
      <c r="C85" s="34" t="n"/>
      <c r="D85" s="34" t="n"/>
      <c r="E85" s="34" t="n"/>
      <c r="F85" s="34" t="n"/>
      <c r="G85" s="34" t="n"/>
      <c r="H85" s="34" t="n"/>
      <c r="I85" s="34" t="n"/>
      <c r="J85" s="34" t="n"/>
      <c r="K85" s="34" t="n"/>
      <c r="L85" s="34" t="n"/>
      <c r="M85" s="34" t="n"/>
      <c r="N85" s="34" t="n">
        <v>0</v>
      </c>
      <c r="O85" s="34" t="n">
        <v>0</v>
      </c>
      <c r="P85" s="34" t="n">
        <v>0</v>
      </c>
      <c r="Q85" s="34" t="n">
        <v>0</v>
      </c>
      <c r="R85" s="34" t="n">
        <v>0</v>
      </c>
      <c r="S85" s="34" t="n">
        <v>0</v>
      </c>
      <c r="T85" s="34" t="n">
        <v>0</v>
      </c>
      <c r="U85" s="34" t="n">
        <v>0</v>
      </c>
      <c r="V85" s="34" t="n">
        <v>0</v>
      </c>
      <c r="W85" s="34" t="n">
        <v>0</v>
      </c>
      <c r="X85" s="34" t="n">
        <v>0</v>
      </c>
      <c r="Y85" s="34" t="n">
        <v>0</v>
      </c>
      <c r="Z85" s="34" t="n">
        <v>34.348</v>
      </c>
      <c r="AA85" s="34" t="n">
        <v>0</v>
      </c>
      <c r="AB85" s="34" t="n">
        <v>0</v>
      </c>
      <c r="AC85" s="34" t="n">
        <v>34.348</v>
      </c>
      <c r="AD85" s="34" t="n">
        <v>3.615</v>
      </c>
      <c r="AE85" s="34" t="n">
        <v>4.498</v>
      </c>
      <c r="AF85" s="34" t="n">
        <v>-48.312</v>
      </c>
      <c r="AG85" s="34" t="n">
        <v>5.551</v>
      </c>
      <c r="AH85" s="34" t="n">
        <v>-34.648</v>
      </c>
      <c r="AI85" s="34" t="n">
        <v>1.907</v>
      </c>
      <c r="AJ85" s="34" t="n">
        <v>0.788</v>
      </c>
      <c r="AK85" s="34" t="n">
        <v>0.97</v>
      </c>
      <c r="AL85" s="34" t="n">
        <v>0.833</v>
      </c>
      <c r="AM85" s="34" t="n">
        <v>4.498</v>
      </c>
      <c r="AN85" s="34" t="n">
        <v>0.79</v>
      </c>
      <c r="AO85" s="34" t="n">
        <v>1.014</v>
      </c>
      <c r="AP85" s="34" t="n">
        <v>0</v>
      </c>
      <c r="AQ85" s="34" t="n">
        <v>0</v>
      </c>
      <c r="AR85" s="34" t="n">
        <v>1.804</v>
      </c>
      <c r="AS85" s="34" t="n">
        <v>0</v>
      </c>
      <c r="AT85" s="34" t="n">
        <v>0</v>
      </c>
      <c r="AU85" s="34" t="n">
        <v>0</v>
      </c>
      <c r="AV85" s="34" t="n">
        <v>0</v>
      </c>
      <c r="AW85" s="34" t="n">
        <v>0</v>
      </c>
      <c r="AX85" s="34" t="n">
        <v>1.113</v>
      </c>
      <c r="AY85" s="34" t="n">
        <v>0.8100000000000001</v>
      </c>
      <c r="AZ85" s="34" t="n">
        <v>0</v>
      </c>
      <c r="BA85" s="34" t="n">
        <v>0</v>
      </c>
      <c r="BB85" s="34" t="n">
        <v>1.923</v>
      </c>
      <c r="BC85" s="34" t="n">
        <v>0</v>
      </c>
      <c r="BD85" s="34" t="n">
        <v>0</v>
      </c>
      <c r="BE85" s="34" t="n">
        <v>3.068</v>
      </c>
      <c r="BF85" s="34" t="n">
        <v>2.935</v>
      </c>
      <c r="BG85" s="34" t="n">
        <v>6.003</v>
      </c>
      <c r="BH85" s="34" t="n">
        <v>0</v>
      </c>
      <c r="BI85" s="34" t="n">
        <v>0</v>
      </c>
      <c r="BJ85" s="34" t="n">
        <v>0</v>
      </c>
      <c r="BK85" s="34" t="n">
        <v>0</v>
      </c>
      <c r="BL85" s="34" t="n">
        <v>0</v>
      </c>
      <c r="BM85" s="34" t="n">
        <v>1.762</v>
      </c>
      <c r="BN85" s="34" t="n">
        <v>2.286</v>
      </c>
      <c r="BO85" s="34" t="n">
        <v>0.61</v>
      </c>
      <c r="BP85" s="34" t="n">
        <v>2.491</v>
      </c>
      <c r="BQ85" s="34" t="n">
        <v>7.147</v>
      </c>
      <c r="BR85" s="34" t="n">
        <v>0.802</v>
      </c>
      <c r="BS85" s="34" t="n">
        <v>0.429</v>
      </c>
      <c r="BT85" s="34" t="n">
        <v>0.452</v>
      </c>
      <c r="BU85" s="34" t="n">
        <v>0.718</v>
      </c>
      <c r="BV85" s="34" t="n">
        <v>2.401</v>
      </c>
      <c r="BW85" s="34" t="n">
        <v>0.653</v>
      </c>
      <c r="BX85" s="34" t="n">
        <v>0.015</v>
      </c>
      <c r="BY85" s="257" t="n"/>
      <c r="BZ85" s="257" t="n"/>
      <c r="CA85" s="257" t="n"/>
      <c r="CB85" s="257" t="n"/>
      <c r="CC85" s="257" t="n"/>
      <c r="CD85" s="257" t="n"/>
      <c r="CE85" s="257" t="n"/>
      <c r="CF85" s="19" t="n"/>
    </row>
    <row r="86" outlineLevel="2" s="251">
      <c r="B86" s="25" t="inlineStr">
        <is>
          <t xml:space="preserve">  Corporate / eliminations EBIT (GAAP)</t>
        </is>
      </c>
      <c r="C86" s="34" t="n"/>
      <c r="D86" s="34" t="n"/>
      <c r="E86" s="34" t="n"/>
      <c r="F86" s="34" t="n"/>
      <c r="G86" s="34" t="n"/>
      <c r="H86" s="34" t="n"/>
      <c r="I86" s="34" t="n"/>
      <c r="J86" s="34" t="n"/>
      <c r="K86" s="34" t="n"/>
      <c r="L86" s="34" t="n"/>
      <c r="M86" s="34" t="n"/>
      <c r="N86" s="34" t="n">
        <v>-5.948</v>
      </c>
      <c r="O86" s="34" t="n">
        <v>2.67</v>
      </c>
      <c r="P86" s="34" t="n">
        <v>0.785</v>
      </c>
      <c r="Q86" s="34" t="n">
        <v>-0.302</v>
      </c>
      <c r="R86" s="34" t="n">
        <v>0.649</v>
      </c>
      <c r="S86" s="34" t="n">
        <v>3.802</v>
      </c>
      <c r="T86" s="34" t="n">
        <v>0.06</v>
      </c>
      <c r="U86" s="34" t="n">
        <v>0.634</v>
      </c>
      <c r="V86" s="34" t="n">
        <v>-0.748</v>
      </c>
      <c r="W86" s="34" t="n">
        <v>-0.221</v>
      </c>
      <c r="X86" s="34" t="n">
        <v>-0.275</v>
      </c>
      <c r="Y86" s="34" t="n">
        <v>1.197</v>
      </c>
      <c r="Z86" s="34" t="n">
        <v>-34.646</v>
      </c>
      <c r="AA86" s="34" t="n">
        <v>0.913</v>
      </c>
      <c r="AB86" s="34" t="n">
        <v>-1.248</v>
      </c>
      <c r="AC86" s="34" t="n">
        <v>-33.784</v>
      </c>
      <c r="AD86" s="34" t="n">
        <v>-3.551</v>
      </c>
      <c r="AE86" s="34" t="n">
        <v>-4.763</v>
      </c>
      <c r="AF86" s="34" t="n">
        <v>48.882</v>
      </c>
      <c r="AG86" s="34" t="n">
        <v>-5.611</v>
      </c>
      <c r="AH86" s="34" t="n">
        <v>34.957</v>
      </c>
      <c r="AI86" s="34" t="n">
        <v>-2.065</v>
      </c>
      <c r="AJ86" s="34" t="n">
        <v>-3.974</v>
      </c>
      <c r="AK86" s="34" t="n">
        <v>-2.069</v>
      </c>
      <c r="AL86" s="34" t="n">
        <v>-5.277</v>
      </c>
      <c r="AM86" s="34" t="n">
        <v>-13.385</v>
      </c>
      <c r="AN86" s="34" t="n">
        <v>-3.832</v>
      </c>
      <c r="AO86" s="34" t="n">
        <v>-4.983</v>
      </c>
      <c r="AP86" s="34" t="n">
        <v>-1.632</v>
      </c>
      <c r="AQ86" s="34" t="n">
        <v>-2.305</v>
      </c>
      <c r="AR86" s="34" t="n">
        <v>-12.752</v>
      </c>
      <c r="AS86" s="34" t="n">
        <v>-1.099</v>
      </c>
      <c r="AT86" s="34" t="n">
        <v>-1.964</v>
      </c>
      <c r="AU86" s="34" t="n">
        <v>-1.839</v>
      </c>
      <c r="AV86" s="34" t="n">
        <v>-0.553</v>
      </c>
      <c r="AW86" s="34" t="n">
        <v>-5.455</v>
      </c>
      <c r="AX86" s="34" t="n">
        <v>-2.569</v>
      </c>
      <c r="AY86" s="34" t="n">
        <v>-4.698</v>
      </c>
      <c r="AZ86" s="34" t="n">
        <v>-4.704</v>
      </c>
      <c r="BA86" s="34" t="n">
        <v>-2.355</v>
      </c>
      <c r="BB86" s="34" t="n">
        <v>-14.326</v>
      </c>
      <c r="BC86" s="34" t="n">
        <v>-4.801</v>
      </c>
      <c r="BD86" s="34" t="n">
        <v>-3.984</v>
      </c>
      <c r="BE86" s="34" t="n">
        <v>-4.753</v>
      </c>
      <c r="BF86" s="34" t="n">
        <v>-2.498</v>
      </c>
      <c r="BG86" s="34" t="n">
        <v>-16.036</v>
      </c>
      <c r="BH86" s="34" t="n">
        <v>-9.374000000000001</v>
      </c>
      <c r="BI86" s="34" t="n">
        <v>-2.183</v>
      </c>
      <c r="BJ86" s="34" t="n">
        <v>-2.952</v>
      </c>
      <c r="BK86" s="34" t="n">
        <v>-2.997</v>
      </c>
      <c r="BL86" s="34" t="n">
        <v>-17.536</v>
      </c>
      <c r="BM86" s="34" t="n">
        <v>-11.84</v>
      </c>
      <c r="BN86" s="34" t="n">
        <v>-8.550000000000001</v>
      </c>
      <c r="BO86" s="34" t="n">
        <v>3.893</v>
      </c>
      <c r="BP86" s="34" t="n">
        <v>-1.679</v>
      </c>
      <c r="BQ86" s="34" t="n">
        <v>-18.175</v>
      </c>
      <c r="BR86" s="34" t="n">
        <v>-2.452</v>
      </c>
      <c r="BS86" s="34" t="n">
        <v>-1.629</v>
      </c>
      <c r="BT86" s="34" t="n">
        <v>1.582</v>
      </c>
      <c r="BU86" s="34" t="n">
        <v>-0.302</v>
      </c>
      <c r="BV86" s="34" t="n">
        <v>-2.801</v>
      </c>
      <c r="BW86" s="34" t="n">
        <v>-2.048</v>
      </c>
      <c r="BX86" s="34" t="n">
        <v>-3.059</v>
      </c>
      <c r="BY86" s="257" t="n"/>
      <c r="BZ86" s="257" t="n"/>
      <c r="CA86" s="257" t="n"/>
      <c r="CB86" s="257" t="n"/>
      <c r="CC86" s="257" t="n"/>
      <c r="CD86" s="257" t="n"/>
      <c r="CE86" s="257" t="n"/>
      <c r="CF86" s="19" t="n"/>
    </row>
    <row r="87">
      <c r="CF87" s="19" t="n"/>
    </row>
    <row r="88">
      <c r="B88" s="14" t="inlineStr">
        <is>
          <t>Legacy segments (memo; as originally reported — North America / Europe / Other Countries to 2008; five welding &amp; Harris segments 2009–Q4/15)</t>
        </is>
      </c>
      <c r="C88" s="14" t="n"/>
      <c r="D88" s="14" t="n"/>
      <c r="E88" s="14" t="n"/>
      <c r="F88" s="14" t="n"/>
      <c r="G88" s="14" t="n"/>
      <c r="H88" s="14" t="n"/>
      <c r="I88" s="14" t="n"/>
      <c r="J88" s="14" t="n"/>
      <c r="K88" s="14" t="n"/>
      <c r="L88" s="14" t="n"/>
      <c r="M88" s="14" t="n"/>
      <c r="N88" s="14" t="n"/>
      <c r="O88" s="14" t="n"/>
      <c r="P88" s="14" t="n"/>
      <c r="Q88" s="14" t="n"/>
      <c r="R88" s="14" t="n"/>
      <c r="S88" s="14" t="n"/>
      <c r="T88" s="14" t="n"/>
      <c r="U88" s="14" t="n"/>
      <c r="V88" s="14" t="n"/>
      <c r="W88" s="14" t="n"/>
      <c r="X88" s="14" t="n"/>
      <c r="Y88" s="14" t="n"/>
      <c r="Z88" s="14" t="n"/>
      <c r="AA88" s="14" t="n"/>
      <c r="AB88" s="14" t="n"/>
      <c r="AC88" s="14" t="n"/>
      <c r="AD88" s="14" t="n"/>
      <c r="AE88" s="14" t="n"/>
      <c r="AF88" s="14" t="n"/>
      <c r="AG88" s="14" t="n"/>
      <c r="AH88" s="14" t="n"/>
      <c r="AI88" s="14" t="n"/>
      <c r="AJ88" s="14" t="n"/>
      <c r="AK88" s="14" t="n"/>
      <c r="AL88" s="14" t="n"/>
      <c r="AM88" s="14" t="n"/>
      <c r="AN88" s="14" t="n"/>
      <c r="AO88" s="14" t="n"/>
      <c r="AP88" s="14" t="n"/>
      <c r="AQ88" s="14" t="n"/>
      <c r="AR88" s="14" t="n"/>
      <c r="AS88" s="14" t="n"/>
      <c r="AT88" s="14" t="n"/>
      <c r="AU88" s="14" t="n"/>
      <c r="AV88" s="14" t="n"/>
      <c r="AW88" s="14" t="n"/>
      <c r="AX88" s="14" t="n"/>
      <c r="AY88" s="14" t="n"/>
      <c r="AZ88" s="14" t="n"/>
      <c r="BA88" s="14" t="n"/>
      <c r="BB88" s="14" t="n"/>
      <c r="BC88" s="14" t="n"/>
      <c r="BD88" s="14" t="n"/>
      <c r="BE88" s="14" t="n"/>
      <c r="BF88" s="14" t="n"/>
      <c r="BG88" s="14" t="n"/>
      <c r="BH88" s="14" t="n"/>
      <c r="BI88" s="14" t="n"/>
      <c r="BJ88" s="14" t="n"/>
      <c r="BK88" s="14" t="n"/>
      <c r="BL88" s="14" t="n"/>
      <c r="BM88" s="14" t="n"/>
      <c r="BN88" s="14" t="n"/>
      <c r="BO88" s="14" t="n"/>
      <c r="BP88" s="14" t="n"/>
      <c r="BQ88" s="14" t="n"/>
      <c r="BR88" s="14" t="n"/>
      <c r="BS88" s="14" t="n"/>
      <c r="BT88" s="14" t="n"/>
      <c r="BU88" s="14" t="n"/>
      <c r="BV88" s="14" t="n"/>
      <c r="BW88" s="14" t="n"/>
      <c r="BX88" s="14" t="n"/>
      <c r="BY88" s="14" t="n"/>
      <c r="BZ88" s="14" t="n"/>
      <c r="CA88" s="14" t="n"/>
      <c r="CB88" s="14" t="n"/>
      <c r="CC88" s="14" t="n"/>
      <c r="CD88" s="14" t="n"/>
      <c r="CE88" s="14" t="n"/>
      <c r="CF88" s="15" t="inlineStr">
        <is>
          <t>LEGACY SEGMENTS — historical disclosure only (not forecast)</t>
        </is>
      </c>
    </row>
    <row r="89" outlineLevel="2" s="251">
      <c r="B89" s="25" t="inlineStr">
        <is>
          <t xml:space="preserve">  North America (to 2008) / North America Welding (2009–Q4/15) — net sales</t>
        </is>
      </c>
      <c r="C89" s="34" t="n">
        <v>1305.472</v>
      </c>
      <c r="D89" s="34" t="n">
        <v>1401.393</v>
      </c>
      <c r="E89" s="34" t="n">
        <v>1451.333</v>
      </c>
      <c r="F89" s="34" t="n">
        <v>858.1799999999999</v>
      </c>
      <c r="G89" s="34" t="n">
        <v>1013.193</v>
      </c>
      <c r="H89" s="34" t="n">
        <v>1309.499</v>
      </c>
      <c r="I89" s="34" t="n">
        <v>1580.818</v>
      </c>
      <c r="J89" s="34" t="n">
        <v>419.554</v>
      </c>
      <c r="K89" s="34" t="n">
        <v>419.069</v>
      </c>
      <c r="L89" s="34" t="n">
        <v>404.113</v>
      </c>
      <c r="M89" s="34" t="n">
        <v>410.033</v>
      </c>
      <c r="N89" s="34" t="n">
        <v>1652.769</v>
      </c>
      <c r="O89" s="34" t="n">
        <v>401.906</v>
      </c>
      <c r="P89" s="34" t="n">
        <v>429.49</v>
      </c>
      <c r="Q89" s="34" t="n">
        <v>439.621</v>
      </c>
      <c r="R89" s="34" t="n">
        <v>429.907</v>
      </c>
      <c r="S89" s="34" t="n">
        <v>1700.924</v>
      </c>
      <c r="T89" s="34" t="n">
        <v>412.988</v>
      </c>
      <c r="U89" s="34" t="n">
        <v>415.075</v>
      </c>
      <c r="V89" s="34" t="n">
        <v>408.416</v>
      </c>
      <c r="W89" s="34" t="n">
        <v>373.878</v>
      </c>
      <c r="X89" s="34" t="n">
        <v>1610.357</v>
      </c>
      <c r="Y89" s="34" t="n"/>
      <c r="Z89" s="34" t="n"/>
      <c r="AA89" s="34" t="n"/>
      <c r="AB89" s="34" t="n"/>
      <c r="AC89" s="34" t="n"/>
      <c r="AD89" s="34" t="n"/>
      <c r="AE89" s="34" t="n"/>
      <c r="AF89" s="34" t="n"/>
      <c r="AG89" s="34" t="n"/>
      <c r="AH89" s="34" t="n"/>
      <c r="AI89" s="34" t="n"/>
      <c r="AJ89" s="34" t="n"/>
      <c r="AK89" s="34" t="n"/>
      <c r="AL89" s="34" t="n"/>
      <c r="AM89" s="34" t="n"/>
      <c r="AN89" s="34" t="n"/>
      <c r="AO89" s="34" t="n"/>
      <c r="AP89" s="34" t="n"/>
      <c r="AQ89" s="34" t="n"/>
      <c r="AR89" s="34" t="n"/>
      <c r="AS89" s="34" t="n"/>
      <c r="AT89" s="34" t="n"/>
      <c r="AU89" s="34" t="n"/>
      <c r="AV89" s="34" t="n"/>
      <c r="AW89" s="34" t="n"/>
      <c r="AX89" s="34" t="n"/>
      <c r="AY89" s="34" t="n"/>
      <c r="AZ89" s="34" t="n"/>
      <c r="BA89" s="34" t="n"/>
      <c r="BB89" s="34" t="n"/>
      <c r="BC89" s="34" t="n"/>
      <c r="BD89" s="34" t="n"/>
      <c r="BE89" s="34" t="n"/>
      <c r="BF89" s="34" t="n"/>
      <c r="BG89" s="34" t="n"/>
      <c r="BH89" s="34" t="n"/>
      <c r="BI89" s="34" t="n"/>
      <c r="BJ89" s="34" t="n"/>
      <c r="BK89" s="34" t="n"/>
      <c r="BL89" s="34" t="n"/>
      <c r="BM89" s="34" t="n"/>
      <c r="BN89" s="34" t="n"/>
      <c r="BO89" s="34" t="n"/>
      <c r="BP89" s="34" t="n"/>
      <c r="BQ89" s="34" t="n"/>
      <c r="BR89" s="34" t="n"/>
      <c r="BS89" s="34" t="n"/>
      <c r="BT89" s="34" t="n"/>
      <c r="BU89" s="34" t="n"/>
      <c r="BV89" s="34" t="n"/>
      <c r="BW89" s="34" t="n"/>
      <c r="BX89" s="34" t="n"/>
      <c r="BY89" s="257" t="n"/>
      <c r="BZ89" s="257" t="n"/>
      <c r="CA89" s="257" t="n"/>
      <c r="CB89" s="257" t="n"/>
      <c r="CC89" s="257" t="n"/>
      <c r="CD89" s="257" t="n"/>
      <c r="CE89" s="257" t="n"/>
      <c r="CF89" s="19" t="n"/>
    </row>
    <row r="90" outlineLevel="2" s="251">
      <c r="B90" s="25" t="inlineStr">
        <is>
          <t xml:space="preserve">  North America (to 2008) / North America Welding (2009–Q4/15) — EBIT as adjusted</t>
        </is>
      </c>
      <c r="C90" s="34" t="n">
        <v>172.613</v>
      </c>
      <c r="D90" s="34" t="n">
        <v>211.092</v>
      </c>
      <c r="E90" s="34" t="n">
        <v>226.025</v>
      </c>
      <c r="F90" s="34" t="n">
        <v>134.544</v>
      </c>
      <c r="G90" s="34" t="n">
        <v>162.192</v>
      </c>
      <c r="H90" s="34" t="n">
        <v>227.924</v>
      </c>
      <c r="I90" s="34" t="n">
        <v>293.07</v>
      </c>
      <c r="J90" s="34" t="n">
        <v>76.66</v>
      </c>
      <c r="K90" s="34" t="n">
        <v>82.777</v>
      </c>
      <c r="L90" s="34" t="n">
        <v>75.22499999999999</v>
      </c>
      <c r="M90" s="34" t="n">
        <v>83.845</v>
      </c>
      <c r="N90" s="34" t="n">
        <v>318.507</v>
      </c>
      <c r="O90" s="34" t="n">
        <v>71.364</v>
      </c>
      <c r="P90" s="34" t="n">
        <v>91.19499999999999</v>
      </c>
      <c r="Q90" s="34" t="n">
        <v>84.45</v>
      </c>
      <c r="R90" s="34" t="n">
        <v>88.456</v>
      </c>
      <c r="S90" s="34" t="n">
        <v>335.465</v>
      </c>
      <c r="T90" s="34" t="n">
        <v>71.184</v>
      </c>
      <c r="U90" s="34" t="n">
        <v>77.494</v>
      </c>
      <c r="V90" s="34" t="n">
        <v>79.74299999999999</v>
      </c>
      <c r="W90" s="34" t="n">
        <v>78.325</v>
      </c>
      <c r="X90" s="34" t="n">
        <v>306.746</v>
      </c>
      <c r="Y90" s="34" t="n"/>
      <c r="Z90" s="34" t="n"/>
      <c r="AA90" s="34" t="n"/>
      <c r="AB90" s="34" t="n"/>
      <c r="AC90" s="34" t="n"/>
      <c r="AD90" s="34" t="n"/>
      <c r="AE90" s="34" t="n"/>
      <c r="AF90" s="34" t="n"/>
      <c r="AG90" s="34" t="n"/>
      <c r="AH90" s="34" t="n"/>
      <c r="AI90" s="34" t="n"/>
      <c r="AJ90" s="34" t="n"/>
      <c r="AK90" s="34" t="n"/>
      <c r="AL90" s="34" t="n"/>
      <c r="AM90" s="34" t="n"/>
      <c r="AN90" s="34" t="n"/>
      <c r="AO90" s="34" t="n"/>
      <c r="AP90" s="34" t="n"/>
      <c r="AQ90" s="34" t="n"/>
      <c r="AR90" s="34" t="n"/>
      <c r="AS90" s="34" t="n"/>
      <c r="AT90" s="34" t="n"/>
      <c r="AU90" s="34" t="n"/>
      <c r="AV90" s="34" t="n"/>
      <c r="AW90" s="34" t="n"/>
      <c r="AX90" s="34" t="n"/>
      <c r="AY90" s="34" t="n"/>
      <c r="AZ90" s="34" t="n"/>
      <c r="BA90" s="34" t="n"/>
      <c r="BB90" s="34" t="n"/>
      <c r="BC90" s="34" t="n"/>
      <c r="BD90" s="34" t="n"/>
      <c r="BE90" s="34" t="n"/>
      <c r="BF90" s="34" t="n"/>
      <c r="BG90" s="34" t="n"/>
      <c r="BH90" s="34" t="n"/>
      <c r="BI90" s="34" t="n"/>
      <c r="BJ90" s="34" t="n"/>
      <c r="BK90" s="34" t="n"/>
      <c r="BL90" s="34" t="n"/>
      <c r="BM90" s="34" t="n"/>
      <c r="BN90" s="34" t="n"/>
      <c r="BO90" s="34" t="n"/>
      <c r="BP90" s="34" t="n"/>
      <c r="BQ90" s="34" t="n"/>
      <c r="BR90" s="34" t="n"/>
      <c r="BS90" s="34" t="n"/>
      <c r="BT90" s="34" t="n"/>
      <c r="BU90" s="34" t="n"/>
      <c r="BV90" s="34" t="n"/>
      <c r="BW90" s="34" t="n"/>
      <c r="BX90" s="34" t="n"/>
      <c r="BY90" s="257" t="n"/>
      <c r="BZ90" s="257" t="n"/>
      <c r="CA90" s="257" t="n"/>
      <c r="CB90" s="257" t="n"/>
      <c r="CC90" s="257" t="n"/>
      <c r="CD90" s="257" t="n"/>
      <c r="CE90" s="257" t="n"/>
      <c r="CF90" s="19" t="n"/>
    </row>
    <row r="91" outlineLevel="2" s="251">
      <c r="B91" s="25" t="inlineStr">
        <is>
          <t xml:space="preserve">  Europe (to 2008) / Europe Welding (2009–Q4/15) — net sales</t>
        </is>
      </c>
      <c r="C91" s="34" t="n">
        <v>372.308</v>
      </c>
      <c r="D91" s="34" t="n">
        <v>510.514</v>
      </c>
      <c r="E91" s="34" t="n">
        <v>576.9450000000001</v>
      </c>
      <c r="F91" s="34" t="n">
        <v>346.383</v>
      </c>
      <c r="G91" s="34" t="n">
        <v>359.925</v>
      </c>
      <c r="H91" s="34" t="n">
        <v>508.692</v>
      </c>
      <c r="I91" s="34" t="n">
        <v>452.227</v>
      </c>
      <c r="J91" s="34" t="n">
        <v>110.491</v>
      </c>
      <c r="K91" s="34" t="n">
        <v>108.661</v>
      </c>
      <c r="L91" s="34" t="n">
        <v>98.52200000000001</v>
      </c>
      <c r="M91" s="34" t="n">
        <v>111.874</v>
      </c>
      <c r="N91" s="34" t="n">
        <v>429.548</v>
      </c>
      <c r="O91" s="34" t="n">
        <v>105.406</v>
      </c>
      <c r="P91" s="34" t="n">
        <v>115.574</v>
      </c>
      <c r="Q91" s="34" t="n">
        <v>107.507</v>
      </c>
      <c r="R91" s="34" t="n">
        <v>97.288</v>
      </c>
      <c r="S91" s="34" t="n">
        <v>425.775</v>
      </c>
      <c r="T91" s="34" t="n">
        <v>88.416</v>
      </c>
      <c r="U91" s="34" t="n">
        <v>90.90300000000001</v>
      </c>
      <c r="V91" s="34" t="n">
        <v>80.596</v>
      </c>
      <c r="W91" s="34" t="n">
        <v>76.90900000000001</v>
      </c>
      <c r="X91" s="34" t="n">
        <v>336.824</v>
      </c>
      <c r="Y91" s="34" t="n"/>
      <c r="Z91" s="34" t="n"/>
      <c r="AA91" s="34" t="n"/>
      <c r="AB91" s="34" t="n"/>
      <c r="AC91" s="34" t="n"/>
      <c r="AD91" s="34" t="n"/>
      <c r="AE91" s="34" t="n"/>
      <c r="AF91" s="34" t="n"/>
      <c r="AG91" s="34" t="n"/>
      <c r="AH91" s="34" t="n"/>
      <c r="AI91" s="34" t="n"/>
      <c r="AJ91" s="34" t="n"/>
      <c r="AK91" s="34" t="n"/>
      <c r="AL91" s="34" t="n"/>
      <c r="AM91" s="34" t="n"/>
      <c r="AN91" s="34" t="n"/>
      <c r="AO91" s="34" t="n"/>
      <c r="AP91" s="34" t="n"/>
      <c r="AQ91" s="34" t="n"/>
      <c r="AR91" s="34" t="n"/>
      <c r="AS91" s="34" t="n"/>
      <c r="AT91" s="34" t="n"/>
      <c r="AU91" s="34" t="n"/>
      <c r="AV91" s="34" t="n"/>
      <c r="AW91" s="34" t="n"/>
      <c r="AX91" s="34" t="n"/>
      <c r="AY91" s="34" t="n"/>
      <c r="AZ91" s="34" t="n"/>
      <c r="BA91" s="34" t="n"/>
      <c r="BB91" s="34" t="n"/>
      <c r="BC91" s="34" t="n"/>
      <c r="BD91" s="34" t="n"/>
      <c r="BE91" s="34" t="n"/>
      <c r="BF91" s="34" t="n"/>
      <c r="BG91" s="34" t="n"/>
      <c r="BH91" s="34" t="n"/>
      <c r="BI91" s="34" t="n"/>
      <c r="BJ91" s="34" t="n"/>
      <c r="BK91" s="34" t="n"/>
      <c r="BL91" s="34" t="n"/>
      <c r="BM91" s="34" t="n"/>
      <c r="BN91" s="34" t="n"/>
      <c r="BO91" s="34" t="n"/>
      <c r="BP91" s="34" t="n"/>
      <c r="BQ91" s="34" t="n"/>
      <c r="BR91" s="34" t="n"/>
      <c r="BS91" s="34" t="n"/>
      <c r="BT91" s="34" t="n"/>
      <c r="BU91" s="34" t="n"/>
      <c r="BV91" s="34" t="n"/>
      <c r="BW91" s="34" t="n"/>
      <c r="BX91" s="34" t="n"/>
      <c r="BY91" s="257" t="n"/>
      <c r="BZ91" s="257" t="n"/>
      <c r="CA91" s="257" t="n"/>
      <c r="CB91" s="257" t="n"/>
      <c r="CC91" s="257" t="n"/>
      <c r="CD91" s="257" t="n"/>
      <c r="CE91" s="257" t="n"/>
      <c r="CF91" s="19" t="n"/>
    </row>
    <row r="92" outlineLevel="2" s="251">
      <c r="B92" s="25" t="inlineStr">
        <is>
          <t xml:space="preserve">  Europe (to 2008) / Europe Welding (2009–Q4/15) — EBIT as adjusted</t>
        </is>
      </c>
      <c r="C92" s="34" t="n">
        <v>41.131</v>
      </c>
      <c r="D92" s="34" t="n">
        <v>62.982</v>
      </c>
      <c r="E92" s="34" t="n">
        <v>57.877</v>
      </c>
      <c r="F92" s="34" t="n">
        <v>-2.196</v>
      </c>
      <c r="G92" s="34" t="n">
        <v>17.023</v>
      </c>
      <c r="H92" s="34" t="n">
        <v>36.171</v>
      </c>
      <c r="I92" s="34" t="n">
        <v>37.299</v>
      </c>
      <c r="J92" s="34" t="n">
        <v>10.701</v>
      </c>
      <c r="K92" s="34" t="n">
        <v>9.532</v>
      </c>
      <c r="L92" s="34" t="n">
        <v>7.881</v>
      </c>
      <c r="M92" s="34" t="n">
        <v>8.132999999999999</v>
      </c>
      <c r="N92" s="34" t="n">
        <v>36.247</v>
      </c>
      <c r="O92" s="34" t="n">
        <v>9.292</v>
      </c>
      <c r="P92" s="34" t="n">
        <v>14.899</v>
      </c>
      <c r="Q92" s="34" t="n">
        <v>15.221</v>
      </c>
      <c r="R92" s="34" t="n">
        <v>9.41</v>
      </c>
      <c r="S92" s="34" t="n">
        <v>48.822</v>
      </c>
      <c r="T92" s="34" t="n">
        <v>8.747999999999999</v>
      </c>
      <c r="U92" s="34" t="n">
        <v>9.481</v>
      </c>
      <c r="V92" s="34" t="n">
        <v>8.337</v>
      </c>
      <c r="W92" s="34" t="n">
        <v>4.751</v>
      </c>
      <c r="X92" s="34" t="n">
        <v>31.317</v>
      </c>
      <c r="Y92" s="34" t="n"/>
      <c r="Z92" s="34" t="n"/>
      <c r="AA92" s="34" t="n"/>
      <c r="AB92" s="34" t="n"/>
      <c r="AC92" s="34" t="n"/>
      <c r="AD92" s="34" t="n"/>
      <c r="AE92" s="34" t="n"/>
      <c r="AF92" s="34" t="n"/>
      <c r="AG92" s="34" t="n"/>
      <c r="AH92" s="34" t="n"/>
      <c r="AI92" s="34" t="n"/>
      <c r="AJ92" s="34" t="n"/>
      <c r="AK92" s="34" t="n"/>
      <c r="AL92" s="34" t="n"/>
      <c r="AM92" s="34" t="n"/>
      <c r="AN92" s="34" t="n"/>
      <c r="AO92" s="34" t="n"/>
      <c r="AP92" s="34" t="n"/>
      <c r="AQ92" s="34" t="n"/>
      <c r="AR92" s="34" t="n"/>
      <c r="AS92" s="34" t="n"/>
      <c r="AT92" s="34" t="n"/>
      <c r="AU92" s="34" t="n"/>
      <c r="AV92" s="34" t="n"/>
      <c r="AW92" s="34" t="n"/>
      <c r="AX92" s="34" t="n"/>
      <c r="AY92" s="34" t="n"/>
      <c r="AZ92" s="34" t="n"/>
      <c r="BA92" s="34" t="n"/>
      <c r="BB92" s="34" t="n"/>
      <c r="BC92" s="34" t="n"/>
      <c r="BD92" s="34" t="n"/>
      <c r="BE92" s="34" t="n"/>
      <c r="BF92" s="34" t="n"/>
      <c r="BG92" s="34" t="n"/>
      <c r="BH92" s="34" t="n"/>
      <c r="BI92" s="34" t="n"/>
      <c r="BJ92" s="34" t="n"/>
      <c r="BK92" s="34" t="n"/>
      <c r="BL92" s="34" t="n"/>
      <c r="BM92" s="34" t="n"/>
      <c r="BN92" s="34" t="n"/>
      <c r="BO92" s="34" t="n"/>
      <c r="BP92" s="34" t="n"/>
      <c r="BQ92" s="34" t="n"/>
      <c r="BR92" s="34" t="n"/>
      <c r="BS92" s="34" t="n"/>
      <c r="BT92" s="34" t="n"/>
      <c r="BU92" s="34" t="n"/>
      <c r="BV92" s="34" t="n"/>
      <c r="BW92" s="34" t="n"/>
      <c r="BX92" s="34" t="n"/>
      <c r="BY92" s="257" t="n"/>
      <c r="BZ92" s="257" t="n"/>
      <c r="CA92" s="257" t="n"/>
      <c r="CB92" s="257" t="n"/>
      <c r="CC92" s="257" t="n"/>
      <c r="CD92" s="257" t="n"/>
      <c r="CE92" s="257" t="n"/>
      <c r="CF92" s="19" t="n"/>
    </row>
    <row r="93" outlineLevel="2" s="251">
      <c r="B93" s="25" t="inlineStr">
        <is>
          <t xml:space="preserve">  Other Countries (to 2008) — net sales</t>
        </is>
      </c>
      <c r="C93" s="34" t="n">
        <v>294.135</v>
      </c>
      <c r="D93" s="34" t="n">
        <v>368.877</v>
      </c>
      <c r="E93" s="34" t="n">
        <v>450.853</v>
      </c>
      <c r="F93" s="34" t="n"/>
      <c r="G93" s="34" t="n"/>
      <c r="H93" s="34" t="n"/>
      <c r="I93" s="34" t="n"/>
      <c r="J93" s="34" t="n"/>
      <c r="K93" s="34" t="n"/>
      <c r="L93" s="34" t="n"/>
      <c r="M93" s="34" t="n"/>
      <c r="N93" s="34" t="n"/>
      <c r="O93" s="34" t="n"/>
      <c r="P93" s="34" t="n"/>
      <c r="Q93" s="34" t="n"/>
      <c r="R93" s="34" t="n"/>
      <c r="S93" s="34" t="n"/>
      <c r="T93" s="34" t="n"/>
      <c r="U93" s="34" t="n"/>
      <c r="V93" s="34" t="n"/>
      <c r="W93" s="34" t="n"/>
      <c r="X93" s="34" t="n"/>
      <c r="Y93" s="34" t="n"/>
      <c r="Z93" s="34" t="n"/>
      <c r="AA93" s="34" t="n"/>
      <c r="AB93" s="34" t="n"/>
      <c r="AC93" s="34" t="n"/>
      <c r="AD93" s="34" t="n"/>
      <c r="AE93" s="34" t="n"/>
      <c r="AF93" s="34" t="n"/>
      <c r="AG93" s="34" t="n"/>
      <c r="AH93" s="34" t="n"/>
      <c r="AI93" s="34" t="n"/>
      <c r="AJ93" s="34" t="n"/>
      <c r="AK93" s="34" t="n"/>
      <c r="AL93" s="34" t="n"/>
      <c r="AM93" s="34" t="n"/>
      <c r="AN93" s="34" t="n"/>
      <c r="AO93" s="34" t="n"/>
      <c r="AP93" s="34" t="n"/>
      <c r="AQ93" s="34" t="n"/>
      <c r="AR93" s="34" t="n"/>
      <c r="AS93" s="34" t="n"/>
      <c r="AT93" s="34" t="n"/>
      <c r="AU93" s="34" t="n"/>
      <c r="AV93" s="34" t="n"/>
      <c r="AW93" s="34" t="n"/>
      <c r="AX93" s="34" t="n"/>
      <c r="AY93" s="34" t="n"/>
      <c r="AZ93" s="34" t="n"/>
      <c r="BA93" s="34" t="n"/>
      <c r="BB93" s="34" t="n"/>
      <c r="BC93" s="34" t="n"/>
      <c r="BD93" s="34" t="n"/>
      <c r="BE93" s="34" t="n"/>
      <c r="BF93" s="34" t="n"/>
      <c r="BG93" s="34" t="n"/>
      <c r="BH93" s="34" t="n"/>
      <c r="BI93" s="34" t="n"/>
      <c r="BJ93" s="34" t="n"/>
      <c r="BK93" s="34" t="n"/>
      <c r="BL93" s="34" t="n"/>
      <c r="BM93" s="34" t="n"/>
      <c r="BN93" s="34" t="n"/>
      <c r="BO93" s="34" t="n"/>
      <c r="BP93" s="34" t="n"/>
      <c r="BQ93" s="34" t="n"/>
      <c r="BR93" s="34" t="n"/>
      <c r="BS93" s="34" t="n"/>
      <c r="BT93" s="34" t="n"/>
      <c r="BU93" s="34" t="n"/>
      <c r="BV93" s="34" t="n"/>
      <c r="BW93" s="34" t="n"/>
      <c r="BX93" s="34" t="n"/>
      <c r="BY93" s="257" t="n"/>
      <c r="BZ93" s="257" t="n"/>
      <c r="CA93" s="257" t="n"/>
      <c r="CB93" s="257" t="n"/>
      <c r="CC93" s="257" t="n"/>
      <c r="CD93" s="257" t="n"/>
      <c r="CE93" s="257" t="n"/>
      <c r="CF93" s="19" t="n"/>
    </row>
    <row r="94" outlineLevel="2" s="251">
      <c r="B94" s="25" t="inlineStr">
        <is>
          <t xml:space="preserve">  Other Countries (to 2008) — EBIT as adjusted</t>
        </is>
      </c>
      <c r="C94" s="34" t="n">
        <v>25.851</v>
      </c>
      <c r="D94" s="34" t="n">
        <v>18.578</v>
      </c>
      <c r="E94" s="34" t="n">
        <v>38.173</v>
      </c>
      <c r="F94" s="34" t="n"/>
      <c r="G94" s="34" t="n"/>
      <c r="H94" s="34" t="n"/>
      <c r="I94" s="34" t="n"/>
      <c r="J94" s="34" t="n"/>
      <c r="K94" s="34" t="n"/>
      <c r="L94" s="34" t="n"/>
      <c r="M94" s="34" t="n"/>
      <c r="N94" s="34" t="n"/>
      <c r="O94" s="34" t="n"/>
      <c r="P94" s="34" t="n"/>
      <c r="Q94" s="34" t="n"/>
      <c r="R94" s="34" t="n"/>
      <c r="S94" s="34" t="n"/>
      <c r="T94" s="34" t="n"/>
      <c r="U94" s="34" t="n"/>
      <c r="V94" s="34" t="n"/>
      <c r="W94" s="34" t="n"/>
      <c r="X94" s="34" t="n"/>
      <c r="Y94" s="34" t="n"/>
      <c r="Z94" s="34" t="n"/>
      <c r="AA94" s="34" t="n"/>
      <c r="AB94" s="34" t="n"/>
      <c r="AC94" s="34" t="n"/>
      <c r="AD94" s="34" t="n"/>
      <c r="AE94" s="34" t="n"/>
      <c r="AF94" s="34" t="n"/>
      <c r="AG94" s="34" t="n"/>
      <c r="AH94" s="34" t="n"/>
      <c r="AI94" s="34" t="n"/>
      <c r="AJ94" s="34" t="n"/>
      <c r="AK94" s="34" t="n"/>
      <c r="AL94" s="34" t="n"/>
      <c r="AM94" s="34" t="n"/>
      <c r="AN94" s="34" t="n"/>
      <c r="AO94" s="34" t="n"/>
      <c r="AP94" s="34" t="n"/>
      <c r="AQ94" s="34" t="n"/>
      <c r="AR94" s="34" t="n"/>
      <c r="AS94" s="34" t="n"/>
      <c r="AT94" s="34" t="n"/>
      <c r="AU94" s="34" t="n"/>
      <c r="AV94" s="34" t="n"/>
      <c r="AW94" s="34" t="n"/>
      <c r="AX94" s="34" t="n"/>
      <c r="AY94" s="34" t="n"/>
      <c r="AZ94" s="34" t="n"/>
      <c r="BA94" s="34" t="n"/>
      <c r="BB94" s="34" t="n"/>
      <c r="BC94" s="34" t="n"/>
      <c r="BD94" s="34" t="n"/>
      <c r="BE94" s="34" t="n"/>
      <c r="BF94" s="34" t="n"/>
      <c r="BG94" s="34" t="n"/>
      <c r="BH94" s="34" t="n"/>
      <c r="BI94" s="34" t="n"/>
      <c r="BJ94" s="34" t="n"/>
      <c r="BK94" s="34" t="n"/>
      <c r="BL94" s="34" t="n"/>
      <c r="BM94" s="34" t="n"/>
      <c r="BN94" s="34" t="n"/>
      <c r="BO94" s="34" t="n"/>
      <c r="BP94" s="34" t="n"/>
      <c r="BQ94" s="34" t="n"/>
      <c r="BR94" s="34" t="n"/>
      <c r="BS94" s="34" t="n"/>
      <c r="BT94" s="34" t="n"/>
      <c r="BU94" s="34" t="n"/>
      <c r="BV94" s="34" t="n"/>
      <c r="BW94" s="34" t="n"/>
      <c r="BX94" s="34" t="n"/>
      <c r="BY94" s="257" t="n"/>
      <c r="BZ94" s="257" t="n"/>
      <c r="CA94" s="257" t="n"/>
      <c r="CB94" s="257" t="n"/>
      <c r="CC94" s="257" t="n"/>
      <c r="CD94" s="257" t="n"/>
      <c r="CE94" s="257" t="n"/>
      <c r="CF94" s="19" t="n"/>
    </row>
    <row r="95" outlineLevel="2" s="251">
      <c r="B95" s="25" t="inlineStr">
        <is>
          <t xml:space="preserve">  Asia Pacific Welding (2009–Q4/15) — net sales</t>
        </is>
      </c>
      <c r="C95" s="34" t="n"/>
      <c r="D95" s="34" t="n"/>
      <c r="E95" s="34" t="n"/>
      <c r="F95" s="34" t="n">
        <v>208.28</v>
      </c>
      <c r="G95" s="34" t="n">
        <v>324.092</v>
      </c>
      <c r="H95" s="34" t="n">
        <v>376.276</v>
      </c>
      <c r="I95" s="34" t="n">
        <v>324.482</v>
      </c>
      <c r="J95" s="34" t="n">
        <v>70.039</v>
      </c>
      <c r="K95" s="34" t="n">
        <v>69.239</v>
      </c>
      <c r="L95" s="34" t="n">
        <v>63.834</v>
      </c>
      <c r="M95" s="34" t="n">
        <v>63.17</v>
      </c>
      <c r="N95" s="34" t="n">
        <v>266.282</v>
      </c>
      <c r="O95" s="34" t="n">
        <v>61.286</v>
      </c>
      <c r="P95" s="34" t="n">
        <v>66.997</v>
      </c>
      <c r="Q95" s="34" t="n">
        <v>57.404</v>
      </c>
      <c r="R95" s="34" t="n">
        <v>58.113</v>
      </c>
      <c r="S95" s="34" t="n">
        <v>243.8</v>
      </c>
      <c r="T95" s="34" t="n">
        <v>49.25</v>
      </c>
      <c r="U95" s="34" t="n">
        <v>49.043</v>
      </c>
      <c r="V95" s="34" t="n">
        <v>45.505</v>
      </c>
      <c r="W95" s="34" t="n">
        <v>42.817</v>
      </c>
      <c r="X95" s="34" t="n">
        <v>186.615</v>
      </c>
      <c r="Y95" s="34" t="n"/>
      <c r="Z95" s="34" t="n"/>
      <c r="AA95" s="34" t="n"/>
      <c r="AB95" s="34" t="n"/>
      <c r="AC95" s="34" t="n"/>
      <c r="AD95" s="34" t="n"/>
      <c r="AE95" s="34" t="n"/>
      <c r="AF95" s="34" t="n"/>
      <c r="AG95" s="34" t="n"/>
      <c r="AH95" s="34" t="n"/>
      <c r="AI95" s="34" t="n"/>
      <c r="AJ95" s="34" t="n"/>
      <c r="AK95" s="34" t="n"/>
      <c r="AL95" s="34" t="n"/>
      <c r="AM95" s="34" t="n"/>
      <c r="AN95" s="34" t="n"/>
      <c r="AO95" s="34" t="n"/>
      <c r="AP95" s="34" t="n"/>
      <c r="AQ95" s="34" t="n"/>
      <c r="AR95" s="34" t="n"/>
      <c r="AS95" s="34" t="n"/>
      <c r="AT95" s="34" t="n"/>
      <c r="AU95" s="34" t="n"/>
      <c r="AV95" s="34" t="n"/>
      <c r="AW95" s="34" t="n"/>
      <c r="AX95" s="34" t="n"/>
      <c r="AY95" s="34" t="n"/>
      <c r="AZ95" s="34" t="n"/>
      <c r="BA95" s="34" t="n"/>
      <c r="BB95" s="34" t="n"/>
      <c r="BC95" s="34" t="n"/>
      <c r="BD95" s="34" t="n"/>
      <c r="BE95" s="34" t="n"/>
      <c r="BF95" s="34" t="n"/>
      <c r="BG95" s="34" t="n"/>
      <c r="BH95" s="34" t="n"/>
      <c r="BI95" s="34" t="n"/>
      <c r="BJ95" s="34" t="n"/>
      <c r="BK95" s="34" t="n"/>
      <c r="BL95" s="34" t="n"/>
      <c r="BM95" s="34" t="n"/>
      <c r="BN95" s="34" t="n"/>
      <c r="BO95" s="34" t="n"/>
      <c r="BP95" s="34" t="n"/>
      <c r="BQ95" s="34" t="n"/>
      <c r="BR95" s="34" t="n"/>
      <c r="BS95" s="34" t="n"/>
      <c r="BT95" s="34" t="n"/>
      <c r="BU95" s="34" t="n"/>
      <c r="BV95" s="34" t="n"/>
      <c r="BW95" s="34" t="n"/>
      <c r="BX95" s="34" t="n"/>
      <c r="BY95" s="257" t="n"/>
      <c r="BZ95" s="257" t="n"/>
      <c r="CA95" s="257" t="n"/>
      <c r="CB95" s="257" t="n"/>
      <c r="CC95" s="257" t="n"/>
      <c r="CD95" s="257" t="n"/>
      <c r="CE95" s="257" t="n"/>
      <c r="CF95" s="19" t="n"/>
    </row>
    <row r="96" outlineLevel="2" s="251">
      <c r="B96" s="25" t="inlineStr">
        <is>
          <t xml:space="preserve">  Asia Pacific Welding (2009–Q4/15) — EBIT as adjusted</t>
        </is>
      </c>
      <c r="C96" s="34" t="n"/>
      <c r="D96" s="34" t="n"/>
      <c r="E96" s="34" t="n"/>
      <c r="F96" s="34" t="n">
        <v>-18.37</v>
      </c>
      <c r="G96" s="34" t="n">
        <v>1.752</v>
      </c>
      <c r="H96" s="34" t="n">
        <v>2.629</v>
      </c>
      <c r="I96" s="34" t="n">
        <v>7.247</v>
      </c>
      <c r="J96" s="34" t="n">
        <v>2.293</v>
      </c>
      <c r="K96" s="34" t="n">
        <v>0.653</v>
      </c>
      <c r="L96" s="34" t="n">
        <v>-0.979</v>
      </c>
      <c r="M96" s="34" t="n">
        <v>-0.152</v>
      </c>
      <c r="N96" s="34" t="n">
        <v>1.815</v>
      </c>
      <c r="O96" s="34" t="n">
        <v>-0.64</v>
      </c>
      <c r="P96" s="34" t="n">
        <v>0.365</v>
      </c>
      <c r="Q96" s="34" t="n">
        <v>-0.304</v>
      </c>
      <c r="R96" s="34" t="n">
        <v>1.9</v>
      </c>
      <c r="S96" s="34" t="n">
        <v>1.321</v>
      </c>
      <c r="T96" s="34" t="n">
        <v>3.128</v>
      </c>
      <c r="U96" s="34" t="n">
        <v>2.244</v>
      </c>
      <c r="V96" s="34" t="n">
        <v>2.006</v>
      </c>
      <c r="W96" s="34" t="n">
        <v>0.014</v>
      </c>
      <c r="X96" s="34" t="n">
        <v>7.392</v>
      </c>
      <c r="Y96" s="34" t="n"/>
      <c r="Z96" s="34" t="n"/>
      <c r="AA96" s="34" t="n"/>
      <c r="AB96" s="34" t="n"/>
      <c r="AC96" s="34" t="n"/>
      <c r="AD96" s="34" t="n"/>
      <c r="AE96" s="34" t="n"/>
      <c r="AF96" s="34" t="n"/>
      <c r="AG96" s="34" t="n"/>
      <c r="AH96" s="34" t="n"/>
      <c r="AI96" s="34" t="n"/>
      <c r="AJ96" s="34" t="n"/>
      <c r="AK96" s="34" t="n"/>
      <c r="AL96" s="34" t="n"/>
      <c r="AM96" s="34" t="n"/>
      <c r="AN96" s="34" t="n"/>
      <c r="AO96" s="34" t="n"/>
      <c r="AP96" s="34" t="n"/>
      <c r="AQ96" s="34" t="n"/>
      <c r="AR96" s="34" t="n"/>
      <c r="AS96" s="34" t="n"/>
      <c r="AT96" s="34" t="n"/>
      <c r="AU96" s="34" t="n"/>
      <c r="AV96" s="34" t="n"/>
      <c r="AW96" s="34" t="n"/>
      <c r="AX96" s="34" t="n"/>
      <c r="AY96" s="34" t="n"/>
      <c r="AZ96" s="34" t="n"/>
      <c r="BA96" s="34" t="n"/>
      <c r="BB96" s="34" t="n"/>
      <c r="BC96" s="34" t="n"/>
      <c r="BD96" s="34" t="n"/>
      <c r="BE96" s="34" t="n"/>
      <c r="BF96" s="34" t="n"/>
      <c r="BG96" s="34" t="n"/>
      <c r="BH96" s="34" t="n"/>
      <c r="BI96" s="34" t="n"/>
      <c r="BJ96" s="34" t="n"/>
      <c r="BK96" s="34" t="n"/>
      <c r="BL96" s="34" t="n"/>
      <c r="BM96" s="34" t="n"/>
      <c r="BN96" s="34" t="n"/>
      <c r="BO96" s="34" t="n"/>
      <c r="BP96" s="34" t="n"/>
      <c r="BQ96" s="34" t="n"/>
      <c r="BR96" s="34" t="n"/>
      <c r="BS96" s="34" t="n"/>
      <c r="BT96" s="34" t="n"/>
      <c r="BU96" s="34" t="n"/>
      <c r="BV96" s="34" t="n"/>
      <c r="BW96" s="34" t="n"/>
      <c r="BX96" s="34" t="n"/>
      <c r="BY96" s="257" t="n"/>
      <c r="BZ96" s="257" t="n"/>
      <c r="CA96" s="257" t="n"/>
      <c r="CB96" s="257" t="n"/>
      <c r="CC96" s="257" t="n"/>
      <c r="CD96" s="257" t="n"/>
      <c r="CE96" s="257" t="n"/>
      <c r="CF96" s="19" t="n"/>
    </row>
    <row r="97" outlineLevel="2" s="251">
      <c r="B97" s="25" t="inlineStr">
        <is>
          <t xml:space="preserve">  South America Welding (2009–Q4/15) — net sales</t>
        </is>
      </c>
      <c r="C97" s="34" t="n"/>
      <c r="D97" s="34" t="n"/>
      <c r="E97" s="34" t="n"/>
      <c r="F97" s="34" t="n">
        <v>99.17100000000001</v>
      </c>
      <c r="G97" s="34" t="n">
        <v>117.419</v>
      </c>
      <c r="H97" s="34" t="n">
        <v>156.684</v>
      </c>
      <c r="I97" s="34" t="n">
        <v>161.483</v>
      </c>
      <c r="J97" s="34" t="n">
        <v>36.374</v>
      </c>
      <c r="K97" s="34" t="n">
        <v>44.503</v>
      </c>
      <c r="L97" s="34" t="n">
        <v>51.715</v>
      </c>
      <c r="M97" s="34" t="n">
        <v>63.303</v>
      </c>
      <c r="N97" s="34" t="n">
        <v>195.895</v>
      </c>
      <c r="O97" s="34" t="n">
        <v>43.993</v>
      </c>
      <c r="P97" s="34" t="n">
        <v>39.051</v>
      </c>
      <c r="Q97" s="34" t="n">
        <v>32.862</v>
      </c>
      <c r="R97" s="34" t="n">
        <v>32.689</v>
      </c>
      <c r="S97" s="34" t="n">
        <v>148.595</v>
      </c>
      <c r="T97" s="34" t="n">
        <v>37.43</v>
      </c>
      <c r="U97" s="34" t="n">
        <v>37.907</v>
      </c>
      <c r="V97" s="34" t="n">
        <v>47.727</v>
      </c>
      <c r="W97" s="34" t="n">
        <v>14.95</v>
      </c>
      <c r="X97" s="34" t="n">
        <v>138.014</v>
      </c>
      <c r="Y97" s="34" t="n"/>
      <c r="Z97" s="34" t="n"/>
      <c r="AA97" s="34" t="n"/>
      <c r="AB97" s="34" t="n"/>
      <c r="AC97" s="34" t="n"/>
      <c r="AD97" s="34" t="n"/>
      <c r="AE97" s="34" t="n"/>
      <c r="AF97" s="34" t="n"/>
      <c r="AG97" s="34" t="n"/>
      <c r="AH97" s="34" t="n"/>
      <c r="AI97" s="34" t="n"/>
      <c r="AJ97" s="34" t="n"/>
      <c r="AK97" s="34" t="n"/>
      <c r="AL97" s="34" t="n"/>
      <c r="AM97" s="34" t="n"/>
      <c r="AN97" s="34" t="n"/>
      <c r="AO97" s="34" t="n"/>
      <c r="AP97" s="34" t="n"/>
      <c r="AQ97" s="34" t="n"/>
      <c r="AR97" s="34" t="n"/>
      <c r="AS97" s="34" t="n"/>
      <c r="AT97" s="34" t="n"/>
      <c r="AU97" s="34" t="n"/>
      <c r="AV97" s="34" t="n"/>
      <c r="AW97" s="34" t="n"/>
      <c r="AX97" s="34" t="n"/>
      <c r="AY97" s="34" t="n"/>
      <c r="AZ97" s="34" t="n"/>
      <c r="BA97" s="34" t="n"/>
      <c r="BB97" s="34" t="n"/>
      <c r="BC97" s="34" t="n"/>
      <c r="BD97" s="34" t="n"/>
      <c r="BE97" s="34" t="n"/>
      <c r="BF97" s="34" t="n"/>
      <c r="BG97" s="34" t="n"/>
      <c r="BH97" s="34" t="n"/>
      <c r="BI97" s="34" t="n"/>
      <c r="BJ97" s="34" t="n"/>
      <c r="BK97" s="34" t="n"/>
      <c r="BL97" s="34" t="n"/>
      <c r="BM97" s="34" t="n"/>
      <c r="BN97" s="34" t="n"/>
      <c r="BO97" s="34" t="n"/>
      <c r="BP97" s="34" t="n"/>
      <c r="BQ97" s="34" t="n"/>
      <c r="BR97" s="34" t="n"/>
      <c r="BS97" s="34" t="n"/>
      <c r="BT97" s="34" t="n"/>
      <c r="BU97" s="34" t="n"/>
      <c r="BV97" s="34" t="n"/>
      <c r="BW97" s="34" t="n"/>
      <c r="BX97" s="34" t="n"/>
      <c r="BY97" s="257" t="n"/>
      <c r="BZ97" s="257" t="n"/>
      <c r="CA97" s="257" t="n"/>
      <c r="CB97" s="257" t="n"/>
      <c r="CC97" s="257" t="n"/>
      <c r="CD97" s="257" t="n"/>
      <c r="CE97" s="257" t="n"/>
      <c r="CF97" s="19" t="n"/>
    </row>
    <row r="98" outlineLevel="2" s="251">
      <c r="B98" s="25" t="inlineStr">
        <is>
          <t xml:space="preserve">  South America Welding (2009–Q4/15) — EBIT as adjusted</t>
        </is>
      </c>
      <c r="C98" s="34" t="n"/>
      <c r="D98" s="34" t="n"/>
      <c r="E98" s="34" t="n"/>
      <c r="F98" s="34" t="n">
        <v>10.648</v>
      </c>
      <c r="G98" s="34" t="n">
        <v>7.554</v>
      </c>
      <c r="H98" s="34" t="n">
        <v>12.895</v>
      </c>
      <c r="I98" s="34" t="n">
        <v>18.301</v>
      </c>
      <c r="J98" s="34" t="n">
        <v>5.112</v>
      </c>
      <c r="K98" s="34" t="n">
        <v>11.065</v>
      </c>
      <c r="L98" s="34" t="n">
        <v>15.942</v>
      </c>
      <c r="M98" s="34" t="n">
        <v>25.187</v>
      </c>
      <c r="N98" s="34" t="n">
        <v>57.306</v>
      </c>
      <c r="O98" s="34" t="n">
        <v>11.765</v>
      </c>
      <c r="P98" s="34" t="n">
        <v>4.995</v>
      </c>
      <c r="Q98" s="34" t="n">
        <v>-0.59</v>
      </c>
      <c r="R98" s="34" t="n">
        <v>-0.217</v>
      </c>
      <c r="S98" s="34" t="n">
        <v>15.953</v>
      </c>
      <c r="T98" s="34" t="n">
        <v>3.15</v>
      </c>
      <c r="U98" s="34" t="n">
        <v>1.378</v>
      </c>
      <c r="V98" s="34" t="n">
        <v>1.845</v>
      </c>
      <c r="W98" s="34" t="n">
        <v>-0.804</v>
      </c>
      <c r="X98" s="34" t="n">
        <v>5.569</v>
      </c>
      <c r="Y98" s="34" t="n"/>
      <c r="Z98" s="34" t="n"/>
      <c r="AA98" s="34" t="n"/>
      <c r="AB98" s="34" t="n"/>
      <c r="AC98" s="34" t="n"/>
      <c r="AD98" s="34" t="n"/>
      <c r="AE98" s="34" t="n"/>
      <c r="AF98" s="34" t="n"/>
      <c r="AG98" s="34" t="n"/>
      <c r="AH98" s="34" t="n"/>
      <c r="AI98" s="34" t="n"/>
      <c r="AJ98" s="34" t="n"/>
      <c r="AK98" s="34" t="n"/>
      <c r="AL98" s="34" t="n"/>
      <c r="AM98" s="34" t="n"/>
      <c r="AN98" s="34" t="n"/>
      <c r="AO98" s="34" t="n"/>
      <c r="AP98" s="34" t="n"/>
      <c r="AQ98" s="34" t="n"/>
      <c r="AR98" s="34" t="n"/>
      <c r="AS98" s="34" t="n"/>
      <c r="AT98" s="34" t="n"/>
      <c r="AU98" s="34" t="n"/>
      <c r="AV98" s="34" t="n"/>
      <c r="AW98" s="34" t="n"/>
      <c r="AX98" s="34" t="n"/>
      <c r="AY98" s="34" t="n"/>
      <c r="AZ98" s="34" t="n"/>
      <c r="BA98" s="34" t="n"/>
      <c r="BB98" s="34" t="n"/>
      <c r="BC98" s="34" t="n"/>
      <c r="BD98" s="34" t="n"/>
      <c r="BE98" s="34" t="n"/>
      <c r="BF98" s="34" t="n"/>
      <c r="BG98" s="34" t="n"/>
      <c r="BH98" s="34" t="n"/>
      <c r="BI98" s="34" t="n"/>
      <c r="BJ98" s="34" t="n"/>
      <c r="BK98" s="34" t="n"/>
      <c r="BL98" s="34" t="n"/>
      <c r="BM98" s="34" t="n"/>
      <c r="BN98" s="34" t="n"/>
      <c r="BO98" s="34" t="n"/>
      <c r="BP98" s="34" t="n"/>
      <c r="BQ98" s="34" t="n"/>
      <c r="BR98" s="34" t="n"/>
      <c r="BS98" s="34" t="n"/>
      <c r="BT98" s="34" t="n"/>
      <c r="BU98" s="34" t="n"/>
      <c r="BV98" s="34" t="n"/>
      <c r="BW98" s="34" t="n"/>
      <c r="BX98" s="34" t="n"/>
      <c r="BY98" s="257" t="n"/>
      <c r="BZ98" s="257" t="n"/>
      <c r="CA98" s="257" t="n"/>
      <c r="CB98" s="257" t="n"/>
      <c r="CC98" s="257" t="n"/>
      <c r="CD98" s="257" t="n"/>
      <c r="CE98" s="257" t="n"/>
      <c r="CF98" s="19" t="n"/>
    </row>
    <row r="99" outlineLevel="2" s="251">
      <c r="B99" s="25" t="inlineStr">
        <is>
          <t xml:space="preserve">  The Harris Products Group (separate segment 2009–Q4/15) — net sales</t>
        </is>
      </c>
      <c r="C99" s="34" t="n"/>
      <c r="D99" s="34" t="n"/>
      <c r="E99" s="34" t="n"/>
      <c r="F99" s="34" t="n">
        <v>217.271</v>
      </c>
      <c r="G99" s="34" t="n">
        <v>255.543</v>
      </c>
      <c r="H99" s="34" t="n">
        <v>343.458</v>
      </c>
      <c r="I99" s="34" t="n">
        <v>334.357</v>
      </c>
      <c r="J99" s="34" t="n">
        <v>82.11499999999999</v>
      </c>
      <c r="K99" s="34" t="n">
        <v>85.95999999999999</v>
      </c>
      <c r="L99" s="34" t="n">
        <v>73.691</v>
      </c>
      <c r="M99" s="34" t="n">
        <v>66.411</v>
      </c>
      <c r="N99" s="34" t="n">
        <v>308.177</v>
      </c>
      <c r="O99" s="34" t="n">
        <v>72.471</v>
      </c>
      <c r="P99" s="34" t="n">
        <v>77.419</v>
      </c>
      <c r="Q99" s="34" t="n">
        <v>78.383</v>
      </c>
      <c r="R99" s="34" t="n">
        <v>65.95699999999999</v>
      </c>
      <c r="S99" s="34" t="n">
        <v>294.23</v>
      </c>
      <c r="T99" s="34" t="n">
        <v>69.816</v>
      </c>
      <c r="U99" s="34" t="n">
        <v>71.812</v>
      </c>
      <c r="V99" s="34" t="n">
        <v>62.922</v>
      </c>
      <c r="W99" s="34" t="n">
        <v>59.431</v>
      </c>
      <c r="X99" s="34" t="n">
        <v>263.981</v>
      </c>
      <c r="Y99" s="34" t="n"/>
      <c r="Z99" s="34" t="n"/>
      <c r="AA99" s="34" t="n"/>
      <c r="AB99" s="34" t="n"/>
      <c r="AC99" s="34" t="n"/>
      <c r="AD99" s="34" t="n"/>
      <c r="AE99" s="34" t="n"/>
      <c r="AF99" s="34" t="n"/>
      <c r="AG99" s="34" t="n"/>
      <c r="AH99" s="34" t="n"/>
      <c r="AI99" s="34" t="n"/>
      <c r="AJ99" s="34" t="n"/>
      <c r="AK99" s="34" t="n"/>
      <c r="AL99" s="34" t="n"/>
      <c r="AM99" s="34" t="n"/>
      <c r="AN99" s="34" t="n"/>
      <c r="AO99" s="34" t="n"/>
      <c r="AP99" s="34" t="n"/>
      <c r="AQ99" s="34" t="n"/>
      <c r="AR99" s="34" t="n"/>
      <c r="AS99" s="34" t="n"/>
      <c r="AT99" s="34" t="n"/>
      <c r="AU99" s="34" t="n"/>
      <c r="AV99" s="34" t="n"/>
      <c r="AW99" s="34" t="n"/>
      <c r="AX99" s="34" t="n"/>
      <c r="AY99" s="34" t="n"/>
      <c r="AZ99" s="34" t="n"/>
      <c r="BA99" s="34" t="n"/>
      <c r="BB99" s="34" t="n"/>
      <c r="BC99" s="34" t="n"/>
      <c r="BD99" s="34" t="n"/>
      <c r="BE99" s="34" t="n"/>
      <c r="BF99" s="34" t="n"/>
      <c r="BG99" s="34" t="n"/>
      <c r="BH99" s="34" t="n"/>
      <c r="BI99" s="34" t="n"/>
      <c r="BJ99" s="34" t="n"/>
      <c r="BK99" s="34" t="n"/>
      <c r="BL99" s="34" t="n"/>
      <c r="BM99" s="34" t="n"/>
      <c r="BN99" s="34" t="n"/>
      <c r="BO99" s="34" t="n"/>
      <c r="BP99" s="34" t="n"/>
      <c r="BQ99" s="34" t="n"/>
      <c r="BR99" s="34" t="n"/>
      <c r="BS99" s="34" t="n"/>
      <c r="BT99" s="34" t="n"/>
      <c r="BU99" s="34" t="n"/>
      <c r="BV99" s="34" t="n"/>
      <c r="BW99" s="34" t="n"/>
      <c r="BX99" s="34" t="n"/>
      <c r="BY99" s="257" t="n"/>
      <c r="BZ99" s="257" t="n"/>
      <c r="CA99" s="257" t="n"/>
      <c r="CB99" s="257" t="n"/>
      <c r="CC99" s="257" t="n"/>
      <c r="CD99" s="257" t="n"/>
      <c r="CE99" s="257" t="n"/>
      <c r="CF99" s="19" t="n"/>
    </row>
    <row r="100" outlineLevel="2" s="251">
      <c r="B100" s="25" t="inlineStr">
        <is>
          <t xml:space="preserve">  The Harris Products Group (separate segment 2009–Q4/15) — EBIT as adjusted</t>
        </is>
      </c>
      <c r="C100" s="34" t="n"/>
      <c r="D100" s="34" t="n"/>
      <c r="E100" s="34" t="n"/>
      <c r="F100" s="34" t="n">
        <v>0.888</v>
      </c>
      <c r="G100" s="34" t="n">
        <v>12.311</v>
      </c>
      <c r="H100" s="34" t="n">
        <v>25.151</v>
      </c>
      <c r="I100" s="34" t="n">
        <v>29.477</v>
      </c>
      <c r="J100" s="34" t="n">
        <v>7.151</v>
      </c>
      <c r="K100" s="34" t="n">
        <v>7.343</v>
      </c>
      <c r="L100" s="34" t="n">
        <v>6.917</v>
      </c>
      <c r="M100" s="34" t="n">
        <v>6.415</v>
      </c>
      <c r="N100" s="34" t="n">
        <v>27.826</v>
      </c>
      <c r="O100" s="34" t="n">
        <v>6.058</v>
      </c>
      <c r="P100" s="34" t="n">
        <v>7.178</v>
      </c>
      <c r="Q100" s="34" t="n">
        <v>8.946999999999999</v>
      </c>
      <c r="R100" s="34" t="n">
        <v>6.38</v>
      </c>
      <c r="S100" s="34" t="n">
        <v>28.563</v>
      </c>
      <c r="T100" s="34" t="n">
        <v>7.549</v>
      </c>
      <c r="U100" s="34" t="n">
        <v>8.25</v>
      </c>
      <c r="V100" s="34" t="n">
        <v>6.422</v>
      </c>
      <c r="W100" s="34" t="n">
        <v>5.661</v>
      </c>
      <c r="X100" s="34" t="n">
        <v>27.882</v>
      </c>
      <c r="Y100" s="34" t="n"/>
      <c r="Z100" s="34" t="n"/>
      <c r="AA100" s="34" t="n"/>
      <c r="AB100" s="34" t="n"/>
      <c r="AC100" s="34" t="n"/>
      <c r="AD100" s="34" t="n"/>
      <c r="AE100" s="34" t="n"/>
      <c r="AF100" s="34" t="n"/>
      <c r="AG100" s="34" t="n"/>
      <c r="AH100" s="34" t="n"/>
      <c r="AI100" s="34" t="n"/>
      <c r="AJ100" s="34" t="n"/>
      <c r="AK100" s="34" t="n"/>
      <c r="AL100" s="34" t="n"/>
      <c r="AM100" s="34" t="n"/>
      <c r="AN100" s="34" t="n"/>
      <c r="AO100" s="34" t="n"/>
      <c r="AP100" s="34" t="n"/>
      <c r="AQ100" s="34" t="n"/>
      <c r="AR100" s="34" t="n"/>
      <c r="AS100" s="34" t="n"/>
      <c r="AT100" s="34" t="n"/>
      <c r="AU100" s="34" t="n"/>
      <c r="AV100" s="34" t="n"/>
      <c r="AW100" s="34" t="n"/>
      <c r="AX100" s="34" t="n"/>
      <c r="AY100" s="34" t="n"/>
      <c r="AZ100" s="34" t="n"/>
      <c r="BA100" s="34" t="n"/>
      <c r="BB100" s="34" t="n"/>
      <c r="BC100" s="34" t="n"/>
      <c r="BD100" s="34" t="n"/>
      <c r="BE100" s="34" t="n"/>
      <c r="BF100" s="34" t="n"/>
      <c r="BG100" s="34" t="n"/>
      <c r="BH100" s="34" t="n"/>
      <c r="BI100" s="34" t="n"/>
      <c r="BJ100" s="34" t="n"/>
      <c r="BK100" s="34" t="n"/>
      <c r="BL100" s="34" t="n"/>
      <c r="BM100" s="34" t="n"/>
      <c r="BN100" s="34" t="n"/>
      <c r="BO100" s="34" t="n"/>
      <c r="BP100" s="34" t="n"/>
      <c r="BQ100" s="34" t="n"/>
      <c r="BR100" s="34" t="n"/>
      <c r="BS100" s="34" t="n"/>
      <c r="BT100" s="34" t="n"/>
      <c r="BU100" s="34" t="n"/>
      <c r="BV100" s="34" t="n"/>
      <c r="BW100" s="34" t="n"/>
      <c r="BX100" s="34" t="n"/>
      <c r="BY100" s="257" t="n"/>
      <c r="BZ100" s="257" t="n"/>
      <c r="CA100" s="257" t="n"/>
      <c r="CB100" s="257" t="n"/>
      <c r="CC100" s="257" t="n"/>
      <c r="CD100" s="257" t="n"/>
      <c r="CE100" s="257" t="n"/>
      <c r="CF100" s="19" t="n"/>
    </row>
    <row r="101" outlineLevel="2" s="251">
      <c r="B101" s="25" t="inlineStr">
        <is>
          <t xml:space="preserve">  Corporate / eliminations (legacy basis) — net sales</t>
        </is>
      </c>
      <c r="C101" s="34" t="n">
        <v>0</v>
      </c>
      <c r="D101" s="34" t="n">
        <v>0</v>
      </c>
      <c r="E101" s="34" t="n">
        <v>0</v>
      </c>
      <c r="F101" s="34" t="n">
        <v>0</v>
      </c>
      <c r="G101" s="34" t="n">
        <v>0</v>
      </c>
      <c r="H101" s="34" t="n">
        <v>0</v>
      </c>
      <c r="I101" s="34" t="n">
        <v>0</v>
      </c>
      <c r="J101" s="34" t="n">
        <v>0</v>
      </c>
      <c r="K101" s="34" t="n">
        <v>0</v>
      </c>
      <c r="L101" s="34" t="n">
        <v>0</v>
      </c>
      <c r="M101" s="34" t="n">
        <v>0</v>
      </c>
      <c r="N101" s="34" t="n">
        <v>0</v>
      </c>
      <c r="O101" s="34" t="n">
        <v>0</v>
      </c>
      <c r="P101" s="34" t="n">
        <v>0</v>
      </c>
      <c r="Q101" s="34" t="n">
        <v>0</v>
      </c>
      <c r="R101" s="34" t="n">
        <v>0</v>
      </c>
      <c r="S101" s="34" t="n">
        <v>0</v>
      </c>
      <c r="T101" s="34" t="n">
        <v>0</v>
      </c>
      <c r="U101" s="34" t="n">
        <v>0</v>
      </c>
      <c r="V101" s="34" t="n">
        <v>0</v>
      </c>
      <c r="W101" s="34" t="n">
        <v>0</v>
      </c>
      <c r="X101" s="34" t="n">
        <v>0</v>
      </c>
      <c r="Y101" s="34" t="n"/>
      <c r="Z101" s="34" t="n"/>
      <c r="AA101" s="34" t="n"/>
      <c r="AB101" s="34" t="n"/>
      <c r="AC101" s="34" t="n"/>
      <c r="AD101" s="34" t="n"/>
      <c r="AE101" s="34" t="n"/>
      <c r="AF101" s="34" t="n"/>
      <c r="AG101" s="34" t="n"/>
      <c r="AH101" s="34" t="n"/>
      <c r="AI101" s="34" t="n"/>
      <c r="AJ101" s="34" t="n"/>
      <c r="AK101" s="34" t="n"/>
      <c r="AL101" s="34" t="n"/>
      <c r="AM101" s="34" t="n"/>
      <c r="AN101" s="34" t="n"/>
      <c r="AO101" s="34" t="n"/>
      <c r="AP101" s="34" t="n"/>
      <c r="AQ101" s="34" t="n"/>
      <c r="AR101" s="34" t="n"/>
      <c r="AS101" s="34" t="n"/>
      <c r="AT101" s="34" t="n"/>
      <c r="AU101" s="34" t="n"/>
      <c r="AV101" s="34" t="n"/>
      <c r="AW101" s="34" t="n"/>
      <c r="AX101" s="34" t="n"/>
      <c r="AY101" s="34" t="n"/>
      <c r="AZ101" s="34" t="n"/>
      <c r="BA101" s="34" t="n"/>
      <c r="BB101" s="34" t="n"/>
      <c r="BC101" s="34" t="n"/>
      <c r="BD101" s="34" t="n"/>
      <c r="BE101" s="34" t="n"/>
      <c r="BF101" s="34" t="n"/>
      <c r="BG101" s="34" t="n"/>
      <c r="BH101" s="34" t="n"/>
      <c r="BI101" s="34" t="n"/>
      <c r="BJ101" s="34" t="n"/>
      <c r="BK101" s="34" t="n"/>
      <c r="BL101" s="34" t="n"/>
      <c r="BM101" s="34" t="n"/>
      <c r="BN101" s="34" t="n"/>
      <c r="BO101" s="34" t="n"/>
      <c r="BP101" s="34" t="n"/>
      <c r="BQ101" s="34" t="n"/>
      <c r="BR101" s="34" t="n"/>
      <c r="BS101" s="34" t="n"/>
      <c r="BT101" s="34" t="n"/>
      <c r="BU101" s="34" t="n"/>
      <c r="BV101" s="34" t="n"/>
      <c r="BW101" s="34" t="n"/>
      <c r="BX101" s="34" t="n"/>
      <c r="BY101" s="257" t="n"/>
      <c r="BZ101" s="257" t="n"/>
      <c r="CA101" s="257" t="n"/>
      <c r="CB101" s="257" t="n"/>
      <c r="CC101" s="257" t="n"/>
      <c r="CD101" s="257" t="n"/>
      <c r="CE101" s="257" t="n"/>
      <c r="CF101" s="19" t="n"/>
    </row>
    <row r="102" outlineLevel="2" s="251">
      <c r="B102" s="25" t="inlineStr">
        <is>
          <t xml:space="preserve">  Corporate / eliminations (legacy basis) — EBIT as adjusted</t>
        </is>
      </c>
      <c r="C102" s="34" t="n">
        <v>-2.674</v>
      </c>
      <c r="D102" s="34" t="n">
        <v>-2.547</v>
      </c>
      <c r="E102" s="34" t="n">
        <v>0.415</v>
      </c>
      <c r="F102" s="34" t="n">
        <v>-3.344</v>
      </c>
      <c r="G102" s="34" t="n">
        <v>-6.675</v>
      </c>
      <c r="H102" s="34" t="n">
        <v>0.426</v>
      </c>
      <c r="I102" s="34" t="n">
        <v>-4.886</v>
      </c>
      <c r="J102" s="34" t="n">
        <v>-0.603</v>
      </c>
      <c r="K102" s="34" t="n">
        <v>-1.538</v>
      </c>
      <c r="L102" s="34" t="n">
        <v>-0.822</v>
      </c>
      <c r="M102" s="34" t="n">
        <v>-1.387</v>
      </c>
      <c r="N102" s="34" t="n">
        <v>-4.35</v>
      </c>
      <c r="O102" s="34" t="n">
        <v>2.891</v>
      </c>
      <c r="P102" s="34" t="n">
        <v>0.6</v>
      </c>
      <c r="Q102" s="34" t="n">
        <v>-0.324</v>
      </c>
      <c r="R102" s="34" t="n">
        <v>1.049</v>
      </c>
      <c r="S102" s="34" t="n">
        <v>4.216</v>
      </c>
      <c r="T102" s="34" t="n">
        <v>0.199</v>
      </c>
      <c r="U102" s="34" t="n">
        <v>0.475</v>
      </c>
      <c r="V102" s="34" t="n">
        <v>-0.646</v>
      </c>
      <c r="W102" s="34" t="n">
        <v>-0.127</v>
      </c>
      <c r="X102" s="34" t="n">
        <v>-0.099</v>
      </c>
      <c r="Y102" s="34" t="n"/>
      <c r="Z102" s="34" t="n"/>
      <c r="AA102" s="34" t="n"/>
      <c r="AB102" s="34" t="n"/>
      <c r="AC102" s="34" t="n"/>
      <c r="AD102" s="34" t="n"/>
      <c r="AE102" s="34" t="n"/>
      <c r="AF102" s="34" t="n"/>
      <c r="AG102" s="34" t="n"/>
      <c r="AH102" s="34" t="n"/>
      <c r="AI102" s="34" t="n"/>
      <c r="AJ102" s="34" t="n"/>
      <c r="AK102" s="34" t="n"/>
      <c r="AL102" s="34" t="n"/>
      <c r="AM102" s="34" t="n"/>
      <c r="AN102" s="34" t="n"/>
      <c r="AO102" s="34" t="n"/>
      <c r="AP102" s="34" t="n"/>
      <c r="AQ102" s="34" t="n"/>
      <c r="AR102" s="34" t="n"/>
      <c r="AS102" s="34" t="n"/>
      <c r="AT102" s="34" t="n"/>
      <c r="AU102" s="34" t="n"/>
      <c r="AV102" s="34" t="n"/>
      <c r="AW102" s="34" t="n"/>
      <c r="AX102" s="34" t="n"/>
      <c r="AY102" s="34" t="n"/>
      <c r="AZ102" s="34" t="n"/>
      <c r="BA102" s="34" t="n"/>
      <c r="BB102" s="34" t="n"/>
      <c r="BC102" s="34" t="n"/>
      <c r="BD102" s="34" t="n"/>
      <c r="BE102" s="34" t="n"/>
      <c r="BF102" s="34" t="n"/>
      <c r="BG102" s="34" t="n"/>
      <c r="BH102" s="34" t="n"/>
      <c r="BI102" s="34" t="n"/>
      <c r="BJ102" s="34" t="n"/>
      <c r="BK102" s="34" t="n"/>
      <c r="BL102" s="34" t="n"/>
      <c r="BM102" s="34" t="n"/>
      <c r="BN102" s="34" t="n"/>
      <c r="BO102" s="34" t="n"/>
      <c r="BP102" s="34" t="n"/>
      <c r="BQ102" s="34" t="n"/>
      <c r="BR102" s="34" t="n"/>
      <c r="BS102" s="34" t="n"/>
      <c r="BT102" s="34" t="n"/>
      <c r="BU102" s="34" t="n"/>
      <c r="BV102" s="34" t="n"/>
      <c r="BW102" s="34" t="n"/>
      <c r="BX102" s="34" t="n"/>
      <c r="BY102" s="257" t="n"/>
      <c r="BZ102" s="257" t="n"/>
      <c r="CA102" s="257" t="n"/>
      <c r="CB102" s="257" t="n"/>
      <c r="CC102" s="257" t="n"/>
      <c r="CD102" s="257" t="n"/>
      <c r="CE102" s="257" t="n"/>
      <c r="CF102" s="19" t="n"/>
    </row>
    <row r="103">
      <c r="CF103" s="19" t="n"/>
    </row>
    <row r="104">
      <c r="B104" s="14" t="inlineStr">
        <is>
          <t>Consolidated change in net sales (company table: volume · price · acquisitions · FX)</t>
        </is>
      </c>
      <c r="C104" s="14" t="n"/>
      <c r="D104" s="14" t="n"/>
      <c r="E104" s="14" t="n"/>
      <c r="F104" s="14" t="n"/>
      <c r="G104" s="14" t="n"/>
      <c r="H104" s="14" t="n"/>
      <c r="I104" s="14" t="n"/>
      <c r="J104" s="14" t="n"/>
      <c r="K104" s="14" t="n"/>
      <c r="L104" s="14" t="n"/>
      <c r="M104" s="14" t="n"/>
      <c r="N104" s="14" t="n"/>
      <c r="O104" s="14" t="n"/>
      <c r="P104" s="14" t="n"/>
      <c r="Q104" s="14" t="n"/>
      <c r="R104" s="14" t="n"/>
      <c r="S104" s="14" t="n"/>
      <c r="T104" s="14" t="n"/>
      <c r="U104" s="14" t="n"/>
      <c r="V104" s="14" t="n"/>
      <c r="W104" s="14" t="n"/>
      <c r="X104" s="14" t="n"/>
      <c r="Y104" s="14" t="n"/>
      <c r="Z104" s="14" t="n"/>
      <c r="AA104" s="14" t="n"/>
      <c r="AB104" s="14" t="n"/>
      <c r="AC104" s="14" t="n"/>
      <c r="AD104" s="14" t="n"/>
      <c r="AE104" s="14" t="n"/>
      <c r="AF104" s="14" t="n"/>
      <c r="AG104" s="14" t="n"/>
      <c r="AH104" s="14" t="n"/>
      <c r="AI104" s="14" t="n"/>
      <c r="AJ104" s="14" t="n"/>
      <c r="AK104" s="14" t="n"/>
      <c r="AL104" s="14" t="n"/>
      <c r="AM104" s="14" t="n"/>
      <c r="AN104" s="14" t="n"/>
      <c r="AO104" s="14" t="n"/>
      <c r="AP104" s="14" t="n"/>
      <c r="AQ104" s="14" t="n"/>
      <c r="AR104" s="14" t="n"/>
      <c r="AS104" s="14" t="n"/>
      <c r="AT104" s="14" t="n"/>
      <c r="AU104" s="14" t="n"/>
      <c r="AV104" s="14" t="n"/>
      <c r="AW104" s="14" t="n"/>
      <c r="AX104" s="14" t="n"/>
      <c r="AY104" s="14" t="n"/>
      <c r="AZ104" s="14" t="n"/>
      <c r="BA104" s="14" t="n"/>
      <c r="BB104" s="14" t="n"/>
      <c r="BC104" s="14" t="n"/>
      <c r="BD104" s="14" t="n"/>
      <c r="BE104" s="14" t="n"/>
      <c r="BF104" s="14" t="n"/>
      <c r="BG104" s="14" t="n"/>
      <c r="BH104" s="14" t="n"/>
      <c r="BI104" s="14" t="n"/>
      <c r="BJ104" s="14" t="n"/>
      <c r="BK104" s="14" t="n"/>
      <c r="BL104" s="14" t="n"/>
      <c r="BM104" s="14" t="n"/>
      <c r="BN104" s="14" t="n"/>
      <c r="BO104" s="14" t="n"/>
      <c r="BP104" s="14" t="n"/>
      <c r="BQ104" s="14" t="n"/>
      <c r="BR104" s="14" t="n"/>
      <c r="BS104" s="14" t="n"/>
      <c r="BT104" s="14" t="n"/>
      <c r="BU104" s="14" t="n"/>
      <c r="BV104" s="14" t="n"/>
      <c r="BW104" s="14" t="n"/>
      <c r="BX104" s="14" t="n"/>
      <c r="BY104" s="14" t="n"/>
      <c r="BZ104" s="14" t="n"/>
      <c r="CA104" s="14" t="n"/>
      <c r="CB104" s="14" t="n"/>
      <c r="CC104" s="14" t="n"/>
      <c r="CD104" s="14" t="n"/>
      <c r="CE104" s="14" t="n"/>
      <c r="CF104" s="15" t="inlineStr">
        <is>
          <t>CONSOLIDATED SALES BRIDGE — historical as published; forecast = Σ segment $ effects ÷ prior-year net sales</t>
        </is>
      </c>
    </row>
    <row r="105">
      <c r="B105" s="25" t="inlineStr">
        <is>
          <t xml:space="preserve">  Volume %</t>
        </is>
      </c>
      <c r="C105" s="40" t="n">
        <v>0.155</v>
      </c>
      <c r="D105" s="40" t="n">
        <v>0.068</v>
      </c>
      <c r="E105" s="40" t="n">
        <v>-0.039</v>
      </c>
      <c r="F105" s="40" t="n">
        <v>-0.298</v>
      </c>
      <c r="G105" s="40" t="n">
        <v>0.141</v>
      </c>
      <c r="H105" s="40" t="n">
        <v>0.148</v>
      </c>
      <c r="I105" s="40" t="n">
        <v>0.013</v>
      </c>
      <c r="J105" s="40" t="n">
        <v>-0.06</v>
      </c>
      <c r="K105" s="40" t="n">
        <v>-0.049</v>
      </c>
      <c r="L105" s="40" t="n">
        <v>-0.025</v>
      </c>
      <c r="M105" s="40" t="n">
        <v>0.031</v>
      </c>
      <c r="N105" s="40" t="n">
        <v>-0.027</v>
      </c>
      <c r="O105" s="40" t="n">
        <v>-0.05</v>
      </c>
      <c r="P105" s="40" t="n">
        <v>-0.014</v>
      </c>
      <c r="Q105" s="40" t="n">
        <v>0.019</v>
      </c>
      <c r="R105" s="40" t="n">
        <v>-0.035</v>
      </c>
      <c r="S105" s="40" t="n">
        <v>-0.02</v>
      </c>
      <c r="T105" s="40" t="n">
        <v>-0.008</v>
      </c>
      <c r="U105" s="40" t="n">
        <v>-0.065</v>
      </c>
      <c r="V105" s="40" t="n">
        <v>-0.102</v>
      </c>
      <c r="W105" s="40" t="n">
        <v>-0.144</v>
      </c>
      <c r="X105" s="40" t="n">
        <v>-0.08</v>
      </c>
      <c r="Y105" s="40" t="n">
        <v>-0.142</v>
      </c>
      <c r="Z105" s="40" t="n">
        <v>-0.09699999999999999</v>
      </c>
      <c r="AA105" s="40" t="n">
        <v>-0.128</v>
      </c>
      <c r="AB105" s="40" t="n">
        <v>-0.013</v>
      </c>
      <c r="AC105" s="40" t="n">
        <v>-0.098</v>
      </c>
      <c r="AD105" s="40" t="n">
        <v>0.029</v>
      </c>
      <c r="AE105" s="40" t="n">
        <v>0.032</v>
      </c>
      <c r="AF105" s="40" t="n">
        <v>0.038</v>
      </c>
      <c r="AG105" s="40" t="n">
        <v>0.068</v>
      </c>
      <c r="AH105" s="40" t="n">
        <v>0.042</v>
      </c>
      <c r="AI105" s="40" t="n">
        <v>0.052</v>
      </c>
      <c r="AJ105" s="40" t="n">
        <v>0.044</v>
      </c>
      <c r="AK105" s="40" t="n">
        <v>0.004</v>
      </c>
      <c r="AL105" s="40" t="n">
        <v>-0.043</v>
      </c>
      <c r="AM105" s="40" t="n">
        <v>0.011</v>
      </c>
      <c r="AN105" s="40" t="n">
        <v>-0.036</v>
      </c>
      <c r="AO105" s="40" t="n">
        <v>-0.052</v>
      </c>
      <c r="AP105" s="40" t="n">
        <v>-0.04099999999999999</v>
      </c>
      <c r="AQ105" s="40" t="n">
        <v>-0.057</v>
      </c>
      <c r="AR105" s="40" t="n">
        <v>-0.047</v>
      </c>
      <c r="AS105" s="40" t="n">
        <v>-0.08599999999999999</v>
      </c>
      <c r="AT105" s="40" t="n">
        <v>-0.245</v>
      </c>
      <c r="AU105" s="40" t="n">
        <v>-0.095</v>
      </c>
      <c r="AV105" s="40" t="n">
        <v>-0.076</v>
      </c>
      <c r="AW105" s="40" t="n">
        <v>-0.127</v>
      </c>
      <c r="AX105" s="40" t="n">
        <v>0.027</v>
      </c>
      <c r="AY105" s="40" t="n">
        <v>0.26</v>
      </c>
      <c r="AZ105" s="40" t="n">
        <v>0.073</v>
      </c>
      <c r="BA105" s="40" t="n">
        <v>0.05599999999999999</v>
      </c>
      <c r="BB105" s="40" t="n">
        <v>0.098</v>
      </c>
      <c r="BC105" s="40" t="n">
        <v>0.032</v>
      </c>
      <c r="BD105" s="40" t="n">
        <v>0.034</v>
      </c>
      <c r="BE105" s="40" t="n">
        <v>0.08800000000000001</v>
      </c>
      <c r="BF105" s="40" t="n">
        <v>0.044</v>
      </c>
      <c r="BG105" s="40" t="n">
        <v>0.05</v>
      </c>
      <c r="BH105" s="40" t="n">
        <v>0.042</v>
      </c>
      <c r="BI105" s="40" t="n">
        <v>0.036</v>
      </c>
      <c r="BJ105" s="40" t="n">
        <v>-0.006999999999999999</v>
      </c>
      <c r="BK105" s="40" t="n">
        <v>0.02</v>
      </c>
      <c r="BL105" s="40" t="n">
        <v>0.023</v>
      </c>
      <c r="BM105" s="40" t="n">
        <v>-0.061</v>
      </c>
      <c r="BN105" s="40" t="n">
        <v>-0.05400000000000001</v>
      </c>
      <c r="BO105" s="40" t="n">
        <v>-0.08699999999999999</v>
      </c>
      <c r="BP105" s="40" t="n">
        <v>-0.08500000000000001</v>
      </c>
      <c r="BQ105" s="40" t="n">
        <v>-0.07200000000000001</v>
      </c>
      <c r="BR105" s="40" t="n">
        <v>-0.038</v>
      </c>
      <c r="BS105" s="40" t="n">
        <v>-0.023</v>
      </c>
      <c r="BT105" s="40" t="n">
        <v>-0.022</v>
      </c>
      <c r="BU105" s="40" t="n">
        <v>-0.064</v>
      </c>
      <c r="BV105" s="40" t="n">
        <v>-0.03700000000000001</v>
      </c>
      <c r="BW105" s="40" t="n">
        <v>-0.026</v>
      </c>
      <c r="BX105" s="40" t="n">
        <v>0.024</v>
      </c>
      <c r="BY105" s="254">
        <f>IFERROR((BY18+BY42+BY66)/BT154,"")</f>
        <v>0.0367390422015552</v>
      </c>
      <c r="BZ105" s="254">
        <f>IFERROR((BZ18+BZ42+BZ66)/BU154,"")</f>
        <v>0.0348944290767901</v>
      </c>
      <c r="CA105" s="254">
        <f>IFERROR((CA18+CA42+CA66)/BV154,"")</f>
        <v>0.018138094303264</v>
      </c>
      <c r="CB105" s="254">
        <f>IFERROR((CB18+CB42+CB66)/CA154,"")</f>
        <v>0.02799675086995</v>
      </c>
      <c r="CC105" s="254">
        <f>IFERROR((CC18+CC42+CC66)/CB154,"")</f>
        <v>0.0287288757690118</v>
      </c>
      <c r="CD105" s="254">
        <f>IFERROR((CD18+CD42+CD66)/CC154,"")</f>
        <v>0.025011349091032</v>
      </c>
      <c r="CE105" s="254">
        <f>IFERROR((CE18+CE42+CE66)/CD154,"")</f>
        <v>0.0244719140730206</v>
      </c>
      <c r="CF105" s="19" t="n"/>
      <c r="CH105" s="20">
        <f>IFERROR(AVERAGE(CA105,CB105,CC105,CD105,CE105),"n/m")</f>
        <v>0.0248693968212557</v>
      </c>
      <c r="CI105" s="20">
        <f>IFERROR(AVERAGE(AW105,BB105,BG105,BL105,BQ105,BV105),"n/m")</f>
        <v>-0.0108333333333333</v>
      </c>
      <c r="CJ105" s="20">
        <f>IFERROR(AVERAGE(X105,AC105,AH105,AM105,AR105,AW105,BB105,BG105,BL105,BQ105,BV105),"n/m")</f>
        <v>-0.0215454545454545</v>
      </c>
      <c r="CK105" s="20">
        <f>IFERROR(AVERAGE(C105,D105,E105,F105,G105,H105,I105,N105,S105,X105,AC105,AH105,AM105,AR105,AW105,BB105,BG105,BL105,BQ105,BV105),"n/m")</f>
        <v>-0.0048</v>
      </c>
    </row>
    <row r="106">
      <c r="B106" s="25" t="inlineStr">
        <is>
          <t xml:space="preserve">  Price %</t>
        </is>
      </c>
      <c r="C106" s="40" t="n">
        <v>0.029</v>
      </c>
      <c r="D106" s="40" t="n">
        <v>0.038</v>
      </c>
      <c r="E106" s="40" t="n">
        <v>0.077</v>
      </c>
      <c r="F106" s="40" t="n">
        <v>-0.005</v>
      </c>
      <c r="G106" s="40" t="n">
        <v>0.004</v>
      </c>
      <c r="H106" s="40" t="n">
        <v>0.06900000000000001</v>
      </c>
      <c r="I106" s="40" t="n">
        <v>0.017</v>
      </c>
      <c r="J106" s="40" t="n">
        <v>0.001</v>
      </c>
      <c r="K106" s="40" t="n">
        <v>0.001</v>
      </c>
      <c r="L106" s="40" t="n">
        <v>0.001</v>
      </c>
      <c r="M106" s="40" t="n">
        <v>0</v>
      </c>
      <c r="N106" s="40" t="n">
        <v>0.001</v>
      </c>
      <c r="O106" s="40" t="n">
        <v>0.004</v>
      </c>
      <c r="P106" s="40" t="n">
        <v>0.023</v>
      </c>
      <c r="Q106" s="40" t="n">
        <v>0.025</v>
      </c>
      <c r="R106" s="40" t="n">
        <v>0.017</v>
      </c>
      <c r="S106" s="40" t="n">
        <v>0.018</v>
      </c>
      <c r="T106" s="40" t="n">
        <v>0.029</v>
      </c>
      <c r="U106" s="40" t="n">
        <v>0.016</v>
      </c>
      <c r="V106" s="40" t="n">
        <v>0.033</v>
      </c>
      <c r="W106" s="40" t="n">
        <v>0.08199999999999999</v>
      </c>
      <c r="X106" s="40" t="n">
        <v>0.04</v>
      </c>
      <c r="Y106" s="40" t="n">
        <v>0.114</v>
      </c>
      <c r="Z106" s="40" t="n">
        <v>0.284</v>
      </c>
      <c r="AA106" s="40" t="n">
        <v>-0.006999999999999999</v>
      </c>
      <c r="AB106" s="40" t="n">
        <v>0.001</v>
      </c>
      <c r="AC106" s="40" t="n">
        <v>0.102</v>
      </c>
      <c r="AD106" s="40" t="n">
        <v>0.021</v>
      </c>
      <c r="AE106" s="40" t="n">
        <v>0.026</v>
      </c>
      <c r="AF106" s="40" t="n">
        <v>0.018</v>
      </c>
      <c r="AG106" s="40" t="n">
        <v>0.032</v>
      </c>
      <c r="AH106" s="40" t="n">
        <v>0.024</v>
      </c>
      <c r="AI106" s="40" t="n">
        <v>0.042</v>
      </c>
      <c r="AJ106" s="40" t="n">
        <v>0.049</v>
      </c>
      <c r="AK106" s="40" t="n">
        <v>0.07099999999999999</v>
      </c>
      <c r="AL106" s="40" t="n">
        <v>0.059</v>
      </c>
      <c r="AM106" s="40" t="n">
        <v>0.05599999999999999</v>
      </c>
      <c r="AN106" s="40" t="n">
        <v>0.045</v>
      </c>
      <c r="AO106" s="40" t="n">
        <v>0.017</v>
      </c>
      <c r="AP106" s="40" t="n">
        <v>-0.006</v>
      </c>
      <c r="AQ106" s="40" t="n">
        <v>-0.008</v>
      </c>
      <c r="AR106" s="40" t="n">
        <v>0.012</v>
      </c>
      <c r="AS106" s="40" t="n">
        <v>-0.009000000000000001</v>
      </c>
      <c r="AT106" s="40" t="n">
        <v>-0.003</v>
      </c>
      <c r="AU106" s="40" t="n">
        <v>0.012</v>
      </c>
      <c r="AV106" s="40" t="n">
        <v>0.02</v>
      </c>
      <c r="AW106" s="40" t="n">
        <v>0.005</v>
      </c>
      <c r="AX106" s="40" t="n">
        <v>0.03700000000000001</v>
      </c>
      <c r="AY106" s="40" t="n">
        <v>0.1</v>
      </c>
      <c r="AZ106" s="40" t="n">
        <v>0.11</v>
      </c>
      <c r="BA106" s="40" t="n">
        <v>0.134</v>
      </c>
      <c r="BB106" s="40" t="n">
        <v>0.095</v>
      </c>
      <c r="BC106" s="40" t="n">
        <v>0.189</v>
      </c>
      <c r="BD106" s="40" t="n">
        <v>0.171</v>
      </c>
      <c r="BE106" s="40" t="n">
        <v>0.125</v>
      </c>
      <c r="BF106" s="40" t="n">
        <v>0.099</v>
      </c>
      <c r="BG106" s="40" t="n">
        <v>0.145</v>
      </c>
      <c r="BH106" s="40" t="n">
        <v>0.043</v>
      </c>
      <c r="BI106" s="40" t="n">
        <v>0.009000000000000001</v>
      </c>
      <c r="BJ106" s="40" t="n">
        <v>0.011</v>
      </c>
      <c r="BK106" s="40" t="n">
        <v>0.006</v>
      </c>
      <c r="BL106" s="40" t="n">
        <v>0.017</v>
      </c>
      <c r="BM106" s="40" t="n">
        <v>0</v>
      </c>
      <c r="BN106" s="40" t="n">
        <v>0.01</v>
      </c>
      <c r="BO106" s="40" t="n">
        <v>0.01</v>
      </c>
      <c r="BP106" s="40" t="n">
        <v>0.01</v>
      </c>
      <c r="BQ106" s="40" t="n">
        <v>0.006999999999999999</v>
      </c>
      <c r="BR106" s="40" t="n">
        <v>0.026</v>
      </c>
      <c r="BS106" s="40" t="n">
        <v>0.052</v>
      </c>
      <c r="BT106" s="40" t="n">
        <v>0.078</v>
      </c>
      <c r="BU106" s="40" t="n">
        <v>0.08900000000000001</v>
      </c>
      <c r="BV106" s="40" t="n">
        <v>0.062</v>
      </c>
      <c r="BW106" s="40" t="n">
        <v>0.104</v>
      </c>
      <c r="BX106" s="40" t="n">
        <v>0.077</v>
      </c>
      <c r="BY106" s="254">
        <f>IFERROR((BY19+BY43+BY67)/BT154,"")</f>
        <v>0.0757080341906115</v>
      </c>
      <c r="BZ106" s="254">
        <f>IFERROR((BZ19+BZ43+BZ67)/BU154,"")</f>
        <v>0.0708096707656795</v>
      </c>
      <c r="CA106" s="254">
        <f>IFERROR((CA19+CA43+CA67)/BV154,"")</f>
        <v>0.0815486934452917</v>
      </c>
      <c r="CB106" s="254">
        <f>IFERROR((CB19+CB43+CB67)/CA154,"")</f>
        <v>0.026995126304925</v>
      </c>
      <c r="CC106" s="254">
        <f>IFERROR((CC19+CC43+CC67)/CB154,"")</f>
        <v>0.0228057091025654</v>
      </c>
      <c r="CD106" s="254">
        <f>IFERROR((CD19+CD43+CD67)/CC154,"")</f>
        <v>0.0223469569539717</v>
      </c>
      <c r="CE106" s="254">
        <f>IFERROR((CE19+CE43+CE67)/CD154,"")</f>
        <v>0.021876556202557</v>
      </c>
      <c r="CF106" s="19" t="n"/>
      <c r="CH106" s="20">
        <f>IFERROR(AVERAGE(CA106,CB106,CC106,CD106,CE106),"n/m")</f>
        <v>0.0351146084018621</v>
      </c>
      <c r="CI106" s="20">
        <f>IFERROR(AVERAGE(AW106,BB106,BG106,BL106,BQ106,BV106),"n/m")</f>
        <v>0.0551666666666667</v>
      </c>
      <c r="CJ106" s="20">
        <f>IFERROR(AVERAGE(X106,AC106,AH106,AM106,AR106,AW106,BB106,BG106,BL106,BQ106,BV106),"n/m")</f>
        <v>0.0513636363636364</v>
      </c>
      <c r="CK106" s="20">
        <f>IFERROR(AVERAGE(C106,D106,E106,F106,G106,H106,I106,N106,S106,X106,AC106,AH106,AM106,AR106,AW106,BB106,BG106,BL106,BQ106,BV106),"n/m")</f>
        <v>0.04065</v>
      </c>
    </row>
    <row r="107">
      <c r="B107" s="25" t="inlineStr">
        <is>
          <t xml:space="preserve">  Acquisitions %</t>
        </is>
      </c>
      <c r="C107" s="40" t="n">
        <v>0.034</v>
      </c>
      <c r="D107" s="40" t="n">
        <v>0.019</v>
      </c>
      <c r="E107" s="40" t="n">
        <v>0.03</v>
      </c>
      <c r="F107" s="40" t="n">
        <v>0.03</v>
      </c>
      <c r="G107" s="40" t="n">
        <v>0.053</v>
      </c>
      <c r="H107" s="40" t="n">
        <v>0.058</v>
      </c>
      <c r="I107" s="40" t="n">
        <v>0.049</v>
      </c>
      <c r="J107" s="40" t="n">
        <v>0.055</v>
      </c>
      <c r="K107" s="40" t="n">
        <v>0.031</v>
      </c>
      <c r="L107" s="40" t="n">
        <v>0.022</v>
      </c>
      <c r="M107" s="40" t="n">
        <v>0.019</v>
      </c>
      <c r="N107" s="40" t="n">
        <v>0.032</v>
      </c>
      <c r="O107" s="40" t="n">
        <v>0.011</v>
      </c>
      <c r="P107" s="40" t="n">
        <v>0.012</v>
      </c>
      <c r="Q107" s="40" t="n">
        <v>0.014</v>
      </c>
      <c r="R107" s="40" t="n">
        <v>0.022</v>
      </c>
      <c r="S107" s="40" t="n">
        <v>0.015</v>
      </c>
      <c r="T107" s="40" t="n">
        <v>0.018</v>
      </c>
      <c r="U107" s="40" t="n">
        <v>0.02</v>
      </c>
      <c r="V107" s="40" t="n">
        <v>0.03</v>
      </c>
      <c r="W107" s="40" t="n">
        <v>0.021</v>
      </c>
      <c r="X107" s="40" t="n">
        <v>0.022</v>
      </c>
      <c r="Y107" s="40" t="n">
        <v>0.016</v>
      </c>
      <c r="Z107" s="40" t="n">
        <v>0.03</v>
      </c>
      <c r="AA107" s="40" t="n">
        <v>0.021</v>
      </c>
      <c r="AB107" s="40" t="n">
        <v>0.013</v>
      </c>
      <c r="AC107" s="40" t="n">
        <v>0.02</v>
      </c>
      <c r="AD107" s="40" t="n">
        <v>0.006</v>
      </c>
      <c r="AE107" s="40" t="n">
        <v>0.002</v>
      </c>
      <c r="AF107" s="40" t="n">
        <v>0.11</v>
      </c>
      <c r="AG107" s="40" t="n">
        <v>0.203</v>
      </c>
      <c r="AH107" s="40" t="n">
        <v>0.08</v>
      </c>
      <c r="AI107" s="40" t="n">
        <v>0.183</v>
      </c>
      <c r="AJ107" s="40" t="n">
        <v>0.16</v>
      </c>
      <c r="AK107" s="40" t="n">
        <v>0.044</v>
      </c>
      <c r="AL107" s="40" t="n">
        <v>0.004</v>
      </c>
      <c r="AM107" s="40" t="n">
        <v>0.091</v>
      </c>
      <c r="AN107" s="40" t="n">
        <v>0.024</v>
      </c>
      <c r="AO107" s="40" t="n">
        <v>0.034</v>
      </c>
      <c r="AP107" s="40" t="n">
        <v>0.05400000000000001</v>
      </c>
      <c r="AQ107" s="40" t="n">
        <v>0.059</v>
      </c>
      <c r="AR107" s="40" t="n">
        <v>0.043</v>
      </c>
      <c r="AS107" s="40" t="n">
        <v>0.032</v>
      </c>
      <c r="AT107" s="40" t="n">
        <v>0.02</v>
      </c>
      <c r="AU107" s="40" t="n">
        <v>0</v>
      </c>
      <c r="AV107" s="40" t="n">
        <v>0</v>
      </c>
      <c r="AW107" s="40" t="n">
        <v>0.013</v>
      </c>
      <c r="AX107" s="40" t="n">
        <v>0</v>
      </c>
      <c r="AY107" s="40" t="n">
        <v>0.006</v>
      </c>
      <c r="AZ107" s="40" t="n">
        <v>0.02</v>
      </c>
      <c r="BA107" s="40" t="n">
        <v>0.047</v>
      </c>
      <c r="BB107" s="40" t="n">
        <v>0.019</v>
      </c>
      <c r="BC107" s="40" t="n">
        <v>0.046</v>
      </c>
      <c r="BD107" s="40" t="n">
        <v>0.029</v>
      </c>
      <c r="BE107" s="40" t="n">
        <v>0.013</v>
      </c>
      <c r="BF107" s="40" t="n">
        <v>0.006999999999999999</v>
      </c>
      <c r="BG107" s="40" t="n">
        <v>0.023</v>
      </c>
      <c r="BH107" s="40" t="n">
        <v>0.057</v>
      </c>
      <c r="BI107" s="40" t="n">
        <v>0.052</v>
      </c>
      <c r="BJ107" s="40" t="n">
        <v>0.08800000000000001</v>
      </c>
      <c r="BK107" s="40" t="n">
        <v>0.098</v>
      </c>
      <c r="BL107" s="40" t="n">
        <v>0.07400000000000001</v>
      </c>
      <c r="BM107" s="40" t="n">
        <v>0.004</v>
      </c>
      <c r="BN107" s="40" t="n">
        <v>0.012</v>
      </c>
      <c r="BO107" s="40" t="n">
        <v>0.03</v>
      </c>
      <c r="BP107" s="40" t="n">
        <v>0.052</v>
      </c>
      <c r="BQ107" s="40" t="n">
        <v>0.025</v>
      </c>
      <c r="BR107" s="40" t="n">
        <v>0.049</v>
      </c>
      <c r="BS107" s="40" t="n">
        <v>0.03</v>
      </c>
      <c r="BT107" s="40" t="n">
        <v>0.017</v>
      </c>
      <c r="BU107" s="40" t="n">
        <v>0.011</v>
      </c>
      <c r="BV107" s="40" t="n">
        <v>0.027</v>
      </c>
      <c r="BW107" s="40" t="n">
        <v>0.016</v>
      </c>
      <c r="BX107" s="40" t="n">
        <v>0.015</v>
      </c>
      <c r="BY107" s="254">
        <f>IFERROR((BY20+BY44+BY68+N(BY117)-N(BT117))/BT154,"")</f>
        <v>0.00509115712283988</v>
      </c>
      <c r="BZ107" s="254">
        <f>IFERROR((BZ20+BZ44+BZ68+N(BZ117)-N(BU117))/BU154,"")</f>
        <v>0</v>
      </c>
      <c r="CA107" s="254">
        <f>IFERROR((CA20+CA44+CA68+N(CA117)-N(BV117))/BV154,"")</f>
        <v>0.00883294280679697</v>
      </c>
      <c r="CB107" s="254">
        <f>IFERROR((CB20+CB44+CB68+N(CB117)-N(CA117))/CA154,"")</f>
        <v>0.0105936729379484</v>
      </c>
      <c r="CC107" s="254">
        <f>IFERROR((CC20+CC44+CC68+N(CC117)-N(CB117))/CB154,"")</f>
        <v>0.0231640321537827</v>
      </c>
      <c r="CD107" s="254">
        <f>IFERROR((CD20+CD44+CD68+N(CD117)-N(CC117))/CC154,"")</f>
        <v>0.0248213039820215</v>
      </c>
      <c r="CE107" s="254">
        <f>IFERROR((CE20+CE44+CE68+N(CE117)-N(CD117))/CD154,"")</f>
        <v>0.0240763356250094</v>
      </c>
      <c r="CF107" s="19" t="n"/>
    </row>
    <row r="108">
      <c r="B108" s="25" t="inlineStr">
        <is>
          <t xml:space="preserve">  Foreign exchange %</t>
        </is>
      </c>
      <c r="C108" s="40" t="n">
        <v>0.013</v>
      </c>
      <c r="D108" s="40" t="n">
        <v>0.032</v>
      </c>
      <c r="E108" s="40" t="n">
        <v>0.019</v>
      </c>
      <c r="F108" s="40" t="n">
        <v>-0.029</v>
      </c>
      <c r="G108" s="40" t="n">
        <v>0</v>
      </c>
      <c r="H108" s="40" t="n">
        <v>0.026</v>
      </c>
      <c r="I108" s="40" t="n">
        <v>-0.02</v>
      </c>
      <c r="J108" s="40" t="n">
        <v>-0.008</v>
      </c>
      <c r="K108" s="40" t="n">
        <v>-0.005</v>
      </c>
      <c r="L108" s="40" t="n">
        <v>-0.006</v>
      </c>
      <c r="M108" s="40" t="n">
        <v>-0.006</v>
      </c>
      <c r="N108" s="40" t="n">
        <v>-0.006</v>
      </c>
      <c r="O108" s="40" t="n">
        <v>-0.012</v>
      </c>
      <c r="P108" s="40" t="n">
        <v>-0.019</v>
      </c>
      <c r="Q108" s="40" t="n">
        <v>-0.023</v>
      </c>
      <c r="R108" s="40" t="n">
        <v>-0.048</v>
      </c>
      <c r="S108" s="40" t="n">
        <v>-0.026</v>
      </c>
      <c r="T108" s="40" t="n">
        <v>-0.079</v>
      </c>
      <c r="U108" s="40" t="n">
        <v>-0.059</v>
      </c>
      <c r="V108" s="40" t="n">
        <v>-0.059</v>
      </c>
      <c r="W108" s="40" t="n">
        <v>-0.129</v>
      </c>
      <c r="X108" s="40" t="n">
        <v>-0.081</v>
      </c>
      <c r="Y108" s="40" t="n">
        <v>-0.15</v>
      </c>
      <c r="Z108" s="40" t="n">
        <v>-0.326</v>
      </c>
      <c r="AA108" s="40" t="n">
        <v>-0.006</v>
      </c>
      <c r="AB108" s="40" t="n">
        <v>-0.008</v>
      </c>
      <c r="AC108" s="40" t="n">
        <v>-0.128</v>
      </c>
      <c r="AD108" s="40" t="n">
        <v>-0.001</v>
      </c>
      <c r="AE108" s="40" t="n">
        <v>-0.003</v>
      </c>
      <c r="AF108" s="40" t="n">
        <v>0.014</v>
      </c>
      <c r="AG108" s="40" t="n">
        <v>0.022</v>
      </c>
      <c r="AH108" s="40" t="n">
        <v>0.008</v>
      </c>
      <c r="AI108" s="40" t="n">
        <v>0.027</v>
      </c>
      <c r="AJ108" s="40" t="n">
        <v>0.006999999999999999</v>
      </c>
      <c r="AK108" s="40" t="n">
        <v>-0.017</v>
      </c>
      <c r="AL108" s="40" t="n">
        <v>-0.023</v>
      </c>
      <c r="AM108" s="40" t="n">
        <v>-0.003</v>
      </c>
      <c r="AN108" s="40" t="n">
        <v>-0.032</v>
      </c>
      <c r="AO108" s="40" t="n">
        <v>-0.017</v>
      </c>
      <c r="AP108" s="40" t="n">
        <v>-0.016</v>
      </c>
      <c r="AQ108" s="40" t="n">
        <v>-0.003</v>
      </c>
      <c r="AR108" s="40" t="n">
        <v>-0.017</v>
      </c>
      <c r="AS108" s="40" t="n">
        <v>-0.013</v>
      </c>
      <c r="AT108" s="40" t="n">
        <v>-0.011</v>
      </c>
      <c r="AU108" s="40" t="n">
        <v>-0.002</v>
      </c>
      <c r="AV108" s="40" t="n">
        <v>-0.002</v>
      </c>
      <c r="AW108" s="40" t="n">
        <v>-0.006999999999999999</v>
      </c>
      <c r="AX108" s="40" t="n">
        <v>0.014</v>
      </c>
      <c r="AY108" s="40" t="n">
        <v>0.033</v>
      </c>
      <c r="AZ108" s="40" t="n">
        <v>0.003</v>
      </c>
      <c r="BA108" s="40" t="n">
        <v>-0.02</v>
      </c>
      <c r="BB108" s="40" t="n">
        <v>0.006</v>
      </c>
      <c r="BC108" s="40" t="n">
        <v>-0.044</v>
      </c>
      <c r="BD108" s="40" t="n">
        <v>-0.061</v>
      </c>
      <c r="BE108" s="40" t="n">
        <v>-0.066</v>
      </c>
      <c r="BF108" s="40" t="n">
        <v>-0.047</v>
      </c>
      <c r="BG108" s="40" t="n">
        <v>-0.055</v>
      </c>
      <c r="BH108" s="40" t="n">
        <v>-0.019</v>
      </c>
      <c r="BI108" s="40" t="n">
        <v>-0.002</v>
      </c>
      <c r="BJ108" s="40" t="n">
        <v>0.012</v>
      </c>
      <c r="BK108" s="40" t="n">
        <v>0.013</v>
      </c>
      <c r="BL108" s="40" t="n">
        <v>0.001</v>
      </c>
      <c r="BM108" s="40" t="n">
        <v>0.002</v>
      </c>
      <c r="BN108" s="40" t="n">
        <v>-0.004</v>
      </c>
      <c r="BO108" s="40" t="n">
        <v>-0.001</v>
      </c>
      <c r="BP108" s="40" t="n">
        <v>-0.011</v>
      </c>
      <c r="BQ108" s="40" t="n">
        <v>-0.004</v>
      </c>
      <c r="BR108" s="40" t="n">
        <v>-0.013</v>
      </c>
      <c r="BS108" s="40" t="n">
        <v>0.006999999999999999</v>
      </c>
      <c r="BT108" s="40" t="n">
        <v>0.006</v>
      </c>
      <c r="BU108" s="40" t="n">
        <v>0.019</v>
      </c>
      <c r="BV108" s="40" t="n">
        <v>0.004</v>
      </c>
      <c r="BW108" s="40" t="n">
        <v>0.023</v>
      </c>
      <c r="BX108" s="40" t="n">
        <v>0.004</v>
      </c>
      <c r="BY108" s="254">
        <f>IFERROR((BY21+BY45+BY69)/BT154,"")</f>
        <v>0</v>
      </c>
      <c r="BZ108" s="254">
        <f>IFERROR((BZ21+BZ45+BZ69)/BU154,"")</f>
        <v>0</v>
      </c>
      <c r="CA108" s="254">
        <f>IFERROR((CA21+CA45+CA69)/BV154,"")</f>
        <v>0.00648026944464722</v>
      </c>
      <c r="CB108" s="254">
        <f>IFERROR((CB21+CB45+CB69)/CA154,"")</f>
        <v>0</v>
      </c>
      <c r="CC108" s="254">
        <f>IFERROR((CC21+CC45+CC69)/CB154,"")</f>
        <v>0</v>
      </c>
      <c r="CD108" s="254">
        <f>IFERROR((CD21+CD45+CD69)/CC154,"")</f>
        <v>0</v>
      </c>
      <c r="CE108" s="254">
        <f>IFERROR((CE21+CE45+CE69)/CD154,"")</f>
        <v>0</v>
      </c>
      <c r="CF108" s="19" t="n"/>
    </row>
    <row r="109">
      <c r="B109" s="25" t="inlineStr">
        <is>
          <t xml:space="preserve">  Organic sales growth % (volume + price)</t>
        </is>
      </c>
      <c r="C109" s="36">
        <f>C105+C106</f>
        <v>0.184</v>
      </c>
      <c r="D109" s="36">
        <f>D105+D106</f>
        <v>0.106</v>
      </c>
      <c r="E109" s="36">
        <f>E105+E106</f>
        <v>0.038</v>
      </c>
      <c r="F109" s="36">
        <f>F105+F106</f>
        <v>-0.303</v>
      </c>
      <c r="G109" s="36">
        <f>G105+G106</f>
        <v>0.145</v>
      </c>
      <c r="H109" s="36">
        <f>H105+H106</f>
        <v>0.217</v>
      </c>
      <c r="I109" s="36">
        <f>I105+I106</f>
        <v>0.03</v>
      </c>
      <c r="J109" s="36">
        <f>J105+J106</f>
        <v>-0.059</v>
      </c>
      <c r="K109" s="36">
        <f>K105+K106</f>
        <v>-0.048</v>
      </c>
      <c r="L109" s="36">
        <f>L105+L106</f>
        <v>-0.024</v>
      </c>
      <c r="M109" s="36">
        <f>M105+M106</f>
        <v>0.031</v>
      </c>
      <c r="N109" s="36">
        <f>N105+N106</f>
        <v>-0.026</v>
      </c>
      <c r="O109" s="36">
        <f>O105+O106</f>
        <v>-0.046</v>
      </c>
      <c r="P109" s="36">
        <f>P105+P106</f>
        <v>0.009</v>
      </c>
      <c r="Q109" s="36">
        <f>Q105+Q106</f>
        <v>0.044</v>
      </c>
      <c r="R109" s="36">
        <f>R105+R106</f>
        <v>-0.018</v>
      </c>
      <c r="S109" s="36">
        <f>S105+S106</f>
        <v>-0.002</v>
      </c>
      <c r="T109" s="36">
        <f>T105+T106</f>
        <v>0.021</v>
      </c>
      <c r="U109" s="36">
        <f>U105+U106</f>
        <v>-0.049</v>
      </c>
      <c r="V109" s="36">
        <f>V105+V106</f>
        <v>-0.069</v>
      </c>
      <c r="W109" s="36">
        <f>W105+W106</f>
        <v>-0.062</v>
      </c>
      <c r="X109" s="36">
        <f>X105+X106</f>
        <v>-0.04</v>
      </c>
      <c r="Y109" s="36">
        <f>Y105+Y106</f>
        <v>-0.028</v>
      </c>
      <c r="Z109" s="36">
        <f>Z105+Z106</f>
        <v>0.187</v>
      </c>
      <c r="AA109" s="36">
        <f>AA105+AA106</f>
        <v>-0.135</v>
      </c>
      <c r="AB109" s="36">
        <f>AB105+AB106</f>
        <v>-0.012</v>
      </c>
      <c r="AC109" s="36">
        <f>AC105+AC106</f>
        <v>0.00399999999999999</v>
      </c>
      <c r="AD109" s="36">
        <f>AD105+AD106</f>
        <v>0.05</v>
      </c>
      <c r="AE109" s="36">
        <f>AE105+AE106</f>
        <v>0.058</v>
      </c>
      <c r="AF109" s="36">
        <f>AF105+AF106</f>
        <v>0.056</v>
      </c>
      <c r="AG109" s="36">
        <f>AG105+AG106</f>
        <v>0.1</v>
      </c>
      <c r="AH109" s="36">
        <f>AH105+AH106</f>
        <v>0.066</v>
      </c>
      <c r="AI109" s="36">
        <f>AI105+AI106</f>
        <v>0.094</v>
      </c>
      <c r="AJ109" s="36">
        <f>AJ105+AJ106</f>
        <v>0.093</v>
      </c>
      <c r="AK109" s="36">
        <f>AK105+AK106</f>
        <v>0.075</v>
      </c>
      <c r="AL109" s="36">
        <f>AL105+AL106</f>
        <v>0.016</v>
      </c>
      <c r="AM109" s="36">
        <f>AM105+AM106</f>
        <v>0.067</v>
      </c>
      <c r="AN109" s="36">
        <f>AN105+AN106</f>
        <v>0.009</v>
      </c>
      <c r="AO109" s="36">
        <f>AO105+AO106</f>
        <v>-0.035</v>
      </c>
      <c r="AP109" s="36">
        <f>AP105+AP106</f>
        <v>-0.047</v>
      </c>
      <c r="AQ109" s="36">
        <f>AQ105+AQ106</f>
        <v>-0.065</v>
      </c>
      <c r="AR109" s="36">
        <f>AR105+AR106</f>
        <v>-0.035</v>
      </c>
      <c r="AS109" s="36">
        <f>AS105+AS106</f>
        <v>-0.095</v>
      </c>
      <c r="AT109" s="36">
        <f>AT105+AT106</f>
        <v>-0.248</v>
      </c>
      <c r="AU109" s="36">
        <f>AU105+AU106</f>
        <v>-0.083</v>
      </c>
      <c r="AV109" s="36">
        <f>AV105+AV106</f>
        <v>-0.056</v>
      </c>
      <c r="AW109" s="36">
        <f>AW105+AW106</f>
        <v>-0.122</v>
      </c>
      <c r="AX109" s="36">
        <f>AX105+AX106</f>
        <v>0.064</v>
      </c>
      <c r="AY109" s="36">
        <f>AY105+AY106</f>
        <v>0.36</v>
      </c>
      <c r="AZ109" s="36">
        <f>AZ105+AZ106</f>
        <v>0.183</v>
      </c>
      <c r="BA109" s="36">
        <f>BA105+BA106</f>
        <v>0.19</v>
      </c>
      <c r="BB109" s="36">
        <f>BB105+BB106</f>
        <v>0.193</v>
      </c>
      <c r="BC109" s="36">
        <f>BC105+BC106</f>
        <v>0.221</v>
      </c>
      <c r="BD109" s="36">
        <f>BD105+BD106</f>
        <v>0.205</v>
      </c>
      <c r="BE109" s="36">
        <f>BE105+BE106</f>
        <v>0.213</v>
      </c>
      <c r="BF109" s="36">
        <f>BF105+BF106</f>
        <v>0.143</v>
      </c>
      <c r="BG109" s="36">
        <f>BG105+BG106</f>
        <v>0.195</v>
      </c>
      <c r="BH109" s="36">
        <f>BH105+BH106</f>
        <v>0.085</v>
      </c>
      <c r="BI109" s="36">
        <f>BI105+BI106</f>
        <v>0.045</v>
      </c>
      <c r="BJ109" s="36">
        <f>BJ105+BJ106</f>
        <v>0.004</v>
      </c>
      <c r="BK109" s="36">
        <f>BK105+BK106</f>
        <v>0.026</v>
      </c>
      <c r="BL109" s="36">
        <f>BL105+BL106</f>
        <v>0.04</v>
      </c>
      <c r="BM109" s="36">
        <f>BM105+BM106</f>
        <v>-0.061</v>
      </c>
      <c r="BN109" s="36">
        <f>BN105+BN106</f>
        <v>-0.044</v>
      </c>
      <c r="BO109" s="36">
        <f>BO105+BO106</f>
        <v>-0.077</v>
      </c>
      <c r="BP109" s="36">
        <f>BP105+BP106</f>
        <v>-0.075</v>
      </c>
      <c r="BQ109" s="36">
        <f>BQ105+BQ106</f>
        <v>-0.065</v>
      </c>
      <c r="BR109" s="36">
        <f>BR105+BR106</f>
        <v>-0.012</v>
      </c>
      <c r="BS109" s="36">
        <f>BS105+BS106</f>
        <v>0.029</v>
      </c>
      <c r="BT109" s="36">
        <f>BT105+BT106</f>
        <v>0.056</v>
      </c>
      <c r="BU109" s="36">
        <f>BU105+BU106</f>
        <v>0.025</v>
      </c>
      <c r="BV109" s="36">
        <f>BV105+BV106</f>
        <v>0.025</v>
      </c>
      <c r="BW109" s="36">
        <f>BW105+BW106</f>
        <v>0.078</v>
      </c>
      <c r="BX109" s="36">
        <f>BX105+BX106</f>
        <v>0.101</v>
      </c>
      <c r="BY109" s="254">
        <f>BY105+BY106</f>
        <v>0.112447076392167</v>
      </c>
      <c r="BZ109" s="254">
        <f>BZ105+BZ106</f>
        <v>0.10570409984247</v>
      </c>
      <c r="CA109" s="254">
        <f>CA105+CA106</f>
        <v>0.0996867877485557</v>
      </c>
      <c r="CB109" s="254">
        <f>CB105+CB106</f>
        <v>0.054991877174875</v>
      </c>
      <c r="CC109" s="254">
        <f>CC105+CC106</f>
        <v>0.0515345848715772</v>
      </c>
      <c r="CD109" s="254">
        <f>CD105+CD106</f>
        <v>0.0473583060450036</v>
      </c>
      <c r="CE109" s="254">
        <f>CE105+CE106</f>
        <v>0.0463484702755775</v>
      </c>
      <c r="CF109" s="19" t="n"/>
      <c r="CH109" s="20">
        <f>IFERROR(AVERAGE(CA109,CB109,CC109,CD109,CE109),"n/m")</f>
        <v>0.0599840052231178</v>
      </c>
      <c r="CI109" s="20">
        <f>IFERROR(AVERAGE(AW109,BB109,BG109,BL109,BQ109,BV109),"n/m")</f>
        <v>0.0443333333333333</v>
      </c>
      <c r="CJ109" s="20">
        <f>IFERROR(AVERAGE(X109,AC109,AH109,AM109,AR109,AW109,BB109,BG109,BL109,BQ109,BV109),"n/m")</f>
        <v>0.0298181818181818</v>
      </c>
      <c r="CK109" s="20">
        <f>IFERROR(AVERAGE(C109,D109,E109,F109,G109,H109,I109,N109,S109,X109,AC109,AH109,AM109,AR109,AW109,BB109,BG109,BL109,BQ109,BV109),"n/m")</f>
        <v>0.03585</v>
      </c>
    </row>
    <row r="110">
      <c r="CF110" s="19" t="n"/>
    </row>
    <row r="111">
      <c r="B111" s="14" t="inlineStr">
        <is>
          <t>Future acquisitions (M&amp;A lever — bolt-ons, unallocated; deals closed from 2027E)</t>
        </is>
      </c>
      <c r="C111" s="14" t="n"/>
      <c r="D111" s="14" t="n"/>
      <c r="E111" s="14" t="n"/>
      <c r="F111" s="14" t="n"/>
      <c r="G111" s="14" t="n"/>
      <c r="H111" s="14" t="n"/>
      <c r="I111" s="14" t="n"/>
      <c r="J111" s="14" t="n"/>
      <c r="K111" s="14" t="n"/>
      <c r="L111" s="14" t="n"/>
      <c r="M111" s="14" t="n"/>
      <c r="N111" s="14" t="n"/>
      <c r="O111" s="14" t="n"/>
      <c r="P111" s="14" t="n"/>
      <c r="Q111" s="14" t="n"/>
      <c r="R111" s="14" t="n"/>
      <c r="S111" s="14" t="n"/>
      <c r="T111" s="14" t="n"/>
      <c r="U111" s="14" t="n"/>
      <c r="V111" s="14" t="n"/>
      <c r="W111" s="14" t="n"/>
      <c r="X111" s="14" t="n"/>
      <c r="Y111" s="14" t="n"/>
      <c r="Z111" s="14" t="n"/>
      <c r="AA111" s="14" t="n"/>
      <c r="AB111" s="14" t="n"/>
      <c r="AC111" s="14" t="n"/>
      <c r="AD111" s="14" t="n"/>
      <c r="AE111" s="14" t="n"/>
      <c r="AF111" s="14" t="n"/>
      <c r="AG111" s="14" t="n"/>
      <c r="AH111" s="14" t="n"/>
      <c r="AI111" s="14" t="n"/>
      <c r="AJ111" s="14" t="n"/>
      <c r="AK111" s="14" t="n"/>
      <c r="AL111" s="14" t="n"/>
      <c r="AM111" s="14" t="n"/>
      <c r="AN111" s="14" t="n"/>
      <c r="AO111" s="14" t="n"/>
      <c r="AP111" s="14" t="n"/>
      <c r="AQ111" s="14" t="n"/>
      <c r="AR111" s="14" t="n"/>
      <c r="AS111" s="14" t="n"/>
      <c r="AT111" s="14" t="n"/>
      <c r="AU111" s="14" t="n"/>
      <c r="AV111" s="14" t="n"/>
      <c r="AW111" s="14" t="n"/>
      <c r="AX111" s="14" t="n"/>
      <c r="AY111" s="14" t="n"/>
      <c r="AZ111" s="14" t="n"/>
      <c r="BA111" s="14" t="n"/>
      <c r="BB111" s="14" t="n"/>
      <c r="BC111" s="14" t="n"/>
      <c r="BD111" s="14" t="n"/>
      <c r="BE111" s="14" t="n"/>
      <c r="BF111" s="14" t="n"/>
      <c r="BG111" s="14" t="n"/>
      <c r="BH111" s="14" t="n"/>
      <c r="BI111" s="14" t="n"/>
      <c r="BJ111" s="14" t="n"/>
      <c r="BK111" s="14" t="n"/>
      <c r="BL111" s="14" t="n"/>
      <c r="BM111" s="14" t="n"/>
      <c r="BN111" s="14" t="n"/>
      <c r="BO111" s="14" t="n"/>
      <c r="BP111" s="14" t="n"/>
      <c r="BQ111" s="14" t="n"/>
      <c r="BR111" s="14" t="n"/>
      <c r="BS111" s="14" t="n"/>
      <c r="BT111" s="14" t="n"/>
      <c r="BU111" s="14" t="n"/>
      <c r="BV111" s="14" t="n"/>
      <c r="BW111" s="14" t="n"/>
      <c r="BX111" s="14" t="n"/>
      <c r="BY111" s="14" t="n"/>
      <c r="BZ111" s="14" t="n"/>
      <c r="CA111" s="14" t="n"/>
      <c r="CB111" s="14" t="n"/>
      <c r="CC111" s="14" t="n"/>
      <c r="CD111" s="14" t="n"/>
      <c r="CE111" s="14" t="n"/>
      <c r="CF111" s="15" t="inlineStr">
        <is>
          <t>M&amp;A LEVER — acquired sales = spend ÷ EV/sales; mid-year convention</t>
        </is>
      </c>
    </row>
    <row r="112">
      <c r="B112" s="25" t="inlineStr">
        <is>
          <t xml:space="preserve">  Acquisition spend (USDm, scenario)</t>
        </is>
      </c>
      <c r="C112" s="34" t="n"/>
      <c r="D112" s="34" t="n"/>
      <c r="E112" s="34" t="n"/>
      <c r="F112" s="34" t="n"/>
      <c r="G112" s="34" t="n"/>
      <c r="H112" s="34" t="n"/>
      <c r="I112" s="34" t="n"/>
      <c r="J112" s="34" t="n"/>
      <c r="K112" s="34" t="n"/>
      <c r="L112" s="34" t="n"/>
      <c r="M112" s="34" t="n"/>
      <c r="N112" s="34" t="n"/>
      <c r="O112" s="34" t="n"/>
      <c r="P112" s="34" t="n"/>
      <c r="Q112" s="34" t="n"/>
      <c r="R112" s="34" t="n"/>
      <c r="S112" s="34" t="n"/>
      <c r="T112" s="34" t="n"/>
      <c r="U112" s="34" t="n"/>
      <c r="V112" s="34" t="n"/>
      <c r="W112" s="34" t="n"/>
      <c r="X112" s="34" t="n"/>
      <c r="Y112" s="34" t="n"/>
      <c r="Z112" s="34" t="n"/>
      <c r="AA112" s="34" t="n"/>
      <c r="AB112" s="34" t="n"/>
      <c r="AC112" s="34" t="n"/>
      <c r="AD112" s="34" t="n"/>
      <c r="AE112" s="34" t="n"/>
      <c r="AF112" s="34" t="n"/>
      <c r="AG112" s="34" t="n"/>
      <c r="AH112" s="34" t="n"/>
      <c r="AI112" s="34" t="n"/>
      <c r="AJ112" s="34" t="n"/>
      <c r="AK112" s="34" t="n"/>
      <c r="AL112" s="34" t="n"/>
      <c r="AM112" s="34" t="n"/>
      <c r="AN112" s="34" t="n"/>
      <c r="AO112" s="34" t="n"/>
      <c r="AP112" s="34" t="n"/>
      <c r="AQ112" s="34" t="n"/>
      <c r="AR112" s="34" t="n"/>
      <c r="AS112" s="34" t="n"/>
      <c r="AT112" s="34" t="n"/>
      <c r="AU112" s="34" t="n"/>
      <c r="AV112" s="34" t="n"/>
      <c r="AW112" s="34" t="n"/>
      <c r="AX112" s="34" t="n"/>
      <c r="AY112" s="34" t="n"/>
      <c r="AZ112" s="34" t="n"/>
      <c r="BA112" s="34" t="n"/>
      <c r="BB112" s="34" t="n"/>
      <c r="BC112" s="34" t="n"/>
      <c r="BD112" s="34" t="n"/>
      <c r="BE112" s="34" t="n"/>
      <c r="BF112" s="34" t="n"/>
      <c r="BG112" s="34" t="n"/>
      <c r="BH112" s="34" t="n"/>
      <c r="BI112" s="34" t="n"/>
      <c r="BJ112" s="34" t="n"/>
      <c r="BK112" s="34" t="n"/>
      <c r="BL112" s="34" t="n"/>
      <c r="BM112" s="34" t="n"/>
      <c r="BN112" s="34" t="n"/>
      <c r="BO112" s="34" t="n"/>
      <c r="BP112" s="34" t="n"/>
      <c r="BQ112" s="34" t="n"/>
      <c r="BR112" s="34" t="n"/>
      <c r="BS112" s="34" t="n"/>
      <c r="BT112" s="34" t="n"/>
      <c r="BU112" s="34" t="n"/>
      <c r="BV112" s="34" t="n"/>
      <c r="BW112" s="34" t="n"/>
      <c r="BX112" s="34" t="n"/>
      <c r="BY112" s="257" t="n"/>
      <c r="BZ112" s="257" t="n"/>
      <c r="CA112" s="261" t="n">
        <v>0</v>
      </c>
      <c r="CB112" s="257">
        <f>MAX(0,CHOOSE(MATCH($CF$2,{"Bull","Base","Bear"},0),$CO$58,$CP$58,$CQ$58))</f>
        <v>200</v>
      </c>
      <c r="CC112" s="257">
        <f>MAX(0,CHOOSE(MATCH($CF$2,{"Bull","Base","Bear"},0),$CO$59,$CP$59,$CQ$59))</f>
        <v>250</v>
      </c>
      <c r="CD112" s="257">
        <f>MAX(0,CHOOSE(MATCH($CF$2,{"Bull","Base","Bear"},0),$CO$60,$CP$60,$CQ$60))</f>
        <v>250</v>
      </c>
      <c r="CE112" s="257">
        <f>MAX(0,CHOOSE(MATCH($CF$2,{"Bull","Base","Bear"},0),$CO$61,$CP$61,$CQ$61))</f>
        <v>250</v>
      </c>
      <c r="CF112" s="19" t="inlineStr">
        <is>
          <t>Scenario lever MA_spend. LECO deployed ~$50–400m p.a. on bolt-ons in 2016–25 (Air Liquide Welding, Baker, Kestra, Fori, RedViking, Vanair, Alloy Steel …).</t>
        </is>
      </c>
    </row>
    <row r="113">
      <c r="B113" s="25" t="inlineStr">
        <is>
          <t xml:space="preserve">  Purchase multiple — EV / sales (x)</t>
        </is>
      </c>
      <c r="C113" s="262" t="n"/>
      <c r="D113" s="262" t="n"/>
      <c r="E113" s="262" t="n"/>
      <c r="F113" s="262" t="n"/>
      <c r="G113" s="262" t="n"/>
      <c r="H113" s="262" t="n"/>
      <c r="I113" s="262" t="n"/>
      <c r="J113" s="262" t="n"/>
      <c r="K113" s="262" t="n"/>
      <c r="L113" s="262" t="n"/>
      <c r="M113" s="262" t="n"/>
      <c r="N113" s="262" t="n"/>
      <c r="O113" s="262" t="n"/>
      <c r="P113" s="262" t="n"/>
      <c r="Q113" s="262" t="n"/>
      <c r="R113" s="262" t="n"/>
      <c r="S113" s="262" t="n"/>
      <c r="T113" s="262" t="n"/>
      <c r="U113" s="262" t="n"/>
      <c r="V113" s="262" t="n"/>
      <c r="W113" s="262" t="n"/>
      <c r="X113" s="262" t="n"/>
      <c r="Y113" s="262" t="n"/>
      <c r="Z113" s="262" t="n"/>
      <c r="AA113" s="262" t="n"/>
      <c r="AB113" s="262" t="n"/>
      <c r="AC113" s="262" t="n"/>
      <c r="AD113" s="262" t="n"/>
      <c r="AE113" s="262" t="n"/>
      <c r="AF113" s="262" t="n"/>
      <c r="AG113" s="262" t="n"/>
      <c r="AH113" s="262" t="n"/>
      <c r="AI113" s="262" t="n"/>
      <c r="AJ113" s="262" t="n"/>
      <c r="AK113" s="262" t="n"/>
      <c r="AL113" s="262" t="n"/>
      <c r="AM113" s="262" t="n"/>
      <c r="AN113" s="262" t="n"/>
      <c r="AO113" s="262" t="n"/>
      <c r="AP113" s="262" t="n"/>
      <c r="AQ113" s="262" t="n"/>
      <c r="AR113" s="262" t="n"/>
      <c r="AS113" s="262" t="n"/>
      <c r="AT113" s="262" t="n"/>
      <c r="AU113" s="262" t="n"/>
      <c r="AV113" s="262" t="n"/>
      <c r="AW113" s="262" t="n"/>
      <c r="AX113" s="262" t="n"/>
      <c r="AY113" s="262" t="n"/>
      <c r="AZ113" s="262" t="n"/>
      <c r="BA113" s="262" t="n"/>
      <c r="BB113" s="262" t="n"/>
      <c r="BC113" s="262" t="n"/>
      <c r="BD113" s="262" t="n"/>
      <c r="BE113" s="262" t="n"/>
      <c r="BF113" s="262" t="n"/>
      <c r="BG113" s="262" t="n"/>
      <c r="BH113" s="262" t="n"/>
      <c r="BI113" s="262" t="n"/>
      <c r="BJ113" s="262" t="n"/>
      <c r="BK113" s="262" t="n"/>
      <c r="BL113" s="262" t="n"/>
      <c r="BM113" s="262" t="n"/>
      <c r="BN113" s="262" t="n"/>
      <c r="BO113" s="262" t="n"/>
      <c r="BP113" s="262" t="n"/>
      <c r="BQ113" s="262" t="n"/>
      <c r="BR113" s="262" t="n"/>
      <c r="BS113" s="262" t="n"/>
      <c r="BT113" s="262" t="n"/>
      <c r="BU113" s="262" t="n"/>
      <c r="BV113" s="262" t="n"/>
      <c r="BW113" s="262" t="n"/>
      <c r="BX113" s="262" t="n"/>
      <c r="BY113" s="263" t="n"/>
      <c r="BZ113" s="263" t="n"/>
      <c r="CA113" s="263" t="n"/>
      <c r="CB113" s="264" t="n">
        <v>2</v>
      </c>
      <c r="CC113" s="264" t="n">
        <v>2</v>
      </c>
      <c r="CD113" s="264" t="n">
        <v>2</v>
      </c>
      <c r="CE113" s="264" t="n">
        <v>2</v>
      </c>
      <c r="CF113" s="19" t="n"/>
    </row>
    <row r="114">
      <c r="B114" s="25" t="inlineStr">
        <is>
          <t xml:space="preserve">  Annualised sales acquired in the year</t>
        </is>
      </c>
      <c r="C114" s="34" t="n"/>
      <c r="D114" s="34" t="n"/>
      <c r="E114" s="34" t="n"/>
      <c r="F114" s="34" t="n"/>
      <c r="G114" s="34" t="n"/>
      <c r="H114" s="34" t="n"/>
      <c r="I114" s="34" t="n"/>
      <c r="J114" s="34" t="n"/>
      <c r="K114" s="34" t="n"/>
      <c r="L114" s="34" t="n"/>
      <c r="M114" s="34" t="n"/>
      <c r="N114" s="34" t="n"/>
      <c r="O114" s="34" t="n"/>
      <c r="P114" s="34" t="n"/>
      <c r="Q114" s="34" t="n"/>
      <c r="R114" s="34" t="n"/>
      <c r="S114" s="34" t="n"/>
      <c r="T114" s="34" t="n"/>
      <c r="U114" s="34" t="n"/>
      <c r="V114" s="34" t="n"/>
      <c r="W114" s="34" t="n"/>
      <c r="X114" s="34" t="n"/>
      <c r="Y114" s="34" t="n"/>
      <c r="Z114" s="34" t="n"/>
      <c r="AA114" s="34" t="n"/>
      <c r="AB114" s="34" t="n"/>
      <c r="AC114" s="34" t="n"/>
      <c r="AD114" s="34" t="n"/>
      <c r="AE114" s="34" t="n"/>
      <c r="AF114" s="34" t="n"/>
      <c r="AG114" s="34" t="n"/>
      <c r="AH114" s="34" t="n"/>
      <c r="AI114" s="34" t="n"/>
      <c r="AJ114" s="34" t="n"/>
      <c r="AK114" s="34" t="n"/>
      <c r="AL114" s="34" t="n"/>
      <c r="AM114" s="34" t="n"/>
      <c r="AN114" s="34" t="n"/>
      <c r="AO114" s="34" t="n"/>
      <c r="AP114" s="34" t="n"/>
      <c r="AQ114" s="34" t="n"/>
      <c r="AR114" s="34" t="n"/>
      <c r="AS114" s="34" t="n"/>
      <c r="AT114" s="34" t="n"/>
      <c r="AU114" s="34" t="n"/>
      <c r="AV114" s="34" t="n"/>
      <c r="AW114" s="34" t="n"/>
      <c r="AX114" s="34" t="n"/>
      <c r="AY114" s="34" t="n"/>
      <c r="AZ114" s="34" t="n"/>
      <c r="BA114" s="34" t="n"/>
      <c r="BB114" s="34" t="n"/>
      <c r="BC114" s="34" t="n"/>
      <c r="BD114" s="34" t="n"/>
      <c r="BE114" s="34" t="n"/>
      <c r="BF114" s="34" t="n"/>
      <c r="BG114" s="34" t="n"/>
      <c r="BH114" s="34" t="n"/>
      <c r="BI114" s="34" t="n"/>
      <c r="BJ114" s="34" t="n"/>
      <c r="BK114" s="34" t="n"/>
      <c r="BL114" s="34" t="n"/>
      <c r="BM114" s="34" t="n"/>
      <c r="BN114" s="34" t="n"/>
      <c r="BO114" s="34" t="n"/>
      <c r="BP114" s="34" t="n"/>
      <c r="BQ114" s="34" t="n"/>
      <c r="BR114" s="34" t="n"/>
      <c r="BS114" s="34" t="n"/>
      <c r="BT114" s="34" t="n"/>
      <c r="BU114" s="34" t="n"/>
      <c r="BV114" s="34" t="n"/>
      <c r="BW114" s="34" t="n"/>
      <c r="BX114" s="34" t="n"/>
      <c r="BY114" s="257" t="n"/>
      <c r="BZ114" s="257" t="n"/>
      <c r="CA114" s="261" t="n">
        <v>0</v>
      </c>
      <c r="CB114" s="257">
        <f>IFERROR(CB112/CB113,0)</f>
        <v>100</v>
      </c>
      <c r="CC114" s="257">
        <f>IFERROR(CC112/CC113,0)</f>
        <v>125</v>
      </c>
      <c r="CD114" s="257">
        <f>IFERROR(CD112/CD113,0)</f>
        <v>125</v>
      </c>
      <c r="CE114" s="257">
        <f>IFERROR(CE112/CE113,0)</f>
        <v>125</v>
      </c>
      <c r="CF114" s="19" t="n"/>
    </row>
    <row r="115">
      <c r="B115" s="22" t="inlineStr">
        <is>
          <t xml:space="preserve">  Growth of acquired businesses after acquisition %</t>
        </is>
      </c>
      <c r="C115" s="23" t="n"/>
      <c r="D115" s="23" t="n"/>
      <c r="E115" s="23" t="n"/>
      <c r="F115" s="23" t="n"/>
      <c r="G115" s="23" t="n"/>
      <c r="H115" s="23" t="n"/>
      <c r="I115" s="23" t="n"/>
      <c r="J115" s="23" t="n"/>
      <c r="K115" s="23" t="n"/>
      <c r="L115" s="23" t="n"/>
      <c r="M115" s="23" t="n"/>
      <c r="N115" s="23" t="n"/>
      <c r="O115" s="23" t="n"/>
      <c r="P115" s="23" t="n"/>
      <c r="Q115" s="23" t="n"/>
      <c r="R115" s="23" t="n"/>
      <c r="S115" s="23" t="n"/>
      <c r="T115" s="23" t="n"/>
      <c r="U115" s="23" t="n"/>
      <c r="V115" s="23" t="n"/>
      <c r="W115" s="23" t="n"/>
      <c r="X115" s="23" t="n"/>
      <c r="Y115" s="23" t="n"/>
      <c r="Z115" s="23" t="n"/>
      <c r="AA115" s="23" t="n"/>
      <c r="AB115" s="23" t="n"/>
      <c r="AC115" s="23" t="n"/>
      <c r="AD115" s="23" t="n"/>
      <c r="AE115" s="23" t="n"/>
      <c r="AF115" s="23" t="n"/>
      <c r="AG115" s="23" t="n"/>
      <c r="AH115" s="23" t="n"/>
      <c r="AI115" s="23" t="n"/>
      <c r="AJ115" s="23" t="n"/>
      <c r="AK115" s="23" t="n"/>
      <c r="AL115" s="23" t="n"/>
      <c r="AM115" s="23" t="n"/>
      <c r="AN115" s="23" t="n"/>
      <c r="AO115" s="23" t="n"/>
      <c r="AP115" s="23" t="n"/>
      <c r="AQ115" s="23" t="n"/>
      <c r="AR115" s="23" t="n"/>
      <c r="AS115" s="23" t="n"/>
      <c r="AT115" s="23" t="n"/>
      <c r="AU115" s="23" t="n"/>
      <c r="AV115" s="23" t="n"/>
      <c r="AW115" s="23" t="n"/>
      <c r="AX115" s="23" t="n"/>
      <c r="AY115" s="23" t="n"/>
      <c r="AZ115" s="23" t="n"/>
      <c r="BA115" s="23" t="n"/>
      <c r="BB115" s="23" t="n"/>
      <c r="BC115" s="23" t="n"/>
      <c r="BD115" s="23" t="n"/>
      <c r="BE115" s="23" t="n"/>
      <c r="BF115" s="23" t="n"/>
      <c r="BG115" s="23" t="n"/>
      <c r="BH115" s="23" t="n"/>
      <c r="BI115" s="23" t="n"/>
      <c r="BJ115" s="23" t="n"/>
      <c r="BK115" s="23" t="n"/>
      <c r="BL115" s="23" t="n"/>
      <c r="BM115" s="23" t="n"/>
      <c r="BN115" s="23" t="n"/>
      <c r="BO115" s="23" t="n"/>
      <c r="BP115" s="23" t="n"/>
      <c r="BQ115" s="23" t="n"/>
      <c r="BR115" s="23" t="n"/>
      <c r="BS115" s="23" t="n"/>
      <c r="BT115" s="23" t="n"/>
      <c r="BU115" s="23" t="n"/>
      <c r="BV115" s="23" t="n"/>
      <c r="BW115" s="23" t="n"/>
      <c r="BX115" s="23" t="n"/>
      <c r="BY115" s="254" t="n"/>
      <c r="BZ115" s="254" t="n"/>
      <c r="CA115" s="254" t="n"/>
      <c r="CB115" s="255" t="n">
        <v>0.04</v>
      </c>
      <c r="CC115" s="255" t="n">
        <v>0.04</v>
      </c>
      <c r="CD115" s="255" t="n">
        <v>0.04</v>
      </c>
      <c r="CE115" s="255" t="n">
        <v>0.04</v>
      </c>
      <c r="CF115" s="19" t="n"/>
    </row>
    <row r="116">
      <c r="B116" s="25" t="inlineStr">
        <is>
          <t xml:space="preserve">  Run-rate sales of businesses acquired (year end)</t>
        </is>
      </c>
      <c r="C116" s="34" t="n"/>
      <c r="D116" s="34" t="n"/>
      <c r="E116" s="34" t="n"/>
      <c r="F116" s="34" t="n"/>
      <c r="G116" s="34" t="n"/>
      <c r="H116" s="34" t="n"/>
      <c r="I116" s="34" t="n"/>
      <c r="J116" s="34" t="n"/>
      <c r="K116" s="34" t="n"/>
      <c r="L116" s="34" t="n"/>
      <c r="M116" s="34" t="n"/>
      <c r="N116" s="34" t="n"/>
      <c r="O116" s="34" t="n"/>
      <c r="P116" s="34" t="n"/>
      <c r="Q116" s="34" t="n"/>
      <c r="R116" s="34" t="n"/>
      <c r="S116" s="34" t="n"/>
      <c r="T116" s="34" t="n"/>
      <c r="U116" s="34" t="n"/>
      <c r="V116" s="34" t="n"/>
      <c r="W116" s="34" t="n"/>
      <c r="X116" s="34" t="n"/>
      <c r="Y116" s="34" t="n"/>
      <c r="Z116" s="34" t="n"/>
      <c r="AA116" s="34" t="n"/>
      <c r="AB116" s="34" t="n"/>
      <c r="AC116" s="34" t="n"/>
      <c r="AD116" s="34" t="n"/>
      <c r="AE116" s="34" t="n"/>
      <c r="AF116" s="34" t="n"/>
      <c r="AG116" s="34" t="n"/>
      <c r="AH116" s="34" t="n"/>
      <c r="AI116" s="34" t="n"/>
      <c r="AJ116" s="34" t="n"/>
      <c r="AK116" s="34" t="n"/>
      <c r="AL116" s="34" t="n"/>
      <c r="AM116" s="34" t="n"/>
      <c r="AN116" s="34" t="n"/>
      <c r="AO116" s="34" t="n"/>
      <c r="AP116" s="34" t="n"/>
      <c r="AQ116" s="34" t="n"/>
      <c r="AR116" s="34" t="n"/>
      <c r="AS116" s="34" t="n"/>
      <c r="AT116" s="34" t="n"/>
      <c r="AU116" s="34" t="n"/>
      <c r="AV116" s="34" t="n"/>
      <c r="AW116" s="34" t="n"/>
      <c r="AX116" s="34" t="n"/>
      <c r="AY116" s="34" t="n"/>
      <c r="AZ116" s="34" t="n"/>
      <c r="BA116" s="34" t="n"/>
      <c r="BB116" s="34" t="n"/>
      <c r="BC116" s="34" t="n"/>
      <c r="BD116" s="34" t="n"/>
      <c r="BE116" s="34" t="n"/>
      <c r="BF116" s="34" t="n"/>
      <c r="BG116" s="34" t="n"/>
      <c r="BH116" s="34" t="n"/>
      <c r="BI116" s="34" t="n"/>
      <c r="BJ116" s="34" t="n"/>
      <c r="BK116" s="34" t="n"/>
      <c r="BL116" s="34" t="n"/>
      <c r="BM116" s="34" t="n"/>
      <c r="BN116" s="34" t="n"/>
      <c r="BO116" s="34" t="n"/>
      <c r="BP116" s="34" t="n"/>
      <c r="BQ116" s="34" t="n"/>
      <c r="BR116" s="34" t="n"/>
      <c r="BS116" s="34" t="n"/>
      <c r="BT116" s="34" t="n"/>
      <c r="BU116" s="34" t="n"/>
      <c r="BV116" s="34" t="n"/>
      <c r="BW116" s="34" t="n"/>
      <c r="BX116" s="34" t="n"/>
      <c r="BY116" s="257" t="n"/>
      <c r="BZ116" s="257" t="n"/>
      <c r="CA116" s="261" t="n">
        <v>0</v>
      </c>
      <c r="CB116" s="257">
        <f>CA116*(1+CB115)+CB114</f>
        <v>100</v>
      </c>
      <c r="CC116" s="257">
        <f>CB116*(1+CC115)+CC114</f>
        <v>229</v>
      </c>
      <c r="CD116" s="257">
        <f>CC116*(1+CD115)+CD114</f>
        <v>363.16</v>
      </c>
      <c r="CE116" s="257">
        <f>CD116*(1+CE115)+CE114</f>
        <v>502.6864</v>
      </c>
      <c r="CF116" s="19" t="n"/>
    </row>
    <row r="117">
      <c r="B117" s="16" t="inlineStr">
        <is>
          <t xml:space="preserve">  Net sales from future acquisitions</t>
        </is>
      </c>
      <c r="C117" s="43" t="n"/>
      <c r="D117" s="43" t="n"/>
      <c r="E117" s="43" t="n"/>
      <c r="F117" s="43" t="n"/>
      <c r="G117" s="43" t="n"/>
      <c r="H117" s="43" t="n"/>
      <c r="I117" s="43" t="n"/>
      <c r="J117" s="43" t="n"/>
      <c r="K117" s="43" t="n"/>
      <c r="L117" s="43" t="n"/>
      <c r="M117" s="43" t="n"/>
      <c r="N117" s="43" t="n"/>
      <c r="O117" s="43" t="n"/>
      <c r="P117" s="43" t="n"/>
      <c r="Q117" s="43" t="n"/>
      <c r="R117" s="43" t="n"/>
      <c r="S117" s="43" t="n"/>
      <c r="T117" s="43" t="n"/>
      <c r="U117" s="43" t="n"/>
      <c r="V117" s="43" t="n"/>
      <c r="W117" s="43" t="n"/>
      <c r="X117" s="43" t="n"/>
      <c r="Y117" s="43" t="n"/>
      <c r="Z117" s="43" t="n"/>
      <c r="AA117" s="43" t="n"/>
      <c r="AB117" s="43" t="n"/>
      <c r="AC117" s="43" t="n"/>
      <c r="AD117" s="43" t="n"/>
      <c r="AE117" s="43" t="n"/>
      <c r="AF117" s="43" t="n"/>
      <c r="AG117" s="43" t="n"/>
      <c r="AH117" s="43" t="n"/>
      <c r="AI117" s="43" t="n"/>
      <c r="AJ117" s="43" t="n"/>
      <c r="AK117" s="43" t="n"/>
      <c r="AL117" s="43" t="n"/>
      <c r="AM117" s="43" t="n"/>
      <c r="AN117" s="43" t="n"/>
      <c r="AO117" s="43" t="n"/>
      <c r="AP117" s="43" t="n"/>
      <c r="AQ117" s="43" t="n"/>
      <c r="AR117" s="43" t="n"/>
      <c r="AS117" s="43" t="n"/>
      <c r="AT117" s="43" t="n"/>
      <c r="AU117" s="43" t="n"/>
      <c r="AV117" s="43" t="n"/>
      <c r="AW117" s="43" t="n"/>
      <c r="AX117" s="43" t="n"/>
      <c r="AY117" s="43" t="n"/>
      <c r="AZ117" s="43" t="n"/>
      <c r="BA117" s="43" t="n"/>
      <c r="BB117" s="43" t="n"/>
      <c r="BC117" s="43" t="n"/>
      <c r="BD117" s="43" t="n"/>
      <c r="BE117" s="43" t="n"/>
      <c r="BF117" s="43" t="n"/>
      <c r="BG117" s="43" t="n"/>
      <c r="BH117" s="43" t="n"/>
      <c r="BI117" s="43" t="n"/>
      <c r="BJ117" s="43" t="n"/>
      <c r="BK117" s="43" t="n"/>
      <c r="BL117" s="43" t="n"/>
      <c r="BM117" s="43" t="n"/>
      <c r="BN117" s="43" t="n"/>
      <c r="BO117" s="43" t="n"/>
      <c r="BP117" s="43" t="n"/>
      <c r="BQ117" s="43" t="n"/>
      <c r="BR117" s="43" t="n"/>
      <c r="BS117" s="43" t="n"/>
      <c r="BT117" s="43" t="n"/>
      <c r="BU117" s="43" t="n"/>
      <c r="BV117" s="43" t="n"/>
      <c r="BW117" s="43" t="n"/>
      <c r="BX117" s="43" t="n"/>
      <c r="BY117" s="253" t="n"/>
      <c r="BZ117" s="253" t="n"/>
      <c r="CA117" s="265" t="n">
        <v>0</v>
      </c>
      <c r="CB117" s="253">
        <f>CA116*(1+CB115)+CB114*0.5</f>
        <v>50</v>
      </c>
      <c r="CC117" s="253">
        <f>CB116*(1+CC115)+CC114*0.5</f>
        <v>166.5</v>
      </c>
      <c r="CD117" s="253">
        <f>CC116*(1+CD115)+CD114*0.5</f>
        <v>300.66</v>
      </c>
      <c r="CE117" s="253">
        <f>CD116*(1+CE115)+CE114*0.5</f>
        <v>440.1864</v>
      </c>
      <c r="CF117" s="19" t="inlineStr">
        <is>
          <t>Mid-year convention: deals close evenly through the year (half a year of sales in year 1).</t>
        </is>
      </c>
    </row>
    <row r="118">
      <c r="B118" s="22" t="inlineStr">
        <is>
          <t xml:space="preserve">  Adjusted EBIT margin of acquired businesses % (after D&amp;A)</t>
        </is>
      </c>
      <c r="C118" s="23" t="n"/>
      <c r="D118" s="23" t="n"/>
      <c r="E118" s="23" t="n"/>
      <c r="F118" s="23" t="n"/>
      <c r="G118" s="23" t="n"/>
      <c r="H118" s="23" t="n"/>
      <c r="I118" s="23" t="n"/>
      <c r="J118" s="23" t="n"/>
      <c r="K118" s="23" t="n"/>
      <c r="L118" s="23" t="n"/>
      <c r="M118" s="23" t="n"/>
      <c r="N118" s="23" t="n"/>
      <c r="O118" s="23" t="n"/>
      <c r="P118" s="23" t="n"/>
      <c r="Q118" s="23" t="n"/>
      <c r="R118" s="23" t="n"/>
      <c r="S118" s="23" t="n"/>
      <c r="T118" s="23" t="n"/>
      <c r="U118" s="23" t="n"/>
      <c r="V118" s="23" t="n"/>
      <c r="W118" s="23" t="n"/>
      <c r="X118" s="23" t="n"/>
      <c r="Y118" s="23" t="n"/>
      <c r="Z118" s="23" t="n"/>
      <c r="AA118" s="23" t="n"/>
      <c r="AB118" s="23" t="n"/>
      <c r="AC118" s="23" t="n"/>
      <c r="AD118" s="23" t="n"/>
      <c r="AE118" s="23" t="n"/>
      <c r="AF118" s="23" t="n"/>
      <c r="AG118" s="23" t="n"/>
      <c r="AH118" s="23" t="n"/>
      <c r="AI118" s="23" t="n"/>
      <c r="AJ118" s="23" t="n"/>
      <c r="AK118" s="23" t="n"/>
      <c r="AL118" s="23" t="n"/>
      <c r="AM118" s="23" t="n"/>
      <c r="AN118" s="23" t="n"/>
      <c r="AO118" s="23" t="n"/>
      <c r="AP118" s="23" t="n"/>
      <c r="AQ118" s="23" t="n"/>
      <c r="AR118" s="23" t="n"/>
      <c r="AS118" s="23" t="n"/>
      <c r="AT118" s="23" t="n"/>
      <c r="AU118" s="23" t="n"/>
      <c r="AV118" s="23" t="n"/>
      <c r="AW118" s="23" t="n"/>
      <c r="AX118" s="23" t="n"/>
      <c r="AY118" s="23" t="n"/>
      <c r="AZ118" s="23" t="n"/>
      <c r="BA118" s="23" t="n"/>
      <c r="BB118" s="23" t="n"/>
      <c r="BC118" s="23" t="n"/>
      <c r="BD118" s="23" t="n"/>
      <c r="BE118" s="23" t="n"/>
      <c r="BF118" s="23" t="n"/>
      <c r="BG118" s="23" t="n"/>
      <c r="BH118" s="23" t="n"/>
      <c r="BI118" s="23" t="n"/>
      <c r="BJ118" s="23" t="n"/>
      <c r="BK118" s="23" t="n"/>
      <c r="BL118" s="23" t="n"/>
      <c r="BM118" s="23" t="n"/>
      <c r="BN118" s="23" t="n"/>
      <c r="BO118" s="23" t="n"/>
      <c r="BP118" s="23" t="n"/>
      <c r="BQ118" s="23" t="n"/>
      <c r="BR118" s="23" t="n"/>
      <c r="BS118" s="23" t="n"/>
      <c r="BT118" s="23" t="n"/>
      <c r="BU118" s="23" t="n"/>
      <c r="BV118" s="23" t="n"/>
      <c r="BW118" s="23" t="n"/>
      <c r="BX118" s="23" t="n"/>
      <c r="BY118" s="254" t="n"/>
      <c r="BZ118" s="254" t="n"/>
      <c r="CA118" s="254" t="n"/>
      <c r="CB118" s="255" t="n">
        <v>0.15</v>
      </c>
      <c r="CC118" s="255" t="n">
        <v>0.15</v>
      </c>
      <c r="CD118" s="255" t="n">
        <v>0.15</v>
      </c>
      <c r="CE118" s="255" t="n">
        <v>0.15</v>
      </c>
      <c r="CF118" s="19" t="n"/>
    </row>
    <row r="119">
      <c r="B119" s="25" t="inlineStr">
        <is>
          <t xml:space="preserve">  Adjusted EBIT from future acquisitions</t>
        </is>
      </c>
      <c r="C119" s="34" t="n"/>
      <c r="D119" s="34" t="n"/>
      <c r="E119" s="34" t="n"/>
      <c r="F119" s="34" t="n"/>
      <c r="G119" s="34" t="n"/>
      <c r="H119" s="34" t="n"/>
      <c r="I119" s="34" t="n"/>
      <c r="J119" s="34" t="n"/>
      <c r="K119" s="34" t="n"/>
      <c r="L119" s="34" t="n"/>
      <c r="M119" s="34" t="n"/>
      <c r="N119" s="34" t="n"/>
      <c r="O119" s="34" t="n"/>
      <c r="P119" s="34" t="n"/>
      <c r="Q119" s="34" t="n"/>
      <c r="R119" s="34" t="n"/>
      <c r="S119" s="34" t="n"/>
      <c r="T119" s="34" t="n"/>
      <c r="U119" s="34" t="n"/>
      <c r="V119" s="34" t="n"/>
      <c r="W119" s="34" t="n"/>
      <c r="X119" s="34" t="n"/>
      <c r="Y119" s="34" t="n"/>
      <c r="Z119" s="34" t="n"/>
      <c r="AA119" s="34" t="n"/>
      <c r="AB119" s="34" t="n"/>
      <c r="AC119" s="34" t="n"/>
      <c r="AD119" s="34" t="n"/>
      <c r="AE119" s="34" t="n"/>
      <c r="AF119" s="34" t="n"/>
      <c r="AG119" s="34" t="n"/>
      <c r="AH119" s="34" t="n"/>
      <c r="AI119" s="34" t="n"/>
      <c r="AJ119" s="34" t="n"/>
      <c r="AK119" s="34" t="n"/>
      <c r="AL119" s="34" t="n"/>
      <c r="AM119" s="34" t="n"/>
      <c r="AN119" s="34" t="n"/>
      <c r="AO119" s="34" t="n"/>
      <c r="AP119" s="34" t="n"/>
      <c r="AQ119" s="34" t="n"/>
      <c r="AR119" s="34" t="n"/>
      <c r="AS119" s="34" t="n"/>
      <c r="AT119" s="34" t="n"/>
      <c r="AU119" s="34" t="n"/>
      <c r="AV119" s="34" t="n"/>
      <c r="AW119" s="34" t="n"/>
      <c r="AX119" s="34" t="n"/>
      <c r="AY119" s="34" t="n"/>
      <c r="AZ119" s="34" t="n"/>
      <c r="BA119" s="34" t="n"/>
      <c r="BB119" s="34" t="n"/>
      <c r="BC119" s="34" t="n"/>
      <c r="BD119" s="34" t="n"/>
      <c r="BE119" s="34" t="n"/>
      <c r="BF119" s="34" t="n"/>
      <c r="BG119" s="34" t="n"/>
      <c r="BH119" s="34" t="n"/>
      <c r="BI119" s="34" t="n"/>
      <c r="BJ119" s="34" t="n"/>
      <c r="BK119" s="34" t="n"/>
      <c r="BL119" s="34" t="n"/>
      <c r="BM119" s="34" t="n"/>
      <c r="BN119" s="34" t="n"/>
      <c r="BO119" s="34" t="n"/>
      <c r="BP119" s="34" t="n"/>
      <c r="BQ119" s="34" t="n"/>
      <c r="BR119" s="34" t="n"/>
      <c r="BS119" s="34" t="n"/>
      <c r="BT119" s="34" t="n"/>
      <c r="BU119" s="34" t="n"/>
      <c r="BV119" s="34" t="n"/>
      <c r="BW119" s="34" t="n"/>
      <c r="BX119" s="34" t="n"/>
      <c r="BY119" s="257" t="n"/>
      <c r="BZ119" s="257" t="n"/>
      <c r="CA119" s="261" t="n">
        <v>0</v>
      </c>
      <c r="CB119" s="257">
        <f>CB117*CB118</f>
        <v>7.5</v>
      </c>
      <c r="CC119" s="257">
        <f>CC117*CC118</f>
        <v>24.975</v>
      </c>
      <c r="CD119" s="257">
        <f>CD117*CD118</f>
        <v>45.099</v>
      </c>
      <c r="CE119" s="257">
        <f>CE117*CE118</f>
        <v>66.02796</v>
      </c>
      <c r="CF119" s="19" t="n"/>
    </row>
    <row r="120">
      <c r="B120" s="22" t="inlineStr">
        <is>
          <t xml:space="preserve">  D&amp;A of acquired businesses % of sales (incl. intangible amortization)</t>
        </is>
      </c>
      <c r="C120" s="23" t="n"/>
      <c r="D120" s="23" t="n"/>
      <c r="E120" s="23" t="n"/>
      <c r="F120" s="23" t="n"/>
      <c r="G120" s="23" t="n"/>
      <c r="H120" s="23" t="n"/>
      <c r="I120" s="23" t="n"/>
      <c r="J120" s="23" t="n"/>
      <c r="K120" s="23" t="n"/>
      <c r="L120" s="23" t="n"/>
      <c r="M120" s="23" t="n"/>
      <c r="N120" s="23" t="n"/>
      <c r="O120" s="23" t="n"/>
      <c r="P120" s="23" t="n"/>
      <c r="Q120" s="23" t="n"/>
      <c r="R120" s="23" t="n"/>
      <c r="S120" s="23" t="n"/>
      <c r="T120" s="23" t="n"/>
      <c r="U120" s="23" t="n"/>
      <c r="V120" s="23" t="n"/>
      <c r="W120" s="23" t="n"/>
      <c r="X120" s="23" t="n"/>
      <c r="Y120" s="23" t="n"/>
      <c r="Z120" s="23" t="n"/>
      <c r="AA120" s="23" t="n"/>
      <c r="AB120" s="23" t="n"/>
      <c r="AC120" s="23" t="n"/>
      <c r="AD120" s="23" t="n"/>
      <c r="AE120" s="23" t="n"/>
      <c r="AF120" s="23" t="n"/>
      <c r="AG120" s="23" t="n"/>
      <c r="AH120" s="23" t="n"/>
      <c r="AI120" s="23" t="n"/>
      <c r="AJ120" s="23" t="n"/>
      <c r="AK120" s="23" t="n"/>
      <c r="AL120" s="23" t="n"/>
      <c r="AM120" s="23" t="n"/>
      <c r="AN120" s="23" t="n"/>
      <c r="AO120" s="23" t="n"/>
      <c r="AP120" s="23" t="n"/>
      <c r="AQ120" s="23" t="n"/>
      <c r="AR120" s="23" t="n"/>
      <c r="AS120" s="23" t="n"/>
      <c r="AT120" s="23" t="n"/>
      <c r="AU120" s="23" t="n"/>
      <c r="AV120" s="23" t="n"/>
      <c r="AW120" s="23" t="n"/>
      <c r="AX120" s="23" t="n"/>
      <c r="AY120" s="23" t="n"/>
      <c r="AZ120" s="23" t="n"/>
      <c r="BA120" s="23" t="n"/>
      <c r="BB120" s="23" t="n"/>
      <c r="BC120" s="23" t="n"/>
      <c r="BD120" s="23" t="n"/>
      <c r="BE120" s="23" t="n"/>
      <c r="BF120" s="23" t="n"/>
      <c r="BG120" s="23" t="n"/>
      <c r="BH120" s="23" t="n"/>
      <c r="BI120" s="23" t="n"/>
      <c r="BJ120" s="23" t="n"/>
      <c r="BK120" s="23" t="n"/>
      <c r="BL120" s="23" t="n"/>
      <c r="BM120" s="23" t="n"/>
      <c r="BN120" s="23" t="n"/>
      <c r="BO120" s="23" t="n"/>
      <c r="BP120" s="23" t="n"/>
      <c r="BQ120" s="23" t="n"/>
      <c r="BR120" s="23" t="n"/>
      <c r="BS120" s="23" t="n"/>
      <c r="BT120" s="23" t="n"/>
      <c r="BU120" s="23" t="n"/>
      <c r="BV120" s="23" t="n"/>
      <c r="BW120" s="23" t="n"/>
      <c r="BX120" s="23" t="n"/>
      <c r="BY120" s="254" t="n"/>
      <c r="BZ120" s="254" t="n"/>
      <c r="CA120" s="254" t="n"/>
      <c r="CB120" s="255" t="n">
        <v>0.06</v>
      </c>
      <c r="CC120" s="255" t="n">
        <v>0.06</v>
      </c>
      <c r="CD120" s="255" t="n">
        <v>0.06</v>
      </c>
      <c r="CE120" s="255" t="n">
        <v>0.06</v>
      </c>
      <c r="CF120" s="19" t="n"/>
    </row>
    <row r="121">
      <c r="B121" s="25" t="inlineStr">
        <is>
          <t xml:space="preserve">  D&amp;A from future acquisitions</t>
        </is>
      </c>
      <c r="C121" s="34" t="n"/>
      <c r="D121" s="34" t="n"/>
      <c r="E121" s="34" t="n"/>
      <c r="F121" s="34" t="n"/>
      <c r="G121" s="34" t="n"/>
      <c r="H121" s="34" t="n"/>
      <c r="I121" s="34" t="n"/>
      <c r="J121" s="34" t="n"/>
      <c r="K121" s="34" t="n"/>
      <c r="L121" s="34" t="n"/>
      <c r="M121" s="34" t="n"/>
      <c r="N121" s="34" t="n"/>
      <c r="O121" s="34" t="n"/>
      <c r="P121" s="34" t="n"/>
      <c r="Q121" s="34" t="n"/>
      <c r="R121" s="34" t="n"/>
      <c r="S121" s="34" t="n"/>
      <c r="T121" s="34" t="n"/>
      <c r="U121" s="34" t="n"/>
      <c r="V121" s="34" t="n"/>
      <c r="W121" s="34" t="n"/>
      <c r="X121" s="34" t="n"/>
      <c r="Y121" s="34" t="n"/>
      <c r="Z121" s="34" t="n"/>
      <c r="AA121" s="34" t="n"/>
      <c r="AB121" s="34" t="n"/>
      <c r="AC121" s="34" t="n"/>
      <c r="AD121" s="34" t="n"/>
      <c r="AE121" s="34" t="n"/>
      <c r="AF121" s="34" t="n"/>
      <c r="AG121" s="34" t="n"/>
      <c r="AH121" s="34" t="n"/>
      <c r="AI121" s="34" t="n"/>
      <c r="AJ121" s="34" t="n"/>
      <c r="AK121" s="34" t="n"/>
      <c r="AL121" s="34" t="n"/>
      <c r="AM121" s="34" t="n"/>
      <c r="AN121" s="34" t="n"/>
      <c r="AO121" s="34" t="n"/>
      <c r="AP121" s="34" t="n"/>
      <c r="AQ121" s="34" t="n"/>
      <c r="AR121" s="34" t="n"/>
      <c r="AS121" s="34" t="n"/>
      <c r="AT121" s="34" t="n"/>
      <c r="AU121" s="34" t="n"/>
      <c r="AV121" s="34" t="n"/>
      <c r="AW121" s="34" t="n"/>
      <c r="AX121" s="34" t="n"/>
      <c r="AY121" s="34" t="n"/>
      <c r="AZ121" s="34" t="n"/>
      <c r="BA121" s="34" t="n"/>
      <c r="BB121" s="34" t="n"/>
      <c r="BC121" s="34" t="n"/>
      <c r="BD121" s="34" t="n"/>
      <c r="BE121" s="34" t="n"/>
      <c r="BF121" s="34" t="n"/>
      <c r="BG121" s="34" t="n"/>
      <c r="BH121" s="34" t="n"/>
      <c r="BI121" s="34" t="n"/>
      <c r="BJ121" s="34" t="n"/>
      <c r="BK121" s="34" t="n"/>
      <c r="BL121" s="34" t="n"/>
      <c r="BM121" s="34" t="n"/>
      <c r="BN121" s="34" t="n"/>
      <c r="BO121" s="34" t="n"/>
      <c r="BP121" s="34" t="n"/>
      <c r="BQ121" s="34" t="n"/>
      <c r="BR121" s="34" t="n"/>
      <c r="BS121" s="34" t="n"/>
      <c r="BT121" s="34" t="n"/>
      <c r="BU121" s="34" t="n"/>
      <c r="BV121" s="34" t="n"/>
      <c r="BW121" s="34" t="n"/>
      <c r="BX121" s="34" t="n"/>
      <c r="BY121" s="257" t="n"/>
      <c r="BZ121" s="257" t="n"/>
      <c r="CA121" s="261" t="n">
        <v>0</v>
      </c>
      <c r="CB121" s="257">
        <f>CB117*CB120</f>
        <v>3</v>
      </c>
      <c r="CC121" s="257">
        <f>CC117*CC120</f>
        <v>9.99</v>
      </c>
      <c r="CD121" s="257">
        <f>CD117*CD120</f>
        <v>18.0396</v>
      </c>
      <c r="CE121" s="257">
        <f>CE117*CE120</f>
        <v>26.411184</v>
      </c>
      <c r="CF121" s="19" t="n"/>
    </row>
    <row r="122">
      <c r="B122" s="22" t="inlineStr">
        <is>
          <t xml:space="preserve">  PP&amp;E % of spend</t>
        </is>
      </c>
      <c r="C122" s="23" t="n"/>
      <c r="D122" s="23" t="n"/>
      <c r="E122" s="23" t="n"/>
      <c r="F122" s="23" t="n"/>
      <c r="G122" s="23" t="n"/>
      <c r="H122" s="23" t="n"/>
      <c r="I122" s="23" t="n"/>
      <c r="J122" s="23" t="n"/>
      <c r="K122" s="23" t="n"/>
      <c r="L122" s="23" t="n"/>
      <c r="M122" s="23" t="n"/>
      <c r="N122" s="23" t="n"/>
      <c r="O122" s="23" t="n"/>
      <c r="P122" s="23" t="n"/>
      <c r="Q122" s="23" t="n"/>
      <c r="R122" s="23" t="n"/>
      <c r="S122" s="23" t="n"/>
      <c r="T122" s="23" t="n"/>
      <c r="U122" s="23" t="n"/>
      <c r="V122" s="23" t="n"/>
      <c r="W122" s="23" t="n"/>
      <c r="X122" s="23" t="n"/>
      <c r="Y122" s="23" t="n"/>
      <c r="Z122" s="23" t="n"/>
      <c r="AA122" s="23" t="n"/>
      <c r="AB122" s="23" t="n"/>
      <c r="AC122" s="23" t="n"/>
      <c r="AD122" s="23" t="n"/>
      <c r="AE122" s="23" t="n"/>
      <c r="AF122" s="23" t="n"/>
      <c r="AG122" s="23" t="n"/>
      <c r="AH122" s="23" t="n"/>
      <c r="AI122" s="23" t="n"/>
      <c r="AJ122" s="23" t="n"/>
      <c r="AK122" s="23" t="n"/>
      <c r="AL122" s="23" t="n"/>
      <c r="AM122" s="23" t="n"/>
      <c r="AN122" s="23" t="n"/>
      <c r="AO122" s="23" t="n"/>
      <c r="AP122" s="23" t="n"/>
      <c r="AQ122" s="23" t="n"/>
      <c r="AR122" s="23" t="n"/>
      <c r="AS122" s="23" t="n"/>
      <c r="AT122" s="23" t="n"/>
      <c r="AU122" s="23" t="n"/>
      <c r="AV122" s="23" t="n"/>
      <c r="AW122" s="23" t="n"/>
      <c r="AX122" s="23" t="n"/>
      <c r="AY122" s="23" t="n"/>
      <c r="AZ122" s="23" t="n"/>
      <c r="BA122" s="23" t="n"/>
      <c r="BB122" s="23" t="n"/>
      <c r="BC122" s="23" t="n"/>
      <c r="BD122" s="23" t="n"/>
      <c r="BE122" s="23" t="n"/>
      <c r="BF122" s="23" t="n"/>
      <c r="BG122" s="23" t="n"/>
      <c r="BH122" s="23" t="n"/>
      <c r="BI122" s="23" t="n"/>
      <c r="BJ122" s="23" t="n"/>
      <c r="BK122" s="23" t="n"/>
      <c r="BL122" s="23" t="n"/>
      <c r="BM122" s="23" t="n"/>
      <c r="BN122" s="23" t="n"/>
      <c r="BO122" s="23" t="n"/>
      <c r="BP122" s="23" t="n"/>
      <c r="BQ122" s="23" t="n"/>
      <c r="BR122" s="23" t="n"/>
      <c r="BS122" s="23" t="n"/>
      <c r="BT122" s="23" t="n"/>
      <c r="BU122" s="23" t="n"/>
      <c r="BV122" s="23" t="n"/>
      <c r="BW122" s="23" t="n"/>
      <c r="BX122" s="23" t="n"/>
      <c r="BY122" s="254" t="n"/>
      <c r="BZ122" s="254" t="n"/>
      <c r="CA122" s="254" t="n"/>
      <c r="CB122" s="255" t="n">
        <v>0.1</v>
      </c>
      <c r="CC122" s="255" t="n">
        <v>0.1</v>
      </c>
      <c r="CD122" s="255" t="n">
        <v>0.1</v>
      </c>
      <c r="CE122" s="255" t="n">
        <v>0.1</v>
      </c>
      <c r="CF122" s="19" t="inlineStr">
        <is>
          <t>Automation / welding bolt-ons: consideration mostly allocated to customer relationships, technology and goodwill; PP&amp;E a minor share.</t>
        </is>
      </c>
    </row>
    <row r="123">
      <c r="B123" s="22" t="inlineStr">
        <is>
          <t xml:space="preserve">  Acquired intangibles % of spend</t>
        </is>
      </c>
      <c r="C123" s="23" t="n"/>
      <c r="D123" s="23" t="n"/>
      <c r="E123" s="23" t="n"/>
      <c r="F123" s="23" t="n"/>
      <c r="G123" s="23" t="n"/>
      <c r="H123" s="23" t="n"/>
      <c r="I123" s="23" t="n"/>
      <c r="J123" s="23" t="n"/>
      <c r="K123" s="23" t="n"/>
      <c r="L123" s="23" t="n"/>
      <c r="M123" s="23" t="n"/>
      <c r="N123" s="23" t="n"/>
      <c r="O123" s="23" t="n"/>
      <c r="P123" s="23" t="n"/>
      <c r="Q123" s="23" t="n"/>
      <c r="R123" s="23" t="n"/>
      <c r="S123" s="23" t="n"/>
      <c r="T123" s="23" t="n"/>
      <c r="U123" s="23" t="n"/>
      <c r="V123" s="23" t="n"/>
      <c r="W123" s="23" t="n"/>
      <c r="X123" s="23" t="n"/>
      <c r="Y123" s="23" t="n"/>
      <c r="Z123" s="23" t="n"/>
      <c r="AA123" s="23" t="n"/>
      <c r="AB123" s="23" t="n"/>
      <c r="AC123" s="23" t="n"/>
      <c r="AD123" s="23" t="n"/>
      <c r="AE123" s="23" t="n"/>
      <c r="AF123" s="23" t="n"/>
      <c r="AG123" s="23" t="n"/>
      <c r="AH123" s="23" t="n"/>
      <c r="AI123" s="23" t="n"/>
      <c r="AJ123" s="23" t="n"/>
      <c r="AK123" s="23" t="n"/>
      <c r="AL123" s="23" t="n"/>
      <c r="AM123" s="23" t="n"/>
      <c r="AN123" s="23" t="n"/>
      <c r="AO123" s="23" t="n"/>
      <c r="AP123" s="23" t="n"/>
      <c r="AQ123" s="23" t="n"/>
      <c r="AR123" s="23" t="n"/>
      <c r="AS123" s="23" t="n"/>
      <c r="AT123" s="23" t="n"/>
      <c r="AU123" s="23" t="n"/>
      <c r="AV123" s="23" t="n"/>
      <c r="AW123" s="23" t="n"/>
      <c r="AX123" s="23" t="n"/>
      <c r="AY123" s="23" t="n"/>
      <c r="AZ123" s="23" t="n"/>
      <c r="BA123" s="23" t="n"/>
      <c r="BB123" s="23" t="n"/>
      <c r="BC123" s="23" t="n"/>
      <c r="BD123" s="23" t="n"/>
      <c r="BE123" s="23" t="n"/>
      <c r="BF123" s="23" t="n"/>
      <c r="BG123" s="23" t="n"/>
      <c r="BH123" s="23" t="n"/>
      <c r="BI123" s="23" t="n"/>
      <c r="BJ123" s="23" t="n"/>
      <c r="BK123" s="23" t="n"/>
      <c r="BL123" s="23" t="n"/>
      <c r="BM123" s="23" t="n"/>
      <c r="BN123" s="23" t="n"/>
      <c r="BO123" s="23" t="n"/>
      <c r="BP123" s="23" t="n"/>
      <c r="BQ123" s="23" t="n"/>
      <c r="BR123" s="23" t="n"/>
      <c r="BS123" s="23" t="n"/>
      <c r="BT123" s="23" t="n"/>
      <c r="BU123" s="23" t="n"/>
      <c r="BV123" s="23" t="n"/>
      <c r="BW123" s="23" t="n"/>
      <c r="BX123" s="23" t="n"/>
      <c r="BY123" s="254" t="n"/>
      <c r="BZ123" s="254" t="n"/>
      <c r="CA123" s="254" t="n"/>
      <c r="CB123" s="255" t="n">
        <v>0.45</v>
      </c>
      <c r="CC123" s="255" t="n">
        <v>0.45</v>
      </c>
      <c r="CD123" s="255" t="n">
        <v>0.45</v>
      </c>
      <c r="CE123" s="255" t="n">
        <v>0.45</v>
      </c>
      <c r="CF123" s="19" t="n"/>
    </row>
    <row r="124">
      <c r="B124" s="25" t="inlineStr">
        <is>
          <t xml:space="preserve">  Intangible amortization life (years)</t>
        </is>
      </c>
      <c r="C124" s="45" t="n"/>
      <c r="D124" s="45" t="n"/>
      <c r="E124" s="45" t="n"/>
      <c r="F124" s="45" t="n"/>
      <c r="G124" s="45" t="n"/>
      <c r="H124" s="45" t="n"/>
      <c r="I124" s="45" t="n"/>
      <c r="J124" s="45" t="n"/>
      <c r="K124" s="45" t="n"/>
      <c r="L124" s="45" t="n"/>
      <c r="M124" s="45" t="n"/>
      <c r="N124" s="45" t="n"/>
      <c r="O124" s="45" t="n"/>
      <c r="P124" s="45" t="n"/>
      <c r="Q124" s="45" t="n"/>
      <c r="R124" s="45" t="n"/>
      <c r="S124" s="45" t="n"/>
      <c r="T124" s="45" t="n"/>
      <c r="U124" s="45" t="n"/>
      <c r="V124" s="45" t="n"/>
      <c r="W124" s="45" t="n"/>
      <c r="X124" s="45" t="n"/>
      <c r="Y124" s="45" t="n"/>
      <c r="Z124" s="45" t="n"/>
      <c r="AA124" s="45" t="n"/>
      <c r="AB124" s="45" t="n"/>
      <c r="AC124" s="45" t="n"/>
      <c r="AD124" s="45" t="n"/>
      <c r="AE124" s="45" t="n"/>
      <c r="AF124" s="45" t="n"/>
      <c r="AG124" s="45" t="n"/>
      <c r="AH124" s="45" t="n"/>
      <c r="AI124" s="45" t="n"/>
      <c r="AJ124" s="45" t="n"/>
      <c r="AK124" s="45" t="n"/>
      <c r="AL124" s="45" t="n"/>
      <c r="AM124" s="45" t="n"/>
      <c r="AN124" s="45" t="n"/>
      <c r="AO124" s="45" t="n"/>
      <c r="AP124" s="45" t="n"/>
      <c r="AQ124" s="45" t="n"/>
      <c r="AR124" s="45" t="n"/>
      <c r="AS124" s="45" t="n"/>
      <c r="AT124" s="45" t="n"/>
      <c r="AU124" s="45" t="n"/>
      <c r="AV124" s="45" t="n"/>
      <c r="AW124" s="45" t="n"/>
      <c r="AX124" s="45" t="n"/>
      <c r="AY124" s="45" t="n"/>
      <c r="AZ124" s="45" t="n"/>
      <c r="BA124" s="45" t="n"/>
      <c r="BB124" s="45" t="n"/>
      <c r="BC124" s="45" t="n"/>
      <c r="BD124" s="45" t="n"/>
      <c r="BE124" s="45" t="n"/>
      <c r="BF124" s="45" t="n"/>
      <c r="BG124" s="45" t="n"/>
      <c r="BH124" s="45" t="n"/>
      <c r="BI124" s="45" t="n"/>
      <c r="BJ124" s="45" t="n"/>
      <c r="BK124" s="45" t="n"/>
      <c r="BL124" s="45" t="n"/>
      <c r="BM124" s="45" t="n"/>
      <c r="BN124" s="45" t="n"/>
      <c r="BO124" s="45" t="n"/>
      <c r="BP124" s="45" t="n"/>
      <c r="BQ124" s="45" t="n"/>
      <c r="BR124" s="45" t="n"/>
      <c r="BS124" s="45" t="n"/>
      <c r="BT124" s="45" t="n"/>
      <c r="BU124" s="45" t="n"/>
      <c r="BV124" s="45" t="n"/>
      <c r="BW124" s="45" t="n"/>
      <c r="BX124" s="45" t="n"/>
      <c r="BY124" s="266" t="n"/>
      <c r="BZ124" s="266" t="n"/>
      <c r="CA124" s="266" t="n"/>
      <c r="CB124" s="267" t="n">
        <v>15</v>
      </c>
      <c r="CC124" s="267" t="n">
        <v>15</v>
      </c>
      <c r="CD124" s="267" t="n">
        <v>15</v>
      </c>
      <c r="CE124" s="267" t="n">
        <v>15</v>
      </c>
      <c r="CF124" s="19" t="n"/>
    </row>
    <row r="125">
      <c r="B125" s="25" t="inlineStr">
        <is>
          <t xml:space="preserve">  Cumulative acquired intangibles (gross)</t>
        </is>
      </c>
      <c r="C125" s="34" t="n"/>
      <c r="D125" s="34" t="n"/>
      <c r="E125" s="34" t="n"/>
      <c r="F125" s="34" t="n"/>
      <c r="G125" s="34" t="n"/>
      <c r="H125" s="34" t="n"/>
      <c r="I125" s="34" t="n"/>
      <c r="J125" s="34" t="n"/>
      <c r="K125" s="34" t="n"/>
      <c r="L125" s="34" t="n"/>
      <c r="M125" s="34" t="n"/>
      <c r="N125" s="34" t="n"/>
      <c r="O125" s="34" t="n"/>
      <c r="P125" s="34" t="n"/>
      <c r="Q125" s="34" t="n"/>
      <c r="R125" s="34" t="n"/>
      <c r="S125" s="34" t="n"/>
      <c r="T125" s="34" t="n"/>
      <c r="U125" s="34" t="n"/>
      <c r="V125" s="34" t="n"/>
      <c r="W125" s="34" t="n"/>
      <c r="X125" s="34" t="n"/>
      <c r="Y125" s="34" t="n"/>
      <c r="Z125" s="34" t="n"/>
      <c r="AA125" s="34" t="n"/>
      <c r="AB125" s="34" t="n"/>
      <c r="AC125" s="34" t="n"/>
      <c r="AD125" s="34" t="n"/>
      <c r="AE125" s="34" t="n"/>
      <c r="AF125" s="34" t="n"/>
      <c r="AG125" s="34" t="n"/>
      <c r="AH125" s="34" t="n"/>
      <c r="AI125" s="34" t="n"/>
      <c r="AJ125" s="34" t="n"/>
      <c r="AK125" s="34" t="n"/>
      <c r="AL125" s="34" t="n"/>
      <c r="AM125" s="34" t="n"/>
      <c r="AN125" s="34" t="n"/>
      <c r="AO125" s="34" t="n"/>
      <c r="AP125" s="34" t="n"/>
      <c r="AQ125" s="34" t="n"/>
      <c r="AR125" s="34" t="n"/>
      <c r="AS125" s="34" t="n"/>
      <c r="AT125" s="34" t="n"/>
      <c r="AU125" s="34" t="n"/>
      <c r="AV125" s="34" t="n"/>
      <c r="AW125" s="34" t="n"/>
      <c r="AX125" s="34" t="n"/>
      <c r="AY125" s="34" t="n"/>
      <c r="AZ125" s="34" t="n"/>
      <c r="BA125" s="34" t="n"/>
      <c r="BB125" s="34" t="n"/>
      <c r="BC125" s="34" t="n"/>
      <c r="BD125" s="34" t="n"/>
      <c r="BE125" s="34" t="n"/>
      <c r="BF125" s="34" t="n"/>
      <c r="BG125" s="34" t="n"/>
      <c r="BH125" s="34" t="n"/>
      <c r="BI125" s="34" t="n"/>
      <c r="BJ125" s="34" t="n"/>
      <c r="BK125" s="34" t="n"/>
      <c r="BL125" s="34" t="n"/>
      <c r="BM125" s="34" t="n"/>
      <c r="BN125" s="34" t="n"/>
      <c r="BO125" s="34" t="n"/>
      <c r="BP125" s="34" t="n"/>
      <c r="BQ125" s="34" t="n"/>
      <c r="BR125" s="34" t="n"/>
      <c r="BS125" s="34" t="n"/>
      <c r="BT125" s="34" t="n"/>
      <c r="BU125" s="34" t="n"/>
      <c r="BV125" s="34" t="n"/>
      <c r="BW125" s="34" t="n"/>
      <c r="BX125" s="34" t="n"/>
      <c r="BY125" s="257" t="n"/>
      <c r="BZ125" s="257" t="n"/>
      <c r="CA125" s="261" t="n">
        <v>0</v>
      </c>
      <c r="CB125" s="257">
        <f>CA125+CB112*CB123</f>
        <v>90</v>
      </c>
      <c r="CC125" s="257">
        <f>CB125+CC112*CC123</f>
        <v>202.5</v>
      </c>
      <c r="CD125" s="257">
        <f>CC125+CD112*CD123</f>
        <v>315</v>
      </c>
      <c r="CE125" s="257">
        <f>CD125+CE112*CE123</f>
        <v>427.5</v>
      </c>
      <c r="CF125" s="19" t="n"/>
    </row>
    <row r="126">
      <c r="B126" s="25" t="inlineStr">
        <is>
          <t xml:space="preserve">  Amortization of future-acquisition intangibles (within D&amp;A)</t>
        </is>
      </c>
      <c r="C126" s="34" t="n"/>
      <c r="D126" s="34" t="n"/>
      <c r="E126" s="34" t="n"/>
      <c r="F126" s="34" t="n"/>
      <c r="G126" s="34" t="n"/>
      <c r="H126" s="34" t="n"/>
      <c r="I126" s="34" t="n"/>
      <c r="J126" s="34" t="n"/>
      <c r="K126" s="34" t="n"/>
      <c r="L126" s="34" t="n"/>
      <c r="M126" s="34" t="n"/>
      <c r="N126" s="34" t="n"/>
      <c r="O126" s="34" t="n"/>
      <c r="P126" s="34" t="n"/>
      <c r="Q126" s="34" t="n"/>
      <c r="R126" s="34" t="n"/>
      <c r="S126" s="34" t="n"/>
      <c r="T126" s="34" t="n"/>
      <c r="U126" s="34" t="n"/>
      <c r="V126" s="34" t="n"/>
      <c r="W126" s="34" t="n"/>
      <c r="X126" s="34" t="n"/>
      <c r="Y126" s="34" t="n"/>
      <c r="Z126" s="34" t="n"/>
      <c r="AA126" s="34" t="n"/>
      <c r="AB126" s="34" t="n"/>
      <c r="AC126" s="34" t="n"/>
      <c r="AD126" s="34" t="n"/>
      <c r="AE126" s="34" t="n"/>
      <c r="AF126" s="34" t="n"/>
      <c r="AG126" s="34" t="n"/>
      <c r="AH126" s="34" t="n"/>
      <c r="AI126" s="34" t="n"/>
      <c r="AJ126" s="34" t="n"/>
      <c r="AK126" s="34" t="n"/>
      <c r="AL126" s="34" t="n"/>
      <c r="AM126" s="34" t="n"/>
      <c r="AN126" s="34" t="n"/>
      <c r="AO126" s="34" t="n"/>
      <c r="AP126" s="34" t="n"/>
      <c r="AQ126" s="34" t="n"/>
      <c r="AR126" s="34" t="n"/>
      <c r="AS126" s="34" t="n"/>
      <c r="AT126" s="34" t="n"/>
      <c r="AU126" s="34" t="n"/>
      <c r="AV126" s="34" t="n"/>
      <c r="AW126" s="34" t="n"/>
      <c r="AX126" s="34" t="n"/>
      <c r="AY126" s="34" t="n"/>
      <c r="AZ126" s="34" t="n"/>
      <c r="BA126" s="34" t="n"/>
      <c r="BB126" s="34" t="n"/>
      <c r="BC126" s="34" t="n"/>
      <c r="BD126" s="34" t="n"/>
      <c r="BE126" s="34" t="n"/>
      <c r="BF126" s="34" t="n"/>
      <c r="BG126" s="34" t="n"/>
      <c r="BH126" s="34" t="n"/>
      <c r="BI126" s="34" t="n"/>
      <c r="BJ126" s="34" t="n"/>
      <c r="BK126" s="34" t="n"/>
      <c r="BL126" s="34" t="n"/>
      <c r="BM126" s="34" t="n"/>
      <c r="BN126" s="34" t="n"/>
      <c r="BO126" s="34" t="n"/>
      <c r="BP126" s="34" t="n"/>
      <c r="BQ126" s="34" t="n"/>
      <c r="BR126" s="34" t="n"/>
      <c r="BS126" s="34" t="n"/>
      <c r="BT126" s="34" t="n"/>
      <c r="BU126" s="34" t="n"/>
      <c r="BV126" s="34" t="n"/>
      <c r="BW126" s="34" t="n"/>
      <c r="BX126" s="34" t="n"/>
      <c r="BY126" s="257" t="n"/>
      <c r="BZ126" s="257" t="n"/>
      <c r="CA126" s="261" t="n">
        <v>0</v>
      </c>
      <c r="CB126" s="257">
        <f>(CA125+CB112*CB123*0.5)/CB124</f>
        <v>3</v>
      </c>
      <c r="CC126" s="257">
        <f>(CB125+CC112*CC123*0.5)/CC124</f>
        <v>9.75</v>
      </c>
      <c r="CD126" s="257">
        <f>(CC125+CD112*CD123*0.5)/CD124</f>
        <v>17.25</v>
      </c>
      <c r="CE126" s="257">
        <f>(CD125+CE112*CE123*0.5)/CE124</f>
        <v>24.75</v>
      </c>
      <c r="CF126" s="19" t="n"/>
    </row>
    <row r="127">
      <c r="CF127" s="19" t="n"/>
    </row>
    <row r="128">
      <c r="B128" s="14" t="inlineStr">
        <is>
          <t>Group Total — net sales &amp; adjusted EBIT (segment build) → adjusted operating income / adjusted EBIT (LECO's primary profit KPIs)</t>
        </is>
      </c>
      <c r="C128" s="14" t="n"/>
      <c r="D128" s="14" t="n"/>
      <c r="E128" s="14" t="n"/>
      <c r="F128" s="14" t="n"/>
      <c r="G128" s="14" t="n"/>
      <c r="H128" s="14" t="n"/>
      <c r="I128" s="14" t="n"/>
      <c r="J128" s="14" t="n"/>
      <c r="K128" s="14" t="n"/>
      <c r="L128" s="14" t="n"/>
      <c r="M128" s="14" t="n"/>
      <c r="N128" s="14" t="n"/>
      <c r="O128" s="14" t="n"/>
      <c r="P128" s="14" t="n"/>
      <c r="Q128" s="14" t="n"/>
      <c r="R128" s="14" t="n"/>
      <c r="S128" s="14" t="n"/>
      <c r="T128" s="14" t="n"/>
      <c r="U128" s="14" t="n"/>
      <c r="V128" s="14" t="n"/>
      <c r="W128" s="14" t="n"/>
      <c r="X128" s="14" t="n"/>
      <c r="Y128" s="14" t="n"/>
      <c r="Z128" s="14" t="n"/>
      <c r="AA128" s="14" t="n"/>
      <c r="AB128" s="14" t="n"/>
      <c r="AC128" s="14" t="n"/>
      <c r="AD128" s="14" t="n"/>
      <c r="AE128" s="14" t="n"/>
      <c r="AF128" s="14" t="n"/>
      <c r="AG128" s="14" t="n"/>
      <c r="AH128" s="14" t="n"/>
      <c r="AI128" s="14" t="n"/>
      <c r="AJ128" s="14" t="n"/>
      <c r="AK128" s="14" t="n"/>
      <c r="AL128" s="14" t="n"/>
      <c r="AM128" s="14" t="n"/>
      <c r="AN128" s="14" t="n"/>
      <c r="AO128" s="14" t="n"/>
      <c r="AP128" s="14" t="n"/>
      <c r="AQ128" s="14" t="n"/>
      <c r="AR128" s="14" t="n"/>
      <c r="AS128" s="14" t="n"/>
      <c r="AT128" s="14" t="n"/>
      <c r="AU128" s="14" t="n"/>
      <c r="AV128" s="14" t="n"/>
      <c r="AW128" s="14" t="n"/>
      <c r="AX128" s="14" t="n"/>
      <c r="AY128" s="14" t="n"/>
      <c r="AZ128" s="14" t="n"/>
      <c r="BA128" s="14" t="n"/>
      <c r="BB128" s="14" t="n"/>
      <c r="BC128" s="14" t="n"/>
      <c r="BD128" s="14" t="n"/>
      <c r="BE128" s="14" t="n"/>
      <c r="BF128" s="14" t="n"/>
      <c r="BG128" s="14" t="n"/>
      <c r="BH128" s="14" t="n"/>
      <c r="BI128" s="14" t="n"/>
      <c r="BJ128" s="14" t="n"/>
      <c r="BK128" s="14" t="n"/>
      <c r="BL128" s="14" t="n"/>
      <c r="BM128" s="14" t="n"/>
      <c r="BN128" s="14" t="n"/>
      <c r="BO128" s="14" t="n"/>
      <c r="BP128" s="14" t="n"/>
      <c r="BQ128" s="14" t="n"/>
      <c r="BR128" s="14" t="n"/>
      <c r="BS128" s="14" t="n"/>
      <c r="BT128" s="14" t="n"/>
      <c r="BU128" s="14" t="n"/>
      <c r="BV128" s="14" t="n"/>
      <c r="BW128" s="14" t="n"/>
      <c r="BX128" s="14" t="n"/>
      <c r="BY128" s="14" t="n"/>
      <c r="BZ128" s="14" t="n"/>
      <c r="CA128" s="14" t="n"/>
      <c r="CB128" s="14" t="n"/>
      <c r="CC128" s="14" t="n"/>
      <c r="CD128" s="14" t="n"/>
      <c r="CE128" s="14" t="n"/>
      <c r="CF128" s="15" t="inlineStr">
        <is>
          <t>GROUP TOTAL (CONSOLIDATED) — modelling logic</t>
        </is>
      </c>
    </row>
    <row r="129">
      <c r="B129" s="55" t="inlineStr">
        <is>
          <t>Net sales (segment build)</t>
        </is>
      </c>
      <c r="C129" s="56" t="n"/>
      <c r="D129" s="56" t="n"/>
      <c r="E129" s="56" t="n"/>
      <c r="F129" s="56" t="n"/>
      <c r="G129" s="56" t="n"/>
      <c r="H129" s="56" t="n"/>
      <c r="I129" s="56" t="n"/>
      <c r="J129" s="56" t="n"/>
      <c r="K129" s="56" t="n"/>
      <c r="L129" s="56" t="n"/>
      <c r="M129" s="56" t="n"/>
      <c r="N129" s="56">
        <f>N(N11)+N(N35)+N(N59)</f>
        <v>2852.671</v>
      </c>
      <c r="O129" s="56">
        <f>N(O11)+N(O35)+N(O59)</f>
        <v>685.062</v>
      </c>
      <c r="P129" s="56">
        <f>N(P11)+N(P35)+N(P59)</f>
        <v>728.531</v>
      </c>
      <c r="Q129" s="56">
        <f>N(Q11)+N(Q35)+N(Q59)</f>
        <v>715.777</v>
      </c>
      <c r="R129" s="56">
        <f>N(R11)+N(R35)+N(R59)</f>
        <v>683.954</v>
      </c>
      <c r="S129" s="56">
        <f>N(S11)+N(S35)+N(S59)</f>
        <v>2813.324</v>
      </c>
      <c r="T129" s="56">
        <f>N(T11)+N(T35)+N(T59)</f>
        <v>657.9</v>
      </c>
      <c r="U129" s="56">
        <f>N(U11)+N(U35)+N(U59)</f>
        <v>664.74</v>
      </c>
      <c r="V129" s="56">
        <f>N(V11)+N(V35)+N(V59)</f>
        <v>645.166</v>
      </c>
      <c r="W129" s="56">
        <f>N(W11)+N(W35)+N(W59)</f>
        <v>567.985</v>
      </c>
      <c r="X129" s="56">
        <f>N(X11)+N(X35)+N(X59)</f>
        <v>2535.791</v>
      </c>
      <c r="Y129" s="56">
        <f>N(Y11)+N(Y35)+N(Y59)</f>
        <v>550.722</v>
      </c>
      <c r="Z129" s="56">
        <f>N(Z11)+N(Z35)+N(Z59)</f>
        <v>592.418</v>
      </c>
      <c r="AA129" s="56">
        <f>N(AA11)+N(AA35)+N(AA59)</f>
        <v>567.646</v>
      </c>
      <c r="AB129" s="56">
        <f>N(AB11)+N(AB35)+N(AB59)</f>
        <v>563.828</v>
      </c>
      <c r="AC129" s="56">
        <f>N(AC11)+N(AC35)+N(AC59)</f>
        <v>2274.614</v>
      </c>
      <c r="AD129" s="56">
        <f>N(AD11)+N(AD35)+N(AD59)</f>
        <v>580.897</v>
      </c>
      <c r="AE129" s="56">
        <f>N(AE11)+N(AE35)+N(AE59)</f>
        <v>626.858</v>
      </c>
      <c r="AF129" s="56">
        <f>N(AF11)+N(AF35)+N(AF59)</f>
        <v>669.491</v>
      </c>
      <c r="AG129" s="56">
        <f>N(AG11)+N(AG35)+N(AG59)</f>
        <v>747.185</v>
      </c>
      <c r="AH129" s="56">
        <f>N(AH11)+N(AH35)+N(AH59)</f>
        <v>2624.431</v>
      </c>
      <c r="AI129" s="56">
        <f>N(AI11)+N(AI35)+N(AI59)</f>
        <v>757.696</v>
      </c>
      <c r="AJ129" s="56">
        <f>N(AJ11)+N(AJ35)+N(AJ59)</f>
        <v>790.052</v>
      </c>
      <c r="AK129" s="56">
        <f>N(AK11)+N(AK35)+N(AK59)</f>
        <v>737.099</v>
      </c>
      <c r="AL129" s="56">
        <f>N(AL11)+N(AL35)+N(AL59)</f>
        <v>743.827</v>
      </c>
      <c r="AM129" s="56">
        <f>N(AM11)+N(AM35)+N(AM59)</f>
        <v>3028.674</v>
      </c>
      <c r="AN129" s="56">
        <f>N(AN11)+N(AN35)+N(AN59)</f>
        <v>759.174</v>
      </c>
      <c r="AO129" s="56">
        <f>N(AO11)+N(AO35)+N(AO59)</f>
        <v>777.008</v>
      </c>
      <c r="AP129" s="56">
        <f>N(AP11)+N(AP35)+N(AP59)</f>
        <v>730.783</v>
      </c>
      <c r="AQ129" s="56">
        <f>N(AQ11)+N(AQ35)+N(AQ59)</f>
        <v>736.307</v>
      </c>
      <c r="AR129" s="56">
        <f>N(AR11)+N(AR35)+N(AR59)</f>
        <v>3003.272</v>
      </c>
      <c r="AS129" s="56">
        <f>N(AS11)+N(AS35)+N(AS59)</f>
        <v>701.991</v>
      </c>
      <c r="AT129" s="56">
        <f>N(AT11)+N(AT35)+N(AT59)</f>
        <v>590.727</v>
      </c>
      <c r="AU129" s="56">
        <f>N(AU11)+N(AU35)+N(AU59)</f>
        <v>668.888</v>
      </c>
      <c r="AV129" s="56">
        <f>N(AV11)+N(AV35)+N(AV59)</f>
        <v>693.794</v>
      </c>
      <c r="AW129" s="56">
        <f>N(AW11)+N(AW35)+N(AW59)</f>
        <v>2655.4</v>
      </c>
      <c r="AX129" s="56">
        <f>N(AX11)+N(AX35)+N(AX59)</f>
        <v>757.021</v>
      </c>
      <c r="AY129" s="56">
        <f>N(AY11)+N(AY35)+N(AY59)</f>
        <v>826.454</v>
      </c>
      <c r="AZ129" s="56">
        <f>N(AZ11)+N(AZ35)+N(AZ59)</f>
        <v>806.454</v>
      </c>
      <c r="BA129" s="56">
        <f>N(BA11)+N(BA35)+N(BA59)</f>
        <v>844.251</v>
      </c>
      <c r="BB129" s="56">
        <f>N(BB11)+N(BB35)+N(BB59)</f>
        <v>3234.18</v>
      </c>
      <c r="BC129" s="56">
        <f>N(BC11)+N(BC35)+N(BC59)</f>
        <v>925.448</v>
      </c>
      <c r="BD129" s="56">
        <f>N(BD11)+N(BD35)+N(BD59)</f>
        <v>969.589</v>
      </c>
      <c r="BE129" s="56">
        <f>N(BE11)+N(BE35)+N(BE59)</f>
        <v>935.24</v>
      </c>
      <c r="BF129" s="56">
        <f>N(BF11)+N(BF35)+N(BF59)</f>
        <v>930.934</v>
      </c>
      <c r="BG129" s="56">
        <f>N(BG11)+N(BG35)+N(BG59)</f>
        <v>3761.211</v>
      </c>
      <c r="BH129" s="56">
        <f>N(BH11)+N(BH35)+N(BH59)</f>
        <v>1039.343</v>
      </c>
      <c r="BI129" s="56">
        <f>N(BI11)+N(BI35)+N(BI59)</f>
        <v>1060.565</v>
      </c>
      <c r="BJ129" s="56">
        <f>N(BJ11)+N(BJ35)+N(BJ59)</f>
        <v>1033.214</v>
      </c>
      <c r="BK129" s="56">
        <f>N(BK11)+N(BK35)+N(BK59)</f>
        <v>1058.514</v>
      </c>
      <c r="BL129" s="56">
        <f>N(BL11)+N(BL35)+N(BL59)</f>
        <v>4191.636</v>
      </c>
      <c r="BM129" s="56">
        <f>N(BM11)+N(BM35)+N(BM59)</f>
        <v>981.197</v>
      </c>
      <c r="BN129" s="56">
        <f>N(BN11)+N(BN35)+N(BN59)</f>
        <v>1021.683</v>
      </c>
      <c r="BO129" s="56">
        <f>N(BO11)+N(BO35)+N(BO59)</f>
        <v>983.759</v>
      </c>
      <c r="BP129" s="56">
        <f>N(BP11)+N(BP35)+N(BP59)</f>
        <v>1022.031</v>
      </c>
      <c r="BQ129" s="56">
        <f>N(BQ11)+N(BQ35)+N(BQ59)</f>
        <v>4008.67</v>
      </c>
      <c r="BR129" s="56">
        <f>N(BR11)+N(BR35)+N(BR59)</f>
        <v>1004.388</v>
      </c>
      <c r="BS129" s="56">
        <f>N(BS11)+N(BS35)+N(BS59)</f>
        <v>1088.673</v>
      </c>
      <c r="BT129" s="56">
        <f>N(BT11)+N(BT35)+N(BT59)</f>
        <v>1061.227</v>
      </c>
      <c r="BU129" s="56">
        <f>N(BU11)+N(BU35)+N(BU59)</f>
        <v>1078.715</v>
      </c>
      <c r="BV129" s="56">
        <f>N(BV11)+N(BV35)+N(BV59)</f>
        <v>4233.003</v>
      </c>
      <c r="BW129" s="56">
        <f>N(BW11)+N(BW35)+N(BW59)</f>
        <v>1121.434</v>
      </c>
      <c r="BX129" s="56">
        <f>N(BX11)+N(BX35)+N(BX59)</f>
        <v>1219.663</v>
      </c>
      <c r="BY129" s="56">
        <f>N(BY11)+N(BY35)+N(BY59)+N(BY117)</f>
        <v>1185.96174693843</v>
      </c>
      <c r="BZ129" s="56">
        <f>N(BZ11)+N(BZ35)+N(BZ59)+N(BZ117)</f>
        <v>1192.73959806157</v>
      </c>
      <c r="CA129" s="56">
        <f>N(CA11)+N(CA35)+N(CA59)+N(CA117)</f>
        <v>4719.798345</v>
      </c>
      <c r="CB129" s="56">
        <f>N(CB11)+N(CB35)+N(CB59)+N(CB117)</f>
        <v>5029.34891587842</v>
      </c>
      <c r="CC129" s="56">
        <f>N(CC11)+N(CC35)+N(CC59)+N(CC117)</f>
        <v>5405.03432443253</v>
      </c>
      <c r="CD129" s="56">
        <f>N(CD11)+N(CD35)+N(CD59)+N(CD117)</f>
        <v>5795.16759415275</v>
      </c>
      <c r="CE129" s="56">
        <f>N(CE11)+N(CE35)+N(CE59)+N(CE117)</f>
        <v>6203.29114713233</v>
      </c>
      <c r="CF129" s="19" t="inlineStr">
        <is>
          <t>Σ Americas Welding + International Welding + Harris Products (external net sales) + future M&amp;A. Inter-segment sales eliminate in consolidation.</t>
        </is>
      </c>
      <c r="CH129" s="20">
        <f>IFERROR((CE129/BV129)^(1/5)-1,"n/m")</f>
        <v>0.0794305809416627</v>
      </c>
      <c r="CI129" s="20">
        <f>IFERROR((BV129/AW129)^(1/5)-1,"n/m")</f>
        <v>0.0977507059583438</v>
      </c>
      <c r="CJ129" s="20">
        <f>IFERROR((BV129/X129)^(1/10)-1,"n/m")</f>
        <v>0.052576117929604</v>
      </c>
      <c r="CK129" s="20" t="str">
        <f>IFERROR((BV129/C129)^(1/19)-1,"n/m")</f>
        <v>n/m</v>
      </c>
    </row>
    <row r="130">
      <c r="B130" s="55" t="inlineStr">
        <is>
          <t>Adjusted EBIT (segment build)</t>
        </is>
      </c>
      <c r="C130" s="56" t="n"/>
      <c r="D130" s="56" t="n"/>
      <c r="E130" s="56" t="n"/>
      <c r="F130" s="56" t="n"/>
      <c r="G130" s="56" t="n"/>
      <c r="H130" s="56" t="n"/>
      <c r="I130" s="56" t="n"/>
      <c r="J130" s="56" t="n"/>
      <c r="K130" s="56" t="n"/>
      <c r="L130" s="56" t="n"/>
      <c r="M130" s="56" t="n"/>
      <c r="N130" s="56">
        <f>N(N24)+N(N48)+N(N72)+N(N84)</f>
        <v>437.351</v>
      </c>
      <c r="O130" s="56">
        <f>N(O24)+N(O48)+N(O72)+N(O84)</f>
        <v>100.73</v>
      </c>
      <c r="P130" s="56">
        <f>N(P24)+N(P48)+N(P72)+N(P84)</f>
        <v>119.232</v>
      </c>
      <c r="Q130" s="56">
        <f>N(Q24)+N(Q48)+N(Q72)+N(Q84)</f>
        <v>107.4</v>
      </c>
      <c r="R130" s="56">
        <f>N(R24)+N(R48)+N(R72)+N(R84)</f>
        <v>106.978</v>
      </c>
      <c r="S130" s="56">
        <f>N(S24)+N(S48)+N(S72)+N(S84)</f>
        <v>434.34</v>
      </c>
      <c r="T130" s="56">
        <f>N(T24)+N(T48)+N(T72)+N(T84)</f>
        <v>93.958</v>
      </c>
      <c r="U130" s="56">
        <f>N(U24)+N(U48)+N(U72)+N(U84)</f>
        <v>99.322</v>
      </c>
      <c r="V130" s="56">
        <f>N(V24)+N(V48)+N(V72)+N(V84)</f>
        <v>97.707</v>
      </c>
      <c r="W130" s="56">
        <f>N(W24)+N(W48)+N(W72)+N(W84)</f>
        <v>87.82</v>
      </c>
      <c r="X130" s="56">
        <f>N(X24)+N(X48)+N(X72)+N(X84)</f>
        <v>378.807</v>
      </c>
      <c r="Y130" s="56">
        <f>N(Y24)+N(Y48)+N(Y72)+N(Y84)</f>
        <v>76.579</v>
      </c>
      <c r="Z130" s="56">
        <f>N(Z24)+N(Z48)+N(Z72)+N(Z84)</f>
        <v>83.857</v>
      </c>
      <c r="AA130" s="56">
        <f>N(AA24)+N(AA48)+N(AA72)+N(AA84)</f>
        <v>83.751</v>
      </c>
      <c r="AB130" s="56">
        <f>N(AB24)+N(AB48)+N(AB72)+N(AB84)</f>
        <v>84.536</v>
      </c>
      <c r="AC130" s="56">
        <f>N(AC24)+N(AC48)+N(AC72)+N(AC84)</f>
        <v>328.723</v>
      </c>
      <c r="AD130" s="56">
        <f>N(AD24)+N(AD48)+N(AD72)+N(AD84)</f>
        <v>86.852</v>
      </c>
      <c r="AE130" s="56">
        <f>N(AE24)+N(AE48)+N(AE72)+N(AE84)</f>
        <v>93.516</v>
      </c>
      <c r="AF130" s="56">
        <f>N(AF24)+N(AF48)+N(AF72)+N(AF84)</f>
        <v>94.522</v>
      </c>
      <c r="AG130" s="56">
        <f>N(AG24)+N(AG48)+N(AG72)+N(AG84)</f>
        <v>95.448</v>
      </c>
      <c r="AH130" s="56">
        <f>N(AH24)+N(AH48)+N(AH72)+N(AH84)</f>
        <v>370.338</v>
      </c>
      <c r="AI130" s="56">
        <f>N(AI24)+N(AI48)+N(AI72)+N(AI84)</f>
        <v>101.479</v>
      </c>
      <c r="AJ130" s="56">
        <f>N(AJ24)+N(AJ48)+N(AJ72)+N(AJ84)</f>
        <v>111.405</v>
      </c>
      <c r="AK130" s="56">
        <f>N(AK24)+N(AK48)+N(AK72)+N(AK84)</f>
        <v>107.551</v>
      </c>
      <c r="AL130" s="56">
        <f>N(AL24)+N(AL48)+N(AL72)+N(AL84)</f>
        <v>102.259</v>
      </c>
      <c r="AM130" s="56">
        <f>N(AM24)+N(AM48)+N(AM72)+N(AM84)</f>
        <v>422.694</v>
      </c>
      <c r="AN130" s="56">
        <f>N(AN24)+N(AN48)+N(AN72)+N(AN84)</f>
        <v>102.566</v>
      </c>
      <c r="AO130" s="56">
        <f>N(AO24)+N(AO48)+N(AO72)+N(AO84)</f>
        <v>109.548</v>
      </c>
      <c r="AP130" s="56">
        <f>N(AP24)+N(AP48)+N(AP72)+N(AP84)</f>
        <v>93.7</v>
      </c>
      <c r="AQ130" s="56">
        <f>N(AQ24)+N(AQ48)+N(AQ72)+N(AQ84)</f>
        <v>94.939</v>
      </c>
      <c r="AR130" s="56">
        <f>N(AR24)+N(AR48)+N(AR72)+N(AR84)</f>
        <v>400.753</v>
      </c>
      <c r="AS130" s="56">
        <f>N(AS24)+N(AS48)+N(AS72)+N(AS84)</f>
        <v>88.71</v>
      </c>
      <c r="AT130" s="56">
        <f>N(AT24)+N(AT48)+N(AT72)+N(AT84)</f>
        <v>66.133</v>
      </c>
      <c r="AU130" s="56">
        <f>N(AU24)+N(AU48)+N(AU72)+N(AU84)</f>
        <v>88.3</v>
      </c>
      <c r="AV130" s="56">
        <f>N(AV24)+N(AV48)+N(AV72)+N(AV84)</f>
        <v>97.263</v>
      </c>
      <c r="AW130" s="56">
        <f>N(AW24)+N(AW48)+N(AW72)+N(AW84)</f>
        <v>340.406</v>
      </c>
      <c r="AX130" s="56">
        <f>N(AX24)+N(AX48)+N(AX72)+N(AX84)</f>
        <v>112.674</v>
      </c>
      <c r="AY130" s="56">
        <f>N(AY24)+N(AY48)+N(AY72)+N(AY84)</f>
        <v>128.455</v>
      </c>
      <c r="AZ130" s="56">
        <f>N(AZ24)+N(AZ48)+N(AZ72)+N(AZ84)</f>
        <v>124.865</v>
      </c>
      <c r="BA130" s="56">
        <f>N(BA24)+N(BA48)+N(BA72)+N(BA84)</f>
        <v>125.274</v>
      </c>
      <c r="BB130" s="56">
        <f>N(BB24)+N(BB48)+N(BB72)+N(BB84)</f>
        <v>491.268</v>
      </c>
      <c r="BC130" s="56">
        <f>N(BC24)+N(BC48)+N(BC72)+N(BC84)</f>
        <v>163.452</v>
      </c>
      <c r="BD130" s="56">
        <f>N(BD24)+N(BD48)+N(BD72)+N(BD84)</f>
        <v>167.014</v>
      </c>
      <c r="BE130" s="56">
        <f>N(BE24)+N(BE48)+N(BE72)+N(BE84)</f>
        <v>156.776</v>
      </c>
      <c r="BF130" s="56">
        <f>N(BF24)+N(BF48)+N(BF72)+N(BF84)</f>
        <v>149.709</v>
      </c>
      <c r="BG130" s="56">
        <f>N(BG24)+N(BG48)+N(BG72)+N(BG84)</f>
        <v>636.951</v>
      </c>
      <c r="BH130" s="56">
        <f>N(BH24)+N(BH48)+N(BH72)+N(BH84)</f>
        <v>171.66</v>
      </c>
      <c r="BI130" s="56">
        <f>N(BI24)+N(BI48)+N(BI72)+N(BI84)</f>
        <v>190.971</v>
      </c>
      <c r="BJ130" s="56">
        <f>N(BJ24)+N(BJ48)+N(BJ72)+N(BJ84)</f>
        <v>184.168</v>
      </c>
      <c r="BK130" s="56">
        <f>N(BK24)+N(BK48)+N(BK72)+N(BK84)</f>
        <v>184.606</v>
      </c>
      <c r="BL130" s="56">
        <f>N(BL24)+N(BL48)+N(BL72)+N(BL84)</f>
        <v>731.374</v>
      </c>
      <c r="BM130" s="56">
        <f>N(BM24)+N(BM48)+N(BM72)+N(BM84)</f>
        <v>173.676</v>
      </c>
      <c r="BN130" s="56">
        <f>N(BN24)+N(BN48)+N(BN72)+N(BN84)</f>
        <v>181.019</v>
      </c>
      <c r="BO130" s="56">
        <f>N(BO24)+N(BO48)+N(BO72)+N(BO84)</f>
        <v>172.078</v>
      </c>
      <c r="BP130" s="56">
        <f>N(BP24)+N(BP48)+N(BP72)+N(BP84)</f>
        <v>186.832</v>
      </c>
      <c r="BQ130" s="56">
        <f>N(BQ24)+N(BQ48)+N(BQ72)+N(BQ84)</f>
        <v>713.605</v>
      </c>
      <c r="BR130" s="56">
        <f>N(BR24)+N(BR48)+N(BR72)+N(BR84)</f>
        <v>169.889</v>
      </c>
      <c r="BS130" s="56">
        <f>N(BS24)+N(BS48)+N(BS72)+N(BS84)</f>
        <v>199.149</v>
      </c>
      <c r="BT130" s="56">
        <f>N(BT24)+N(BT48)+N(BT72)+N(BT84)</f>
        <v>187.548</v>
      </c>
      <c r="BU130" s="56">
        <f>N(BU24)+N(BU48)+N(BU72)+N(BU84)</f>
        <v>196.046</v>
      </c>
      <c r="BV130" s="56">
        <f>N(BV24)+N(BV48)+N(BV72)+N(BV84)</f>
        <v>752.632</v>
      </c>
      <c r="BW130" s="56">
        <f>N(BW24)+N(BW48)+N(BW72)+N(BW84)</f>
        <v>189.544</v>
      </c>
      <c r="BX130" s="56">
        <f>N(BX24)+N(BX48)+N(BX72)+N(BX84)</f>
        <v>223.899</v>
      </c>
      <c r="BY130" s="56">
        <f>N(BY24)+N(BY48)+N(BY72)+N(BY84)+N(BY119)</f>
        <v>214.98104919654</v>
      </c>
      <c r="BZ130" s="56">
        <f>N(BZ24)+N(BZ48)+N(BZ72)+N(BZ84)+N(BZ119)</f>
        <v>223.43878705346</v>
      </c>
      <c r="CA130" s="56">
        <f>N(CA24)+N(CA48)+N(CA72)+N(CA84)+N(CA119)</f>
        <v>851.86283625</v>
      </c>
      <c r="CB130" s="56">
        <f>N(CB24)+N(CB48)+N(CB72)+N(CB84)+N(CB119)</f>
        <v>939.659026734974</v>
      </c>
      <c r="CC130" s="56">
        <f>N(CC24)+N(CC48)+N(CC72)+N(CC84)+N(CC119)</f>
        <v>1036.9539418654</v>
      </c>
      <c r="CD130" s="56">
        <f>N(CD24)+N(CD48)+N(CD72)+N(CD84)+N(CD119)</f>
        <v>1135.21475127148</v>
      </c>
      <c r="CE130" s="56">
        <f>N(CE24)+N(CE48)+N(CE72)+N(CE84)+N(CE119)</f>
        <v>1238.13200044084</v>
      </c>
      <c r="CF130" s="19" t="n"/>
      <c r="CH130" s="20">
        <f>IFERROR((CE130/BV130)^(1/5)-1,"n/m")</f>
        <v>0.104680922106365</v>
      </c>
      <c r="CI130" s="20">
        <f>IFERROR((BV130/AW130)^(1/5)-1,"n/m")</f>
        <v>0.17197161869519</v>
      </c>
      <c r="CJ130" s="20">
        <f>IFERROR((BV130/X130)^(1/10)-1,"n/m")</f>
        <v>0.0710665798543619</v>
      </c>
      <c r="CK130" s="20" t="str">
        <f>IFERROR((BV130/C130)^(1/19)-1,"n/m")</f>
        <v>n/m</v>
      </c>
    </row>
    <row r="131">
      <c r="B131" s="25" t="inlineStr">
        <is>
          <t xml:space="preserve">  Adjusted EBIT margin %</t>
        </is>
      </c>
      <c r="C131" s="36" t="n"/>
      <c r="D131" s="36" t="n"/>
      <c r="E131" s="36" t="n"/>
      <c r="F131" s="36" t="n"/>
      <c r="G131" s="36" t="n"/>
      <c r="H131" s="36" t="n"/>
      <c r="I131" s="36" t="n"/>
      <c r="J131" s="36" t="n"/>
      <c r="K131" s="36" t="n"/>
      <c r="L131" s="36" t="n"/>
      <c r="M131" s="36" t="n"/>
      <c r="N131" s="36">
        <f>IF(AND(ISNUMBER(N130),ISNUMBER(N129)),IFERROR(N130/N129,""),"")</f>
        <v>0.153312807540722</v>
      </c>
      <c r="O131" s="36">
        <f>IF(AND(ISNUMBER(O130),ISNUMBER(O129)),IFERROR(O130/O129,""),"")</f>
        <v>0.147037786360943</v>
      </c>
      <c r="P131" s="36">
        <f>IF(AND(ISNUMBER(P130),ISNUMBER(P129)),IFERROR(P130/P129,""),"")</f>
        <v>0.163660846278333</v>
      </c>
      <c r="Q131" s="36">
        <f>IF(AND(ISNUMBER(Q130),ISNUMBER(Q129)),IFERROR(Q130/Q129,""),"")</f>
        <v>0.150046732432028</v>
      </c>
      <c r="R131" s="36">
        <f>IF(AND(ISNUMBER(R130),ISNUMBER(R129)),IFERROR(R130/R129,""),"")</f>
        <v>0.156411103670715</v>
      </c>
      <c r="S131" s="36">
        <f>IF(AND(ISNUMBER(S130),ISNUMBER(S129)),IFERROR(S130/S129,""),"")</f>
        <v>0.154386768107762</v>
      </c>
      <c r="T131" s="36">
        <f>IF(AND(ISNUMBER(T130),ISNUMBER(T129)),IFERROR(T130/T129,""),"")</f>
        <v>0.14281501747986</v>
      </c>
      <c r="U131" s="36">
        <f>IF(AND(ISNUMBER(U130),ISNUMBER(U129)),IFERROR(U130/U129,""),"")</f>
        <v>0.149414808797425</v>
      </c>
      <c r="V131" s="36">
        <f>IF(AND(ISNUMBER(V130),ISNUMBER(V129)),IFERROR(V130/V129,""),"")</f>
        <v>0.151444744453365</v>
      </c>
      <c r="W131" s="36">
        <f>IF(AND(ISNUMBER(W130),ISNUMBER(W129)),IFERROR(W130/W129,""),"")</f>
        <v>0.154616759245403</v>
      </c>
      <c r="X131" s="36">
        <f>IF(AND(ISNUMBER(X130),ISNUMBER(X129)),IFERROR(X130/X129,""),"")</f>
        <v>0.149384156659599</v>
      </c>
      <c r="Y131" s="36">
        <f>IF(AND(ISNUMBER(Y130),ISNUMBER(Y129)),IFERROR(Y130/Y129,""),"")</f>
        <v>0.139052008091197</v>
      </c>
      <c r="Z131" s="36">
        <f>IF(AND(ISNUMBER(Z130),ISNUMBER(Z129)),IFERROR(Z130/Z129,""),"")</f>
        <v>0.141550391784179</v>
      </c>
      <c r="AA131" s="36">
        <f>IF(AND(ISNUMBER(AA130),ISNUMBER(AA129)),IFERROR(AA130/AA129,""),"")</f>
        <v>0.147540896967476</v>
      </c>
      <c r="AB131" s="36">
        <f>IF(AND(ISNUMBER(AB130),ISNUMBER(AB129)),IFERROR(AB130/AB129,""),"")</f>
        <v>0.149932248841845</v>
      </c>
      <c r="AC131" s="36">
        <f>IF(AND(ISNUMBER(AC130),ISNUMBER(AC129)),IFERROR(AC130/AC129,""),"")</f>
        <v>0.14451814681524</v>
      </c>
      <c r="AD131" s="36">
        <f>IF(AND(ISNUMBER(AD130),ISNUMBER(AD129)),IFERROR(AD130/AD129,""),"")</f>
        <v>0.149513597074869</v>
      </c>
      <c r="AE131" s="36">
        <f>IF(AND(ISNUMBER(AE130),ISNUMBER(AE129)),IFERROR(AE130/AE129,""),"")</f>
        <v>0.149182111419173</v>
      </c>
      <c r="AF131" s="36">
        <f>IF(AND(ISNUMBER(AF130),ISNUMBER(AF129)),IFERROR(AF130/AF129,""),"")</f>
        <v>0.141184870296987</v>
      </c>
      <c r="AG131" s="36">
        <f>IF(AND(ISNUMBER(AG130),ISNUMBER(AG129)),IFERROR(AG130/AG129,""),"")</f>
        <v>0.127743463800799</v>
      </c>
      <c r="AH131" s="36">
        <f>IF(AND(ISNUMBER(AH130),ISNUMBER(AH129)),IFERROR(AH130/AH129,""),"")</f>
        <v>0.141111730504631</v>
      </c>
      <c r="AI131" s="36">
        <f>IF(AND(ISNUMBER(AI130),ISNUMBER(AI129)),IFERROR(AI130/AI129,""),"")</f>
        <v>0.133931022468114</v>
      </c>
      <c r="AJ131" s="36">
        <f>IF(AND(ISNUMBER(AJ130),ISNUMBER(AJ129)),IFERROR(AJ130/AJ129,""),"")</f>
        <v>0.141009705690258</v>
      </c>
      <c r="AK131" s="36">
        <f>IF(AND(ISNUMBER(AK130),ISNUMBER(AK129)),IFERROR(AK130/AK129,""),"")</f>
        <v>0.145911200530729</v>
      </c>
      <c r="AL131" s="36">
        <f>IF(AND(ISNUMBER(AL130),ISNUMBER(AL129)),IFERROR(AL130/AL129,""),"")</f>
        <v>0.137476859538576</v>
      </c>
      <c r="AM131" s="36">
        <f>IF(AND(ISNUMBER(AM130),ISNUMBER(AM129)),IFERROR(AM130/AM129,""),"")</f>
        <v>0.1395640468403</v>
      </c>
      <c r="AN131" s="36">
        <f>IF(AND(ISNUMBER(AN130),ISNUMBER(AN129)),IFERROR(AN130/AN129,""),"")</f>
        <v>0.1351020978063</v>
      </c>
      <c r="AO131" s="36">
        <f>IF(AND(ISNUMBER(AO130),ISNUMBER(AO129)),IFERROR(AO130/AO129,""),"")</f>
        <v>0.14098696538517</v>
      </c>
      <c r="AP131" s="36">
        <f>IF(AND(ISNUMBER(AP130),ISNUMBER(AP129)),IFERROR(AP130/AP129,""),"")</f>
        <v>0.128218636722529</v>
      </c>
      <c r="AQ131" s="36">
        <f>IF(AND(ISNUMBER(AQ130),ISNUMBER(AQ129)),IFERROR(AQ130/AQ129,""),"")</f>
        <v>0.128939423365526</v>
      </c>
      <c r="AR131" s="36">
        <f>IF(AND(ISNUMBER(AR130),ISNUMBER(AR129)),IFERROR(AR130/AR129,""),"")</f>
        <v>0.133438796086402</v>
      </c>
      <c r="AS131" s="36">
        <f>IF(AND(ISNUMBER(AS130),ISNUMBER(AS129)),IFERROR(AS130/AS129,""),"")</f>
        <v>0.12636914148472</v>
      </c>
      <c r="AT131" s="36">
        <f>IF(AND(ISNUMBER(AT130),ISNUMBER(AT129)),IFERROR(AT130/AT129,""),"")</f>
        <v>0.111951883018721</v>
      </c>
      <c r="AU131" s="36">
        <f>IF(AND(ISNUMBER(AU130),ISNUMBER(AU129)),IFERROR(AU130/AU129,""),"")</f>
        <v>0.132010142206169</v>
      </c>
      <c r="AV131" s="36">
        <f>IF(AND(ISNUMBER(AV130),ISNUMBER(AV129)),IFERROR(AV130/AV129,""),"")</f>
        <v>0.140190027587439</v>
      </c>
      <c r="AW131" s="36">
        <f>IF(AND(ISNUMBER(AW130),ISNUMBER(AW129)),IFERROR(AW130/AW129,""),"")</f>
        <v>0.128193869096935</v>
      </c>
      <c r="AX131" s="36">
        <f>IF(AND(ISNUMBER(AX130),ISNUMBER(AX129)),IFERROR(AX130/AX129,""),"")</f>
        <v>0.148838671582426</v>
      </c>
      <c r="AY131" s="36">
        <f>IF(AND(ISNUMBER(AY130),ISNUMBER(AY129)),IFERROR(AY130/AY129,""),"")</f>
        <v>0.155429098292222</v>
      </c>
      <c r="AZ131" s="36">
        <f>IF(AND(ISNUMBER(AZ130),ISNUMBER(AZ129)),IFERROR(AZ130/AZ129,""),"")</f>
        <v>0.154832141696861</v>
      </c>
      <c r="BA131" s="36">
        <f>IF(AND(ISNUMBER(BA130),ISNUMBER(BA129)),IFERROR(BA130/BA129,""),"")</f>
        <v>0.148384781303191</v>
      </c>
      <c r="BB131" s="36">
        <f>IF(AND(ISNUMBER(BB130),ISNUMBER(BB129)),IFERROR(BB130/BB129,""),"")</f>
        <v>0.151898781143907</v>
      </c>
      <c r="BC131" s="36">
        <f>IF(AND(ISNUMBER(BC130),ISNUMBER(BC129)),IFERROR(BC130/BC129,""),"")</f>
        <v>0.176619323830188</v>
      </c>
      <c r="BD131" s="36">
        <f>IF(AND(ISNUMBER(BD130),ISNUMBER(BD129)),IFERROR(BD130/BD129,""),"")</f>
        <v>0.172252366724457</v>
      </c>
      <c r="BE131" s="36">
        <f>IF(AND(ISNUMBER(BE130),ISNUMBER(BE129)),IFERROR(BE130/BE129,""),"")</f>
        <v>0.167631837817031</v>
      </c>
      <c r="BF131" s="36">
        <f>IF(AND(ISNUMBER(BF130),ISNUMBER(BF129)),IFERROR(BF130/BF129,""),"")</f>
        <v>0.160815911761736</v>
      </c>
      <c r="BG131" s="36">
        <f>IF(AND(ISNUMBER(BG130),ISNUMBER(BG129)),IFERROR(BG130/BG129,""),"")</f>
        <v>0.169347319254357</v>
      </c>
      <c r="BH131" s="36">
        <f>IF(AND(ISNUMBER(BH130),ISNUMBER(BH129)),IFERROR(BH130/BH129,""),"")</f>
        <v>0.165162030244106</v>
      </c>
      <c r="BI131" s="36">
        <f>IF(AND(ISNUMBER(BI130),ISNUMBER(BI129)),IFERROR(BI130/BI129,""),"")</f>
        <v>0.180065342529689</v>
      </c>
      <c r="BJ131" s="36">
        <f>IF(AND(ISNUMBER(BJ130),ISNUMBER(BJ129)),IFERROR(BJ130/BJ129,""),"")</f>
        <v>0.178247681506445</v>
      </c>
      <c r="BK131" s="36">
        <f>IF(AND(ISNUMBER(BK130),ISNUMBER(BK129)),IFERROR(BK130/BK129,""),"")</f>
        <v>0.174401094364364</v>
      </c>
      <c r="BL131" s="36">
        <f>IF(AND(ISNUMBER(BL130),ISNUMBER(BL129)),IFERROR(BL130/BL129,""),"")</f>
        <v>0.174484139367063</v>
      </c>
      <c r="BM131" s="36">
        <f>IF(AND(ISNUMBER(BM130),ISNUMBER(BM129)),IFERROR(BM130/BM129,""),"")</f>
        <v>0.177004210163708</v>
      </c>
      <c r="BN131" s="36">
        <f>IF(AND(ISNUMBER(BN130),ISNUMBER(BN129)),IFERROR(BN130/BN129,""),"")</f>
        <v>0.177177265355301</v>
      </c>
      <c r="BO131" s="36">
        <f>IF(AND(ISNUMBER(BO130),ISNUMBER(BO129)),IFERROR(BO130/BO129,""),"")</f>
        <v>0.174918857159121</v>
      </c>
      <c r="BP131" s="36">
        <f>IF(AND(ISNUMBER(BP130),ISNUMBER(BP129)),IFERROR(BP130/BP129,""),"")</f>
        <v>0.182804631170679</v>
      </c>
      <c r="BQ131" s="36">
        <f>IF(AND(ISNUMBER(BQ130),ISNUMBER(BQ129)),IFERROR(BQ130/BQ129,""),"")</f>
        <v>0.178015401616995</v>
      </c>
      <c r="BR131" s="36">
        <f>IF(AND(ISNUMBER(BR130),ISNUMBER(BR129)),IFERROR(BR130/BR129,""),"")</f>
        <v>0.169146783912193</v>
      </c>
      <c r="BS131" s="36">
        <f>IF(AND(ISNUMBER(BS130),ISNUMBER(BS129)),IFERROR(BS130/BS129,""),"")</f>
        <v>0.182928207092488</v>
      </c>
      <c r="BT131" s="36">
        <f>IF(AND(ISNUMBER(BT130),ISNUMBER(BT129)),IFERROR(BT130/BT129,""),"")</f>
        <v>0.176727505048402</v>
      </c>
      <c r="BU131" s="36">
        <f>IF(AND(ISNUMBER(BU130),ISNUMBER(BU129)),IFERROR(BU130/BU129,""),"")</f>
        <v>0.181740311389014</v>
      </c>
      <c r="BV131" s="36">
        <f>IF(AND(ISNUMBER(BV130),ISNUMBER(BV129)),IFERROR(BV130/BV129,""),"")</f>
        <v>0.177800960689137</v>
      </c>
      <c r="BW131" s="36">
        <f>IF(AND(ISNUMBER(BW130),ISNUMBER(BW129)),IFERROR(BW130/BW129,""),"")</f>
        <v>0.169019309205892</v>
      </c>
      <c r="BX131" s="36">
        <f>IF(AND(ISNUMBER(BX130),ISNUMBER(BX129)),IFERROR(BX130/BX129,""),"")</f>
        <v>0.183574479179905</v>
      </c>
      <c r="BY131" s="254">
        <f>IFERROR(BY130/BY129,"")</f>
        <v>0.181271486834643</v>
      </c>
      <c r="BZ131" s="254">
        <f>IFERROR(BZ130/BZ129,"")</f>
        <v>0.187332413056958</v>
      </c>
      <c r="CA131" s="254">
        <f>IFERROR(CA130/CA129,"")</f>
        <v>0.180487125504511</v>
      </c>
      <c r="CB131" s="254">
        <f>IFERROR(CB130/CB129,"")</f>
        <v>0.186835123681383</v>
      </c>
      <c r="CC131" s="254">
        <f>IFERROR(CC130/CC129,"")</f>
        <v>0.191849649719712</v>
      </c>
      <c r="CD131" s="254">
        <f>IFERROR(CD130/CD129,"")</f>
        <v>0.195889891504932</v>
      </c>
      <c r="CE131" s="254">
        <f>IFERROR(CE130/CE129,"")</f>
        <v>0.19959275988734</v>
      </c>
      <c r="CF131" s="19" t="n"/>
    </row>
    <row r="132">
      <c r="B132" s="22" t="inlineStr">
        <is>
          <t xml:space="preserve">  Net sales y/y %</t>
        </is>
      </c>
      <c r="C132" s="23" t="n"/>
      <c r="D132" s="23" t="n"/>
      <c r="E132" s="23" t="n"/>
      <c r="F132" s="23" t="n"/>
      <c r="G132" s="23" t="n"/>
      <c r="H132" s="23" t="n"/>
      <c r="I132" s="23" t="n"/>
      <c r="J132" s="23" t="n"/>
      <c r="K132" s="23" t="n"/>
      <c r="L132" s="23" t="n"/>
      <c r="M132" s="23" t="n"/>
      <c r="N132" s="23" t="n"/>
      <c r="O132" s="23" t="n"/>
      <c r="P132" s="23" t="n"/>
      <c r="Q132" s="23" t="n"/>
      <c r="R132" s="23" t="n"/>
      <c r="S132" s="23">
        <f>IF(AND(ISNUMBER(S129),ISNUMBER(N129)),IFERROR(S129/N129-1,""),"")</f>
        <v>-0.0137930381736976</v>
      </c>
      <c r="T132" s="23">
        <f>IF(AND(ISNUMBER(T129),ISNUMBER(O129)),IFERROR(T129/O129-1,""),"")</f>
        <v>-0.0396489660789825</v>
      </c>
      <c r="U132" s="23">
        <f>IF(AND(ISNUMBER(U129),ISNUMBER(P129)),IFERROR(U129/P129-1,""),"")</f>
        <v>-0.0875611332942592</v>
      </c>
      <c r="V132" s="23">
        <f>IF(AND(ISNUMBER(V129),ISNUMBER(Q129)),IFERROR(V129/Q129-1,""),"")</f>
        <v>-0.0986494396997948</v>
      </c>
      <c r="W132" s="23">
        <f>IF(AND(ISNUMBER(W129),ISNUMBER(R129)),IFERROR(W129/R129-1,""),"")</f>
        <v>-0.169556724575044</v>
      </c>
      <c r="X132" s="23">
        <f>IF(AND(ISNUMBER(X129),ISNUMBER(S129)),IFERROR(X129/S129-1,""),"")</f>
        <v>-0.0986494978893294</v>
      </c>
      <c r="Y132" s="23">
        <f>IF(AND(ISNUMBER(Y129),ISNUMBER(T129)),IFERROR(Y129/T129-1,""),"")</f>
        <v>-0.162909256725946</v>
      </c>
      <c r="Z132" s="23">
        <f>IF(AND(ISNUMBER(Z129),ISNUMBER(U129)),IFERROR(Z129/U129-1,""),"")</f>
        <v>-0.10879742455697</v>
      </c>
      <c r="AA132" s="23">
        <f>IF(AND(ISNUMBER(AA129),ISNUMBER(V129)),IFERROR(AA129/V129-1,""),"")</f>
        <v>-0.120155122867603</v>
      </c>
      <c r="AB132" s="23">
        <f>IF(AND(ISNUMBER(AB129),ISNUMBER(W129)),IFERROR(AB129/W129-1,""),"")</f>
        <v>-0.00731885525145914</v>
      </c>
      <c r="AC132" s="23">
        <f>IF(AND(ISNUMBER(AC129),ISNUMBER(X129)),IFERROR(AC129/X129-1,""),"")</f>
        <v>-0.102996264282033</v>
      </c>
      <c r="AD132" s="23">
        <f>IF(AND(ISNUMBER(AD129),ISNUMBER(Y129)),IFERROR(AD129/Y129-1,""),"")</f>
        <v>0.0547917097918731</v>
      </c>
      <c r="AE132" s="23">
        <f>IF(AND(ISNUMBER(AE129),ISNUMBER(Z129)),IFERROR(AE129/Z129-1,""),"")</f>
        <v>0.0581346279147492</v>
      </c>
      <c r="AF132" s="23">
        <f>IF(AND(ISNUMBER(AF129),ISNUMBER(AA129)),IFERROR(AF129/AA129-1,""),"")</f>
        <v>0.179416396838875</v>
      </c>
      <c r="AG132" s="23">
        <f>IF(AND(ISNUMBER(AG129),ISNUMBER(AB129)),IFERROR(AG129/AB129-1,""),"")</f>
        <v>0.325200238370567</v>
      </c>
      <c r="AH132" s="23">
        <f>IF(AND(ISNUMBER(AH129),ISNUMBER(AC129)),IFERROR(AH129/AC129-1,""),"")</f>
        <v>0.153791808192511</v>
      </c>
      <c r="AI132" s="23">
        <f>IF(AND(ISNUMBER(AI129),ISNUMBER(AD129)),IFERROR(AI129/AD129-1,""),"")</f>
        <v>0.304355161069863</v>
      </c>
      <c r="AJ132" s="23">
        <f>IF(AND(ISNUMBER(AJ129),ISNUMBER(AE129)),IFERROR(AJ129/AE129-1,""),"")</f>
        <v>0.260336471736821</v>
      </c>
      <c r="AK132" s="23">
        <f>IF(AND(ISNUMBER(AK129),ISNUMBER(AF129)),IFERROR(AK129/AF129-1,""),"")</f>
        <v>0.10098418051923</v>
      </c>
      <c r="AL132" s="23">
        <f>IF(AND(ISNUMBER(AL129),ISNUMBER(AG129)),IFERROR(AL129/AG129-1,""),"")</f>
        <v>-0.00449420156989222</v>
      </c>
      <c r="AM132" s="23">
        <f>IF(AND(ISNUMBER(AM129),ISNUMBER(AH129)),IFERROR(AM129/AH129-1,""),"")</f>
        <v>0.15403072132588</v>
      </c>
      <c r="AN132" s="23">
        <f>IF(AND(ISNUMBER(AN129),ISNUMBER(AI129)),IFERROR(AN129/AI129-1,""),"")</f>
        <v>0.00195065039276976</v>
      </c>
      <c r="AO132" s="23">
        <f>IF(AND(ISNUMBER(AO129),ISNUMBER(AJ129)),IFERROR(AO129/AJ129-1,""),"")</f>
        <v>-0.0165103056507672</v>
      </c>
      <c r="AP132" s="23">
        <f>IF(AND(ISNUMBER(AP129),ISNUMBER(AK129)),IFERROR(AP129/AK129-1,""),"")</f>
        <v>-0.00856872686029964</v>
      </c>
      <c r="AQ132" s="23">
        <f>IF(AND(ISNUMBER(AQ129),ISNUMBER(AL129)),IFERROR(AQ129/AL129-1,""),"")</f>
        <v>-0.0101098777000566</v>
      </c>
      <c r="AR132" s="23">
        <f>IF(AND(ISNUMBER(AR129),ISNUMBER(AM129)),IFERROR(AR129/AM129-1,""),"")</f>
        <v>-0.00838716877418955</v>
      </c>
      <c r="AS132" s="23">
        <f>IF(AND(ISNUMBER(AS129),ISNUMBER(AN129)),IFERROR(AS129/AN129-1,""),"")</f>
        <v>-0.0753226533047759</v>
      </c>
      <c r="AT132" s="23">
        <f>IF(AND(ISNUMBER(AT129),ISNUMBER(AO129)),IFERROR(AT129/AO129-1,""),"")</f>
        <v>-0.239741418363775</v>
      </c>
      <c r="AU132" s="23">
        <f>IF(AND(ISNUMBER(AU129),ISNUMBER(AP129)),IFERROR(AU129/AP129-1,""),"")</f>
        <v>-0.0846968251861361</v>
      </c>
      <c r="AV132" s="23">
        <f>IF(AND(ISNUMBER(AV129),ISNUMBER(AQ129)),IFERROR(AV129/AQ129-1,""),"")</f>
        <v>-0.0577381445511178</v>
      </c>
      <c r="AW132" s="23">
        <f>IF(AND(ISNUMBER(AW129),ISNUMBER(AR129)),IFERROR(AW129/AR129-1,""),"")</f>
        <v>-0.115831000322315</v>
      </c>
      <c r="AX132" s="23">
        <f>IF(AND(ISNUMBER(AX129),ISNUMBER(AS129)),IFERROR(AX129/AS129-1,""),"")</f>
        <v>0.078391318407216</v>
      </c>
      <c r="AY132" s="23">
        <f>IF(AND(ISNUMBER(AY129),ISNUMBER(AT129)),IFERROR(AY129/AT129-1,""),"")</f>
        <v>0.399045582815751</v>
      </c>
      <c r="AZ132" s="23">
        <f>IF(AND(ISNUMBER(AZ129),ISNUMBER(AU129)),IFERROR(AZ129/AU129-1,""),"")</f>
        <v>0.205663728456782</v>
      </c>
      <c r="BA132" s="23">
        <f>IF(AND(ISNUMBER(BA129),ISNUMBER(AV129)),IFERROR(BA129/AV129-1,""),"")</f>
        <v>0.216861200875188</v>
      </c>
      <c r="BB132" s="23">
        <f>IF(AND(ISNUMBER(BB129),ISNUMBER(AW129)),IFERROR(BB129/AW129-1,""),"")</f>
        <v>0.217963395345334</v>
      </c>
      <c r="BC132" s="23">
        <f>IF(AND(ISNUMBER(BC129),ISNUMBER(AX129)),IFERROR(BC129/AX129-1,""),"")</f>
        <v>0.222486562459958</v>
      </c>
      <c r="BD132" s="23">
        <f>IF(AND(ISNUMBER(BD129),ISNUMBER(AY129)),IFERROR(BD129/AY129-1,""),"")</f>
        <v>0.173191732389219</v>
      </c>
      <c r="BE132" s="23">
        <f>IF(AND(ISNUMBER(BE129),ISNUMBER(AZ129)),IFERROR(BE129/AZ129-1,""),"")</f>
        <v>0.159694167305265</v>
      </c>
      <c r="BF132" s="23">
        <f>IF(AND(ISNUMBER(BF129),ISNUMBER(BA129)),IFERROR(BF129/BA129-1,""),"")</f>
        <v>0.102674441605636</v>
      </c>
      <c r="BG132" s="23">
        <f>IF(AND(ISNUMBER(BG129),ISNUMBER(BB129)),IFERROR(BG129/BB129-1,""),"")</f>
        <v>0.162956607238929</v>
      </c>
      <c r="BH132" s="23">
        <f>IF(AND(ISNUMBER(BH129),ISNUMBER(BC129)),IFERROR(BH129/BC129-1,""),"")</f>
        <v>0.123070123875139</v>
      </c>
      <c r="BI132" s="23">
        <f>IF(AND(ISNUMBER(BI129),ISNUMBER(BD129)),IFERROR(BI129/BD129-1,""),"")</f>
        <v>0.0938294473225254</v>
      </c>
      <c r="BJ132" s="23">
        <f>IF(AND(ISNUMBER(BJ129),ISNUMBER(BE129)),IFERROR(BJ129/BE129-1,""),"")</f>
        <v>0.104758136948804</v>
      </c>
      <c r="BK132" s="23">
        <f>IF(AND(ISNUMBER(BK129),ISNUMBER(BF129)),IFERROR(BK129/BF129-1,""),"")</f>
        <v>0.137045161096276</v>
      </c>
      <c r="BL132" s="23">
        <f>IF(AND(ISNUMBER(BL129),ISNUMBER(BG129)),IFERROR(BL129/BG129-1,""),"")</f>
        <v>0.114437876524343</v>
      </c>
      <c r="BM132" s="23">
        <f>IF(AND(ISNUMBER(BM129),ISNUMBER(BH129)),IFERROR(BM129/BH129-1,""),"")</f>
        <v>-0.0559449575356739</v>
      </c>
      <c r="BN132" s="23">
        <f>IF(AND(ISNUMBER(BN129),ISNUMBER(BI129)),IFERROR(BN129/BI129-1,""),"")</f>
        <v>-0.0366615907558706</v>
      </c>
      <c r="BO132" s="23">
        <f>IF(AND(ISNUMBER(BO129),ISNUMBER(BJ129)),IFERROR(BO129/BJ129-1,""),"")</f>
        <v>-0.0478652050785219</v>
      </c>
      <c r="BP132" s="23">
        <f>IF(AND(ISNUMBER(BP129),ISNUMBER(BK129)),IFERROR(BP129/BK129-1,""),"")</f>
        <v>-0.0344662422981653</v>
      </c>
      <c r="BQ132" s="23">
        <f>IF(AND(ISNUMBER(BQ129),ISNUMBER(BL129)),IFERROR(BQ129/BL129-1,""),"")</f>
        <v>-0.0436502597076652</v>
      </c>
      <c r="BR132" s="23">
        <f>IF(AND(ISNUMBER(BR129),ISNUMBER(BM129)),IFERROR(BR129/BM129-1,""),"")</f>
        <v>0.0236354167409807</v>
      </c>
      <c r="BS132" s="23">
        <f>IF(AND(ISNUMBER(BS129),ISNUMBER(BN129)),IFERROR(BS129/BN129-1,""),"")</f>
        <v>0.0655682829214148</v>
      </c>
      <c r="BT132" s="23">
        <f>IF(AND(ISNUMBER(BT129),ISNUMBER(BO129)),IFERROR(BT129/BO129-1,""),"")</f>
        <v>0.078746928871807</v>
      </c>
      <c r="BU132" s="23">
        <f>IF(AND(ISNUMBER(BU129),ISNUMBER(BP129)),IFERROR(BU129/BP129-1,""),"")</f>
        <v>0.0554621141628777</v>
      </c>
      <c r="BV132" s="23">
        <f>IF(AND(ISNUMBER(BV129),ISNUMBER(BQ129)),IFERROR(BV129/BQ129-1,""),"")</f>
        <v>0.0559619524680255</v>
      </c>
      <c r="BW132" s="23">
        <f>IF(AND(ISNUMBER(BW129),ISNUMBER(BR129)),IFERROR(BW129/BR129-1,""),"")</f>
        <v>0.116534645973468</v>
      </c>
      <c r="BX132" s="23">
        <f>IF(AND(ISNUMBER(BX129),ISNUMBER(BS129)),IFERROR(BX129/BS129-1,""),"")</f>
        <v>0.120320794214608</v>
      </c>
      <c r="BY132" s="254">
        <f>IFERROR(BY129/BT129-1,"")</f>
        <v>0.117538233515006</v>
      </c>
      <c r="BZ132" s="254">
        <f>IFERROR(BZ129/BU129-1,"")</f>
        <v>0.10570409984247</v>
      </c>
      <c r="CA132" s="254">
        <f>IFERROR(CA129/BV129-1,"")</f>
        <v>0.115</v>
      </c>
      <c r="CB132" s="254">
        <f>IFERROR(CB129/CA129-1,"")</f>
        <v>0.0655855501128235</v>
      </c>
      <c r="CC132" s="254">
        <f>IFERROR(CC129/CB129-1,"")</f>
        <v>0.0746986170253599</v>
      </c>
      <c r="CD132" s="254">
        <f>IFERROR(CD129/CC129-1,"")</f>
        <v>0.0721796100270251</v>
      </c>
      <c r="CE132" s="254">
        <f>IFERROR(CE129/CD129-1,"")</f>
        <v>0.0704248059005868</v>
      </c>
      <c r="CF132" s="19" t="n"/>
    </row>
    <row r="133">
      <c r="B133" s="57" t="inlineStr">
        <is>
          <t xml:space="preserve">  Check: segment build vs consolidated net sales (should be 0)</t>
        </is>
      </c>
      <c r="C133" s="44" t="n"/>
      <c r="D133" s="44" t="n"/>
      <c r="E133" s="44" t="n"/>
      <c r="F133" s="44" t="n"/>
      <c r="G133" s="44" t="n"/>
      <c r="H133" s="44" t="n"/>
      <c r="I133" s="44" t="n"/>
      <c r="J133" s="44" t="n"/>
      <c r="K133" s="44" t="n"/>
      <c r="L133" s="44" t="n"/>
      <c r="M133" s="44" t="n"/>
      <c r="N133" s="44">
        <f>ROUND(N129-N154,1)</f>
        <v>0</v>
      </c>
      <c r="O133" s="44">
        <f>ROUND(O129-O154,1)</f>
        <v>0</v>
      </c>
      <c r="P133" s="44">
        <f>ROUND(P129-P154,1)</f>
        <v>0</v>
      </c>
      <c r="Q133" s="44">
        <f>ROUND(Q129-Q154,1)</f>
        <v>0</v>
      </c>
      <c r="R133" s="44">
        <f>ROUND(R129-R154,1)</f>
        <v>0</v>
      </c>
      <c r="S133" s="44">
        <f>ROUND(S129-S154,1)</f>
        <v>0</v>
      </c>
      <c r="T133" s="44">
        <f>ROUND(T129-T154,1)</f>
        <v>0</v>
      </c>
      <c r="U133" s="44">
        <f>ROUND(U129-U154,1)</f>
        <v>0</v>
      </c>
      <c r="V133" s="44">
        <f>ROUND(V129-V154,1)</f>
        <v>0</v>
      </c>
      <c r="W133" s="44">
        <f>ROUND(W129-W154,1)</f>
        <v>0</v>
      </c>
      <c r="X133" s="44">
        <f>ROUND(X129-X154,1)</f>
        <v>0</v>
      </c>
      <c r="Y133" s="44">
        <f>ROUND(Y129-Y154,1)</f>
        <v>0</v>
      </c>
      <c r="Z133" s="44">
        <f>ROUND(Z129-Z154,1)</f>
        <v>0</v>
      </c>
      <c r="AA133" s="44">
        <f>ROUND(AA129-AA154,1)</f>
        <v>0</v>
      </c>
      <c r="AB133" s="44">
        <f>ROUND(AB129-AB154,1)</f>
        <v>0</v>
      </c>
      <c r="AC133" s="44">
        <f>ROUND(AC129-AC154,1)</f>
        <v>0</v>
      </c>
      <c r="AD133" s="44">
        <f>ROUND(AD129-AD154,1)</f>
        <v>0</v>
      </c>
      <c r="AE133" s="44">
        <f>ROUND(AE129-AE154,1)</f>
        <v>0</v>
      </c>
      <c r="AF133" s="44">
        <f>ROUND(AF129-AF154,1)</f>
        <v>0</v>
      </c>
      <c r="AG133" s="44">
        <f>ROUND(AG129-AG154,1)</f>
        <v>0</v>
      </c>
      <c r="AH133" s="44">
        <f>ROUND(AH129-AH154,1)</f>
        <v>0</v>
      </c>
      <c r="AI133" s="44">
        <f>ROUND(AI129-AI154,1)</f>
        <v>0</v>
      </c>
      <c r="AJ133" s="44">
        <f>ROUND(AJ129-AJ154,1)</f>
        <v>0</v>
      </c>
      <c r="AK133" s="44">
        <f>ROUND(AK129-AK154,1)</f>
        <v>0</v>
      </c>
      <c r="AL133" s="44">
        <f>ROUND(AL129-AL154,1)</f>
        <v>0</v>
      </c>
      <c r="AM133" s="44">
        <f>ROUND(AM129-AM154,1)</f>
        <v>0</v>
      </c>
      <c r="AN133" s="44">
        <f>ROUND(AN129-AN154,1)</f>
        <v>0</v>
      </c>
      <c r="AO133" s="44">
        <f>ROUND(AO129-AO154,1)</f>
        <v>0</v>
      </c>
      <c r="AP133" s="44">
        <f>ROUND(AP129-AP154,1)</f>
        <v>0</v>
      </c>
      <c r="AQ133" s="44">
        <f>ROUND(AQ129-AQ154,1)</f>
        <v>0</v>
      </c>
      <c r="AR133" s="44">
        <f>ROUND(AR129-AR154,1)</f>
        <v>0</v>
      </c>
      <c r="AS133" s="44">
        <f>ROUND(AS129-AS154,1)</f>
        <v>0</v>
      </c>
      <c r="AT133" s="44">
        <f>ROUND(AT129-AT154,1)</f>
        <v>0</v>
      </c>
      <c r="AU133" s="44">
        <f>ROUND(AU129-AU154,1)</f>
        <v>0</v>
      </c>
      <c r="AV133" s="44">
        <f>ROUND(AV129-AV154,1)</f>
        <v>0</v>
      </c>
      <c r="AW133" s="44">
        <f>ROUND(AW129-AW154,1)</f>
        <v>0</v>
      </c>
      <c r="AX133" s="44">
        <f>ROUND(AX129-AX154,1)</f>
        <v>0</v>
      </c>
      <c r="AY133" s="44">
        <f>ROUND(AY129-AY154,1)</f>
        <v>0</v>
      </c>
      <c r="AZ133" s="44">
        <f>ROUND(AZ129-AZ154,1)</f>
        <v>0</v>
      </c>
      <c r="BA133" s="44">
        <f>ROUND(BA129-BA154,1)</f>
        <v>0</v>
      </c>
      <c r="BB133" s="44">
        <f>ROUND(BB129-BB154,1)</f>
        <v>0</v>
      </c>
      <c r="BC133" s="44">
        <f>ROUND(BC129-BC154,1)</f>
        <v>0</v>
      </c>
      <c r="BD133" s="44">
        <f>ROUND(BD129-BD154,1)</f>
        <v>0</v>
      </c>
      <c r="BE133" s="44">
        <f>ROUND(BE129-BE154,1)</f>
        <v>0</v>
      </c>
      <c r="BF133" s="44">
        <f>ROUND(BF129-BF154,1)</f>
        <v>0</v>
      </c>
      <c r="BG133" s="44">
        <f>ROUND(BG129-BG154,1)</f>
        <v>0</v>
      </c>
      <c r="BH133" s="44">
        <f>ROUND(BH129-BH154,1)</f>
        <v>0</v>
      </c>
      <c r="BI133" s="44">
        <f>ROUND(BI129-BI154,1)</f>
        <v>0</v>
      </c>
      <c r="BJ133" s="44">
        <f>ROUND(BJ129-BJ154,1)</f>
        <v>0</v>
      </c>
      <c r="BK133" s="44">
        <f>ROUND(BK129-BK154,1)</f>
        <v>0</v>
      </c>
      <c r="BL133" s="44">
        <f>ROUND(BL129-BL154,1)</f>
        <v>0</v>
      </c>
      <c r="BM133" s="44">
        <f>ROUND(BM129-BM154,1)</f>
        <v>0</v>
      </c>
      <c r="BN133" s="44">
        <f>ROUND(BN129-BN154,1)</f>
        <v>0</v>
      </c>
      <c r="BO133" s="44">
        <f>ROUND(BO129-BO154,1)</f>
        <v>0</v>
      </c>
      <c r="BP133" s="44">
        <f>ROUND(BP129-BP154,1)</f>
        <v>0</v>
      </c>
      <c r="BQ133" s="44">
        <f>ROUND(BQ129-BQ154,1)</f>
        <v>0</v>
      </c>
      <c r="BR133" s="44">
        <f>ROUND(BR129-BR154,1)</f>
        <v>0</v>
      </c>
      <c r="BS133" s="44">
        <f>ROUND(BS129-BS154,1)</f>
        <v>0</v>
      </c>
      <c r="BT133" s="44">
        <f>ROUND(BT129-BT154,1)</f>
        <v>0</v>
      </c>
      <c r="BU133" s="44">
        <f>ROUND(BU129-BU154,1)</f>
        <v>0</v>
      </c>
      <c r="BV133" s="44">
        <f>ROUND(BV129-BV154,1)</f>
        <v>0</v>
      </c>
      <c r="BW133" s="44">
        <f>ROUND(BW129-BW154,1)</f>
        <v>0</v>
      </c>
      <c r="BX133" s="44">
        <f>ROUND(BX129-BX154,1)</f>
        <v>0</v>
      </c>
      <c r="BY133" s="268">
        <f>ROUND(BY129-BY154,1)</f>
        <v>0</v>
      </c>
      <c r="BZ133" s="268">
        <f>ROUND(BZ129-BZ154,1)</f>
        <v>0</v>
      </c>
      <c r="CA133" s="268">
        <f>ROUND(CA129-CA154,1)</f>
        <v>0</v>
      </c>
      <c r="CB133" s="268">
        <f>ROUND(CB129-CB154,1)</f>
        <v>0</v>
      </c>
      <c r="CC133" s="268">
        <f>ROUND(CC129-CC154,1)</f>
        <v>0</v>
      </c>
      <c r="CD133" s="268">
        <f>ROUND(CD129-CD154,1)</f>
        <v>0</v>
      </c>
      <c r="CE133" s="268">
        <f>ROUND(CE129-CE154,1)</f>
        <v>0</v>
      </c>
      <c r="CF133" s="19" t="n"/>
    </row>
    <row r="134">
      <c r="B134" s="57" t="inlineStr">
        <is>
          <t xml:space="preserve">  Check: segment build vs adjusted EBIT bridge (should be 0)</t>
        </is>
      </c>
      <c r="C134" s="44" t="n"/>
      <c r="D134" s="44" t="n"/>
      <c r="E134" s="44" t="n"/>
      <c r="F134" s="44" t="n"/>
      <c r="G134" s="44" t="n"/>
      <c r="H134" s="44" t="n"/>
      <c r="I134" s="44" t="n"/>
      <c r="J134" s="44" t="n"/>
      <c r="K134" s="44" t="n"/>
      <c r="L134" s="44" t="n"/>
      <c r="M134" s="44" t="n"/>
      <c r="N134" s="44">
        <f>ROUND(N130-N222,1)</f>
        <v>0</v>
      </c>
      <c r="O134" s="44">
        <f>ROUND(O130-O222,1)</f>
        <v>0</v>
      </c>
      <c r="P134" s="44">
        <f>ROUND(P130-P222,1)</f>
        <v>0</v>
      </c>
      <c r="Q134" s="44">
        <f>ROUND(Q130-Q222,1)</f>
        <v>0</v>
      </c>
      <c r="R134" s="44">
        <f>ROUND(R130-R222,1)</f>
        <v>0</v>
      </c>
      <c r="S134" s="44">
        <f>ROUND(S130-S222,1)</f>
        <v>0</v>
      </c>
      <c r="T134" s="44">
        <f>ROUND(T130-T222,1)</f>
        <v>0</v>
      </c>
      <c r="U134" s="44">
        <f>ROUND(U130-U222,1)</f>
        <v>0</v>
      </c>
      <c r="V134" s="44">
        <f>ROUND(V130-V222,1)</f>
        <v>0</v>
      </c>
      <c r="W134" s="44">
        <f>ROUND(W130-W222,1)</f>
        <v>0</v>
      </c>
      <c r="X134" s="44">
        <f>ROUND(X130-X222,1)</f>
        <v>0</v>
      </c>
      <c r="Y134" s="44">
        <f>ROUND(Y130-Y222,1)</f>
        <v>0</v>
      </c>
      <c r="Z134" s="44">
        <f>ROUND(Z130-Z222,1)</f>
        <v>0</v>
      </c>
      <c r="AA134" s="44">
        <f>ROUND(AA130-AA222,1)</f>
        <v>0</v>
      </c>
      <c r="AB134" s="44">
        <f>ROUND(AB130-AB222,1)</f>
        <v>0</v>
      </c>
      <c r="AC134" s="44">
        <f>ROUND(AC130-AC222,1)</f>
        <v>0</v>
      </c>
      <c r="AD134" s="44">
        <f>ROUND(AD130-AD222,1)</f>
        <v>0</v>
      </c>
      <c r="AE134" s="44">
        <f>ROUND(AE130-AE222,1)</f>
        <v>0</v>
      </c>
      <c r="AF134" s="44">
        <f>ROUND(AF130-AF222,1)</f>
        <v>0</v>
      </c>
      <c r="AG134" s="44">
        <f>ROUND(AG130-AG222,1)</f>
        <v>0</v>
      </c>
      <c r="AH134" s="44">
        <f>ROUND(AH130-AH222,1)</f>
        <v>0</v>
      </c>
      <c r="AI134" s="44">
        <f>ROUND(AI130-AI222,1)</f>
        <v>0</v>
      </c>
      <c r="AJ134" s="44">
        <f>ROUND(AJ130-AJ222,1)</f>
        <v>0</v>
      </c>
      <c r="AK134" s="44">
        <f>ROUND(AK130-AK222,1)</f>
        <v>0</v>
      </c>
      <c r="AL134" s="44">
        <f>ROUND(AL130-AL222,1)</f>
        <v>0</v>
      </c>
      <c r="AM134" s="44">
        <f>ROUND(AM130-AM222,1)</f>
        <v>0</v>
      </c>
      <c r="AN134" s="44">
        <f>ROUND(AN130-AN222,1)</f>
        <v>0</v>
      </c>
      <c r="AO134" s="44">
        <f>ROUND(AO130-AO222,1)</f>
        <v>0</v>
      </c>
      <c r="AP134" s="44">
        <f>ROUND(AP130-AP222,1)</f>
        <v>0</v>
      </c>
      <c r="AQ134" s="44">
        <f>ROUND(AQ130-AQ222,1)</f>
        <v>0</v>
      </c>
      <c r="AR134" s="44">
        <f>ROUND(AR130-AR222,1)</f>
        <v>0</v>
      </c>
      <c r="AS134" s="44">
        <f>ROUND(AS130-AS222,1)</f>
        <v>0</v>
      </c>
      <c r="AT134" s="44">
        <f>ROUND(AT130-AT222,1)</f>
        <v>0</v>
      </c>
      <c r="AU134" s="44">
        <f>ROUND(AU130-AU222,1)</f>
        <v>0</v>
      </c>
      <c r="AV134" s="44">
        <f>ROUND(AV130-AV222,1)</f>
        <v>0</v>
      </c>
      <c r="AW134" s="44">
        <f>ROUND(AW130-AW222,1)</f>
        <v>0</v>
      </c>
      <c r="AX134" s="44">
        <f>ROUND(AX130-AX222,1)</f>
        <v>0</v>
      </c>
      <c r="AY134" s="44">
        <f>ROUND(AY130-AY222,1)</f>
        <v>0</v>
      </c>
      <c r="AZ134" s="44">
        <f>ROUND(AZ130-AZ222,1)</f>
        <v>0</v>
      </c>
      <c r="BA134" s="44">
        <f>ROUND(BA130-BA222,1)</f>
        <v>0</v>
      </c>
      <c r="BB134" s="44">
        <f>ROUND(BB130-BB222,1)</f>
        <v>0</v>
      </c>
      <c r="BC134" s="44">
        <f>ROUND(BC130-BC222,1)</f>
        <v>0</v>
      </c>
      <c r="BD134" s="44">
        <f>ROUND(BD130-BD222,1)</f>
        <v>0</v>
      </c>
      <c r="BE134" s="44">
        <f>ROUND(BE130-BE222,1)</f>
        <v>0</v>
      </c>
      <c r="BF134" s="44">
        <f>ROUND(BF130-BF222,1)</f>
        <v>0</v>
      </c>
      <c r="BG134" s="44">
        <f>ROUND(BG130-BG222,1)</f>
        <v>0</v>
      </c>
      <c r="BH134" s="44">
        <f>ROUND(BH130-BH222,1)</f>
        <v>0</v>
      </c>
      <c r="BI134" s="44">
        <f>ROUND(BI130-BI222,1)</f>
        <v>0</v>
      </c>
      <c r="BJ134" s="44">
        <f>ROUND(BJ130-BJ222,1)</f>
        <v>0</v>
      </c>
      <c r="BK134" s="44">
        <f>ROUND(BK130-BK222,1)</f>
        <v>0</v>
      </c>
      <c r="BL134" s="44">
        <f>ROUND(BL130-BL222,1)</f>
        <v>0</v>
      </c>
      <c r="BM134" s="44">
        <f>ROUND(BM130-BM222,1)</f>
        <v>0</v>
      </c>
      <c r="BN134" s="44">
        <f>ROUND(BN130-BN222,1)</f>
        <v>0</v>
      </c>
      <c r="BO134" s="44">
        <f>ROUND(BO130-BO222,1)</f>
        <v>0</v>
      </c>
      <c r="BP134" s="44">
        <f>ROUND(BP130-BP222,1)</f>
        <v>0</v>
      </c>
      <c r="BQ134" s="44">
        <f>ROUND(BQ130-BQ222,1)</f>
        <v>0</v>
      </c>
      <c r="BR134" s="44">
        <f>ROUND(BR130-BR222,1)</f>
        <v>0</v>
      </c>
      <c r="BS134" s="44">
        <f>ROUND(BS130-BS222,1)</f>
        <v>0</v>
      </c>
      <c r="BT134" s="44">
        <f>ROUND(BT130-BT222,1)</f>
        <v>0</v>
      </c>
      <c r="BU134" s="44">
        <f>ROUND(BU130-BU222,1)</f>
        <v>0</v>
      </c>
      <c r="BV134" s="44">
        <f>ROUND(BV130-BV222,1)</f>
        <v>0</v>
      </c>
      <c r="BW134" s="44">
        <f>ROUND(BW130-BW222,1)</f>
        <v>0</v>
      </c>
      <c r="BX134" s="44">
        <f>ROUND(BX130-BX222,1)</f>
        <v>0</v>
      </c>
      <c r="BY134" s="268">
        <f>ROUND(BY130-BY222,1)</f>
        <v>0</v>
      </c>
      <c r="BZ134" s="268">
        <f>ROUND(BZ130-BZ222,1)</f>
        <v>0</v>
      </c>
      <c r="CA134" s="268">
        <f>ROUND(CA130-CA222,1)</f>
        <v>0</v>
      </c>
      <c r="CB134" s="268">
        <f>ROUND(CB130-CB222,1)</f>
        <v>0</v>
      </c>
      <c r="CC134" s="268">
        <f>ROUND(CC130-CC222,1)</f>
        <v>0</v>
      </c>
      <c r="CD134" s="268">
        <f>ROUND(CD130-CD222,1)</f>
        <v>0</v>
      </c>
      <c r="CE134" s="268">
        <f>ROUND(CE130-CE222,1)</f>
        <v>0</v>
      </c>
      <c r="CF134" s="19" t="n"/>
    </row>
    <row r="135">
      <c r="B135" s="25" t="inlineStr">
        <is>
          <t xml:space="preserve">  Memo: FY26 net sales growth outlook — "low double-digit" (scenario end-point)</t>
        </is>
      </c>
      <c r="C135" s="36" t="n"/>
      <c r="D135" s="36" t="n"/>
      <c r="E135" s="36" t="n"/>
      <c r="F135" s="36" t="n"/>
      <c r="G135" s="36"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c r="AA135" s="36" t="n"/>
      <c r="AB135" s="36" t="n"/>
      <c r="AC135" s="36" t="n"/>
      <c r="AD135" s="36" t="n"/>
      <c r="AE135" s="36" t="n"/>
      <c r="AF135" s="36" t="n"/>
      <c r="AG135" s="36" t="n"/>
      <c r="AH135" s="36" t="n"/>
      <c r="AI135" s="36" t="n"/>
      <c r="AJ135" s="36" t="n"/>
      <c r="AK135" s="36" t="n"/>
      <c r="AL135" s="36" t="n"/>
      <c r="AM135" s="36" t="n"/>
      <c r="AN135" s="36" t="n"/>
      <c r="AO135" s="36" t="n"/>
      <c r="AP135" s="36" t="n"/>
      <c r="AQ135" s="36" t="n"/>
      <c r="AR135" s="36" t="n"/>
      <c r="AS135" s="36" t="n"/>
      <c r="AT135" s="36" t="n"/>
      <c r="AU135" s="36" t="n"/>
      <c r="AV135" s="36" t="n"/>
      <c r="AW135" s="36" t="n"/>
      <c r="AX135" s="36" t="n"/>
      <c r="AY135" s="36" t="n"/>
      <c r="AZ135" s="36" t="n"/>
      <c r="BA135" s="36" t="n"/>
      <c r="BB135" s="36" t="n"/>
      <c r="BC135" s="36" t="n"/>
      <c r="BD135" s="36" t="n"/>
      <c r="BE135" s="36" t="n"/>
      <c r="BF135" s="36" t="n"/>
      <c r="BG135" s="36" t="n"/>
      <c r="BH135" s="36" t="n"/>
      <c r="BI135" s="36" t="n"/>
      <c r="BJ135" s="36" t="n"/>
      <c r="BK135" s="36" t="n"/>
      <c r="BL135" s="36" t="n"/>
      <c r="BM135" s="36" t="n"/>
      <c r="BN135" s="36" t="n"/>
      <c r="BO135" s="36" t="n"/>
      <c r="BP135" s="36" t="n"/>
      <c r="BQ135" s="36" t="n"/>
      <c r="BR135" s="36" t="n"/>
      <c r="BS135" s="36" t="n"/>
      <c r="BT135" s="36" t="n"/>
      <c r="BU135" s="36" t="n"/>
      <c r="BV135" s="36" t="n"/>
      <c r="BW135" s="36" t="n"/>
      <c r="BX135" s="36" t="n"/>
      <c r="BY135" s="254" t="n"/>
      <c r="BZ135" s="254" t="n"/>
      <c r="CA135" s="254">
        <f>CHOOSE(MATCH($CF$2,{"Bull","Base","Bear"},0),$CO$12,$CP$12,$CQ$12)</f>
        <v>0.115</v>
      </c>
      <c r="CB135" s="254" t="n"/>
      <c r="CC135" s="254" t="n"/>
      <c r="CD135" s="254" t="n"/>
      <c r="CE135" s="254" t="n"/>
      <c r="CF135" s="19" t="inlineStr">
        <is>
          <t>Q2-26 call (30-Jul-2026): FY26 net sales growth raised to a low double-digit %; organic high single- to low double-digit (~1/3 volume, ~2/3 price). Scenario end-points: Bull / Base / Bear (table →).</t>
        </is>
      </c>
    </row>
    <row r="136">
      <c r="B136" s="25" t="inlineStr">
        <is>
          <t xml:space="preserve">  Memo: FY26 net sales implied by the outlook end-point</t>
        </is>
      </c>
      <c r="C136" s="34" t="n"/>
      <c r="D136" s="34" t="n"/>
      <c r="E136" s="34" t="n"/>
      <c r="F136" s="34" t="n"/>
      <c r="G136" s="34" t="n"/>
      <c r="H136" s="34" t="n"/>
      <c r="I136" s="34" t="n"/>
      <c r="J136" s="34" t="n"/>
      <c r="K136" s="34" t="n"/>
      <c r="L136" s="34" t="n"/>
      <c r="M136" s="34" t="n"/>
      <c r="N136" s="34" t="n"/>
      <c r="O136" s="34" t="n"/>
      <c r="P136" s="34" t="n"/>
      <c r="Q136" s="34" t="n"/>
      <c r="R136" s="34" t="n"/>
      <c r="S136" s="34" t="n"/>
      <c r="T136" s="34" t="n"/>
      <c r="U136" s="34" t="n"/>
      <c r="V136" s="34" t="n"/>
      <c r="W136" s="34" t="n"/>
      <c r="X136" s="34" t="n"/>
      <c r="Y136" s="34" t="n"/>
      <c r="Z136" s="34" t="n"/>
      <c r="AA136" s="34" t="n"/>
      <c r="AB136" s="34" t="n"/>
      <c r="AC136" s="34" t="n"/>
      <c r="AD136" s="34" t="n"/>
      <c r="AE136" s="34" t="n"/>
      <c r="AF136" s="34" t="n"/>
      <c r="AG136" s="34" t="n"/>
      <c r="AH136" s="34" t="n"/>
      <c r="AI136" s="34" t="n"/>
      <c r="AJ136" s="34" t="n"/>
      <c r="AK136" s="34" t="n"/>
      <c r="AL136" s="34" t="n"/>
      <c r="AM136" s="34" t="n"/>
      <c r="AN136" s="34" t="n"/>
      <c r="AO136" s="34" t="n"/>
      <c r="AP136" s="34" t="n"/>
      <c r="AQ136" s="34" t="n"/>
      <c r="AR136" s="34" t="n"/>
      <c r="AS136" s="34" t="n"/>
      <c r="AT136" s="34" t="n"/>
      <c r="AU136" s="34" t="n"/>
      <c r="AV136" s="34" t="n"/>
      <c r="AW136" s="34" t="n"/>
      <c r="AX136" s="34" t="n"/>
      <c r="AY136" s="34" t="n"/>
      <c r="AZ136" s="34" t="n"/>
      <c r="BA136" s="34" t="n"/>
      <c r="BB136" s="34" t="n"/>
      <c r="BC136" s="34" t="n"/>
      <c r="BD136" s="34" t="n"/>
      <c r="BE136" s="34" t="n"/>
      <c r="BF136" s="34" t="n"/>
      <c r="BG136" s="34" t="n"/>
      <c r="BH136" s="34" t="n"/>
      <c r="BI136" s="34" t="n"/>
      <c r="BJ136" s="34" t="n"/>
      <c r="BK136" s="34" t="n"/>
      <c r="BL136" s="34" t="n"/>
      <c r="BM136" s="34" t="n"/>
      <c r="BN136" s="34" t="n"/>
      <c r="BO136" s="34" t="n"/>
      <c r="BP136" s="34" t="n"/>
      <c r="BQ136" s="34" t="n"/>
      <c r="BR136" s="34" t="n"/>
      <c r="BS136" s="34" t="n"/>
      <c r="BT136" s="34" t="n"/>
      <c r="BU136" s="34" t="n"/>
      <c r="BV136" s="34" t="n"/>
      <c r="BW136" s="34" t="n"/>
      <c r="BX136" s="34" t="n"/>
      <c r="BY136" s="257" t="n"/>
      <c r="BZ136" s="257" t="n"/>
      <c r="CA136" s="257">
        <f>BV154*(1+CA135)</f>
        <v>4719.798345</v>
      </c>
      <c r="CB136" s="257" t="n"/>
      <c r="CC136" s="257" t="n"/>
      <c r="CD136" s="257" t="n"/>
      <c r="CE136" s="257" t="n"/>
      <c r="CF136" s="19" t="n"/>
    </row>
    <row r="137">
      <c r="B137" s="25" t="inlineStr">
        <is>
          <t xml:space="preserve">  Net sales before outlook calibration (Q3/Q4-26E helper)</t>
        </is>
      </c>
      <c r="C137" s="34" t="n"/>
      <c r="D137" s="34" t="n"/>
      <c r="E137" s="34" t="n"/>
      <c r="F137" s="34" t="n"/>
      <c r="G137" s="34" t="n"/>
      <c r="H137" s="34" t="n"/>
      <c r="I137" s="34" t="n"/>
      <c r="J137" s="34" t="n"/>
      <c r="K137" s="34" t="n"/>
      <c r="L137" s="34" t="n"/>
      <c r="M137" s="34" t="n"/>
      <c r="N137" s="34" t="n"/>
      <c r="O137" s="34" t="n"/>
      <c r="P137" s="34" t="n"/>
      <c r="Q137" s="34" t="n"/>
      <c r="R137" s="34" t="n"/>
      <c r="S137" s="34" t="n"/>
      <c r="T137" s="34" t="n"/>
      <c r="U137" s="34" t="n"/>
      <c r="V137" s="34" t="n"/>
      <c r="W137" s="34" t="n"/>
      <c r="X137" s="34" t="n"/>
      <c r="Y137" s="34" t="n"/>
      <c r="Z137" s="34" t="n"/>
      <c r="AA137" s="34" t="n"/>
      <c r="AB137" s="34" t="n"/>
      <c r="AC137" s="34" t="n"/>
      <c r="AD137" s="34" t="n"/>
      <c r="AE137" s="34" t="n"/>
      <c r="AF137" s="34" t="n"/>
      <c r="AG137" s="34" t="n"/>
      <c r="AH137" s="34" t="n"/>
      <c r="AI137" s="34" t="n"/>
      <c r="AJ137" s="34" t="n"/>
      <c r="AK137" s="34" t="n"/>
      <c r="AL137" s="34" t="n"/>
      <c r="AM137" s="34" t="n"/>
      <c r="AN137" s="34" t="n"/>
      <c r="AO137" s="34" t="n"/>
      <c r="AP137" s="34" t="n"/>
      <c r="AQ137" s="34" t="n"/>
      <c r="AR137" s="34" t="n"/>
      <c r="AS137" s="34" t="n"/>
      <c r="AT137" s="34" t="n"/>
      <c r="AU137" s="34" t="n"/>
      <c r="AV137" s="34" t="n"/>
      <c r="AW137" s="34" t="n"/>
      <c r="AX137" s="34" t="n"/>
      <c r="AY137" s="34" t="n"/>
      <c r="AZ137" s="34" t="n"/>
      <c r="BA137" s="34" t="n"/>
      <c r="BB137" s="34" t="n"/>
      <c r="BC137" s="34" t="n"/>
      <c r="BD137" s="34" t="n"/>
      <c r="BE137" s="34" t="n"/>
      <c r="BF137" s="34" t="n"/>
      <c r="BG137" s="34" t="n"/>
      <c r="BH137" s="34" t="n"/>
      <c r="BI137" s="34" t="n"/>
      <c r="BJ137" s="34" t="n"/>
      <c r="BK137" s="34" t="n"/>
      <c r="BL137" s="34" t="n"/>
      <c r="BM137" s="34" t="n"/>
      <c r="BN137" s="34" t="n"/>
      <c r="BO137" s="34" t="n"/>
      <c r="BP137" s="34" t="n"/>
      <c r="BQ137" s="34" t="n"/>
      <c r="BR137" s="34" t="n"/>
      <c r="BS137" s="34" t="n"/>
      <c r="BT137" s="34" t="n"/>
      <c r="BU137" s="34" t="n"/>
      <c r="BV137" s="34" t="n"/>
      <c r="BW137" s="34" t="n"/>
      <c r="BX137" s="34" t="n"/>
      <c r="BY137" s="257">
        <f>BT11*(1+$BX$13+BY14+BY15+BY16)+BT35*(1+$BX$37+BY38+BY39+BY40)+BT59*(1+$BX$61+BY62+BY63+BY64)</f>
        <v>1173.4841664</v>
      </c>
      <c r="BZ137" s="257">
        <f>BU11*(1+$BX$13+BZ14+BZ15+BZ16)+BU35*(1+$BX$37+BZ38+BZ39+BZ40)+BU59*(1+$BX$61+BZ62+BZ63+BZ64)</f>
        <v>1180.056399</v>
      </c>
      <c r="CA137" s="257" t="n"/>
      <c r="CB137" s="257" t="n"/>
      <c r="CC137" s="257" t="n"/>
      <c r="CD137" s="257" t="n"/>
      <c r="CE137" s="257" t="n"/>
      <c r="CF137" s="19" t="inlineStr">
        <is>
          <t>Σ segments: prior-year quarter × (1 + Q2/26 volume + price + acquisitions + FX).</t>
        </is>
      </c>
    </row>
    <row r="138">
      <c r="B138" s="25" t="inlineStr">
        <is>
          <t xml:space="preserve">  Net sales sensitivity to +1.00 of volume growth (Q3/Q4-26E helper)</t>
        </is>
      </c>
      <c r="C138" s="34" t="n"/>
      <c r="D138" s="34" t="n"/>
      <c r="E138" s="34" t="n"/>
      <c r="F138" s="34" t="n"/>
      <c r="G138" s="34" t="n"/>
      <c r="H138" s="34" t="n"/>
      <c r="I138" s="34" t="n"/>
      <c r="J138" s="34" t="n"/>
      <c r="K138" s="34" t="n"/>
      <c r="L138" s="34" t="n"/>
      <c r="M138" s="34" t="n"/>
      <c r="N138" s="34" t="n"/>
      <c r="O138" s="34" t="n"/>
      <c r="P138" s="34" t="n"/>
      <c r="Q138" s="34" t="n"/>
      <c r="R138" s="34" t="n"/>
      <c r="S138" s="34" t="n"/>
      <c r="T138" s="34" t="n"/>
      <c r="U138" s="34" t="n"/>
      <c r="V138" s="34" t="n"/>
      <c r="W138" s="34" t="n"/>
      <c r="X138" s="34" t="n"/>
      <c r="Y138" s="34" t="n"/>
      <c r="Z138" s="34" t="n"/>
      <c r="AA138" s="34" t="n"/>
      <c r="AB138" s="34" t="n"/>
      <c r="AC138" s="34" t="n"/>
      <c r="AD138" s="34" t="n"/>
      <c r="AE138" s="34" t="n"/>
      <c r="AF138" s="34" t="n"/>
      <c r="AG138" s="34" t="n"/>
      <c r="AH138" s="34" t="n"/>
      <c r="AI138" s="34" t="n"/>
      <c r="AJ138" s="34" t="n"/>
      <c r="AK138" s="34" t="n"/>
      <c r="AL138" s="34" t="n"/>
      <c r="AM138" s="34" t="n"/>
      <c r="AN138" s="34" t="n"/>
      <c r="AO138" s="34" t="n"/>
      <c r="AP138" s="34" t="n"/>
      <c r="AQ138" s="34" t="n"/>
      <c r="AR138" s="34" t="n"/>
      <c r="AS138" s="34" t="n"/>
      <c r="AT138" s="34" t="n"/>
      <c r="AU138" s="34" t="n"/>
      <c r="AV138" s="34" t="n"/>
      <c r="AW138" s="34" t="n"/>
      <c r="AX138" s="34" t="n"/>
      <c r="AY138" s="34" t="n"/>
      <c r="AZ138" s="34" t="n"/>
      <c r="BA138" s="34" t="n"/>
      <c r="BB138" s="34" t="n"/>
      <c r="BC138" s="34" t="n"/>
      <c r="BD138" s="34" t="n"/>
      <c r="BE138" s="34" t="n"/>
      <c r="BF138" s="34" t="n"/>
      <c r="BG138" s="34" t="n"/>
      <c r="BH138" s="34" t="n"/>
      <c r="BI138" s="34" t="n"/>
      <c r="BJ138" s="34" t="n"/>
      <c r="BK138" s="34" t="n"/>
      <c r="BL138" s="34" t="n"/>
      <c r="BM138" s="34" t="n"/>
      <c r="BN138" s="34" t="n"/>
      <c r="BO138" s="34" t="n"/>
      <c r="BP138" s="34" t="n"/>
      <c r="BQ138" s="34" t="n"/>
      <c r="BR138" s="34" t="n"/>
      <c r="BS138" s="34" t="n"/>
      <c r="BT138" s="34" t="n"/>
      <c r="BU138" s="34" t="n"/>
      <c r="BV138" s="34" t="n"/>
      <c r="BW138" s="34" t="n"/>
      <c r="BX138" s="34" t="n"/>
      <c r="BY138" s="257">
        <f>BT11+BT35+BT59</f>
        <v>1061.227</v>
      </c>
      <c r="BZ138" s="257">
        <f>BU11+BU35+BU59</f>
        <v>1078.715</v>
      </c>
      <c r="CA138" s="257" t="n"/>
      <c r="CB138" s="257" t="n"/>
      <c r="CC138" s="257" t="n"/>
      <c r="CD138" s="257" t="n"/>
      <c r="CE138" s="257" t="n"/>
      <c r="CF138" s="19" t="n"/>
    </row>
    <row r="139">
      <c r="B139" s="25" t="inlineStr">
        <is>
          <t xml:space="preserve">  Outlook calibration: Δ volume growth applied uniformly to the segments (Q3/Q4-26E)</t>
        </is>
      </c>
      <c r="C139" s="36" t="n"/>
      <c r="D139" s="36" t="n"/>
      <c r="E139" s="36" t="n"/>
      <c r="F139" s="36" t="n"/>
      <c r="G139" s="36"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c r="AA139" s="36" t="n"/>
      <c r="AB139" s="36" t="n"/>
      <c r="AC139" s="36" t="n"/>
      <c r="AD139" s="36" t="n"/>
      <c r="AE139" s="36" t="n"/>
      <c r="AF139" s="36" t="n"/>
      <c r="AG139" s="36" t="n"/>
      <c r="AH139" s="36" t="n"/>
      <c r="AI139" s="36" t="n"/>
      <c r="AJ139" s="36" t="n"/>
      <c r="AK139" s="36" t="n"/>
      <c r="AL139" s="36" t="n"/>
      <c r="AM139" s="36" t="n"/>
      <c r="AN139" s="36" t="n"/>
      <c r="AO139" s="36" t="n"/>
      <c r="AP139" s="36" t="n"/>
      <c r="AQ139" s="36" t="n"/>
      <c r="AR139" s="36" t="n"/>
      <c r="AS139" s="36" t="n"/>
      <c r="AT139" s="36" t="n"/>
      <c r="AU139" s="36" t="n"/>
      <c r="AV139" s="36" t="n"/>
      <c r="AW139" s="36" t="n"/>
      <c r="AX139" s="36" t="n"/>
      <c r="AY139" s="36" t="n"/>
      <c r="AZ139" s="36" t="n"/>
      <c r="BA139" s="36" t="n"/>
      <c r="BB139" s="36" t="n"/>
      <c r="BC139" s="36" t="n"/>
      <c r="BD139" s="36" t="n"/>
      <c r="BE139" s="36" t="n"/>
      <c r="BF139" s="36" t="n"/>
      <c r="BG139" s="36" t="n"/>
      <c r="BH139" s="36" t="n"/>
      <c r="BI139" s="36" t="n"/>
      <c r="BJ139" s="36" t="n"/>
      <c r="BK139" s="36" t="n"/>
      <c r="BL139" s="36" t="n"/>
      <c r="BM139" s="36" t="n"/>
      <c r="BN139" s="36" t="n"/>
      <c r="BO139" s="36" t="n"/>
      <c r="BP139" s="36" t="n"/>
      <c r="BQ139" s="36" t="n"/>
      <c r="BR139" s="36" t="n"/>
      <c r="BS139" s="36" t="n"/>
      <c r="BT139" s="36" t="n"/>
      <c r="BU139" s="36" t="n"/>
      <c r="BV139" s="36" t="n"/>
      <c r="BW139" s="36" t="n"/>
      <c r="BX139" s="36" t="n"/>
      <c r="BY139" s="254">
        <f>($CA$136-$BW$154-$BX$154-$BY$137-$BZ$137)/($BY$138+$BZ$138)</f>
        <v>0.0117576923112867</v>
      </c>
      <c r="BZ139" s="254">
        <f>($CA$136-$BW$154-$BX$154-$BY$137-$BZ$137)/($BY$138+$BZ$138)</f>
        <v>0.0117576923112867</v>
      </c>
      <c r="CA139" s="254" t="n"/>
      <c r="CB139" s="254" t="n"/>
      <c r="CC139" s="254" t="n"/>
      <c r="CD139" s="254" t="n"/>
      <c r="CE139" s="254" t="n"/>
      <c r="CF139" s="19" t="inlineStr">
        <is>
          <t>Solves the uniform volume shift (vs the Q2/26 y/y trend) so that FY26 net sales = the outlook end-point of the active scenario.</t>
        </is>
      </c>
    </row>
    <row r="140">
      <c r="B140" s="57" t="inlineStr">
        <is>
          <t xml:space="preserve">  Check: FY26 net sales vs outlook end-point (should be 0)</t>
        </is>
      </c>
      <c r="C140" s="44" t="n"/>
      <c r="D140" s="44" t="n"/>
      <c r="E140" s="44" t="n"/>
      <c r="F140" s="44" t="n"/>
      <c r="G140" s="44" t="n"/>
      <c r="H140" s="44" t="n"/>
      <c r="I140" s="44" t="n"/>
      <c r="J140" s="44" t="n"/>
      <c r="K140" s="44" t="n"/>
      <c r="L140" s="44" t="n"/>
      <c r="M140" s="44" t="n"/>
      <c r="N140" s="44" t="n"/>
      <c r="O140" s="44" t="n"/>
      <c r="P140" s="44" t="n"/>
      <c r="Q140" s="44" t="n"/>
      <c r="R140" s="44" t="n"/>
      <c r="S140" s="44" t="n"/>
      <c r="T140" s="44" t="n"/>
      <c r="U140" s="44" t="n"/>
      <c r="V140" s="44" t="n"/>
      <c r="W140" s="44" t="n"/>
      <c r="X140" s="44" t="n"/>
      <c r="Y140" s="44" t="n"/>
      <c r="Z140" s="44" t="n"/>
      <c r="AA140" s="44" t="n"/>
      <c r="AB140" s="44" t="n"/>
      <c r="AC140" s="44" t="n"/>
      <c r="AD140" s="44" t="n"/>
      <c r="AE140" s="44" t="n"/>
      <c r="AF140" s="44" t="n"/>
      <c r="AG140" s="44" t="n"/>
      <c r="AH140" s="44" t="n"/>
      <c r="AI140" s="44" t="n"/>
      <c r="AJ140" s="44" t="n"/>
      <c r="AK140" s="44" t="n"/>
      <c r="AL140" s="44" t="n"/>
      <c r="AM140" s="44" t="n"/>
      <c r="AN140" s="44" t="n"/>
      <c r="AO140" s="44" t="n"/>
      <c r="AP140" s="44" t="n"/>
      <c r="AQ140" s="44" t="n"/>
      <c r="AR140" s="44" t="n"/>
      <c r="AS140" s="44" t="n"/>
      <c r="AT140" s="44" t="n"/>
      <c r="AU140" s="44" t="n"/>
      <c r="AV140" s="44" t="n"/>
      <c r="AW140" s="44" t="n"/>
      <c r="AX140" s="44" t="n"/>
      <c r="AY140" s="44" t="n"/>
      <c r="AZ140" s="44" t="n"/>
      <c r="BA140" s="44" t="n"/>
      <c r="BB140" s="44" t="n"/>
      <c r="BC140" s="44" t="n"/>
      <c r="BD140" s="44" t="n"/>
      <c r="BE140" s="44" t="n"/>
      <c r="BF140" s="44" t="n"/>
      <c r="BG140" s="44" t="n"/>
      <c r="BH140" s="44" t="n"/>
      <c r="BI140" s="44" t="n"/>
      <c r="BJ140" s="44" t="n"/>
      <c r="BK140" s="44" t="n"/>
      <c r="BL140" s="44" t="n"/>
      <c r="BM140" s="44" t="n"/>
      <c r="BN140" s="44" t="n"/>
      <c r="BO140" s="44" t="n"/>
      <c r="BP140" s="44" t="n"/>
      <c r="BQ140" s="44" t="n"/>
      <c r="BR140" s="44" t="n"/>
      <c r="BS140" s="44" t="n"/>
      <c r="BT140" s="44" t="n"/>
      <c r="BU140" s="44" t="n"/>
      <c r="BV140" s="44" t="n"/>
      <c r="BW140" s="44" t="n"/>
      <c r="BX140" s="44" t="n"/>
      <c r="BY140" s="269" t="n"/>
      <c r="BZ140" s="269" t="n"/>
      <c r="CA140" s="268">
        <f>ROUND(CA154-CA136,1)</f>
        <v>0</v>
      </c>
      <c r="CB140" s="269" t="n"/>
      <c r="CC140" s="269" t="n"/>
      <c r="CD140" s="269" t="n"/>
      <c r="CE140" s="269" t="n"/>
      <c r="CF140" s="19" t="n"/>
    </row>
    <row r="141">
      <c r="B141" s="25" t="inlineStr">
        <is>
          <t xml:space="preserve">  Memo: 2H/26 incremental adjusted operating income margin — "mid-20%" (scenario end-point)</t>
        </is>
      </c>
      <c r="C141" s="36" t="n"/>
      <c r="D141" s="36" t="n"/>
      <c r="E141" s="36" t="n"/>
      <c r="F141" s="36" t="n"/>
      <c r="G141" s="36"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c r="AA141" s="36" t="n"/>
      <c r="AB141" s="36" t="n"/>
      <c r="AC141" s="36" t="n"/>
      <c r="AD141" s="36" t="n"/>
      <c r="AE141" s="36" t="n"/>
      <c r="AF141" s="36" t="n"/>
      <c r="AG141" s="36" t="n"/>
      <c r="AH141" s="36" t="n"/>
      <c r="AI141" s="36" t="n"/>
      <c r="AJ141" s="36" t="n"/>
      <c r="AK141" s="36" t="n"/>
      <c r="AL141" s="36" t="n"/>
      <c r="AM141" s="36" t="n"/>
      <c r="AN141" s="36" t="n"/>
      <c r="AO141" s="36" t="n"/>
      <c r="AP141" s="36" t="n"/>
      <c r="AQ141" s="36" t="n"/>
      <c r="AR141" s="36" t="n"/>
      <c r="AS141" s="36" t="n"/>
      <c r="AT141" s="36" t="n"/>
      <c r="AU141" s="36" t="n"/>
      <c r="AV141" s="36" t="n"/>
      <c r="AW141" s="36" t="n"/>
      <c r="AX141" s="36" t="n"/>
      <c r="AY141" s="36" t="n"/>
      <c r="AZ141" s="36" t="n"/>
      <c r="BA141" s="36" t="n"/>
      <c r="BB141" s="36" t="n"/>
      <c r="BC141" s="36" t="n"/>
      <c r="BD141" s="36" t="n"/>
      <c r="BE141" s="36" t="n"/>
      <c r="BF141" s="36" t="n"/>
      <c r="BG141" s="36" t="n"/>
      <c r="BH141" s="36" t="n"/>
      <c r="BI141" s="36" t="n"/>
      <c r="BJ141" s="36" t="n"/>
      <c r="BK141" s="36" t="n"/>
      <c r="BL141" s="36" t="n"/>
      <c r="BM141" s="36" t="n"/>
      <c r="BN141" s="36" t="n"/>
      <c r="BO141" s="36" t="n"/>
      <c r="BP141" s="36" t="n"/>
      <c r="BQ141" s="36" t="n"/>
      <c r="BR141" s="36" t="n"/>
      <c r="BS141" s="36" t="n"/>
      <c r="BT141" s="36" t="n"/>
      <c r="BU141" s="36" t="n"/>
      <c r="BV141" s="36" t="n"/>
      <c r="BW141" s="36" t="n"/>
      <c r="BX141" s="36" t="n"/>
      <c r="BY141" s="254" t="n"/>
      <c r="BZ141" s="254" t="n"/>
      <c r="CA141" s="254">
        <f>CHOOSE(MATCH($CF$2,{"Bull","Base","Bear"},0),$CO$14,$CP$14,$CQ$14)</f>
        <v>0.25</v>
      </c>
      <c r="CB141" s="254" t="n"/>
      <c r="CC141" s="254" t="n"/>
      <c r="CD141" s="254" t="n"/>
      <c r="CE141" s="254" t="n"/>
      <c r="CF141" s="19" t="inlineStr">
        <is>
          <t>Q2-26 call: adjusted operating income margin to improve on mid-20% incremental margins in 2H/26; price/cost neutral.</t>
        </is>
      </c>
    </row>
    <row r="142">
      <c r="B142" s="25" t="inlineStr">
        <is>
          <t xml:space="preserve">  Memo: 2H/26 adjusted operating income implied by the incremental-margin outlook</t>
        </is>
      </c>
      <c r="C142" s="34" t="n"/>
      <c r="D142" s="34" t="n"/>
      <c r="E142" s="34" t="n"/>
      <c r="F142" s="34" t="n"/>
      <c r="G142" s="34" t="n"/>
      <c r="H142" s="34" t="n"/>
      <c r="I142" s="34" t="n"/>
      <c r="J142" s="34" t="n"/>
      <c r="K142" s="34" t="n"/>
      <c r="L142" s="34" t="n"/>
      <c r="M142" s="34" t="n"/>
      <c r="N142" s="34" t="n"/>
      <c r="O142" s="34" t="n"/>
      <c r="P142" s="34" t="n"/>
      <c r="Q142" s="34" t="n"/>
      <c r="R142" s="34" t="n"/>
      <c r="S142" s="34" t="n"/>
      <c r="T142" s="34" t="n"/>
      <c r="U142" s="34" t="n"/>
      <c r="V142" s="34" t="n"/>
      <c r="W142" s="34" t="n"/>
      <c r="X142" s="34" t="n"/>
      <c r="Y142" s="34" t="n"/>
      <c r="Z142" s="34" t="n"/>
      <c r="AA142" s="34" t="n"/>
      <c r="AB142" s="34" t="n"/>
      <c r="AC142" s="34" t="n"/>
      <c r="AD142" s="34" t="n"/>
      <c r="AE142" s="34" t="n"/>
      <c r="AF142" s="34" t="n"/>
      <c r="AG142" s="34" t="n"/>
      <c r="AH142" s="34" t="n"/>
      <c r="AI142" s="34" t="n"/>
      <c r="AJ142" s="34" t="n"/>
      <c r="AK142" s="34" t="n"/>
      <c r="AL142" s="34" t="n"/>
      <c r="AM142" s="34" t="n"/>
      <c r="AN142" s="34" t="n"/>
      <c r="AO142" s="34" t="n"/>
      <c r="AP142" s="34" t="n"/>
      <c r="AQ142" s="34" t="n"/>
      <c r="AR142" s="34" t="n"/>
      <c r="AS142" s="34" t="n"/>
      <c r="AT142" s="34" t="n"/>
      <c r="AU142" s="34" t="n"/>
      <c r="AV142" s="34" t="n"/>
      <c r="AW142" s="34" t="n"/>
      <c r="AX142" s="34" t="n"/>
      <c r="AY142" s="34" t="n"/>
      <c r="AZ142" s="34" t="n"/>
      <c r="BA142" s="34" t="n"/>
      <c r="BB142" s="34" t="n"/>
      <c r="BC142" s="34" t="n"/>
      <c r="BD142" s="34" t="n"/>
      <c r="BE142" s="34" t="n"/>
      <c r="BF142" s="34" t="n"/>
      <c r="BG142" s="34" t="n"/>
      <c r="BH142" s="34" t="n"/>
      <c r="BI142" s="34" t="n"/>
      <c r="BJ142" s="34" t="n"/>
      <c r="BK142" s="34" t="n"/>
      <c r="BL142" s="34" t="n"/>
      <c r="BM142" s="34" t="n"/>
      <c r="BN142" s="34" t="n"/>
      <c r="BO142" s="34" t="n"/>
      <c r="BP142" s="34" t="n"/>
      <c r="BQ142" s="34" t="n"/>
      <c r="BR142" s="34" t="n"/>
      <c r="BS142" s="34" t="n"/>
      <c r="BT142" s="34" t="n"/>
      <c r="BU142" s="34" t="n"/>
      <c r="BV142" s="34" t="n"/>
      <c r="BW142" s="34" t="n"/>
      <c r="BX142" s="34" t="n"/>
      <c r="BY142" s="257" t="n"/>
      <c r="BZ142" s="257" t="n"/>
      <c r="CA142" s="257">
        <f>$BT$200+$BU$200+CA141*($BY$154+$BZ$154-$BT$154-$BU$154)</f>
        <v>438.09083625</v>
      </c>
      <c r="CB142" s="257" t="n"/>
      <c r="CC142" s="257" t="n"/>
      <c r="CD142" s="257" t="n"/>
      <c r="CE142" s="257" t="n"/>
      <c r="CF142" s="19" t="n"/>
    </row>
    <row r="143">
      <c r="B143" s="25" t="inlineStr">
        <is>
          <t xml:space="preserve">  Adjusted EBIT before margin calibration (Q3/Q4-26E helper)</t>
        </is>
      </c>
      <c r="C143" s="34" t="n"/>
      <c r="D143" s="34" t="n"/>
      <c r="E143" s="34" t="n"/>
      <c r="F143" s="34" t="n"/>
      <c r="G143" s="34" t="n"/>
      <c r="H143" s="34" t="n"/>
      <c r="I143" s="34" t="n"/>
      <c r="J143" s="34" t="n"/>
      <c r="K143" s="34" t="n"/>
      <c r="L143" s="34" t="n"/>
      <c r="M143" s="34" t="n"/>
      <c r="N143" s="34" t="n"/>
      <c r="O143" s="34" t="n"/>
      <c r="P143" s="34" t="n"/>
      <c r="Q143" s="34" t="n"/>
      <c r="R143" s="34" t="n"/>
      <c r="S143" s="34" t="n"/>
      <c r="T143" s="34" t="n"/>
      <c r="U143" s="34" t="n"/>
      <c r="V143" s="34" t="n"/>
      <c r="W143" s="34" t="n"/>
      <c r="X143" s="34" t="n"/>
      <c r="Y143" s="34" t="n"/>
      <c r="Z143" s="34" t="n"/>
      <c r="AA143" s="34" t="n"/>
      <c r="AB143" s="34" t="n"/>
      <c r="AC143" s="34" t="n"/>
      <c r="AD143" s="34" t="n"/>
      <c r="AE143" s="34" t="n"/>
      <c r="AF143" s="34" t="n"/>
      <c r="AG143" s="34" t="n"/>
      <c r="AH143" s="34" t="n"/>
      <c r="AI143" s="34" t="n"/>
      <c r="AJ143" s="34" t="n"/>
      <c r="AK143" s="34" t="n"/>
      <c r="AL143" s="34" t="n"/>
      <c r="AM143" s="34" t="n"/>
      <c r="AN143" s="34" t="n"/>
      <c r="AO143" s="34" t="n"/>
      <c r="AP143" s="34" t="n"/>
      <c r="AQ143" s="34" t="n"/>
      <c r="AR143" s="34" t="n"/>
      <c r="AS143" s="34" t="n"/>
      <c r="AT143" s="34" t="n"/>
      <c r="AU143" s="34" t="n"/>
      <c r="AV143" s="34" t="n"/>
      <c r="AW143" s="34" t="n"/>
      <c r="AX143" s="34" t="n"/>
      <c r="AY143" s="34" t="n"/>
      <c r="AZ143" s="34" t="n"/>
      <c r="BA143" s="34" t="n"/>
      <c r="BB143" s="34" t="n"/>
      <c r="BC143" s="34" t="n"/>
      <c r="BD143" s="34" t="n"/>
      <c r="BE143" s="34" t="n"/>
      <c r="BF143" s="34" t="n"/>
      <c r="BG143" s="34" t="n"/>
      <c r="BH143" s="34" t="n"/>
      <c r="BI143" s="34" t="n"/>
      <c r="BJ143" s="34" t="n"/>
      <c r="BK143" s="34" t="n"/>
      <c r="BL143" s="34" t="n"/>
      <c r="BM143" s="34" t="n"/>
      <c r="BN143" s="34" t="n"/>
      <c r="BO143" s="34" t="n"/>
      <c r="BP143" s="34" t="n"/>
      <c r="BQ143" s="34" t="n"/>
      <c r="BR143" s="34" t="n"/>
      <c r="BS143" s="34" t="n"/>
      <c r="BT143" s="34" t="n"/>
      <c r="BU143" s="34" t="n"/>
      <c r="BV143" s="34" t="n"/>
      <c r="BW143" s="34" t="n"/>
      <c r="BX143" s="34" t="n"/>
      <c r="BY143" s="257">
        <f>BY23*BY25+BY47*BY49+BY71*BY73+BY84</f>
        <v>208.30396582543</v>
      </c>
      <c r="BZ143" s="257">
        <f>BZ23*BZ25+BZ47*BZ49+BZ71*BZ73+BZ84</f>
        <v>216.783596092373</v>
      </c>
      <c r="CA143" s="257" t="n"/>
      <c r="CB143" s="257" t="n"/>
      <c r="CC143" s="257" t="n"/>
      <c r="CD143" s="257" t="n"/>
      <c r="CE143" s="257" t="n"/>
      <c r="CF143" s="19" t="n"/>
    </row>
    <row r="144">
      <c r="B144" s="25" t="inlineStr">
        <is>
          <t xml:space="preserve">  Outlook calibration: Δ adjusted EBIT margin applied to the segments (Q3/Q4-26E)</t>
        </is>
      </c>
      <c r="C144" s="36" t="n"/>
      <c r="D144" s="36" t="n"/>
      <c r="E144" s="36" t="n"/>
      <c r="F144" s="36" t="n"/>
      <c r="G144" s="36"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c r="AA144" s="36" t="n"/>
      <c r="AB144" s="36" t="n"/>
      <c r="AC144" s="36" t="n"/>
      <c r="AD144" s="36" t="n"/>
      <c r="AE144" s="36" t="n"/>
      <c r="AF144" s="36" t="n"/>
      <c r="AG144" s="36" t="n"/>
      <c r="AH144" s="36" t="n"/>
      <c r="AI144" s="36" t="n"/>
      <c r="AJ144" s="36" t="n"/>
      <c r="AK144" s="36" t="n"/>
      <c r="AL144" s="36" t="n"/>
      <c r="AM144" s="36" t="n"/>
      <c r="AN144" s="36" t="n"/>
      <c r="AO144" s="36" t="n"/>
      <c r="AP144" s="36" t="n"/>
      <c r="AQ144" s="36" t="n"/>
      <c r="AR144" s="36" t="n"/>
      <c r="AS144" s="36" t="n"/>
      <c r="AT144" s="36" t="n"/>
      <c r="AU144" s="36" t="n"/>
      <c r="AV144" s="36" t="n"/>
      <c r="AW144" s="36" t="n"/>
      <c r="AX144" s="36" t="n"/>
      <c r="AY144" s="36" t="n"/>
      <c r="AZ144" s="36" t="n"/>
      <c r="BA144" s="36" t="n"/>
      <c r="BB144" s="36" t="n"/>
      <c r="BC144" s="36" t="n"/>
      <c r="BD144" s="36" t="n"/>
      <c r="BE144" s="36" t="n"/>
      <c r="BF144" s="36" t="n"/>
      <c r="BG144" s="36" t="n"/>
      <c r="BH144" s="36" t="n"/>
      <c r="BI144" s="36" t="n"/>
      <c r="BJ144" s="36" t="n"/>
      <c r="BK144" s="36" t="n"/>
      <c r="BL144" s="36" t="n"/>
      <c r="BM144" s="36" t="n"/>
      <c r="BN144" s="36" t="n"/>
      <c r="BO144" s="36" t="n"/>
      <c r="BP144" s="36" t="n"/>
      <c r="BQ144" s="36" t="n"/>
      <c r="BR144" s="36" t="n"/>
      <c r="BS144" s="36" t="n"/>
      <c r="BT144" s="36" t="n"/>
      <c r="BU144" s="36" t="n"/>
      <c r="BV144" s="36" t="n"/>
      <c r="BW144" s="36" t="n"/>
      <c r="BX144" s="36" t="n"/>
      <c r="BY144" s="254">
        <f>($CA$142+$BY$204+$BZ$204-$BY$143-$BZ$143)/($BY$23+$BZ$23+$BY$47+$BZ$47+$BY$71+$BZ$71)</f>
        <v>0.00541146065136786</v>
      </c>
      <c r="BZ144" s="254">
        <f>($CA$142+$BY$204+$BZ$204-$BY$143-$BZ$143)/($BY$23+$BZ$23+$BY$47+$BZ$47+$BY$71+$BZ$71)</f>
        <v>0.00541146065136786</v>
      </c>
      <c r="CA144" s="254" t="n"/>
      <c r="CB144" s="254" t="n"/>
      <c r="CC144" s="254" t="n"/>
      <c r="CD144" s="254" t="n"/>
      <c r="CE144" s="254" t="n"/>
      <c r="CF144" s="19" t="inlineStr">
        <is>
          <t>Solves the uniform margin shift (vs prior-year quarter + 1H drift) so that 2H/26 adjusted operating income = 2H/25 + incremental margin × Δ net sales for the active scenario.</t>
        </is>
      </c>
    </row>
    <row r="145">
      <c r="B145" s="57" t="inlineStr">
        <is>
          <t xml:space="preserve">  Check: 2H/26 adjusted operating income vs outlook end-point (should be 0)</t>
        </is>
      </c>
      <c r="C145" s="44" t="n"/>
      <c r="D145" s="44" t="n"/>
      <c r="E145" s="44" t="n"/>
      <c r="F145" s="44" t="n"/>
      <c r="G145" s="44" t="n"/>
      <c r="H145" s="44" t="n"/>
      <c r="I145" s="44" t="n"/>
      <c r="J145" s="44" t="n"/>
      <c r="K145" s="44" t="n"/>
      <c r="L145" s="44" t="n"/>
      <c r="M145" s="44" t="n"/>
      <c r="N145" s="44" t="n"/>
      <c r="O145" s="44" t="n"/>
      <c r="P145" s="44" t="n"/>
      <c r="Q145" s="44" t="n"/>
      <c r="R145" s="44" t="n"/>
      <c r="S145" s="44" t="n"/>
      <c r="T145" s="44" t="n"/>
      <c r="U145" s="44" t="n"/>
      <c r="V145" s="44" t="n"/>
      <c r="W145" s="44" t="n"/>
      <c r="X145" s="44" t="n"/>
      <c r="Y145" s="44" t="n"/>
      <c r="Z145" s="44" t="n"/>
      <c r="AA145" s="44" t="n"/>
      <c r="AB145" s="44" t="n"/>
      <c r="AC145" s="44" t="n"/>
      <c r="AD145" s="44" t="n"/>
      <c r="AE145" s="44" t="n"/>
      <c r="AF145" s="44" t="n"/>
      <c r="AG145" s="44" t="n"/>
      <c r="AH145" s="44" t="n"/>
      <c r="AI145" s="44" t="n"/>
      <c r="AJ145" s="44" t="n"/>
      <c r="AK145" s="44" t="n"/>
      <c r="AL145" s="44" t="n"/>
      <c r="AM145" s="44" t="n"/>
      <c r="AN145" s="44" t="n"/>
      <c r="AO145" s="44" t="n"/>
      <c r="AP145" s="44" t="n"/>
      <c r="AQ145" s="44" t="n"/>
      <c r="AR145" s="44" t="n"/>
      <c r="AS145" s="44" t="n"/>
      <c r="AT145" s="44" t="n"/>
      <c r="AU145" s="44" t="n"/>
      <c r="AV145" s="44" t="n"/>
      <c r="AW145" s="44" t="n"/>
      <c r="AX145" s="44" t="n"/>
      <c r="AY145" s="44" t="n"/>
      <c r="AZ145" s="44" t="n"/>
      <c r="BA145" s="44" t="n"/>
      <c r="BB145" s="44" t="n"/>
      <c r="BC145" s="44" t="n"/>
      <c r="BD145" s="44" t="n"/>
      <c r="BE145" s="44" t="n"/>
      <c r="BF145" s="44" t="n"/>
      <c r="BG145" s="44" t="n"/>
      <c r="BH145" s="44" t="n"/>
      <c r="BI145" s="44" t="n"/>
      <c r="BJ145" s="44" t="n"/>
      <c r="BK145" s="44" t="n"/>
      <c r="BL145" s="44" t="n"/>
      <c r="BM145" s="44" t="n"/>
      <c r="BN145" s="44" t="n"/>
      <c r="BO145" s="44" t="n"/>
      <c r="BP145" s="44" t="n"/>
      <c r="BQ145" s="44" t="n"/>
      <c r="BR145" s="44" t="n"/>
      <c r="BS145" s="44" t="n"/>
      <c r="BT145" s="44" t="n"/>
      <c r="BU145" s="44" t="n"/>
      <c r="BV145" s="44" t="n"/>
      <c r="BW145" s="44" t="n"/>
      <c r="BX145" s="44" t="n"/>
      <c r="BY145" s="269" t="n"/>
      <c r="BZ145" s="269" t="n"/>
      <c r="CA145" s="268">
        <f>ROUND($BY$200+$BZ$200-CA142,1)</f>
        <v>0</v>
      </c>
      <c r="CB145" s="269" t="n"/>
      <c r="CC145" s="269" t="n"/>
      <c r="CD145" s="269" t="n"/>
      <c r="CE145" s="269" t="n"/>
      <c r="CF145" s="19" t="n"/>
    </row>
    <row r="146">
      <c r="CF146" s="19" t="n"/>
    </row>
    <row r="147">
      <c r="B147" s="14" t="inlineStr">
        <is>
          <t>Cost drivers &amp; D&amp;A</t>
        </is>
      </c>
      <c r="C147" s="14" t="n"/>
      <c r="D147" s="14" t="n"/>
      <c r="E147" s="14" t="n"/>
      <c r="F147" s="14" t="n"/>
      <c r="G147" s="14" t="n"/>
      <c r="H147" s="14" t="n"/>
      <c r="I147" s="14" t="n"/>
      <c r="J147" s="14" t="n"/>
      <c r="K147" s="14" t="n"/>
      <c r="L147" s="14" t="n"/>
      <c r="M147" s="14" t="n"/>
      <c r="N147" s="14" t="n"/>
      <c r="O147" s="14" t="n"/>
      <c r="P147" s="14" t="n"/>
      <c r="Q147" s="14" t="n"/>
      <c r="R147" s="14" t="n"/>
      <c r="S147" s="14" t="n"/>
      <c r="T147" s="14" t="n"/>
      <c r="U147" s="14" t="n"/>
      <c r="V147" s="14" t="n"/>
      <c r="W147" s="14" t="n"/>
      <c r="X147" s="14" t="n"/>
      <c r="Y147" s="14" t="n"/>
      <c r="Z147" s="14" t="n"/>
      <c r="AA147" s="14" t="n"/>
      <c r="AB147" s="14" t="n"/>
      <c r="AC147" s="14" t="n"/>
      <c r="AD147" s="14" t="n"/>
      <c r="AE147" s="14" t="n"/>
      <c r="AF147" s="14" t="n"/>
      <c r="AG147" s="14" t="n"/>
      <c r="AH147" s="14" t="n"/>
      <c r="AI147" s="14" t="n"/>
      <c r="AJ147" s="14" t="n"/>
      <c r="AK147" s="14" t="n"/>
      <c r="AL147" s="14" t="n"/>
      <c r="AM147" s="14" t="n"/>
      <c r="AN147" s="14" t="n"/>
      <c r="AO147" s="14" t="n"/>
      <c r="AP147" s="14" t="n"/>
      <c r="AQ147" s="14" t="n"/>
      <c r="AR147" s="14" t="n"/>
      <c r="AS147" s="14" t="n"/>
      <c r="AT147" s="14" t="n"/>
      <c r="AU147" s="14" t="n"/>
      <c r="AV147" s="14" t="n"/>
      <c r="AW147" s="14" t="n"/>
      <c r="AX147" s="14" t="n"/>
      <c r="AY147" s="14" t="n"/>
      <c r="AZ147" s="14" t="n"/>
      <c r="BA147" s="14" t="n"/>
      <c r="BB147" s="14" t="n"/>
      <c r="BC147" s="14" t="n"/>
      <c r="BD147" s="14" t="n"/>
      <c r="BE147" s="14" t="n"/>
      <c r="BF147" s="14" t="n"/>
      <c r="BG147" s="14" t="n"/>
      <c r="BH147" s="14" t="n"/>
      <c r="BI147" s="14" t="n"/>
      <c r="BJ147" s="14" t="n"/>
      <c r="BK147" s="14" t="n"/>
      <c r="BL147" s="14" t="n"/>
      <c r="BM147" s="14" t="n"/>
      <c r="BN147" s="14" t="n"/>
      <c r="BO147" s="14" t="n"/>
      <c r="BP147" s="14" t="n"/>
      <c r="BQ147" s="14" t="n"/>
      <c r="BR147" s="14" t="n"/>
      <c r="BS147" s="14" t="n"/>
      <c r="BT147" s="14" t="n"/>
      <c r="BU147" s="14" t="n"/>
      <c r="BV147" s="14" t="n"/>
      <c r="BW147" s="14" t="n"/>
      <c r="BX147" s="14" t="n"/>
      <c r="BY147" s="14" t="n"/>
      <c r="BZ147" s="14" t="n"/>
      <c r="CA147" s="14" t="n"/>
      <c r="CB147" s="14" t="n"/>
      <c r="CC147" s="14" t="n"/>
      <c r="CD147" s="14" t="n"/>
      <c r="CE147" s="14" t="n"/>
      <c r="CF147" s="15" t="inlineStr">
        <is>
          <t>COST DRIVERS — inputs that drive forecast cost lines</t>
        </is>
      </c>
    </row>
    <row r="148">
      <c r="B148" s="25" t="inlineStr">
        <is>
          <t xml:space="preserve">  Depreciation &amp; amortization (total; cash-flow statement)</t>
        </is>
      </c>
      <c r="C148" s="34" t="n">
        <v>47.825</v>
      </c>
      <c r="D148" s="34" t="n">
        <v>52.61</v>
      </c>
      <c r="E148" s="34" t="n">
        <v>56.925</v>
      </c>
      <c r="F148" s="34" t="n">
        <v>56.598</v>
      </c>
      <c r="G148" s="34" t="n">
        <v>57.357</v>
      </c>
      <c r="H148" s="34" t="n">
        <v>62.051</v>
      </c>
      <c r="I148" s="34" t="n">
        <v>65.334</v>
      </c>
      <c r="J148" s="34" t="n">
        <v>17.397</v>
      </c>
      <c r="K148" s="34" t="n">
        <v>17.158</v>
      </c>
      <c r="L148" s="34" t="n">
        <v>17.326</v>
      </c>
      <c r="M148" s="34" t="n">
        <v>17.002</v>
      </c>
      <c r="N148" s="34" t="n">
        <v>68.883</v>
      </c>
      <c r="O148" s="34" t="n">
        <v>17.931</v>
      </c>
      <c r="P148" s="34" t="n">
        <v>17.969</v>
      </c>
      <c r="Q148" s="34" t="n">
        <v>17.117</v>
      </c>
      <c r="R148" s="34" t="n">
        <v>16.59</v>
      </c>
      <c r="S148" s="34" t="n">
        <v>69.607</v>
      </c>
      <c r="T148" s="34" t="n">
        <v>16.032</v>
      </c>
      <c r="U148" s="34" t="n">
        <v>15.686</v>
      </c>
      <c r="V148" s="34" t="n">
        <v>16.179</v>
      </c>
      <c r="W148" s="34" t="n">
        <v>16.11</v>
      </c>
      <c r="X148" s="34" t="n">
        <v>64.00700000000001</v>
      </c>
      <c r="Y148" s="34" t="n">
        <v>15.625</v>
      </c>
      <c r="Z148" s="34" t="n">
        <v>16.607</v>
      </c>
      <c r="AA148" s="34" t="n">
        <v>16.263</v>
      </c>
      <c r="AB148" s="34" t="n">
        <v>16.578</v>
      </c>
      <c r="AC148" s="34" t="n">
        <v>65.07299999999999</v>
      </c>
      <c r="AD148" s="34" t="n">
        <v>16.166</v>
      </c>
      <c r="AE148" s="34" t="n">
        <v>15.84</v>
      </c>
      <c r="AF148" s="34" t="n">
        <v>18.451</v>
      </c>
      <c r="AG148" s="34" t="n">
        <v>17.658</v>
      </c>
      <c r="AH148" s="34" t="n">
        <v>68.11499999999999</v>
      </c>
      <c r="AI148" s="34" t="n">
        <v>18.134</v>
      </c>
      <c r="AJ148" s="34" t="n">
        <v>18.189</v>
      </c>
      <c r="AK148" s="34" t="n">
        <v>17.623</v>
      </c>
      <c r="AL148" s="34" t="n">
        <v>18.4</v>
      </c>
      <c r="AM148" s="34" t="n">
        <v>72.346</v>
      </c>
      <c r="AN148" s="34" t="n">
        <v>18.901</v>
      </c>
      <c r="AO148" s="34" t="n">
        <v>20.351</v>
      </c>
      <c r="AP148" s="34" t="n">
        <v>21.148</v>
      </c>
      <c r="AQ148" s="34" t="n">
        <v>21.087</v>
      </c>
      <c r="AR148" s="34" t="n">
        <v>81.48699999999999</v>
      </c>
      <c r="AS148" s="34" t="n">
        <v>21.028</v>
      </c>
      <c r="AT148" s="34" t="n">
        <v>20.05</v>
      </c>
      <c r="AU148" s="34" t="n">
        <v>19.488</v>
      </c>
      <c r="AV148" s="34" t="n">
        <v>19.926</v>
      </c>
      <c r="AW148" s="34" t="n">
        <v>80.492</v>
      </c>
      <c r="AX148" s="34" t="n">
        <v>19.118</v>
      </c>
      <c r="AY148" s="34" t="n">
        <v>19.39</v>
      </c>
      <c r="AZ148" s="34" t="n">
        <v>22.05</v>
      </c>
      <c r="BA148" s="34" t="n">
        <v>20.588</v>
      </c>
      <c r="BB148" s="34" t="n">
        <v>81.146</v>
      </c>
      <c r="BC148" s="34" t="n">
        <v>19.891</v>
      </c>
      <c r="BD148" s="34" t="n">
        <v>19.868</v>
      </c>
      <c r="BE148" s="34" t="n">
        <v>19.25</v>
      </c>
      <c r="BF148" s="34" t="n">
        <v>19.05</v>
      </c>
      <c r="BG148" s="34" t="n">
        <v>78.059</v>
      </c>
      <c r="BH148" s="34" t="n">
        <v>21.295</v>
      </c>
      <c r="BI148" s="34" t="n">
        <v>21.917</v>
      </c>
      <c r="BJ148" s="34" t="n">
        <v>21.489</v>
      </c>
      <c r="BK148" s="34" t="n">
        <v>21.969</v>
      </c>
      <c r="BL148" s="34" t="n">
        <v>86.67</v>
      </c>
      <c r="BM148" s="34" t="n">
        <v>21.586</v>
      </c>
      <c r="BN148" s="34" t="n">
        <v>20.865</v>
      </c>
      <c r="BO148" s="34" t="n">
        <v>22.644</v>
      </c>
      <c r="BP148" s="34" t="n">
        <v>23.143</v>
      </c>
      <c r="BQ148" s="34" t="n">
        <v>88.238</v>
      </c>
      <c r="BR148" s="34" t="n">
        <v>23.784</v>
      </c>
      <c r="BS148" s="34" t="n">
        <v>24.462</v>
      </c>
      <c r="BT148" s="34" t="n">
        <v>24.744</v>
      </c>
      <c r="BU148" s="34" t="n">
        <v>25.556</v>
      </c>
      <c r="BV148" s="34" t="n">
        <v>98.54600000000001</v>
      </c>
      <c r="BW148" s="34" t="n">
        <v>26.009</v>
      </c>
      <c r="BX148" s="34" t="n">
        <v>25.969</v>
      </c>
      <c r="BY148" s="257">
        <f>($BW$148+$BX$148)/2</f>
        <v>25.989</v>
      </c>
      <c r="BZ148" s="257">
        <f>($BW$148+$BX$148)/2</f>
        <v>25.989</v>
      </c>
      <c r="CA148" s="257">
        <f>SUM(BW148,BX148,BY148,BZ148)</f>
        <v>103.956</v>
      </c>
      <c r="CB148" s="257">
        <f>(CB154-CB117)*CB149+CB121</f>
        <v>115.035350607264</v>
      </c>
      <c r="CC148" s="257">
        <f>(CC154-CC117)*CC149+CC121</f>
        <v>127.857022299732</v>
      </c>
      <c r="CD148" s="257">
        <f>(CD154-CD117)*CD149+CD121</f>
        <v>141.666020868437</v>
      </c>
      <c r="CE148" s="257">
        <f>(CE154-CE117)*CE149+CE121</f>
        <v>156.081040810477</v>
      </c>
      <c r="CF148" s="19" t="inlineStr">
        <is>
          <t>Q3/Q4-26E: 1H/26 run-rate. 2027E+: legacy net sales × D&amp;A % + future-M&amp;A D&amp;A. Historical quarters derived from year-to-date cash-flow statements.</t>
        </is>
      </c>
    </row>
    <row r="149">
      <c r="B149" s="25" t="inlineStr">
        <is>
          <t xml:space="preserve">  D&amp;A (legacy) % of net sales</t>
        </is>
      </c>
      <c r="C149" s="36">
        <f>IF(AND(ISNUMBER(C148),ISNUMBER(C154)),IFERROR(C148/C154,""),"")</f>
        <v>0.0242530737886775</v>
      </c>
      <c r="D149" s="36">
        <f>IF(AND(ISNUMBER(D148),ISNUMBER(D154)),IFERROR(D148/D154,""),"")</f>
        <v>0.0230666297203067</v>
      </c>
      <c r="E149" s="36">
        <f>IF(AND(ISNUMBER(E148),ISNUMBER(E154)),IFERROR(E148/E154,""),"")</f>
        <v>0.022961674877205</v>
      </c>
      <c r="F149" s="36">
        <f>IF(AND(ISNUMBER(F148),ISNUMBER(F154)),IFERROR(F148/F154,""),"")</f>
        <v>0.0327291337171143</v>
      </c>
      <c r="G149" s="36">
        <f>IF(AND(ISNUMBER(G148),ISNUMBER(G154)),IFERROR(G148/G154,""),"")</f>
        <v>0.0277063934784163</v>
      </c>
      <c r="H149" s="36">
        <f>IF(AND(ISNUMBER(H148),ISNUMBER(H154)),IFERROR(H148/H154,""),"")</f>
        <v>0.0230278307539239</v>
      </c>
      <c r="I149" s="36">
        <f>IF(AND(ISNUMBER(I148),ISNUMBER(I154)),IFERROR(I148/I154,""),"")</f>
        <v>0.0228971597414563</v>
      </c>
      <c r="J149" s="36">
        <f>IF(AND(ISNUMBER(J148),ISNUMBER(J154)),IFERROR(J148/J154,""),"")</f>
        <v>0.024210483833932</v>
      </c>
      <c r="K149" s="36">
        <f>IF(AND(ISNUMBER(K148),ISNUMBER(K154)),IFERROR(K148/K154,""),"")</f>
        <v>0.0235870844285102</v>
      </c>
      <c r="L149" s="36">
        <f>IF(AND(ISNUMBER(L148),ISNUMBER(L154)),IFERROR(L148/L154,""),"")</f>
        <v>0.0250420957542909</v>
      </c>
      <c r="M149" s="36">
        <f>IF(AND(ISNUMBER(M148),ISNUMBER(M154)),IFERROR(M148/M154,""),"")</f>
        <v>0.0237859738021324</v>
      </c>
      <c r="N149" s="36">
        <f>IF(AND(ISNUMBER(N148),ISNUMBER(N154)),IFERROR(N148/N154,""),"")</f>
        <v>0.0241468434319976</v>
      </c>
      <c r="O149" s="36">
        <f>IF(AND(ISNUMBER(O148),ISNUMBER(O154)),IFERROR(O148/O154,""),"")</f>
        <v>0.0261742732774552</v>
      </c>
      <c r="P149" s="36">
        <f>IF(AND(ISNUMBER(P148),ISNUMBER(P154)),IFERROR(P148/P154,""),"")</f>
        <v>0.0246647019824826</v>
      </c>
      <c r="Q149" s="36">
        <f>IF(AND(ISNUMBER(Q148),ISNUMBER(Q154)),IFERROR(Q148/Q154,""),"")</f>
        <v>0.0239138726167507</v>
      </c>
      <c r="R149" s="36">
        <f>IF(AND(ISNUMBER(R148),ISNUMBER(R154)),IFERROR(R148/R154,""),"")</f>
        <v>0.0242560172175322</v>
      </c>
      <c r="S149" s="36">
        <f>IF(AND(ISNUMBER(S148),ISNUMBER(S154)),IFERROR(S148/S154,""),"")</f>
        <v>0.0247419067267048</v>
      </c>
      <c r="T149" s="36">
        <f>IF(AND(ISNUMBER(T148),ISNUMBER(T154)),IFERROR(T148/T154,""),"")</f>
        <v>0.0243684450524396</v>
      </c>
      <c r="U149" s="36">
        <f>IF(AND(ISNUMBER(U148),ISNUMBER(U154)),IFERROR(U148/U154,""),"")</f>
        <v>0.0235971958961398</v>
      </c>
      <c r="V149" s="36">
        <f>IF(AND(ISNUMBER(V148),ISNUMBER(V154)),IFERROR(V148/V154,""),"")</f>
        <v>0.0250772669359514</v>
      </c>
      <c r="W149" s="36">
        <f>IF(AND(ISNUMBER(W148),ISNUMBER(W154)),IFERROR(W148/W154,""),"")</f>
        <v>0.0283634250904513</v>
      </c>
      <c r="X149" s="36">
        <f>IF(AND(ISNUMBER(X148),ISNUMBER(X154)),IFERROR(X148/X154,""),"")</f>
        <v>0.0252414335408557</v>
      </c>
      <c r="Y149" s="36">
        <f>IF(AND(ISNUMBER(Y148),ISNUMBER(Y154)),IFERROR(Y148/Y154,""),"")</f>
        <v>0.0283718464125276</v>
      </c>
      <c r="Z149" s="36">
        <f>IF(AND(ISNUMBER(Z148),ISNUMBER(Z154)),IFERROR(Z148/Z154,""),"")</f>
        <v>0.0280325715964066</v>
      </c>
      <c r="AA149" s="36">
        <f>IF(AND(ISNUMBER(AA148),ISNUMBER(AA154)),IFERROR(AA148/AA154,""),"")</f>
        <v>0.0286498979998097</v>
      </c>
      <c r="AB149" s="36">
        <f>IF(AND(ISNUMBER(AB148),ISNUMBER(AB154)),IFERROR(AB148/AB154,""),"")</f>
        <v>0.0294025837666806</v>
      </c>
      <c r="AC149" s="36">
        <f>IF(AND(ISNUMBER(AC148),ISNUMBER(AC154)),IFERROR(AC148/AC154,""),"")</f>
        <v>0.0286083704751663</v>
      </c>
      <c r="AD149" s="36">
        <f>IF(AND(ISNUMBER(AD148),ISNUMBER(AD154)),IFERROR(AD148/AD154,""),"")</f>
        <v>0.0278293742264119</v>
      </c>
      <c r="AE149" s="36">
        <f>IF(AND(ISNUMBER(AE148),ISNUMBER(AE154)),IFERROR(AE148/AE154,""),"")</f>
        <v>0.0252688806715396</v>
      </c>
      <c r="AF149" s="36">
        <f>IF(AND(ISNUMBER(AF148),ISNUMBER(AF154)),IFERROR(AF148/AF154,""),"")</f>
        <v>0.0275597431481529</v>
      </c>
      <c r="AG149" s="36">
        <f>IF(AND(ISNUMBER(AG148),ISNUMBER(AG154)),IFERROR(AG148/AG154,""),"")</f>
        <v>0.0236327014059436</v>
      </c>
      <c r="AH149" s="36">
        <f>IF(AND(ISNUMBER(AH148),ISNUMBER(AH154)),IFERROR(AH148/AH154,""),"")</f>
        <v>0.0259541973098169</v>
      </c>
      <c r="AI149" s="36">
        <f>IF(AND(ISNUMBER(AI148),ISNUMBER(AI154)),IFERROR(AI148/AI154,""),"")</f>
        <v>0.0239330813413295</v>
      </c>
      <c r="AJ149" s="36">
        <f>IF(AND(ISNUMBER(AJ148),ISNUMBER(AJ154)),IFERROR(AJ148/AJ154,""),"")</f>
        <v>0.0230225352255295</v>
      </c>
      <c r="AK149" s="36">
        <f>IF(AND(ISNUMBER(AK148),ISNUMBER(AK154)),IFERROR(AK148/AK154,""),"")</f>
        <v>0.0239085930112509</v>
      </c>
      <c r="AL149" s="36">
        <f>IF(AND(ISNUMBER(AL148),ISNUMBER(AL154)),IFERROR(AL148/AL154,""),"")</f>
        <v>0.0247369347980108</v>
      </c>
      <c r="AM149" s="36">
        <f>IF(AND(ISNUMBER(AM148),ISNUMBER(AM154)),IFERROR(AM148/AM154,""),"")</f>
        <v>0.0238870211848486</v>
      </c>
      <c r="AN149" s="36">
        <f>IF(AND(ISNUMBER(AN148),ISNUMBER(AN154)),IFERROR(AN148/AN154,""),"")</f>
        <v>0.0248967957279886</v>
      </c>
      <c r="AO149" s="36">
        <f>IF(AND(ISNUMBER(AO148),ISNUMBER(AO154)),IFERROR(AO148/AO154,""),"")</f>
        <v>0.0261914935238762</v>
      </c>
      <c r="AP149" s="36">
        <f>IF(AND(ISNUMBER(AP148),ISNUMBER(AP154)),IFERROR(AP148/AP154,""),"")</f>
        <v>0.0289388231527006</v>
      </c>
      <c r="AQ149" s="36">
        <f>IF(AND(ISNUMBER(AQ148),ISNUMBER(AQ154)),IFERROR(AQ148/AQ154,""),"")</f>
        <v>0.0286388693846453</v>
      </c>
      <c r="AR149" s="36">
        <f>IF(AND(ISNUMBER(AR148),ISNUMBER(AR154)),IFERROR(AR148/AR154,""),"")</f>
        <v>0.0271327405576318</v>
      </c>
      <c r="AS149" s="36">
        <f>IF(AND(ISNUMBER(AS148),ISNUMBER(AS154)),IFERROR(AS148/AS154,""),"")</f>
        <v>0.0299547999903133</v>
      </c>
      <c r="AT149" s="36">
        <f>IF(AND(ISNUMBER(AT148),ISNUMBER(AT154)),IFERROR(AT148/AT154,""),"")</f>
        <v>0.0339412283508287</v>
      </c>
      <c r="AU149" s="36">
        <f>IF(AND(ISNUMBER(AU148),ISNUMBER(AU154)),IFERROR(AU148/AU154,""),"")</f>
        <v>0.0291349224384351</v>
      </c>
      <c r="AV149" s="36">
        <f>IF(AND(ISNUMBER(AV148),ISNUMBER(AV154)),IFERROR(AV148/AV154,""),"")</f>
        <v>0.0287203406198382</v>
      </c>
      <c r="AW149" s="36">
        <f>IF(AND(ISNUMBER(AW148),ISNUMBER(AW154)),IFERROR(AW148/AW154,""),"")</f>
        <v>0.0303125706108308</v>
      </c>
      <c r="AX149" s="36">
        <f>IF(AND(ISNUMBER(AX148),ISNUMBER(AX154)),IFERROR(AX148/AX154,""),"")</f>
        <v>0.025254253184522</v>
      </c>
      <c r="AY149" s="36">
        <f>IF(AND(ISNUMBER(AY148),ISNUMBER(AY154)),IFERROR(AY148/AY154,""),"")</f>
        <v>0.0234616808679007</v>
      </c>
      <c r="AZ149" s="36">
        <f>IF(AND(ISNUMBER(AZ148),ISNUMBER(AZ154)),IFERROR(AZ148/AZ154,""),"")</f>
        <v>0.0273419190679196</v>
      </c>
      <c r="BA149" s="36">
        <f>IF(AND(ISNUMBER(BA148),ISNUMBER(BA154)),IFERROR(BA148/BA154,""),"")</f>
        <v>0.0243861126608082</v>
      </c>
      <c r="BB149" s="36">
        <f>IF(AND(ISNUMBER(BB148),ISNUMBER(BB154)),IFERROR(BB148/BB154,""),"")</f>
        <v>0.0250901310378519</v>
      </c>
      <c r="BC149" s="36">
        <f>IF(AND(ISNUMBER(BC148),ISNUMBER(BC154)),IFERROR(BC148/BC154,""),"")</f>
        <v>0.0214933740199341</v>
      </c>
      <c r="BD149" s="36">
        <f>IF(AND(ISNUMBER(BD148),ISNUMBER(BD154)),IFERROR(BD148/BD154,""),"")</f>
        <v>0.0204911565622135</v>
      </c>
      <c r="BE149" s="36">
        <f>IF(AND(ISNUMBER(BE148),ISNUMBER(BE154)),IFERROR(BE148/BE154,""),"")</f>
        <v>0.0205829519695479</v>
      </c>
      <c r="BF149" s="36">
        <f>IF(AND(ISNUMBER(BF148),ISNUMBER(BF154)),IFERROR(BF148/BF154,""),"")</f>
        <v>0.0204633196338301</v>
      </c>
      <c r="BG149" s="36">
        <f>IF(AND(ISNUMBER(BG148),ISNUMBER(BG154)),IFERROR(BG148/BG154,""),"")</f>
        <v>0.0207536881073675</v>
      </c>
      <c r="BH149" s="36">
        <f>IF(AND(ISNUMBER(BH148),ISNUMBER(BH154)),IFERROR(BH148/BH154,""),"")</f>
        <v>0.0204889050101843</v>
      </c>
      <c r="BI149" s="36">
        <f>IF(AND(ISNUMBER(BI148),ISNUMBER(BI154)),IFERROR(BI148/BI154,""),"")</f>
        <v>0.0206654000462018</v>
      </c>
      <c r="BJ149" s="36">
        <f>IF(AND(ISNUMBER(BJ148),ISNUMBER(BJ154)),IFERROR(BJ148/BJ154,""),"")</f>
        <v>0.0207982083092176</v>
      </c>
      <c r="BK149" s="36">
        <f>IF(AND(ISNUMBER(BK148),ISNUMBER(BK154)),IFERROR(BK148/BK154,""),"")</f>
        <v>0.0207545672518266</v>
      </c>
      <c r="BL149" s="36">
        <f>IF(AND(ISNUMBER(BL148),ISNUMBER(BL154)),IFERROR(BL148/BL154,""),"")</f>
        <v>0.0206768908368952</v>
      </c>
      <c r="BM149" s="36">
        <f>IF(AND(ISNUMBER(BM148),ISNUMBER(BM154)),IFERROR(BM148/BM154,""),"")</f>
        <v>0.0219996595994484</v>
      </c>
      <c r="BN149" s="36">
        <f>IF(AND(ISNUMBER(BN148),ISNUMBER(BN154)),IFERROR(BN148/BN154,""),"")</f>
        <v>0.0204221857464595</v>
      </c>
      <c r="BO149" s="36">
        <f>IF(AND(ISNUMBER(BO148),ISNUMBER(BO154)),IFERROR(BO148/BO154,""),"")</f>
        <v>0.0230178326195745</v>
      </c>
      <c r="BP149" s="36">
        <f>IF(AND(ISNUMBER(BP148),ISNUMBER(BP154)),IFERROR(BP148/BP154,""),"")</f>
        <v>0.0226441272329313</v>
      </c>
      <c r="BQ149" s="36">
        <f>IF(AND(ISNUMBER(BQ148),ISNUMBER(BQ154)),IFERROR(BQ148/BQ154,""),"")</f>
        <v>0.022011789446375</v>
      </c>
      <c r="BR149" s="36">
        <f>IF(AND(ISNUMBER(BR148),ISNUMBER(BR154)),IFERROR(BR148/BR154,""),"")</f>
        <v>0.0236800917573687</v>
      </c>
      <c r="BS149" s="36">
        <f>IF(AND(ISNUMBER(BS148),ISNUMBER(BS154)),IFERROR(BS148/BS154,""),"")</f>
        <v>0.0224695569744083</v>
      </c>
      <c r="BT149" s="36">
        <f>IF(AND(ISNUMBER(BT148),ISNUMBER(BT154)),IFERROR(BT148/BT154,""),"")</f>
        <v>0.0233164063861926</v>
      </c>
      <c r="BU149" s="36">
        <f>IF(AND(ISNUMBER(BU148),ISNUMBER(BU154)),IFERROR(BU148/BU154,""),"")</f>
        <v>0.0236911510454569</v>
      </c>
      <c r="BV149" s="36">
        <f>IF(AND(ISNUMBER(BV148),ISNUMBER(BV154)),IFERROR(BV148/BV154,""),"")</f>
        <v>0.0232803992815502</v>
      </c>
      <c r="BW149" s="36">
        <f>IF(AND(ISNUMBER(BW148),ISNUMBER(BW154)),IFERROR(BW148/BW154,""),"")</f>
        <v>0.0231926265834637</v>
      </c>
      <c r="BX149" s="36">
        <f>IF(AND(ISNUMBER(BX148),ISNUMBER(BX154)),IFERROR(BX148/BX154,""),"")</f>
        <v>0.0212919470378293</v>
      </c>
      <c r="BY149" s="254" t="n"/>
      <c r="BZ149" s="254" t="n"/>
      <c r="CA149" s="254">
        <f>IFERROR(CA148/CA154,"")</f>
        <v>0.0220255172787472</v>
      </c>
      <c r="CB149" s="255" t="n">
        <v>0.0225</v>
      </c>
      <c r="CC149" s="255" t="n">
        <v>0.0225</v>
      </c>
      <c r="CD149" s="255" t="n">
        <v>0.0225</v>
      </c>
      <c r="CE149" s="255" t="n">
        <v>0.0225</v>
      </c>
      <c r="CF149" s="19" t="inlineStr">
        <is>
          <t>2027E+: 2.2% input (FY25 level; capex runs ~1.2–1.4x D&amp;A).</t>
        </is>
      </c>
      <c r="CH149" s="20">
        <f>IFERROR(AVERAGE(CA149,CB149,CC149,CD149,CE149),"n/m")</f>
        <v>0.0224051034557494</v>
      </c>
      <c r="CI149" s="20">
        <f>IFERROR(AVERAGE(AW149,BB149,BG149,BL149,BQ149,BV149),"n/m")</f>
        <v>0.0236875782201451</v>
      </c>
      <c r="CJ149" s="20">
        <f>IFERROR(AVERAGE(X149,AC149,AH149,AM149,AR149,AW149,BB149,BG149,BL149,BQ149,BV149),"n/m")</f>
        <v>0.0248135665808354</v>
      </c>
      <c r="CK149" s="20">
        <f>IFERROR(AVERAGE(C149,D149,E149,F149,G149,H149,I149,N149,S149,X149,AC149,AH149,AM149,AR149,AW149,BB149,BG149,BL149,BQ149,BV149),"n/m")</f>
        <v>0.0249239939312496</v>
      </c>
    </row>
    <row r="150">
      <c r="B150" s="25" t="inlineStr">
        <is>
          <t xml:space="preserve">  SG&amp;A % of net sales</t>
        </is>
      </c>
      <c r="C150" s="36">
        <f>IF(AND(ISNUMBER(C159),ISNUMBER(C154)),IFERROR(C159/C154,""),"")</f>
        <v>0.1601635973153</v>
      </c>
      <c r="D150" s="36">
        <f>IF(AND(ISNUMBER(D159),ISNUMBER(D154)),IFERROR(D159/D154,""),"")</f>
        <v>0.162278409529355</v>
      </c>
      <c r="E150" s="36">
        <f>IF(AND(ISNUMBER(E159),ISNUMBER(E154)),IFERROR(E159/E154,""),"")</f>
        <v>0.163515360826031</v>
      </c>
      <c r="F150" s="36">
        <f>IF(AND(ISNUMBER(F159),ISNUMBER(F154)),IFERROR(F159/F154,""),"")</f>
        <v>0.19279355340502</v>
      </c>
      <c r="G150" s="36">
        <f>IF(AND(ISNUMBER(G159),ISNUMBER(G154)),IFERROR(G159/G154,""),"")</f>
        <v>0.182483870905413</v>
      </c>
      <c r="H150" s="36">
        <f>IF(AND(ISNUMBER(H159),ISNUMBER(H154)),IFERROR(H159/H154,""),"")</f>
        <v>0.163205496604517</v>
      </c>
      <c r="I150" s="36">
        <f>IF(AND(ISNUMBER(I159),ISNUMBER(I154)),IFERROR(I159/I154,""),"")</f>
        <v>0.173556713875222</v>
      </c>
      <c r="J150" s="36">
        <f>IF(AND(ISNUMBER(J159),ISNUMBER(J154)),IFERROR(J159/J154,""),"")</f>
        <v>0.190503957148404</v>
      </c>
      <c r="K150" s="36">
        <f>IF(AND(ISNUMBER(K159),ISNUMBER(K154)),IFERROR(K159/K154,""),"")</f>
        <v>0.185879917298112</v>
      </c>
      <c r="L150" s="36">
        <f>IF(AND(ISNUMBER(L159),ISNUMBER(L154)),IFERROR(L159/L154,""),"")</f>
        <v>0.189654200542005</v>
      </c>
      <c r="M150" s="36">
        <f>IF(AND(ISNUMBER(M159),ISNUMBER(M154)),IFERROR(M159/M154,""),"")</f>
        <v>0.173313597960803</v>
      </c>
      <c r="N150" s="36">
        <f>IF(AND(ISNUMBER(N159),ISNUMBER(N154)),IFERROR(N159/N154,""),"")</f>
        <v>0.184811357496185</v>
      </c>
      <c r="O150" s="36">
        <f>IF(AND(ISNUMBER(O159),ISNUMBER(O154)),IFERROR(O159/O154,""),"")</f>
        <v>0.212995320131609</v>
      </c>
      <c r="P150" s="36">
        <f>IF(AND(ISNUMBER(P159),ISNUMBER(P154)),IFERROR(P159/P154,""),"")</f>
        <v>0.188263780127407</v>
      </c>
      <c r="Q150" s="36">
        <f>IF(AND(ISNUMBER(Q159),ISNUMBER(Q154)),IFERROR(Q159/Q154,""),"")</f>
        <v>0.19059567435109</v>
      </c>
      <c r="R150" s="36">
        <f>IF(AND(ISNUMBER(R159),ISNUMBER(R154)),IFERROR(R159/R154,""),"")</f>
        <v>0.184225839749457</v>
      </c>
      <c r="S150" s="36">
        <f>IF(AND(ISNUMBER(S159),ISNUMBER(S154)),IFERROR(S159/S154,""),"")</f>
        <v>0.193897681177141</v>
      </c>
      <c r="T150" s="36">
        <f>IF(AND(ISNUMBER(T159),ISNUMBER(T154)),IFERROR(T159/T154,""),"")</f>
        <v>0.197432740538076</v>
      </c>
      <c r="U150" s="36">
        <f>IF(AND(ISNUMBER(U159),ISNUMBER(U154)),IFERROR(U159/U154,""),"")</f>
        <v>0.192187923097752</v>
      </c>
      <c r="V150" s="36">
        <f>IF(AND(ISNUMBER(V159),ISNUMBER(V154)),IFERROR(V159/V154,""),"")</f>
        <v>0.198861998307412</v>
      </c>
      <c r="W150" s="36">
        <f>IF(AND(ISNUMBER(W159),ISNUMBER(W154)),IFERROR(W159/W154,""),"")</f>
        <v>0.195080856008521</v>
      </c>
      <c r="X150" s="36">
        <f>IF(AND(ISNUMBER(X159),ISNUMBER(X154)),IFERROR(X159/X154,""),"")</f>
        <v>0.19589469321407</v>
      </c>
      <c r="Y150" s="36">
        <f>IF(AND(ISNUMBER(Y159),ISNUMBER(Y154)),IFERROR(Y159/Y154,""),"")</f>
        <v>0.206655989773425</v>
      </c>
      <c r="Z150" s="36">
        <f>IF(AND(ISNUMBER(Z159),ISNUMBER(Z154)),IFERROR(Z159/Z154,""),"")</f>
        <v>0.203398613816596</v>
      </c>
      <c r="AA150" s="36">
        <f>IF(AND(ISNUMBER(AA159),ISNUMBER(AA154)),IFERROR(AA159/AA154,""),"")</f>
        <v>0.207846087174049</v>
      </c>
      <c r="AB150" s="36">
        <f>IF(AND(ISNUMBER(AB159),ISNUMBER(AB154)),IFERROR(AB159/AB154,""),"")</f>
        <v>0.202873926090936</v>
      </c>
      <c r="AC150" s="36">
        <f>IF(AND(ISNUMBER(AC159),ISNUMBER(AC154)),IFERROR(AC159/AC154,""),"")</f>
        <v>0.205167118464935</v>
      </c>
      <c r="AD150" s="36">
        <f>IF(AND(ISNUMBER(AD159),ISNUMBER(AD154)),IFERROR(AD159/AD154,""),"")</f>
        <v>0.210656966725599</v>
      </c>
      <c r="AE150" s="36">
        <f>IF(AND(ISNUMBER(AE159),ISNUMBER(AE154)),IFERROR(AE159/AE154,""),"")</f>
        <v>0.207137820686663</v>
      </c>
      <c r="AF150" s="36">
        <f>IF(AND(ISNUMBER(AF159),ISNUMBER(AF154)),IFERROR(AF159/AF154,""),"")</f>
        <v>0.198281978398515</v>
      </c>
      <c r="AG150" s="36">
        <f>IF(AND(ISNUMBER(AG159),ISNUMBER(AG154)),IFERROR(AG159/AG154,""),"")</f>
        <v>0.20418102611803</v>
      </c>
      <c r="AH150" s="36">
        <f>IF(AND(ISNUMBER(AH159),ISNUMBER(AH154)),IFERROR(AH159/AH154,""),"")</f>
        <v>0.204815824839746</v>
      </c>
      <c r="AI150" s="36">
        <f>IF(AND(ISNUMBER(AI159),ISNUMBER(AI154)),IFERROR(AI159/AI154,""),"")</f>
        <v>0.212738354168426</v>
      </c>
      <c r="AJ150" s="36">
        <f>IF(AND(ISNUMBER(AJ159),ISNUMBER(AJ154)),IFERROR(AJ159/AJ154,""),"")</f>
        <v>0.20750532876317</v>
      </c>
      <c r="AK150" s="36">
        <f>IF(AND(ISNUMBER(AK159),ISNUMBER(AK154)),IFERROR(AK159/AK154,""),"")</f>
        <v>0.200962150267467</v>
      </c>
      <c r="AL150" s="36">
        <f>IF(AND(ISNUMBER(AL159),ISNUMBER(AL154)),IFERROR(AL159/AL154,""),"")</f>
        <v>0.207624891271761</v>
      </c>
      <c r="AM150" s="36">
        <f>IF(AND(ISNUMBER(AM159),ISNUMBER(AM154)),IFERROR(AM159/AM154,""),"")</f>
        <v>0.207251424220633</v>
      </c>
      <c r="AN150" s="36">
        <f>IF(AND(ISNUMBER(AN159),ISNUMBER(AN154)),IFERROR(AN159/AN154,""),"")</f>
        <v>0.211292799806105</v>
      </c>
      <c r="AO150" s="36">
        <f>IF(AND(ISNUMBER(AO159),ISNUMBER(AO154)),IFERROR(AO159/AO154,""),"")</f>
        <v>0.210278401251982</v>
      </c>
      <c r="AP150" s="36">
        <f>IF(AND(ISNUMBER(AP159),ISNUMBER(AP154)),IFERROR(AP159/AP154,""),"")</f>
        <v>0.202949439163199</v>
      </c>
      <c r="AQ150" s="36">
        <f>IF(AND(ISNUMBER(AQ159),ISNUMBER(AQ154)),IFERROR(AQ159/AQ154,""),"")</f>
        <v>0.202878690546199</v>
      </c>
      <c r="AR150" s="36">
        <f>IF(AND(ISNUMBER(AR159),ISNUMBER(AR154)),IFERROR(AR159/AR154,""),"")</f>
        <v>0.206937300384381</v>
      </c>
      <c r="AS150" s="36">
        <f>IF(AND(ISNUMBER(AS159),ISNUMBER(AS154)),IFERROR(AS159/AS154,""),"")</f>
        <v>0.213289059261444</v>
      </c>
      <c r="AT150" s="36">
        <f>IF(AND(ISNUMBER(AT159),ISNUMBER(AT154)),IFERROR(AT159/AT154,""),"")</f>
        <v>0.213933001200216</v>
      </c>
      <c r="AU150" s="36">
        <f>IF(AND(ISNUMBER(AU159),ISNUMBER(AU154)),IFERROR(AU159/AU154,""),"")</f>
        <v>0.196351257609645</v>
      </c>
      <c r="AV150" s="36">
        <f>IF(AND(ISNUMBER(AV159),ISNUMBER(AV154)),IFERROR(AV159/AV154,""),"")</f>
        <v>0.196545372257471</v>
      </c>
      <c r="AW150" s="36">
        <f>IF(AND(ISNUMBER(AW159),ISNUMBER(AW154)),IFERROR(AW159/AW154,""),"")</f>
        <v>0.204790991940951</v>
      </c>
      <c r="AX150" s="36">
        <f>IF(AND(ISNUMBER(AX159),ISNUMBER(AX154)),IFERROR(AX159/AX154,""),"")</f>
        <v>0.192433235009333</v>
      </c>
      <c r="AY150" s="36">
        <f>IF(AND(ISNUMBER(AY159),ISNUMBER(AY154)),IFERROR(AY159/AY154,""),"")</f>
        <v>0.183382257209718</v>
      </c>
      <c r="AZ150" s="36">
        <f>IF(AND(ISNUMBER(AZ159),ISNUMBER(AZ154)),IFERROR(AZ159/AZ154,""),"")</f>
        <v>0.184905772678913</v>
      </c>
      <c r="BA150" s="36">
        <f>IF(AND(ISNUMBER(BA159),ISNUMBER(BA154)),IFERROR(BA159/BA154,""),"")</f>
        <v>0.178570117180791</v>
      </c>
      <c r="BB150" s="36">
        <f>IF(AND(ISNUMBER(BB159),ISNUMBER(BB154)),IFERROR(BB159/BB154,""),"")</f>
        <v>0.184624541614876</v>
      </c>
      <c r="BC150" s="36">
        <f>IF(AND(ISNUMBER(BC159),ISNUMBER(BC154)),IFERROR(BC159/BC154,""),"")</f>
        <v>0.180113847563558</v>
      </c>
      <c r="BD150" s="36">
        <f>IF(AND(ISNUMBER(BD159),ISNUMBER(BD154)),IFERROR(BD159/BD154,""),"")</f>
        <v>0.172023403730859</v>
      </c>
      <c r="BE150" s="36">
        <f>IF(AND(ISNUMBER(BE159),ISNUMBER(BE154)),IFERROR(BE159/BE154,""),"")</f>
        <v>0.170057953038792</v>
      </c>
      <c r="BF150" s="36">
        <f>IF(AND(ISNUMBER(BF159),ISNUMBER(BF154)),IFERROR(BF159/BF154,""),"")</f>
        <v>0.176288544622927</v>
      </c>
      <c r="BG150" s="36">
        <f>IF(AND(ISNUMBER(BG159),ISNUMBER(BG154)),IFERROR(BG159/BG154,""),"")</f>
        <v>0.174581005957922</v>
      </c>
      <c r="BH150" s="36">
        <f>IF(AND(ISNUMBER(BH159),ISNUMBER(BH154)),IFERROR(BH159/BH154,""),"")</f>
        <v>0.182919401968359</v>
      </c>
      <c r="BI150" s="36">
        <f>IF(AND(ISNUMBER(BI159),ISNUMBER(BI154)),IFERROR(BI159/BI154,""),"")</f>
        <v>0.181740864539184</v>
      </c>
      <c r="BJ150" s="36">
        <f>IF(AND(ISNUMBER(BJ159),ISNUMBER(BJ154)),IFERROR(BJ159/BJ154,""),"")</f>
        <v>0.181099946380905</v>
      </c>
      <c r="BK150" s="36">
        <f>IF(AND(ISNUMBER(BK159),ISNUMBER(BK154)),IFERROR(BK159/BK154,""),"")</f>
        <v>0.178487011036226</v>
      </c>
      <c r="BL150" s="36">
        <f>IF(AND(ISNUMBER(BL159),ISNUMBER(BL154)),IFERROR(BL159/BL154,""),"")</f>
        <v>0.181053412080629</v>
      </c>
      <c r="BM150" s="36">
        <f>IF(AND(ISNUMBER(BM159),ISNUMBER(BM154)),IFERROR(BM159/BM154,""),"")</f>
        <v>0.202555653961437</v>
      </c>
      <c r="BN150" s="36">
        <f>IF(AND(ISNUMBER(BN159),ISNUMBER(BN154)),IFERROR(BN159/BN154,""),"")</f>
        <v>0.204060359230799</v>
      </c>
      <c r="BO150" s="36">
        <f>IF(AND(ISNUMBER(BO159),ISNUMBER(BO154)),IFERROR(BO159/BO154,""),"")</f>
        <v>0.189366501348399</v>
      </c>
      <c r="BP150" s="36">
        <f>IF(AND(ISNUMBER(BP159),ISNUMBER(BP154)),IFERROR(BP159/BP154,""),"")</f>
        <v>0.18303456548774</v>
      </c>
      <c r="BQ150" s="36">
        <f>IF(AND(ISNUMBER(BQ159),ISNUMBER(BQ154)),IFERROR(BQ159/BQ154,""),"")</f>
        <v>0.194725432624786</v>
      </c>
      <c r="BR150" s="36">
        <f>IF(AND(ISNUMBER(BR159),ISNUMBER(BR154)),IFERROR(BR159/BR154,""),"")</f>
        <v>0.195805804131471</v>
      </c>
      <c r="BS150" s="36">
        <f>IF(AND(ISNUMBER(BS159),ISNUMBER(BS154)),IFERROR(BS159/BS154,""),"")</f>
        <v>0.193686258408172</v>
      </c>
      <c r="BT150" s="36">
        <f>IF(AND(ISNUMBER(BT159),ISNUMBER(BT154)),IFERROR(BT159/BT154,""),"")</f>
        <v>0.194890442855299</v>
      </c>
      <c r="BU150" s="36">
        <f>IF(AND(ISNUMBER(BU159),ISNUMBER(BU154)),IFERROR(BU159/BU154,""),"")</f>
        <v>0.170244225768623</v>
      </c>
      <c r="BV150" s="36">
        <f>IF(AND(ISNUMBER(BV159),ISNUMBER(BV154)),IFERROR(BV159/BV154,""),"")</f>
        <v>0.188517229966527</v>
      </c>
      <c r="BW150" s="36">
        <f>IF(AND(ISNUMBER(BW159),ISNUMBER(BW154)),IFERROR(BW159/BW154,""),"")</f>
        <v>0.187983421226751</v>
      </c>
      <c r="BX150" s="36">
        <f>IF(AND(ISNUMBER(BX159),ISNUMBER(BX154)),IFERROR(BX159/BX154,""),"")</f>
        <v>0.184371420630125</v>
      </c>
      <c r="BY150" s="254">
        <f>BT150+($BW$159+$BX$159)/($BW$154+$BX$154)-($BR$159+$BS$159)/($BR$154+$BS$154)</f>
        <v>0.186288731141173</v>
      </c>
      <c r="BZ150" s="254">
        <f>BU150+($BW$159+$BX$159)/($BW$154+$BX$154)-($BR$159+$BS$159)/($BR$154+$BS$154)</f>
        <v>0.161642514054497</v>
      </c>
      <c r="CA150" s="254">
        <f>IFERROR(CA159/CA154,"")</f>
        <v>0.179967590598863</v>
      </c>
      <c r="CB150" s="255" t="n">
        <v>0.185</v>
      </c>
      <c r="CC150" s="255" t="n">
        <v>0.185</v>
      </c>
      <c r="CD150" s="255" t="n">
        <v>0.185</v>
      </c>
      <c r="CE150" s="255" t="n">
        <v>0.185</v>
      </c>
      <c r="CF150" s="19" t="inlineStr">
        <is>
          <t>Q3/Q4-26E: prior-year quarter ratio + 1H drift. 2027E+: input. SG&amp;A only splits gross profit vs opex — operating income is driven by the adjusted EBIT build.</t>
        </is>
      </c>
      <c r="CH150" s="20">
        <f>IFERROR(AVERAGE(CA150,CB150,CC150,CD150,CE150),"n/m")</f>
        <v>0.183993518119773</v>
      </c>
      <c r="CI150" s="20">
        <f>IFERROR(AVERAGE(AW150,BB150,BG150,BL150,BQ150,BV150),"n/m")</f>
        <v>0.188048769030948</v>
      </c>
      <c r="CJ150" s="20">
        <f>IFERROR(AVERAGE(X150,AC150,AH150,AM150,AR150,AW150,BB150,BG150,BL150,BQ150,BV150),"n/m")</f>
        <v>0.195305361391769</v>
      </c>
      <c r="CK150" s="20">
        <f>IFERROR(AVERAGE(C150,D150,E150,F150,G150,H150,I150,N150,S150,X150,AC150,AH150,AM150,AR150,AW150,BB150,BG150,BL150,BQ150,BV150),"n/m")</f>
        <v>0.186253250822182</v>
      </c>
    </row>
    <row r="151">
      <c r="B151" s="25" t="inlineStr">
        <is>
          <t xml:space="preserve">  Stock-based compensation % of net sales</t>
        </is>
      </c>
      <c r="C151" s="36">
        <f>IF(AND(ISNUMBER(C179),ISNUMBER(C154)),IFERROR(C179/C154,""),"")</f>
        <v>0.00213853031190492</v>
      </c>
      <c r="D151" s="36">
        <f>IF(AND(ISNUMBER(D179),ISNUMBER(D154)),IFERROR(D179/D154,""),"")</f>
        <v>0.00205148755866404</v>
      </c>
      <c r="E151" s="36">
        <f>IF(AND(ISNUMBER(E179),ISNUMBER(E154)),IFERROR(E179/E154,""),"")</f>
        <v>0.00191115354533504</v>
      </c>
      <c r="F151" s="36">
        <f>IF(AND(ISNUMBER(F179),ISNUMBER(F154)),IFERROR(F179/F154,""),"")</f>
        <v>0.00314118262750212</v>
      </c>
      <c r="G151" s="36">
        <f>IF(AND(ISNUMBER(G179),ISNUMBER(G154)),IFERROR(G179/G154,""),"")</f>
        <v>0.00396730319992735</v>
      </c>
      <c r="H151" s="36">
        <f>IF(AND(ISNUMBER(H179),ISNUMBER(H154)),IFERROR(H179/H154,""),"")</f>
        <v>0.00245304606345485</v>
      </c>
      <c r="I151" s="36">
        <f>IF(AND(ISNUMBER(I179),ISNUMBER(I154)),IFERROR(I179/I154,""),"")</f>
        <v>0.00314050032820874</v>
      </c>
      <c r="J151" s="36">
        <f>IF(AND(ISNUMBER(J179),ISNUMBER(J154)),IFERROR(J179/J154,""),"")</f>
        <v>0.0034345849343073</v>
      </c>
      <c r="K151" s="36">
        <f>IF(AND(ISNUMBER(K179),ISNUMBER(K154)),IFERROR(K179/K154,""),"")</f>
        <v>0.00345186904068009</v>
      </c>
      <c r="L151" s="36">
        <f>IF(AND(ISNUMBER(L179),ISNUMBER(L154)),IFERROR(L179/L154,""),"")</f>
        <v>0.00365962059620596</v>
      </c>
      <c r="M151" s="36">
        <f>IF(AND(ISNUMBER(M179),ISNUMBER(M154)),IFERROR(M179/M154,""),"")</f>
        <v>0.0031099999860099</v>
      </c>
      <c r="N151" s="36">
        <f>IF(AND(ISNUMBER(N179),ISNUMBER(N154)),IFERROR(N179/N154,""),"")</f>
        <v>0.00341224066848228</v>
      </c>
      <c r="O151" s="36">
        <f>IF(AND(ISNUMBER(O179),ISNUMBER(O154)),IFERROR(O179/O154,""),"")</f>
        <v>0.00334714230244854</v>
      </c>
      <c r="P151" s="36">
        <f>IF(AND(ISNUMBER(P179),ISNUMBER(P154)),IFERROR(P179/P154,""),"")</f>
        <v>0.003146056928257</v>
      </c>
      <c r="Q151" s="36">
        <f>IF(AND(ISNUMBER(Q179),ISNUMBER(Q154)),IFERROR(Q179/Q154,""),"")</f>
        <v>0.00235129097470302</v>
      </c>
      <c r="R151" s="36">
        <f>IF(AND(ISNUMBER(R179),ISNUMBER(R154)),IFERROR(R179/R154,""),"")</f>
        <v>0.00314056208458464</v>
      </c>
      <c r="S151" s="36">
        <f>IF(AND(ISNUMBER(S179),ISNUMBER(S154)),IFERROR(S179/S154,""),"")</f>
        <v>0.0029914791186511</v>
      </c>
      <c r="T151" s="36">
        <f>IF(AND(ISNUMBER(T179),ISNUMBER(T154)),IFERROR(T179/T154,""),"")</f>
        <v>0.00297461620307038</v>
      </c>
      <c r="U151" s="36">
        <f>IF(AND(ISNUMBER(U179),ISNUMBER(U154)),IFERROR(U179/U154,""),"")</f>
        <v>0.00290639949453922</v>
      </c>
      <c r="V151" s="36">
        <f>IF(AND(ISNUMBER(V179),ISNUMBER(V154)),IFERROR(V179/V154,""),"")</f>
        <v>0.00318212677047458</v>
      </c>
      <c r="W151" s="36">
        <f>IF(AND(ISNUMBER(W179),ISNUMBER(W154)),IFERROR(W179/W154,""),"")</f>
        <v>0.00350361365176897</v>
      </c>
      <c r="X151" s="36">
        <f>IF(AND(ISNUMBER(X179),ISNUMBER(X154)),IFERROR(X179/X154,""),"")</f>
        <v>0.0031280180424964</v>
      </c>
      <c r="Y151" s="36">
        <f>IF(AND(ISNUMBER(Y179),ISNUMBER(Y154)),IFERROR(Y179/Y154,""),"")</f>
        <v>0.0039112292590454</v>
      </c>
      <c r="Z151" s="36">
        <f>IF(AND(ISNUMBER(Z179),ISNUMBER(Z154)),IFERROR(Z179/Z154,""),"")</f>
        <v>0.0045390248101847</v>
      </c>
      <c r="AA151" s="36">
        <f>IF(AND(ISNUMBER(AA179),ISNUMBER(AA154)),IFERROR(AA179/AA154,""),"")</f>
        <v>0.00470892070057747</v>
      </c>
      <c r="AB151" s="36">
        <f>IF(AND(ISNUMBER(AB179),ISNUMBER(AB154)),IFERROR(AB179/AB154,""),"")</f>
        <v>0.00499443092574331</v>
      </c>
      <c r="AC151" s="36">
        <f>IF(AND(ISNUMBER(AC179),ISNUMBER(AC154)),IFERROR(AC179/AC154,""),"")</f>
        <v>0.00454230915663053</v>
      </c>
      <c r="AD151" s="36">
        <f>IF(AND(ISNUMBER(AD179),ISNUMBER(AD154)),IFERROR(AD179/AD154,""),"")</f>
        <v>0.00562578219546667</v>
      </c>
      <c r="AE151" s="36">
        <f>IF(AND(ISNUMBER(AE179),ISNUMBER(AE154)),IFERROR(AE179/AE154,""),"")</f>
        <v>0.00536644662746587</v>
      </c>
      <c r="AF151" s="36">
        <f>IF(AND(ISNUMBER(AF179),ISNUMBER(AF154)),IFERROR(AF179/AF154,""),"")</f>
        <v>0.00497990264245524</v>
      </c>
      <c r="AG151" s="36">
        <f>IF(AND(ISNUMBER(AG179),ISNUMBER(AG154)),IFERROR(AG179/AG154,""),"")</f>
        <v>0.00365639031832813</v>
      </c>
      <c r="AH151" s="36">
        <f>IF(AND(ISNUMBER(AH179),ISNUMBER(AH154)),IFERROR(AH179/AH154,""),"")</f>
        <v>0.00483838211025552</v>
      </c>
      <c r="AI151" s="36">
        <f>IF(AND(ISNUMBER(AI179),ISNUMBER(AI154)),IFERROR(AI179/AI154,""),"")</f>
        <v>0.00583215432046626</v>
      </c>
      <c r="AJ151" s="36">
        <f>IF(AND(ISNUMBER(AJ179),ISNUMBER(AJ154)),IFERROR(AJ179/AJ154,""),"")</f>
        <v>0.0068375246186327</v>
      </c>
      <c r="AK151" s="36">
        <f>IF(AND(ISNUMBER(AK179),ISNUMBER(AK154)),IFERROR(AK179/AK154,""),"")</f>
        <v>0.00510379202793655</v>
      </c>
      <c r="AL151" s="36">
        <f>IF(AND(ISNUMBER(AL179),ISNUMBER(AL154)),IFERROR(AL179/AL154,""),"")</f>
        <v>0.0066830055913539</v>
      </c>
      <c r="AM151" s="36">
        <f>IF(AND(ISNUMBER(AM179),ISNUMBER(AM154)),IFERROR(AM179/AM154,""),"")</f>
        <v>0.0061261132759749</v>
      </c>
      <c r="AN151" s="36">
        <f>IF(AND(ISNUMBER(AN179),ISNUMBER(AN154)),IFERROR(AN179/AN154,""),"")</f>
        <v>0.00546515028175359</v>
      </c>
      <c r="AO151" s="36">
        <f>IF(AND(ISNUMBER(AO179),ISNUMBER(AO154)),IFERROR(AO179/AO154,""),"")</f>
        <v>0.00591499701418776</v>
      </c>
      <c r="AP151" s="36">
        <f>IF(AND(ISNUMBER(AP179),ISNUMBER(AP154)),IFERROR(AP179/AP154,""),"")</f>
        <v>0.00527790055324221</v>
      </c>
      <c r="AQ151" s="36">
        <f>IF(AND(ISNUMBER(AQ179),ISNUMBER(AQ154)),IFERROR(AQ179/AQ154,""),"")</f>
        <v>0.00546239544103207</v>
      </c>
      <c r="AR151" s="36">
        <f>IF(AND(ISNUMBER(AR179),ISNUMBER(AR154)),IFERROR(AR179/AR154,""),"")</f>
        <v>0.00553529617031025</v>
      </c>
      <c r="AS151" s="36">
        <f>IF(AND(ISNUMBER(AS179),ISNUMBER(AS154)),IFERROR(AS179/AS154,""),"")</f>
        <v>0.0052579021668369</v>
      </c>
      <c r="AT151" s="36">
        <f>IF(AND(ISNUMBER(AT179),ISNUMBER(AT154)),IFERROR(AT179/AT154,""),"")</f>
        <v>0.00696768558064893</v>
      </c>
      <c r="AU151" s="36">
        <f>IF(AND(ISNUMBER(AU179),ISNUMBER(AU154)),IFERROR(AU179/AU154,""),"")</f>
        <v>0.0057543265838227</v>
      </c>
      <c r="AV151" s="36">
        <f>IF(AND(ISNUMBER(AV179),ISNUMBER(AV154)),IFERROR(AV179/AV154,""),"")</f>
        <v>0.00537911829736204</v>
      </c>
      <c r="AW151" s="36">
        <f>IF(AND(ISNUMBER(AW179),ISNUMBER(AW154)),IFERROR(AW179/AW154,""),"")</f>
        <v>0.00579498380658281</v>
      </c>
      <c r="AX151" s="36">
        <f>IF(AND(ISNUMBER(AX179),ISNUMBER(AX154)),IFERROR(AX179/AX154,""),"")</f>
        <v>0.00845683276950045</v>
      </c>
      <c r="AY151" s="36">
        <f>IF(AND(ISNUMBER(AY179),ISNUMBER(AY154)),IFERROR(AY179/AY154,""),"")</f>
        <v>0.00756121937821101</v>
      </c>
      <c r="AZ151" s="36">
        <f>IF(AND(ISNUMBER(AZ179),ISNUMBER(AZ154)),IFERROR(AZ179/AZ154,""),"")</f>
        <v>0.00689933957795485</v>
      </c>
      <c r="BA151" s="36">
        <f>IF(AND(ISNUMBER(BA179),ISNUMBER(BA154)),IFERROR(BA179/BA154,""),"")</f>
        <v>0.00659993295832638</v>
      </c>
      <c r="BB151" s="36">
        <f>IF(AND(ISNUMBER(BB179),ISNUMBER(BB154)),IFERROR(BB179/BB154,""),"")</f>
        <v>0.00735487820714988</v>
      </c>
      <c r="BC151" s="36">
        <f>IF(AND(ISNUMBER(BC179),ISNUMBER(BC154)),IFERROR(BC179/BC154,""),"")</f>
        <v>0.0120460576931389</v>
      </c>
      <c r="BD151" s="36">
        <f>IF(AND(ISNUMBER(BD179),ISNUMBER(BD154)),IFERROR(BD179/BD154,""),"")</f>
        <v>0.00535484622865977</v>
      </c>
      <c r="BE151" s="36">
        <f>IF(AND(ISNUMBER(BE179),ISNUMBER(BE154)),IFERROR(BE179/BE154,""),"")</f>
        <v>0.00492814678585176</v>
      </c>
      <c r="BF151" s="36">
        <f>IF(AND(ISNUMBER(BF179),ISNUMBER(BF154)),IFERROR(BF179/BF154,""),"")</f>
        <v>0.00463835245033483</v>
      </c>
      <c r="BG151" s="36">
        <f>IF(AND(ISNUMBER(BG179),ISNUMBER(BG154)),IFERROR(BG179/BG154,""),"")</f>
        <v>0.00671778318206556</v>
      </c>
      <c r="BH151" s="36">
        <f>IF(AND(ISNUMBER(BH179),ISNUMBER(BH154)),IFERROR(BH179/BH154,""),"")</f>
        <v>0.0111936098092737</v>
      </c>
      <c r="BI151" s="36">
        <f>IF(AND(ISNUMBER(BI179),ISNUMBER(BI154)),IFERROR(BI179/BI154,""),"")</f>
        <v>0.00469655325227591</v>
      </c>
      <c r="BJ151" s="36">
        <f>IF(AND(ISNUMBER(BJ179),ISNUMBER(BJ154)),IFERROR(BJ179/BJ154,""),"")</f>
        <v>0.00533190607173345</v>
      </c>
      <c r="BK151" s="36">
        <f>IF(AND(ISNUMBER(BK179),ISNUMBER(BK154)),IFERROR(BK179/BK154,""),"")</f>
        <v>0.0038799675771884</v>
      </c>
      <c r="BL151" s="36">
        <f>IF(AND(ISNUMBER(BL179),ISNUMBER(BL154)),IFERROR(BL179/BL154,""),"")</f>
        <v>0.00625793842785967</v>
      </c>
      <c r="BM151" s="36">
        <f>IF(AND(ISNUMBER(BM179),ISNUMBER(BM154)),IFERROR(BM179/BM154,""),"")</f>
        <v>0.0144619276251354</v>
      </c>
      <c r="BN151" s="36">
        <f>IF(AND(ISNUMBER(BN179),ISNUMBER(BN154)),IFERROR(BN179/BN154,""),"")</f>
        <v>0.0041000975840843</v>
      </c>
      <c r="BO151" s="36">
        <f>IF(AND(ISNUMBER(BO179),ISNUMBER(BO154)),IFERROR(BO179/BO154,""),"")</f>
        <v>0.00114255625615623</v>
      </c>
      <c r="BP151" s="36">
        <f>IF(AND(ISNUMBER(BP179),ISNUMBER(BP154)),IFERROR(BP179/BP154,""),"")</f>
        <v>0.00445094131195629</v>
      </c>
      <c r="BQ151" s="36">
        <f>IF(AND(ISNUMBER(BQ179),ISNUMBER(BQ154)),IFERROR(BQ179/BQ154,""),"")</f>
        <v>0.00599999501081406</v>
      </c>
      <c r="BR151" s="36">
        <f>IF(AND(ISNUMBER(BR179),ISNUMBER(BR154)),IFERROR(BR179/BR154,""),"")</f>
        <v>0.00831551153538274</v>
      </c>
      <c r="BS151" s="36">
        <f>IF(AND(ISNUMBER(BS179),ISNUMBER(BS154)),IFERROR(BS179/BS154,""),"")</f>
        <v>0.00360530664396012</v>
      </c>
      <c r="BT151" s="36">
        <f>IF(AND(ISNUMBER(BT179),ISNUMBER(BT154)),IFERROR(BT179/BT154,""),"")</f>
        <v>0.00342339574850621</v>
      </c>
      <c r="BU151" s="36">
        <f>IF(AND(ISNUMBER(BU179),ISNUMBER(BU154)),IFERROR(BU179/BU154,""),"")</f>
        <v>0.00411415434104467</v>
      </c>
      <c r="BV151" s="36">
        <f>IF(AND(ISNUMBER(BV179),ISNUMBER(BV154)),IFERROR(BV179/BV154,""),"")</f>
        <v>0.00480698926979263</v>
      </c>
      <c r="BW151" s="36">
        <f>IF(AND(ISNUMBER(BW179),ISNUMBER(BW154)),IFERROR(BW179/BW154,""),"")</f>
        <v>0.00854263380635864</v>
      </c>
      <c r="BX151" s="36">
        <f>IF(AND(ISNUMBER(BX179),ISNUMBER(BX154)),IFERROR(BX179/BX154,""),"")</f>
        <v>0.00399700573027139</v>
      </c>
      <c r="BY151" s="254">
        <f>($BW$179+$BX$179)/($BW$154+$BX$154)</f>
        <v>0.00617445582135213</v>
      </c>
      <c r="BZ151" s="254">
        <f>($BW$179+$BX$179)/($BW$154+$BX$154)</f>
        <v>0.00617445582135213</v>
      </c>
      <c r="CA151" s="254">
        <f>IFERROR(CA179/CA154,"")</f>
        <v>0.00617445582135213</v>
      </c>
      <c r="CB151" s="255" t="n">
        <v>0.006</v>
      </c>
      <c r="CC151" s="255" t="n">
        <v>0.006</v>
      </c>
      <c r="CD151" s="255" t="n">
        <v>0.006</v>
      </c>
      <c r="CE151" s="255" t="n">
        <v>0.006</v>
      </c>
      <c r="CF151" s="19" t="n"/>
    </row>
    <row r="152">
      <c r="CF152" s="19" t="n"/>
    </row>
    <row r="153">
      <c r="B153" s="10" t="inlineStr">
        <is>
          <t>CONSOLIDATED STATEMENT OF INCOME (US GAAP, as reported)</t>
        </is>
      </c>
      <c r="C153" s="10" t="n"/>
      <c r="D153" s="10" t="n"/>
      <c r="E153" s="10" t="n"/>
      <c r="F153" s="10" t="n"/>
      <c r="G153" s="10" t="n"/>
      <c r="H153" s="10" t="n"/>
      <c r="I153" s="10" t="n"/>
      <c r="J153" s="10" t="n"/>
      <c r="K153" s="10" t="n"/>
      <c r="L153" s="10" t="n"/>
      <c r="M153" s="10" t="n"/>
      <c r="N153" s="10" t="n"/>
      <c r="O153" s="10" t="n"/>
      <c r="P153" s="10" t="n"/>
      <c r="Q153" s="10" t="n"/>
      <c r="R153" s="10" t="n"/>
      <c r="S153" s="10" t="n"/>
      <c r="T153" s="10" t="n"/>
      <c r="U153" s="10" t="n"/>
      <c r="V153" s="10" t="n"/>
      <c r="W153" s="10" t="n"/>
      <c r="X153" s="10" t="n"/>
      <c r="Y153" s="10" t="n"/>
      <c r="Z153" s="10" t="n"/>
      <c r="AA153" s="10" t="n"/>
      <c r="AB153" s="10" t="n"/>
      <c r="AC153" s="10" t="n"/>
      <c r="AD153" s="10" t="n"/>
      <c r="AE153" s="10" t="n"/>
      <c r="AF153" s="10" t="n"/>
      <c r="AG153" s="10" t="n"/>
      <c r="AH153" s="10" t="n"/>
      <c r="AI153" s="10" t="n"/>
      <c r="AJ153" s="10" t="n"/>
      <c r="AK153" s="10" t="n"/>
      <c r="AL153" s="10" t="n"/>
      <c r="AM153" s="10" t="n"/>
      <c r="AN153" s="10" t="n"/>
      <c r="AO153" s="10" t="n"/>
      <c r="AP153" s="10" t="n"/>
      <c r="AQ153" s="10" t="n"/>
      <c r="AR153" s="10" t="n"/>
      <c r="AS153" s="10" t="n"/>
      <c r="AT153" s="10" t="n"/>
      <c r="AU153" s="10" t="n"/>
      <c r="AV153" s="10" t="n"/>
      <c r="AW153" s="10" t="n"/>
      <c r="AX153" s="10" t="n"/>
      <c r="AY153" s="10" t="n"/>
      <c r="AZ153" s="10" t="n"/>
      <c r="BA153" s="10" t="n"/>
      <c r="BB153" s="10" t="n"/>
      <c r="BC153" s="10" t="n"/>
      <c r="BD153" s="10" t="n"/>
      <c r="BE153" s="10" t="n"/>
      <c r="BF153" s="10" t="n"/>
      <c r="BG153" s="10" t="n"/>
      <c r="BH153" s="10" t="n"/>
      <c r="BI153" s="10" t="n"/>
      <c r="BJ153" s="10" t="n"/>
      <c r="BK153" s="10" t="n"/>
      <c r="BL153" s="10" t="n"/>
      <c r="BM153" s="10" t="n"/>
      <c r="BN153" s="10" t="n"/>
      <c r="BO153" s="10" t="n"/>
      <c r="BP153" s="10" t="n"/>
      <c r="BQ153" s="10" t="n"/>
      <c r="BR153" s="10" t="n"/>
      <c r="BS153" s="10" t="n"/>
      <c r="BT153" s="10" t="n"/>
      <c r="BU153" s="10" t="n"/>
      <c r="BV153" s="10" t="n"/>
      <c r="BW153" s="10" t="n"/>
      <c r="BX153" s="10" t="n"/>
      <c r="BY153" s="10" t="n"/>
      <c r="BZ153" s="10" t="n"/>
      <c r="CA153" s="10" t="n"/>
      <c r="CB153" s="10" t="n"/>
      <c r="CC153" s="10" t="n"/>
      <c r="CD153" s="10" t="n"/>
      <c r="CE153" s="10" t="n"/>
      <c r="CF153" s="10" t="inlineStr">
        <is>
          <t>CONSOLIDATED IS — forecast logic</t>
        </is>
      </c>
    </row>
    <row r="154">
      <c r="B154" s="55" t="inlineStr">
        <is>
          <t>Net sales</t>
        </is>
      </c>
      <c r="C154" s="58" t="n">
        <v>1971.915</v>
      </c>
      <c r="D154" s="58" t="n">
        <v>2280.784</v>
      </c>
      <c r="E154" s="58" t="n">
        <v>2479.131</v>
      </c>
      <c r="F154" s="58" t="n">
        <v>1729.285</v>
      </c>
      <c r="G154" s="58" t="n">
        <v>2070.172</v>
      </c>
      <c r="H154" s="58" t="n">
        <v>2694.609</v>
      </c>
      <c r="I154" s="58" t="n">
        <v>2853.367</v>
      </c>
      <c r="J154" s="58" t="n">
        <v>718.573</v>
      </c>
      <c r="K154" s="58" t="n">
        <v>727.432</v>
      </c>
      <c r="L154" s="58" t="n">
        <v>691.875</v>
      </c>
      <c r="M154" s="58" t="n">
        <v>714.7910000000001</v>
      </c>
      <c r="N154" s="58" t="n">
        <v>2852.671</v>
      </c>
      <c r="O154" s="58" t="n">
        <v>685.062</v>
      </c>
      <c r="P154" s="58" t="n">
        <v>728.5309999999999</v>
      </c>
      <c r="Q154" s="58" t="n">
        <v>715.777</v>
      </c>
      <c r="R154" s="58" t="n">
        <v>683.954</v>
      </c>
      <c r="S154" s="58" t="n">
        <v>2813.324</v>
      </c>
      <c r="T154" s="58" t="n">
        <v>657.9</v>
      </c>
      <c r="U154" s="58" t="n">
        <v>664.74</v>
      </c>
      <c r="V154" s="58" t="n">
        <v>645.1660000000001</v>
      </c>
      <c r="W154" s="58" t="n">
        <v>567.985</v>
      </c>
      <c r="X154" s="58" t="n">
        <v>2535.791</v>
      </c>
      <c r="Y154" s="58" t="n">
        <v>550.722</v>
      </c>
      <c r="Z154" s="58" t="n">
        <v>592.418</v>
      </c>
      <c r="AA154" s="58" t="n">
        <v>567.646</v>
      </c>
      <c r="AB154" s="58" t="n">
        <v>563.828</v>
      </c>
      <c r="AC154" s="58" t="n">
        <v>2274.614</v>
      </c>
      <c r="AD154" s="58" t="n">
        <v>580.897</v>
      </c>
      <c r="AE154" s="58" t="n">
        <v>626.8579999999999</v>
      </c>
      <c r="AF154" s="58" t="n">
        <v>669.491</v>
      </c>
      <c r="AG154" s="58" t="n">
        <v>747.1849999999999</v>
      </c>
      <c r="AH154" s="58" t="n">
        <v>2624.431</v>
      </c>
      <c r="AI154" s="58" t="n">
        <v>757.696</v>
      </c>
      <c r="AJ154" s="58" t="n">
        <v>790.052</v>
      </c>
      <c r="AK154" s="58" t="n">
        <v>737.099</v>
      </c>
      <c r="AL154" s="58" t="n">
        <v>743.827</v>
      </c>
      <c r="AM154" s="58" t="n">
        <v>3028.674</v>
      </c>
      <c r="AN154" s="58" t="n">
        <v>759.174</v>
      </c>
      <c r="AO154" s="58" t="n">
        <v>777.008</v>
      </c>
      <c r="AP154" s="58" t="n">
        <v>730.783</v>
      </c>
      <c r="AQ154" s="58" t="n">
        <v>736.307</v>
      </c>
      <c r="AR154" s="58" t="n">
        <v>3003.272</v>
      </c>
      <c r="AS154" s="58" t="n">
        <v>701.991</v>
      </c>
      <c r="AT154" s="58" t="n">
        <v>590.727</v>
      </c>
      <c r="AU154" s="58" t="n">
        <v>668.888</v>
      </c>
      <c r="AV154" s="58" t="n">
        <v>693.794</v>
      </c>
      <c r="AW154" s="58" t="n">
        <v>2655.4</v>
      </c>
      <c r="AX154" s="58" t="n">
        <v>757.021</v>
      </c>
      <c r="AY154" s="58" t="n">
        <v>826.454</v>
      </c>
      <c r="AZ154" s="58" t="n">
        <v>806.454</v>
      </c>
      <c r="BA154" s="58" t="n">
        <v>844.251</v>
      </c>
      <c r="BB154" s="58" t="n">
        <v>3234.18</v>
      </c>
      <c r="BC154" s="58" t="n">
        <v>925.448</v>
      </c>
      <c r="BD154" s="58" t="n">
        <v>969.5890000000001</v>
      </c>
      <c r="BE154" s="58" t="n">
        <v>935.24</v>
      </c>
      <c r="BF154" s="58" t="n">
        <v>930.934</v>
      </c>
      <c r="BG154" s="58" t="n">
        <v>3761.211</v>
      </c>
      <c r="BH154" s="58" t="n">
        <v>1039.343</v>
      </c>
      <c r="BI154" s="58" t="n">
        <v>1060.565</v>
      </c>
      <c r="BJ154" s="58" t="n">
        <v>1033.214</v>
      </c>
      <c r="BK154" s="58" t="n">
        <v>1058.514</v>
      </c>
      <c r="BL154" s="58" t="n">
        <v>4191.636</v>
      </c>
      <c r="BM154" s="58" t="n">
        <v>981.197</v>
      </c>
      <c r="BN154" s="58" t="n">
        <v>1021.683</v>
      </c>
      <c r="BO154" s="58" t="n">
        <v>983.759</v>
      </c>
      <c r="BP154" s="58" t="n">
        <v>1022.031</v>
      </c>
      <c r="BQ154" s="58" t="n">
        <v>4008.67</v>
      </c>
      <c r="BR154" s="58" t="n">
        <v>1004.388</v>
      </c>
      <c r="BS154" s="58" t="n">
        <v>1088.673</v>
      </c>
      <c r="BT154" s="58" t="n">
        <v>1061.227</v>
      </c>
      <c r="BU154" s="58" t="n">
        <v>1078.715</v>
      </c>
      <c r="BV154" s="58" t="n">
        <v>4233.003</v>
      </c>
      <c r="BW154" s="58" t="n">
        <v>1121.434</v>
      </c>
      <c r="BX154" s="58" t="n">
        <v>1219.663</v>
      </c>
      <c r="BY154" s="56">
        <f>BY129</f>
        <v>1185.96174693843</v>
      </c>
      <c r="BZ154" s="56">
        <f>BZ129</f>
        <v>1192.73959806157</v>
      </c>
      <c r="CA154" s="56">
        <f>CA129</f>
        <v>4719.798345</v>
      </c>
      <c r="CB154" s="56">
        <f>CB129</f>
        <v>5029.34891587842</v>
      </c>
      <c r="CC154" s="56">
        <f>CC129</f>
        <v>5405.03432443253</v>
      </c>
      <c r="CD154" s="56">
        <f>CD129</f>
        <v>5795.16759415275</v>
      </c>
      <c r="CE154" s="56">
        <f>CE129</f>
        <v>6203.29114713233</v>
      </c>
      <c r="CF154" s="19" t="inlineStr">
        <is>
          <t>Forecast linked to the segment build.</t>
        </is>
      </c>
      <c r="CH154" s="20">
        <f>IFERROR((CE154/BV154)^(1/5)-1,"n/m")</f>
        <v>0.0794305809416627</v>
      </c>
      <c r="CI154" s="20">
        <f>IFERROR((BV154/AW154)^(1/5)-1,"n/m")</f>
        <v>0.0977507059583438</v>
      </c>
      <c r="CJ154" s="20">
        <f>IFERROR((BV154/X154)^(1/10)-1,"n/m")</f>
        <v>0.052576117929604</v>
      </c>
      <c r="CK154" s="20">
        <f>IFERROR((BV154/C154)^(1/19)-1,"n/m")</f>
        <v>0.0410247933774219</v>
      </c>
    </row>
    <row r="155">
      <c r="B155" s="22" t="inlineStr">
        <is>
          <t xml:space="preserve">  Net sales y/y %</t>
        </is>
      </c>
      <c r="C155" s="23" t="n"/>
      <c r="D155" s="23">
        <f>IF(AND(ISNUMBER(D154),ISNUMBER(C154)),IFERROR(D154/C154-1,""),"")</f>
        <v>0.156634033414219</v>
      </c>
      <c r="E155" s="23">
        <f>IF(AND(ISNUMBER(E154),ISNUMBER(D154)),IFERROR(E154/D154-1,""),"")</f>
        <v>0.0869643946993663</v>
      </c>
      <c r="F155" s="23">
        <f>IF(AND(ISNUMBER(F154),ISNUMBER(E154)),IFERROR(F154/E154-1,""),"")</f>
        <v>-0.302463242160257</v>
      </c>
      <c r="G155" s="23">
        <f>IF(AND(ISNUMBER(G154),ISNUMBER(F154)),IFERROR(G154/F154-1,""),"")</f>
        <v>0.197125979812466</v>
      </c>
      <c r="H155" s="23">
        <f>IF(AND(ISNUMBER(H154),ISNUMBER(G154)),IFERROR(H154/G154-1,""),"")</f>
        <v>0.301635323055282</v>
      </c>
      <c r="I155" s="23">
        <f>IF(AND(ISNUMBER(I154),ISNUMBER(H154)),IFERROR(I154/H154-1,""),"")</f>
        <v>0.0589168966629297</v>
      </c>
      <c r="J155" s="23" t="n"/>
      <c r="K155" s="23" t="n"/>
      <c r="L155" s="23" t="n"/>
      <c r="M155" s="23" t="n"/>
      <c r="N155" s="23">
        <f>IF(AND(ISNUMBER(N154),ISNUMBER(I154)),IFERROR(N154/I154-1,""),"")</f>
        <v>-0.000243922355589121</v>
      </c>
      <c r="O155" s="23">
        <f>IF(AND(ISNUMBER(O154),ISNUMBER(J154)),IFERROR(O154/J154-1,""),"")</f>
        <v>-0.0466354844949642</v>
      </c>
      <c r="P155" s="23">
        <f>IF(AND(ISNUMBER(P154),ISNUMBER(K154)),IFERROR(P154/K154-1,""),"")</f>
        <v>0.00151079413608413</v>
      </c>
      <c r="Q155" s="23">
        <f>IF(AND(ISNUMBER(Q154),ISNUMBER(L154)),IFERROR(Q154/L154-1,""),"")</f>
        <v>0.0345467028003614</v>
      </c>
      <c r="R155" s="23">
        <f>IF(AND(ISNUMBER(R154),ISNUMBER(M154)),IFERROR(R154/M154-1,""),"")</f>
        <v>-0.0431412818572143</v>
      </c>
      <c r="S155" s="23">
        <f>IF(AND(ISNUMBER(S154),ISNUMBER(N154)),IFERROR(S154/N154-1,""),"")</f>
        <v>-0.0137930381736975</v>
      </c>
      <c r="T155" s="23">
        <f>IF(AND(ISNUMBER(T154),ISNUMBER(O154)),IFERROR(T154/O154-1,""),"")</f>
        <v>-0.0396489660789827</v>
      </c>
      <c r="U155" s="23">
        <f>IF(AND(ISNUMBER(U154),ISNUMBER(P154)),IFERROR(U154/P154-1,""),"")</f>
        <v>-0.0875611332942592</v>
      </c>
      <c r="V155" s="23">
        <f>IF(AND(ISNUMBER(V154),ISNUMBER(Q154)),IFERROR(V154/Q154-1,""),"")</f>
        <v>-0.0986494396997948</v>
      </c>
      <c r="W155" s="23">
        <f>IF(AND(ISNUMBER(W154),ISNUMBER(R154)),IFERROR(W154/R154-1,""),"")</f>
        <v>-0.169556724575044</v>
      </c>
      <c r="X155" s="23">
        <f>IF(AND(ISNUMBER(X154),ISNUMBER(S154)),IFERROR(X154/S154-1,""),"")</f>
        <v>-0.0986494978893294</v>
      </c>
      <c r="Y155" s="23">
        <f>IF(AND(ISNUMBER(Y154),ISNUMBER(T154)),IFERROR(Y154/T154-1,""),"")</f>
        <v>-0.162909256725946</v>
      </c>
      <c r="Z155" s="23">
        <f>IF(AND(ISNUMBER(Z154),ISNUMBER(U154)),IFERROR(Z154/U154-1,""),"")</f>
        <v>-0.10879742455697</v>
      </c>
      <c r="AA155" s="23">
        <f>IF(AND(ISNUMBER(AA154),ISNUMBER(V154)),IFERROR(AA154/V154-1,""),"")</f>
        <v>-0.120155122867603</v>
      </c>
      <c r="AB155" s="23">
        <f>IF(AND(ISNUMBER(AB154),ISNUMBER(W154)),IFERROR(AB154/W154-1,""),"")</f>
        <v>-0.00731885525145914</v>
      </c>
      <c r="AC155" s="23">
        <f>IF(AND(ISNUMBER(AC154),ISNUMBER(X154)),IFERROR(AC154/X154-1,""),"")</f>
        <v>-0.102996264282033</v>
      </c>
      <c r="AD155" s="23">
        <f>IF(AND(ISNUMBER(AD154),ISNUMBER(Y154)),IFERROR(AD154/Y154-1,""),"")</f>
        <v>0.0547917097918733</v>
      </c>
      <c r="AE155" s="23">
        <f>IF(AND(ISNUMBER(AE154),ISNUMBER(Z154)),IFERROR(AE154/Z154-1,""),"")</f>
        <v>0.0581346279147492</v>
      </c>
      <c r="AF155" s="23">
        <f>IF(AND(ISNUMBER(AF154),ISNUMBER(AA154)),IFERROR(AF154/AA154-1,""),"")</f>
        <v>0.179416396838875</v>
      </c>
      <c r="AG155" s="23">
        <f>IF(AND(ISNUMBER(AG154),ISNUMBER(AB154)),IFERROR(AG154/AB154-1,""),"")</f>
        <v>0.325200238370567</v>
      </c>
      <c r="AH155" s="23">
        <f>IF(AND(ISNUMBER(AH154),ISNUMBER(AC154)),IFERROR(AH154/AC154-1,""),"")</f>
        <v>0.153791808192511</v>
      </c>
      <c r="AI155" s="23">
        <f>IF(AND(ISNUMBER(AI154),ISNUMBER(AD154)),IFERROR(AI154/AD154-1,""),"")</f>
        <v>0.304355161069863</v>
      </c>
      <c r="AJ155" s="23">
        <f>IF(AND(ISNUMBER(AJ154),ISNUMBER(AE154)),IFERROR(AJ154/AE154-1,""),"")</f>
        <v>0.260336471736821</v>
      </c>
      <c r="AK155" s="23">
        <f>IF(AND(ISNUMBER(AK154),ISNUMBER(AF154)),IFERROR(AK154/AF154-1,""),"")</f>
        <v>0.10098418051923</v>
      </c>
      <c r="AL155" s="23">
        <f>IF(AND(ISNUMBER(AL154),ISNUMBER(AG154)),IFERROR(AL154/AG154-1,""),"")</f>
        <v>-0.00449420156989222</v>
      </c>
      <c r="AM155" s="23">
        <f>IF(AND(ISNUMBER(AM154),ISNUMBER(AH154)),IFERROR(AM154/AH154-1,""),"")</f>
        <v>0.15403072132588</v>
      </c>
      <c r="AN155" s="23">
        <f>IF(AND(ISNUMBER(AN154),ISNUMBER(AI154)),IFERROR(AN154/AI154-1,""),"")</f>
        <v>0.00195065039276954</v>
      </c>
      <c r="AO155" s="23">
        <f>IF(AND(ISNUMBER(AO154),ISNUMBER(AJ154)),IFERROR(AO154/AJ154-1,""),"")</f>
        <v>-0.0165103056507673</v>
      </c>
      <c r="AP155" s="23">
        <f>IF(AND(ISNUMBER(AP154),ISNUMBER(AK154)),IFERROR(AP154/AK154-1,""),"")</f>
        <v>-0.00856872686029964</v>
      </c>
      <c r="AQ155" s="23">
        <f>IF(AND(ISNUMBER(AQ154),ISNUMBER(AL154)),IFERROR(AQ154/AL154-1,""),"")</f>
        <v>-0.0101098777000566</v>
      </c>
      <c r="AR155" s="23">
        <f>IF(AND(ISNUMBER(AR154),ISNUMBER(AM154)),IFERROR(AR154/AM154-1,""),"")</f>
        <v>-0.00838716877418966</v>
      </c>
      <c r="AS155" s="23">
        <f>IF(AND(ISNUMBER(AS154),ISNUMBER(AN154)),IFERROR(AS154/AN154-1,""),"")</f>
        <v>-0.0753226533047759</v>
      </c>
      <c r="AT155" s="23">
        <f>IF(AND(ISNUMBER(AT154),ISNUMBER(AO154)),IFERROR(AT154/AO154-1,""),"")</f>
        <v>-0.239741418363775</v>
      </c>
      <c r="AU155" s="23">
        <f>IF(AND(ISNUMBER(AU154),ISNUMBER(AP154)),IFERROR(AU154/AP154-1,""),"")</f>
        <v>-0.084696825186136</v>
      </c>
      <c r="AV155" s="23">
        <f>IF(AND(ISNUMBER(AV154),ISNUMBER(AQ154)),IFERROR(AV154/AQ154-1,""),"")</f>
        <v>-0.057738144551118</v>
      </c>
      <c r="AW155" s="23">
        <f>IF(AND(ISNUMBER(AW154),ISNUMBER(AR154)),IFERROR(AW154/AR154-1,""),"")</f>
        <v>-0.115831000322315</v>
      </c>
      <c r="AX155" s="23">
        <f>IF(AND(ISNUMBER(AX154),ISNUMBER(AS154)),IFERROR(AX154/AS154-1,""),"")</f>
        <v>0.078391318407216</v>
      </c>
      <c r="AY155" s="23">
        <f>IF(AND(ISNUMBER(AY154),ISNUMBER(AT154)),IFERROR(AY154/AT154-1,""),"")</f>
        <v>0.399045582815751</v>
      </c>
      <c r="AZ155" s="23">
        <f>IF(AND(ISNUMBER(AZ154),ISNUMBER(AU154)),IFERROR(AZ154/AU154-1,""),"")</f>
        <v>0.205663728456782</v>
      </c>
      <c r="BA155" s="23">
        <f>IF(AND(ISNUMBER(BA154),ISNUMBER(AV154)),IFERROR(BA154/AV154-1,""),"")</f>
        <v>0.216861200875188</v>
      </c>
      <c r="BB155" s="23">
        <f>IF(AND(ISNUMBER(BB154),ISNUMBER(AW154)),IFERROR(BB154/AW154-1,""),"")</f>
        <v>0.217963395345334</v>
      </c>
      <c r="BC155" s="23">
        <f>IF(AND(ISNUMBER(BC154),ISNUMBER(AX154)),IFERROR(BC154/AX154-1,""),"")</f>
        <v>0.222486562459958</v>
      </c>
      <c r="BD155" s="23">
        <f>IF(AND(ISNUMBER(BD154),ISNUMBER(AY154)),IFERROR(BD154/AY154-1,""),"")</f>
        <v>0.17319173238922</v>
      </c>
      <c r="BE155" s="23">
        <f>IF(AND(ISNUMBER(BE154),ISNUMBER(AZ154)),IFERROR(BE154/AZ154-1,""),"")</f>
        <v>0.159694167305265</v>
      </c>
      <c r="BF155" s="23">
        <f>IF(AND(ISNUMBER(BF154),ISNUMBER(BA154)),IFERROR(BF154/BA154-1,""),"")</f>
        <v>0.102674441605636</v>
      </c>
      <c r="BG155" s="23">
        <f>IF(AND(ISNUMBER(BG154),ISNUMBER(BB154)),IFERROR(BG154/BB154-1,""),"")</f>
        <v>0.162956607238929</v>
      </c>
      <c r="BH155" s="23">
        <f>IF(AND(ISNUMBER(BH154),ISNUMBER(BC154)),IFERROR(BH154/BC154-1,""),"")</f>
        <v>0.123070123875139</v>
      </c>
      <c r="BI155" s="23">
        <f>IF(AND(ISNUMBER(BI154),ISNUMBER(BD154)),IFERROR(BI154/BD154-1,""),"")</f>
        <v>0.0938294473225254</v>
      </c>
      <c r="BJ155" s="23">
        <f>IF(AND(ISNUMBER(BJ154),ISNUMBER(BE154)),IFERROR(BJ154/BE154-1,""),"")</f>
        <v>0.104758136948804</v>
      </c>
      <c r="BK155" s="23">
        <f>IF(AND(ISNUMBER(BK154),ISNUMBER(BF154)),IFERROR(BK154/BF154-1,""),"")</f>
        <v>0.137045161096275</v>
      </c>
      <c r="BL155" s="23">
        <f>IF(AND(ISNUMBER(BL154),ISNUMBER(BG154)),IFERROR(BL154/BG154-1,""),"")</f>
        <v>0.114437876524343</v>
      </c>
      <c r="BM155" s="23">
        <f>IF(AND(ISNUMBER(BM154),ISNUMBER(BH154)),IFERROR(BM154/BH154-1,""),"")</f>
        <v>-0.0559449575356741</v>
      </c>
      <c r="BN155" s="23">
        <f>IF(AND(ISNUMBER(BN154),ISNUMBER(BI154)),IFERROR(BN154/BI154-1,""),"")</f>
        <v>-0.0366615907558707</v>
      </c>
      <c r="BO155" s="23">
        <f>IF(AND(ISNUMBER(BO154),ISNUMBER(BJ154)),IFERROR(BO154/BJ154-1,""),"")</f>
        <v>-0.0478652050785219</v>
      </c>
      <c r="BP155" s="23">
        <f>IF(AND(ISNUMBER(BP154),ISNUMBER(BK154)),IFERROR(BP154/BK154-1,""),"")</f>
        <v>-0.0344662422981651</v>
      </c>
      <c r="BQ155" s="23">
        <f>IF(AND(ISNUMBER(BQ154),ISNUMBER(BL154)),IFERROR(BQ154/BL154-1,""),"")</f>
        <v>-0.0436502597076656</v>
      </c>
      <c r="BR155" s="23">
        <f>IF(AND(ISNUMBER(BR154),ISNUMBER(BM154)),IFERROR(BR154/BM154-1,""),"")</f>
        <v>0.0236354167409807</v>
      </c>
      <c r="BS155" s="23">
        <f>IF(AND(ISNUMBER(BS154),ISNUMBER(BN154)),IFERROR(BS154/BN154-1,""),"")</f>
        <v>0.065568282921415</v>
      </c>
      <c r="BT155" s="23">
        <f>IF(AND(ISNUMBER(BT154),ISNUMBER(BO154)),IFERROR(BT154/BO154-1,""),"")</f>
        <v>0.078746928871807</v>
      </c>
      <c r="BU155" s="23">
        <f>IF(AND(ISNUMBER(BU154),ISNUMBER(BP154)),IFERROR(BU154/BP154-1,""),"")</f>
        <v>0.0554621141628777</v>
      </c>
      <c r="BV155" s="23">
        <f>IF(AND(ISNUMBER(BV154),ISNUMBER(BQ154)),IFERROR(BV154/BQ154-1,""),"")</f>
        <v>0.0559619524680255</v>
      </c>
      <c r="BW155" s="23">
        <f>IF(AND(ISNUMBER(BW154),ISNUMBER(BR154)),IFERROR(BW154/BR154-1,""),"")</f>
        <v>0.116534645973468</v>
      </c>
      <c r="BX155" s="23">
        <f>IF(AND(ISNUMBER(BX154),ISNUMBER(BS154)),IFERROR(BX154/BS154-1,""),"")</f>
        <v>0.120320794214608</v>
      </c>
      <c r="BY155" s="254">
        <f>IFERROR(BY154/BT154-1,"")</f>
        <v>0.117538233515006</v>
      </c>
      <c r="BZ155" s="254">
        <f>IFERROR(BZ154/BU154-1,"")</f>
        <v>0.10570409984247</v>
      </c>
      <c r="CA155" s="254">
        <f>IFERROR(CA154/BV154-1,"")</f>
        <v>0.115</v>
      </c>
      <c r="CB155" s="254">
        <f>IFERROR(CB154/CA154-1,"")</f>
        <v>0.0655855501128235</v>
      </c>
      <c r="CC155" s="254">
        <f>IFERROR(CC154/CB154-1,"")</f>
        <v>0.0746986170253599</v>
      </c>
      <c r="CD155" s="254">
        <f>IFERROR(CD154/CC154-1,"")</f>
        <v>0.0721796100270251</v>
      </c>
      <c r="CE155" s="254">
        <f>IFERROR(CE154/CD154-1,"")</f>
        <v>0.0704248059005868</v>
      </c>
      <c r="CF155" s="19" t="n"/>
    </row>
    <row r="156">
      <c r="B156" s="25" t="inlineStr">
        <is>
          <t>Cost of goods sold</t>
        </is>
      </c>
      <c r="C156" s="34" t="n">
        <v>1419.638</v>
      </c>
      <c r="D156" s="34" t="n">
        <v>1633.218</v>
      </c>
      <c r="E156" s="34" t="n">
        <v>1758.98</v>
      </c>
      <c r="F156" s="34" t="n">
        <v>1273.017</v>
      </c>
      <c r="G156" s="34" t="n">
        <v>1506.353</v>
      </c>
      <c r="H156" s="34" t="n">
        <v>1957.872</v>
      </c>
      <c r="I156" s="34" t="n">
        <v>1986.711</v>
      </c>
      <c r="J156" s="34" t="n">
        <v>492.001</v>
      </c>
      <c r="K156" s="34" t="n">
        <v>487.094</v>
      </c>
      <c r="L156" s="34" t="n">
        <v>459.178</v>
      </c>
      <c r="M156" s="34" t="n">
        <v>471.744</v>
      </c>
      <c r="N156" s="34" t="n">
        <v>1910.017</v>
      </c>
      <c r="O156" s="34" t="n">
        <v>458.726</v>
      </c>
      <c r="P156" s="34" t="n">
        <v>478.264</v>
      </c>
      <c r="Q156" s="34" t="n">
        <v>474.168</v>
      </c>
      <c r="R156" s="34" t="n">
        <v>452.869</v>
      </c>
      <c r="S156" s="34" t="n">
        <v>1864.027</v>
      </c>
      <c r="T156" s="34" t="n">
        <v>437.51</v>
      </c>
      <c r="U156" s="34" t="n">
        <v>438.959</v>
      </c>
      <c r="V156" s="34" t="n">
        <v>446.272</v>
      </c>
      <c r="W156" s="34" t="n">
        <v>371.906</v>
      </c>
      <c r="X156" s="34" t="n">
        <v>1694.647</v>
      </c>
      <c r="Y156" s="34" t="n">
        <v>361.62</v>
      </c>
      <c r="Z156" s="34" t="n">
        <v>389.491</v>
      </c>
      <c r="AA156" s="34" t="n">
        <v>367.834</v>
      </c>
      <c r="AB156" s="34" t="n">
        <v>366.371</v>
      </c>
      <c r="AC156" s="34" t="n">
        <v>1485.316</v>
      </c>
      <c r="AD156" s="34" t="n">
        <v>377.041</v>
      </c>
      <c r="AE156" s="34" t="n">
        <v>409.37</v>
      </c>
      <c r="AF156" s="34" t="n">
        <v>449.975</v>
      </c>
      <c r="AG156" s="34" t="n">
        <v>507.719</v>
      </c>
      <c r="AH156" s="34" t="n">
        <v>1744.105</v>
      </c>
      <c r="AI156" s="34" t="n">
        <v>501.142</v>
      </c>
      <c r="AJ156" s="34" t="n">
        <v>519.936</v>
      </c>
      <c r="AK156" s="34" t="n">
        <v>485.547</v>
      </c>
      <c r="AL156" s="34" t="n">
        <v>493.528</v>
      </c>
      <c r="AM156" s="34" t="n">
        <v>2000.153</v>
      </c>
      <c r="AN156" s="34" t="n">
        <v>500.753</v>
      </c>
      <c r="AO156" s="34" t="n">
        <v>507.127</v>
      </c>
      <c r="AP156" s="34" t="n">
        <v>492.432</v>
      </c>
      <c r="AQ156" s="34" t="n">
        <v>495.373</v>
      </c>
      <c r="AR156" s="34" t="n">
        <v>1995.685</v>
      </c>
      <c r="AS156" s="34" t="n">
        <v>464.669</v>
      </c>
      <c r="AT156" s="34" t="n">
        <v>401.349</v>
      </c>
      <c r="AU156" s="34" t="n">
        <v>453.501</v>
      </c>
      <c r="AV156" s="34" t="n">
        <v>464.54</v>
      </c>
      <c r="AW156" s="34" t="n">
        <v>1784.059</v>
      </c>
      <c r="AX156" s="34" t="n">
        <v>503.254</v>
      </c>
      <c r="AY156" s="34" t="n">
        <v>552.4450000000001</v>
      </c>
      <c r="AZ156" s="34" t="n">
        <v>538.282</v>
      </c>
      <c r="BA156" s="34" t="n">
        <v>571.5940000000001</v>
      </c>
      <c r="BB156" s="34" t="n">
        <v>2165.575</v>
      </c>
      <c r="BC156" s="34" t="n">
        <v>595.671</v>
      </c>
      <c r="BD156" s="34" t="n">
        <v>636.1079999999999</v>
      </c>
      <c r="BE156" s="34" t="n">
        <v>625.722</v>
      </c>
      <c r="BF156" s="34" t="n">
        <v>622.95</v>
      </c>
      <c r="BG156" s="34" t="n">
        <v>2480.451</v>
      </c>
      <c r="BH156" s="34" t="n">
        <v>683.986</v>
      </c>
      <c r="BI156" s="34" t="n">
        <v>687.1369999999999</v>
      </c>
      <c r="BJ156" s="34" t="n">
        <v>667.5839999999999</v>
      </c>
      <c r="BK156" s="34" t="n">
        <v>687.484</v>
      </c>
      <c r="BL156" s="34" t="n">
        <v>2726.191</v>
      </c>
      <c r="BM156" s="34" t="n">
        <v>612.798</v>
      </c>
      <c r="BN156" s="34" t="n">
        <v>637.87</v>
      </c>
      <c r="BO156" s="34" t="n">
        <v>631.681</v>
      </c>
      <c r="BP156" s="34" t="n">
        <v>653.409</v>
      </c>
      <c r="BQ156" s="34" t="n">
        <v>2535.758</v>
      </c>
      <c r="BR156" s="34" t="n">
        <v>638.9400000000001</v>
      </c>
      <c r="BS156" s="34" t="n">
        <v>683.126</v>
      </c>
      <c r="BT156" s="34" t="n">
        <v>671.9160000000001</v>
      </c>
      <c r="BU156" s="34" t="n">
        <v>704.769</v>
      </c>
      <c r="BV156" s="34" t="n">
        <v>2698.751</v>
      </c>
      <c r="BW156" s="34" t="n">
        <v>722.302</v>
      </c>
      <c r="BX156" s="34" t="n">
        <v>770.667</v>
      </c>
      <c r="BY156" s="257">
        <f>BY154-BY157</f>
        <v>750.547888722761</v>
      </c>
      <c r="BZ156" s="257">
        <f>BZ154-BZ157</f>
        <v>777.001883765088</v>
      </c>
      <c r="CA156" s="257">
        <f>CA154-CA157</f>
        <v>3020.51877248785</v>
      </c>
      <c r="CB156" s="257">
        <f>CB154-CB157</f>
        <v>3165.26033970594</v>
      </c>
      <c r="CC156" s="257">
        <f>CC154-CC157</f>
        <v>3374.64903254711</v>
      </c>
      <c r="CD156" s="257">
        <f>CD154-CD157</f>
        <v>3594.34683796301</v>
      </c>
      <c r="CE156" s="257">
        <f>CE154-CE157</f>
        <v>3824.05028447201</v>
      </c>
      <c r="CF156" s="19" t="inlineStr">
        <is>
          <t>Forecast = net sales − gross profit.</t>
        </is>
      </c>
    </row>
    <row r="157">
      <c r="B157" s="16" t="inlineStr">
        <is>
          <t>Gross profit</t>
        </is>
      </c>
      <c r="C157" s="43">
        <f>C154-C156</f>
        <v>552.277</v>
      </c>
      <c r="D157" s="43">
        <f>D154-D156</f>
        <v>647.566</v>
      </c>
      <c r="E157" s="43">
        <f>E154-E156</f>
        <v>720.151</v>
      </c>
      <c r="F157" s="43">
        <f>F154-F156</f>
        <v>456.268</v>
      </c>
      <c r="G157" s="43">
        <f>G154-G156</f>
        <v>563.819</v>
      </c>
      <c r="H157" s="43">
        <f>H154-H156</f>
        <v>736.737</v>
      </c>
      <c r="I157" s="43">
        <f>I154-I156</f>
        <v>866.656</v>
      </c>
      <c r="J157" s="43">
        <f>J154-J156</f>
        <v>226.572</v>
      </c>
      <c r="K157" s="43">
        <f>K154-K156</f>
        <v>240.338</v>
      </c>
      <c r="L157" s="43">
        <f>L154-L156</f>
        <v>232.697</v>
      </c>
      <c r="M157" s="43">
        <f>M154-M156</f>
        <v>243.047</v>
      </c>
      <c r="N157" s="43">
        <f>N154-N156</f>
        <v>942.654</v>
      </c>
      <c r="O157" s="43">
        <f>O154-O156</f>
        <v>226.336</v>
      </c>
      <c r="P157" s="43">
        <f>P154-P156</f>
        <v>250.267</v>
      </c>
      <c r="Q157" s="43">
        <f>Q154-Q156</f>
        <v>241.609</v>
      </c>
      <c r="R157" s="43">
        <f>R154-R156</f>
        <v>231.085</v>
      </c>
      <c r="S157" s="43">
        <f>S154-S156</f>
        <v>949.297</v>
      </c>
      <c r="T157" s="43">
        <f>T154-T156</f>
        <v>220.39</v>
      </c>
      <c r="U157" s="43">
        <f>U154-U156</f>
        <v>225.781</v>
      </c>
      <c r="V157" s="43">
        <f>V154-V156</f>
        <v>198.894</v>
      </c>
      <c r="W157" s="43">
        <f>W154-W156</f>
        <v>196.079</v>
      </c>
      <c r="X157" s="43">
        <f>X154-X156</f>
        <v>841.144</v>
      </c>
      <c r="Y157" s="43">
        <f>Y154-Y156</f>
        <v>189.102</v>
      </c>
      <c r="Z157" s="43">
        <f>Z154-Z156</f>
        <v>202.927</v>
      </c>
      <c r="AA157" s="43">
        <f>AA154-AA156</f>
        <v>199.812</v>
      </c>
      <c r="AB157" s="43">
        <f>AB154-AB156</f>
        <v>197.457</v>
      </c>
      <c r="AC157" s="43">
        <f>AC154-AC156</f>
        <v>789.298</v>
      </c>
      <c r="AD157" s="43">
        <f>AD154-AD156</f>
        <v>203.856</v>
      </c>
      <c r="AE157" s="43">
        <f>AE154-AE156</f>
        <v>217.488</v>
      </c>
      <c r="AF157" s="43">
        <f>AF154-AF156</f>
        <v>219.516</v>
      </c>
      <c r="AG157" s="43">
        <f>AG154-AG156</f>
        <v>239.466</v>
      </c>
      <c r="AH157" s="43">
        <f>AH154-AH156</f>
        <v>880.326</v>
      </c>
      <c r="AI157" s="43">
        <f>AI154-AI156</f>
        <v>256.554</v>
      </c>
      <c r="AJ157" s="43">
        <f>AJ154-AJ156</f>
        <v>270.116</v>
      </c>
      <c r="AK157" s="43">
        <f>AK154-AK156</f>
        <v>251.552</v>
      </c>
      <c r="AL157" s="43">
        <f>AL154-AL156</f>
        <v>250.299</v>
      </c>
      <c r="AM157" s="43">
        <f>AM154-AM156</f>
        <v>1028.521</v>
      </c>
      <c r="AN157" s="43">
        <f>AN154-AN156</f>
        <v>258.421</v>
      </c>
      <c r="AO157" s="43">
        <f>AO154-AO156</f>
        <v>269.881</v>
      </c>
      <c r="AP157" s="43">
        <f>AP154-AP156</f>
        <v>238.351</v>
      </c>
      <c r="AQ157" s="43">
        <f>AQ154-AQ156</f>
        <v>240.934</v>
      </c>
      <c r="AR157" s="43">
        <f>AR154-AR156</f>
        <v>1007.587</v>
      </c>
      <c r="AS157" s="43">
        <f>AS154-AS156</f>
        <v>237.322</v>
      </c>
      <c r="AT157" s="43">
        <f>AT154-AT156</f>
        <v>189.378</v>
      </c>
      <c r="AU157" s="43">
        <f>AU154-AU156</f>
        <v>215.387</v>
      </c>
      <c r="AV157" s="43">
        <f>AV154-AV156</f>
        <v>229.254</v>
      </c>
      <c r="AW157" s="43">
        <f>AW154-AW156</f>
        <v>871.341</v>
      </c>
      <c r="AX157" s="43">
        <f>AX154-AX156</f>
        <v>253.767</v>
      </c>
      <c r="AY157" s="43">
        <f>AY154-AY156</f>
        <v>274.009</v>
      </c>
      <c r="AZ157" s="43">
        <f>AZ154-AZ156</f>
        <v>268.172</v>
      </c>
      <c r="BA157" s="43">
        <f>BA154-BA156</f>
        <v>272.657</v>
      </c>
      <c r="BB157" s="43">
        <f>BB154-BB156</f>
        <v>1068.605</v>
      </c>
      <c r="BC157" s="43">
        <f>BC154-BC156</f>
        <v>329.777</v>
      </c>
      <c r="BD157" s="43">
        <f>BD154-BD156</f>
        <v>333.481</v>
      </c>
      <c r="BE157" s="43">
        <f>BE154-BE156</f>
        <v>309.518</v>
      </c>
      <c r="BF157" s="43">
        <f>BF154-BF156</f>
        <v>307.984</v>
      </c>
      <c r="BG157" s="43">
        <f>BG154-BG156</f>
        <v>1280.76</v>
      </c>
      <c r="BH157" s="43">
        <f>BH154-BH156</f>
        <v>355.357</v>
      </c>
      <c r="BI157" s="43">
        <f>BI154-BI156</f>
        <v>373.428</v>
      </c>
      <c r="BJ157" s="43">
        <f>BJ154-BJ156</f>
        <v>365.63</v>
      </c>
      <c r="BK157" s="43">
        <f>BK154-BK156</f>
        <v>371.03</v>
      </c>
      <c r="BL157" s="43">
        <f>BL154-BL156</f>
        <v>1465.445</v>
      </c>
      <c r="BM157" s="43">
        <f>BM154-BM156</f>
        <v>368.399</v>
      </c>
      <c r="BN157" s="43">
        <f>BN154-BN156</f>
        <v>383.813</v>
      </c>
      <c r="BO157" s="43">
        <f>BO154-BO156</f>
        <v>352.078</v>
      </c>
      <c r="BP157" s="43">
        <f>BP154-BP156</f>
        <v>368.622</v>
      </c>
      <c r="BQ157" s="43">
        <f>BQ154-BQ156</f>
        <v>1472.912</v>
      </c>
      <c r="BR157" s="43">
        <f>BR154-BR156</f>
        <v>365.448</v>
      </c>
      <c r="BS157" s="43">
        <f>BS154-BS156</f>
        <v>405.547</v>
      </c>
      <c r="BT157" s="43">
        <f>BT154-BT156</f>
        <v>389.311</v>
      </c>
      <c r="BU157" s="43">
        <f>BU154-BU156</f>
        <v>373.946</v>
      </c>
      <c r="BV157" s="43">
        <f>BV154-BV156</f>
        <v>1534.252</v>
      </c>
      <c r="BW157" s="43">
        <f>BW154-BW156</f>
        <v>399.132</v>
      </c>
      <c r="BX157" s="43">
        <f>BX154-BX156</f>
        <v>448.996</v>
      </c>
      <c r="BY157" s="253">
        <f>BY162+BY159+BY160+BY161</f>
        <v>435.413858215669</v>
      </c>
      <c r="BZ157" s="253">
        <f>BZ162+BZ159+BZ160+BZ161</f>
        <v>415.737714296482</v>
      </c>
      <c r="CA157" s="253">
        <f>CA162+CA159+CA160+CA161</f>
        <v>1699.27957251215</v>
      </c>
      <c r="CB157" s="253">
        <f>CB162+CB159+CB160+CB161</f>
        <v>1864.08857617248</v>
      </c>
      <c r="CC157" s="253">
        <f>CC162+CC159+CC160+CC161</f>
        <v>2030.38529188542</v>
      </c>
      <c r="CD157" s="253">
        <f>CD162+CD159+CD160+CD161</f>
        <v>2200.82075618974</v>
      </c>
      <c r="CE157" s="253">
        <f>CE162+CE159+CE160+CE161</f>
        <v>2379.24086266033</v>
      </c>
      <c r="CF157" s="19" t="inlineStr">
        <is>
          <t>Forecast = operating income + SG&amp;A + rationalization + other operating items (backed out of the adjusted EBIT build).</t>
        </is>
      </c>
      <c r="CH157" s="20">
        <f>IFERROR((CE157/BV157)^(1/5)-1,"n/m")</f>
        <v>0.0917126494176028</v>
      </c>
      <c r="CI157" s="20">
        <f>IFERROR((BV157/AW157)^(1/5)-1,"n/m")</f>
        <v>0.119803214036751</v>
      </c>
      <c r="CJ157" s="20">
        <f>IFERROR((BV157/X157)^(1/10)-1,"n/m")</f>
        <v>0.0619464921160113</v>
      </c>
      <c r="CK157" s="20">
        <f>IFERROR((BV157/C157)^(1/19)-1,"n/m")</f>
        <v>0.0552484507220736</v>
      </c>
    </row>
    <row r="158">
      <c r="B158" s="25" t="inlineStr">
        <is>
          <t xml:space="preserve">  Gross margin %</t>
        </is>
      </c>
      <c r="C158" s="36">
        <f>IF(AND(ISNUMBER(C157),ISNUMBER(C154)),IFERROR(C157/C154,""),"")</f>
        <v>0.280071402672022</v>
      </c>
      <c r="D158" s="36">
        <f>IF(AND(ISNUMBER(D157),ISNUMBER(D154)),IFERROR(D157/D154,""),"")</f>
        <v>0.283922545931574</v>
      </c>
      <c r="E158" s="36">
        <f>IF(AND(ISNUMBER(E157),ISNUMBER(E154)),IFERROR(E157/E154,""),"")</f>
        <v>0.290485254712236</v>
      </c>
      <c r="F158" s="36">
        <f>IF(AND(ISNUMBER(F157),ISNUMBER(F154)),IFERROR(F157/F154,""),"")</f>
        <v>0.263847775236586</v>
      </c>
      <c r="G158" s="36">
        <f>IF(AND(ISNUMBER(G157),ISNUMBER(G154)),IFERROR(G157/G154,""),"")</f>
        <v>0.272353698146821</v>
      </c>
      <c r="H158" s="36">
        <f>IF(AND(ISNUMBER(H157),ISNUMBER(H154)),IFERROR(H157/H154,""),"")</f>
        <v>0.273411467118235</v>
      </c>
      <c r="I158" s="36">
        <f>IF(AND(ISNUMBER(I157),ISNUMBER(I154)),IFERROR(I157/I154,""),"")</f>
        <v>0.303730995697364</v>
      </c>
      <c r="J158" s="36">
        <f>IF(AND(ISNUMBER(J157),ISNUMBER(J154)),IFERROR(J157/J154,""),"")</f>
        <v>0.315308256781148</v>
      </c>
      <c r="K158" s="36">
        <f>IF(AND(ISNUMBER(K157),ISNUMBER(K154)),IFERROR(K157/K154,""),"")</f>
        <v>0.3303923940657</v>
      </c>
      <c r="L158" s="36">
        <f>IF(AND(ISNUMBER(L157),ISNUMBER(L154)),IFERROR(L157/L154,""),"")</f>
        <v>0.336328093947606</v>
      </c>
      <c r="M158" s="36">
        <f>IF(AND(ISNUMBER(M157),ISNUMBER(M154)),IFERROR(M157/M154,""),"")</f>
        <v>0.340025266126742</v>
      </c>
      <c r="N158" s="36">
        <f>IF(AND(ISNUMBER(N157),ISNUMBER(N154)),IFERROR(N157/N154,""),"")</f>
        <v>0.33044609770983</v>
      </c>
      <c r="O158" s="36">
        <f>IF(AND(ISNUMBER(O157),ISNUMBER(O154)),IFERROR(O157/O154,""),"")</f>
        <v>0.330387614551676</v>
      </c>
      <c r="P158" s="36">
        <f>IF(AND(ISNUMBER(P157),ISNUMBER(P154)),IFERROR(P157/P154,""),"")</f>
        <v>0.343522787637039</v>
      </c>
      <c r="Q158" s="36">
        <f>IF(AND(ISNUMBER(Q157),ISNUMBER(Q154)),IFERROR(Q157/Q154,""),"")</f>
        <v>0.337547867562104</v>
      </c>
      <c r="R158" s="36">
        <f>IF(AND(ISNUMBER(R157),ISNUMBER(R154)),IFERROR(R157/R154,""),"")</f>
        <v>0.337866289253371</v>
      </c>
      <c r="S158" s="36">
        <f>IF(AND(ISNUMBER(S157),ISNUMBER(S154)),IFERROR(S157/S154,""),"")</f>
        <v>0.337428963034475</v>
      </c>
      <c r="T158" s="36">
        <f>IF(AND(ISNUMBER(T157),ISNUMBER(T154)),IFERROR(T157/T154,""),"")</f>
        <v>0.334990120079039</v>
      </c>
      <c r="U158" s="36">
        <f>IF(AND(ISNUMBER(U157),ISNUMBER(U154)),IFERROR(U157/U154,""),"")</f>
        <v>0.339653097451635</v>
      </c>
      <c r="V158" s="36">
        <f>IF(AND(ISNUMBER(V157),ISNUMBER(V154)),IFERROR(V157/V154,""),"")</f>
        <v>0.308283449530819</v>
      </c>
      <c r="W158" s="36">
        <f>IF(AND(ISNUMBER(W157),ISNUMBER(W154)),IFERROR(W157/W154,""),"")</f>
        <v>0.345218623731261</v>
      </c>
      <c r="X158" s="36">
        <f>IF(AND(ISNUMBER(X157),ISNUMBER(X154)),IFERROR(X157/X154,""),"")</f>
        <v>0.331708725206454</v>
      </c>
      <c r="Y158" s="36">
        <f>IF(AND(ISNUMBER(Y157),ISNUMBER(Y154)),IFERROR(Y157/Y154,""),"")</f>
        <v>0.343371065619314</v>
      </c>
      <c r="Z158" s="36">
        <f>IF(AND(ISNUMBER(Z157),ISNUMBER(Z154)),IFERROR(Z157/Z154,""),"")</f>
        <v>0.34254023341627</v>
      </c>
      <c r="AA158" s="36">
        <f>IF(AND(ISNUMBER(AA157),ISNUMBER(AA154)),IFERROR(AA157/AA154,""),"")</f>
        <v>0.352001071090081</v>
      </c>
      <c r="AB158" s="36">
        <f>IF(AND(ISNUMBER(AB157),ISNUMBER(AB154)),IFERROR(AB157/AB154,""),"")</f>
        <v>0.350207864809836</v>
      </c>
      <c r="AC158" s="36">
        <f>IF(AND(ISNUMBER(AC157),ISNUMBER(AC154)),IFERROR(AC157/AC154,""),"")</f>
        <v>0.347003051946396</v>
      </c>
      <c r="AD158" s="36">
        <f>IF(AND(ISNUMBER(AD157),ISNUMBER(AD154)),IFERROR(AD157/AD154,""),"")</f>
        <v>0.350933125838143</v>
      </c>
      <c r="AE158" s="36">
        <f>IF(AND(ISNUMBER(AE157),ISNUMBER(AE154)),IFERROR(AE157/AE154,""),"")</f>
        <v>0.346949388856806</v>
      </c>
      <c r="AF158" s="36">
        <f>IF(AND(ISNUMBER(AF157),ISNUMBER(AF154)),IFERROR(AF157/AF154,""),"")</f>
        <v>0.32788491555525</v>
      </c>
      <c r="AG158" s="36">
        <f>IF(AND(ISNUMBER(AG157),ISNUMBER(AG154)),IFERROR(AG157/AG154,""),"")</f>
        <v>0.320490909212578</v>
      </c>
      <c r="AH158" s="36">
        <f>IF(AND(ISNUMBER(AH157),ISNUMBER(AH154)),IFERROR(AH157/AH154,""),"")</f>
        <v>0.335434995242778</v>
      </c>
      <c r="AI158" s="36">
        <f>IF(AND(ISNUMBER(AI157),ISNUMBER(AI154)),IFERROR(AI157/AI154,""),"")</f>
        <v>0.338597537798801</v>
      </c>
      <c r="AJ158" s="36">
        <f>IF(AND(ISNUMBER(AJ157),ISNUMBER(AJ154)),IFERROR(AJ157/AJ154,""),"")</f>
        <v>0.34189648276316</v>
      </c>
      <c r="AK158" s="36">
        <f>IF(AND(ISNUMBER(AK157),ISNUMBER(AK154)),IFERROR(AK157/AK154,""),"")</f>
        <v>0.341273017600078</v>
      </c>
      <c r="AL158" s="36">
        <f>IF(AND(ISNUMBER(AL157),ISNUMBER(AL154)),IFERROR(AL157/AL154,""),"")</f>
        <v>0.336501632772137</v>
      </c>
      <c r="AM158" s="36">
        <f>IF(AND(ISNUMBER(AM157),ISNUMBER(AM154)),IFERROR(AM157/AM154,""),"")</f>
        <v>0.339594489205507</v>
      </c>
      <c r="AN158" s="36">
        <f>IF(AND(ISNUMBER(AN157),ISNUMBER(AN154)),IFERROR(AN157/AN154,""),"")</f>
        <v>0.340397590012303</v>
      </c>
      <c r="AO158" s="36">
        <f>IF(AND(ISNUMBER(AO157),ISNUMBER(AO154)),IFERROR(AO157/AO154,""),"")</f>
        <v>0.347333618186685</v>
      </c>
      <c r="AP158" s="36">
        <f>IF(AND(ISNUMBER(AP157),ISNUMBER(AP154)),IFERROR(AP157/AP154,""),"")</f>
        <v>0.326158380805246</v>
      </c>
      <c r="AQ158" s="36">
        <f>IF(AND(ISNUMBER(AQ157),ISNUMBER(AQ154)),IFERROR(AQ157/AQ154,""),"")</f>
        <v>0.32721948861005</v>
      </c>
      <c r="AR158" s="36">
        <f>IF(AND(ISNUMBER(AR157),ISNUMBER(AR154)),IFERROR(AR157/AR154,""),"")</f>
        <v>0.33549641857281</v>
      </c>
      <c r="AS158" s="36">
        <f>IF(AND(ISNUMBER(AS157),ISNUMBER(AS154)),IFERROR(AS157/AS154,""),"")</f>
        <v>0.338069861294518</v>
      </c>
      <c r="AT158" s="36">
        <f>IF(AND(ISNUMBER(AT157),ISNUMBER(AT154)),IFERROR(AT157/AT154,""),"")</f>
        <v>0.320584635542306</v>
      </c>
      <c r="AU158" s="36">
        <f>IF(AND(ISNUMBER(AU157),ISNUMBER(AU154)),IFERROR(AU157/AU154,""),"")</f>
        <v>0.322007570774181</v>
      </c>
      <c r="AV158" s="36">
        <f>IF(AND(ISNUMBER(AV157),ISNUMBER(AV154)),IFERROR(AV157/AV154,""),"")</f>
        <v>0.330435258880878</v>
      </c>
      <c r="AW158" s="36">
        <f>IF(AND(ISNUMBER(AW157),ISNUMBER(AW154)),IFERROR(AW157/AW154,""),"")</f>
        <v>0.328139263387814</v>
      </c>
      <c r="AX158" s="36">
        <f>IF(AND(ISNUMBER(AX157),ISNUMBER(AX154)),IFERROR(AX157/AX154,""),"")</f>
        <v>0.335217913373605</v>
      </c>
      <c r="AY158" s="36">
        <f>IF(AND(ISNUMBER(AY157),ISNUMBER(AY154)),IFERROR(AY157/AY154,""),"")</f>
        <v>0.33154779334361</v>
      </c>
      <c r="AZ158" s="36">
        <f>IF(AND(ISNUMBER(AZ157),ISNUMBER(AZ154)),IFERROR(AZ157/AZ154,""),"")</f>
        <v>0.332532295704405</v>
      </c>
      <c r="BA158" s="36">
        <f>IF(AND(ISNUMBER(BA157),ISNUMBER(BA154)),IFERROR(BA157/BA154,""),"")</f>
        <v>0.322957272185641</v>
      </c>
      <c r="BB158" s="36">
        <f>IF(AND(ISNUMBER(BB157),ISNUMBER(BB154)),IFERROR(BB157/BB154,""),"")</f>
        <v>0.330409872054122</v>
      </c>
      <c r="BC158" s="36">
        <f>IF(AND(ISNUMBER(BC157),ISNUMBER(BC154)),IFERROR(BC157/BC154,""),"")</f>
        <v>0.35634309004936</v>
      </c>
      <c r="BD158" s="36">
        <f>IF(AND(ISNUMBER(BD157),ISNUMBER(BD154)),IFERROR(BD157/BD154,""),"")</f>
        <v>0.343940576883607</v>
      </c>
      <c r="BE158" s="36">
        <f>IF(AND(ISNUMBER(BE157),ISNUMBER(BE154)),IFERROR(BE157/BE154,""),"")</f>
        <v>0.330950344296651</v>
      </c>
      <c r="BF158" s="36">
        <f>IF(AND(ISNUMBER(BF157),ISNUMBER(BF154)),IFERROR(BF157/BF154,""),"")</f>
        <v>0.33083333512365</v>
      </c>
      <c r="BG158" s="36">
        <f>IF(AND(ISNUMBER(BG157),ISNUMBER(BG154)),IFERROR(BG157/BG154,""),"")</f>
        <v>0.340517987424795</v>
      </c>
      <c r="BH158" s="36">
        <f>IF(AND(ISNUMBER(BH157),ISNUMBER(BH154)),IFERROR(BH157/BH154,""),"")</f>
        <v>0.341905415247902</v>
      </c>
      <c r="BI158" s="36">
        <f>IF(AND(ISNUMBER(BI157),ISNUMBER(BI154)),IFERROR(BI157/BI154,""),"")</f>
        <v>0.352102888554686</v>
      </c>
      <c r="BJ158" s="36">
        <f>IF(AND(ISNUMBER(BJ157),ISNUMBER(BJ154)),IFERROR(BJ157/BJ154,""),"")</f>
        <v>0.353876350881812</v>
      </c>
      <c r="BK158" s="36">
        <f>IF(AND(ISNUMBER(BK157),ISNUMBER(BK154)),IFERROR(BK157/BK154,""),"")</f>
        <v>0.350519690811836</v>
      </c>
      <c r="BL158" s="36">
        <f>IF(AND(ISNUMBER(BL157),ISNUMBER(BL154)),IFERROR(BL157/BL154,""),"")</f>
        <v>0.349611702924586</v>
      </c>
      <c r="BM158" s="36">
        <f>IF(AND(ISNUMBER(BM157),ISNUMBER(BM154)),IFERROR(BM157/BM154,""),"")</f>
        <v>0.375458750893042</v>
      </c>
      <c r="BN158" s="36">
        <f>IF(AND(ISNUMBER(BN157),ISNUMBER(BN154)),IFERROR(BN157/BN154,""),"")</f>
        <v>0.375667403685879</v>
      </c>
      <c r="BO158" s="36">
        <f>IF(AND(ISNUMBER(BO157),ISNUMBER(BO154)),IFERROR(BO157/BO154,""),"")</f>
        <v>0.35789049960407</v>
      </c>
      <c r="BP158" s="36">
        <f>IF(AND(ISNUMBER(BP157),ISNUMBER(BP154)),IFERROR(BP157/BP154,""),"")</f>
        <v>0.360675948185525</v>
      </c>
      <c r="BQ158" s="36">
        <f>IF(AND(ISNUMBER(BQ157),ISNUMBER(BQ154)),IFERROR(BQ157/BQ154,""),"")</f>
        <v>0.367431592024287</v>
      </c>
      <c r="BR158" s="36">
        <f>IF(AND(ISNUMBER(BR157),ISNUMBER(BR154)),IFERROR(BR157/BR154,""),"")</f>
        <v>0.363851419969175</v>
      </c>
      <c r="BS158" s="36">
        <f>IF(AND(ISNUMBER(BS157),ISNUMBER(BS154)),IFERROR(BS157/BS154,""),"")</f>
        <v>0.372514979245375</v>
      </c>
      <c r="BT158" s="36">
        <f>IF(AND(ISNUMBER(BT157),ISNUMBER(BT154)),IFERROR(BT157/BT154,""),"")</f>
        <v>0.366849882258932</v>
      </c>
      <c r="BU158" s="36">
        <f>IF(AND(ISNUMBER(BU157),ISNUMBER(BU154)),IFERROR(BU157/BU154,""),"")</f>
        <v>0.346658756019894</v>
      </c>
      <c r="BV158" s="36">
        <f>IF(AND(ISNUMBER(BV157),ISNUMBER(BV154)),IFERROR(BV157/BV154,""),"")</f>
        <v>0.362450014800367</v>
      </c>
      <c r="BW158" s="36">
        <f>IF(AND(ISNUMBER(BW157),ISNUMBER(BW154)),IFERROR(BW157/BW154,""),"")</f>
        <v>0.355912162463417</v>
      </c>
      <c r="BX158" s="36">
        <f>IF(AND(ISNUMBER(BX157),ISNUMBER(BX154)),IFERROR(BX157/BX154,""),"")</f>
        <v>0.368131196896192</v>
      </c>
      <c r="BY158" s="254">
        <f>IFERROR(BY157/BY154,"")</f>
        <v>0.367139884013707</v>
      </c>
      <c r="BZ158" s="254">
        <f>IFERROR(BZ157/BZ154,"")</f>
        <v>0.348556981735272</v>
      </c>
      <c r="CA158" s="254">
        <f>IFERROR(CA157/CA154,"")</f>
        <v>0.360032240426609</v>
      </c>
      <c r="CB158" s="254">
        <f>IFERROR(CB157/CB154,"")</f>
        <v>0.37064212631724</v>
      </c>
      <c r="CC158" s="254">
        <f>IFERROR(CC157/CC154,"")</f>
        <v>0.375647067162444</v>
      </c>
      <c r="CD158" s="254">
        <f>IFERROR(CD157/CD154,"")</f>
        <v>0.379768267342318</v>
      </c>
      <c r="CE158" s="254">
        <f>IFERROR(CE157/CE154,"")</f>
        <v>0.383544929010821</v>
      </c>
      <c r="CF158" s="19" t="n"/>
      <c r="CH158" s="20">
        <f>IFERROR(AVERAGE(CA158,CB158,CC158,CD158,CE158),"n/m")</f>
        <v>0.373926926051886</v>
      </c>
      <c r="CI158" s="20">
        <f>IFERROR(AVERAGE(AW158,BB158,BG158,BL158,BQ158,BV158),"n/m")</f>
        <v>0.346426738769329</v>
      </c>
      <c r="CJ158" s="20">
        <f>IFERROR(AVERAGE(X158,AC158,AH158,AM158,AR158,AW158,BB158,BG158,BL158,BQ158,BV158),"n/m")</f>
        <v>0.34252710116272</v>
      </c>
      <c r="CK158" s="20">
        <f>IFERROR(AVERAGE(C158,D158,E158,F158,G158,H158,I158,N158,S158,X158,AC158,AH158,AM158,AR158,AW158,BB158,BG158,BL158,BQ158,BV158),"n/m")</f>
        <v>0.320174815652453</v>
      </c>
    </row>
    <row r="159">
      <c r="B159" s="25" t="inlineStr">
        <is>
          <t>Selling, general &amp; administrative expenses</t>
        </is>
      </c>
      <c r="C159" s="34" t="n">
        <v>315.829</v>
      </c>
      <c r="D159" s="34" t="n">
        <v>370.122</v>
      </c>
      <c r="E159" s="34" t="n">
        <v>405.376</v>
      </c>
      <c r="F159" s="34" t="n">
        <v>333.395</v>
      </c>
      <c r="G159" s="34" t="n">
        <v>377.773</v>
      </c>
      <c r="H159" s="34" t="n">
        <v>439.775</v>
      </c>
      <c r="I159" s="34" t="n">
        <v>495.221</v>
      </c>
      <c r="J159" s="34" t="n">
        <v>136.891</v>
      </c>
      <c r="K159" s="34" t="n">
        <v>135.215</v>
      </c>
      <c r="L159" s="34" t="n">
        <v>131.217</v>
      </c>
      <c r="M159" s="34" t="n">
        <v>123.883</v>
      </c>
      <c r="N159" s="34" t="n">
        <v>527.206</v>
      </c>
      <c r="O159" s="34" t="n">
        <v>145.915</v>
      </c>
      <c r="P159" s="34" t="n">
        <v>137.156</v>
      </c>
      <c r="Q159" s="34" t="n">
        <v>136.424</v>
      </c>
      <c r="R159" s="34" t="n">
        <v>126.002</v>
      </c>
      <c r="S159" s="34" t="n">
        <v>545.497</v>
      </c>
      <c r="T159" s="34" t="n">
        <v>129.891</v>
      </c>
      <c r="U159" s="34" t="n">
        <v>127.755</v>
      </c>
      <c r="V159" s="34" t="n">
        <v>128.299</v>
      </c>
      <c r="W159" s="34" t="n">
        <v>110.803</v>
      </c>
      <c r="X159" s="34" t="n">
        <v>496.748</v>
      </c>
      <c r="Y159" s="34" t="n">
        <v>113.81</v>
      </c>
      <c r="Z159" s="34" t="n">
        <v>120.497</v>
      </c>
      <c r="AA159" s="34" t="n">
        <v>117.983</v>
      </c>
      <c r="AB159" s="34" t="n">
        <v>114.386</v>
      </c>
      <c r="AC159" s="34" t="n">
        <v>466.676</v>
      </c>
      <c r="AD159" s="34" t="n">
        <v>122.37</v>
      </c>
      <c r="AE159" s="34" t="n">
        <v>129.846</v>
      </c>
      <c r="AF159" s="34" t="n">
        <v>132.748</v>
      </c>
      <c r="AG159" s="34" t="n">
        <v>152.561</v>
      </c>
      <c r="AH159" s="34" t="n">
        <v>537.525</v>
      </c>
      <c r="AI159" s="34" t="n">
        <v>161.191</v>
      </c>
      <c r="AJ159" s="34" t="n">
        <v>163.94</v>
      </c>
      <c r="AK159" s="34" t="n">
        <v>148.129</v>
      </c>
      <c r="AL159" s="34" t="n">
        <v>154.437</v>
      </c>
      <c r="AM159" s="34" t="n">
        <v>627.697</v>
      </c>
      <c r="AN159" s="34" t="n">
        <v>160.408</v>
      </c>
      <c r="AO159" s="34" t="n">
        <v>163.388</v>
      </c>
      <c r="AP159" s="34" t="n">
        <v>148.312</v>
      </c>
      <c r="AQ159" s="34" t="n">
        <v>149.381</v>
      </c>
      <c r="AR159" s="34" t="n">
        <v>621.489</v>
      </c>
      <c r="AS159" s="34" t="n">
        <v>149.727</v>
      </c>
      <c r="AT159" s="34" t="n">
        <v>126.376</v>
      </c>
      <c r="AU159" s="34" t="n">
        <v>131.337</v>
      </c>
      <c r="AV159" s="34" t="n">
        <v>136.362</v>
      </c>
      <c r="AW159" s="34" t="n">
        <v>543.802</v>
      </c>
      <c r="AX159" s="34" t="n">
        <v>145.676</v>
      </c>
      <c r="AY159" s="34" t="n">
        <v>151.557</v>
      </c>
      <c r="AZ159" s="34" t="n">
        <v>149.118</v>
      </c>
      <c r="BA159" s="34" t="n">
        <v>150.758</v>
      </c>
      <c r="BB159" s="34" t="n">
        <v>597.109</v>
      </c>
      <c r="BC159" s="34" t="n">
        <v>166.686</v>
      </c>
      <c r="BD159" s="34" t="n">
        <v>166.792</v>
      </c>
      <c r="BE159" s="34" t="n">
        <v>159.045</v>
      </c>
      <c r="BF159" s="34" t="n">
        <v>164.113</v>
      </c>
      <c r="BG159" s="34" t="n">
        <v>656.636</v>
      </c>
      <c r="BH159" s="34" t="n">
        <v>190.116</v>
      </c>
      <c r="BI159" s="34" t="n">
        <v>192.748</v>
      </c>
      <c r="BJ159" s="34" t="n">
        <v>187.115</v>
      </c>
      <c r="BK159" s="34" t="n">
        <v>188.931</v>
      </c>
      <c r="BL159" s="34" t="n">
        <v>758.91</v>
      </c>
      <c r="BM159" s="34" t="n">
        <v>198.747</v>
      </c>
      <c r="BN159" s="34" t="n">
        <v>208.485</v>
      </c>
      <c r="BO159" s="34" t="n">
        <v>186.291</v>
      </c>
      <c r="BP159" s="34" t="n">
        <v>187.067</v>
      </c>
      <c r="BQ159" s="34" t="n">
        <v>780.59</v>
      </c>
      <c r="BR159" s="34" t="n">
        <v>196.665</v>
      </c>
      <c r="BS159" s="34" t="n">
        <v>210.861</v>
      </c>
      <c r="BT159" s="34" t="n">
        <v>206.823</v>
      </c>
      <c r="BU159" s="34" t="n">
        <v>183.645</v>
      </c>
      <c r="BV159" s="34" t="n">
        <v>797.994</v>
      </c>
      <c r="BW159" s="34" t="n">
        <v>210.811</v>
      </c>
      <c r="BX159" s="34" t="n">
        <v>224.871</v>
      </c>
      <c r="BY159" s="257">
        <f>BY154*BY150</f>
        <v>220.931309019129</v>
      </c>
      <c r="BZ159" s="257">
        <f>BZ154*BZ150</f>
        <v>192.797427243022</v>
      </c>
      <c r="CA159" s="257">
        <f>SUM(BW159,BX159,BY159,BZ159)</f>
        <v>849.410736262151</v>
      </c>
      <c r="CB159" s="257">
        <f>CB154*CB150</f>
        <v>930.429549437507</v>
      </c>
      <c r="CC159" s="257">
        <f>CC154*CC150</f>
        <v>999.931350020018</v>
      </c>
      <c r="CD159" s="257">
        <f>CD154*CD150</f>
        <v>1072.10600491826</v>
      </c>
      <c r="CE159" s="257">
        <f>CE154*CE150</f>
        <v>1147.60886221948</v>
      </c>
      <c r="CF159" s="19" t="n"/>
    </row>
    <row r="160">
      <c r="B160" s="25" t="inlineStr">
        <is>
          <t>Rationalization &amp; asset impairment net charges</t>
        </is>
      </c>
      <c r="C160" s="34" t="n">
        <v>3.478</v>
      </c>
      <c r="D160" s="34" t="n">
        <v>-0.188</v>
      </c>
      <c r="E160" s="34" t="n">
        <v>19.371</v>
      </c>
      <c r="F160" s="34" t="n">
        <v>29.897</v>
      </c>
      <c r="G160" s="34" t="n">
        <v>-0.384</v>
      </c>
      <c r="H160" s="34" t="n">
        <v>0.282</v>
      </c>
      <c r="I160" s="34" t="n">
        <v>9.353999999999999</v>
      </c>
      <c r="J160" s="34" t="n">
        <v>1.051</v>
      </c>
      <c r="K160" s="34" t="n">
        <v>0.851</v>
      </c>
      <c r="L160" s="34" t="n">
        <v>6.302</v>
      </c>
      <c r="M160" s="34" t="n">
        <v>0.259</v>
      </c>
      <c r="N160" s="34" t="n">
        <v>8.462999999999999</v>
      </c>
      <c r="O160" s="34" t="n">
        <v>-0.017</v>
      </c>
      <c r="P160" s="34" t="n">
        <v>0.836</v>
      </c>
      <c r="Q160" s="34" t="n">
        <v>29.068</v>
      </c>
      <c r="R160" s="34" t="n">
        <v>0.166</v>
      </c>
      <c r="S160" s="34" t="n">
        <v>30.053</v>
      </c>
      <c r="T160" s="34" t="n">
        <v>0</v>
      </c>
      <c r="U160" s="34" t="n">
        <v>1.239</v>
      </c>
      <c r="V160" s="34" t="n">
        <v>18.285</v>
      </c>
      <c r="W160" s="34" t="n">
        <v>0.434</v>
      </c>
      <c r="X160" s="34" t="n">
        <v>19.958</v>
      </c>
      <c r="Y160" s="34" t="n">
        <v>0</v>
      </c>
      <c r="Z160" s="34" t="n">
        <v>0</v>
      </c>
      <c r="AA160" s="34" t="n">
        <v>0</v>
      </c>
      <c r="AB160" s="34" t="n">
        <v>0</v>
      </c>
      <c r="AC160" s="34" t="n">
        <v>0</v>
      </c>
      <c r="AD160" s="34" t="n">
        <v>0</v>
      </c>
      <c r="AE160" s="34" t="n">
        <v>0</v>
      </c>
      <c r="AF160" s="34" t="n">
        <v>0</v>
      </c>
      <c r="AG160" s="34" t="n">
        <v>6.59</v>
      </c>
      <c r="AH160" s="34" t="n">
        <v>6.59</v>
      </c>
      <c r="AI160" s="34" t="n">
        <v>10.175</v>
      </c>
      <c r="AJ160" s="34" t="n">
        <v>11.542</v>
      </c>
      <c r="AK160" s="34" t="n">
        <v>2.636</v>
      </c>
      <c r="AL160" s="34" t="n">
        <v>0.9320000000000001</v>
      </c>
      <c r="AM160" s="34" t="n">
        <v>25.285</v>
      </c>
      <c r="AN160" s="34" t="n">
        <v>3.535</v>
      </c>
      <c r="AO160" s="34" t="n">
        <v>1.307</v>
      </c>
      <c r="AP160" s="34" t="n">
        <v>1.495</v>
      </c>
      <c r="AQ160" s="34" t="n">
        <v>8.851000000000001</v>
      </c>
      <c r="AR160" s="34" t="n">
        <v>15.188</v>
      </c>
      <c r="AS160" s="34" t="n">
        <v>6.521</v>
      </c>
      <c r="AT160" s="34" t="n">
        <v>23.238</v>
      </c>
      <c r="AU160" s="34" t="n">
        <v>6.257</v>
      </c>
      <c r="AV160" s="34" t="n">
        <v>9.452</v>
      </c>
      <c r="AW160" s="34" t="n">
        <v>45.468</v>
      </c>
      <c r="AX160" s="34" t="n">
        <v>4.163</v>
      </c>
      <c r="AY160" s="34" t="n">
        <v>0.63</v>
      </c>
      <c r="AZ160" s="34" t="n">
        <v>3.484</v>
      </c>
      <c r="BA160" s="34" t="n">
        <v>1.55</v>
      </c>
      <c r="BB160" s="34" t="n">
        <v>9.827</v>
      </c>
      <c r="BC160" s="34" t="n">
        <v>1.885</v>
      </c>
      <c r="BD160" s="34" t="n">
        <v>-0.844</v>
      </c>
      <c r="BE160" s="34" t="n">
        <v>8.364000000000001</v>
      </c>
      <c r="BF160" s="34" t="n">
        <v>2.383</v>
      </c>
      <c r="BG160" s="34" t="n">
        <v>11.788</v>
      </c>
      <c r="BH160" s="34" t="n">
        <v>0.877</v>
      </c>
      <c r="BI160" s="34" t="n">
        <v>2.667</v>
      </c>
      <c r="BJ160" s="34" t="n">
        <v>7.074</v>
      </c>
      <c r="BK160" s="34" t="n">
        <v>-21.932</v>
      </c>
      <c r="BL160" s="34" t="n">
        <v>-11.314</v>
      </c>
      <c r="BM160" s="34" t="n">
        <v>4.605</v>
      </c>
      <c r="BN160" s="34" t="n">
        <v>26.49</v>
      </c>
      <c r="BO160" s="34" t="n">
        <v>20.227</v>
      </c>
      <c r="BP160" s="34" t="n">
        <v>4.538</v>
      </c>
      <c r="BQ160" s="34" t="n">
        <v>55.86</v>
      </c>
      <c r="BR160" s="34" t="n">
        <v>3.865</v>
      </c>
      <c r="BS160" s="34" t="n">
        <v>2.542</v>
      </c>
      <c r="BT160" s="34" t="n">
        <v>5.831</v>
      </c>
      <c r="BU160" s="34" t="n">
        <v>5.961</v>
      </c>
      <c r="BV160" s="34" t="n">
        <v>18.199</v>
      </c>
      <c r="BW160" s="34" t="n">
        <v>2.163</v>
      </c>
      <c r="BX160" s="34" t="n">
        <v>3.481</v>
      </c>
      <c r="BY160" s="257">
        <f>($BW$160+$BX$160)/2</f>
        <v>2.822</v>
      </c>
      <c r="BZ160" s="257">
        <f>($BW$160+$BX$160)/2</f>
        <v>2.822</v>
      </c>
      <c r="CA160" s="257">
        <f>SUM(BW160,BX160,BY160,BZ160)</f>
        <v>11.288</v>
      </c>
      <c r="CB160" s="261" t="n">
        <v>15</v>
      </c>
      <c r="CC160" s="261" t="n">
        <v>15</v>
      </c>
      <c r="CD160" s="261" t="n">
        <v>15</v>
      </c>
      <c r="CE160" s="261" t="n">
        <v>15</v>
      </c>
      <c r="CF160" s="19" t="inlineStr">
        <is>
          <t>Q3/Q4-26E: 1H/26 run-rate. 2027E+: $15m p.a. (LECO runs rolling rationalization programmes; excluded from adjusted results).</t>
        </is>
      </c>
    </row>
    <row r="161">
      <c r="B161" s="25" t="inlineStr">
        <is>
          <t>Other operating (income) charges — bargain purchase gains, Venezuela, other (charge = +)</t>
        </is>
      </c>
      <c r="C161" s="34" t="n">
        <v>0</v>
      </c>
      <c r="D161" s="34" t="n">
        <v>0</v>
      </c>
      <c r="E161" s="34" t="n">
        <v>0</v>
      </c>
      <c r="F161" s="34" t="n">
        <v>0</v>
      </c>
      <c r="G161" s="34" t="n">
        <v>0</v>
      </c>
      <c r="H161" s="34" t="n">
        <v>0</v>
      </c>
      <c r="I161" s="34" t="n">
        <v>0</v>
      </c>
      <c r="J161" s="34" t="n">
        <v>0</v>
      </c>
      <c r="K161" s="34" t="n">
        <v>0</v>
      </c>
      <c r="L161" s="34" t="n">
        <v>0</v>
      </c>
      <c r="M161" s="34" t="n">
        <v>0</v>
      </c>
      <c r="N161" s="34" t="n">
        <v>0</v>
      </c>
      <c r="O161" s="34" t="n">
        <v>0</v>
      </c>
      <c r="P161" s="34" t="n">
        <v>0</v>
      </c>
      <c r="Q161" s="34" t="n">
        <v>0</v>
      </c>
      <c r="R161" s="34" t="n">
        <v>0</v>
      </c>
      <c r="S161" s="34" t="n">
        <v>0</v>
      </c>
      <c r="T161" s="34" t="n">
        <v>0</v>
      </c>
      <c r="U161" s="34" t="n">
        <v>0</v>
      </c>
      <c r="V161" s="34" t="n">
        <v>136.331</v>
      </c>
      <c r="W161" s="34" t="n">
        <v>6.407</v>
      </c>
      <c r="X161" s="34" t="n">
        <v>142.738</v>
      </c>
      <c r="Y161" s="34" t="n">
        <v>0</v>
      </c>
      <c r="Z161" s="34" t="n">
        <v>34.348</v>
      </c>
      <c r="AA161" s="34" t="n">
        <v>0</v>
      </c>
      <c r="AB161" s="34" t="n">
        <v>0</v>
      </c>
      <c r="AC161" s="34" t="n">
        <v>34.348</v>
      </c>
      <c r="AD161" s="34" t="n">
        <v>0</v>
      </c>
      <c r="AE161" s="34" t="n">
        <v>0</v>
      </c>
      <c r="AF161" s="34" t="n">
        <v>-46.302</v>
      </c>
      <c r="AG161" s="34" t="n">
        <v>4.802</v>
      </c>
      <c r="AH161" s="34" t="n">
        <v>-41.5</v>
      </c>
      <c r="AI161" s="34" t="n">
        <v>0</v>
      </c>
      <c r="AJ161" s="34" t="n">
        <v>0</v>
      </c>
      <c r="AK161" s="34" t="n">
        <v>0</v>
      </c>
      <c r="AL161" s="34" t="n">
        <v>0</v>
      </c>
      <c r="AM161" s="34" t="n">
        <v>0</v>
      </c>
      <c r="AN161" s="34" t="n">
        <v>0</v>
      </c>
      <c r="AO161" s="34" t="n">
        <v>0</v>
      </c>
      <c r="AP161" s="34" t="n">
        <v>0</v>
      </c>
      <c r="AQ161" s="34" t="n">
        <v>0</v>
      </c>
      <c r="AR161" s="34" t="n">
        <v>0</v>
      </c>
      <c r="AS161" s="34" t="n">
        <v>0</v>
      </c>
      <c r="AT161" s="34" t="n">
        <v>0</v>
      </c>
      <c r="AU161" s="34" t="n">
        <v>0</v>
      </c>
      <c r="AV161" s="34" t="n">
        <v>0</v>
      </c>
      <c r="AW161" s="34" t="n">
        <v>0</v>
      </c>
      <c r="AX161" s="34" t="n">
        <v>0</v>
      </c>
      <c r="AY161" s="34" t="n">
        <v>0</v>
      </c>
      <c r="AZ161" s="34" t="n">
        <v>0</v>
      </c>
      <c r="BA161" s="34" t="n">
        <v>0</v>
      </c>
      <c r="BB161" s="34" t="n">
        <v>0</v>
      </c>
      <c r="BC161" s="34" t="n">
        <v>0</v>
      </c>
      <c r="BD161" s="34" t="n">
        <v>0</v>
      </c>
      <c r="BE161" s="34" t="n">
        <v>0</v>
      </c>
      <c r="BF161" s="34" t="n">
        <v>0</v>
      </c>
      <c r="BG161" s="34" t="n">
        <v>0</v>
      </c>
      <c r="BH161" s="34" t="n">
        <v>0</v>
      </c>
      <c r="BI161" s="34" t="n">
        <v>0</v>
      </c>
      <c r="BJ161" s="34" t="n">
        <v>0</v>
      </c>
      <c r="BK161" s="34" t="n">
        <v>0</v>
      </c>
      <c r="BL161" s="34" t="n">
        <v>0</v>
      </c>
      <c r="BM161" s="34" t="n">
        <v>0</v>
      </c>
      <c r="BN161" s="34" t="n">
        <v>0</v>
      </c>
      <c r="BO161" s="34" t="n">
        <v>0</v>
      </c>
      <c r="BP161" s="34" t="n">
        <v>0</v>
      </c>
      <c r="BQ161" s="34" t="n">
        <v>0</v>
      </c>
      <c r="BR161" s="34" t="n">
        <v>0</v>
      </c>
      <c r="BS161" s="34" t="n">
        <v>0</v>
      </c>
      <c r="BT161" s="34" t="n">
        <v>0</v>
      </c>
      <c r="BU161" s="34" t="n">
        <v>0</v>
      </c>
      <c r="BV161" s="34" t="n">
        <v>0</v>
      </c>
      <c r="BW161" s="34" t="n">
        <v>0</v>
      </c>
      <c r="BX161" s="34" t="n">
        <v>0</v>
      </c>
      <c r="BY161" s="261" t="n">
        <v>0</v>
      </c>
      <c r="BZ161" s="261" t="n">
        <v>0</v>
      </c>
      <c r="CA161" s="261" t="n">
        <v>0</v>
      </c>
      <c r="CB161" s="261" t="n">
        <v>0</v>
      </c>
      <c r="CC161" s="261" t="n">
        <v>0</v>
      </c>
      <c r="CD161" s="261" t="n">
        <v>0</v>
      </c>
      <c r="CE161" s="261" t="n">
        <v>0</v>
      </c>
      <c r="CF161" s="19" t="inlineStr">
        <is>
          <t>Items printed on the face of the income statement between gross profit and operating income other than SG&amp;A and rationalization (e.g. 2015 Venezuela deconsolidation, bargain purchase gains).</t>
        </is>
      </c>
    </row>
    <row r="162">
      <c r="B162" s="55" t="inlineStr">
        <is>
          <t>Operating income</t>
        </is>
      </c>
      <c r="C162" s="56">
        <f>C157-C159-C160-C161</f>
        <v>232.97</v>
      </c>
      <c r="D162" s="56">
        <f>D157-D159-D160-D161</f>
        <v>277.632</v>
      </c>
      <c r="E162" s="56">
        <f>E157-E159-E160-E161</f>
        <v>295.404</v>
      </c>
      <c r="F162" s="56">
        <f>F157-F159-F160-F161</f>
        <v>92.9760000000001</v>
      </c>
      <c r="G162" s="56">
        <f>G157-G159-G160-G161</f>
        <v>186.43</v>
      </c>
      <c r="H162" s="56">
        <f>H157-H159-H160-H161</f>
        <v>296.68</v>
      </c>
      <c r="I162" s="56">
        <f>I157-I159-I160-I161</f>
        <v>362.081</v>
      </c>
      <c r="J162" s="56">
        <f>J157-J159-J160-J161</f>
        <v>88.63</v>
      </c>
      <c r="K162" s="56">
        <f>K157-K159-K160-K161</f>
        <v>104.272</v>
      </c>
      <c r="L162" s="56">
        <f>L157-L159-L160-L161</f>
        <v>95.178</v>
      </c>
      <c r="M162" s="56">
        <f>M157-M159-M160-M161</f>
        <v>118.905</v>
      </c>
      <c r="N162" s="56">
        <f>N157-N159-N160-N161</f>
        <v>406.985</v>
      </c>
      <c r="O162" s="56">
        <f>O157-O159-O160-O161</f>
        <v>80.438</v>
      </c>
      <c r="P162" s="56">
        <f>P157-P159-P160-P161</f>
        <v>112.275</v>
      </c>
      <c r="Q162" s="56">
        <f>Q157-Q159-Q160-Q161</f>
        <v>76.117</v>
      </c>
      <c r="R162" s="56">
        <f>R157-R159-R160-R161</f>
        <v>104.917</v>
      </c>
      <c r="S162" s="56">
        <f>S157-S159-S160-S161</f>
        <v>373.747</v>
      </c>
      <c r="T162" s="56">
        <f>T157-T159-T160-T161</f>
        <v>90.499</v>
      </c>
      <c r="U162" s="56">
        <f>U157-U159-U160-U161</f>
        <v>96.787</v>
      </c>
      <c r="V162" s="56">
        <f>V157-V159-V160-V161</f>
        <v>-84.0209999999999</v>
      </c>
      <c r="W162" s="56">
        <f>W157-W159-W160-W161</f>
        <v>78.435</v>
      </c>
      <c r="X162" s="56">
        <f>X157-X159-X160-X161</f>
        <v>181.7</v>
      </c>
      <c r="Y162" s="56">
        <f>Y157-Y159-Y160-Y161</f>
        <v>75.292</v>
      </c>
      <c r="Z162" s="56">
        <f>Z157-Z159-Z160-Z161</f>
        <v>48.082</v>
      </c>
      <c r="AA162" s="56">
        <f>AA157-AA159-AA160-AA161</f>
        <v>81.829</v>
      </c>
      <c r="AB162" s="56">
        <f>AB157-AB159-AB160-AB161</f>
        <v>83.071</v>
      </c>
      <c r="AC162" s="56">
        <f>AC157-AC159-AC160-AC161</f>
        <v>288.274</v>
      </c>
      <c r="AD162" s="56">
        <f>AD157-AD159-AD160-AD161</f>
        <v>81.4860000000001</v>
      </c>
      <c r="AE162" s="56">
        <f>AE157-AE159-AE160-AE161</f>
        <v>87.6419999999999</v>
      </c>
      <c r="AF162" s="56">
        <f>AF157-AF159-AF160-AF161</f>
        <v>133.07</v>
      </c>
      <c r="AG162" s="56">
        <f>AG157-AG159-AG160-AG161</f>
        <v>75.513</v>
      </c>
      <c r="AH162" s="56">
        <f>AH157-AH159-AH160-AH161</f>
        <v>377.711</v>
      </c>
      <c r="AI162" s="56">
        <f>AI157-AI159-AI160-AI161</f>
        <v>85.188</v>
      </c>
      <c r="AJ162" s="56">
        <f>AJ157-AJ159-AJ160-AJ161</f>
        <v>94.634</v>
      </c>
      <c r="AK162" s="56">
        <f>AK157-AK159-AK160-AK161</f>
        <v>100.787</v>
      </c>
      <c r="AL162" s="56">
        <f>AL157-AL159-AL160-AL161</f>
        <v>94.93</v>
      </c>
      <c r="AM162" s="56">
        <f>AM157-AM159-AM160-AM161</f>
        <v>375.539</v>
      </c>
      <c r="AN162" s="56">
        <f>AN157-AN159-AN160-AN161</f>
        <v>94.478</v>
      </c>
      <c r="AO162" s="56">
        <f>AO157-AO159-AO160-AO161</f>
        <v>105.186</v>
      </c>
      <c r="AP162" s="56">
        <f>AP157-AP159-AP160-AP161</f>
        <v>88.544</v>
      </c>
      <c r="AQ162" s="56">
        <f>AQ157-AQ159-AQ160-AQ161</f>
        <v>82.702</v>
      </c>
      <c r="AR162" s="56">
        <f>AR157-AR159-AR160-AR161</f>
        <v>370.91</v>
      </c>
      <c r="AS162" s="56">
        <f>AS157-AS159-AS160-AS161</f>
        <v>81.074</v>
      </c>
      <c r="AT162" s="56">
        <f>AT157-AT159-AT160-AT161</f>
        <v>39.764</v>
      </c>
      <c r="AU162" s="56">
        <f>AU157-AU159-AU160-AU161</f>
        <v>77.7930000000001</v>
      </c>
      <c r="AV162" s="56">
        <f>AV157-AV159-AV160-AV161</f>
        <v>83.44</v>
      </c>
      <c r="AW162" s="56">
        <f>AW157-AW159-AW160-AW161</f>
        <v>282.071</v>
      </c>
      <c r="AX162" s="56">
        <f>AX157-AX159-AX160-AX161</f>
        <v>103.928</v>
      </c>
      <c r="AY162" s="56">
        <f>AY157-AY159-AY160-AY161</f>
        <v>121.822</v>
      </c>
      <c r="AZ162" s="56">
        <f>AZ157-AZ159-AZ160-AZ161</f>
        <v>115.57</v>
      </c>
      <c r="BA162" s="56">
        <f>BA157-BA159-BA160-BA161</f>
        <v>120.349</v>
      </c>
      <c r="BB162" s="56">
        <f>BB157-BB159-BB160-BB161</f>
        <v>461.669</v>
      </c>
      <c r="BC162" s="56">
        <f>BC157-BC159-BC160-BC161</f>
        <v>161.206</v>
      </c>
      <c r="BD162" s="56">
        <f>BD157-BD159-BD160-BD161</f>
        <v>167.533</v>
      </c>
      <c r="BE162" s="56">
        <f>BE157-BE159-BE160-BE161</f>
        <v>142.109</v>
      </c>
      <c r="BF162" s="56">
        <f>BF157-BF159-BF160-BF161</f>
        <v>141.488</v>
      </c>
      <c r="BG162" s="56">
        <f>BG157-BG159-BG160-BG161</f>
        <v>612.336</v>
      </c>
      <c r="BH162" s="56">
        <f>BH157-BH159-BH160-BH161</f>
        <v>164.364</v>
      </c>
      <c r="BI162" s="56">
        <f>BI157-BI159-BI160-BI161</f>
        <v>178.013</v>
      </c>
      <c r="BJ162" s="56">
        <f>BJ157-BJ159-BJ160-BJ161</f>
        <v>171.441</v>
      </c>
      <c r="BK162" s="56">
        <f>BK157-BK159-BK160-BK161</f>
        <v>204.031</v>
      </c>
      <c r="BL162" s="56">
        <f>BL157-BL159-BL160-BL161</f>
        <v>717.849000000001</v>
      </c>
      <c r="BM162" s="56">
        <f>BM157-BM159-BM160-BM161</f>
        <v>165.047</v>
      </c>
      <c r="BN162" s="56">
        <f>BN157-BN159-BN160-BN161</f>
        <v>148.838</v>
      </c>
      <c r="BO162" s="56">
        <f>BO157-BO159-BO160-BO161</f>
        <v>145.56</v>
      </c>
      <c r="BP162" s="56">
        <f>BP157-BP159-BP160-BP161</f>
        <v>177.017</v>
      </c>
      <c r="BQ162" s="56">
        <f>BQ157-BQ159-BQ160-BQ161</f>
        <v>636.462</v>
      </c>
      <c r="BR162" s="56">
        <f>BR157-BR159-BR160-BR161</f>
        <v>164.918</v>
      </c>
      <c r="BS162" s="56">
        <f>BS157-BS159-BS160-BS161</f>
        <v>192.144</v>
      </c>
      <c r="BT162" s="56">
        <f>BT157-BT159-BT160-BT161</f>
        <v>176.657</v>
      </c>
      <c r="BU162" s="56">
        <f>BU157-BU159-BU160-BU161</f>
        <v>184.34</v>
      </c>
      <c r="BV162" s="56">
        <f>BV157-BV159-BV160-BV161</f>
        <v>718.059</v>
      </c>
      <c r="BW162" s="56">
        <f>BW157-BW159-BW160-BW161</f>
        <v>186.158</v>
      </c>
      <c r="BX162" s="56">
        <f>BX157-BX159-BX160-BX161</f>
        <v>220.644</v>
      </c>
      <c r="BY162" s="56">
        <f>BY130-BY204-BY199</f>
        <v>211.66054919654</v>
      </c>
      <c r="BZ162" s="56">
        <f>BZ130-BZ204-BZ199</f>
        <v>220.11828705346</v>
      </c>
      <c r="CA162" s="56">
        <f>SUM(BW162,BX162,BY162,BZ162)</f>
        <v>838.58083625</v>
      </c>
      <c r="CB162" s="56">
        <f>CB130-CB204-CB199</f>
        <v>918.659026734974</v>
      </c>
      <c r="CC162" s="56">
        <f>CC130-CC204-CC199</f>
        <v>1015.4539418654</v>
      </c>
      <c r="CD162" s="56">
        <f>CD130-CD204-CD199</f>
        <v>1113.71475127148</v>
      </c>
      <c r="CE162" s="56">
        <f>CE130-CE204-CE199</f>
        <v>1216.63200044084</v>
      </c>
      <c r="CF162" s="19" t="inlineStr">
        <is>
          <t>Forecast = adjusted EBIT (segment build) − adjusted non-operating income − special items in operating income.</t>
        </is>
      </c>
      <c r="CH162" s="20">
        <f>IFERROR((CE162/BV162)^(1/5)-1,"n/m")</f>
        <v>0.111219415956094</v>
      </c>
      <c r="CI162" s="20">
        <f>IFERROR((BV162/AW162)^(1/5)-1,"n/m")</f>
        <v>0.205480912958594</v>
      </c>
      <c r="CJ162" s="20">
        <f>IFERROR((BV162/X162)^(1/10)-1,"n/m")</f>
        <v>0.147309316657929</v>
      </c>
      <c r="CK162" s="20">
        <f>IFERROR((BV162/C162)^(1/19)-1,"n/m")</f>
        <v>0.061034439248441</v>
      </c>
    </row>
    <row r="163">
      <c r="B163" s="57" t="inlineStr">
        <is>
          <t xml:space="preserve">  Check: operating income vs reported (should be 0)</t>
        </is>
      </c>
      <c r="C163" s="44">
        <f>IF(ISNUMBER(C164),ROUND(C162-C164,1),"")</f>
        <v>0</v>
      </c>
      <c r="D163" s="44">
        <f>IF(ISNUMBER(D164),ROUND(D162-D164,1),"")</f>
        <v>0</v>
      </c>
      <c r="E163" s="44">
        <f>IF(ISNUMBER(E164),ROUND(E162-E164,1),"")</f>
        <v>0</v>
      </c>
      <c r="F163" s="44">
        <f>IF(ISNUMBER(F164),ROUND(F162-F164,1),"")</f>
        <v>0</v>
      </c>
      <c r="G163" s="44">
        <f>IF(ISNUMBER(G164),ROUND(G162-G164,1),"")</f>
        <v>0</v>
      </c>
      <c r="H163" s="44">
        <f>IF(ISNUMBER(H164),ROUND(H162-H164,1),"")</f>
        <v>0</v>
      </c>
      <c r="I163" s="44">
        <f>IF(ISNUMBER(I164),ROUND(I162-I164,1),"")</f>
        <v>0</v>
      </c>
      <c r="J163" s="44">
        <f>IF(ISNUMBER(J164),ROUND(J162-J164,1),"")</f>
        <v>0</v>
      </c>
      <c r="K163" s="44">
        <f>IF(ISNUMBER(K164),ROUND(K162-K164,1),"")</f>
        <v>0</v>
      </c>
      <c r="L163" s="44">
        <f>IF(ISNUMBER(L164),ROUND(L162-L164,1),"")</f>
        <v>0</v>
      </c>
      <c r="M163" s="44">
        <f>IF(ISNUMBER(M164),ROUND(M162-M164,1),"")</f>
        <v>0</v>
      </c>
      <c r="N163" s="44">
        <f>IF(ISNUMBER(N164),ROUND(N162-N164,1),"")</f>
        <v>0</v>
      </c>
      <c r="O163" s="44">
        <f>IF(ISNUMBER(O164),ROUND(O162-O164,1),"")</f>
        <v>0</v>
      </c>
      <c r="P163" s="44">
        <f>IF(ISNUMBER(P164),ROUND(P162-P164,1),"")</f>
        <v>0</v>
      </c>
      <c r="Q163" s="44">
        <f>IF(ISNUMBER(Q164),ROUND(Q162-Q164,1),"")</f>
        <v>0</v>
      </c>
      <c r="R163" s="44">
        <f>IF(ISNUMBER(R164),ROUND(R162-R164,1),"")</f>
        <v>0</v>
      </c>
      <c r="S163" s="44">
        <f>IF(ISNUMBER(S164),ROUND(S162-S164,1),"")</f>
        <v>0</v>
      </c>
      <c r="T163" s="44">
        <f>IF(ISNUMBER(T164),ROUND(T162-T164,1),"")</f>
        <v>0</v>
      </c>
      <c r="U163" s="44">
        <f>IF(ISNUMBER(U164),ROUND(U162-U164,1),"")</f>
        <v>0</v>
      </c>
      <c r="V163" s="44">
        <f>IF(ISNUMBER(V164),ROUND(V162-V164,1),"")</f>
        <v>0</v>
      </c>
      <c r="W163" s="44">
        <f>IF(ISNUMBER(W164),ROUND(W162-W164,1),"")</f>
        <v>0</v>
      </c>
      <c r="X163" s="44">
        <f>IF(ISNUMBER(X164),ROUND(X162-X164,1),"")</f>
        <v>0</v>
      </c>
      <c r="Y163" s="44">
        <f>IF(ISNUMBER(Y164),ROUND(Y162-Y164,1),"")</f>
        <v>0</v>
      </c>
      <c r="Z163" s="44">
        <f>IF(ISNUMBER(Z164),ROUND(Z162-Z164,1),"")</f>
        <v>0</v>
      </c>
      <c r="AA163" s="44">
        <f>IF(ISNUMBER(AA164),ROUND(AA162-AA164,1),"")</f>
        <v>0</v>
      </c>
      <c r="AB163" s="44">
        <f>IF(ISNUMBER(AB164),ROUND(AB162-AB164,1),"")</f>
        <v>0</v>
      </c>
      <c r="AC163" s="44">
        <f>IF(ISNUMBER(AC164),ROUND(AC162-AC164,1),"")</f>
        <v>0</v>
      </c>
      <c r="AD163" s="44">
        <f>IF(ISNUMBER(AD164),ROUND(AD162-AD164,1),"")</f>
        <v>0</v>
      </c>
      <c r="AE163" s="44">
        <f>IF(ISNUMBER(AE164),ROUND(AE162-AE164,1),"")</f>
        <v>0</v>
      </c>
      <c r="AF163" s="44">
        <f>IF(ISNUMBER(AF164),ROUND(AF162-AF164,1),"")</f>
        <v>0</v>
      </c>
      <c r="AG163" s="44">
        <f>IF(ISNUMBER(AG164),ROUND(AG162-AG164,1),"")</f>
        <v>0</v>
      </c>
      <c r="AH163" s="44">
        <f>IF(ISNUMBER(AH164),ROUND(AH162-AH164,1),"")</f>
        <v>0</v>
      </c>
      <c r="AI163" s="44">
        <f>IF(ISNUMBER(AI164),ROUND(AI162-AI164,1),"")</f>
        <v>0</v>
      </c>
      <c r="AJ163" s="44">
        <f>IF(ISNUMBER(AJ164),ROUND(AJ162-AJ164,1),"")</f>
        <v>0</v>
      </c>
      <c r="AK163" s="44">
        <f>IF(ISNUMBER(AK164),ROUND(AK162-AK164,1),"")</f>
        <v>0</v>
      </c>
      <c r="AL163" s="44">
        <f>IF(ISNUMBER(AL164),ROUND(AL162-AL164,1),"")</f>
        <v>0</v>
      </c>
      <c r="AM163" s="44">
        <f>IF(ISNUMBER(AM164),ROUND(AM162-AM164,1),"")</f>
        <v>0</v>
      </c>
      <c r="AN163" s="44">
        <f>IF(ISNUMBER(AN164),ROUND(AN162-AN164,1),"")</f>
        <v>0</v>
      </c>
      <c r="AO163" s="44">
        <f>IF(ISNUMBER(AO164),ROUND(AO162-AO164,1),"")</f>
        <v>0</v>
      </c>
      <c r="AP163" s="44">
        <f>IF(ISNUMBER(AP164),ROUND(AP162-AP164,1),"")</f>
        <v>0</v>
      </c>
      <c r="AQ163" s="44">
        <f>IF(ISNUMBER(AQ164),ROUND(AQ162-AQ164,1),"")</f>
        <v>0</v>
      </c>
      <c r="AR163" s="44">
        <f>IF(ISNUMBER(AR164),ROUND(AR162-AR164,1),"")</f>
        <v>0</v>
      </c>
      <c r="AS163" s="44">
        <f>IF(ISNUMBER(AS164),ROUND(AS162-AS164,1),"")</f>
        <v>0</v>
      </c>
      <c r="AT163" s="44">
        <f>IF(ISNUMBER(AT164),ROUND(AT162-AT164,1),"")</f>
        <v>0</v>
      </c>
      <c r="AU163" s="44">
        <f>IF(ISNUMBER(AU164),ROUND(AU162-AU164,1),"")</f>
        <v>0</v>
      </c>
      <c r="AV163" s="44">
        <f>IF(ISNUMBER(AV164),ROUND(AV162-AV164,1),"")</f>
        <v>0</v>
      </c>
      <c r="AW163" s="44">
        <f>IF(ISNUMBER(AW164),ROUND(AW162-AW164,1),"")</f>
        <v>0</v>
      </c>
      <c r="AX163" s="44">
        <f>IF(ISNUMBER(AX164),ROUND(AX162-AX164,1),"")</f>
        <v>0</v>
      </c>
      <c r="AY163" s="44">
        <f>IF(ISNUMBER(AY164),ROUND(AY162-AY164,1),"")</f>
        <v>0</v>
      </c>
      <c r="AZ163" s="44">
        <f>IF(ISNUMBER(AZ164),ROUND(AZ162-AZ164,1),"")</f>
        <v>0</v>
      </c>
      <c r="BA163" s="44">
        <f>IF(ISNUMBER(BA164),ROUND(BA162-BA164,1),"")</f>
        <v>0</v>
      </c>
      <c r="BB163" s="44">
        <f>IF(ISNUMBER(BB164),ROUND(BB162-BB164,1),"")</f>
        <v>0</v>
      </c>
      <c r="BC163" s="44">
        <f>IF(ISNUMBER(BC164),ROUND(BC162-BC164,1),"")</f>
        <v>0</v>
      </c>
      <c r="BD163" s="44">
        <f>IF(ISNUMBER(BD164),ROUND(BD162-BD164,1),"")</f>
        <v>0</v>
      </c>
      <c r="BE163" s="44">
        <f>IF(ISNUMBER(BE164),ROUND(BE162-BE164,1),"")</f>
        <v>0</v>
      </c>
      <c r="BF163" s="44">
        <f>IF(ISNUMBER(BF164),ROUND(BF162-BF164,1),"")</f>
        <v>0</v>
      </c>
      <c r="BG163" s="44">
        <f>IF(ISNUMBER(BG164),ROUND(BG162-BG164,1),"")</f>
        <v>0</v>
      </c>
      <c r="BH163" s="44">
        <f>IF(ISNUMBER(BH164),ROUND(BH162-BH164,1),"")</f>
        <v>0</v>
      </c>
      <c r="BI163" s="44">
        <f>IF(ISNUMBER(BI164),ROUND(BI162-BI164,1),"")</f>
        <v>0</v>
      </c>
      <c r="BJ163" s="44">
        <f>IF(ISNUMBER(BJ164),ROUND(BJ162-BJ164,1),"")</f>
        <v>0</v>
      </c>
      <c r="BK163" s="44">
        <f>IF(ISNUMBER(BK164),ROUND(BK162-BK164,1),"")</f>
        <v>0</v>
      </c>
      <c r="BL163" s="44">
        <f>IF(ISNUMBER(BL164),ROUND(BL162-BL164,1),"")</f>
        <v>0</v>
      </c>
      <c r="BM163" s="44">
        <f>IF(ISNUMBER(BM164),ROUND(BM162-BM164,1),"")</f>
        <v>0</v>
      </c>
      <c r="BN163" s="44">
        <f>IF(ISNUMBER(BN164),ROUND(BN162-BN164,1),"")</f>
        <v>0</v>
      </c>
      <c r="BO163" s="44">
        <f>IF(ISNUMBER(BO164),ROUND(BO162-BO164,1),"")</f>
        <v>0</v>
      </c>
      <c r="BP163" s="44">
        <f>IF(ISNUMBER(BP164),ROUND(BP162-BP164,1),"")</f>
        <v>0</v>
      </c>
      <c r="BQ163" s="44">
        <f>IF(ISNUMBER(BQ164),ROUND(BQ162-BQ164,1),"")</f>
        <v>0</v>
      </c>
      <c r="BR163" s="44">
        <f>IF(ISNUMBER(BR164),ROUND(BR162-BR164,1),"")</f>
        <v>0</v>
      </c>
      <c r="BS163" s="44">
        <f>IF(ISNUMBER(BS164),ROUND(BS162-BS164,1),"")</f>
        <v>0</v>
      </c>
      <c r="BT163" s="44">
        <f>IF(ISNUMBER(BT164),ROUND(BT162-BT164,1),"")</f>
        <v>0</v>
      </c>
      <c r="BU163" s="44">
        <f>IF(ISNUMBER(BU164),ROUND(BU162-BU164,1),"")</f>
        <v>0</v>
      </c>
      <c r="BV163" s="44">
        <f>IF(ISNUMBER(BV164),ROUND(BV162-BV164,1),"")</f>
        <v>0</v>
      </c>
      <c r="BW163" s="44">
        <f>IF(ISNUMBER(BW164),ROUND(BW162-BW164,1),"")</f>
        <v>0</v>
      </c>
      <c r="BX163" s="44">
        <f>IF(ISNUMBER(BX164),ROUND(BX162-BX164,1),"")</f>
        <v>0</v>
      </c>
      <c r="BY163" s="269" t="n"/>
      <c r="BZ163" s="269" t="n"/>
      <c r="CA163" s="269" t="n"/>
      <c r="CB163" s="269" t="n"/>
      <c r="CC163" s="269" t="n"/>
      <c r="CD163" s="269" t="n"/>
      <c r="CE163" s="269" t="n"/>
      <c r="CF163" s="19" t="n"/>
    </row>
    <row r="164" outlineLevel="2" s="251">
      <c r="B164" s="156" t="inlineStr">
        <is>
          <t xml:space="preserve">  Memo: operating income as reported</t>
        </is>
      </c>
      <c r="C164" s="34" t="n">
        <v>232.97</v>
      </c>
      <c r="D164" s="34" t="n">
        <v>277.632</v>
      </c>
      <c r="E164" s="34" t="n">
        <v>295.404</v>
      </c>
      <c r="F164" s="34" t="n">
        <v>92.976</v>
      </c>
      <c r="G164" s="34" t="n">
        <v>186.43</v>
      </c>
      <c r="H164" s="34" t="n">
        <v>296.68</v>
      </c>
      <c r="I164" s="34" t="n">
        <v>362.081</v>
      </c>
      <c r="J164" s="34" t="n">
        <v>88.63</v>
      </c>
      <c r="K164" s="34" t="n">
        <v>104.272</v>
      </c>
      <c r="L164" s="34" t="n">
        <v>95.178</v>
      </c>
      <c r="M164" s="34" t="n">
        <v>118.905</v>
      </c>
      <c r="N164" s="34" t="n">
        <v>406.985</v>
      </c>
      <c r="O164" s="34" t="n">
        <v>80.438</v>
      </c>
      <c r="P164" s="34" t="n">
        <v>112.275</v>
      </c>
      <c r="Q164" s="34" t="n">
        <v>76.117</v>
      </c>
      <c r="R164" s="34" t="n">
        <v>104.917</v>
      </c>
      <c r="S164" s="34" t="n">
        <v>373.747</v>
      </c>
      <c r="T164" s="34" t="n">
        <v>90.499</v>
      </c>
      <c r="U164" s="34" t="n">
        <v>96.78700000000001</v>
      </c>
      <c r="V164" s="34" t="n">
        <v>-84.021</v>
      </c>
      <c r="W164" s="34" t="n">
        <v>78.435</v>
      </c>
      <c r="X164" s="34" t="n">
        <v>181.7</v>
      </c>
      <c r="Y164" s="34" t="n">
        <v>75.292</v>
      </c>
      <c r="Z164" s="34" t="n">
        <v>48.082</v>
      </c>
      <c r="AA164" s="34" t="n">
        <v>81.82899999999999</v>
      </c>
      <c r="AB164" s="34" t="n">
        <v>83.071</v>
      </c>
      <c r="AC164" s="34" t="n">
        <v>288.274</v>
      </c>
      <c r="AD164" s="34" t="n">
        <v>81.486</v>
      </c>
      <c r="AE164" s="34" t="n">
        <v>87.642</v>
      </c>
      <c r="AF164" s="34" t="n">
        <v>133.07</v>
      </c>
      <c r="AG164" s="34" t="n">
        <v>75.51300000000001</v>
      </c>
      <c r="AH164" s="34" t="n">
        <v>377.711</v>
      </c>
      <c r="AI164" s="34" t="n">
        <v>85.188</v>
      </c>
      <c r="AJ164" s="34" t="n">
        <v>94.634</v>
      </c>
      <c r="AK164" s="34" t="n">
        <v>100.787</v>
      </c>
      <c r="AL164" s="34" t="n">
        <v>94.93000000000001</v>
      </c>
      <c r="AM164" s="34" t="n">
        <v>375.539</v>
      </c>
      <c r="AN164" s="34" t="n">
        <v>94.47799999999999</v>
      </c>
      <c r="AO164" s="34" t="n">
        <v>105.186</v>
      </c>
      <c r="AP164" s="34" t="n">
        <v>88.544</v>
      </c>
      <c r="AQ164" s="34" t="n">
        <v>82.702</v>
      </c>
      <c r="AR164" s="34" t="n">
        <v>370.91</v>
      </c>
      <c r="AS164" s="34" t="n">
        <v>81.074</v>
      </c>
      <c r="AT164" s="34" t="n">
        <v>39.764</v>
      </c>
      <c r="AU164" s="34" t="n">
        <v>77.79300000000001</v>
      </c>
      <c r="AV164" s="34" t="n">
        <v>83.44</v>
      </c>
      <c r="AW164" s="34" t="n">
        <v>282.071</v>
      </c>
      <c r="AX164" s="34" t="n">
        <v>103.928</v>
      </c>
      <c r="AY164" s="34" t="n">
        <v>121.822</v>
      </c>
      <c r="AZ164" s="34" t="n">
        <v>115.57</v>
      </c>
      <c r="BA164" s="34" t="n">
        <v>120.349</v>
      </c>
      <c r="BB164" s="34" t="n">
        <v>461.669</v>
      </c>
      <c r="BC164" s="34" t="n">
        <v>161.206</v>
      </c>
      <c r="BD164" s="34" t="n">
        <v>167.533</v>
      </c>
      <c r="BE164" s="34" t="n">
        <v>142.109</v>
      </c>
      <c r="BF164" s="34" t="n">
        <v>141.488</v>
      </c>
      <c r="BG164" s="34" t="n">
        <v>612.336</v>
      </c>
      <c r="BH164" s="34" t="n">
        <v>164.364</v>
      </c>
      <c r="BI164" s="34" t="n">
        <v>178.013</v>
      </c>
      <c r="BJ164" s="34" t="n">
        <v>171.441</v>
      </c>
      <c r="BK164" s="34" t="n">
        <v>204.031</v>
      </c>
      <c r="BL164" s="34" t="n">
        <v>717.849</v>
      </c>
      <c r="BM164" s="34" t="n">
        <v>165.047</v>
      </c>
      <c r="BN164" s="34" t="n">
        <v>148.838</v>
      </c>
      <c r="BO164" s="34" t="n">
        <v>145.56</v>
      </c>
      <c r="BP164" s="34" t="n">
        <v>177.017</v>
      </c>
      <c r="BQ164" s="34" t="n">
        <v>636.462</v>
      </c>
      <c r="BR164" s="34" t="n">
        <v>164.918</v>
      </c>
      <c r="BS164" s="34" t="n">
        <v>192.144</v>
      </c>
      <c r="BT164" s="34" t="n">
        <v>176.657</v>
      </c>
      <c r="BU164" s="34" t="n">
        <v>184.34</v>
      </c>
      <c r="BV164" s="34" t="n">
        <v>718.059</v>
      </c>
      <c r="BW164" s="34" t="n">
        <v>186.158</v>
      </c>
      <c r="BX164" s="34" t="n">
        <v>220.644</v>
      </c>
      <c r="BY164" s="269" t="n"/>
      <c r="BZ164" s="269" t="n"/>
      <c r="CA164" s="269" t="n"/>
      <c r="CB164" s="269" t="n"/>
      <c r="CC164" s="269" t="n"/>
      <c r="CD164" s="269" t="n"/>
      <c r="CE164" s="269" t="n"/>
      <c r="CF164" s="19" t="n"/>
    </row>
    <row r="165" outlineLevel="2" s="251">
      <c r="B165" s="25" t="inlineStr">
        <is>
          <t xml:space="preserve">  Memo: interest expense (gross; separately reported to 2022)</t>
        </is>
      </c>
      <c r="C165" s="34" t="n">
        <v>10.153</v>
      </c>
      <c r="D165" s="34" t="n">
        <v>11.43</v>
      </c>
      <c r="E165" s="34" t="n">
        <v>12.155</v>
      </c>
      <c r="F165" s="34" t="n">
        <v>8.521000000000001</v>
      </c>
      <c r="G165" s="34" t="n">
        <v>6.691</v>
      </c>
      <c r="H165" s="34" t="n">
        <v>6.704</v>
      </c>
      <c r="I165" s="34" t="n">
        <v>4.191</v>
      </c>
      <c r="J165" s="34" t="n">
        <v>0.95</v>
      </c>
      <c r="K165" s="34" t="n">
        <v>0.799</v>
      </c>
      <c r="L165" s="34" t="n">
        <v>0.5580000000000001</v>
      </c>
      <c r="M165" s="34" t="n">
        <v>0.5570000000000001</v>
      </c>
      <c r="N165" s="34" t="n">
        <v>2.864</v>
      </c>
      <c r="O165" s="34" t="n">
        <v>1.57</v>
      </c>
      <c r="P165" s="34" t="n">
        <v>0.986</v>
      </c>
      <c r="Q165" s="34" t="n">
        <v>1.174</v>
      </c>
      <c r="R165" s="34" t="n">
        <v>6.704</v>
      </c>
      <c r="S165" s="34" t="n">
        <v>10.434</v>
      </c>
      <c r="T165" s="34" t="n">
        <v>1.844</v>
      </c>
      <c r="U165" s="34" t="n">
        <v>4.387</v>
      </c>
      <c r="V165" s="34" t="n">
        <v>5.803</v>
      </c>
      <c r="W165" s="34" t="n">
        <v>9.789999999999999</v>
      </c>
      <c r="X165" s="34" t="n">
        <v>21.824</v>
      </c>
      <c r="Y165" s="34" t="n">
        <v>3.827</v>
      </c>
      <c r="Z165" s="34" t="n">
        <v>4.186</v>
      </c>
      <c r="AA165" s="34" t="n">
        <v>3.815</v>
      </c>
      <c r="AB165" s="34" t="n">
        <v>7.251</v>
      </c>
      <c r="AC165" s="34" t="n">
        <v>19.079</v>
      </c>
      <c r="AD165" s="34" t="n">
        <v>6.114</v>
      </c>
      <c r="AE165" s="34" t="n">
        <v>6.297</v>
      </c>
      <c r="AF165" s="34" t="n">
        <v>5.922</v>
      </c>
      <c r="AG165" s="34" t="n">
        <v>5.887</v>
      </c>
      <c r="AH165" s="34" t="n">
        <v>24.22</v>
      </c>
      <c r="AI165" s="34" t="n"/>
      <c r="AJ165" s="34" t="n"/>
      <c r="AK165" s="34" t="n"/>
      <c r="AL165" s="34" t="n"/>
      <c r="AM165" s="34" t="n"/>
      <c r="AN165" s="34" t="n"/>
      <c r="AO165" s="34" t="n"/>
      <c r="AP165" s="34" t="n"/>
      <c r="AQ165" s="34" t="n"/>
      <c r="AR165" s="34" t="n"/>
      <c r="AS165" s="34" t="n"/>
      <c r="AT165" s="34" t="n"/>
      <c r="AU165" s="34" t="n"/>
      <c r="AV165" s="34" t="n"/>
      <c r="AW165" s="34" t="n"/>
      <c r="AX165" s="34" t="n"/>
      <c r="AY165" s="34" t="n"/>
      <c r="AZ165" s="34" t="n"/>
      <c r="BA165" s="34" t="n"/>
      <c r="BB165" s="34" t="n"/>
      <c r="BC165" s="34" t="n"/>
      <c r="BD165" s="34" t="n"/>
      <c r="BE165" s="34" t="n"/>
      <c r="BF165" s="34" t="n"/>
      <c r="BG165" s="34" t="n"/>
      <c r="BH165" s="34" t="n"/>
      <c r="BI165" s="34" t="n"/>
      <c r="BJ165" s="34" t="n"/>
      <c r="BK165" s="34" t="n"/>
      <c r="BL165" s="34" t="n"/>
      <c r="BM165" s="34" t="n"/>
      <c r="BN165" s="34" t="n"/>
      <c r="BO165" s="34" t="n"/>
      <c r="BP165" s="34" t="n"/>
      <c r="BQ165" s="34" t="n"/>
      <c r="BR165" s="34" t="n"/>
      <c r="BS165" s="34" t="n"/>
      <c r="BT165" s="34" t="n"/>
      <c r="BU165" s="34" t="n"/>
      <c r="BV165" s="34" t="n"/>
      <c r="BW165" s="34" t="n"/>
      <c r="BX165" s="34" t="n"/>
      <c r="BY165" s="257" t="n"/>
      <c r="BZ165" s="257" t="n"/>
      <c r="CA165" s="257" t="n"/>
      <c r="CB165" s="257" t="n"/>
      <c r="CC165" s="257" t="n"/>
      <c r="CD165" s="257" t="n"/>
      <c r="CE165" s="257" t="n"/>
      <c r="CF165" s="19" t="n"/>
    </row>
    <row r="166" outlineLevel="2" s="251">
      <c r="B166" s="25" t="inlineStr">
        <is>
          <t xml:space="preserve">  Memo: interest income (separately reported to 2022; within interest expense, net from 2023)</t>
        </is>
      </c>
      <c r="C166" s="34" t="n">
        <v>5.876</v>
      </c>
      <c r="D166" s="34" t="n">
        <v>8.294</v>
      </c>
      <c r="E166" s="34" t="n">
        <v>8.845000000000001</v>
      </c>
      <c r="F166" s="34" t="n">
        <v>3.462</v>
      </c>
      <c r="G166" s="34" t="n">
        <v>2.381</v>
      </c>
      <c r="H166" s="34" t="n">
        <v>3.121</v>
      </c>
      <c r="I166" s="34" t="n">
        <v>3.988</v>
      </c>
      <c r="J166" s="34" t="n">
        <v>1.026</v>
      </c>
      <c r="K166" s="34" t="n">
        <v>0.89</v>
      </c>
      <c r="L166" s="34" t="n">
        <v>0.536</v>
      </c>
      <c r="M166" s="34" t="n">
        <v>0.868</v>
      </c>
      <c r="N166" s="34" t="n">
        <v>3.32</v>
      </c>
      <c r="O166" s="34" t="n">
        <v>0.914</v>
      </c>
      <c r="P166" s="34" t="n">
        <v>0.924</v>
      </c>
      <c r="Q166" s="34" t="n">
        <v>0.627</v>
      </c>
      <c r="R166" s="34" t="n">
        <v>0.628</v>
      </c>
      <c r="S166" s="34" t="n">
        <v>3.093</v>
      </c>
      <c r="T166" s="34" t="n">
        <v>0.593</v>
      </c>
      <c r="U166" s="34" t="n">
        <v>0.738</v>
      </c>
      <c r="V166" s="34" t="n">
        <v>0.6919999999999999</v>
      </c>
      <c r="W166" s="34" t="n">
        <v>0.6909999999999999</v>
      </c>
      <c r="X166" s="34" t="n">
        <v>2.714</v>
      </c>
      <c r="Y166" s="34" t="n">
        <v>0.43</v>
      </c>
      <c r="Z166" s="34" t="n">
        <v>0.435</v>
      </c>
      <c r="AA166" s="34" t="n">
        <v>0.36</v>
      </c>
      <c r="AB166" s="34" t="n">
        <v>0.867</v>
      </c>
      <c r="AC166" s="34" t="n">
        <v>2.092</v>
      </c>
      <c r="AD166" s="34" t="n">
        <v>0.777</v>
      </c>
      <c r="AE166" s="34" t="n">
        <v>1.245</v>
      </c>
      <c r="AF166" s="34" t="n">
        <v>1.327</v>
      </c>
      <c r="AG166" s="34" t="n">
        <v>1.439</v>
      </c>
      <c r="AH166" s="34" t="n">
        <v>4.788</v>
      </c>
      <c r="AI166" s="34" t="n"/>
      <c r="AJ166" s="34" t="n"/>
      <c r="AK166" s="34" t="n"/>
      <c r="AL166" s="34" t="n"/>
      <c r="AM166" s="34" t="n"/>
      <c r="AN166" s="34" t="n"/>
      <c r="AO166" s="34" t="n"/>
      <c r="AP166" s="34" t="n"/>
      <c r="AQ166" s="34" t="n"/>
      <c r="AR166" s="34" t="n"/>
      <c r="AS166" s="34" t="n"/>
      <c r="AT166" s="34" t="n"/>
      <c r="AU166" s="34" t="n"/>
      <c r="AV166" s="34" t="n"/>
      <c r="AW166" s="34" t="n"/>
      <c r="AX166" s="34" t="n"/>
      <c r="AY166" s="34" t="n"/>
      <c r="AZ166" s="34" t="n"/>
      <c r="BA166" s="34" t="n"/>
      <c r="BB166" s="34" t="n"/>
      <c r="BC166" s="34" t="n"/>
      <c r="BD166" s="34" t="n"/>
      <c r="BE166" s="34" t="n"/>
      <c r="BF166" s="34" t="n"/>
      <c r="BG166" s="34" t="n"/>
      <c r="BH166" s="34" t="n"/>
      <c r="BI166" s="34" t="n"/>
      <c r="BJ166" s="34" t="n"/>
      <c r="BK166" s="34" t="n"/>
      <c r="BL166" s="34" t="n"/>
      <c r="BM166" s="34" t="n"/>
      <c r="BN166" s="34" t="n"/>
      <c r="BO166" s="34" t="n"/>
      <c r="BP166" s="34" t="n"/>
      <c r="BQ166" s="34" t="n"/>
      <c r="BR166" s="34" t="n"/>
      <c r="BS166" s="34" t="n"/>
      <c r="BT166" s="34" t="n"/>
      <c r="BU166" s="34" t="n"/>
      <c r="BV166" s="34" t="n"/>
      <c r="BW166" s="34" t="n"/>
      <c r="BX166" s="34" t="n"/>
      <c r="BY166" s="257" t="n"/>
      <c r="BZ166" s="257" t="n"/>
      <c r="CA166" s="257" t="n"/>
      <c r="CB166" s="257" t="n"/>
      <c r="CC166" s="257" t="n"/>
      <c r="CD166" s="257" t="n"/>
      <c r="CE166" s="257" t="n"/>
      <c r="CF166" s="19" t="n"/>
    </row>
    <row r="167">
      <c r="B167" s="25" t="inlineStr">
        <is>
          <t>Interest expense, net of interest income</t>
        </is>
      </c>
      <c r="C167" s="34" t="n">
        <v>4.277</v>
      </c>
      <c r="D167" s="34" t="n">
        <v>3.135999999999999</v>
      </c>
      <c r="E167" s="34" t="n">
        <v>3.309999999999999</v>
      </c>
      <c r="F167" s="34" t="n">
        <v>5.059000000000001</v>
      </c>
      <c r="G167" s="34" t="n">
        <v>4.31</v>
      </c>
      <c r="H167" s="34" t="n">
        <v>3.583</v>
      </c>
      <c r="I167" s="34" t="n">
        <v>0.2029999999999998</v>
      </c>
      <c r="J167" s="34" t="n">
        <v>-0.07600000000000007</v>
      </c>
      <c r="K167" s="34" t="n">
        <v>-0.09099999999999997</v>
      </c>
      <c r="L167" s="34" t="n">
        <v>0.02200000000000002</v>
      </c>
      <c r="M167" s="34" t="n">
        <v>-0.3109999999999999</v>
      </c>
      <c r="N167" s="34" t="n">
        <v>-0.456</v>
      </c>
      <c r="O167" s="34" t="n">
        <v>0.656</v>
      </c>
      <c r="P167" s="34" t="n">
        <v>0.06199999999999994</v>
      </c>
      <c r="Q167" s="34" t="n">
        <v>0.5469999999999999</v>
      </c>
      <c r="R167" s="34" t="n">
        <v>6.076</v>
      </c>
      <c r="S167" s="34" t="n">
        <v>7.340999999999999</v>
      </c>
      <c r="T167" s="34" t="n">
        <v>1.251</v>
      </c>
      <c r="U167" s="34" t="n">
        <v>3.649</v>
      </c>
      <c r="V167" s="34" t="n">
        <v>5.111</v>
      </c>
      <c r="W167" s="34" t="n">
        <v>9.098999999999998</v>
      </c>
      <c r="X167" s="34" t="n">
        <v>19.11</v>
      </c>
      <c r="Y167" s="34" t="n">
        <v>3.397</v>
      </c>
      <c r="Z167" s="34" t="n">
        <v>3.751</v>
      </c>
      <c r="AA167" s="34" t="n">
        <v>3.455</v>
      </c>
      <c r="AB167" s="34" t="n">
        <v>6.384</v>
      </c>
      <c r="AC167" s="34" t="n">
        <v>16.987</v>
      </c>
      <c r="AD167" s="34" t="n">
        <v>5.337</v>
      </c>
      <c r="AE167" s="34" t="n">
        <v>5.052</v>
      </c>
      <c r="AF167" s="34" t="n">
        <v>4.595</v>
      </c>
      <c r="AG167" s="34" t="n">
        <v>4.448</v>
      </c>
      <c r="AH167" s="34" t="n">
        <v>19.432</v>
      </c>
      <c r="AI167" s="34" t="n">
        <v>4.441</v>
      </c>
      <c r="AJ167" s="34" t="n">
        <v>4.812</v>
      </c>
      <c r="AK167" s="34" t="n">
        <v>3.969</v>
      </c>
      <c r="AL167" s="34" t="n">
        <v>4.343</v>
      </c>
      <c r="AM167" s="34" t="n">
        <v>17.565</v>
      </c>
      <c r="AN167" s="34" t="n">
        <v>5.323</v>
      </c>
      <c r="AO167" s="34" t="n">
        <v>5.898</v>
      </c>
      <c r="AP167" s="34" t="n">
        <v>6.4</v>
      </c>
      <c r="AQ167" s="34" t="n">
        <v>5.794</v>
      </c>
      <c r="AR167" s="34" t="n">
        <v>23.415</v>
      </c>
      <c r="AS167" s="34" t="n">
        <v>5.458</v>
      </c>
      <c r="AT167" s="34" t="n">
        <v>5.881</v>
      </c>
      <c r="AU167" s="34" t="n">
        <v>5.552</v>
      </c>
      <c r="AV167" s="34" t="n">
        <v>5.082</v>
      </c>
      <c r="AW167" s="34" t="n">
        <v>21.973</v>
      </c>
      <c r="AX167" s="34" t="n">
        <v>5.359</v>
      </c>
      <c r="AY167" s="34" t="n">
        <v>5.663</v>
      </c>
      <c r="AZ167" s="34" t="n">
        <v>5.714</v>
      </c>
      <c r="BA167" s="34" t="n">
        <v>5.478</v>
      </c>
      <c r="BB167" s="34" t="n">
        <v>22.214</v>
      </c>
      <c r="BC167" s="34" t="n">
        <v>6.198</v>
      </c>
      <c r="BD167" s="34" t="n">
        <v>6.459</v>
      </c>
      <c r="BE167" s="34" t="n">
        <v>8.210000000000001</v>
      </c>
      <c r="BF167" s="34" t="n">
        <v>8.632999999999999</v>
      </c>
      <c r="BG167" s="34" t="n">
        <v>29.5</v>
      </c>
      <c r="BH167" s="34" t="n">
        <v>13.201</v>
      </c>
      <c r="BI167" s="34" t="n">
        <v>11.699</v>
      </c>
      <c r="BJ167" s="34" t="n">
        <v>10.809</v>
      </c>
      <c r="BK167" s="34" t="n">
        <v>8.663</v>
      </c>
      <c r="BL167" s="34" t="n">
        <v>44.371</v>
      </c>
      <c r="BM167" s="34" t="n">
        <v>8.779</v>
      </c>
      <c r="BN167" s="34" t="n">
        <v>10.661</v>
      </c>
      <c r="BO167" s="34" t="n">
        <v>11.974</v>
      </c>
      <c r="BP167" s="34" t="n">
        <v>11.372</v>
      </c>
      <c r="BQ167" s="34" t="n">
        <v>42.786</v>
      </c>
      <c r="BR167" s="34" t="n">
        <v>12.127</v>
      </c>
      <c r="BS167" s="34" t="n">
        <v>12.619</v>
      </c>
      <c r="BT167" s="34" t="n">
        <v>13.648</v>
      </c>
      <c r="BU167" s="34" t="n">
        <v>13.167</v>
      </c>
      <c r="BV167" s="34" t="n">
        <v>51.561</v>
      </c>
      <c r="BW167" s="34" t="n">
        <v>13.374</v>
      </c>
      <c r="BX167" s="34" t="n">
        <v>12.521</v>
      </c>
      <c r="BY167" s="257">
        <f>(CHOOSE(MATCH($CF$2,{"Bull","Base","Bear"},0),$CO$15,$CP$15,$CQ$15)-$BW$167-$BX$167)/2</f>
        <v>13.3025</v>
      </c>
      <c r="BZ167" s="257">
        <f>(CHOOSE(MATCH($CF$2,{"Bull","Base","Bear"},0),$CO$15,$CP$15,$CQ$15)-$BW$167-$BX$167)/2</f>
        <v>13.3025</v>
      </c>
      <c r="CA167" s="257">
        <f>SUM(BW167,BX167,BY167,BZ167)</f>
        <v>52.5</v>
      </c>
      <c r="CB167" s="257">
        <f>CA375*CB381+CA379*CB382-CA321*CB383</f>
        <v>44.8449239715873</v>
      </c>
      <c r="CC167" s="257">
        <f>CB375*CC381+CB379*CC382-CB321*CC383</f>
        <v>52.6597188671119</v>
      </c>
      <c r="CD167" s="257">
        <f>CC375*CD381+CC379*CD382-CC321*CD383</f>
        <v>58.1655482082567</v>
      </c>
      <c r="CE167" s="257">
        <f>CD375*CE381+CD379*CE382-CD321*CE383</f>
        <v>63.7690386069959</v>
      </c>
      <c r="CF167" s="19" t="inlineStr">
        <is>
          <t>Q3/Q4-26E: (FY26 assumption $50–55m − 1H actual) ÷ 2 for the active scenario. 2027E+: rate × opening balances (no circularity).</t>
        </is>
      </c>
    </row>
    <row r="168">
      <c r="B168" s="25" t="inlineStr">
        <is>
          <t>Equity earnings in affiliates</t>
        </is>
      </c>
      <c r="C168" s="34" t="n">
        <v>7.64</v>
      </c>
      <c r="D168" s="34" t="n">
        <v>9.837999999999999</v>
      </c>
      <c r="E168" s="34" t="n">
        <v>6.034</v>
      </c>
      <c r="F168" s="34" t="n">
        <v>-5.025</v>
      </c>
      <c r="G168" s="34" t="n">
        <v>3.171</v>
      </c>
      <c r="H168" s="34" t="n">
        <v>5.385</v>
      </c>
      <c r="I168" s="34" t="n">
        <v>5.007</v>
      </c>
      <c r="J168" s="34" t="n">
        <v>1.259</v>
      </c>
      <c r="K168" s="34" t="n">
        <v>1.258</v>
      </c>
      <c r="L168" s="34" t="n">
        <v>1.17</v>
      </c>
      <c r="M168" s="34" t="n">
        <v>1.119</v>
      </c>
      <c r="N168" s="34" t="n">
        <v>4.806</v>
      </c>
      <c r="O168" s="34" t="n">
        <v>1.561</v>
      </c>
      <c r="P168" s="34" t="n">
        <v>1.575</v>
      </c>
      <c r="Q168" s="34" t="n">
        <v>1.172</v>
      </c>
      <c r="R168" s="34" t="n">
        <v>1.104</v>
      </c>
      <c r="S168" s="34" t="n">
        <v>5.412</v>
      </c>
      <c r="T168" s="34" t="n">
        <v>0.849</v>
      </c>
      <c r="U168" s="34" t="n">
        <v>0.979</v>
      </c>
      <c r="V168" s="34" t="n">
        <v>0.31</v>
      </c>
      <c r="W168" s="34" t="n">
        <v>0.877</v>
      </c>
      <c r="X168" s="34" t="n">
        <v>3.015</v>
      </c>
      <c r="Y168" s="34" t="n">
        <v>0.626</v>
      </c>
      <c r="Z168" s="34" t="n">
        <v>0.839</v>
      </c>
      <c r="AA168" s="34" t="n">
        <v>0.619</v>
      </c>
      <c r="AB168" s="34" t="n">
        <v>0.844</v>
      </c>
      <c r="AC168" s="34" t="n">
        <v>2.928</v>
      </c>
      <c r="AD168" s="34" t="n">
        <v>0.795</v>
      </c>
      <c r="AE168" s="34" t="n">
        <v>0.44</v>
      </c>
      <c r="AF168" s="34" t="n">
        <v>0.766</v>
      </c>
      <c r="AG168" s="34" t="n">
        <v>0.741</v>
      </c>
      <c r="AH168" s="34" t="n">
        <v>2.742</v>
      </c>
      <c r="AI168" s="34" t="n">
        <v>0</v>
      </c>
      <c r="AJ168" s="34" t="n">
        <v>0</v>
      </c>
      <c r="AK168" s="34" t="n">
        <v>0</v>
      </c>
      <c r="AL168" s="34" t="n">
        <v>0</v>
      </c>
      <c r="AM168" s="34" t="n">
        <v>0</v>
      </c>
      <c r="AN168" s="34" t="n">
        <v>0</v>
      </c>
      <c r="AO168" s="34" t="n">
        <v>0</v>
      </c>
      <c r="AP168" s="34" t="n">
        <v>0</v>
      </c>
      <c r="AQ168" s="34" t="n">
        <v>0</v>
      </c>
      <c r="AR168" s="34" t="n">
        <v>0</v>
      </c>
      <c r="AS168" s="34" t="n">
        <v>0</v>
      </c>
      <c r="AT168" s="34" t="n">
        <v>0</v>
      </c>
      <c r="AU168" s="34" t="n">
        <v>0</v>
      </c>
      <c r="AV168" s="34" t="n">
        <v>0</v>
      </c>
      <c r="AW168" s="34" t="n">
        <v>0</v>
      </c>
      <c r="AX168" s="34" t="n">
        <v>0</v>
      </c>
      <c r="AY168" s="34" t="n">
        <v>0</v>
      </c>
      <c r="AZ168" s="34" t="n">
        <v>0</v>
      </c>
      <c r="BA168" s="34" t="n">
        <v>0</v>
      </c>
      <c r="BB168" s="34" t="n">
        <v>0</v>
      </c>
      <c r="BC168" s="34" t="n">
        <v>0</v>
      </c>
      <c r="BD168" s="34" t="n">
        <v>0</v>
      </c>
      <c r="BE168" s="34" t="n">
        <v>0</v>
      </c>
      <c r="BF168" s="34" t="n">
        <v>0</v>
      </c>
      <c r="BG168" s="34" t="n">
        <v>0</v>
      </c>
      <c r="BH168" s="34" t="n">
        <v>0</v>
      </c>
      <c r="BI168" s="34" t="n">
        <v>0</v>
      </c>
      <c r="BJ168" s="34" t="n">
        <v>0</v>
      </c>
      <c r="BK168" s="34" t="n">
        <v>0</v>
      </c>
      <c r="BL168" s="34" t="n">
        <v>0</v>
      </c>
      <c r="BM168" s="34" t="n">
        <v>0</v>
      </c>
      <c r="BN168" s="34" t="n">
        <v>0</v>
      </c>
      <c r="BO168" s="34" t="n">
        <v>0</v>
      </c>
      <c r="BP168" s="34" t="n">
        <v>0</v>
      </c>
      <c r="BQ168" s="34" t="n">
        <v>0</v>
      </c>
      <c r="BR168" s="34" t="n">
        <v>0</v>
      </c>
      <c r="BS168" s="34" t="n">
        <v>0</v>
      </c>
      <c r="BT168" s="34" t="n">
        <v>0</v>
      </c>
      <c r="BU168" s="34" t="n">
        <v>0</v>
      </c>
      <c r="BV168" s="34" t="n">
        <v>0</v>
      </c>
      <c r="BW168" s="34" t="n">
        <v>0</v>
      </c>
      <c r="BX168" s="34" t="n">
        <v>0</v>
      </c>
      <c r="BY168" s="261" t="n">
        <v>0</v>
      </c>
      <c r="BZ168" s="261" t="n">
        <v>0</v>
      </c>
      <c r="CA168" s="261" t="n">
        <v>0</v>
      </c>
      <c r="CB168" s="261" t="n">
        <v>0</v>
      </c>
      <c r="CC168" s="261" t="n">
        <v>0</v>
      </c>
      <c r="CD168" s="261" t="n">
        <v>0</v>
      </c>
      <c r="CE168" s="261" t="n">
        <v>0</v>
      </c>
      <c r="CF168" s="19" t="inlineStr">
        <is>
          <t>Reported separately to 2019 (Turkey / Chile JVs); none forecast.</t>
        </is>
      </c>
    </row>
    <row r="169">
      <c r="B169" s="25" t="inlineStr">
        <is>
          <t>Other income (expense)</t>
        </is>
      </c>
      <c r="C169" s="34" t="n">
        <v>1.839</v>
      </c>
      <c r="D169" s="34" t="n">
        <v>2.823</v>
      </c>
      <c r="E169" s="34" t="n">
        <v>1.681</v>
      </c>
      <c r="F169" s="34" t="n">
        <v>3.589</v>
      </c>
      <c r="G169" s="34" t="n">
        <v>1.817</v>
      </c>
      <c r="H169" s="34" t="n">
        <v>2.849</v>
      </c>
      <c r="I169" s="34" t="n">
        <v>2.685</v>
      </c>
      <c r="J169" s="34" t="n">
        <v>0.714</v>
      </c>
      <c r="K169" s="34" t="n">
        <v>0.913</v>
      </c>
      <c r="L169" s="34" t="n">
        <v>1.514</v>
      </c>
      <c r="M169" s="34" t="n">
        <v>1.053</v>
      </c>
      <c r="N169" s="34" t="n">
        <v>4.194</v>
      </c>
      <c r="O169" s="34" t="n">
        <v>1.083</v>
      </c>
      <c r="P169" s="34" t="n">
        <v>1.078</v>
      </c>
      <c r="Q169" s="34" t="n">
        <v>1.043</v>
      </c>
      <c r="R169" s="34" t="n">
        <v>0.791</v>
      </c>
      <c r="S169" s="34" t="n">
        <v>3.995</v>
      </c>
      <c r="T169" s="34" t="n">
        <v>2.61</v>
      </c>
      <c r="U169" s="34" t="n">
        <v>0.317</v>
      </c>
      <c r="V169" s="34" t="n">
        <v>0.296</v>
      </c>
      <c r="W169" s="34" t="n">
        <v>0.959</v>
      </c>
      <c r="X169" s="34" t="n">
        <v>4.182</v>
      </c>
      <c r="Y169" s="34" t="n">
        <v>0.661</v>
      </c>
      <c r="Z169" s="34" t="n">
        <v>0.588</v>
      </c>
      <c r="AA169" s="34" t="n">
        <v>1.303</v>
      </c>
      <c r="AB169" s="34" t="n">
        <v>0.621</v>
      </c>
      <c r="AC169" s="34" t="n">
        <v>3.173</v>
      </c>
      <c r="AD169" s="34" t="n">
        <v>0.956</v>
      </c>
      <c r="AE169" s="34" t="n">
        <v>0.9360000000000001</v>
      </c>
      <c r="AF169" s="34" t="n">
        <v>1.401</v>
      </c>
      <c r="AG169" s="34" t="n">
        <v>1.922</v>
      </c>
      <c r="AH169" s="34" t="n">
        <v>5.215</v>
      </c>
      <c r="AI169" s="34" t="n">
        <v>3.451</v>
      </c>
      <c r="AJ169" s="34" t="n">
        <v>4.441</v>
      </c>
      <c r="AK169" s="34" t="n">
        <v>-1.074</v>
      </c>
      <c r="AL169" s="34" t="n">
        <v>3.868</v>
      </c>
      <c r="AM169" s="34" t="n">
        <v>10.686</v>
      </c>
      <c r="AN169" s="34" t="n">
        <v>3.763</v>
      </c>
      <c r="AO169" s="34" t="n">
        <v>4.196</v>
      </c>
      <c r="AP169" s="34" t="n">
        <v>9.653</v>
      </c>
      <c r="AQ169" s="34" t="n">
        <v>3.386</v>
      </c>
      <c r="AR169" s="34" t="n">
        <v>20.998</v>
      </c>
      <c r="AS169" s="34" t="n">
        <v>0.309</v>
      </c>
      <c r="AT169" s="34" t="n">
        <v>-0.203</v>
      </c>
      <c r="AU169" s="34" t="n">
        <v>1.062</v>
      </c>
      <c r="AV169" s="34" t="n">
        <v>2.774</v>
      </c>
      <c r="AW169" s="34" t="n">
        <v>3.942</v>
      </c>
      <c r="AX169" s="34" t="n">
        <v>-1.416</v>
      </c>
      <c r="AY169" s="34" t="n">
        <v>1.702</v>
      </c>
      <c r="AZ169" s="34" t="n">
        <v>-71.441</v>
      </c>
      <c r="BA169" s="34" t="n">
        <v>-43.302</v>
      </c>
      <c r="BB169" s="34" t="n">
        <v>-114.457</v>
      </c>
      <c r="BC169" s="34" t="n">
        <v>4.634</v>
      </c>
      <c r="BD169" s="34" t="n">
        <v>-1.134</v>
      </c>
      <c r="BE169" s="34" t="n">
        <v>3.588</v>
      </c>
      <c r="BF169" s="34" t="n">
        <v>2.903</v>
      </c>
      <c r="BG169" s="34" t="n">
        <v>9.991</v>
      </c>
      <c r="BH169" s="34" t="n">
        <v>4.209</v>
      </c>
      <c r="BI169" s="34" t="n">
        <v>6.746</v>
      </c>
      <c r="BJ169" s="34" t="n">
        <v>0.801</v>
      </c>
      <c r="BK169" s="34" t="n">
        <v>1.662</v>
      </c>
      <c r="BL169" s="34" t="n">
        <v>13.388</v>
      </c>
      <c r="BM169" s="34" t="n">
        <v>2.262</v>
      </c>
      <c r="BN169" s="34" t="n">
        <v>-1.553</v>
      </c>
      <c r="BO169" s="34" t="n">
        <v>-1.644</v>
      </c>
      <c r="BP169" s="34" t="n">
        <v>1.408</v>
      </c>
      <c r="BQ169" s="34" t="n">
        <v>0.473</v>
      </c>
      <c r="BR169" s="34" t="n">
        <v>0.444</v>
      </c>
      <c r="BS169" s="34" t="n">
        <v>4.034</v>
      </c>
      <c r="BT169" s="34" t="n">
        <v>2.986</v>
      </c>
      <c r="BU169" s="34" t="n">
        <v>1.488</v>
      </c>
      <c r="BV169" s="34" t="n">
        <v>8.952</v>
      </c>
      <c r="BW169" s="34" t="n">
        <v>0.57</v>
      </c>
      <c r="BX169" s="34" t="n">
        <v>-0.241</v>
      </c>
      <c r="BY169" s="257">
        <f>($BW$169+$BX$169)/2</f>
        <v>0.1645</v>
      </c>
      <c r="BZ169" s="257">
        <f>($BW$169+$BX$169)/2</f>
        <v>0.1645</v>
      </c>
      <c r="CA169" s="257">
        <f>SUM(BW169,BX169,BY169,BZ169)</f>
        <v>0.658</v>
      </c>
      <c r="CB169" s="261" t="n">
        <v>4</v>
      </c>
      <c r="CC169" s="261" t="n">
        <v>4</v>
      </c>
      <c r="CD169" s="261" t="n">
        <v>4</v>
      </c>
      <c r="CE169" s="261" t="n">
        <v>4</v>
      </c>
      <c r="CF169" s="19" t="inlineStr">
        <is>
          <t>Pension non-service income/cost (from 2018), FX, other. Q3/Q4-26E: 1H run-rate; 2027E+: $4m p.a. input.</t>
        </is>
      </c>
    </row>
    <row r="170">
      <c r="B170" s="16" t="inlineStr">
        <is>
          <t>Income before income taxes</t>
        </is>
      </c>
      <c r="C170" s="43">
        <f>C162-C167+C168+C169</f>
        <v>238.172</v>
      </c>
      <c r="D170" s="43">
        <f>D162-D167+D168+D169</f>
        <v>287.157</v>
      </c>
      <c r="E170" s="43">
        <f>E162-E167+E168+E169</f>
        <v>299.809</v>
      </c>
      <c r="F170" s="43">
        <f>F162-F167+F168+F169</f>
        <v>86.4810000000001</v>
      </c>
      <c r="G170" s="43">
        <f>G162-G167+G168+G169</f>
        <v>187.108</v>
      </c>
      <c r="H170" s="43">
        <f>H162-H167+H168+H169</f>
        <v>301.331</v>
      </c>
      <c r="I170" s="43">
        <f>I162-I167+I168+I169</f>
        <v>369.57</v>
      </c>
      <c r="J170" s="43">
        <f>J162-J167+J168+J169</f>
        <v>90.679</v>
      </c>
      <c r="K170" s="43">
        <f>K162-K167+K168+K169</f>
        <v>106.534</v>
      </c>
      <c r="L170" s="43">
        <f>L162-L167+L168+L169</f>
        <v>97.84</v>
      </c>
      <c r="M170" s="43">
        <f>M162-M167+M168+M169</f>
        <v>121.388</v>
      </c>
      <c r="N170" s="43">
        <f>N162-N167+N168+N169</f>
        <v>416.441</v>
      </c>
      <c r="O170" s="43">
        <f>O162-O167+O168+O169</f>
        <v>82.426</v>
      </c>
      <c r="P170" s="43">
        <f>P162-P167+P168+P169</f>
        <v>114.866</v>
      </c>
      <c r="Q170" s="43">
        <f>Q162-Q167+Q168+Q169</f>
        <v>77.785</v>
      </c>
      <c r="R170" s="43">
        <f>R162-R167+R168+R169</f>
        <v>100.736</v>
      </c>
      <c r="S170" s="43">
        <f>S162-S167+S168+S169</f>
        <v>375.813</v>
      </c>
      <c r="T170" s="43">
        <f>T162-T167+T168+T169</f>
        <v>92.707</v>
      </c>
      <c r="U170" s="43">
        <f>U162-U167+U168+U169</f>
        <v>94.434</v>
      </c>
      <c r="V170" s="43">
        <f>V162-V167+V168+V169</f>
        <v>-88.5259999999999</v>
      </c>
      <c r="W170" s="43">
        <f>W162-W167+W168+W169</f>
        <v>71.172</v>
      </c>
      <c r="X170" s="43">
        <f>X162-X167+X168+X169</f>
        <v>169.787</v>
      </c>
      <c r="Y170" s="43">
        <f>Y162-Y167+Y168+Y169</f>
        <v>73.182</v>
      </c>
      <c r="Z170" s="43">
        <f>Z162-Z167+Z168+Z169</f>
        <v>45.758</v>
      </c>
      <c r="AA170" s="43">
        <f>AA162-AA167+AA168+AA169</f>
        <v>80.296</v>
      </c>
      <c r="AB170" s="43">
        <f>AB162-AB167+AB168+AB169</f>
        <v>78.152</v>
      </c>
      <c r="AC170" s="43">
        <f>AC162-AC167+AC168+AC169</f>
        <v>277.388</v>
      </c>
      <c r="AD170" s="43">
        <f>AD162-AD167+AD168+AD169</f>
        <v>77.9000000000001</v>
      </c>
      <c r="AE170" s="43">
        <f>AE162-AE167+AE168+AE169</f>
        <v>83.966</v>
      </c>
      <c r="AF170" s="43">
        <f>AF162-AF167+AF168+AF169</f>
        <v>130.642</v>
      </c>
      <c r="AG170" s="43">
        <f>AG162-AG167+AG168+AG169</f>
        <v>73.7279999999999</v>
      </c>
      <c r="AH170" s="43">
        <f>AH162-AH167+AH168+AH169</f>
        <v>366.236</v>
      </c>
      <c r="AI170" s="43">
        <f>AI162-AI167+AI168+AI169</f>
        <v>84.198</v>
      </c>
      <c r="AJ170" s="43">
        <f>AJ162-AJ167+AJ168+AJ169</f>
        <v>94.263</v>
      </c>
      <c r="AK170" s="43">
        <f>AK162-AK167+AK168+AK169</f>
        <v>95.744</v>
      </c>
      <c r="AL170" s="43">
        <f>AL162-AL167+AL168+AL169</f>
        <v>94.455</v>
      </c>
      <c r="AM170" s="43">
        <f>AM162-AM167+AM168+AM169</f>
        <v>368.66</v>
      </c>
      <c r="AN170" s="43">
        <f>AN162-AN167+AN168+AN169</f>
        <v>92.918</v>
      </c>
      <c r="AO170" s="43">
        <f>AO162-AO167+AO168+AO169</f>
        <v>103.484</v>
      </c>
      <c r="AP170" s="43">
        <f>AP162-AP167+AP168+AP169</f>
        <v>91.797</v>
      </c>
      <c r="AQ170" s="43">
        <f>AQ162-AQ167+AQ168+AQ169</f>
        <v>80.294</v>
      </c>
      <c r="AR170" s="43">
        <f>AR162-AR167+AR168+AR169</f>
        <v>368.493</v>
      </c>
      <c r="AS170" s="43">
        <f>AS162-AS167+AS168+AS169</f>
        <v>75.925</v>
      </c>
      <c r="AT170" s="43">
        <f>AT162-AT167+AT168+AT169</f>
        <v>33.68</v>
      </c>
      <c r="AU170" s="43">
        <f>AU162-AU167+AU168+AU169</f>
        <v>73.3030000000001</v>
      </c>
      <c r="AV170" s="43">
        <f>AV162-AV167+AV168+AV169</f>
        <v>81.132</v>
      </c>
      <c r="AW170" s="43">
        <f>AW162-AW167+AW168+AW169</f>
        <v>264.04</v>
      </c>
      <c r="AX170" s="43">
        <f>AX162-AX167+AX168+AX169</f>
        <v>97.153</v>
      </c>
      <c r="AY170" s="43">
        <f>AY162-AY167+AY168+AY169</f>
        <v>117.861</v>
      </c>
      <c r="AZ170" s="43">
        <f>AZ162-AZ167+AZ168+AZ169</f>
        <v>38.4149999999999</v>
      </c>
      <c r="BA170" s="43">
        <f>BA162-BA167+BA168+BA169</f>
        <v>71.5689999999999</v>
      </c>
      <c r="BB170" s="43">
        <f>BB162-BB167+BB168+BB169</f>
        <v>324.998</v>
      </c>
      <c r="BC170" s="43">
        <f>BC162-BC167+BC168+BC169</f>
        <v>159.642</v>
      </c>
      <c r="BD170" s="43">
        <f>BD162-BD167+BD168+BD169</f>
        <v>159.94</v>
      </c>
      <c r="BE170" s="43">
        <f>BE162-BE167+BE168+BE169</f>
        <v>137.487</v>
      </c>
      <c r="BF170" s="43">
        <f>BF162-BF167+BF168+BF169</f>
        <v>135.758</v>
      </c>
      <c r="BG170" s="43">
        <f>BG162-BG167+BG168+BG169</f>
        <v>592.827</v>
      </c>
      <c r="BH170" s="43">
        <f>BH162-BH167+BH168+BH169</f>
        <v>155.372</v>
      </c>
      <c r="BI170" s="43">
        <f>BI162-BI167+BI168+BI169</f>
        <v>173.06</v>
      </c>
      <c r="BJ170" s="43">
        <f>BJ162-BJ167+BJ168+BJ169</f>
        <v>161.433</v>
      </c>
      <c r="BK170" s="43">
        <f>BK162-BK167+BK168+BK169</f>
        <v>197.03</v>
      </c>
      <c r="BL170" s="43">
        <f>BL162-BL167+BL168+BL169</f>
        <v>686.866000000001</v>
      </c>
      <c r="BM170" s="43">
        <f>BM162-BM167+BM168+BM169</f>
        <v>158.53</v>
      </c>
      <c r="BN170" s="43">
        <f>BN162-BN167+BN168+BN169</f>
        <v>136.624</v>
      </c>
      <c r="BO170" s="43">
        <f>BO162-BO167+BO168+BO169</f>
        <v>131.942</v>
      </c>
      <c r="BP170" s="43">
        <f>BP162-BP167+BP168+BP169</f>
        <v>167.053</v>
      </c>
      <c r="BQ170" s="43">
        <f>BQ162-BQ167+BQ168+BQ169</f>
        <v>594.149</v>
      </c>
      <c r="BR170" s="43">
        <f>BR162-BR167+BR168+BR169</f>
        <v>153.235</v>
      </c>
      <c r="BS170" s="43">
        <f>BS162-BS167+BS168+BS169</f>
        <v>183.559</v>
      </c>
      <c r="BT170" s="43">
        <f>BT162-BT167+BT168+BT169</f>
        <v>165.995</v>
      </c>
      <c r="BU170" s="43">
        <f>BU162-BU167+BU168+BU169</f>
        <v>172.661</v>
      </c>
      <c r="BV170" s="43">
        <f>BV162-BV167+BV168+BV169</f>
        <v>675.45</v>
      </c>
      <c r="BW170" s="43">
        <f>BW162-BW167+BW168+BW169</f>
        <v>173.354</v>
      </c>
      <c r="BX170" s="43">
        <f>BX162-BX167+BX168+BX169</f>
        <v>207.882</v>
      </c>
      <c r="BY170" s="253">
        <f>BY162-BY167+BY168+BY169</f>
        <v>198.52254919654</v>
      </c>
      <c r="BZ170" s="253">
        <f>BZ162-BZ167+BZ168+BZ169</f>
        <v>206.98028705346</v>
      </c>
      <c r="CA170" s="253">
        <f>CA162-CA167+CA168+CA169</f>
        <v>786.73883625</v>
      </c>
      <c r="CB170" s="253">
        <f>CB162-CB167+CB168+CB169</f>
        <v>877.814102763387</v>
      </c>
      <c r="CC170" s="253">
        <f>CC162-CC167+CC168+CC169</f>
        <v>966.794222998291</v>
      </c>
      <c r="CD170" s="253">
        <f>CD162-CD167+CD168+CD169</f>
        <v>1059.54920306322</v>
      </c>
      <c r="CE170" s="253">
        <f>CE162-CE167+CE168+CE169</f>
        <v>1156.86296183385</v>
      </c>
      <c r="CF170" s="19" t="n"/>
      <c r="CH170" s="20">
        <f>IFERROR((CE170/BV170)^(1/5)-1,"n/m")</f>
        <v>0.113621846619898</v>
      </c>
      <c r="CI170" s="20">
        <f>IFERROR((BV170/AW170)^(1/5)-1,"n/m")</f>
        <v>0.206659388738289</v>
      </c>
      <c r="CJ170" s="20">
        <f>IFERROR((BV170/X170)^(1/10)-1,"n/m")</f>
        <v>0.148071344235425</v>
      </c>
      <c r="CK170" s="20">
        <f>IFERROR((BV170/C170)^(1/19)-1,"n/m")</f>
        <v>0.056395268801243</v>
      </c>
    </row>
    <row r="171">
      <c r="B171" s="25" t="inlineStr">
        <is>
          <t>Income taxes</t>
        </is>
      </c>
      <c r="C171" s="34" t="n">
        <v>63.164</v>
      </c>
      <c r="D171" s="34" t="n">
        <v>84.42100000000001</v>
      </c>
      <c r="E171" s="34" t="n">
        <v>87.523</v>
      </c>
      <c r="F171" s="34" t="n">
        <v>37.905</v>
      </c>
      <c r="G171" s="34" t="n">
        <v>54.898</v>
      </c>
      <c r="H171" s="34" t="n">
        <v>84.318</v>
      </c>
      <c r="I171" s="34" t="n">
        <v>112.354</v>
      </c>
      <c r="J171" s="34" t="n">
        <v>23.836</v>
      </c>
      <c r="K171" s="34" t="n">
        <v>34.007</v>
      </c>
      <c r="L171" s="34" t="n">
        <v>33.588</v>
      </c>
      <c r="M171" s="34" t="n">
        <v>33.323</v>
      </c>
      <c r="N171" s="34" t="n">
        <v>124.754</v>
      </c>
      <c r="O171" s="34" t="n">
        <v>26.002</v>
      </c>
      <c r="P171" s="34" t="n">
        <v>37.577</v>
      </c>
      <c r="Q171" s="34" t="n">
        <v>32.953</v>
      </c>
      <c r="R171" s="34" t="n">
        <v>25.401</v>
      </c>
      <c r="S171" s="34" t="n">
        <v>121.933</v>
      </c>
      <c r="T171" s="34" t="n">
        <v>24.389</v>
      </c>
      <c r="U171" s="34" t="n">
        <v>23.558</v>
      </c>
      <c r="V171" s="34" t="n">
        <v>-28.045</v>
      </c>
      <c r="W171" s="34" t="n">
        <v>22.473</v>
      </c>
      <c r="X171" s="34" t="n">
        <v>42.375</v>
      </c>
      <c r="Y171" s="34" t="n">
        <v>19.558</v>
      </c>
      <c r="Z171" s="34" t="n">
        <v>14.449</v>
      </c>
      <c r="AA171" s="34" t="n">
        <v>20.257</v>
      </c>
      <c r="AB171" s="34" t="n">
        <v>24.751</v>
      </c>
      <c r="AC171" s="34" t="n">
        <v>79.015</v>
      </c>
      <c r="AD171" s="34" t="n">
        <v>22.052</v>
      </c>
      <c r="AE171" s="34" t="n">
        <v>22.635</v>
      </c>
      <c r="AF171" s="34" t="n">
        <v>24.531</v>
      </c>
      <c r="AG171" s="34" t="n">
        <v>49.543</v>
      </c>
      <c r="AH171" s="34" t="n">
        <v>118.761</v>
      </c>
      <c r="AI171" s="34" t="n">
        <v>23.378</v>
      </c>
      <c r="AJ171" s="34" t="n">
        <v>25.404</v>
      </c>
      <c r="AK171" s="34" t="n">
        <v>25.209</v>
      </c>
      <c r="AL171" s="34" t="n">
        <v>7.676</v>
      </c>
      <c r="AM171" s="34" t="n">
        <v>81.667</v>
      </c>
      <c r="AN171" s="34" t="n">
        <v>21.452</v>
      </c>
      <c r="AO171" s="34" t="n">
        <v>18.04</v>
      </c>
      <c r="AP171" s="34" t="n">
        <v>19.34</v>
      </c>
      <c r="AQ171" s="34" t="n">
        <v>16.578</v>
      </c>
      <c r="AR171" s="34" t="n">
        <v>75.41</v>
      </c>
      <c r="AS171" s="34" t="n">
        <v>20.37</v>
      </c>
      <c r="AT171" s="34" t="n">
        <v>6.667</v>
      </c>
      <c r="AU171" s="34" t="n">
        <v>14.797</v>
      </c>
      <c r="AV171" s="34" t="n">
        <v>16.062</v>
      </c>
      <c r="AW171" s="34" t="n">
        <v>57.896</v>
      </c>
      <c r="AX171" s="34" t="n">
        <v>23.02</v>
      </c>
      <c r="AY171" s="34" t="n">
        <v>21.581</v>
      </c>
      <c r="AZ171" s="34" t="n">
        <v>6.658</v>
      </c>
      <c r="BA171" s="34" t="n">
        <v>-2.841</v>
      </c>
      <c r="BB171" s="34" t="n">
        <v>48.418</v>
      </c>
      <c r="BC171" s="34" t="n">
        <v>33.611</v>
      </c>
      <c r="BD171" s="34" t="n">
        <v>32.118</v>
      </c>
      <c r="BE171" s="34" t="n">
        <v>28.262</v>
      </c>
      <c r="BF171" s="34" t="n">
        <v>26.612</v>
      </c>
      <c r="BG171" s="34" t="n">
        <v>120.603</v>
      </c>
      <c r="BH171" s="34" t="n">
        <v>33.413</v>
      </c>
      <c r="BI171" s="34" t="n">
        <v>35.729</v>
      </c>
      <c r="BJ171" s="34" t="n">
        <v>32.09</v>
      </c>
      <c r="BK171" s="34" t="n">
        <v>40.386</v>
      </c>
      <c r="BL171" s="34" t="n">
        <v>141.618</v>
      </c>
      <c r="BM171" s="34" t="n">
        <v>35.115</v>
      </c>
      <c r="BN171" s="34" t="n">
        <v>34.916</v>
      </c>
      <c r="BO171" s="34" t="n">
        <v>31.186</v>
      </c>
      <c r="BP171" s="34" t="n">
        <v>26.824</v>
      </c>
      <c r="BQ171" s="34" t="n">
        <v>128.041</v>
      </c>
      <c r="BR171" s="34" t="n">
        <v>34.748</v>
      </c>
      <c r="BS171" s="34" t="n">
        <v>40.163</v>
      </c>
      <c r="BT171" s="34" t="n">
        <v>43.367</v>
      </c>
      <c r="BU171" s="34" t="n">
        <v>36.639</v>
      </c>
      <c r="BV171" s="34" t="n">
        <v>154.917</v>
      </c>
      <c r="BW171" s="34" t="n">
        <v>36.972</v>
      </c>
      <c r="BX171" s="34" t="n">
        <v>49.363</v>
      </c>
      <c r="BY171" s="257">
        <f>BY170*BY172</f>
        <v>45.6601863152042</v>
      </c>
      <c r="BZ171" s="257">
        <f>BZ170*BZ172</f>
        <v>47.6054660222957</v>
      </c>
      <c r="CA171" s="257">
        <f>SUM(BW171,BX171,BY171,BZ171)</f>
        <v>179.6006523375</v>
      </c>
      <c r="CB171" s="257">
        <f>CB170*CB172</f>
        <v>206.286314149396</v>
      </c>
      <c r="CC171" s="257">
        <f>CC170*CC172</f>
        <v>227.196642404598</v>
      </c>
      <c r="CD171" s="257">
        <f>CD170*CD172</f>
        <v>248.994062719858</v>
      </c>
      <c r="CE171" s="257">
        <f>CE170*CE172</f>
        <v>271.862796030955</v>
      </c>
      <c r="CF171" s="19" t="n"/>
    </row>
    <row r="172">
      <c r="B172" s="25" t="inlineStr">
        <is>
          <t xml:space="preserve">  Effective tax rate</t>
        </is>
      </c>
      <c r="C172" s="36">
        <f>IF(AND(ISNUMBER(C171),ISNUMBER(C170)),IFERROR(C171/C170,""),"")</f>
        <v>0.265203298456578</v>
      </c>
      <c r="D172" s="36">
        <f>IF(AND(ISNUMBER(D171),ISNUMBER(D170)),IFERROR(D171/D170,""),"")</f>
        <v>0.293989002531716</v>
      </c>
      <c r="E172" s="36">
        <f>IF(AND(ISNUMBER(E171),ISNUMBER(E170)),IFERROR(E171/E170,""),"")</f>
        <v>0.291929194920766</v>
      </c>
      <c r="F172" s="36">
        <f>IF(AND(ISNUMBER(F171),ISNUMBER(F170)),IFERROR(F171/F170,""),"")</f>
        <v>0.438304367433309</v>
      </c>
      <c r="G172" s="36">
        <f>IF(AND(ISNUMBER(G171),ISNUMBER(G170)),IFERROR(G171/G170,""),"")</f>
        <v>0.293402740663147</v>
      </c>
      <c r="H172" s="36">
        <f>IF(AND(ISNUMBER(H171),ISNUMBER(H170)),IFERROR(H171/H170,""),"")</f>
        <v>0.279818538417886</v>
      </c>
      <c r="I172" s="36">
        <f>IF(AND(ISNUMBER(I171),ISNUMBER(I170)),IFERROR(I171/I170,""),"")</f>
        <v>0.304012771599426</v>
      </c>
      <c r="J172" s="36">
        <f>IF(AND(ISNUMBER(J171),ISNUMBER(J170)),IFERROR(J171/J170,""),"")</f>
        <v>0.262861301955249</v>
      </c>
      <c r="K172" s="36">
        <f>IF(AND(ISNUMBER(K171),ISNUMBER(K170)),IFERROR(K171/K170,""),"")</f>
        <v>0.319212645728124</v>
      </c>
      <c r="L172" s="36">
        <f>IF(AND(ISNUMBER(L171),ISNUMBER(L170)),IFERROR(L171/L170,""),"")</f>
        <v>0.34329517579722</v>
      </c>
      <c r="M172" s="36">
        <f>IF(AND(ISNUMBER(M171),ISNUMBER(M170)),IFERROR(M171/M170,""),"")</f>
        <v>0.274516426664909</v>
      </c>
      <c r="N172" s="36">
        <f>IF(AND(ISNUMBER(N171),ISNUMBER(N170)),IFERROR(N171/N170,""),"")</f>
        <v>0.299571848112938</v>
      </c>
      <c r="O172" s="36">
        <f>IF(AND(ISNUMBER(O171),ISNUMBER(O170)),IFERROR(O171/O170,""),"")</f>
        <v>0.315458714483294</v>
      </c>
      <c r="P172" s="36">
        <f>IF(AND(ISNUMBER(P171),ISNUMBER(P170)),IFERROR(P171/P170,""),"")</f>
        <v>0.327137708286177</v>
      </c>
      <c r="Q172" s="36">
        <f>IF(AND(ISNUMBER(Q171),ISNUMBER(Q170)),IFERROR(Q171/Q170,""),"")</f>
        <v>0.423642090377322</v>
      </c>
      <c r="R172" s="36">
        <f>IF(AND(ISNUMBER(R171),ISNUMBER(R170)),IFERROR(R171/R170,""),"")</f>
        <v>0.2521541454892</v>
      </c>
      <c r="S172" s="36">
        <f>IF(AND(ISNUMBER(S171),ISNUMBER(S170)),IFERROR(S171/S170,""),"")</f>
        <v>0.324451256342915</v>
      </c>
      <c r="T172" s="36">
        <f>IF(AND(ISNUMBER(T171),ISNUMBER(T170)),IFERROR(T171/T170,""),"")</f>
        <v>0.263076143117564</v>
      </c>
      <c r="U172" s="36">
        <f>IF(AND(ISNUMBER(U171),ISNUMBER(U170)),IFERROR(U171/U170,""),"")</f>
        <v>0.249465234978927</v>
      </c>
      <c r="V172" s="36">
        <f>IF(AND(ISNUMBER(V171),ISNUMBER(V170)),IFERROR(V171/V170,""),"")</f>
        <v>0.316799584302917</v>
      </c>
      <c r="W172" s="36">
        <f>IF(AND(ISNUMBER(W171),ISNUMBER(W170)),IFERROR(W171/W170,""),"")</f>
        <v>0.315756196256955</v>
      </c>
      <c r="X172" s="36">
        <f>IF(AND(ISNUMBER(X171),ISNUMBER(X170)),IFERROR(X171/X170,""),"")</f>
        <v>0.249577411698186</v>
      </c>
      <c r="Y172" s="36">
        <f>IF(AND(ISNUMBER(Y171),ISNUMBER(Y170)),IFERROR(Y171/Y170,""),"")</f>
        <v>0.267251509934137</v>
      </c>
      <c r="Z172" s="36">
        <f>IF(AND(ISNUMBER(Z171),ISNUMBER(Z170)),IFERROR(Z171/Z170,""),"")</f>
        <v>0.315769920013986</v>
      </c>
      <c r="AA172" s="36">
        <f>IF(AND(ISNUMBER(AA171),ISNUMBER(AA170)),IFERROR(AA171/AA170,""),"")</f>
        <v>0.252279067450434</v>
      </c>
      <c r="AB172" s="36">
        <f>IF(AND(ISNUMBER(AB171),ISNUMBER(AB170)),IFERROR(AB171/AB170,""),"")</f>
        <v>0.316703347323165</v>
      </c>
      <c r="AC172" s="36">
        <f>IF(AND(ISNUMBER(AC171),ISNUMBER(AC170)),IFERROR(AC171/AC170,""),"")</f>
        <v>0.284853706721271</v>
      </c>
      <c r="AD172" s="36">
        <f>IF(AND(ISNUMBER(AD171),ISNUMBER(AD170)),IFERROR(AD171/AD170,""),"")</f>
        <v>0.283080872913992</v>
      </c>
      <c r="AE172" s="36">
        <f>IF(AND(ISNUMBER(AE171),ISNUMBER(AE170)),IFERROR(AE171/AE170,""),"")</f>
        <v>0.26957339875664</v>
      </c>
      <c r="AF172" s="36">
        <f>IF(AND(ISNUMBER(AF171),ISNUMBER(AF170)),IFERROR(AF171/AF170,""),"")</f>
        <v>0.187772691783653</v>
      </c>
      <c r="AG172" s="36">
        <f>IF(AND(ISNUMBER(AG171),ISNUMBER(AG170)),IFERROR(AG171/AG170,""),"")</f>
        <v>0.671969943576389</v>
      </c>
      <c r="AH172" s="36">
        <f>IF(AND(ISNUMBER(AH171),ISNUMBER(AH170)),IFERROR(AH171/AH170,""),"")</f>
        <v>0.324274511517164</v>
      </c>
      <c r="AI172" s="36">
        <f>IF(AND(ISNUMBER(AI171),ISNUMBER(AI170)),IFERROR(AI171/AI170,""),"")</f>
        <v>0.277655051188864</v>
      </c>
      <c r="AJ172" s="36">
        <f>IF(AND(ISNUMBER(AJ171),ISNUMBER(AJ170)),IFERROR(AJ171/AJ170,""),"")</f>
        <v>0.269501288946883</v>
      </c>
      <c r="AK172" s="36">
        <f>IF(AND(ISNUMBER(AK171),ISNUMBER(AK170)),IFERROR(AK171/AK170,""),"")</f>
        <v>0.263295872326203</v>
      </c>
      <c r="AL172" s="36">
        <f>IF(AND(ISNUMBER(AL171),ISNUMBER(AL170)),IFERROR(AL171/AL170,""),"")</f>
        <v>0.0812662114234292</v>
      </c>
      <c r="AM172" s="36">
        <f>IF(AND(ISNUMBER(AM171),ISNUMBER(AM170)),IFERROR(AM171/AM170,""),"")</f>
        <v>0.221523897357999</v>
      </c>
      <c r="AN172" s="36">
        <f>IF(AND(ISNUMBER(AN171),ISNUMBER(AN170)),IFERROR(AN171/AN170,""),"")</f>
        <v>0.230870229664866</v>
      </c>
      <c r="AO172" s="36">
        <f>IF(AND(ISNUMBER(AO171),ISNUMBER(AO170)),IFERROR(AO171/AO170,""),"")</f>
        <v>0.1743264659271</v>
      </c>
      <c r="AP172" s="36">
        <f>IF(AND(ISNUMBER(AP171),ISNUMBER(AP170)),IFERROR(AP171/AP170,""),"")</f>
        <v>0.210682266304999</v>
      </c>
      <c r="AQ172" s="36">
        <f>IF(AND(ISNUMBER(AQ171),ISNUMBER(AQ170)),IFERROR(AQ171/AQ170,""),"")</f>
        <v>0.206466236580566</v>
      </c>
      <c r="AR172" s="36">
        <f>IF(AND(ISNUMBER(AR171),ISNUMBER(AR170)),IFERROR(AR171/AR170,""),"")</f>
        <v>0.204644321601767</v>
      </c>
      <c r="AS172" s="36">
        <f>IF(AND(ISNUMBER(AS171),ISNUMBER(AS170)),IFERROR(AS171/AS170,""),"")</f>
        <v>0.268291076720448</v>
      </c>
      <c r="AT172" s="36">
        <f>IF(AND(ISNUMBER(AT171),ISNUMBER(AT170)),IFERROR(AT171/AT170,""),"")</f>
        <v>0.197951306413302</v>
      </c>
      <c r="AU172" s="36">
        <f>IF(AND(ISNUMBER(AU171),ISNUMBER(AU170)),IFERROR(AU171/AU170,""),"")</f>
        <v>0.201860769682005</v>
      </c>
      <c r="AV172" s="36">
        <f>IF(AND(ISNUMBER(AV171),ISNUMBER(AV170)),IFERROR(AV171/AV170,""),"")</f>
        <v>0.197973672533649</v>
      </c>
      <c r="AW172" s="36">
        <f>IF(AND(ISNUMBER(AW171),ISNUMBER(AW170)),IFERROR(AW171/AW170,""),"")</f>
        <v>0.219269807604908</v>
      </c>
      <c r="AX172" s="36">
        <f>IF(AND(ISNUMBER(AX171),ISNUMBER(AX170)),IFERROR(AX171/AX170,""),"")</f>
        <v>0.236945848301133</v>
      </c>
      <c r="AY172" s="36">
        <f>IF(AND(ISNUMBER(AY171),ISNUMBER(AY170)),IFERROR(AY171/AY170,""),"")</f>
        <v>0.183105522607139</v>
      </c>
      <c r="AZ172" s="36">
        <f>IF(AND(ISNUMBER(AZ171),ISNUMBER(AZ170)),IFERROR(AZ171/AZ170,""),"")</f>
        <v>0.173317714434466</v>
      </c>
      <c r="BA172" s="36">
        <f>IF(AND(ISNUMBER(BA171),ISNUMBER(BA170)),IFERROR(BA171/BA170,""),"")</f>
        <v>-0.0396959577470693</v>
      </c>
      <c r="BB172" s="36">
        <f>IF(AND(ISNUMBER(BB171),ISNUMBER(BB170)),IFERROR(BB171/BB170,""),"")</f>
        <v>0.148979378334636</v>
      </c>
      <c r="BC172" s="36">
        <f>IF(AND(ISNUMBER(BC171),ISNUMBER(BC170)),IFERROR(BC171/BC170,""),"")</f>
        <v>0.21053983287606</v>
      </c>
      <c r="BD172" s="36">
        <f>IF(AND(ISNUMBER(BD171),ISNUMBER(BD170)),IFERROR(BD171/BD170,""),"")</f>
        <v>0.200812804801801</v>
      </c>
      <c r="BE172" s="36">
        <f>IF(AND(ISNUMBER(BE171),ISNUMBER(BE170)),IFERROR(BE171/BE170,""),"")</f>
        <v>0.205561253063926</v>
      </c>
      <c r="BF172" s="36">
        <f>IF(AND(ISNUMBER(BF171),ISNUMBER(BF170)),IFERROR(BF171/BF170,""),"")</f>
        <v>0.196025280278142</v>
      </c>
      <c r="BG172" s="36">
        <f>IF(AND(ISNUMBER(BG171),ISNUMBER(BG170)),IFERROR(BG171/BG170,""),"")</f>
        <v>0.203437090415922</v>
      </c>
      <c r="BH172" s="36">
        <f>IF(AND(ISNUMBER(BH171),ISNUMBER(BH170)),IFERROR(BH171/BH170,""),"")</f>
        <v>0.215051618052159</v>
      </c>
      <c r="BI172" s="36">
        <f>IF(AND(ISNUMBER(BI171),ISNUMBER(BI170)),IFERROR(BI171/BI170,""),"")</f>
        <v>0.206454408875534</v>
      </c>
      <c r="BJ172" s="36">
        <f>IF(AND(ISNUMBER(BJ171),ISNUMBER(BJ170)),IFERROR(BJ171/BJ170,""),"")</f>
        <v>0.198782157303649</v>
      </c>
      <c r="BK172" s="36">
        <f>IF(AND(ISNUMBER(BK171),ISNUMBER(BK170)),IFERROR(BK171/BK170,""),"")</f>
        <v>0.20497386184845</v>
      </c>
      <c r="BL172" s="36">
        <f>IF(AND(ISNUMBER(BL171),ISNUMBER(BL170)),IFERROR(BL171/BL170,""),"")</f>
        <v>0.206179953586289</v>
      </c>
      <c r="BM172" s="36">
        <f>IF(AND(ISNUMBER(BM171),ISNUMBER(BM170)),IFERROR(BM171/BM170,""),"")</f>
        <v>0.22150381631237</v>
      </c>
      <c r="BN172" s="36">
        <f>IF(AND(ISNUMBER(BN171),ISNUMBER(BN170)),IFERROR(BN171/BN170,""),"")</f>
        <v>0.255562712261389</v>
      </c>
      <c r="BO172" s="36">
        <f>IF(AND(ISNUMBER(BO171),ISNUMBER(BO170)),IFERROR(BO171/BO170,""),"")</f>
        <v>0.2363614315381</v>
      </c>
      <c r="BP172" s="36">
        <f>IF(AND(ISNUMBER(BP171),ISNUMBER(BP170)),IFERROR(BP171/BP170,""),"")</f>
        <v>0.160571794580163</v>
      </c>
      <c r="BQ172" s="36">
        <f>IF(AND(ISNUMBER(BQ171),ISNUMBER(BQ170)),IFERROR(BQ171/BQ170,""),"")</f>
        <v>0.215503181861789</v>
      </c>
      <c r="BR172" s="36">
        <f>IF(AND(ISNUMBER(BR171),ISNUMBER(BR170)),IFERROR(BR171/BR170,""),"")</f>
        <v>0.226762815283715</v>
      </c>
      <c r="BS172" s="36">
        <f>IF(AND(ISNUMBER(BS171),ISNUMBER(BS170)),IFERROR(BS171/BS170,""),"")</f>
        <v>0.218801584231773</v>
      </c>
      <c r="BT172" s="36">
        <f>IF(AND(ISNUMBER(BT171),ISNUMBER(BT170)),IFERROR(BT171/BT170,""),"")</f>
        <v>0.261254857074008</v>
      </c>
      <c r="BU172" s="36">
        <f>IF(AND(ISNUMBER(BU171),ISNUMBER(BU170)),IFERROR(BU171/BU170,""),"")</f>
        <v>0.212201944851472</v>
      </c>
      <c r="BV172" s="36">
        <f>IF(AND(ISNUMBER(BV171),ISNUMBER(BV170)),IFERROR(BV171/BV170,""),"")</f>
        <v>0.229353764157229</v>
      </c>
      <c r="BW172" s="36">
        <f>IF(AND(ISNUMBER(BW171),ISNUMBER(BW170)),IFERROR(BW171/BW170,""),"")</f>
        <v>0.213274571108829</v>
      </c>
      <c r="BX172" s="36">
        <f>IF(AND(ISNUMBER(BX171),ISNUMBER(BX170)),IFERROR(BX171/BX170,""),"")</f>
        <v>0.237456826468862</v>
      </c>
      <c r="BY172" s="254">
        <f>CHOOSE(MATCH($CF$2,{"Bull","Base","Bear"},0),$CO$16,$CP$16,$CQ$16)</f>
        <v>0.23</v>
      </c>
      <c r="BZ172" s="254">
        <f>CHOOSE(MATCH($CF$2,{"Bull","Base","Bear"},0),$CO$16,$CP$16,$CQ$16)</f>
        <v>0.23</v>
      </c>
      <c r="CA172" s="254">
        <f>IFERROR(CA171/CA170,"")</f>
        <v>0.2282849708978</v>
      </c>
      <c r="CB172" s="255" t="n">
        <v>0.235</v>
      </c>
      <c r="CC172" s="255" t="n">
        <v>0.235</v>
      </c>
      <c r="CD172" s="255" t="n">
        <v>0.235</v>
      </c>
      <c r="CE172" s="255" t="n">
        <v>0.235</v>
      </c>
      <c r="CF172" s="19" t="inlineStr">
        <is>
          <t>Q3/Q4-26E: FY26 "low-to-mid 20%" assumption for the active scenario. 2027E+: 23.5% input.</t>
        </is>
      </c>
      <c r="CH172" s="20">
        <f>IFERROR(AVERAGE(CA172,CB172,CC172,CD172,CE172),"n/m")</f>
        <v>0.23365699417956</v>
      </c>
      <c r="CI172" s="20">
        <f>IFERROR(AVERAGE(AW172,BB172,BG172,BL172,BQ172,BV172),"n/m")</f>
        <v>0.203787195993462</v>
      </c>
      <c r="CJ172" s="20">
        <f>IFERROR(AVERAGE(X172,AC172,AH172,AM172,AR172,AW172,BB172,BG172,BL172,BQ172,BV172),"n/m")</f>
        <v>0.227963365896106</v>
      </c>
      <c r="CK172" s="20">
        <f>IFERROR(AVERAGE(C172,D172,E172,F172,G172,H172,I172,N172,S172,X172,AC172,AH172,AM172,AR172,AW172,BB172,BG172,BL172,BQ172,BV172),"n/m")</f>
        <v>0.264914002166792</v>
      </c>
    </row>
    <row r="173">
      <c r="B173" s="16" t="inlineStr">
        <is>
          <t>Net income (incl. noncontrolling interests)</t>
        </is>
      </c>
      <c r="C173" s="43">
        <f>C170-C171</f>
        <v>175.008</v>
      </c>
      <c r="D173" s="43">
        <f>D170-D171</f>
        <v>202.736</v>
      </c>
      <c r="E173" s="43">
        <f>E170-E171</f>
        <v>212.286</v>
      </c>
      <c r="F173" s="43">
        <f>F170-F171</f>
        <v>48.5760000000001</v>
      </c>
      <c r="G173" s="43">
        <f>G170-G171</f>
        <v>132.21</v>
      </c>
      <c r="H173" s="43">
        <f>H170-H171</f>
        <v>217.013</v>
      </c>
      <c r="I173" s="43">
        <f>I170-I171</f>
        <v>257.216</v>
      </c>
      <c r="J173" s="43">
        <f>J170-J171</f>
        <v>66.843</v>
      </c>
      <c r="K173" s="43">
        <f>K170-K171</f>
        <v>72.527</v>
      </c>
      <c r="L173" s="43">
        <f>L170-L171</f>
        <v>64.252</v>
      </c>
      <c r="M173" s="43">
        <f>M170-M171</f>
        <v>88.065</v>
      </c>
      <c r="N173" s="43">
        <f>N170-N171</f>
        <v>291.687</v>
      </c>
      <c r="O173" s="43">
        <f>O170-O171</f>
        <v>56.424</v>
      </c>
      <c r="P173" s="43">
        <f>P170-P171</f>
        <v>77.2889999999999</v>
      </c>
      <c r="Q173" s="43">
        <f>Q170-Q171</f>
        <v>44.832</v>
      </c>
      <c r="R173" s="43">
        <f>R170-R171</f>
        <v>75.3349999999999</v>
      </c>
      <c r="S173" s="43">
        <f>S170-S171</f>
        <v>253.88</v>
      </c>
      <c r="T173" s="43">
        <f>T170-T171</f>
        <v>68.318</v>
      </c>
      <c r="U173" s="43">
        <f>U170-U171</f>
        <v>70.876</v>
      </c>
      <c r="V173" s="43">
        <f>V170-V171</f>
        <v>-60.4809999999999</v>
      </c>
      <c r="W173" s="43">
        <f>W170-W171</f>
        <v>48.699</v>
      </c>
      <c r="X173" s="43">
        <f>X170-X171</f>
        <v>127.412</v>
      </c>
      <c r="Y173" s="43">
        <f>Y170-Y171</f>
        <v>53.624</v>
      </c>
      <c r="Z173" s="43">
        <f>Z170-Z171</f>
        <v>31.309</v>
      </c>
      <c r="AA173" s="43">
        <f>AA170-AA171</f>
        <v>60.0389999999999</v>
      </c>
      <c r="AB173" s="43">
        <f>AB170-AB171</f>
        <v>53.401</v>
      </c>
      <c r="AC173" s="43">
        <f>AC170-AC171</f>
        <v>198.373</v>
      </c>
      <c r="AD173" s="43">
        <f>AD170-AD171</f>
        <v>55.8480000000001</v>
      </c>
      <c r="AE173" s="43">
        <f>AE170-AE171</f>
        <v>61.3309999999999</v>
      </c>
      <c r="AF173" s="43">
        <f>AF170-AF171</f>
        <v>106.111</v>
      </c>
      <c r="AG173" s="43">
        <f>AG170-AG171</f>
        <v>24.1849999999999</v>
      </c>
      <c r="AH173" s="43">
        <f>AH170-AH171</f>
        <v>247.475</v>
      </c>
      <c r="AI173" s="43">
        <f>AI170-AI171</f>
        <v>60.82</v>
      </c>
      <c r="AJ173" s="43">
        <f>AJ170-AJ171</f>
        <v>68.859</v>
      </c>
      <c r="AK173" s="43">
        <f>AK170-AK171</f>
        <v>70.535</v>
      </c>
      <c r="AL173" s="43">
        <f>AL170-AL171</f>
        <v>86.779</v>
      </c>
      <c r="AM173" s="43">
        <f>AM170-AM171</f>
        <v>286.993</v>
      </c>
      <c r="AN173" s="43">
        <f>AN170-AN171</f>
        <v>71.466</v>
      </c>
      <c r="AO173" s="43">
        <f>AO170-AO171</f>
        <v>85.444</v>
      </c>
      <c r="AP173" s="43">
        <f>AP170-AP171</f>
        <v>72.457</v>
      </c>
      <c r="AQ173" s="43">
        <f>AQ170-AQ171</f>
        <v>63.716</v>
      </c>
      <c r="AR173" s="43">
        <f>AR170-AR171</f>
        <v>293.083</v>
      </c>
      <c r="AS173" s="43">
        <f>AS170-AS171</f>
        <v>55.555</v>
      </c>
      <c r="AT173" s="43">
        <f>AT170-AT171</f>
        <v>27.013</v>
      </c>
      <c r="AU173" s="43">
        <f>AU170-AU171</f>
        <v>58.5060000000001</v>
      </c>
      <c r="AV173" s="43">
        <f>AV170-AV171</f>
        <v>65.07</v>
      </c>
      <c r="AW173" s="43">
        <f>AW170-AW171</f>
        <v>206.144</v>
      </c>
      <c r="AX173" s="43">
        <f>AX170-AX171</f>
        <v>74.133</v>
      </c>
      <c r="AY173" s="43">
        <f>AY170-AY171</f>
        <v>96.2799999999999</v>
      </c>
      <c r="AZ173" s="43">
        <f>AZ170-AZ171</f>
        <v>31.7569999999999</v>
      </c>
      <c r="BA173" s="43">
        <f>BA170-BA171</f>
        <v>74.4099999999999</v>
      </c>
      <c r="BB173" s="43">
        <f>BB170-BB171</f>
        <v>276.58</v>
      </c>
      <c r="BC173" s="43">
        <f>BC170-BC171</f>
        <v>126.031</v>
      </c>
      <c r="BD173" s="43">
        <f>BD170-BD171</f>
        <v>127.822</v>
      </c>
      <c r="BE173" s="43">
        <f>BE170-BE171</f>
        <v>109.225</v>
      </c>
      <c r="BF173" s="43">
        <f>BF170-BF171</f>
        <v>109.146</v>
      </c>
      <c r="BG173" s="43">
        <f>BG170-BG171</f>
        <v>472.224</v>
      </c>
      <c r="BH173" s="43">
        <f>BH170-BH171</f>
        <v>121.959</v>
      </c>
      <c r="BI173" s="43">
        <f>BI170-BI171</f>
        <v>137.331</v>
      </c>
      <c r="BJ173" s="43">
        <f>BJ170-BJ171</f>
        <v>129.343</v>
      </c>
      <c r="BK173" s="43">
        <f>BK170-BK171</f>
        <v>156.644</v>
      </c>
      <c r="BL173" s="43">
        <f>BL170-BL171</f>
        <v>545.248000000001</v>
      </c>
      <c r="BM173" s="43">
        <f>BM170-BM171</f>
        <v>123.415</v>
      </c>
      <c r="BN173" s="43">
        <f>BN170-BN171</f>
        <v>101.708</v>
      </c>
      <c r="BO173" s="43">
        <f>BO170-BO171</f>
        <v>100.756</v>
      </c>
      <c r="BP173" s="43">
        <f>BP170-BP171</f>
        <v>140.229</v>
      </c>
      <c r="BQ173" s="43">
        <f>BQ170-BQ171</f>
        <v>466.108</v>
      </c>
      <c r="BR173" s="43">
        <f>BR170-BR171</f>
        <v>118.487</v>
      </c>
      <c r="BS173" s="43">
        <f>BS170-BS171</f>
        <v>143.396</v>
      </c>
      <c r="BT173" s="43">
        <f>BT170-BT171</f>
        <v>122.628</v>
      </c>
      <c r="BU173" s="43">
        <f>BU170-BU171</f>
        <v>136.022</v>
      </c>
      <c r="BV173" s="43">
        <f>BV170-BV171</f>
        <v>520.532999999999</v>
      </c>
      <c r="BW173" s="43">
        <f>BW170-BW171</f>
        <v>136.382</v>
      </c>
      <c r="BX173" s="43">
        <f>BX170-BX171</f>
        <v>158.519</v>
      </c>
      <c r="BY173" s="253">
        <f>BY170-BY171</f>
        <v>152.862362881336</v>
      </c>
      <c r="BZ173" s="253">
        <f>BZ170-BZ171</f>
        <v>159.374821031164</v>
      </c>
      <c r="CA173" s="253">
        <f>CA170-CA171</f>
        <v>607.1381839125</v>
      </c>
      <c r="CB173" s="253">
        <f>CB170-CB171</f>
        <v>671.527788613991</v>
      </c>
      <c r="CC173" s="253">
        <f>CC170-CC171</f>
        <v>739.597580593692</v>
      </c>
      <c r="CD173" s="253">
        <f>CD170-CD171</f>
        <v>810.555140343366</v>
      </c>
      <c r="CE173" s="253">
        <f>CE170-CE171</f>
        <v>885.000165802894</v>
      </c>
      <c r="CF173" s="19" t="n"/>
    </row>
    <row r="174">
      <c r="B174" s="25" t="inlineStr">
        <is>
          <t xml:space="preserve">  Less: net income (loss) attributable to noncontrolling interests</t>
        </is>
      </c>
      <c r="C174" s="34" t="n">
        <v>0</v>
      </c>
      <c r="D174" s="34" t="n">
        <v>0</v>
      </c>
      <c r="E174" s="34" t="n">
        <v>0</v>
      </c>
      <c r="F174" s="34" t="n">
        <v>0</v>
      </c>
      <c r="G174" s="34" t="n">
        <v>1.966</v>
      </c>
      <c r="H174" s="34" t="n">
        <v>-0.173</v>
      </c>
      <c r="I174" s="34" t="n">
        <v>-0.195</v>
      </c>
      <c r="J174" s="34" t="n">
        <v>0.037</v>
      </c>
      <c r="K174" s="34" t="n">
        <v>-0.079</v>
      </c>
      <c r="L174" s="34" t="n">
        <v>-1.792</v>
      </c>
      <c r="M174" s="34" t="n">
        <v>-0.259</v>
      </c>
      <c r="N174" s="34" t="n">
        <v>-2.093</v>
      </c>
      <c r="O174" s="34" t="n">
        <v>-0.029</v>
      </c>
      <c r="P174" s="34" t="n">
        <v>-0.043</v>
      </c>
      <c r="Q174" s="34" t="n">
        <v>-0.857</v>
      </c>
      <c r="R174" s="34" t="n">
        <v>0.123</v>
      </c>
      <c r="S174" s="34" t="n">
        <v>-0.806</v>
      </c>
      <c r="T174" s="34" t="n">
        <v>-0.036</v>
      </c>
      <c r="U174" s="34" t="n">
        <v>-0.022</v>
      </c>
      <c r="V174" s="34" t="n">
        <v>-0.015</v>
      </c>
      <c r="W174" s="34" t="n">
        <v>0.007</v>
      </c>
      <c r="X174" s="34" t="n">
        <v>-0.066</v>
      </c>
      <c r="Y174" s="34" t="n">
        <v>-0.014</v>
      </c>
      <c r="Z174" s="34" t="n">
        <v>-0.008</v>
      </c>
      <c r="AA174" s="34" t="n">
        <v>-0.01</v>
      </c>
      <c r="AB174" s="34" t="n">
        <v>0.006</v>
      </c>
      <c r="AC174" s="34" t="n">
        <v>-0.026</v>
      </c>
      <c r="AD174" s="34" t="n">
        <v>0.004</v>
      </c>
      <c r="AE174" s="34" t="n">
        <v>-0.021</v>
      </c>
      <c r="AF174" s="34" t="n">
        <v>-0.015</v>
      </c>
      <c r="AG174" s="34" t="n">
        <v>0.004</v>
      </c>
      <c r="AH174" s="34" t="n">
        <v>-0.028</v>
      </c>
      <c r="AI174" s="34" t="n">
        <v>-0.004</v>
      </c>
      <c r="AJ174" s="34" t="n">
        <v>-0.005</v>
      </c>
      <c r="AK174" s="34" t="n">
        <v>-0.004</v>
      </c>
      <c r="AL174" s="34" t="n">
        <v>-0.06</v>
      </c>
      <c r="AM174" s="34" t="n">
        <v>-0.073</v>
      </c>
      <c r="AN174" s="34" t="n">
        <v>-0.014</v>
      </c>
      <c r="AO174" s="34" t="n">
        <v>-0.008</v>
      </c>
      <c r="AP174" s="34" t="n">
        <v>-0.004</v>
      </c>
      <c r="AQ174" s="34" t="n">
        <v>0</v>
      </c>
      <c r="AR174" s="34" t="n">
        <v>-0.026</v>
      </c>
      <c r="AS174" s="34" t="n">
        <v>-0.007</v>
      </c>
      <c r="AT174" s="34" t="n">
        <v>0.017</v>
      </c>
      <c r="AU174" s="34" t="n">
        <v>0.027</v>
      </c>
      <c r="AV174" s="34" t="n">
        <v>-0.008</v>
      </c>
      <c r="AW174" s="34" t="n">
        <v>0.029</v>
      </c>
      <c r="AX174" s="34" t="n">
        <v>-0.044</v>
      </c>
      <c r="AY174" s="34" t="n">
        <v>0.175</v>
      </c>
      <c r="AZ174" s="34" t="n">
        <v>0</v>
      </c>
      <c r="BA174" s="34" t="n">
        <v>-0.017</v>
      </c>
      <c r="BB174" s="34" t="n">
        <v>0.114</v>
      </c>
      <c r="BC174" s="34" t="n">
        <v>0.001</v>
      </c>
      <c r="BD174" s="34" t="n">
        <v>-0.001</v>
      </c>
      <c r="BE174" s="34" t="n">
        <v>0</v>
      </c>
      <c r="BF174" s="34" t="n">
        <v>0</v>
      </c>
      <c r="BG174" s="34" t="n">
        <v>0</v>
      </c>
      <c r="BH174" s="34" t="n">
        <v>0.028</v>
      </c>
      <c r="BI174" s="34" t="n">
        <v>0</v>
      </c>
      <c r="BJ174" s="34" t="n">
        <v>0</v>
      </c>
      <c r="BK174" s="34" t="n">
        <v>0</v>
      </c>
      <c r="BL174" s="34" t="n">
        <v>0</v>
      </c>
      <c r="BM174" s="34" t="n">
        <v>0</v>
      </c>
      <c r="BN174" s="34" t="n">
        <v>0</v>
      </c>
      <c r="BO174" s="34" t="n">
        <v>0</v>
      </c>
      <c r="BP174" s="34" t="n">
        <v>0</v>
      </c>
      <c r="BQ174" s="34" t="n">
        <v>0</v>
      </c>
      <c r="BR174" s="34" t="n">
        <v>0</v>
      </c>
      <c r="BS174" s="34" t="n">
        <v>0</v>
      </c>
      <c r="BT174" s="34" t="n">
        <v>0</v>
      </c>
      <c r="BU174" s="34" t="n">
        <v>0</v>
      </c>
      <c r="BV174" s="34" t="n">
        <v>0</v>
      </c>
      <c r="BW174" s="34" t="n">
        <v>0</v>
      </c>
      <c r="BX174" s="34" t="n">
        <v>0</v>
      </c>
      <c r="BY174" s="261" t="n">
        <v>0</v>
      </c>
      <c r="BZ174" s="261" t="n">
        <v>0</v>
      </c>
      <c r="CA174" s="261" t="n">
        <v>0</v>
      </c>
      <c r="CB174" s="261" t="n">
        <v>0</v>
      </c>
      <c r="CC174" s="261" t="n">
        <v>0</v>
      </c>
      <c r="CD174" s="261" t="n">
        <v>0</v>
      </c>
      <c r="CE174" s="261" t="n">
        <v>0</v>
      </c>
      <c r="CF174" s="19" t="n"/>
    </row>
    <row r="175">
      <c r="B175" s="55" t="inlineStr">
        <is>
          <t>Net income attributable to Lincoln Electric</t>
        </is>
      </c>
      <c r="C175" s="56">
        <f>C173-C174</f>
        <v>175.008</v>
      </c>
      <c r="D175" s="56">
        <f>D173-D174</f>
        <v>202.736</v>
      </c>
      <c r="E175" s="56">
        <f>E173-E174</f>
        <v>212.286</v>
      </c>
      <c r="F175" s="56">
        <f>F173-F174</f>
        <v>48.5760000000001</v>
      </c>
      <c r="G175" s="56">
        <f>G173-G174</f>
        <v>130.244</v>
      </c>
      <c r="H175" s="56">
        <f>H173-H174</f>
        <v>217.186</v>
      </c>
      <c r="I175" s="56">
        <f>I173-I174</f>
        <v>257.411</v>
      </c>
      <c r="J175" s="56">
        <f>J173-J174</f>
        <v>66.806</v>
      </c>
      <c r="K175" s="56">
        <f>K173-K174</f>
        <v>72.606</v>
      </c>
      <c r="L175" s="56">
        <f>L173-L174</f>
        <v>66.044</v>
      </c>
      <c r="M175" s="56">
        <f>M173-M174</f>
        <v>88.324</v>
      </c>
      <c r="N175" s="56">
        <f>N173-N174</f>
        <v>293.78</v>
      </c>
      <c r="O175" s="56">
        <f>O173-O174</f>
        <v>56.453</v>
      </c>
      <c r="P175" s="56">
        <f>P173-P174</f>
        <v>77.332</v>
      </c>
      <c r="Q175" s="56">
        <f>Q173-Q174</f>
        <v>45.689</v>
      </c>
      <c r="R175" s="56">
        <f>R173-R174</f>
        <v>75.2119999999999</v>
      </c>
      <c r="S175" s="56">
        <f>S173-S174</f>
        <v>254.686</v>
      </c>
      <c r="T175" s="56">
        <f>T173-T174</f>
        <v>68.354</v>
      </c>
      <c r="U175" s="56">
        <f>U173-U174</f>
        <v>70.898</v>
      </c>
      <c r="V175" s="56">
        <f>V173-V174</f>
        <v>-60.4659999999999</v>
      </c>
      <c r="W175" s="56">
        <f>W173-W174</f>
        <v>48.692</v>
      </c>
      <c r="X175" s="56">
        <f>X173-X174</f>
        <v>127.478</v>
      </c>
      <c r="Y175" s="56">
        <f>Y173-Y174</f>
        <v>53.638</v>
      </c>
      <c r="Z175" s="56">
        <f>Z173-Z174</f>
        <v>31.317</v>
      </c>
      <c r="AA175" s="56">
        <f>AA173-AA174</f>
        <v>60.0489999999999</v>
      </c>
      <c r="AB175" s="56">
        <f>AB173-AB174</f>
        <v>53.395</v>
      </c>
      <c r="AC175" s="56">
        <f>AC173-AC174</f>
        <v>198.399</v>
      </c>
      <c r="AD175" s="56">
        <f>AD173-AD174</f>
        <v>55.8440000000001</v>
      </c>
      <c r="AE175" s="56">
        <f>AE173-AE174</f>
        <v>61.352</v>
      </c>
      <c r="AF175" s="56">
        <f>AF173-AF174</f>
        <v>106.126</v>
      </c>
      <c r="AG175" s="56">
        <f>AG173-AG174</f>
        <v>24.1809999999999</v>
      </c>
      <c r="AH175" s="56">
        <f>AH173-AH174</f>
        <v>247.503</v>
      </c>
      <c r="AI175" s="56">
        <f>AI173-AI174</f>
        <v>60.824</v>
      </c>
      <c r="AJ175" s="56">
        <f>AJ173-AJ174</f>
        <v>68.864</v>
      </c>
      <c r="AK175" s="56">
        <f>AK173-AK174</f>
        <v>70.539</v>
      </c>
      <c r="AL175" s="56">
        <f>AL173-AL174</f>
        <v>86.839</v>
      </c>
      <c r="AM175" s="56">
        <f>AM173-AM174</f>
        <v>287.066</v>
      </c>
      <c r="AN175" s="56">
        <f>AN173-AN174</f>
        <v>71.48</v>
      </c>
      <c r="AO175" s="56">
        <f>AO173-AO174</f>
        <v>85.452</v>
      </c>
      <c r="AP175" s="56">
        <f>AP173-AP174</f>
        <v>72.461</v>
      </c>
      <c r="AQ175" s="56">
        <f>AQ173-AQ174</f>
        <v>63.716</v>
      </c>
      <c r="AR175" s="56">
        <f>AR173-AR174</f>
        <v>293.109</v>
      </c>
      <c r="AS175" s="56">
        <f>AS173-AS174</f>
        <v>55.562</v>
      </c>
      <c r="AT175" s="56">
        <f>AT173-AT174</f>
        <v>26.996</v>
      </c>
      <c r="AU175" s="56">
        <f>AU173-AU174</f>
        <v>58.4790000000001</v>
      </c>
      <c r="AV175" s="56">
        <f>AV173-AV174</f>
        <v>65.078</v>
      </c>
      <c r="AW175" s="56">
        <f>AW173-AW174</f>
        <v>206.115</v>
      </c>
      <c r="AX175" s="56">
        <f>AX173-AX174</f>
        <v>74.177</v>
      </c>
      <c r="AY175" s="56">
        <f>AY173-AY174</f>
        <v>96.1049999999999</v>
      </c>
      <c r="AZ175" s="56">
        <f>AZ173-AZ174</f>
        <v>31.7569999999999</v>
      </c>
      <c r="BA175" s="56">
        <f>BA173-BA174</f>
        <v>74.4269999999999</v>
      </c>
      <c r="BB175" s="56">
        <f>BB173-BB174</f>
        <v>276.466</v>
      </c>
      <c r="BC175" s="56">
        <f>BC173-BC174</f>
        <v>126.03</v>
      </c>
      <c r="BD175" s="56">
        <f>BD173-BD174</f>
        <v>127.823</v>
      </c>
      <c r="BE175" s="56">
        <f>BE173-BE174</f>
        <v>109.225</v>
      </c>
      <c r="BF175" s="56">
        <f>BF173-BF174</f>
        <v>109.146</v>
      </c>
      <c r="BG175" s="56">
        <f>BG173-BG174</f>
        <v>472.224</v>
      </c>
      <c r="BH175" s="56">
        <f>BH173-BH174</f>
        <v>121.931</v>
      </c>
      <c r="BI175" s="56">
        <f>BI173-BI174</f>
        <v>137.331</v>
      </c>
      <c r="BJ175" s="56">
        <f>BJ173-BJ174</f>
        <v>129.343</v>
      </c>
      <c r="BK175" s="56">
        <f>BK173-BK174</f>
        <v>156.644</v>
      </c>
      <c r="BL175" s="56">
        <f>BL173-BL174</f>
        <v>545.248000000001</v>
      </c>
      <c r="BM175" s="56">
        <f>BM173-BM174</f>
        <v>123.415</v>
      </c>
      <c r="BN175" s="56">
        <f>BN173-BN174</f>
        <v>101.708</v>
      </c>
      <c r="BO175" s="56">
        <f>BO173-BO174</f>
        <v>100.756</v>
      </c>
      <c r="BP175" s="56">
        <f>BP173-BP174</f>
        <v>140.229</v>
      </c>
      <c r="BQ175" s="56">
        <f>BQ173-BQ174</f>
        <v>466.108</v>
      </c>
      <c r="BR175" s="56">
        <f>BR173-BR174</f>
        <v>118.487</v>
      </c>
      <c r="BS175" s="56">
        <f>BS173-BS174</f>
        <v>143.396</v>
      </c>
      <c r="BT175" s="56">
        <f>BT173-BT174</f>
        <v>122.628</v>
      </c>
      <c r="BU175" s="56">
        <f>BU173-BU174</f>
        <v>136.022</v>
      </c>
      <c r="BV175" s="56">
        <f>BV173-BV174</f>
        <v>520.532999999999</v>
      </c>
      <c r="BW175" s="56">
        <f>BW173-BW174</f>
        <v>136.382</v>
      </c>
      <c r="BX175" s="56">
        <f>BX173-BX174</f>
        <v>158.519</v>
      </c>
      <c r="BY175" s="56">
        <f>BY173-BY174</f>
        <v>152.862362881336</v>
      </c>
      <c r="BZ175" s="56">
        <f>BZ173-BZ174</f>
        <v>159.374821031164</v>
      </c>
      <c r="CA175" s="56">
        <f>CA173-CA174</f>
        <v>607.1381839125</v>
      </c>
      <c r="CB175" s="56">
        <f>CB173-CB174</f>
        <v>671.527788613991</v>
      </c>
      <c r="CC175" s="56">
        <f>CC173-CC174</f>
        <v>739.597580593692</v>
      </c>
      <c r="CD175" s="56">
        <f>CD173-CD174</f>
        <v>810.555140343366</v>
      </c>
      <c r="CE175" s="56">
        <f>CE173-CE174</f>
        <v>885.000165802894</v>
      </c>
      <c r="CF175" s="19" t="n"/>
      <c r="CH175" s="20">
        <f>IFERROR((CE175/BV175)^(1/5)-1,"n/m")</f>
        <v>0.111985225308259</v>
      </c>
      <c r="CI175" s="20">
        <f>IFERROR((BV175/AW175)^(1/5)-1,"n/m")</f>
        <v>0.20355996707649</v>
      </c>
      <c r="CJ175" s="20">
        <f>IFERROR((BV175/X175)^(1/10)-1,"n/m")</f>
        <v>0.15106885355957</v>
      </c>
      <c r="CK175" s="20">
        <f>IFERROR((BV175/C175)^(1/19)-1,"n/m")</f>
        <v>0.0590471172786169</v>
      </c>
    </row>
    <row r="176">
      <c r="B176" s="57" t="inlineStr">
        <is>
          <t xml:space="preserve">  Check: net income vs reported (should be 0; ±0.1 rounding tolerated)</t>
        </is>
      </c>
      <c r="C176" s="44">
        <f>IF(ISNUMBER(C177),ROUND(C175-C177,1),"")</f>
        <v>0</v>
      </c>
      <c r="D176" s="44">
        <f>IF(ISNUMBER(D177),ROUND(D175-D177,1),"")</f>
        <v>0</v>
      </c>
      <c r="E176" s="44">
        <f>IF(ISNUMBER(E177),ROUND(E175-E177,1),"")</f>
        <v>0</v>
      </c>
      <c r="F176" s="44">
        <f>IF(ISNUMBER(F177),ROUND(F175-F177,1),"")</f>
        <v>0</v>
      </c>
      <c r="G176" s="44">
        <f>IF(ISNUMBER(G177),ROUND(G175-G177,1),"")</f>
        <v>0</v>
      </c>
      <c r="H176" s="44">
        <f>IF(ISNUMBER(H177),ROUND(H175-H177,1),"")</f>
        <v>0</v>
      </c>
      <c r="I176" s="44">
        <f>IF(ISNUMBER(I177),ROUND(I175-I177,1),"")</f>
        <v>0</v>
      </c>
      <c r="J176" s="44">
        <f>IF(ISNUMBER(J177),ROUND(J175-J177,1),"")</f>
        <v>0</v>
      </c>
      <c r="K176" s="44">
        <f>IF(ISNUMBER(K177),ROUND(K175-K177,1),"")</f>
        <v>0</v>
      </c>
      <c r="L176" s="44">
        <f>IF(ISNUMBER(L177),ROUND(L175-L177,1),"")</f>
        <v>0</v>
      </c>
      <c r="M176" s="44">
        <f>IF(ISNUMBER(M177),ROUND(M175-M177,1),"")</f>
        <v>0</v>
      </c>
      <c r="N176" s="44">
        <f>IF(ISNUMBER(N177),ROUND(N175-N177,1),"")</f>
        <v>0</v>
      </c>
      <c r="O176" s="44">
        <f>IF(ISNUMBER(O177),ROUND(O175-O177,1),"")</f>
        <v>0</v>
      </c>
      <c r="P176" s="44">
        <f>IF(ISNUMBER(P177),ROUND(P175-P177,1),"")</f>
        <v>0</v>
      </c>
      <c r="Q176" s="44">
        <f>IF(ISNUMBER(Q177),ROUND(Q175-Q177,1),"")</f>
        <v>0</v>
      </c>
      <c r="R176" s="44">
        <f>IF(ISNUMBER(R177),ROUND(R175-R177,1),"")</f>
        <v>0</v>
      </c>
      <c r="S176" s="44">
        <f>IF(ISNUMBER(S177),ROUND(S175-S177,1),"")</f>
        <v>0</v>
      </c>
      <c r="T176" s="44">
        <f>IF(ISNUMBER(T177),ROUND(T175-T177,1),"")</f>
        <v>0</v>
      </c>
      <c r="U176" s="44">
        <f>IF(ISNUMBER(U177),ROUND(U175-U177,1),"")</f>
        <v>0</v>
      </c>
      <c r="V176" s="44">
        <f>IF(ISNUMBER(V177),ROUND(V175-V177,1),"")</f>
        <v>0</v>
      </c>
      <c r="W176" s="44">
        <f>IF(ISNUMBER(W177),ROUND(W175-W177,1),"")</f>
        <v>0</v>
      </c>
      <c r="X176" s="44">
        <f>IF(ISNUMBER(X177),ROUND(X175-X177,1),"")</f>
        <v>0</v>
      </c>
      <c r="Y176" s="44">
        <f>IF(ISNUMBER(Y177),ROUND(Y175-Y177,1),"")</f>
        <v>0</v>
      </c>
      <c r="Z176" s="44">
        <f>IF(ISNUMBER(Z177),ROUND(Z175-Z177,1),"")</f>
        <v>0</v>
      </c>
      <c r="AA176" s="44">
        <f>IF(ISNUMBER(AA177),ROUND(AA175-AA177,1),"")</f>
        <v>0</v>
      </c>
      <c r="AB176" s="44">
        <f>IF(ISNUMBER(AB177),ROUND(AB175-AB177,1),"")</f>
        <v>0</v>
      </c>
      <c r="AC176" s="44">
        <f>IF(ISNUMBER(AC177),ROUND(AC175-AC177,1),"")</f>
        <v>0</v>
      </c>
      <c r="AD176" s="44">
        <f>IF(ISNUMBER(AD177),ROUND(AD175-AD177,1),"")</f>
        <v>0</v>
      </c>
      <c r="AE176" s="44">
        <f>IF(ISNUMBER(AE177),ROUND(AE175-AE177,1),"")</f>
        <v>0</v>
      </c>
      <c r="AF176" s="44">
        <f>IF(ISNUMBER(AF177),ROUND(AF175-AF177,1),"")</f>
        <v>0</v>
      </c>
      <c r="AG176" s="44">
        <f>IF(ISNUMBER(AG177),ROUND(AG175-AG177,1),"")</f>
        <v>0</v>
      </c>
      <c r="AH176" s="44">
        <f>IF(ISNUMBER(AH177),ROUND(AH175-AH177,1),"")</f>
        <v>0</v>
      </c>
      <c r="AI176" s="44">
        <f>IF(ISNUMBER(AI177),ROUND(AI175-AI177,1),"")</f>
        <v>0</v>
      </c>
      <c r="AJ176" s="44">
        <f>IF(ISNUMBER(AJ177),ROUND(AJ175-AJ177,1),"")</f>
        <v>0</v>
      </c>
      <c r="AK176" s="44">
        <f>IF(ISNUMBER(AK177),ROUND(AK175-AK177,1),"")</f>
        <v>0</v>
      </c>
      <c r="AL176" s="44">
        <f>IF(ISNUMBER(AL177),ROUND(AL175-AL177,1),"")</f>
        <v>0</v>
      </c>
      <c r="AM176" s="44">
        <f>IF(ISNUMBER(AM177),ROUND(AM175-AM177,1),"")</f>
        <v>0</v>
      </c>
      <c r="AN176" s="44">
        <f>IF(ISNUMBER(AN177),ROUND(AN175-AN177,1),"")</f>
        <v>0</v>
      </c>
      <c r="AO176" s="44">
        <f>IF(ISNUMBER(AO177),ROUND(AO175-AO177,1),"")</f>
        <v>0</v>
      </c>
      <c r="AP176" s="44">
        <f>IF(ISNUMBER(AP177),ROUND(AP175-AP177,1),"")</f>
        <v>0</v>
      </c>
      <c r="AQ176" s="44">
        <f>IF(ISNUMBER(AQ177),ROUND(AQ175-AQ177,1),"")</f>
        <v>0</v>
      </c>
      <c r="AR176" s="44">
        <f>IF(ISNUMBER(AR177),ROUND(AR175-AR177,1),"")</f>
        <v>0</v>
      </c>
      <c r="AS176" s="44">
        <f>IF(ISNUMBER(AS177),ROUND(AS175-AS177,1),"")</f>
        <v>0</v>
      </c>
      <c r="AT176" s="44">
        <f>IF(ISNUMBER(AT177),ROUND(AT175-AT177,1),"")</f>
        <v>0</v>
      </c>
      <c r="AU176" s="44">
        <f>IF(ISNUMBER(AU177),ROUND(AU175-AU177,1),"")</f>
        <v>0</v>
      </c>
      <c r="AV176" s="44">
        <f>IF(ISNUMBER(AV177),ROUND(AV175-AV177,1),"")</f>
        <v>0</v>
      </c>
      <c r="AW176" s="44">
        <f>IF(ISNUMBER(AW177),ROUND(AW175-AW177,1),"")</f>
        <v>0</v>
      </c>
      <c r="AX176" s="44">
        <f>IF(ISNUMBER(AX177),ROUND(AX175-AX177,1),"")</f>
        <v>0</v>
      </c>
      <c r="AY176" s="44">
        <f>IF(ISNUMBER(AY177),ROUND(AY175-AY177,1),"")</f>
        <v>0</v>
      </c>
      <c r="AZ176" s="44">
        <f>IF(ISNUMBER(AZ177),ROUND(AZ175-AZ177,1),"")</f>
        <v>0</v>
      </c>
      <c r="BA176" s="44">
        <f>IF(ISNUMBER(BA177),ROUND(BA175-BA177,1),"")</f>
        <v>0</v>
      </c>
      <c r="BB176" s="44">
        <f>IF(ISNUMBER(BB177),ROUND(BB175-BB177,1),"")</f>
        <v>0</v>
      </c>
      <c r="BC176" s="44">
        <f>IF(ISNUMBER(BC177),ROUND(BC175-BC177,1),"")</f>
        <v>0</v>
      </c>
      <c r="BD176" s="44">
        <f>IF(ISNUMBER(BD177),ROUND(BD175-BD177,1),"")</f>
        <v>0</v>
      </c>
      <c r="BE176" s="44">
        <f>IF(ISNUMBER(BE177),ROUND(BE175-BE177,1),"")</f>
        <v>0</v>
      </c>
      <c r="BF176" s="44">
        <f>IF(ISNUMBER(BF177),ROUND(BF175-BF177,1),"")</f>
        <v>0</v>
      </c>
      <c r="BG176" s="44">
        <f>IF(ISNUMBER(BG177),ROUND(BG175-BG177,1),"")</f>
        <v>0</v>
      </c>
      <c r="BH176" s="44">
        <f>IF(ISNUMBER(BH177),ROUND(BH175-BH177,1),"")</f>
        <v>0</v>
      </c>
      <c r="BI176" s="44">
        <f>IF(ISNUMBER(BI177),ROUND(BI175-BI177,1),"")</f>
        <v>0</v>
      </c>
      <c r="BJ176" s="44">
        <f>IF(ISNUMBER(BJ177),ROUND(BJ175-BJ177,1),"")</f>
        <v>0</v>
      </c>
      <c r="BK176" s="44">
        <f>IF(ISNUMBER(BK177),ROUND(BK175-BK177,1),"")</f>
        <v>0</v>
      </c>
      <c r="BL176" s="44">
        <f>IF(ISNUMBER(BL177),ROUND(BL175-BL177,1),"")</f>
        <v>0</v>
      </c>
      <c r="BM176" s="44">
        <f>IF(ISNUMBER(BM177),ROUND(BM175-BM177,1),"")</f>
        <v>0</v>
      </c>
      <c r="BN176" s="44">
        <f>IF(ISNUMBER(BN177),ROUND(BN175-BN177,1),"")</f>
        <v>0</v>
      </c>
      <c r="BO176" s="44">
        <f>IF(ISNUMBER(BO177),ROUND(BO175-BO177,1),"")</f>
        <v>0</v>
      </c>
      <c r="BP176" s="44">
        <f>IF(ISNUMBER(BP177),ROUND(BP175-BP177,1),"")</f>
        <v>0</v>
      </c>
      <c r="BQ176" s="44">
        <f>IF(ISNUMBER(BQ177),ROUND(BQ175-BQ177,1),"")</f>
        <v>0</v>
      </c>
      <c r="BR176" s="44">
        <f>IF(ISNUMBER(BR177),ROUND(BR175-BR177,1),"")</f>
        <v>0</v>
      </c>
      <c r="BS176" s="44">
        <f>IF(ISNUMBER(BS177),ROUND(BS175-BS177,1),"")</f>
        <v>0</v>
      </c>
      <c r="BT176" s="44">
        <f>IF(ISNUMBER(BT177),ROUND(BT175-BT177,1),"")</f>
        <v>0</v>
      </c>
      <c r="BU176" s="44">
        <f>IF(ISNUMBER(BU177),ROUND(BU175-BU177,1),"")</f>
        <v>0</v>
      </c>
      <c r="BV176" s="44">
        <f>IF(ISNUMBER(BV177),ROUND(BV175-BV177,1),"")</f>
        <v>0</v>
      </c>
      <c r="BW176" s="44">
        <f>IF(ISNUMBER(BW177),ROUND(BW175-BW177,1),"")</f>
        <v>0</v>
      </c>
      <c r="BX176" s="44">
        <f>IF(ISNUMBER(BX177),ROUND(BX175-BX177,1),"")</f>
        <v>0</v>
      </c>
      <c r="BY176" s="269" t="n"/>
      <c r="BZ176" s="269" t="n"/>
      <c r="CA176" s="269" t="n"/>
      <c r="CB176" s="269" t="n"/>
      <c r="CC176" s="269" t="n"/>
      <c r="CD176" s="269" t="n"/>
      <c r="CE176" s="269" t="n"/>
      <c r="CF176" s="19" t="n"/>
    </row>
    <row r="177" outlineLevel="2" s="251">
      <c r="B177" s="156" t="inlineStr">
        <is>
          <t xml:space="preserve">  Memo: net income attributable as reported</t>
        </is>
      </c>
      <c r="C177" s="34" t="n">
        <v>175.008</v>
      </c>
      <c r="D177" s="34" t="n">
        <v>202.736</v>
      </c>
      <c r="E177" s="34" t="n">
        <v>212.286</v>
      </c>
      <c r="F177" s="34" t="n">
        <v>48.576</v>
      </c>
      <c r="G177" s="34" t="n">
        <v>130.244</v>
      </c>
      <c r="H177" s="34" t="n">
        <v>217.186</v>
      </c>
      <c r="I177" s="34" t="n">
        <v>257.411</v>
      </c>
      <c r="J177" s="34" t="n">
        <v>66.806</v>
      </c>
      <c r="K177" s="34" t="n">
        <v>72.60599999999999</v>
      </c>
      <c r="L177" s="34" t="n">
        <v>66.044</v>
      </c>
      <c r="M177" s="34" t="n">
        <v>88.324</v>
      </c>
      <c r="N177" s="34" t="n">
        <v>293.78</v>
      </c>
      <c r="O177" s="34" t="n">
        <v>56.453</v>
      </c>
      <c r="P177" s="34" t="n">
        <v>77.33199999999999</v>
      </c>
      <c r="Q177" s="34" t="n">
        <v>45.689</v>
      </c>
      <c r="R177" s="34" t="n">
        <v>75.212</v>
      </c>
      <c r="S177" s="34" t="n">
        <v>254.686</v>
      </c>
      <c r="T177" s="34" t="n">
        <v>68.354</v>
      </c>
      <c r="U177" s="34" t="n">
        <v>70.898</v>
      </c>
      <c r="V177" s="34" t="n">
        <v>-60.466</v>
      </c>
      <c r="W177" s="34" t="n">
        <v>48.692</v>
      </c>
      <c r="X177" s="34" t="n">
        <v>127.478</v>
      </c>
      <c r="Y177" s="34" t="n">
        <v>53.638</v>
      </c>
      <c r="Z177" s="34" t="n">
        <v>31.317</v>
      </c>
      <c r="AA177" s="34" t="n">
        <v>60.049</v>
      </c>
      <c r="AB177" s="34" t="n">
        <v>53.395</v>
      </c>
      <c r="AC177" s="34" t="n">
        <v>198.399</v>
      </c>
      <c r="AD177" s="34" t="n">
        <v>55.844</v>
      </c>
      <c r="AE177" s="34" t="n">
        <v>61.352</v>
      </c>
      <c r="AF177" s="34" t="n">
        <v>106.126</v>
      </c>
      <c r="AG177" s="34" t="n">
        <v>24.181</v>
      </c>
      <c r="AH177" s="34" t="n">
        <v>247.503</v>
      </c>
      <c r="AI177" s="34" t="n">
        <v>60.824</v>
      </c>
      <c r="AJ177" s="34" t="n">
        <v>68.864</v>
      </c>
      <c r="AK177" s="34" t="n">
        <v>70.539</v>
      </c>
      <c r="AL177" s="34" t="n">
        <v>86.839</v>
      </c>
      <c r="AM177" s="34" t="n">
        <v>287.066</v>
      </c>
      <c r="AN177" s="34" t="n">
        <v>71.48</v>
      </c>
      <c r="AO177" s="34" t="n">
        <v>85.452</v>
      </c>
      <c r="AP177" s="34" t="n">
        <v>72.461</v>
      </c>
      <c r="AQ177" s="34" t="n">
        <v>63.716</v>
      </c>
      <c r="AR177" s="34" t="n">
        <v>293.109</v>
      </c>
      <c r="AS177" s="34" t="n">
        <v>55.562</v>
      </c>
      <c r="AT177" s="34" t="n">
        <v>26.996</v>
      </c>
      <c r="AU177" s="34" t="n">
        <v>58.479</v>
      </c>
      <c r="AV177" s="34" t="n">
        <v>65.078</v>
      </c>
      <c r="AW177" s="34" t="n">
        <v>206.115</v>
      </c>
      <c r="AX177" s="34" t="n">
        <v>74.17700000000001</v>
      </c>
      <c r="AY177" s="34" t="n">
        <v>96.105</v>
      </c>
      <c r="AZ177" s="34" t="n">
        <v>31.757</v>
      </c>
      <c r="BA177" s="34" t="n">
        <v>74.42700000000001</v>
      </c>
      <c r="BB177" s="34" t="n">
        <v>276.466</v>
      </c>
      <c r="BC177" s="34" t="n">
        <v>126.03</v>
      </c>
      <c r="BD177" s="34" t="n">
        <v>127.823</v>
      </c>
      <c r="BE177" s="34" t="n">
        <v>109.225</v>
      </c>
      <c r="BF177" s="34" t="n">
        <v>109.146</v>
      </c>
      <c r="BG177" s="34" t="n">
        <v>472.224</v>
      </c>
      <c r="BH177" s="34" t="n">
        <v>121.931</v>
      </c>
      <c r="BI177" s="34" t="n">
        <v>137.331</v>
      </c>
      <c r="BJ177" s="34" t="n">
        <v>129.343</v>
      </c>
      <c r="BK177" s="34" t="n">
        <v>156.644</v>
      </c>
      <c r="BL177" s="34" t="n">
        <v>545.248</v>
      </c>
      <c r="BM177" s="34" t="n">
        <v>123.415</v>
      </c>
      <c r="BN177" s="34" t="n">
        <v>101.708</v>
      </c>
      <c r="BO177" s="34" t="n">
        <v>100.756</v>
      </c>
      <c r="BP177" s="34" t="n">
        <v>140.229</v>
      </c>
      <c r="BQ177" s="34" t="n">
        <v>466.108</v>
      </c>
      <c r="BR177" s="34" t="n">
        <v>118.487</v>
      </c>
      <c r="BS177" s="34" t="n">
        <v>143.396</v>
      </c>
      <c r="BT177" s="34" t="n">
        <v>122.628</v>
      </c>
      <c r="BU177" s="34" t="n">
        <v>136.022</v>
      </c>
      <c r="BV177" s="34" t="n">
        <v>520.533</v>
      </c>
      <c r="BW177" s="34" t="n">
        <v>136.382</v>
      </c>
      <c r="BX177" s="34" t="n">
        <v>158.519</v>
      </c>
      <c r="BY177" s="269" t="n"/>
      <c r="BZ177" s="269" t="n"/>
      <c r="CA177" s="269" t="n"/>
      <c r="CB177" s="269" t="n"/>
      <c r="CC177" s="269" t="n"/>
      <c r="CD177" s="269" t="n"/>
      <c r="CE177" s="269" t="n"/>
      <c r="CF177" s="19" t="n"/>
    </row>
    <row r="178" outlineLevel="2" s="251">
      <c r="B178" s="25" t="inlineStr">
        <is>
          <t xml:space="preserve">  Memo: depreciation &amp; amortization (cash-flow statement)</t>
        </is>
      </c>
      <c r="C178" s="44">
        <f>C148</f>
        <v>47.825</v>
      </c>
      <c r="D178" s="44">
        <f>D148</f>
        <v>52.61</v>
      </c>
      <c r="E178" s="44">
        <f>E148</f>
        <v>56.925</v>
      </c>
      <c r="F178" s="44">
        <f>F148</f>
        <v>56.598</v>
      </c>
      <c r="G178" s="44">
        <f>G148</f>
        <v>57.357</v>
      </c>
      <c r="H178" s="44">
        <f>H148</f>
        <v>62.051</v>
      </c>
      <c r="I178" s="44">
        <f>I148</f>
        <v>65.334</v>
      </c>
      <c r="J178" s="44">
        <f>J148</f>
        <v>17.397</v>
      </c>
      <c r="K178" s="44">
        <f>K148</f>
        <v>17.158</v>
      </c>
      <c r="L178" s="44">
        <f>L148</f>
        <v>17.326</v>
      </c>
      <c r="M178" s="44">
        <f>M148</f>
        <v>17.002</v>
      </c>
      <c r="N178" s="44">
        <f>N148</f>
        <v>68.883</v>
      </c>
      <c r="O178" s="44">
        <f>O148</f>
        <v>17.931</v>
      </c>
      <c r="P178" s="44">
        <f>P148</f>
        <v>17.969</v>
      </c>
      <c r="Q178" s="44">
        <f>Q148</f>
        <v>17.117</v>
      </c>
      <c r="R178" s="44">
        <f>R148</f>
        <v>16.59</v>
      </c>
      <c r="S178" s="44">
        <f>S148</f>
        <v>69.607</v>
      </c>
      <c r="T178" s="44">
        <f>T148</f>
        <v>16.032</v>
      </c>
      <c r="U178" s="44">
        <f>U148</f>
        <v>15.686</v>
      </c>
      <c r="V178" s="44">
        <f>V148</f>
        <v>16.179</v>
      </c>
      <c r="W178" s="44">
        <f>W148</f>
        <v>16.11</v>
      </c>
      <c r="X178" s="44">
        <f>X148</f>
        <v>64.007</v>
      </c>
      <c r="Y178" s="44">
        <f>Y148</f>
        <v>15.625</v>
      </c>
      <c r="Z178" s="44">
        <f>Z148</f>
        <v>16.607</v>
      </c>
      <c r="AA178" s="44">
        <f>AA148</f>
        <v>16.263</v>
      </c>
      <c r="AB178" s="44">
        <f>AB148</f>
        <v>16.578</v>
      </c>
      <c r="AC178" s="44">
        <f>AC148</f>
        <v>65.073</v>
      </c>
      <c r="AD178" s="44">
        <f>AD148</f>
        <v>16.166</v>
      </c>
      <c r="AE178" s="44">
        <f>AE148</f>
        <v>15.84</v>
      </c>
      <c r="AF178" s="44">
        <f>AF148</f>
        <v>18.451</v>
      </c>
      <c r="AG178" s="44">
        <f>AG148</f>
        <v>17.658</v>
      </c>
      <c r="AH178" s="44">
        <f>AH148</f>
        <v>68.115</v>
      </c>
      <c r="AI178" s="44">
        <f>AI148</f>
        <v>18.134</v>
      </c>
      <c r="AJ178" s="44">
        <f>AJ148</f>
        <v>18.189</v>
      </c>
      <c r="AK178" s="44">
        <f>AK148</f>
        <v>17.623</v>
      </c>
      <c r="AL178" s="44">
        <f>AL148</f>
        <v>18.4</v>
      </c>
      <c r="AM178" s="44">
        <f>AM148</f>
        <v>72.346</v>
      </c>
      <c r="AN178" s="44">
        <f>AN148</f>
        <v>18.901</v>
      </c>
      <c r="AO178" s="44">
        <f>AO148</f>
        <v>20.351</v>
      </c>
      <c r="AP178" s="44">
        <f>AP148</f>
        <v>21.148</v>
      </c>
      <c r="AQ178" s="44">
        <f>AQ148</f>
        <v>21.087</v>
      </c>
      <c r="AR178" s="44">
        <f>AR148</f>
        <v>81.487</v>
      </c>
      <c r="AS178" s="44">
        <f>AS148</f>
        <v>21.028</v>
      </c>
      <c r="AT178" s="44">
        <f>AT148</f>
        <v>20.05</v>
      </c>
      <c r="AU178" s="44">
        <f>AU148</f>
        <v>19.488</v>
      </c>
      <c r="AV178" s="44">
        <f>AV148</f>
        <v>19.926</v>
      </c>
      <c r="AW178" s="44">
        <f>AW148</f>
        <v>80.492</v>
      </c>
      <c r="AX178" s="44">
        <f>AX148</f>
        <v>19.118</v>
      </c>
      <c r="AY178" s="44">
        <f>AY148</f>
        <v>19.39</v>
      </c>
      <c r="AZ178" s="44">
        <f>AZ148</f>
        <v>22.05</v>
      </c>
      <c r="BA178" s="44">
        <f>BA148</f>
        <v>20.588</v>
      </c>
      <c r="BB178" s="44">
        <f>BB148</f>
        <v>81.146</v>
      </c>
      <c r="BC178" s="44">
        <f>BC148</f>
        <v>19.891</v>
      </c>
      <c r="BD178" s="44">
        <f>BD148</f>
        <v>19.868</v>
      </c>
      <c r="BE178" s="44">
        <f>BE148</f>
        <v>19.25</v>
      </c>
      <c r="BF178" s="44">
        <f>BF148</f>
        <v>19.05</v>
      </c>
      <c r="BG178" s="44">
        <f>BG148</f>
        <v>78.059</v>
      </c>
      <c r="BH178" s="44">
        <f>BH148</f>
        <v>21.295</v>
      </c>
      <c r="BI178" s="44">
        <f>BI148</f>
        <v>21.917</v>
      </c>
      <c r="BJ178" s="44">
        <f>BJ148</f>
        <v>21.489</v>
      </c>
      <c r="BK178" s="44">
        <f>BK148</f>
        <v>21.969</v>
      </c>
      <c r="BL178" s="44">
        <f>BL148</f>
        <v>86.67</v>
      </c>
      <c r="BM178" s="44">
        <f>BM148</f>
        <v>21.586</v>
      </c>
      <c r="BN178" s="44">
        <f>BN148</f>
        <v>20.865</v>
      </c>
      <c r="BO178" s="44">
        <f>BO148</f>
        <v>22.644</v>
      </c>
      <c r="BP178" s="44">
        <f>BP148</f>
        <v>23.143</v>
      </c>
      <c r="BQ178" s="44">
        <f>BQ148</f>
        <v>88.238</v>
      </c>
      <c r="BR178" s="44">
        <f>BR148</f>
        <v>23.784</v>
      </c>
      <c r="BS178" s="44">
        <f>BS148</f>
        <v>24.462</v>
      </c>
      <c r="BT178" s="44">
        <f>BT148</f>
        <v>24.744</v>
      </c>
      <c r="BU178" s="44">
        <f>BU148</f>
        <v>25.556</v>
      </c>
      <c r="BV178" s="44">
        <f>BV148</f>
        <v>98.546</v>
      </c>
      <c r="BW178" s="44">
        <f>BW148</f>
        <v>26.009</v>
      </c>
      <c r="BX178" s="44">
        <f>BX148</f>
        <v>25.969</v>
      </c>
      <c r="BY178" s="257">
        <f>BY148</f>
        <v>25.989</v>
      </c>
      <c r="BZ178" s="257">
        <f>BZ148</f>
        <v>25.989</v>
      </c>
      <c r="CA178" s="257">
        <f>CA148</f>
        <v>103.956</v>
      </c>
      <c r="CB178" s="257">
        <f>CB148</f>
        <v>115.035350607264</v>
      </c>
      <c r="CC178" s="257">
        <f>CC148</f>
        <v>127.857022299732</v>
      </c>
      <c r="CD178" s="257">
        <f>CD148</f>
        <v>141.666020868437</v>
      </c>
      <c r="CE178" s="257">
        <f>CE148</f>
        <v>156.081040810477</v>
      </c>
      <c r="CF178" s="19" t="n"/>
    </row>
    <row r="179" outlineLevel="2" s="251">
      <c r="B179" s="25" t="inlineStr">
        <is>
          <t xml:space="preserve">  Memo: stock-based compensation</t>
        </is>
      </c>
      <c r="C179" s="34" t="n">
        <v>4.217</v>
      </c>
      <c r="D179" s="34" t="n">
        <v>4.679</v>
      </c>
      <c r="E179" s="34" t="n">
        <v>4.738</v>
      </c>
      <c r="F179" s="34" t="n">
        <v>5.432</v>
      </c>
      <c r="G179" s="34" t="n">
        <v>8.212999999999999</v>
      </c>
      <c r="H179" s="34" t="n">
        <v>6.61</v>
      </c>
      <c r="I179" s="34" t="n">
        <v>8.961</v>
      </c>
      <c r="J179" s="34" t="n">
        <v>2.468</v>
      </c>
      <c r="K179" s="34" t="n">
        <v>2.511</v>
      </c>
      <c r="L179" s="34" t="n">
        <v>2.532</v>
      </c>
      <c r="M179" s="34" t="n">
        <v>2.223</v>
      </c>
      <c r="N179" s="34" t="n">
        <v>9.734</v>
      </c>
      <c r="O179" s="34" t="n">
        <v>2.293</v>
      </c>
      <c r="P179" s="34" t="n">
        <v>2.292</v>
      </c>
      <c r="Q179" s="34" t="n">
        <v>1.683</v>
      </c>
      <c r="R179" s="34" t="n">
        <v>2.148</v>
      </c>
      <c r="S179" s="34" t="n">
        <v>8.416</v>
      </c>
      <c r="T179" s="34" t="n">
        <v>1.957</v>
      </c>
      <c r="U179" s="34" t="n">
        <v>1.932</v>
      </c>
      <c r="V179" s="34" t="n">
        <v>2.053</v>
      </c>
      <c r="W179" s="34" t="n">
        <v>1.99</v>
      </c>
      <c r="X179" s="34" t="n">
        <v>7.932</v>
      </c>
      <c r="Y179" s="34" t="n">
        <v>2.154</v>
      </c>
      <c r="Z179" s="34" t="n">
        <v>2.689</v>
      </c>
      <c r="AA179" s="34" t="n">
        <v>2.673</v>
      </c>
      <c r="AB179" s="34" t="n">
        <v>2.816</v>
      </c>
      <c r="AC179" s="34" t="n">
        <v>10.332</v>
      </c>
      <c r="AD179" s="34" t="n">
        <v>3.268</v>
      </c>
      <c r="AE179" s="34" t="n">
        <v>3.364</v>
      </c>
      <c r="AF179" s="34" t="n">
        <v>3.334</v>
      </c>
      <c r="AG179" s="34" t="n">
        <v>2.732</v>
      </c>
      <c r="AH179" s="34" t="n">
        <v>12.698</v>
      </c>
      <c r="AI179" s="34" t="n">
        <v>4.419</v>
      </c>
      <c r="AJ179" s="34" t="n">
        <v>5.402</v>
      </c>
      <c r="AK179" s="34" t="n">
        <v>3.762</v>
      </c>
      <c r="AL179" s="34" t="n">
        <v>4.971</v>
      </c>
      <c r="AM179" s="34" t="n">
        <v>18.554</v>
      </c>
      <c r="AN179" s="34" t="n">
        <v>4.149</v>
      </c>
      <c r="AO179" s="34" t="n">
        <v>4.596</v>
      </c>
      <c r="AP179" s="34" t="n">
        <v>3.857</v>
      </c>
      <c r="AQ179" s="34" t="n">
        <v>4.022</v>
      </c>
      <c r="AR179" s="34" t="n">
        <v>16.624</v>
      </c>
      <c r="AS179" s="34" t="n">
        <v>3.691</v>
      </c>
      <c r="AT179" s="34" t="n">
        <v>4.116</v>
      </c>
      <c r="AU179" s="34" t="n">
        <v>3.849</v>
      </c>
      <c r="AV179" s="34" t="n">
        <v>3.732</v>
      </c>
      <c r="AW179" s="34" t="n">
        <v>15.388</v>
      </c>
      <c r="AX179" s="34" t="n">
        <v>6.402</v>
      </c>
      <c r="AY179" s="34" t="n">
        <v>6.249</v>
      </c>
      <c r="AZ179" s="34" t="n">
        <v>5.564</v>
      </c>
      <c r="BA179" s="34" t="n">
        <v>5.572</v>
      </c>
      <c r="BB179" s="34" t="n">
        <v>23.787</v>
      </c>
      <c r="BC179" s="34" t="n">
        <v>11.148</v>
      </c>
      <c r="BD179" s="34" t="n">
        <v>5.192</v>
      </c>
      <c r="BE179" s="34" t="n">
        <v>4.609</v>
      </c>
      <c r="BF179" s="34" t="n">
        <v>4.318</v>
      </c>
      <c r="BG179" s="34" t="n">
        <v>25.267</v>
      </c>
      <c r="BH179" s="34" t="n">
        <v>11.634</v>
      </c>
      <c r="BI179" s="34" t="n">
        <v>4.981</v>
      </c>
      <c r="BJ179" s="34" t="n">
        <v>5.509</v>
      </c>
      <c r="BK179" s="34" t="n">
        <v>4.107</v>
      </c>
      <c r="BL179" s="34" t="n">
        <v>26.231</v>
      </c>
      <c r="BM179" s="34" t="n">
        <v>14.19</v>
      </c>
      <c r="BN179" s="34" t="n">
        <v>4.189</v>
      </c>
      <c r="BO179" s="34" t="n">
        <v>1.124</v>
      </c>
      <c r="BP179" s="34" t="n">
        <v>4.549</v>
      </c>
      <c r="BQ179" s="34" t="n">
        <v>24.052</v>
      </c>
      <c r="BR179" s="34" t="n">
        <v>8.352</v>
      </c>
      <c r="BS179" s="34" t="n">
        <v>3.925</v>
      </c>
      <c r="BT179" s="34" t="n">
        <v>3.633</v>
      </c>
      <c r="BU179" s="34" t="n">
        <v>4.438</v>
      </c>
      <c r="BV179" s="34" t="n">
        <v>20.348</v>
      </c>
      <c r="BW179" s="34" t="n">
        <v>9.58</v>
      </c>
      <c r="BX179" s="34" t="n">
        <v>4.875</v>
      </c>
      <c r="BY179" s="257">
        <f>BY154*BY151</f>
        <v>7.32266841228493</v>
      </c>
      <c r="BZ179" s="257">
        <f>BZ154*BZ151</f>
        <v>7.36451795460846</v>
      </c>
      <c r="CA179" s="257">
        <f>SUM(BW179,BX179,BY179,BZ179)</f>
        <v>29.1421863668934</v>
      </c>
      <c r="CB179" s="257">
        <f>CB154*CB151</f>
        <v>30.1760934952705</v>
      </c>
      <c r="CC179" s="257">
        <f>CC154*CC151</f>
        <v>32.4302059465952</v>
      </c>
      <c r="CD179" s="257">
        <f>CD154*CD151</f>
        <v>34.7710055649165</v>
      </c>
      <c r="CE179" s="257">
        <f>CE154*CE151</f>
        <v>37.219746882794</v>
      </c>
      <c r="CF179" s="19" t="n"/>
    </row>
    <row r="180">
      <c r="B180" s="25" t="inlineStr">
        <is>
          <t>(Earnings per share — 2006–2010 restated for the 2-for-1 stock split of 27-May-2011)</t>
        </is>
      </c>
      <c r="C180" s="270" t="n"/>
      <c r="D180" s="270" t="n"/>
      <c r="E180" s="270" t="n"/>
      <c r="F180" s="270" t="n"/>
      <c r="G180" s="270" t="n"/>
      <c r="H180" s="270" t="n"/>
      <c r="I180" s="270" t="n"/>
      <c r="J180" s="270" t="n"/>
      <c r="K180" s="270" t="n"/>
      <c r="L180" s="270" t="n"/>
      <c r="M180" s="270" t="n"/>
      <c r="N180" s="270" t="n"/>
      <c r="O180" s="270" t="n"/>
      <c r="P180" s="270" t="n"/>
      <c r="Q180" s="270" t="n"/>
      <c r="R180" s="270" t="n"/>
      <c r="S180" s="270" t="n"/>
      <c r="T180" s="270" t="n"/>
      <c r="U180" s="270" t="n"/>
      <c r="V180" s="270" t="n"/>
      <c r="W180" s="270" t="n"/>
      <c r="X180" s="270" t="n"/>
      <c r="Y180" s="270" t="n"/>
      <c r="Z180" s="270" t="n"/>
      <c r="AA180" s="270" t="n"/>
      <c r="AB180" s="270" t="n"/>
      <c r="AC180" s="270" t="n"/>
      <c r="AD180" s="270" t="n"/>
      <c r="AE180" s="270" t="n"/>
      <c r="AF180" s="270" t="n"/>
      <c r="AG180" s="270" t="n"/>
      <c r="AH180" s="270" t="n"/>
      <c r="AI180" s="270" t="n"/>
      <c r="AJ180" s="270" t="n"/>
      <c r="AK180" s="270" t="n"/>
      <c r="AL180" s="270" t="n"/>
      <c r="AM180" s="270" t="n"/>
      <c r="AN180" s="270" t="n"/>
      <c r="AO180" s="270" t="n"/>
      <c r="AP180" s="270" t="n"/>
      <c r="AQ180" s="270" t="n"/>
      <c r="AR180" s="270" t="n"/>
      <c r="AS180" s="270" t="n"/>
      <c r="AT180" s="270" t="n"/>
      <c r="AU180" s="270" t="n"/>
      <c r="AV180" s="270" t="n"/>
      <c r="AW180" s="270" t="n"/>
      <c r="AX180" s="270" t="n"/>
      <c r="AY180" s="270" t="n"/>
      <c r="AZ180" s="270" t="n"/>
      <c r="BA180" s="270" t="n"/>
      <c r="BB180" s="270" t="n"/>
      <c r="BC180" s="270" t="n"/>
      <c r="BD180" s="270" t="n"/>
      <c r="BE180" s="270" t="n"/>
      <c r="BF180" s="270" t="n"/>
      <c r="BG180" s="270" t="n"/>
      <c r="BH180" s="270" t="n"/>
      <c r="BI180" s="270" t="n"/>
      <c r="BJ180" s="270" t="n"/>
      <c r="BK180" s="270" t="n"/>
      <c r="BL180" s="270" t="n"/>
      <c r="BM180" s="270" t="n"/>
      <c r="BN180" s="270" t="n"/>
      <c r="BO180" s="270" t="n"/>
      <c r="BP180" s="270" t="n"/>
      <c r="BQ180" s="270" t="n"/>
      <c r="BR180" s="270" t="n"/>
      <c r="BS180" s="270" t="n"/>
      <c r="BT180" s="270" t="n"/>
      <c r="BU180" s="270" t="n"/>
      <c r="BV180" s="270" t="n"/>
      <c r="BW180" s="270" t="n"/>
      <c r="BX180" s="270" t="n"/>
      <c r="BY180" s="269" t="n"/>
      <c r="BZ180" s="269" t="n"/>
      <c r="CA180" s="269" t="n"/>
      <c r="CB180" s="269" t="n"/>
      <c r="CC180" s="269" t="n"/>
      <c r="CD180" s="269" t="n"/>
      <c r="CE180" s="269" t="n"/>
      <c r="CF180" s="19" t="n"/>
    </row>
    <row r="181">
      <c r="B181" s="25" t="inlineStr">
        <is>
          <t xml:space="preserve">  Weighted-average basic shares (m)</t>
        </is>
      </c>
      <c r="C181" s="45" t="n">
        <v>85.06399999999999</v>
      </c>
      <c r="D181" s="45" t="n">
        <v>85.798</v>
      </c>
      <c r="E181" s="45" t="n">
        <v>85.29600000000001</v>
      </c>
      <c r="F181" s="45" t="n">
        <v>84.782</v>
      </c>
      <c r="G181" s="45" t="n">
        <v>84.40600000000001</v>
      </c>
      <c r="H181" s="45" t="n">
        <v>83.681</v>
      </c>
      <c r="I181" s="45" t="n">
        <v>83.087</v>
      </c>
      <c r="J181" s="45" t="n">
        <v>82.71899999999999</v>
      </c>
      <c r="K181" s="45" t="n">
        <v>82.419</v>
      </c>
      <c r="L181" s="45" t="n">
        <v>81.64400000000001</v>
      </c>
      <c r="M181" s="45" t="n">
        <v>81.13200000000001</v>
      </c>
      <c r="N181" s="45" t="n">
        <v>81.97799999999999</v>
      </c>
      <c r="O181" s="45" t="n">
        <v>80.648</v>
      </c>
      <c r="P181" s="45" t="n">
        <v>79.873</v>
      </c>
      <c r="Q181" s="45" t="n">
        <v>78.81699999999999</v>
      </c>
      <c r="R181" s="45" t="n">
        <v>77.40300000000001</v>
      </c>
      <c r="S181" s="45" t="n">
        <v>79.185</v>
      </c>
      <c r="T181" s="45" t="n">
        <v>76.242</v>
      </c>
      <c r="U181" s="45" t="n">
        <v>75</v>
      </c>
      <c r="V181" s="45" t="n">
        <v>73.754</v>
      </c>
      <c r="W181" s="45" t="n">
        <v>71.446</v>
      </c>
      <c r="X181" s="45" t="n">
        <v>74.111</v>
      </c>
      <c r="Y181" s="45" t="n">
        <v>69.58499999999999</v>
      </c>
      <c r="Z181" s="45" t="n">
        <v>68.181</v>
      </c>
      <c r="AA181" s="45" t="n">
        <v>66.477</v>
      </c>
      <c r="AB181" s="45" t="n">
        <v>65.60299999999999</v>
      </c>
      <c r="AC181" s="45" t="n">
        <v>67.462</v>
      </c>
      <c r="AD181" s="45" t="n">
        <v>65.688</v>
      </c>
      <c r="AE181" s="45" t="n">
        <v>65.81100000000001</v>
      </c>
      <c r="AF181" s="45" t="n">
        <v>65.806</v>
      </c>
      <c r="AG181" s="45" t="n">
        <v>65.649</v>
      </c>
      <c r="AH181" s="45" t="n">
        <v>65.739</v>
      </c>
      <c r="AI181" s="45" t="n">
        <v>65.57899999999999</v>
      </c>
      <c r="AJ181" s="45" t="n">
        <v>65.337</v>
      </c>
      <c r="AK181" s="45" t="n">
        <v>64.821</v>
      </c>
      <c r="AL181" s="45" t="n">
        <v>63.808</v>
      </c>
      <c r="AM181" s="45" t="n">
        <v>64.886</v>
      </c>
      <c r="AN181" s="45" t="n">
        <v>63.16</v>
      </c>
      <c r="AO181" s="45" t="n">
        <v>62.305</v>
      </c>
      <c r="AP181" s="45" t="n">
        <v>61.38</v>
      </c>
      <c r="AQ181" s="45" t="n">
        <v>60.996</v>
      </c>
      <c r="AR181" s="45" t="n">
        <v>61.96</v>
      </c>
      <c r="AS181" s="45" t="n">
        <v>60.184</v>
      </c>
      <c r="AT181" s="45" t="n">
        <v>59.354</v>
      </c>
      <c r="AU181" s="45" t="n">
        <v>59.426</v>
      </c>
      <c r="AV181" s="45" t="n">
        <v>59.567</v>
      </c>
      <c r="AW181" s="45" t="n">
        <v>59.633</v>
      </c>
      <c r="AX181" s="45" t="n">
        <v>59.642</v>
      </c>
      <c r="AY181" s="45" t="n">
        <v>59.464</v>
      </c>
      <c r="AZ181" s="45" t="n">
        <v>59.289</v>
      </c>
      <c r="BA181" s="45" t="n">
        <v>58.842</v>
      </c>
      <c r="BB181" s="45" t="n">
        <v>59.309</v>
      </c>
      <c r="BC181" s="45" t="n">
        <v>58.606</v>
      </c>
      <c r="BD181" s="45" t="n">
        <v>58.016</v>
      </c>
      <c r="BE181" s="45" t="n">
        <v>57.823</v>
      </c>
      <c r="BF181" s="45" t="n">
        <v>57.676</v>
      </c>
      <c r="BG181" s="45" t="n">
        <v>58.03</v>
      </c>
      <c r="BH181" s="45" t="n">
        <v>57.596</v>
      </c>
      <c r="BI181" s="45" t="n">
        <v>57.479</v>
      </c>
      <c r="BJ181" s="45" t="n">
        <v>57.32</v>
      </c>
      <c r="BK181" s="45" t="n">
        <v>57.063</v>
      </c>
      <c r="BL181" s="45" t="n">
        <v>57.364</v>
      </c>
      <c r="BM181" s="45" t="n">
        <v>56.865</v>
      </c>
      <c r="BN181" s="45" t="n">
        <v>56.816</v>
      </c>
      <c r="BO181" s="45" t="n">
        <v>56.565</v>
      </c>
      <c r="BP181" s="45" t="n">
        <v>56.309</v>
      </c>
      <c r="BQ181" s="45" t="n">
        <v>56.639</v>
      </c>
      <c r="BR181" s="45" t="n">
        <v>56.058</v>
      </c>
      <c r="BS181" s="45" t="n">
        <v>55.545</v>
      </c>
      <c r="BT181" s="45" t="n">
        <v>55.097</v>
      </c>
      <c r="BU181" s="45" t="n">
        <v>54.941</v>
      </c>
      <c r="BV181" s="45" t="n">
        <v>55.41</v>
      </c>
      <c r="BW181" s="45" t="n">
        <v>54.822</v>
      </c>
      <c r="BX181" s="45" t="n">
        <v>54.662</v>
      </c>
      <c r="BY181" s="266">
        <f>$BX$181-$CA$312*0.25</f>
        <v>54.5440497931335</v>
      </c>
      <c r="BZ181" s="266">
        <f>$BX$181-$CA$312*0.75</f>
        <v>54.3081493794005</v>
      </c>
      <c r="CA181" s="266">
        <f>AVERAGE(BW181,BX181,BY181,BZ181)</f>
        <v>54.5840497931335</v>
      </c>
      <c r="CB181" s="266">
        <f>AVERAGE(CB314,CB315)</f>
        <v>53.5858263865063</v>
      </c>
      <c r="CC181" s="266">
        <f>AVERAGE(CC314,CC315)</f>
        <v>52.6035620855711</v>
      </c>
      <c r="CD181" s="266">
        <f>AVERAGE(CD314,CD315)</f>
        <v>51.6699478707611</v>
      </c>
      <c r="CE181" s="266">
        <f>AVERAGE(CE314,CE315)</f>
        <v>50.6069097967939</v>
      </c>
      <c r="CF181" s="19" t="inlineStr">
        <is>
          <t>Q3/Q4-26E: Q2/26 less 2H buybacks (time-weighted). 2027E+: average of beginning and ending shares outstanding.</t>
        </is>
      </c>
    </row>
    <row r="182">
      <c r="B182" s="25" t="inlineStr">
        <is>
          <t xml:space="preserve">  Weighted-average diluted shares (m)</t>
        </is>
      </c>
      <c r="C182" s="45" t="n">
        <v>86.06399999999999</v>
      </c>
      <c r="D182" s="45" t="n">
        <v>86.78400000000001</v>
      </c>
      <c r="E182" s="45" t="n">
        <v>86.108</v>
      </c>
      <c r="F182" s="45" t="n">
        <v>85.268</v>
      </c>
      <c r="G182" s="45" t="n">
        <v>85.224</v>
      </c>
      <c r="H182" s="45" t="n">
        <v>84.708</v>
      </c>
      <c r="I182" s="45" t="n">
        <v>84.175</v>
      </c>
      <c r="J182" s="45" t="n">
        <v>83.786</v>
      </c>
      <c r="K182" s="45" t="n">
        <v>83.411</v>
      </c>
      <c r="L182" s="45" t="n">
        <v>82.70699999999999</v>
      </c>
      <c r="M182" s="45" t="n">
        <v>82.184</v>
      </c>
      <c r="N182" s="45" t="n">
        <v>83.042</v>
      </c>
      <c r="O182" s="45" t="n">
        <v>81.616</v>
      </c>
      <c r="P182" s="45" t="n">
        <v>80.773</v>
      </c>
      <c r="Q182" s="45" t="n">
        <v>79.72499999999999</v>
      </c>
      <c r="R182" s="45" t="n">
        <v>78.28</v>
      </c>
      <c r="S182" s="45" t="n">
        <v>80.096</v>
      </c>
      <c r="T182" s="45" t="n">
        <v>77.059</v>
      </c>
      <c r="U182" s="45" t="n">
        <v>75.773</v>
      </c>
      <c r="V182" s="45" t="n">
        <v>73.754</v>
      </c>
      <c r="W182" s="45" t="n">
        <v>72.121</v>
      </c>
      <c r="X182" s="45" t="n">
        <v>74.854</v>
      </c>
      <c r="Y182" s="45" t="n">
        <v>70.246</v>
      </c>
      <c r="Z182" s="45" t="n">
        <v>68.89</v>
      </c>
      <c r="AA182" s="45" t="n">
        <v>67.182</v>
      </c>
      <c r="AB182" s="45" t="n">
        <v>66.303</v>
      </c>
      <c r="AC182" s="45" t="n">
        <v>68.15600000000001</v>
      </c>
      <c r="AD182" s="45" t="n">
        <v>66.583</v>
      </c>
      <c r="AE182" s="45" t="n">
        <v>66.74299999999999</v>
      </c>
      <c r="AF182" s="45" t="n">
        <v>66.702</v>
      </c>
      <c r="AG182" s="45" t="n">
        <v>66.53</v>
      </c>
      <c r="AH182" s="45" t="n">
        <v>66.643</v>
      </c>
      <c r="AI182" s="45" t="n">
        <v>66.443</v>
      </c>
      <c r="AJ182" s="45" t="n">
        <v>66.121</v>
      </c>
      <c r="AK182" s="45" t="n">
        <v>65.652</v>
      </c>
      <c r="AL182" s="45" t="n">
        <v>64.559</v>
      </c>
      <c r="AM182" s="45" t="n">
        <v>65.682</v>
      </c>
      <c r="AN182" s="45" t="n">
        <v>63.899</v>
      </c>
      <c r="AO182" s="45" t="n">
        <v>62.97</v>
      </c>
      <c r="AP182" s="45" t="n">
        <v>62.061</v>
      </c>
      <c r="AQ182" s="45" t="n">
        <v>61.71</v>
      </c>
      <c r="AR182" s="45" t="n">
        <v>62.658</v>
      </c>
      <c r="AS182" s="45" t="n">
        <v>60.799</v>
      </c>
      <c r="AT182" s="45" t="n">
        <v>59.831</v>
      </c>
      <c r="AU182" s="45" t="n">
        <v>60.018</v>
      </c>
      <c r="AV182" s="45" t="n">
        <v>60.301</v>
      </c>
      <c r="AW182" s="45" t="n">
        <v>60.248</v>
      </c>
      <c r="AX182" s="45" t="n">
        <v>60.299</v>
      </c>
      <c r="AY182" s="45" t="n">
        <v>60.164</v>
      </c>
      <c r="AZ182" s="45" t="n">
        <v>60.055</v>
      </c>
      <c r="BA182" s="45" t="n">
        <v>59.637</v>
      </c>
      <c r="BB182" s="45" t="n">
        <v>60.062</v>
      </c>
      <c r="BC182" s="45" t="n">
        <v>59.272</v>
      </c>
      <c r="BD182" s="45" t="n">
        <v>58.688</v>
      </c>
      <c r="BE182" s="45" t="n">
        <v>58.526</v>
      </c>
      <c r="BF182" s="45" t="n">
        <v>58.459</v>
      </c>
      <c r="BG182" s="45" t="n">
        <v>58.749</v>
      </c>
      <c r="BH182" s="45" t="n">
        <v>58.417</v>
      </c>
      <c r="BI182" s="45" t="n">
        <v>58.303</v>
      </c>
      <c r="BJ182" s="45" t="n">
        <v>58.136</v>
      </c>
      <c r="BK182" s="45" t="n">
        <v>57.911</v>
      </c>
      <c r="BL182" s="45" t="n">
        <v>58.221</v>
      </c>
      <c r="BM182" s="45" t="n">
        <v>57.641</v>
      </c>
      <c r="BN182" s="45" t="n">
        <v>57.366</v>
      </c>
      <c r="BO182" s="45" t="n">
        <v>57.066</v>
      </c>
      <c r="BP182" s="45" t="n">
        <v>56.818</v>
      </c>
      <c r="BQ182" s="45" t="n">
        <v>57.194</v>
      </c>
      <c r="BR182" s="45" t="n">
        <v>56.527</v>
      </c>
      <c r="BS182" s="45" t="n">
        <v>55.968</v>
      </c>
      <c r="BT182" s="45" t="n">
        <v>55.574</v>
      </c>
      <c r="BU182" s="45" t="n">
        <v>55.412</v>
      </c>
      <c r="BV182" s="45" t="n">
        <v>55.875</v>
      </c>
      <c r="BW182" s="45" t="n">
        <v>55.317</v>
      </c>
      <c r="BX182" s="45" t="n">
        <v>55.102</v>
      </c>
      <c r="BY182" s="266">
        <f>BY181+($BX$182-$BX$181)</f>
        <v>54.9840497931335</v>
      </c>
      <c r="BZ182" s="266">
        <f>BZ181+($BX$182-$BX$181)</f>
        <v>54.7481493794004</v>
      </c>
      <c r="CA182" s="266">
        <f>AVERAGE(BW182,BX182,BY182,BZ182)</f>
        <v>55.0377997931335</v>
      </c>
      <c r="CB182" s="266">
        <f>CB181+CB368</f>
        <v>54.0258263865063</v>
      </c>
      <c r="CC182" s="266">
        <f>CC181+CC368</f>
        <v>53.0435620855711</v>
      </c>
      <c r="CD182" s="266">
        <f>CD181+CD368</f>
        <v>52.1099478707611</v>
      </c>
      <c r="CE182" s="266">
        <f>CE181+CE368</f>
        <v>51.0469097967939</v>
      </c>
      <c r="CF182" s="19" t="n"/>
    </row>
    <row r="183">
      <c r="B183" s="25" t="inlineStr">
        <is>
          <t>EPS – basic, attributable to Lincoln Electric ($)</t>
        </is>
      </c>
      <c r="C183" s="38">
        <f>IF(AND(ISNUMBER(C175),ISNUMBER(C181)),IFERROR(C175/C181,""),"")</f>
        <v>2.05736856954764</v>
      </c>
      <c r="D183" s="38">
        <f>IF(AND(ISNUMBER(D175),ISNUMBER(D181)),IFERROR(D175/D181,""),"")</f>
        <v>2.36294552320567</v>
      </c>
      <c r="E183" s="38">
        <f>IF(AND(ISNUMBER(E175),ISNUMBER(E181)),IFERROR(E175/E181,""),"")</f>
        <v>2.48881541924592</v>
      </c>
      <c r="F183" s="38">
        <f>IF(AND(ISNUMBER(F175),ISNUMBER(F181)),IFERROR(F175/F181,""),"")</f>
        <v>0.572951805807837</v>
      </c>
      <c r="G183" s="38">
        <f>IF(AND(ISNUMBER(G175),ISNUMBER(G181)),IFERROR(G175/G181,""),"")</f>
        <v>1.54306565883942</v>
      </c>
      <c r="H183" s="38">
        <f>IF(AND(ISNUMBER(H175),ISNUMBER(H181)),IFERROR(H175/H181,""),"")</f>
        <v>2.59540397461789</v>
      </c>
      <c r="I183" s="38">
        <f>IF(AND(ISNUMBER(I175),ISNUMBER(I181)),IFERROR(I175/I181,""),"")</f>
        <v>3.09808995390374</v>
      </c>
      <c r="J183" s="38">
        <f>IF(AND(ISNUMBER(J175),ISNUMBER(J181)),IFERROR(J175/J181,""),"")</f>
        <v>0.807625817526808</v>
      </c>
      <c r="K183" s="38">
        <f>IF(AND(ISNUMBER(K175),ISNUMBER(K181)),IFERROR(K175/K181,""),"")</f>
        <v>0.880937647872457</v>
      </c>
      <c r="L183" s="38">
        <f>IF(AND(ISNUMBER(L175),ISNUMBER(L181)),IFERROR(L175/L181,""),"")</f>
        <v>0.80892655920827</v>
      </c>
      <c r="M183" s="38">
        <f>IF(AND(ISNUMBER(M175),ISNUMBER(M181)),IFERROR(M175/M181,""),"")</f>
        <v>1.08864566385643</v>
      </c>
      <c r="N183" s="38">
        <f>IF(AND(ISNUMBER(N175),ISNUMBER(N181)),IFERROR(N175/N181,""),"")</f>
        <v>3.58364439239796</v>
      </c>
      <c r="O183" s="38">
        <f>IF(AND(ISNUMBER(O175),ISNUMBER(O181)),IFERROR(O175/O181,""),"")</f>
        <v>0.699992560261879</v>
      </c>
      <c r="P183" s="38">
        <f>IF(AND(ISNUMBER(P175),ISNUMBER(P181)),IFERROR(P175/P181,""),"")</f>
        <v>0.968186996857511</v>
      </c>
      <c r="Q183" s="38">
        <f>IF(AND(ISNUMBER(Q175),ISNUMBER(Q181)),IFERROR(Q175/Q181,""),"")</f>
        <v>0.579684585812706</v>
      </c>
      <c r="R183" s="38">
        <f>IF(AND(ISNUMBER(R175),ISNUMBER(R181)),IFERROR(R175/R181,""),"")</f>
        <v>0.971693603607094</v>
      </c>
      <c r="S183" s="38">
        <f>IF(AND(ISNUMBER(S175),ISNUMBER(S181)),IFERROR(S175/S181,""),"")</f>
        <v>3.21634147881543</v>
      </c>
      <c r="T183" s="38">
        <f>IF(AND(ISNUMBER(T175),ISNUMBER(T181)),IFERROR(T175/T181,""),"")</f>
        <v>0.896539964848771</v>
      </c>
      <c r="U183" s="38">
        <f>IF(AND(ISNUMBER(U175),ISNUMBER(U181)),IFERROR(U175/U181,""),"")</f>
        <v>0.945306666666667</v>
      </c>
      <c r="V183" s="38">
        <f>IF(AND(ISNUMBER(V175),ISNUMBER(V181)),IFERROR(V175/V181,""),"")</f>
        <v>-0.819833500555901</v>
      </c>
      <c r="W183" s="38">
        <f>IF(AND(ISNUMBER(W175),ISNUMBER(W181)),IFERROR(W175/W181,""),"")</f>
        <v>0.681521708703077</v>
      </c>
      <c r="X183" s="38">
        <f>IF(AND(ISNUMBER(X175),ISNUMBER(X181)),IFERROR(X175/X181,""),"")</f>
        <v>1.72009553237711</v>
      </c>
      <c r="Y183" s="38">
        <f>IF(AND(ISNUMBER(Y175),ISNUMBER(Y181)),IFERROR(Y175/Y181,""),"")</f>
        <v>0.770827046058777</v>
      </c>
      <c r="Z183" s="38">
        <f>IF(AND(ISNUMBER(Z175),ISNUMBER(Z181)),IFERROR(Z175/Z181,""),"")</f>
        <v>0.459321511858143</v>
      </c>
      <c r="AA183" s="38">
        <f>IF(AND(ISNUMBER(AA175),ISNUMBER(AA181)),IFERROR(AA175/AA181,""),"")</f>
        <v>0.903304902447462</v>
      </c>
      <c r="AB183" s="38">
        <f>IF(AND(ISNUMBER(AB175),ISNUMBER(AB181)),IFERROR(AB175/AB181,""),"")</f>
        <v>0.813910949194396</v>
      </c>
      <c r="AC183" s="38">
        <f>IF(AND(ISNUMBER(AC175),ISNUMBER(AC181)),IFERROR(AC175/AC181,""),"")</f>
        <v>2.94090006225727</v>
      </c>
      <c r="AD183" s="38">
        <f>IF(AND(ISNUMBER(AD175),ISNUMBER(AD181)),IFERROR(AD175/AD181,""),"")</f>
        <v>0.85014005602241</v>
      </c>
      <c r="AE183" s="38">
        <f>IF(AND(ISNUMBER(AE175),ISNUMBER(AE181)),IFERROR(AE175/AE181,""),"")</f>
        <v>0.932245369315159</v>
      </c>
      <c r="AF183" s="38">
        <f>IF(AND(ISNUMBER(AF175),ISNUMBER(AF181)),IFERROR(AF175/AF181,""),"")</f>
        <v>1.61271008722609</v>
      </c>
      <c r="AG183" s="38">
        <f>IF(AND(ISNUMBER(AG175),ISNUMBER(AG181)),IFERROR(AG175/AG181,""),"")</f>
        <v>0.368337674602811</v>
      </c>
      <c r="AH183" s="38">
        <f>IF(AND(ISNUMBER(AH175),ISNUMBER(AH181)),IFERROR(AH175/AH181,""),"")</f>
        <v>3.76493405740884</v>
      </c>
      <c r="AI183" s="38">
        <f>IF(AND(ISNUMBER(AI175),ISNUMBER(AI181)),IFERROR(AI175/AI181,""),"")</f>
        <v>0.927492032510408</v>
      </c>
      <c r="AJ183" s="38">
        <f>IF(AND(ISNUMBER(AJ175),ISNUMBER(AJ181)),IFERROR(AJ175/AJ181,""),"")</f>
        <v>1.05398166429435</v>
      </c>
      <c r="AK183" s="38">
        <f>IF(AND(ISNUMBER(AK175),ISNUMBER(AK181)),IFERROR(AK175/AK181,""),"")</f>
        <v>1.08821215346878</v>
      </c>
      <c r="AL183" s="38">
        <f>IF(AND(ISNUMBER(AL175),ISNUMBER(AL181)),IFERROR(AL175/AL181,""),"")</f>
        <v>1.36094220160481</v>
      </c>
      <c r="AM183" s="38">
        <f>IF(AND(ISNUMBER(AM175),ISNUMBER(AM181)),IFERROR(AM175/AM181,""),"")</f>
        <v>4.42415929476312</v>
      </c>
      <c r="AN183" s="38">
        <f>IF(AND(ISNUMBER(AN175),ISNUMBER(AN181)),IFERROR(AN175/AN181,""),"")</f>
        <v>1.13172894236859</v>
      </c>
      <c r="AO183" s="38">
        <f>IF(AND(ISNUMBER(AO175),ISNUMBER(AO181)),IFERROR(AO175/AO181,""),"")</f>
        <v>1.3715111146778</v>
      </c>
      <c r="AP183" s="38">
        <f>IF(AND(ISNUMBER(AP175),ISNUMBER(AP181)),IFERROR(AP175/AP181,""),"")</f>
        <v>1.18053111762789</v>
      </c>
      <c r="AQ183" s="38">
        <f>IF(AND(ISNUMBER(AQ175),ISNUMBER(AQ181)),IFERROR(AQ175/AQ181,""),"")</f>
        <v>1.04459308807135</v>
      </c>
      <c r="AR183" s="38">
        <f>IF(AND(ISNUMBER(AR175),ISNUMBER(AR181)),IFERROR(AR175/AR181,""),"")</f>
        <v>4.73061652679148</v>
      </c>
      <c r="AS183" s="38">
        <f>IF(AND(ISNUMBER(AS175),ISNUMBER(AS181)),IFERROR(AS175/AS181,""),"")</f>
        <v>0.92320217998139</v>
      </c>
      <c r="AT183" s="38">
        <f>IF(AND(ISNUMBER(AT175),ISNUMBER(AT181)),IFERROR(AT175/AT181,""),"")</f>
        <v>0.454830339993934</v>
      </c>
      <c r="AU183" s="38">
        <f>IF(AND(ISNUMBER(AU175),ISNUMBER(AU181)),IFERROR(AU175/AU181,""),"")</f>
        <v>0.984064214316967</v>
      </c>
      <c r="AV183" s="38">
        <f>IF(AND(ISNUMBER(AV175),ISNUMBER(AV181)),IFERROR(AV175/AV181,""),"")</f>
        <v>1.09251766917924</v>
      </c>
      <c r="AW183" s="38">
        <f>IF(AND(ISNUMBER(AW175),ISNUMBER(AW181)),IFERROR(AW175/AW181,""),"")</f>
        <v>3.45639159525766</v>
      </c>
      <c r="AX183" s="38">
        <f>IF(AND(ISNUMBER(AX175),ISNUMBER(AX181)),IFERROR(AX175/AX181,""),"")</f>
        <v>1.24370410113678</v>
      </c>
      <c r="AY183" s="38">
        <f>IF(AND(ISNUMBER(AY175),ISNUMBER(AY181)),IFERROR(AY175/AY181,""),"")</f>
        <v>1.61618794564779</v>
      </c>
      <c r="AZ183" s="38">
        <f>IF(AND(ISNUMBER(AZ175),ISNUMBER(AZ181)),IFERROR(AZ175/AZ181,""),"")</f>
        <v>0.535630555415</v>
      </c>
      <c r="BA183" s="38">
        <f>IF(AND(ISNUMBER(BA175),ISNUMBER(BA181)),IFERROR(BA175/BA181,""),"")</f>
        <v>1.26486183338432</v>
      </c>
      <c r="BB183" s="38">
        <f>IF(AND(ISNUMBER(BB175),ISNUMBER(BB181)),IFERROR(BB175/BB181,""),"")</f>
        <v>4.6614510445295</v>
      </c>
      <c r="BC183" s="38">
        <f>IF(AND(ISNUMBER(BC175),ISNUMBER(BC181)),IFERROR(BC175/BC181,""),"")</f>
        <v>2.15046240999215</v>
      </c>
      <c r="BD183" s="38">
        <f>IF(AND(ISNUMBER(BD175),ISNUMBER(BD181)),IFERROR(BD175/BD181,""),"")</f>
        <v>2.20323703805847</v>
      </c>
      <c r="BE183" s="38">
        <f>IF(AND(ISNUMBER(BE175),ISNUMBER(BE181)),IFERROR(BE175/BE181,""),"")</f>
        <v>1.88895422236826</v>
      </c>
      <c r="BF183" s="38">
        <f>IF(AND(ISNUMBER(BF175),ISNUMBER(BF181)),IFERROR(BF175/BF181,""),"")</f>
        <v>1.89239891809418</v>
      </c>
      <c r="BG183" s="38">
        <f>IF(AND(ISNUMBER(BG175),ISNUMBER(BG181)),IFERROR(BG175/BG181,""),"")</f>
        <v>8.13758400827158</v>
      </c>
      <c r="BH183" s="38">
        <f>IF(AND(ISNUMBER(BH175),ISNUMBER(BH181)),IFERROR(BH175/BH181,""),"")</f>
        <v>2.11700465310091</v>
      </c>
      <c r="BI183" s="38">
        <f>IF(AND(ISNUMBER(BI175),ISNUMBER(BI181)),IFERROR(BI175/BI181,""),"")</f>
        <v>2.38923780859097</v>
      </c>
      <c r="BJ183" s="38">
        <f>IF(AND(ISNUMBER(BJ175),ISNUMBER(BJ181)),IFERROR(BJ175/BJ181,""),"")</f>
        <v>2.25650732728541</v>
      </c>
      <c r="BK183" s="38">
        <f>IF(AND(ISNUMBER(BK175),ISNUMBER(BK181)),IFERROR(BK175/BK181,""),"")</f>
        <v>2.74510628603473</v>
      </c>
      <c r="BL183" s="38">
        <f>IF(AND(ISNUMBER(BL175),ISNUMBER(BL181)),IFERROR(BL175/BL181,""),"")</f>
        <v>9.50505543546477</v>
      </c>
      <c r="BM183" s="38">
        <f>IF(AND(ISNUMBER(BM175),ISNUMBER(BM181)),IFERROR(BM175/BM181,""),"")</f>
        <v>2.17031565989625</v>
      </c>
      <c r="BN183" s="38">
        <f>IF(AND(ISNUMBER(BN175),ISNUMBER(BN181)),IFERROR(BN175/BN181,""),"")</f>
        <v>1.79012954097437</v>
      </c>
      <c r="BO183" s="38">
        <f>IF(AND(ISNUMBER(BO175),ISNUMBER(BO181)),IFERROR(BO175/BO181,""),"")</f>
        <v>1.78124281799699</v>
      </c>
      <c r="BP183" s="38">
        <f>IF(AND(ISNUMBER(BP175),ISNUMBER(BP181)),IFERROR(BP175/BP181,""),"")</f>
        <v>2.49034790175638</v>
      </c>
      <c r="BQ183" s="38">
        <f>IF(AND(ISNUMBER(BQ175),ISNUMBER(BQ181)),IFERROR(BQ175/BQ181,""),"")</f>
        <v>8.22945320362295</v>
      </c>
      <c r="BR183" s="38">
        <f>IF(AND(ISNUMBER(BR175),ISNUMBER(BR181)),IFERROR(BR175/BR181,""),"")</f>
        <v>2.11365014806094</v>
      </c>
      <c r="BS183" s="38">
        <f>IF(AND(ISNUMBER(BS175),ISNUMBER(BS181)),IFERROR(BS175/BS181,""),"")</f>
        <v>2.58161850751643</v>
      </c>
      <c r="BT183" s="38">
        <f>IF(AND(ISNUMBER(BT175),ISNUMBER(BT181)),IFERROR(BT175/BT181,""),"")</f>
        <v>2.22567471913171</v>
      </c>
      <c r="BU183" s="38">
        <f>IF(AND(ISNUMBER(BU175),ISNUMBER(BU181)),IFERROR(BU175/BU181,""),"")</f>
        <v>2.47578311279372</v>
      </c>
      <c r="BV183" s="38">
        <f>IF(AND(ISNUMBER(BV175),ISNUMBER(BV181)),IFERROR(BV175/BV181,""),"")</f>
        <v>9.3942068218733</v>
      </c>
      <c r="BW183" s="38">
        <f>IF(AND(ISNUMBER(BW175),ISNUMBER(BW181)),IFERROR(BW175/BW181,""),"")</f>
        <v>2.48772390646091</v>
      </c>
      <c r="BX183" s="38">
        <f>IF(AND(ISNUMBER(BX175),ISNUMBER(BX181)),IFERROR(BX175/BX181,""),"")</f>
        <v>2.8999853646043</v>
      </c>
      <c r="BY183" s="271">
        <f>IFERROR(BY175/BY181,"")</f>
        <v>2.80254882908566</v>
      </c>
      <c r="BZ183" s="271">
        <f>IFERROR(BZ175/BZ181,"")</f>
        <v>2.93463914444516</v>
      </c>
      <c r="CA183" s="271">
        <f>IFERROR(CA175/CA181,"")</f>
        <v>11.1229963004481</v>
      </c>
      <c r="CB183" s="271">
        <f>IFERROR(CB175/CB181,"")</f>
        <v>12.5318173460714</v>
      </c>
      <c r="CC183" s="271">
        <f>IFERROR(CC175/CC181,"")</f>
        <v>14.0598383697016</v>
      </c>
      <c r="CD183" s="271">
        <f>IFERROR(CD175/CD181,"")</f>
        <v>15.6871677589217</v>
      </c>
      <c r="CE183" s="271">
        <f>IFERROR(CE175/CE181,"")</f>
        <v>17.4877337769982</v>
      </c>
      <c r="CF183" s="19" t="n"/>
    </row>
    <row r="184">
      <c r="B184" s="16" t="inlineStr">
        <is>
          <t>EPS – diluted, attributable to Lincoln Electric ($)</t>
        </is>
      </c>
      <c r="C184" s="61">
        <f>IF(AND(ISNUMBER(C175),ISNUMBER(C182)),IFERROR(C175/C182,""),"")</f>
        <v>2.03346346904629</v>
      </c>
      <c r="D184" s="61">
        <f>IF(AND(ISNUMBER(D175),ISNUMBER(D182)),IFERROR(D175/D182,""),"")</f>
        <v>2.336098820059</v>
      </c>
      <c r="E184" s="61">
        <f>IF(AND(ISNUMBER(E175),ISNUMBER(E182)),IFERROR(E175/E182,""),"")</f>
        <v>2.4653458447531</v>
      </c>
      <c r="F184" s="61">
        <f>IF(AND(ISNUMBER(F175),ISNUMBER(F182)),IFERROR(F175/F182,""),"")</f>
        <v>0.569686165970822</v>
      </c>
      <c r="G184" s="61">
        <f>IF(AND(ISNUMBER(G175),ISNUMBER(G182)),IFERROR(G175/G182,""),"")</f>
        <v>1.52825495165681</v>
      </c>
      <c r="H184" s="61">
        <f>IF(AND(ISNUMBER(H175),ISNUMBER(H182)),IFERROR(H175/H182,""),"")</f>
        <v>2.56393729045663</v>
      </c>
      <c r="I184" s="61">
        <f>IF(AND(ISNUMBER(I175),ISNUMBER(I182)),IFERROR(I175/I182,""),"")</f>
        <v>3.05804573804574</v>
      </c>
      <c r="J184" s="61">
        <f>IF(AND(ISNUMBER(J175),ISNUMBER(J182)),IFERROR(J175/J182,""),"")</f>
        <v>0.797340844532499</v>
      </c>
      <c r="K184" s="61">
        <f>IF(AND(ISNUMBER(K175),ISNUMBER(K182)),IFERROR(K175/K182,""),"")</f>
        <v>0.870460730599082</v>
      </c>
      <c r="L184" s="61">
        <f>IF(AND(ISNUMBER(L175),ISNUMBER(L182)),IFERROR(L175/L182,""),"")</f>
        <v>0.798529749597978</v>
      </c>
      <c r="M184" s="61">
        <f>IF(AND(ISNUMBER(M175),ISNUMBER(M182)),IFERROR(M175/M182,""),"")</f>
        <v>1.07471040591843</v>
      </c>
      <c r="N184" s="61">
        <f>IF(AND(ISNUMBER(N175),ISNUMBER(N182)),IFERROR(N175/N182,""),"")</f>
        <v>3.53772789672695</v>
      </c>
      <c r="O184" s="61">
        <f>IF(AND(ISNUMBER(O175),ISNUMBER(O182)),IFERROR(O175/O182,""),"")</f>
        <v>0.691690354832386</v>
      </c>
      <c r="P184" s="61">
        <f>IF(AND(ISNUMBER(P175),ISNUMBER(P182)),IFERROR(P175/P182,""),"")</f>
        <v>0.957399130897701</v>
      </c>
      <c r="Q184" s="61">
        <f>IF(AND(ISNUMBER(Q175),ISNUMBER(Q182)),IFERROR(Q175/Q182,""),"")</f>
        <v>0.573082470994043</v>
      </c>
      <c r="R184" s="61">
        <f>IF(AND(ISNUMBER(R175),ISNUMBER(R182)),IFERROR(R175/R182,""),"")</f>
        <v>0.960807358201328</v>
      </c>
      <c r="S184" s="61">
        <f>IF(AND(ISNUMBER(S175),ISNUMBER(S182)),IFERROR(S175/S182,""),"")</f>
        <v>3.17975928885338</v>
      </c>
      <c r="T184" s="61">
        <f>IF(AND(ISNUMBER(T175),ISNUMBER(T182)),IFERROR(T175/T182,""),"")</f>
        <v>0.887034609844405</v>
      </c>
      <c r="U184" s="61">
        <f>IF(AND(ISNUMBER(U175),ISNUMBER(U182)),IFERROR(U175/U182,""),"")</f>
        <v>0.935663098993045</v>
      </c>
      <c r="V184" s="61">
        <f>IF(AND(ISNUMBER(V175),ISNUMBER(V182)),IFERROR(V175/V182,""),"")</f>
        <v>-0.819833500555901</v>
      </c>
      <c r="W184" s="61">
        <f>IF(AND(ISNUMBER(W175),ISNUMBER(W182)),IFERROR(W175/W182,""),"")</f>
        <v>0.675143162185771</v>
      </c>
      <c r="X184" s="61">
        <f>IF(AND(ISNUMBER(X175),ISNUMBER(X182)),IFERROR(X175/X182,""),"")</f>
        <v>1.70302188259813</v>
      </c>
      <c r="Y184" s="61">
        <f>IF(AND(ISNUMBER(Y175),ISNUMBER(Y182)),IFERROR(Y175/Y182,""),"")</f>
        <v>0.763573726617886</v>
      </c>
      <c r="Z184" s="61">
        <f>IF(AND(ISNUMBER(Z175),ISNUMBER(Z182)),IFERROR(Z175/Z182,""),"")</f>
        <v>0.454594280737408</v>
      </c>
      <c r="AA184" s="61">
        <f>IF(AND(ISNUMBER(AA175),ISNUMBER(AA182)),IFERROR(AA175/AA182,""),"")</f>
        <v>0.89382572712929</v>
      </c>
      <c r="AB184" s="61">
        <f>IF(AND(ISNUMBER(AB175),ISNUMBER(AB182)),IFERROR(AB175/AB182,""),"")</f>
        <v>0.805318009743149</v>
      </c>
      <c r="AC184" s="61">
        <f>IF(AND(ISNUMBER(AC175),ISNUMBER(AC182)),IFERROR(AC175/AC182,""),"")</f>
        <v>2.91095428135454</v>
      </c>
      <c r="AD184" s="61">
        <f>IF(AND(ISNUMBER(AD175),ISNUMBER(AD182)),IFERROR(AD175/AD182,""),"")</f>
        <v>0.838712584293289</v>
      </c>
      <c r="AE184" s="61">
        <f>IF(AND(ISNUMBER(AE175),ISNUMBER(AE182)),IFERROR(AE175/AE182,""),"")</f>
        <v>0.919227484530212</v>
      </c>
      <c r="AF184" s="61">
        <f>IF(AND(ISNUMBER(AF175),ISNUMBER(AF182)),IFERROR(AF175/AF182,""),"")</f>
        <v>1.59104674522503</v>
      </c>
      <c r="AG184" s="61">
        <f>IF(AND(ISNUMBER(AG175),ISNUMBER(AG182)),IFERROR(AG175/AG182,""),"")</f>
        <v>0.363460093191041</v>
      </c>
      <c r="AH184" s="61">
        <f>IF(AND(ISNUMBER(AH175),ISNUMBER(AH182)),IFERROR(AH175/AH182,""),"")</f>
        <v>3.71386342151464</v>
      </c>
      <c r="AI184" s="61">
        <f>IF(AND(ISNUMBER(AI175),ISNUMBER(AI182)),IFERROR(AI175/AI182,""),"")</f>
        <v>0.915431271917283</v>
      </c>
      <c r="AJ184" s="61">
        <f>IF(AND(ISNUMBER(AJ175),ISNUMBER(AJ182)),IFERROR(AJ175/AJ182,""),"")</f>
        <v>1.04148455105035</v>
      </c>
      <c r="AK184" s="61">
        <f>IF(AND(ISNUMBER(AK175),ISNUMBER(AK182)),IFERROR(AK175/AK182,""),"")</f>
        <v>1.07443794553098</v>
      </c>
      <c r="AL184" s="61">
        <f>IF(AND(ISNUMBER(AL175),ISNUMBER(AL182)),IFERROR(AL175/AL182,""),"")</f>
        <v>1.34511067395715</v>
      </c>
      <c r="AM184" s="61">
        <f>IF(AND(ISNUMBER(AM175),ISNUMBER(AM182)),IFERROR(AM175/AM182,""),"")</f>
        <v>4.37054291891233</v>
      </c>
      <c r="AN184" s="61">
        <f>IF(AND(ISNUMBER(AN175),ISNUMBER(AN182)),IFERROR(AN175/AN182,""),"")</f>
        <v>1.11864035430914</v>
      </c>
      <c r="AO184" s="61">
        <f>IF(AND(ISNUMBER(AO175),ISNUMBER(AO182)),IFERROR(AO175/AO182,""),"")</f>
        <v>1.35702715578847</v>
      </c>
      <c r="AP184" s="61">
        <f>IF(AND(ISNUMBER(AP175),ISNUMBER(AP182)),IFERROR(AP175/AP182,""),"")</f>
        <v>1.16757706127842</v>
      </c>
      <c r="AQ184" s="61">
        <f>IF(AND(ISNUMBER(AQ175),ISNUMBER(AQ182)),IFERROR(AQ175/AQ182,""),"")</f>
        <v>1.03250688705234</v>
      </c>
      <c r="AR184" s="61">
        <f>IF(AND(ISNUMBER(AR175),ISNUMBER(AR182)),IFERROR(AR175/AR182,""),"")</f>
        <v>4.67791822273293</v>
      </c>
      <c r="AS184" s="61">
        <f>IF(AND(ISNUMBER(AS175),ISNUMBER(AS182)),IFERROR(AS175/AS182,""),"")</f>
        <v>0.913863714863731</v>
      </c>
      <c r="AT184" s="61">
        <f>IF(AND(ISNUMBER(AT175),ISNUMBER(AT182)),IFERROR(AT175/AT182,""),"")</f>
        <v>0.45120422523441</v>
      </c>
      <c r="AU184" s="61">
        <f>IF(AND(ISNUMBER(AU175),ISNUMBER(AU182)),IFERROR(AU175/AU182,""),"")</f>
        <v>0.974357692692194</v>
      </c>
      <c r="AV184" s="61">
        <f>IF(AND(ISNUMBER(AV175),ISNUMBER(AV182)),IFERROR(AV175/AV182,""),"")</f>
        <v>1.07921925009535</v>
      </c>
      <c r="AW184" s="61">
        <f>IF(AND(ISNUMBER(AW175),ISNUMBER(AW182)),IFERROR(AW175/AW182,""),"")</f>
        <v>3.4211094144204</v>
      </c>
      <c r="AX184" s="61">
        <f>IF(AND(ISNUMBER(AX175),ISNUMBER(AX182)),IFERROR(AX175/AX182,""),"")</f>
        <v>1.23015307053185</v>
      </c>
      <c r="AY184" s="61">
        <f>IF(AND(ISNUMBER(AY175),ISNUMBER(AY182)),IFERROR(AY175/AY182,""),"")</f>
        <v>1.59738381756532</v>
      </c>
      <c r="AZ184" s="61">
        <f>IF(AND(ISNUMBER(AZ175),ISNUMBER(AZ182)),IFERROR(AZ175/AZ182,""),"")</f>
        <v>0.528798601282157</v>
      </c>
      <c r="BA184" s="61">
        <f>IF(AND(ISNUMBER(BA175),ISNUMBER(BA182)),IFERROR(BA175/BA182,""),"")</f>
        <v>1.24800040243473</v>
      </c>
      <c r="BB184" s="61">
        <f>IF(AND(ISNUMBER(BB175),ISNUMBER(BB182)),IFERROR(BB175/BB182,""),"")</f>
        <v>4.60301022276981</v>
      </c>
      <c r="BC184" s="61">
        <f>IF(AND(ISNUMBER(BC175),ISNUMBER(BC182)),IFERROR(BC175/BC182,""),"")</f>
        <v>2.12629909569442</v>
      </c>
      <c r="BD184" s="61">
        <f>IF(AND(ISNUMBER(BD175),ISNUMBER(BD182)),IFERROR(BD175/BD182,""),"")</f>
        <v>2.17800913304253</v>
      </c>
      <c r="BE184" s="61">
        <f>IF(AND(ISNUMBER(BE175),ISNUMBER(BE182)),IFERROR(BE175/BE182,""),"")</f>
        <v>1.86626456617572</v>
      </c>
      <c r="BF184" s="61">
        <f>IF(AND(ISNUMBER(BF175),ISNUMBER(BF182)),IFERROR(BF175/BF182,""),"")</f>
        <v>1.86705212200003</v>
      </c>
      <c r="BG184" s="61">
        <f>IF(AND(ISNUMBER(BG175),ISNUMBER(BG182)),IFERROR(BG175/BG182,""),"")</f>
        <v>8.03799213603635</v>
      </c>
      <c r="BH184" s="61">
        <f>IF(AND(ISNUMBER(BH175),ISNUMBER(BH182)),IFERROR(BH175/BH182,""),"")</f>
        <v>2.08725199856206</v>
      </c>
      <c r="BI184" s="61">
        <f>IF(AND(ISNUMBER(BI175),ISNUMBER(BI182)),IFERROR(BI175/BI182,""),"")</f>
        <v>2.35547055897638</v>
      </c>
      <c r="BJ184" s="61">
        <f>IF(AND(ISNUMBER(BJ175),ISNUMBER(BJ182)),IFERROR(BJ175/BJ182,""),"")</f>
        <v>2.22483486996009</v>
      </c>
      <c r="BK184" s="61">
        <f>IF(AND(ISNUMBER(BK175),ISNUMBER(BK182)),IFERROR(BK175/BK182,""),"")</f>
        <v>2.70490925730863</v>
      </c>
      <c r="BL184" s="61">
        <f>IF(AND(ISNUMBER(BL175),ISNUMBER(BL182)),IFERROR(BL175/BL182,""),"")</f>
        <v>9.36514316140226</v>
      </c>
      <c r="BM184" s="61">
        <f>IF(AND(ISNUMBER(BM175),ISNUMBER(BM182)),IFERROR(BM175/BM182,""),"")</f>
        <v>2.14109748269461</v>
      </c>
      <c r="BN184" s="61">
        <f>IF(AND(ISNUMBER(BN175),ISNUMBER(BN182)),IFERROR(BN175/BN182,""),"")</f>
        <v>1.77296656556148</v>
      </c>
      <c r="BO184" s="61">
        <f>IF(AND(ISNUMBER(BO175),ISNUMBER(BO182)),IFERROR(BO175/BO182,""),"")</f>
        <v>1.76560473837311</v>
      </c>
      <c r="BP184" s="61">
        <f>IF(AND(ISNUMBER(BP175),ISNUMBER(BP182)),IFERROR(BP175/BP182,""),"")</f>
        <v>2.46803829772255</v>
      </c>
      <c r="BQ184" s="61">
        <f>IF(AND(ISNUMBER(BQ175),ISNUMBER(BQ182)),IFERROR(BQ175/BQ182,""),"")</f>
        <v>8.14959611148023</v>
      </c>
      <c r="BR184" s="61">
        <f>IF(AND(ISNUMBER(BR175),ISNUMBER(BR182)),IFERROR(BR175/BR182,""),"")</f>
        <v>2.09611336175633</v>
      </c>
      <c r="BS184" s="61">
        <f>IF(AND(ISNUMBER(BS175),ISNUMBER(BS182)),IFERROR(BS175/BS182,""),"")</f>
        <v>2.56210691823899</v>
      </c>
      <c r="BT184" s="61">
        <f>IF(AND(ISNUMBER(BT175),ISNUMBER(BT182)),IFERROR(BT175/BT182,""),"")</f>
        <v>2.20657141828913</v>
      </c>
      <c r="BU184" s="61">
        <f>IF(AND(ISNUMBER(BU175),ISNUMBER(BU182)),IFERROR(BU175/BU182,""),"")</f>
        <v>2.45473904569407</v>
      </c>
      <c r="BV184" s="61">
        <f>IF(AND(ISNUMBER(BV175),ISNUMBER(BV182)),IFERROR(BV175/BV182,""),"")</f>
        <v>9.31602684563757</v>
      </c>
      <c r="BW184" s="61">
        <f>IF(AND(ISNUMBER(BW175),ISNUMBER(BW182)),IFERROR(BW175/BW182,""),"")</f>
        <v>2.46546269682014</v>
      </c>
      <c r="BX184" s="61">
        <f>IF(AND(ISNUMBER(BX175),ISNUMBER(BX182)),IFERROR(BX175/BX182,""),"")</f>
        <v>2.87682842728032</v>
      </c>
      <c r="BY184" s="272">
        <f>IFERROR(BY175/BY182,"")</f>
        <v>2.78012193456921</v>
      </c>
      <c r="BZ184" s="272">
        <f>IFERROR(BZ175/BZ182,"")</f>
        <v>2.91105403265248</v>
      </c>
      <c r="CA184" s="272">
        <f>SUM(BW184,BX184,BY184,BZ184)</f>
        <v>11.0334670913221</v>
      </c>
      <c r="CB184" s="272">
        <f>IFERROR(CB175/CB182,"")</f>
        <v>12.4297550547365</v>
      </c>
      <c r="CC184" s="272">
        <f>IFERROR(CC175/CC182,"")</f>
        <v>13.9432110422855</v>
      </c>
      <c r="CD184" s="272">
        <f>IFERROR(CD175/CD182,"")</f>
        <v>15.5547102513639</v>
      </c>
      <c r="CE184" s="272">
        <f>IFERROR(CE175/CE182,"")</f>
        <v>17.3369978579679</v>
      </c>
      <c r="CF184" s="19" t="inlineStr">
        <is>
          <t>EPS computed as net income / weighted diluted shares (may differ by ±$0.01–0.02 vs reported because of share rounding). 2026E = sum of quarters.</t>
        </is>
      </c>
      <c r="CH184" s="20">
        <f>IFERROR((CE184/BV184)^(1/5)-1,"n/m")</f>
        <v>0.132266433933682</v>
      </c>
      <c r="CI184" s="20">
        <f>IFERROR((BV184/AW184)^(1/5)-1,"n/m")</f>
        <v>0.221835539958545</v>
      </c>
      <c r="CJ184" s="20">
        <f>IFERROR((BV184/X184)^(1/10)-1,"n/m")</f>
        <v>0.185225673544295</v>
      </c>
      <c r="CK184" s="20">
        <f>IFERROR((BV184/C184)^(1/19)-1,"n/m")</f>
        <v>0.0834008616718631</v>
      </c>
    </row>
    <row r="185">
      <c r="B185" s="22" t="inlineStr">
        <is>
          <t xml:space="preserve">  EPS – diluted y/y %</t>
        </is>
      </c>
      <c r="C185" s="23" t="n"/>
      <c r="D185" s="23">
        <f>IF(AND(ISNUMBER(D184),ISNUMBER(C184)),IFERROR(D184/C184-1,""),"")</f>
        <v>0.148827532738832</v>
      </c>
      <c r="E185" s="23">
        <f>IF(AND(ISNUMBER(E184),ISNUMBER(D184)),IFERROR(E184/D184-1,""),"")</f>
        <v>0.0553260091500916</v>
      </c>
      <c r="F185" s="23">
        <f>IF(AND(ISNUMBER(F184),ISNUMBER(E184)),IFERROR(F184/E184-1,""),"")</f>
        <v>-0.768922414198696</v>
      </c>
      <c r="G185" s="23">
        <f>IF(AND(ISNUMBER(G184),ISNUMBER(F184)),IFERROR(G184/F184-1,""),"")</f>
        <v>1.68262605438638</v>
      </c>
      <c r="H185" s="23">
        <f>IF(AND(ISNUMBER(H184),ISNUMBER(G184)),IFERROR(H184/G184-1,""),"")</f>
        <v>0.677689503100916</v>
      </c>
      <c r="I185" s="23">
        <f>IF(AND(ISNUMBER(I184),ISNUMBER(H184)),IFERROR(I184/H184-1,""),"")</f>
        <v>0.192714716318634</v>
      </c>
      <c r="J185" s="23" t="n"/>
      <c r="K185" s="23" t="n"/>
      <c r="L185" s="23" t="n"/>
      <c r="M185" s="23" t="n"/>
      <c r="N185" s="23">
        <f>IF(AND(ISNUMBER(N184),ISNUMBER(I184)),IFERROR(N184/I184-1,""),"")</f>
        <v>0.156859053059081</v>
      </c>
      <c r="O185" s="23">
        <f>IF(AND(ISNUMBER(O184),ISNUMBER(J184)),IFERROR(O184/J184-1,""),"")</f>
        <v>-0.132503546537941</v>
      </c>
      <c r="P185" s="23">
        <f>IF(AND(ISNUMBER(P184),ISNUMBER(K184)),IFERROR(P184/K184-1,""),"")</f>
        <v>0.0998763037119257</v>
      </c>
      <c r="Q185" s="23">
        <f>IF(AND(ISNUMBER(Q184),ISNUMBER(L184)),IFERROR(Q184/L184-1,""),"")</f>
        <v>-0.282327964258611</v>
      </c>
      <c r="R185" s="23">
        <f>IF(AND(ISNUMBER(R184),ISNUMBER(M184)),IFERROR(R184/M184-1,""),"")</f>
        <v>-0.105984874706559</v>
      </c>
      <c r="S185" s="23">
        <f>IF(AND(ISNUMBER(S184),ISNUMBER(N184)),IFERROR(S184/N184-1,""),"")</f>
        <v>-0.101186020610789</v>
      </c>
      <c r="T185" s="23">
        <f>IF(AND(ISNUMBER(T184),ISNUMBER(O184)),IFERROR(T184/O184-1,""),"")</f>
        <v>0.282415756772199</v>
      </c>
      <c r="U185" s="23">
        <f>IF(AND(ISNUMBER(U184),ISNUMBER(P184)),IFERROR(U184/P184-1,""),"")</f>
        <v>-0.022703208310075</v>
      </c>
      <c r="V185" s="23">
        <f>IF(AND(ISNUMBER(V184),ISNUMBER(Q184)),IFERROR(V184/Q184-1,""),"")</f>
        <v>-2.43056809805028</v>
      </c>
      <c r="W185" s="23">
        <f>IF(AND(ISNUMBER(W184),ISNUMBER(R184)),IFERROR(W184/R184-1,""),"")</f>
        <v>-0.297316827954286</v>
      </c>
      <c r="X185" s="23">
        <f>IF(AND(ISNUMBER(X184),ISNUMBER(S184)),IFERROR(X184/S184-1,""),"")</f>
        <v>-0.464417986428074</v>
      </c>
      <c r="Y185" s="23">
        <f>IF(AND(ISNUMBER(Y184),ISNUMBER(T184)),IFERROR(Y184/T184-1,""),"")</f>
        <v>-0.139183840017444</v>
      </c>
      <c r="Z185" s="23">
        <f>IF(AND(ISNUMBER(Z184),ISNUMBER(U184)),IFERROR(Z184/U184-1,""),"")</f>
        <v>-0.514147473351638</v>
      </c>
      <c r="AA185" s="23">
        <f>IF(AND(ISNUMBER(AA184),ISNUMBER(V184)),IFERROR(AA184/V184-1,""),"")</f>
        <v>-2.09025274829977</v>
      </c>
      <c r="AB185" s="23">
        <f>IF(AND(ISNUMBER(AB184),ISNUMBER(W184)),IFERROR(AB184/W184-1,""),"")</f>
        <v>0.192810732372579</v>
      </c>
      <c r="AC185" s="23">
        <f>IF(AND(ISNUMBER(AC184),ISNUMBER(X184)),IFERROR(AC184/X184-1,""),"")</f>
        <v>0.709287655725007</v>
      </c>
      <c r="AD185" s="23">
        <f>IF(AND(ISNUMBER(AD184),ISNUMBER(Y184)),IFERROR(AD184/Y184-1,""),"")</f>
        <v>0.0984041947176702</v>
      </c>
      <c r="AE185" s="23">
        <f>IF(AND(ISNUMBER(AE184),ISNUMBER(Z184)),IFERROR(AE184/Z184-1,""),"")</f>
        <v>1.02208325859074</v>
      </c>
      <c r="AF185" s="23">
        <f>IF(AND(ISNUMBER(AF184),ISNUMBER(AA184)),IFERROR(AF184/AA184-1,""),"")</f>
        <v>0.780041340200638</v>
      </c>
      <c r="AG185" s="23">
        <f>IF(AND(ISNUMBER(AG184),ISNUMBER(AB184)),IFERROR(AG184/AB184-1,""),"")</f>
        <v>-0.548675071470258</v>
      </c>
      <c r="AH185" s="23">
        <f>IF(AND(ISNUMBER(AH184),ISNUMBER(AC184)),IFERROR(AH184/AC184-1,""),"")</f>
        <v>0.275823342641605</v>
      </c>
      <c r="AI185" s="23">
        <f>IF(AND(ISNUMBER(AI184),ISNUMBER(AD184)),IFERROR(AI184/AD184-1,""),"")</f>
        <v>0.0914719643662414</v>
      </c>
      <c r="AJ185" s="23">
        <f>IF(AND(ISNUMBER(AJ184),ISNUMBER(AE184)),IFERROR(AJ184/AE184-1,""),"")</f>
        <v>0.132999794477007</v>
      </c>
      <c r="AK185" s="23">
        <f>IF(AND(ISNUMBER(AK184),ISNUMBER(AF184)),IFERROR(AK184/AF184-1,""),"")</f>
        <v>-0.324697436605473</v>
      </c>
      <c r="AL185" s="23">
        <f>IF(AND(ISNUMBER(AL184),ISNUMBER(AG184)),IFERROR(AL184/AG184-1,""),"")</f>
        <v>2.70084831637938</v>
      </c>
      <c r="AM185" s="23">
        <f>IF(AND(ISNUMBER(AM184),ISNUMBER(AH184)),IFERROR(AM184/AH184-1,""),"")</f>
        <v>0.176818429453682</v>
      </c>
      <c r="AN185" s="23">
        <f>IF(AND(ISNUMBER(AN184),ISNUMBER(AI184)),IFERROR(AN184/AI184-1,""),"")</f>
        <v>0.221981800956242</v>
      </c>
      <c r="AO185" s="23">
        <f>IF(AND(ISNUMBER(AO184),ISNUMBER(AJ184)),IFERROR(AO184/AJ184-1,""),"")</f>
        <v>0.3029738697707</v>
      </c>
      <c r="AP185" s="23">
        <f>IF(AND(ISNUMBER(AP184),ISNUMBER(AK184)),IFERROR(AP184/AK184-1,""),"")</f>
        <v>0.0866863611201001</v>
      </c>
      <c r="AQ185" s="23">
        <f>IF(AND(ISNUMBER(AQ184),ISNUMBER(AL184)),IFERROR(AQ184/AL184-1,""),"")</f>
        <v>-0.232400049272652</v>
      </c>
      <c r="AR185" s="23">
        <f>IF(AND(ISNUMBER(AR184),ISNUMBER(AM184)),IFERROR(AR184/AM184-1,""),"")</f>
        <v>0.0703288606297661</v>
      </c>
      <c r="AS185" s="23">
        <f>IF(AND(ISNUMBER(AS184),ISNUMBER(AN184)),IFERROR(AS184/AN184-1,""),"")</f>
        <v>-0.183058512645809</v>
      </c>
      <c r="AT185" s="23">
        <f>IF(AND(ISNUMBER(AT184),ISNUMBER(AO184)),IFERROR(AT184/AO184-1,""),"")</f>
        <v>-0.66750538240169</v>
      </c>
      <c r="AU185" s="23">
        <f>IF(AND(ISNUMBER(AU184),ISNUMBER(AP184)),IFERROR(AU184/AP184-1,""),"")</f>
        <v>-0.165487465448031</v>
      </c>
      <c r="AV185" s="23">
        <f>IF(AND(ISNUMBER(AV184),ISNUMBER(AQ184)),IFERROR(AV184/AQ184-1,""),"")</f>
        <v>0.0452416963303457</v>
      </c>
      <c r="AW185" s="23">
        <f>IF(AND(ISNUMBER(AW184),ISNUMBER(AR184)),IFERROR(AW184/AR184-1,""),"")</f>
        <v>-0.26866840087219</v>
      </c>
      <c r="AX185" s="23">
        <f>IF(AND(ISNUMBER(AX184),ISNUMBER(AS184)),IFERROR(AX184/AS184-1,""),"")</f>
        <v>0.346101229892119</v>
      </c>
      <c r="AY185" s="23">
        <f>IF(AND(ISNUMBER(AY184),ISNUMBER(AT184)),IFERROR(AY184/AT184-1,""),"")</f>
        <v>2.54026786148877</v>
      </c>
      <c r="AZ185" s="23">
        <f>IF(AND(ISNUMBER(AZ184),ISNUMBER(AU184)),IFERROR(AZ184/AU184-1,""),"")</f>
        <v>-0.457284932167916</v>
      </c>
      <c r="BA185" s="23">
        <f>IF(AND(ISNUMBER(BA184),ISNUMBER(AV184)),IFERROR(BA184/AV184-1,""),"")</f>
        <v>0.156391903058124</v>
      </c>
      <c r="BB185" s="23">
        <f>IF(AND(ISNUMBER(BB184),ISNUMBER(AW184)),IFERROR(BB184/AW184-1,""),"")</f>
        <v>0.345472963643767</v>
      </c>
      <c r="BC185" s="23">
        <f>IF(AND(ISNUMBER(BC184),ISNUMBER(AX184)),IFERROR(BC184/AX184-1,""),"")</f>
        <v>0.728483346202707</v>
      </c>
      <c r="BD185" s="23">
        <f>IF(AND(ISNUMBER(BD184),ISNUMBER(AY184)),IFERROR(BD184/AY184-1,""),"")</f>
        <v>0.363485161858082</v>
      </c>
      <c r="BE185" s="23">
        <f>IF(AND(ISNUMBER(BE184),ISNUMBER(AZ184)),IFERROR(BE184/AZ184-1,""),"")</f>
        <v>2.52925397618424</v>
      </c>
      <c r="BF185" s="23">
        <f>IF(AND(ISNUMBER(BF184),ISNUMBER(BA184)),IFERROR(BF184/BA184-1,""),"")</f>
        <v>0.496034871749715</v>
      </c>
      <c r="BG185" s="23">
        <f>IF(AND(ISNUMBER(BG184),ISNUMBER(BB184)),IFERROR(BG184/BB184-1,""),"")</f>
        <v>0.746246857387944</v>
      </c>
      <c r="BH185" s="23">
        <f>IF(AND(ISNUMBER(BH184),ISNUMBER(BC184)),IFERROR(BH184/BC184-1,""),"")</f>
        <v>-0.0183638779753179</v>
      </c>
      <c r="BI185" s="23">
        <f>IF(AND(ISNUMBER(BI184),ISNUMBER(BD184)),IFERROR(BI184/BD184-1,""),"")</f>
        <v>0.0814787336019802</v>
      </c>
      <c r="BJ185" s="23">
        <f>IF(AND(ISNUMBER(BJ184),ISNUMBER(BE184)),IFERROR(BJ184/BE184-1,""),"")</f>
        <v>0.192132621646</v>
      </c>
      <c r="BK185" s="23">
        <f>IF(AND(ISNUMBER(BK184),ISNUMBER(BF184)),IFERROR(BK184/BF184-1,""),"")</f>
        <v>0.448759370687017</v>
      </c>
      <c r="BL185" s="23">
        <f>IF(AND(ISNUMBER(BL184),ISNUMBER(BG184)),IFERROR(BL184/BG184-1,""),"")</f>
        <v>0.165109769069809</v>
      </c>
      <c r="BM185" s="23">
        <f>IF(AND(ISNUMBER(BM184),ISNUMBER(BH184)),IFERROR(BM184/BH184-1,""),"")</f>
        <v>0.0257973086956635</v>
      </c>
      <c r="BN185" s="23">
        <f>IF(AND(ISNUMBER(BN184),ISNUMBER(BI184)),IFERROR(BN184/BI184-1,""),"")</f>
        <v>-0.247298354545361</v>
      </c>
      <c r="BO185" s="23">
        <f>IF(AND(ISNUMBER(BO184),ISNUMBER(BJ184)),IFERROR(BO184/BJ184-1,""),"")</f>
        <v>-0.206410883696379</v>
      </c>
      <c r="BP185" s="23">
        <f>IF(AND(ISNUMBER(BP184),ISNUMBER(BK184)),IFERROR(BP184/BK184-1,""),"")</f>
        <v>-0.0875707600711754</v>
      </c>
      <c r="BQ185" s="23">
        <f>IF(AND(ISNUMBER(BQ184),ISNUMBER(BL184)),IFERROR(BQ184/BL184-1,""),"")</f>
        <v>-0.129794817759094</v>
      </c>
      <c r="BR185" s="23">
        <f>IF(AND(ISNUMBER(BR184),ISNUMBER(BM184)),IFERROR(BR184/BM184-1,""),"")</f>
        <v>-0.0210098425232224</v>
      </c>
      <c r="BS185" s="23">
        <f>IF(AND(ISNUMBER(BS184),ISNUMBER(BN184)),IFERROR(BS184/BN184-1,""),"")</f>
        <v>0.445096014784463</v>
      </c>
      <c r="BT185" s="23">
        <f>IF(AND(ISNUMBER(BT184),ISNUMBER(BO184)),IFERROR(BT184/BO184-1,""),"")</f>
        <v>0.249753906031278</v>
      </c>
      <c r="BU185" s="23">
        <f>IF(AND(ISNUMBER(BU184),ISNUMBER(BP184)),IFERROR(BU184/BP184-1,""),"")</f>
        <v>-0.00538859224378818</v>
      </c>
      <c r="BV185" s="23">
        <f>IF(AND(ISNUMBER(BV184),ISNUMBER(BQ184)),IFERROR(BV184/BQ184-1,""),"")</f>
        <v>0.143127428427307</v>
      </c>
      <c r="BW185" s="23">
        <f>IF(AND(ISNUMBER(BW184),ISNUMBER(BR184)),IFERROR(BW184/BR184-1,""),"")</f>
        <v>0.176206755704443</v>
      </c>
      <c r="BX185" s="23">
        <f>IF(AND(ISNUMBER(BX184),ISNUMBER(BS184)),IFERROR(BX184/BS184-1,""),"")</f>
        <v>0.122836992789372</v>
      </c>
      <c r="BY185" s="254">
        <f>IFERROR(BY184/BT184-1,"")</f>
        <v>0.259928371919538</v>
      </c>
      <c r="BZ185" s="254">
        <f>IFERROR(BZ184/BU184-1,"")</f>
        <v>0.185891444452656</v>
      </c>
      <c r="CA185" s="254">
        <f>IFERROR(CA184/BV184-1,"")</f>
        <v>0.184353295041094</v>
      </c>
      <c r="CB185" s="254">
        <f>IFERROR(CB184/CA184-1,"")</f>
        <v>0.126550244982605</v>
      </c>
      <c r="CC185" s="254">
        <f>IFERROR(CC184/CB184-1,"")</f>
        <v>0.121760725041186</v>
      </c>
      <c r="CD185" s="254">
        <f>IFERROR(CD184/CC184-1,"")</f>
        <v>0.115575903153956</v>
      </c>
      <c r="CE185" s="254">
        <f>IFERROR(CE184/CD184-1,"")</f>
        <v>0.114581858344014</v>
      </c>
      <c r="CF185" s="19" t="n"/>
    </row>
    <row r="186" outlineLevel="2" s="251">
      <c r="B186" s="156" t="inlineStr">
        <is>
          <t xml:space="preserve">  Memo: EPS – diluted as reported ($)</t>
        </is>
      </c>
      <c r="C186" s="27" t="n">
        <v>2.035</v>
      </c>
      <c r="D186" s="27" t="n">
        <v>2.335</v>
      </c>
      <c r="E186" s="27" t="n">
        <v>2.465</v>
      </c>
      <c r="F186" s="27" t="n">
        <v>0.57</v>
      </c>
      <c r="G186" s="27" t="n">
        <v>1.53</v>
      </c>
      <c r="H186" s="27" t="n">
        <v>2.56</v>
      </c>
      <c r="I186" s="27" t="n">
        <v>3.06</v>
      </c>
      <c r="J186" s="27" t="n">
        <v>0.8</v>
      </c>
      <c r="K186" s="27" t="n">
        <v>0.87</v>
      </c>
      <c r="L186" s="27" t="n">
        <v>0.8</v>
      </c>
      <c r="M186" s="27" t="n">
        <v>1.07</v>
      </c>
      <c r="N186" s="27" t="n">
        <v>3.54</v>
      </c>
      <c r="O186" s="27" t="n">
        <v>0.6899999999999999</v>
      </c>
      <c r="P186" s="27" t="n">
        <v>0.96</v>
      </c>
      <c r="Q186" s="27" t="n">
        <v>0.57</v>
      </c>
      <c r="R186" s="27" t="n">
        <v>0.96</v>
      </c>
      <c r="S186" s="27" t="n">
        <v>3.18</v>
      </c>
      <c r="T186" s="27" t="n">
        <v>0.89</v>
      </c>
      <c r="U186" s="27" t="n">
        <v>0.9399999999999999</v>
      </c>
      <c r="V186" s="27" t="n">
        <v>-0.82</v>
      </c>
      <c r="W186" s="27" t="n">
        <v>0.68</v>
      </c>
      <c r="X186" s="27" t="n">
        <v>1.7</v>
      </c>
      <c r="Y186" s="27" t="n">
        <v>0.76</v>
      </c>
      <c r="Z186" s="27" t="n">
        <v>0.45</v>
      </c>
      <c r="AA186" s="27" t="n">
        <v>0.89</v>
      </c>
      <c r="AB186" s="27" t="n">
        <v>0.8100000000000001</v>
      </c>
      <c r="AC186" s="27" t="n">
        <v>2.91</v>
      </c>
      <c r="AD186" s="27" t="n">
        <v>0.84</v>
      </c>
      <c r="AE186" s="27" t="n">
        <v>0.92</v>
      </c>
      <c r="AF186" s="27" t="n">
        <v>1.59</v>
      </c>
      <c r="AG186" s="27" t="n">
        <v>0.36</v>
      </c>
      <c r="AH186" s="27" t="n">
        <v>3.71</v>
      </c>
      <c r="AI186" s="27" t="n">
        <v>0.92</v>
      </c>
      <c r="AJ186" s="27" t="n">
        <v>1.04</v>
      </c>
      <c r="AK186" s="27" t="n">
        <v>1.07</v>
      </c>
      <c r="AL186" s="27" t="n">
        <v>1.35</v>
      </c>
      <c r="AM186" s="27" t="n">
        <v>4.37</v>
      </c>
      <c r="AN186" s="27" t="n">
        <v>1.12</v>
      </c>
      <c r="AO186" s="27" t="n">
        <v>1.36</v>
      </c>
      <c r="AP186" s="27" t="n">
        <v>1.17</v>
      </c>
      <c r="AQ186" s="27" t="n">
        <v>1.03</v>
      </c>
      <c r="AR186" s="27" t="n">
        <v>4.68</v>
      </c>
      <c r="AS186" s="27" t="n">
        <v>0.91</v>
      </c>
      <c r="AT186" s="27" t="n">
        <v>0.45</v>
      </c>
      <c r="AU186" s="27" t="n">
        <v>0.97</v>
      </c>
      <c r="AV186" s="27" t="n">
        <v>1.08</v>
      </c>
      <c r="AW186" s="27" t="n">
        <v>3.42</v>
      </c>
      <c r="AX186" s="27" t="n">
        <v>1.23</v>
      </c>
      <c r="AY186" s="27" t="n">
        <v>1.6</v>
      </c>
      <c r="AZ186" s="27" t="n">
        <v>0.53</v>
      </c>
      <c r="BA186" s="27" t="n">
        <v>1.25</v>
      </c>
      <c r="BB186" s="27" t="n">
        <v>4.6</v>
      </c>
      <c r="BC186" s="27" t="n">
        <v>2.13</v>
      </c>
      <c r="BD186" s="27" t="n">
        <v>2.18</v>
      </c>
      <c r="BE186" s="27" t="n">
        <v>1.87</v>
      </c>
      <c r="BF186" s="27" t="n">
        <v>1.87</v>
      </c>
      <c r="BG186" s="27" t="n">
        <v>8.039999999999999</v>
      </c>
      <c r="BH186" s="27" t="n">
        <v>2.09</v>
      </c>
      <c r="BI186" s="27" t="n">
        <v>2.36</v>
      </c>
      <c r="BJ186" s="27" t="n">
        <v>2.22</v>
      </c>
      <c r="BK186" s="27" t="n">
        <v>2.7</v>
      </c>
      <c r="BL186" s="27" t="n">
        <v>9.369999999999999</v>
      </c>
      <c r="BM186" s="27" t="n">
        <v>2.14</v>
      </c>
      <c r="BN186" s="27" t="n">
        <v>1.77</v>
      </c>
      <c r="BO186" s="27" t="n">
        <v>1.77</v>
      </c>
      <c r="BP186" s="27" t="n">
        <v>2.47</v>
      </c>
      <c r="BQ186" s="27" t="n">
        <v>8.15</v>
      </c>
      <c r="BR186" s="27" t="n">
        <v>2.1</v>
      </c>
      <c r="BS186" s="27" t="n">
        <v>2.56</v>
      </c>
      <c r="BT186" s="27" t="n">
        <v>2.21</v>
      </c>
      <c r="BU186" s="27" t="n">
        <v>2.45</v>
      </c>
      <c r="BV186" s="27" t="n">
        <v>9.32</v>
      </c>
      <c r="BW186" s="27" t="n">
        <v>2.47</v>
      </c>
      <c r="BX186" s="27" t="n">
        <v>2.88</v>
      </c>
      <c r="BY186" s="273" t="n"/>
      <c r="BZ186" s="273" t="n"/>
      <c r="CA186" s="273" t="n"/>
      <c r="CB186" s="273" t="n"/>
      <c r="CC186" s="273" t="n"/>
      <c r="CD186" s="273" t="n"/>
      <c r="CE186" s="273" t="n"/>
      <c r="CF186" s="19" t="n"/>
    </row>
    <row r="187">
      <c r="B187" s="25" t="inlineStr">
        <is>
          <t xml:space="preserve">  Dividends declared per share ($)</t>
        </is>
      </c>
      <c r="C187" s="27" t="n">
        <v>0.395</v>
      </c>
      <c r="D187" s="27" t="n">
        <v>0.455</v>
      </c>
      <c r="E187" s="27" t="n">
        <v>0.51</v>
      </c>
      <c r="F187" s="27" t="n">
        <v>0.545</v>
      </c>
      <c r="G187" s="27" t="n">
        <v>0.575</v>
      </c>
      <c r="H187" s="27" t="n">
        <v>0.635</v>
      </c>
      <c r="I187" s="27" t="n">
        <v>0.71</v>
      </c>
      <c r="J187" s="27" t="n">
        <v>0.2</v>
      </c>
      <c r="K187" s="27" t="n">
        <v>0.2</v>
      </c>
      <c r="L187" s="27" t="n">
        <v>0.2</v>
      </c>
      <c r="M187" s="27" t="n">
        <v>0.23</v>
      </c>
      <c r="N187" s="27" t="n">
        <v>0.83</v>
      </c>
      <c r="O187" s="27" t="n">
        <v>0.23</v>
      </c>
      <c r="P187" s="27" t="n">
        <v>0.23</v>
      </c>
      <c r="Q187" s="27" t="n">
        <v>0.23</v>
      </c>
      <c r="R187" s="27" t="n">
        <v>0.29</v>
      </c>
      <c r="S187" s="27" t="n">
        <v>0.98</v>
      </c>
      <c r="T187" s="27" t="n">
        <v>0.29</v>
      </c>
      <c r="U187" s="27" t="n">
        <v>0.29</v>
      </c>
      <c r="V187" s="27" t="n">
        <v>0.29</v>
      </c>
      <c r="W187" s="27" t="n">
        <v>0.32</v>
      </c>
      <c r="X187" s="27" t="n">
        <v>1.19</v>
      </c>
      <c r="Y187" s="27" t="n">
        <v>0.32</v>
      </c>
      <c r="Z187" s="27" t="n">
        <v>0.32</v>
      </c>
      <c r="AA187" s="27" t="n">
        <v>0.32</v>
      </c>
      <c r="AB187" s="27" t="n">
        <v>0.35</v>
      </c>
      <c r="AC187" s="27" t="n">
        <v>1.31</v>
      </c>
      <c r="AD187" s="27" t="n">
        <v>0.35</v>
      </c>
      <c r="AE187" s="27" t="n">
        <v>0.35</v>
      </c>
      <c r="AF187" s="27" t="n">
        <v>0.35</v>
      </c>
      <c r="AG187" s="27" t="n">
        <v>0.39</v>
      </c>
      <c r="AH187" s="27" t="n">
        <v>1.44</v>
      </c>
      <c r="AI187" s="27" t="n">
        <v>0.39</v>
      </c>
      <c r="AJ187" s="27" t="n">
        <v>0.39</v>
      </c>
      <c r="AK187" s="27" t="n">
        <v>0.39</v>
      </c>
      <c r="AL187" s="27" t="n">
        <v>0.47</v>
      </c>
      <c r="AM187" s="27" t="n">
        <v>1.64</v>
      </c>
      <c r="AN187" s="27" t="n">
        <v>0.47</v>
      </c>
      <c r="AO187" s="27" t="n">
        <v>0.47</v>
      </c>
      <c r="AP187" s="27" t="n">
        <v>0.47</v>
      </c>
      <c r="AQ187" s="27" t="n">
        <v>0.49</v>
      </c>
      <c r="AR187" s="27" t="n">
        <v>1.9</v>
      </c>
      <c r="AS187" s="27" t="n">
        <v>0.49</v>
      </c>
      <c r="AT187" s="27" t="n">
        <v>0.49</v>
      </c>
      <c r="AU187" s="27" t="n">
        <v>0.49</v>
      </c>
      <c r="AV187" s="27" t="n">
        <v>0.51</v>
      </c>
      <c r="AW187" s="27" t="n">
        <v>1.98</v>
      </c>
      <c r="AX187" s="27" t="n">
        <v>0.51</v>
      </c>
      <c r="AY187" s="27" t="n">
        <v>0.51</v>
      </c>
      <c r="AZ187" s="27" t="n">
        <v>0.51</v>
      </c>
      <c r="BA187" s="27" t="n">
        <v>0.5600000000000001</v>
      </c>
      <c r="BB187" s="27" t="n">
        <v>2.09</v>
      </c>
      <c r="BC187" s="27" t="n">
        <v>0.5600000000000001</v>
      </c>
      <c r="BD187" s="27" t="n">
        <v>0.5600000000000001</v>
      </c>
      <c r="BE187" s="27" t="n">
        <v>0.5600000000000001</v>
      </c>
      <c r="BF187" s="27" t="n">
        <v>0.64</v>
      </c>
      <c r="BG187" s="27" t="n">
        <v>2.32</v>
      </c>
      <c r="BH187" s="27" t="n">
        <v>0.64</v>
      </c>
      <c r="BI187" s="27" t="n">
        <v>0.64</v>
      </c>
      <c r="BJ187" s="27" t="n">
        <v>0.64</v>
      </c>
      <c r="BK187" s="27" t="n">
        <v>0.71</v>
      </c>
      <c r="BL187" s="27" t="n">
        <v>2.63</v>
      </c>
      <c r="BM187" s="27" t="n">
        <v>0.71</v>
      </c>
      <c r="BN187" s="27" t="n">
        <v>0.71</v>
      </c>
      <c r="BO187" s="27" t="n">
        <v>0.71</v>
      </c>
      <c r="BP187" s="27" t="n">
        <v>0.75</v>
      </c>
      <c r="BQ187" s="27" t="n">
        <v>2.88</v>
      </c>
      <c r="BR187" s="27" t="n">
        <v>0.75</v>
      </c>
      <c r="BS187" s="27" t="n">
        <v>0.75</v>
      </c>
      <c r="BT187" s="27" t="n">
        <v>0.75</v>
      </c>
      <c r="BU187" s="27" t="n">
        <v>0.79</v>
      </c>
      <c r="BV187" s="27" t="n">
        <v>3.04</v>
      </c>
      <c r="BW187" s="27" t="n">
        <v>0.79</v>
      </c>
      <c r="BX187" s="27" t="n">
        <v>0.79</v>
      </c>
      <c r="BY187" s="271">
        <f>$BX$187</f>
        <v>0.79</v>
      </c>
      <c r="BZ187" s="271">
        <f>$BX$187*(1+0.05)</f>
        <v>0.8295</v>
      </c>
      <c r="CA187" s="271">
        <f>SUM(BW187,BX187,BY187,BZ187)</f>
        <v>3.1995</v>
      </c>
      <c r="CB187" s="271">
        <f>CA187*(1+CB188)</f>
        <v>3.359475</v>
      </c>
      <c r="CC187" s="271">
        <f>CB187*(1+CC188)</f>
        <v>3.52744875</v>
      </c>
      <c r="CD187" s="271">
        <f>CC187*(1+CD188)</f>
        <v>3.7038211875</v>
      </c>
      <c r="CE187" s="271">
        <f>CD187*(1+CE188)</f>
        <v>3.889012246875</v>
      </c>
      <c r="CF187" s="19" t="inlineStr">
        <is>
          <t>Q3/26E: $0.79 declared (payable 15-Oct-2026). Q4/26E: +5% (LECO raises its dividend with the Q4 declaration; 31 consecutive annual increases). 2027E+: +5% p.a.</t>
        </is>
      </c>
      <c r="CH187" s="20">
        <f>IFERROR((CE187/BV187)^(1/5)-1,"n/m")</f>
        <v>0.0504929579637385</v>
      </c>
      <c r="CI187" s="20">
        <f>IFERROR((BV187/AW187)^(1/5)-1,"n/m")</f>
        <v>0.0895362359995904</v>
      </c>
      <c r="CJ187" s="20">
        <f>IFERROR((BV187/X187)^(1/10)-1,"n/m")</f>
        <v>0.0983295348014159</v>
      </c>
      <c r="CK187" s="20">
        <f>IFERROR((BV187/C187)^(1/19)-1,"n/m")</f>
        <v>0.113386961044321</v>
      </c>
    </row>
    <row r="188">
      <c r="B188" s="22" t="inlineStr">
        <is>
          <t xml:space="preserve">  Dividend per share growth %</t>
        </is>
      </c>
      <c r="C188" s="23" t="n"/>
      <c r="D188" s="23">
        <f>IF(AND(ISNUMBER(D187),ISNUMBER(C187)),IFERROR(D187/C187-1,""),"")</f>
        <v>0.151898734177215</v>
      </c>
      <c r="E188" s="23">
        <f>IF(AND(ISNUMBER(E187),ISNUMBER(D187)),IFERROR(E187/D187-1,""),"")</f>
        <v>0.120879120879121</v>
      </c>
      <c r="F188" s="23">
        <f>IF(AND(ISNUMBER(F187),ISNUMBER(E187)),IFERROR(F187/E187-1,""),"")</f>
        <v>0.0686274509803921</v>
      </c>
      <c r="G188" s="23">
        <f>IF(AND(ISNUMBER(G187),ISNUMBER(F187)),IFERROR(G187/F187-1,""),"")</f>
        <v>0.0550458715596329</v>
      </c>
      <c r="H188" s="23">
        <f>IF(AND(ISNUMBER(H187),ISNUMBER(G187)),IFERROR(H187/G187-1,""),"")</f>
        <v>0.104347826086957</v>
      </c>
      <c r="I188" s="23">
        <f>IF(AND(ISNUMBER(I187),ISNUMBER(H187)),IFERROR(I187/H187-1,""),"")</f>
        <v>0.118110236220472</v>
      </c>
      <c r="J188" s="23" t="n"/>
      <c r="K188" s="23" t="n"/>
      <c r="L188" s="23" t="n"/>
      <c r="M188" s="23" t="n"/>
      <c r="N188" s="23">
        <f>IF(AND(ISNUMBER(N187),ISNUMBER(I187)),IFERROR(N187/I187-1,""),"")</f>
        <v>0.169014084507042</v>
      </c>
      <c r="O188" s="23">
        <f>IF(AND(ISNUMBER(O187),ISNUMBER(J187)),IFERROR(O187/J187-1,""),"")</f>
        <v>0.15</v>
      </c>
      <c r="P188" s="23">
        <f>IF(AND(ISNUMBER(P187),ISNUMBER(K187)),IFERROR(P187/K187-1,""),"")</f>
        <v>0.15</v>
      </c>
      <c r="Q188" s="23">
        <f>IF(AND(ISNUMBER(Q187),ISNUMBER(L187)),IFERROR(Q187/L187-1,""),"")</f>
        <v>0.15</v>
      </c>
      <c r="R188" s="23">
        <f>IF(AND(ISNUMBER(R187),ISNUMBER(M187)),IFERROR(R187/M187-1,""),"")</f>
        <v>0.260869565217391</v>
      </c>
      <c r="S188" s="23">
        <f>IF(AND(ISNUMBER(S187),ISNUMBER(N187)),IFERROR(S187/N187-1,""),"")</f>
        <v>0.180722891566265</v>
      </c>
      <c r="T188" s="23">
        <f>IF(AND(ISNUMBER(T187),ISNUMBER(O187)),IFERROR(T187/O187-1,""),"")</f>
        <v>0.260869565217391</v>
      </c>
      <c r="U188" s="23">
        <f>IF(AND(ISNUMBER(U187),ISNUMBER(P187)),IFERROR(U187/P187-1,""),"")</f>
        <v>0.260869565217391</v>
      </c>
      <c r="V188" s="23">
        <f>IF(AND(ISNUMBER(V187),ISNUMBER(Q187)),IFERROR(V187/Q187-1,""),"")</f>
        <v>0.260869565217391</v>
      </c>
      <c r="W188" s="23">
        <f>IF(AND(ISNUMBER(W187),ISNUMBER(R187)),IFERROR(W187/R187-1,""),"")</f>
        <v>0.103448275862069</v>
      </c>
      <c r="X188" s="23">
        <f>IF(AND(ISNUMBER(X187),ISNUMBER(S187)),IFERROR(X187/S187-1,""),"")</f>
        <v>0.214285714285714</v>
      </c>
      <c r="Y188" s="23">
        <f>IF(AND(ISNUMBER(Y187),ISNUMBER(T187)),IFERROR(Y187/T187-1,""),"")</f>
        <v>0.103448275862069</v>
      </c>
      <c r="Z188" s="23">
        <f>IF(AND(ISNUMBER(Z187),ISNUMBER(U187)),IFERROR(Z187/U187-1,""),"")</f>
        <v>0.103448275862069</v>
      </c>
      <c r="AA188" s="23">
        <f>IF(AND(ISNUMBER(AA187),ISNUMBER(V187)),IFERROR(AA187/V187-1,""),"")</f>
        <v>0.103448275862069</v>
      </c>
      <c r="AB188" s="23">
        <f>IF(AND(ISNUMBER(AB187),ISNUMBER(W187)),IFERROR(AB187/W187-1,""),"")</f>
        <v>0.09375</v>
      </c>
      <c r="AC188" s="23">
        <f>IF(AND(ISNUMBER(AC187),ISNUMBER(X187)),IFERROR(AC187/X187-1,""),"")</f>
        <v>0.100840336134454</v>
      </c>
      <c r="AD188" s="23">
        <f>IF(AND(ISNUMBER(AD187),ISNUMBER(Y187)),IFERROR(AD187/Y187-1,""),"")</f>
        <v>0.09375</v>
      </c>
      <c r="AE188" s="23">
        <f>IF(AND(ISNUMBER(AE187),ISNUMBER(Z187)),IFERROR(AE187/Z187-1,""),"")</f>
        <v>0.09375</v>
      </c>
      <c r="AF188" s="23">
        <f>IF(AND(ISNUMBER(AF187),ISNUMBER(AA187)),IFERROR(AF187/AA187-1,""),"")</f>
        <v>0.09375</v>
      </c>
      <c r="AG188" s="23">
        <f>IF(AND(ISNUMBER(AG187),ISNUMBER(AB187)),IFERROR(AG187/AB187-1,""),"")</f>
        <v>0.114285714285714</v>
      </c>
      <c r="AH188" s="23">
        <f>IF(AND(ISNUMBER(AH187),ISNUMBER(AC187)),IFERROR(AH187/AC187-1,""),"")</f>
        <v>0.0992366412213739</v>
      </c>
      <c r="AI188" s="23">
        <f>IF(AND(ISNUMBER(AI187),ISNUMBER(AD187)),IFERROR(AI187/AD187-1,""),"")</f>
        <v>0.114285714285714</v>
      </c>
      <c r="AJ188" s="23">
        <f>IF(AND(ISNUMBER(AJ187),ISNUMBER(AE187)),IFERROR(AJ187/AE187-1,""),"")</f>
        <v>0.114285714285714</v>
      </c>
      <c r="AK188" s="23">
        <f>IF(AND(ISNUMBER(AK187),ISNUMBER(AF187)),IFERROR(AK187/AF187-1,""),"")</f>
        <v>0.114285714285714</v>
      </c>
      <c r="AL188" s="23">
        <f>IF(AND(ISNUMBER(AL187),ISNUMBER(AG187)),IFERROR(AL187/AG187-1,""),"")</f>
        <v>0.205128205128205</v>
      </c>
      <c r="AM188" s="23">
        <f>IF(AND(ISNUMBER(AM187),ISNUMBER(AH187)),IFERROR(AM187/AH187-1,""),"")</f>
        <v>0.138888888888889</v>
      </c>
      <c r="AN188" s="23">
        <f>IF(AND(ISNUMBER(AN187),ISNUMBER(AI187)),IFERROR(AN187/AI187-1,""),"")</f>
        <v>0.205128205128205</v>
      </c>
      <c r="AO188" s="23">
        <f>IF(AND(ISNUMBER(AO187),ISNUMBER(AJ187)),IFERROR(AO187/AJ187-1,""),"")</f>
        <v>0.205128205128205</v>
      </c>
      <c r="AP188" s="23">
        <f>IF(AND(ISNUMBER(AP187),ISNUMBER(AK187)),IFERROR(AP187/AK187-1,""),"")</f>
        <v>0.205128205128205</v>
      </c>
      <c r="AQ188" s="23">
        <f>IF(AND(ISNUMBER(AQ187),ISNUMBER(AL187)),IFERROR(AQ187/AL187-1,""),"")</f>
        <v>0.0425531914893618</v>
      </c>
      <c r="AR188" s="23">
        <f>IF(AND(ISNUMBER(AR187),ISNUMBER(AM187)),IFERROR(AR187/AM187-1,""),"")</f>
        <v>0.158536585365854</v>
      </c>
      <c r="AS188" s="23">
        <f>IF(AND(ISNUMBER(AS187),ISNUMBER(AN187)),IFERROR(AS187/AN187-1,""),"")</f>
        <v>0.0425531914893618</v>
      </c>
      <c r="AT188" s="23">
        <f>IF(AND(ISNUMBER(AT187),ISNUMBER(AO187)),IFERROR(AT187/AO187-1,""),"")</f>
        <v>0.0425531914893618</v>
      </c>
      <c r="AU188" s="23">
        <f>IF(AND(ISNUMBER(AU187),ISNUMBER(AP187)),IFERROR(AU187/AP187-1,""),"")</f>
        <v>0.0425531914893618</v>
      </c>
      <c r="AV188" s="23">
        <f>IF(AND(ISNUMBER(AV187),ISNUMBER(AQ187)),IFERROR(AV187/AQ187-1,""),"")</f>
        <v>0.0408163265306123</v>
      </c>
      <c r="AW188" s="23">
        <f>IF(AND(ISNUMBER(AW187),ISNUMBER(AR187)),IFERROR(AW187/AR187-1,""),"")</f>
        <v>0.0421052631578949</v>
      </c>
      <c r="AX188" s="23">
        <f>IF(AND(ISNUMBER(AX187),ISNUMBER(AS187)),IFERROR(AX187/AS187-1,""),"")</f>
        <v>0.0408163265306123</v>
      </c>
      <c r="AY188" s="23">
        <f>IF(AND(ISNUMBER(AY187),ISNUMBER(AT187)),IFERROR(AY187/AT187-1,""),"")</f>
        <v>0.0408163265306123</v>
      </c>
      <c r="AZ188" s="23">
        <f>IF(AND(ISNUMBER(AZ187),ISNUMBER(AU187)),IFERROR(AZ187/AU187-1,""),"")</f>
        <v>0.0408163265306123</v>
      </c>
      <c r="BA188" s="23">
        <f>IF(AND(ISNUMBER(BA187),ISNUMBER(AV187)),IFERROR(BA187/AV187-1,""),"")</f>
        <v>0.0980392156862746</v>
      </c>
      <c r="BB188" s="23">
        <f>IF(AND(ISNUMBER(BB187),ISNUMBER(AW187)),IFERROR(BB187/AW187-1,""),"")</f>
        <v>0.0555555555555556</v>
      </c>
      <c r="BC188" s="23">
        <f>IF(AND(ISNUMBER(BC187),ISNUMBER(AX187)),IFERROR(BC187/AX187-1,""),"")</f>
        <v>0.0980392156862746</v>
      </c>
      <c r="BD188" s="23">
        <f>IF(AND(ISNUMBER(BD187),ISNUMBER(AY187)),IFERROR(BD187/AY187-1,""),"")</f>
        <v>0.0980392156862746</v>
      </c>
      <c r="BE188" s="23">
        <f>IF(AND(ISNUMBER(BE187),ISNUMBER(AZ187)),IFERROR(BE187/AZ187-1,""),"")</f>
        <v>0.0980392156862746</v>
      </c>
      <c r="BF188" s="23">
        <f>IF(AND(ISNUMBER(BF187),ISNUMBER(BA187)),IFERROR(BF187/BA187-1,""),"")</f>
        <v>0.142857142857143</v>
      </c>
      <c r="BG188" s="23">
        <f>IF(AND(ISNUMBER(BG187),ISNUMBER(BB187)),IFERROR(BG187/BB187-1,""),"")</f>
        <v>0.110047846889952</v>
      </c>
      <c r="BH188" s="23">
        <f>IF(AND(ISNUMBER(BH187),ISNUMBER(BC187)),IFERROR(BH187/BC187-1,""),"")</f>
        <v>0.142857142857143</v>
      </c>
      <c r="BI188" s="23">
        <f>IF(AND(ISNUMBER(BI187),ISNUMBER(BD187)),IFERROR(BI187/BD187-1,""),"")</f>
        <v>0.142857142857143</v>
      </c>
      <c r="BJ188" s="23">
        <f>IF(AND(ISNUMBER(BJ187),ISNUMBER(BE187)),IFERROR(BJ187/BE187-1,""),"")</f>
        <v>0.142857142857143</v>
      </c>
      <c r="BK188" s="23">
        <f>IF(AND(ISNUMBER(BK187),ISNUMBER(BF187)),IFERROR(BK187/BF187-1,""),"")</f>
        <v>0.109375</v>
      </c>
      <c r="BL188" s="23">
        <f>IF(AND(ISNUMBER(BL187),ISNUMBER(BG187)),IFERROR(BL187/BG187-1,""),"")</f>
        <v>0.133620689655172</v>
      </c>
      <c r="BM188" s="23">
        <f>IF(AND(ISNUMBER(BM187),ISNUMBER(BH187)),IFERROR(BM187/BH187-1,""),"")</f>
        <v>0.109375</v>
      </c>
      <c r="BN188" s="23">
        <f>IF(AND(ISNUMBER(BN187),ISNUMBER(BI187)),IFERROR(BN187/BI187-1,""),"")</f>
        <v>0.109375</v>
      </c>
      <c r="BO188" s="23">
        <f>IF(AND(ISNUMBER(BO187),ISNUMBER(BJ187)),IFERROR(BO187/BJ187-1,""),"")</f>
        <v>0.109375</v>
      </c>
      <c r="BP188" s="23">
        <f>IF(AND(ISNUMBER(BP187),ISNUMBER(BK187)),IFERROR(BP187/BK187-1,""),"")</f>
        <v>0.0563380281690142</v>
      </c>
      <c r="BQ188" s="23">
        <f>IF(AND(ISNUMBER(BQ187),ISNUMBER(BL187)),IFERROR(BQ187/BL187-1,""),"")</f>
        <v>0.0950570342205324</v>
      </c>
      <c r="BR188" s="23">
        <f>IF(AND(ISNUMBER(BR187),ISNUMBER(BM187)),IFERROR(BR187/BM187-1,""),"")</f>
        <v>0.0563380281690142</v>
      </c>
      <c r="BS188" s="23">
        <f>IF(AND(ISNUMBER(BS187),ISNUMBER(BN187)),IFERROR(BS187/BN187-1,""),"")</f>
        <v>0.0563380281690142</v>
      </c>
      <c r="BT188" s="23">
        <f>IF(AND(ISNUMBER(BT187),ISNUMBER(BO187)),IFERROR(BT187/BO187-1,""),"")</f>
        <v>0.0563380281690142</v>
      </c>
      <c r="BU188" s="23">
        <f>IF(AND(ISNUMBER(BU187),ISNUMBER(BP187)),IFERROR(BU187/BP187-1,""),"")</f>
        <v>0.0533333333333335</v>
      </c>
      <c r="BV188" s="23">
        <f>IF(AND(ISNUMBER(BV187),ISNUMBER(BQ187)),IFERROR(BV187/BQ187-1,""),"")</f>
        <v>0.0555555555555556</v>
      </c>
      <c r="BW188" s="23">
        <f>IF(AND(ISNUMBER(BW187),ISNUMBER(BR187)),IFERROR(BW187/BR187-1,""),"")</f>
        <v>0.0533333333333335</v>
      </c>
      <c r="BX188" s="23">
        <f>IF(AND(ISNUMBER(BX187),ISNUMBER(BS187)),IFERROR(BX187/BS187-1,""),"")</f>
        <v>0.0533333333333335</v>
      </c>
      <c r="BY188" s="254" t="n"/>
      <c r="BZ188" s="254" t="n"/>
      <c r="CA188" s="254">
        <f>IFERROR(CA187/BV187-1,"")</f>
        <v>0.052467105263158</v>
      </c>
      <c r="CB188" s="255" t="n">
        <v>0.05</v>
      </c>
      <c r="CC188" s="255" t="n">
        <v>0.05</v>
      </c>
      <c r="CD188" s="255" t="n">
        <v>0.05</v>
      </c>
      <c r="CE188" s="255" t="n">
        <v>0.05</v>
      </c>
      <c r="CF188" s="19" t="n"/>
    </row>
    <row r="189">
      <c r="CF189" s="19" t="n"/>
    </row>
    <row r="190">
      <c r="B190" s="10" t="inlineStr">
        <is>
          <t>RECONCILIATION A: OPERATING INCOME → ADJUSTED OPERATING INCOME (company definition)</t>
        </is>
      </c>
      <c r="C190" s="10" t="n"/>
      <c r="D190" s="10" t="n"/>
      <c r="E190" s="10" t="n"/>
      <c r="F190" s="10" t="n"/>
      <c r="G190" s="10" t="n"/>
      <c r="H190" s="10" t="n"/>
      <c r="I190" s="10" t="n"/>
      <c r="J190" s="10" t="n"/>
      <c r="K190" s="10" t="n"/>
      <c r="L190" s="10" t="n"/>
      <c r="M190" s="10" t="n"/>
      <c r="N190" s="10" t="n"/>
      <c r="O190" s="10" t="n"/>
      <c r="P190" s="10" t="n"/>
      <c r="Q190" s="10" t="n"/>
      <c r="R190" s="10" t="n"/>
      <c r="S190" s="10" t="n"/>
      <c r="T190" s="10" t="n"/>
      <c r="U190" s="10" t="n"/>
      <c r="V190" s="10" t="n"/>
      <c r="W190" s="10" t="n"/>
      <c r="X190" s="10" t="n"/>
      <c r="Y190" s="10" t="n"/>
      <c r="Z190" s="10" t="n"/>
      <c r="AA190" s="10" t="n"/>
      <c r="AB190" s="10" t="n"/>
      <c r="AC190" s="10" t="n"/>
      <c r="AD190" s="10" t="n"/>
      <c r="AE190" s="10" t="n"/>
      <c r="AF190" s="10" t="n"/>
      <c r="AG190" s="10" t="n"/>
      <c r="AH190" s="10" t="n"/>
      <c r="AI190" s="10" t="n"/>
      <c r="AJ190" s="10" t="n"/>
      <c r="AK190" s="10" t="n"/>
      <c r="AL190" s="10" t="n"/>
      <c r="AM190" s="10" t="n"/>
      <c r="AN190" s="10" t="n"/>
      <c r="AO190" s="10" t="n"/>
      <c r="AP190" s="10" t="n"/>
      <c r="AQ190" s="10" t="n"/>
      <c r="AR190" s="10" t="n"/>
      <c r="AS190" s="10" t="n"/>
      <c r="AT190" s="10" t="n"/>
      <c r="AU190" s="10" t="n"/>
      <c r="AV190" s="10" t="n"/>
      <c r="AW190" s="10" t="n"/>
      <c r="AX190" s="10" t="n"/>
      <c r="AY190" s="10" t="n"/>
      <c r="AZ190" s="10" t="n"/>
      <c r="BA190" s="10" t="n"/>
      <c r="BB190" s="10" t="n"/>
      <c r="BC190" s="10" t="n"/>
      <c r="BD190" s="10" t="n"/>
      <c r="BE190" s="10" t="n"/>
      <c r="BF190" s="10" t="n"/>
      <c r="BG190" s="10" t="n"/>
      <c r="BH190" s="10" t="n"/>
      <c r="BI190" s="10" t="n"/>
      <c r="BJ190" s="10" t="n"/>
      <c r="BK190" s="10" t="n"/>
      <c r="BL190" s="10" t="n"/>
      <c r="BM190" s="10" t="n"/>
      <c r="BN190" s="10" t="n"/>
      <c r="BO190" s="10" t="n"/>
      <c r="BP190" s="10" t="n"/>
      <c r="BQ190" s="10" t="n"/>
      <c r="BR190" s="10" t="n"/>
      <c r="BS190" s="10" t="n"/>
      <c r="BT190" s="10" t="n"/>
      <c r="BU190" s="10" t="n"/>
      <c r="BV190" s="10" t="n"/>
      <c r="BW190" s="10" t="n"/>
      <c r="BX190" s="10" t="n"/>
      <c r="BY190" s="10" t="n"/>
      <c r="BZ190" s="10" t="n"/>
      <c r="CA190" s="10" t="n"/>
      <c r="CB190" s="10" t="n"/>
      <c r="CC190" s="10" t="n"/>
      <c r="CD190" s="10" t="n"/>
      <c r="CE190" s="10" t="n"/>
      <c r="CF190" s="10" t="inlineStr">
        <is>
          <t>ADJUSTED OPERATING INCOME — per Lincoln Electric earnings-release reconciliations ("Non-GAAP Financial Measures"); special items as defined by the company in each period</t>
        </is>
      </c>
    </row>
    <row r="191">
      <c r="B191" s="16" t="inlineStr">
        <is>
          <t>Operating income (GAAP)</t>
        </is>
      </c>
      <c r="C191" s="43">
        <f>C162</f>
        <v>232.97</v>
      </c>
      <c r="D191" s="43">
        <f>D162</f>
        <v>277.632</v>
      </c>
      <c r="E191" s="43">
        <f>E162</f>
        <v>295.404</v>
      </c>
      <c r="F191" s="43">
        <f>F162</f>
        <v>92.9760000000001</v>
      </c>
      <c r="G191" s="43">
        <f>G162</f>
        <v>186.43</v>
      </c>
      <c r="H191" s="43">
        <f>H162</f>
        <v>296.68</v>
      </c>
      <c r="I191" s="43">
        <f>I162</f>
        <v>362.081</v>
      </c>
      <c r="J191" s="43">
        <f>J162</f>
        <v>88.63</v>
      </c>
      <c r="K191" s="43">
        <f>K162</f>
        <v>104.272</v>
      </c>
      <c r="L191" s="43">
        <f>L162</f>
        <v>95.178</v>
      </c>
      <c r="M191" s="43">
        <f>M162</f>
        <v>118.905</v>
      </c>
      <c r="N191" s="43">
        <f>N162</f>
        <v>406.985</v>
      </c>
      <c r="O191" s="43">
        <f>O162</f>
        <v>80.438</v>
      </c>
      <c r="P191" s="43">
        <f>P162</f>
        <v>112.275</v>
      </c>
      <c r="Q191" s="43">
        <f>Q162</f>
        <v>76.117</v>
      </c>
      <c r="R191" s="43">
        <f>R162</f>
        <v>104.917</v>
      </c>
      <c r="S191" s="43">
        <f>S162</f>
        <v>373.747</v>
      </c>
      <c r="T191" s="43">
        <f>T162</f>
        <v>90.499</v>
      </c>
      <c r="U191" s="43">
        <f>U162</f>
        <v>96.787</v>
      </c>
      <c r="V191" s="43">
        <f>V162</f>
        <v>-84.0209999999999</v>
      </c>
      <c r="W191" s="43">
        <f>W162</f>
        <v>78.435</v>
      </c>
      <c r="X191" s="43">
        <f>X162</f>
        <v>181.7</v>
      </c>
      <c r="Y191" s="43">
        <f>Y162</f>
        <v>75.292</v>
      </c>
      <c r="Z191" s="43">
        <f>Z162</f>
        <v>48.082</v>
      </c>
      <c r="AA191" s="43">
        <f>AA162</f>
        <v>81.829</v>
      </c>
      <c r="AB191" s="43">
        <f>AB162</f>
        <v>83.071</v>
      </c>
      <c r="AC191" s="43">
        <f>AC162</f>
        <v>288.274</v>
      </c>
      <c r="AD191" s="43">
        <f>AD162</f>
        <v>81.4860000000001</v>
      </c>
      <c r="AE191" s="43">
        <f>AE162</f>
        <v>87.6419999999999</v>
      </c>
      <c r="AF191" s="43">
        <f>AF162</f>
        <v>133.07</v>
      </c>
      <c r="AG191" s="43">
        <f>AG162</f>
        <v>75.513</v>
      </c>
      <c r="AH191" s="43">
        <f>AH162</f>
        <v>377.711</v>
      </c>
      <c r="AI191" s="43">
        <f>AI162</f>
        <v>85.188</v>
      </c>
      <c r="AJ191" s="43">
        <f>AJ162</f>
        <v>94.634</v>
      </c>
      <c r="AK191" s="43">
        <f>AK162</f>
        <v>100.787</v>
      </c>
      <c r="AL191" s="43">
        <f>AL162</f>
        <v>94.93</v>
      </c>
      <c r="AM191" s="43">
        <f>AM162</f>
        <v>375.539</v>
      </c>
      <c r="AN191" s="43">
        <f>AN162</f>
        <v>94.478</v>
      </c>
      <c r="AO191" s="43">
        <f>AO162</f>
        <v>105.186</v>
      </c>
      <c r="AP191" s="43">
        <f>AP162</f>
        <v>88.544</v>
      </c>
      <c r="AQ191" s="43">
        <f>AQ162</f>
        <v>82.702</v>
      </c>
      <c r="AR191" s="43">
        <f>AR162</f>
        <v>370.91</v>
      </c>
      <c r="AS191" s="43">
        <f>AS162</f>
        <v>81.074</v>
      </c>
      <c r="AT191" s="43">
        <f>AT162</f>
        <v>39.764</v>
      </c>
      <c r="AU191" s="43">
        <f>AU162</f>
        <v>77.7930000000001</v>
      </c>
      <c r="AV191" s="43">
        <f>AV162</f>
        <v>83.44</v>
      </c>
      <c r="AW191" s="43">
        <f>AW162</f>
        <v>282.071</v>
      </c>
      <c r="AX191" s="43">
        <f>AX162</f>
        <v>103.928</v>
      </c>
      <c r="AY191" s="43">
        <f>AY162</f>
        <v>121.822</v>
      </c>
      <c r="AZ191" s="43">
        <f>AZ162</f>
        <v>115.57</v>
      </c>
      <c r="BA191" s="43">
        <f>BA162</f>
        <v>120.349</v>
      </c>
      <c r="BB191" s="43">
        <f>BB162</f>
        <v>461.669</v>
      </c>
      <c r="BC191" s="43">
        <f>BC162</f>
        <v>161.206</v>
      </c>
      <c r="BD191" s="43">
        <f>BD162</f>
        <v>167.533</v>
      </c>
      <c r="BE191" s="43">
        <f>BE162</f>
        <v>142.109</v>
      </c>
      <c r="BF191" s="43">
        <f>BF162</f>
        <v>141.488</v>
      </c>
      <c r="BG191" s="43">
        <f>BG162</f>
        <v>612.336</v>
      </c>
      <c r="BH191" s="43">
        <f>BH162</f>
        <v>164.364</v>
      </c>
      <c r="BI191" s="43">
        <f>BI162</f>
        <v>178.013</v>
      </c>
      <c r="BJ191" s="43">
        <f>BJ162</f>
        <v>171.441</v>
      </c>
      <c r="BK191" s="43">
        <f>BK162</f>
        <v>204.031</v>
      </c>
      <c r="BL191" s="43">
        <f>BL162</f>
        <v>717.849000000001</v>
      </c>
      <c r="BM191" s="43">
        <f>BM162</f>
        <v>165.047</v>
      </c>
      <c r="BN191" s="43">
        <f>BN162</f>
        <v>148.838</v>
      </c>
      <c r="BO191" s="43">
        <f>BO162</f>
        <v>145.56</v>
      </c>
      <c r="BP191" s="43">
        <f>BP162</f>
        <v>177.017</v>
      </c>
      <c r="BQ191" s="43">
        <f>BQ162</f>
        <v>636.462</v>
      </c>
      <c r="BR191" s="43">
        <f>BR162</f>
        <v>164.918</v>
      </c>
      <c r="BS191" s="43">
        <f>BS162</f>
        <v>192.144</v>
      </c>
      <c r="BT191" s="43">
        <f>BT162</f>
        <v>176.657</v>
      </c>
      <c r="BU191" s="43">
        <f>BU162</f>
        <v>184.34</v>
      </c>
      <c r="BV191" s="43">
        <f>BV162</f>
        <v>718.059</v>
      </c>
      <c r="BW191" s="43">
        <f>BW162</f>
        <v>186.158</v>
      </c>
      <c r="BX191" s="43">
        <f>BX162</f>
        <v>220.644</v>
      </c>
      <c r="BY191" s="253">
        <f>BY162</f>
        <v>211.66054919654</v>
      </c>
      <c r="BZ191" s="253">
        <f>BZ162</f>
        <v>220.11828705346</v>
      </c>
      <c r="CA191" s="253">
        <f>CA162</f>
        <v>838.58083625</v>
      </c>
      <c r="CB191" s="253">
        <f>CB162</f>
        <v>918.659026734974</v>
      </c>
      <c r="CC191" s="253">
        <f>CC162</f>
        <v>1015.4539418654</v>
      </c>
      <c r="CD191" s="253">
        <f>CD162</f>
        <v>1113.71475127148</v>
      </c>
      <c r="CE191" s="253">
        <f>CE162</f>
        <v>1216.63200044084</v>
      </c>
      <c r="CF191" s="19" t="n"/>
    </row>
    <row r="192">
      <c r="B192" s="25" t="inlineStr">
        <is>
          <t xml:space="preserve">  (+) Rationalization &amp; asset impairment net charges</t>
        </is>
      </c>
      <c r="C192" s="34" t="n">
        <v>3.478</v>
      </c>
      <c r="D192" s="34" t="n">
        <v>-0.188</v>
      </c>
      <c r="E192" s="34" t="n">
        <v>19.371</v>
      </c>
      <c r="F192" s="34" t="n">
        <v>29.897</v>
      </c>
      <c r="G192" s="34" t="n">
        <v>-0.384</v>
      </c>
      <c r="H192" s="34" t="n">
        <v>0.282</v>
      </c>
      <c r="I192" s="34" t="n">
        <v>9.353999999999999</v>
      </c>
      <c r="J192" s="34" t="n">
        <v>1.051</v>
      </c>
      <c r="K192" s="34" t="n">
        <v>0.851</v>
      </c>
      <c r="L192" s="34" t="n">
        <v>6.302</v>
      </c>
      <c r="M192" s="34" t="n">
        <v>0.259</v>
      </c>
      <c r="N192" s="34" t="n">
        <v>8.462999999999999</v>
      </c>
      <c r="O192" s="34" t="n">
        <v>-0.017</v>
      </c>
      <c r="P192" s="34" t="n">
        <v>0.836</v>
      </c>
      <c r="Q192" s="34" t="n">
        <v>29.068</v>
      </c>
      <c r="R192" s="34" t="n">
        <v>0.166</v>
      </c>
      <c r="S192" s="34" t="n">
        <v>30.053</v>
      </c>
      <c r="T192" s="34" t="n">
        <v>0</v>
      </c>
      <c r="U192" s="34" t="n">
        <v>1.239</v>
      </c>
      <c r="V192" s="34" t="n">
        <v>18.285</v>
      </c>
      <c r="W192" s="34" t="n">
        <v>0.434</v>
      </c>
      <c r="X192" s="34" t="n">
        <v>19.958</v>
      </c>
      <c r="Y192" s="34" t="n">
        <v>0</v>
      </c>
      <c r="Z192" s="34" t="n">
        <v>0</v>
      </c>
      <c r="AA192" s="34" t="n">
        <v>0</v>
      </c>
      <c r="AB192" s="34" t="n">
        <v>0</v>
      </c>
      <c r="AC192" s="34" t="n">
        <v>0</v>
      </c>
      <c r="AD192" s="34" t="n">
        <v>0</v>
      </c>
      <c r="AE192" s="34" t="n">
        <v>0</v>
      </c>
      <c r="AF192" s="34" t="n">
        <v>0</v>
      </c>
      <c r="AG192" s="34" t="n">
        <v>6.59</v>
      </c>
      <c r="AH192" s="34" t="n">
        <v>6.59</v>
      </c>
      <c r="AI192" s="34" t="n">
        <v>10.175</v>
      </c>
      <c r="AJ192" s="34" t="n">
        <v>11.542</v>
      </c>
      <c r="AK192" s="34" t="n">
        <v>2.636</v>
      </c>
      <c r="AL192" s="34" t="n">
        <v>0.9320000000000001</v>
      </c>
      <c r="AM192" s="34" t="n">
        <v>25.285</v>
      </c>
      <c r="AN192" s="34" t="n">
        <v>3.535</v>
      </c>
      <c r="AO192" s="34" t="n">
        <v>1.307</v>
      </c>
      <c r="AP192" s="34" t="n">
        <v>1.495</v>
      </c>
      <c r="AQ192" s="34" t="n">
        <v>8.851000000000001</v>
      </c>
      <c r="AR192" s="34" t="n">
        <v>15.188</v>
      </c>
      <c r="AS192" s="34" t="n">
        <v>6.521</v>
      </c>
      <c r="AT192" s="34" t="n">
        <v>23.238</v>
      </c>
      <c r="AU192" s="34" t="n">
        <v>6.257</v>
      </c>
      <c r="AV192" s="34" t="n">
        <v>9.452</v>
      </c>
      <c r="AW192" s="34" t="n">
        <v>45.468</v>
      </c>
      <c r="AX192" s="34" t="n">
        <v>4.163</v>
      </c>
      <c r="AY192" s="34" t="n">
        <v>0.63</v>
      </c>
      <c r="AZ192" s="34" t="n">
        <v>3.484</v>
      </c>
      <c r="BA192" s="34" t="n">
        <v>1.55</v>
      </c>
      <c r="BB192" s="34" t="n">
        <v>9.827</v>
      </c>
      <c r="BC192" s="34" t="n">
        <v>1.885</v>
      </c>
      <c r="BD192" s="34" t="n">
        <v>-0.844</v>
      </c>
      <c r="BE192" s="34" t="n">
        <v>8.364000000000001</v>
      </c>
      <c r="BF192" s="34" t="n">
        <v>2.383</v>
      </c>
      <c r="BG192" s="34" t="n">
        <v>11.788</v>
      </c>
      <c r="BH192" s="34" t="n">
        <v>0.877</v>
      </c>
      <c r="BI192" s="34" t="n">
        <v>2.667</v>
      </c>
      <c r="BJ192" s="34" t="n">
        <v>7.074</v>
      </c>
      <c r="BK192" s="34" t="n">
        <v>-21.932</v>
      </c>
      <c r="BL192" s="34" t="n">
        <v>-11.314</v>
      </c>
      <c r="BM192" s="34" t="n">
        <v>4.605</v>
      </c>
      <c r="BN192" s="34" t="n">
        <v>26.49</v>
      </c>
      <c r="BO192" s="34" t="n">
        <v>20.227</v>
      </c>
      <c r="BP192" s="34" t="n">
        <v>4.538</v>
      </c>
      <c r="BQ192" s="34" t="n">
        <v>55.86</v>
      </c>
      <c r="BR192" s="34" t="n">
        <v>3.865</v>
      </c>
      <c r="BS192" s="34" t="n">
        <v>2.542</v>
      </c>
      <c r="BT192" s="34" t="n">
        <v>5.831</v>
      </c>
      <c r="BU192" s="34" t="n">
        <v>5.961</v>
      </c>
      <c r="BV192" s="34" t="n">
        <v>18.199</v>
      </c>
      <c r="BW192" s="34" t="n">
        <v>2.163</v>
      </c>
      <c r="BX192" s="34" t="n">
        <v>3.481</v>
      </c>
      <c r="BY192" s="257">
        <f>BY160</f>
        <v>2.822</v>
      </c>
      <c r="BZ192" s="257">
        <f>BZ160</f>
        <v>2.822</v>
      </c>
      <c r="CA192" s="257">
        <f>CA160</f>
        <v>11.288</v>
      </c>
      <c r="CB192" s="257">
        <f>CB160</f>
        <v>15</v>
      </c>
      <c r="CC192" s="257">
        <f>CC160</f>
        <v>15</v>
      </c>
      <c r="CD192" s="257">
        <f>CD160</f>
        <v>15</v>
      </c>
      <c r="CE192" s="257">
        <f>CE160</f>
        <v>15</v>
      </c>
      <c r="CF192" s="19" t="inlineStr">
        <is>
          <t>Forecast = rationalization line of the income statement.</t>
        </is>
      </c>
    </row>
    <row r="193">
      <c r="B193" s="25" t="inlineStr">
        <is>
          <t xml:space="preserve">  (+) Acquisition transaction &amp; integration costs (in SG&amp;A)</t>
        </is>
      </c>
      <c r="C193" s="34" t="n">
        <v>0</v>
      </c>
      <c r="D193" s="34" t="n">
        <v>0</v>
      </c>
      <c r="E193" s="34" t="n">
        <v>0</v>
      </c>
      <c r="F193" s="34" t="n">
        <v>0</v>
      </c>
      <c r="G193" s="34" t="n">
        <v>0</v>
      </c>
      <c r="H193" s="34" t="n">
        <v>0</v>
      </c>
      <c r="I193" s="34" t="n">
        <v>0</v>
      </c>
      <c r="J193" s="34" t="n">
        <v>0</v>
      </c>
      <c r="K193" s="34" t="n">
        <v>0</v>
      </c>
      <c r="L193" s="34" t="n">
        <v>0</v>
      </c>
      <c r="M193" s="34" t="n">
        <v>0</v>
      </c>
      <c r="N193" s="34" t="n">
        <v>0</v>
      </c>
      <c r="O193" s="34" t="n">
        <v>0</v>
      </c>
      <c r="P193" s="34" t="n">
        <v>0</v>
      </c>
      <c r="Q193" s="34" t="n">
        <v>0</v>
      </c>
      <c r="R193" s="34" t="n">
        <v>0</v>
      </c>
      <c r="S193" s="34" t="n">
        <v>0</v>
      </c>
      <c r="T193" s="34" t="n">
        <v>0</v>
      </c>
      <c r="U193" s="34" t="n">
        <v>0</v>
      </c>
      <c r="V193" s="34" t="n">
        <v>0</v>
      </c>
      <c r="W193" s="34" t="n">
        <v>0</v>
      </c>
      <c r="X193" s="34" t="n">
        <v>0</v>
      </c>
      <c r="Y193" s="34" t="n">
        <v>0</v>
      </c>
      <c r="Z193" s="34" t="n">
        <v>0</v>
      </c>
      <c r="AA193" s="34" t="n">
        <v>0</v>
      </c>
      <c r="AB193" s="34" t="n">
        <v>0</v>
      </c>
      <c r="AC193" s="34" t="n">
        <v>0</v>
      </c>
      <c r="AD193" s="34" t="n">
        <v>3.615</v>
      </c>
      <c r="AE193" s="34" t="n">
        <v>4.498</v>
      </c>
      <c r="AF193" s="34" t="n">
        <v>3.273</v>
      </c>
      <c r="AG193" s="34" t="n">
        <v>3.616</v>
      </c>
      <c r="AH193" s="34" t="n">
        <v>15.002</v>
      </c>
      <c r="AI193" s="34" t="n">
        <v>1.907</v>
      </c>
      <c r="AJ193" s="34" t="n">
        <v>0.788</v>
      </c>
      <c r="AK193" s="34" t="n">
        <v>0.97</v>
      </c>
      <c r="AL193" s="34" t="n">
        <v>0.833</v>
      </c>
      <c r="AM193" s="34" t="n">
        <v>4.498</v>
      </c>
      <c r="AN193" s="34" t="n">
        <v>0.79</v>
      </c>
      <c r="AO193" s="34" t="n">
        <v>1.014</v>
      </c>
      <c r="AP193" s="34" t="n">
        <v>0</v>
      </c>
      <c r="AQ193" s="34" t="n">
        <v>0</v>
      </c>
      <c r="AR193" s="34" t="n">
        <v>1.804</v>
      </c>
      <c r="AS193" s="34" t="n">
        <v>0</v>
      </c>
      <c r="AT193" s="34" t="n">
        <v>0</v>
      </c>
      <c r="AU193" s="34" t="n">
        <v>0</v>
      </c>
      <c r="AV193" s="34" t="n">
        <v>0</v>
      </c>
      <c r="AW193" s="34" t="n">
        <v>0</v>
      </c>
      <c r="AX193" s="34" t="n">
        <v>1.113</v>
      </c>
      <c r="AY193" s="34" t="n">
        <v>0.8100000000000001</v>
      </c>
      <c r="AZ193" s="34" t="n">
        <v>0</v>
      </c>
      <c r="BA193" s="34" t="n">
        <v>0</v>
      </c>
      <c r="BB193" s="34" t="n">
        <v>1.923</v>
      </c>
      <c r="BC193" s="34" t="n">
        <v>0</v>
      </c>
      <c r="BD193" s="34" t="n">
        <v>0</v>
      </c>
      <c r="BE193" s="34" t="n">
        <v>3.068</v>
      </c>
      <c r="BF193" s="34" t="n">
        <v>2.935</v>
      </c>
      <c r="BG193" s="34" t="n">
        <v>6.003</v>
      </c>
      <c r="BH193" s="34" t="n">
        <v>0</v>
      </c>
      <c r="BI193" s="34" t="n">
        <v>0</v>
      </c>
      <c r="BJ193" s="34" t="n">
        <v>0</v>
      </c>
      <c r="BK193" s="34" t="n">
        <v>0</v>
      </c>
      <c r="BL193" s="34" t="n">
        <v>0</v>
      </c>
      <c r="BM193" s="34" t="n">
        <v>1.762</v>
      </c>
      <c r="BN193" s="34" t="n">
        <v>2.182</v>
      </c>
      <c r="BO193" s="34" t="n">
        <v>0.61</v>
      </c>
      <c r="BP193" s="34" t="n">
        <v>2.491</v>
      </c>
      <c r="BQ193" s="34" t="n">
        <v>7.042</v>
      </c>
      <c r="BR193" s="34" t="n">
        <v>0.802</v>
      </c>
      <c r="BS193" s="34" t="n">
        <v>0.429</v>
      </c>
      <c r="BT193" s="34" t="n">
        <v>0.452</v>
      </c>
      <c r="BU193" s="34" t="n">
        <v>1.056</v>
      </c>
      <c r="BV193" s="34" t="n">
        <v>2.739</v>
      </c>
      <c r="BW193" s="34" t="n">
        <v>0.653</v>
      </c>
      <c r="BX193" s="34" t="n">
        <v>0.015</v>
      </c>
      <c r="BY193" s="257">
        <f>($BW$193+$BX$193)/2</f>
        <v>0.334</v>
      </c>
      <c r="BZ193" s="257">
        <f>($BW$193+$BX$193)/2</f>
        <v>0.334</v>
      </c>
      <c r="CA193" s="257">
        <f>SUM(BW193,BX193,BY193,BZ193)</f>
        <v>1.336</v>
      </c>
      <c r="CB193" s="257">
        <f>MAX(2,CB112*0.01)</f>
        <v>2</v>
      </c>
      <c r="CC193" s="257">
        <f>MAX(2,CC112*0.01)</f>
        <v>2.5</v>
      </c>
      <c r="CD193" s="257">
        <f>MAX(2,CD112*0.01)</f>
        <v>2.5</v>
      </c>
      <c r="CE193" s="257">
        <f>MAX(2,CE112*0.01)</f>
        <v>2.5</v>
      </c>
      <c r="CF193" s="19" t="inlineStr">
        <is>
          <t>Q3/Q4-26E: 1H/26 run-rate. 2027E+: ~1% of acquisition spend (min. $2m p.a.).</t>
        </is>
      </c>
    </row>
    <row r="194">
      <c r="B194" s="25" t="inlineStr">
        <is>
          <t xml:space="preserve">  (+) Amortization of step-up in value of acquired inventories (in COGS)</t>
        </is>
      </c>
      <c r="C194" s="34" t="n">
        <v>0</v>
      </c>
      <c r="D194" s="34" t="n">
        <v>0</v>
      </c>
      <c r="E194" s="34" t="n">
        <v>0</v>
      </c>
      <c r="F194" s="34" t="n">
        <v>0</v>
      </c>
      <c r="G194" s="34" t="n">
        <v>0</v>
      </c>
      <c r="H194" s="34" t="n">
        <v>0</v>
      </c>
      <c r="I194" s="34" t="n">
        <v>0</v>
      </c>
      <c r="J194" s="34" t="n">
        <v>0</v>
      </c>
      <c r="K194" s="34" t="n">
        <v>0</v>
      </c>
      <c r="L194" s="34" t="n">
        <v>0</v>
      </c>
      <c r="M194" s="34" t="n">
        <v>0</v>
      </c>
      <c r="N194" s="34" t="n">
        <v>0</v>
      </c>
      <c r="O194" s="34" t="n">
        <v>0</v>
      </c>
      <c r="P194" s="34" t="n">
        <v>0</v>
      </c>
      <c r="Q194" s="34" t="n">
        <v>0</v>
      </c>
      <c r="R194" s="34" t="n">
        <v>0</v>
      </c>
      <c r="S194" s="34" t="n">
        <v>0</v>
      </c>
      <c r="T194" s="34" t="n">
        <v>0</v>
      </c>
      <c r="U194" s="34" t="n">
        <v>0</v>
      </c>
      <c r="V194" s="34" t="n">
        <v>0</v>
      </c>
      <c r="W194" s="34" t="n">
        <v>0</v>
      </c>
      <c r="X194" s="34" t="n">
        <v>0</v>
      </c>
      <c r="Y194" s="34" t="n">
        <v>0</v>
      </c>
      <c r="Z194" s="34" t="n">
        <v>0</v>
      </c>
      <c r="AA194" s="34" t="n">
        <v>0</v>
      </c>
      <c r="AB194" s="34" t="n">
        <v>0</v>
      </c>
      <c r="AC194" s="34" t="n">
        <v>0</v>
      </c>
      <c r="AD194" s="34" t="n">
        <v>0</v>
      </c>
      <c r="AE194" s="34" t="n">
        <v>0</v>
      </c>
      <c r="AF194" s="34" t="n">
        <v>2.314</v>
      </c>
      <c r="AG194" s="34" t="n">
        <v>2.264</v>
      </c>
      <c r="AH194" s="34" t="n">
        <v>4.578</v>
      </c>
      <c r="AI194" s="34" t="n">
        <v>0</v>
      </c>
      <c r="AJ194" s="34" t="n">
        <v>0</v>
      </c>
      <c r="AK194" s="34" t="n">
        <v>0</v>
      </c>
      <c r="AL194" s="34" t="n">
        <v>0</v>
      </c>
      <c r="AM194" s="34" t="n">
        <v>0</v>
      </c>
      <c r="AN194" s="34" t="n">
        <v>0</v>
      </c>
      <c r="AO194" s="34" t="n">
        <v>1.399</v>
      </c>
      <c r="AP194" s="34" t="n">
        <v>1.609</v>
      </c>
      <c r="AQ194" s="34" t="n">
        <v>0</v>
      </c>
      <c r="AR194" s="34" t="n">
        <v>3.008</v>
      </c>
      <c r="AS194" s="34" t="n">
        <v>0.806</v>
      </c>
      <c r="AT194" s="34" t="n">
        <v>0</v>
      </c>
      <c r="AU194" s="34" t="n">
        <v>0</v>
      </c>
      <c r="AV194" s="34" t="n">
        <v>0</v>
      </c>
      <c r="AW194" s="34" t="n">
        <v>0.806</v>
      </c>
      <c r="AX194" s="34" t="n">
        <v>0</v>
      </c>
      <c r="AY194" s="34" t="n">
        <v>1.841</v>
      </c>
      <c r="AZ194" s="34" t="n">
        <v>3.69</v>
      </c>
      <c r="BA194" s="34" t="n">
        <v>0.273</v>
      </c>
      <c r="BB194" s="34" t="n">
        <v>5.804</v>
      </c>
      <c r="BC194" s="34" t="n">
        <v>0</v>
      </c>
      <c r="BD194" s="34" t="n">
        <v>1.459</v>
      </c>
      <c r="BE194" s="34" t="n">
        <v>-0.353</v>
      </c>
      <c r="BF194" s="34" t="n">
        <v>0</v>
      </c>
      <c r="BG194" s="34" t="n">
        <v>1.106</v>
      </c>
      <c r="BH194" s="34" t="n">
        <v>3.856</v>
      </c>
      <c r="BI194" s="34" t="n">
        <v>3.545</v>
      </c>
      <c r="BJ194" s="34" t="n">
        <v>4.852</v>
      </c>
      <c r="BK194" s="34" t="n">
        <v>0</v>
      </c>
      <c r="BL194" s="34" t="n">
        <v>12.252</v>
      </c>
      <c r="BM194" s="34" t="n">
        <v>0</v>
      </c>
      <c r="BN194" s="34" t="n">
        <v>0.112</v>
      </c>
      <c r="BO194" s="34" t="n">
        <v>3.359</v>
      </c>
      <c r="BP194" s="34" t="n">
        <v>1.552</v>
      </c>
      <c r="BQ194" s="34" t="n">
        <v>5.026</v>
      </c>
      <c r="BR194" s="34" t="n">
        <v>-0.14</v>
      </c>
      <c r="BS194" s="34" t="n">
        <v>0</v>
      </c>
      <c r="BT194" s="34" t="n">
        <v>1.622</v>
      </c>
      <c r="BU194" s="34" t="n">
        <v>2.482</v>
      </c>
      <c r="BV194" s="34" t="n">
        <v>3.964</v>
      </c>
      <c r="BW194" s="34" t="n">
        <v>0</v>
      </c>
      <c r="BX194" s="34" t="n">
        <v>0</v>
      </c>
      <c r="BY194" s="261" t="n">
        <v>0</v>
      </c>
      <c r="BZ194" s="261" t="n">
        <v>0</v>
      </c>
      <c r="CA194" s="261" t="n">
        <v>0</v>
      </c>
      <c r="CB194" s="261" t="n">
        <v>0</v>
      </c>
      <c r="CC194" s="261" t="n">
        <v>0</v>
      </c>
      <c r="CD194" s="261" t="n">
        <v>0</v>
      </c>
      <c r="CE194" s="261" t="n">
        <v>0</v>
      </c>
      <c r="CF194" s="19" t="n"/>
    </row>
    <row r="195">
      <c r="B195" s="25" t="inlineStr">
        <is>
          <t xml:space="preserve">  (+/−) Pension settlement charges (gains) in operating income (to 2017)</t>
        </is>
      </c>
      <c r="C195" s="34" t="n">
        <v>0</v>
      </c>
      <c r="D195" s="34" t="n">
        <v>0</v>
      </c>
      <c r="E195" s="34" t="n">
        <v>0</v>
      </c>
      <c r="F195" s="34" t="n">
        <v>-1.543</v>
      </c>
      <c r="G195" s="34" t="n">
        <v>0</v>
      </c>
      <c r="H195" s="34" t="n">
        <v>0</v>
      </c>
      <c r="I195" s="34" t="n">
        <v>0</v>
      </c>
      <c r="J195" s="34" t="n">
        <v>0</v>
      </c>
      <c r="K195" s="34" t="n">
        <v>0</v>
      </c>
      <c r="L195" s="34" t="n">
        <v>0</v>
      </c>
      <c r="M195" s="34" t="n">
        <v>0</v>
      </c>
      <c r="N195" s="34" t="n">
        <v>0</v>
      </c>
      <c r="O195" s="34" t="n">
        <v>0</v>
      </c>
      <c r="P195" s="34" t="n">
        <v>0</v>
      </c>
      <c r="Q195" s="34" t="n">
        <v>0</v>
      </c>
      <c r="R195" s="34" t="n">
        <v>0</v>
      </c>
      <c r="S195" s="34" t="n">
        <v>0</v>
      </c>
      <c r="T195" s="34" t="n">
        <v>0</v>
      </c>
      <c r="U195" s="34" t="n">
        <v>0</v>
      </c>
      <c r="V195" s="34" t="n">
        <v>136.331</v>
      </c>
      <c r="W195" s="34" t="n">
        <v>6.407</v>
      </c>
      <c r="X195" s="34" t="n">
        <v>142.738</v>
      </c>
      <c r="Y195" s="34" t="n">
        <v>0</v>
      </c>
      <c r="Z195" s="34" t="n">
        <v>0</v>
      </c>
      <c r="AA195" s="34" t="n">
        <v>0</v>
      </c>
      <c r="AB195" s="34" t="n">
        <v>0</v>
      </c>
      <c r="AC195" s="34" t="n">
        <v>0</v>
      </c>
      <c r="AD195" s="34" t="n">
        <v>0</v>
      </c>
      <c r="AE195" s="34" t="n">
        <v>0</v>
      </c>
      <c r="AF195" s="34" t="n">
        <v>5.283</v>
      </c>
      <c r="AG195" s="34" t="n">
        <v>2.867</v>
      </c>
      <c r="AH195" s="34" t="n">
        <v>8.15</v>
      </c>
      <c r="AI195" s="34" t="n">
        <v>0</v>
      </c>
      <c r="AJ195" s="34" t="n">
        <v>0</v>
      </c>
      <c r="AK195" s="34" t="n">
        <v>0</v>
      </c>
      <c r="AL195" s="34" t="n">
        <v>0</v>
      </c>
      <c r="AM195" s="34" t="n">
        <v>0</v>
      </c>
      <c r="AN195" s="34" t="n">
        <v>0</v>
      </c>
      <c r="AO195" s="34" t="n">
        <v>0</v>
      </c>
      <c r="AP195" s="34" t="n">
        <v>0</v>
      </c>
      <c r="AQ195" s="34" t="n">
        <v>0</v>
      </c>
      <c r="AR195" s="34" t="n">
        <v>0</v>
      </c>
      <c r="AS195" s="34" t="n">
        <v>0</v>
      </c>
      <c r="AT195" s="34" t="n">
        <v>0</v>
      </c>
      <c r="AU195" s="34" t="n">
        <v>0</v>
      </c>
      <c r="AV195" s="34" t="n">
        <v>0</v>
      </c>
      <c r="AW195" s="34" t="n">
        <v>0</v>
      </c>
      <c r="AX195" s="34" t="n">
        <v>0</v>
      </c>
      <c r="AY195" s="34" t="n">
        <v>0</v>
      </c>
      <c r="AZ195" s="34" t="n">
        <v>0</v>
      </c>
      <c r="BA195" s="34" t="n">
        <v>0</v>
      </c>
      <c r="BB195" s="34" t="n">
        <v>0</v>
      </c>
      <c r="BC195" s="34" t="n">
        <v>0</v>
      </c>
      <c r="BD195" s="34" t="n">
        <v>0</v>
      </c>
      <c r="BE195" s="34" t="n">
        <v>0</v>
      </c>
      <c r="BF195" s="34" t="n">
        <v>0</v>
      </c>
      <c r="BG195" s="34" t="n">
        <v>0</v>
      </c>
      <c r="BH195" s="34" t="n">
        <v>0</v>
      </c>
      <c r="BI195" s="34" t="n">
        <v>0</v>
      </c>
      <c r="BJ195" s="34" t="n">
        <v>0</v>
      </c>
      <c r="BK195" s="34" t="n">
        <v>0</v>
      </c>
      <c r="BL195" s="34" t="n">
        <v>0</v>
      </c>
      <c r="BM195" s="34" t="n">
        <v>0</v>
      </c>
      <c r="BN195" s="34" t="n">
        <v>0</v>
      </c>
      <c r="BO195" s="34" t="n">
        <v>0</v>
      </c>
      <c r="BP195" s="34" t="n">
        <v>0</v>
      </c>
      <c r="BQ195" s="34" t="n">
        <v>0</v>
      </c>
      <c r="BR195" s="34" t="n">
        <v>0</v>
      </c>
      <c r="BS195" s="34" t="n">
        <v>0</v>
      </c>
      <c r="BT195" s="34" t="n">
        <v>0</v>
      </c>
      <c r="BU195" s="34" t="n">
        <v>0</v>
      </c>
      <c r="BV195" s="34" t="n">
        <v>0</v>
      </c>
      <c r="BW195" s="34" t="n">
        <v>0</v>
      </c>
      <c r="BX195" s="34" t="n">
        <v>0</v>
      </c>
      <c r="BY195" s="261" t="n">
        <v>0</v>
      </c>
      <c r="BZ195" s="261" t="n">
        <v>0</v>
      </c>
      <c r="CA195" s="261" t="n">
        <v>0</v>
      </c>
      <c r="CB195" s="261" t="n">
        <v>0</v>
      </c>
      <c r="CC195" s="261" t="n">
        <v>0</v>
      </c>
      <c r="CD195" s="261" t="n">
        <v>0</v>
      </c>
      <c r="CE195" s="261" t="n">
        <v>0</v>
      </c>
      <c r="CF195" s="19" t="n"/>
    </row>
    <row r="196">
      <c r="B196" s="25" t="inlineStr">
        <is>
          <t xml:space="preserve">  (+) Venezuela-related charges (devaluation, remeasurement, statutory severance; 2010–2015)</t>
        </is>
      </c>
      <c r="C196" s="34" t="n">
        <v>0</v>
      </c>
      <c r="D196" s="34" t="n">
        <v>0</v>
      </c>
      <c r="E196" s="34" t="n">
        <v>0</v>
      </c>
      <c r="F196" s="34" t="n">
        <v>0</v>
      </c>
      <c r="G196" s="34" t="n">
        <v>3.123</v>
      </c>
      <c r="H196" s="34" t="n">
        <v>0</v>
      </c>
      <c r="I196" s="34" t="n">
        <v>1.381</v>
      </c>
      <c r="J196" s="34" t="n">
        <v>9.66</v>
      </c>
      <c r="K196" s="34" t="n">
        <v>2.538</v>
      </c>
      <c r="L196" s="34" t="n">
        <v>0</v>
      </c>
      <c r="M196" s="34" t="n">
        <v>0</v>
      </c>
      <c r="N196" s="34" t="n">
        <v>12.198</v>
      </c>
      <c r="O196" s="34" t="n">
        <v>17.665</v>
      </c>
      <c r="P196" s="34" t="n">
        <v>3.468</v>
      </c>
      <c r="Q196" s="34" t="n">
        <v>0</v>
      </c>
      <c r="R196" s="34" t="n">
        <v>0</v>
      </c>
      <c r="S196" s="34" t="n">
        <v>21.133</v>
      </c>
      <c r="T196" s="34" t="n">
        <v>0</v>
      </c>
      <c r="U196" s="34" t="n">
        <v>0</v>
      </c>
      <c r="V196" s="34" t="n">
        <v>26.506</v>
      </c>
      <c r="W196" s="34" t="n">
        <v>0.708</v>
      </c>
      <c r="X196" s="34" t="n">
        <v>27.214</v>
      </c>
      <c r="Y196" s="34" t="n">
        <v>0</v>
      </c>
      <c r="Z196" s="34" t="n">
        <v>34.348</v>
      </c>
      <c r="AA196" s="34" t="n">
        <v>0</v>
      </c>
      <c r="AB196" s="34" t="n">
        <v>0</v>
      </c>
      <c r="AC196" s="34" t="n">
        <v>34.348</v>
      </c>
      <c r="AD196" s="34" t="n">
        <v>0</v>
      </c>
      <c r="AE196" s="34" t="n">
        <v>0</v>
      </c>
      <c r="AF196" s="34" t="n">
        <v>0</v>
      </c>
      <c r="AG196" s="34" t="n">
        <v>0</v>
      </c>
      <c r="AH196" s="34" t="n">
        <v>0</v>
      </c>
      <c r="AI196" s="34" t="n">
        <v>0</v>
      </c>
      <c r="AJ196" s="34" t="n">
        <v>0</v>
      </c>
      <c r="AK196" s="34" t="n">
        <v>0</v>
      </c>
      <c r="AL196" s="34" t="n">
        <v>0</v>
      </c>
      <c r="AM196" s="34" t="n">
        <v>0</v>
      </c>
      <c r="AN196" s="34" t="n">
        <v>0</v>
      </c>
      <c r="AO196" s="34" t="n">
        <v>0</v>
      </c>
      <c r="AP196" s="34" t="n">
        <v>0</v>
      </c>
      <c r="AQ196" s="34" t="n">
        <v>0</v>
      </c>
      <c r="AR196" s="34" t="n">
        <v>0</v>
      </c>
      <c r="AS196" s="34" t="n">
        <v>0</v>
      </c>
      <c r="AT196" s="34" t="n">
        <v>0</v>
      </c>
      <c r="AU196" s="34" t="n">
        <v>0</v>
      </c>
      <c r="AV196" s="34" t="n">
        <v>0</v>
      </c>
      <c r="AW196" s="34" t="n">
        <v>0</v>
      </c>
      <c r="AX196" s="34" t="n">
        <v>0</v>
      </c>
      <c r="AY196" s="34" t="n">
        <v>0</v>
      </c>
      <c r="AZ196" s="34" t="n">
        <v>0</v>
      </c>
      <c r="BA196" s="34" t="n">
        <v>0</v>
      </c>
      <c r="BB196" s="34" t="n">
        <v>0</v>
      </c>
      <c r="BC196" s="34" t="n">
        <v>0</v>
      </c>
      <c r="BD196" s="34" t="n">
        <v>0</v>
      </c>
      <c r="BE196" s="34" t="n">
        <v>0</v>
      </c>
      <c r="BF196" s="34" t="n">
        <v>0</v>
      </c>
      <c r="BG196" s="34" t="n">
        <v>0</v>
      </c>
      <c r="BH196" s="34" t="n">
        <v>0</v>
      </c>
      <c r="BI196" s="34" t="n">
        <v>0</v>
      </c>
      <c r="BJ196" s="34" t="n">
        <v>0</v>
      </c>
      <c r="BK196" s="34" t="n">
        <v>0</v>
      </c>
      <c r="BL196" s="34" t="n">
        <v>0</v>
      </c>
      <c r="BM196" s="34" t="n">
        <v>0</v>
      </c>
      <c r="BN196" s="34" t="n">
        <v>0</v>
      </c>
      <c r="BO196" s="34" t="n">
        <v>0</v>
      </c>
      <c r="BP196" s="34" t="n">
        <v>0</v>
      </c>
      <c r="BQ196" s="34" t="n">
        <v>0</v>
      </c>
      <c r="BR196" s="34" t="n">
        <v>0</v>
      </c>
      <c r="BS196" s="34" t="n">
        <v>0</v>
      </c>
      <c r="BT196" s="34" t="n">
        <v>0</v>
      </c>
      <c r="BU196" s="34" t="n">
        <v>0</v>
      </c>
      <c r="BV196" s="34" t="n">
        <v>0</v>
      </c>
      <c r="BW196" s="34" t="n">
        <v>0</v>
      </c>
      <c r="BX196" s="34" t="n">
        <v>0</v>
      </c>
      <c r="BY196" s="261" t="n">
        <v>0</v>
      </c>
      <c r="BZ196" s="261" t="n">
        <v>0</v>
      </c>
      <c r="CA196" s="261" t="n">
        <v>0</v>
      </c>
      <c r="CB196" s="261" t="n">
        <v>0</v>
      </c>
      <c r="CC196" s="261" t="n">
        <v>0</v>
      </c>
      <c r="CD196" s="261" t="n">
        <v>0</v>
      </c>
      <c r="CE196" s="261" t="n">
        <v>0</v>
      </c>
      <c r="CF196" s="19" t="n"/>
    </row>
    <row r="197">
      <c r="B197" s="25" t="inlineStr">
        <is>
          <t xml:space="preserve">  (−) Gains on asset disposals / bargain purchase gains, net (2006 Ireland facility gain in SG&amp;A)</t>
        </is>
      </c>
      <c r="C197" s="34" t="n">
        <v>-9.006</v>
      </c>
      <c r="D197" s="34" t="n">
        <v>0</v>
      </c>
      <c r="E197" s="34" t="n">
        <v>0</v>
      </c>
      <c r="F197" s="34" t="n">
        <v>0</v>
      </c>
      <c r="G197" s="34" t="n">
        <v>0</v>
      </c>
      <c r="H197" s="34" t="n">
        <v>0</v>
      </c>
      <c r="I197" s="34" t="n">
        <v>0</v>
      </c>
      <c r="J197" s="34" t="n">
        <v>0</v>
      </c>
      <c r="K197" s="34" t="n">
        <v>0</v>
      </c>
      <c r="L197" s="34" t="n">
        <v>0</v>
      </c>
      <c r="M197" s="34" t="n">
        <v>0.705</v>
      </c>
      <c r="N197" s="34" t="n">
        <v>0.705</v>
      </c>
      <c r="O197" s="34" t="n">
        <v>0</v>
      </c>
      <c r="P197" s="34" t="n">
        <v>0</v>
      </c>
      <c r="Q197" s="34" t="n">
        <v>0</v>
      </c>
      <c r="R197" s="34" t="n">
        <v>0</v>
      </c>
      <c r="S197" s="34" t="n">
        <v>0</v>
      </c>
      <c r="T197" s="34" t="n">
        <v>0</v>
      </c>
      <c r="U197" s="34" t="n">
        <v>0</v>
      </c>
      <c r="V197" s="34" t="n">
        <v>0</v>
      </c>
      <c r="W197" s="34" t="n">
        <v>0</v>
      </c>
      <c r="X197" s="34" t="n">
        <v>0</v>
      </c>
      <c r="Y197" s="34" t="n">
        <v>0</v>
      </c>
      <c r="Z197" s="34" t="n">
        <v>0</v>
      </c>
      <c r="AA197" s="34" t="n">
        <v>0</v>
      </c>
      <c r="AB197" s="34" t="n">
        <v>0</v>
      </c>
      <c r="AC197" s="34" t="n">
        <v>0</v>
      </c>
      <c r="AD197" s="34" t="n">
        <v>0</v>
      </c>
      <c r="AE197" s="34" t="n">
        <v>0</v>
      </c>
      <c r="AF197" s="34" t="n">
        <v>-51.585</v>
      </c>
      <c r="AG197" s="34" t="n">
        <v>1.935</v>
      </c>
      <c r="AH197" s="34" t="n">
        <v>-49.65</v>
      </c>
      <c r="AI197" s="34" t="n">
        <v>0</v>
      </c>
      <c r="AJ197" s="34" t="n">
        <v>0</v>
      </c>
      <c r="AK197" s="34" t="n">
        <v>0</v>
      </c>
      <c r="AL197" s="34" t="n">
        <v>0</v>
      </c>
      <c r="AM197" s="34" t="n">
        <v>0</v>
      </c>
      <c r="AN197" s="34" t="n">
        <v>0</v>
      </c>
      <c r="AO197" s="34" t="n">
        <v>-3.045</v>
      </c>
      <c r="AP197" s="34" t="n">
        <v>0</v>
      </c>
      <c r="AQ197" s="34" t="n">
        <v>0</v>
      </c>
      <c r="AR197" s="34" t="n">
        <v>-3.045</v>
      </c>
      <c r="AS197" s="34" t="n">
        <v>0</v>
      </c>
      <c r="AT197" s="34" t="n">
        <v>0</v>
      </c>
      <c r="AU197" s="34" t="n">
        <v>0</v>
      </c>
      <c r="AV197" s="34" t="n">
        <v>0</v>
      </c>
      <c r="AW197" s="34" t="n">
        <v>0</v>
      </c>
      <c r="AX197" s="34" t="n">
        <v>0</v>
      </c>
      <c r="AY197" s="34" t="n">
        <v>0</v>
      </c>
      <c r="AZ197" s="34" t="n">
        <v>0</v>
      </c>
      <c r="BA197" s="34" t="n">
        <v>0</v>
      </c>
      <c r="BB197" s="34" t="n">
        <v>0</v>
      </c>
      <c r="BC197" s="34" t="n">
        <v>0</v>
      </c>
      <c r="BD197" s="34" t="n">
        <v>0</v>
      </c>
      <c r="BE197" s="34" t="n">
        <v>0</v>
      </c>
      <c r="BF197" s="34" t="n">
        <v>0</v>
      </c>
      <c r="BG197" s="34" t="n">
        <v>0</v>
      </c>
      <c r="BH197" s="34" t="n">
        <v>0</v>
      </c>
      <c r="BI197" s="34" t="n">
        <v>0</v>
      </c>
      <c r="BJ197" s="34" t="n">
        <v>0</v>
      </c>
      <c r="BK197" s="34" t="n">
        <v>0</v>
      </c>
      <c r="BL197" s="34" t="n">
        <v>0</v>
      </c>
      <c r="BM197" s="34" t="n">
        <v>0</v>
      </c>
      <c r="BN197" s="34" t="n">
        <v>0</v>
      </c>
      <c r="BO197" s="34" t="n">
        <v>0</v>
      </c>
      <c r="BP197" s="34" t="n">
        <v>0</v>
      </c>
      <c r="BQ197" s="34" t="n">
        <v>0</v>
      </c>
      <c r="BR197" s="34" t="n">
        <v>0</v>
      </c>
      <c r="BS197" s="34" t="n">
        <v>0</v>
      </c>
      <c r="BT197" s="34" t="n">
        <v>0</v>
      </c>
      <c r="BU197" s="34" t="n">
        <v>0</v>
      </c>
      <c r="BV197" s="34" t="n">
        <v>0</v>
      </c>
      <c r="BW197" s="34" t="n">
        <v>0</v>
      </c>
      <c r="BX197" s="34" t="n">
        <v>0</v>
      </c>
      <c r="BY197" s="261" t="n">
        <v>0</v>
      </c>
      <c r="BZ197" s="261" t="n">
        <v>0</v>
      </c>
      <c r="CA197" s="261" t="n">
        <v>0</v>
      </c>
      <c r="CB197" s="261" t="n">
        <v>0</v>
      </c>
      <c r="CC197" s="261" t="n">
        <v>0</v>
      </c>
      <c r="CD197" s="261" t="n">
        <v>0</v>
      </c>
      <c r="CE197" s="261" t="n">
        <v>0</v>
      </c>
      <c r="CF197" s="19" t="n"/>
    </row>
    <row r="198">
      <c r="B198" s="25" t="inlineStr">
        <is>
          <t xml:space="preserve">  (+/−) Other company items</t>
        </is>
      </c>
      <c r="C198" s="34" t="n">
        <v>0</v>
      </c>
      <c r="D198" s="34" t="n">
        <v>0</v>
      </c>
      <c r="E198" s="34" t="n">
        <v>0</v>
      </c>
      <c r="F198" s="34" t="n">
        <v>0</v>
      </c>
      <c r="G198" s="34" t="n">
        <v>0</v>
      </c>
      <c r="H198" s="34" t="n">
        <v>0</v>
      </c>
      <c r="I198" s="34" t="n">
        <v>0</v>
      </c>
      <c r="J198" s="34" t="n">
        <v>0</v>
      </c>
      <c r="K198" s="34" t="n">
        <v>0</v>
      </c>
      <c r="L198" s="34" t="n">
        <v>0</v>
      </c>
      <c r="M198" s="34" t="n">
        <v>0</v>
      </c>
      <c r="N198" s="34" t="n">
        <v>0</v>
      </c>
      <c r="O198" s="34" t="n">
        <v>0</v>
      </c>
      <c r="P198" s="34" t="n">
        <v>0</v>
      </c>
      <c r="Q198" s="34" t="n">
        <v>0</v>
      </c>
      <c r="R198" s="34" t="n">
        <v>0</v>
      </c>
      <c r="S198" s="34" t="n">
        <v>0</v>
      </c>
      <c r="T198" s="34" t="n">
        <v>0</v>
      </c>
      <c r="U198" s="34" t="n">
        <v>0</v>
      </c>
      <c r="V198" s="34" t="n">
        <v>0</v>
      </c>
      <c r="W198" s="34" t="n">
        <v>0</v>
      </c>
      <c r="X198" s="34" t="n">
        <v>0</v>
      </c>
      <c r="Y198" s="34" t="n">
        <v>0</v>
      </c>
      <c r="Z198" s="34" t="n">
        <v>0</v>
      </c>
      <c r="AA198" s="34" t="n">
        <v>0</v>
      </c>
      <c r="AB198" s="34" t="n">
        <v>0</v>
      </c>
      <c r="AC198" s="34" t="n">
        <v>0</v>
      </c>
      <c r="AD198" s="34" t="n">
        <v>0</v>
      </c>
      <c r="AE198" s="34" t="n">
        <v>0</v>
      </c>
      <c r="AF198" s="34" t="n">
        <v>0</v>
      </c>
      <c r="AG198" s="34" t="n">
        <v>0</v>
      </c>
      <c r="AH198" s="34" t="n">
        <v>0</v>
      </c>
      <c r="AI198" s="34" t="n">
        <v>0</v>
      </c>
      <c r="AJ198" s="34" t="n">
        <v>0</v>
      </c>
      <c r="AK198" s="34" t="n">
        <v>0</v>
      </c>
      <c r="AL198" s="34" t="n">
        <v>0</v>
      </c>
      <c r="AM198" s="34" t="n">
        <v>0</v>
      </c>
      <c r="AN198" s="34" t="n">
        <v>0</v>
      </c>
      <c r="AO198" s="34" t="n">
        <v>0</v>
      </c>
      <c r="AP198" s="34" t="n">
        <v>0</v>
      </c>
      <c r="AQ198" s="34" t="n">
        <v>0</v>
      </c>
      <c r="AR198" s="34" t="n">
        <v>0</v>
      </c>
      <c r="AS198" s="34" t="n">
        <v>0</v>
      </c>
      <c r="AT198" s="34" t="n">
        <v>0</v>
      </c>
      <c r="AU198" s="34" t="n">
        <v>0</v>
      </c>
      <c r="AV198" s="34" t="n">
        <v>0</v>
      </c>
      <c r="AW198" s="34" t="n">
        <v>0</v>
      </c>
      <c r="AX198" s="34" t="n">
        <v>0</v>
      </c>
      <c r="AY198" s="34" t="n">
        <v>0</v>
      </c>
      <c r="AZ198" s="34" t="n">
        <v>0</v>
      </c>
      <c r="BA198" s="34" t="n">
        <v>0</v>
      </c>
      <c r="BB198" s="34" t="n">
        <v>0</v>
      </c>
      <c r="BC198" s="34" t="n">
        <v>0</v>
      </c>
      <c r="BD198" s="34" t="n">
        <v>0</v>
      </c>
      <c r="BE198" s="34" t="n">
        <v>0</v>
      </c>
      <c r="BF198" s="34" t="n">
        <v>0</v>
      </c>
      <c r="BG198" s="34" t="n">
        <v>0</v>
      </c>
      <c r="BH198" s="34" t="n">
        <v>0</v>
      </c>
      <c r="BI198" s="34" t="n">
        <v>0</v>
      </c>
      <c r="BJ198" s="34" t="n">
        <v>0</v>
      </c>
      <c r="BK198" s="34" t="n">
        <v>0</v>
      </c>
      <c r="BL198" s="34" t="n">
        <v>0</v>
      </c>
      <c r="BM198" s="34" t="n">
        <v>0</v>
      </c>
      <c r="BN198" s="34" t="n">
        <v>0</v>
      </c>
      <c r="BO198" s="34" t="n">
        <v>0</v>
      </c>
      <c r="BP198" s="34" t="n">
        <v>0</v>
      </c>
      <c r="BQ198" s="34" t="n">
        <v>0</v>
      </c>
      <c r="BR198" s="34" t="n">
        <v>0</v>
      </c>
      <c r="BS198" s="34" t="n">
        <v>0</v>
      </c>
      <c r="BT198" s="34" t="n">
        <v>0</v>
      </c>
      <c r="BU198" s="34" t="n">
        <v>0</v>
      </c>
      <c r="BV198" s="34" t="n">
        <v>0</v>
      </c>
      <c r="BW198" s="34" t="n">
        <v>0</v>
      </c>
      <c r="BX198" s="34" t="n">
        <v>0</v>
      </c>
      <c r="BY198" s="261" t="n">
        <v>0</v>
      </c>
      <c r="BZ198" s="261" t="n">
        <v>0</v>
      </c>
      <c r="CA198" s="261" t="n">
        <v>0</v>
      </c>
      <c r="CB198" s="261" t="n">
        <v>0</v>
      </c>
      <c r="CC198" s="261" t="n">
        <v>0</v>
      </c>
      <c r="CD198" s="261" t="n">
        <v>0</v>
      </c>
      <c r="CE198" s="261" t="n">
        <v>0</v>
      </c>
      <c r="CF198" s="19" t="n"/>
    </row>
    <row r="199">
      <c r="B199" s="16" t="inlineStr">
        <is>
          <t xml:space="preserve">  Total special items in operating income</t>
        </is>
      </c>
      <c r="C199" s="43">
        <f>N(C192)+N(C193)+N(C194)+N(C195)+N(C196)+N(C197)+N(C198)</f>
        <v>-5.528</v>
      </c>
      <c r="D199" s="43">
        <f>N(D192)+N(D193)+N(D194)+N(D195)+N(D196)+N(D197)+N(D198)</f>
        <v>-0.188</v>
      </c>
      <c r="E199" s="43">
        <f>N(E192)+N(E193)+N(E194)+N(E195)+N(E196)+N(E197)+N(E198)</f>
        <v>19.371</v>
      </c>
      <c r="F199" s="43">
        <f>N(F192)+N(F193)+N(F194)+N(F195)+N(F196)+N(F197)+N(F198)</f>
        <v>28.354</v>
      </c>
      <c r="G199" s="43">
        <f>N(G192)+N(G193)+N(G194)+N(G195)+N(G196)+N(G197)+N(G198)</f>
        <v>2.739</v>
      </c>
      <c r="H199" s="43">
        <f>N(H192)+N(H193)+N(H194)+N(H195)+N(H196)+N(H197)+N(H198)</f>
        <v>0.282</v>
      </c>
      <c r="I199" s="43">
        <f>N(I192)+N(I193)+N(I194)+N(I195)+N(I196)+N(I197)+N(I198)</f>
        <v>10.735</v>
      </c>
      <c r="J199" s="43">
        <f>N(J192)+N(J193)+N(J194)+N(J195)+N(J196)+N(J197)+N(J198)</f>
        <v>10.711</v>
      </c>
      <c r="K199" s="43">
        <f>N(K192)+N(K193)+N(K194)+N(K195)+N(K196)+N(K197)+N(K198)</f>
        <v>3.389</v>
      </c>
      <c r="L199" s="43">
        <f>N(L192)+N(L193)+N(L194)+N(L195)+N(L196)+N(L197)+N(L198)</f>
        <v>6.302</v>
      </c>
      <c r="M199" s="43">
        <f>N(M192)+N(M193)+N(M194)+N(M195)+N(M196)+N(M197)+N(M198)</f>
        <v>0.964</v>
      </c>
      <c r="N199" s="43">
        <f>N(N192)+N(N193)+N(N194)+N(N195)+N(N196)+N(N197)+N(N198)</f>
        <v>21.366</v>
      </c>
      <c r="O199" s="43">
        <f>N(O192)+N(O193)+N(O194)+N(O195)+N(O196)+N(O197)+N(O198)</f>
        <v>17.648</v>
      </c>
      <c r="P199" s="43">
        <f>N(P192)+N(P193)+N(P194)+N(P195)+N(P196)+N(P197)+N(P198)</f>
        <v>4.304</v>
      </c>
      <c r="Q199" s="43">
        <f>N(Q192)+N(Q193)+N(Q194)+N(Q195)+N(Q196)+N(Q197)+N(Q198)</f>
        <v>29.068</v>
      </c>
      <c r="R199" s="43">
        <f>N(R192)+N(R193)+N(R194)+N(R195)+N(R196)+N(R197)+N(R198)</f>
        <v>0.166</v>
      </c>
      <c r="S199" s="43">
        <f>N(S192)+N(S193)+N(S194)+N(S195)+N(S196)+N(S197)+N(S198)</f>
        <v>51.186</v>
      </c>
      <c r="T199" s="43">
        <f>N(T192)+N(T193)+N(T194)+N(T195)+N(T196)+N(T197)+N(T198)</f>
        <v>0</v>
      </c>
      <c r="U199" s="43">
        <f>N(U192)+N(U193)+N(U194)+N(U195)+N(U196)+N(U197)+N(U198)</f>
        <v>1.239</v>
      </c>
      <c r="V199" s="43">
        <f>N(V192)+N(V193)+N(V194)+N(V195)+N(V196)+N(V197)+N(V198)</f>
        <v>181.122</v>
      </c>
      <c r="W199" s="43">
        <f>N(W192)+N(W193)+N(W194)+N(W195)+N(W196)+N(W197)+N(W198)</f>
        <v>7.549</v>
      </c>
      <c r="X199" s="43">
        <f>N(X192)+N(X193)+N(X194)+N(X195)+N(X196)+N(X197)+N(X198)</f>
        <v>189.91</v>
      </c>
      <c r="Y199" s="43">
        <f>N(Y192)+N(Y193)+N(Y194)+N(Y195)+N(Y196)+N(Y197)+N(Y198)</f>
        <v>0</v>
      </c>
      <c r="Z199" s="43">
        <f>N(Z192)+N(Z193)+N(Z194)+N(Z195)+N(Z196)+N(Z197)+N(Z198)</f>
        <v>34.348</v>
      </c>
      <c r="AA199" s="43">
        <f>N(AA192)+N(AA193)+N(AA194)+N(AA195)+N(AA196)+N(AA197)+N(AA198)</f>
        <v>0</v>
      </c>
      <c r="AB199" s="43">
        <f>N(AB192)+N(AB193)+N(AB194)+N(AB195)+N(AB196)+N(AB197)+N(AB198)</f>
        <v>0</v>
      </c>
      <c r="AC199" s="43">
        <f>N(AC192)+N(AC193)+N(AC194)+N(AC195)+N(AC196)+N(AC197)+N(AC198)</f>
        <v>34.348</v>
      </c>
      <c r="AD199" s="43">
        <f>N(AD192)+N(AD193)+N(AD194)+N(AD195)+N(AD196)+N(AD197)+N(AD198)</f>
        <v>3.615</v>
      </c>
      <c r="AE199" s="43">
        <f>N(AE192)+N(AE193)+N(AE194)+N(AE195)+N(AE196)+N(AE197)+N(AE198)</f>
        <v>4.498</v>
      </c>
      <c r="AF199" s="43">
        <f>N(AF192)+N(AF193)+N(AF194)+N(AF195)+N(AF196)+N(AF197)+N(AF198)</f>
        <v>-40.715</v>
      </c>
      <c r="AG199" s="43">
        <f>N(AG192)+N(AG193)+N(AG194)+N(AG195)+N(AG196)+N(AG197)+N(AG198)</f>
        <v>17.272</v>
      </c>
      <c r="AH199" s="43">
        <f>N(AH192)+N(AH193)+N(AH194)+N(AH195)+N(AH196)+N(AH197)+N(AH198)</f>
        <v>-15.33</v>
      </c>
      <c r="AI199" s="43">
        <f>N(AI192)+N(AI193)+N(AI194)+N(AI195)+N(AI196)+N(AI197)+N(AI198)</f>
        <v>12.082</v>
      </c>
      <c r="AJ199" s="43">
        <f>N(AJ192)+N(AJ193)+N(AJ194)+N(AJ195)+N(AJ196)+N(AJ197)+N(AJ198)</f>
        <v>12.33</v>
      </c>
      <c r="AK199" s="43">
        <f>N(AK192)+N(AK193)+N(AK194)+N(AK195)+N(AK196)+N(AK197)+N(AK198)</f>
        <v>3.606</v>
      </c>
      <c r="AL199" s="43">
        <f>N(AL192)+N(AL193)+N(AL194)+N(AL195)+N(AL196)+N(AL197)+N(AL198)</f>
        <v>1.765</v>
      </c>
      <c r="AM199" s="43">
        <f>N(AM192)+N(AM193)+N(AM194)+N(AM195)+N(AM196)+N(AM197)+N(AM198)</f>
        <v>29.783</v>
      </c>
      <c r="AN199" s="43">
        <f>N(AN192)+N(AN193)+N(AN194)+N(AN195)+N(AN196)+N(AN197)+N(AN198)</f>
        <v>4.325</v>
      </c>
      <c r="AO199" s="43">
        <f>N(AO192)+N(AO193)+N(AO194)+N(AO195)+N(AO196)+N(AO197)+N(AO198)</f>
        <v>0.675</v>
      </c>
      <c r="AP199" s="43">
        <f>N(AP192)+N(AP193)+N(AP194)+N(AP195)+N(AP196)+N(AP197)+N(AP198)</f>
        <v>3.104</v>
      </c>
      <c r="AQ199" s="43">
        <f>N(AQ192)+N(AQ193)+N(AQ194)+N(AQ195)+N(AQ196)+N(AQ197)+N(AQ198)</f>
        <v>8.851</v>
      </c>
      <c r="AR199" s="43">
        <f>N(AR192)+N(AR193)+N(AR194)+N(AR195)+N(AR196)+N(AR197)+N(AR198)</f>
        <v>16.955</v>
      </c>
      <c r="AS199" s="43">
        <f>N(AS192)+N(AS193)+N(AS194)+N(AS195)+N(AS196)+N(AS197)+N(AS198)</f>
        <v>7.327</v>
      </c>
      <c r="AT199" s="43">
        <f>N(AT192)+N(AT193)+N(AT194)+N(AT195)+N(AT196)+N(AT197)+N(AT198)</f>
        <v>23.238</v>
      </c>
      <c r="AU199" s="43">
        <f>N(AU192)+N(AU193)+N(AU194)+N(AU195)+N(AU196)+N(AU197)+N(AU198)</f>
        <v>6.257</v>
      </c>
      <c r="AV199" s="43">
        <f>N(AV192)+N(AV193)+N(AV194)+N(AV195)+N(AV196)+N(AV197)+N(AV198)</f>
        <v>9.452</v>
      </c>
      <c r="AW199" s="43">
        <f>N(AW192)+N(AW193)+N(AW194)+N(AW195)+N(AW196)+N(AW197)+N(AW198)</f>
        <v>46.274</v>
      </c>
      <c r="AX199" s="43">
        <f>N(AX192)+N(AX193)+N(AX194)+N(AX195)+N(AX196)+N(AX197)+N(AX198)</f>
        <v>5.276</v>
      </c>
      <c r="AY199" s="43">
        <f>N(AY192)+N(AY193)+N(AY194)+N(AY195)+N(AY196)+N(AY197)+N(AY198)</f>
        <v>3.281</v>
      </c>
      <c r="AZ199" s="43">
        <f>N(AZ192)+N(AZ193)+N(AZ194)+N(AZ195)+N(AZ196)+N(AZ197)+N(AZ198)</f>
        <v>7.174</v>
      </c>
      <c r="BA199" s="43">
        <f>N(BA192)+N(BA193)+N(BA194)+N(BA195)+N(BA196)+N(BA197)+N(BA198)</f>
        <v>1.823</v>
      </c>
      <c r="BB199" s="43">
        <f>N(BB192)+N(BB193)+N(BB194)+N(BB195)+N(BB196)+N(BB197)+N(BB198)</f>
        <v>17.554</v>
      </c>
      <c r="BC199" s="43">
        <f>N(BC192)+N(BC193)+N(BC194)+N(BC195)+N(BC196)+N(BC197)+N(BC198)</f>
        <v>1.885</v>
      </c>
      <c r="BD199" s="43">
        <f>N(BD192)+N(BD193)+N(BD194)+N(BD195)+N(BD196)+N(BD197)+N(BD198)</f>
        <v>0.615</v>
      </c>
      <c r="BE199" s="43">
        <f>N(BE192)+N(BE193)+N(BE194)+N(BE195)+N(BE196)+N(BE197)+N(BE198)</f>
        <v>11.079</v>
      </c>
      <c r="BF199" s="43">
        <f>N(BF192)+N(BF193)+N(BF194)+N(BF195)+N(BF196)+N(BF197)+N(BF198)</f>
        <v>5.318</v>
      </c>
      <c r="BG199" s="43">
        <f>N(BG192)+N(BG193)+N(BG194)+N(BG195)+N(BG196)+N(BG197)+N(BG198)</f>
        <v>18.897</v>
      </c>
      <c r="BH199" s="43">
        <f>N(BH192)+N(BH193)+N(BH194)+N(BH195)+N(BH196)+N(BH197)+N(BH198)</f>
        <v>4.733</v>
      </c>
      <c r="BI199" s="43">
        <f>N(BI192)+N(BI193)+N(BI194)+N(BI195)+N(BI196)+N(BI197)+N(BI198)</f>
        <v>6.212</v>
      </c>
      <c r="BJ199" s="43">
        <f>N(BJ192)+N(BJ193)+N(BJ194)+N(BJ195)+N(BJ196)+N(BJ197)+N(BJ198)</f>
        <v>11.926</v>
      </c>
      <c r="BK199" s="43">
        <f>N(BK192)+N(BK193)+N(BK194)+N(BK195)+N(BK196)+N(BK197)+N(BK198)</f>
        <v>-21.932</v>
      </c>
      <c r="BL199" s="43">
        <f>N(BL192)+N(BL193)+N(BL194)+N(BL195)+N(BL196)+N(BL197)+N(BL198)</f>
        <v>0.938000000000001</v>
      </c>
      <c r="BM199" s="43">
        <f>N(BM192)+N(BM193)+N(BM194)+N(BM195)+N(BM196)+N(BM197)+N(BM198)</f>
        <v>6.367</v>
      </c>
      <c r="BN199" s="43">
        <f>N(BN192)+N(BN193)+N(BN194)+N(BN195)+N(BN196)+N(BN197)+N(BN198)</f>
        <v>28.784</v>
      </c>
      <c r="BO199" s="43">
        <f>N(BO192)+N(BO193)+N(BO194)+N(BO195)+N(BO196)+N(BO197)+N(BO198)</f>
        <v>24.196</v>
      </c>
      <c r="BP199" s="43">
        <f>N(BP192)+N(BP193)+N(BP194)+N(BP195)+N(BP196)+N(BP197)+N(BP198)</f>
        <v>8.581</v>
      </c>
      <c r="BQ199" s="43">
        <f>N(BQ192)+N(BQ193)+N(BQ194)+N(BQ195)+N(BQ196)+N(BQ197)+N(BQ198)</f>
        <v>67.928</v>
      </c>
      <c r="BR199" s="43">
        <f>N(BR192)+N(BR193)+N(BR194)+N(BR195)+N(BR196)+N(BR197)+N(BR198)</f>
        <v>4.527</v>
      </c>
      <c r="BS199" s="43">
        <f>N(BS192)+N(BS193)+N(BS194)+N(BS195)+N(BS196)+N(BS197)+N(BS198)</f>
        <v>2.971</v>
      </c>
      <c r="BT199" s="43">
        <f>N(BT192)+N(BT193)+N(BT194)+N(BT195)+N(BT196)+N(BT197)+N(BT198)</f>
        <v>7.905</v>
      </c>
      <c r="BU199" s="43">
        <f>N(BU192)+N(BU193)+N(BU194)+N(BU195)+N(BU196)+N(BU197)+N(BU198)</f>
        <v>9.499</v>
      </c>
      <c r="BV199" s="43">
        <f>N(BV192)+N(BV193)+N(BV194)+N(BV195)+N(BV196)+N(BV197)+N(BV198)</f>
        <v>24.902</v>
      </c>
      <c r="BW199" s="43">
        <f>N(BW192)+N(BW193)+N(BW194)+N(BW195)+N(BW196)+N(BW197)+N(BW198)</f>
        <v>2.816</v>
      </c>
      <c r="BX199" s="43">
        <f>N(BX192)+N(BX193)+N(BX194)+N(BX195)+N(BX196)+N(BX197)+N(BX198)</f>
        <v>3.496</v>
      </c>
      <c r="BY199" s="253">
        <f>N(BY192)+N(BY193)+N(BY194)+N(BY195)+N(BY196)+N(BY197)+N(BY198)</f>
        <v>3.156</v>
      </c>
      <c r="BZ199" s="253">
        <f>N(BZ192)+N(BZ193)+N(BZ194)+N(BZ195)+N(BZ196)+N(BZ197)+N(BZ198)</f>
        <v>3.156</v>
      </c>
      <c r="CA199" s="253">
        <f>N(CA192)+N(CA193)+N(CA194)+N(CA195)+N(CA196)+N(CA197)+N(CA198)</f>
        <v>12.624</v>
      </c>
      <c r="CB199" s="253">
        <f>N(CB192)+N(CB193)+N(CB194)+N(CB195)+N(CB196)+N(CB197)+N(CB198)</f>
        <v>17</v>
      </c>
      <c r="CC199" s="253">
        <f>N(CC192)+N(CC193)+N(CC194)+N(CC195)+N(CC196)+N(CC197)+N(CC198)</f>
        <v>17.5</v>
      </c>
      <c r="CD199" s="253">
        <f>N(CD192)+N(CD193)+N(CD194)+N(CD195)+N(CD196)+N(CD197)+N(CD198)</f>
        <v>17.5</v>
      </c>
      <c r="CE199" s="253">
        <f>N(CE192)+N(CE193)+N(CE194)+N(CE195)+N(CE196)+N(CE197)+N(CE198)</f>
        <v>17.5</v>
      </c>
      <c r="CF199" s="19" t="n"/>
    </row>
    <row r="200">
      <c r="B200" s="55" t="inlineStr">
        <is>
          <t xml:space="preserve">  = Adjusted operating income (model bridge)</t>
        </is>
      </c>
      <c r="C200" s="56">
        <f>C191+C199</f>
        <v>227.442</v>
      </c>
      <c r="D200" s="56">
        <f>D191+D199</f>
        <v>277.444</v>
      </c>
      <c r="E200" s="56">
        <f>E191+E199</f>
        <v>314.775</v>
      </c>
      <c r="F200" s="56">
        <f>F191+F199</f>
        <v>121.33</v>
      </c>
      <c r="G200" s="56">
        <f>G191+G199</f>
        <v>189.169</v>
      </c>
      <c r="H200" s="56">
        <f>H191+H199</f>
        <v>296.962</v>
      </c>
      <c r="I200" s="56">
        <f>I191+I199</f>
        <v>372.816</v>
      </c>
      <c r="J200" s="56">
        <f>J191+J199</f>
        <v>99.341</v>
      </c>
      <c r="K200" s="56">
        <f>K191+K199</f>
        <v>107.661</v>
      </c>
      <c r="L200" s="56">
        <f>L191+L199</f>
        <v>101.48</v>
      </c>
      <c r="M200" s="56">
        <f>M191+M199</f>
        <v>119.869</v>
      </c>
      <c r="N200" s="56">
        <f>N191+N199</f>
        <v>428.351</v>
      </c>
      <c r="O200" s="56">
        <f>O191+O199</f>
        <v>98.086</v>
      </c>
      <c r="P200" s="56">
        <f>P191+P199</f>
        <v>116.579</v>
      </c>
      <c r="Q200" s="56">
        <f>Q191+Q199</f>
        <v>105.185</v>
      </c>
      <c r="R200" s="56">
        <f>R191+R199</f>
        <v>105.083</v>
      </c>
      <c r="S200" s="56">
        <f>S191+S199</f>
        <v>424.933</v>
      </c>
      <c r="T200" s="56">
        <f>T191+T199</f>
        <v>90.499</v>
      </c>
      <c r="U200" s="56">
        <f>U191+U199</f>
        <v>98.026</v>
      </c>
      <c r="V200" s="56">
        <f>V191+V199</f>
        <v>97.1010000000001</v>
      </c>
      <c r="W200" s="56">
        <f>W191+W199</f>
        <v>85.984</v>
      </c>
      <c r="X200" s="56">
        <f>X191+X199</f>
        <v>371.61</v>
      </c>
      <c r="Y200" s="56">
        <f>Y191+Y199</f>
        <v>75.292</v>
      </c>
      <c r="Z200" s="56">
        <f>Z191+Z199</f>
        <v>82.43</v>
      </c>
      <c r="AA200" s="56">
        <f>AA191+AA199</f>
        <v>81.829</v>
      </c>
      <c r="AB200" s="56">
        <f>AB191+AB199</f>
        <v>83.071</v>
      </c>
      <c r="AC200" s="56">
        <f>AC191+AC199</f>
        <v>322.622</v>
      </c>
      <c r="AD200" s="56">
        <f>AD191+AD199</f>
        <v>85.101</v>
      </c>
      <c r="AE200" s="56">
        <f>AE191+AE199</f>
        <v>92.1399999999999</v>
      </c>
      <c r="AF200" s="56">
        <f>AF191+AF199</f>
        <v>92.355</v>
      </c>
      <c r="AG200" s="56">
        <f>AG191+AG199</f>
        <v>92.7849999999999</v>
      </c>
      <c r="AH200" s="56">
        <f>AH191+AH199</f>
        <v>362.381</v>
      </c>
      <c r="AI200" s="56">
        <f>AI191+AI199</f>
        <v>97.27</v>
      </c>
      <c r="AJ200" s="56">
        <f>AJ191+AJ199</f>
        <v>106.964</v>
      </c>
      <c r="AK200" s="56">
        <f>AK191+AK199</f>
        <v>104.393</v>
      </c>
      <c r="AL200" s="56">
        <f>AL191+AL199</f>
        <v>96.695</v>
      </c>
      <c r="AM200" s="56">
        <f>AM191+AM199</f>
        <v>405.322</v>
      </c>
      <c r="AN200" s="56">
        <f>AN191+AN199</f>
        <v>98.803</v>
      </c>
      <c r="AO200" s="56">
        <f>AO191+AO199</f>
        <v>105.861</v>
      </c>
      <c r="AP200" s="56">
        <f>AP191+AP199</f>
        <v>91.648</v>
      </c>
      <c r="AQ200" s="56">
        <f>AQ191+AQ199</f>
        <v>91.553</v>
      </c>
      <c r="AR200" s="56">
        <f>AR191+AR199</f>
        <v>387.865</v>
      </c>
      <c r="AS200" s="56">
        <f>AS191+AS199</f>
        <v>88.401</v>
      </c>
      <c r="AT200" s="56">
        <f>AT191+AT199</f>
        <v>63.002</v>
      </c>
      <c r="AU200" s="56">
        <f>AU191+AU199</f>
        <v>84.0500000000001</v>
      </c>
      <c r="AV200" s="56">
        <f>AV191+AV199</f>
        <v>92.892</v>
      </c>
      <c r="AW200" s="56">
        <f>AW191+AW199</f>
        <v>328.345</v>
      </c>
      <c r="AX200" s="56">
        <f>AX191+AX199</f>
        <v>109.204</v>
      </c>
      <c r="AY200" s="56">
        <f>AY191+AY199</f>
        <v>125.103</v>
      </c>
      <c r="AZ200" s="56">
        <f>AZ191+AZ199</f>
        <v>122.744</v>
      </c>
      <c r="BA200" s="56">
        <f>BA191+BA199</f>
        <v>122.172</v>
      </c>
      <c r="BB200" s="56">
        <f>BB191+BB199</f>
        <v>479.223</v>
      </c>
      <c r="BC200" s="56">
        <f>BC191+BC199</f>
        <v>163.091</v>
      </c>
      <c r="BD200" s="56">
        <f>BD191+BD199</f>
        <v>168.148</v>
      </c>
      <c r="BE200" s="56">
        <f>BE191+BE199</f>
        <v>153.188</v>
      </c>
      <c r="BF200" s="56">
        <f>BF191+BF199</f>
        <v>146.806</v>
      </c>
      <c r="BG200" s="56">
        <f>BG191+BG199</f>
        <v>631.233</v>
      </c>
      <c r="BH200" s="56">
        <f>BH191+BH199</f>
        <v>169.097</v>
      </c>
      <c r="BI200" s="56">
        <f>BI191+BI199</f>
        <v>184.225</v>
      </c>
      <c r="BJ200" s="56">
        <f>BJ191+BJ199</f>
        <v>183.367</v>
      </c>
      <c r="BK200" s="56">
        <f>BK191+BK199</f>
        <v>182.099</v>
      </c>
      <c r="BL200" s="56">
        <f>BL191+BL199</f>
        <v>718.787000000001</v>
      </c>
      <c r="BM200" s="56">
        <f>BM191+BM199</f>
        <v>171.414</v>
      </c>
      <c r="BN200" s="56">
        <f>BN191+BN199</f>
        <v>177.622</v>
      </c>
      <c r="BO200" s="56">
        <f>BO191+BO199</f>
        <v>169.756</v>
      </c>
      <c r="BP200" s="56">
        <f>BP191+BP199</f>
        <v>185.598</v>
      </c>
      <c r="BQ200" s="56">
        <f>BQ191+BQ199</f>
        <v>704.39</v>
      </c>
      <c r="BR200" s="56">
        <f>BR191+BR199</f>
        <v>169.445</v>
      </c>
      <c r="BS200" s="56">
        <f>BS191+BS199</f>
        <v>195.115</v>
      </c>
      <c r="BT200" s="56">
        <f>BT191+BT199</f>
        <v>184.562</v>
      </c>
      <c r="BU200" s="56">
        <f>BU191+BU199</f>
        <v>193.839</v>
      </c>
      <c r="BV200" s="56">
        <f>BV191+BV199</f>
        <v>742.961</v>
      </c>
      <c r="BW200" s="56">
        <f>BW191+BW199</f>
        <v>188.974</v>
      </c>
      <c r="BX200" s="56">
        <f>BX191+BX199</f>
        <v>224.14</v>
      </c>
      <c r="BY200" s="56">
        <f>BY191+BY199</f>
        <v>214.81654919654</v>
      </c>
      <c r="BZ200" s="56">
        <f>BZ191+BZ199</f>
        <v>223.27428705346</v>
      </c>
      <c r="CA200" s="56">
        <f>CA191+CA199</f>
        <v>851.20483625</v>
      </c>
      <c r="CB200" s="56">
        <f>CB191+CB199</f>
        <v>935.659026734974</v>
      </c>
      <c r="CC200" s="56">
        <f>CC191+CC199</f>
        <v>1032.9539418654</v>
      </c>
      <c r="CD200" s="56">
        <f>CD191+CD199</f>
        <v>1131.21475127148</v>
      </c>
      <c r="CE200" s="56">
        <f>CE191+CE199</f>
        <v>1234.13200044084</v>
      </c>
      <c r="CF200" s="19" t="inlineStr">
        <is>
          <t>Historical bridge rebuilt from the company reconciliation in each period; forecast = operating income + rationalization + transaction costs.</t>
        </is>
      </c>
      <c r="CH200" s="20">
        <f>IFERROR((CE200/BV200)^(1/5)-1,"n/m")</f>
        <v>0.1068254058275</v>
      </c>
      <c r="CI200" s="20">
        <f>IFERROR((BV200/AW200)^(1/5)-1,"n/m")</f>
        <v>0.177408378527502</v>
      </c>
      <c r="CJ200" s="20">
        <f>IFERROR((BV200/X200)^(1/10)-1,"n/m")</f>
        <v>0.0717361071277589</v>
      </c>
      <c r="CK200" s="20">
        <f>IFERROR((BV200/C200)^(1/19)-1,"n/m")</f>
        <v>0.0642842864194111</v>
      </c>
    </row>
    <row r="201">
      <c r="B201" s="25" t="inlineStr">
        <is>
          <t xml:space="preserve">  Adjusted operating income margin %</t>
        </is>
      </c>
      <c r="C201" s="36">
        <f>IF(AND(ISNUMBER(C200),ISNUMBER(C154)),IFERROR(C200/C154,""),"")</f>
        <v>0.115340671377823</v>
      </c>
      <c r="D201" s="36">
        <f>IF(AND(ISNUMBER(D200),ISNUMBER(D154)),IFERROR(D200/D154,""),"")</f>
        <v>0.12164413640222</v>
      </c>
      <c r="E201" s="36">
        <f>IF(AND(ISNUMBER(E200),ISNUMBER(E154)),IFERROR(E200/E154,""),"")</f>
        <v>0.126969893886204</v>
      </c>
      <c r="F201" s="36">
        <f>IF(AND(ISNUMBER(F200),ISNUMBER(F154)),IFERROR(F200/F154,""),"")</f>
        <v>0.0701619455439676</v>
      </c>
      <c r="G201" s="36">
        <f>IF(AND(ISNUMBER(G200),ISNUMBER(G154)),IFERROR(G200/G154,""),"")</f>
        <v>0.0913783975437789</v>
      </c>
      <c r="H201" s="36">
        <f>IF(AND(ISNUMBER(H200),ISNUMBER(H154)),IFERROR(H200/H154,""),"")</f>
        <v>0.110205970513718</v>
      </c>
      <c r="I201" s="36">
        <f>IF(AND(ISNUMBER(I200),ISNUMBER(I154)),IFERROR(I200/I154,""),"")</f>
        <v>0.13065827143862</v>
      </c>
      <c r="J201" s="36">
        <f>IF(AND(ISNUMBER(J200),ISNUMBER(J154)),IFERROR(J200/J154,""),"")</f>
        <v>0.138247610194093</v>
      </c>
      <c r="K201" s="36">
        <f>IF(AND(ISNUMBER(K200),ISNUMBER(K154)),IFERROR(K200/K154,""),"")</f>
        <v>0.148001462679673</v>
      </c>
      <c r="L201" s="36">
        <f>IF(AND(ISNUMBER(L200),ISNUMBER(L154)),IFERROR(L200/L154,""),"")</f>
        <v>0.146673893405601</v>
      </c>
      <c r="M201" s="36">
        <f>IF(AND(ISNUMBER(M200),ISNUMBER(M154)),IFERROR(M200/M154,""),"")</f>
        <v>0.1676979704557</v>
      </c>
      <c r="N201" s="36">
        <f>IF(AND(ISNUMBER(N200),ISNUMBER(N154)),IFERROR(N200/N154,""),"")</f>
        <v>0.150157869589588</v>
      </c>
      <c r="O201" s="36">
        <f>IF(AND(ISNUMBER(O200),ISNUMBER(O154)),IFERROR(O200/O154,""),"")</f>
        <v>0.143178281673776</v>
      </c>
      <c r="P201" s="36">
        <f>IF(AND(ISNUMBER(P200),ISNUMBER(P154)),IFERROR(P200/P154,""),"")</f>
        <v>0.160019271657623</v>
      </c>
      <c r="Q201" s="36">
        <f>IF(AND(ISNUMBER(Q200),ISNUMBER(Q154)),IFERROR(Q200/Q154,""),"")</f>
        <v>0.146952193211014</v>
      </c>
      <c r="R201" s="36">
        <f>IF(AND(ISNUMBER(R200),ISNUMBER(R154)),IFERROR(R200/R154,""),"")</f>
        <v>0.153640449503914</v>
      </c>
      <c r="S201" s="36">
        <f>IF(AND(ISNUMBER(S200),ISNUMBER(S154)),IFERROR(S200/S154,""),"")</f>
        <v>0.151043036635667</v>
      </c>
      <c r="T201" s="36">
        <f>IF(AND(ISNUMBER(T200),ISNUMBER(T154)),IFERROR(T200/T154,""),"")</f>
        <v>0.137557379540964</v>
      </c>
      <c r="U201" s="36">
        <f>IF(AND(ISNUMBER(U200),ISNUMBER(U154)),IFERROR(U200/U154,""),"")</f>
        <v>0.147465174353883</v>
      </c>
      <c r="V201" s="36">
        <f>IF(AND(ISNUMBER(V200),ISNUMBER(V154)),IFERROR(V200/V154,""),"")</f>
        <v>0.150505451310206</v>
      </c>
      <c r="W201" s="36">
        <f>IF(AND(ISNUMBER(W200),ISNUMBER(W154)),IFERROR(W200/W154,""),"")</f>
        <v>0.151384279514424</v>
      </c>
      <c r="X201" s="36">
        <f>IF(AND(ISNUMBER(X200),ISNUMBER(X154)),IFERROR(X200/X154,""),"")</f>
        <v>0.146545989003037</v>
      </c>
      <c r="Y201" s="36">
        <f>IF(AND(ISNUMBER(Y200),ISNUMBER(Y154)),IFERROR(Y200/Y154,""),"")</f>
        <v>0.13671507584589</v>
      </c>
      <c r="Z201" s="36">
        <f>IF(AND(ISNUMBER(Z200),ISNUMBER(Z154)),IFERROR(Z200/Z154,""),"")</f>
        <v>0.139141619599675</v>
      </c>
      <c r="AA201" s="36">
        <f>IF(AND(ISNUMBER(AA200),ISNUMBER(AA154)),IFERROR(AA200/AA154,""),"")</f>
        <v>0.144154983916032</v>
      </c>
      <c r="AB201" s="36">
        <f>IF(AND(ISNUMBER(AB200),ISNUMBER(AB154)),IFERROR(AB200/AB154,""),"")</f>
        <v>0.1473339387189</v>
      </c>
      <c r="AC201" s="36">
        <f>IF(AND(ISNUMBER(AC200),ISNUMBER(AC154)),IFERROR(AC200/AC154,""),"")</f>
        <v>0.141835933481461</v>
      </c>
      <c r="AD201" s="36">
        <f>IF(AND(ISNUMBER(AD200),ISNUMBER(AD154)),IFERROR(AD200/AD154,""),"")</f>
        <v>0.146499293334274</v>
      </c>
      <c r="AE201" s="36">
        <f>IF(AND(ISNUMBER(AE200),ISNUMBER(AE154)),IFERROR(AE200/AE154,""),"")</f>
        <v>0.146987036936595</v>
      </c>
      <c r="AF201" s="36">
        <f>IF(AND(ISNUMBER(AF200),ISNUMBER(AF154)),IFERROR(AF200/AF154,""),"")</f>
        <v>0.137948082946597</v>
      </c>
      <c r="AG201" s="36">
        <f>IF(AND(ISNUMBER(AG200),ISNUMBER(AG154)),IFERROR(AG200/AG154,""),"")</f>
        <v>0.124179420090071</v>
      </c>
      <c r="AH201" s="36">
        <f>IF(AND(ISNUMBER(AH200),ISNUMBER(AH154)),IFERROR(AH200/AH154,""),"")</f>
        <v>0.138079835209994</v>
      </c>
      <c r="AI201" s="36">
        <f>IF(AND(ISNUMBER(AI200),ISNUMBER(AI154)),IFERROR(AI200/AI154,""),"")</f>
        <v>0.128376024157446</v>
      </c>
      <c r="AJ201" s="36">
        <f>IF(AND(ISNUMBER(AJ200),ISNUMBER(AJ154)),IFERROR(AJ200/AJ154,""),"")</f>
        <v>0.135388556702597</v>
      </c>
      <c r="AK201" s="36">
        <f>IF(AND(ISNUMBER(AK200),ISNUMBER(AK154)),IFERROR(AK200/AK154,""),"")</f>
        <v>0.141626837100579</v>
      </c>
      <c r="AL201" s="36">
        <f>IF(AND(ISNUMBER(AL200),ISNUMBER(AL154)),IFERROR(AL200/AL154,""),"")</f>
        <v>0.129996625559438</v>
      </c>
      <c r="AM201" s="36">
        <f>IF(AND(ISNUMBER(AM200),ISNUMBER(AM154)),IFERROR(AM200/AM154,""),"")</f>
        <v>0.133828203365565</v>
      </c>
      <c r="AN201" s="36">
        <f>IF(AND(ISNUMBER(AN200),ISNUMBER(AN154)),IFERROR(AN200/AN154,""),"")</f>
        <v>0.130145394863365</v>
      </c>
      <c r="AO201" s="36">
        <f>IF(AND(ISNUMBER(AO200),ISNUMBER(AO154)),IFERROR(AO200/AO154,""),"")</f>
        <v>0.136241840495851</v>
      </c>
      <c r="AP201" s="36">
        <f>IF(AND(ISNUMBER(AP200),ISNUMBER(AP154)),IFERROR(AP200/AP154,""),"")</f>
        <v>0.125410689630164</v>
      </c>
      <c r="AQ201" s="36">
        <f>IF(AND(ISNUMBER(AQ200),ISNUMBER(AQ154)),IFERROR(AQ200/AQ154,""),"")</f>
        <v>0.124340798063851</v>
      </c>
      <c r="AR201" s="36">
        <f>IF(AND(ISNUMBER(AR200),ISNUMBER(AR154)),IFERROR(AR200/AR154,""),"")</f>
        <v>0.129147476485646</v>
      </c>
      <c r="AS201" s="36">
        <f>IF(AND(ISNUMBER(AS200),ISNUMBER(AS154)),IFERROR(AS200/AS154,""),"")</f>
        <v>0.125928964901259</v>
      </c>
      <c r="AT201" s="36">
        <f>IF(AND(ISNUMBER(AT200),ISNUMBER(AT154)),IFERROR(AT200/AT154,""),"")</f>
        <v>0.10665163434209</v>
      </c>
      <c r="AU201" s="36">
        <f>IF(AND(ISNUMBER(AU200),ISNUMBER(AU154)),IFERROR(AU200/AU154,""),"")</f>
        <v>0.125656313164536</v>
      </c>
      <c r="AV201" s="36">
        <f>IF(AND(ISNUMBER(AV200),ISNUMBER(AV154)),IFERROR(AV200/AV154,""),"")</f>
        <v>0.133889886623407</v>
      </c>
      <c r="AW201" s="36">
        <f>IF(AND(ISNUMBER(AW200),ISNUMBER(AW154)),IFERROR(AW200/AW154,""),"")</f>
        <v>0.123651803871357</v>
      </c>
      <c r="AX201" s="36">
        <f>IF(AND(ISNUMBER(AX200),ISNUMBER(AX154)),IFERROR(AX200/AX154,""),"")</f>
        <v>0.144254914989148</v>
      </c>
      <c r="AY201" s="36">
        <f>IF(AND(ISNUMBER(AY200),ISNUMBER(AY154)),IFERROR(AY200/AY154,""),"")</f>
        <v>0.151373216174161</v>
      </c>
      <c r="AZ201" s="36">
        <f>IF(AND(ISNUMBER(AZ200),ISNUMBER(AZ154)),IFERROR(AZ200/AZ154,""),"")</f>
        <v>0.152202109481756</v>
      </c>
      <c r="BA201" s="36">
        <f>IF(AND(ISNUMBER(BA200),ISNUMBER(BA154)),IFERROR(BA200/BA154,""),"")</f>
        <v>0.144710518554316</v>
      </c>
      <c r="BB201" s="36">
        <f>IF(AND(ISNUMBER(BB200),ISNUMBER(BB154)),IFERROR(BB200/BB154,""),"")</f>
        <v>0.14817449863644</v>
      </c>
      <c r="BC201" s="36">
        <f>IF(AND(ISNUMBER(BC200),ISNUMBER(BC154)),IFERROR(BC200/BC154,""),"")</f>
        <v>0.176229242485801</v>
      </c>
      <c r="BD201" s="36">
        <f>IF(AND(ISNUMBER(BD200),ISNUMBER(BD154)),IFERROR(BD200/BD154,""),"")</f>
        <v>0.173421934448514</v>
      </c>
      <c r="BE201" s="36">
        <f>IF(AND(ISNUMBER(BE200),ISNUMBER(BE154)),IFERROR(BE200/BE154,""),"")</f>
        <v>0.163795389418759</v>
      </c>
      <c r="BF201" s="36">
        <f>IF(AND(ISNUMBER(BF200),ISNUMBER(BF154)),IFERROR(BF200/BF154,""),"")</f>
        <v>0.157697538171342</v>
      </c>
      <c r="BG201" s="36">
        <f>IF(AND(ISNUMBER(BG200),ISNUMBER(BG154)),IFERROR(BG200/BG154,""),"")</f>
        <v>0.167827064208841</v>
      </c>
      <c r="BH201" s="36">
        <f>IF(AND(ISNUMBER(BH200),ISNUMBER(BH154)),IFERROR(BH200/BH154,""),"")</f>
        <v>0.162696049331164</v>
      </c>
      <c r="BI201" s="36">
        <f>IF(AND(ISNUMBER(BI200),ISNUMBER(BI154)),IFERROR(BI200/BI154,""),"")</f>
        <v>0.173704581991674</v>
      </c>
      <c r="BJ201" s="36">
        <f>IF(AND(ISNUMBER(BJ200),ISNUMBER(BJ154)),IFERROR(BJ200/BJ154,""),"")</f>
        <v>0.177472430687157</v>
      </c>
      <c r="BK201" s="36">
        <f>IF(AND(ISNUMBER(BK200),ISNUMBER(BK154)),IFERROR(BK200/BK154,""),"")</f>
        <v>0.17203267977561</v>
      </c>
      <c r="BL201" s="36">
        <f>IF(AND(ISNUMBER(BL200),ISNUMBER(BL154)),IFERROR(BL200/BL154,""),"")</f>
        <v>0.171481254574586</v>
      </c>
      <c r="BM201" s="36">
        <f>IF(AND(ISNUMBER(BM200),ISNUMBER(BM154)),IFERROR(BM200/BM154,""),"")</f>
        <v>0.174698862715642</v>
      </c>
      <c r="BN201" s="36">
        <f>IF(AND(ISNUMBER(BN200),ISNUMBER(BN154)),IFERROR(BN200/BN154,""),"")</f>
        <v>0.17385235929344</v>
      </c>
      <c r="BO201" s="36">
        <f>IF(AND(ISNUMBER(BO200),ISNUMBER(BO154)),IFERROR(BO200/BO154,""),"")</f>
        <v>0.172558522971581</v>
      </c>
      <c r="BP201" s="36">
        <f>IF(AND(ISNUMBER(BP200),ISNUMBER(BP154)),IFERROR(BP200/BP154,""),"")</f>
        <v>0.181597231395134</v>
      </c>
      <c r="BQ201" s="36">
        <f>IF(AND(ISNUMBER(BQ200),ISNUMBER(BQ154)),IFERROR(BQ200/BQ154,""),"")</f>
        <v>0.175716634195382</v>
      </c>
      <c r="BR201" s="36">
        <f>IF(AND(ISNUMBER(BR200),ISNUMBER(BR154)),IFERROR(BR200/BR154,""),"")</f>
        <v>0.168704723672525</v>
      </c>
      <c r="BS201" s="36">
        <f>IF(AND(ISNUMBER(BS200),ISNUMBER(BS154)),IFERROR(BS200/BS154,""),"")</f>
        <v>0.179222778557014</v>
      </c>
      <c r="BT201" s="36">
        <f>IF(AND(ISNUMBER(BT200),ISNUMBER(BT154)),IFERROR(BT200/BT154,""),"")</f>
        <v>0.173913780934711</v>
      </c>
      <c r="BU201" s="36">
        <f>IF(AND(ISNUMBER(BU200),ISNUMBER(BU154)),IFERROR(BU200/BU154,""),"")</f>
        <v>0.179694358565515</v>
      </c>
      <c r="BV201" s="36">
        <f>IF(AND(ISNUMBER(BV200),ISNUMBER(BV154)),IFERROR(BV200/BV154,""),"")</f>
        <v>0.175516294224219</v>
      </c>
      <c r="BW201" s="36">
        <f>IF(AND(ISNUMBER(BW200),ISNUMBER(BW154)),IFERROR(BW200/BW154,""),"")</f>
        <v>0.168511031411568</v>
      </c>
      <c r="BX201" s="36">
        <f>IF(AND(ISNUMBER(BX200),ISNUMBER(BX154)),IFERROR(BX200/BX154,""),"")</f>
        <v>0.183772074745237</v>
      </c>
      <c r="BY201" s="254">
        <f>IFERROR(BY200/BY154,"")</f>
        <v>0.181132780843135</v>
      </c>
      <c r="BZ201" s="254">
        <f>IFERROR(BZ200/BZ154,"")</f>
        <v>0.187194495274847</v>
      </c>
      <c r="CA201" s="254">
        <f>IFERROR(CA200/CA154,"")</f>
        <v>0.180347712768648</v>
      </c>
      <c r="CB201" s="254">
        <f>IFERROR(CB200/CB154,"")</f>
        <v>0.186039792105288</v>
      </c>
      <c r="CC201" s="254">
        <f>IFERROR(CC200/CC154,"")</f>
        <v>0.191109598915239</v>
      </c>
      <c r="CD201" s="254">
        <f>IFERROR(CD200/CD154,"")</f>
        <v>0.195199661251016</v>
      </c>
      <c r="CE201" s="254">
        <f>IFERROR(CE200/CE154,"")</f>
        <v>0.198947940886405</v>
      </c>
      <c r="CF201" s="19" t="n"/>
      <c r="CH201" s="20">
        <f>IFERROR(AVERAGE(CA201,CB201,CC201,CD201,CE201),"n/m")</f>
        <v>0.190328941185319</v>
      </c>
      <c r="CI201" s="20">
        <f>IFERROR(AVERAGE(AW201,BB201,BG201,BL201,BQ201,BV201),"n/m")</f>
        <v>0.160394591618471</v>
      </c>
      <c r="CJ201" s="20">
        <f>IFERROR(AVERAGE(X201,AC201,AH201,AM201,AR201,AW201,BB201,BG201,BL201,BQ201,BV201),"n/m")</f>
        <v>0.150164089750593</v>
      </c>
      <c r="CK201" s="20">
        <f>IFERROR(AVERAGE(C201,D201,E201,F201,G201,H201,I201,N201,S201,X201,AC201,AH201,AM201,AR201,AW201,BB201,BG201,BL201,BQ201,BV201),"n/m")</f>
        <v>0.135968259009406</v>
      </c>
    </row>
    <row r="202">
      <c r="B202" s="156" t="inlineStr">
        <is>
          <t xml:space="preserve">  Company-published adjusted operating income</t>
        </is>
      </c>
      <c r="C202" s="34" t="n"/>
      <c r="D202" s="34" t="n"/>
      <c r="E202" s="34" t="n"/>
      <c r="F202" s="34" t="n">
        <v>121.33</v>
      </c>
      <c r="G202" s="34" t="n">
        <v>189.169</v>
      </c>
      <c r="H202" s="34" t="n">
        <v>296.962</v>
      </c>
      <c r="I202" s="34" t="n">
        <v>372.816</v>
      </c>
      <c r="J202" s="34" t="n">
        <v>99.34099999999999</v>
      </c>
      <c r="K202" s="34" t="n">
        <v>107.661</v>
      </c>
      <c r="L202" s="34" t="n">
        <v>101.48</v>
      </c>
      <c r="M202" s="34" t="n">
        <v>119.869</v>
      </c>
      <c r="N202" s="34" t="n">
        <v>428.351</v>
      </c>
      <c r="O202" s="34" t="n">
        <v>98.086</v>
      </c>
      <c r="P202" s="34" t="n">
        <v>116.579</v>
      </c>
      <c r="Q202" s="34" t="n">
        <v>105.185</v>
      </c>
      <c r="R202" s="34" t="n">
        <v>105.083</v>
      </c>
      <c r="S202" s="34" t="n">
        <v>424.933</v>
      </c>
      <c r="T202" s="34" t="n">
        <v>90.499</v>
      </c>
      <c r="U202" s="34" t="n">
        <v>98.026</v>
      </c>
      <c r="V202" s="34" t="n">
        <v>97.101</v>
      </c>
      <c r="W202" s="34" t="n">
        <v>85.98399999999999</v>
      </c>
      <c r="X202" s="34" t="n">
        <v>371.61</v>
      </c>
      <c r="Y202" s="34" t="n">
        <v>75.292</v>
      </c>
      <c r="Z202" s="34" t="n">
        <v>82.43000000000001</v>
      </c>
      <c r="AA202" s="34" t="n">
        <v>81.82899999999999</v>
      </c>
      <c r="AB202" s="34" t="n">
        <v>83.071</v>
      </c>
      <c r="AC202" s="34" t="n">
        <v>322.622</v>
      </c>
      <c r="AD202" s="34" t="n">
        <v>85.101</v>
      </c>
      <c r="AE202" s="34" t="n">
        <v>92.14</v>
      </c>
      <c r="AF202" s="34" t="n">
        <v>92.355</v>
      </c>
      <c r="AG202" s="34" t="n">
        <v>92.785</v>
      </c>
      <c r="AH202" s="34" t="n">
        <v>362.381</v>
      </c>
      <c r="AI202" s="34" t="n">
        <v>97.27</v>
      </c>
      <c r="AJ202" s="34" t="n">
        <v>106.964</v>
      </c>
      <c r="AK202" s="34" t="n">
        <v>104.393</v>
      </c>
      <c r="AL202" s="34" t="n">
        <v>96.69499999999999</v>
      </c>
      <c r="AM202" s="34" t="n">
        <v>405.322</v>
      </c>
      <c r="AN202" s="34" t="n">
        <v>98.803</v>
      </c>
      <c r="AO202" s="34" t="n">
        <v>105.861</v>
      </c>
      <c r="AP202" s="34" t="n">
        <v>91.648</v>
      </c>
      <c r="AQ202" s="34" t="n">
        <v>91.553</v>
      </c>
      <c r="AR202" s="34" t="n">
        <v>387.865</v>
      </c>
      <c r="AS202" s="34" t="n">
        <v>88.401</v>
      </c>
      <c r="AT202" s="34" t="n">
        <v>63.002</v>
      </c>
      <c r="AU202" s="34" t="n">
        <v>84.05</v>
      </c>
      <c r="AV202" s="34" t="n">
        <v>92.892</v>
      </c>
      <c r="AW202" s="34" t="n">
        <v>328.345</v>
      </c>
      <c r="AX202" s="34" t="n">
        <v>109.204</v>
      </c>
      <c r="AY202" s="34" t="n">
        <v>125.103</v>
      </c>
      <c r="AZ202" s="34" t="n">
        <v>122.744</v>
      </c>
      <c r="BA202" s="34" t="n">
        <v>122.172</v>
      </c>
      <c r="BB202" s="34" t="n">
        <v>479.223</v>
      </c>
      <c r="BC202" s="34" t="n">
        <v>163.091</v>
      </c>
      <c r="BD202" s="34" t="n">
        <v>168.148</v>
      </c>
      <c r="BE202" s="34" t="n">
        <v>153.188</v>
      </c>
      <c r="BF202" s="34" t="n">
        <v>146.806</v>
      </c>
      <c r="BG202" s="34" t="n">
        <v>631.2329999999999</v>
      </c>
      <c r="BH202" s="34" t="n">
        <v>169.097</v>
      </c>
      <c r="BI202" s="34" t="n">
        <v>184.225</v>
      </c>
      <c r="BJ202" s="34" t="n">
        <v>183.367</v>
      </c>
      <c r="BK202" s="34" t="n">
        <v>182.099</v>
      </c>
      <c r="BL202" s="34" t="n">
        <v>718.787</v>
      </c>
      <c r="BM202" s="34" t="n">
        <v>171.414</v>
      </c>
      <c r="BN202" s="34" t="n">
        <v>177.622</v>
      </c>
      <c r="BO202" s="34" t="n">
        <v>169.756</v>
      </c>
      <c r="BP202" s="34" t="n">
        <v>185.598</v>
      </c>
      <c r="BQ202" s="34" t="n">
        <v>704.39</v>
      </c>
      <c r="BR202" s="34" t="n">
        <v>169.445</v>
      </c>
      <c r="BS202" s="34" t="n">
        <v>195.115</v>
      </c>
      <c r="BT202" s="34" t="n">
        <v>184.562</v>
      </c>
      <c r="BU202" s="34" t="n">
        <v>193.839</v>
      </c>
      <c r="BV202" s="34" t="n">
        <v>742.961</v>
      </c>
      <c r="BW202" s="34" t="n">
        <v>188.974</v>
      </c>
      <c r="BX202" s="34" t="n">
        <v>224.14</v>
      </c>
      <c r="BY202" s="269" t="n"/>
      <c r="BZ202" s="269" t="n"/>
      <c r="CA202" s="269" t="n"/>
      <c r="CB202" s="269" t="n"/>
      <c r="CC202" s="269" t="n"/>
      <c r="CD202" s="269" t="n"/>
      <c r="CE202" s="269" t="n"/>
      <c r="CF202" s="19" t="n"/>
    </row>
    <row r="203">
      <c r="B203" s="57" t="inlineStr">
        <is>
          <t xml:space="preserve">  Check: model bridge vs company-published (should be 0)</t>
        </is>
      </c>
      <c r="C203" s="44" t="str">
        <f>IF(ISNUMBER(C202),ROUND(C200-C202,1),"n/p")</f>
        <v>n/p</v>
      </c>
      <c r="D203" s="44" t="str">
        <f>IF(ISNUMBER(D202),ROUND(D200-D202,1),"n/p")</f>
        <v>n/p</v>
      </c>
      <c r="E203" s="44" t="str">
        <f>IF(ISNUMBER(E202),ROUND(E200-E202,1),"n/p")</f>
        <v>n/p</v>
      </c>
      <c r="F203" s="44">
        <f>IF(ISNUMBER(F202),ROUND(F200-F202,1),"n/p")</f>
        <v>0</v>
      </c>
      <c r="G203" s="44">
        <f>IF(ISNUMBER(G202),ROUND(G200-G202,1),"n/p")</f>
        <v>0</v>
      </c>
      <c r="H203" s="44">
        <f>IF(ISNUMBER(H202),ROUND(H200-H202,1),"n/p")</f>
        <v>0</v>
      </c>
      <c r="I203" s="44">
        <f>IF(ISNUMBER(I202),ROUND(I200-I202,1),"n/p")</f>
        <v>0</v>
      </c>
      <c r="J203" s="44">
        <f>IF(ISNUMBER(J202),ROUND(J200-J202,1),"n/p")</f>
        <v>0</v>
      </c>
      <c r="K203" s="44">
        <f>IF(ISNUMBER(K202),ROUND(K200-K202,1),"n/p")</f>
        <v>0</v>
      </c>
      <c r="L203" s="44">
        <f>IF(ISNUMBER(L202),ROUND(L200-L202,1),"n/p")</f>
        <v>0</v>
      </c>
      <c r="M203" s="44">
        <f>IF(ISNUMBER(M202),ROUND(M200-M202,1),"n/p")</f>
        <v>0</v>
      </c>
      <c r="N203" s="44">
        <f>IF(ISNUMBER(N202),ROUND(N200-N202,1),"n/p")</f>
        <v>0</v>
      </c>
      <c r="O203" s="44">
        <f>IF(ISNUMBER(O202),ROUND(O200-O202,1),"n/p")</f>
        <v>0</v>
      </c>
      <c r="P203" s="44">
        <f>IF(ISNUMBER(P202),ROUND(P200-P202,1),"n/p")</f>
        <v>0</v>
      </c>
      <c r="Q203" s="44">
        <f>IF(ISNUMBER(Q202),ROUND(Q200-Q202,1),"n/p")</f>
        <v>0</v>
      </c>
      <c r="R203" s="44">
        <f>IF(ISNUMBER(R202),ROUND(R200-R202,1),"n/p")</f>
        <v>0</v>
      </c>
      <c r="S203" s="44">
        <f>IF(ISNUMBER(S202),ROUND(S200-S202,1),"n/p")</f>
        <v>0</v>
      </c>
      <c r="T203" s="44">
        <f>IF(ISNUMBER(T202),ROUND(T200-T202,1),"n/p")</f>
        <v>0</v>
      </c>
      <c r="U203" s="44">
        <f>IF(ISNUMBER(U202),ROUND(U200-U202,1),"n/p")</f>
        <v>0</v>
      </c>
      <c r="V203" s="44">
        <f>IF(ISNUMBER(V202),ROUND(V200-V202,1),"n/p")</f>
        <v>0</v>
      </c>
      <c r="W203" s="44">
        <f>IF(ISNUMBER(W202),ROUND(W200-W202,1),"n/p")</f>
        <v>0</v>
      </c>
      <c r="X203" s="44">
        <f>IF(ISNUMBER(X202),ROUND(X200-X202,1),"n/p")</f>
        <v>0</v>
      </c>
      <c r="Y203" s="44">
        <f>IF(ISNUMBER(Y202),ROUND(Y200-Y202,1),"n/p")</f>
        <v>0</v>
      </c>
      <c r="Z203" s="44">
        <f>IF(ISNUMBER(Z202),ROUND(Z200-Z202,1),"n/p")</f>
        <v>0</v>
      </c>
      <c r="AA203" s="44">
        <f>IF(ISNUMBER(AA202),ROUND(AA200-AA202,1),"n/p")</f>
        <v>0</v>
      </c>
      <c r="AB203" s="44">
        <f>IF(ISNUMBER(AB202),ROUND(AB200-AB202,1),"n/p")</f>
        <v>0</v>
      </c>
      <c r="AC203" s="44">
        <f>IF(ISNUMBER(AC202),ROUND(AC200-AC202,1),"n/p")</f>
        <v>0</v>
      </c>
      <c r="AD203" s="44">
        <f>IF(ISNUMBER(AD202),ROUND(AD200-AD202,1),"n/p")</f>
        <v>0</v>
      </c>
      <c r="AE203" s="44">
        <f>IF(ISNUMBER(AE202),ROUND(AE200-AE202,1),"n/p")</f>
        <v>0</v>
      </c>
      <c r="AF203" s="44">
        <f>IF(ISNUMBER(AF202),ROUND(AF200-AF202,1),"n/p")</f>
        <v>0</v>
      </c>
      <c r="AG203" s="44">
        <f>IF(ISNUMBER(AG202),ROUND(AG200-AG202,1),"n/p")</f>
        <v>0</v>
      </c>
      <c r="AH203" s="44">
        <f>IF(ISNUMBER(AH202),ROUND(AH200-AH202,1),"n/p")</f>
        <v>0</v>
      </c>
      <c r="AI203" s="44">
        <f>IF(ISNUMBER(AI202),ROUND(AI200-AI202,1),"n/p")</f>
        <v>0</v>
      </c>
      <c r="AJ203" s="44">
        <f>IF(ISNUMBER(AJ202),ROUND(AJ200-AJ202,1),"n/p")</f>
        <v>0</v>
      </c>
      <c r="AK203" s="44">
        <f>IF(ISNUMBER(AK202),ROUND(AK200-AK202,1),"n/p")</f>
        <v>0</v>
      </c>
      <c r="AL203" s="44">
        <f>IF(ISNUMBER(AL202),ROUND(AL200-AL202,1),"n/p")</f>
        <v>0</v>
      </c>
      <c r="AM203" s="44">
        <f>IF(ISNUMBER(AM202),ROUND(AM200-AM202,1),"n/p")</f>
        <v>0</v>
      </c>
      <c r="AN203" s="44">
        <f>IF(ISNUMBER(AN202),ROUND(AN200-AN202,1),"n/p")</f>
        <v>0</v>
      </c>
      <c r="AO203" s="44">
        <f>IF(ISNUMBER(AO202),ROUND(AO200-AO202,1),"n/p")</f>
        <v>0</v>
      </c>
      <c r="AP203" s="44">
        <f>IF(ISNUMBER(AP202),ROUND(AP200-AP202,1),"n/p")</f>
        <v>0</v>
      </c>
      <c r="AQ203" s="44">
        <f>IF(ISNUMBER(AQ202),ROUND(AQ200-AQ202,1),"n/p")</f>
        <v>0</v>
      </c>
      <c r="AR203" s="44">
        <f>IF(ISNUMBER(AR202),ROUND(AR200-AR202,1),"n/p")</f>
        <v>0</v>
      </c>
      <c r="AS203" s="44">
        <f>IF(ISNUMBER(AS202),ROUND(AS200-AS202,1),"n/p")</f>
        <v>0</v>
      </c>
      <c r="AT203" s="44">
        <f>IF(ISNUMBER(AT202),ROUND(AT200-AT202,1),"n/p")</f>
        <v>0</v>
      </c>
      <c r="AU203" s="44">
        <f>IF(ISNUMBER(AU202),ROUND(AU200-AU202,1),"n/p")</f>
        <v>0</v>
      </c>
      <c r="AV203" s="44">
        <f>IF(ISNUMBER(AV202),ROUND(AV200-AV202,1),"n/p")</f>
        <v>0</v>
      </c>
      <c r="AW203" s="44">
        <f>IF(ISNUMBER(AW202),ROUND(AW200-AW202,1),"n/p")</f>
        <v>0</v>
      </c>
      <c r="AX203" s="44">
        <f>IF(ISNUMBER(AX202),ROUND(AX200-AX202,1),"n/p")</f>
        <v>0</v>
      </c>
      <c r="AY203" s="44">
        <f>IF(ISNUMBER(AY202),ROUND(AY200-AY202,1),"n/p")</f>
        <v>0</v>
      </c>
      <c r="AZ203" s="44">
        <f>IF(ISNUMBER(AZ202),ROUND(AZ200-AZ202,1),"n/p")</f>
        <v>0</v>
      </c>
      <c r="BA203" s="44">
        <f>IF(ISNUMBER(BA202),ROUND(BA200-BA202,1),"n/p")</f>
        <v>0</v>
      </c>
      <c r="BB203" s="44">
        <f>IF(ISNUMBER(BB202),ROUND(BB200-BB202,1),"n/p")</f>
        <v>0</v>
      </c>
      <c r="BC203" s="44">
        <f>IF(ISNUMBER(BC202),ROUND(BC200-BC202,1),"n/p")</f>
        <v>0</v>
      </c>
      <c r="BD203" s="44">
        <f>IF(ISNUMBER(BD202),ROUND(BD200-BD202,1),"n/p")</f>
        <v>0</v>
      </c>
      <c r="BE203" s="44">
        <f>IF(ISNUMBER(BE202),ROUND(BE200-BE202,1),"n/p")</f>
        <v>0</v>
      </c>
      <c r="BF203" s="44">
        <f>IF(ISNUMBER(BF202),ROUND(BF200-BF202,1),"n/p")</f>
        <v>0</v>
      </c>
      <c r="BG203" s="44">
        <f>IF(ISNUMBER(BG202),ROUND(BG200-BG202,1),"n/p")</f>
        <v>0</v>
      </c>
      <c r="BH203" s="44">
        <f>IF(ISNUMBER(BH202),ROUND(BH200-BH202,1),"n/p")</f>
        <v>0</v>
      </c>
      <c r="BI203" s="44">
        <f>IF(ISNUMBER(BI202),ROUND(BI200-BI202,1),"n/p")</f>
        <v>0</v>
      </c>
      <c r="BJ203" s="44">
        <f>IF(ISNUMBER(BJ202),ROUND(BJ200-BJ202,1),"n/p")</f>
        <v>0</v>
      </c>
      <c r="BK203" s="44">
        <f>IF(ISNUMBER(BK202),ROUND(BK200-BK202,1),"n/p")</f>
        <v>0</v>
      </c>
      <c r="BL203" s="44">
        <f>IF(ISNUMBER(BL202),ROUND(BL200-BL202,1),"n/p")</f>
        <v>0</v>
      </c>
      <c r="BM203" s="44">
        <f>IF(ISNUMBER(BM202),ROUND(BM200-BM202,1),"n/p")</f>
        <v>0</v>
      </c>
      <c r="BN203" s="44">
        <f>IF(ISNUMBER(BN202),ROUND(BN200-BN202,1),"n/p")</f>
        <v>0</v>
      </c>
      <c r="BO203" s="44">
        <f>IF(ISNUMBER(BO202),ROUND(BO200-BO202,1),"n/p")</f>
        <v>0</v>
      </c>
      <c r="BP203" s="44">
        <f>IF(ISNUMBER(BP202),ROUND(BP200-BP202,1),"n/p")</f>
        <v>0</v>
      </c>
      <c r="BQ203" s="44">
        <f>IF(ISNUMBER(BQ202),ROUND(BQ200-BQ202,1),"n/p")</f>
        <v>0</v>
      </c>
      <c r="BR203" s="44">
        <f>IF(ISNUMBER(BR202),ROUND(BR200-BR202,1),"n/p")</f>
        <v>0</v>
      </c>
      <c r="BS203" s="44">
        <f>IF(ISNUMBER(BS202),ROUND(BS200-BS202,1),"n/p")</f>
        <v>0</v>
      </c>
      <c r="BT203" s="44">
        <f>IF(ISNUMBER(BT202),ROUND(BT200-BT202,1),"n/p")</f>
        <v>0</v>
      </c>
      <c r="BU203" s="44">
        <f>IF(ISNUMBER(BU202),ROUND(BU200-BU202,1),"n/p")</f>
        <v>0</v>
      </c>
      <c r="BV203" s="44">
        <f>IF(ISNUMBER(BV202),ROUND(BV200-BV202,1),"n/p")</f>
        <v>0</v>
      </c>
      <c r="BW203" s="44">
        <f>IF(ISNUMBER(BW202),ROUND(BW200-BW202,1),"n/p")</f>
        <v>0</v>
      </c>
      <c r="BX203" s="44">
        <f>IF(ISNUMBER(BX202),ROUND(BX200-BX202,1),"n/p")</f>
        <v>0</v>
      </c>
      <c r="BY203" s="269" t="n"/>
      <c r="BZ203" s="269" t="n"/>
      <c r="CA203" s="269" t="n"/>
      <c r="CB203" s="269" t="n"/>
      <c r="CC203" s="269" t="n"/>
      <c r="CD203" s="269" t="n"/>
      <c r="CE203" s="269" t="n"/>
      <c r="CF203" s="19" t="n"/>
    </row>
    <row r="204" outlineLevel="2" s="251">
      <c r="B204" s="25" t="inlineStr">
        <is>
          <t xml:space="preserve">  Memo: adjusted non-operating income (adjusted EBIT − adjusted operating income)</t>
        </is>
      </c>
      <c r="C204" s="44">
        <f>IF(AND(ISNUMBER(C222),ISNUMBER(C200)),C222-C200,"")</f>
        <v>9.47899999999999</v>
      </c>
      <c r="D204" s="44">
        <f>IF(AND(ISNUMBER(D222),ISNUMBER(D200)),D222-D200,"")</f>
        <v>12.661</v>
      </c>
      <c r="E204" s="44">
        <f>IF(AND(ISNUMBER(E222),ISNUMBER(E200)),E222-E200,"")</f>
        <v>7.71499999999998</v>
      </c>
      <c r="F204" s="44">
        <f>IF(AND(ISNUMBER(F222),ISNUMBER(F200)),F222-F200,"")</f>
        <v>0.839999999999989</v>
      </c>
      <c r="G204" s="44">
        <f>IF(AND(ISNUMBER(G222),ISNUMBER(G200)),G222-G200,"")</f>
        <v>4.988</v>
      </c>
      <c r="H204" s="44">
        <f>IF(AND(ISNUMBER(H222),ISNUMBER(H200)),H222-H200,"")</f>
        <v>8.23399999999998</v>
      </c>
      <c r="I204" s="44">
        <f>IF(AND(ISNUMBER(I222),ISNUMBER(I200)),I222-I200,"")</f>
        <v>7.69200000000001</v>
      </c>
      <c r="J204" s="44">
        <f>IF(AND(ISNUMBER(J222),ISNUMBER(J200)),J222-J200,"")</f>
        <v>1.973</v>
      </c>
      <c r="K204" s="44">
        <f>IF(AND(ISNUMBER(K222),ISNUMBER(K200)),K222-K200,"")</f>
        <v>2.17100000000001</v>
      </c>
      <c r="L204" s="44">
        <f>IF(AND(ISNUMBER(L222),ISNUMBER(L200)),L222-L200,"")</f>
        <v>2.684</v>
      </c>
      <c r="M204" s="44">
        <f>IF(AND(ISNUMBER(M222),ISNUMBER(M200)),M222-M200,"")</f>
        <v>2.17200000000001</v>
      </c>
      <c r="N204" s="44">
        <f>IF(AND(ISNUMBER(N222),ISNUMBER(N200)),N222-N200,"")</f>
        <v>9</v>
      </c>
      <c r="O204" s="44">
        <f>IF(AND(ISNUMBER(O222),ISNUMBER(O200)),O222-O200,"")</f>
        <v>2.64400000000001</v>
      </c>
      <c r="P204" s="44">
        <f>IF(AND(ISNUMBER(P222),ISNUMBER(P200)),P222-P200,"")</f>
        <v>2.65300000000001</v>
      </c>
      <c r="Q204" s="44">
        <f>IF(AND(ISNUMBER(Q222),ISNUMBER(Q200)),Q222-Q200,"")</f>
        <v>2.215</v>
      </c>
      <c r="R204" s="44">
        <f>IF(AND(ISNUMBER(R222),ISNUMBER(R200)),R222-R200,"")</f>
        <v>1.895</v>
      </c>
      <c r="S204" s="44">
        <f>IF(AND(ISNUMBER(S222),ISNUMBER(S200)),S222-S200,"")</f>
        <v>9.40699999999998</v>
      </c>
      <c r="T204" s="44">
        <f>IF(AND(ISNUMBER(T222),ISNUMBER(T200)),T222-T200,"")</f>
        <v>3.459</v>
      </c>
      <c r="U204" s="44">
        <f>IF(AND(ISNUMBER(U222),ISNUMBER(U200)),U222-U200,"")</f>
        <v>1.29599999999999</v>
      </c>
      <c r="V204" s="44">
        <f>IF(AND(ISNUMBER(V222),ISNUMBER(V200)),V222-V200,"")</f>
        <v>0.606000000000009</v>
      </c>
      <c r="W204" s="44">
        <f>IF(AND(ISNUMBER(W222),ISNUMBER(W200)),W222-W200,"")</f>
        <v>1.836</v>
      </c>
      <c r="X204" s="44">
        <f>IF(AND(ISNUMBER(X222),ISNUMBER(X200)),X222-X200,"")</f>
        <v>7.19699999999989</v>
      </c>
      <c r="Y204" s="44">
        <f>IF(AND(ISNUMBER(Y222),ISNUMBER(Y200)),Y222-Y200,"")</f>
        <v>1.28700000000001</v>
      </c>
      <c r="Z204" s="44">
        <f>IF(AND(ISNUMBER(Z222),ISNUMBER(Z200)),Z222-Z200,"")</f>
        <v>1.42700000000001</v>
      </c>
      <c r="AA204" s="44">
        <f>IF(AND(ISNUMBER(AA222),ISNUMBER(AA200)),AA222-AA200,"")</f>
        <v>1.922</v>
      </c>
      <c r="AB204" s="44">
        <f>IF(AND(ISNUMBER(AB222),ISNUMBER(AB200)),AB222-AB200,"")</f>
        <v>1.46499999999999</v>
      </c>
      <c r="AC204" s="44">
        <f>IF(AND(ISNUMBER(AC222),ISNUMBER(AC200)),AC222-AC200,"")</f>
        <v>6.101</v>
      </c>
      <c r="AD204" s="44">
        <f>IF(AND(ISNUMBER(AD222),ISNUMBER(AD200)),AD222-AD200,"")</f>
        <v>1.751</v>
      </c>
      <c r="AE204" s="44">
        <f>IF(AND(ISNUMBER(AE222),ISNUMBER(AE200)),AE222-AE200,"")</f>
        <v>1.376</v>
      </c>
      <c r="AF204" s="44">
        <f>IF(AND(ISNUMBER(AF222),ISNUMBER(AF200)),AF222-AF200,"")</f>
        <v>2.167</v>
      </c>
      <c r="AG204" s="44">
        <f>IF(AND(ISNUMBER(AG222),ISNUMBER(AG200)),AG222-AG200,"")</f>
        <v>2.66299999999998</v>
      </c>
      <c r="AH204" s="44">
        <f>IF(AND(ISNUMBER(AH222),ISNUMBER(AH200)),AH222-AH200,"")</f>
        <v>7.95699999999999</v>
      </c>
      <c r="AI204" s="44">
        <f>IF(AND(ISNUMBER(AI222),ISNUMBER(AI200)),AI222-AI200,"")</f>
        <v>4.20899999999999</v>
      </c>
      <c r="AJ204" s="44">
        <f>IF(AND(ISNUMBER(AJ222),ISNUMBER(AJ200)),AJ222-AJ200,"")</f>
        <v>4.441</v>
      </c>
      <c r="AK204" s="44">
        <f>IF(AND(ISNUMBER(AK222),ISNUMBER(AK200)),AK222-AK200,"")</f>
        <v>3.158</v>
      </c>
      <c r="AL204" s="44">
        <f>IF(AND(ISNUMBER(AL222),ISNUMBER(AL200)),AL222-AL200,"")</f>
        <v>5.56399999999999</v>
      </c>
      <c r="AM204" s="44">
        <f>IF(AND(ISNUMBER(AM222),ISNUMBER(AM200)),AM222-AM200,"")</f>
        <v>17.372</v>
      </c>
      <c r="AN204" s="44">
        <f>IF(AND(ISNUMBER(AN222),ISNUMBER(AN200)),AN222-AN200,"")</f>
        <v>3.76300000000001</v>
      </c>
      <c r="AO204" s="44">
        <f>IF(AND(ISNUMBER(AO222),ISNUMBER(AO200)),AO222-AO200,"")</f>
        <v>3.68699999999998</v>
      </c>
      <c r="AP204" s="44">
        <f>IF(AND(ISNUMBER(AP222),ISNUMBER(AP200)),AP222-AP200,"")</f>
        <v>2.05200000000001</v>
      </c>
      <c r="AQ204" s="44">
        <f>IF(AND(ISNUMBER(AQ222),ISNUMBER(AQ200)),AQ222-AQ200,"")</f>
        <v>3.386</v>
      </c>
      <c r="AR204" s="44">
        <f>IF(AND(ISNUMBER(AR222),ISNUMBER(AR200)),AR222-AR200,"")</f>
        <v>12.888</v>
      </c>
      <c r="AS204" s="44">
        <f>IF(AND(ISNUMBER(AS222),ISNUMBER(AS200)),AS222-AS200,"")</f>
        <v>0.308999999999998</v>
      </c>
      <c r="AT204" s="44">
        <f>IF(AND(ISNUMBER(AT222),ISNUMBER(AT200)),AT222-AT200,"")</f>
        <v>3.131</v>
      </c>
      <c r="AU204" s="44">
        <f>IF(AND(ISNUMBER(AU222),ISNUMBER(AU200)),AU222-AU200,"")</f>
        <v>4.25</v>
      </c>
      <c r="AV204" s="44">
        <f>IF(AND(ISNUMBER(AV222),ISNUMBER(AV200)),AV222-AV200,"")</f>
        <v>4.37100000000001</v>
      </c>
      <c r="AW204" s="44">
        <f>IF(AND(ISNUMBER(AW222),ISNUMBER(AW200)),AW222-AW200,"")</f>
        <v>12.061</v>
      </c>
      <c r="AX204" s="44">
        <f>IF(AND(ISNUMBER(AX222),ISNUMBER(AX200)),AX222-AX200,"")</f>
        <v>3.47</v>
      </c>
      <c r="AY204" s="44">
        <f>IF(AND(ISNUMBER(AY222),ISNUMBER(AY200)),AY222-AY200,"")</f>
        <v>3.352</v>
      </c>
      <c r="AZ204" s="44">
        <f>IF(AND(ISNUMBER(AZ222),ISNUMBER(AZ200)),AZ222-AZ200,"")</f>
        <v>2.121</v>
      </c>
      <c r="BA204" s="44">
        <f>IF(AND(ISNUMBER(BA222),ISNUMBER(BA200)),BA222-BA200,"")</f>
        <v>3.10200000000002</v>
      </c>
      <c r="BB204" s="44">
        <f>IF(AND(ISNUMBER(BB222),ISNUMBER(BB200)),BB222-BB200,"")</f>
        <v>12.045</v>
      </c>
      <c r="BC204" s="44">
        <f>IF(AND(ISNUMBER(BC222),ISNUMBER(BC200)),BC222-BC200,"")</f>
        <v>0.361000000000018</v>
      </c>
      <c r="BD204" s="44">
        <f>IF(AND(ISNUMBER(BD222),ISNUMBER(BD200)),BD222-BD200,"")</f>
        <v>-1.13399999999999</v>
      </c>
      <c r="BE204" s="44">
        <f>IF(AND(ISNUMBER(BE222),ISNUMBER(BE200)),BE222-BE200,"")</f>
        <v>3.58799999999999</v>
      </c>
      <c r="BF204" s="44">
        <f>IF(AND(ISNUMBER(BF222),ISNUMBER(BF200)),BF222-BF200,"")</f>
        <v>2.90299999999999</v>
      </c>
      <c r="BG204" s="44">
        <f>IF(AND(ISNUMBER(BG222),ISNUMBER(BG200)),BG222-BG200,"")</f>
        <v>5.71799999999996</v>
      </c>
      <c r="BH204" s="44">
        <f>IF(AND(ISNUMBER(BH222),ISNUMBER(BH200)),BH222-BH200,"")</f>
        <v>2.56299999999999</v>
      </c>
      <c r="BI204" s="44">
        <f>IF(AND(ISNUMBER(BI222),ISNUMBER(BI200)),BI222-BI200,"")</f>
        <v>6.74600000000001</v>
      </c>
      <c r="BJ204" s="44">
        <f>IF(AND(ISNUMBER(BJ222),ISNUMBER(BJ200)),BJ222-BJ200,"")</f>
        <v>0.800999999999988</v>
      </c>
      <c r="BK204" s="44">
        <f>IF(AND(ISNUMBER(BK222),ISNUMBER(BK200)),BK222-BK200,"")</f>
        <v>2.50700000000001</v>
      </c>
      <c r="BL204" s="44">
        <f>IF(AND(ISNUMBER(BL222),ISNUMBER(BL200)),BL222-BL200,"")</f>
        <v>12.5870000000001</v>
      </c>
      <c r="BM204" s="44">
        <f>IF(AND(ISNUMBER(BM222),ISNUMBER(BM200)),BM222-BM200,"")</f>
        <v>2.262</v>
      </c>
      <c r="BN204" s="44">
        <f>IF(AND(ISNUMBER(BN222),ISNUMBER(BN200)),BN222-BN200,"")</f>
        <v>3.39699999999999</v>
      </c>
      <c r="BO204" s="44">
        <f>IF(AND(ISNUMBER(BO222),ISNUMBER(BO200)),BO222-BO200,"")</f>
        <v>2.322</v>
      </c>
      <c r="BP204" s="44">
        <f>IF(AND(ISNUMBER(BP222),ISNUMBER(BP200)),BP222-BP200,"")</f>
        <v>1.23399999999998</v>
      </c>
      <c r="BQ204" s="44">
        <f>IF(AND(ISNUMBER(BQ222),ISNUMBER(BQ200)),BQ222-BQ200,"")</f>
        <v>9.21499999999992</v>
      </c>
      <c r="BR204" s="44">
        <f>IF(AND(ISNUMBER(BR222),ISNUMBER(BR200)),BR222-BR200,"")</f>
        <v>0.443999999999988</v>
      </c>
      <c r="BS204" s="44">
        <f>IF(AND(ISNUMBER(BS222),ISNUMBER(BS200)),BS222-BS200,"")</f>
        <v>4.03399999999999</v>
      </c>
      <c r="BT204" s="44">
        <f>IF(AND(ISNUMBER(BT222),ISNUMBER(BT200)),BT222-BT200,"")</f>
        <v>2.98599999999999</v>
      </c>
      <c r="BU204" s="44">
        <f>IF(AND(ISNUMBER(BU222),ISNUMBER(BU200)),BU222-BU200,"")</f>
        <v>2.20699999999999</v>
      </c>
      <c r="BV204" s="44">
        <f>IF(AND(ISNUMBER(BV222),ISNUMBER(BV200)),BV222-BV200,"")</f>
        <v>9.67099999999994</v>
      </c>
      <c r="BW204" s="44">
        <f>IF(AND(ISNUMBER(BW222),ISNUMBER(BW200)),BW222-BW200,"")</f>
        <v>0.569999999999993</v>
      </c>
      <c r="BX204" s="44">
        <f>IF(AND(ISNUMBER(BX222),ISNUMBER(BX200)),BX222-BX200,"")</f>
        <v>-0.241000000000014</v>
      </c>
      <c r="BY204" s="257">
        <f>BY168+BY169</f>
        <v>0.1645</v>
      </c>
      <c r="BZ204" s="257">
        <f>BZ168+BZ169</f>
        <v>0.1645</v>
      </c>
      <c r="CA204" s="257">
        <f>CA168+CA169</f>
        <v>0.658</v>
      </c>
      <c r="CB204" s="257">
        <f>CB168+CB169</f>
        <v>4</v>
      </c>
      <c r="CC204" s="257">
        <f>CC168+CC169</f>
        <v>4</v>
      </c>
      <c r="CD204" s="257">
        <f>CD168+CD169</f>
        <v>4</v>
      </c>
      <c r="CE204" s="257">
        <f>CE168+CE169</f>
        <v>4</v>
      </c>
      <c r="CF204" s="19" t="inlineStr">
        <is>
          <t>Other income + equity earnings excluding special items in non-operating lines (pension settlements, disposal gains).</t>
        </is>
      </c>
    </row>
    <row r="205">
      <c r="CF205" s="19" t="n"/>
    </row>
    <row r="206">
      <c r="B206" s="10" t="inlineStr">
        <is>
          <t>RECONCILIATION B: NET INCOME → EBIT → ADJUSTED EBIT → ADJUSTED EBITDA</t>
        </is>
      </c>
      <c r="C206" s="10" t="n"/>
      <c r="D206" s="10" t="n"/>
      <c r="E206" s="10" t="n"/>
      <c r="F206" s="10" t="n"/>
      <c r="G206" s="10" t="n"/>
      <c r="H206" s="10" t="n"/>
      <c r="I206" s="10" t="n"/>
      <c r="J206" s="10" t="n"/>
      <c r="K206" s="10" t="n"/>
      <c r="L206" s="10" t="n"/>
      <c r="M206" s="10" t="n"/>
      <c r="N206" s="10" t="n"/>
      <c r="O206" s="10" t="n"/>
      <c r="P206" s="10" t="n"/>
      <c r="Q206" s="10" t="n"/>
      <c r="R206" s="10" t="n"/>
      <c r="S206" s="10" t="n"/>
      <c r="T206" s="10" t="n"/>
      <c r="U206" s="10" t="n"/>
      <c r="V206" s="10" t="n"/>
      <c r="W206" s="10" t="n"/>
      <c r="X206" s="10" t="n"/>
      <c r="Y206" s="10" t="n"/>
      <c r="Z206" s="10" t="n"/>
      <c r="AA206" s="10" t="n"/>
      <c r="AB206" s="10" t="n"/>
      <c r="AC206" s="10" t="n"/>
      <c r="AD206" s="10" t="n"/>
      <c r="AE206" s="10" t="n"/>
      <c r="AF206" s="10" t="n"/>
      <c r="AG206" s="10" t="n"/>
      <c r="AH206" s="10" t="n"/>
      <c r="AI206" s="10" t="n"/>
      <c r="AJ206" s="10" t="n"/>
      <c r="AK206" s="10" t="n"/>
      <c r="AL206" s="10" t="n"/>
      <c r="AM206" s="10" t="n"/>
      <c r="AN206" s="10" t="n"/>
      <c r="AO206" s="10" t="n"/>
      <c r="AP206" s="10" t="n"/>
      <c r="AQ206" s="10" t="n"/>
      <c r="AR206" s="10" t="n"/>
      <c r="AS206" s="10" t="n"/>
      <c r="AT206" s="10" t="n"/>
      <c r="AU206" s="10" t="n"/>
      <c r="AV206" s="10" t="n"/>
      <c r="AW206" s="10" t="n"/>
      <c r="AX206" s="10" t="n"/>
      <c r="AY206" s="10" t="n"/>
      <c r="AZ206" s="10" t="n"/>
      <c r="BA206" s="10" t="n"/>
      <c r="BB206" s="10" t="n"/>
      <c r="BC206" s="10" t="n"/>
      <c r="BD206" s="10" t="n"/>
      <c r="BE206" s="10" t="n"/>
      <c r="BF206" s="10" t="n"/>
      <c r="BG206" s="10" t="n"/>
      <c r="BH206" s="10" t="n"/>
      <c r="BI206" s="10" t="n"/>
      <c r="BJ206" s="10" t="n"/>
      <c r="BK206" s="10" t="n"/>
      <c r="BL206" s="10" t="n"/>
      <c r="BM206" s="10" t="n"/>
      <c r="BN206" s="10" t="n"/>
      <c r="BO206" s="10" t="n"/>
      <c r="BP206" s="10" t="n"/>
      <c r="BQ206" s="10" t="n"/>
      <c r="BR206" s="10" t="n"/>
      <c r="BS206" s="10" t="n"/>
      <c r="BT206" s="10" t="n"/>
      <c r="BU206" s="10" t="n"/>
      <c r="BV206" s="10" t="n"/>
      <c r="BW206" s="10" t="n"/>
      <c r="BX206" s="10" t="n"/>
      <c r="BY206" s="10" t="n"/>
      <c r="BZ206" s="10" t="n"/>
      <c r="CA206" s="10" t="n"/>
      <c r="CB206" s="10" t="n"/>
      <c r="CC206" s="10" t="n"/>
      <c r="CD206" s="10" t="n"/>
      <c r="CE206" s="10" t="n"/>
      <c r="CF206" s="10" t="inlineStr">
        <is>
          <t>ADJUSTED EBIT — LECO's segment profit measure ("EBIT, as adjusted" to 2019, "Adjusted EBIT" from 2020); EBIT = operating income + other income (+ equity earnings while reported)</t>
        </is>
      </c>
    </row>
    <row r="207">
      <c r="B207" s="16" t="inlineStr">
        <is>
          <t>Net income attributable to Lincoln Electric (GAAP)</t>
        </is>
      </c>
      <c r="C207" s="43">
        <f>C175</f>
        <v>175.008</v>
      </c>
      <c r="D207" s="43">
        <f>D175</f>
        <v>202.736</v>
      </c>
      <c r="E207" s="43">
        <f>E175</f>
        <v>212.286</v>
      </c>
      <c r="F207" s="43">
        <f>F175</f>
        <v>48.5760000000001</v>
      </c>
      <c r="G207" s="43">
        <f>G175</f>
        <v>130.244</v>
      </c>
      <c r="H207" s="43">
        <f>H175</f>
        <v>217.186</v>
      </c>
      <c r="I207" s="43">
        <f>I175</f>
        <v>257.411</v>
      </c>
      <c r="J207" s="43">
        <f>J175</f>
        <v>66.806</v>
      </c>
      <c r="K207" s="43">
        <f>K175</f>
        <v>72.606</v>
      </c>
      <c r="L207" s="43">
        <f>L175</f>
        <v>66.044</v>
      </c>
      <c r="M207" s="43">
        <f>M175</f>
        <v>88.324</v>
      </c>
      <c r="N207" s="43">
        <f>N175</f>
        <v>293.78</v>
      </c>
      <c r="O207" s="43">
        <f>O175</f>
        <v>56.453</v>
      </c>
      <c r="P207" s="43">
        <f>P175</f>
        <v>77.332</v>
      </c>
      <c r="Q207" s="43">
        <f>Q175</f>
        <v>45.689</v>
      </c>
      <c r="R207" s="43">
        <f>R175</f>
        <v>75.2119999999999</v>
      </c>
      <c r="S207" s="43">
        <f>S175</f>
        <v>254.686</v>
      </c>
      <c r="T207" s="43">
        <f>T175</f>
        <v>68.354</v>
      </c>
      <c r="U207" s="43">
        <f>U175</f>
        <v>70.898</v>
      </c>
      <c r="V207" s="43">
        <f>V175</f>
        <v>-60.4659999999999</v>
      </c>
      <c r="W207" s="43">
        <f>W175</f>
        <v>48.692</v>
      </c>
      <c r="X207" s="43">
        <f>X175</f>
        <v>127.478</v>
      </c>
      <c r="Y207" s="43">
        <f>Y175</f>
        <v>53.638</v>
      </c>
      <c r="Z207" s="43">
        <f>Z175</f>
        <v>31.317</v>
      </c>
      <c r="AA207" s="43">
        <f>AA175</f>
        <v>60.0489999999999</v>
      </c>
      <c r="AB207" s="43">
        <f>AB175</f>
        <v>53.395</v>
      </c>
      <c r="AC207" s="43">
        <f>AC175</f>
        <v>198.399</v>
      </c>
      <c r="AD207" s="43">
        <f>AD175</f>
        <v>55.8440000000001</v>
      </c>
      <c r="AE207" s="43">
        <f>AE175</f>
        <v>61.352</v>
      </c>
      <c r="AF207" s="43">
        <f>AF175</f>
        <v>106.126</v>
      </c>
      <c r="AG207" s="43">
        <f>AG175</f>
        <v>24.1809999999999</v>
      </c>
      <c r="AH207" s="43">
        <f>AH175</f>
        <v>247.503</v>
      </c>
      <c r="AI207" s="43">
        <f>AI175</f>
        <v>60.824</v>
      </c>
      <c r="AJ207" s="43">
        <f>AJ175</f>
        <v>68.864</v>
      </c>
      <c r="AK207" s="43">
        <f>AK175</f>
        <v>70.539</v>
      </c>
      <c r="AL207" s="43">
        <f>AL175</f>
        <v>86.839</v>
      </c>
      <c r="AM207" s="43">
        <f>AM175</f>
        <v>287.066</v>
      </c>
      <c r="AN207" s="43">
        <f>AN175</f>
        <v>71.48</v>
      </c>
      <c r="AO207" s="43">
        <f>AO175</f>
        <v>85.452</v>
      </c>
      <c r="AP207" s="43">
        <f>AP175</f>
        <v>72.461</v>
      </c>
      <c r="AQ207" s="43">
        <f>AQ175</f>
        <v>63.716</v>
      </c>
      <c r="AR207" s="43">
        <f>AR175</f>
        <v>293.109</v>
      </c>
      <c r="AS207" s="43">
        <f>AS175</f>
        <v>55.562</v>
      </c>
      <c r="AT207" s="43">
        <f>AT175</f>
        <v>26.996</v>
      </c>
      <c r="AU207" s="43">
        <f>AU175</f>
        <v>58.4790000000001</v>
      </c>
      <c r="AV207" s="43">
        <f>AV175</f>
        <v>65.078</v>
      </c>
      <c r="AW207" s="43">
        <f>AW175</f>
        <v>206.115</v>
      </c>
      <c r="AX207" s="43">
        <f>AX175</f>
        <v>74.177</v>
      </c>
      <c r="AY207" s="43">
        <f>AY175</f>
        <v>96.1049999999999</v>
      </c>
      <c r="AZ207" s="43">
        <f>AZ175</f>
        <v>31.7569999999999</v>
      </c>
      <c r="BA207" s="43">
        <f>BA175</f>
        <v>74.4269999999999</v>
      </c>
      <c r="BB207" s="43">
        <f>BB175</f>
        <v>276.466</v>
      </c>
      <c r="BC207" s="43">
        <f>BC175</f>
        <v>126.03</v>
      </c>
      <c r="BD207" s="43">
        <f>BD175</f>
        <v>127.823</v>
      </c>
      <c r="BE207" s="43">
        <f>BE175</f>
        <v>109.225</v>
      </c>
      <c r="BF207" s="43">
        <f>BF175</f>
        <v>109.146</v>
      </c>
      <c r="BG207" s="43">
        <f>BG175</f>
        <v>472.224</v>
      </c>
      <c r="BH207" s="43">
        <f>BH175</f>
        <v>121.931</v>
      </c>
      <c r="BI207" s="43">
        <f>BI175</f>
        <v>137.331</v>
      </c>
      <c r="BJ207" s="43">
        <f>BJ175</f>
        <v>129.343</v>
      </c>
      <c r="BK207" s="43">
        <f>BK175</f>
        <v>156.644</v>
      </c>
      <c r="BL207" s="43">
        <f>BL175</f>
        <v>545.248000000001</v>
      </c>
      <c r="BM207" s="43">
        <f>BM175</f>
        <v>123.415</v>
      </c>
      <c r="BN207" s="43">
        <f>BN175</f>
        <v>101.708</v>
      </c>
      <c r="BO207" s="43">
        <f>BO175</f>
        <v>100.756</v>
      </c>
      <c r="BP207" s="43">
        <f>BP175</f>
        <v>140.229</v>
      </c>
      <c r="BQ207" s="43">
        <f>BQ175</f>
        <v>466.108</v>
      </c>
      <c r="BR207" s="43">
        <f>BR175</f>
        <v>118.487</v>
      </c>
      <c r="BS207" s="43">
        <f>BS175</f>
        <v>143.396</v>
      </c>
      <c r="BT207" s="43">
        <f>BT175</f>
        <v>122.628</v>
      </c>
      <c r="BU207" s="43">
        <f>BU175</f>
        <v>136.022</v>
      </c>
      <c r="BV207" s="43">
        <f>BV175</f>
        <v>520.532999999999</v>
      </c>
      <c r="BW207" s="43">
        <f>BW175</f>
        <v>136.382</v>
      </c>
      <c r="BX207" s="43">
        <f>BX175</f>
        <v>158.519</v>
      </c>
      <c r="BY207" s="253">
        <f>BY175</f>
        <v>152.862362881336</v>
      </c>
      <c r="BZ207" s="253">
        <f>BZ175</f>
        <v>159.374821031164</v>
      </c>
      <c r="CA207" s="253">
        <f>CA175</f>
        <v>607.1381839125</v>
      </c>
      <c r="CB207" s="253">
        <f>CB175</f>
        <v>671.527788613991</v>
      </c>
      <c r="CC207" s="253">
        <f>CC175</f>
        <v>739.597580593692</v>
      </c>
      <c r="CD207" s="253">
        <f>CD175</f>
        <v>810.555140343366</v>
      </c>
      <c r="CE207" s="253">
        <f>CE175</f>
        <v>885.000165802894</v>
      </c>
      <c r="CF207" s="19" t="n"/>
    </row>
    <row r="208">
      <c r="B208" s="25" t="inlineStr">
        <is>
          <t xml:space="preserve">  (+) Net income attributable to noncontrolling interests</t>
        </is>
      </c>
      <c r="C208" s="44">
        <f>C174</f>
        <v>0</v>
      </c>
      <c r="D208" s="44">
        <f>D174</f>
        <v>0</v>
      </c>
      <c r="E208" s="44">
        <f>E174</f>
        <v>0</v>
      </c>
      <c r="F208" s="44">
        <f>F174</f>
        <v>0</v>
      </c>
      <c r="G208" s="44">
        <f>G174</f>
        <v>1.966</v>
      </c>
      <c r="H208" s="44">
        <f>H174</f>
        <v>-0.173</v>
      </c>
      <c r="I208" s="44">
        <f>I174</f>
        <v>-0.195</v>
      </c>
      <c r="J208" s="44">
        <f>J174</f>
        <v>0.037</v>
      </c>
      <c r="K208" s="44">
        <f>K174</f>
        <v>-0.079</v>
      </c>
      <c r="L208" s="44">
        <f>L174</f>
        <v>-1.792</v>
      </c>
      <c r="M208" s="44">
        <f>M174</f>
        <v>-0.259</v>
      </c>
      <c r="N208" s="44">
        <f>N174</f>
        <v>-2.093</v>
      </c>
      <c r="O208" s="44">
        <f>O174</f>
        <v>-0.029</v>
      </c>
      <c r="P208" s="44">
        <f>P174</f>
        <v>-0.043</v>
      </c>
      <c r="Q208" s="44">
        <f>Q174</f>
        <v>-0.857</v>
      </c>
      <c r="R208" s="44">
        <f>R174</f>
        <v>0.123</v>
      </c>
      <c r="S208" s="44">
        <f>S174</f>
        <v>-0.806</v>
      </c>
      <c r="T208" s="44">
        <f>T174</f>
        <v>-0.036</v>
      </c>
      <c r="U208" s="44">
        <f>U174</f>
        <v>-0.022</v>
      </c>
      <c r="V208" s="44">
        <f>V174</f>
        <v>-0.015</v>
      </c>
      <c r="W208" s="44">
        <f>W174</f>
        <v>0.007</v>
      </c>
      <c r="X208" s="44">
        <f>X174</f>
        <v>-0.066</v>
      </c>
      <c r="Y208" s="44">
        <f>Y174</f>
        <v>-0.014</v>
      </c>
      <c r="Z208" s="44">
        <f>Z174</f>
        <v>-0.008</v>
      </c>
      <c r="AA208" s="44">
        <f>AA174</f>
        <v>-0.01</v>
      </c>
      <c r="AB208" s="44">
        <f>AB174</f>
        <v>0.006</v>
      </c>
      <c r="AC208" s="44">
        <f>AC174</f>
        <v>-0.026</v>
      </c>
      <c r="AD208" s="44">
        <f>AD174</f>
        <v>0.004</v>
      </c>
      <c r="AE208" s="44">
        <f>AE174</f>
        <v>-0.021</v>
      </c>
      <c r="AF208" s="44">
        <f>AF174</f>
        <v>-0.015</v>
      </c>
      <c r="AG208" s="44">
        <f>AG174</f>
        <v>0.004</v>
      </c>
      <c r="AH208" s="44">
        <f>AH174</f>
        <v>-0.028</v>
      </c>
      <c r="AI208" s="44">
        <f>AI174</f>
        <v>-0.004</v>
      </c>
      <c r="AJ208" s="44">
        <f>AJ174</f>
        <v>-0.005</v>
      </c>
      <c r="AK208" s="44">
        <f>AK174</f>
        <v>-0.004</v>
      </c>
      <c r="AL208" s="44">
        <f>AL174</f>
        <v>-0.06</v>
      </c>
      <c r="AM208" s="44">
        <f>AM174</f>
        <v>-0.073</v>
      </c>
      <c r="AN208" s="44">
        <f>AN174</f>
        <v>-0.014</v>
      </c>
      <c r="AO208" s="44">
        <f>AO174</f>
        <v>-0.008</v>
      </c>
      <c r="AP208" s="44">
        <f>AP174</f>
        <v>-0.004</v>
      </c>
      <c r="AQ208" s="44">
        <f>AQ174</f>
        <v>0</v>
      </c>
      <c r="AR208" s="44">
        <f>AR174</f>
        <v>-0.026</v>
      </c>
      <c r="AS208" s="44">
        <f>AS174</f>
        <v>-0.007</v>
      </c>
      <c r="AT208" s="44">
        <f>AT174</f>
        <v>0.017</v>
      </c>
      <c r="AU208" s="44">
        <f>AU174</f>
        <v>0.027</v>
      </c>
      <c r="AV208" s="44">
        <f>AV174</f>
        <v>-0.008</v>
      </c>
      <c r="AW208" s="44">
        <f>AW174</f>
        <v>0.029</v>
      </c>
      <c r="AX208" s="44">
        <f>AX174</f>
        <v>-0.044</v>
      </c>
      <c r="AY208" s="44">
        <f>AY174</f>
        <v>0.175</v>
      </c>
      <c r="AZ208" s="44">
        <f>AZ174</f>
        <v>0</v>
      </c>
      <c r="BA208" s="44">
        <f>BA174</f>
        <v>-0.017</v>
      </c>
      <c r="BB208" s="44">
        <f>BB174</f>
        <v>0.114</v>
      </c>
      <c r="BC208" s="44">
        <f>BC174</f>
        <v>0.001</v>
      </c>
      <c r="BD208" s="44">
        <f>BD174</f>
        <v>-0.001</v>
      </c>
      <c r="BE208" s="44">
        <f>BE174</f>
        <v>0</v>
      </c>
      <c r="BF208" s="44">
        <f>BF174</f>
        <v>0</v>
      </c>
      <c r="BG208" s="44">
        <f>BG174</f>
        <v>0</v>
      </c>
      <c r="BH208" s="44">
        <f>BH174</f>
        <v>0.028</v>
      </c>
      <c r="BI208" s="44">
        <f>BI174</f>
        <v>0</v>
      </c>
      <c r="BJ208" s="44">
        <f>BJ174</f>
        <v>0</v>
      </c>
      <c r="BK208" s="44">
        <f>BK174</f>
        <v>0</v>
      </c>
      <c r="BL208" s="44">
        <f>BL174</f>
        <v>0</v>
      </c>
      <c r="BM208" s="44">
        <f>BM174</f>
        <v>0</v>
      </c>
      <c r="BN208" s="44">
        <f>BN174</f>
        <v>0</v>
      </c>
      <c r="BO208" s="44">
        <f>BO174</f>
        <v>0</v>
      </c>
      <c r="BP208" s="44">
        <f>BP174</f>
        <v>0</v>
      </c>
      <c r="BQ208" s="44">
        <f>BQ174</f>
        <v>0</v>
      </c>
      <c r="BR208" s="44">
        <f>BR174</f>
        <v>0</v>
      </c>
      <c r="BS208" s="44">
        <f>BS174</f>
        <v>0</v>
      </c>
      <c r="BT208" s="44">
        <f>BT174</f>
        <v>0</v>
      </c>
      <c r="BU208" s="44">
        <f>BU174</f>
        <v>0</v>
      </c>
      <c r="BV208" s="44">
        <f>BV174</f>
        <v>0</v>
      </c>
      <c r="BW208" s="44">
        <f>BW174</f>
        <v>0</v>
      </c>
      <c r="BX208" s="44">
        <f>BX174</f>
        <v>0</v>
      </c>
      <c r="BY208" s="257">
        <f>BY174</f>
        <v>0</v>
      </c>
      <c r="BZ208" s="257">
        <f>BZ174</f>
        <v>0</v>
      </c>
      <c r="CA208" s="257">
        <f>CA174</f>
        <v>0</v>
      </c>
      <c r="CB208" s="257">
        <f>CB174</f>
        <v>0</v>
      </c>
      <c r="CC208" s="257">
        <f>CC174</f>
        <v>0</v>
      </c>
      <c r="CD208" s="257">
        <f>CD174</f>
        <v>0</v>
      </c>
      <c r="CE208" s="257">
        <f>CE174</f>
        <v>0</v>
      </c>
      <c r="CF208" s="19" t="n"/>
    </row>
    <row r="209">
      <c r="B209" s="25" t="inlineStr">
        <is>
          <t xml:space="preserve">  (+) Income taxes</t>
        </is>
      </c>
      <c r="C209" s="44">
        <f>C171</f>
        <v>63.164</v>
      </c>
      <c r="D209" s="44">
        <f>D171</f>
        <v>84.421</v>
      </c>
      <c r="E209" s="44">
        <f>E171</f>
        <v>87.523</v>
      </c>
      <c r="F209" s="44">
        <f>F171</f>
        <v>37.905</v>
      </c>
      <c r="G209" s="44">
        <f>G171</f>
        <v>54.898</v>
      </c>
      <c r="H209" s="44">
        <f>H171</f>
        <v>84.318</v>
      </c>
      <c r="I209" s="44">
        <f>I171</f>
        <v>112.354</v>
      </c>
      <c r="J209" s="44">
        <f>J171</f>
        <v>23.836</v>
      </c>
      <c r="K209" s="44">
        <f>K171</f>
        <v>34.007</v>
      </c>
      <c r="L209" s="44">
        <f>L171</f>
        <v>33.588</v>
      </c>
      <c r="M209" s="44">
        <f>M171</f>
        <v>33.323</v>
      </c>
      <c r="N209" s="44">
        <f>N171</f>
        <v>124.754</v>
      </c>
      <c r="O209" s="44">
        <f>O171</f>
        <v>26.002</v>
      </c>
      <c r="P209" s="44">
        <f>P171</f>
        <v>37.577</v>
      </c>
      <c r="Q209" s="44">
        <f>Q171</f>
        <v>32.953</v>
      </c>
      <c r="R209" s="44">
        <f>R171</f>
        <v>25.401</v>
      </c>
      <c r="S209" s="44">
        <f>S171</f>
        <v>121.933</v>
      </c>
      <c r="T209" s="44">
        <f>T171</f>
        <v>24.389</v>
      </c>
      <c r="U209" s="44">
        <f>U171</f>
        <v>23.558</v>
      </c>
      <c r="V209" s="44">
        <f>V171</f>
        <v>-28.045</v>
      </c>
      <c r="W209" s="44">
        <f>W171</f>
        <v>22.473</v>
      </c>
      <c r="X209" s="44">
        <f>X171</f>
        <v>42.375</v>
      </c>
      <c r="Y209" s="44">
        <f>Y171</f>
        <v>19.558</v>
      </c>
      <c r="Z209" s="44">
        <f>Z171</f>
        <v>14.449</v>
      </c>
      <c r="AA209" s="44">
        <f>AA171</f>
        <v>20.257</v>
      </c>
      <c r="AB209" s="44">
        <f>AB171</f>
        <v>24.751</v>
      </c>
      <c r="AC209" s="44">
        <f>AC171</f>
        <v>79.015</v>
      </c>
      <c r="AD209" s="44">
        <f>AD171</f>
        <v>22.052</v>
      </c>
      <c r="AE209" s="44">
        <f>AE171</f>
        <v>22.635</v>
      </c>
      <c r="AF209" s="44">
        <f>AF171</f>
        <v>24.531</v>
      </c>
      <c r="AG209" s="44">
        <f>AG171</f>
        <v>49.543</v>
      </c>
      <c r="AH209" s="44">
        <f>AH171</f>
        <v>118.761</v>
      </c>
      <c r="AI209" s="44">
        <f>AI171</f>
        <v>23.378</v>
      </c>
      <c r="AJ209" s="44">
        <f>AJ171</f>
        <v>25.404</v>
      </c>
      <c r="AK209" s="44">
        <f>AK171</f>
        <v>25.209</v>
      </c>
      <c r="AL209" s="44">
        <f>AL171</f>
        <v>7.676</v>
      </c>
      <c r="AM209" s="44">
        <f>AM171</f>
        <v>81.667</v>
      </c>
      <c r="AN209" s="44">
        <f>AN171</f>
        <v>21.452</v>
      </c>
      <c r="AO209" s="44">
        <f>AO171</f>
        <v>18.04</v>
      </c>
      <c r="AP209" s="44">
        <f>AP171</f>
        <v>19.34</v>
      </c>
      <c r="AQ209" s="44">
        <f>AQ171</f>
        <v>16.578</v>
      </c>
      <c r="AR209" s="44">
        <f>AR171</f>
        <v>75.41</v>
      </c>
      <c r="AS209" s="44">
        <f>AS171</f>
        <v>20.37</v>
      </c>
      <c r="AT209" s="44">
        <f>AT171</f>
        <v>6.667</v>
      </c>
      <c r="AU209" s="44">
        <f>AU171</f>
        <v>14.797</v>
      </c>
      <c r="AV209" s="44">
        <f>AV171</f>
        <v>16.062</v>
      </c>
      <c r="AW209" s="44">
        <f>AW171</f>
        <v>57.896</v>
      </c>
      <c r="AX209" s="44">
        <f>AX171</f>
        <v>23.02</v>
      </c>
      <c r="AY209" s="44">
        <f>AY171</f>
        <v>21.581</v>
      </c>
      <c r="AZ209" s="44">
        <f>AZ171</f>
        <v>6.658</v>
      </c>
      <c r="BA209" s="44">
        <f>BA171</f>
        <v>-2.841</v>
      </c>
      <c r="BB209" s="44">
        <f>BB171</f>
        <v>48.418</v>
      </c>
      <c r="BC209" s="44">
        <f>BC171</f>
        <v>33.611</v>
      </c>
      <c r="BD209" s="44">
        <f>BD171</f>
        <v>32.118</v>
      </c>
      <c r="BE209" s="44">
        <f>BE171</f>
        <v>28.262</v>
      </c>
      <c r="BF209" s="44">
        <f>BF171</f>
        <v>26.612</v>
      </c>
      <c r="BG209" s="44">
        <f>BG171</f>
        <v>120.603</v>
      </c>
      <c r="BH209" s="44">
        <f>BH171</f>
        <v>33.413</v>
      </c>
      <c r="BI209" s="44">
        <f>BI171</f>
        <v>35.729</v>
      </c>
      <c r="BJ209" s="44">
        <f>BJ171</f>
        <v>32.09</v>
      </c>
      <c r="BK209" s="44">
        <f>BK171</f>
        <v>40.386</v>
      </c>
      <c r="BL209" s="44">
        <f>BL171</f>
        <v>141.618</v>
      </c>
      <c r="BM209" s="44">
        <f>BM171</f>
        <v>35.115</v>
      </c>
      <c r="BN209" s="44">
        <f>BN171</f>
        <v>34.916</v>
      </c>
      <c r="BO209" s="44">
        <f>BO171</f>
        <v>31.186</v>
      </c>
      <c r="BP209" s="44">
        <f>BP171</f>
        <v>26.824</v>
      </c>
      <c r="BQ209" s="44">
        <f>BQ171</f>
        <v>128.041</v>
      </c>
      <c r="BR209" s="44">
        <f>BR171</f>
        <v>34.748</v>
      </c>
      <c r="BS209" s="44">
        <f>BS171</f>
        <v>40.163</v>
      </c>
      <c r="BT209" s="44">
        <f>BT171</f>
        <v>43.367</v>
      </c>
      <c r="BU209" s="44">
        <f>BU171</f>
        <v>36.639</v>
      </c>
      <c r="BV209" s="44">
        <f>BV171</f>
        <v>154.917</v>
      </c>
      <c r="BW209" s="44">
        <f>BW171</f>
        <v>36.972</v>
      </c>
      <c r="BX209" s="44">
        <f>BX171</f>
        <v>49.363</v>
      </c>
      <c r="BY209" s="257">
        <f>BY171</f>
        <v>45.6601863152042</v>
      </c>
      <c r="BZ209" s="257">
        <f>BZ171</f>
        <v>47.6054660222957</v>
      </c>
      <c r="CA209" s="257">
        <f>CA171</f>
        <v>179.6006523375</v>
      </c>
      <c r="CB209" s="257">
        <f>CB171</f>
        <v>206.286314149396</v>
      </c>
      <c r="CC209" s="257">
        <f>CC171</f>
        <v>227.196642404598</v>
      </c>
      <c r="CD209" s="257">
        <f>CD171</f>
        <v>248.994062719858</v>
      </c>
      <c r="CE209" s="257">
        <f>CE171</f>
        <v>271.862796030955</v>
      </c>
      <c r="CF209" s="19" t="n"/>
    </row>
    <row r="210">
      <c r="B210" s="25" t="inlineStr">
        <is>
          <t xml:space="preserve">  (+) Interest expense, net of interest income</t>
        </is>
      </c>
      <c r="C210" s="44">
        <f>C167</f>
        <v>4.277</v>
      </c>
      <c r="D210" s="44">
        <f>D167</f>
        <v>3.136</v>
      </c>
      <c r="E210" s="44">
        <f>E167</f>
        <v>3.31</v>
      </c>
      <c r="F210" s="44">
        <f>F167</f>
        <v>5.059</v>
      </c>
      <c r="G210" s="44">
        <f>G167</f>
        <v>4.31</v>
      </c>
      <c r="H210" s="44">
        <f>H167</f>
        <v>3.583</v>
      </c>
      <c r="I210" s="44">
        <f>I167</f>
        <v>0.203</v>
      </c>
      <c r="J210" s="44">
        <f>J167</f>
        <v>-0.0760000000000001</v>
      </c>
      <c r="K210" s="44">
        <f>K167</f>
        <v>-0.091</v>
      </c>
      <c r="L210" s="44">
        <f>L167</f>
        <v>0.022</v>
      </c>
      <c r="M210" s="44">
        <f>M167</f>
        <v>-0.311</v>
      </c>
      <c r="N210" s="44">
        <f>N167</f>
        <v>-0.456</v>
      </c>
      <c r="O210" s="44">
        <f>O167</f>
        <v>0.656</v>
      </c>
      <c r="P210" s="44">
        <f>P167</f>
        <v>0.0619999999999999</v>
      </c>
      <c r="Q210" s="44">
        <f>Q167</f>
        <v>0.547</v>
      </c>
      <c r="R210" s="44">
        <f>R167</f>
        <v>6.076</v>
      </c>
      <c r="S210" s="44">
        <f>S167</f>
        <v>7.341</v>
      </c>
      <c r="T210" s="44">
        <f>T167</f>
        <v>1.251</v>
      </c>
      <c r="U210" s="44">
        <f>U167</f>
        <v>3.649</v>
      </c>
      <c r="V210" s="44">
        <f>V167</f>
        <v>5.111</v>
      </c>
      <c r="W210" s="44">
        <f>W167</f>
        <v>9.099</v>
      </c>
      <c r="X210" s="44">
        <f>X167</f>
        <v>19.11</v>
      </c>
      <c r="Y210" s="44">
        <f>Y167</f>
        <v>3.397</v>
      </c>
      <c r="Z210" s="44">
        <f>Z167</f>
        <v>3.751</v>
      </c>
      <c r="AA210" s="44">
        <f>AA167</f>
        <v>3.455</v>
      </c>
      <c r="AB210" s="44">
        <f>AB167</f>
        <v>6.384</v>
      </c>
      <c r="AC210" s="44">
        <f>AC167</f>
        <v>16.987</v>
      </c>
      <c r="AD210" s="44">
        <f>AD167</f>
        <v>5.337</v>
      </c>
      <c r="AE210" s="44">
        <f>AE167</f>
        <v>5.052</v>
      </c>
      <c r="AF210" s="44">
        <f>AF167</f>
        <v>4.595</v>
      </c>
      <c r="AG210" s="44">
        <f>AG167</f>
        <v>4.448</v>
      </c>
      <c r="AH210" s="44">
        <f>AH167</f>
        <v>19.432</v>
      </c>
      <c r="AI210" s="44">
        <f>AI167</f>
        <v>4.441</v>
      </c>
      <c r="AJ210" s="44">
        <f>AJ167</f>
        <v>4.812</v>
      </c>
      <c r="AK210" s="44">
        <f>AK167</f>
        <v>3.969</v>
      </c>
      <c r="AL210" s="44">
        <f>AL167</f>
        <v>4.343</v>
      </c>
      <c r="AM210" s="44">
        <f>AM167</f>
        <v>17.565</v>
      </c>
      <c r="AN210" s="44">
        <f>AN167</f>
        <v>5.323</v>
      </c>
      <c r="AO210" s="44">
        <f>AO167</f>
        <v>5.898</v>
      </c>
      <c r="AP210" s="44">
        <f>AP167</f>
        <v>6.4</v>
      </c>
      <c r="AQ210" s="44">
        <f>AQ167</f>
        <v>5.794</v>
      </c>
      <c r="AR210" s="44">
        <f>AR167</f>
        <v>23.415</v>
      </c>
      <c r="AS210" s="44">
        <f>AS167</f>
        <v>5.458</v>
      </c>
      <c r="AT210" s="44">
        <f>AT167</f>
        <v>5.881</v>
      </c>
      <c r="AU210" s="44">
        <f>AU167</f>
        <v>5.552</v>
      </c>
      <c r="AV210" s="44">
        <f>AV167</f>
        <v>5.082</v>
      </c>
      <c r="AW210" s="44">
        <f>AW167</f>
        <v>21.973</v>
      </c>
      <c r="AX210" s="44">
        <f>AX167</f>
        <v>5.359</v>
      </c>
      <c r="AY210" s="44">
        <f>AY167</f>
        <v>5.663</v>
      </c>
      <c r="AZ210" s="44">
        <f>AZ167</f>
        <v>5.714</v>
      </c>
      <c r="BA210" s="44">
        <f>BA167</f>
        <v>5.478</v>
      </c>
      <c r="BB210" s="44">
        <f>BB167</f>
        <v>22.214</v>
      </c>
      <c r="BC210" s="44">
        <f>BC167</f>
        <v>6.198</v>
      </c>
      <c r="BD210" s="44">
        <f>BD167</f>
        <v>6.459</v>
      </c>
      <c r="BE210" s="44">
        <f>BE167</f>
        <v>8.21</v>
      </c>
      <c r="BF210" s="44">
        <f>BF167</f>
        <v>8.633</v>
      </c>
      <c r="BG210" s="44">
        <f>BG167</f>
        <v>29.5</v>
      </c>
      <c r="BH210" s="44">
        <f>BH167</f>
        <v>13.201</v>
      </c>
      <c r="BI210" s="44">
        <f>BI167</f>
        <v>11.699</v>
      </c>
      <c r="BJ210" s="44">
        <f>BJ167</f>
        <v>10.809</v>
      </c>
      <c r="BK210" s="44">
        <f>BK167</f>
        <v>8.663</v>
      </c>
      <c r="BL210" s="44">
        <f>BL167</f>
        <v>44.371</v>
      </c>
      <c r="BM210" s="44">
        <f>BM167</f>
        <v>8.779</v>
      </c>
      <c r="BN210" s="44">
        <f>BN167</f>
        <v>10.661</v>
      </c>
      <c r="BO210" s="44">
        <f>BO167</f>
        <v>11.974</v>
      </c>
      <c r="BP210" s="44">
        <f>BP167</f>
        <v>11.372</v>
      </c>
      <c r="BQ210" s="44">
        <f>BQ167</f>
        <v>42.786</v>
      </c>
      <c r="BR210" s="44">
        <f>BR167</f>
        <v>12.127</v>
      </c>
      <c r="BS210" s="44">
        <f>BS167</f>
        <v>12.619</v>
      </c>
      <c r="BT210" s="44">
        <f>BT167</f>
        <v>13.648</v>
      </c>
      <c r="BU210" s="44">
        <f>BU167</f>
        <v>13.167</v>
      </c>
      <c r="BV210" s="44">
        <f>BV167</f>
        <v>51.561</v>
      </c>
      <c r="BW210" s="44">
        <f>BW167</f>
        <v>13.374</v>
      </c>
      <c r="BX210" s="44">
        <f>BX167</f>
        <v>12.521</v>
      </c>
      <c r="BY210" s="257">
        <f>BY167</f>
        <v>13.3025</v>
      </c>
      <c r="BZ210" s="257">
        <f>BZ167</f>
        <v>13.3025</v>
      </c>
      <c r="CA210" s="257">
        <f>CA167</f>
        <v>52.5</v>
      </c>
      <c r="CB210" s="257">
        <f>CB167</f>
        <v>44.8449239715873</v>
      </c>
      <c r="CC210" s="257">
        <f>CC167</f>
        <v>52.6597188671119</v>
      </c>
      <c r="CD210" s="257">
        <f>CD167</f>
        <v>58.1655482082567</v>
      </c>
      <c r="CE210" s="257">
        <f>CE167</f>
        <v>63.7690386069959</v>
      </c>
      <c r="CF210" s="19" t="n"/>
    </row>
    <row r="211">
      <c r="B211" s="55" t="inlineStr">
        <is>
          <t xml:space="preserve">  = EBIT (operating income + equity earnings + other income)</t>
        </is>
      </c>
      <c r="C211" s="56">
        <f>C207+C208+C209+C210</f>
        <v>242.449</v>
      </c>
      <c r="D211" s="56">
        <f>D207+D208+D209+D210</f>
        <v>290.293</v>
      </c>
      <c r="E211" s="56">
        <f>E207+E208+E209+E210</f>
        <v>303.119</v>
      </c>
      <c r="F211" s="56">
        <f>F207+F208+F209+F210</f>
        <v>91.5400000000001</v>
      </c>
      <c r="G211" s="56">
        <f>G207+G208+G209+G210</f>
        <v>191.418</v>
      </c>
      <c r="H211" s="56">
        <f>H207+H208+H209+H210</f>
        <v>304.914</v>
      </c>
      <c r="I211" s="56">
        <f>I207+I208+I209+I210</f>
        <v>369.773</v>
      </c>
      <c r="J211" s="56">
        <f>J207+J208+J209+J210</f>
        <v>90.603</v>
      </c>
      <c r="K211" s="56">
        <f>K207+K208+K209+K210</f>
        <v>106.443</v>
      </c>
      <c r="L211" s="56">
        <f>L207+L208+L209+L210</f>
        <v>97.862</v>
      </c>
      <c r="M211" s="56">
        <f>M207+M208+M209+M210</f>
        <v>121.077</v>
      </c>
      <c r="N211" s="56">
        <f>N207+N208+N209+N210</f>
        <v>415.985</v>
      </c>
      <c r="O211" s="56">
        <f>O207+O208+O209+O210</f>
        <v>83.082</v>
      </c>
      <c r="P211" s="56">
        <f>P207+P208+P209+P210</f>
        <v>114.928</v>
      </c>
      <c r="Q211" s="56">
        <f>Q207+Q208+Q209+Q210</f>
        <v>78.332</v>
      </c>
      <c r="R211" s="56">
        <f>R207+R208+R209+R210</f>
        <v>106.812</v>
      </c>
      <c r="S211" s="56">
        <f>S207+S208+S209+S210</f>
        <v>383.154</v>
      </c>
      <c r="T211" s="56">
        <f>T207+T208+T209+T210</f>
        <v>93.958</v>
      </c>
      <c r="U211" s="56">
        <f>U207+U208+U209+U210</f>
        <v>98.083</v>
      </c>
      <c r="V211" s="56">
        <f>V207+V208+V209+V210</f>
        <v>-83.4149999999999</v>
      </c>
      <c r="W211" s="56">
        <f>W207+W208+W209+W210</f>
        <v>80.271</v>
      </c>
      <c r="X211" s="56">
        <f>X207+X208+X209+X210</f>
        <v>188.897</v>
      </c>
      <c r="Y211" s="56">
        <f>Y207+Y208+Y209+Y210</f>
        <v>76.579</v>
      </c>
      <c r="Z211" s="56">
        <f>Z207+Z208+Z209+Z210</f>
        <v>49.509</v>
      </c>
      <c r="AA211" s="56">
        <f>AA207+AA208+AA209+AA210</f>
        <v>83.751</v>
      </c>
      <c r="AB211" s="56">
        <f>AB207+AB208+AB209+AB210</f>
        <v>84.536</v>
      </c>
      <c r="AC211" s="56">
        <f>AC207+AC208+AC209+AC210</f>
        <v>294.375</v>
      </c>
      <c r="AD211" s="56">
        <f>AD207+AD208+AD209+AD210</f>
        <v>83.2370000000001</v>
      </c>
      <c r="AE211" s="56">
        <f>AE207+AE208+AE209+AE210</f>
        <v>89.0179999999999</v>
      </c>
      <c r="AF211" s="56">
        <f>AF207+AF208+AF209+AF210</f>
        <v>135.237</v>
      </c>
      <c r="AG211" s="56">
        <f>AG207+AG208+AG209+AG210</f>
        <v>78.1759999999999</v>
      </c>
      <c r="AH211" s="56">
        <f>AH207+AH208+AH209+AH210</f>
        <v>385.668</v>
      </c>
      <c r="AI211" s="56">
        <f>AI207+AI208+AI209+AI210</f>
        <v>88.639</v>
      </c>
      <c r="AJ211" s="56">
        <f>AJ207+AJ208+AJ209+AJ210</f>
        <v>99.075</v>
      </c>
      <c r="AK211" s="56">
        <f>AK207+AK208+AK209+AK210</f>
        <v>99.713</v>
      </c>
      <c r="AL211" s="56">
        <f>AL207+AL208+AL209+AL210</f>
        <v>98.798</v>
      </c>
      <c r="AM211" s="56">
        <f>AM207+AM208+AM209+AM210</f>
        <v>386.225</v>
      </c>
      <c r="AN211" s="56">
        <f>AN207+AN208+AN209+AN210</f>
        <v>98.241</v>
      </c>
      <c r="AO211" s="56">
        <f>AO207+AO208+AO209+AO210</f>
        <v>109.382</v>
      </c>
      <c r="AP211" s="56">
        <f>AP207+AP208+AP209+AP210</f>
        <v>98.197</v>
      </c>
      <c r="AQ211" s="56">
        <f>AQ207+AQ208+AQ209+AQ210</f>
        <v>86.088</v>
      </c>
      <c r="AR211" s="56">
        <f>AR207+AR208+AR209+AR210</f>
        <v>391.908</v>
      </c>
      <c r="AS211" s="56">
        <f>AS207+AS208+AS209+AS210</f>
        <v>81.383</v>
      </c>
      <c r="AT211" s="56">
        <f>AT207+AT208+AT209+AT210</f>
        <v>39.561</v>
      </c>
      <c r="AU211" s="56">
        <f>AU207+AU208+AU209+AU210</f>
        <v>78.8550000000001</v>
      </c>
      <c r="AV211" s="56">
        <f>AV207+AV208+AV209+AV210</f>
        <v>86.214</v>
      </c>
      <c r="AW211" s="56">
        <f>AW207+AW208+AW209+AW210</f>
        <v>286.013</v>
      </c>
      <c r="AX211" s="56">
        <f>AX207+AX208+AX209+AX210</f>
        <v>102.512</v>
      </c>
      <c r="AY211" s="56">
        <f>AY207+AY208+AY209+AY210</f>
        <v>123.524</v>
      </c>
      <c r="AZ211" s="56">
        <f>AZ207+AZ208+AZ209+AZ210</f>
        <v>44.1289999999999</v>
      </c>
      <c r="BA211" s="56">
        <f>BA207+BA208+BA209+BA210</f>
        <v>77.0469999999999</v>
      </c>
      <c r="BB211" s="56">
        <f>BB207+BB208+BB209+BB210</f>
        <v>347.212</v>
      </c>
      <c r="BC211" s="56">
        <f>BC207+BC208+BC209+BC210</f>
        <v>165.84</v>
      </c>
      <c r="BD211" s="56">
        <f>BD207+BD208+BD209+BD210</f>
        <v>166.399</v>
      </c>
      <c r="BE211" s="56">
        <f>BE207+BE208+BE209+BE210</f>
        <v>145.697</v>
      </c>
      <c r="BF211" s="56">
        <f>BF207+BF208+BF209+BF210</f>
        <v>144.391</v>
      </c>
      <c r="BG211" s="56">
        <f>BG207+BG208+BG209+BG210</f>
        <v>622.327</v>
      </c>
      <c r="BH211" s="56">
        <f>BH207+BH208+BH209+BH210</f>
        <v>168.573</v>
      </c>
      <c r="BI211" s="56">
        <f>BI207+BI208+BI209+BI210</f>
        <v>184.759</v>
      </c>
      <c r="BJ211" s="56">
        <f>BJ207+BJ208+BJ209+BJ210</f>
        <v>172.242</v>
      </c>
      <c r="BK211" s="56">
        <f>BK207+BK208+BK209+BK210</f>
        <v>205.693</v>
      </c>
      <c r="BL211" s="56">
        <f>BL207+BL208+BL209+BL210</f>
        <v>731.237000000001</v>
      </c>
      <c r="BM211" s="56">
        <f>BM207+BM208+BM209+BM210</f>
        <v>167.309</v>
      </c>
      <c r="BN211" s="56">
        <f>BN207+BN208+BN209+BN210</f>
        <v>147.285</v>
      </c>
      <c r="BO211" s="56">
        <f>BO207+BO208+BO209+BO210</f>
        <v>143.916</v>
      </c>
      <c r="BP211" s="56">
        <f>BP207+BP208+BP209+BP210</f>
        <v>178.425</v>
      </c>
      <c r="BQ211" s="56">
        <f>BQ207+BQ208+BQ209+BQ210</f>
        <v>636.935</v>
      </c>
      <c r="BR211" s="56">
        <f>BR207+BR208+BR209+BR210</f>
        <v>165.362</v>
      </c>
      <c r="BS211" s="56">
        <f>BS207+BS208+BS209+BS210</f>
        <v>196.178</v>
      </c>
      <c r="BT211" s="56">
        <f>BT207+BT208+BT209+BT210</f>
        <v>179.643</v>
      </c>
      <c r="BU211" s="56">
        <f>BU207+BU208+BU209+BU210</f>
        <v>185.828</v>
      </c>
      <c r="BV211" s="56">
        <f>BV207+BV208+BV209+BV210</f>
        <v>727.011</v>
      </c>
      <c r="BW211" s="56">
        <f>BW207+BW208+BW209+BW210</f>
        <v>186.728</v>
      </c>
      <c r="BX211" s="56">
        <f>BX207+BX208+BX209+BX210</f>
        <v>220.403</v>
      </c>
      <c r="BY211" s="56">
        <f>BY207+BY208+BY209+BY210</f>
        <v>211.82504919654</v>
      </c>
      <c r="BZ211" s="56">
        <f>BZ207+BZ208+BZ209+BZ210</f>
        <v>220.28278705346</v>
      </c>
      <c r="CA211" s="56">
        <f>CA207+CA208+CA209+CA210</f>
        <v>839.23883625</v>
      </c>
      <c r="CB211" s="56">
        <f>CB207+CB208+CB209+CB210</f>
        <v>922.659026734974</v>
      </c>
      <c r="CC211" s="56">
        <f>CC207+CC208+CC209+CC210</f>
        <v>1019.4539418654</v>
      </c>
      <c r="CD211" s="56">
        <f>CD207+CD208+CD209+CD210</f>
        <v>1117.71475127148</v>
      </c>
      <c r="CE211" s="56">
        <f>CE207+CE208+CE209+CE210</f>
        <v>1220.63200044084</v>
      </c>
      <c r="CF211" s="19" t="n"/>
      <c r="CH211" s="20">
        <f>IFERROR((CE211/BV211)^(1/5)-1,"n/m")</f>
        <v>0.109197172620016</v>
      </c>
      <c r="CI211" s="20">
        <f>IFERROR((BV211/AW211)^(1/5)-1,"n/m")</f>
        <v>0.205122074863589</v>
      </c>
      <c r="CJ211" s="20">
        <f>IFERROR((BV211/X211)^(1/10)-1,"n/m")</f>
        <v>0.144278115668029</v>
      </c>
      <c r="CK211" s="20">
        <f>IFERROR((BV211/C211)^(1/19)-1,"n/m")</f>
        <v>0.0595002985177273</v>
      </c>
    </row>
    <row r="212">
      <c r="B212" s="156" t="inlineStr">
        <is>
          <t xml:space="preserve">  Company-published EBIT (consolidated segment table)</t>
        </is>
      </c>
      <c r="C212" s="34" t="n">
        <v>242.449</v>
      </c>
      <c r="D212" s="34" t="n">
        <v>290.293</v>
      </c>
      <c r="E212" s="34" t="n">
        <v>303.119</v>
      </c>
      <c r="F212" s="34" t="n">
        <v>91.54000000000001</v>
      </c>
      <c r="G212" s="34" t="n">
        <v>191.418</v>
      </c>
      <c r="H212" s="34" t="n">
        <v>304.914</v>
      </c>
      <c r="I212" s="34" t="n">
        <v>369.773</v>
      </c>
      <c r="J212" s="34" t="n">
        <v>90.60299999999999</v>
      </c>
      <c r="K212" s="34" t="n">
        <v>106.443</v>
      </c>
      <c r="L212" s="34" t="n">
        <v>97.86199999999999</v>
      </c>
      <c r="M212" s="34" t="n">
        <v>121.077</v>
      </c>
      <c r="N212" s="34" t="n">
        <v>415.985</v>
      </c>
      <c r="O212" s="34" t="n">
        <v>83.08199999999999</v>
      </c>
      <c r="P212" s="34" t="n">
        <v>114.928</v>
      </c>
      <c r="Q212" s="34" t="n">
        <v>78.33199999999999</v>
      </c>
      <c r="R212" s="34" t="n">
        <v>106.812</v>
      </c>
      <c r="S212" s="34" t="n">
        <v>383.154</v>
      </c>
      <c r="T212" s="34" t="n">
        <v>93.958</v>
      </c>
      <c r="U212" s="34" t="n">
        <v>98.083</v>
      </c>
      <c r="V212" s="34" t="n">
        <v>-83.41500000000001</v>
      </c>
      <c r="W212" s="34" t="n">
        <v>80.271</v>
      </c>
      <c r="X212" s="34" t="n">
        <v>188.897</v>
      </c>
      <c r="Y212" s="34" t="n">
        <v>76.57899999999999</v>
      </c>
      <c r="Z212" s="34" t="n">
        <v>49.509</v>
      </c>
      <c r="AA212" s="34" t="n">
        <v>83.751</v>
      </c>
      <c r="AB212" s="34" t="n">
        <v>84.536</v>
      </c>
      <c r="AC212" s="34" t="n">
        <v>294.375</v>
      </c>
      <c r="AD212" s="34" t="n">
        <v>83.23699999999999</v>
      </c>
      <c r="AE212" s="34" t="n">
        <v>89.018</v>
      </c>
      <c r="AF212" s="34" t="n">
        <v>135.237</v>
      </c>
      <c r="AG212" s="34" t="n">
        <v>78.176</v>
      </c>
      <c r="AH212" s="34" t="n">
        <v>385.668</v>
      </c>
      <c r="AI212" s="34" t="n">
        <v>88.639</v>
      </c>
      <c r="AJ212" s="34" t="n">
        <v>99.075</v>
      </c>
      <c r="AK212" s="34" t="n">
        <v>99.71299999999999</v>
      </c>
      <c r="AL212" s="34" t="n">
        <v>98.798</v>
      </c>
      <c r="AM212" s="34" t="n">
        <v>386.225</v>
      </c>
      <c r="AN212" s="34" t="n">
        <v>98.241</v>
      </c>
      <c r="AO212" s="34" t="n">
        <v>109.382</v>
      </c>
      <c r="AP212" s="34" t="n">
        <v>98.197</v>
      </c>
      <c r="AQ212" s="34" t="n">
        <v>86.08799999999999</v>
      </c>
      <c r="AR212" s="34" t="n">
        <v>391.908</v>
      </c>
      <c r="AS212" s="34" t="n">
        <v>81.383</v>
      </c>
      <c r="AT212" s="34" t="n">
        <v>39.561</v>
      </c>
      <c r="AU212" s="34" t="n">
        <v>78.855</v>
      </c>
      <c r="AV212" s="34" t="n">
        <v>86.214</v>
      </c>
      <c r="AW212" s="34" t="n">
        <v>286.013</v>
      </c>
      <c r="AX212" s="34" t="n">
        <v>102.512</v>
      </c>
      <c r="AY212" s="34" t="n">
        <v>123.524</v>
      </c>
      <c r="AZ212" s="34" t="n">
        <v>44.129</v>
      </c>
      <c r="BA212" s="34" t="n">
        <v>77.047</v>
      </c>
      <c r="BB212" s="34" t="n">
        <v>347.212</v>
      </c>
      <c r="BC212" s="34" t="n">
        <v>165.84</v>
      </c>
      <c r="BD212" s="34" t="n">
        <v>166.399</v>
      </c>
      <c r="BE212" s="34" t="n">
        <v>145.697</v>
      </c>
      <c r="BF212" s="34" t="n">
        <v>144.391</v>
      </c>
      <c r="BG212" s="34" t="n">
        <v>622.327</v>
      </c>
      <c r="BH212" s="34" t="n">
        <v>168.573</v>
      </c>
      <c r="BI212" s="34" t="n">
        <v>184.759</v>
      </c>
      <c r="BJ212" s="34" t="n">
        <v>172.242</v>
      </c>
      <c r="BK212" s="34" t="n">
        <v>205.693</v>
      </c>
      <c r="BL212" s="34" t="n">
        <v>731.237</v>
      </c>
      <c r="BM212" s="34" t="n">
        <v>167.309</v>
      </c>
      <c r="BN212" s="34" t="n">
        <v>147.285</v>
      </c>
      <c r="BO212" s="34" t="n">
        <v>143.916</v>
      </c>
      <c r="BP212" s="34" t="n">
        <v>178.425</v>
      </c>
      <c r="BQ212" s="34" t="n">
        <v>636.9349999999999</v>
      </c>
      <c r="BR212" s="34" t="n">
        <v>165.362</v>
      </c>
      <c r="BS212" s="34" t="n">
        <v>196.178</v>
      </c>
      <c r="BT212" s="34" t="n">
        <v>179.643</v>
      </c>
      <c r="BU212" s="34" t="n">
        <v>185.828</v>
      </c>
      <c r="BV212" s="34" t="n">
        <v>727.011</v>
      </c>
      <c r="BW212" s="34" t="n">
        <v>186.728</v>
      </c>
      <c r="BX212" s="34" t="n">
        <v>220.403</v>
      </c>
      <c r="BY212" s="269" t="n"/>
      <c r="BZ212" s="269" t="n"/>
      <c r="CA212" s="269" t="n"/>
      <c r="CB212" s="269" t="n"/>
      <c r="CC212" s="269" t="n"/>
      <c r="CD212" s="269" t="n"/>
      <c r="CE212" s="269" t="n"/>
      <c r="CF212" s="19" t="n"/>
    </row>
    <row r="213">
      <c r="B213" s="57" t="inlineStr">
        <is>
          <t xml:space="preserve">  Check: model EBIT vs company-published (should be 0)</t>
        </is>
      </c>
      <c r="C213" s="44">
        <f>IF(ISNUMBER(C212),ROUND(C211-C212,1),"n/p")</f>
        <v>0</v>
      </c>
      <c r="D213" s="44">
        <f>IF(ISNUMBER(D212),ROUND(D211-D212,1),"n/p")</f>
        <v>0</v>
      </c>
      <c r="E213" s="44">
        <f>IF(ISNUMBER(E212),ROUND(E211-E212,1),"n/p")</f>
        <v>0</v>
      </c>
      <c r="F213" s="44">
        <f>IF(ISNUMBER(F212),ROUND(F211-F212,1),"n/p")</f>
        <v>0</v>
      </c>
      <c r="G213" s="44">
        <f>IF(ISNUMBER(G212),ROUND(G211-G212,1),"n/p")</f>
        <v>0</v>
      </c>
      <c r="H213" s="44">
        <f>IF(ISNUMBER(H212),ROUND(H211-H212,1),"n/p")</f>
        <v>0</v>
      </c>
      <c r="I213" s="44">
        <f>IF(ISNUMBER(I212),ROUND(I211-I212,1),"n/p")</f>
        <v>0</v>
      </c>
      <c r="J213" s="44">
        <f>IF(ISNUMBER(J212),ROUND(J211-J212,1),"n/p")</f>
        <v>0</v>
      </c>
      <c r="K213" s="44">
        <f>IF(ISNUMBER(K212),ROUND(K211-K212,1),"n/p")</f>
        <v>0</v>
      </c>
      <c r="L213" s="44">
        <f>IF(ISNUMBER(L212),ROUND(L211-L212,1),"n/p")</f>
        <v>0</v>
      </c>
      <c r="M213" s="44">
        <f>IF(ISNUMBER(M212),ROUND(M211-M212,1),"n/p")</f>
        <v>0</v>
      </c>
      <c r="N213" s="44">
        <f>IF(ISNUMBER(N212),ROUND(N211-N212,1),"n/p")</f>
        <v>0</v>
      </c>
      <c r="O213" s="44">
        <f>IF(ISNUMBER(O212),ROUND(O211-O212,1),"n/p")</f>
        <v>0</v>
      </c>
      <c r="P213" s="44">
        <f>IF(ISNUMBER(P212),ROUND(P211-P212,1),"n/p")</f>
        <v>0</v>
      </c>
      <c r="Q213" s="44">
        <f>IF(ISNUMBER(Q212),ROUND(Q211-Q212,1),"n/p")</f>
        <v>0</v>
      </c>
      <c r="R213" s="44">
        <f>IF(ISNUMBER(R212),ROUND(R211-R212,1),"n/p")</f>
        <v>0</v>
      </c>
      <c r="S213" s="44">
        <f>IF(ISNUMBER(S212),ROUND(S211-S212,1),"n/p")</f>
        <v>0</v>
      </c>
      <c r="T213" s="44">
        <f>IF(ISNUMBER(T212),ROUND(T211-T212,1),"n/p")</f>
        <v>0</v>
      </c>
      <c r="U213" s="44">
        <f>IF(ISNUMBER(U212),ROUND(U211-U212,1),"n/p")</f>
        <v>0</v>
      </c>
      <c r="V213" s="44">
        <f>IF(ISNUMBER(V212),ROUND(V211-V212,1),"n/p")</f>
        <v>0</v>
      </c>
      <c r="W213" s="44">
        <f>IF(ISNUMBER(W212),ROUND(W211-W212,1),"n/p")</f>
        <v>0</v>
      </c>
      <c r="X213" s="44">
        <f>IF(ISNUMBER(X212),ROUND(X211-X212,1),"n/p")</f>
        <v>0</v>
      </c>
      <c r="Y213" s="44">
        <f>IF(ISNUMBER(Y212),ROUND(Y211-Y212,1),"n/p")</f>
        <v>0</v>
      </c>
      <c r="Z213" s="44">
        <f>IF(ISNUMBER(Z212),ROUND(Z211-Z212,1),"n/p")</f>
        <v>0</v>
      </c>
      <c r="AA213" s="44">
        <f>IF(ISNUMBER(AA212),ROUND(AA211-AA212,1),"n/p")</f>
        <v>0</v>
      </c>
      <c r="AB213" s="44">
        <f>IF(ISNUMBER(AB212),ROUND(AB211-AB212,1),"n/p")</f>
        <v>0</v>
      </c>
      <c r="AC213" s="44">
        <f>IF(ISNUMBER(AC212),ROUND(AC211-AC212,1),"n/p")</f>
        <v>0</v>
      </c>
      <c r="AD213" s="44">
        <f>IF(ISNUMBER(AD212),ROUND(AD211-AD212,1),"n/p")</f>
        <v>0</v>
      </c>
      <c r="AE213" s="44">
        <f>IF(ISNUMBER(AE212),ROUND(AE211-AE212,1),"n/p")</f>
        <v>0</v>
      </c>
      <c r="AF213" s="44">
        <f>IF(ISNUMBER(AF212),ROUND(AF211-AF212,1),"n/p")</f>
        <v>0</v>
      </c>
      <c r="AG213" s="44">
        <f>IF(ISNUMBER(AG212),ROUND(AG211-AG212,1),"n/p")</f>
        <v>0</v>
      </c>
      <c r="AH213" s="44">
        <f>IF(ISNUMBER(AH212),ROUND(AH211-AH212,1),"n/p")</f>
        <v>0</v>
      </c>
      <c r="AI213" s="44">
        <f>IF(ISNUMBER(AI212),ROUND(AI211-AI212,1),"n/p")</f>
        <v>0</v>
      </c>
      <c r="AJ213" s="44">
        <f>IF(ISNUMBER(AJ212),ROUND(AJ211-AJ212,1),"n/p")</f>
        <v>0</v>
      </c>
      <c r="AK213" s="44">
        <f>IF(ISNUMBER(AK212),ROUND(AK211-AK212,1),"n/p")</f>
        <v>0</v>
      </c>
      <c r="AL213" s="44">
        <f>IF(ISNUMBER(AL212),ROUND(AL211-AL212,1),"n/p")</f>
        <v>0</v>
      </c>
      <c r="AM213" s="44">
        <f>IF(ISNUMBER(AM212),ROUND(AM211-AM212,1),"n/p")</f>
        <v>0</v>
      </c>
      <c r="AN213" s="44">
        <f>IF(ISNUMBER(AN212),ROUND(AN211-AN212,1),"n/p")</f>
        <v>0</v>
      </c>
      <c r="AO213" s="44">
        <f>IF(ISNUMBER(AO212),ROUND(AO211-AO212,1),"n/p")</f>
        <v>0</v>
      </c>
      <c r="AP213" s="44">
        <f>IF(ISNUMBER(AP212),ROUND(AP211-AP212,1),"n/p")</f>
        <v>0</v>
      </c>
      <c r="AQ213" s="44">
        <f>IF(ISNUMBER(AQ212),ROUND(AQ211-AQ212,1),"n/p")</f>
        <v>0</v>
      </c>
      <c r="AR213" s="44">
        <f>IF(ISNUMBER(AR212),ROUND(AR211-AR212,1),"n/p")</f>
        <v>0</v>
      </c>
      <c r="AS213" s="44">
        <f>IF(ISNUMBER(AS212),ROUND(AS211-AS212,1),"n/p")</f>
        <v>0</v>
      </c>
      <c r="AT213" s="44">
        <f>IF(ISNUMBER(AT212),ROUND(AT211-AT212,1),"n/p")</f>
        <v>0</v>
      </c>
      <c r="AU213" s="44">
        <f>IF(ISNUMBER(AU212),ROUND(AU211-AU212,1),"n/p")</f>
        <v>0</v>
      </c>
      <c r="AV213" s="44">
        <f>IF(ISNUMBER(AV212),ROUND(AV211-AV212,1),"n/p")</f>
        <v>0</v>
      </c>
      <c r="AW213" s="44">
        <f>IF(ISNUMBER(AW212),ROUND(AW211-AW212,1),"n/p")</f>
        <v>0</v>
      </c>
      <c r="AX213" s="44">
        <f>IF(ISNUMBER(AX212),ROUND(AX211-AX212,1),"n/p")</f>
        <v>0</v>
      </c>
      <c r="AY213" s="44">
        <f>IF(ISNUMBER(AY212),ROUND(AY211-AY212,1),"n/p")</f>
        <v>0</v>
      </c>
      <c r="AZ213" s="44">
        <f>IF(ISNUMBER(AZ212),ROUND(AZ211-AZ212,1),"n/p")</f>
        <v>0</v>
      </c>
      <c r="BA213" s="44">
        <f>IF(ISNUMBER(BA212),ROUND(BA211-BA212,1),"n/p")</f>
        <v>0</v>
      </c>
      <c r="BB213" s="44">
        <f>IF(ISNUMBER(BB212),ROUND(BB211-BB212,1),"n/p")</f>
        <v>0</v>
      </c>
      <c r="BC213" s="44">
        <f>IF(ISNUMBER(BC212),ROUND(BC211-BC212,1),"n/p")</f>
        <v>0</v>
      </c>
      <c r="BD213" s="44">
        <f>IF(ISNUMBER(BD212),ROUND(BD211-BD212,1),"n/p")</f>
        <v>0</v>
      </c>
      <c r="BE213" s="44">
        <f>IF(ISNUMBER(BE212),ROUND(BE211-BE212,1),"n/p")</f>
        <v>0</v>
      </c>
      <c r="BF213" s="44">
        <f>IF(ISNUMBER(BF212),ROUND(BF211-BF212,1),"n/p")</f>
        <v>0</v>
      </c>
      <c r="BG213" s="44">
        <f>IF(ISNUMBER(BG212),ROUND(BG211-BG212,1),"n/p")</f>
        <v>0</v>
      </c>
      <c r="BH213" s="44">
        <f>IF(ISNUMBER(BH212),ROUND(BH211-BH212,1),"n/p")</f>
        <v>0</v>
      </c>
      <c r="BI213" s="44">
        <f>IF(ISNUMBER(BI212),ROUND(BI211-BI212,1),"n/p")</f>
        <v>0</v>
      </c>
      <c r="BJ213" s="44">
        <f>IF(ISNUMBER(BJ212),ROUND(BJ211-BJ212,1),"n/p")</f>
        <v>0</v>
      </c>
      <c r="BK213" s="44">
        <f>IF(ISNUMBER(BK212),ROUND(BK211-BK212,1),"n/p")</f>
        <v>0</v>
      </c>
      <c r="BL213" s="44">
        <f>IF(ISNUMBER(BL212),ROUND(BL211-BL212,1),"n/p")</f>
        <v>0</v>
      </c>
      <c r="BM213" s="44">
        <f>IF(ISNUMBER(BM212),ROUND(BM211-BM212,1),"n/p")</f>
        <v>0</v>
      </c>
      <c r="BN213" s="44">
        <f>IF(ISNUMBER(BN212),ROUND(BN211-BN212,1),"n/p")</f>
        <v>0</v>
      </c>
      <c r="BO213" s="44">
        <f>IF(ISNUMBER(BO212),ROUND(BO211-BO212,1),"n/p")</f>
        <v>0</v>
      </c>
      <c r="BP213" s="44">
        <f>IF(ISNUMBER(BP212),ROUND(BP211-BP212,1),"n/p")</f>
        <v>0</v>
      </c>
      <c r="BQ213" s="44">
        <f>IF(ISNUMBER(BQ212),ROUND(BQ211-BQ212,1),"n/p")</f>
        <v>0</v>
      </c>
      <c r="BR213" s="44">
        <f>IF(ISNUMBER(BR212),ROUND(BR211-BR212,1),"n/p")</f>
        <v>0</v>
      </c>
      <c r="BS213" s="44">
        <f>IF(ISNUMBER(BS212),ROUND(BS211-BS212,1),"n/p")</f>
        <v>0</v>
      </c>
      <c r="BT213" s="44">
        <f>IF(ISNUMBER(BT212),ROUND(BT211-BT212,1),"n/p")</f>
        <v>0</v>
      </c>
      <c r="BU213" s="44">
        <f>IF(ISNUMBER(BU212),ROUND(BU211-BU212,1),"n/p")</f>
        <v>0</v>
      </c>
      <c r="BV213" s="44">
        <f>IF(ISNUMBER(BV212),ROUND(BV211-BV212,1),"n/p")</f>
        <v>0</v>
      </c>
      <c r="BW213" s="44">
        <f>IF(ISNUMBER(BW212),ROUND(BW211-BW212,1),"n/p")</f>
        <v>0</v>
      </c>
      <c r="BX213" s="44">
        <f>IF(ISNUMBER(BX212),ROUND(BX211-BX212,1),"n/p")</f>
        <v>0</v>
      </c>
      <c r="BY213" s="269" t="n"/>
      <c r="BZ213" s="269" t="n"/>
      <c r="CA213" s="269" t="n"/>
      <c r="CB213" s="269" t="n"/>
      <c r="CC213" s="269" t="n"/>
      <c r="CD213" s="269" t="n"/>
      <c r="CE213" s="269" t="n"/>
      <c r="CF213" s="19" t="n"/>
    </row>
    <row r="214">
      <c r="B214" s="25" t="inlineStr">
        <is>
          <t xml:space="preserve">  (+) Rationalization &amp; asset impairment net charges</t>
        </is>
      </c>
      <c r="C214" s="34" t="n">
        <v>3.478</v>
      </c>
      <c r="D214" s="34" t="n">
        <v>-0.188</v>
      </c>
      <c r="E214" s="34" t="n">
        <v>19.371</v>
      </c>
      <c r="F214" s="34" t="n">
        <v>29.897</v>
      </c>
      <c r="G214" s="34" t="n">
        <v>-0.384</v>
      </c>
      <c r="H214" s="34" t="n">
        <v>0.282</v>
      </c>
      <c r="I214" s="34" t="n">
        <v>9.353999999999999</v>
      </c>
      <c r="J214" s="34" t="n">
        <v>1.051</v>
      </c>
      <c r="K214" s="34" t="n">
        <v>0.851</v>
      </c>
      <c r="L214" s="34" t="n">
        <v>6.302</v>
      </c>
      <c r="M214" s="34" t="n">
        <v>0.259</v>
      </c>
      <c r="N214" s="34" t="n">
        <v>8.462999999999999</v>
      </c>
      <c r="O214" s="34" t="n">
        <v>-0.017</v>
      </c>
      <c r="P214" s="34" t="n">
        <v>0.836</v>
      </c>
      <c r="Q214" s="34" t="n">
        <v>29.068</v>
      </c>
      <c r="R214" s="34" t="n">
        <v>0.166</v>
      </c>
      <c r="S214" s="34" t="n">
        <v>30.053</v>
      </c>
      <c r="T214" s="34" t="n">
        <v>0</v>
      </c>
      <c r="U214" s="34" t="n">
        <v>1.239</v>
      </c>
      <c r="V214" s="34" t="n">
        <v>18.285</v>
      </c>
      <c r="W214" s="34" t="n">
        <v>0.434</v>
      </c>
      <c r="X214" s="34" t="n">
        <v>19.958</v>
      </c>
      <c r="Y214" s="34" t="n">
        <v>0</v>
      </c>
      <c r="Z214" s="34" t="n">
        <v>0</v>
      </c>
      <c r="AA214" s="34" t="n">
        <v>0</v>
      </c>
      <c r="AB214" s="34" t="n">
        <v>0</v>
      </c>
      <c r="AC214" s="34" t="n">
        <v>0</v>
      </c>
      <c r="AD214" s="34" t="n">
        <v>0</v>
      </c>
      <c r="AE214" s="34" t="n">
        <v>0</v>
      </c>
      <c r="AF214" s="34" t="n">
        <v>0</v>
      </c>
      <c r="AG214" s="34" t="n">
        <v>6.59</v>
      </c>
      <c r="AH214" s="34" t="n">
        <v>6.59</v>
      </c>
      <c r="AI214" s="34" t="n">
        <v>10.175</v>
      </c>
      <c r="AJ214" s="34" t="n">
        <v>11.542</v>
      </c>
      <c r="AK214" s="34" t="n">
        <v>2.636</v>
      </c>
      <c r="AL214" s="34" t="n">
        <v>0.9320000000000001</v>
      </c>
      <c r="AM214" s="34" t="n">
        <v>25.285</v>
      </c>
      <c r="AN214" s="34" t="n">
        <v>3.535</v>
      </c>
      <c r="AO214" s="34" t="n">
        <v>1.307</v>
      </c>
      <c r="AP214" s="34" t="n">
        <v>1.495</v>
      </c>
      <c r="AQ214" s="34" t="n">
        <v>8.851000000000001</v>
      </c>
      <c r="AR214" s="34" t="n">
        <v>15.188</v>
      </c>
      <c r="AS214" s="34" t="n">
        <v>6.521</v>
      </c>
      <c r="AT214" s="34" t="n">
        <v>23.238</v>
      </c>
      <c r="AU214" s="34" t="n">
        <v>6.257</v>
      </c>
      <c r="AV214" s="34" t="n">
        <v>9.452</v>
      </c>
      <c r="AW214" s="34" t="n">
        <v>45.468</v>
      </c>
      <c r="AX214" s="34" t="n">
        <v>4.163</v>
      </c>
      <c r="AY214" s="34" t="n">
        <v>0.63</v>
      </c>
      <c r="AZ214" s="34" t="n">
        <v>3.484</v>
      </c>
      <c r="BA214" s="34" t="n">
        <v>1.55</v>
      </c>
      <c r="BB214" s="34" t="n">
        <v>9.827</v>
      </c>
      <c r="BC214" s="34" t="n">
        <v>1.885</v>
      </c>
      <c r="BD214" s="34" t="n">
        <v>-0.844</v>
      </c>
      <c r="BE214" s="34" t="n">
        <v>8.364000000000001</v>
      </c>
      <c r="BF214" s="34" t="n">
        <v>2.383</v>
      </c>
      <c r="BG214" s="34" t="n">
        <v>11.788</v>
      </c>
      <c r="BH214" s="34" t="n">
        <v>0.877</v>
      </c>
      <c r="BI214" s="34" t="n">
        <v>2.667</v>
      </c>
      <c r="BJ214" s="34" t="n">
        <v>7.074</v>
      </c>
      <c r="BK214" s="34" t="n">
        <v>-21.932</v>
      </c>
      <c r="BL214" s="34" t="n">
        <v>-11.314</v>
      </c>
      <c r="BM214" s="34" t="n">
        <v>4.605</v>
      </c>
      <c r="BN214" s="34" t="n">
        <v>26.49</v>
      </c>
      <c r="BO214" s="34" t="n">
        <v>20.227</v>
      </c>
      <c r="BP214" s="34" t="n">
        <v>4.538</v>
      </c>
      <c r="BQ214" s="34" t="n">
        <v>55.86</v>
      </c>
      <c r="BR214" s="34" t="n">
        <v>3.865</v>
      </c>
      <c r="BS214" s="34" t="n">
        <v>2.542</v>
      </c>
      <c r="BT214" s="34" t="n">
        <v>5.831</v>
      </c>
      <c r="BU214" s="34" t="n">
        <v>5.961</v>
      </c>
      <c r="BV214" s="34" t="n">
        <v>18.199</v>
      </c>
      <c r="BW214" s="34" t="n">
        <v>2.163</v>
      </c>
      <c r="BX214" s="34" t="n">
        <v>3.481</v>
      </c>
      <c r="BY214" s="257">
        <f>BY192</f>
        <v>2.822</v>
      </c>
      <c r="BZ214" s="257">
        <f>BZ192</f>
        <v>2.822</v>
      </c>
      <c r="CA214" s="257">
        <f>CA192</f>
        <v>11.288</v>
      </c>
      <c r="CB214" s="257">
        <f>CB192</f>
        <v>15</v>
      </c>
      <c r="CC214" s="257">
        <f>CC192</f>
        <v>15</v>
      </c>
      <c r="CD214" s="257">
        <f>CD192</f>
        <v>15</v>
      </c>
      <c r="CE214" s="257">
        <f>CE192</f>
        <v>15</v>
      </c>
      <c r="CF214" s="19" t="inlineStr">
        <is>
          <t>Forecast = special items in operating income (no non-operating special items assumed).</t>
        </is>
      </c>
    </row>
    <row r="215">
      <c r="B215" s="25" t="inlineStr">
        <is>
          <t xml:space="preserve">  (+) Acquisition transaction &amp; integration costs</t>
        </is>
      </c>
      <c r="C215" s="34" t="n">
        <v>0</v>
      </c>
      <c r="D215" s="34" t="n">
        <v>0</v>
      </c>
      <c r="E215" s="34" t="n">
        <v>0</v>
      </c>
      <c r="F215" s="34" t="n">
        <v>0</v>
      </c>
      <c r="G215" s="34" t="n">
        <v>0</v>
      </c>
      <c r="H215" s="34" t="n">
        <v>0</v>
      </c>
      <c r="I215" s="34" t="n">
        <v>0</v>
      </c>
      <c r="J215" s="34" t="n">
        <v>0</v>
      </c>
      <c r="K215" s="34" t="n">
        <v>0</v>
      </c>
      <c r="L215" s="34" t="n">
        <v>0</v>
      </c>
      <c r="M215" s="34" t="n">
        <v>0</v>
      </c>
      <c r="N215" s="34" t="n">
        <v>0</v>
      </c>
      <c r="O215" s="34" t="n">
        <v>0</v>
      </c>
      <c r="P215" s="34" t="n">
        <v>0</v>
      </c>
      <c r="Q215" s="34" t="n">
        <v>0</v>
      </c>
      <c r="R215" s="34" t="n">
        <v>0</v>
      </c>
      <c r="S215" s="34" t="n">
        <v>0</v>
      </c>
      <c r="T215" s="34" t="n">
        <v>0</v>
      </c>
      <c r="U215" s="34" t="n">
        <v>0</v>
      </c>
      <c r="V215" s="34" t="n">
        <v>0</v>
      </c>
      <c r="W215" s="34" t="n">
        <v>0</v>
      </c>
      <c r="X215" s="34" t="n">
        <v>0</v>
      </c>
      <c r="Y215" s="34" t="n">
        <v>0</v>
      </c>
      <c r="Z215" s="34" t="n">
        <v>0</v>
      </c>
      <c r="AA215" s="34" t="n">
        <v>0</v>
      </c>
      <c r="AB215" s="34" t="n">
        <v>0</v>
      </c>
      <c r="AC215" s="34" t="n">
        <v>0</v>
      </c>
      <c r="AD215" s="34" t="n">
        <v>3.615</v>
      </c>
      <c r="AE215" s="34" t="n">
        <v>4.498</v>
      </c>
      <c r="AF215" s="34" t="n">
        <v>3.273</v>
      </c>
      <c r="AG215" s="34" t="n">
        <v>3.616</v>
      </c>
      <c r="AH215" s="34" t="n">
        <v>15.002</v>
      </c>
      <c r="AI215" s="34" t="n">
        <v>1.907</v>
      </c>
      <c r="AJ215" s="34" t="n">
        <v>0.788</v>
      </c>
      <c r="AK215" s="34" t="n">
        <v>0.97</v>
      </c>
      <c r="AL215" s="34" t="n">
        <v>0.833</v>
      </c>
      <c r="AM215" s="34" t="n">
        <v>4.498</v>
      </c>
      <c r="AN215" s="34" t="n">
        <v>0.79</v>
      </c>
      <c r="AO215" s="34" t="n">
        <v>1.014</v>
      </c>
      <c r="AP215" s="34" t="n">
        <v>0</v>
      </c>
      <c r="AQ215" s="34" t="n">
        <v>0</v>
      </c>
      <c r="AR215" s="34" t="n">
        <v>1.804</v>
      </c>
      <c r="AS215" s="34" t="n">
        <v>0</v>
      </c>
      <c r="AT215" s="34" t="n">
        <v>0</v>
      </c>
      <c r="AU215" s="34" t="n">
        <v>0</v>
      </c>
      <c r="AV215" s="34" t="n">
        <v>0</v>
      </c>
      <c r="AW215" s="34" t="n">
        <v>0</v>
      </c>
      <c r="AX215" s="34" t="n">
        <v>1.113</v>
      </c>
      <c r="AY215" s="34" t="n">
        <v>0.8100000000000001</v>
      </c>
      <c r="AZ215" s="34" t="n">
        <v>0</v>
      </c>
      <c r="BA215" s="34" t="n">
        <v>0</v>
      </c>
      <c r="BB215" s="34" t="n">
        <v>1.923</v>
      </c>
      <c r="BC215" s="34" t="n">
        <v>0</v>
      </c>
      <c r="BD215" s="34" t="n">
        <v>0</v>
      </c>
      <c r="BE215" s="34" t="n">
        <v>3.068</v>
      </c>
      <c r="BF215" s="34" t="n">
        <v>2.935</v>
      </c>
      <c r="BG215" s="34" t="n">
        <v>6.003</v>
      </c>
      <c r="BH215" s="34" t="n">
        <v>0</v>
      </c>
      <c r="BI215" s="34" t="n">
        <v>0</v>
      </c>
      <c r="BJ215" s="34" t="n">
        <v>0</v>
      </c>
      <c r="BK215" s="34" t="n">
        <v>0</v>
      </c>
      <c r="BL215" s="34" t="n">
        <v>0</v>
      </c>
      <c r="BM215" s="34" t="n">
        <v>1.762</v>
      </c>
      <c r="BN215" s="34" t="n">
        <v>2.182</v>
      </c>
      <c r="BO215" s="34" t="n">
        <v>0.61</v>
      </c>
      <c r="BP215" s="34" t="n">
        <v>2.491</v>
      </c>
      <c r="BQ215" s="34" t="n">
        <v>7.042</v>
      </c>
      <c r="BR215" s="34" t="n">
        <v>0.802</v>
      </c>
      <c r="BS215" s="34" t="n">
        <v>0.429</v>
      </c>
      <c r="BT215" s="34" t="n">
        <v>0.452</v>
      </c>
      <c r="BU215" s="34" t="n">
        <v>1.056</v>
      </c>
      <c r="BV215" s="34" t="n">
        <v>2.739</v>
      </c>
      <c r="BW215" s="34" t="n">
        <v>0.653</v>
      </c>
      <c r="BX215" s="34" t="n">
        <v>0.015</v>
      </c>
      <c r="BY215" s="257">
        <f>BY193</f>
        <v>0.334</v>
      </c>
      <c r="BZ215" s="257">
        <f>BZ193</f>
        <v>0.334</v>
      </c>
      <c r="CA215" s="257">
        <f>CA193</f>
        <v>1.336</v>
      </c>
      <c r="CB215" s="257">
        <f>CB193</f>
        <v>2</v>
      </c>
      <c r="CC215" s="257">
        <f>CC193</f>
        <v>2.5</v>
      </c>
      <c r="CD215" s="257">
        <f>CD193</f>
        <v>2.5</v>
      </c>
      <c r="CE215" s="257">
        <f>CE193</f>
        <v>2.5</v>
      </c>
      <c r="CF215" s="19" t="n"/>
    </row>
    <row r="216">
      <c r="B216" s="25" t="inlineStr">
        <is>
          <t xml:space="preserve">  (+) Amortization of step-up in value of acquired inventories</t>
        </is>
      </c>
      <c r="C216" s="34" t="n">
        <v>0</v>
      </c>
      <c r="D216" s="34" t="n">
        <v>0</v>
      </c>
      <c r="E216" s="34" t="n">
        <v>0</v>
      </c>
      <c r="F216" s="34" t="n">
        <v>0</v>
      </c>
      <c r="G216" s="34" t="n">
        <v>0</v>
      </c>
      <c r="H216" s="34" t="n">
        <v>0</v>
      </c>
      <c r="I216" s="34" t="n">
        <v>0</v>
      </c>
      <c r="J216" s="34" t="n">
        <v>0</v>
      </c>
      <c r="K216" s="34" t="n">
        <v>0</v>
      </c>
      <c r="L216" s="34" t="n">
        <v>0</v>
      </c>
      <c r="M216" s="34" t="n">
        <v>0</v>
      </c>
      <c r="N216" s="34" t="n">
        <v>0</v>
      </c>
      <c r="O216" s="34" t="n">
        <v>0</v>
      </c>
      <c r="P216" s="34" t="n">
        <v>0</v>
      </c>
      <c r="Q216" s="34" t="n">
        <v>0</v>
      </c>
      <c r="R216" s="34" t="n">
        <v>0</v>
      </c>
      <c r="S216" s="34" t="n">
        <v>0</v>
      </c>
      <c r="T216" s="34" t="n">
        <v>0</v>
      </c>
      <c r="U216" s="34" t="n">
        <v>0</v>
      </c>
      <c r="V216" s="34" t="n">
        <v>0</v>
      </c>
      <c r="W216" s="34" t="n">
        <v>0</v>
      </c>
      <c r="X216" s="34" t="n">
        <v>0</v>
      </c>
      <c r="Y216" s="34" t="n">
        <v>0</v>
      </c>
      <c r="Z216" s="34" t="n">
        <v>0</v>
      </c>
      <c r="AA216" s="34" t="n">
        <v>0</v>
      </c>
      <c r="AB216" s="34" t="n">
        <v>0</v>
      </c>
      <c r="AC216" s="34" t="n">
        <v>0</v>
      </c>
      <c r="AD216" s="34" t="n">
        <v>0</v>
      </c>
      <c r="AE216" s="34" t="n">
        <v>0</v>
      </c>
      <c r="AF216" s="34" t="n">
        <v>2.314</v>
      </c>
      <c r="AG216" s="34" t="n">
        <v>2.264</v>
      </c>
      <c r="AH216" s="34" t="n">
        <v>4.578</v>
      </c>
      <c r="AI216" s="34" t="n">
        <v>0</v>
      </c>
      <c r="AJ216" s="34" t="n">
        <v>0</v>
      </c>
      <c r="AK216" s="34" t="n">
        <v>0</v>
      </c>
      <c r="AL216" s="34" t="n">
        <v>0</v>
      </c>
      <c r="AM216" s="34" t="n">
        <v>0</v>
      </c>
      <c r="AN216" s="34" t="n">
        <v>0</v>
      </c>
      <c r="AO216" s="34" t="n">
        <v>1.399</v>
      </c>
      <c r="AP216" s="34" t="n">
        <v>1.609</v>
      </c>
      <c r="AQ216" s="34" t="n">
        <v>0</v>
      </c>
      <c r="AR216" s="34" t="n">
        <v>3.008</v>
      </c>
      <c r="AS216" s="34" t="n">
        <v>0.806</v>
      </c>
      <c r="AT216" s="34" t="n">
        <v>0</v>
      </c>
      <c r="AU216" s="34" t="n">
        <v>0</v>
      </c>
      <c r="AV216" s="34" t="n">
        <v>0</v>
      </c>
      <c r="AW216" s="34" t="n">
        <v>0.806</v>
      </c>
      <c r="AX216" s="34" t="n">
        <v>0</v>
      </c>
      <c r="AY216" s="34" t="n">
        <v>1.841</v>
      </c>
      <c r="AZ216" s="34" t="n">
        <v>3.69</v>
      </c>
      <c r="BA216" s="34" t="n">
        <v>0.273</v>
      </c>
      <c r="BB216" s="34" t="n">
        <v>5.804</v>
      </c>
      <c r="BC216" s="34" t="n">
        <v>0</v>
      </c>
      <c r="BD216" s="34" t="n">
        <v>1.459</v>
      </c>
      <c r="BE216" s="34" t="n">
        <v>-0.353</v>
      </c>
      <c r="BF216" s="34" t="n">
        <v>0</v>
      </c>
      <c r="BG216" s="34" t="n">
        <v>1.106</v>
      </c>
      <c r="BH216" s="34" t="n">
        <v>3.856</v>
      </c>
      <c r="BI216" s="34" t="n">
        <v>3.545</v>
      </c>
      <c r="BJ216" s="34" t="n">
        <v>4.852</v>
      </c>
      <c r="BK216" s="34" t="n">
        <v>0</v>
      </c>
      <c r="BL216" s="34" t="n">
        <v>12.252</v>
      </c>
      <c r="BM216" s="34" t="n">
        <v>0</v>
      </c>
      <c r="BN216" s="34" t="n">
        <v>0.112</v>
      </c>
      <c r="BO216" s="34" t="n">
        <v>3.359</v>
      </c>
      <c r="BP216" s="34" t="n">
        <v>1.552</v>
      </c>
      <c r="BQ216" s="34" t="n">
        <v>5.026</v>
      </c>
      <c r="BR216" s="34" t="n">
        <v>-0.14</v>
      </c>
      <c r="BS216" s="34" t="n">
        <v>0</v>
      </c>
      <c r="BT216" s="34" t="n">
        <v>1.622</v>
      </c>
      <c r="BU216" s="34" t="n">
        <v>2.482</v>
      </c>
      <c r="BV216" s="34" t="n">
        <v>3.964</v>
      </c>
      <c r="BW216" s="34" t="n">
        <v>0</v>
      </c>
      <c r="BX216" s="34" t="n">
        <v>0</v>
      </c>
      <c r="BY216" s="257">
        <f>BY194</f>
        <v>0</v>
      </c>
      <c r="BZ216" s="257">
        <f>BZ194</f>
        <v>0</v>
      </c>
      <c r="CA216" s="257">
        <f>CA194</f>
        <v>0</v>
      </c>
      <c r="CB216" s="257">
        <f>CB194</f>
        <v>0</v>
      </c>
      <c r="CC216" s="257">
        <f>CC194</f>
        <v>0</v>
      </c>
      <c r="CD216" s="257">
        <f>CD194</f>
        <v>0</v>
      </c>
      <c r="CE216" s="257">
        <f>CE194</f>
        <v>0</v>
      </c>
      <c r="CF216" s="19" t="n"/>
    </row>
    <row r="217">
      <c r="B217" s="25" t="inlineStr">
        <is>
          <t xml:space="preserve">  (+/−) Pension settlement / termination net charges (gains) — other income from 2018</t>
        </is>
      </c>
      <c r="C217" s="34" t="n">
        <v>0</v>
      </c>
      <c r="D217" s="34" t="n">
        <v>0</v>
      </c>
      <c r="E217" s="34" t="n">
        <v>0</v>
      </c>
      <c r="F217" s="34" t="n">
        <v>-1.543</v>
      </c>
      <c r="G217" s="34" t="n">
        <v>0</v>
      </c>
      <c r="H217" s="34" t="n">
        <v>0</v>
      </c>
      <c r="I217" s="34" t="n">
        <v>0</v>
      </c>
      <c r="J217" s="34" t="n">
        <v>0</v>
      </c>
      <c r="K217" s="34" t="n">
        <v>0</v>
      </c>
      <c r="L217" s="34" t="n">
        <v>0</v>
      </c>
      <c r="M217" s="34" t="n">
        <v>0</v>
      </c>
      <c r="N217" s="34" t="n">
        <v>0</v>
      </c>
      <c r="O217" s="34" t="n">
        <v>0</v>
      </c>
      <c r="P217" s="34" t="n">
        <v>0</v>
      </c>
      <c r="Q217" s="34" t="n">
        <v>0</v>
      </c>
      <c r="R217" s="34" t="n">
        <v>0</v>
      </c>
      <c r="S217" s="34" t="n">
        <v>0</v>
      </c>
      <c r="T217" s="34" t="n">
        <v>0</v>
      </c>
      <c r="U217" s="34" t="n">
        <v>0</v>
      </c>
      <c r="V217" s="34" t="n">
        <v>136.331</v>
      </c>
      <c r="W217" s="34" t="n">
        <v>6.407</v>
      </c>
      <c r="X217" s="34" t="n">
        <v>142.738</v>
      </c>
      <c r="Y217" s="34" t="n">
        <v>0</v>
      </c>
      <c r="Z217" s="34" t="n">
        <v>0</v>
      </c>
      <c r="AA217" s="34" t="n">
        <v>0</v>
      </c>
      <c r="AB217" s="34" t="n">
        <v>0</v>
      </c>
      <c r="AC217" s="34" t="n">
        <v>0</v>
      </c>
      <c r="AD217" s="34" t="n">
        <v>0</v>
      </c>
      <c r="AE217" s="34" t="n">
        <v>0</v>
      </c>
      <c r="AF217" s="34" t="n">
        <v>5.283</v>
      </c>
      <c r="AG217" s="34" t="n">
        <v>2.867</v>
      </c>
      <c r="AH217" s="34" t="n">
        <v>8.15</v>
      </c>
      <c r="AI217" s="34" t="n">
        <v>0</v>
      </c>
      <c r="AJ217" s="34" t="n">
        <v>0</v>
      </c>
      <c r="AK217" s="34" t="n">
        <v>4.232</v>
      </c>
      <c r="AL217" s="34" t="n">
        <v>1.696</v>
      </c>
      <c r="AM217" s="34" t="n">
        <v>6.686</v>
      </c>
      <c r="AN217" s="34" t="n">
        <v>0</v>
      </c>
      <c r="AO217" s="34" t="n">
        <v>0</v>
      </c>
      <c r="AP217" s="34" t="n">
        <v>0</v>
      </c>
      <c r="AQ217" s="34" t="n">
        <v>0</v>
      </c>
      <c r="AR217" s="34" t="n">
        <v>0</v>
      </c>
      <c r="AS217" s="34" t="n">
        <v>0</v>
      </c>
      <c r="AT217" s="34" t="n">
        <v>3.334</v>
      </c>
      <c r="AU217" s="34" t="n">
        <v>3.188</v>
      </c>
      <c r="AV217" s="34" t="n">
        <v>1.597</v>
      </c>
      <c r="AW217" s="34" t="n">
        <v>8.119</v>
      </c>
      <c r="AX217" s="34" t="n">
        <v>4.886</v>
      </c>
      <c r="AY217" s="34" t="n">
        <v>1.65</v>
      </c>
      <c r="AZ217" s="34" t="n">
        <v>73.562</v>
      </c>
      <c r="BA217" s="34" t="n">
        <v>46.404</v>
      </c>
      <c r="BB217" s="34" t="n">
        <v>126.502</v>
      </c>
      <c r="BC217" s="34" t="n">
        <v>-4.273</v>
      </c>
      <c r="BD217" s="34" t="n">
        <v>0</v>
      </c>
      <c r="BE217" s="34" t="n">
        <v>0</v>
      </c>
      <c r="BF217" s="34" t="n">
        <v>0</v>
      </c>
      <c r="BG217" s="34" t="n">
        <v>-4.273</v>
      </c>
      <c r="BH217" s="34" t="n">
        <v>0</v>
      </c>
      <c r="BI217" s="34" t="n">
        <v>0</v>
      </c>
      <c r="BJ217" s="34" t="n">
        <v>0</v>
      </c>
      <c r="BK217" s="34" t="n">
        <v>0.845</v>
      </c>
      <c r="BL217" s="34" t="n">
        <v>0.845</v>
      </c>
      <c r="BM217" s="34" t="n">
        <v>0</v>
      </c>
      <c r="BN217" s="34" t="n">
        <v>0</v>
      </c>
      <c r="BO217" s="34" t="n">
        <v>3.966</v>
      </c>
      <c r="BP217" s="34" t="n">
        <v>-0.174</v>
      </c>
      <c r="BQ217" s="34" t="n">
        <v>3.792</v>
      </c>
      <c r="BR217" s="34" t="n">
        <v>0</v>
      </c>
      <c r="BS217" s="34" t="n">
        <v>0</v>
      </c>
      <c r="BT217" s="34" t="n">
        <v>0</v>
      </c>
      <c r="BU217" s="34" t="n">
        <v>0.719</v>
      </c>
      <c r="BV217" s="34" t="n">
        <v>0.719</v>
      </c>
      <c r="BW217" s="34" t="n">
        <v>0</v>
      </c>
      <c r="BX217" s="34" t="n">
        <v>0</v>
      </c>
      <c r="BY217" s="257">
        <f>BY195</f>
        <v>0</v>
      </c>
      <c r="BZ217" s="257">
        <f>BZ195</f>
        <v>0</v>
      </c>
      <c r="CA217" s="257">
        <f>CA195</f>
        <v>0</v>
      </c>
      <c r="CB217" s="257">
        <f>CB195</f>
        <v>0</v>
      </c>
      <c r="CC217" s="257">
        <f>CC195</f>
        <v>0</v>
      </c>
      <c r="CD217" s="257">
        <f>CD195</f>
        <v>0</v>
      </c>
      <c r="CE217" s="257">
        <f>CE195</f>
        <v>0</v>
      </c>
      <c r="CF217" s="19" t="n"/>
    </row>
    <row r="218">
      <c r="B218" s="25" t="inlineStr">
        <is>
          <t xml:space="preserve">  (+) Venezuela-related charges (incl. 2015 deconsolidation)</t>
        </is>
      </c>
      <c r="C218" s="34" t="n">
        <v>0</v>
      </c>
      <c r="D218" s="34" t="n">
        <v>0</v>
      </c>
      <c r="E218" s="34" t="n">
        <v>0</v>
      </c>
      <c r="F218" s="34" t="n">
        <v>0</v>
      </c>
      <c r="G218" s="34" t="n">
        <v>3.123</v>
      </c>
      <c r="H218" s="34" t="n">
        <v>0</v>
      </c>
      <c r="I218" s="34" t="n">
        <v>1.381</v>
      </c>
      <c r="J218" s="34" t="n">
        <v>9.66</v>
      </c>
      <c r="K218" s="34" t="n">
        <v>2.538</v>
      </c>
      <c r="L218" s="34" t="n">
        <v>0</v>
      </c>
      <c r="M218" s="34" t="n">
        <v>0</v>
      </c>
      <c r="N218" s="34" t="n">
        <v>12.198</v>
      </c>
      <c r="O218" s="34" t="n">
        <v>17.665</v>
      </c>
      <c r="P218" s="34" t="n">
        <v>3.468</v>
      </c>
      <c r="Q218" s="34" t="n">
        <v>0</v>
      </c>
      <c r="R218" s="34" t="n">
        <v>0</v>
      </c>
      <c r="S218" s="34" t="n">
        <v>21.133</v>
      </c>
      <c r="T218" s="34" t="n">
        <v>0</v>
      </c>
      <c r="U218" s="34" t="n">
        <v>0</v>
      </c>
      <c r="V218" s="34" t="n">
        <v>26.506</v>
      </c>
      <c r="W218" s="34" t="n">
        <v>0.708</v>
      </c>
      <c r="X218" s="34" t="n">
        <v>27.214</v>
      </c>
      <c r="Y218" s="34" t="n">
        <v>0</v>
      </c>
      <c r="Z218" s="34" t="n">
        <v>34.348</v>
      </c>
      <c r="AA218" s="34" t="n">
        <v>0</v>
      </c>
      <c r="AB218" s="34" t="n">
        <v>0</v>
      </c>
      <c r="AC218" s="34" t="n">
        <v>34.348</v>
      </c>
      <c r="AD218" s="34" t="n">
        <v>0</v>
      </c>
      <c r="AE218" s="34" t="n">
        <v>0</v>
      </c>
      <c r="AF218" s="34" t="n">
        <v>0</v>
      </c>
      <c r="AG218" s="34" t="n">
        <v>0</v>
      </c>
      <c r="AH218" s="34" t="n">
        <v>0</v>
      </c>
      <c r="AI218" s="34" t="n">
        <v>0</v>
      </c>
      <c r="AJ218" s="34" t="n">
        <v>0</v>
      </c>
      <c r="AK218" s="34" t="n">
        <v>0</v>
      </c>
      <c r="AL218" s="34" t="n">
        <v>0</v>
      </c>
      <c r="AM218" s="34" t="n">
        <v>0</v>
      </c>
      <c r="AN218" s="34" t="n">
        <v>0</v>
      </c>
      <c r="AO218" s="34" t="n">
        <v>0</v>
      </c>
      <c r="AP218" s="34" t="n">
        <v>0</v>
      </c>
      <c r="AQ218" s="34" t="n">
        <v>0</v>
      </c>
      <c r="AR218" s="34" t="n">
        <v>0</v>
      </c>
      <c r="AS218" s="34" t="n">
        <v>0</v>
      </c>
      <c r="AT218" s="34" t="n">
        <v>0</v>
      </c>
      <c r="AU218" s="34" t="n">
        <v>0</v>
      </c>
      <c r="AV218" s="34" t="n">
        <v>0</v>
      </c>
      <c r="AW218" s="34" t="n">
        <v>0</v>
      </c>
      <c r="AX218" s="34" t="n">
        <v>0</v>
      </c>
      <c r="AY218" s="34" t="n">
        <v>0</v>
      </c>
      <c r="AZ218" s="34" t="n">
        <v>0</v>
      </c>
      <c r="BA218" s="34" t="n">
        <v>0</v>
      </c>
      <c r="BB218" s="34" t="n">
        <v>0</v>
      </c>
      <c r="BC218" s="34" t="n">
        <v>0</v>
      </c>
      <c r="BD218" s="34" t="n">
        <v>0</v>
      </c>
      <c r="BE218" s="34" t="n">
        <v>0</v>
      </c>
      <c r="BF218" s="34" t="n">
        <v>0</v>
      </c>
      <c r="BG218" s="34" t="n">
        <v>0</v>
      </c>
      <c r="BH218" s="34" t="n">
        <v>0</v>
      </c>
      <c r="BI218" s="34" t="n">
        <v>0</v>
      </c>
      <c r="BJ218" s="34" t="n">
        <v>0</v>
      </c>
      <c r="BK218" s="34" t="n">
        <v>0</v>
      </c>
      <c r="BL218" s="34" t="n">
        <v>0</v>
      </c>
      <c r="BM218" s="34" t="n">
        <v>0</v>
      </c>
      <c r="BN218" s="34" t="n">
        <v>0</v>
      </c>
      <c r="BO218" s="34" t="n">
        <v>0</v>
      </c>
      <c r="BP218" s="34" t="n">
        <v>0</v>
      </c>
      <c r="BQ218" s="34" t="n">
        <v>0</v>
      </c>
      <c r="BR218" s="34" t="n">
        <v>0</v>
      </c>
      <c r="BS218" s="34" t="n">
        <v>0</v>
      </c>
      <c r="BT218" s="34" t="n">
        <v>0</v>
      </c>
      <c r="BU218" s="34" t="n">
        <v>0</v>
      </c>
      <c r="BV218" s="34" t="n">
        <v>0</v>
      </c>
      <c r="BW218" s="34" t="n">
        <v>0</v>
      </c>
      <c r="BX218" s="34" t="n">
        <v>0</v>
      </c>
      <c r="BY218" s="257">
        <f>BY196</f>
        <v>0</v>
      </c>
      <c r="BZ218" s="257">
        <f>BZ196</f>
        <v>0</v>
      </c>
      <c r="CA218" s="257">
        <f>CA196</f>
        <v>0</v>
      </c>
      <c r="CB218" s="257">
        <f>CB196</f>
        <v>0</v>
      </c>
      <c r="CC218" s="257">
        <f>CC196</f>
        <v>0</v>
      </c>
      <c r="CD218" s="257">
        <f>CD196</f>
        <v>0</v>
      </c>
      <c r="CE218" s="257">
        <f>CE196</f>
        <v>0</v>
      </c>
      <c r="CF218" s="19" t="n"/>
    </row>
    <row r="219">
      <c r="B219" s="25" t="inlineStr">
        <is>
          <t xml:space="preserve">  (−) Gains on asset disposals, bargain purchase &amp; change-in-control gains, net</t>
        </is>
      </c>
      <c r="C219" s="34" t="n">
        <v>-9.006</v>
      </c>
      <c r="D219" s="34" t="n">
        <v>0</v>
      </c>
      <c r="E219" s="34" t="n">
        <v>0</v>
      </c>
      <c r="F219" s="34" t="n">
        <v>0</v>
      </c>
      <c r="G219" s="34" t="n">
        <v>0</v>
      </c>
      <c r="H219" s="34" t="n">
        <v>0</v>
      </c>
      <c r="I219" s="34" t="n">
        <v>0</v>
      </c>
      <c r="J219" s="34" t="n">
        <v>0</v>
      </c>
      <c r="K219" s="34" t="n">
        <v>0</v>
      </c>
      <c r="L219" s="34" t="n">
        <v>0</v>
      </c>
      <c r="M219" s="34" t="n">
        <v>0.705</v>
      </c>
      <c r="N219" s="34" t="n">
        <v>0.705</v>
      </c>
      <c r="O219" s="34" t="n">
        <v>0</v>
      </c>
      <c r="P219" s="34" t="n">
        <v>0</v>
      </c>
      <c r="Q219" s="34" t="n">
        <v>0</v>
      </c>
      <c r="R219" s="34" t="n">
        <v>0</v>
      </c>
      <c r="S219" s="34" t="n">
        <v>0</v>
      </c>
      <c r="T219" s="34" t="n">
        <v>0</v>
      </c>
      <c r="U219" s="34" t="n">
        <v>0</v>
      </c>
      <c r="V219" s="34" t="n">
        <v>0</v>
      </c>
      <c r="W219" s="34" t="n">
        <v>0</v>
      </c>
      <c r="X219" s="34" t="n">
        <v>0</v>
      </c>
      <c r="Y219" s="34" t="n">
        <v>0</v>
      </c>
      <c r="Z219" s="34" t="n">
        <v>0</v>
      </c>
      <c r="AA219" s="34" t="n">
        <v>0</v>
      </c>
      <c r="AB219" s="34" t="n">
        <v>0</v>
      </c>
      <c r="AC219" s="34" t="n">
        <v>0</v>
      </c>
      <c r="AD219" s="34" t="n">
        <v>0</v>
      </c>
      <c r="AE219" s="34" t="n">
        <v>0</v>
      </c>
      <c r="AF219" s="34" t="n">
        <v>-51.585</v>
      </c>
      <c r="AG219" s="34" t="n">
        <v>1.935</v>
      </c>
      <c r="AH219" s="34" t="n">
        <v>-49.65</v>
      </c>
      <c r="AI219" s="34" t="n">
        <v>0</v>
      </c>
      <c r="AJ219" s="34" t="n">
        <v>0</v>
      </c>
      <c r="AK219" s="34" t="n">
        <v>0</v>
      </c>
      <c r="AL219" s="34" t="n">
        <v>0</v>
      </c>
      <c r="AM219" s="34" t="n">
        <v>0</v>
      </c>
      <c r="AN219" s="34" t="n">
        <v>0</v>
      </c>
      <c r="AO219" s="34" t="n">
        <v>-3.554</v>
      </c>
      <c r="AP219" s="34" t="n">
        <v>-7.601</v>
      </c>
      <c r="AQ219" s="34" t="n">
        <v>0</v>
      </c>
      <c r="AR219" s="34" t="n">
        <v>-11.155</v>
      </c>
      <c r="AS219" s="34" t="n">
        <v>0</v>
      </c>
      <c r="AT219" s="34" t="n">
        <v>0</v>
      </c>
      <c r="AU219" s="34" t="n">
        <v>0</v>
      </c>
      <c r="AV219" s="34" t="n">
        <v>0</v>
      </c>
      <c r="AW219" s="34" t="n">
        <v>0</v>
      </c>
      <c r="AX219" s="34" t="n">
        <v>0</v>
      </c>
      <c r="AY219" s="34" t="n">
        <v>0</v>
      </c>
      <c r="AZ219" s="34" t="n">
        <v>0</v>
      </c>
      <c r="BA219" s="34" t="n">
        <v>0</v>
      </c>
      <c r="BB219" s="34" t="n">
        <v>0</v>
      </c>
      <c r="BC219" s="34" t="n">
        <v>0</v>
      </c>
      <c r="BD219" s="34" t="n">
        <v>0</v>
      </c>
      <c r="BE219" s="34" t="n">
        <v>0</v>
      </c>
      <c r="BF219" s="34" t="n">
        <v>0</v>
      </c>
      <c r="BG219" s="34" t="n">
        <v>0</v>
      </c>
      <c r="BH219" s="34" t="n">
        <v>-1.646</v>
      </c>
      <c r="BI219" s="34" t="n">
        <v>0</v>
      </c>
      <c r="BJ219" s="34" t="n">
        <v>0</v>
      </c>
      <c r="BK219" s="34" t="n">
        <v>0</v>
      </c>
      <c r="BL219" s="34" t="n">
        <v>-1.646</v>
      </c>
      <c r="BM219" s="34" t="n">
        <v>0</v>
      </c>
      <c r="BN219" s="34" t="n">
        <v>4.95</v>
      </c>
      <c r="BO219" s="34" t="n">
        <v>0</v>
      </c>
      <c r="BP219" s="34" t="n">
        <v>0</v>
      </c>
      <c r="BQ219" s="34" t="n">
        <v>4.95</v>
      </c>
      <c r="BR219" s="34" t="n">
        <v>0</v>
      </c>
      <c r="BS219" s="34" t="n">
        <v>0</v>
      </c>
      <c r="BT219" s="34" t="n">
        <v>0</v>
      </c>
      <c r="BU219" s="34" t="n">
        <v>0</v>
      </c>
      <c r="BV219" s="34" t="n">
        <v>0</v>
      </c>
      <c r="BW219" s="34" t="n">
        <v>0</v>
      </c>
      <c r="BX219" s="34" t="n">
        <v>0</v>
      </c>
      <c r="BY219" s="257">
        <f>BY197</f>
        <v>0</v>
      </c>
      <c r="BZ219" s="257">
        <f>BZ197</f>
        <v>0</v>
      </c>
      <c r="CA219" s="257">
        <f>CA197</f>
        <v>0</v>
      </c>
      <c r="CB219" s="257">
        <f>CB197</f>
        <v>0</v>
      </c>
      <c r="CC219" s="257">
        <f>CC197</f>
        <v>0</v>
      </c>
      <c r="CD219" s="257">
        <f>CD197</f>
        <v>0</v>
      </c>
      <c r="CE219" s="257">
        <f>CE197</f>
        <v>0</v>
      </c>
      <c r="CF219" s="19" t="n"/>
    </row>
    <row r="220">
      <c r="B220" s="25" t="inlineStr">
        <is>
          <t xml:space="preserve">  (+/−) Other company items / definitional differences (balance to the published special-items total)</t>
        </is>
      </c>
      <c r="C220" s="34" t="n">
        <v>0</v>
      </c>
      <c r="D220" s="34" t="n">
        <v>0</v>
      </c>
      <c r="E220" s="34" t="n">
        <v>0</v>
      </c>
      <c r="F220" s="34" t="n">
        <v>2.275999999999996</v>
      </c>
      <c r="G220" s="34" t="n">
        <v>0</v>
      </c>
      <c r="H220" s="34" t="n">
        <v>0</v>
      </c>
      <c r="I220" s="34" t="n">
        <v>0</v>
      </c>
      <c r="J220" s="34" t="n">
        <v>0</v>
      </c>
      <c r="K220" s="34" t="n">
        <v>0</v>
      </c>
      <c r="L220" s="34" t="n">
        <v>0</v>
      </c>
      <c r="M220" s="34" t="n">
        <v>0</v>
      </c>
      <c r="N220" s="34" t="n">
        <v>0</v>
      </c>
      <c r="O220" s="34" t="n">
        <v>0</v>
      </c>
      <c r="P220" s="34" t="n">
        <v>0</v>
      </c>
      <c r="Q220" s="34" t="n">
        <v>0</v>
      </c>
      <c r="R220" s="34" t="n">
        <v>0</v>
      </c>
      <c r="S220" s="34" t="n">
        <v>0</v>
      </c>
      <c r="T220" s="34" t="n">
        <v>0</v>
      </c>
      <c r="U220" s="34" t="n">
        <v>0</v>
      </c>
      <c r="V220" s="34" t="n">
        <v>0</v>
      </c>
      <c r="W220" s="34" t="n">
        <v>0</v>
      </c>
      <c r="X220" s="34" t="n">
        <v>0</v>
      </c>
      <c r="Y220" s="34" t="n">
        <v>0</v>
      </c>
      <c r="Z220" s="34" t="n">
        <v>0</v>
      </c>
      <c r="AA220" s="34" t="n">
        <v>0</v>
      </c>
      <c r="AB220" s="34" t="n">
        <v>0</v>
      </c>
      <c r="AC220" s="34" t="n">
        <v>0</v>
      </c>
      <c r="AD220" s="34" t="n">
        <v>0</v>
      </c>
      <c r="AE220" s="34" t="n">
        <v>0</v>
      </c>
      <c r="AF220" s="34" t="n">
        <v>0</v>
      </c>
      <c r="AG220" s="34" t="n">
        <v>0</v>
      </c>
      <c r="AH220" s="34" t="n">
        <v>0</v>
      </c>
      <c r="AI220" s="34" t="n">
        <v>0.7579999999999991</v>
      </c>
      <c r="AJ220" s="34" t="n">
        <v>0</v>
      </c>
      <c r="AK220" s="34" t="n">
        <v>0</v>
      </c>
      <c r="AL220" s="34" t="n">
        <v>0</v>
      </c>
      <c r="AM220" s="34" t="n">
        <v>0</v>
      </c>
      <c r="AN220" s="34" t="n">
        <v>0</v>
      </c>
      <c r="AO220" s="34" t="n">
        <v>0</v>
      </c>
      <c r="AP220" s="34" t="n">
        <v>0</v>
      </c>
      <c r="AQ220" s="34" t="n">
        <v>0</v>
      </c>
      <c r="AR220" s="34" t="n">
        <v>0</v>
      </c>
      <c r="AS220" s="34" t="n">
        <v>0</v>
      </c>
      <c r="AT220" s="34" t="n">
        <v>0</v>
      </c>
      <c r="AU220" s="34" t="n">
        <v>0</v>
      </c>
      <c r="AV220" s="34" t="n">
        <v>0</v>
      </c>
      <c r="AW220" s="34" t="n">
        <v>0</v>
      </c>
      <c r="AX220" s="34" t="n">
        <v>0</v>
      </c>
      <c r="AY220" s="34" t="n">
        <v>0</v>
      </c>
      <c r="AZ220" s="34" t="n">
        <v>0</v>
      </c>
      <c r="BA220" s="34" t="n">
        <v>0</v>
      </c>
      <c r="BB220" s="34" t="n">
        <v>0</v>
      </c>
      <c r="BC220" s="34" t="n">
        <v>0</v>
      </c>
      <c r="BD220" s="34" t="n">
        <v>0</v>
      </c>
      <c r="BE220" s="34" t="n">
        <v>0</v>
      </c>
      <c r="BF220" s="34" t="n">
        <v>0</v>
      </c>
      <c r="BG220" s="34" t="n">
        <v>0</v>
      </c>
      <c r="BH220" s="34" t="n">
        <v>0</v>
      </c>
      <c r="BI220" s="34" t="n">
        <v>0</v>
      </c>
      <c r="BJ220" s="34" t="n">
        <v>0</v>
      </c>
      <c r="BK220" s="34" t="n">
        <v>0</v>
      </c>
      <c r="BL220" s="34" t="n">
        <v>0</v>
      </c>
      <c r="BM220" s="34" t="n">
        <v>0</v>
      </c>
      <c r="BN220" s="34" t="n">
        <v>0</v>
      </c>
      <c r="BO220" s="34" t="n">
        <v>0</v>
      </c>
      <c r="BP220" s="34" t="n">
        <v>0</v>
      </c>
      <c r="BQ220" s="34" t="n">
        <v>0</v>
      </c>
      <c r="BR220" s="34" t="n">
        <v>0</v>
      </c>
      <c r="BS220" s="34" t="n">
        <v>0</v>
      </c>
      <c r="BT220" s="34" t="n">
        <v>0</v>
      </c>
      <c r="BU220" s="34" t="n">
        <v>0</v>
      </c>
      <c r="BV220" s="34" t="n">
        <v>0</v>
      </c>
      <c r="BW220" s="34" t="n">
        <v>0</v>
      </c>
      <c r="BX220" s="34" t="n">
        <v>0</v>
      </c>
      <c r="BY220" s="257">
        <f>BY198</f>
        <v>0</v>
      </c>
      <c r="BZ220" s="257">
        <f>BZ198</f>
        <v>0</v>
      </c>
      <c r="CA220" s="257">
        <f>CA198</f>
        <v>0</v>
      </c>
      <c r="CB220" s="257">
        <f>CB198</f>
        <v>0</v>
      </c>
      <c r="CC220" s="257">
        <f>CC198</f>
        <v>0</v>
      </c>
      <c r="CD220" s="257">
        <f>CD198</f>
        <v>0</v>
      </c>
      <c r="CE220" s="257">
        <f>CE198</f>
        <v>0</v>
      </c>
      <c r="CF220" s="19" t="n"/>
    </row>
    <row r="221">
      <c r="B221" s="16" t="inlineStr">
        <is>
          <t xml:space="preserve">  Total special items (pre-tax)</t>
        </is>
      </c>
      <c r="C221" s="43">
        <f>N(C214)+N(C215)+N(C216)+N(C217)+N(C218)+N(C219)+N(C220)</f>
        <v>-5.528</v>
      </c>
      <c r="D221" s="43">
        <f>N(D214)+N(D215)+N(D216)+N(D217)+N(D218)+N(D219)+N(D220)</f>
        <v>-0.188</v>
      </c>
      <c r="E221" s="43">
        <f>N(E214)+N(E215)+N(E216)+N(E217)+N(E218)+N(E219)+N(E220)</f>
        <v>19.371</v>
      </c>
      <c r="F221" s="43">
        <f>N(F214)+N(F215)+N(F216)+N(F217)+N(F218)+N(F219)+N(F220)</f>
        <v>30.63</v>
      </c>
      <c r="G221" s="43">
        <f>N(G214)+N(G215)+N(G216)+N(G217)+N(G218)+N(G219)+N(G220)</f>
        <v>2.739</v>
      </c>
      <c r="H221" s="43">
        <f>N(H214)+N(H215)+N(H216)+N(H217)+N(H218)+N(H219)+N(H220)</f>
        <v>0.282</v>
      </c>
      <c r="I221" s="43">
        <f>N(I214)+N(I215)+N(I216)+N(I217)+N(I218)+N(I219)+N(I220)</f>
        <v>10.735</v>
      </c>
      <c r="J221" s="43">
        <f>N(J214)+N(J215)+N(J216)+N(J217)+N(J218)+N(J219)+N(J220)</f>
        <v>10.711</v>
      </c>
      <c r="K221" s="43">
        <f>N(K214)+N(K215)+N(K216)+N(K217)+N(K218)+N(K219)+N(K220)</f>
        <v>3.389</v>
      </c>
      <c r="L221" s="43">
        <f>N(L214)+N(L215)+N(L216)+N(L217)+N(L218)+N(L219)+N(L220)</f>
        <v>6.302</v>
      </c>
      <c r="M221" s="43">
        <f>N(M214)+N(M215)+N(M216)+N(M217)+N(M218)+N(M219)+N(M220)</f>
        <v>0.964</v>
      </c>
      <c r="N221" s="43">
        <f>N(N214)+N(N215)+N(N216)+N(N217)+N(N218)+N(N219)+N(N220)</f>
        <v>21.366</v>
      </c>
      <c r="O221" s="43">
        <f>N(O214)+N(O215)+N(O216)+N(O217)+N(O218)+N(O219)+N(O220)</f>
        <v>17.648</v>
      </c>
      <c r="P221" s="43">
        <f>N(P214)+N(P215)+N(P216)+N(P217)+N(P218)+N(P219)+N(P220)</f>
        <v>4.304</v>
      </c>
      <c r="Q221" s="43">
        <f>N(Q214)+N(Q215)+N(Q216)+N(Q217)+N(Q218)+N(Q219)+N(Q220)</f>
        <v>29.068</v>
      </c>
      <c r="R221" s="43">
        <f>N(R214)+N(R215)+N(R216)+N(R217)+N(R218)+N(R219)+N(R220)</f>
        <v>0.166</v>
      </c>
      <c r="S221" s="43">
        <f>N(S214)+N(S215)+N(S216)+N(S217)+N(S218)+N(S219)+N(S220)</f>
        <v>51.186</v>
      </c>
      <c r="T221" s="43">
        <f>N(T214)+N(T215)+N(T216)+N(T217)+N(T218)+N(T219)+N(T220)</f>
        <v>0</v>
      </c>
      <c r="U221" s="43">
        <f>N(U214)+N(U215)+N(U216)+N(U217)+N(U218)+N(U219)+N(U220)</f>
        <v>1.239</v>
      </c>
      <c r="V221" s="43">
        <f>N(V214)+N(V215)+N(V216)+N(V217)+N(V218)+N(V219)+N(V220)</f>
        <v>181.122</v>
      </c>
      <c r="W221" s="43">
        <f>N(W214)+N(W215)+N(W216)+N(W217)+N(W218)+N(W219)+N(W220)</f>
        <v>7.549</v>
      </c>
      <c r="X221" s="43">
        <f>N(X214)+N(X215)+N(X216)+N(X217)+N(X218)+N(X219)+N(X220)</f>
        <v>189.91</v>
      </c>
      <c r="Y221" s="43">
        <f>N(Y214)+N(Y215)+N(Y216)+N(Y217)+N(Y218)+N(Y219)+N(Y220)</f>
        <v>0</v>
      </c>
      <c r="Z221" s="43">
        <f>N(Z214)+N(Z215)+N(Z216)+N(Z217)+N(Z218)+N(Z219)+N(Z220)</f>
        <v>34.348</v>
      </c>
      <c r="AA221" s="43">
        <f>N(AA214)+N(AA215)+N(AA216)+N(AA217)+N(AA218)+N(AA219)+N(AA220)</f>
        <v>0</v>
      </c>
      <c r="AB221" s="43">
        <f>N(AB214)+N(AB215)+N(AB216)+N(AB217)+N(AB218)+N(AB219)+N(AB220)</f>
        <v>0</v>
      </c>
      <c r="AC221" s="43">
        <f>N(AC214)+N(AC215)+N(AC216)+N(AC217)+N(AC218)+N(AC219)+N(AC220)</f>
        <v>34.348</v>
      </c>
      <c r="AD221" s="43">
        <f>N(AD214)+N(AD215)+N(AD216)+N(AD217)+N(AD218)+N(AD219)+N(AD220)</f>
        <v>3.615</v>
      </c>
      <c r="AE221" s="43">
        <f>N(AE214)+N(AE215)+N(AE216)+N(AE217)+N(AE218)+N(AE219)+N(AE220)</f>
        <v>4.498</v>
      </c>
      <c r="AF221" s="43">
        <f>N(AF214)+N(AF215)+N(AF216)+N(AF217)+N(AF218)+N(AF219)+N(AF220)</f>
        <v>-40.715</v>
      </c>
      <c r="AG221" s="43">
        <f>N(AG214)+N(AG215)+N(AG216)+N(AG217)+N(AG218)+N(AG219)+N(AG220)</f>
        <v>17.272</v>
      </c>
      <c r="AH221" s="43">
        <f>N(AH214)+N(AH215)+N(AH216)+N(AH217)+N(AH218)+N(AH219)+N(AH220)</f>
        <v>-15.33</v>
      </c>
      <c r="AI221" s="43">
        <f>N(AI214)+N(AI215)+N(AI216)+N(AI217)+N(AI218)+N(AI219)+N(AI220)</f>
        <v>12.84</v>
      </c>
      <c r="AJ221" s="43">
        <f>N(AJ214)+N(AJ215)+N(AJ216)+N(AJ217)+N(AJ218)+N(AJ219)+N(AJ220)</f>
        <v>12.33</v>
      </c>
      <c r="AK221" s="43">
        <f>N(AK214)+N(AK215)+N(AK216)+N(AK217)+N(AK218)+N(AK219)+N(AK220)</f>
        <v>7.838</v>
      </c>
      <c r="AL221" s="43">
        <f>N(AL214)+N(AL215)+N(AL216)+N(AL217)+N(AL218)+N(AL219)+N(AL220)</f>
        <v>3.461</v>
      </c>
      <c r="AM221" s="43">
        <f>N(AM214)+N(AM215)+N(AM216)+N(AM217)+N(AM218)+N(AM219)+N(AM220)</f>
        <v>36.469</v>
      </c>
      <c r="AN221" s="43">
        <f>N(AN214)+N(AN215)+N(AN216)+N(AN217)+N(AN218)+N(AN219)+N(AN220)</f>
        <v>4.325</v>
      </c>
      <c r="AO221" s="43">
        <f>N(AO214)+N(AO215)+N(AO216)+N(AO217)+N(AO218)+N(AO219)+N(AO220)</f>
        <v>0.166</v>
      </c>
      <c r="AP221" s="43">
        <f>N(AP214)+N(AP215)+N(AP216)+N(AP217)+N(AP218)+N(AP219)+N(AP220)</f>
        <v>-4.497</v>
      </c>
      <c r="AQ221" s="43">
        <f>N(AQ214)+N(AQ215)+N(AQ216)+N(AQ217)+N(AQ218)+N(AQ219)+N(AQ220)</f>
        <v>8.851</v>
      </c>
      <c r="AR221" s="43">
        <f>N(AR214)+N(AR215)+N(AR216)+N(AR217)+N(AR218)+N(AR219)+N(AR220)</f>
        <v>8.845</v>
      </c>
      <c r="AS221" s="43">
        <f>N(AS214)+N(AS215)+N(AS216)+N(AS217)+N(AS218)+N(AS219)+N(AS220)</f>
        <v>7.327</v>
      </c>
      <c r="AT221" s="43">
        <f>N(AT214)+N(AT215)+N(AT216)+N(AT217)+N(AT218)+N(AT219)+N(AT220)</f>
        <v>26.572</v>
      </c>
      <c r="AU221" s="43">
        <f>N(AU214)+N(AU215)+N(AU216)+N(AU217)+N(AU218)+N(AU219)+N(AU220)</f>
        <v>9.445</v>
      </c>
      <c r="AV221" s="43">
        <f>N(AV214)+N(AV215)+N(AV216)+N(AV217)+N(AV218)+N(AV219)+N(AV220)</f>
        <v>11.049</v>
      </c>
      <c r="AW221" s="43">
        <f>N(AW214)+N(AW215)+N(AW216)+N(AW217)+N(AW218)+N(AW219)+N(AW220)</f>
        <v>54.393</v>
      </c>
      <c r="AX221" s="43">
        <f>N(AX214)+N(AX215)+N(AX216)+N(AX217)+N(AX218)+N(AX219)+N(AX220)</f>
        <v>10.162</v>
      </c>
      <c r="AY221" s="43">
        <f>N(AY214)+N(AY215)+N(AY216)+N(AY217)+N(AY218)+N(AY219)+N(AY220)</f>
        <v>4.931</v>
      </c>
      <c r="AZ221" s="43">
        <f>N(AZ214)+N(AZ215)+N(AZ216)+N(AZ217)+N(AZ218)+N(AZ219)+N(AZ220)</f>
        <v>80.736</v>
      </c>
      <c r="BA221" s="43">
        <f>N(BA214)+N(BA215)+N(BA216)+N(BA217)+N(BA218)+N(BA219)+N(BA220)</f>
        <v>48.227</v>
      </c>
      <c r="BB221" s="43">
        <f>N(BB214)+N(BB215)+N(BB216)+N(BB217)+N(BB218)+N(BB219)+N(BB220)</f>
        <v>144.056</v>
      </c>
      <c r="BC221" s="43">
        <f>N(BC214)+N(BC215)+N(BC216)+N(BC217)+N(BC218)+N(BC219)+N(BC220)</f>
        <v>-2.388</v>
      </c>
      <c r="BD221" s="43">
        <f>N(BD214)+N(BD215)+N(BD216)+N(BD217)+N(BD218)+N(BD219)+N(BD220)</f>
        <v>0.615</v>
      </c>
      <c r="BE221" s="43">
        <f>N(BE214)+N(BE215)+N(BE216)+N(BE217)+N(BE218)+N(BE219)+N(BE220)</f>
        <v>11.079</v>
      </c>
      <c r="BF221" s="43">
        <f>N(BF214)+N(BF215)+N(BF216)+N(BF217)+N(BF218)+N(BF219)+N(BF220)</f>
        <v>5.318</v>
      </c>
      <c r="BG221" s="43">
        <f>N(BG214)+N(BG215)+N(BG216)+N(BG217)+N(BG218)+N(BG219)+N(BG220)</f>
        <v>14.624</v>
      </c>
      <c r="BH221" s="43">
        <f>N(BH214)+N(BH215)+N(BH216)+N(BH217)+N(BH218)+N(BH219)+N(BH220)</f>
        <v>3.087</v>
      </c>
      <c r="BI221" s="43">
        <f>N(BI214)+N(BI215)+N(BI216)+N(BI217)+N(BI218)+N(BI219)+N(BI220)</f>
        <v>6.212</v>
      </c>
      <c r="BJ221" s="43">
        <f>N(BJ214)+N(BJ215)+N(BJ216)+N(BJ217)+N(BJ218)+N(BJ219)+N(BJ220)</f>
        <v>11.926</v>
      </c>
      <c r="BK221" s="43">
        <f>N(BK214)+N(BK215)+N(BK216)+N(BK217)+N(BK218)+N(BK219)+N(BK220)</f>
        <v>-21.087</v>
      </c>
      <c r="BL221" s="43">
        <f>N(BL214)+N(BL215)+N(BL216)+N(BL217)+N(BL218)+N(BL219)+N(BL220)</f>
        <v>0.137000000000001</v>
      </c>
      <c r="BM221" s="43">
        <f>N(BM214)+N(BM215)+N(BM216)+N(BM217)+N(BM218)+N(BM219)+N(BM220)</f>
        <v>6.367</v>
      </c>
      <c r="BN221" s="43">
        <f>N(BN214)+N(BN215)+N(BN216)+N(BN217)+N(BN218)+N(BN219)+N(BN220)</f>
        <v>33.734</v>
      </c>
      <c r="BO221" s="43">
        <f>N(BO214)+N(BO215)+N(BO216)+N(BO217)+N(BO218)+N(BO219)+N(BO220)</f>
        <v>28.162</v>
      </c>
      <c r="BP221" s="43">
        <f>N(BP214)+N(BP215)+N(BP216)+N(BP217)+N(BP218)+N(BP219)+N(BP220)</f>
        <v>8.407</v>
      </c>
      <c r="BQ221" s="43">
        <f>N(BQ214)+N(BQ215)+N(BQ216)+N(BQ217)+N(BQ218)+N(BQ219)+N(BQ220)</f>
        <v>76.67</v>
      </c>
      <c r="BR221" s="43">
        <f>N(BR214)+N(BR215)+N(BR216)+N(BR217)+N(BR218)+N(BR219)+N(BR220)</f>
        <v>4.527</v>
      </c>
      <c r="BS221" s="43">
        <f>N(BS214)+N(BS215)+N(BS216)+N(BS217)+N(BS218)+N(BS219)+N(BS220)</f>
        <v>2.971</v>
      </c>
      <c r="BT221" s="43">
        <f>N(BT214)+N(BT215)+N(BT216)+N(BT217)+N(BT218)+N(BT219)+N(BT220)</f>
        <v>7.905</v>
      </c>
      <c r="BU221" s="43">
        <f>N(BU214)+N(BU215)+N(BU216)+N(BU217)+N(BU218)+N(BU219)+N(BU220)</f>
        <v>10.218</v>
      </c>
      <c r="BV221" s="43">
        <f>N(BV214)+N(BV215)+N(BV216)+N(BV217)+N(BV218)+N(BV219)+N(BV220)</f>
        <v>25.621</v>
      </c>
      <c r="BW221" s="43">
        <f>N(BW214)+N(BW215)+N(BW216)+N(BW217)+N(BW218)+N(BW219)+N(BW220)</f>
        <v>2.816</v>
      </c>
      <c r="BX221" s="43">
        <f>N(BX214)+N(BX215)+N(BX216)+N(BX217)+N(BX218)+N(BX219)+N(BX220)</f>
        <v>3.496</v>
      </c>
      <c r="BY221" s="253">
        <f>N(BY214)+N(BY215)+N(BY216)+N(BY217)+N(BY218)+N(BY219)+N(BY220)</f>
        <v>3.156</v>
      </c>
      <c r="BZ221" s="253">
        <f>N(BZ214)+N(BZ215)+N(BZ216)+N(BZ217)+N(BZ218)+N(BZ219)+N(BZ220)</f>
        <v>3.156</v>
      </c>
      <c r="CA221" s="253">
        <f>N(CA214)+N(CA215)+N(CA216)+N(CA217)+N(CA218)+N(CA219)+N(CA220)</f>
        <v>12.624</v>
      </c>
      <c r="CB221" s="253">
        <f>N(CB214)+N(CB215)+N(CB216)+N(CB217)+N(CB218)+N(CB219)+N(CB220)</f>
        <v>17</v>
      </c>
      <c r="CC221" s="253">
        <f>N(CC214)+N(CC215)+N(CC216)+N(CC217)+N(CC218)+N(CC219)+N(CC220)</f>
        <v>17.5</v>
      </c>
      <c r="CD221" s="253">
        <f>N(CD214)+N(CD215)+N(CD216)+N(CD217)+N(CD218)+N(CD219)+N(CD220)</f>
        <v>17.5</v>
      </c>
      <c r="CE221" s="253">
        <f>N(CE214)+N(CE215)+N(CE216)+N(CE217)+N(CE218)+N(CE219)+N(CE220)</f>
        <v>17.5</v>
      </c>
      <c r="CF221" s="19" t="n"/>
    </row>
    <row r="222">
      <c r="B222" s="55" t="inlineStr">
        <is>
          <t xml:space="preserve">  = Adjusted EBIT (model bridge)</t>
        </is>
      </c>
      <c r="C222" s="56">
        <f>C211+C221</f>
        <v>236.921</v>
      </c>
      <c r="D222" s="56">
        <f>D211+D221</f>
        <v>290.105</v>
      </c>
      <c r="E222" s="56">
        <f>E211+E221</f>
        <v>322.49</v>
      </c>
      <c r="F222" s="56">
        <f>F211+F221</f>
        <v>122.17</v>
      </c>
      <c r="G222" s="56">
        <f>G211+G221</f>
        <v>194.157</v>
      </c>
      <c r="H222" s="56">
        <f>H211+H221</f>
        <v>305.196</v>
      </c>
      <c r="I222" s="56">
        <f>I211+I221</f>
        <v>380.508</v>
      </c>
      <c r="J222" s="56">
        <f>J211+J221</f>
        <v>101.314</v>
      </c>
      <c r="K222" s="56">
        <f>K211+K221</f>
        <v>109.832</v>
      </c>
      <c r="L222" s="56">
        <f>L211+L221</f>
        <v>104.164</v>
      </c>
      <c r="M222" s="56">
        <f>M211+M221</f>
        <v>122.041</v>
      </c>
      <c r="N222" s="56">
        <f>N211+N221</f>
        <v>437.351</v>
      </c>
      <c r="O222" s="56">
        <f>O211+O221</f>
        <v>100.73</v>
      </c>
      <c r="P222" s="56">
        <f>P211+P221</f>
        <v>119.232</v>
      </c>
      <c r="Q222" s="56">
        <f>Q211+Q221</f>
        <v>107.4</v>
      </c>
      <c r="R222" s="56">
        <f>R211+R221</f>
        <v>106.978</v>
      </c>
      <c r="S222" s="56">
        <f>S211+S221</f>
        <v>434.34</v>
      </c>
      <c r="T222" s="56">
        <f>T211+T221</f>
        <v>93.958</v>
      </c>
      <c r="U222" s="56">
        <f>U211+U221</f>
        <v>99.322</v>
      </c>
      <c r="V222" s="56">
        <f>V211+V221</f>
        <v>97.7070000000001</v>
      </c>
      <c r="W222" s="56">
        <f>W211+W221</f>
        <v>87.82</v>
      </c>
      <c r="X222" s="56">
        <f>X211+X221</f>
        <v>378.807</v>
      </c>
      <c r="Y222" s="56">
        <f>Y211+Y221</f>
        <v>76.579</v>
      </c>
      <c r="Z222" s="56">
        <f>Z211+Z221</f>
        <v>83.857</v>
      </c>
      <c r="AA222" s="56">
        <f>AA211+AA221</f>
        <v>83.751</v>
      </c>
      <c r="AB222" s="56">
        <f>AB211+AB221</f>
        <v>84.536</v>
      </c>
      <c r="AC222" s="56">
        <f>AC211+AC221</f>
        <v>328.723</v>
      </c>
      <c r="AD222" s="56">
        <f>AD211+AD221</f>
        <v>86.8520000000001</v>
      </c>
      <c r="AE222" s="56">
        <f>AE211+AE221</f>
        <v>93.516</v>
      </c>
      <c r="AF222" s="56">
        <f>AF211+AF221</f>
        <v>94.522</v>
      </c>
      <c r="AG222" s="56">
        <f>AG211+AG221</f>
        <v>95.4479999999999</v>
      </c>
      <c r="AH222" s="56">
        <f>AH211+AH221</f>
        <v>370.338</v>
      </c>
      <c r="AI222" s="56">
        <f>AI211+AI221</f>
        <v>101.479</v>
      </c>
      <c r="AJ222" s="56">
        <f>AJ211+AJ221</f>
        <v>111.405</v>
      </c>
      <c r="AK222" s="56">
        <f>AK211+AK221</f>
        <v>107.551</v>
      </c>
      <c r="AL222" s="56">
        <f>AL211+AL221</f>
        <v>102.259</v>
      </c>
      <c r="AM222" s="56">
        <f>AM211+AM221</f>
        <v>422.694</v>
      </c>
      <c r="AN222" s="56">
        <f>AN211+AN221</f>
        <v>102.566</v>
      </c>
      <c r="AO222" s="56">
        <f>AO211+AO221</f>
        <v>109.548</v>
      </c>
      <c r="AP222" s="56">
        <f>AP211+AP221</f>
        <v>93.7</v>
      </c>
      <c r="AQ222" s="56">
        <f>AQ211+AQ221</f>
        <v>94.939</v>
      </c>
      <c r="AR222" s="56">
        <f>AR211+AR221</f>
        <v>400.753</v>
      </c>
      <c r="AS222" s="56">
        <f>AS211+AS221</f>
        <v>88.71</v>
      </c>
      <c r="AT222" s="56">
        <f>AT211+AT221</f>
        <v>66.133</v>
      </c>
      <c r="AU222" s="56">
        <f>AU211+AU221</f>
        <v>88.3000000000001</v>
      </c>
      <c r="AV222" s="56">
        <f>AV211+AV221</f>
        <v>97.263</v>
      </c>
      <c r="AW222" s="56">
        <f>AW211+AW221</f>
        <v>340.406</v>
      </c>
      <c r="AX222" s="56">
        <f>AX211+AX221</f>
        <v>112.674</v>
      </c>
      <c r="AY222" s="56">
        <f>AY211+AY221</f>
        <v>128.455</v>
      </c>
      <c r="AZ222" s="56">
        <f>AZ211+AZ221</f>
        <v>124.865</v>
      </c>
      <c r="BA222" s="56">
        <f>BA211+BA221</f>
        <v>125.274</v>
      </c>
      <c r="BB222" s="56">
        <f>BB211+BB221</f>
        <v>491.268</v>
      </c>
      <c r="BC222" s="56">
        <f>BC211+BC221</f>
        <v>163.452</v>
      </c>
      <c r="BD222" s="56">
        <f>BD211+BD221</f>
        <v>167.014</v>
      </c>
      <c r="BE222" s="56">
        <f>BE211+BE221</f>
        <v>156.776</v>
      </c>
      <c r="BF222" s="56">
        <f>BF211+BF221</f>
        <v>149.709</v>
      </c>
      <c r="BG222" s="56">
        <f>BG211+BG221</f>
        <v>636.951</v>
      </c>
      <c r="BH222" s="56">
        <f>BH211+BH221</f>
        <v>171.66</v>
      </c>
      <c r="BI222" s="56">
        <f>BI211+BI221</f>
        <v>190.971</v>
      </c>
      <c r="BJ222" s="56">
        <f>BJ211+BJ221</f>
        <v>184.168</v>
      </c>
      <c r="BK222" s="56">
        <f>BK211+BK221</f>
        <v>184.606</v>
      </c>
      <c r="BL222" s="56">
        <f>BL211+BL221</f>
        <v>731.374000000001</v>
      </c>
      <c r="BM222" s="56">
        <f>BM211+BM221</f>
        <v>173.676</v>
      </c>
      <c r="BN222" s="56">
        <f>BN211+BN221</f>
        <v>181.019</v>
      </c>
      <c r="BO222" s="56">
        <f>BO211+BO221</f>
        <v>172.078</v>
      </c>
      <c r="BP222" s="56">
        <f>BP211+BP221</f>
        <v>186.832</v>
      </c>
      <c r="BQ222" s="56">
        <f>BQ211+BQ221</f>
        <v>713.605</v>
      </c>
      <c r="BR222" s="56">
        <f>BR211+BR221</f>
        <v>169.889</v>
      </c>
      <c r="BS222" s="56">
        <f>BS211+BS221</f>
        <v>199.149</v>
      </c>
      <c r="BT222" s="56">
        <f>BT211+BT221</f>
        <v>187.548</v>
      </c>
      <c r="BU222" s="56">
        <f>BU211+BU221</f>
        <v>196.046</v>
      </c>
      <c r="BV222" s="56">
        <f>BV211+BV221</f>
        <v>752.632</v>
      </c>
      <c r="BW222" s="56">
        <f>BW211+BW221</f>
        <v>189.544</v>
      </c>
      <c r="BX222" s="56">
        <f>BX211+BX221</f>
        <v>223.899</v>
      </c>
      <c r="BY222" s="56">
        <f>BY211+BY221</f>
        <v>214.98104919654</v>
      </c>
      <c r="BZ222" s="56">
        <f>BZ211+BZ221</f>
        <v>223.43878705346</v>
      </c>
      <c r="CA222" s="56">
        <f>CA211+CA221</f>
        <v>851.86283625</v>
      </c>
      <c r="CB222" s="56">
        <f>CB211+CB221</f>
        <v>939.659026734974</v>
      </c>
      <c r="CC222" s="56">
        <f>CC211+CC221</f>
        <v>1036.9539418654</v>
      </c>
      <c r="CD222" s="56">
        <f>CD211+CD221</f>
        <v>1135.21475127148</v>
      </c>
      <c r="CE222" s="56">
        <f>CE211+CE221</f>
        <v>1238.13200044084</v>
      </c>
      <c r="CF222" s="19" t="inlineStr">
        <is>
          <t>Historical bridge rebuilt from the company special-items disclosure; forecast = segment-build adjusted EBIT (check row in the Group block).</t>
        </is>
      </c>
      <c r="CH222" s="20">
        <f>IFERROR((CE222/BV222)^(1/5)-1,"n/m")</f>
        <v>0.104680922106365</v>
      </c>
      <c r="CI222" s="20">
        <f>IFERROR((BV222/AW222)^(1/5)-1,"n/m")</f>
        <v>0.17197161869519</v>
      </c>
      <c r="CJ222" s="20">
        <f>IFERROR((BV222/X222)^(1/10)-1,"n/m")</f>
        <v>0.0710665798543619</v>
      </c>
      <c r="CK222" s="20">
        <f>IFERROR((BV222/C222)^(1/19)-1,"n/m")</f>
        <v>0.0627226914463697</v>
      </c>
    </row>
    <row r="223">
      <c r="B223" s="25" t="inlineStr">
        <is>
          <t xml:space="preserve">  Adjusted EBIT margin %</t>
        </is>
      </c>
      <c r="C223" s="36">
        <f>IF(AND(ISNUMBER(C222),ISNUMBER(C154)),IFERROR(C222/C154,""),"")</f>
        <v>0.120147673708045</v>
      </c>
      <c r="D223" s="36">
        <f>IF(AND(ISNUMBER(D222),ISNUMBER(D154)),IFERROR(D222/D154,""),"")</f>
        <v>0.127195297757262</v>
      </c>
      <c r="E223" s="36">
        <f>IF(AND(ISNUMBER(E222),ISNUMBER(E154)),IFERROR(E222/E154,""),"")</f>
        <v>0.130081871429949</v>
      </c>
      <c r="F223" s="36">
        <f>IF(AND(ISNUMBER(F222),ISNUMBER(F154)),IFERROR(F222/F154,""),"")</f>
        <v>0.0706476954348185</v>
      </c>
      <c r="G223" s="36">
        <f>IF(AND(ISNUMBER(G222),ISNUMBER(G154)),IFERROR(G222/G154,""),"")</f>
        <v>0.0937878591730542</v>
      </c>
      <c r="H223" s="36">
        <f>IF(AND(ISNUMBER(H222),ISNUMBER(H154)),IFERROR(H222/H154,""),"")</f>
        <v>0.11326170141939</v>
      </c>
      <c r="I223" s="36">
        <f>IF(AND(ISNUMBER(I222),ISNUMBER(I154)),IFERROR(I222/I154,""),"")</f>
        <v>0.133354034023664</v>
      </c>
      <c r="J223" s="36">
        <f>IF(AND(ISNUMBER(J222),ISNUMBER(J154)),IFERROR(J222/J154,""),"")</f>
        <v>0.14099332983566</v>
      </c>
      <c r="K223" s="36">
        <f>IF(AND(ISNUMBER(K222),ISNUMBER(K154)),IFERROR(K222/K154,""),"")</f>
        <v>0.150985934080436</v>
      </c>
      <c r="L223" s="36">
        <f>IF(AND(ISNUMBER(L222),ISNUMBER(L154)),IFERROR(L222/L154,""),"")</f>
        <v>0.150553206865402</v>
      </c>
      <c r="M223" s="36">
        <f>IF(AND(ISNUMBER(M222),ISNUMBER(M154)),IFERROR(M222/M154,""),"")</f>
        <v>0.170736620914365</v>
      </c>
      <c r="N223" s="36">
        <f>IF(AND(ISNUMBER(N222),ISNUMBER(N154)),IFERROR(N222/N154,""),"")</f>
        <v>0.153312807540722</v>
      </c>
      <c r="O223" s="36">
        <f>IF(AND(ISNUMBER(O222),ISNUMBER(O154)),IFERROR(O222/O154,""),"")</f>
        <v>0.147037786360943</v>
      </c>
      <c r="P223" s="36">
        <f>IF(AND(ISNUMBER(P222),ISNUMBER(P154)),IFERROR(P222/P154,""),"")</f>
        <v>0.163660846278333</v>
      </c>
      <c r="Q223" s="36">
        <f>IF(AND(ISNUMBER(Q222),ISNUMBER(Q154)),IFERROR(Q222/Q154,""),"")</f>
        <v>0.150046732432028</v>
      </c>
      <c r="R223" s="36">
        <f>IF(AND(ISNUMBER(R222),ISNUMBER(R154)),IFERROR(R222/R154,""),"")</f>
        <v>0.156411103670715</v>
      </c>
      <c r="S223" s="36">
        <f>IF(AND(ISNUMBER(S222),ISNUMBER(S154)),IFERROR(S222/S154,""),"")</f>
        <v>0.154386768107762</v>
      </c>
      <c r="T223" s="36">
        <f>IF(AND(ISNUMBER(T222),ISNUMBER(T154)),IFERROR(T222/T154,""),"")</f>
        <v>0.14281501747986</v>
      </c>
      <c r="U223" s="36">
        <f>IF(AND(ISNUMBER(U222),ISNUMBER(U154)),IFERROR(U222/U154,""),"")</f>
        <v>0.149414808797425</v>
      </c>
      <c r="V223" s="36">
        <f>IF(AND(ISNUMBER(V222),ISNUMBER(V154)),IFERROR(V222/V154,""),"")</f>
        <v>0.151444744453366</v>
      </c>
      <c r="W223" s="36">
        <f>IF(AND(ISNUMBER(W222),ISNUMBER(W154)),IFERROR(W222/W154,""),"")</f>
        <v>0.154616759245403</v>
      </c>
      <c r="X223" s="36">
        <f>IF(AND(ISNUMBER(X222),ISNUMBER(X154)),IFERROR(X222/X154,""),"")</f>
        <v>0.149384156659599</v>
      </c>
      <c r="Y223" s="36">
        <f>IF(AND(ISNUMBER(Y222),ISNUMBER(Y154)),IFERROR(Y222/Y154,""),"")</f>
        <v>0.139052008091197</v>
      </c>
      <c r="Z223" s="36">
        <f>IF(AND(ISNUMBER(Z222),ISNUMBER(Z154)),IFERROR(Z222/Z154,""),"")</f>
        <v>0.141550391784179</v>
      </c>
      <c r="AA223" s="36">
        <f>IF(AND(ISNUMBER(AA222),ISNUMBER(AA154)),IFERROR(AA222/AA154,""),"")</f>
        <v>0.147540896967476</v>
      </c>
      <c r="AB223" s="36">
        <f>IF(AND(ISNUMBER(AB222),ISNUMBER(AB154)),IFERROR(AB222/AB154,""),"")</f>
        <v>0.149932248841845</v>
      </c>
      <c r="AC223" s="36">
        <f>IF(AND(ISNUMBER(AC222),ISNUMBER(AC154)),IFERROR(AC222/AC154,""),"")</f>
        <v>0.14451814681524</v>
      </c>
      <c r="AD223" s="36">
        <f>IF(AND(ISNUMBER(AD222),ISNUMBER(AD154)),IFERROR(AD222/AD154,""),"")</f>
        <v>0.149513597074869</v>
      </c>
      <c r="AE223" s="36">
        <f>IF(AND(ISNUMBER(AE222),ISNUMBER(AE154)),IFERROR(AE222/AE154,""),"")</f>
        <v>0.149182111419173</v>
      </c>
      <c r="AF223" s="36">
        <f>IF(AND(ISNUMBER(AF222),ISNUMBER(AF154)),IFERROR(AF222/AF154,""),"")</f>
        <v>0.141184870296987</v>
      </c>
      <c r="AG223" s="36">
        <f>IF(AND(ISNUMBER(AG222),ISNUMBER(AG154)),IFERROR(AG222/AG154,""),"")</f>
        <v>0.127743463800799</v>
      </c>
      <c r="AH223" s="36">
        <f>IF(AND(ISNUMBER(AH222),ISNUMBER(AH154)),IFERROR(AH222/AH154,""),"")</f>
        <v>0.141111730504631</v>
      </c>
      <c r="AI223" s="36">
        <f>IF(AND(ISNUMBER(AI222),ISNUMBER(AI154)),IFERROR(AI222/AI154,""),"")</f>
        <v>0.133931022468114</v>
      </c>
      <c r="AJ223" s="36">
        <f>IF(AND(ISNUMBER(AJ222),ISNUMBER(AJ154)),IFERROR(AJ222/AJ154,""),"")</f>
        <v>0.141009705690258</v>
      </c>
      <c r="AK223" s="36">
        <f>IF(AND(ISNUMBER(AK222),ISNUMBER(AK154)),IFERROR(AK222/AK154,""),"")</f>
        <v>0.145911200530729</v>
      </c>
      <c r="AL223" s="36">
        <f>IF(AND(ISNUMBER(AL222),ISNUMBER(AL154)),IFERROR(AL222/AL154,""),"")</f>
        <v>0.137476859538575</v>
      </c>
      <c r="AM223" s="36">
        <f>IF(AND(ISNUMBER(AM222),ISNUMBER(AM154)),IFERROR(AM222/AM154,""),"")</f>
        <v>0.1395640468403</v>
      </c>
      <c r="AN223" s="36">
        <f>IF(AND(ISNUMBER(AN222),ISNUMBER(AN154)),IFERROR(AN222/AN154,""),"")</f>
        <v>0.1351020978063</v>
      </c>
      <c r="AO223" s="36">
        <f>IF(AND(ISNUMBER(AO222),ISNUMBER(AO154)),IFERROR(AO222/AO154,""),"")</f>
        <v>0.14098696538517</v>
      </c>
      <c r="AP223" s="36">
        <f>IF(AND(ISNUMBER(AP222),ISNUMBER(AP154)),IFERROR(AP222/AP154,""),"")</f>
        <v>0.128218636722529</v>
      </c>
      <c r="AQ223" s="36">
        <f>IF(AND(ISNUMBER(AQ222),ISNUMBER(AQ154)),IFERROR(AQ222/AQ154,""),"")</f>
        <v>0.128939423365526</v>
      </c>
      <c r="AR223" s="36">
        <f>IF(AND(ISNUMBER(AR222),ISNUMBER(AR154)),IFERROR(AR222/AR154,""),"")</f>
        <v>0.133438796086402</v>
      </c>
      <c r="AS223" s="36">
        <f>IF(AND(ISNUMBER(AS222),ISNUMBER(AS154)),IFERROR(AS222/AS154,""),"")</f>
        <v>0.12636914148472</v>
      </c>
      <c r="AT223" s="36">
        <f>IF(AND(ISNUMBER(AT222),ISNUMBER(AT154)),IFERROR(AT222/AT154,""),"")</f>
        <v>0.111951883018721</v>
      </c>
      <c r="AU223" s="36">
        <f>IF(AND(ISNUMBER(AU222),ISNUMBER(AU154)),IFERROR(AU222/AU154,""),"")</f>
        <v>0.132010142206169</v>
      </c>
      <c r="AV223" s="36">
        <f>IF(AND(ISNUMBER(AV222),ISNUMBER(AV154)),IFERROR(AV222/AV154,""),"")</f>
        <v>0.140190027587439</v>
      </c>
      <c r="AW223" s="36">
        <f>IF(AND(ISNUMBER(AW222),ISNUMBER(AW154)),IFERROR(AW222/AW154,""),"")</f>
        <v>0.128193869096935</v>
      </c>
      <c r="AX223" s="36">
        <f>IF(AND(ISNUMBER(AX222),ISNUMBER(AX154)),IFERROR(AX222/AX154,""),"")</f>
        <v>0.148838671582426</v>
      </c>
      <c r="AY223" s="36">
        <f>IF(AND(ISNUMBER(AY222),ISNUMBER(AY154)),IFERROR(AY222/AY154,""),"")</f>
        <v>0.155429098292222</v>
      </c>
      <c r="AZ223" s="36">
        <f>IF(AND(ISNUMBER(AZ222),ISNUMBER(AZ154)),IFERROR(AZ222/AZ154,""),"")</f>
        <v>0.15483214169686</v>
      </c>
      <c r="BA223" s="36">
        <f>IF(AND(ISNUMBER(BA222),ISNUMBER(BA154)),IFERROR(BA222/BA154,""),"")</f>
        <v>0.148384781303191</v>
      </c>
      <c r="BB223" s="36">
        <f>IF(AND(ISNUMBER(BB222),ISNUMBER(BB154)),IFERROR(BB222/BB154,""),"")</f>
        <v>0.151898781143907</v>
      </c>
      <c r="BC223" s="36">
        <f>IF(AND(ISNUMBER(BC222),ISNUMBER(BC154)),IFERROR(BC222/BC154,""),"")</f>
        <v>0.176619323830188</v>
      </c>
      <c r="BD223" s="36">
        <f>IF(AND(ISNUMBER(BD222),ISNUMBER(BD154)),IFERROR(BD222/BD154,""),"")</f>
        <v>0.172252366724458</v>
      </c>
      <c r="BE223" s="36">
        <f>IF(AND(ISNUMBER(BE222),ISNUMBER(BE154)),IFERROR(BE222/BE154,""),"")</f>
        <v>0.167631837817031</v>
      </c>
      <c r="BF223" s="36">
        <f>IF(AND(ISNUMBER(BF222),ISNUMBER(BF154)),IFERROR(BF222/BF154,""),"")</f>
        <v>0.160815911761736</v>
      </c>
      <c r="BG223" s="36">
        <f>IF(AND(ISNUMBER(BG222),ISNUMBER(BG154)),IFERROR(BG222/BG154,""),"")</f>
        <v>0.169347319254357</v>
      </c>
      <c r="BH223" s="36">
        <f>IF(AND(ISNUMBER(BH222),ISNUMBER(BH154)),IFERROR(BH222/BH154,""),"")</f>
        <v>0.165162030244106</v>
      </c>
      <c r="BI223" s="36">
        <f>IF(AND(ISNUMBER(BI222),ISNUMBER(BI154)),IFERROR(BI222/BI154,""),"")</f>
        <v>0.180065342529689</v>
      </c>
      <c r="BJ223" s="36">
        <f>IF(AND(ISNUMBER(BJ222),ISNUMBER(BJ154)),IFERROR(BJ222/BJ154,""),"")</f>
        <v>0.178247681506445</v>
      </c>
      <c r="BK223" s="36">
        <f>IF(AND(ISNUMBER(BK222),ISNUMBER(BK154)),IFERROR(BK222/BK154,""),"")</f>
        <v>0.174401094364364</v>
      </c>
      <c r="BL223" s="36">
        <f>IF(AND(ISNUMBER(BL222),ISNUMBER(BL154)),IFERROR(BL222/BL154,""),"")</f>
        <v>0.174484139367064</v>
      </c>
      <c r="BM223" s="36">
        <f>IF(AND(ISNUMBER(BM222),ISNUMBER(BM154)),IFERROR(BM222/BM154,""),"")</f>
        <v>0.177004210163708</v>
      </c>
      <c r="BN223" s="36">
        <f>IF(AND(ISNUMBER(BN222),ISNUMBER(BN154)),IFERROR(BN222/BN154,""),"")</f>
        <v>0.177177265355301</v>
      </c>
      <c r="BO223" s="36">
        <f>IF(AND(ISNUMBER(BO222),ISNUMBER(BO154)),IFERROR(BO222/BO154,""),"")</f>
        <v>0.174918857159121</v>
      </c>
      <c r="BP223" s="36">
        <f>IF(AND(ISNUMBER(BP222),ISNUMBER(BP154)),IFERROR(BP222/BP154,""),"")</f>
        <v>0.182804631170679</v>
      </c>
      <c r="BQ223" s="36">
        <f>IF(AND(ISNUMBER(BQ222),ISNUMBER(BQ154)),IFERROR(BQ222/BQ154,""),"")</f>
        <v>0.178015401616995</v>
      </c>
      <c r="BR223" s="36">
        <f>IF(AND(ISNUMBER(BR222),ISNUMBER(BR154)),IFERROR(BR222/BR154,""),"")</f>
        <v>0.169146783912193</v>
      </c>
      <c r="BS223" s="36">
        <f>IF(AND(ISNUMBER(BS222),ISNUMBER(BS154)),IFERROR(BS222/BS154,""),"")</f>
        <v>0.182928207092488</v>
      </c>
      <c r="BT223" s="36">
        <f>IF(AND(ISNUMBER(BT222),ISNUMBER(BT154)),IFERROR(BT222/BT154,""),"")</f>
        <v>0.176727505048402</v>
      </c>
      <c r="BU223" s="36">
        <f>IF(AND(ISNUMBER(BU222),ISNUMBER(BU154)),IFERROR(BU222/BU154,""),"")</f>
        <v>0.181740311389014</v>
      </c>
      <c r="BV223" s="36">
        <f>IF(AND(ISNUMBER(BV222),ISNUMBER(BV154)),IFERROR(BV222/BV154,""),"")</f>
        <v>0.177800960689137</v>
      </c>
      <c r="BW223" s="36">
        <f>IF(AND(ISNUMBER(BW222),ISNUMBER(BW154)),IFERROR(BW222/BW154,""),"")</f>
        <v>0.169019309205892</v>
      </c>
      <c r="BX223" s="36">
        <f>IF(AND(ISNUMBER(BX222),ISNUMBER(BX154)),IFERROR(BX222/BX154,""),"")</f>
        <v>0.183574479179905</v>
      </c>
      <c r="BY223" s="254">
        <f>IFERROR(BY222/BY154,"")</f>
        <v>0.181271486834643</v>
      </c>
      <c r="BZ223" s="254">
        <f>IFERROR(BZ222/BZ154,"")</f>
        <v>0.187332413056958</v>
      </c>
      <c r="CA223" s="254">
        <f>IFERROR(CA222/CA154,"")</f>
        <v>0.180487125504511</v>
      </c>
      <c r="CB223" s="254">
        <f>IFERROR(CB222/CB154,"")</f>
        <v>0.186835123681383</v>
      </c>
      <c r="CC223" s="254">
        <f>IFERROR(CC222/CC154,"")</f>
        <v>0.191849649719712</v>
      </c>
      <c r="CD223" s="254">
        <f>IFERROR(CD222/CD154,"")</f>
        <v>0.195889891504932</v>
      </c>
      <c r="CE223" s="254">
        <f>IFERROR(CE222/CE154,"")</f>
        <v>0.19959275988734</v>
      </c>
      <c r="CF223" s="19" t="n"/>
      <c r="CH223" s="20">
        <f>IFERROR(AVERAGE(CA223,CB223,CC223,CD223,CE223),"n/m")</f>
        <v>0.190930910059576</v>
      </c>
      <c r="CI223" s="20">
        <f>IFERROR(AVERAGE(AW223,BB223,BG223,BL223,BQ223,BV223),"n/m")</f>
        <v>0.163290078528066</v>
      </c>
      <c r="CJ223" s="20">
        <f>IFERROR(AVERAGE(X223,AC223,AH223,AM223,AR223,AW223,BB223,BG223,BL223,BQ223,BV223),"n/m")</f>
        <v>0.153432486188597</v>
      </c>
      <c r="CK223" s="20">
        <f>IFERROR(AVERAGE(C223,D223,E223,F223,G223,H223,I223,N223,S223,X223,AC223,AH223,AM223,AR223,AW223,BB223,BG223,BL223,BQ223,BV223),"n/m")</f>
        <v>0.139196652833462</v>
      </c>
    </row>
    <row r="224">
      <c r="B224" s="156" t="inlineStr">
        <is>
          <t xml:space="preserve">  Company-published adjusted EBIT ("EBIT, as adjusted" to 2019)</t>
        </is>
      </c>
      <c r="C224" s="34" t="n">
        <v>236.921</v>
      </c>
      <c r="D224" s="34" t="n">
        <v>290.105</v>
      </c>
      <c r="E224" s="34" t="n">
        <v>322.49</v>
      </c>
      <c r="F224" s="34" t="n">
        <v>122.17</v>
      </c>
      <c r="G224" s="34" t="n">
        <v>194.157</v>
      </c>
      <c r="H224" s="34" t="n">
        <v>305.196</v>
      </c>
      <c r="I224" s="34" t="n">
        <v>380.508</v>
      </c>
      <c r="J224" s="34" t="n">
        <v>101.314</v>
      </c>
      <c r="K224" s="34" t="n">
        <v>109.832</v>
      </c>
      <c r="L224" s="34" t="n">
        <v>104.164</v>
      </c>
      <c r="M224" s="34" t="n">
        <v>122.041</v>
      </c>
      <c r="N224" s="34" t="n">
        <v>437.351</v>
      </c>
      <c r="O224" s="34" t="n">
        <v>100.73</v>
      </c>
      <c r="P224" s="34" t="n">
        <v>119.232</v>
      </c>
      <c r="Q224" s="34" t="n">
        <v>107.4</v>
      </c>
      <c r="R224" s="34" t="n">
        <v>106.978</v>
      </c>
      <c r="S224" s="34" t="n">
        <v>434.34</v>
      </c>
      <c r="T224" s="34" t="n">
        <v>93.958</v>
      </c>
      <c r="U224" s="34" t="n">
        <v>99.322</v>
      </c>
      <c r="V224" s="34" t="n">
        <v>97.70699999999999</v>
      </c>
      <c r="W224" s="34" t="n">
        <v>87.81999999999999</v>
      </c>
      <c r="X224" s="34" t="n">
        <v>378.807</v>
      </c>
      <c r="Y224" s="34" t="n">
        <v>76.57899999999999</v>
      </c>
      <c r="Z224" s="34" t="n">
        <v>83.857</v>
      </c>
      <c r="AA224" s="34" t="n">
        <v>83.751</v>
      </c>
      <c r="AB224" s="34" t="n">
        <v>84.536</v>
      </c>
      <c r="AC224" s="34" t="n">
        <v>328.723</v>
      </c>
      <c r="AD224" s="34" t="n">
        <v>86.852</v>
      </c>
      <c r="AE224" s="34" t="n">
        <v>93.51600000000001</v>
      </c>
      <c r="AF224" s="34" t="n">
        <v>94.52200000000001</v>
      </c>
      <c r="AG224" s="34" t="n">
        <v>95.44799999999999</v>
      </c>
      <c r="AH224" s="34" t="n">
        <v>370.338</v>
      </c>
      <c r="AI224" s="34" t="n">
        <v>101.479</v>
      </c>
      <c r="AJ224" s="34" t="n">
        <v>111.405</v>
      </c>
      <c r="AK224" s="34" t="n">
        <v>107.551</v>
      </c>
      <c r="AL224" s="34" t="n">
        <v>102.259</v>
      </c>
      <c r="AM224" s="34" t="n">
        <v>422.694</v>
      </c>
      <c r="AN224" s="34" t="n">
        <v>102.566</v>
      </c>
      <c r="AO224" s="34" t="n">
        <v>109.548</v>
      </c>
      <c r="AP224" s="34" t="n">
        <v>93.7</v>
      </c>
      <c r="AQ224" s="34" t="n">
        <v>94.93899999999999</v>
      </c>
      <c r="AR224" s="34" t="n">
        <v>400.753</v>
      </c>
      <c r="AS224" s="34" t="n">
        <v>88.70999999999999</v>
      </c>
      <c r="AT224" s="34" t="n">
        <v>66.133</v>
      </c>
      <c r="AU224" s="34" t="n">
        <v>88.3</v>
      </c>
      <c r="AV224" s="34" t="n">
        <v>97.26300000000001</v>
      </c>
      <c r="AW224" s="34" t="n">
        <v>340.406</v>
      </c>
      <c r="AX224" s="34" t="n">
        <v>112.674</v>
      </c>
      <c r="AY224" s="34" t="n">
        <v>128.455</v>
      </c>
      <c r="AZ224" s="34" t="n">
        <v>124.865</v>
      </c>
      <c r="BA224" s="34" t="n">
        <v>125.274</v>
      </c>
      <c r="BB224" s="34" t="n">
        <v>491.268</v>
      </c>
      <c r="BC224" s="34" t="n">
        <v>163.452</v>
      </c>
      <c r="BD224" s="34" t="n">
        <v>167.014</v>
      </c>
      <c r="BE224" s="34" t="n">
        <v>156.776</v>
      </c>
      <c r="BF224" s="34" t="n">
        <v>149.709</v>
      </c>
      <c r="BG224" s="34" t="n">
        <v>636.951</v>
      </c>
      <c r="BH224" s="34" t="n">
        <v>171.66</v>
      </c>
      <c r="BI224" s="34" t="n">
        <v>190.971</v>
      </c>
      <c r="BJ224" s="34" t="n">
        <v>184.168</v>
      </c>
      <c r="BK224" s="34" t="n">
        <v>184.606</v>
      </c>
      <c r="BL224" s="34" t="n">
        <v>731.374</v>
      </c>
      <c r="BM224" s="34" t="n">
        <v>173.676</v>
      </c>
      <c r="BN224" s="34" t="n">
        <v>181.019</v>
      </c>
      <c r="BO224" s="34" t="n">
        <v>172.078</v>
      </c>
      <c r="BP224" s="34" t="n">
        <v>186.832</v>
      </c>
      <c r="BQ224" s="34" t="n">
        <v>713.605</v>
      </c>
      <c r="BR224" s="34" t="n">
        <v>169.889</v>
      </c>
      <c r="BS224" s="34" t="n">
        <v>199.149</v>
      </c>
      <c r="BT224" s="34" t="n">
        <v>187.548</v>
      </c>
      <c r="BU224" s="34" t="n">
        <v>196.046</v>
      </c>
      <c r="BV224" s="34" t="n">
        <v>752.6319999999999</v>
      </c>
      <c r="BW224" s="34" t="n">
        <v>189.544</v>
      </c>
      <c r="BX224" s="34" t="n">
        <v>223.899</v>
      </c>
      <c r="BY224" s="269" t="n"/>
      <c r="BZ224" s="269" t="n"/>
      <c r="CA224" s="269" t="n"/>
      <c r="CB224" s="269" t="n"/>
      <c r="CC224" s="269" t="n"/>
      <c r="CD224" s="269" t="n"/>
      <c r="CE224" s="269" t="n"/>
      <c r="CF224" s="19" t="n"/>
    </row>
    <row r="225">
      <c r="B225" s="57" t="inlineStr">
        <is>
          <t xml:space="preserve">  Check: model bridge vs company-published (should be 0)</t>
        </is>
      </c>
      <c r="C225" s="44">
        <f>IF(ISNUMBER(C224),ROUND(C222-C224,1),"n/p")</f>
        <v>0</v>
      </c>
      <c r="D225" s="44">
        <f>IF(ISNUMBER(D224),ROUND(D222-D224,1),"n/p")</f>
        <v>0</v>
      </c>
      <c r="E225" s="44">
        <f>IF(ISNUMBER(E224),ROUND(E222-E224,1),"n/p")</f>
        <v>0</v>
      </c>
      <c r="F225" s="44">
        <f>IF(ISNUMBER(F224),ROUND(F222-F224,1),"n/p")</f>
        <v>0</v>
      </c>
      <c r="G225" s="44">
        <f>IF(ISNUMBER(G224),ROUND(G222-G224,1),"n/p")</f>
        <v>0</v>
      </c>
      <c r="H225" s="44">
        <f>IF(ISNUMBER(H224),ROUND(H222-H224,1),"n/p")</f>
        <v>0</v>
      </c>
      <c r="I225" s="44">
        <f>IF(ISNUMBER(I224),ROUND(I222-I224,1),"n/p")</f>
        <v>0</v>
      </c>
      <c r="J225" s="44">
        <f>IF(ISNUMBER(J224),ROUND(J222-J224,1),"n/p")</f>
        <v>0</v>
      </c>
      <c r="K225" s="44">
        <f>IF(ISNUMBER(K224),ROUND(K222-K224,1),"n/p")</f>
        <v>0</v>
      </c>
      <c r="L225" s="44">
        <f>IF(ISNUMBER(L224),ROUND(L222-L224,1),"n/p")</f>
        <v>0</v>
      </c>
      <c r="M225" s="44">
        <f>IF(ISNUMBER(M224),ROUND(M222-M224,1),"n/p")</f>
        <v>0</v>
      </c>
      <c r="N225" s="44">
        <f>IF(ISNUMBER(N224),ROUND(N222-N224,1),"n/p")</f>
        <v>0</v>
      </c>
      <c r="O225" s="44">
        <f>IF(ISNUMBER(O224),ROUND(O222-O224,1),"n/p")</f>
        <v>0</v>
      </c>
      <c r="P225" s="44">
        <f>IF(ISNUMBER(P224),ROUND(P222-P224,1),"n/p")</f>
        <v>0</v>
      </c>
      <c r="Q225" s="44">
        <f>IF(ISNUMBER(Q224),ROUND(Q222-Q224,1),"n/p")</f>
        <v>0</v>
      </c>
      <c r="R225" s="44">
        <f>IF(ISNUMBER(R224),ROUND(R222-R224,1),"n/p")</f>
        <v>0</v>
      </c>
      <c r="S225" s="44">
        <f>IF(ISNUMBER(S224),ROUND(S222-S224,1),"n/p")</f>
        <v>0</v>
      </c>
      <c r="T225" s="44">
        <f>IF(ISNUMBER(T224),ROUND(T222-T224,1),"n/p")</f>
        <v>0</v>
      </c>
      <c r="U225" s="44">
        <f>IF(ISNUMBER(U224),ROUND(U222-U224,1),"n/p")</f>
        <v>0</v>
      </c>
      <c r="V225" s="44">
        <f>IF(ISNUMBER(V224),ROUND(V222-V224,1),"n/p")</f>
        <v>0</v>
      </c>
      <c r="W225" s="44">
        <f>IF(ISNUMBER(W224),ROUND(W222-W224,1),"n/p")</f>
        <v>0</v>
      </c>
      <c r="X225" s="44">
        <f>IF(ISNUMBER(X224),ROUND(X222-X224,1),"n/p")</f>
        <v>0</v>
      </c>
      <c r="Y225" s="44">
        <f>IF(ISNUMBER(Y224),ROUND(Y222-Y224,1),"n/p")</f>
        <v>0</v>
      </c>
      <c r="Z225" s="44">
        <f>IF(ISNUMBER(Z224),ROUND(Z222-Z224,1),"n/p")</f>
        <v>0</v>
      </c>
      <c r="AA225" s="44">
        <f>IF(ISNUMBER(AA224),ROUND(AA222-AA224,1),"n/p")</f>
        <v>0</v>
      </c>
      <c r="AB225" s="44">
        <f>IF(ISNUMBER(AB224),ROUND(AB222-AB224,1),"n/p")</f>
        <v>0</v>
      </c>
      <c r="AC225" s="44">
        <f>IF(ISNUMBER(AC224),ROUND(AC222-AC224,1),"n/p")</f>
        <v>0</v>
      </c>
      <c r="AD225" s="44">
        <f>IF(ISNUMBER(AD224),ROUND(AD222-AD224,1),"n/p")</f>
        <v>0</v>
      </c>
      <c r="AE225" s="44">
        <f>IF(ISNUMBER(AE224),ROUND(AE222-AE224,1),"n/p")</f>
        <v>0</v>
      </c>
      <c r="AF225" s="44">
        <f>IF(ISNUMBER(AF224),ROUND(AF222-AF224,1),"n/p")</f>
        <v>0</v>
      </c>
      <c r="AG225" s="44">
        <f>IF(ISNUMBER(AG224),ROUND(AG222-AG224,1),"n/p")</f>
        <v>0</v>
      </c>
      <c r="AH225" s="44">
        <f>IF(ISNUMBER(AH224),ROUND(AH222-AH224,1),"n/p")</f>
        <v>0</v>
      </c>
      <c r="AI225" s="44">
        <f>IF(ISNUMBER(AI224),ROUND(AI222-AI224,1),"n/p")</f>
        <v>0</v>
      </c>
      <c r="AJ225" s="44">
        <f>IF(ISNUMBER(AJ224),ROUND(AJ222-AJ224,1),"n/p")</f>
        <v>0</v>
      </c>
      <c r="AK225" s="44">
        <f>IF(ISNUMBER(AK224),ROUND(AK222-AK224,1),"n/p")</f>
        <v>0</v>
      </c>
      <c r="AL225" s="44">
        <f>IF(ISNUMBER(AL224),ROUND(AL222-AL224,1),"n/p")</f>
        <v>0</v>
      </c>
      <c r="AM225" s="44">
        <f>IF(ISNUMBER(AM224),ROUND(AM222-AM224,1),"n/p")</f>
        <v>0</v>
      </c>
      <c r="AN225" s="44">
        <f>IF(ISNUMBER(AN224),ROUND(AN222-AN224,1),"n/p")</f>
        <v>0</v>
      </c>
      <c r="AO225" s="44">
        <f>IF(ISNUMBER(AO224),ROUND(AO222-AO224,1),"n/p")</f>
        <v>0</v>
      </c>
      <c r="AP225" s="44">
        <f>IF(ISNUMBER(AP224),ROUND(AP222-AP224,1),"n/p")</f>
        <v>0</v>
      </c>
      <c r="AQ225" s="44">
        <f>IF(ISNUMBER(AQ224),ROUND(AQ222-AQ224,1),"n/p")</f>
        <v>0</v>
      </c>
      <c r="AR225" s="44">
        <f>IF(ISNUMBER(AR224),ROUND(AR222-AR224,1),"n/p")</f>
        <v>0</v>
      </c>
      <c r="AS225" s="44">
        <f>IF(ISNUMBER(AS224),ROUND(AS222-AS224,1),"n/p")</f>
        <v>0</v>
      </c>
      <c r="AT225" s="44">
        <f>IF(ISNUMBER(AT224),ROUND(AT222-AT224,1),"n/p")</f>
        <v>0</v>
      </c>
      <c r="AU225" s="44">
        <f>IF(ISNUMBER(AU224),ROUND(AU222-AU224,1),"n/p")</f>
        <v>0</v>
      </c>
      <c r="AV225" s="44">
        <f>IF(ISNUMBER(AV224),ROUND(AV222-AV224,1),"n/p")</f>
        <v>0</v>
      </c>
      <c r="AW225" s="44">
        <f>IF(ISNUMBER(AW224),ROUND(AW222-AW224,1),"n/p")</f>
        <v>0</v>
      </c>
      <c r="AX225" s="44">
        <f>IF(ISNUMBER(AX224),ROUND(AX222-AX224,1),"n/p")</f>
        <v>0</v>
      </c>
      <c r="AY225" s="44">
        <f>IF(ISNUMBER(AY224),ROUND(AY222-AY224,1),"n/p")</f>
        <v>0</v>
      </c>
      <c r="AZ225" s="44">
        <f>IF(ISNUMBER(AZ224),ROUND(AZ222-AZ224,1),"n/p")</f>
        <v>0</v>
      </c>
      <c r="BA225" s="44">
        <f>IF(ISNUMBER(BA224),ROUND(BA222-BA224,1),"n/p")</f>
        <v>0</v>
      </c>
      <c r="BB225" s="44">
        <f>IF(ISNUMBER(BB224),ROUND(BB222-BB224,1),"n/p")</f>
        <v>0</v>
      </c>
      <c r="BC225" s="44">
        <f>IF(ISNUMBER(BC224),ROUND(BC222-BC224,1),"n/p")</f>
        <v>0</v>
      </c>
      <c r="BD225" s="44">
        <f>IF(ISNUMBER(BD224),ROUND(BD222-BD224,1),"n/p")</f>
        <v>0</v>
      </c>
      <c r="BE225" s="44">
        <f>IF(ISNUMBER(BE224),ROUND(BE222-BE224,1),"n/p")</f>
        <v>0</v>
      </c>
      <c r="BF225" s="44">
        <f>IF(ISNUMBER(BF224),ROUND(BF222-BF224,1),"n/p")</f>
        <v>0</v>
      </c>
      <c r="BG225" s="44">
        <f>IF(ISNUMBER(BG224),ROUND(BG222-BG224,1),"n/p")</f>
        <v>0</v>
      </c>
      <c r="BH225" s="44">
        <f>IF(ISNUMBER(BH224),ROUND(BH222-BH224,1),"n/p")</f>
        <v>0</v>
      </c>
      <c r="BI225" s="44">
        <f>IF(ISNUMBER(BI224),ROUND(BI222-BI224,1),"n/p")</f>
        <v>0</v>
      </c>
      <c r="BJ225" s="44">
        <f>IF(ISNUMBER(BJ224),ROUND(BJ222-BJ224,1),"n/p")</f>
        <v>0</v>
      </c>
      <c r="BK225" s="44">
        <f>IF(ISNUMBER(BK224),ROUND(BK222-BK224,1),"n/p")</f>
        <v>0</v>
      </c>
      <c r="BL225" s="44">
        <f>IF(ISNUMBER(BL224),ROUND(BL222-BL224,1),"n/p")</f>
        <v>0</v>
      </c>
      <c r="BM225" s="44">
        <f>IF(ISNUMBER(BM224),ROUND(BM222-BM224,1),"n/p")</f>
        <v>0</v>
      </c>
      <c r="BN225" s="44">
        <f>IF(ISNUMBER(BN224),ROUND(BN222-BN224,1),"n/p")</f>
        <v>0</v>
      </c>
      <c r="BO225" s="44">
        <f>IF(ISNUMBER(BO224),ROUND(BO222-BO224,1),"n/p")</f>
        <v>0</v>
      </c>
      <c r="BP225" s="44">
        <f>IF(ISNUMBER(BP224),ROUND(BP222-BP224,1),"n/p")</f>
        <v>0</v>
      </c>
      <c r="BQ225" s="44">
        <f>IF(ISNUMBER(BQ224),ROUND(BQ222-BQ224,1),"n/p")</f>
        <v>0</v>
      </c>
      <c r="BR225" s="44">
        <f>IF(ISNUMBER(BR224),ROUND(BR222-BR224,1),"n/p")</f>
        <v>0</v>
      </c>
      <c r="BS225" s="44">
        <f>IF(ISNUMBER(BS224),ROUND(BS222-BS224,1),"n/p")</f>
        <v>0</v>
      </c>
      <c r="BT225" s="44">
        <f>IF(ISNUMBER(BT224),ROUND(BT222-BT224,1),"n/p")</f>
        <v>0</v>
      </c>
      <c r="BU225" s="44">
        <f>IF(ISNUMBER(BU224),ROUND(BU222-BU224,1),"n/p")</f>
        <v>0</v>
      </c>
      <c r="BV225" s="44">
        <f>IF(ISNUMBER(BV224),ROUND(BV222-BV224,1),"n/p")</f>
        <v>0</v>
      </c>
      <c r="BW225" s="44">
        <f>IF(ISNUMBER(BW224),ROUND(BW222-BW224,1),"n/p")</f>
        <v>0</v>
      </c>
      <c r="BX225" s="44">
        <f>IF(ISNUMBER(BX224),ROUND(BX222-BX224,1),"n/p")</f>
        <v>0</v>
      </c>
      <c r="BY225" s="269" t="n"/>
      <c r="BZ225" s="269" t="n"/>
      <c r="CA225" s="269" t="n"/>
      <c r="CB225" s="269" t="n"/>
      <c r="CC225" s="269" t="n"/>
      <c r="CD225" s="269" t="n"/>
      <c r="CE225" s="269" t="n"/>
      <c r="CF225" s="19" t="n"/>
    </row>
    <row r="226">
      <c r="B226" s="158" t="inlineStr">
        <is>
          <t xml:space="preserve">  Definition basis (company EBIT definition in force)</t>
        </is>
      </c>
      <c r="C226" s="274" t="inlineStr">
        <is>
          <t>Segment profit = income before interest &amp; taxes</t>
        </is>
      </c>
      <c r="D226" s="275" t="n"/>
      <c r="E226" s="275" t="n"/>
      <c r="F226" s="275" t="n"/>
      <c r="G226" s="275" t="n"/>
      <c r="H226" s="275" t="n"/>
      <c r="I226" s="275" t="n"/>
      <c r="J226" s="274" t="inlineStr">
        <is>
          <t>EBIT = OI + equity earnings + other income</t>
        </is>
      </c>
      <c r="K226" s="275" t="n"/>
      <c r="L226" s="275" t="n"/>
      <c r="M226" s="275" t="n"/>
      <c r="N226" s="275" t="n"/>
      <c r="O226" s="275" t="n"/>
      <c r="P226" s="275" t="n"/>
      <c r="Q226" s="275" t="n"/>
      <c r="R226" s="275" t="n"/>
      <c r="S226" s="275" t="n"/>
      <c r="T226" s="275" t="n"/>
      <c r="U226" s="275" t="n"/>
      <c r="V226" s="275" t="n"/>
      <c r="W226" s="275" t="n"/>
      <c r="X226" s="275" t="n"/>
      <c r="Y226" s="275" t="n"/>
      <c r="Z226" s="275" t="n"/>
      <c r="AA226" s="275" t="n"/>
      <c r="AB226" s="275" t="n"/>
      <c r="AC226" s="275" t="n"/>
      <c r="AD226" s="275" t="n"/>
      <c r="AE226" s="275" t="n"/>
      <c r="AF226" s="275" t="n"/>
      <c r="AG226" s="275" t="n"/>
      <c r="AH226" s="275" t="n"/>
      <c r="AI226" s="275" t="n"/>
      <c r="AJ226" s="275" t="n"/>
      <c r="AK226" s="275" t="n"/>
      <c r="AL226" s="275" t="n"/>
      <c r="AM226" s="275" t="n"/>
      <c r="AN226" s="275" t="n"/>
      <c r="AO226" s="275" t="n"/>
      <c r="AP226" s="275" t="n"/>
      <c r="AQ226" s="275" t="n"/>
      <c r="AR226" s="275" t="n"/>
      <c r="AS226" s="274" t="inlineStr">
        <is>
          <t>Adjusted EBIT (renamed)</t>
        </is>
      </c>
      <c r="AT226" s="275" t="n"/>
      <c r="AU226" s="275" t="n"/>
      <c r="AV226" s="275" t="n"/>
      <c r="AW226" s="275" t="n"/>
      <c r="AX226" s="275" t="n"/>
      <c r="AY226" s="275" t="n"/>
      <c r="AZ226" s="275" t="n"/>
      <c r="BA226" s="275" t="n"/>
      <c r="BB226" s="275" t="n"/>
      <c r="BC226" s="275" t="n"/>
      <c r="BD226" s="275" t="n"/>
      <c r="BE226" s="275" t="n"/>
      <c r="BF226" s="275" t="n"/>
      <c r="BG226" s="275" t="n"/>
      <c r="BH226" s="274" t="inlineStr">
        <is>
          <t>EBIT = OI + other income (interest net)</t>
        </is>
      </c>
      <c r="BI226" s="275" t="n"/>
      <c r="BJ226" s="275" t="n"/>
      <c r="BK226" s="275" t="n"/>
      <c r="BL226" s="275" t="n"/>
      <c r="BM226" s="275" t="n"/>
      <c r="BN226" s="275" t="n"/>
      <c r="BO226" s="275" t="n"/>
      <c r="BP226" s="275" t="n"/>
      <c r="BQ226" s="275" t="n"/>
      <c r="BR226" s="275" t="n"/>
      <c r="BS226" s="275" t="n"/>
      <c r="BT226" s="275" t="n"/>
      <c r="BU226" s="275" t="n"/>
      <c r="BV226" s="275" t="n"/>
      <c r="BW226" s="275" t="n"/>
      <c r="BX226" s="275" t="n"/>
      <c r="BY226" s="276" t="n"/>
      <c r="BZ226" s="276" t="n"/>
      <c r="CA226" s="276" t="n"/>
      <c r="CB226" s="276" t="n"/>
      <c r="CC226" s="276" t="n"/>
      <c r="CD226" s="276" t="n"/>
      <c r="CE226" s="276" t="n"/>
      <c r="CF226" s="19" t="n"/>
    </row>
    <row r="227">
      <c r="B227" s="25" t="inlineStr">
        <is>
          <t>To adjusted EBITDA:</t>
        </is>
      </c>
      <c r="C227" s="270" t="n"/>
      <c r="D227" s="270" t="n"/>
      <c r="E227" s="270" t="n"/>
      <c r="F227" s="270" t="n"/>
      <c r="G227" s="270" t="n"/>
      <c r="H227" s="270" t="n"/>
      <c r="I227" s="270" t="n"/>
      <c r="J227" s="270" t="n"/>
      <c r="K227" s="270" t="n"/>
      <c r="L227" s="270" t="n"/>
      <c r="M227" s="270" t="n"/>
      <c r="N227" s="270" t="n"/>
      <c r="O227" s="270" t="n"/>
      <c r="P227" s="270" t="n"/>
      <c r="Q227" s="270" t="n"/>
      <c r="R227" s="270" t="n"/>
      <c r="S227" s="270" t="n"/>
      <c r="T227" s="270" t="n"/>
      <c r="U227" s="270" t="n"/>
      <c r="V227" s="270" t="n"/>
      <c r="W227" s="270" t="n"/>
      <c r="X227" s="270" t="n"/>
      <c r="Y227" s="270" t="n"/>
      <c r="Z227" s="270" t="n"/>
      <c r="AA227" s="270" t="n"/>
      <c r="AB227" s="270" t="n"/>
      <c r="AC227" s="270" t="n"/>
      <c r="AD227" s="270" t="n"/>
      <c r="AE227" s="270" t="n"/>
      <c r="AF227" s="270" t="n"/>
      <c r="AG227" s="270" t="n"/>
      <c r="AH227" s="270" t="n"/>
      <c r="AI227" s="270" t="n"/>
      <c r="AJ227" s="270" t="n"/>
      <c r="AK227" s="270" t="n"/>
      <c r="AL227" s="270" t="n"/>
      <c r="AM227" s="270" t="n"/>
      <c r="AN227" s="270" t="n"/>
      <c r="AO227" s="270" t="n"/>
      <c r="AP227" s="270" t="n"/>
      <c r="AQ227" s="270" t="n"/>
      <c r="AR227" s="270" t="n"/>
      <c r="AS227" s="270" t="n"/>
      <c r="AT227" s="270" t="n"/>
      <c r="AU227" s="270" t="n"/>
      <c r="AV227" s="270" t="n"/>
      <c r="AW227" s="270" t="n"/>
      <c r="AX227" s="270" t="n"/>
      <c r="AY227" s="270" t="n"/>
      <c r="AZ227" s="270" t="n"/>
      <c r="BA227" s="270" t="n"/>
      <c r="BB227" s="270" t="n"/>
      <c r="BC227" s="270" t="n"/>
      <c r="BD227" s="270" t="n"/>
      <c r="BE227" s="270" t="n"/>
      <c r="BF227" s="270" t="n"/>
      <c r="BG227" s="270" t="n"/>
      <c r="BH227" s="270" t="n"/>
      <c r="BI227" s="270" t="n"/>
      <c r="BJ227" s="270" t="n"/>
      <c r="BK227" s="270" t="n"/>
      <c r="BL227" s="270" t="n"/>
      <c r="BM227" s="270" t="n"/>
      <c r="BN227" s="270" t="n"/>
      <c r="BO227" s="270" t="n"/>
      <c r="BP227" s="270" t="n"/>
      <c r="BQ227" s="270" t="n"/>
      <c r="BR227" s="270" t="n"/>
      <c r="BS227" s="270" t="n"/>
      <c r="BT227" s="270" t="n"/>
      <c r="BU227" s="270" t="n"/>
      <c r="BV227" s="270" t="n"/>
      <c r="BW227" s="270" t="n"/>
      <c r="BX227" s="270" t="n"/>
      <c r="BY227" s="269" t="n"/>
      <c r="BZ227" s="269" t="n"/>
      <c r="CA227" s="269" t="n"/>
      <c r="CB227" s="269" t="n"/>
      <c r="CC227" s="269" t="n"/>
      <c r="CD227" s="269" t="n"/>
      <c r="CE227" s="269" t="n"/>
      <c r="CF227" s="19" t="n"/>
    </row>
    <row r="228">
      <c r="B228" s="25" t="inlineStr">
        <is>
          <t xml:space="preserve">  (+) Depreciation &amp; amortization</t>
        </is>
      </c>
      <c r="C228" s="44">
        <f>C148</f>
        <v>47.825</v>
      </c>
      <c r="D228" s="44">
        <f>D148</f>
        <v>52.61</v>
      </c>
      <c r="E228" s="44">
        <f>E148</f>
        <v>56.925</v>
      </c>
      <c r="F228" s="44">
        <f>F148</f>
        <v>56.598</v>
      </c>
      <c r="G228" s="44">
        <f>G148</f>
        <v>57.357</v>
      </c>
      <c r="H228" s="44">
        <f>H148</f>
        <v>62.051</v>
      </c>
      <c r="I228" s="44">
        <f>I148</f>
        <v>65.334</v>
      </c>
      <c r="J228" s="44">
        <f>J148</f>
        <v>17.397</v>
      </c>
      <c r="K228" s="44">
        <f>K148</f>
        <v>17.158</v>
      </c>
      <c r="L228" s="44">
        <f>L148</f>
        <v>17.326</v>
      </c>
      <c r="M228" s="44">
        <f>M148</f>
        <v>17.002</v>
      </c>
      <c r="N228" s="44">
        <f>N148</f>
        <v>68.883</v>
      </c>
      <c r="O228" s="44">
        <f>O148</f>
        <v>17.931</v>
      </c>
      <c r="P228" s="44">
        <f>P148</f>
        <v>17.969</v>
      </c>
      <c r="Q228" s="44">
        <f>Q148</f>
        <v>17.117</v>
      </c>
      <c r="R228" s="44">
        <f>R148</f>
        <v>16.59</v>
      </c>
      <c r="S228" s="44">
        <f>S148</f>
        <v>69.607</v>
      </c>
      <c r="T228" s="44">
        <f>T148</f>
        <v>16.032</v>
      </c>
      <c r="U228" s="44">
        <f>U148</f>
        <v>15.686</v>
      </c>
      <c r="V228" s="44">
        <f>V148</f>
        <v>16.179</v>
      </c>
      <c r="W228" s="44">
        <f>W148</f>
        <v>16.11</v>
      </c>
      <c r="X228" s="44">
        <f>X148</f>
        <v>64.007</v>
      </c>
      <c r="Y228" s="44">
        <f>Y148</f>
        <v>15.625</v>
      </c>
      <c r="Z228" s="44">
        <f>Z148</f>
        <v>16.607</v>
      </c>
      <c r="AA228" s="44">
        <f>AA148</f>
        <v>16.263</v>
      </c>
      <c r="AB228" s="44">
        <f>AB148</f>
        <v>16.578</v>
      </c>
      <c r="AC228" s="44">
        <f>AC148</f>
        <v>65.073</v>
      </c>
      <c r="AD228" s="44">
        <f>AD148</f>
        <v>16.166</v>
      </c>
      <c r="AE228" s="44">
        <f>AE148</f>
        <v>15.84</v>
      </c>
      <c r="AF228" s="44">
        <f>AF148</f>
        <v>18.451</v>
      </c>
      <c r="AG228" s="44">
        <f>AG148</f>
        <v>17.658</v>
      </c>
      <c r="AH228" s="44">
        <f>AH148</f>
        <v>68.115</v>
      </c>
      <c r="AI228" s="44">
        <f>AI148</f>
        <v>18.134</v>
      </c>
      <c r="AJ228" s="44">
        <f>AJ148</f>
        <v>18.189</v>
      </c>
      <c r="AK228" s="44">
        <f>AK148</f>
        <v>17.623</v>
      </c>
      <c r="AL228" s="44">
        <f>AL148</f>
        <v>18.4</v>
      </c>
      <c r="AM228" s="44">
        <f>AM148</f>
        <v>72.346</v>
      </c>
      <c r="AN228" s="44">
        <f>AN148</f>
        <v>18.901</v>
      </c>
      <c r="AO228" s="44">
        <f>AO148</f>
        <v>20.351</v>
      </c>
      <c r="AP228" s="44">
        <f>AP148</f>
        <v>21.148</v>
      </c>
      <c r="AQ228" s="44">
        <f>AQ148</f>
        <v>21.087</v>
      </c>
      <c r="AR228" s="44">
        <f>AR148</f>
        <v>81.487</v>
      </c>
      <c r="AS228" s="44">
        <f>AS148</f>
        <v>21.028</v>
      </c>
      <c r="AT228" s="44">
        <f>AT148</f>
        <v>20.05</v>
      </c>
      <c r="AU228" s="44">
        <f>AU148</f>
        <v>19.488</v>
      </c>
      <c r="AV228" s="44">
        <f>AV148</f>
        <v>19.926</v>
      </c>
      <c r="AW228" s="44">
        <f>AW148</f>
        <v>80.492</v>
      </c>
      <c r="AX228" s="44">
        <f>AX148</f>
        <v>19.118</v>
      </c>
      <c r="AY228" s="44">
        <f>AY148</f>
        <v>19.39</v>
      </c>
      <c r="AZ228" s="44">
        <f>AZ148</f>
        <v>22.05</v>
      </c>
      <c r="BA228" s="44">
        <f>BA148</f>
        <v>20.588</v>
      </c>
      <c r="BB228" s="44">
        <f>BB148</f>
        <v>81.146</v>
      </c>
      <c r="BC228" s="44">
        <f>BC148</f>
        <v>19.891</v>
      </c>
      <c r="BD228" s="44">
        <f>BD148</f>
        <v>19.868</v>
      </c>
      <c r="BE228" s="44">
        <f>BE148</f>
        <v>19.25</v>
      </c>
      <c r="BF228" s="44">
        <f>BF148</f>
        <v>19.05</v>
      </c>
      <c r="BG228" s="44">
        <f>BG148</f>
        <v>78.059</v>
      </c>
      <c r="BH228" s="44">
        <f>BH148</f>
        <v>21.295</v>
      </c>
      <c r="BI228" s="44">
        <f>BI148</f>
        <v>21.917</v>
      </c>
      <c r="BJ228" s="44">
        <f>BJ148</f>
        <v>21.489</v>
      </c>
      <c r="BK228" s="44">
        <f>BK148</f>
        <v>21.969</v>
      </c>
      <c r="BL228" s="44">
        <f>BL148</f>
        <v>86.67</v>
      </c>
      <c r="BM228" s="44">
        <f>BM148</f>
        <v>21.586</v>
      </c>
      <c r="BN228" s="44">
        <f>BN148</f>
        <v>20.865</v>
      </c>
      <c r="BO228" s="44">
        <f>BO148</f>
        <v>22.644</v>
      </c>
      <c r="BP228" s="44">
        <f>BP148</f>
        <v>23.143</v>
      </c>
      <c r="BQ228" s="44">
        <f>BQ148</f>
        <v>88.238</v>
      </c>
      <c r="BR228" s="44">
        <f>BR148</f>
        <v>23.784</v>
      </c>
      <c r="BS228" s="44">
        <f>BS148</f>
        <v>24.462</v>
      </c>
      <c r="BT228" s="44">
        <f>BT148</f>
        <v>24.744</v>
      </c>
      <c r="BU228" s="44">
        <f>BU148</f>
        <v>25.556</v>
      </c>
      <c r="BV228" s="44">
        <f>BV148</f>
        <v>98.546</v>
      </c>
      <c r="BW228" s="44">
        <f>BW148</f>
        <v>26.009</v>
      </c>
      <c r="BX228" s="44">
        <f>BX148</f>
        <v>25.969</v>
      </c>
      <c r="BY228" s="257">
        <f>BY148</f>
        <v>25.989</v>
      </c>
      <c r="BZ228" s="257">
        <f>BZ148</f>
        <v>25.989</v>
      </c>
      <c r="CA228" s="257">
        <f>CA148</f>
        <v>103.956</v>
      </c>
      <c r="CB228" s="257">
        <f>CB148</f>
        <v>115.035350607264</v>
      </c>
      <c r="CC228" s="257">
        <f>CC148</f>
        <v>127.857022299732</v>
      </c>
      <c r="CD228" s="257">
        <f>CD148</f>
        <v>141.666020868437</v>
      </c>
      <c r="CE228" s="257">
        <f>CE148</f>
        <v>156.081040810477</v>
      </c>
      <c r="CF228" s="19" t="n"/>
    </row>
    <row r="229">
      <c r="B229" s="55" t="inlineStr">
        <is>
          <t xml:space="preserve">  = Adjusted EBITDA (model; LECO does not publish an adjusted EBITDA measure)</t>
        </is>
      </c>
      <c r="C229" s="56">
        <f>C222+C228</f>
        <v>284.746</v>
      </c>
      <c r="D229" s="56">
        <f>D222+D228</f>
        <v>342.715</v>
      </c>
      <c r="E229" s="56">
        <f>E222+E228</f>
        <v>379.415</v>
      </c>
      <c r="F229" s="56">
        <f>F222+F228</f>
        <v>178.768</v>
      </c>
      <c r="G229" s="56">
        <f>G222+G228</f>
        <v>251.514</v>
      </c>
      <c r="H229" s="56">
        <f>H222+H228</f>
        <v>367.247</v>
      </c>
      <c r="I229" s="56">
        <f>I222+I228</f>
        <v>445.842</v>
      </c>
      <c r="J229" s="56">
        <f>J222+J228</f>
        <v>118.711</v>
      </c>
      <c r="K229" s="56">
        <f>K222+K228</f>
        <v>126.99</v>
      </c>
      <c r="L229" s="56">
        <f>L222+L228</f>
        <v>121.49</v>
      </c>
      <c r="M229" s="56">
        <f>M222+M228</f>
        <v>139.043</v>
      </c>
      <c r="N229" s="56">
        <f>N222+N228</f>
        <v>506.234</v>
      </c>
      <c r="O229" s="56">
        <f>O222+O228</f>
        <v>118.661</v>
      </c>
      <c r="P229" s="56">
        <f>P222+P228</f>
        <v>137.201</v>
      </c>
      <c r="Q229" s="56">
        <f>Q222+Q228</f>
        <v>124.517</v>
      </c>
      <c r="R229" s="56">
        <f>R222+R228</f>
        <v>123.568</v>
      </c>
      <c r="S229" s="56">
        <f>S222+S228</f>
        <v>503.947</v>
      </c>
      <c r="T229" s="56">
        <f>T222+T228</f>
        <v>109.99</v>
      </c>
      <c r="U229" s="56">
        <f>U222+U228</f>
        <v>115.008</v>
      </c>
      <c r="V229" s="56">
        <f>V222+V228</f>
        <v>113.886</v>
      </c>
      <c r="W229" s="56">
        <f>W222+W228</f>
        <v>103.93</v>
      </c>
      <c r="X229" s="56">
        <f>X222+X228</f>
        <v>442.814</v>
      </c>
      <c r="Y229" s="56">
        <f>Y222+Y228</f>
        <v>92.204</v>
      </c>
      <c r="Z229" s="56">
        <f>Z222+Z228</f>
        <v>100.464</v>
      </c>
      <c r="AA229" s="56">
        <f>AA222+AA228</f>
        <v>100.014</v>
      </c>
      <c r="AB229" s="56">
        <f>AB222+AB228</f>
        <v>101.114</v>
      </c>
      <c r="AC229" s="56">
        <f>AC222+AC228</f>
        <v>393.796</v>
      </c>
      <c r="AD229" s="56">
        <f>AD222+AD228</f>
        <v>103.018</v>
      </c>
      <c r="AE229" s="56">
        <f>AE222+AE228</f>
        <v>109.356</v>
      </c>
      <c r="AF229" s="56">
        <f>AF222+AF228</f>
        <v>112.973</v>
      </c>
      <c r="AG229" s="56">
        <f>AG222+AG228</f>
        <v>113.106</v>
      </c>
      <c r="AH229" s="56">
        <f>AH222+AH228</f>
        <v>438.453</v>
      </c>
      <c r="AI229" s="56">
        <f>AI222+AI228</f>
        <v>119.613</v>
      </c>
      <c r="AJ229" s="56">
        <f>AJ222+AJ228</f>
        <v>129.594</v>
      </c>
      <c r="AK229" s="56">
        <f>AK222+AK228</f>
        <v>125.174</v>
      </c>
      <c r="AL229" s="56">
        <f>AL222+AL228</f>
        <v>120.659</v>
      </c>
      <c r="AM229" s="56">
        <f>AM222+AM228</f>
        <v>495.04</v>
      </c>
      <c r="AN229" s="56">
        <f>AN222+AN228</f>
        <v>121.467</v>
      </c>
      <c r="AO229" s="56">
        <f>AO222+AO228</f>
        <v>129.899</v>
      </c>
      <c r="AP229" s="56">
        <f>AP222+AP228</f>
        <v>114.848</v>
      </c>
      <c r="AQ229" s="56">
        <f>AQ222+AQ228</f>
        <v>116.026</v>
      </c>
      <c r="AR229" s="56">
        <f>AR222+AR228</f>
        <v>482.24</v>
      </c>
      <c r="AS229" s="56">
        <f>AS222+AS228</f>
        <v>109.738</v>
      </c>
      <c r="AT229" s="56">
        <f>AT222+AT228</f>
        <v>86.183</v>
      </c>
      <c r="AU229" s="56">
        <f>AU222+AU228</f>
        <v>107.788</v>
      </c>
      <c r="AV229" s="56">
        <f>AV222+AV228</f>
        <v>117.189</v>
      </c>
      <c r="AW229" s="56">
        <f>AW222+AW228</f>
        <v>420.898</v>
      </c>
      <c r="AX229" s="56">
        <f>AX222+AX228</f>
        <v>131.792</v>
      </c>
      <c r="AY229" s="56">
        <f>AY222+AY228</f>
        <v>147.845</v>
      </c>
      <c r="AZ229" s="56">
        <f>AZ222+AZ228</f>
        <v>146.915</v>
      </c>
      <c r="BA229" s="56">
        <f>BA222+BA228</f>
        <v>145.862</v>
      </c>
      <c r="BB229" s="56">
        <f>BB222+BB228</f>
        <v>572.414</v>
      </c>
      <c r="BC229" s="56">
        <f>BC222+BC228</f>
        <v>183.343</v>
      </c>
      <c r="BD229" s="56">
        <f>BD222+BD228</f>
        <v>186.882</v>
      </c>
      <c r="BE229" s="56">
        <f>BE222+BE228</f>
        <v>176.026</v>
      </c>
      <c r="BF229" s="56">
        <f>BF222+BF228</f>
        <v>168.759</v>
      </c>
      <c r="BG229" s="56">
        <f>BG222+BG228</f>
        <v>715.01</v>
      </c>
      <c r="BH229" s="56">
        <f>BH222+BH228</f>
        <v>192.955</v>
      </c>
      <c r="BI229" s="56">
        <f>BI222+BI228</f>
        <v>212.888</v>
      </c>
      <c r="BJ229" s="56">
        <f>BJ222+BJ228</f>
        <v>205.657</v>
      </c>
      <c r="BK229" s="56">
        <f>BK222+BK228</f>
        <v>206.575</v>
      </c>
      <c r="BL229" s="56">
        <f>BL222+BL228</f>
        <v>818.044000000001</v>
      </c>
      <c r="BM229" s="56">
        <f>BM222+BM228</f>
        <v>195.262</v>
      </c>
      <c r="BN229" s="56">
        <f>BN222+BN228</f>
        <v>201.884</v>
      </c>
      <c r="BO229" s="56">
        <f>BO222+BO228</f>
        <v>194.722</v>
      </c>
      <c r="BP229" s="56">
        <f>BP222+BP228</f>
        <v>209.975</v>
      </c>
      <c r="BQ229" s="56">
        <f>BQ222+BQ228</f>
        <v>801.843</v>
      </c>
      <c r="BR229" s="56">
        <f>BR222+BR228</f>
        <v>193.673</v>
      </c>
      <c r="BS229" s="56">
        <f>BS222+BS228</f>
        <v>223.611</v>
      </c>
      <c r="BT229" s="56">
        <f>BT222+BT228</f>
        <v>212.292</v>
      </c>
      <c r="BU229" s="56">
        <f>BU222+BU228</f>
        <v>221.602</v>
      </c>
      <c r="BV229" s="56">
        <f>BV222+BV228</f>
        <v>851.178</v>
      </c>
      <c r="BW229" s="56">
        <f>BW222+BW228</f>
        <v>215.553</v>
      </c>
      <c r="BX229" s="56">
        <f>BX222+BX228</f>
        <v>249.868</v>
      </c>
      <c r="BY229" s="56">
        <f>BY222+BY228</f>
        <v>240.97004919654</v>
      </c>
      <c r="BZ229" s="56">
        <f>BZ222+BZ228</f>
        <v>249.42778705346</v>
      </c>
      <c r="CA229" s="56">
        <f>CA222+CA228</f>
        <v>955.81883625</v>
      </c>
      <c r="CB229" s="56">
        <f>CB222+CB228</f>
        <v>1054.69437734224</v>
      </c>
      <c r="CC229" s="56">
        <f>CC222+CC228</f>
        <v>1164.81096416513</v>
      </c>
      <c r="CD229" s="56">
        <f>CD222+CD228</f>
        <v>1276.88077213992</v>
      </c>
      <c r="CE229" s="56">
        <f>CE222+CE228</f>
        <v>1394.21304125132</v>
      </c>
      <c r="CF229" s="19" t="inlineStr">
        <is>
          <t>Model measure for leverage and EV/EBITDA; LECO reports EBITDA only in its credit-covenant definitions.</t>
        </is>
      </c>
      <c r="CH229" s="20">
        <f>IFERROR((CE229/BV229)^(1/5)-1,"n/m")</f>
        <v>0.103727212184306</v>
      </c>
      <c r="CI229" s="20">
        <f>IFERROR((BV229/AW229)^(1/5)-1,"n/m")</f>
        <v>0.151247514548122</v>
      </c>
      <c r="CJ229" s="20">
        <f>IFERROR((BV229/X229)^(1/10)-1,"n/m")</f>
        <v>0.0675295481539997</v>
      </c>
      <c r="CK229" s="20">
        <f>IFERROR((BV229/C229)^(1/19)-1,"n/m")</f>
        <v>0.0593259686555012</v>
      </c>
    </row>
    <row r="230">
      <c r="B230" s="25" t="inlineStr">
        <is>
          <t xml:space="preserve">  Adjusted EBITDA margin %</t>
        </is>
      </c>
      <c r="C230" s="36">
        <f>IF(AND(ISNUMBER(C229),ISNUMBER(C154)),IFERROR(C229/C154,""),"")</f>
        <v>0.144400747496723</v>
      </c>
      <c r="D230" s="36">
        <f>IF(AND(ISNUMBER(D229),ISNUMBER(D154)),IFERROR(D229/D154,""),"")</f>
        <v>0.150261927477569</v>
      </c>
      <c r="E230" s="36">
        <f>IF(AND(ISNUMBER(E229),ISNUMBER(E154)),IFERROR(E229/E154,""),"")</f>
        <v>0.153043546307154</v>
      </c>
      <c r="F230" s="36">
        <f>IF(AND(ISNUMBER(F229),ISNUMBER(F154)),IFERROR(F229/F154,""),"")</f>
        <v>0.103376829151933</v>
      </c>
      <c r="G230" s="36">
        <f>IF(AND(ISNUMBER(G229),ISNUMBER(G154)),IFERROR(G229/G154,""),"")</f>
        <v>0.12149425265147</v>
      </c>
      <c r="H230" s="36">
        <f>IF(AND(ISNUMBER(H229),ISNUMBER(H154)),IFERROR(H229/H154,""),"")</f>
        <v>0.136289532173313</v>
      </c>
      <c r="I230" s="36">
        <f>IF(AND(ISNUMBER(I229),ISNUMBER(I154)),IFERROR(I229/I154,""),"")</f>
        <v>0.15625119376512</v>
      </c>
      <c r="J230" s="36">
        <f>IF(AND(ISNUMBER(J229),ISNUMBER(J154)),IFERROR(J229/J154,""),"")</f>
        <v>0.165203813669592</v>
      </c>
      <c r="K230" s="36">
        <f>IF(AND(ISNUMBER(K229),ISNUMBER(K154)),IFERROR(K229/K154,""),"")</f>
        <v>0.174573018508947</v>
      </c>
      <c r="L230" s="36">
        <f>IF(AND(ISNUMBER(L229),ISNUMBER(L154)),IFERROR(L229/L154,""),"")</f>
        <v>0.175595302619693</v>
      </c>
      <c r="M230" s="36">
        <f>IF(AND(ISNUMBER(M229),ISNUMBER(M154)),IFERROR(M229/M154,""),"")</f>
        <v>0.194522594716498</v>
      </c>
      <c r="N230" s="36">
        <f>IF(AND(ISNUMBER(N229),ISNUMBER(N154)),IFERROR(N229/N154,""),"")</f>
        <v>0.17745965097272</v>
      </c>
      <c r="O230" s="36">
        <f>IF(AND(ISNUMBER(O229),ISNUMBER(O154)),IFERROR(O229/O154,""),"")</f>
        <v>0.173212059638398</v>
      </c>
      <c r="P230" s="36">
        <f>IF(AND(ISNUMBER(P229),ISNUMBER(P154)),IFERROR(P229/P154,""),"")</f>
        <v>0.188325548260815</v>
      </c>
      <c r="Q230" s="36">
        <f>IF(AND(ISNUMBER(Q229),ISNUMBER(Q154)),IFERROR(Q229/Q154,""),"")</f>
        <v>0.173960605048779</v>
      </c>
      <c r="R230" s="36">
        <f>IF(AND(ISNUMBER(R229),ISNUMBER(R154)),IFERROR(R229/R154,""),"")</f>
        <v>0.180667120888247</v>
      </c>
      <c r="S230" s="36">
        <f>IF(AND(ISNUMBER(S229),ISNUMBER(S154)),IFERROR(S229/S154,""),"")</f>
        <v>0.179128674834466</v>
      </c>
      <c r="T230" s="36">
        <f>IF(AND(ISNUMBER(T229),ISNUMBER(T154)),IFERROR(T229/T154,""),"")</f>
        <v>0.1671834625323</v>
      </c>
      <c r="U230" s="36">
        <f>IF(AND(ISNUMBER(U229),ISNUMBER(U154)),IFERROR(U229/U154,""),"")</f>
        <v>0.173012004693564</v>
      </c>
      <c r="V230" s="36">
        <f>IF(AND(ISNUMBER(V229),ISNUMBER(V154)),IFERROR(V229/V154,""),"")</f>
        <v>0.176522011389317</v>
      </c>
      <c r="W230" s="36">
        <f>IF(AND(ISNUMBER(W229),ISNUMBER(W154)),IFERROR(W229/W154,""),"")</f>
        <v>0.182980184335854</v>
      </c>
      <c r="X230" s="36">
        <f>IF(AND(ISNUMBER(X229),ISNUMBER(X154)),IFERROR(X229/X154,""),"")</f>
        <v>0.174625590200454</v>
      </c>
      <c r="Y230" s="36">
        <f>IF(AND(ISNUMBER(Y229),ISNUMBER(Y154)),IFERROR(Y229/Y154,""),"")</f>
        <v>0.167423854503724</v>
      </c>
      <c r="Z230" s="36">
        <f>IF(AND(ISNUMBER(Z229),ISNUMBER(Z154)),IFERROR(Z229/Z154,""),"")</f>
        <v>0.169582963380586</v>
      </c>
      <c r="AA230" s="36">
        <f>IF(AND(ISNUMBER(AA229),ISNUMBER(AA154)),IFERROR(AA229/AA154,""),"")</f>
        <v>0.176190794967286</v>
      </c>
      <c r="AB230" s="36">
        <f>IF(AND(ISNUMBER(AB229),ISNUMBER(AB154)),IFERROR(AB229/AB154,""),"")</f>
        <v>0.179334832608526</v>
      </c>
      <c r="AC230" s="36">
        <f>IF(AND(ISNUMBER(AC229),ISNUMBER(AC154)),IFERROR(AC229/AC154,""),"")</f>
        <v>0.173126517290406</v>
      </c>
      <c r="AD230" s="36">
        <f>IF(AND(ISNUMBER(AD229),ISNUMBER(AD154)),IFERROR(AD229/AD154,""),"")</f>
        <v>0.177342971301281</v>
      </c>
      <c r="AE230" s="36">
        <f>IF(AND(ISNUMBER(AE229),ISNUMBER(AE154)),IFERROR(AE229/AE154,""),"")</f>
        <v>0.174450992090713</v>
      </c>
      <c r="AF230" s="36">
        <f>IF(AND(ISNUMBER(AF229),ISNUMBER(AF154)),IFERROR(AF229/AF154,""),"")</f>
        <v>0.16874461344514</v>
      </c>
      <c r="AG230" s="36">
        <f>IF(AND(ISNUMBER(AG229),ISNUMBER(AG154)),IFERROR(AG229/AG154,""),"")</f>
        <v>0.151376165206743</v>
      </c>
      <c r="AH230" s="36">
        <f>IF(AND(ISNUMBER(AH229),ISNUMBER(AH154)),IFERROR(AH229/AH154,""),"")</f>
        <v>0.167065927814448</v>
      </c>
      <c r="AI230" s="36">
        <f>IF(AND(ISNUMBER(AI229),ISNUMBER(AI154)),IFERROR(AI229/AI154,""),"")</f>
        <v>0.157864103809443</v>
      </c>
      <c r="AJ230" s="36">
        <f>IF(AND(ISNUMBER(AJ229),ISNUMBER(AJ154)),IFERROR(AJ229/AJ154,""),"")</f>
        <v>0.164032240915788</v>
      </c>
      <c r="AK230" s="36">
        <f>IF(AND(ISNUMBER(AK229),ISNUMBER(AK154)),IFERROR(AK229/AK154,""),"")</f>
        <v>0.16981979354198</v>
      </c>
      <c r="AL230" s="36">
        <f>IF(AND(ISNUMBER(AL229),ISNUMBER(AL154)),IFERROR(AL229/AL154,""),"")</f>
        <v>0.162213794336586</v>
      </c>
      <c r="AM230" s="36">
        <f>IF(AND(ISNUMBER(AM229),ISNUMBER(AM154)),IFERROR(AM229/AM154,""),"")</f>
        <v>0.163451068025149</v>
      </c>
      <c r="AN230" s="36">
        <f>IF(AND(ISNUMBER(AN229),ISNUMBER(AN154)),IFERROR(AN229/AN154,""),"")</f>
        <v>0.159998893534289</v>
      </c>
      <c r="AO230" s="36">
        <f>IF(AND(ISNUMBER(AO229),ISNUMBER(AO154)),IFERROR(AO229/AO154,""),"")</f>
        <v>0.167178458909046</v>
      </c>
      <c r="AP230" s="36">
        <f>IF(AND(ISNUMBER(AP229),ISNUMBER(AP154)),IFERROR(AP229/AP154,""),"")</f>
        <v>0.15715745987523</v>
      </c>
      <c r="AQ230" s="36">
        <f>IF(AND(ISNUMBER(AQ229),ISNUMBER(AQ154)),IFERROR(AQ229/AQ154,""),"")</f>
        <v>0.157578292750171</v>
      </c>
      <c r="AR230" s="36">
        <f>IF(AND(ISNUMBER(AR229),ISNUMBER(AR154)),IFERROR(AR229/AR154,""),"")</f>
        <v>0.160571536644034</v>
      </c>
      <c r="AS230" s="36">
        <f>IF(AND(ISNUMBER(AS229),ISNUMBER(AS154)),IFERROR(AS229/AS154,""),"")</f>
        <v>0.156323941475033</v>
      </c>
      <c r="AT230" s="36">
        <f>IF(AND(ISNUMBER(AT229),ISNUMBER(AT154)),IFERROR(AT229/AT154,""),"")</f>
        <v>0.14589311136955</v>
      </c>
      <c r="AU230" s="36">
        <f>IF(AND(ISNUMBER(AU229),ISNUMBER(AU154)),IFERROR(AU229/AU154,""),"")</f>
        <v>0.161145064644604</v>
      </c>
      <c r="AV230" s="36">
        <f>IF(AND(ISNUMBER(AV229),ISNUMBER(AV154)),IFERROR(AV229/AV154,""),"")</f>
        <v>0.168910368207278</v>
      </c>
      <c r="AW230" s="36">
        <f>IF(AND(ISNUMBER(AW229),ISNUMBER(AW154)),IFERROR(AW229/AW154,""),"")</f>
        <v>0.158506439707765</v>
      </c>
      <c r="AX230" s="36">
        <f>IF(AND(ISNUMBER(AX229),ISNUMBER(AX154)),IFERROR(AX229/AX154,""),"")</f>
        <v>0.174092924766948</v>
      </c>
      <c r="AY230" s="36">
        <f>IF(AND(ISNUMBER(AY229),ISNUMBER(AY154)),IFERROR(AY229/AY154,""),"")</f>
        <v>0.178890779160123</v>
      </c>
      <c r="AZ230" s="36">
        <f>IF(AND(ISNUMBER(AZ229),ISNUMBER(AZ154)),IFERROR(AZ229/AZ154,""),"")</f>
        <v>0.18217406076478</v>
      </c>
      <c r="BA230" s="36">
        <f>IF(AND(ISNUMBER(BA229),ISNUMBER(BA154)),IFERROR(BA229/BA154,""),"")</f>
        <v>0.172770893963999</v>
      </c>
      <c r="BB230" s="36">
        <f>IF(AND(ISNUMBER(BB229),ISNUMBER(BB154)),IFERROR(BB229/BB154,""),"")</f>
        <v>0.176988912181759</v>
      </c>
      <c r="BC230" s="36">
        <f>IF(AND(ISNUMBER(BC229),ISNUMBER(BC154)),IFERROR(BC229/BC154,""),"")</f>
        <v>0.198112697850122</v>
      </c>
      <c r="BD230" s="36">
        <f>IF(AND(ISNUMBER(BD229),ISNUMBER(BD154)),IFERROR(BD229/BD154,""),"")</f>
        <v>0.192743523286671</v>
      </c>
      <c r="BE230" s="36">
        <f>IF(AND(ISNUMBER(BE229),ISNUMBER(BE154)),IFERROR(BE229/BE154,""),"")</f>
        <v>0.188214789786579</v>
      </c>
      <c r="BF230" s="36">
        <f>IF(AND(ISNUMBER(BF229),ISNUMBER(BF154)),IFERROR(BF229/BF154,""),"")</f>
        <v>0.181279231395566</v>
      </c>
      <c r="BG230" s="36">
        <f>IF(AND(ISNUMBER(BG229),ISNUMBER(BG154)),IFERROR(BG229/BG154,""),"")</f>
        <v>0.190101007361725</v>
      </c>
      <c r="BH230" s="36">
        <f>IF(AND(ISNUMBER(BH229),ISNUMBER(BH154)),IFERROR(BH229/BH154,""),"")</f>
        <v>0.18565093525429</v>
      </c>
      <c r="BI230" s="36">
        <f>IF(AND(ISNUMBER(BI229),ISNUMBER(BI154)),IFERROR(BI229/BI154,""),"")</f>
        <v>0.200730742575891</v>
      </c>
      <c r="BJ230" s="36">
        <f>IF(AND(ISNUMBER(BJ229),ISNUMBER(BJ154)),IFERROR(BJ229/BJ154,""),"")</f>
        <v>0.199045889815663</v>
      </c>
      <c r="BK230" s="36">
        <f>IF(AND(ISNUMBER(BK229),ISNUMBER(BK154)),IFERROR(BK229/BK154,""),"")</f>
        <v>0.19515566161619</v>
      </c>
      <c r="BL230" s="36">
        <f>IF(AND(ISNUMBER(BL229),ISNUMBER(BL154)),IFERROR(BL229/BL154,""),"")</f>
        <v>0.195161030203959</v>
      </c>
      <c r="BM230" s="36">
        <f>IF(AND(ISNUMBER(BM229),ISNUMBER(BM154)),IFERROR(BM229/BM154,""),"")</f>
        <v>0.199003869763157</v>
      </c>
      <c r="BN230" s="36">
        <f>IF(AND(ISNUMBER(BN229),ISNUMBER(BN154)),IFERROR(BN229/BN154,""),"")</f>
        <v>0.197599451101761</v>
      </c>
      <c r="BO230" s="36">
        <f>IF(AND(ISNUMBER(BO229),ISNUMBER(BO154)),IFERROR(BO229/BO154,""),"")</f>
        <v>0.197936689778696</v>
      </c>
      <c r="BP230" s="36">
        <f>IF(AND(ISNUMBER(BP229),ISNUMBER(BP154)),IFERROR(BP229/BP154,""),"")</f>
        <v>0.20544875840361</v>
      </c>
      <c r="BQ230" s="36">
        <f>IF(AND(ISNUMBER(BQ229),ISNUMBER(BQ154)),IFERROR(BQ229/BQ154,""),"")</f>
        <v>0.20002719106337</v>
      </c>
      <c r="BR230" s="36">
        <f>IF(AND(ISNUMBER(BR229),ISNUMBER(BR154)),IFERROR(BR229/BR154,""),"")</f>
        <v>0.192826875669562</v>
      </c>
      <c r="BS230" s="36">
        <f>IF(AND(ISNUMBER(BS229),ISNUMBER(BS154)),IFERROR(BS229/BS154,""),"")</f>
        <v>0.205397764066896</v>
      </c>
      <c r="BT230" s="36">
        <f>IF(AND(ISNUMBER(BT229),ISNUMBER(BT154)),IFERROR(BT229/BT154,""),"")</f>
        <v>0.200043911434594</v>
      </c>
      <c r="BU230" s="36">
        <f>IF(AND(ISNUMBER(BU229),ISNUMBER(BU154)),IFERROR(BU229/BU154,""),"")</f>
        <v>0.205431462434471</v>
      </c>
      <c r="BV230" s="36">
        <f>IF(AND(ISNUMBER(BV229),ISNUMBER(BV154)),IFERROR(BV229/BV154,""),"")</f>
        <v>0.201081359970687</v>
      </c>
      <c r="BW230" s="36">
        <f>IF(AND(ISNUMBER(BW229),ISNUMBER(BW154)),IFERROR(BW229/BW154,""),"")</f>
        <v>0.192211935789355</v>
      </c>
      <c r="BX230" s="36">
        <f>IF(AND(ISNUMBER(BX229),ISNUMBER(BX154)),IFERROR(BX229/BX154,""),"")</f>
        <v>0.204866426217734</v>
      </c>
      <c r="BY230" s="254">
        <f>IFERROR(BY229/BY154,"")</f>
        <v>0.20318534709792</v>
      </c>
      <c r="BZ230" s="254">
        <f>IFERROR(BZ229/BZ154,"")</f>
        <v>0.209121745818473</v>
      </c>
      <c r="CA230" s="254">
        <f>IFERROR(CA229/CA154,"")</f>
        <v>0.202512642783259</v>
      </c>
      <c r="CB230" s="254">
        <f>IFERROR(CB229/CB154,"")</f>
        <v>0.209707935357678</v>
      </c>
      <c r="CC230" s="254">
        <f>IFERROR(CC229/CC154,"")</f>
        <v>0.215504822772319</v>
      </c>
      <c r="CD230" s="254">
        <f>IFERROR(CD229/CD154,"")</f>
        <v>0.220335434893768</v>
      </c>
      <c r="CE230" s="254">
        <f>IFERROR(CE229/CE154,"")</f>
        <v>0.224753765087399</v>
      </c>
      <c r="CF230" s="19" t="n"/>
      <c r="CH230" s="20">
        <f>IFERROR(AVERAGE(CA230,CB230,CC230,CD230,CE230),"n/m")</f>
        <v>0.214562920178885</v>
      </c>
      <c r="CI230" s="20">
        <f>IFERROR(AVERAGE(AW230,BB230,BG230,BL230,BQ230,BV230),"n/m")</f>
        <v>0.186977656748211</v>
      </c>
      <c r="CJ230" s="20">
        <f>IFERROR(AVERAGE(X230,AC230,AH230,AM230,AR230,AW230,BB230,BG230,BL230,BQ230,BV230),"n/m")</f>
        <v>0.178246052769432</v>
      </c>
      <c r="CK230" s="20">
        <f>IFERROR(AVERAGE(C230,D230,E230,F230,G230,H230,I230,N230,S230,X230,AC230,AH230,AM230,AR230,AW230,BB230,BG230,BL230,BQ230,BV230),"n/m")</f>
        <v>0.164120646764711</v>
      </c>
    </row>
    <row r="231" outlineLevel="2" s="251">
      <c r="B231" s="25" t="inlineStr">
        <is>
          <t xml:space="preserve">  Memo: EBITDA (GAAP EBIT + D&amp;A)</t>
        </is>
      </c>
      <c r="C231" s="44">
        <f>C211+C228</f>
        <v>290.274</v>
      </c>
      <c r="D231" s="44">
        <f>D211+D228</f>
        <v>342.903</v>
      </c>
      <c r="E231" s="44">
        <f>E211+E228</f>
        <v>360.044</v>
      </c>
      <c r="F231" s="44">
        <f>F211+F228</f>
        <v>148.138</v>
      </c>
      <c r="G231" s="44">
        <f>G211+G228</f>
        <v>248.775</v>
      </c>
      <c r="H231" s="44">
        <f>H211+H228</f>
        <v>366.965</v>
      </c>
      <c r="I231" s="44">
        <f>I211+I228</f>
        <v>435.107</v>
      </c>
      <c r="J231" s="44">
        <f>J211+J228</f>
        <v>108</v>
      </c>
      <c r="K231" s="44">
        <f>K211+K228</f>
        <v>123.601</v>
      </c>
      <c r="L231" s="44">
        <f>L211+L228</f>
        <v>115.188</v>
      </c>
      <c r="M231" s="44">
        <f>M211+M228</f>
        <v>138.079</v>
      </c>
      <c r="N231" s="44">
        <f>N211+N228</f>
        <v>484.868</v>
      </c>
      <c r="O231" s="44">
        <f>O211+O228</f>
        <v>101.013</v>
      </c>
      <c r="P231" s="44">
        <f>P211+P228</f>
        <v>132.897</v>
      </c>
      <c r="Q231" s="44">
        <f>Q211+Q228</f>
        <v>95.449</v>
      </c>
      <c r="R231" s="44">
        <f>R211+R228</f>
        <v>123.402</v>
      </c>
      <c r="S231" s="44">
        <f>S211+S228</f>
        <v>452.761</v>
      </c>
      <c r="T231" s="44">
        <f>T211+T228</f>
        <v>109.99</v>
      </c>
      <c r="U231" s="44">
        <f>U211+U228</f>
        <v>113.769</v>
      </c>
      <c r="V231" s="44">
        <f>V211+V228</f>
        <v>-67.2359999999999</v>
      </c>
      <c r="W231" s="44">
        <f>W211+W228</f>
        <v>96.381</v>
      </c>
      <c r="X231" s="44">
        <f>X211+X228</f>
        <v>252.904</v>
      </c>
      <c r="Y231" s="44">
        <f>Y211+Y228</f>
        <v>92.204</v>
      </c>
      <c r="Z231" s="44">
        <f>Z211+Z228</f>
        <v>66.116</v>
      </c>
      <c r="AA231" s="44">
        <f>AA211+AA228</f>
        <v>100.014</v>
      </c>
      <c r="AB231" s="44">
        <f>AB211+AB228</f>
        <v>101.114</v>
      </c>
      <c r="AC231" s="44">
        <f>AC211+AC228</f>
        <v>359.448</v>
      </c>
      <c r="AD231" s="44">
        <f>AD211+AD228</f>
        <v>99.4030000000001</v>
      </c>
      <c r="AE231" s="44">
        <f>AE211+AE228</f>
        <v>104.858</v>
      </c>
      <c r="AF231" s="44">
        <f>AF211+AF228</f>
        <v>153.688</v>
      </c>
      <c r="AG231" s="44">
        <f>AG211+AG228</f>
        <v>95.8339999999999</v>
      </c>
      <c r="AH231" s="44">
        <f>AH211+AH228</f>
        <v>453.783</v>
      </c>
      <c r="AI231" s="44">
        <f>AI211+AI228</f>
        <v>106.773</v>
      </c>
      <c r="AJ231" s="44">
        <f>AJ211+AJ228</f>
        <v>117.264</v>
      </c>
      <c r="AK231" s="44">
        <f>AK211+AK228</f>
        <v>117.336</v>
      </c>
      <c r="AL231" s="44">
        <f>AL211+AL228</f>
        <v>117.198</v>
      </c>
      <c r="AM231" s="44">
        <f>AM211+AM228</f>
        <v>458.571</v>
      </c>
      <c r="AN231" s="44">
        <f>AN211+AN228</f>
        <v>117.142</v>
      </c>
      <c r="AO231" s="44">
        <f>AO211+AO228</f>
        <v>129.733</v>
      </c>
      <c r="AP231" s="44">
        <f>AP211+AP228</f>
        <v>119.345</v>
      </c>
      <c r="AQ231" s="44">
        <f>AQ211+AQ228</f>
        <v>107.175</v>
      </c>
      <c r="AR231" s="44">
        <f>AR211+AR228</f>
        <v>473.395</v>
      </c>
      <c r="AS231" s="44">
        <f>AS211+AS228</f>
        <v>102.411</v>
      </c>
      <c r="AT231" s="44">
        <f>AT211+AT228</f>
        <v>59.611</v>
      </c>
      <c r="AU231" s="44">
        <f>AU211+AU228</f>
        <v>98.3430000000001</v>
      </c>
      <c r="AV231" s="44">
        <f>AV211+AV228</f>
        <v>106.14</v>
      </c>
      <c r="AW231" s="44">
        <f>AW211+AW228</f>
        <v>366.505</v>
      </c>
      <c r="AX231" s="44">
        <f>AX211+AX228</f>
        <v>121.63</v>
      </c>
      <c r="AY231" s="44">
        <f>AY211+AY228</f>
        <v>142.914</v>
      </c>
      <c r="AZ231" s="44">
        <f>AZ211+AZ228</f>
        <v>66.1789999999999</v>
      </c>
      <c r="BA231" s="44">
        <f>BA211+BA228</f>
        <v>97.6349999999999</v>
      </c>
      <c r="BB231" s="44">
        <f>BB211+BB228</f>
        <v>428.358</v>
      </c>
      <c r="BC231" s="44">
        <f>BC211+BC228</f>
        <v>185.731</v>
      </c>
      <c r="BD231" s="44">
        <f>BD211+BD228</f>
        <v>186.267</v>
      </c>
      <c r="BE231" s="44">
        <f>BE211+BE228</f>
        <v>164.947</v>
      </c>
      <c r="BF231" s="44">
        <f>BF211+BF228</f>
        <v>163.441</v>
      </c>
      <c r="BG231" s="44">
        <f>BG211+BG228</f>
        <v>700.386</v>
      </c>
      <c r="BH231" s="44">
        <f>BH211+BH228</f>
        <v>189.868</v>
      </c>
      <c r="BI231" s="44">
        <f>BI211+BI228</f>
        <v>206.676</v>
      </c>
      <c r="BJ231" s="44">
        <f>BJ211+BJ228</f>
        <v>193.731</v>
      </c>
      <c r="BK231" s="44">
        <f>BK211+BK228</f>
        <v>227.662</v>
      </c>
      <c r="BL231" s="44">
        <f>BL211+BL228</f>
        <v>817.907000000001</v>
      </c>
      <c r="BM231" s="44">
        <f>BM211+BM228</f>
        <v>188.895</v>
      </c>
      <c r="BN231" s="44">
        <f>BN211+BN228</f>
        <v>168.15</v>
      </c>
      <c r="BO231" s="44">
        <f>BO211+BO228</f>
        <v>166.56</v>
      </c>
      <c r="BP231" s="44">
        <f>BP211+BP228</f>
        <v>201.568</v>
      </c>
      <c r="BQ231" s="44">
        <f>BQ211+BQ228</f>
        <v>725.173</v>
      </c>
      <c r="BR231" s="44">
        <f>BR211+BR228</f>
        <v>189.146</v>
      </c>
      <c r="BS231" s="44">
        <f>BS211+BS228</f>
        <v>220.64</v>
      </c>
      <c r="BT231" s="44">
        <f>BT211+BT228</f>
        <v>204.387</v>
      </c>
      <c r="BU231" s="44">
        <f>BU211+BU228</f>
        <v>211.384</v>
      </c>
      <c r="BV231" s="44">
        <f>BV211+BV228</f>
        <v>825.557</v>
      </c>
      <c r="BW231" s="44">
        <f>BW211+BW228</f>
        <v>212.737</v>
      </c>
      <c r="BX231" s="44">
        <f>BX211+BX228</f>
        <v>246.372</v>
      </c>
      <c r="BY231" s="257">
        <f>BY211+BY228</f>
        <v>237.81404919654</v>
      </c>
      <c r="BZ231" s="257">
        <f>BZ211+BZ228</f>
        <v>246.27178705346</v>
      </c>
      <c r="CA231" s="257">
        <f>CA211+CA228</f>
        <v>943.19483625</v>
      </c>
      <c r="CB231" s="257">
        <f>CB211+CB228</f>
        <v>1037.69437734224</v>
      </c>
      <c r="CC231" s="257">
        <f>CC211+CC228</f>
        <v>1147.31096416513</v>
      </c>
      <c r="CD231" s="257">
        <f>CD211+CD228</f>
        <v>1259.38077213992</v>
      </c>
      <c r="CE231" s="257">
        <f>CE211+CE228</f>
        <v>1376.71304125132</v>
      </c>
      <c r="CF231" s="19" t="n"/>
    </row>
    <row r="232">
      <c r="CF232" s="19" t="n"/>
    </row>
    <row r="233">
      <c r="B233" s="10" t="inlineStr">
        <is>
          <t>RECONCILIATION C: GAAP NET INCOME / DILUTED EPS → ADJUSTED NET INCOME / ADJUSTED EPS</t>
        </is>
      </c>
      <c r="C233" s="10" t="n"/>
      <c r="D233" s="10" t="n"/>
      <c r="E233" s="10" t="n"/>
      <c r="F233" s="10" t="n"/>
      <c r="G233" s="10" t="n"/>
      <c r="H233" s="10" t="n"/>
      <c r="I233" s="10" t="n"/>
      <c r="J233" s="10" t="n"/>
      <c r="K233" s="10" t="n"/>
      <c r="L233" s="10" t="n"/>
      <c r="M233" s="10" t="n"/>
      <c r="N233" s="10" t="n"/>
      <c r="O233" s="10" t="n"/>
      <c r="P233" s="10" t="n"/>
      <c r="Q233" s="10" t="n"/>
      <c r="R233" s="10" t="n"/>
      <c r="S233" s="10" t="n"/>
      <c r="T233" s="10" t="n"/>
      <c r="U233" s="10" t="n"/>
      <c r="V233" s="10" t="n"/>
      <c r="W233" s="10" t="n"/>
      <c r="X233" s="10" t="n"/>
      <c r="Y233" s="10" t="n"/>
      <c r="Z233" s="10" t="n"/>
      <c r="AA233" s="10" t="n"/>
      <c r="AB233" s="10" t="n"/>
      <c r="AC233" s="10" t="n"/>
      <c r="AD233" s="10" t="n"/>
      <c r="AE233" s="10" t="n"/>
      <c r="AF233" s="10" t="n"/>
      <c r="AG233" s="10" t="n"/>
      <c r="AH233" s="10" t="n"/>
      <c r="AI233" s="10" t="n"/>
      <c r="AJ233" s="10" t="n"/>
      <c r="AK233" s="10" t="n"/>
      <c r="AL233" s="10" t="n"/>
      <c r="AM233" s="10" t="n"/>
      <c r="AN233" s="10" t="n"/>
      <c r="AO233" s="10" t="n"/>
      <c r="AP233" s="10" t="n"/>
      <c r="AQ233" s="10" t="n"/>
      <c r="AR233" s="10" t="n"/>
      <c r="AS233" s="10" t="n"/>
      <c r="AT233" s="10" t="n"/>
      <c r="AU233" s="10" t="n"/>
      <c r="AV233" s="10" t="n"/>
      <c r="AW233" s="10" t="n"/>
      <c r="AX233" s="10" t="n"/>
      <c r="AY233" s="10" t="n"/>
      <c r="AZ233" s="10" t="n"/>
      <c r="BA233" s="10" t="n"/>
      <c r="BB233" s="10" t="n"/>
      <c r="BC233" s="10" t="n"/>
      <c r="BD233" s="10" t="n"/>
      <c r="BE233" s="10" t="n"/>
      <c r="BF233" s="10" t="n"/>
      <c r="BG233" s="10" t="n"/>
      <c r="BH233" s="10" t="n"/>
      <c r="BI233" s="10" t="n"/>
      <c r="BJ233" s="10" t="n"/>
      <c r="BK233" s="10" t="n"/>
      <c r="BL233" s="10" t="n"/>
      <c r="BM233" s="10" t="n"/>
      <c r="BN233" s="10" t="n"/>
      <c r="BO233" s="10" t="n"/>
      <c r="BP233" s="10" t="n"/>
      <c r="BQ233" s="10" t="n"/>
      <c r="BR233" s="10" t="n"/>
      <c r="BS233" s="10" t="n"/>
      <c r="BT233" s="10" t="n"/>
      <c r="BU233" s="10" t="n"/>
      <c r="BV233" s="10" t="n"/>
      <c r="BW233" s="10" t="n"/>
      <c r="BX233" s="10" t="n"/>
      <c r="BY233" s="10" t="n"/>
      <c r="BZ233" s="10" t="n"/>
      <c r="CA233" s="10" t="n"/>
      <c r="CB233" s="10" t="n"/>
      <c r="CC233" s="10" t="n"/>
      <c r="CD233" s="10" t="n"/>
      <c r="CE233" s="10" t="n"/>
      <c r="CF233" s="10" t="inlineStr">
        <is>
          <t>ADJUSTED EPS — LECO publishes adjusted net income and adjusted diluted EPS every quarter; special items pre-tax per bridge B, tax effect as published (derived where the company disclosed after-tax items only)</t>
        </is>
      </c>
    </row>
    <row r="234">
      <c r="B234" s="16" t="inlineStr">
        <is>
          <t>Net income attributable to Lincoln Electric (GAAP)</t>
        </is>
      </c>
      <c r="C234" s="43">
        <f>C175</f>
        <v>175.008</v>
      </c>
      <c r="D234" s="43">
        <f>D175</f>
        <v>202.736</v>
      </c>
      <c r="E234" s="43">
        <f>E175</f>
        <v>212.286</v>
      </c>
      <c r="F234" s="43">
        <f>F175</f>
        <v>48.5760000000001</v>
      </c>
      <c r="G234" s="43">
        <f>G175</f>
        <v>130.244</v>
      </c>
      <c r="H234" s="43">
        <f>H175</f>
        <v>217.186</v>
      </c>
      <c r="I234" s="43">
        <f>I175</f>
        <v>257.411</v>
      </c>
      <c r="J234" s="43">
        <f>J175</f>
        <v>66.806</v>
      </c>
      <c r="K234" s="43">
        <f>K175</f>
        <v>72.606</v>
      </c>
      <c r="L234" s="43">
        <f>L175</f>
        <v>66.044</v>
      </c>
      <c r="M234" s="43">
        <f>M175</f>
        <v>88.324</v>
      </c>
      <c r="N234" s="43">
        <f>N175</f>
        <v>293.78</v>
      </c>
      <c r="O234" s="43">
        <f>O175</f>
        <v>56.453</v>
      </c>
      <c r="P234" s="43">
        <f>P175</f>
        <v>77.332</v>
      </c>
      <c r="Q234" s="43">
        <f>Q175</f>
        <v>45.689</v>
      </c>
      <c r="R234" s="43">
        <f>R175</f>
        <v>75.2119999999999</v>
      </c>
      <c r="S234" s="43">
        <f>S175</f>
        <v>254.686</v>
      </c>
      <c r="T234" s="43">
        <f>T175</f>
        <v>68.354</v>
      </c>
      <c r="U234" s="43">
        <f>U175</f>
        <v>70.898</v>
      </c>
      <c r="V234" s="43">
        <f>V175</f>
        <v>-60.4659999999999</v>
      </c>
      <c r="W234" s="43">
        <f>W175</f>
        <v>48.692</v>
      </c>
      <c r="X234" s="43">
        <f>X175</f>
        <v>127.478</v>
      </c>
      <c r="Y234" s="43">
        <f>Y175</f>
        <v>53.638</v>
      </c>
      <c r="Z234" s="43">
        <f>Z175</f>
        <v>31.317</v>
      </c>
      <c r="AA234" s="43">
        <f>AA175</f>
        <v>60.0489999999999</v>
      </c>
      <c r="AB234" s="43">
        <f>AB175</f>
        <v>53.395</v>
      </c>
      <c r="AC234" s="43">
        <f>AC175</f>
        <v>198.399</v>
      </c>
      <c r="AD234" s="43">
        <f>AD175</f>
        <v>55.8440000000001</v>
      </c>
      <c r="AE234" s="43">
        <f>AE175</f>
        <v>61.352</v>
      </c>
      <c r="AF234" s="43">
        <f>AF175</f>
        <v>106.126</v>
      </c>
      <c r="AG234" s="43">
        <f>AG175</f>
        <v>24.1809999999999</v>
      </c>
      <c r="AH234" s="43">
        <f>AH175</f>
        <v>247.503</v>
      </c>
      <c r="AI234" s="43">
        <f>AI175</f>
        <v>60.824</v>
      </c>
      <c r="AJ234" s="43">
        <f>AJ175</f>
        <v>68.864</v>
      </c>
      <c r="AK234" s="43">
        <f>AK175</f>
        <v>70.539</v>
      </c>
      <c r="AL234" s="43">
        <f>AL175</f>
        <v>86.839</v>
      </c>
      <c r="AM234" s="43">
        <f>AM175</f>
        <v>287.066</v>
      </c>
      <c r="AN234" s="43">
        <f>AN175</f>
        <v>71.48</v>
      </c>
      <c r="AO234" s="43">
        <f>AO175</f>
        <v>85.452</v>
      </c>
      <c r="AP234" s="43">
        <f>AP175</f>
        <v>72.461</v>
      </c>
      <c r="AQ234" s="43">
        <f>AQ175</f>
        <v>63.716</v>
      </c>
      <c r="AR234" s="43">
        <f>AR175</f>
        <v>293.109</v>
      </c>
      <c r="AS234" s="43">
        <f>AS175</f>
        <v>55.562</v>
      </c>
      <c r="AT234" s="43">
        <f>AT175</f>
        <v>26.996</v>
      </c>
      <c r="AU234" s="43">
        <f>AU175</f>
        <v>58.4790000000001</v>
      </c>
      <c r="AV234" s="43">
        <f>AV175</f>
        <v>65.078</v>
      </c>
      <c r="AW234" s="43">
        <f>AW175</f>
        <v>206.115</v>
      </c>
      <c r="AX234" s="43">
        <f>AX175</f>
        <v>74.177</v>
      </c>
      <c r="AY234" s="43">
        <f>AY175</f>
        <v>96.1049999999999</v>
      </c>
      <c r="AZ234" s="43">
        <f>AZ175</f>
        <v>31.7569999999999</v>
      </c>
      <c r="BA234" s="43">
        <f>BA175</f>
        <v>74.4269999999999</v>
      </c>
      <c r="BB234" s="43">
        <f>BB175</f>
        <v>276.466</v>
      </c>
      <c r="BC234" s="43">
        <f>BC175</f>
        <v>126.03</v>
      </c>
      <c r="BD234" s="43">
        <f>BD175</f>
        <v>127.823</v>
      </c>
      <c r="BE234" s="43">
        <f>BE175</f>
        <v>109.225</v>
      </c>
      <c r="BF234" s="43">
        <f>BF175</f>
        <v>109.146</v>
      </c>
      <c r="BG234" s="43">
        <f>BG175</f>
        <v>472.224</v>
      </c>
      <c r="BH234" s="43">
        <f>BH175</f>
        <v>121.931</v>
      </c>
      <c r="BI234" s="43">
        <f>BI175</f>
        <v>137.331</v>
      </c>
      <c r="BJ234" s="43">
        <f>BJ175</f>
        <v>129.343</v>
      </c>
      <c r="BK234" s="43">
        <f>BK175</f>
        <v>156.644</v>
      </c>
      <c r="BL234" s="43">
        <f>BL175</f>
        <v>545.248000000001</v>
      </c>
      <c r="BM234" s="43">
        <f>BM175</f>
        <v>123.415</v>
      </c>
      <c r="BN234" s="43">
        <f>BN175</f>
        <v>101.708</v>
      </c>
      <c r="BO234" s="43">
        <f>BO175</f>
        <v>100.756</v>
      </c>
      <c r="BP234" s="43">
        <f>BP175</f>
        <v>140.229</v>
      </c>
      <c r="BQ234" s="43">
        <f>BQ175</f>
        <v>466.108</v>
      </c>
      <c r="BR234" s="43">
        <f>BR175</f>
        <v>118.487</v>
      </c>
      <c r="BS234" s="43">
        <f>BS175</f>
        <v>143.396</v>
      </c>
      <c r="BT234" s="43">
        <f>BT175</f>
        <v>122.628</v>
      </c>
      <c r="BU234" s="43">
        <f>BU175</f>
        <v>136.022</v>
      </c>
      <c r="BV234" s="43">
        <f>BV175</f>
        <v>520.532999999999</v>
      </c>
      <c r="BW234" s="43">
        <f>BW175</f>
        <v>136.382</v>
      </c>
      <c r="BX234" s="43">
        <f>BX175</f>
        <v>158.519</v>
      </c>
      <c r="BY234" s="253">
        <f>BY175</f>
        <v>152.862362881336</v>
      </c>
      <c r="BZ234" s="253">
        <f>BZ175</f>
        <v>159.374821031164</v>
      </c>
      <c r="CA234" s="253">
        <f>CA175</f>
        <v>607.1381839125</v>
      </c>
      <c r="CB234" s="253">
        <f>CB175</f>
        <v>671.527788613991</v>
      </c>
      <c r="CC234" s="253">
        <f>CC175</f>
        <v>739.597580593692</v>
      </c>
      <c r="CD234" s="253">
        <f>CD175</f>
        <v>810.555140343366</v>
      </c>
      <c r="CE234" s="253">
        <f>CE175</f>
        <v>885.000165802894</v>
      </c>
      <c r="CF234" s="19" t="n"/>
    </row>
    <row r="235">
      <c r="B235" s="25" t="inlineStr">
        <is>
          <t xml:space="preserve">  (+) Special items, pre-tax (as in the adjusted EBIT bridge)</t>
        </is>
      </c>
      <c r="C235" s="44">
        <f>C221</f>
        <v>-5.528</v>
      </c>
      <c r="D235" s="44">
        <f>D221</f>
        <v>-0.188</v>
      </c>
      <c r="E235" s="44">
        <f>E221</f>
        <v>19.371</v>
      </c>
      <c r="F235" s="44">
        <f>F221</f>
        <v>30.63</v>
      </c>
      <c r="G235" s="44">
        <f>G221</f>
        <v>2.739</v>
      </c>
      <c r="H235" s="44">
        <f>H221</f>
        <v>0.282</v>
      </c>
      <c r="I235" s="44">
        <f>I221</f>
        <v>10.735</v>
      </c>
      <c r="J235" s="44">
        <f>J221</f>
        <v>10.711</v>
      </c>
      <c r="K235" s="44">
        <f>K221</f>
        <v>3.389</v>
      </c>
      <c r="L235" s="44">
        <f>L221</f>
        <v>6.302</v>
      </c>
      <c r="M235" s="44">
        <f>M221</f>
        <v>0.964</v>
      </c>
      <c r="N235" s="44">
        <f>N221</f>
        <v>21.366</v>
      </c>
      <c r="O235" s="44">
        <f>O221</f>
        <v>17.648</v>
      </c>
      <c r="P235" s="44">
        <f>P221</f>
        <v>4.304</v>
      </c>
      <c r="Q235" s="44">
        <f>Q221</f>
        <v>29.068</v>
      </c>
      <c r="R235" s="44">
        <f>R221</f>
        <v>0.166</v>
      </c>
      <c r="S235" s="44">
        <f>S221</f>
        <v>51.186</v>
      </c>
      <c r="T235" s="44">
        <f>T221</f>
        <v>0</v>
      </c>
      <c r="U235" s="44">
        <f>U221</f>
        <v>1.239</v>
      </c>
      <c r="V235" s="44">
        <f>V221</f>
        <v>181.122</v>
      </c>
      <c r="W235" s="44">
        <f>W221</f>
        <v>7.549</v>
      </c>
      <c r="X235" s="44">
        <f>X221</f>
        <v>189.91</v>
      </c>
      <c r="Y235" s="44">
        <f>Y221</f>
        <v>0</v>
      </c>
      <c r="Z235" s="44">
        <f>Z221</f>
        <v>34.348</v>
      </c>
      <c r="AA235" s="44">
        <f>AA221</f>
        <v>0</v>
      </c>
      <c r="AB235" s="44">
        <f>AB221</f>
        <v>0</v>
      </c>
      <c r="AC235" s="44">
        <f>AC221</f>
        <v>34.348</v>
      </c>
      <c r="AD235" s="44">
        <f>AD221</f>
        <v>3.615</v>
      </c>
      <c r="AE235" s="44">
        <f>AE221</f>
        <v>4.498</v>
      </c>
      <c r="AF235" s="44">
        <f>AF221</f>
        <v>-40.715</v>
      </c>
      <c r="AG235" s="44">
        <f>AG221</f>
        <v>17.272</v>
      </c>
      <c r="AH235" s="44">
        <f>AH221</f>
        <v>-15.33</v>
      </c>
      <c r="AI235" s="44">
        <f>AI221</f>
        <v>12.84</v>
      </c>
      <c r="AJ235" s="44">
        <f>AJ221</f>
        <v>12.33</v>
      </c>
      <c r="AK235" s="44">
        <f>AK221</f>
        <v>7.838</v>
      </c>
      <c r="AL235" s="44">
        <f>AL221</f>
        <v>3.461</v>
      </c>
      <c r="AM235" s="44">
        <f>AM221</f>
        <v>36.469</v>
      </c>
      <c r="AN235" s="44">
        <f>AN221</f>
        <v>4.325</v>
      </c>
      <c r="AO235" s="44">
        <f>AO221</f>
        <v>0.166</v>
      </c>
      <c r="AP235" s="44">
        <f>AP221</f>
        <v>-4.497</v>
      </c>
      <c r="AQ235" s="44">
        <f>AQ221</f>
        <v>8.851</v>
      </c>
      <c r="AR235" s="44">
        <f>AR221</f>
        <v>8.845</v>
      </c>
      <c r="AS235" s="44">
        <f>AS221</f>
        <v>7.327</v>
      </c>
      <c r="AT235" s="44">
        <f>AT221</f>
        <v>26.572</v>
      </c>
      <c r="AU235" s="44">
        <f>AU221</f>
        <v>9.445</v>
      </c>
      <c r="AV235" s="44">
        <f>AV221</f>
        <v>11.049</v>
      </c>
      <c r="AW235" s="44">
        <f>AW221</f>
        <v>54.393</v>
      </c>
      <c r="AX235" s="44">
        <f>AX221</f>
        <v>10.162</v>
      </c>
      <c r="AY235" s="44">
        <f>AY221</f>
        <v>4.931</v>
      </c>
      <c r="AZ235" s="44">
        <f>AZ221</f>
        <v>80.736</v>
      </c>
      <c r="BA235" s="44">
        <f>BA221</f>
        <v>48.227</v>
      </c>
      <c r="BB235" s="44">
        <f>BB221</f>
        <v>144.056</v>
      </c>
      <c r="BC235" s="44">
        <f>BC221</f>
        <v>-2.388</v>
      </c>
      <c r="BD235" s="44">
        <f>BD221</f>
        <v>0.615</v>
      </c>
      <c r="BE235" s="44">
        <f>BE221</f>
        <v>11.079</v>
      </c>
      <c r="BF235" s="44">
        <f>BF221</f>
        <v>5.318</v>
      </c>
      <c r="BG235" s="44">
        <f>BG221</f>
        <v>14.624</v>
      </c>
      <c r="BH235" s="44">
        <f>BH221</f>
        <v>3.087</v>
      </c>
      <c r="BI235" s="44">
        <f>BI221</f>
        <v>6.212</v>
      </c>
      <c r="BJ235" s="44">
        <f>BJ221</f>
        <v>11.926</v>
      </c>
      <c r="BK235" s="44">
        <f>BK221</f>
        <v>-21.087</v>
      </c>
      <c r="BL235" s="44">
        <f>BL221</f>
        <v>0.137000000000001</v>
      </c>
      <c r="BM235" s="44">
        <f>BM221</f>
        <v>6.367</v>
      </c>
      <c r="BN235" s="44">
        <f>BN221</f>
        <v>33.734</v>
      </c>
      <c r="BO235" s="44">
        <f>BO221</f>
        <v>28.162</v>
      </c>
      <c r="BP235" s="44">
        <f>BP221</f>
        <v>8.407</v>
      </c>
      <c r="BQ235" s="44">
        <f>BQ221</f>
        <v>76.67</v>
      </c>
      <c r="BR235" s="44">
        <f>BR221</f>
        <v>4.527</v>
      </c>
      <c r="BS235" s="44">
        <f>BS221</f>
        <v>2.971</v>
      </c>
      <c r="BT235" s="44">
        <f>BT221</f>
        <v>7.905</v>
      </c>
      <c r="BU235" s="44">
        <f>BU221</f>
        <v>10.218</v>
      </c>
      <c r="BV235" s="44">
        <f>BV221</f>
        <v>25.621</v>
      </c>
      <c r="BW235" s="44">
        <f>BW221</f>
        <v>2.816</v>
      </c>
      <c r="BX235" s="44">
        <f>BX221</f>
        <v>3.496</v>
      </c>
      <c r="BY235" s="257">
        <f>BY221</f>
        <v>3.156</v>
      </c>
      <c r="BZ235" s="257">
        <f>BZ221</f>
        <v>3.156</v>
      </c>
      <c r="CA235" s="257">
        <f>CA221</f>
        <v>12.624</v>
      </c>
      <c r="CB235" s="257">
        <f>CB221</f>
        <v>17</v>
      </c>
      <c r="CC235" s="257">
        <f>CC221</f>
        <v>17.5</v>
      </c>
      <c r="CD235" s="257">
        <f>CD221</f>
        <v>17.5</v>
      </c>
      <c r="CE235" s="257">
        <f>CE221</f>
        <v>17.5</v>
      </c>
      <c r="CF235" s="19" t="n"/>
    </row>
    <row r="236">
      <c r="B236" s="25" t="inlineStr">
        <is>
          <t xml:space="preserve">  (−) Tax effect of special items</t>
        </is>
      </c>
      <c r="C236" s="34" t="n">
        <v>1.802000000000001</v>
      </c>
      <c r="D236" s="34" t="n">
        <v>0.08100000000000068</v>
      </c>
      <c r="E236" s="34" t="n">
        <v>-1.05800000000001</v>
      </c>
      <c r="F236" s="34" t="n">
        <v>-6.108000000000001</v>
      </c>
      <c r="G236" s="34" t="n">
        <v>-0.07300000000000617</v>
      </c>
      <c r="H236" s="34" t="n">
        <v>-0.04499999999999904</v>
      </c>
      <c r="I236" s="34" t="n">
        <v>-2.386999999999986</v>
      </c>
      <c r="J236" s="34" t="n">
        <v>-0.3780000000000019</v>
      </c>
      <c r="K236" s="34" t="n">
        <v>-0.2719999999999954</v>
      </c>
      <c r="L236" s="34" t="n">
        <v>-0.2040000000000015</v>
      </c>
      <c r="M236" s="34" t="n">
        <v>-0.03599999999999974</v>
      </c>
      <c r="N236" s="34" t="n">
        <v>-0.8899999999999841</v>
      </c>
      <c r="O236" s="34" t="n">
        <v>0.01000000000000156</v>
      </c>
      <c r="P236" s="34" t="n">
        <v>-0.1379999999999892</v>
      </c>
      <c r="Q236" s="34" t="n">
        <v>0.9879999999999963</v>
      </c>
      <c r="R236" s="34" t="n">
        <v>0.001000000000001583</v>
      </c>
      <c r="S236" s="34" t="n">
        <v>0.8609999999999903</v>
      </c>
      <c r="T236" s="34" t="n">
        <v>0</v>
      </c>
      <c r="U236" s="34" t="n">
        <v>-0.3389999999999944</v>
      </c>
      <c r="V236" s="34" t="n">
        <v>-54.44299999999998</v>
      </c>
      <c r="W236" s="34" t="n">
        <v>-2.421999999999998</v>
      </c>
      <c r="X236" s="34" t="n">
        <v>-57.20399999999998</v>
      </c>
      <c r="Y236" s="34" t="n">
        <v>0</v>
      </c>
      <c r="Z236" s="34" t="n">
        <v>-1.097</v>
      </c>
      <c r="AA236" s="34" t="n">
        <v>0</v>
      </c>
      <c r="AB236" s="34" t="n">
        <v>0</v>
      </c>
      <c r="AC236" s="34" t="n">
        <v>-1.096999999999992</v>
      </c>
      <c r="AD236" s="34" t="n">
        <v>-0.8809999999999985</v>
      </c>
      <c r="AE236" s="34" t="n">
        <v>-1.003999999999993</v>
      </c>
      <c r="AF236" s="34" t="n">
        <v>-3.636000000000003</v>
      </c>
      <c r="AG236" s="34" t="n">
        <v>-2.55899999999999</v>
      </c>
      <c r="AH236" s="34" t="n">
        <v>-8.079999999999984</v>
      </c>
      <c r="AI236" s="34" t="n">
        <v>-2.880999999999997</v>
      </c>
      <c r="AJ236" s="34" t="n">
        <v>-0.784</v>
      </c>
      <c r="AK236" s="34" t="n">
        <v>1.033</v>
      </c>
      <c r="AL236" s="34" t="n">
        <v>-6.764</v>
      </c>
      <c r="AM236" s="34" t="n">
        <v>-6.896</v>
      </c>
      <c r="AN236" s="34" t="n">
        <v>-0.8129999999999999</v>
      </c>
      <c r="AO236" s="34" t="n">
        <v>-4.751</v>
      </c>
      <c r="AP236" s="34" t="n">
        <v>-0.255</v>
      </c>
      <c r="AQ236" s="34" t="n">
        <v>-1.567</v>
      </c>
      <c r="AR236" s="34" t="n">
        <v>-7.386</v>
      </c>
      <c r="AS236" s="34" t="n">
        <v>-1.976</v>
      </c>
      <c r="AT236" s="34" t="n">
        <v>-5.576</v>
      </c>
      <c r="AU236" s="34" t="n">
        <v>-1.911</v>
      </c>
      <c r="AV236" s="34" t="n">
        <v>-1.131</v>
      </c>
      <c r="AW236" s="34" t="n">
        <v>-10.594</v>
      </c>
      <c r="AX236" s="34" t="n">
        <v>-1.561</v>
      </c>
      <c r="AY236" s="34" t="n">
        <v>-0.433</v>
      </c>
      <c r="AZ236" s="34" t="n">
        <v>-18.743</v>
      </c>
      <c r="BA236" s="34" t="n">
        <v>-26.451</v>
      </c>
      <c r="BB236" s="34" t="n">
        <v>-47.188</v>
      </c>
      <c r="BC236" s="34" t="n">
        <v>1.041</v>
      </c>
      <c r="BD236" s="34" t="n">
        <v>-0.252</v>
      </c>
      <c r="BE236" s="34" t="n">
        <v>-0.731</v>
      </c>
      <c r="BF236" s="34" t="n">
        <v>-1.25</v>
      </c>
      <c r="BG236" s="34" t="n">
        <v>-1.192</v>
      </c>
      <c r="BH236" s="34" t="n">
        <v>-0.8179999999999999</v>
      </c>
      <c r="BI236" s="34" t="n">
        <v>-1.311</v>
      </c>
      <c r="BJ236" s="34" t="n">
        <v>-1.78</v>
      </c>
      <c r="BK236" s="34" t="n">
        <v>6.445</v>
      </c>
      <c r="BL236" s="34" t="n">
        <v>2.537</v>
      </c>
      <c r="BM236" s="34" t="n">
        <v>-1.126</v>
      </c>
      <c r="BN236" s="34" t="n">
        <v>-1.182</v>
      </c>
      <c r="BO236" s="34" t="n">
        <v>-6.55</v>
      </c>
      <c r="BP236" s="34" t="n">
        <v>-2.655</v>
      </c>
      <c r="BQ236" s="34" t="n">
        <v>-11.513</v>
      </c>
      <c r="BR236" s="34" t="n">
        <v>-1.158</v>
      </c>
      <c r="BS236" s="34" t="n">
        <v>-0.755</v>
      </c>
      <c r="BT236" s="34" t="n">
        <v>6.685</v>
      </c>
      <c r="BU236" s="34" t="n">
        <v>0.405</v>
      </c>
      <c r="BV236" s="34" t="n">
        <v>5.177</v>
      </c>
      <c r="BW236" s="34" t="n">
        <v>-0.74</v>
      </c>
      <c r="BX236" s="34" t="n">
        <v>-0.795</v>
      </c>
      <c r="BY236" s="257">
        <f>-BY235*BY237</f>
        <v>-0.74166</v>
      </c>
      <c r="BZ236" s="257">
        <f>-BZ235*BZ237</f>
        <v>-0.74166</v>
      </c>
      <c r="CA236" s="257">
        <f>-CA235*CA237</f>
        <v>-2.96664</v>
      </c>
      <c r="CB236" s="257">
        <f>-CB235*CB237</f>
        <v>-3.995</v>
      </c>
      <c r="CC236" s="257">
        <f>-CC235*CC237</f>
        <v>-4.1125</v>
      </c>
      <c r="CD236" s="257">
        <f>-CD235*CD237</f>
        <v>-4.1125</v>
      </c>
      <c r="CE236" s="257">
        <f>-CE235*CE237</f>
        <v>-4.1125</v>
      </c>
      <c r="CF236" s="19" t="n"/>
    </row>
    <row r="237">
      <c r="B237" s="25" t="inlineStr">
        <is>
          <t xml:space="preserve">  Tax rate applied to special items</t>
        </is>
      </c>
      <c r="C237" s="36">
        <f>IF(ABS(N(C235))&gt;1,IFERROR(-C236/C235,""),"n/m")</f>
        <v>0.325976845151954</v>
      </c>
      <c r="D237" s="36" t="str">
        <f>IF(ABS(N(D235))&gt;1,IFERROR(-D236/D235,""),"n/m")</f>
        <v>n/m</v>
      </c>
      <c r="E237" s="36">
        <f>IF(ABS(N(E235))&gt;1,IFERROR(-E236/E235,""),"n/m")</f>
        <v>0.0546177275308456</v>
      </c>
      <c r="F237" s="36">
        <f>IF(ABS(N(F235))&gt;1,IFERROR(-F236/F235,""),"n/m")</f>
        <v>0.199412340842312</v>
      </c>
      <c r="G237" s="36">
        <f>IF(ABS(N(G235))&gt;1,IFERROR(-G236/G235,""),"n/m")</f>
        <v>0.0266520627966434</v>
      </c>
      <c r="H237" s="36" t="str">
        <f>IF(ABS(N(H235))&gt;1,IFERROR(-H236/H235,""),"n/m")</f>
        <v>n/m</v>
      </c>
      <c r="I237" s="36">
        <f>IF(ABS(N(I235))&gt;1,IFERROR(-I236/I235,""),"n/m")</f>
        <v>0.222356776897996</v>
      </c>
      <c r="J237" s="36">
        <f>IF(ABS(N(J235))&gt;1,IFERROR(-J236/J235,""),"n/m")</f>
        <v>0.035290822518906</v>
      </c>
      <c r="K237" s="36">
        <f>IF(ABS(N(K235))&gt;1,IFERROR(-K236/K235,""),"n/m")</f>
        <v>0.080259663617585</v>
      </c>
      <c r="L237" s="36">
        <f>IF(ABS(N(L235))&gt;1,IFERROR(-L236/L235,""),"n/m")</f>
        <v>0.0323706759758809</v>
      </c>
      <c r="M237" s="36" t="str">
        <f>IF(ABS(N(M235))&gt;1,IFERROR(-M236/M235,""),"n/m")</f>
        <v>n/m</v>
      </c>
      <c r="N237" s="36">
        <f>IF(ABS(N(N235))&gt;1,IFERROR(-N236/N235,""),"n/m")</f>
        <v>0.0416549658335666</v>
      </c>
      <c r="O237" s="36">
        <f>IF(ABS(N(O235))&gt;1,IFERROR(-O236/O235,""),"n/m")</f>
        <v>-0.000566636446056299</v>
      </c>
      <c r="P237" s="36">
        <f>IF(ABS(N(P235))&gt;1,IFERROR(-P236/P235,""),"n/m")</f>
        <v>0.0320631970260198</v>
      </c>
      <c r="Q237" s="36">
        <f>IF(ABS(N(Q235))&gt;1,IFERROR(-Q236/Q235,""),"n/m")</f>
        <v>-0.033989266547406</v>
      </c>
      <c r="R237" s="36" t="str">
        <f>IF(ABS(N(R235))&gt;1,IFERROR(-R236/R235,""),"n/m")</f>
        <v>n/m</v>
      </c>
      <c r="S237" s="36">
        <f>IF(ABS(N(S235))&gt;1,IFERROR(-S236/S235,""),"n/m")</f>
        <v>-0.0168210057437579</v>
      </c>
      <c r="T237" s="36" t="str">
        <f>IF(ABS(N(T235))&gt;1,IFERROR(-T236/T235,""),"n/m")</f>
        <v>n/m</v>
      </c>
      <c r="U237" s="36">
        <f>IF(ABS(N(U235))&gt;1,IFERROR(-U236/U235,""),"n/m")</f>
        <v>0.273607748184015</v>
      </c>
      <c r="V237" s="36">
        <f>IF(ABS(N(V235))&gt;1,IFERROR(-V236/V235,""),"n/m")</f>
        <v>0.300587449343536</v>
      </c>
      <c r="W237" s="36">
        <f>IF(ABS(N(W235))&gt;1,IFERROR(-W236/W235,""),"n/m")</f>
        <v>0.320837196979732</v>
      </c>
      <c r="X237" s="36">
        <f>IF(ABS(N(X235))&gt;1,IFERROR(-X236/X235,""),"n/m")</f>
        <v>0.301216365646885</v>
      </c>
      <c r="Y237" s="36" t="str">
        <f>IF(ABS(N(Y235))&gt;1,IFERROR(-Y236/Y235,""),"n/m")</f>
        <v>n/m</v>
      </c>
      <c r="Z237" s="36">
        <f>IF(ABS(N(Z235))&gt;1,IFERROR(-Z236/Z235,""),"n/m")</f>
        <v>0.0319378129730989</v>
      </c>
      <c r="AA237" s="36" t="str">
        <f>IF(ABS(N(AA235))&gt;1,IFERROR(-AA236/AA235,""),"n/m")</f>
        <v>n/m</v>
      </c>
      <c r="AB237" s="36" t="str">
        <f>IF(ABS(N(AB235))&gt;1,IFERROR(-AB236/AB235,""),"n/m")</f>
        <v>n/m</v>
      </c>
      <c r="AC237" s="36">
        <f>IF(ABS(N(AC235))&gt;1,IFERROR(-AC236/AC235,""),"n/m")</f>
        <v>0.0319378129730986</v>
      </c>
      <c r="AD237" s="36">
        <f>IF(ABS(N(AD235))&gt;1,IFERROR(-AD236/AD235,""),"n/m")</f>
        <v>0.243706777316735</v>
      </c>
      <c r="AE237" s="36">
        <f>IF(ABS(N(AE235))&gt;1,IFERROR(-AE236/AE235,""),"n/m")</f>
        <v>0.223210315695863</v>
      </c>
      <c r="AF237" s="36">
        <f>IF(ABS(N(AF235))&gt;1,IFERROR(-AF236/AF235,""),"n/m")</f>
        <v>-0.0893036964263786</v>
      </c>
      <c r="AG237" s="36">
        <f>IF(ABS(N(AG235))&gt;1,IFERROR(-AG236/AG235,""),"n/m")</f>
        <v>0.148158869847151</v>
      </c>
      <c r="AH237" s="36">
        <f>IF(ABS(N(AH235))&gt;1,IFERROR(-AH236/AH235,""),"n/m")</f>
        <v>-0.527071102413567</v>
      </c>
      <c r="AI237" s="36">
        <f>IF(ABS(N(AI235))&gt;1,IFERROR(-AI236/AI235,""),"n/m")</f>
        <v>0.224376947040498</v>
      </c>
      <c r="AJ237" s="36">
        <f>IF(ABS(N(AJ235))&gt;1,IFERROR(-AJ236/AJ235,""),"n/m")</f>
        <v>0.0635847526358475</v>
      </c>
      <c r="AK237" s="36">
        <f>IF(ABS(N(AK235))&gt;1,IFERROR(-AK236/AK235,""),"n/m")</f>
        <v>-0.131793824955346</v>
      </c>
      <c r="AL237" s="36">
        <f>IF(ABS(N(AL235))&gt;1,IFERROR(-AL236/AL235,""),"n/m")</f>
        <v>1.95434845420399</v>
      </c>
      <c r="AM237" s="36">
        <f>IF(ABS(N(AM235))&gt;1,IFERROR(-AM236/AM235,""),"n/m")</f>
        <v>0.189092105623955</v>
      </c>
      <c r="AN237" s="36">
        <f>IF(ABS(N(AN235))&gt;1,IFERROR(-AN236/AN235,""),"n/m")</f>
        <v>0.187976878612717</v>
      </c>
      <c r="AO237" s="36" t="str">
        <f>IF(ABS(N(AO235))&gt;1,IFERROR(-AO236/AO235,""),"n/m")</f>
        <v>n/m</v>
      </c>
      <c r="AP237" s="36">
        <f>IF(ABS(N(AP235))&gt;1,IFERROR(-AP236/AP235,""),"n/m")</f>
        <v>-0.056704469646431</v>
      </c>
      <c r="AQ237" s="36">
        <f>IF(ABS(N(AQ235))&gt;1,IFERROR(-AQ236/AQ235,""),"n/m")</f>
        <v>0.177042142130833</v>
      </c>
      <c r="AR237" s="36">
        <f>IF(ABS(N(AR235))&gt;1,IFERROR(-AR236/AR235,""),"n/m")</f>
        <v>0.835048049745619</v>
      </c>
      <c r="AS237" s="36">
        <f>IF(ABS(N(AS235))&gt;1,IFERROR(-AS236/AS235,""),"n/m")</f>
        <v>0.269687457349529</v>
      </c>
      <c r="AT237" s="36">
        <f>IF(ABS(N(AT235))&gt;1,IFERROR(-AT236/AT235,""),"n/m")</f>
        <v>0.209844949570977</v>
      </c>
      <c r="AU237" s="36">
        <f>IF(ABS(N(AU235))&gt;1,IFERROR(-AU236/AU235,""),"n/m")</f>
        <v>0.202329274748544</v>
      </c>
      <c r="AV237" s="36">
        <f>IF(ABS(N(AV235))&gt;1,IFERROR(-AV236/AV235,""),"n/m")</f>
        <v>0.102362204724409</v>
      </c>
      <c r="AW237" s="36">
        <f>IF(ABS(N(AW235))&gt;1,IFERROR(-AW236/AW235,""),"n/m")</f>
        <v>0.194767709080213</v>
      </c>
      <c r="AX237" s="36">
        <f>IF(ABS(N(AX235))&gt;1,IFERROR(-AX236/AX235,""),"n/m")</f>
        <v>0.153611493800433</v>
      </c>
      <c r="AY237" s="36">
        <f>IF(ABS(N(AY235))&gt;1,IFERROR(-AY236/AY235,""),"n/m")</f>
        <v>0.0878118028797404</v>
      </c>
      <c r="AZ237" s="36">
        <f>IF(ABS(N(AZ235))&gt;1,IFERROR(-AZ236/AZ235,""),"n/m")</f>
        <v>0.232151704320254</v>
      </c>
      <c r="BA237" s="36">
        <f>IF(ABS(N(BA235))&gt;1,IFERROR(-BA236/BA235,""),"n/m")</f>
        <v>0.54846870010575</v>
      </c>
      <c r="BB237" s="36">
        <f>IF(ABS(N(BB235))&gt;1,IFERROR(-BB236/BB235,""),"n/m")</f>
        <v>0.327567057255512</v>
      </c>
      <c r="BC237" s="36">
        <f>IF(ABS(N(BC235))&gt;1,IFERROR(-BC236/BC235,""),"n/m")</f>
        <v>0.435929648241206</v>
      </c>
      <c r="BD237" s="36" t="str">
        <f>IF(ABS(N(BD235))&gt;1,IFERROR(-BD236/BD235,""),"n/m")</f>
        <v>n/m</v>
      </c>
      <c r="BE237" s="36">
        <f>IF(ABS(N(BE235))&gt;1,IFERROR(-BE236/BE235,""),"n/m")</f>
        <v>0.0659806841772723</v>
      </c>
      <c r="BF237" s="36">
        <f>IF(ABS(N(BF235))&gt;1,IFERROR(-BF236/BF235,""),"n/m")</f>
        <v>0.235050770966529</v>
      </c>
      <c r="BG237" s="36">
        <f>IF(ABS(N(BG235))&gt;1,IFERROR(-BG236/BG235,""),"n/m")</f>
        <v>0.0815098468271335</v>
      </c>
      <c r="BH237" s="36">
        <f>IF(ABS(N(BH235))&gt;1,IFERROR(-BH236/BH235,""),"n/m")</f>
        <v>0.26498218334953</v>
      </c>
      <c r="BI237" s="36">
        <f>IF(ABS(N(BI235))&gt;1,IFERROR(-BI236/BI235,""),"n/m")</f>
        <v>0.211043142305216</v>
      </c>
      <c r="BJ237" s="36">
        <f>IF(ABS(N(BJ235))&gt;1,IFERROR(-BJ236/BJ235,""),"n/m")</f>
        <v>0.149253731343284</v>
      </c>
      <c r="BK237" s="36">
        <f>IF(ABS(N(BK235))&gt;1,IFERROR(-BK236/BK235,""),"n/m")</f>
        <v>0.305638545075165</v>
      </c>
      <c r="BL237" s="36" t="str">
        <f>IF(ABS(N(BL235))&gt;1,IFERROR(-BL236/BL235,""),"n/m")</f>
        <v>n/m</v>
      </c>
      <c r="BM237" s="36">
        <f>IF(ABS(N(BM235))&gt;1,IFERROR(-BM236/BM235,""),"n/m")</f>
        <v>0.176849379613633</v>
      </c>
      <c r="BN237" s="36">
        <f>IF(ABS(N(BN235))&gt;1,IFERROR(-BN236/BN235,""),"n/m")</f>
        <v>0.0350388332246398</v>
      </c>
      <c r="BO237" s="36">
        <f>IF(ABS(N(BO235))&gt;1,IFERROR(-BO236/BO235,""),"n/m")</f>
        <v>0.232582913145373</v>
      </c>
      <c r="BP237" s="36">
        <f>IF(ABS(N(BP235))&gt;1,IFERROR(-BP236/BP235,""),"n/m")</f>
        <v>0.315808255025574</v>
      </c>
      <c r="BQ237" s="36">
        <f>IF(ABS(N(BQ235))&gt;1,IFERROR(-BQ236/BQ235,""),"n/m")</f>
        <v>0.150163036389722</v>
      </c>
      <c r="BR237" s="36">
        <f>IF(ABS(N(BR235))&gt;1,IFERROR(-BR236/BR235,""),"n/m")</f>
        <v>0.255798542080848</v>
      </c>
      <c r="BS237" s="36">
        <f>IF(ABS(N(BS235))&gt;1,IFERROR(-BS236/BS235,""),"n/m")</f>
        <v>0.254123190844833</v>
      </c>
      <c r="BT237" s="36">
        <f>IF(ABS(N(BT235))&gt;1,IFERROR(-BT236/BT235,""),"n/m")</f>
        <v>-0.845667299177736</v>
      </c>
      <c r="BU237" s="36">
        <f>IF(ABS(N(BU235))&gt;1,IFERROR(-BU236/BU235,""),"n/m")</f>
        <v>-0.0396359365825015</v>
      </c>
      <c r="BV237" s="36">
        <f>IF(ABS(N(BV235))&gt;1,IFERROR(-BV236/BV235,""),"n/m")</f>
        <v>-0.202060809492213</v>
      </c>
      <c r="BW237" s="36">
        <f>IF(ABS(N(BW235))&gt;1,IFERROR(-BW236/BW235,""),"n/m")</f>
        <v>0.262784090909091</v>
      </c>
      <c r="BX237" s="36">
        <f>IF(ABS(N(BX235))&gt;1,IFERROR(-BX236/BX235,""),"n/m")</f>
        <v>0.227402745995423</v>
      </c>
      <c r="BY237" s="255" t="n">
        <v>0.235</v>
      </c>
      <c r="BZ237" s="255" t="n">
        <v>0.235</v>
      </c>
      <c r="CA237" s="255" t="n">
        <v>0.235</v>
      </c>
      <c r="CB237" s="255" t="n">
        <v>0.235</v>
      </c>
      <c r="CC237" s="255" t="n">
        <v>0.235</v>
      </c>
      <c r="CD237" s="255" t="n">
        <v>0.235</v>
      </c>
      <c r="CE237" s="255" t="n">
        <v>0.235</v>
      </c>
      <c r="CF237" s="19" t="inlineStr">
        <is>
          <t>Forecast: 23.5% (blended statutory rate on rationalization and transaction costs).</t>
        </is>
      </c>
    </row>
    <row r="238">
      <c r="B238" s="25" t="inlineStr">
        <is>
          <t xml:space="preserve">  (+/−) Discrete tax items (US tax reform, audit settlements, valuation-allowance changes)</t>
        </is>
      </c>
      <c r="C238" s="34" t="n">
        <v>0</v>
      </c>
      <c r="D238" s="34" t="n">
        <v>0</v>
      </c>
      <c r="E238" s="34" t="n">
        <v>0</v>
      </c>
      <c r="F238" s="34" t="n">
        <v>0</v>
      </c>
      <c r="G238" s="34" t="n">
        <v>-5.092</v>
      </c>
      <c r="H238" s="34" t="n">
        <v>-4.844</v>
      </c>
      <c r="I238" s="34" t="n">
        <v>0</v>
      </c>
      <c r="J238" s="34" t="n">
        <v>0</v>
      </c>
      <c r="K238" s="34" t="n">
        <v>0</v>
      </c>
      <c r="L238" s="34" t="n">
        <v>0</v>
      </c>
      <c r="M238" s="34" t="n">
        <v>0</v>
      </c>
      <c r="N238" s="34" t="n">
        <v>0</v>
      </c>
      <c r="O238" s="34" t="n">
        <v>0</v>
      </c>
      <c r="P238" s="34" t="n">
        <v>0</v>
      </c>
      <c r="Q238" s="34" t="n">
        <v>0</v>
      </c>
      <c r="R238" s="34" t="n">
        <v>0</v>
      </c>
      <c r="S238" s="34" t="n">
        <v>0</v>
      </c>
      <c r="T238" s="34" t="n">
        <v>0</v>
      </c>
      <c r="U238" s="34" t="n">
        <v>0</v>
      </c>
      <c r="V238" s="34" t="n">
        <v>0</v>
      </c>
      <c r="W238" s="34" t="n">
        <v>0</v>
      </c>
      <c r="X238" s="34" t="n">
        <v>0</v>
      </c>
      <c r="Y238" s="34" t="n">
        <v>0</v>
      </c>
      <c r="Z238" s="34" t="n">
        <v>-7.196</v>
      </c>
      <c r="AA238" s="34" t="n">
        <v>0</v>
      </c>
      <c r="AB238" s="34" t="n">
        <v>0</v>
      </c>
      <c r="AC238" s="34" t="n">
        <v>-7.196</v>
      </c>
      <c r="AD238" s="34" t="n">
        <v>0</v>
      </c>
      <c r="AE238" s="34" t="n">
        <v>0</v>
      </c>
      <c r="AF238" s="34" t="n">
        <v>0</v>
      </c>
      <c r="AG238" s="34" t="n">
        <v>28.616</v>
      </c>
      <c r="AH238" s="34" t="n">
        <v>28.616</v>
      </c>
      <c r="AI238" s="34" t="n">
        <v>2.5</v>
      </c>
      <c r="AJ238" s="34" t="n">
        <v>0</v>
      </c>
      <c r="AK238" s="34" t="n">
        <v>0</v>
      </c>
      <c r="AL238" s="34" t="n">
        <v>0</v>
      </c>
      <c r="AM238" s="34" t="n">
        <v>0</v>
      </c>
      <c r="AN238" s="34" t="n">
        <v>0</v>
      </c>
      <c r="AO238" s="34" t="n">
        <v>0</v>
      </c>
      <c r="AP238" s="34" t="n">
        <v>0</v>
      </c>
      <c r="AQ238" s="34" t="n">
        <v>0</v>
      </c>
      <c r="AR238" s="34" t="n">
        <v>0</v>
      </c>
      <c r="AS238" s="34" t="n">
        <v>0</v>
      </c>
      <c r="AT238" s="34" t="n">
        <v>0</v>
      </c>
      <c r="AU238" s="34" t="n">
        <v>0</v>
      </c>
      <c r="AV238" s="34" t="n">
        <v>0</v>
      </c>
      <c r="AW238" s="34" t="n">
        <v>0</v>
      </c>
      <c r="AX238" s="34" t="n">
        <v>0</v>
      </c>
      <c r="AY238" s="34" t="n">
        <v>0</v>
      </c>
      <c r="AZ238" s="34" t="n">
        <v>0</v>
      </c>
      <c r="BA238" s="34" t="n">
        <v>0</v>
      </c>
      <c r="BB238" s="34" t="n">
        <v>0</v>
      </c>
      <c r="BC238" s="34" t="n">
        <v>0</v>
      </c>
      <c r="BD238" s="34" t="n">
        <v>0</v>
      </c>
      <c r="BE238" s="34" t="n">
        <v>0</v>
      </c>
      <c r="BF238" s="34" t="n">
        <v>0</v>
      </c>
      <c r="BG238" s="34" t="n">
        <v>0</v>
      </c>
      <c r="BH238" s="34" t="n">
        <v>0</v>
      </c>
      <c r="BI238" s="34" t="n">
        <v>0</v>
      </c>
      <c r="BJ238" s="34" t="n">
        <v>0</v>
      </c>
      <c r="BK238" s="34" t="n">
        <v>0</v>
      </c>
      <c r="BL238" s="34" t="n">
        <v>0</v>
      </c>
      <c r="BM238" s="34" t="n">
        <v>0</v>
      </c>
      <c r="BN238" s="34" t="n">
        <v>0</v>
      </c>
      <c r="BO238" s="34" t="n">
        <v>0</v>
      </c>
      <c r="BP238" s="34" t="n">
        <v>0</v>
      </c>
      <c r="BQ238" s="34" t="n">
        <v>0</v>
      </c>
      <c r="BR238" s="34" t="n">
        <v>0</v>
      </c>
      <c r="BS238" s="34" t="n">
        <v>0</v>
      </c>
      <c r="BT238" s="34" t="n">
        <v>0</v>
      </c>
      <c r="BU238" s="34" t="n">
        <v>0</v>
      </c>
      <c r="BV238" s="34" t="n">
        <v>0</v>
      </c>
      <c r="BW238" s="34" t="n">
        <v>0</v>
      </c>
      <c r="BX238" s="34" t="n">
        <v>0</v>
      </c>
      <c r="BY238" s="261" t="n">
        <v>0</v>
      </c>
      <c r="BZ238" s="261" t="n">
        <v>0</v>
      </c>
      <c r="CA238" s="261" t="n">
        <v>0</v>
      </c>
      <c r="CB238" s="261" t="n">
        <v>0</v>
      </c>
      <c r="CC238" s="261" t="n">
        <v>0</v>
      </c>
      <c r="CD238" s="261" t="n">
        <v>0</v>
      </c>
      <c r="CE238" s="261" t="n">
        <v>0</v>
      </c>
      <c r="CF238" s="19" t="n"/>
    </row>
    <row r="239">
      <c r="B239" s="25" t="inlineStr">
        <is>
          <t xml:space="preserve">  (+/−) Noncontrolling-interest share of special items</t>
        </is>
      </c>
      <c r="C239" s="34" t="n">
        <v>0</v>
      </c>
      <c r="D239" s="34" t="n">
        <v>0</v>
      </c>
      <c r="E239" s="34" t="n">
        <v>0</v>
      </c>
      <c r="F239" s="34" t="n">
        <v>0</v>
      </c>
      <c r="G239" s="34" t="n">
        <v>1.782</v>
      </c>
      <c r="H239" s="34" t="n">
        <v>0</v>
      </c>
      <c r="I239" s="34" t="n">
        <v>0</v>
      </c>
      <c r="J239" s="34" t="n">
        <v>0</v>
      </c>
      <c r="K239" s="34" t="n">
        <v>0</v>
      </c>
      <c r="L239" s="34" t="n">
        <v>-1.021</v>
      </c>
      <c r="M239" s="34" t="n">
        <v>-0.047</v>
      </c>
      <c r="N239" s="34" t="n">
        <v>-1.068</v>
      </c>
      <c r="O239" s="34" t="n">
        <v>0</v>
      </c>
      <c r="P239" s="34" t="n">
        <v>0</v>
      </c>
      <c r="Q239" s="34" t="n">
        <v>-0.805</v>
      </c>
      <c r="R239" s="34" t="n">
        <v>0</v>
      </c>
      <c r="S239" s="34" t="n">
        <v>-0.805</v>
      </c>
      <c r="T239" s="34" t="n">
        <v>0</v>
      </c>
      <c r="U239" s="34" t="n">
        <v>0</v>
      </c>
      <c r="V239" s="34" t="n">
        <v>0</v>
      </c>
      <c r="W239" s="34" t="n">
        <v>0</v>
      </c>
      <c r="X239" s="34" t="n">
        <v>0</v>
      </c>
      <c r="Y239" s="34" t="n">
        <v>0</v>
      </c>
      <c r="Z239" s="34" t="n">
        <v>0</v>
      </c>
      <c r="AA239" s="34" t="n">
        <v>0</v>
      </c>
      <c r="AB239" s="34" t="n">
        <v>0</v>
      </c>
      <c r="AC239" s="34" t="n">
        <v>0</v>
      </c>
      <c r="AD239" s="34" t="n">
        <v>0</v>
      </c>
      <c r="AE239" s="34" t="n">
        <v>0</v>
      </c>
      <c r="AF239" s="34" t="n">
        <v>0</v>
      </c>
      <c r="AG239" s="34" t="n">
        <v>0</v>
      </c>
      <c r="AH239" s="34" t="n">
        <v>0</v>
      </c>
      <c r="AI239" s="34" t="n">
        <v>0</v>
      </c>
      <c r="AJ239" s="34" t="n">
        <v>0</v>
      </c>
      <c r="AK239" s="34" t="n">
        <v>0</v>
      </c>
      <c r="AL239" s="34" t="n">
        <v>0</v>
      </c>
      <c r="AM239" s="34" t="n">
        <v>0</v>
      </c>
      <c r="AN239" s="34" t="n">
        <v>0</v>
      </c>
      <c r="AO239" s="34" t="n">
        <v>0</v>
      </c>
      <c r="AP239" s="34" t="n">
        <v>0</v>
      </c>
      <c r="AQ239" s="34" t="n">
        <v>0</v>
      </c>
      <c r="AR239" s="34" t="n">
        <v>0</v>
      </c>
      <c r="AS239" s="34" t="n">
        <v>0</v>
      </c>
      <c r="AT239" s="34" t="n">
        <v>0</v>
      </c>
      <c r="AU239" s="34" t="n">
        <v>0</v>
      </c>
      <c r="AV239" s="34" t="n">
        <v>0</v>
      </c>
      <c r="AW239" s="34" t="n">
        <v>0</v>
      </c>
      <c r="AX239" s="34" t="n">
        <v>0</v>
      </c>
      <c r="AY239" s="34" t="n">
        <v>0</v>
      </c>
      <c r="AZ239" s="34" t="n">
        <v>0</v>
      </c>
      <c r="BA239" s="34" t="n">
        <v>0</v>
      </c>
      <c r="BB239" s="34" t="n">
        <v>0</v>
      </c>
      <c r="BC239" s="34" t="n">
        <v>0</v>
      </c>
      <c r="BD239" s="34" t="n">
        <v>0</v>
      </c>
      <c r="BE239" s="34" t="n">
        <v>0</v>
      </c>
      <c r="BF239" s="34" t="n">
        <v>0</v>
      </c>
      <c r="BG239" s="34" t="n">
        <v>0</v>
      </c>
      <c r="BH239" s="34" t="n">
        <v>0</v>
      </c>
      <c r="BI239" s="34" t="n">
        <v>0</v>
      </c>
      <c r="BJ239" s="34" t="n">
        <v>0</v>
      </c>
      <c r="BK239" s="34" t="n">
        <v>0</v>
      </c>
      <c r="BL239" s="34" t="n">
        <v>0</v>
      </c>
      <c r="BM239" s="34" t="n">
        <v>0</v>
      </c>
      <c r="BN239" s="34" t="n">
        <v>0</v>
      </c>
      <c r="BO239" s="34" t="n">
        <v>0</v>
      </c>
      <c r="BP239" s="34" t="n">
        <v>0</v>
      </c>
      <c r="BQ239" s="34" t="n">
        <v>0</v>
      </c>
      <c r="BR239" s="34" t="n">
        <v>0</v>
      </c>
      <c r="BS239" s="34" t="n">
        <v>0</v>
      </c>
      <c r="BT239" s="34" t="n">
        <v>0</v>
      </c>
      <c r="BU239" s="34" t="n">
        <v>0</v>
      </c>
      <c r="BV239" s="34" t="n">
        <v>0</v>
      </c>
      <c r="BW239" s="34" t="n">
        <v>0</v>
      </c>
      <c r="BX239" s="34" t="n">
        <v>0</v>
      </c>
      <c r="BY239" s="261" t="n">
        <v>0</v>
      </c>
      <c r="BZ239" s="261" t="n">
        <v>0</v>
      </c>
      <c r="CA239" s="261" t="n">
        <v>0</v>
      </c>
      <c r="CB239" s="261" t="n">
        <v>0</v>
      </c>
      <c r="CC239" s="261" t="n">
        <v>0</v>
      </c>
      <c r="CD239" s="261" t="n">
        <v>0</v>
      </c>
      <c r="CE239" s="261" t="n">
        <v>0</v>
      </c>
      <c r="CF239" s="19" t="n"/>
    </row>
    <row r="240">
      <c r="B240" s="55" t="inlineStr">
        <is>
          <t xml:space="preserve">  = Adjusted net income (model)</t>
        </is>
      </c>
      <c r="C240" s="56">
        <f>C234+N(C235)+N(C236)+N(C238)+N(C239)</f>
        <v>171.282</v>
      </c>
      <c r="D240" s="56">
        <f>D234+N(D235)+N(D236)+N(D238)+N(D239)</f>
        <v>202.629</v>
      </c>
      <c r="E240" s="56">
        <f>E234+N(E235)+N(E236)+N(E238)+N(E239)</f>
        <v>230.599</v>
      </c>
      <c r="F240" s="56">
        <f>F234+N(F235)+N(F236)+N(F238)+N(F239)</f>
        <v>73.098</v>
      </c>
      <c r="G240" s="56">
        <f>G234+N(G235)+N(G236)+N(G238)+N(G239)</f>
        <v>129.6</v>
      </c>
      <c r="H240" s="56">
        <f>H234+N(H235)+N(H236)+N(H238)+N(H239)</f>
        <v>212.579</v>
      </c>
      <c r="I240" s="56">
        <f>I234+N(I235)+N(I236)+N(I238)+N(I239)</f>
        <v>265.759</v>
      </c>
      <c r="J240" s="56">
        <f>J234+N(J235)+N(J236)+N(J238)+N(J239)</f>
        <v>77.139</v>
      </c>
      <c r="K240" s="56">
        <f>K234+N(K235)+N(K236)+N(K238)+N(K239)</f>
        <v>75.723</v>
      </c>
      <c r="L240" s="56">
        <f>L234+N(L235)+N(L236)+N(L238)+N(L239)</f>
        <v>71.121</v>
      </c>
      <c r="M240" s="56">
        <f>M234+N(M235)+N(M236)+N(M238)+N(M239)</f>
        <v>89.205</v>
      </c>
      <c r="N240" s="56">
        <f>N234+N(N235)+N(N236)+N(N238)+N(N239)</f>
        <v>313.188</v>
      </c>
      <c r="O240" s="56">
        <f>O234+N(O235)+N(O236)+N(O238)+N(O239)</f>
        <v>74.111</v>
      </c>
      <c r="P240" s="56">
        <f>P234+N(P235)+N(P236)+N(P238)+N(P239)</f>
        <v>81.498</v>
      </c>
      <c r="Q240" s="56">
        <f>Q234+N(Q235)+N(Q236)+N(Q238)+N(Q239)</f>
        <v>74.94</v>
      </c>
      <c r="R240" s="56">
        <f>R234+N(R235)+N(R236)+N(R238)+N(R239)</f>
        <v>75.3789999999999</v>
      </c>
      <c r="S240" s="56">
        <f>S234+N(S235)+N(S236)+N(S238)+N(S239)</f>
        <v>305.928</v>
      </c>
      <c r="T240" s="56">
        <f>T234+N(T235)+N(T236)+N(T238)+N(T239)</f>
        <v>68.354</v>
      </c>
      <c r="U240" s="56">
        <f>U234+N(U235)+N(U236)+N(U238)+N(U239)</f>
        <v>71.798</v>
      </c>
      <c r="V240" s="56">
        <f>V234+N(V235)+N(V236)+N(V238)+N(V239)</f>
        <v>66.2130000000001</v>
      </c>
      <c r="W240" s="56">
        <f>W234+N(W235)+N(W236)+N(W238)+N(W239)</f>
        <v>53.819</v>
      </c>
      <c r="X240" s="56">
        <f>X234+N(X235)+N(X236)+N(X238)+N(X239)</f>
        <v>260.184</v>
      </c>
      <c r="Y240" s="56">
        <f>Y234+N(Y235)+N(Y236)+N(Y238)+N(Y239)</f>
        <v>53.638</v>
      </c>
      <c r="Z240" s="56">
        <f>Z234+N(Z235)+N(Z236)+N(Z238)+N(Z239)</f>
        <v>57.372</v>
      </c>
      <c r="AA240" s="56">
        <f>AA234+N(AA235)+N(AA236)+N(AA238)+N(AA239)</f>
        <v>60.0489999999999</v>
      </c>
      <c r="AB240" s="56">
        <f>AB234+N(AB235)+N(AB236)+N(AB238)+N(AB239)</f>
        <v>53.395</v>
      </c>
      <c r="AC240" s="56">
        <f>AC234+N(AC235)+N(AC236)+N(AC238)+N(AC239)</f>
        <v>224.454</v>
      </c>
      <c r="AD240" s="56">
        <f>AD234+N(AD235)+N(AD236)+N(AD238)+N(AD239)</f>
        <v>58.5780000000001</v>
      </c>
      <c r="AE240" s="56">
        <f>AE234+N(AE235)+N(AE236)+N(AE238)+N(AE239)</f>
        <v>64.846</v>
      </c>
      <c r="AF240" s="56">
        <f>AF234+N(AF235)+N(AF236)+N(AF238)+N(AF239)</f>
        <v>61.775</v>
      </c>
      <c r="AG240" s="56">
        <f>AG234+N(AG235)+N(AG236)+N(AG238)+N(AG239)</f>
        <v>67.5099999999999</v>
      </c>
      <c r="AH240" s="56">
        <f>AH234+N(AH235)+N(AH236)+N(AH238)+N(AH239)</f>
        <v>252.709</v>
      </c>
      <c r="AI240" s="56">
        <f>AI234+N(AI235)+N(AI236)+N(AI238)+N(AI239)</f>
        <v>73.283</v>
      </c>
      <c r="AJ240" s="56">
        <f>AJ234+N(AJ235)+N(AJ236)+N(AJ238)+N(AJ239)</f>
        <v>80.41</v>
      </c>
      <c r="AK240" s="56">
        <f>AK234+N(AK235)+N(AK236)+N(AK238)+N(AK239)</f>
        <v>79.41</v>
      </c>
      <c r="AL240" s="56">
        <f>AL234+N(AL235)+N(AL236)+N(AL238)+N(AL239)</f>
        <v>83.536</v>
      </c>
      <c r="AM240" s="56">
        <f>AM234+N(AM235)+N(AM236)+N(AM238)+N(AM239)</f>
        <v>316.639</v>
      </c>
      <c r="AN240" s="56">
        <f>AN234+N(AN235)+N(AN236)+N(AN238)+N(AN239)</f>
        <v>74.992</v>
      </c>
      <c r="AO240" s="56">
        <f>AO234+N(AO235)+N(AO236)+N(AO238)+N(AO239)</f>
        <v>80.867</v>
      </c>
      <c r="AP240" s="56">
        <f>AP234+N(AP235)+N(AP236)+N(AP238)+N(AP239)</f>
        <v>67.709</v>
      </c>
      <c r="AQ240" s="56">
        <f>AQ234+N(AQ235)+N(AQ236)+N(AQ238)+N(AQ239)</f>
        <v>71</v>
      </c>
      <c r="AR240" s="56">
        <f>AR234+N(AR235)+N(AR236)+N(AR238)+N(AR239)</f>
        <v>294.568</v>
      </c>
      <c r="AS240" s="56">
        <f>AS234+N(AS235)+N(AS236)+N(AS238)+N(AS239)</f>
        <v>60.913</v>
      </c>
      <c r="AT240" s="56">
        <f>AT234+N(AT235)+N(AT236)+N(AT238)+N(AT239)</f>
        <v>47.992</v>
      </c>
      <c r="AU240" s="56">
        <f>AU234+N(AU235)+N(AU236)+N(AU238)+N(AU239)</f>
        <v>66.0130000000001</v>
      </c>
      <c r="AV240" s="56">
        <f>AV234+N(AV235)+N(AV236)+N(AV238)+N(AV239)</f>
        <v>74.996</v>
      </c>
      <c r="AW240" s="56">
        <f>AW234+N(AW235)+N(AW236)+N(AW238)+N(AW239)</f>
        <v>249.914</v>
      </c>
      <c r="AX240" s="56">
        <f>AX234+N(AX235)+N(AX236)+N(AX238)+N(AX239)</f>
        <v>82.778</v>
      </c>
      <c r="AY240" s="56">
        <f>AY234+N(AY235)+N(AY236)+N(AY238)+N(AY239)</f>
        <v>100.603</v>
      </c>
      <c r="AZ240" s="56">
        <f>AZ234+N(AZ235)+N(AZ236)+N(AZ238)+N(AZ239)</f>
        <v>93.7499999999999</v>
      </c>
      <c r="BA240" s="56">
        <f>BA234+N(BA235)+N(BA236)+N(BA238)+N(BA239)</f>
        <v>96.2029999999999</v>
      </c>
      <c r="BB240" s="56">
        <f>BB234+N(BB235)+N(BB236)+N(BB238)+N(BB239)</f>
        <v>373.334</v>
      </c>
      <c r="BC240" s="56">
        <f>BC234+N(BC235)+N(BC236)+N(BC238)+N(BC239)</f>
        <v>124.683</v>
      </c>
      <c r="BD240" s="56">
        <f>BD234+N(BD235)+N(BD236)+N(BD238)+N(BD239)</f>
        <v>128.186</v>
      </c>
      <c r="BE240" s="56">
        <f>BE234+N(BE235)+N(BE236)+N(BE238)+N(BE239)</f>
        <v>119.573</v>
      </c>
      <c r="BF240" s="56">
        <f>BF234+N(BF235)+N(BF236)+N(BF238)+N(BF239)</f>
        <v>113.214</v>
      </c>
      <c r="BG240" s="56">
        <f>BG234+N(BG235)+N(BG236)+N(BG238)+N(BG239)</f>
        <v>485.656</v>
      </c>
      <c r="BH240" s="56">
        <f>BH234+N(BH235)+N(BH236)+N(BH238)+N(BH239)</f>
        <v>124.2</v>
      </c>
      <c r="BI240" s="56">
        <f>BI234+N(BI235)+N(BI236)+N(BI238)+N(BI239)</f>
        <v>142.232</v>
      </c>
      <c r="BJ240" s="56">
        <f>BJ234+N(BJ235)+N(BJ236)+N(BJ238)+N(BJ239)</f>
        <v>139.489</v>
      </c>
      <c r="BK240" s="56">
        <f>BK234+N(BK235)+N(BK236)+N(BK238)+N(BK239)</f>
        <v>142.002</v>
      </c>
      <c r="BL240" s="56">
        <f>BL234+N(BL235)+N(BL236)+N(BL238)+N(BL239)</f>
        <v>547.922000000001</v>
      </c>
      <c r="BM240" s="56">
        <f>BM234+N(BM235)+N(BM236)+N(BM238)+N(BM239)</f>
        <v>128.656</v>
      </c>
      <c r="BN240" s="56">
        <f>BN234+N(BN235)+N(BN236)+N(BN238)+N(BN239)</f>
        <v>134.26</v>
      </c>
      <c r="BO240" s="56">
        <f>BO234+N(BO235)+N(BO236)+N(BO238)+N(BO239)</f>
        <v>122.368</v>
      </c>
      <c r="BP240" s="56">
        <f>BP234+N(BP235)+N(BP236)+N(BP238)+N(BP239)</f>
        <v>145.981</v>
      </c>
      <c r="BQ240" s="56">
        <f>BQ234+N(BQ235)+N(BQ236)+N(BQ238)+N(BQ239)</f>
        <v>531.265</v>
      </c>
      <c r="BR240" s="56">
        <f>BR234+N(BR235)+N(BR236)+N(BR238)+N(BR239)</f>
        <v>121.856</v>
      </c>
      <c r="BS240" s="56">
        <f>BS234+N(BS235)+N(BS236)+N(BS238)+N(BS239)</f>
        <v>145.612</v>
      </c>
      <c r="BT240" s="56">
        <f>BT234+N(BT235)+N(BT236)+N(BT238)+N(BT239)</f>
        <v>137.218</v>
      </c>
      <c r="BU240" s="56">
        <f>BU234+N(BU235)+N(BU236)+N(BU238)+N(BU239)</f>
        <v>146.645</v>
      </c>
      <c r="BV240" s="56">
        <f>BV234+N(BV235)+N(BV236)+N(BV238)+N(BV239)</f>
        <v>551.330999999999</v>
      </c>
      <c r="BW240" s="56">
        <f>BW234+N(BW235)+N(BW236)+N(BW238)+N(BW239)</f>
        <v>138.458</v>
      </c>
      <c r="BX240" s="56">
        <f>BX234+N(BX235)+N(BX236)+N(BX238)+N(BX239)</f>
        <v>161.22</v>
      </c>
      <c r="BY240" s="56">
        <f>BY234+N(BY235)+N(BY236)+N(BY238)+N(BY239)</f>
        <v>155.276702881336</v>
      </c>
      <c r="BZ240" s="56">
        <f>BZ234+N(BZ235)+N(BZ236)+N(BZ238)+N(BZ239)</f>
        <v>161.789161031164</v>
      </c>
      <c r="CA240" s="56">
        <f>CA234+N(CA235)+N(CA236)+N(CA238)+N(CA239)</f>
        <v>616.7955439125</v>
      </c>
      <c r="CB240" s="56">
        <f>CB234+N(CB235)+N(CB236)+N(CB238)+N(CB239)</f>
        <v>684.532788613991</v>
      </c>
      <c r="CC240" s="56">
        <f>CC234+N(CC235)+N(CC236)+N(CC238)+N(CC239)</f>
        <v>752.985080593693</v>
      </c>
      <c r="CD240" s="56">
        <f>CD234+N(CD235)+N(CD236)+N(CD238)+N(CD239)</f>
        <v>823.942640343366</v>
      </c>
      <c r="CE240" s="56">
        <f>CE234+N(CE235)+N(CE236)+N(CE238)+N(CE239)</f>
        <v>898.387665802894</v>
      </c>
      <c r="CF240" s="19" t="n"/>
      <c r="CH240" s="20">
        <f>IFERROR((CE240/BV240)^(1/5)-1,"n/m")</f>
        <v>0.10258041439244</v>
      </c>
      <c r="CI240" s="20">
        <f>IFERROR((BV240/AW240)^(1/5)-1,"n/m")</f>
        <v>0.171451641766979</v>
      </c>
      <c r="CJ240" s="20">
        <f>IFERROR((BV240/X240)^(1/10)-1,"n/m")</f>
        <v>0.0779861539170248</v>
      </c>
      <c r="CK240" s="20">
        <f>IFERROR((BV240/C240)^(1/19)-1,"n/m")</f>
        <v>0.0634598271155293</v>
      </c>
    </row>
    <row r="241">
      <c r="B241" s="156" t="inlineStr">
        <is>
          <t xml:space="preserve">  Company-published adjusted net income</t>
        </is>
      </c>
      <c r="C241" s="34" t="n">
        <v>171.282</v>
      </c>
      <c r="D241" s="34" t="n">
        <v>202.629</v>
      </c>
      <c r="E241" s="34" t="n">
        <v>230.599</v>
      </c>
      <c r="F241" s="34" t="n">
        <v>73.098</v>
      </c>
      <c r="G241" s="34" t="n">
        <v>129.6</v>
      </c>
      <c r="H241" s="34" t="n">
        <v>212.579</v>
      </c>
      <c r="I241" s="34" t="n">
        <v>265.759</v>
      </c>
      <c r="J241" s="34" t="n">
        <v>77.139</v>
      </c>
      <c r="K241" s="34" t="n">
        <v>75.723</v>
      </c>
      <c r="L241" s="34" t="n">
        <v>71.121</v>
      </c>
      <c r="M241" s="34" t="n">
        <v>89.205</v>
      </c>
      <c r="N241" s="34" t="n">
        <v>313.188</v>
      </c>
      <c r="O241" s="34" t="n">
        <v>74.111</v>
      </c>
      <c r="P241" s="34" t="n">
        <v>81.498</v>
      </c>
      <c r="Q241" s="34" t="n">
        <v>74.94</v>
      </c>
      <c r="R241" s="34" t="n">
        <v>75.379</v>
      </c>
      <c r="S241" s="34" t="n">
        <v>305.928</v>
      </c>
      <c r="T241" s="34" t="n">
        <v>68.354</v>
      </c>
      <c r="U241" s="34" t="n">
        <v>71.798</v>
      </c>
      <c r="V241" s="34" t="n">
        <v>66.21299999999999</v>
      </c>
      <c r="W241" s="34" t="n">
        <v>53.819</v>
      </c>
      <c r="X241" s="34" t="n">
        <v>260.184</v>
      </c>
      <c r="Y241" s="34" t="n">
        <v>53.638</v>
      </c>
      <c r="Z241" s="34" t="n">
        <v>57.372</v>
      </c>
      <c r="AA241" s="34" t="n">
        <v>60.049</v>
      </c>
      <c r="AB241" s="34" t="n">
        <v>53.395</v>
      </c>
      <c r="AC241" s="34" t="n">
        <v>224.454</v>
      </c>
      <c r="AD241" s="34" t="n">
        <v>58.578</v>
      </c>
      <c r="AE241" s="34" t="n">
        <v>64.846</v>
      </c>
      <c r="AF241" s="34" t="n">
        <v>61.775</v>
      </c>
      <c r="AG241" s="34" t="n">
        <v>67.51000000000001</v>
      </c>
      <c r="AH241" s="34" t="n">
        <v>252.709</v>
      </c>
      <c r="AI241" s="34" t="n">
        <v>73.283</v>
      </c>
      <c r="AJ241" s="34" t="n">
        <v>80.41</v>
      </c>
      <c r="AK241" s="34" t="n">
        <v>79.41</v>
      </c>
      <c r="AL241" s="34" t="n">
        <v>83.536</v>
      </c>
      <c r="AM241" s="34" t="n">
        <v>316.639</v>
      </c>
      <c r="AN241" s="34" t="n">
        <v>74.992</v>
      </c>
      <c r="AO241" s="34" t="n">
        <v>80.867</v>
      </c>
      <c r="AP241" s="34" t="n">
        <v>67.709</v>
      </c>
      <c r="AQ241" s="34" t="n">
        <v>71</v>
      </c>
      <c r="AR241" s="34" t="n">
        <v>294.568</v>
      </c>
      <c r="AS241" s="34" t="n">
        <v>60.913</v>
      </c>
      <c r="AT241" s="34" t="n">
        <v>47.992</v>
      </c>
      <c r="AU241" s="34" t="n">
        <v>66.01300000000001</v>
      </c>
      <c r="AV241" s="34" t="n">
        <v>74.996</v>
      </c>
      <c r="AW241" s="34" t="n">
        <v>249.914</v>
      </c>
      <c r="AX241" s="34" t="n">
        <v>82.77800000000001</v>
      </c>
      <c r="AY241" s="34" t="n">
        <v>100.603</v>
      </c>
      <c r="AZ241" s="34" t="n">
        <v>93.75</v>
      </c>
      <c r="BA241" s="34" t="n">
        <v>96.203</v>
      </c>
      <c r="BB241" s="34" t="n">
        <v>373.334</v>
      </c>
      <c r="BC241" s="34" t="n">
        <v>124.683</v>
      </c>
      <c r="BD241" s="34" t="n">
        <v>128.186</v>
      </c>
      <c r="BE241" s="34" t="n">
        <v>119.573</v>
      </c>
      <c r="BF241" s="34" t="n">
        <v>113.214</v>
      </c>
      <c r="BG241" s="34" t="n">
        <v>485.656</v>
      </c>
      <c r="BH241" s="34" t="n">
        <v>124.2</v>
      </c>
      <c r="BI241" s="34" t="n">
        <v>142.232</v>
      </c>
      <c r="BJ241" s="34" t="n">
        <v>139.489</v>
      </c>
      <c r="BK241" s="34" t="n">
        <v>142.002</v>
      </c>
      <c r="BL241" s="34" t="n">
        <v>547.922</v>
      </c>
      <c r="BM241" s="34" t="n">
        <v>128.656</v>
      </c>
      <c r="BN241" s="34" t="n">
        <v>134.26</v>
      </c>
      <c r="BO241" s="34" t="n">
        <v>122.368</v>
      </c>
      <c r="BP241" s="34" t="n">
        <v>145.981</v>
      </c>
      <c r="BQ241" s="34" t="n">
        <v>531.265</v>
      </c>
      <c r="BR241" s="34" t="n">
        <v>121.856</v>
      </c>
      <c r="BS241" s="34" t="n">
        <v>145.612</v>
      </c>
      <c r="BT241" s="34" t="n">
        <v>137.218</v>
      </c>
      <c r="BU241" s="34" t="n">
        <v>146.645</v>
      </c>
      <c r="BV241" s="34" t="n">
        <v>551.331</v>
      </c>
      <c r="BW241" s="34" t="n">
        <v>138.458</v>
      </c>
      <c r="BX241" s="34" t="n">
        <v>161.22</v>
      </c>
      <c r="BY241" s="269" t="n"/>
      <c r="BZ241" s="269" t="n"/>
      <c r="CA241" s="269" t="n"/>
      <c r="CB241" s="269" t="n"/>
      <c r="CC241" s="269" t="n"/>
      <c r="CD241" s="269" t="n"/>
      <c r="CE241" s="269" t="n"/>
      <c r="CF241" s="19" t="n"/>
    </row>
    <row r="242">
      <c r="B242" s="57" t="inlineStr">
        <is>
          <t xml:space="preserve">  Check: model vs company-published adjusted net income (should be 0)</t>
        </is>
      </c>
      <c r="C242" s="44">
        <f>IF(ISNUMBER(C241),ROUND(C240-C241,1),"n/p")</f>
        <v>0</v>
      </c>
      <c r="D242" s="44">
        <f>IF(ISNUMBER(D241),ROUND(D240-D241,1),"n/p")</f>
        <v>0</v>
      </c>
      <c r="E242" s="44">
        <f>IF(ISNUMBER(E241),ROUND(E240-E241,1),"n/p")</f>
        <v>0</v>
      </c>
      <c r="F242" s="44">
        <f>IF(ISNUMBER(F241),ROUND(F240-F241,1),"n/p")</f>
        <v>0</v>
      </c>
      <c r="G242" s="44">
        <f>IF(ISNUMBER(G241),ROUND(G240-G241,1),"n/p")</f>
        <v>0</v>
      </c>
      <c r="H242" s="44">
        <f>IF(ISNUMBER(H241),ROUND(H240-H241,1),"n/p")</f>
        <v>0</v>
      </c>
      <c r="I242" s="44">
        <f>IF(ISNUMBER(I241),ROUND(I240-I241,1),"n/p")</f>
        <v>0</v>
      </c>
      <c r="J242" s="44">
        <f>IF(ISNUMBER(J241),ROUND(J240-J241,1),"n/p")</f>
        <v>0</v>
      </c>
      <c r="K242" s="44">
        <f>IF(ISNUMBER(K241),ROUND(K240-K241,1),"n/p")</f>
        <v>0</v>
      </c>
      <c r="L242" s="44">
        <f>IF(ISNUMBER(L241),ROUND(L240-L241,1),"n/p")</f>
        <v>0</v>
      </c>
      <c r="M242" s="44">
        <f>IF(ISNUMBER(M241),ROUND(M240-M241,1),"n/p")</f>
        <v>0</v>
      </c>
      <c r="N242" s="44">
        <f>IF(ISNUMBER(N241),ROUND(N240-N241,1),"n/p")</f>
        <v>0</v>
      </c>
      <c r="O242" s="44">
        <f>IF(ISNUMBER(O241),ROUND(O240-O241,1),"n/p")</f>
        <v>0</v>
      </c>
      <c r="P242" s="44">
        <f>IF(ISNUMBER(P241),ROUND(P240-P241,1),"n/p")</f>
        <v>0</v>
      </c>
      <c r="Q242" s="44">
        <f>IF(ISNUMBER(Q241),ROUND(Q240-Q241,1),"n/p")</f>
        <v>0</v>
      </c>
      <c r="R242" s="44">
        <f>IF(ISNUMBER(R241),ROUND(R240-R241,1),"n/p")</f>
        <v>0</v>
      </c>
      <c r="S242" s="44">
        <f>IF(ISNUMBER(S241),ROUND(S240-S241,1),"n/p")</f>
        <v>0</v>
      </c>
      <c r="T242" s="44">
        <f>IF(ISNUMBER(T241),ROUND(T240-T241,1),"n/p")</f>
        <v>0</v>
      </c>
      <c r="U242" s="44">
        <f>IF(ISNUMBER(U241),ROUND(U240-U241,1),"n/p")</f>
        <v>0</v>
      </c>
      <c r="V242" s="44">
        <f>IF(ISNUMBER(V241),ROUND(V240-V241,1),"n/p")</f>
        <v>0</v>
      </c>
      <c r="W242" s="44">
        <f>IF(ISNUMBER(W241),ROUND(W240-W241,1),"n/p")</f>
        <v>0</v>
      </c>
      <c r="X242" s="44">
        <f>IF(ISNUMBER(X241),ROUND(X240-X241,1),"n/p")</f>
        <v>0</v>
      </c>
      <c r="Y242" s="44">
        <f>IF(ISNUMBER(Y241),ROUND(Y240-Y241,1),"n/p")</f>
        <v>0</v>
      </c>
      <c r="Z242" s="44">
        <f>IF(ISNUMBER(Z241),ROUND(Z240-Z241,1),"n/p")</f>
        <v>0</v>
      </c>
      <c r="AA242" s="44">
        <f>IF(ISNUMBER(AA241),ROUND(AA240-AA241,1),"n/p")</f>
        <v>0</v>
      </c>
      <c r="AB242" s="44">
        <f>IF(ISNUMBER(AB241),ROUND(AB240-AB241,1),"n/p")</f>
        <v>0</v>
      </c>
      <c r="AC242" s="44">
        <f>IF(ISNUMBER(AC241),ROUND(AC240-AC241,1),"n/p")</f>
        <v>0</v>
      </c>
      <c r="AD242" s="44">
        <f>IF(ISNUMBER(AD241),ROUND(AD240-AD241,1),"n/p")</f>
        <v>0</v>
      </c>
      <c r="AE242" s="44">
        <f>IF(ISNUMBER(AE241),ROUND(AE240-AE241,1),"n/p")</f>
        <v>0</v>
      </c>
      <c r="AF242" s="44">
        <f>IF(ISNUMBER(AF241),ROUND(AF240-AF241,1),"n/p")</f>
        <v>0</v>
      </c>
      <c r="AG242" s="44">
        <f>IF(ISNUMBER(AG241),ROUND(AG240-AG241,1),"n/p")</f>
        <v>0</v>
      </c>
      <c r="AH242" s="44">
        <f>IF(ISNUMBER(AH241),ROUND(AH240-AH241,1),"n/p")</f>
        <v>0</v>
      </c>
      <c r="AI242" s="44">
        <f>IF(ISNUMBER(AI241),ROUND(AI240-AI241,1),"n/p")</f>
        <v>0</v>
      </c>
      <c r="AJ242" s="44">
        <f>IF(ISNUMBER(AJ241),ROUND(AJ240-AJ241,1),"n/p")</f>
        <v>0</v>
      </c>
      <c r="AK242" s="44">
        <f>IF(ISNUMBER(AK241),ROUND(AK240-AK241,1),"n/p")</f>
        <v>0</v>
      </c>
      <c r="AL242" s="44">
        <f>IF(ISNUMBER(AL241),ROUND(AL240-AL241,1),"n/p")</f>
        <v>0</v>
      </c>
      <c r="AM242" s="44">
        <f>IF(ISNUMBER(AM241),ROUND(AM240-AM241,1),"n/p")</f>
        <v>0</v>
      </c>
      <c r="AN242" s="44">
        <f>IF(ISNUMBER(AN241),ROUND(AN240-AN241,1),"n/p")</f>
        <v>0</v>
      </c>
      <c r="AO242" s="44">
        <f>IF(ISNUMBER(AO241),ROUND(AO240-AO241,1),"n/p")</f>
        <v>0</v>
      </c>
      <c r="AP242" s="44">
        <f>IF(ISNUMBER(AP241),ROUND(AP240-AP241,1),"n/p")</f>
        <v>0</v>
      </c>
      <c r="AQ242" s="44">
        <f>IF(ISNUMBER(AQ241),ROUND(AQ240-AQ241,1),"n/p")</f>
        <v>0</v>
      </c>
      <c r="AR242" s="44">
        <f>IF(ISNUMBER(AR241),ROUND(AR240-AR241,1),"n/p")</f>
        <v>0</v>
      </c>
      <c r="AS242" s="44">
        <f>IF(ISNUMBER(AS241),ROUND(AS240-AS241,1),"n/p")</f>
        <v>0</v>
      </c>
      <c r="AT242" s="44">
        <f>IF(ISNUMBER(AT241),ROUND(AT240-AT241,1),"n/p")</f>
        <v>0</v>
      </c>
      <c r="AU242" s="44">
        <f>IF(ISNUMBER(AU241),ROUND(AU240-AU241,1),"n/p")</f>
        <v>0</v>
      </c>
      <c r="AV242" s="44">
        <f>IF(ISNUMBER(AV241),ROUND(AV240-AV241,1),"n/p")</f>
        <v>0</v>
      </c>
      <c r="AW242" s="44">
        <f>IF(ISNUMBER(AW241),ROUND(AW240-AW241,1),"n/p")</f>
        <v>0</v>
      </c>
      <c r="AX242" s="44">
        <f>IF(ISNUMBER(AX241),ROUND(AX240-AX241,1),"n/p")</f>
        <v>0</v>
      </c>
      <c r="AY242" s="44">
        <f>IF(ISNUMBER(AY241),ROUND(AY240-AY241,1),"n/p")</f>
        <v>0</v>
      </c>
      <c r="AZ242" s="44">
        <f>IF(ISNUMBER(AZ241),ROUND(AZ240-AZ241,1),"n/p")</f>
        <v>0</v>
      </c>
      <c r="BA242" s="44">
        <f>IF(ISNUMBER(BA241),ROUND(BA240-BA241,1),"n/p")</f>
        <v>0</v>
      </c>
      <c r="BB242" s="44">
        <f>IF(ISNUMBER(BB241),ROUND(BB240-BB241,1),"n/p")</f>
        <v>0</v>
      </c>
      <c r="BC242" s="44">
        <f>IF(ISNUMBER(BC241),ROUND(BC240-BC241,1),"n/p")</f>
        <v>0</v>
      </c>
      <c r="BD242" s="44">
        <f>IF(ISNUMBER(BD241),ROUND(BD240-BD241,1),"n/p")</f>
        <v>0</v>
      </c>
      <c r="BE242" s="44">
        <f>IF(ISNUMBER(BE241),ROUND(BE240-BE241,1),"n/p")</f>
        <v>0</v>
      </c>
      <c r="BF242" s="44">
        <f>IF(ISNUMBER(BF241),ROUND(BF240-BF241,1),"n/p")</f>
        <v>0</v>
      </c>
      <c r="BG242" s="44">
        <f>IF(ISNUMBER(BG241),ROUND(BG240-BG241,1),"n/p")</f>
        <v>0</v>
      </c>
      <c r="BH242" s="44">
        <f>IF(ISNUMBER(BH241),ROUND(BH240-BH241,1),"n/p")</f>
        <v>0</v>
      </c>
      <c r="BI242" s="44">
        <f>IF(ISNUMBER(BI241),ROUND(BI240-BI241,1),"n/p")</f>
        <v>0</v>
      </c>
      <c r="BJ242" s="44">
        <f>IF(ISNUMBER(BJ241),ROUND(BJ240-BJ241,1),"n/p")</f>
        <v>0</v>
      </c>
      <c r="BK242" s="44">
        <f>IF(ISNUMBER(BK241),ROUND(BK240-BK241,1),"n/p")</f>
        <v>0</v>
      </c>
      <c r="BL242" s="44">
        <f>IF(ISNUMBER(BL241),ROUND(BL240-BL241,1),"n/p")</f>
        <v>0</v>
      </c>
      <c r="BM242" s="44">
        <f>IF(ISNUMBER(BM241),ROUND(BM240-BM241,1),"n/p")</f>
        <v>0</v>
      </c>
      <c r="BN242" s="44">
        <f>IF(ISNUMBER(BN241),ROUND(BN240-BN241,1),"n/p")</f>
        <v>0</v>
      </c>
      <c r="BO242" s="44">
        <f>IF(ISNUMBER(BO241),ROUND(BO240-BO241,1),"n/p")</f>
        <v>0</v>
      </c>
      <c r="BP242" s="44">
        <f>IF(ISNUMBER(BP241),ROUND(BP240-BP241,1),"n/p")</f>
        <v>0</v>
      </c>
      <c r="BQ242" s="44">
        <f>IF(ISNUMBER(BQ241),ROUND(BQ240-BQ241,1),"n/p")</f>
        <v>0</v>
      </c>
      <c r="BR242" s="44">
        <f>IF(ISNUMBER(BR241),ROUND(BR240-BR241,1),"n/p")</f>
        <v>0</v>
      </c>
      <c r="BS242" s="44">
        <f>IF(ISNUMBER(BS241),ROUND(BS240-BS241,1),"n/p")</f>
        <v>0</v>
      </c>
      <c r="BT242" s="44">
        <f>IF(ISNUMBER(BT241),ROUND(BT240-BT241,1),"n/p")</f>
        <v>0</v>
      </c>
      <c r="BU242" s="44">
        <f>IF(ISNUMBER(BU241),ROUND(BU240-BU241,1),"n/p")</f>
        <v>0</v>
      </c>
      <c r="BV242" s="44">
        <f>IF(ISNUMBER(BV241),ROUND(BV240-BV241,1),"n/p")</f>
        <v>0</v>
      </c>
      <c r="BW242" s="44">
        <f>IF(ISNUMBER(BW241),ROUND(BW240-BW241,1),"n/p")</f>
        <v>0</v>
      </c>
      <c r="BX242" s="44">
        <f>IF(ISNUMBER(BX241),ROUND(BX240-BX241,1),"n/p")</f>
        <v>0</v>
      </c>
      <c r="BY242" s="269" t="n"/>
      <c r="BZ242" s="269" t="n"/>
      <c r="CA242" s="269" t="n"/>
      <c r="CB242" s="269" t="n"/>
      <c r="CC242" s="269" t="n"/>
      <c r="CD242" s="269" t="n"/>
      <c r="CE242" s="269" t="n"/>
      <c r="CF242" s="19" t="n"/>
    </row>
    <row r="243">
      <c r="B243" s="25" t="inlineStr">
        <is>
          <t xml:space="preserve">  Weighted-average diluted shares (m)</t>
        </is>
      </c>
      <c r="C243" s="63">
        <f>C182</f>
        <v>86.064</v>
      </c>
      <c r="D243" s="63">
        <f>D182</f>
        <v>86.784</v>
      </c>
      <c r="E243" s="63">
        <f>E182</f>
        <v>86.108</v>
      </c>
      <c r="F243" s="63">
        <f>F182</f>
        <v>85.268</v>
      </c>
      <c r="G243" s="63">
        <f>G182</f>
        <v>85.224</v>
      </c>
      <c r="H243" s="63">
        <f>H182</f>
        <v>84.708</v>
      </c>
      <c r="I243" s="63">
        <f>I182</f>
        <v>84.175</v>
      </c>
      <c r="J243" s="63">
        <f>J182</f>
        <v>83.786</v>
      </c>
      <c r="K243" s="63">
        <f>K182</f>
        <v>83.411</v>
      </c>
      <c r="L243" s="63">
        <f>L182</f>
        <v>82.707</v>
      </c>
      <c r="M243" s="63">
        <f>M182</f>
        <v>82.184</v>
      </c>
      <c r="N243" s="63">
        <f>N182</f>
        <v>83.042</v>
      </c>
      <c r="O243" s="63">
        <f>O182</f>
        <v>81.616</v>
      </c>
      <c r="P243" s="63">
        <f>P182</f>
        <v>80.773</v>
      </c>
      <c r="Q243" s="63">
        <f>Q182</f>
        <v>79.725</v>
      </c>
      <c r="R243" s="63">
        <f>R182</f>
        <v>78.28</v>
      </c>
      <c r="S243" s="63">
        <f>S182</f>
        <v>80.096</v>
      </c>
      <c r="T243" s="63">
        <f>T182</f>
        <v>77.059</v>
      </c>
      <c r="U243" s="63">
        <f>U182</f>
        <v>75.773</v>
      </c>
      <c r="V243" s="63">
        <f>V182</f>
        <v>73.754</v>
      </c>
      <c r="W243" s="63">
        <f>W182</f>
        <v>72.121</v>
      </c>
      <c r="X243" s="63">
        <f>X182</f>
        <v>74.854</v>
      </c>
      <c r="Y243" s="63">
        <f>Y182</f>
        <v>70.246</v>
      </c>
      <c r="Z243" s="63">
        <f>Z182</f>
        <v>68.89</v>
      </c>
      <c r="AA243" s="63">
        <f>AA182</f>
        <v>67.182</v>
      </c>
      <c r="AB243" s="63">
        <f>AB182</f>
        <v>66.303</v>
      </c>
      <c r="AC243" s="63">
        <f>AC182</f>
        <v>68.156</v>
      </c>
      <c r="AD243" s="63">
        <f>AD182</f>
        <v>66.583</v>
      </c>
      <c r="AE243" s="63">
        <f>AE182</f>
        <v>66.743</v>
      </c>
      <c r="AF243" s="63">
        <f>AF182</f>
        <v>66.702</v>
      </c>
      <c r="AG243" s="63">
        <f>AG182</f>
        <v>66.53</v>
      </c>
      <c r="AH243" s="63">
        <f>AH182</f>
        <v>66.643</v>
      </c>
      <c r="AI243" s="63">
        <f>AI182</f>
        <v>66.443</v>
      </c>
      <c r="AJ243" s="63">
        <f>AJ182</f>
        <v>66.121</v>
      </c>
      <c r="AK243" s="63">
        <f>AK182</f>
        <v>65.652</v>
      </c>
      <c r="AL243" s="63">
        <f>AL182</f>
        <v>64.559</v>
      </c>
      <c r="AM243" s="63">
        <f>AM182</f>
        <v>65.682</v>
      </c>
      <c r="AN243" s="63">
        <f>AN182</f>
        <v>63.899</v>
      </c>
      <c r="AO243" s="63">
        <f>AO182</f>
        <v>62.97</v>
      </c>
      <c r="AP243" s="63">
        <f>AP182</f>
        <v>62.061</v>
      </c>
      <c r="AQ243" s="63">
        <f>AQ182</f>
        <v>61.71</v>
      </c>
      <c r="AR243" s="63">
        <f>AR182</f>
        <v>62.658</v>
      </c>
      <c r="AS243" s="63">
        <f>AS182</f>
        <v>60.799</v>
      </c>
      <c r="AT243" s="63">
        <f>AT182</f>
        <v>59.831</v>
      </c>
      <c r="AU243" s="63">
        <f>AU182</f>
        <v>60.018</v>
      </c>
      <c r="AV243" s="63">
        <f>AV182</f>
        <v>60.301</v>
      </c>
      <c r="AW243" s="63">
        <f>AW182</f>
        <v>60.248</v>
      </c>
      <c r="AX243" s="63">
        <f>AX182</f>
        <v>60.299</v>
      </c>
      <c r="AY243" s="63">
        <f>AY182</f>
        <v>60.164</v>
      </c>
      <c r="AZ243" s="63">
        <f>AZ182</f>
        <v>60.055</v>
      </c>
      <c r="BA243" s="63">
        <f>BA182</f>
        <v>59.637</v>
      </c>
      <c r="BB243" s="63">
        <f>BB182</f>
        <v>60.062</v>
      </c>
      <c r="BC243" s="63">
        <f>BC182</f>
        <v>59.272</v>
      </c>
      <c r="BD243" s="63">
        <f>BD182</f>
        <v>58.688</v>
      </c>
      <c r="BE243" s="63">
        <f>BE182</f>
        <v>58.526</v>
      </c>
      <c r="BF243" s="63">
        <f>BF182</f>
        <v>58.459</v>
      </c>
      <c r="BG243" s="63">
        <f>BG182</f>
        <v>58.749</v>
      </c>
      <c r="BH243" s="63">
        <f>BH182</f>
        <v>58.417</v>
      </c>
      <c r="BI243" s="63">
        <f>BI182</f>
        <v>58.303</v>
      </c>
      <c r="BJ243" s="63">
        <f>BJ182</f>
        <v>58.136</v>
      </c>
      <c r="BK243" s="63">
        <f>BK182</f>
        <v>57.911</v>
      </c>
      <c r="BL243" s="63">
        <f>BL182</f>
        <v>58.221</v>
      </c>
      <c r="BM243" s="63">
        <f>BM182</f>
        <v>57.641</v>
      </c>
      <c r="BN243" s="63">
        <f>BN182</f>
        <v>57.366</v>
      </c>
      <c r="BO243" s="63">
        <f>BO182</f>
        <v>57.066</v>
      </c>
      <c r="BP243" s="63">
        <f>BP182</f>
        <v>56.818</v>
      </c>
      <c r="BQ243" s="63">
        <f>BQ182</f>
        <v>57.194</v>
      </c>
      <c r="BR243" s="63">
        <f>BR182</f>
        <v>56.527</v>
      </c>
      <c r="BS243" s="63">
        <f>BS182</f>
        <v>55.968</v>
      </c>
      <c r="BT243" s="63">
        <f>BT182</f>
        <v>55.574</v>
      </c>
      <c r="BU243" s="63">
        <f>BU182</f>
        <v>55.412</v>
      </c>
      <c r="BV243" s="63">
        <f>BV182</f>
        <v>55.875</v>
      </c>
      <c r="BW243" s="63">
        <f>BW182</f>
        <v>55.317</v>
      </c>
      <c r="BX243" s="63">
        <f>BX182</f>
        <v>55.102</v>
      </c>
      <c r="BY243" s="266">
        <f>BY182</f>
        <v>54.9840497931335</v>
      </c>
      <c r="BZ243" s="266">
        <f>BZ182</f>
        <v>54.7481493794004</v>
      </c>
      <c r="CA243" s="266">
        <f>CA182</f>
        <v>55.0377997931335</v>
      </c>
      <c r="CB243" s="266">
        <f>CB182</f>
        <v>54.0258263865063</v>
      </c>
      <c r="CC243" s="266">
        <f>CC182</f>
        <v>53.0435620855711</v>
      </c>
      <c r="CD243" s="266">
        <f>CD182</f>
        <v>52.1099478707611</v>
      </c>
      <c r="CE243" s="266">
        <f>CE182</f>
        <v>51.0469097967939</v>
      </c>
      <c r="CF243" s="19" t="n"/>
    </row>
    <row r="244">
      <c r="B244" s="55" t="inlineStr">
        <is>
          <t>Adjusted diluted EPS ($) (model)</t>
        </is>
      </c>
      <c r="C244" s="60">
        <f>IF(AND(ISNUMBER(C240),ISNUMBER(C243)),IFERROR(C240/C243,""),"")</f>
        <v>1.99017010596765</v>
      </c>
      <c r="D244" s="60">
        <f>IF(AND(ISNUMBER(D240),ISNUMBER(D243)),IFERROR(D240/D243,""),"")</f>
        <v>2.33486587389381</v>
      </c>
      <c r="E244" s="60">
        <f>IF(AND(ISNUMBER(E240),ISNUMBER(E243)),IFERROR(E240/E243,""),"")</f>
        <v>2.6780206252613</v>
      </c>
      <c r="F244" s="60">
        <f>IF(AND(ISNUMBER(F240),ISNUMBER(F243)),IFERROR(F240/F243,""),"")</f>
        <v>0.857273537552189</v>
      </c>
      <c r="G244" s="60">
        <f>IF(AND(ISNUMBER(G240),ISNUMBER(G243)),IFERROR(G240/G243,""),"")</f>
        <v>1.52069839481836</v>
      </c>
      <c r="H244" s="60">
        <f>IF(AND(ISNUMBER(H240),ISNUMBER(H243)),IFERROR(H240/H243,""),"")</f>
        <v>2.50955045568305</v>
      </c>
      <c r="I244" s="60">
        <f>IF(AND(ISNUMBER(I240),ISNUMBER(I243)),IFERROR(I240/I243,""),"")</f>
        <v>3.15722007722008</v>
      </c>
      <c r="J244" s="60">
        <f>IF(AND(ISNUMBER(J240),ISNUMBER(J243)),IFERROR(J240/J243,""),"")</f>
        <v>0.920666937197145</v>
      </c>
      <c r="K244" s="60">
        <f>IF(AND(ISNUMBER(K240),ISNUMBER(K243)),IFERROR(K240/K243,""),"")</f>
        <v>0.907829902530841</v>
      </c>
      <c r="L244" s="60">
        <f>IF(AND(ISNUMBER(L240),ISNUMBER(L243)),IFERROR(L240/L243,""),"")</f>
        <v>0.859915122057383</v>
      </c>
      <c r="M244" s="60">
        <f>IF(AND(ISNUMBER(M240),ISNUMBER(M243)),IFERROR(M240/M243,""),"")</f>
        <v>1.08543025406405</v>
      </c>
      <c r="N244" s="60">
        <f>IF(AND(ISNUMBER(N240),ISNUMBER(N243)),IFERROR(N240/N243,""),"")</f>
        <v>3.77144095758772</v>
      </c>
      <c r="O244" s="60">
        <f>IF(AND(ISNUMBER(O240),ISNUMBER(O243)),IFERROR(O240/O243,""),"")</f>
        <v>0.908044991178201</v>
      </c>
      <c r="P244" s="60">
        <f>IF(AND(ISNUMBER(P240),ISNUMBER(P243)),IFERROR(P240/P243,""),"")</f>
        <v>1.00897577160685</v>
      </c>
      <c r="Q244" s="60">
        <f>IF(AND(ISNUMBER(Q240),ISNUMBER(Q243)),IFERROR(Q240/Q243,""),"")</f>
        <v>0.939981185324554</v>
      </c>
      <c r="R244" s="60">
        <f>IF(AND(ISNUMBER(R240),ISNUMBER(R243)),IFERROR(R240/R243,""),"")</f>
        <v>0.962940725600408</v>
      </c>
      <c r="S244" s="60">
        <f>IF(AND(ISNUMBER(S240),ISNUMBER(S243)),IFERROR(S240/S243,""),"")</f>
        <v>3.81951658010388</v>
      </c>
      <c r="T244" s="60">
        <f>IF(AND(ISNUMBER(T240),ISNUMBER(T243)),IFERROR(T240/T243,""),"")</f>
        <v>0.887034609844405</v>
      </c>
      <c r="U244" s="60">
        <f>IF(AND(ISNUMBER(U240),ISNUMBER(U243)),IFERROR(U240/U243,""),"")</f>
        <v>0.947540680717406</v>
      </c>
      <c r="V244" s="60">
        <f>IF(AND(ISNUMBER(V240),ISNUMBER(V243)),IFERROR(V240/V243,""),"")</f>
        <v>0.897754698050276</v>
      </c>
      <c r="W244" s="60">
        <f>IF(AND(ISNUMBER(W240),ISNUMBER(W243)),IFERROR(W240/W243,""),"")</f>
        <v>0.746232026732852</v>
      </c>
      <c r="X244" s="60">
        <f>IF(AND(ISNUMBER(X240),ISNUMBER(X243)),IFERROR(X240/X243,""),"")</f>
        <v>3.47588639217677</v>
      </c>
      <c r="Y244" s="60">
        <f>IF(AND(ISNUMBER(Y240),ISNUMBER(Y243)),IFERROR(Y240/Y243,""),"")</f>
        <v>0.763573726617886</v>
      </c>
      <c r="Z244" s="60">
        <f>IF(AND(ISNUMBER(Z240),ISNUMBER(Z243)),IFERROR(Z240/Z243,""),"")</f>
        <v>0.832805922485122</v>
      </c>
      <c r="AA244" s="60">
        <f>IF(AND(ISNUMBER(AA240),ISNUMBER(AA243)),IFERROR(AA240/AA243,""),"")</f>
        <v>0.89382572712929</v>
      </c>
      <c r="AB244" s="60">
        <f>IF(AND(ISNUMBER(AB240),ISNUMBER(AB243)),IFERROR(AB240/AB243,""),"")</f>
        <v>0.805318009743149</v>
      </c>
      <c r="AC244" s="60">
        <f>IF(AND(ISNUMBER(AC240),ISNUMBER(AC243)),IFERROR(AC240/AC243,""),"")</f>
        <v>3.29323903984976</v>
      </c>
      <c r="AD244" s="60">
        <f>IF(AND(ISNUMBER(AD240),ISNUMBER(AD243)),IFERROR(AD240/AD243,""),"")</f>
        <v>0.879774116516229</v>
      </c>
      <c r="AE244" s="60">
        <f>IF(AND(ISNUMBER(AE240),ISNUMBER(AE243)),IFERROR(AE240/AE243,""),"")</f>
        <v>0.971577543712449</v>
      </c>
      <c r="AF244" s="60">
        <f>IF(AND(ISNUMBER(AF240),ISNUMBER(AF243)),IFERROR(AF240/AF243,""),"")</f>
        <v>0.926134148901082</v>
      </c>
      <c r="AG244" s="60">
        <f>IF(AND(ISNUMBER(AG240),ISNUMBER(AG243)),IFERROR(AG240/AG243,""),"")</f>
        <v>1.01473019690365</v>
      </c>
      <c r="AH244" s="60">
        <f>IF(AND(ISNUMBER(AH240),ISNUMBER(AH243)),IFERROR(AH240/AH243,""),"")</f>
        <v>3.79198115330943</v>
      </c>
      <c r="AI244" s="60">
        <f>IF(AND(ISNUMBER(AI240),ISNUMBER(AI243)),IFERROR(AI240/AI243,""),"")</f>
        <v>1.10294538175579</v>
      </c>
      <c r="AJ244" s="60">
        <f>IF(AND(ISNUMBER(AJ240),ISNUMBER(AJ243)),IFERROR(AJ240/AJ243,""),"")</f>
        <v>1.21610380968225</v>
      </c>
      <c r="AK244" s="60">
        <f>IF(AND(ISNUMBER(AK240),ISNUMBER(AK243)),IFERROR(AK240/AK243,""),"")</f>
        <v>1.20955949552184</v>
      </c>
      <c r="AL244" s="60">
        <f>IF(AND(ISNUMBER(AL240),ISNUMBER(AL243)),IFERROR(AL240/AL243,""),"")</f>
        <v>1.29394817144008</v>
      </c>
      <c r="AM244" s="60">
        <f>IF(AND(ISNUMBER(AM240),ISNUMBER(AM243)),IFERROR(AM240/AM243,""),"")</f>
        <v>4.82078803934107</v>
      </c>
      <c r="AN244" s="60">
        <f>IF(AND(ISNUMBER(AN240),ISNUMBER(AN243)),IFERROR(AN240/AN243,""),"")</f>
        <v>1.17360209079954</v>
      </c>
      <c r="AO244" s="60">
        <f>IF(AND(ISNUMBER(AO240),ISNUMBER(AO243)),IFERROR(AO240/AO243,""),"")</f>
        <v>1.28421470541528</v>
      </c>
      <c r="AP244" s="60">
        <f>IF(AND(ISNUMBER(AP240),ISNUMBER(AP243)),IFERROR(AP240/AP243,""),"")</f>
        <v>1.09100723481736</v>
      </c>
      <c r="AQ244" s="60">
        <f>IF(AND(ISNUMBER(AQ240),ISNUMBER(AQ243)),IFERROR(AQ240/AQ243,""),"")</f>
        <v>1.15054286177281</v>
      </c>
      <c r="AR244" s="60">
        <f>IF(AND(ISNUMBER(AR240),ISNUMBER(AR243)),IFERROR(AR240/AR243,""),"")</f>
        <v>4.7012033579112</v>
      </c>
      <c r="AS244" s="60">
        <f>IF(AND(ISNUMBER(AS240),ISNUMBER(AS243)),IFERROR(AS240/AS243,""),"")</f>
        <v>1.00187503083932</v>
      </c>
      <c r="AT244" s="60">
        <f>IF(AND(ISNUMBER(AT240),ISNUMBER(AT243)),IFERROR(AT240/AT243,""),"")</f>
        <v>0.802125988200097</v>
      </c>
      <c r="AU244" s="60">
        <f>IF(AND(ISNUMBER(AU240),ISNUMBER(AU243)),IFERROR(AU240/AU243,""),"")</f>
        <v>1.09988670065647</v>
      </c>
      <c r="AV244" s="60">
        <f>IF(AND(ISNUMBER(AV240),ISNUMBER(AV243)),IFERROR(AV240/AV243,""),"")</f>
        <v>1.24369413442563</v>
      </c>
      <c r="AW244" s="60">
        <f>IF(AND(ISNUMBER(AW240),ISNUMBER(AW243)),IFERROR(AW240/AW243,""),"")</f>
        <v>4.14808790333289</v>
      </c>
      <c r="AX244" s="60">
        <f>IF(AND(ISNUMBER(AX240),ISNUMBER(AX243)),IFERROR(AX240/AX243,""),"")</f>
        <v>1.37279225194448</v>
      </c>
      <c r="AY244" s="60">
        <f>IF(AND(ISNUMBER(AY240),ISNUMBER(AY243)),IFERROR(AY240/AY243,""),"")</f>
        <v>1.67214613390067</v>
      </c>
      <c r="AZ244" s="60">
        <f>IF(AND(ISNUMBER(AZ240),ISNUMBER(AZ243)),IFERROR(AZ240/AZ243,""),"")</f>
        <v>1.56106902006494</v>
      </c>
      <c r="BA244" s="60">
        <f>IF(AND(ISNUMBER(BA240),ISNUMBER(BA243)),IFERROR(BA240/BA243,""),"")</f>
        <v>1.61314284756108</v>
      </c>
      <c r="BB244" s="60">
        <f>IF(AND(ISNUMBER(BB240),ISNUMBER(BB243)),IFERROR(BB240/BB243,""),"")</f>
        <v>6.21581032932636</v>
      </c>
      <c r="BC244" s="60">
        <f>IF(AND(ISNUMBER(BC240),ISNUMBER(BC243)),IFERROR(BC240/BC243,""),"")</f>
        <v>2.1035733567283</v>
      </c>
      <c r="BD244" s="60">
        <f>IF(AND(ISNUMBER(BD240),ISNUMBER(BD243)),IFERROR(BD240/BD243,""),"")</f>
        <v>2.18419438386042</v>
      </c>
      <c r="BE244" s="60">
        <f>IF(AND(ISNUMBER(BE240),ISNUMBER(BE243)),IFERROR(BE240/BE243,""),"")</f>
        <v>2.04307487270615</v>
      </c>
      <c r="BF244" s="60">
        <f>IF(AND(ISNUMBER(BF240),ISNUMBER(BF243)),IFERROR(BF240/BF243,""),"")</f>
        <v>1.93663935407721</v>
      </c>
      <c r="BG244" s="60">
        <f>IF(AND(ISNUMBER(BG240),ISNUMBER(BG243)),IFERROR(BG240/BG243,""),"")</f>
        <v>8.26662581490748</v>
      </c>
      <c r="BH244" s="60">
        <f>IF(AND(ISNUMBER(BH240),ISNUMBER(BH243)),IFERROR(BH240/BH243,""),"")</f>
        <v>2.12609343170653</v>
      </c>
      <c r="BI244" s="60">
        <f>IF(AND(ISNUMBER(BI240),ISNUMBER(BI243)),IFERROR(BI240/BI243,""),"")</f>
        <v>2.43953141347787</v>
      </c>
      <c r="BJ244" s="60">
        <f>IF(AND(ISNUMBER(BJ240),ISNUMBER(BJ243)),IFERROR(BJ240/BJ243,""),"")</f>
        <v>2.3993566808862</v>
      </c>
      <c r="BK244" s="60">
        <f>IF(AND(ISNUMBER(BK240),ISNUMBER(BK243)),IFERROR(BK240/BK243,""),"")</f>
        <v>2.45207300858213</v>
      </c>
      <c r="BL244" s="60">
        <f>IF(AND(ISNUMBER(BL240),ISNUMBER(BL243)),IFERROR(BL240/BL243,""),"")</f>
        <v>9.41107160646504</v>
      </c>
      <c r="BM244" s="60">
        <f>IF(AND(ISNUMBER(BM240),ISNUMBER(BM243)),IFERROR(BM240/BM243,""),"")</f>
        <v>2.23202234520567</v>
      </c>
      <c r="BN244" s="60">
        <f>IF(AND(ISNUMBER(BN240),ISNUMBER(BN243)),IFERROR(BN240/BN243,""),"")</f>
        <v>2.34041069623122</v>
      </c>
      <c r="BO244" s="60">
        <f>IF(AND(ISNUMBER(BO240),ISNUMBER(BO243)),IFERROR(BO240/BO243,""),"")</f>
        <v>2.14432411593593</v>
      </c>
      <c r="BP244" s="60">
        <f>IF(AND(ISNUMBER(BP240),ISNUMBER(BP243)),IFERROR(BP240/BP243,""),"")</f>
        <v>2.56927382167623</v>
      </c>
      <c r="BQ244" s="60">
        <f>IF(AND(ISNUMBER(BQ240),ISNUMBER(BQ243)),IFERROR(BQ240/BQ243,""),"")</f>
        <v>9.28882400251775</v>
      </c>
      <c r="BR244" s="60">
        <f>IF(AND(ISNUMBER(BR240),ISNUMBER(BR243)),IFERROR(BR240/BR243,""),"")</f>
        <v>2.15571319900225</v>
      </c>
      <c r="BS244" s="60">
        <f>IF(AND(ISNUMBER(BS240),ISNUMBER(BS243)),IFERROR(BS240/BS243,""),"")</f>
        <v>2.60170097198399</v>
      </c>
      <c r="BT244" s="60">
        <f>IF(AND(ISNUMBER(BT240),ISNUMBER(BT243)),IFERROR(BT240/BT243,""),"")</f>
        <v>2.46910425738655</v>
      </c>
      <c r="BU244" s="60">
        <f>IF(AND(ISNUMBER(BU240),ISNUMBER(BU243)),IFERROR(BU240/BU243,""),"")</f>
        <v>2.64644842272432</v>
      </c>
      <c r="BV244" s="60">
        <f>IF(AND(ISNUMBER(BV240),ISNUMBER(BV243)),IFERROR(BV240/BV243,""),"")</f>
        <v>9.86722147651006</v>
      </c>
      <c r="BW244" s="60">
        <f>IF(AND(ISNUMBER(BW240),ISNUMBER(BW243)),IFERROR(BW240/BW243,""),"")</f>
        <v>2.50299184699098</v>
      </c>
      <c r="BX244" s="60">
        <f>IF(AND(ISNUMBER(BX240),ISNUMBER(BX243)),IFERROR(BX240/BX243,""),"")</f>
        <v>2.92584661173823</v>
      </c>
      <c r="BY244" s="60">
        <f>IFERROR(BY240/BY243,"")</f>
        <v>2.82403175949268</v>
      </c>
      <c r="BZ244" s="60">
        <f>IFERROR(BZ240/BZ243,"")</f>
        <v>2.95515305750296</v>
      </c>
      <c r="CA244" s="60">
        <f>SUM(BW244,BX244,BY244,BZ244)</f>
        <v>11.2080232757248</v>
      </c>
      <c r="CB244" s="60">
        <f>IFERROR(CB240/CB243,"")</f>
        <v>12.670473260636</v>
      </c>
      <c r="CC244" s="60">
        <f>IFERROR(CC240/CC243,"")</f>
        <v>14.19559793852</v>
      </c>
      <c r="CD244" s="60">
        <f>IFERROR(CD240/CD243,"")</f>
        <v>15.8116189712345</v>
      </c>
      <c r="CE244" s="60">
        <f>IFERROR(CE240/CE243,"")</f>
        <v>17.5992566323637</v>
      </c>
      <c r="CF244" s="19" t="inlineStr">
        <is>
          <t>2026E = sum of quarters (company convention).</t>
        </is>
      </c>
      <c r="CH244" s="20">
        <f>IFERROR((CE244/BV244)^(1/5)-1,"n/m")</f>
        <v>0.12269009112344</v>
      </c>
      <c r="CI244" s="20">
        <f>IFERROR((BV244/AW244)^(1/5)-1,"n/m")</f>
        <v>0.189239662673754</v>
      </c>
      <c r="CJ244" s="20">
        <f>IFERROR((BV244/X244)^(1/10)-1,"n/m")</f>
        <v>0.109974317693245</v>
      </c>
      <c r="CK244" s="20">
        <f>IFERROR((BV244/C244)^(1/19)-1,"n/m")</f>
        <v>0.087915045754535</v>
      </c>
    </row>
    <row r="245">
      <c r="B245" s="156" t="inlineStr">
        <is>
          <t xml:space="preserve">  Company-published adjusted diluted EPS ($)</t>
        </is>
      </c>
      <c r="C245" s="27" t="n">
        <v>1.99</v>
      </c>
      <c r="D245" s="27" t="n">
        <v>2.335</v>
      </c>
      <c r="E245" s="27" t="n">
        <v>2.68</v>
      </c>
      <c r="F245" s="27" t="n">
        <v>0.855</v>
      </c>
      <c r="G245" s="27" t="n">
        <v>1.52</v>
      </c>
      <c r="H245" s="27" t="n">
        <v>2.51</v>
      </c>
      <c r="I245" s="27" t="n">
        <v>3.16</v>
      </c>
      <c r="J245" s="27" t="n">
        <v>0.92</v>
      </c>
      <c r="K245" s="27" t="n">
        <v>0.91</v>
      </c>
      <c r="L245" s="27" t="n">
        <v>0.86</v>
      </c>
      <c r="M245" s="27" t="n">
        <v>1.09</v>
      </c>
      <c r="N245" s="27" t="n">
        <v>3.77</v>
      </c>
      <c r="O245" s="27" t="n">
        <v>0.91</v>
      </c>
      <c r="P245" s="27" t="n">
        <v>1.01</v>
      </c>
      <c r="Q245" s="27" t="n">
        <v>0.9399999999999999</v>
      </c>
      <c r="R245" s="27" t="n">
        <v>0.96</v>
      </c>
      <c r="S245" s="27" t="n">
        <v>3.82</v>
      </c>
      <c r="T245" s="27" t="n">
        <v>0.89</v>
      </c>
      <c r="U245" s="27" t="n">
        <v>0.95</v>
      </c>
      <c r="V245" s="27" t="n">
        <v>0.89</v>
      </c>
      <c r="W245" s="27" t="n">
        <v>0.75</v>
      </c>
      <c r="X245" s="27" t="n">
        <v>3.48</v>
      </c>
      <c r="Y245" s="27" t="n">
        <v>0.76</v>
      </c>
      <c r="Z245" s="27" t="n">
        <v>0.83</v>
      </c>
      <c r="AA245" s="27" t="n">
        <v>0.89</v>
      </c>
      <c r="AB245" s="27" t="n">
        <v>0.8100000000000001</v>
      </c>
      <c r="AC245" s="27" t="n">
        <v>3.29</v>
      </c>
      <c r="AD245" s="27" t="n">
        <v>0.88</v>
      </c>
      <c r="AE245" s="27" t="n">
        <v>0.97</v>
      </c>
      <c r="AF245" s="27" t="n">
        <v>0.93</v>
      </c>
      <c r="AG245" s="27" t="n">
        <v>1.01</v>
      </c>
      <c r="AH245" s="27" t="n">
        <v>3.79</v>
      </c>
      <c r="AI245" s="27" t="n">
        <v>1.1</v>
      </c>
      <c r="AJ245" s="27" t="n">
        <v>1.22</v>
      </c>
      <c r="AK245" s="27" t="n">
        <v>1.21</v>
      </c>
      <c r="AL245" s="27" t="n">
        <v>1.29</v>
      </c>
      <c r="AM245" s="27" t="n">
        <v>4.82</v>
      </c>
      <c r="AN245" s="27" t="n">
        <v>1.17</v>
      </c>
      <c r="AO245" s="27" t="n">
        <v>1.28</v>
      </c>
      <c r="AP245" s="27" t="n">
        <v>1.09</v>
      </c>
      <c r="AQ245" s="27" t="n">
        <v>1.15</v>
      </c>
      <c r="AR245" s="27" t="n">
        <v>4.7</v>
      </c>
      <c r="AS245" s="27" t="n">
        <v>1</v>
      </c>
      <c r="AT245" s="27" t="n">
        <v>0.8</v>
      </c>
      <c r="AU245" s="27" t="n">
        <v>1.1</v>
      </c>
      <c r="AV245" s="27" t="n">
        <v>1.24</v>
      </c>
      <c r="AW245" s="27" t="n">
        <v>4.15</v>
      </c>
      <c r="AX245" s="27" t="n">
        <v>1.37</v>
      </c>
      <c r="AY245" s="27" t="n">
        <v>1.67</v>
      </c>
      <c r="AZ245" s="27" t="n">
        <v>1.56</v>
      </c>
      <c r="BA245" s="27" t="n">
        <v>1.61</v>
      </c>
      <c r="BB245" s="27" t="n">
        <v>6.22</v>
      </c>
      <c r="BC245" s="27" t="n">
        <v>2.1</v>
      </c>
      <c r="BD245" s="27" t="n">
        <v>2.18</v>
      </c>
      <c r="BE245" s="27" t="n">
        <v>2.04</v>
      </c>
      <c r="BF245" s="27" t="n">
        <v>1.94</v>
      </c>
      <c r="BG245" s="27" t="n">
        <v>8.27</v>
      </c>
      <c r="BH245" s="27" t="n">
        <v>2.13</v>
      </c>
      <c r="BI245" s="27" t="n">
        <v>2.44</v>
      </c>
      <c r="BJ245" s="27" t="n">
        <v>2.4</v>
      </c>
      <c r="BK245" s="27" t="n">
        <v>2.45</v>
      </c>
      <c r="BL245" s="27" t="n">
        <v>9.41</v>
      </c>
      <c r="BM245" s="27" t="n">
        <v>2.23</v>
      </c>
      <c r="BN245" s="27" t="n">
        <v>2.34</v>
      </c>
      <c r="BO245" s="27" t="n">
        <v>2.14</v>
      </c>
      <c r="BP245" s="27" t="n">
        <v>2.57</v>
      </c>
      <c r="BQ245" s="27" t="n">
        <v>9.289999999999999</v>
      </c>
      <c r="BR245" s="27" t="n">
        <v>2.16</v>
      </c>
      <c r="BS245" s="27" t="n">
        <v>2.6</v>
      </c>
      <c r="BT245" s="27" t="n">
        <v>2.47</v>
      </c>
      <c r="BU245" s="27" t="n">
        <v>2.65</v>
      </c>
      <c r="BV245" s="27" t="n">
        <v>9.869999999999999</v>
      </c>
      <c r="BW245" s="27" t="n">
        <v>2.5</v>
      </c>
      <c r="BX245" s="27" t="n">
        <v>2.93</v>
      </c>
      <c r="BY245" s="273" t="n"/>
      <c r="BZ245" s="273" t="n"/>
      <c r="CA245" s="273" t="n"/>
      <c r="CB245" s="273" t="n"/>
      <c r="CC245" s="273" t="n"/>
      <c r="CD245" s="273" t="n"/>
      <c r="CE245" s="273" t="n"/>
      <c r="CF245" s="19" t="n"/>
    </row>
    <row r="246">
      <c r="B246" s="57" t="inlineStr">
        <is>
          <t xml:space="preserve">  Check: model vs company-published adjusted EPS (should be 0.00; ±0.01–0.02 share rounding)</t>
        </is>
      </c>
      <c r="C246" s="38">
        <f>IF(ISNUMBER(C245),ROUND(C244-C245,2),"n/p")</f>
        <v>0</v>
      </c>
      <c r="D246" s="38">
        <f>IF(ISNUMBER(D245),ROUND(D244-D245,2),"n/p")</f>
        <v>0</v>
      </c>
      <c r="E246" s="38">
        <f>IF(ISNUMBER(E245),ROUND(E244-E245,2),"n/p")</f>
        <v>0</v>
      </c>
      <c r="F246" s="38">
        <f>IF(ISNUMBER(F245),ROUND(F244-F245,2),"n/p")</f>
        <v>0</v>
      </c>
      <c r="G246" s="38">
        <f>IF(ISNUMBER(G245),ROUND(G244-G245,2),"n/p")</f>
        <v>0</v>
      </c>
      <c r="H246" s="38">
        <f>IF(ISNUMBER(H245),ROUND(H244-H245,2),"n/p")</f>
        <v>0</v>
      </c>
      <c r="I246" s="38">
        <f>IF(ISNUMBER(I245),ROUND(I244-I245,2),"n/p")</f>
        <v>0</v>
      </c>
      <c r="J246" s="38">
        <f>IF(ISNUMBER(J245),ROUND(J244-J245,2),"n/p")</f>
        <v>0</v>
      </c>
      <c r="K246" s="38">
        <f>IF(ISNUMBER(K245),ROUND(K244-K245,2),"n/p")</f>
        <v>0</v>
      </c>
      <c r="L246" s="38">
        <f>IF(ISNUMBER(L245),ROUND(L244-L245,2),"n/p")</f>
        <v>0</v>
      </c>
      <c r="M246" s="38">
        <f>IF(ISNUMBER(M245),ROUND(M244-M245,2),"n/p")</f>
        <v>0</v>
      </c>
      <c r="N246" s="38">
        <f>IF(ISNUMBER(N245),ROUND(N244-N245,2),"n/p")</f>
        <v>0</v>
      </c>
      <c r="O246" s="38">
        <f>IF(ISNUMBER(O245),ROUND(O244-O245,2),"n/p")</f>
        <v>0</v>
      </c>
      <c r="P246" s="38">
        <f>IF(ISNUMBER(P245),ROUND(P244-P245,2),"n/p")</f>
        <v>0</v>
      </c>
      <c r="Q246" s="38">
        <f>IF(ISNUMBER(Q245),ROUND(Q244-Q245,2),"n/p")</f>
        <v>0</v>
      </c>
      <c r="R246" s="38">
        <f>IF(ISNUMBER(R245),ROUND(R244-R245,2),"n/p")</f>
        <v>0</v>
      </c>
      <c r="S246" s="38">
        <f>IF(ISNUMBER(S245),ROUND(S244-S245,2),"n/p")</f>
        <v>0</v>
      </c>
      <c r="T246" s="38">
        <f>IF(ISNUMBER(T245),ROUND(T244-T245,2),"n/p")</f>
        <v>0</v>
      </c>
      <c r="U246" s="38">
        <f>IF(ISNUMBER(U245),ROUND(U244-U245,2),"n/p")</f>
        <v>0</v>
      </c>
      <c r="V246" s="38">
        <f>IF(ISNUMBER(V245),ROUND(V244-V245,2),"n/p")</f>
        <v>0.01</v>
      </c>
      <c r="W246" s="38">
        <f>IF(ISNUMBER(W245),ROUND(W244-W245,2),"n/p")</f>
        <v>0</v>
      </c>
      <c r="X246" s="38">
        <f>IF(ISNUMBER(X245),ROUND(X244-X245,2),"n/p")</f>
        <v>0</v>
      </c>
      <c r="Y246" s="38">
        <f>IF(ISNUMBER(Y245),ROUND(Y244-Y245,2),"n/p")</f>
        <v>0</v>
      </c>
      <c r="Z246" s="38">
        <f>IF(ISNUMBER(Z245),ROUND(Z244-Z245,2),"n/p")</f>
        <v>0</v>
      </c>
      <c r="AA246" s="38">
        <f>IF(ISNUMBER(AA245),ROUND(AA244-AA245,2),"n/p")</f>
        <v>0</v>
      </c>
      <c r="AB246" s="38">
        <f>IF(ISNUMBER(AB245),ROUND(AB244-AB245,2),"n/p")</f>
        <v>0</v>
      </c>
      <c r="AC246" s="38">
        <f>IF(ISNUMBER(AC245),ROUND(AC244-AC245,2),"n/p")</f>
        <v>0</v>
      </c>
      <c r="AD246" s="38">
        <f>IF(ISNUMBER(AD245),ROUND(AD244-AD245,2),"n/p")</f>
        <v>0</v>
      </c>
      <c r="AE246" s="38">
        <f>IF(ISNUMBER(AE245),ROUND(AE244-AE245,2),"n/p")</f>
        <v>0</v>
      </c>
      <c r="AF246" s="38">
        <f>IF(ISNUMBER(AF245),ROUND(AF244-AF245,2),"n/p")</f>
        <v>0</v>
      </c>
      <c r="AG246" s="38">
        <f>IF(ISNUMBER(AG245),ROUND(AG244-AG245,2),"n/p")</f>
        <v>0</v>
      </c>
      <c r="AH246" s="38">
        <f>IF(ISNUMBER(AH245),ROUND(AH244-AH245,2),"n/p")</f>
        <v>0</v>
      </c>
      <c r="AI246" s="38">
        <f>IF(ISNUMBER(AI245),ROUND(AI244-AI245,2),"n/p")</f>
        <v>0</v>
      </c>
      <c r="AJ246" s="38">
        <f>IF(ISNUMBER(AJ245),ROUND(AJ244-AJ245,2),"n/p")</f>
        <v>0</v>
      </c>
      <c r="AK246" s="38">
        <f>IF(ISNUMBER(AK245),ROUND(AK244-AK245,2),"n/p")</f>
        <v>0</v>
      </c>
      <c r="AL246" s="38">
        <f>IF(ISNUMBER(AL245),ROUND(AL244-AL245,2),"n/p")</f>
        <v>0</v>
      </c>
      <c r="AM246" s="38">
        <f>IF(ISNUMBER(AM245),ROUND(AM244-AM245,2),"n/p")</f>
        <v>0</v>
      </c>
      <c r="AN246" s="38">
        <f>IF(ISNUMBER(AN245),ROUND(AN244-AN245,2),"n/p")</f>
        <v>0</v>
      </c>
      <c r="AO246" s="38">
        <f>IF(ISNUMBER(AO245),ROUND(AO244-AO245,2),"n/p")</f>
        <v>0</v>
      </c>
      <c r="AP246" s="38">
        <f>IF(ISNUMBER(AP245),ROUND(AP244-AP245,2),"n/p")</f>
        <v>0</v>
      </c>
      <c r="AQ246" s="38">
        <f>IF(ISNUMBER(AQ245),ROUND(AQ244-AQ245,2),"n/p")</f>
        <v>0</v>
      </c>
      <c r="AR246" s="38">
        <f>IF(ISNUMBER(AR245),ROUND(AR244-AR245,2),"n/p")</f>
        <v>0</v>
      </c>
      <c r="AS246" s="38">
        <f>IF(ISNUMBER(AS245),ROUND(AS244-AS245,2),"n/p")</f>
        <v>0</v>
      </c>
      <c r="AT246" s="38">
        <f>IF(ISNUMBER(AT245),ROUND(AT244-AT245,2),"n/p")</f>
        <v>0</v>
      </c>
      <c r="AU246" s="38">
        <f>IF(ISNUMBER(AU245),ROUND(AU244-AU245,2),"n/p")</f>
        <v>0</v>
      </c>
      <c r="AV246" s="38">
        <f>IF(ISNUMBER(AV245),ROUND(AV244-AV245,2),"n/p")</f>
        <v>0</v>
      </c>
      <c r="AW246" s="38">
        <f>IF(ISNUMBER(AW245),ROUND(AW244-AW245,2),"n/p")</f>
        <v>0</v>
      </c>
      <c r="AX246" s="38">
        <f>IF(ISNUMBER(AX245),ROUND(AX244-AX245,2),"n/p")</f>
        <v>0</v>
      </c>
      <c r="AY246" s="38">
        <f>IF(ISNUMBER(AY245),ROUND(AY244-AY245,2),"n/p")</f>
        <v>0</v>
      </c>
      <c r="AZ246" s="38">
        <f>IF(ISNUMBER(AZ245),ROUND(AZ244-AZ245,2),"n/p")</f>
        <v>0</v>
      </c>
      <c r="BA246" s="38">
        <f>IF(ISNUMBER(BA245),ROUND(BA244-BA245,2),"n/p")</f>
        <v>0</v>
      </c>
      <c r="BB246" s="38">
        <f>IF(ISNUMBER(BB245),ROUND(BB244-BB245,2),"n/p")</f>
        <v>0</v>
      </c>
      <c r="BC246" s="38">
        <f>IF(ISNUMBER(BC245),ROUND(BC244-BC245,2),"n/p")</f>
        <v>0</v>
      </c>
      <c r="BD246" s="38">
        <f>IF(ISNUMBER(BD245),ROUND(BD244-BD245,2),"n/p")</f>
        <v>0</v>
      </c>
      <c r="BE246" s="38">
        <f>IF(ISNUMBER(BE245),ROUND(BE244-BE245,2),"n/p")</f>
        <v>0</v>
      </c>
      <c r="BF246" s="38">
        <f>IF(ISNUMBER(BF245),ROUND(BF244-BF245,2),"n/p")</f>
        <v>0</v>
      </c>
      <c r="BG246" s="38">
        <f>IF(ISNUMBER(BG245),ROUND(BG244-BG245,2),"n/p")</f>
        <v>0</v>
      </c>
      <c r="BH246" s="38">
        <f>IF(ISNUMBER(BH245),ROUND(BH244-BH245,2),"n/p")</f>
        <v>0</v>
      </c>
      <c r="BI246" s="38">
        <f>IF(ISNUMBER(BI245),ROUND(BI244-BI245,2),"n/p")</f>
        <v>0</v>
      </c>
      <c r="BJ246" s="38">
        <f>IF(ISNUMBER(BJ245),ROUND(BJ244-BJ245,2),"n/p")</f>
        <v>0</v>
      </c>
      <c r="BK246" s="38">
        <f>IF(ISNUMBER(BK245),ROUND(BK244-BK245,2),"n/p")</f>
        <v>0</v>
      </c>
      <c r="BL246" s="38">
        <f>IF(ISNUMBER(BL245),ROUND(BL244-BL245,2),"n/p")</f>
        <v>0</v>
      </c>
      <c r="BM246" s="38">
        <f>IF(ISNUMBER(BM245),ROUND(BM244-BM245,2),"n/p")</f>
        <v>0</v>
      </c>
      <c r="BN246" s="38">
        <f>IF(ISNUMBER(BN245),ROUND(BN244-BN245,2),"n/p")</f>
        <v>0</v>
      </c>
      <c r="BO246" s="38">
        <f>IF(ISNUMBER(BO245),ROUND(BO244-BO245,2),"n/p")</f>
        <v>0</v>
      </c>
      <c r="BP246" s="38">
        <f>IF(ISNUMBER(BP245),ROUND(BP244-BP245,2),"n/p")</f>
        <v>0</v>
      </c>
      <c r="BQ246" s="38">
        <f>IF(ISNUMBER(BQ245),ROUND(BQ244-BQ245,2),"n/p")</f>
        <v>0</v>
      </c>
      <c r="BR246" s="38">
        <f>IF(ISNUMBER(BR245),ROUND(BR244-BR245,2),"n/p")</f>
        <v>0</v>
      </c>
      <c r="BS246" s="38">
        <f>IF(ISNUMBER(BS245),ROUND(BS244-BS245,2),"n/p")</f>
        <v>0</v>
      </c>
      <c r="BT246" s="38">
        <f>IF(ISNUMBER(BT245),ROUND(BT244-BT245,2),"n/p")</f>
        <v>0</v>
      </c>
      <c r="BU246" s="38">
        <f>IF(ISNUMBER(BU245),ROUND(BU244-BU245,2),"n/p")</f>
        <v>0</v>
      </c>
      <c r="BV246" s="38">
        <f>IF(ISNUMBER(BV245),ROUND(BV244-BV245,2),"n/p")</f>
        <v>0</v>
      </c>
      <c r="BW246" s="38">
        <f>IF(ISNUMBER(BW245),ROUND(BW244-BW245,2),"n/p")</f>
        <v>0</v>
      </c>
      <c r="BX246" s="38">
        <f>IF(ISNUMBER(BX245),ROUND(BX244-BX245,2),"n/p")</f>
        <v>0</v>
      </c>
      <c r="BY246" s="273" t="n"/>
      <c r="BZ246" s="273" t="n"/>
      <c r="CA246" s="273" t="n"/>
      <c r="CB246" s="273" t="n"/>
      <c r="CC246" s="273" t="n"/>
      <c r="CD246" s="273" t="n"/>
      <c r="CE246" s="273" t="n"/>
      <c r="CF246" s="19" t="n"/>
    </row>
    <row r="247" outlineLevel="2" s="251">
      <c r="B247" s="156" t="inlineStr">
        <is>
          <t xml:space="preserve">  Memo: company-published special items per share ($)</t>
        </is>
      </c>
      <c r="C247" s="27" t="n">
        <v>-0.045</v>
      </c>
      <c r="D247" s="27" t="n">
        <v>0</v>
      </c>
      <c r="E247" s="27" t="n">
        <v>0.215</v>
      </c>
      <c r="F247" s="27" t="n">
        <v>0.285</v>
      </c>
      <c r="G247" s="27" t="n">
        <v>-0.01</v>
      </c>
      <c r="H247" s="27" t="n">
        <v>-0.05</v>
      </c>
      <c r="I247" s="27" t="n">
        <v>0.1</v>
      </c>
      <c r="J247" s="27" t="n">
        <v>0.12</v>
      </c>
      <c r="K247" s="27" t="n">
        <v>0.04</v>
      </c>
      <c r="L247" s="27" t="n">
        <v>0.06</v>
      </c>
      <c r="M247" s="27" t="n">
        <v>0.02</v>
      </c>
      <c r="N247" s="27" t="n">
        <v>0.23</v>
      </c>
      <c r="O247" s="27" t="n">
        <v>0.22</v>
      </c>
      <c r="P247" s="27" t="n">
        <v>0.05</v>
      </c>
      <c r="Q247" s="27" t="n">
        <v>0.37</v>
      </c>
      <c r="R247" s="27" t="n">
        <v>0</v>
      </c>
      <c r="S247" s="27" t="n">
        <v>0.64</v>
      </c>
      <c r="T247" s="27" t="n">
        <v>0</v>
      </c>
      <c r="U247" s="27" t="n">
        <v>0.01</v>
      </c>
      <c r="V247" s="27" t="n">
        <v>1.71</v>
      </c>
      <c r="W247" s="27" t="n">
        <v>0.07000000000000001</v>
      </c>
      <c r="X247" s="27" t="n">
        <v>1.78</v>
      </c>
      <c r="Y247" s="27" t="n">
        <v>0</v>
      </c>
      <c r="Z247" s="27" t="n">
        <v>0.38</v>
      </c>
      <c r="AA247" s="27" t="n">
        <v>0</v>
      </c>
      <c r="AB247" s="27" t="n">
        <v>0</v>
      </c>
      <c r="AC247" s="27" t="n">
        <v>0.38</v>
      </c>
      <c r="AD247" s="27" t="n">
        <v>0.04</v>
      </c>
      <c r="AE247" s="27" t="n">
        <v>0.05</v>
      </c>
      <c r="AF247" s="27" t="n">
        <v>-0.66</v>
      </c>
      <c r="AG247" s="27" t="n">
        <v>0.65</v>
      </c>
      <c r="AH247" s="27" t="n">
        <v>0.08</v>
      </c>
      <c r="AI247" s="27" t="n">
        <v>0.18</v>
      </c>
      <c r="AJ247" s="27" t="n">
        <v>0.18</v>
      </c>
      <c r="AK247" s="27" t="n">
        <v>0.14</v>
      </c>
      <c r="AL247" s="27" t="n">
        <v>-0.06</v>
      </c>
      <c r="AM247" s="27" t="n">
        <v>0.45</v>
      </c>
      <c r="AN247" s="27" t="n">
        <v>0.05</v>
      </c>
      <c r="AO247" s="27" t="n">
        <v>-0.08</v>
      </c>
      <c r="AP247" s="27" t="n">
        <v>-0.08</v>
      </c>
      <c r="AQ247" s="27" t="n">
        <v>0.12</v>
      </c>
      <c r="AR247" s="27" t="n">
        <v>0.02</v>
      </c>
      <c r="AS247" s="27" t="n">
        <v>0.09</v>
      </c>
      <c r="AT247" s="27" t="n">
        <v>0.35</v>
      </c>
      <c r="AU247" s="27" t="n">
        <v>0.13</v>
      </c>
      <c r="AV247" s="27" t="n">
        <v>0.16</v>
      </c>
      <c r="AW247" s="27" t="n">
        <v>0.73</v>
      </c>
      <c r="AX247" s="27" t="n">
        <v>0.14</v>
      </c>
      <c r="AY247" s="27" t="n">
        <v>0.07000000000000001</v>
      </c>
      <c r="AZ247" s="27" t="n">
        <v>1.03</v>
      </c>
      <c r="BA247" s="27" t="n">
        <v>0.36</v>
      </c>
      <c r="BB247" s="27" t="n">
        <v>1.62</v>
      </c>
      <c r="BC247" s="27" t="n">
        <v>-0.03</v>
      </c>
      <c r="BD247" s="27" t="n">
        <v>0</v>
      </c>
      <c r="BE247" s="27" t="n">
        <v>0.17</v>
      </c>
      <c r="BF247" s="27" t="n">
        <v>0.07000000000000001</v>
      </c>
      <c r="BG247" s="27" t="n">
        <v>0.23</v>
      </c>
      <c r="BH247" s="27" t="n">
        <v>0.04</v>
      </c>
      <c r="BI247" s="27" t="n">
        <v>0.08</v>
      </c>
      <c r="BJ247" s="27" t="n">
        <v>0.18</v>
      </c>
      <c r="BK247" s="27" t="n">
        <v>-0.25</v>
      </c>
      <c r="BL247" s="27" t="n">
        <v>0.04</v>
      </c>
      <c r="BM247" s="27" t="n">
        <v>0.09</v>
      </c>
      <c r="BN247" s="27" t="n">
        <v>0.57</v>
      </c>
      <c r="BO247" s="27" t="n">
        <v>0.37</v>
      </c>
      <c r="BP247" s="27" t="n">
        <v>0.1</v>
      </c>
      <c r="BQ247" s="27" t="n">
        <v>1.14</v>
      </c>
      <c r="BR247" s="27" t="n">
        <v>0.06</v>
      </c>
      <c r="BS247" s="27" t="n">
        <v>0.04</v>
      </c>
      <c r="BT247" s="27" t="n">
        <v>0.26</v>
      </c>
      <c r="BU247" s="27" t="n">
        <v>0.2</v>
      </c>
      <c r="BV247" s="27" t="n">
        <v>0.55</v>
      </c>
      <c r="BW247" s="27" t="n">
        <v>0.03</v>
      </c>
      <c r="BX247" s="27" t="n">
        <v>0.05</v>
      </c>
      <c r="BY247" s="273" t="n"/>
      <c r="BZ247" s="273" t="n"/>
      <c r="CA247" s="273" t="n"/>
      <c r="CB247" s="273" t="n"/>
      <c r="CC247" s="273" t="n"/>
      <c r="CD247" s="273" t="n"/>
      <c r="CE247" s="273" t="n"/>
      <c r="CF247" s="19" t="n"/>
    </row>
    <row r="248">
      <c r="B248" s="158" t="inlineStr">
        <is>
          <t xml:space="preserve">  Definition basis (company adjusted EPS)</t>
        </is>
      </c>
      <c r="C248" s="274" t="inlineStr">
        <is>
          <t>After-tax special items (tax effect derived)</t>
        </is>
      </c>
      <c r="D248" s="275" t="n"/>
      <c r="E248" s="275" t="n"/>
      <c r="F248" s="275" t="n"/>
      <c r="G248" s="275" t="n"/>
      <c r="H248" s="275" t="n"/>
      <c r="I248" s="275" t="n"/>
      <c r="J248" s="275" t="n"/>
      <c r="K248" s="275" t="n"/>
      <c r="L248" s="275" t="n"/>
      <c r="M248" s="275" t="n"/>
      <c r="N248" s="275" t="n"/>
      <c r="O248" s="275" t="n"/>
      <c r="P248" s="275" t="n"/>
      <c r="Q248" s="275" t="n"/>
      <c r="R248" s="275" t="n"/>
      <c r="S248" s="275" t="n"/>
      <c r="T248" s="275" t="n"/>
      <c r="U248" s="275" t="n"/>
      <c r="V248" s="275" t="n"/>
      <c r="W248" s="275" t="n"/>
      <c r="X248" s="275" t="n"/>
      <c r="Y248" s="275" t="n"/>
      <c r="Z248" s="275" t="n"/>
      <c r="AA248" s="275" t="n"/>
      <c r="AB248" s="275" t="n"/>
      <c r="AC248" s="275" t="n"/>
      <c r="AD248" s="275" t="n"/>
      <c r="AE248" s="275" t="n"/>
      <c r="AF248" s="275" t="n"/>
      <c r="AG248" s="275" t="n"/>
      <c r="AH248" s="275" t="n"/>
      <c r="AI248" s="275" t="n"/>
      <c r="AJ248" s="274" t="inlineStr">
        <is>
          <t>Pre-tax items + published tax effect</t>
        </is>
      </c>
      <c r="AK248" s="275" t="n"/>
      <c r="AL248" s="275" t="n"/>
      <c r="AM248" s="275" t="n"/>
      <c r="AN248" s="275" t="n"/>
      <c r="AO248" s="275" t="n"/>
      <c r="AP248" s="275" t="n"/>
      <c r="AQ248" s="275" t="n"/>
      <c r="AR248" s="275" t="n"/>
      <c r="AS248" s="275" t="n"/>
      <c r="AT248" s="275" t="n"/>
      <c r="AU248" s="275" t="n"/>
      <c r="AV248" s="275" t="n"/>
      <c r="AW248" s="275" t="n"/>
      <c r="AX248" s="275" t="n"/>
      <c r="AY248" s="275" t="n"/>
      <c r="AZ248" s="275" t="n"/>
      <c r="BA248" s="275" t="n"/>
      <c r="BB248" s="275" t="n"/>
      <c r="BC248" s="275" t="n"/>
      <c r="BD248" s="275" t="n"/>
      <c r="BE248" s="275" t="n"/>
      <c r="BF248" s="275" t="n"/>
      <c r="BG248" s="275" t="n"/>
      <c r="BH248" s="275" t="n"/>
      <c r="BI248" s="275" t="n"/>
      <c r="BJ248" s="275" t="n"/>
      <c r="BK248" s="275" t="n"/>
      <c r="BL248" s="275" t="n"/>
      <c r="BM248" s="275" t="n"/>
      <c r="BN248" s="275" t="n"/>
      <c r="BO248" s="275" t="n"/>
      <c r="BP248" s="275" t="n"/>
      <c r="BQ248" s="275" t="n"/>
      <c r="BR248" s="275" t="n"/>
      <c r="BS248" s="275" t="n"/>
      <c r="BT248" s="275" t="n"/>
      <c r="BU248" s="275" t="n"/>
      <c r="BV248" s="275" t="n"/>
      <c r="BW248" s="275" t="n"/>
      <c r="BX248" s="275" t="n"/>
      <c r="BY248" s="276" t="n"/>
      <c r="BZ248" s="276" t="n"/>
      <c r="CA248" s="276" t="n"/>
      <c r="CB248" s="276" t="n"/>
      <c r="CC248" s="276" t="n"/>
      <c r="CD248" s="276" t="n"/>
      <c r="CE248" s="276" t="n"/>
      <c r="CF248" s="19" t="n"/>
    </row>
    <row r="249">
      <c r="CF249" s="19" t="n"/>
    </row>
    <row r="250">
      <c r="B250" s="10" t="inlineStr">
        <is>
          <t>GROWTH &amp; MARGINS</t>
        </is>
      </c>
      <c r="C250" s="10" t="n"/>
      <c r="D250" s="10" t="n"/>
      <c r="E250" s="10" t="n"/>
      <c r="F250" s="10" t="n"/>
      <c r="G250" s="10" t="n"/>
      <c r="H250" s="10" t="n"/>
      <c r="I250" s="10" t="n"/>
      <c r="J250" s="10" t="n"/>
      <c r="K250" s="10" t="n"/>
      <c r="L250" s="10" t="n"/>
      <c r="M250" s="10" t="n"/>
      <c r="N250" s="10" t="n"/>
      <c r="O250" s="10" t="n"/>
      <c r="P250" s="10" t="n"/>
      <c r="Q250" s="10" t="n"/>
      <c r="R250" s="10" t="n"/>
      <c r="S250" s="10" t="n"/>
      <c r="T250" s="10" t="n"/>
      <c r="U250" s="10" t="n"/>
      <c r="V250" s="10" t="n"/>
      <c r="W250" s="10" t="n"/>
      <c r="X250" s="10" t="n"/>
      <c r="Y250" s="10" t="n"/>
      <c r="Z250" s="10" t="n"/>
      <c r="AA250" s="10" t="n"/>
      <c r="AB250" s="10" t="n"/>
      <c r="AC250" s="10" t="n"/>
      <c r="AD250" s="10" t="n"/>
      <c r="AE250" s="10" t="n"/>
      <c r="AF250" s="10" t="n"/>
      <c r="AG250" s="10" t="n"/>
      <c r="AH250" s="10" t="n"/>
      <c r="AI250" s="10" t="n"/>
      <c r="AJ250" s="10" t="n"/>
      <c r="AK250" s="10" t="n"/>
      <c r="AL250" s="10" t="n"/>
      <c r="AM250" s="10" t="n"/>
      <c r="AN250" s="10" t="n"/>
      <c r="AO250" s="10" t="n"/>
      <c r="AP250" s="10" t="n"/>
      <c r="AQ250" s="10" t="n"/>
      <c r="AR250" s="10" t="n"/>
      <c r="AS250" s="10" t="n"/>
      <c r="AT250" s="10" t="n"/>
      <c r="AU250" s="10" t="n"/>
      <c r="AV250" s="10" t="n"/>
      <c r="AW250" s="10" t="n"/>
      <c r="AX250" s="10" t="n"/>
      <c r="AY250" s="10" t="n"/>
      <c r="AZ250" s="10" t="n"/>
      <c r="BA250" s="10" t="n"/>
      <c r="BB250" s="10" t="n"/>
      <c r="BC250" s="10" t="n"/>
      <c r="BD250" s="10" t="n"/>
      <c r="BE250" s="10" t="n"/>
      <c r="BF250" s="10" t="n"/>
      <c r="BG250" s="10" t="n"/>
      <c r="BH250" s="10" t="n"/>
      <c r="BI250" s="10" t="n"/>
      <c r="BJ250" s="10" t="n"/>
      <c r="BK250" s="10" t="n"/>
      <c r="BL250" s="10" t="n"/>
      <c r="BM250" s="10" t="n"/>
      <c r="BN250" s="10" t="n"/>
      <c r="BO250" s="10" t="n"/>
      <c r="BP250" s="10" t="n"/>
      <c r="BQ250" s="10" t="n"/>
      <c r="BR250" s="10" t="n"/>
      <c r="BS250" s="10" t="n"/>
      <c r="BT250" s="10" t="n"/>
      <c r="BU250" s="10" t="n"/>
      <c r="BV250" s="10" t="n"/>
      <c r="BW250" s="10" t="n"/>
      <c r="BX250" s="10" t="n"/>
      <c r="BY250" s="10" t="n"/>
      <c r="BZ250" s="10" t="n"/>
      <c r="CA250" s="10" t="n"/>
      <c r="CB250" s="10" t="n"/>
      <c r="CC250" s="10" t="n"/>
      <c r="CD250" s="10" t="n"/>
      <c r="CE250" s="10" t="n"/>
      <c r="CF250" s="10" t="inlineStr">
        <is>
          <t>GROWTH &amp; MARGINS (consolidated) — forecast outputs</t>
        </is>
      </c>
    </row>
    <row r="251">
      <c r="B251" s="22" t="inlineStr">
        <is>
          <t xml:space="preserve">  Net sales y/y %</t>
        </is>
      </c>
      <c r="C251" s="23" t="n"/>
      <c r="D251" s="23">
        <f>IF(AND(ISNUMBER(D154),ISNUMBER(C154)),IFERROR(D154/C154-1,""),"")</f>
        <v>0.156634033414219</v>
      </c>
      <c r="E251" s="23">
        <f>IF(AND(ISNUMBER(E154),ISNUMBER(D154)),IFERROR(E154/D154-1,""),"")</f>
        <v>0.0869643946993663</v>
      </c>
      <c r="F251" s="23">
        <f>IF(AND(ISNUMBER(F154),ISNUMBER(E154)),IFERROR(F154/E154-1,""),"")</f>
        <v>-0.302463242160257</v>
      </c>
      <c r="G251" s="23">
        <f>IF(AND(ISNUMBER(G154),ISNUMBER(F154)),IFERROR(G154/F154-1,""),"")</f>
        <v>0.197125979812466</v>
      </c>
      <c r="H251" s="23">
        <f>IF(AND(ISNUMBER(H154),ISNUMBER(G154)),IFERROR(H154/G154-1,""),"")</f>
        <v>0.301635323055282</v>
      </c>
      <c r="I251" s="23">
        <f>IF(AND(ISNUMBER(I154),ISNUMBER(H154)),IFERROR(I154/H154-1,""),"")</f>
        <v>0.0589168966629297</v>
      </c>
      <c r="J251" s="23" t="n"/>
      <c r="K251" s="23" t="n"/>
      <c r="L251" s="23" t="n"/>
      <c r="M251" s="23" t="n"/>
      <c r="N251" s="23">
        <f>IF(AND(ISNUMBER(N154),ISNUMBER(I154)),IFERROR(N154/I154-1,""),"")</f>
        <v>-0.000243922355589121</v>
      </c>
      <c r="O251" s="23">
        <f>IF(AND(ISNUMBER(O154),ISNUMBER(J154)),IFERROR(O154/J154-1,""),"")</f>
        <v>-0.0466354844949642</v>
      </c>
      <c r="P251" s="23">
        <f>IF(AND(ISNUMBER(P154),ISNUMBER(K154)),IFERROR(P154/K154-1,""),"")</f>
        <v>0.00151079413608413</v>
      </c>
      <c r="Q251" s="23">
        <f>IF(AND(ISNUMBER(Q154),ISNUMBER(L154)),IFERROR(Q154/L154-1,""),"")</f>
        <v>0.0345467028003614</v>
      </c>
      <c r="R251" s="23">
        <f>IF(AND(ISNUMBER(R154),ISNUMBER(M154)),IFERROR(R154/M154-1,""),"")</f>
        <v>-0.0431412818572143</v>
      </c>
      <c r="S251" s="23">
        <f>IF(AND(ISNUMBER(S154),ISNUMBER(N154)),IFERROR(S154/N154-1,""),"")</f>
        <v>-0.0137930381736975</v>
      </c>
      <c r="T251" s="23">
        <f>IF(AND(ISNUMBER(T154),ISNUMBER(O154)),IFERROR(T154/O154-1,""),"")</f>
        <v>-0.0396489660789827</v>
      </c>
      <c r="U251" s="23">
        <f>IF(AND(ISNUMBER(U154),ISNUMBER(P154)),IFERROR(U154/P154-1,""),"")</f>
        <v>-0.0875611332942592</v>
      </c>
      <c r="V251" s="23">
        <f>IF(AND(ISNUMBER(V154),ISNUMBER(Q154)),IFERROR(V154/Q154-1,""),"")</f>
        <v>-0.0986494396997948</v>
      </c>
      <c r="W251" s="23">
        <f>IF(AND(ISNUMBER(W154),ISNUMBER(R154)),IFERROR(W154/R154-1,""),"")</f>
        <v>-0.169556724575044</v>
      </c>
      <c r="X251" s="23">
        <f>IF(AND(ISNUMBER(X154),ISNUMBER(S154)),IFERROR(X154/S154-1,""),"")</f>
        <v>-0.0986494978893294</v>
      </c>
      <c r="Y251" s="23">
        <f>IF(AND(ISNUMBER(Y154),ISNUMBER(T154)),IFERROR(Y154/T154-1,""),"")</f>
        <v>-0.162909256725946</v>
      </c>
      <c r="Z251" s="23">
        <f>IF(AND(ISNUMBER(Z154),ISNUMBER(U154)),IFERROR(Z154/U154-1,""),"")</f>
        <v>-0.10879742455697</v>
      </c>
      <c r="AA251" s="23">
        <f>IF(AND(ISNUMBER(AA154),ISNUMBER(V154)),IFERROR(AA154/V154-1,""),"")</f>
        <v>-0.120155122867603</v>
      </c>
      <c r="AB251" s="23">
        <f>IF(AND(ISNUMBER(AB154),ISNUMBER(W154)),IFERROR(AB154/W154-1,""),"")</f>
        <v>-0.00731885525145914</v>
      </c>
      <c r="AC251" s="23">
        <f>IF(AND(ISNUMBER(AC154),ISNUMBER(X154)),IFERROR(AC154/X154-1,""),"")</f>
        <v>-0.102996264282033</v>
      </c>
      <c r="AD251" s="23">
        <f>IF(AND(ISNUMBER(AD154),ISNUMBER(Y154)),IFERROR(AD154/Y154-1,""),"")</f>
        <v>0.0547917097918733</v>
      </c>
      <c r="AE251" s="23">
        <f>IF(AND(ISNUMBER(AE154),ISNUMBER(Z154)),IFERROR(AE154/Z154-1,""),"")</f>
        <v>0.0581346279147492</v>
      </c>
      <c r="AF251" s="23">
        <f>IF(AND(ISNUMBER(AF154),ISNUMBER(AA154)),IFERROR(AF154/AA154-1,""),"")</f>
        <v>0.179416396838875</v>
      </c>
      <c r="AG251" s="23">
        <f>IF(AND(ISNUMBER(AG154),ISNUMBER(AB154)),IFERROR(AG154/AB154-1,""),"")</f>
        <v>0.325200238370567</v>
      </c>
      <c r="AH251" s="23">
        <f>IF(AND(ISNUMBER(AH154),ISNUMBER(AC154)),IFERROR(AH154/AC154-1,""),"")</f>
        <v>0.153791808192511</v>
      </c>
      <c r="AI251" s="23">
        <f>IF(AND(ISNUMBER(AI154),ISNUMBER(AD154)),IFERROR(AI154/AD154-1,""),"")</f>
        <v>0.304355161069863</v>
      </c>
      <c r="AJ251" s="23">
        <f>IF(AND(ISNUMBER(AJ154),ISNUMBER(AE154)),IFERROR(AJ154/AE154-1,""),"")</f>
        <v>0.260336471736821</v>
      </c>
      <c r="AK251" s="23">
        <f>IF(AND(ISNUMBER(AK154),ISNUMBER(AF154)),IFERROR(AK154/AF154-1,""),"")</f>
        <v>0.10098418051923</v>
      </c>
      <c r="AL251" s="23">
        <f>IF(AND(ISNUMBER(AL154),ISNUMBER(AG154)),IFERROR(AL154/AG154-1,""),"")</f>
        <v>-0.00449420156989222</v>
      </c>
      <c r="AM251" s="23">
        <f>IF(AND(ISNUMBER(AM154),ISNUMBER(AH154)),IFERROR(AM154/AH154-1,""),"")</f>
        <v>0.15403072132588</v>
      </c>
      <c r="AN251" s="23">
        <f>IF(AND(ISNUMBER(AN154),ISNUMBER(AI154)),IFERROR(AN154/AI154-1,""),"")</f>
        <v>0.00195065039276954</v>
      </c>
      <c r="AO251" s="23">
        <f>IF(AND(ISNUMBER(AO154),ISNUMBER(AJ154)),IFERROR(AO154/AJ154-1,""),"")</f>
        <v>-0.0165103056507673</v>
      </c>
      <c r="AP251" s="23">
        <f>IF(AND(ISNUMBER(AP154),ISNUMBER(AK154)),IFERROR(AP154/AK154-1,""),"")</f>
        <v>-0.00856872686029964</v>
      </c>
      <c r="AQ251" s="23">
        <f>IF(AND(ISNUMBER(AQ154),ISNUMBER(AL154)),IFERROR(AQ154/AL154-1,""),"")</f>
        <v>-0.0101098777000566</v>
      </c>
      <c r="AR251" s="23">
        <f>IF(AND(ISNUMBER(AR154),ISNUMBER(AM154)),IFERROR(AR154/AM154-1,""),"")</f>
        <v>-0.00838716877418966</v>
      </c>
      <c r="AS251" s="23">
        <f>IF(AND(ISNUMBER(AS154),ISNUMBER(AN154)),IFERROR(AS154/AN154-1,""),"")</f>
        <v>-0.0753226533047759</v>
      </c>
      <c r="AT251" s="23">
        <f>IF(AND(ISNUMBER(AT154),ISNUMBER(AO154)),IFERROR(AT154/AO154-1,""),"")</f>
        <v>-0.239741418363775</v>
      </c>
      <c r="AU251" s="23">
        <f>IF(AND(ISNUMBER(AU154),ISNUMBER(AP154)),IFERROR(AU154/AP154-1,""),"")</f>
        <v>-0.084696825186136</v>
      </c>
      <c r="AV251" s="23">
        <f>IF(AND(ISNUMBER(AV154),ISNUMBER(AQ154)),IFERROR(AV154/AQ154-1,""),"")</f>
        <v>-0.057738144551118</v>
      </c>
      <c r="AW251" s="23">
        <f>IF(AND(ISNUMBER(AW154),ISNUMBER(AR154)),IFERROR(AW154/AR154-1,""),"")</f>
        <v>-0.115831000322315</v>
      </c>
      <c r="AX251" s="23">
        <f>IF(AND(ISNUMBER(AX154),ISNUMBER(AS154)),IFERROR(AX154/AS154-1,""),"")</f>
        <v>0.078391318407216</v>
      </c>
      <c r="AY251" s="23">
        <f>IF(AND(ISNUMBER(AY154),ISNUMBER(AT154)),IFERROR(AY154/AT154-1,""),"")</f>
        <v>0.399045582815751</v>
      </c>
      <c r="AZ251" s="23">
        <f>IF(AND(ISNUMBER(AZ154),ISNUMBER(AU154)),IFERROR(AZ154/AU154-1,""),"")</f>
        <v>0.205663728456782</v>
      </c>
      <c r="BA251" s="23">
        <f>IF(AND(ISNUMBER(BA154),ISNUMBER(AV154)),IFERROR(BA154/AV154-1,""),"")</f>
        <v>0.216861200875188</v>
      </c>
      <c r="BB251" s="23">
        <f>IF(AND(ISNUMBER(BB154),ISNUMBER(AW154)),IFERROR(BB154/AW154-1,""),"")</f>
        <v>0.217963395345334</v>
      </c>
      <c r="BC251" s="23">
        <f>IF(AND(ISNUMBER(BC154),ISNUMBER(AX154)),IFERROR(BC154/AX154-1,""),"")</f>
        <v>0.222486562459958</v>
      </c>
      <c r="BD251" s="23">
        <f>IF(AND(ISNUMBER(BD154),ISNUMBER(AY154)),IFERROR(BD154/AY154-1,""),"")</f>
        <v>0.17319173238922</v>
      </c>
      <c r="BE251" s="23">
        <f>IF(AND(ISNUMBER(BE154),ISNUMBER(AZ154)),IFERROR(BE154/AZ154-1,""),"")</f>
        <v>0.159694167305265</v>
      </c>
      <c r="BF251" s="23">
        <f>IF(AND(ISNUMBER(BF154),ISNUMBER(BA154)),IFERROR(BF154/BA154-1,""),"")</f>
        <v>0.102674441605636</v>
      </c>
      <c r="BG251" s="23">
        <f>IF(AND(ISNUMBER(BG154),ISNUMBER(BB154)),IFERROR(BG154/BB154-1,""),"")</f>
        <v>0.162956607238929</v>
      </c>
      <c r="BH251" s="23">
        <f>IF(AND(ISNUMBER(BH154),ISNUMBER(BC154)),IFERROR(BH154/BC154-1,""),"")</f>
        <v>0.123070123875139</v>
      </c>
      <c r="BI251" s="23">
        <f>IF(AND(ISNUMBER(BI154),ISNUMBER(BD154)),IFERROR(BI154/BD154-1,""),"")</f>
        <v>0.0938294473225254</v>
      </c>
      <c r="BJ251" s="23">
        <f>IF(AND(ISNUMBER(BJ154),ISNUMBER(BE154)),IFERROR(BJ154/BE154-1,""),"")</f>
        <v>0.104758136948804</v>
      </c>
      <c r="BK251" s="23">
        <f>IF(AND(ISNUMBER(BK154),ISNUMBER(BF154)),IFERROR(BK154/BF154-1,""),"")</f>
        <v>0.137045161096275</v>
      </c>
      <c r="BL251" s="23">
        <f>IF(AND(ISNUMBER(BL154),ISNUMBER(BG154)),IFERROR(BL154/BG154-1,""),"")</f>
        <v>0.114437876524343</v>
      </c>
      <c r="BM251" s="23">
        <f>IF(AND(ISNUMBER(BM154),ISNUMBER(BH154)),IFERROR(BM154/BH154-1,""),"")</f>
        <v>-0.0559449575356741</v>
      </c>
      <c r="BN251" s="23">
        <f>IF(AND(ISNUMBER(BN154),ISNUMBER(BI154)),IFERROR(BN154/BI154-1,""),"")</f>
        <v>-0.0366615907558707</v>
      </c>
      <c r="BO251" s="23">
        <f>IF(AND(ISNUMBER(BO154),ISNUMBER(BJ154)),IFERROR(BO154/BJ154-1,""),"")</f>
        <v>-0.0478652050785219</v>
      </c>
      <c r="BP251" s="23">
        <f>IF(AND(ISNUMBER(BP154),ISNUMBER(BK154)),IFERROR(BP154/BK154-1,""),"")</f>
        <v>-0.0344662422981651</v>
      </c>
      <c r="BQ251" s="23">
        <f>IF(AND(ISNUMBER(BQ154),ISNUMBER(BL154)),IFERROR(BQ154/BL154-1,""),"")</f>
        <v>-0.0436502597076656</v>
      </c>
      <c r="BR251" s="23">
        <f>IF(AND(ISNUMBER(BR154),ISNUMBER(BM154)),IFERROR(BR154/BM154-1,""),"")</f>
        <v>0.0236354167409807</v>
      </c>
      <c r="BS251" s="23">
        <f>IF(AND(ISNUMBER(BS154),ISNUMBER(BN154)),IFERROR(BS154/BN154-1,""),"")</f>
        <v>0.065568282921415</v>
      </c>
      <c r="BT251" s="23">
        <f>IF(AND(ISNUMBER(BT154),ISNUMBER(BO154)),IFERROR(BT154/BO154-1,""),"")</f>
        <v>0.078746928871807</v>
      </c>
      <c r="BU251" s="23">
        <f>IF(AND(ISNUMBER(BU154),ISNUMBER(BP154)),IFERROR(BU154/BP154-1,""),"")</f>
        <v>0.0554621141628777</v>
      </c>
      <c r="BV251" s="23">
        <f>IF(AND(ISNUMBER(BV154),ISNUMBER(BQ154)),IFERROR(BV154/BQ154-1,""),"")</f>
        <v>0.0559619524680255</v>
      </c>
      <c r="BW251" s="23">
        <f>IF(AND(ISNUMBER(BW154),ISNUMBER(BR154)),IFERROR(BW154/BR154-1,""),"")</f>
        <v>0.116534645973468</v>
      </c>
      <c r="BX251" s="23">
        <f>IF(AND(ISNUMBER(BX154),ISNUMBER(BS154)),IFERROR(BX154/BS154-1,""),"")</f>
        <v>0.120320794214608</v>
      </c>
      <c r="BY251" s="254">
        <f>IFERROR(BY154/BT154-1,"")</f>
        <v>0.117538233515006</v>
      </c>
      <c r="BZ251" s="254">
        <f>IFERROR(BZ154/BU154-1,"")</f>
        <v>0.10570409984247</v>
      </c>
      <c r="CA251" s="254">
        <f>IFERROR(CA154/BV154-1,"")</f>
        <v>0.115</v>
      </c>
      <c r="CB251" s="254">
        <f>IFERROR(CB154/CA154-1,"")</f>
        <v>0.0655855501128235</v>
      </c>
      <c r="CC251" s="254">
        <f>IFERROR(CC154/CB154-1,"")</f>
        <v>0.0746986170253599</v>
      </c>
      <c r="CD251" s="254">
        <f>IFERROR(CD154/CC154-1,"")</f>
        <v>0.0721796100270251</v>
      </c>
      <c r="CE251" s="254">
        <f>IFERROR(CE154/CD154-1,"")</f>
        <v>0.0704248059005868</v>
      </c>
      <c r="CF251" s="19" t="n"/>
      <c r="CH251" s="20">
        <f>IFERROR(AVERAGE(CA251,CB251,CC251,CD251,CE251),"n/m")</f>
        <v>0.079577716613159</v>
      </c>
      <c r="CI251" s="20">
        <f>IFERROR(AVERAGE(AW251,BB251,BG251,BL251,BQ251,BV251),"n/m")</f>
        <v>0.0653064285911085</v>
      </c>
      <c r="CJ251" s="20">
        <f>IFERROR(AVERAGE(X251,AC251,AH251,AM251,AR251,AW251,BB251,BG251,BL251,BQ251,BV251),"n/m")</f>
        <v>0.0445116518290445</v>
      </c>
      <c r="CK251" s="20">
        <f>IFERROR(AVERAGE(C251,D251,E251,F251,G251,H251,I251,N251,S251,X251,AC251,AH251,AM251,AR251,AW251,BB251,BG251,BL251,BQ251,BV251),"n/m")</f>
        <v>0.0512844523723268</v>
      </c>
    </row>
    <row r="252">
      <c r="B252" s="25" t="inlineStr">
        <is>
          <t xml:space="preserve">  Organic sales growth % (volume + price)</t>
        </is>
      </c>
      <c r="C252" s="36">
        <f>C109</f>
        <v>0.184</v>
      </c>
      <c r="D252" s="36">
        <f>D109</f>
        <v>0.106</v>
      </c>
      <c r="E252" s="36">
        <f>E109</f>
        <v>0.038</v>
      </c>
      <c r="F252" s="36">
        <f>F109</f>
        <v>-0.303</v>
      </c>
      <c r="G252" s="36">
        <f>G109</f>
        <v>0.145</v>
      </c>
      <c r="H252" s="36">
        <f>H109</f>
        <v>0.217</v>
      </c>
      <c r="I252" s="36">
        <f>I109</f>
        <v>0.03</v>
      </c>
      <c r="J252" s="36">
        <f>J109</f>
        <v>-0.059</v>
      </c>
      <c r="K252" s="36">
        <f>K109</f>
        <v>-0.048</v>
      </c>
      <c r="L252" s="36">
        <f>L109</f>
        <v>-0.024</v>
      </c>
      <c r="M252" s="36">
        <f>M109</f>
        <v>0.031</v>
      </c>
      <c r="N252" s="36">
        <f>N109</f>
        <v>-0.026</v>
      </c>
      <c r="O252" s="36">
        <f>O109</f>
        <v>-0.046</v>
      </c>
      <c r="P252" s="36">
        <f>P109</f>
        <v>0.009</v>
      </c>
      <c r="Q252" s="36">
        <f>Q109</f>
        <v>0.044</v>
      </c>
      <c r="R252" s="36">
        <f>R109</f>
        <v>-0.018</v>
      </c>
      <c r="S252" s="36">
        <f>S109</f>
        <v>-0.002</v>
      </c>
      <c r="T252" s="36">
        <f>T109</f>
        <v>0.021</v>
      </c>
      <c r="U252" s="36">
        <f>U109</f>
        <v>-0.049</v>
      </c>
      <c r="V252" s="36">
        <f>V109</f>
        <v>-0.069</v>
      </c>
      <c r="W252" s="36">
        <f>W109</f>
        <v>-0.062</v>
      </c>
      <c r="X252" s="36">
        <f>X109</f>
        <v>-0.04</v>
      </c>
      <c r="Y252" s="36">
        <f>Y109</f>
        <v>-0.028</v>
      </c>
      <c r="Z252" s="36">
        <f>Z109</f>
        <v>0.187</v>
      </c>
      <c r="AA252" s="36">
        <f>AA109</f>
        <v>-0.135</v>
      </c>
      <c r="AB252" s="36">
        <f>AB109</f>
        <v>-0.012</v>
      </c>
      <c r="AC252" s="36">
        <f>AC109</f>
        <v>0.00399999999999999</v>
      </c>
      <c r="AD252" s="36">
        <f>AD109</f>
        <v>0.05</v>
      </c>
      <c r="AE252" s="36">
        <f>AE109</f>
        <v>0.058</v>
      </c>
      <c r="AF252" s="36">
        <f>AF109</f>
        <v>0.056</v>
      </c>
      <c r="AG252" s="36">
        <f>AG109</f>
        <v>0.1</v>
      </c>
      <c r="AH252" s="36">
        <f>AH109</f>
        <v>0.066</v>
      </c>
      <c r="AI252" s="36">
        <f>AI109</f>
        <v>0.094</v>
      </c>
      <c r="AJ252" s="36">
        <f>AJ109</f>
        <v>0.093</v>
      </c>
      <c r="AK252" s="36">
        <f>AK109</f>
        <v>0.075</v>
      </c>
      <c r="AL252" s="36">
        <f>AL109</f>
        <v>0.016</v>
      </c>
      <c r="AM252" s="36">
        <f>AM109</f>
        <v>0.067</v>
      </c>
      <c r="AN252" s="36">
        <f>AN109</f>
        <v>0.009</v>
      </c>
      <c r="AO252" s="36">
        <f>AO109</f>
        <v>-0.035</v>
      </c>
      <c r="AP252" s="36">
        <f>AP109</f>
        <v>-0.047</v>
      </c>
      <c r="AQ252" s="36">
        <f>AQ109</f>
        <v>-0.065</v>
      </c>
      <c r="AR252" s="36">
        <f>AR109</f>
        <v>-0.035</v>
      </c>
      <c r="AS252" s="36">
        <f>AS109</f>
        <v>-0.095</v>
      </c>
      <c r="AT252" s="36">
        <f>AT109</f>
        <v>-0.248</v>
      </c>
      <c r="AU252" s="36">
        <f>AU109</f>
        <v>-0.083</v>
      </c>
      <c r="AV252" s="36">
        <f>AV109</f>
        <v>-0.056</v>
      </c>
      <c r="AW252" s="36">
        <f>AW109</f>
        <v>-0.122</v>
      </c>
      <c r="AX252" s="36">
        <f>AX109</f>
        <v>0.064</v>
      </c>
      <c r="AY252" s="36">
        <f>AY109</f>
        <v>0.36</v>
      </c>
      <c r="AZ252" s="36">
        <f>AZ109</f>
        <v>0.183</v>
      </c>
      <c r="BA252" s="36">
        <f>BA109</f>
        <v>0.19</v>
      </c>
      <c r="BB252" s="36">
        <f>BB109</f>
        <v>0.193</v>
      </c>
      <c r="BC252" s="36">
        <f>BC109</f>
        <v>0.221</v>
      </c>
      <c r="BD252" s="36">
        <f>BD109</f>
        <v>0.205</v>
      </c>
      <c r="BE252" s="36">
        <f>BE109</f>
        <v>0.213</v>
      </c>
      <c r="BF252" s="36">
        <f>BF109</f>
        <v>0.143</v>
      </c>
      <c r="BG252" s="36">
        <f>BG109</f>
        <v>0.195</v>
      </c>
      <c r="BH252" s="36">
        <f>BH109</f>
        <v>0.085</v>
      </c>
      <c r="BI252" s="36">
        <f>BI109</f>
        <v>0.045</v>
      </c>
      <c r="BJ252" s="36">
        <f>BJ109</f>
        <v>0.004</v>
      </c>
      <c r="BK252" s="36">
        <f>BK109</f>
        <v>0.026</v>
      </c>
      <c r="BL252" s="36">
        <f>BL109</f>
        <v>0.04</v>
      </c>
      <c r="BM252" s="36">
        <f>BM109</f>
        <v>-0.061</v>
      </c>
      <c r="BN252" s="36">
        <f>BN109</f>
        <v>-0.044</v>
      </c>
      <c r="BO252" s="36">
        <f>BO109</f>
        <v>-0.077</v>
      </c>
      <c r="BP252" s="36">
        <f>BP109</f>
        <v>-0.075</v>
      </c>
      <c r="BQ252" s="36">
        <f>BQ109</f>
        <v>-0.065</v>
      </c>
      <c r="BR252" s="36">
        <f>BR109</f>
        <v>-0.012</v>
      </c>
      <c r="BS252" s="36">
        <f>BS109</f>
        <v>0.029</v>
      </c>
      <c r="BT252" s="36">
        <f>BT109</f>
        <v>0.056</v>
      </c>
      <c r="BU252" s="36">
        <f>BU109</f>
        <v>0.025</v>
      </c>
      <c r="BV252" s="36">
        <f>BV109</f>
        <v>0.025</v>
      </c>
      <c r="BW252" s="36">
        <f>BW109</f>
        <v>0.078</v>
      </c>
      <c r="BX252" s="36">
        <f>BX109</f>
        <v>0.101</v>
      </c>
      <c r="BY252" s="254">
        <f>BY109</f>
        <v>0.112447076392167</v>
      </c>
      <c r="BZ252" s="254">
        <f>BZ109</f>
        <v>0.10570409984247</v>
      </c>
      <c r="CA252" s="254">
        <f>CA109</f>
        <v>0.0996867877485557</v>
      </c>
      <c r="CB252" s="254">
        <f>CB109</f>
        <v>0.054991877174875</v>
      </c>
      <c r="CC252" s="254">
        <f>CC109</f>
        <v>0.0515345848715772</v>
      </c>
      <c r="CD252" s="254">
        <f>CD109</f>
        <v>0.0473583060450036</v>
      </c>
      <c r="CE252" s="254">
        <f>CE109</f>
        <v>0.0463484702755775</v>
      </c>
      <c r="CF252" s="19" t="n"/>
      <c r="CH252" s="20">
        <f>IFERROR(AVERAGE(CA252,CB252,CC252,CD252,CE252),"n/m")</f>
        <v>0.0599840052231178</v>
      </c>
      <c r="CI252" s="20">
        <f>IFERROR(AVERAGE(AW252,BB252,BG252,BL252,BQ252,BV252),"n/m")</f>
        <v>0.0443333333333333</v>
      </c>
      <c r="CJ252" s="20">
        <f>IFERROR(AVERAGE(X252,AC252,AH252,AM252,AR252,AW252,BB252,BG252,BL252,BQ252,BV252),"n/m")</f>
        <v>0.0298181818181818</v>
      </c>
      <c r="CK252" s="20">
        <f>IFERROR(AVERAGE(C252,D252,E252,F252,G252,H252,I252,N252,S252,X252,AC252,AH252,AM252,AR252,AW252,BB252,BG252,BL252,BQ252,BV252),"n/m")</f>
        <v>0.03585</v>
      </c>
    </row>
    <row r="253">
      <c r="B253" s="25" t="inlineStr">
        <is>
          <t xml:space="preserve">  Volume % (company)</t>
        </is>
      </c>
      <c r="C253" s="36">
        <f>C105</f>
        <v>0.155</v>
      </c>
      <c r="D253" s="36">
        <f>D105</f>
        <v>0.068</v>
      </c>
      <c r="E253" s="36">
        <f>E105</f>
        <v>-0.039</v>
      </c>
      <c r="F253" s="36">
        <f>F105</f>
        <v>-0.298</v>
      </c>
      <c r="G253" s="36">
        <f>G105</f>
        <v>0.141</v>
      </c>
      <c r="H253" s="36">
        <f>H105</f>
        <v>0.148</v>
      </c>
      <c r="I253" s="36">
        <f>I105</f>
        <v>0.013</v>
      </c>
      <c r="J253" s="36">
        <f>J105</f>
        <v>-0.06</v>
      </c>
      <c r="K253" s="36">
        <f>K105</f>
        <v>-0.049</v>
      </c>
      <c r="L253" s="36">
        <f>L105</f>
        <v>-0.025</v>
      </c>
      <c r="M253" s="36">
        <f>M105</f>
        <v>0.031</v>
      </c>
      <c r="N253" s="36">
        <f>N105</f>
        <v>-0.027</v>
      </c>
      <c r="O253" s="36">
        <f>O105</f>
        <v>-0.05</v>
      </c>
      <c r="P253" s="36">
        <f>P105</f>
        <v>-0.014</v>
      </c>
      <c r="Q253" s="36">
        <f>Q105</f>
        <v>0.019</v>
      </c>
      <c r="R253" s="36">
        <f>R105</f>
        <v>-0.035</v>
      </c>
      <c r="S253" s="36">
        <f>S105</f>
        <v>-0.02</v>
      </c>
      <c r="T253" s="36">
        <f>T105</f>
        <v>-0.008</v>
      </c>
      <c r="U253" s="36">
        <f>U105</f>
        <v>-0.065</v>
      </c>
      <c r="V253" s="36">
        <f>V105</f>
        <v>-0.102</v>
      </c>
      <c r="W253" s="36">
        <f>W105</f>
        <v>-0.144</v>
      </c>
      <c r="X253" s="36">
        <f>X105</f>
        <v>-0.08</v>
      </c>
      <c r="Y253" s="36">
        <f>Y105</f>
        <v>-0.142</v>
      </c>
      <c r="Z253" s="36">
        <f>Z105</f>
        <v>-0.097</v>
      </c>
      <c r="AA253" s="36">
        <f>AA105</f>
        <v>-0.128</v>
      </c>
      <c r="AB253" s="36">
        <f>AB105</f>
        <v>-0.013</v>
      </c>
      <c r="AC253" s="36">
        <f>AC105</f>
        <v>-0.098</v>
      </c>
      <c r="AD253" s="36">
        <f>AD105</f>
        <v>0.029</v>
      </c>
      <c r="AE253" s="36">
        <f>AE105</f>
        <v>0.032</v>
      </c>
      <c r="AF253" s="36">
        <f>AF105</f>
        <v>0.038</v>
      </c>
      <c r="AG253" s="36">
        <f>AG105</f>
        <v>0.068</v>
      </c>
      <c r="AH253" s="36">
        <f>AH105</f>
        <v>0.042</v>
      </c>
      <c r="AI253" s="36">
        <f>AI105</f>
        <v>0.052</v>
      </c>
      <c r="AJ253" s="36">
        <f>AJ105</f>
        <v>0.044</v>
      </c>
      <c r="AK253" s="36">
        <f>AK105</f>
        <v>0.004</v>
      </c>
      <c r="AL253" s="36">
        <f>AL105</f>
        <v>-0.043</v>
      </c>
      <c r="AM253" s="36">
        <f>AM105</f>
        <v>0.011</v>
      </c>
      <c r="AN253" s="36">
        <f>AN105</f>
        <v>-0.036</v>
      </c>
      <c r="AO253" s="36">
        <f>AO105</f>
        <v>-0.052</v>
      </c>
      <c r="AP253" s="36">
        <f>AP105</f>
        <v>-0.041</v>
      </c>
      <c r="AQ253" s="36">
        <f>AQ105</f>
        <v>-0.057</v>
      </c>
      <c r="AR253" s="36">
        <f>AR105</f>
        <v>-0.047</v>
      </c>
      <c r="AS253" s="36">
        <f>AS105</f>
        <v>-0.086</v>
      </c>
      <c r="AT253" s="36">
        <f>AT105</f>
        <v>-0.245</v>
      </c>
      <c r="AU253" s="36">
        <f>AU105</f>
        <v>-0.095</v>
      </c>
      <c r="AV253" s="36">
        <f>AV105</f>
        <v>-0.076</v>
      </c>
      <c r="AW253" s="36">
        <f>AW105</f>
        <v>-0.127</v>
      </c>
      <c r="AX253" s="36">
        <f>AX105</f>
        <v>0.027</v>
      </c>
      <c r="AY253" s="36">
        <f>AY105</f>
        <v>0.26</v>
      </c>
      <c r="AZ253" s="36">
        <f>AZ105</f>
        <v>0.073</v>
      </c>
      <c r="BA253" s="36">
        <f>BA105</f>
        <v>0.056</v>
      </c>
      <c r="BB253" s="36">
        <f>BB105</f>
        <v>0.098</v>
      </c>
      <c r="BC253" s="36">
        <f>BC105</f>
        <v>0.032</v>
      </c>
      <c r="BD253" s="36">
        <f>BD105</f>
        <v>0.034</v>
      </c>
      <c r="BE253" s="36">
        <f>BE105</f>
        <v>0.088</v>
      </c>
      <c r="BF253" s="36">
        <f>BF105</f>
        <v>0.044</v>
      </c>
      <c r="BG253" s="36">
        <f>BG105</f>
        <v>0.05</v>
      </c>
      <c r="BH253" s="36">
        <f>BH105</f>
        <v>0.042</v>
      </c>
      <c r="BI253" s="36">
        <f>BI105</f>
        <v>0.036</v>
      </c>
      <c r="BJ253" s="36">
        <f>BJ105</f>
        <v>-0.007</v>
      </c>
      <c r="BK253" s="36">
        <f>BK105</f>
        <v>0.02</v>
      </c>
      <c r="BL253" s="36">
        <f>BL105</f>
        <v>0.023</v>
      </c>
      <c r="BM253" s="36">
        <f>BM105</f>
        <v>-0.061</v>
      </c>
      <c r="BN253" s="36">
        <f>BN105</f>
        <v>-0.054</v>
      </c>
      <c r="BO253" s="36">
        <f>BO105</f>
        <v>-0.087</v>
      </c>
      <c r="BP253" s="36">
        <f>BP105</f>
        <v>-0.085</v>
      </c>
      <c r="BQ253" s="36">
        <f>BQ105</f>
        <v>-0.072</v>
      </c>
      <c r="BR253" s="36">
        <f>BR105</f>
        <v>-0.038</v>
      </c>
      <c r="BS253" s="36">
        <f>BS105</f>
        <v>-0.023</v>
      </c>
      <c r="BT253" s="36">
        <f>BT105</f>
        <v>-0.022</v>
      </c>
      <c r="BU253" s="36">
        <f>BU105</f>
        <v>-0.064</v>
      </c>
      <c r="BV253" s="36">
        <f>BV105</f>
        <v>-0.037</v>
      </c>
      <c r="BW253" s="36">
        <f>BW105</f>
        <v>-0.026</v>
      </c>
      <c r="BX253" s="36">
        <f>BX105</f>
        <v>0.024</v>
      </c>
      <c r="BY253" s="254">
        <f>BY105</f>
        <v>0.0367390422015552</v>
      </c>
      <c r="BZ253" s="254">
        <f>BZ105</f>
        <v>0.0348944290767901</v>
      </c>
      <c r="CA253" s="254">
        <f>CA105</f>
        <v>0.018138094303264</v>
      </c>
      <c r="CB253" s="254">
        <f>CB105</f>
        <v>0.02799675086995</v>
      </c>
      <c r="CC253" s="254">
        <f>CC105</f>
        <v>0.0287288757690118</v>
      </c>
      <c r="CD253" s="254">
        <f>CD105</f>
        <v>0.025011349091032</v>
      </c>
      <c r="CE253" s="254">
        <f>CE105</f>
        <v>0.0244719140730206</v>
      </c>
      <c r="CF253" s="19" t="n"/>
    </row>
    <row r="254">
      <c r="B254" s="25" t="inlineStr">
        <is>
          <t xml:space="preserve">  Price % (company)</t>
        </is>
      </c>
      <c r="C254" s="36">
        <f>C106</f>
        <v>0.029</v>
      </c>
      <c r="D254" s="36">
        <f>D106</f>
        <v>0.038</v>
      </c>
      <c r="E254" s="36">
        <f>E106</f>
        <v>0.077</v>
      </c>
      <c r="F254" s="36">
        <f>F106</f>
        <v>-0.005</v>
      </c>
      <c r="G254" s="36">
        <f>G106</f>
        <v>0.004</v>
      </c>
      <c r="H254" s="36">
        <f>H106</f>
        <v>0.069</v>
      </c>
      <c r="I254" s="36">
        <f>I106</f>
        <v>0.017</v>
      </c>
      <c r="J254" s="36">
        <f>J106</f>
        <v>0.001</v>
      </c>
      <c r="K254" s="36">
        <f>K106</f>
        <v>0.001</v>
      </c>
      <c r="L254" s="36">
        <f>L106</f>
        <v>0.001</v>
      </c>
      <c r="M254" s="36">
        <f>M106</f>
        <v>0</v>
      </c>
      <c r="N254" s="36">
        <f>N106</f>
        <v>0.001</v>
      </c>
      <c r="O254" s="36">
        <f>O106</f>
        <v>0.004</v>
      </c>
      <c r="P254" s="36">
        <f>P106</f>
        <v>0.023</v>
      </c>
      <c r="Q254" s="36">
        <f>Q106</f>
        <v>0.025</v>
      </c>
      <c r="R254" s="36">
        <f>R106</f>
        <v>0.017</v>
      </c>
      <c r="S254" s="36">
        <f>S106</f>
        <v>0.018</v>
      </c>
      <c r="T254" s="36">
        <f>T106</f>
        <v>0.029</v>
      </c>
      <c r="U254" s="36">
        <f>U106</f>
        <v>0.016</v>
      </c>
      <c r="V254" s="36">
        <f>V106</f>
        <v>0.033</v>
      </c>
      <c r="W254" s="36">
        <f>W106</f>
        <v>0.082</v>
      </c>
      <c r="X254" s="36">
        <f>X106</f>
        <v>0.04</v>
      </c>
      <c r="Y254" s="36">
        <f>Y106</f>
        <v>0.114</v>
      </c>
      <c r="Z254" s="36">
        <f>Z106</f>
        <v>0.284</v>
      </c>
      <c r="AA254" s="36">
        <f>AA106</f>
        <v>-0.007</v>
      </c>
      <c r="AB254" s="36">
        <f>AB106</f>
        <v>0.001</v>
      </c>
      <c r="AC254" s="36">
        <f>AC106</f>
        <v>0.102</v>
      </c>
      <c r="AD254" s="36">
        <f>AD106</f>
        <v>0.021</v>
      </c>
      <c r="AE254" s="36">
        <f>AE106</f>
        <v>0.026</v>
      </c>
      <c r="AF254" s="36">
        <f>AF106</f>
        <v>0.018</v>
      </c>
      <c r="AG254" s="36">
        <f>AG106</f>
        <v>0.032</v>
      </c>
      <c r="AH254" s="36">
        <f>AH106</f>
        <v>0.024</v>
      </c>
      <c r="AI254" s="36">
        <f>AI106</f>
        <v>0.042</v>
      </c>
      <c r="AJ254" s="36">
        <f>AJ106</f>
        <v>0.049</v>
      </c>
      <c r="AK254" s="36">
        <f>AK106</f>
        <v>0.071</v>
      </c>
      <c r="AL254" s="36">
        <f>AL106</f>
        <v>0.059</v>
      </c>
      <c r="AM254" s="36">
        <f>AM106</f>
        <v>0.056</v>
      </c>
      <c r="AN254" s="36">
        <f>AN106</f>
        <v>0.045</v>
      </c>
      <c r="AO254" s="36">
        <f>AO106</f>
        <v>0.017</v>
      </c>
      <c r="AP254" s="36">
        <f>AP106</f>
        <v>-0.006</v>
      </c>
      <c r="AQ254" s="36">
        <f>AQ106</f>
        <v>-0.008</v>
      </c>
      <c r="AR254" s="36">
        <f>AR106</f>
        <v>0.012</v>
      </c>
      <c r="AS254" s="36">
        <f>AS106</f>
        <v>-0.009</v>
      </c>
      <c r="AT254" s="36">
        <f>AT106</f>
        <v>-0.003</v>
      </c>
      <c r="AU254" s="36">
        <f>AU106</f>
        <v>0.012</v>
      </c>
      <c r="AV254" s="36">
        <f>AV106</f>
        <v>0.02</v>
      </c>
      <c r="AW254" s="36">
        <f>AW106</f>
        <v>0.005</v>
      </c>
      <c r="AX254" s="36">
        <f>AX106</f>
        <v>0.037</v>
      </c>
      <c r="AY254" s="36">
        <f>AY106</f>
        <v>0.1</v>
      </c>
      <c r="AZ254" s="36">
        <f>AZ106</f>
        <v>0.11</v>
      </c>
      <c r="BA254" s="36">
        <f>BA106</f>
        <v>0.134</v>
      </c>
      <c r="BB254" s="36">
        <f>BB106</f>
        <v>0.095</v>
      </c>
      <c r="BC254" s="36">
        <f>BC106</f>
        <v>0.189</v>
      </c>
      <c r="BD254" s="36">
        <f>BD106</f>
        <v>0.171</v>
      </c>
      <c r="BE254" s="36">
        <f>BE106</f>
        <v>0.125</v>
      </c>
      <c r="BF254" s="36">
        <f>BF106</f>
        <v>0.099</v>
      </c>
      <c r="BG254" s="36">
        <f>BG106</f>
        <v>0.145</v>
      </c>
      <c r="BH254" s="36">
        <f>BH106</f>
        <v>0.043</v>
      </c>
      <c r="BI254" s="36">
        <f>BI106</f>
        <v>0.009</v>
      </c>
      <c r="BJ254" s="36">
        <f>BJ106</f>
        <v>0.011</v>
      </c>
      <c r="BK254" s="36">
        <f>BK106</f>
        <v>0.006</v>
      </c>
      <c r="BL254" s="36">
        <f>BL106</f>
        <v>0.017</v>
      </c>
      <c r="BM254" s="36">
        <f>BM106</f>
        <v>0</v>
      </c>
      <c r="BN254" s="36">
        <f>BN106</f>
        <v>0.01</v>
      </c>
      <c r="BO254" s="36">
        <f>BO106</f>
        <v>0.01</v>
      </c>
      <c r="BP254" s="36">
        <f>BP106</f>
        <v>0.01</v>
      </c>
      <c r="BQ254" s="36">
        <f>BQ106</f>
        <v>0.007</v>
      </c>
      <c r="BR254" s="36">
        <f>BR106</f>
        <v>0.026</v>
      </c>
      <c r="BS254" s="36">
        <f>BS106</f>
        <v>0.052</v>
      </c>
      <c r="BT254" s="36">
        <f>BT106</f>
        <v>0.078</v>
      </c>
      <c r="BU254" s="36">
        <f>BU106</f>
        <v>0.089</v>
      </c>
      <c r="BV254" s="36">
        <f>BV106</f>
        <v>0.062</v>
      </c>
      <c r="BW254" s="36">
        <f>BW106</f>
        <v>0.104</v>
      </c>
      <c r="BX254" s="36">
        <f>BX106</f>
        <v>0.077</v>
      </c>
      <c r="BY254" s="254">
        <f>BY106</f>
        <v>0.0757080341906115</v>
      </c>
      <c r="BZ254" s="254">
        <f>BZ106</f>
        <v>0.0708096707656795</v>
      </c>
      <c r="CA254" s="254">
        <f>CA106</f>
        <v>0.0815486934452917</v>
      </c>
      <c r="CB254" s="254">
        <f>CB106</f>
        <v>0.026995126304925</v>
      </c>
      <c r="CC254" s="254">
        <f>CC106</f>
        <v>0.0228057091025654</v>
      </c>
      <c r="CD254" s="254">
        <f>CD106</f>
        <v>0.0223469569539717</v>
      </c>
      <c r="CE254" s="254">
        <f>CE106</f>
        <v>0.021876556202557</v>
      </c>
      <c r="CF254" s="19" t="n"/>
    </row>
    <row r="255">
      <c r="B255" s="22" t="inlineStr">
        <is>
          <t xml:space="preserve">  Adjusted operating income y/y %</t>
        </is>
      </c>
      <c r="C255" s="23" t="n"/>
      <c r="D255" s="23">
        <f>IF(AND(ISNUMBER(D200),ISNUMBER(C200)),IFERROR(D200/C200-1,""),"")</f>
        <v>0.219845059399759</v>
      </c>
      <c r="E255" s="23">
        <f>IF(AND(ISNUMBER(E200),ISNUMBER(D200)),IFERROR(E200/D200-1,""),"")</f>
        <v>0.134553279220311</v>
      </c>
      <c r="F255" s="23">
        <f>IF(AND(ISNUMBER(F200),ISNUMBER(E200)),IFERROR(F200/E200-1,""),"")</f>
        <v>-0.614550075450719</v>
      </c>
      <c r="G255" s="23">
        <f>IF(AND(ISNUMBER(G200),ISNUMBER(F200)),IFERROR(G200/F200-1,""),"")</f>
        <v>0.559127998021922</v>
      </c>
      <c r="H255" s="23">
        <f>IF(AND(ISNUMBER(H200),ISNUMBER(G200)),IFERROR(H200/G200-1,""),"")</f>
        <v>0.56982380834069</v>
      </c>
      <c r="I255" s="23">
        <f>IF(AND(ISNUMBER(I200),ISNUMBER(H200)),IFERROR(I200/H200-1,""),"")</f>
        <v>0.255433355109409</v>
      </c>
      <c r="J255" s="23" t="n"/>
      <c r="K255" s="23" t="n"/>
      <c r="L255" s="23" t="n"/>
      <c r="M255" s="23" t="n"/>
      <c r="N255" s="23">
        <f>IF(AND(ISNUMBER(N200),ISNUMBER(I200)),IFERROR(N200/I200-1,""),"")</f>
        <v>0.14896088150723</v>
      </c>
      <c r="O255" s="23">
        <f>IF(AND(ISNUMBER(O200),ISNUMBER(J200)),IFERROR(O200/J200-1,""),"")</f>
        <v>-0.0126332531381805</v>
      </c>
      <c r="P255" s="23">
        <f>IF(AND(ISNUMBER(P200),ISNUMBER(K200)),IFERROR(P200/K200-1,""),"")</f>
        <v>0.0828340810507047</v>
      </c>
      <c r="Q255" s="23">
        <f>IF(AND(ISNUMBER(Q200),ISNUMBER(L200)),IFERROR(Q200/L200-1,""),"")</f>
        <v>0.0365096570752861</v>
      </c>
      <c r="R255" s="23">
        <f>IF(AND(ISNUMBER(R200),ISNUMBER(M200)),IFERROR(R200/M200-1,""),"")</f>
        <v>-0.123351325196674</v>
      </c>
      <c r="S255" s="23">
        <f>IF(AND(ISNUMBER(S200),ISNUMBER(N200)),IFERROR(S200/N200-1,""),"")</f>
        <v>-0.007979437423981</v>
      </c>
      <c r="T255" s="23">
        <f>IF(AND(ISNUMBER(T200),ISNUMBER(O200)),IFERROR(T200/O200-1,""),"")</f>
        <v>-0.077350488346961</v>
      </c>
      <c r="U255" s="23">
        <f>IF(AND(ISNUMBER(U200),ISNUMBER(P200)),IFERROR(U200/P200-1,""),"")</f>
        <v>-0.159145300611602</v>
      </c>
      <c r="V255" s="23">
        <f>IF(AND(ISNUMBER(V200),ISNUMBER(Q200)),IFERROR(V200/Q200-1,""),"")</f>
        <v>-0.0768550648856774</v>
      </c>
      <c r="W255" s="23">
        <f>IF(AND(ISNUMBER(W200),ISNUMBER(R200)),IFERROR(W200/R200-1,""),"")</f>
        <v>-0.181751567808303</v>
      </c>
      <c r="X255" s="23">
        <f>IF(AND(ISNUMBER(X200),ISNUMBER(S200)),IFERROR(X200/S200-1,""),"")</f>
        <v>-0.125485664798921</v>
      </c>
      <c r="Y255" s="23">
        <f>IF(AND(ISNUMBER(Y200),ISNUMBER(T200)),IFERROR(Y200/T200-1,""),"")</f>
        <v>-0.168035005911668</v>
      </c>
      <c r="Z255" s="23">
        <f>IF(AND(ISNUMBER(Z200),ISNUMBER(U200)),IFERROR(Z200/U200-1,""),"")</f>
        <v>-0.159100646767184</v>
      </c>
      <c r="AA255" s="23">
        <f>IF(AND(ISNUMBER(AA200),ISNUMBER(V200)),IFERROR(AA200/V200-1,""),"")</f>
        <v>-0.157279533681425</v>
      </c>
      <c r="AB255" s="23">
        <f>IF(AND(ISNUMBER(AB200),ISNUMBER(W200)),IFERROR(AB200/W200-1,""),"")</f>
        <v>-0.0338783959806478</v>
      </c>
      <c r="AC255" s="23">
        <f>IF(AND(ISNUMBER(AC200),ISNUMBER(X200)),IFERROR(AC200/X200-1,""),"")</f>
        <v>-0.131826377115794</v>
      </c>
      <c r="AD255" s="23">
        <f>IF(AND(ISNUMBER(AD200),ISNUMBER(Y200)),IFERROR(AD200/Y200-1,""),"")</f>
        <v>0.130279445359402</v>
      </c>
      <c r="AE255" s="23">
        <f>IF(AND(ISNUMBER(AE200),ISNUMBER(Z200)),IFERROR(AE200/Z200-1,""),"")</f>
        <v>0.117796918597597</v>
      </c>
      <c r="AF255" s="23">
        <f>IF(AND(ISNUMBER(AF200),ISNUMBER(AA200)),IFERROR(AF200/AA200-1,""),"")</f>
        <v>0.128634102824182</v>
      </c>
      <c r="AG255" s="23">
        <f>IF(AND(ISNUMBER(AG200),ISNUMBER(AB200)),IFERROR(AG200/AB200-1,""),"")</f>
        <v>0.116936114889672</v>
      </c>
      <c r="AH255" s="23">
        <f>IF(AND(ISNUMBER(AH200),ISNUMBER(AC200)),IFERROR(AH200/AC200-1,""),"")</f>
        <v>0.123237101003651</v>
      </c>
      <c r="AI255" s="23">
        <f>IF(AND(ISNUMBER(AI200),ISNUMBER(AD200)),IFERROR(AI200/AD200-1,""),"")</f>
        <v>0.142994794420747</v>
      </c>
      <c r="AJ255" s="23">
        <f>IF(AND(ISNUMBER(AJ200),ISNUMBER(AE200)),IFERROR(AJ200/AE200-1,""),"")</f>
        <v>0.160885608856089</v>
      </c>
      <c r="AK255" s="23">
        <f>IF(AND(ISNUMBER(AK200),ISNUMBER(AF200)),IFERROR(AK200/AF200-1,""),"")</f>
        <v>0.130344864923394</v>
      </c>
      <c r="AL255" s="23">
        <f>IF(AND(ISNUMBER(AL200),ISNUMBER(AG200)),IFERROR(AL200/AG200-1,""),"")</f>
        <v>0.0421404321819263</v>
      </c>
      <c r="AM255" s="23">
        <f>IF(AND(ISNUMBER(AM200),ISNUMBER(AH200)),IFERROR(AM200/AH200-1,""),"")</f>
        <v>0.118496830683728</v>
      </c>
      <c r="AN255" s="23">
        <f>IF(AND(ISNUMBER(AN200),ISNUMBER(AI200)),IFERROR(AN200/AI200-1,""),"")</f>
        <v>0.0157602549604192</v>
      </c>
      <c r="AO255" s="23">
        <f>IF(AND(ISNUMBER(AO200),ISNUMBER(AJ200)),IFERROR(AO200/AJ200-1,""),"")</f>
        <v>-0.0103118806327359</v>
      </c>
      <c r="AP255" s="23">
        <f>IF(AND(ISNUMBER(AP200),ISNUMBER(AK200)),IFERROR(AP200/AK200-1,""),"")</f>
        <v>-0.122086729953158</v>
      </c>
      <c r="AQ255" s="23">
        <f>IF(AND(ISNUMBER(AQ200),ISNUMBER(AL200)),IFERROR(AQ200/AL200-1,""),"")</f>
        <v>-0.053177516934691</v>
      </c>
      <c r="AR255" s="23">
        <f>IF(AND(ISNUMBER(AR200),ISNUMBER(AM200)),IFERROR(AR200/AM200-1,""),"")</f>
        <v>-0.0430694608237401</v>
      </c>
      <c r="AS255" s="23">
        <f>IF(AND(ISNUMBER(AS200),ISNUMBER(AN200)),IFERROR(AS200/AN200-1,""),"")</f>
        <v>-0.105280204042387</v>
      </c>
      <c r="AT255" s="23">
        <f>IF(AND(ISNUMBER(AT200),ISNUMBER(AO200)),IFERROR(AT200/AO200-1,""),"")</f>
        <v>-0.404861091431217</v>
      </c>
      <c r="AU255" s="23">
        <f>IF(AND(ISNUMBER(AU200),ISNUMBER(AP200)),IFERROR(AU200/AP200-1,""),"")</f>
        <v>-0.082904155027932</v>
      </c>
      <c r="AV255" s="23">
        <f>IF(AND(ISNUMBER(AV200),ISNUMBER(AQ200)),IFERROR(AV200/AQ200-1,""),"")</f>
        <v>0.0146254082334816</v>
      </c>
      <c r="AW255" s="23">
        <f>IF(AND(ISNUMBER(AW200),ISNUMBER(AR200)),IFERROR(AW200/AR200-1,""),"")</f>
        <v>-0.153455454861872</v>
      </c>
      <c r="AX255" s="23">
        <f>IF(AND(ISNUMBER(AX200),ISNUMBER(AS200)),IFERROR(AX200/AS200-1,""),"")</f>
        <v>0.235325392246694</v>
      </c>
      <c r="AY255" s="23">
        <f>IF(AND(ISNUMBER(AY200),ISNUMBER(AT200)),IFERROR(AY200/AT200-1,""),"")</f>
        <v>0.985698866702644</v>
      </c>
      <c r="AZ255" s="23">
        <f>IF(AND(ISNUMBER(AZ200),ISNUMBER(AU200)),IFERROR(AZ200/AU200-1,""),"")</f>
        <v>0.460368828078523</v>
      </c>
      <c r="BA255" s="23">
        <f>IF(AND(ISNUMBER(BA200),ISNUMBER(AV200)),IFERROR(BA200/AV200-1,""),"")</f>
        <v>0.315204753907763</v>
      </c>
      <c r="BB255" s="23">
        <f>IF(AND(ISNUMBER(BB200),ISNUMBER(AW200)),IFERROR(BB200/AW200-1,""),"")</f>
        <v>0.459510575766343</v>
      </c>
      <c r="BC255" s="23">
        <f>IF(AND(ISNUMBER(BC200),ISNUMBER(AX200)),IFERROR(BC200/AX200-1,""),"")</f>
        <v>0.493452620783121</v>
      </c>
      <c r="BD255" s="23">
        <f>IF(AND(ISNUMBER(BD200),ISNUMBER(AY200)),IFERROR(BD200/AY200-1,""),"")</f>
        <v>0.344076480979674</v>
      </c>
      <c r="BE255" s="23">
        <f>IF(AND(ISNUMBER(BE200),ISNUMBER(AZ200)),IFERROR(BE200/AZ200-1,""),"")</f>
        <v>0.248028416867628</v>
      </c>
      <c r="BF255" s="23">
        <f>IF(AND(ISNUMBER(BF200),ISNUMBER(BA200)),IFERROR(BF200/BA200-1,""),"")</f>
        <v>0.201633762236847</v>
      </c>
      <c r="BG255" s="23">
        <f>IF(AND(ISNUMBER(BG200),ISNUMBER(BB200)),IFERROR(BG200/BB200-1,""),"")</f>
        <v>0.31720096906868</v>
      </c>
      <c r="BH255" s="23">
        <f>IF(AND(ISNUMBER(BH200),ISNUMBER(BC200)),IFERROR(BH200/BC200-1,""),"")</f>
        <v>0.0368260664291724</v>
      </c>
      <c r="BI255" s="23">
        <f>IF(AND(ISNUMBER(BI200),ISNUMBER(BD200)),IFERROR(BI200/BD200-1,""),"")</f>
        <v>0.0956121987772676</v>
      </c>
      <c r="BJ255" s="23">
        <f>IF(AND(ISNUMBER(BJ200),ISNUMBER(BE200)),IFERROR(BJ200/BE200-1,""),"")</f>
        <v>0.197006292921116</v>
      </c>
      <c r="BK255" s="23">
        <f>IF(AND(ISNUMBER(BK200),ISNUMBER(BF200)),IFERROR(BK200/BF200-1,""),"")</f>
        <v>0.240405705488876</v>
      </c>
      <c r="BL255" s="23">
        <f>IF(AND(ISNUMBER(BL200),ISNUMBER(BG200)),IFERROR(BL200/BG200-1,""),"")</f>
        <v>0.138703141312322</v>
      </c>
      <c r="BM255" s="23">
        <f>IF(AND(ISNUMBER(BM200),ISNUMBER(BH200)),IFERROR(BM200/BH200-1,""),"")</f>
        <v>0.0137021945983662</v>
      </c>
      <c r="BN255" s="23">
        <f>IF(AND(ISNUMBER(BN200),ISNUMBER(BI200)),IFERROR(BN200/BI200-1,""),"")</f>
        <v>-0.035842040982495</v>
      </c>
      <c r="BO255" s="23">
        <f>IF(AND(ISNUMBER(BO200),ISNUMBER(BJ200)),IFERROR(BO200/BJ200-1,""),"")</f>
        <v>-0.0742281871874437</v>
      </c>
      <c r="BP255" s="23">
        <f>IF(AND(ISNUMBER(BP200),ISNUMBER(BK200)),IFERROR(BP200/BK200-1,""),"")</f>
        <v>0.0192148227063305</v>
      </c>
      <c r="BQ255" s="23">
        <f>IF(AND(ISNUMBER(BQ200),ISNUMBER(BL200)),IFERROR(BQ200/BL200-1,""),"")</f>
        <v>-0.0200295776078315</v>
      </c>
      <c r="BR255" s="23">
        <f>IF(AND(ISNUMBER(BR200),ISNUMBER(BM200)),IFERROR(BR200/BM200-1,""),"")</f>
        <v>-0.011486809712159</v>
      </c>
      <c r="BS255" s="23">
        <f>IF(AND(ISNUMBER(BS200),ISNUMBER(BN200)),IFERROR(BS200/BN200-1,""),"")</f>
        <v>0.0984844219747558</v>
      </c>
      <c r="BT255" s="23">
        <f>IF(AND(ISNUMBER(BT200),ISNUMBER(BO200)),IFERROR(BT200/BO200-1,""),"")</f>
        <v>0.0872193029995998</v>
      </c>
      <c r="BU255" s="23">
        <f>IF(AND(ISNUMBER(BU200),ISNUMBER(BP200)),IFERROR(BU200/BP200-1,""),"")</f>
        <v>0.0444024181295055</v>
      </c>
      <c r="BV255" s="23">
        <f>IF(AND(ISNUMBER(BV200),ISNUMBER(BQ200)),IFERROR(BV200/BQ200-1,""),"")</f>
        <v>0.0547580175754898</v>
      </c>
      <c r="BW255" s="23">
        <f>IF(AND(ISNUMBER(BW200),ISNUMBER(BR200)),IFERROR(BW200/BR200-1,""),"")</f>
        <v>0.115252736876272</v>
      </c>
      <c r="BX255" s="23">
        <f>IF(AND(ISNUMBER(BX200),ISNUMBER(BS200)),IFERROR(BX200/BS200-1,""),"")</f>
        <v>0.148758424518873</v>
      </c>
      <c r="BY255" s="254">
        <f>IFERROR(BY200/BT200-1,"")</f>
        <v>0.163926210143692</v>
      </c>
      <c r="BZ255" s="254">
        <f>IFERROR(BZ200/BU200-1,"")</f>
        <v>0.151854307200613</v>
      </c>
      <c r="CA255" s="254">
        <f>IFERROR(CA200/BV200-1,"")</f>
        <v>0.145692487559912</v>
      </c>
      <c r="CB255" s="254">
        <f>IFERROR(CB200/CA200-1,"")</f>
        <v>0.0992172352509644</v>
      </c>
      <c r="CC255" s="254">
        <f>IFERROR(CC200/CB200-1,"")</f>
        <v>0.103985439514161</v>
      </c>
      <c r="CD255" s="254">
        <f>IFERROR(CD200/CC200-1,"")</f>
        <v>0.095126031687947</v>
      </c>
      <c r="CE255" s="254">
        <f>IFERROR(CE200/CD200-1,"")</f>
        <v>0.090979408687595</v>
      </c>
      <c r="CF255" s="19" t="n"/>
    </row>
    <row r="256">
      <c r="B256" s="22" t="inlineStr">
        <is>
          <t xml:space="preserve">  Adjusted EBIT y/y %</t>
        </is>
      </c>
      <c r="C256" s="23" t="n"/>
      <c r="D256" s="23">
        <f>IF(AND(ISNUMBER(D222),ISNUMBER(C222)),IFERROR(D222/C222-1,""),"")</f>
        <v>0.224479889921113</v>
      </c>
      <c r="E256" s="23">
        <f>IF(AND(ISNUMBER(E222),ISNUMBER(D222)),IFERROR(E222/D222-1,""),"")</f>
        <v>0.111631995312041</v>
      </c>
      <c r="F256" s="23">
        <f>IF(AND(ISNUMBER(F222),ISNUMBER(E222)),IFERROR(F222/E222-1,""),"")</f>
        <v>-0.621166547799932</v>
      </c>
      <c r="G256" s="23">
        <f>IF(AND(ISNUMBER(G222),ISNUMBER(F222)),IFERROR(G222/F222-1,""),"")</f>
        <v>0.589236310059752</v>
      </c>
      <c r="H256" s="23">
        <f>IF(AND(ISNUMBER(H222),ISNUMBER(G222)),IFERROR(H222/G222-1,""),"")</f>
        <v>0.571903150543117</v>
      </c>
      <c r="I256" s="23">
        <f>IF(AND(ISNUMBER(I222),ISNUMBER(H222)),IFERROR(I222/H222-1,""),"")</f>
        <v>0.246766012660718</v>
      </c>
      <c r="J256" s="23" t="n"/>
      <c r="K256" s="23" t="n"/>
      <c r="L256" s="23" t="n"/>
      <c r="M256" s="23" t="n"/>
      <c r="N256" s="23">
        <f>IF(AND(ISNUMBER(N222),ISNUMBER(I222)),IFERROR(N222/I222-1,""),"")</f>
        <v>0.149387135093085</v>
      </c>
      <c r="O256" s="23">
        <f>IF(AND(ISNUMBER(O222),ISNUMBER(J222)),IFERROR(O222/J222-1,""),"")</f>
        <v>-0.00576425765442079</v>
      </c>
      <c r="P256" s="23">
        <f>IF(AND(ISNUMBER(P222),ISNUMBER(K222)),IFERROR(P222/K222-1,""),"")</f>
        <v>0.0855852574841569</v>
      </c>
      <c r="Q256" s="23">
        <f>IF(AND(ISNUMBER(Q222),ISNUMBER(L222)),IFERROR(Q222/L222-1,""),"")</f>
        <v>0.0310663952997201</v>
      </c>
      <c r="R256" s="23">
        <f>IF(AND(ISNUMBER(R222),ISNUMBER(M222)),IFERROR(R222/M222-1,""),"")</f>
        <v>-0.123425733974649</v>
      </c>
      <c r="S256" s="23">
        <f>IF(AND(ISNUMBER(S222),ISNUMBER(N222)),IFERROR(S222/N222-1,""),"")</f>
        <v>-0.00688463042270326</v>
      </c>
      <c r="T256" s="23">
        <f>IF(AND(ISNUMBER(T222),ISNUMBER(O222)),IFERROR(T222/O222-1,""),"")</f>
        <v>-0.0672292266454881</v>
      </c>
      <c r="U256" s="23">
        <f>IF(AND(ISNUMBER(U222),ISNUMBER(P222)),IFERROR(U222/P222-1,""),"")</f>
        <v>-0.166985373054213</v>
      </c>
      <c r="V256" s="23">
        <f>IF(AND(ISNUMBER(V222),ISNUMBER(Q222)),IFERROR(V222/Q222-1,""),"")</f>
        <v>-0.0902513966480444</v>
      </c>
      <c r="W256" s="23">
        <f>IF(AND(ISNUMBER(W222),ISNUMBER(R222)),IFERROR(W222/R222-1,""),"")</f>
        <v>-0.179083549888761</v>
      </c>
      <c r="X256" s="23">
        <f>IF(AND(ISNUMBER(X222),ISNUMBER(S222)),IFERROR(X222/S222-1,""),"")</f>
        <v>-0.127856057466501</v>
      </c>
      <c r="Y256" s="23">
        <f>IF(AND(ISNUMBER(Y222),ISNUMBER(T222)),IFERROR(Y222/T222-1,""),"")</f>
        <v>-0.184965622937909</v>
      </c>
      <c r="Z256" s="23">
        <f>IF(AND(ISNUMBER(Z222),ISNUMBER(U222)),IFERROR(Z222/U222-1,""),"")</f>
        <v>-0.155705684541189</v>
      </c>
      <c r="AA256" s="23">
        <f>IF(AND(ISNUMBER(AA222),ISNUMBER(V222)),IFERROR(AA222/V222-1,""),"")</f>
        <v>-0.142835211397342</v>
      </c>
      <c r="AB256" s="23">
        <f>IF(AND(ISNUMBER(AB222),ISNUMBER(W222)),IFERROR(AB222/W222-1,""),"")</f>
        <v>-0.0373946709177868</v>
      </c>
      <c r="AC256" s="23">
        <f>IF(AND(ISNUMBER(AC222),ISNUMBER(X222)),IFERROR(AC222/X222-1,""),"")</f>
        <v>-0.13221508578247</v>
      </c>
      <c r="AD256" s="23">
        <f>IF(AND(ISNUMBER(AD222),ISNUMBER(Y222)),IFERROR(AD222/Y222-1,""),"")</f>
        <v>0.134149048694813</v>
      </c>
      <c r="AE256" s="23">
        <f>IF(AND(ISNUMBER(AE222),ISNUMBER(Z222)),IFERROR(AE222/Z222-1,""),"")</f>
        <v>0.115184182596562</v>
      </c>
      <c r="AF256" s="23">
        <f>IF(AND(ISNUMBER(AF222),ISNUMBER(AA222)),IFERROR(AF222/AA222-1,""),"")</f>
        <v>0.1286074196129</v>
      </c>
      <c r="AG256" s="23">
        <f>IF(AND(ISNUMBER(AG222),ISNUMBER(AB222)),IFERROR(AG222/AB222-1,""),"")</f>
        <v>0.129081101542537</v>
      </c>
      <c r="AH256" s="23">
        <f>IF(AND(ISNUMBER(AH222),ISNUMBER(AC222)),IFERROR(AH222/AC222-1,""),"")</f>
        <v>0.126595948564597</v>
      </c>
      <c r="AI256" s="23">
        <f>IF(AND(ISNUMBER(AI222),ISNUMBER(AD222)),IFERROR(AI222/AD222-1,""),"")</f>
        <v>0.168412932344678</v>
      </c>
      <c r="AJ256" s="23">
        <f>IF(AND(ISNUMBER(AJ222),ISNUMBER(AE222)),IFERROR(AJ222/AE222-1,""),"")</f>
        <v>0.19129346849737</v>
      </c>
      <c r="AK256" s="23">
        <f>IF(AND(ISNUMBER(AK222),ISNUMBER(AF222)),IFERROR(AK222/AF222-1,""),"")</f>
        <v>0.137840925922008</v>
      </c>
      <c r="AL256" s="23">
        <f>IF(AND(ISNUMBER(AL222),ISNUMBER(AG222)),IFERROR(AL222/AG222-1,""),"")</f>
        <v>0.071358226468863</v>
      </c>
      <c r="AM256" s="23">
        <f>IF(AND(ISNUMBER(AM222),ISNUMBER(AH222)),IFERROR(AM222/AH222-1,""),"")</f>
        <v>0.141373556048798</v>
      </c>
      <c r="AN256" s="23">
        <f>IF(AND(ISNUMBER(AN222),ISNUMBER(AI222)),IFERROR(AN222/AI222-1,""),"")</f>
        <v>0.0107115757940066</v>
      </c>
      <c r="AO256" s="23">
        <f>IF(AND(ISNUMBER(AO222),ISNUMBER(AJ222)),IFERROR(AO222/AJ222-1,""),"")</f>
        <v>-0.0166689107311161</v>
      </c>
      <c r="AP256" s="23">
        <f>IF(AND(ISNUMBER(AP222),ISNUMBER(AK222)),IFERROR(AP222/AK222-1,""),"")</f>
        <v>-0.128785413431768</v>
      </c>
      <c r="AQ256" s="23">
        <f>IF(AND(ISNUMBER(AQ222),ISNUMBER(AL222)),IFERROR(AQ222/AL222-1,""),"")</f>
        <v>-0.0715829413547946</v>
      </c>
      <c r="AR256" s="23">
        <f>IF(AND(ISNUMBER(AR222),ISNUMBER(AM222)),IFERROR(AR222/AM222-1,""),"")</f>
        <v>-0.0519075264848803</v>
      </c>
      <c r="AS256" s="23">
        <f>IF(AND(ISNUMBER(AS222),ISNUMBER(AN222)),IFERROR(AS222/AN222-1,""),"")</f>
        <v>-0.135093500770236</v>
      </c>
      <c r="AT256" s="23">
        <f>IF(AND(ISNUMBER(AT222),ISNUMBER(AO222)),IFERROR(AT222/AO222-1,""),"")</f>
        <v>-0.396310293204805</v>
      </c>
      <c r="AU256" s="23">
        <f>IF(AND(ISNUMBER(AU222),ISNUMBER(AP222)),IFERROR(AU222/AP222-1,""),"")</f>
        <v>-0.057630736392742</v>
      </c>
      <c r="AV256" s="23">
        <f>IF(AND(ISNUMBER(AV222),ISNUMBER(AQ222)),IFERROR(AV222/AQ222-1,""),"")</f>
        <v>0.0244788759097943</v>
      </c>
      <c r="AW256" s="23">
        <f>IF(AND(ISNUMBER(AW222),ISNUMBER(AR222)),IFERROR(AW222/AR222-1,""),"")</f>
        <v>-0.150584025571861</v>
      </c>
      <c r="AX256" s="23">
        <f>IF(AND(ISNUMBER(AX222),ISNUMBER(AS222)),IFERROR(AX222/AS222-1,""),"")</f>
        <v>0.270138654041258</v>
      </c>
      <c r="AY256" s="23">
        <f>IF(AND(ISNUMBER(AY222),ISNUMBER(AT222)),IFERROR(AY222/AT222-1,""),"")</f>
        <v>0.94237370148035</v>
      </c>
      <c r="AZ256" s="23">
        <f>IF(AND(ISNUMBER(AZ222),ISNUMBER(AU222)),IFERROR(AZ222/AU222-1,""),"")</f>
        <v>0.414099660249148</v>
      </c>
      <c r="BA256" s="23">
        <f>IF(AND(ISNUMBER(BA222),ISNUMBER(AV222)),IFERROR(BA222/AV222-1,""),"")</f>
        <v>0.287992350636932</v>
      </c>
      <c r="BB256" s="23">
        <f>IF(AND(ISNUMBER(BB222),ISNUMBER(AW222)),IFERROR(BB222/AW222-1,""),"")</f>
        <v>0.443182552598955</v>
      </c>
      <c r="BC256" s="23">
        <f>IF(AND(ISNUMBER(BC222),ISNUMBER(AX222)),IFERROR(BC222/AX222-1,""),"")</f>
        <v>0.450662974599287</v>
      </c>
      <c r="BD256" s="23">
        <f>IF(AND(ISNUMBER(BD222),ISNUMBER(AY222)),IFERROR(BD222/AY222-1,""),"")</f>
        <v>0.300175158615859</v>
      </c>
      <c r="BE256" s="23">
        <f>IF(AND(ISNUMBER(BE222),ISNUMBER(AZ222)),IFERROR(BE222/AZ222-1,""),"")</f>
        <v>0.255564009129861</v>
      </c>
      <c r="BF256" s="23">
        <f>IF(AND(ISNUMBER(BF222),ISNUMBER(BA222)),IFERROR(BF222/BA222-1,""),"")</f>
        <v>0.195052445040471</v>
      </c>
      <c r="BG256" s="23">
        <f>IF(AND(ISNUMBER(BG222),ISNUMBER(BB222)),IFERROR(BG222/BB222-1,""),"")</f>
        <v>0.296544859424998</v>
      </c>
      <c r="BH256" s="23">
        <f>IF(AND(ISNUMBER(BH222),ISNUMBER(BC222)),IFERROR(BH222/BC222-1,""),"")</f>
        <v>0.0502165773438081</v>
      </c>
      <c r="BI256" s="23">
        <f>IF(AND(ISNUMBER(BI222),ISNUMBER(BD222)),IFERROR(BI222/BD222-1,""),"")</f>
        <v>0.143443064653263</v>
      </c>
      <c r="BJ256" s="23">
        <f>IF(AND(ISNUMBER(BJ222),ISNUMBER(BE222)),IFERROR(BJ222/BE222-1,""),"")</f>
        <v>0.174720620503138</v>
      </c>
      <c r="BK256" s="23">
        <f>IF(AND(ISNUMBER(BK222),ISNUMBER(BF222)),IFERROR(BK222/BF222-1,""),"")</f>
        <v>0.233098878490939</v>
      </c>
      <c r="BL256" s="23">
        <f>IF(AND(ISNUMBER(BL222),ISNUMBER(BG222)),IFERROR(BL222/BG222-1,""),"")</f>
        <v>0.148242172474807</v>
      </c>
      <c r="BM256" s="23">
        <f>IF(AND(ISNUMBER(BM222),ISNUMBER(BH222)),IFERROR(BM222/BH222-1,""),"")</f>
        <v>0.0117441454037046</v>
      </c>
      <c r="BN256" s="23">
        <f>IF(AND(ISNUMBER(BN222),ISNUMBER(BI222)),IFERROR(BN222/BI222-1,""),"")</f>
        <v>-0.0521126244298881</v>
      </c>
      <c r="BO256" s="23">
        <f>IF(AND(ISNUMBER(BO222),ISNUMBER(BJ222)),IFERROR(BO222/BJ222-1,""),"")</f>
        <v>-0.0656465835541461</v>
      </c>
      <c r="BP256" s="23">
        <f>IF(AND(ISNUMBER(BP222),ISNUMBER(BK222)),IFERROR(BP222/BK222-1,""),"")</f>
        <v>0.0120581129540756</v>
      </c>
      <c r="BQ256" s="23">
        <f>IF(AND(ISNUMBER(BQ222),ISNUMBER(BL222)),IFERROR(BQ222/BL222-1,""),"")</f>
        <v>-0.0242953673496741</v>
      </c>
      <c r="BR256" s="23">
        <f>IF(AND(ISNUMBER(BR222),ISNUMBER(BM222)),IFERROR(BR222/BM222-1,""),"")</f>
        <v>-0.0218049701743478</v>
      </c>
      <c r="BS256" s="23">
        <f>IF(AND(ISNUMBER(BS222),ISNUMBER(BN222)),IFERROR(BS222/BN222-1,""),"")</f>
        <v>0.100155232323679</v>
      </c>
      <c r="BT256" s="23">
        <f>IF(AND(ISNUMBER(BT222),ISNUMBER(BO222)),IFERROR(BT222/BO222-1,""),"")</f>
        <v>0.0899010913655438</v>
      </c>
      <c r="BU256" s="23">
        <f>IF(AND(ISNUMBER(BU222),ISNUMBER(BP222)),IFERROR(BU222/BP222-1,""),"")</f>
        <v>0.0493170334846278</v>
      </c>
      <c r="BV256" s="23">
        <f>IF(AND(ISNUMBER(BV222),ISNUMBER(BQ222)),IFERROR(BV222/BQ222-1,""),"")</f>
        <v>0.0546899194932762</v>
      </c>
      <c r="BW256" s="23">
        <f>IF(AND(ISNUMBER(BW222),ISNUMBER(BR222)),IFERROR(BW222/BR222-1,""),"")</f>
        <v>0.115693187905044</v>
      </c>
      <c r="BX256" s="23">
        <f>IF(AND(ISNUMBER(BX222),ISNUMBER(BS222)),IFERROR(BX222/BS222-1,""),"")</f>
        <v>0.124278806320895</v>
      </c>
      <c r="BY256" s="254">
        <f>IFERROR(BY222/BT222-1,"")</f>
        <v>0.146272150044469</v>
      </c>
      <c r="BZ256" s="254">
        <f>IFERROR(BZ222/BU222-1,"")</f>
        <v>0.139726324706751</v>
      </c>
      <c r="CA256" s="254">
        <f>IFERROR(CA222/BV222-1,"")</f>
        <v>0.131845093285962</v>
      </c>
      <c r="CB256" s="254">
        <f>IFERROR(CB222/CA222-1,"")</f>
        <v>0.103063764198781</v>
      </c>
      <c r="CC256" s="254">
        <f>IFERROR(CC222/CB222-1,"")</f>
        <v>0.103542787715772</v>
      </c>
      <c r="CD256" s="254">
        <f>IFERROR(CD222/CC222-1,"")</f>
        <v>0.0947590875919853</v>
      </c>
      <c r="CE256" s="254">
        <f>IFERROR(CE222/CD222-1,"")</f>
        <v>0.0906588370650514</v>
      </c>
      <c r="CF256" s="19" t="n"/>
    </row>
    <row r="257">
      <c r="B257" s="22" t="inlineStr">
        <is>
          <t xml:space="preserve">  Net income attributable y/y %</t>
        </is>
      </c>
      <c r="C257" s="23" t="n"/>
      <c r="D257" s="23">
        <f>IF(AND(ISNUMBER(D175),ISNUMBER(C175)),IFERROR(D175/C175-1,""),"")</f>
        <v>0.158438471384165</v>
      </c>
      <c r="E257" s="23">
        <f>IF(AND(ISNUMBER(E175),ISNUMBER(D175)),IFERROR(E175/D175-1,""),"")</f>
        <v>0.0471055954541861</v>
      </c>
      <c r="F257" s="23">
        <f>IF(AND(ISNUMBER(F175),ISNUMBER(E175)),IFERROR(F175/E175-1,""),"")</f>
        <v>-0.771176620219892</v>
      </c>
      <c r="G257" s="23">
        <f>IF(AND(ISNUMBER(G175),ISNUMBER(F175)),IFERROR(G175/F175-1,""),"")</f>
        <v>1.68124176548089</v>
      </c>
      <c r="H257" s="23">
        <f>IF(AND(ISNUMBER(H175),ISNUMBER(G175)),IFERROR(H175/G175-1,""),"")</f>
        <v>0.667531709714075</v>
      </c>
      <c r="I257" s="23">
        <f>IF(AND(ISNUMBER(I175),ISNUMBER(H175)),IFERROR(I175/H175-1,""),"")</f>
        <v>0.185209912241122</v>
      </c>
      <c r="J257" s="23" t="n"/>
      <c r="K257" s="23" t="n"/>
      <c r="L257" s="23" t="n"/>
      <c r="M257" s="23" t="n"/>
      <c r="N257" s="23">
        <f>IF(AND(ISNUMBER(N175),ISNUMBER(I175)),IFERROR(N175/I175-1,""),"")</f>
        <v>0.141287668359159</v>
      </c>
      <c r="O257" s="23">
        <f>IF(AND(ISNUMBER(O175),ISNUMBER(J175)),IFERROR(O175/J175-1,""),"")</f>
        <v>-0.154971110379307</v>
      </c>
      <c r="P257" s="23">
        <f>IF(AND(ISNUMBER(P175),ISNUMBER(K175)),IFERROR(P175/K175-1,""),"")</f>
        <v>0.0650910393080453</v>
      </c>
      <c r="Q257" s="23">
        <f>IF(AND(ISNUMBER(Q175),ISNUMBER(L175)),IFERROR(Q175/L175-1,""),"")</f>
        <v>-0.308203621827872</v>
      </c>
      <c r="R257" s="23">
        <f>IF(AND(ISNUMBER(R175),ISNUMBER(M175)),IFERROR(R175/M175-1,""),"")</f>
        <v>-0.148453421493593</v>
      </c>
      <c r="S257" s="23">
        <f>IF(AND(ISNUMBER(S175),ISNUMBER(N175)),IFERROR(S175/N175-1,""),"")</f>
        <v>-0.133072367077404</v>
      </c>
      <c r="T257" s="23">
        <f>IF(AND(ISNUMBER(T175),ISNUMBER(O175)),IFERROR(T175/O175-1,""),"")</f>
        <v>0.210812534320585</v>
      </c>
      <c r="U257" s="23">
        <f>IF(AND(ISNUMBER(U175),ISNUMBER(P175)),IFERROR(U175/P175-1,""),"")</f>
        <v>-0.0831997103398328</v>
      </c>
      <c r="V257" s="23">
        <f>IF(AND(ISNUMBER(V175),ISNUMBER(Q175)),IFERROR(V175/Q175-1,""),"")</f>
        <v>-2.32342576987896</v>
      </c>
      <c r="W257" s="23">
        <f>IF(AND(ISNUMBER(W175),ISNUMBER(R175)),IFERROR(W175/R175-1,""),"")</f>
        <v>-0.352603307982768</v>
      </c>
      <c r="X257" s="23">
        <f>IF(AND(ISNUMBER(X175),ISNUMBER(S175)),IFERROR(X175/S175-1,""),"")</f>
        <v>-0.499469935528454</v>
      </c>
      <c r="Y257" s="23">
        <f>IF(AND(ISNUMBER(Y175),ISNUMBER(T175)),IFERROR(Y175/T175-1,""),"")</f>
        <v>-0.215290985165463</v>
      </c>
      <c r="Z257" s="23">
        <f>IF(AND(ISNUMBER(Z175),ISNUMBER(U175)),IFERROR(Z175/U175-1,""),"")</f>
        <v>-0.558280910603966</v>
      </c>
      <c r="AA257" s="23">
        <f>IF(AND(ISNUMBER(AA175),ISNUMBER(V175)),IFERROR(AA175/V175-1,""),"")</f>
        <v>-1.99310356233255</v>
      </c>
      <c r="AB257" s="23">
        <f>IF(AND(ISNUMBER(AB175),ISNUMBER(W175)),IFERROR(AB175/W175-1,""),"")</f>
        <v>0.0965867082888352</v>
      </c>
      <c r="AC257" s="23">
        <f>IF(AND(ISNUMBER(AC175),ISNUMBER(X175)),IFERROR(AC175/X175-1,""),"")</f>
        <v>0.556339133026873</v>
      </c>
      <c r="AD257" s="23">
        <f>IF(AND(ISNUMBER(AD175),ISNUMBER(Y175)),IFERROR(AD175/Y175-1,""),"")</f>
        <v>0.0411275588202409</v>
      </c>
      <c r="AE257" s="23">
        <f>IF(AND(ISNUMBER(AE175),ISNUMBER(Z175)),IFERROR(AE175/Z175-1,""),"")</f>
        <v>0.959063767282942</v>
      </c>
      <c r="AF257" s="23">
        <f>IF(AND(ISNUMBER(AF175),ISNUMBER(AA175)),IFERROR(AF175/AA175-1,""),"")</f>
        <v>0.767323352595382</v>
      </c>
      <c r="AG257" s="23">
        <f>IF(AND(ISNUMBER(AG175),ISNUMBER(AB175)),IFERROR(AG175/AB175-1,""),"")</f>
        <v>-0.547129881075008</v>
      </c>
      <c r="AH257" s="23">
        <f>IF(AND(ISNUMBER(AH175),ISNUMBER(AC175)),IFERROR(AH175/AC175-1,""),"")</f>
        <v>0.247501247486127</v>
      </c>
      <c r="AI257" s="23">
        <f>IF(AND(ISNUMBER(AI175),ISNUMBER(AD175)),IFERROR(AI175/AD175-1,""),"")</f>
        <v>0.0891769930520729</v>
      </c>
      <c r="AJ257" s="23">
        <f>IF(AND(ISNUMBER(AJ175),ISNUMBER(AE175)),IFERROR(AJ175/AE175-1,""),"")</f>
        <v>0.122440996218543</v>
      </c>
      <c r="AK257" s="23">
        <f>IF(AND(ISNUMBER(AK175),ISNUMBER(AF175)),IFERROR(AK175/AF175-1,""),"")</f>
        <v>-0.335327817876863</v>
      </c>
      <c r="AL257" s="23">
        <f>IF(AND(ISNUMBER(AL175),ISNUMBER(AG175)),IFERROR(AL175/AG175-1,""),"")</f>
        <v>2.59120797320211</v>
      </c>
      <c r="AM257" s="23">
        <f>IF(AND(ISNUMBER(AM175),ISNUMBER(AH175)),IFERROR(AM175/AH175-1,""),"")</f>
        <v>0.159848567492111</v>
      </c>
      <c r="AN257" s="23">
        <f>IF(AND(ISNUMBER(AN175),ISNUMBER(AI175)),IFERROR(AN175/AI175-1,""),"")</f>
        <v>0.175194002367486</v>
      </c>
      <c r="AO257" s="23">
        <f>IF(AND(ISNUMBER(AO175),ISNUMBER(AJ175)),IFERROR(AO175/AJ175-1,""),"")</f>
        <v>0.240880576208179</v>
      </c>
      <c r="AP257" s="23">
        <f>IF(AND(ISNUMBER(AP175),ISNUMBER(AK175)),IFERROR(AP175/AK175-1,""),"")</f>
        <v>0.0272473383518328</v>
      </c>
      <c r="AQ257" s="23">
        <f>IF(AND(ISNUMBER(AQ175),ISNUMBER(AL175)),IFERROR(AQ175/AL175-1,""),"")</f>
        <v>-0.266274369810799</v>
      </c>
      <c r="AR257" s="23">
        <f>IF(AND(ISNUMBER(AR175),ISNUMBER(AM175)),IFERROR(AR175/AM175-1,""),"")</f>
        <v>0.021050908153526</v>
      </c>
      <c r="AS257" s="23">
        <f>IF(AND(ISNUMBER(AS175),ISNUMBER(AN175)),IFERROR(AS175/AN175-1,""),"")</f>
        <v>-0.222691662003358</v>
      </c>
      <c r="AT257" s="23">
        <f>IF(AND(ISNUMBER(AT175),ISNUMBER(AO175)),IFERROR(AT175/AO175-1,""),"")</f>
        <v>-0.684079951317699</v>
      </c>
      <c r="AU257" s="23">
        <f>IF(AND(ISNUMBER(AU175),ISNUMBER(AP175)),IFERROR(AU175/AP175-1,""),"")</f>
        <v>-0.192958971032692</v>
      </c>
      <c r="AV257" s="23">
        <f>IF(AND(ISNUMBER(AV175),ISNUMBER(AQ175)),IFERROR(AV175/AQ175-1,""),"")</f>
        <v>0.0213761064724709</v>
      </c>
      <c r="AW257" s="23">
        <f>IF(AND(ISNUMBER(AW175),ISNUMBER(AR175)),IFERROR(AW175/AR175-1,""),"")</f>
        <v>-0.296797437130896</v>
      </c>
      <c r="AX257" s="23">
        <f>IF(AND(ISNUMBER(AX175),ISNUMBER(AS175)),IFERROR(AX175/AS175-1,""),"")</f>
        <v>0.335031136388179</v>
      </c>
      <c r="AY257" s="23">
        <f>IF(AND(ISNUMBER(AY175),ISNUMBER(AT175)),IFERROR(AY175/AT175-1,""),"")</f>
        <v>2.55997184768114</v>
      </c>
      <c r="AZ257" s="23">
        <f>IF(AND(ISNUMBER(AZ175),ISNUMBER(AU175)),IFERROR(AZ175/AU175-1,""),"")</f>
        <v>-0.456950358248262</v>
      </c>
      <c r="BA257" s="23">
        <f>IF(AND(ISNUMBER(BA175),ISNUMBER(AV175)),IFERROR(BA175/AV175-1,""),"")</f>
        <v>0.143658379175758</v>
      </c>
      <c r="BB257" s="23">
        <f>IF(AND(ISNUMBER(BB175),ISNUMBER(AW175)),IFERROR(BB175/AW175-1,""),"")</f>
        <v>0.341319166484729</v>
      </c>
      <c r="BC257" s="23">
        <f>IF(AND(ISNUMBER(BC175),ISNUMBER(AX175)),IFERROR(BC175/AX175-1,""),"")</f>
        <v>0.69904417811451</v>
      </c>
      <c r="BD257" s="23">
        <f>IF(AND(ISNUMBER(BD175),ISNUMBER(AY175)),IFERROR(BD175/AY175-1,""),"")</f>
        <v>0.330034857707718</v>
      </c>
      <c r="BE257" s="23">
        <f>IF(AND(ISNUMBER(BE175),ISNUMBER(AZ175)),IFERROR(BE175/AZ175-1,""),"")</f>
        <v>2.4393991875807</v>
      </c>
      <c r="BF257" s="23">
        <f>IF(AND(ISNUMBER(BF175),ISNUMBER(BA175)),IFERROR(BF175/BA175-1,""),"")</f>
        <v>0.466483937280826</v>
      </c>
      <c r="BG257" s="23">
        <f>IF(AND(ISNUMBER(BG175),ISNUMBER(BB175)),IFERROR(BG175/BB175-1,""),"")</f>
        <v>0.708072602055948</v>
      </c>
      <c r="BH257" s="23">
        <f>IF(AND(ISNUMBER(BH175),ISNUMBER(BC175)),IFERROR(BH175/BC175-1,""),"")</f>
        <v>-0.0325240022216923</v>
      </c>
      <c r="BI257" s="23">
        <f>IF(AND(ISNUMBER(BI175),ISNUMBER(BD175)),IFERROR(BI175/BD175-1,""),"")</f>
        <v>0.0743841092761084</v>
      </c>
      <c r="BJ257" s="23">
        <f>IF(AND(ISNUMBER(BJ175),ISNUMBER(BE175)),IFERROR(BJ175/BE175-1,""),"")</f>
        <v>0.184188601510643</v>
      </c>
      <c r="BK257" s="23">
        <f>IF(AND(ISNUMBER(BK175),ISNUMBER(BF175)),IFERROR(BK175/BF175-1,""),"")</f>
        <v>0.435178568156414</v>
      </c>
      <c r="BL257" s="23">
        <f>IF(AND(ISNUMBER(BL175),ISNUMBER(BG175)),IFERROR(BL175/BG175-1,""),"")</f>
        <v>0.154638476655149</v>
      </c>
      <c r="BM257" s="23">
        <f>IF(AND(ISNUMBER(BM175),ISNUMBER(BH175)),IFERROR(BM175/BH175-1,""),"")</f>
        <v>0.0121708179216107</v>
      </c>
      <c r="BN257" s="23">
        <f>IF(AND(ISNUMBER(BN175),ISNUMBER(BI175)),IFERROR(BN175/BI175-1,""),"")</f>
        <v>-0.259395183898757</v>
      </c>
      <c r="BO257" s="23">
        <f>IF(AND(ISNUMBER(BO175),ISNUMBER(BJ175)),IFERROR(BO175/BJ175-1,""),"")</f>
        <v>-0.221016985843842</v>
      </c>
      <c r="BP257" s="23">
        <f>IF(AND(ISNUMBER(BP175),ISNUMBER(BK175)),IFERROR(BP175/BK175-1,""),"")</f>
        <v>-0.104791757105283</v>
      </c>
      <c r="BQ257" s="23">
        <f>IF(AND(ISNUMBER(BQ175),ISNUMBER(BL175)),IFERROR(BQ175/BL175-1,""),"")</f>
        <v>-0.145144961558778</v>
      </c>
      <c r="BR257" s="23">
        <f>IF(AND(ISNUMBER(BR175),ISNUMBER(BM175)),IFERROR(BR175/BM175-1,""),"")</f>
        <v>-0.0399303164121058</v>
      </c>
      <c r="BS257" s="23">
        <f>IF(AND(ISNUMBER(BS175),ISNUMBER(BN175)),IFERROR(BS175/BN175-1,""),"")</f>
        <v>0.409879262201597</v>
      </c>
      <c r="BT257" s="23">
        <f>IF(AND(ISNUMBER(BT175),ISNUMBER(BO175)),IFERROR(BT175/BO175-1,""),"")</f>
        <v>0.217078883639685</v>
      </c>
      <c r="BU257" s="23">
        <f>IF(AND(ISNUMBER(BU175),ISNUMBER(BP175)),IFERROR(BU175/BP175-1,""),"")</f>
        <v>-0.0300009270550315</v>
      </c>
      <c r="BV257" s="23">
        <f>IF(AND(ISNUMBER(BV175),ISNUMBER(BQ175)),IFERROR(BV175/BQ175-1,""),"")</f>
        <v>0.116764784127282</v>
      </c>
      <c r="BW257" s="23">
        <f>IF(AND(ISNUMBER(BW175),ISNUMBER(BR175)),IFERROR(BW175/BR175-1,""),"")</f>
        <v>0.151029226835011</v>
      </c>
      <c r="BX257" s="23">
        <f>IF(AND(ISNUMBER(BX175),ISNUMBER(BS175)),IFERROR(BX175/BS175-1,""),"")</f>
        <v>0.10546319283662</v>
      </c>
      <c r="BY257" s="254">
        <f>IFERROR(BY175/BT175-1,"")</f>
        <v>0.246553502310532</v>
      </c>
      <c r="BZ257" s="254">
        <f>IFERROR(BZ175/BU175-1,"")</f>
        <v>0.171684146911264</v>
      </c>
      <c r="CA257" s="254">
        <f>IFERROR(CA175/BV175-1,"")</f>
        <v>0.16637789326037</v>
      </c>
      <c r="CB257" s="254">
        <f>IFERROR(CB175/CA175-1,"")</f>
        <v>0.106054282876024</v>
      </c>
      <c r="CC257" s="254">
        <f>IFERROR(CC175/CB175-1,"")</f>
        <v>0.10136556242921</v>
      </c>
      <c r="CD257" s="254">
        <f>IFERROR(CD175/CC175-1,"")</f>
        <v>0.0959407678060744</v>
      </c>
      <c r="CE257" s="254">
        <f>IFERROR(CE175/CD175-1,"")</f>
        <v>0.0918444924400723</v>
      </c>
      <c r="CF257" s="19" t="n"/>
    </row>
    <row r="258">
      <c r="B258" s="22" t="inlineStr">
        <is>
          <t xml:space="preserve">  Adjusted EPS y/y %</t>
        </is>
      </c>
      <c r="C258" s="23" t="n"/>
      <c r="D258" s="23">
        <f>IF(AND(ISNUMBER(D244),ISNUMBER(C244)),IFERROR(D244/C244-1,""),"")</f>
        <v>0.1731991486017</v>
      </c>
      <c r="E258" s="23">
        <f>IF(AND(ISNUMBER(E244),ISNUMBER(D244)),IFERROR(E244/D244-1,""),"")</f>
        <v>0.146969791800169</v>
      </c>
      <c r="F258" s="23">
        <f>IF(AND(ISNUMBER(F244),ISNUMBER(E244)),IFERROR(F244/E244-1,""),"")</f>
        <v>-0.679885386443376</v>
      </c>
      <c r="G258" s="23">
        <f>IF(AND(ISNUMBER(G244),ISNUMBER(F244)),IFERROR(G244/F244-1,""),"")</f>
        <v>0.773877681049712</v>
      </c>
      <c r="H258" s="23">
        <f>IF(AND(ISNUMBER(H244),ISNUMBER(G244)),IFERROR(H244/G244-1,""),"")</f>
        <v>0.650261790394541</v>
      </c>
      <c r="I258" s="23">
        <f>IF(AND(ISNUMBER(I244),ISNUMBER(H244)),IFERROR(I244/H244-1,""),"")</f>
        <v>0.258081928606112</v>
      </c>
      <c r="J258" s="23" t="n"/>
      <c r="K258" s="23" t="n"/>
      <c r="L258" s="23" t="n"/>
      <c r="M258" s="23" t="n"/>
      <c r="N258" s="23">
        <f>IF(AND(ISNUMBER(N244),ISNUMBER(I244)),IFERROR(N244/I244-1,""),"")</f>
        <v>0.194544841773736</v>
      </c>
      <c r="O258" s="23">
        <f>IF(AND(ISNUMBER(O244),ISNUMBER(J244)),IFERROR(O244/J244-1,""),"")</f>
        <v>-0.0137095680413704</v>
      </c>
      <c r="P258" s="23">
        <f>IF(AND(ISNUMBER(P244),ISNUMBER(K244)),IFERROR(P244/K244-1,""),"")</f>
        <v>0.111415000534828</v>
      </c>
      <c r="Q258" s="23">
        <f>IF(AND(ISNUMBER(Q244),ISNUMBER(L244)),IFERROR(Q244/L244-1,""),"")</f>
        <v>0.0931092630114576</v>
      </c>
      <c r="R258" s="23">
        <f>IF(AND(ISNUMBER(R244),ISNUMBER(M244)),IFERROR(R244/M244-1,""),"")</f>
        <v>-0.112848824698796</v>
      </c>
      <c r="S258" s="23">
        <f>IF(AND(ISNUMBER(S244),ISNUMBER(N244)),IFERROR(S244/N244-1,""),"")</f>
        <v>0.0127472822872725</v>
      </c>
      <c r="T258" s="23">
        <f>IF(AND(ISNUMBER(T244),ISNUMBER(O244)),IFERROR(T244/O244-1,""),"")</f>
        <v>-0.0231380400067343</v>
      </c>
      <c r="U258" s="23">
        <f>IF(AND(ISNUMBER(U244),ISNUMBER(P244)),IFERROR(U244/P244-1,""),"")</f>
        <v>-0.0608885690006248</v>
      </c>
      <c r="V258" s="23">
        <f>IF(AND(ISNUMBER(V244),ISNUMBER(Q244)),IFERROR(V244/Q244-1,""),"")</f>
        <v>-0.044922694127859</v>
      </c>
      <c r="W258" s="23">
        <f>IF(AND(ISNUMBER(W244),ISNUMBER(R244)),IFERROR(W244/R244-1,""),"")</f>
        <v>-0.225048845797268</v>
      </c>
      <c r="X258" s="23">
        <f>IF(AND(ISNUMBER(X244),ISNUMBER(S244)),IFERROR(X244/S244-1,""),"")</f>
        <v>-0.0899669318670053</v>
      </c>
      <c r="Y258" s="23">
        <f>IF(AND(ISNUMBER(Y244),ISNUMBER(T244)),IFERROR(Y244/T244-1,""),"")</f>
        <v>-0.139183840017444</v>
      </c>
      <c r="Z258" s="23">
        <f>IF(AND(ISNUMBER(Z244),ISNUMBER(U244)),IFERROR(Z244/U244-1,""),"")</f>
        <v>-0.121086894280271</v>
      </c>
      <c r="AA258" s="23">
        <f>IF(AND(ISNUMBER(AA244),ISNUMBER(V244)),IFERROR(AA244/V244-1,""),"")</f>
        <v>-0.00437644150403171</v>
      </c>
      <c r="AB258" s="23">
        <f>IF(AND(ISNUMBER(AB244),ISNUMBER(W244)),IFERROR(AB244/W244-1,""),"")</f>
        <v>0.0791791036750142</v>
      </c>
      <c r="AC258" s="23">
        <f>IF(AND(ISNUMBER(AC244),ISNUMBER(X244)),IFERROR(AC244/X244-1,""),"")</f>
        <v>-0.05254698563742</v>
      </c>
      <c r="AD258" s="23">
        <f>IF(AND(ISNUMBER(AD244),ISNUMBER(Y244)),IFERROR(AD244/Y244-1,""),"")</f>
        <v>0.152179659733753</v>
      </c>
      <c r="AE258" s="23">
        <f>IF(AND(ISNUMBER(AE244),ISNUMBER(Z244)),IFERROR(AE244/Z244-1,""),"")</f>
        <v>0.166631405325778</v>
      </c>
      <c r="AF258" s="23">
        <f>IF(AND(ISNUMBER(AF244),ISNUMBER(AA244)),IFERROR(AF244/AA244-1,""),"")</f>
        <v>0.0361462204445127</v>
      </c>
      <c r="AG258" s="23">
        <f>IF(AND(ISNUMBER(AG244),ISNUMBER(AB244)),IFERROR(AG244/AB244-1,""),"")</f>
        <v>0.260036637237622</v>
      </c>
      <c r="AH258" s="23">
        <f>IF(AND(ISNUMBER(AH244),ISNUMBER(AC244)),IFERROR(AH244/AC244-1,""),"")</f>
        <v>0.15144424908871</v>
      </c>
      <c r="AI258" s="23">
        <f>IF(AND(ISNUMBER(AI244),ISNUMBER(AD244)),IFERROR(AI244/AD244-1,""),"")</f>
        <v>0.253668823678612</v>
      </c>
      <c r="AJ258" s="23">
        <f>IF(AND(ISNUMBER(AJ244),ISNUMBER(AE244)),IFERROR(AJ244/AE244-1,""),"")</f>
        <v>0.251679618937519</v>
      </c>
      <c r="AK258" s="23">
        <f>IF(AND(ISNUMBER(AK244),ISNUMBER(AF244)),IFERROR(AK244/AF244-1,""),"")</f>
        <v>0.306030553950595</v>
      </c>
      <c r="AL258" s="23">
        <f>IF(AND(ISNUMBER(AL244),ISNUMBER(AG244)),IFERROR(AL244/AG244-1,""),"")</f>
        <v>0.275164743681061</v>
      </c>
      <c r="AM258" s="23">
        <f>IF(AND(ISNUMBER(AM244),ISNUMBER(AH244)),IFERROR(AM244/AH244-1,""),"")</f>
        <v>0.27131118126306</v>
      </c>
      <c r="AN258" s="23">
        <f>IF(AND(ISNUMBER(AN244),ISNUMBER(AI244)),IFERROR(AN244/AI244-1,""),"")</f>
        <v>0.0640618386118748</v>
      </c>
      <c r="AO258" s="23">
        <f>IF(AND(ISNUMBER(AO244),ISNUMBER(AJ244)),IFERROR(AO244/AJ244-1,""),"")</f>
        <v>0.0560074684338212</v>
      </c>
      <c r="AP258" s="23">
        <f>IF(AND(ISNUMBER(AP244),ISNUMBER(AK244)),IFERROR(AP244/AK244-1,""),"")</f>
        <v>-0.0980127568287484</v>
      </c>
      <c r="AQ258" s="23">
        <f>IF(AND(ISNUMBER(AQ244),ISNUMBER(AL244)),IFERROR(AQ244/AL244-1,""),"")</f>
        <v>-0.110827707656689</v>
      </c>
      <c r="AR258" s="23">
        <f>IF(AND(ISNUMBER(AR244),ISNUMBER(AM244)),IFERROR(AR244/AM244-1,""),"")</f>
        <v>-0.0248060442512655</v>
      </c>
      <c r="AS258" s="23">
        <f>IF(AND(ISNUMBER(AS244),ISNUMBER(AN244)),IFERROR(AS244/AN244-1,""),"")</f>
        <v>-0.146324773367801</v>
      </c>
      <c r="AT258" s="23">
        <f>IF(AND(ISNUMBER(AT244),ISNUMBER(AO244)),IFERROR(AT244/AO244-1,""),"")</f>
        <v>-0.375395730310756</v>
      </c>
      <c r="AU258" s="23">
        <f>IF(AND(ISNUMBER(AU244),ISNUMBER(AP244)),IFERROR(AU244/AP244-1,""),"")</f>
        <v>0.00813877814531661</v>
      </c>
      <c r="AV258" s="23">
        <f>IF(AND(ISNUMBER(AV244),ISNUMBER(AQ244)),IFERROR(AV244/AQ244-1,""),"")</f>
        <v>0.080962887822615</v>
      </c>
      <c r="AW258" s="23">
        <f>IF(AND(ISNUMBER(AW244),ISNUMBER(AR244)),IFERROR(AW244/AR244-1,""),"")</f>
        <v>-0.117654015890958</v>
      </c>
      <c r="AX258" s="23">
        <f>IF(AND(ISNUMBER(AX244),ISNUMBER(AS244)),IFERROR(AX244/AS244-1,""),"")</f>
        <v>0.370223041484941</v>
      </c>
      <c r="AY258" s="23">
        <f>IF(AND(ISNUMBER(AY244),ISNUMBER(AT244)),IFERROR(AY244/AT244-1,""),"")</f>
        <v>1.0846427599894</v>
      </c>
      <c r="AZ258" s="23">
        <f>IF(AND(ISNUMBER(AZ244),ISNUMBER(AU244)),IFERROR(AZ244/AU244-1,""),"")</f>
        <v>0.419299841641153</v>
      </c>
      <c r="BA258" s="23">
        <f>IF(AND(ISNUMBER(BA244),ISNUMBER(AV244)),IFERROR(BA244/AV244-1,""),"")</f>
        <v>0.297057534412242</v>
      </c>
      <c r="BB258" s="23">
        <f>IF(AND(ISNUMBER(BB244),ISNUMBER(AW244)),IFERROR(BB244/AW244-1,""),"")</f>
        <v>0.498476038642312</v>
      </c>
      <c r="BC258" s="23">
        <f>IF(AND(ISNUMBER(BC244),ISNUMBER(AX244)),IFERROR(BC244/AX244-1,""),"")</f>
        <v>0.532331897815361</v>
      </c>
      <c r="BD258" s="23">
        <f>IF(AND(ISNUMBER(BD244),ISNUMBER(AY244)),IFERROR(BD244/AY244-1,""),"")</f>
        <v>0.306222189304277</v>
      </c>
      <c r="BE258" s="23">
        <f>IF(AND(ISNUMBER(BE244),ISNUMBER(AZ244)),IFERROR(BE244/AZ244-1,""),"")</f>
        <v>0.308766522457257</v>
      </c>
      <c r="BF258" s="23">
        <f>IF(AND(ISNUMBER(BF244),ISNUMBER(BA244)),IFERROR(BF244/BA244-1,""),"")</f>
        <v>0.200538041008107</v>
      </c>
      <c r="BG258" s="23">
        <f>IF(AND(ISNUMBER(BG244),ISNUMBER(BB244)),IFERROR(BG244/BB244-1,""),"")</f>
        <v>0.329935338584145</v>
      </c>
      <c r="BH258" s="23">
        <f>IF(AND(ISNUMBER(BH244),ISNUMBER(BC244)),IFERROR(BH244/BC244-1,""),"")</f>
        <v>0.0107056285468687</v>
      </c>
      <c r="BI258" s="23">
        <f>IF(AND(ISNUMBER(BI244),ISNUMBER(BD244)),IFERROR(BI244/BD244-1,""),"")</f>
        <v>0.116902154636146</v>
      </c>
      <c r="BJ258" s="23">
        <f>IF(AND(ISNUMBER(BJ244),ISNUMBER(BE244)),IFERROR(BJ244/BE244-1,""),"")</f>
        <v>0.17438509618012</v>
      </c>
      <c r="BK258" s="23">
        <f>IF(AND(ISNUMBER(BK244),ISNUMBER(BF244)),IFERROR(BK244/BF244-1,""),"")</f>
        <v>0.266148497612512</v>
      </c>
      <c r="BL258" s="23">
        <f>IF(AND(ISNUMBER(BL244),ISNUMBER(BG244)),IFERROR(BL244/BG244-1,""),"")</f>
        <v>0.138441707315908</v>
      </c>
      <c r="BM258" s="23">
        <f>IF(AND(ISNUMBER(BM244),ISNUMBER(BH244)),IFERROR(BM244/BH244-1,""),"")</f>
        <v>0.0498232636061151</v>
      </c>
      <c r="BN258" s="23">
        <f>IF(AND(ISNUMBER(BN244),ISNUMBER(BI244)),IFERROR(BN244/BI244-1,""),"")</f>
        <v>-0.0406310477081915</v>
      </c>
      <c r="BO258" s="23">
        <f>IF(AND(ISNUMBER(BO244),ISNUMBER(BJ244)),IFERROR(BO244/BJ244-1,""),"")</f>
        <v>-0.106292060276785</v>
      </c>
      <c r="BP258" s="23">
        <f>IF(AND(ISNUMBER(BP244),ISNUMBER(BK244)),IFERROR(BP244/BK244-1,""),"")</f>
        <v>0.0477966246045281</v>
      </c>
      <c r="BQ258" s="23">
        <f>IF(AND(ISNUMBER(BQ244),ISNUMBER(BL244)),IFERROR(BQ244/BL244-1,""),"")</f>
        <v>-0.0129897645092094</v>
      </c>
      <c r="BR258" s="23">
        <f>IF(AND(ISNUMBER(BR244),ISNUMBER(BM244)),IFERROR(BR244/BM244-1,""),"")</f>
        <v>-0.0341883433054929</v>
      </c>
      <c r="BS258" s="23">
        <f>IF(AND(ISNUMBER(BS244),ISNUMBER(BN244)),IFERROR(BS244/BN244-1,""),"")</f>
        <v>0.111642916422119</v>
      </c>
      <c r="BT258" s="23">
        <f>IF(AND(ISNUMBER(BT244),ISNUMBER(BO244)),IFERROR(BT244/BO244-1,""),"")</f>
        <v>0.151460378138245</v>
      </c>
      <c r="BU258" s="23">
        <f>IF(AND(ISNUMBER(BU244),ISNUMBER(BP244)),IFERROR(BU244/BP244-1,""),"")</f>
        <v>0.0300375150351782</v>
      </c>
      <c r="BV258" s="23">
        <f>IF(AND(ISNUMBER(BV244),ISNUMBER(BQ244)),IFERROR(BV244/BQ244-1,""),"")</f>
        <v>0.062268105611166</v>
      </c>
      <c r="BW258" s="23">
        <f>IF(AND(ISNUMBER(BW244),ISNUMBER(BR244)),IFERROR(BW244/BR244-1,""),"")</f>
        <v>0.161096869541582</v>
      </c>
      <c r="BX258" s="23">
        <f>IF(AND(ISNUMBER(BX244),ISNUMBER(BS244)),IFERROR(BX244/BS244-1,""),"")</f>
        <v>0.124589890707945</v>
      </c>
      <c r="BY258" s="254">
        <f>IFERROR(BY244/BT244-1,"")</f>
        <v>0.143747474836</v>
      </c>
      <c r="BZ258" s="254">
        <f>IFERROR(BZ244/BU244-1,"")</f>
        <v>0.116648649612016</v>
      </c>
      <c r="CA258" s="254">
        <f>IFERROR(CA244/BV244-1,"")</f>
        <v>0.135884433364216</v>
      </c>
      <c r="CB258" s="254">
        <f>IFERROR(CB244/CA244-1,"")</f>
        <v>0.130482418615123</v>
      </c>
      <c r="CC258" s="254">
        <f>IFERROR(CC244/CB244-1,"")</f>
        <v>0.120368406649987</v>
      </c>
      <c r="CD258" s="254">
        <f>IFERROR(CD244/CC244-1,"")</f>
        <v>0.1138395888439</v>
      </c>
      <c r="CE258" s="254">
        <f>IFERROR(CE244/CD244-1,"")</f>
        <v>0.113058483409027</v>
      </c>
      <c r="CF258" s="19" t="n"/>
    </row>
    <row r="259">
      <c r="B259" s="25" t="inlineStr">
        <is>
          <t xml:space="preserve">  Gross margin %</t>
        </is>
      </c>
      <c r="C259" s="36">
        <f>C158</f>
        <v>0.280071402672022</v>
      </c>
      <c r="D259" s="36">
        <f>D158</f>
        <v>0.283922545931574</v>
      </c>
      <c r="E259" s="36">
        <f>E158</f>
        <v>0.290485254712236</v>
      </c>
      <c r="F259" s="36">
        <f>F158</f>
        <v>0.263847775236586</v>
      </c>
      <c r="G259" s="36">
        <f>G158</f>
        <v>0.272353698146821</v>
      </c>
      <c r="H259" s="36">
        <f>H158</f>
        <v>0.273411467118235</v>
      </c>
      <c r="I259" s="36">
        <f>I158</f>
        <v>0.303730995697364</v>
      </c>
      <c r="J259" s="36">
        <f>J158</f>
        <v>0.315308256781148</v>
      </c>
      <c r="K259" s="36">
        <f>K158</f>
        <v>0.3303923940657</v>
      </c>
      <c r="L259" s="36">
        <f>L158</f>
        <v>0.336328093947606</v>
      </c>
      <c r="M259" s="36">
        <f>M158</f>
        <v>0.340025266126742</v>
      </c>
      <c r="N259" s="36">
        <f>N158</f>
        <v>0.33044609770983</v>
      </c>
      <c r="O259" s="36">
        <f>O158</f>
        <v>0.330387614551676</v>
      </c>
      <c r="P259" s="36">
        <f>P158</f>
        <v>0.343522787637039</v>
      </c>
      <c r="Q259" s="36">
        <f>Q158</f>
        <v>0.337547867562104</v>
      </c>
      <c r="R259" s="36">
        <f>R158</f>
        <v>0.337866289253371</v>
      </c>
      <c r="S259" s="36">
        <f>S158</f>
        <v>0.337428963034475</v>
      </c>
      <c r="T259" s="36">
        <f>T158</f>
        <v>0.334990120079039</v>
      </c>
      <c r="U259" s="36">
        <f>U158</f>
        <v>0.339653097451635</v>
      </c>
      <c r="V259" s="36">
        <f>V158</f>
        <v>0.308283449530819</v>
      </c>
      <c r="W259" s="36">
        <f>W158</f>
        <v>0.345218623731261</v>
      </c>
      <c r="X259" s="36">
        <f>X158</f>
        <v>0.331708725206454</v>
      </c>
      <c r="Y259" s="36">
        <f>Y158</f>
        <v>0.343371065619314</v>
      </c>
      <c r="Z259" s="36">
        <f>Z158</f>
        <v>0.34254023341627</v>
      </c>
      <c r="AA259" s="36">
        <f>AA158</f>
        <v>0.352001071090081</v>
      </c>
      <c r="AB259" s="36">
        <f>AB158</f>
        <v>0.350207864809836</v>
      </c>
      <c r="AC259" s="36">
        <f>AC158</f>
        <v>0.347003051946396</v>
      </c>
      <c r="AD259" s="36">
        <f>AD158</f>
        <v>0.350933125838143</v>
      </c>
      <c r="AE259" s="36">
        <f>AE158</f>
        <v>0.346949388856806</v>
      </c>
      <c r="AF259" s="36">
        <f>AF158</f>
        <v>0.32788491555525</v>
      </c>
      <c r="AG259" s="36">
        <f>AG158</f>
        <v>0.320490909212578</v>
      </c>
      <c r="AH259" s="36">
        <f>AH158</f>
        <v>0.335434995242778</v>
      </c>
      <c r="AI259" s="36">
        <f>AI158</f>
        <v>0.338597537798801</v>
      </c>
      <c r="AJ259" s="36">
        <f>AJ158</f>
        <v>0.34189648276316</v>
      </c>
      <c r="AK259" s="36">
        <f>AK158</f>
        <v>0.341273017600078</v>
      </c>
      <c r="AL259" s="36">
        <f>AL158</f>
        <v>0.336501632772137</v>
      </c>
      <c r="AM259" s="36">
        <f>AM158</f>
        <v>0.339594489205507</v>
      </c>
      <c r="AN259" s="36">
        <f>AN158</f>
        <v>0.340397590012303</v>
      </c>
      <c r="AO259" s="36">
        <f>AO158</f>
        <v>0.347333618186685</v>
      </c>
      <c r="AP259" s="36">
        <f>AP158</f>
        <v>0.326158380805246</v>
      </c>
      <c r="AQ259" s="36">
        <f>AQ158</f>
        <v>0.32721948861005</v>
      </c>
      <c r="AR259" s="36">
        <f>AR158</f>
        <v>0.33549641857281</v>
      </c>
      <c r="AS259" s="36">
        <f>AS158</f>
        <v>0.338069861294518</v>
      </c>
      <c r="AT259" s="36">
        <f>AT158</f>
        <v>0.320584635542306</v>
      </c>
      <c r="AU259" s="36">
        <f>AU158</f>
        <v>0.322007570774181</v>
      </c>
      <c r="AV259" s="36">
        <f>AV158</f>
        <v>0.330435258880878</v>
      </c>
      <c r="AW259" s="36">
        <f>AW158</f>
        <v>0.328139263387814</v>
      </c>
      <c r="AX259" s="36">
        <f>AX158</f>
        <v>0.335217913373605</v>
      </c>
      <c r="AY259" s="36">
        <f>AY158</f>
        <v>0.33154779334361</v>
      </c>
      <c r="AZ259" s="36">
        <f>AZ158</f>
        <v>0.332532295704405</v>
      </c>
      <c r="BA259" s="36">
        <f>BA158</f>
        <v>0.322957272185641</v>
      </c>
      <c r="BB259" s="36">
        <f>BB158</f>
        <v>0.330409872054122</v>
      </c>
      <c r="BC259" s="36">
        <f>BC158</f>
        <v>0.35634309004936</v>
      </c>
      <c r="BD259" s="36">
        <f>BD158</f>
        <v>0.343940576883607</v>
      </c>
      <c r="BE259" s="36">
        <f>BE158</f>
        <v>0.330950344296651</v>
      </c>
      <c r="BF259" s="36">
        <f>BF158</f>
        <v>0.33083333512365</v>
      </c>
      <c r="BG259" s="36">
        <f>BG158</f>
        <v>0.340517987424795</v>
      </c>
      <c r="BH259" s="36">
        <f>BH158</f>
        <v>0.341905415247902</v>
      </c>
      <c r="BI259" s="36">
        <f>BI158</f>
        <v>0.352102888554686</v>
      </c>
      <c r="BJ259" s="36">
        <f>BJ158</f>
        <v>0.353876350881812</v>
      </c>
      <c r="BK259" s="36">
        <f>BK158</f>
        <v>0.350519690811836</v>
      </c>
      <c r="BL259" s="36">
        <f>BL158</f>
        <v>0.349611702924586</v>
      </c>
      <c r="BM259" s="36">
        <f>BM158</f>
        <v>0.375458750893042</v>
      </c>
      <c r="BN259" s="36">
        <f>BN158</f>
        <v>0.375667403685879</v>
      </c>
      <c r="BO259" s="36">
        <f>BO158</f>
        <v>0.35789049960407</v>
      </c>
      <c r="BP259" s="36">
        <f>BP158</f>
        <v>0.360675948185525</v>
      </c>
      <c r="BQ259" s="36">
        <f>BQ158</f>
        <v>0.367431592024287</v>
      </c>
      <c r="BR259" s="36">
        <f>BR158</f>
        <v>0.363851419969175</v>
      </c>
      <c r="BS259" s="36">
        <f>BS158</f>
        <v>0.372514979245375</v>
      </c>
      <c r="BT259" s="36">
        <f>BT158</f>
        <v>0.366849882258932</v>
      </c>
      <c r="BU259" s="36">
        <f>BU158</f>
        <v>0.346658756019894</v>
      </c>
      <c r="BV259" s="36">
        <f>BV158</f>
        <v>0.362450014800367</v>
      </c>
      <c r="BW259" s="36">
        <f>BW158</f>
        <v>0.355912162463417</v>
      </c>
      <c r="BX259" s="36">
        <f>BX158</f>
        <v>0.368131196896192</v>
      </c>
      <c r="BY259" s="254">
        <f>BY158</f>
        <v>0.367139884013707</v>
      </c>
      <c r="BZ259" s="254">
        <f>BZ158</f>
        <v>0.348556981735272</v>
      </c>
      <c r="CA259" s="254">
        <f>CA158</f>
        <v>0.360032240426609</v>
      </c>
      <c r="CB259" s="254">
        <f>CB158</f>
        <v>0.37064212631724</v>
      </c>
      <c r="CC259" s="254">
        <f>CC158</f>
        <v>0.375647067162444</v>
      </c>
      <c r="CD259" s="254">
        <f>CD158</f>
        <v>0.379768267342318</v>
      </c>
      <c r="CE259" s="254">
        <f>CE158</f>
        <v>0.383544929010821</v>
      </c>
      <c r="CF259" s="19" t="n"/>
    </row>
    <row r="260">
      <c r="B260" s="25" t="inlineStr">
        <is>
          <t xml:space="preserve">  Adjusted operating income margin %</t>
        </is>
      </c>
      <c r="C260" s="36">
        <f>C201</f>
        <v>0.115340671377823</v>
      </c>
      <c r="D260" s="36">
        <f>D201</f>
        <v>0.12164413640222</v>
      </c>
      <c r="E260" s="36">
        <f>E201</f>
        <v>0.126969893886204</v>
      </c>
      <c r="F260" s="36">
        <f>F201</f>
        <v>0.0701619455439676</v>
      </c>
      <c r="G260" s="36">
        <f>G201</f>
        <v>0.0913783975437789</v>
      </c>
      <c r="H260" s="36">
        <f>H201</f>
        <v>0.110205970513718</v>
      </c>
      <c r="I260" s="36">
        <f>I201</f>
        <v>0.13065827143862</v>
      </c>
      <c r="J260" s="36">
        <f>J201</f>
        <v>0.138247610194093</v>
      </c>
      <c r="K260" s="36">
        <f>K201</f>
        <v>0.148001462679673</v>
      </c>
      <c r="L260" s="36">
        <f>L201</f>
        <v>0.146673893405601</v>
      </c>
      <c r="M260" s="36">
        <f>M201</f>
        <v>0.1676979704557</v>
      </c>
      <c r="N260" s="36">
        <f>N201</f>
        <v>0.150157869589588</v>
      </c>
      <c r="O260" s="36">
        <f>O201</f>
        <v>0.143178281673776</v>
      </c>
      <c r="P260" s="36">
        <f>P201</f>
        <v>0.160019271657623</v>
      </c>
      <c r="Q260" s="36">
        <f>Q201</f>
        <v>0.146952193211014</v>
      </c>
      <c r="R260" s="36">
        <f>R201</f>
        <v>0.153640449503914</v>
      </c>
      <c r="S260" s="36">
        <f>S201</f>
        <v>0.151043036635667</v>
      </c>
      <c r="T260" s="36">
        <f>T201</f>
        <v>0.137557379540964</v>
      </c>
      <c r="U260" s="36">
        <f>U201</f>
        <v>0.147465174353883</v>
      </c>
      <c r="V260" s="36">
        <f>V201</f>
        <v>0.150505451310206</v>
      </c>
      <c r="W260" s="36">
        <f>W201</f>
        <v>0.151384279514424</v>
      </c>
      <c r="X260" s="36">
        <f>X201</f>
        <v>0.146545989003037</v>
      </c>
      <c r="Y260" s="36">
        <f>Y201</f>
        <v>0.13671507584589</v>
      </c>
      <c r="Z260" s="36">
        <f>Z201</f>
        <v>0.139141619599675</v>
      </c>
      <c r="AA260" s="36">
        <f>AA201</f>
        <v>0.144154983916032</v>
      </c>
      <c r="AB260" s="36">
        <f>AB201</f>
        <v>0.1473339387189</v>
      </c>
      <c r="AC260" s="36">
        <f>AC201</f>
        <v>0.141835933481461</v>
      </c>
      <c r="AD260" s="36">
        <f>AD201</f>
        <v>0.146499293334274</v>
      </c>
      <c r="AE260" s="36">
        <f>AE201</f>
        <v>0.146987036936595</v>
      </c>
      <c r="AF260" s="36">
        <f>AF201</f>
        <v>0.137948082946597</v>
      </c>
      <c r="AG260" s="36">
        <f>AG201</f>
        <v>0.124179420090071</v>
      </c>
      <c r="AH260" s="36">
        <f>AH201</f>
        <v>0.138079835209994</v>
      </c>
      <c r="AI260" s="36">
        <f>AI201</f>
        <v>0.128376024157446</v>
      </c>
      <c r="AJ260" s="36">
        <f>AJ201</f>
        <v>0.135388556702597</v>
      </c>
      <c r="AK260" s="36">
        <f>AK201</f>
        <v>0.141626837100579</v>
      </c>
      <c r="AL260" s="36">
        <f>AL201</f>
        <v>0.129996625559438</v>
      </c>
      <c r="AM260" s="36">
        <f>AM201</f>
        <v>0.133828203365565</v>
      </c>
      <c r="AN260" s="36">
        <f>AN201</f>
        <v>0.130145394863365</v>
      </c>
      <c r="AO260" s="36">
        <f>AO201</f>
        <v>0.136241840495851</v>
      </c>
      <c r="AP260" s="36">
        <f>AP201</f>
        <v>0.125410689630164</v>
      </c>
      <c r="AQ260" s="36">
        <f>AQ201</f>
        <v>0.124340798063851</v>
      </c>
      <c r="AR260" s="36">
        <f>AR201</f>
        <v>0.129147476485646</v>
      </c>
      <c r="AS260" s="36">
        <f>AS201</f>
        <v>0.125928964901259</v>
      </c>
      <c r="AT260" s="36">
        <f>AT201</f>
        <v>0.10665163434209</v>
      </c>
      <c r="AU260" s="36">
        <f>AU201</f>
        <v>0.125656313164536</v>
      </c>
      <c r="AV260" s="36">
        <f>AV201</f>
        <v>0.133889886623407</v>
      </c>
      <c r="AW260" s="36">
        <f>AW201</f>
        <v>0.123651803871357</v>
      </c>
      <c r="AX260" s="36">
        <f>AX201</f>
        <v>0.144254914989148</v>
      </c>
      <c r="AY260" s="36">
        <f>AY201</f>
        <v>0.151373216174161</v>
      </c>
      <c r="AZ260" s="36">
        <f>AZ201</f>
        <v>0.152202109481756</v>
      </c>
      <c r="BA260" s="36">
        <f>BA201</f>
        <v>0.144710518554316</v>
      </c>
      <c r="BB260" s="36">
        <f>BB201</f>
        <v>0.14817449863644</v>
      </c>
      <c r="BC260" s="36">
        <f>BC201</f>
        <v>0.176229242485801</v>
      </c>
      <c r="BD260" s="36">
        <f>BD201</f>
        <v>0.173421934448514</v>
      </c>
      <c r="BE260" s="36">
        <f>BE201</f>
        <v>0.163795389418759</v>
      </c>
      <c r="BF260" s="36">
        <f>BF201</f>
        <v>0.157697538171342</v>
      </c>
      <c r="BG260" s="36">
        <f>BG201</f>
        <v>0.167827064208841</v>
      </c>
      <c r="BH260" s="36">
        <f>BH201</f>
        <v>0.162696049331164</v>
      </c>
      <c r="BI260" s="36">
        <f>BI201</f>
        <v>0.173704581991674</v>
      </c>
      <c r="BJ260" s="36">
        <f>BJ201</f>
        <v>0.177472430687157</v>
      </c>
      <c r="BK260" s="36">
        <f>BK201</f>
        <v>0.17203267977561</v>
      </c>
      <c r="BL260" s="36">
        <f>BL201</f>
        <v>0.171481254574586</v>
      </c>
      <c r="BM260" s="36">
        <f>BM201</f>
        <v>0.174698862715642</v>
      </c>
      <c r="BN260" s="36">
        <f>BN201</f>
        <v>0.17385235929344</v>
      </c>
      <c r="BO260" s="36">
        <f>BO201</f>
        <v>0.172558522971581</v>
      </c>
      <c r="BP260" s="36">
        <f>BP201</f>
        <v>0.181597231395134</v>
      </c>
      <c r="BQ260" s="36">
        <f>BQ201</f>
        <v>0.175716634195382</v>
      </c>
      <c r="BR260" s="36">
        <f>BR201</f>
        <v>0.168704723672525</v>
      </c>
      <c r="BS260" s="36">
        <f>BS201</f>
        <v>0.179222778557014</v>
      </c>
      <c r="BT260" s="36">
        <f>BT201</f>
        <v>0.173913780934711</v>
      </c>
      <c r="BU260" s="36">
        <f>BU201</f>
        <v>0.179694358565515</v>
      </c>
      <c r="BV260" s="36">
        <f>BV201</f>
        <v>0.175516294224219</v>
      </c>
      <c r="BW260" s="36">
        <f>BW201</f>
        <v>0.168511031411568</v>
      </c>
      <c r="BX260" s="36">
        <f>BX201</f>
        <v>0.183772074745237</v>
      </c>
      <c r="BY260" s="254">
        <f>BY201</f>
        <v>0.181132780843135</v>
      </c>
      <c r="BZ260" s="254">
        <f>BZ201</f>
        <v>0.187194495274847</v>
      </c>
      <c r="CA260" s="254">
        <f>CA201</f>
        <v>0.180347712768648</v>
      </c>
      <c r="CB260" s="254">
        <f>CB201</f>
        <v>0.186039792105288</v>
      </c>
      <c r="CC260" s="254">
        <f>CC201</f>
        <v>0.191109598915239</v>
      </c>
      <c r="CD260" s="254">
        <f>CD201</f>
        <v>0.195199661251016</v>
      </c>
      <c r="CE260" s="254">
        <f>CE201</f>
        <v>0.198947940886405</v>
      </c>
      <c r="CF260" s="19" t="n"/>
    </row>
    <row r="261">
      <c r="B261" s="25" t="inlineStr">
        <is>
          <t xml:space="preserve">  Adjusted EBIT margin %</t>
        </is>
      </c>
      <c r="C261" s="36">
        <f>C223</f>
        <v>0.120147673708045</v>
      </c>
      <c r="D261" s="36">
        <f>D223</f>
        <v>0.127195297757262</v>
      </c>
      <c r="E261" s="36">
        <f>E223</f>
        <v>0.130081871429949</v>
      </c>
      <c r="F261" s="36">
        <f>F223</f>
        <v>0.0706476954348185</v>
      </c>
      <c r="G261" s="36">
        <f>G223</f>
        <v>0.0937878591730542</v>
      </c>
      <c r="H261" s="36">
        <f>H223</f>
        <v>0.11326170141939</v>
      </c>
      <c r="I261" s="36">
        <f>I223</f>
        <v>0.133354034023664</v>
      </c>
      <c r="J261" s="36">
        <f>J223</f>
        <v>0.14099332983566</v>
      </c>
      <c r="K261" s="36">
        <f>K223</f>
        <v>0.150985934080436</v>
      </c>
      <c r="L261" s="36">
        <f>L223</f>
        <v>0.150553206865402</v>
      </c>
      <c r="M261" s="36">
        <f>M223</f>
        <v>0.170736620914365</v>
      </c>
      <c r="N261" s="36">
        <f>N223</f>
        <v>0.153312807540722</v>
      </c>
      <c r="O261" s="36">
        <f>O223</f>
        <v>0.147037786360943</v>
      </c>
      <c r="P261" s="36">
        <f>P223</f>
        <v>0.163660846278333</v>
      </c>
      <c r="Q261" s="36">
        <f>Q223</f>
        <v>0.150046732432028</v>
      </c>
      <c r="R261" s="36">
        <f>R223</f>
        <v>0.156411103670715</v>
      </c>
      <c r="S261" s="36">
        <f>S223</f>
        <v>0.154386768107762</v>
      </c>
      <c r="T261" s="36">
        <f>T223</f>
        <v>0.14281501747986</v>
      </c>
      <c r="U261" s="36">
        <f>U223</f>
        <v>0.149414808797425</v>
      </c>
      <c r="V261" s="36">
        <f>V223</f>
        <v>0.151444744453366</v>
      </c>
      <c r="W261" s="36">
        <f>W223</f>
        <v>0.154616759245403</v>
      </c>
      <c r="X261" s="36">
        <f>X223</f>
        <v>0.149384156659599</v>
      </c>
      <c r="Y261" s="36">
        <f>Y223</f>
        <v>0.139052008091197</v>
      </c>
      <c r="Z261" s="36">
        <f>Z223</f>
        <v>0.141550391784179</v>
      </c>
      <c r="AA261" s="36">
        <f>AA223</f>
        <v>0.147540896967476</v>
      </c>
      <c r="AB261" s="36">
        <f>AB223</f>
        <v>0.149932248841845</v>
      </c>
      <c r="AC261" s="36">
        <f>AC223</f>
        <v>0.14451814681524</v>
      </c>
      <c r="AD261" s="36">
        <f>AD223</f>
        <v>0.149513597074869</v>
      </c>
      <c r="AE261" s="36">
        <f>AE223</f>
        <v>0.149182111419173</v>
      </c>
      <c r="AF261" s="36">
        <f>AF223</f>
        <v>0.141184870296987</v>
      </c>
      <c r="AG261" s="36">
        <f>AG223</f>
        <v>0.127743463800799</v>
      </c>
      <c r="AH261" s="36">
        <f>AH223</f>
        <v>0.141111730504631</v>
      </c>
      <c r="AI261" s="36">
        <f>AI223</f>
        <v>0.133931022468114</v>
      </c>
      <c r="AJ261" s="36">
        <f>AJ223</f>
        <v>0.141009705690258</v>
      </c>
      <c r="AK261" s="36">
        <f>AK223</f>
        <v>0.145911200530729</v>
      </c>
      <c r="AL261" s="36">
        <f>AL223</f>
        <v>0.137476859538575</v>
      </c>
      <c r="AM261" s="36">
        <f>AM223</f>
        <v>0.1395640468403</v>
      </c>
      <c r="AN261" s="36">
        <f>AN223</f>
        <v>0.1351020978063</v>
      </c>
      <c r="AO261" s="36">
        <f>AO223</f>
        <v>0.14098696538517</v>
      </c>
      <c r="AP261" s="36">
        <f>AP223</f>
        <v>0.128218636722529</v>
      </c>
      <c r="AQ261" s="36">
        <f>AQ223</f>
        <v>0.128939423365526</v>
      </c>
      <c r="AR261" s="36">
        <f>AR223</f>
        <v>0.133438796086402</v>
      </c>
      <c r="AS261" s="36">
        <f>AS223</f>
        <v>0.12636914148472</v>
      </c>
      <c r="AT261" s="36">
        <f>AT223</f>
        <v>0.111951883018721</v>
      </c>
      <c r="AU261" s="36">
        <f>AU223</f>
        <v>0.132010142206169</v>
      </c>
      <c r="AV261" s="36">
        <f>AV223</f>
        <v>0.140190027587439</v>
      </c>
      <c r="AW261" s="36">
        <f>AW223</f>
        <v>0.128193869096935</v>
      </c>
      <c r="AX261" s="36">
        <f>AX223</f>
        <v>0.148838671582426</v>
      </c>
      <c r="AY261" s="36">
        <f>AY223</f>
        <v>0.155429098292222</v>
      </c>
      <c r="AZ261" s="36">
        <f>AZ223</f>
        <v>0.15483214169686</v>
      </c>
      <c r="BA261" s="36">
        <f>BA223</f>
        <v>0.148384781303191</v>
      </c>
      <c r="BB261" s="36">
        <f>BB223</f>
        <v>0.151898781143907</v>
      </c>
      <c r="BC261" s="36">
        <f>BC223</f>
        <v>0.176619323830188</v>
      </c>
      <c r="BD261" s="36">
        <f>BD223</f>
        <v>0.172252366724458</v>
      </c>
      <c r="BE261" s="36">
        <f>BE223</f>
        <v>0.167631837817031</v>
      </c>
      <c r="BF261" s="36">
        <f>BF223</f>
        <v>0.160815911761736</v>
      </c>
      <c r="BG261" s="36">
        <f>BG223</f>
        <v>0.169347319254357</v>
      </c>
      <c r="BH261" s="36">
        <f>BH223</f>
        <v>0.165162030244106</v>
      </c>
      <c r="BI261" s="36">
        <f>BI223</f>
        <v>0.180065342529689</v>
      </c>
      <c r="BJ261" s="36">
        <f>BJ223</f>
        <v>0.178247681506445</v>
      </c>
      <c r="BK261" s="36">
        <f>BK223</f>
        <v>0.174401094364364</v>
      </c>
      <c r="BL261" s="36">
        <f>BL223</f>
        <v>0.174484139367064</v>
      </c>
      <c r="BM261" s="36">
        <f>BM223</f>
        <v>0.177004210163708</v>
      </c>
      <c r="BN261" s="36">
        <f>BN223</f>
        <v>0.177177265355301</v>
      </c>
      <c r="BO261" s="36">
        <f>BO223</f>
        <v>0.174918857159121</v>
      </c>
      <c r="BP261" s="36">
        <f>BP223</f>
        <v>0.182804631170679</v>
      </c>
      <c r="BQ261" s="36">
        <f>BQ223</f>
        <v>0.178015401616995</v>
      </c>
      <c r="BR261" s="36">
        <f>BR223</f>
        <v>0.169146783912193</v>
      </c>
      <c r="BS261" s="36">
        <f>BS223</f>
        <v>0.182928207092488</v>
      </c>
      <c r="BT261" s="36">
        <f>BT223</f>
        <v>0.176727505048402</v>
      </c>
      <c r="BU261" s="36">
        <f>BU223</f>
        <v>0.181740311389014</v>
      </c>
      <c r="BV261" s="36">
        <f>BV223</f>
        <v>0.177800960689137</v>
      </c>
      <c r="BW261" s="36">
        <f>BW223</f>
        <v>0.169019309205892</v>
      </c>
      <c r="BX261" s="36">
        <f>BX223</f>
        <v>0.183574479179905</v>
      </c>
      <c r="BY261" s="254">
        <f>BY223</f>
        <v>0.181271486834643</v>
      </c>
      <c r="BZ261" s="254">
        <f>BZ223</f>
        <v>0.187332413056958</v>
      </c>
      <c r="CA261" s="254">
        <f>CA223</f>
        <v>0.180487125504511</v>
      </c>
      <c r="CB261" s="254">
        <f>CB223</f>
        <v>0.186835123681383</v>
      </c>
      <c r="CC261" s="254">
        <f>CC223</f>
        <v>0.191849649719712</v>
      </c>
      <c r="CD261" s="254">
        <f>CD223</f>
        <v>0.195889891504932</v>
      </c>
      <c r="CE261" s="254">
        <f>CE223</f>
        <v>0.19959275988734</v>
      </c>
      <c r="CF261" s="19" t="n"/>
    </row>
    <row r="262">
      <c r="B262" s="25" t="inlineStr">
        <is>
          <t xml:space="preserve">  Adjusted EBITDA margin %</t>
        </is>
      </c>
      <c r="C262" s="36">
        <f>C230</f>
        <v>0.144400747496723</v>
      </c>
      <c r="D262" s="36">
        <f>D230</f>
        <v>0.150261927477569</v>
      </c>
      <c r="E262" s="36">
        <f>E230</f>
        <v>0.153043546307154</v>
      </c>
      <c r="F262" s="36">
        <f>F230</f>
        <v>0.103376829151933</v>
      </c>
      <c r="G262" s="36">
        <f>G230</f>
        <v>0.12149425265147</v>
      </c>
      <c r="H262" s="36">
        <f>H230</f>
        <v>0.136289532173313</v>
      </c>
      <c r="I262" s="36">
        <f>I230</f>
        <v>0.15625119376512</v>
      </c>
      <c r="J262" s="36">
        <f>J230</f>
        <v>0.165203813669592</v>
      </c>
      <c r="K262" s="36">
        <f>K230</f>
        <v>0.174573018508947</v>
      </c>
      <c r="L262" s="36">
        <f>L230</f>
        <v>0.175595302619693</v>
      </c>
      <c r="M262" s="36">
        <f>M230</f>
        <v>0.194522594716498</v>
      </c>
      <c r="N262" s="36">
        <f>N230</f>
        <v>0.17745965097272</v>
      </c>
      <c r="O262" s="36">
        <f>O230</f>
        <v>0.173212059638398</v>
      </c>
      <c r="P262" s="36">
        <f>P230</f>
        <v>0.188325548260815</v>
      </c>
      <c r="Q262" s="36">
        <f>Q230</f>
        <v>0.173960605048779</v>
      </c>
      <c r="R262" s="36">
        <f>R230</f>
        <v>0.180667120888247</v>
      </c>
      <c r="S262" s="36">
        <f>S230</f>
        <v>0.179128674834466</v>
      </c>
      <c r="T262" s="36">
        <f>T230</f>
        <v>0.1671834625323</v>
      </c>
      <c r="U262" s="36">
        <f>U230</f>
        <v>0.173012004693564</v>
      </c>
      <c r="V262" s="36">
        <f>V230</f>
        <v>0.176522011389317</v>
      </c>
      <c r="W262" s="36">
        <f>W230</f>
        <v>0.182980184335854</v>
      </c>
      <c r="X262" s="36">
        <f>X230</f>
        <v>0.174625590200454</v>
      </c>
      <c r="Y262" s="36">
        <f>Y230</f>
        <v>0.167423854503724</v>
      </c>
      <c r="Z262" s="36">
        <f>Z230</f>
        <v>0.169582963380586</v>
      </c>
      <c r="AA262" s="36">
        <f>AA230</f>
        <v>0.176190794967286</v>
      </c>
      <c r="AB262" s="36">
        <f>AB230</f>
        <v>0.179334832608526</v>
      </c>
      <c r="AC262" s="36">
        <f>AC230</f>
        <v>0.173126517290406</v>
      </c>
      <c r="AD262" s="36">
        <f>AD230</f>
        <v>0.177342971301281</v>
      </c>
      <c r="AE262" s="36">
        <f>AE230</f>
        <v>0.174450992090713</v>
      </c>
      <c r="AF262" s="36">
        <f>AF230</f>
        <v>0.16874461344514</v>
      </c>
      <c r="AG262" s="36">
        <f>AG230</f>
        <v>0.151376165206743</v>
      </c>
      <c r="AH262" s="36">
        <f>AH230</f>
        <v>0.167065927814448</v>
      </c>
      <c r="AI262" s="36">
        <f>AI230</f>
        <v>0.157864103809443</v>
      </c>
      <c r="AJ262" s="36">
        <f>AJ230</f>
        <v>0.164032240915788</v>
      </c>
      <c r="AK262" s="36">
        <f>AK230</f>
        <v>0.16981979354198</v>
      </c>
      <c r="AL262" s="36">
        <f>AL230</f>
        <v>0.162213794336586</v>
      </c>
      <c r="AM262" s="36">
        <f>AM230</f>
        <v>0.163451068025149</v>
      </c>
      <c r="AN262" s="36">
        <f>AN230</f>
        <v>0.159998893534289</v>
      </c>
      <c r="AO262" s="36">
        <f>AO230</f>
        <v>0.167178458909046</v>
      </c>
      <c r="AP262" s="36">
        <f>AP230</f>
        <v>0.15715745987523</v>
      </c>
      <c r="AQ262" s="36">
        <f>AQ230</f>
        <v>0.157578292750171</v>
      </c>
      <c r="AR262" s="36">
        <f>AR230</f>
        <v>0.160571536644034</v>
      </c>
      <c r="AS262" s="36">
        <f>AS230</f>
        <v>0.156323941475033</v>
      </c>
      <c r="AT262" s="36">
        <f>AT230</f>
        <v>0.14589311136955</v>
      </c>
      <c r="AU262" s="36">
        <f>AU230</f>
        <v>0.161145064644604</v>
      </c>
      <c r="AV262" s="36">
        <f>AV230</f>
        <v>0.168910368207278</v>
      </c>
      <c r="AW262" s="36">
        <f>AW230</f>
        <v>0.158506439707765</v>
      </c>
      <c r="AX262" s="36">
        <f>AX230</f>
        <v>0.174092924766948</v>
      </c>
      <c r="AY262" s="36">
        <f>AY230</f>
        <v>0.178890779160123</v>
      </c>
      <c r="AZ262" s="36">
        <f>AZ230</f>
        <v>0.18217406076478</v>
      </c>
      <c r="BA262" s="36">
        <f>BA230</f>
        <v>0.172770893963999</v>
      </c>
      <c r="BB262" s="36">
        <f>BB230</f>
        <v>0.176988912181759</v>
      </c>
      <c r="BC262" s="36">
        <f>BC230</f>
        <v>0.198112697850122</v>
      </c>
      <c r="BD262" s="36">
        <f>BD230</f>
        <v>0.192743523286671</v>
      </c>
      <c r="BE262" s="36">
        <f>BE230</f>
        <v>0.188214789786579</v>
      </c>
      <c r="BF262" s="36">
        <f>BF230</f>
        <v>0.181279231395566</v>
      </c>
      <c r="BG262" s="36">
        <f>BG230</f>
        <v>0.190101007361725</v>
      </c>
      <c r="BH262" s="36">
        <f>BH230</f>
        <v>0.18565093525429</v>
      </c>
      <c r="BI262" s="36">
        <f>BI230</f>
        <v>0.200730742575891</v>
      </c>
      <c r="BJ262" s="36">
        <f>BJ230</f>
        <v>0.199045889815663</v>
      </c>
      <c r="BK262" s="36">
        <f>BK230</f>
        <v>0.19515566161619</v>
      </c>
      <c r="BL262" s="36">
        <f>BL230</f>
        <v>0.195161030203959</v>
      </c>
      <c r="BM262" s="36">
        <f>BM230</f>
        <v>0.199003869763157</v>
      </c>
      <c r="BN262" s="36">
        <f>BN230</f>
        <v>0.197599451101761</v>
      </c>
      <c r="BO262" s="36">
        <f>BO230</f>
        <v>0.197936689778696</v>
      </c>
      <c r="BP262" s="36">
        <f>BP230</f>
        <v>0.20544875840361</v>
      </c>
      <c r="BQ262" s="36">
        <f>BQ230</f>
        <v>0.20002719106337</v>
      </c>
      <c r="BR262" s="36">
        <f>BR230</f>
        <v>0.192826875669562</v>
      </c>
      <c r="BS262" s="36">
        <f>BS230</f>
        <v>0.205397764066896</v>
      </c>
      <c r="BT262" s="36">
        <f>BT230</f>
        <v>0.200043911434594</v>
      </c>
      <c r="BU262" s="36">
        <f>BU230</f>
        <v>0.205431462434471</v>
      </c>
      <c r="BV262" s="36">
        <f>BV230</f>
        <v>0.201081359970687</v>
      </c>
      <c r="BW262" s="36">
        <f>BW230</f>
        <v>0.192211935789355</v>
      </c>
      <c r="BX262" s="36">
        <f>BX230</f>
        <v>0.204866426217734</v>
      </c>
      <c r="BY262" s="254">
        <f>BY230</f>
        <v>0.20318534709792</v>
      </c>
      <c r="BZ262" s="254">
        <f>BZ230</f>
        <v>0.209121745818473</v>
      </c>
      <c r="CA262" s="254">
        <f>CA230</f>
        <v>0.202512642783259</v>
      </c>
      <c r="CB262" s="254">
        <f>CB230</f>
        <v>0.209707935357678</v>
      </c>
      <c r="CC262" s="254">
        <f>CC230</f>
        <v>0.215504822772319</v>
      </c>
      <c r="CD262" s="254">
        <f>CD230</f>
        <v>0.220335434893768</v>
      </c>
      <c r="CE262" s="254">
        <f>CE230</f>
        <v>0.224753765087399</v>
      </c>
      <c r="CF262" s="19" t="n"/>
    </row>
    <row r="263">
      <c r="B263" s="25" t="inlineStr">
        <is>
          <t xml:space="preserve">  Incremental adjusted EBIT margin (Δ adj. EBIT / Δ net sales)</t>
        </is>
      </c>
      <c r="C263" s="36" t="n"/>
      <c r="D263" s="36">
        <f>IFERROR((D222-C222)/(D154-C154),"")</f>
        <v>0.172189504288226</v>
      </c>
      <c r="E263" s="36">
        <f>IFERROR((E222-D222)/(E154-D154),"")</f>
        <v>0.163274463440334</v>
      </c>
      <c r="F263" s="36">
        <f>IFERROR((F222-E222)/(F154-E154),"")</f>
        <v>0.26714818776122</v>
      </c>
      <c r="G263" s="36">
        <f>IFERROR((G222-F222)/(G154-F154),"")</f>
        <v>0.211175550842361</v>
      </c>
      <c r="H263" s="36">
        <f>IFERROR((H222-G222)/(H154-G154),"")</f>
        <v>0.17782258258239</v>
      </c>
      <c r="I263" s="36">
        <f>IFERROR((I222-H222)/(I154-H154),"")</f>
        <v>0.474382393328212</v>
      </c>
      <c r="J263" s="36" t="n"/>
      <c r="K263" s="36" t="n"/>
      <c r="L263" s="36" t="n"/>
      <c r="M263" s="36" t="n"/>
      <c r="N263" s="36">
        <f>IFERROR((N222-I222)/(N154-I154),"")</f>
        <v>-81.6709770114504</v>
      </c>
      <c r="O263" s="36">
        <f>IFERROR((O222-J222)/(O154-J154),"")</f>
        <v>0.017427113485124</v>
      </c>
      <c r="P263" s="36">
        <f>IFERROR((P222-K222)/(P154-K154),"")</f>
        <v>8.55323020928162</v>
      </c>
      <c r="Q263" s="36">
        <f>IFERROR((Q222-L222)/(Q154-L154),"")</f>
        <v>0.135386160153964</v>
      </c>
      <c r="R263" s="36">
        <f>IFERROR((R222-M222)/(R154-M154),"")</f>
        <v>0.488471641210237</v>
      </c>
      <c r="S263" s="36">
        <f>IFERROR((S222-N222)/(S154-N154),"")</f>
        <v>0.0765242585203371</v>
      </c>
      <c r="T263" s="36">
        <f>IFERROR((T222-O222)/(T154-O154),"")</f>
        <v>0.249318901406377</v>
      </c>
      <c r="U263" s="36">
        <f>IFERROR((U222-P222)/(U154-P154),"")</f>
        <v>0.312112993996018</v>
      </c>
      <c r="V263" s="36">
        <f>IFERROR((V222-Q222)/(V154-Q154),"")</f>
        <v>0.137273229383523</v>
      </c>
      <c r="W263" s="36">
        <f>IFERROR((W222-R222)/(W154-R154),"")</f>
        <v>0.165199320508066</v>
      </c>
      <c r="X263" s="36">
        <f>IFERROR((X222-S222)/(X154-S154),"")</f>
        <v>0.200095123823113</v>
      </c>
      <c r="Y263" s="36">
        <f>IFERROR((Y222-T222)/(Y154-T154),"")</f>
        <v>0.162150814532833</v>
      </c>
      <c r="Z263" s="36">
        <f>IFERROR((Z222-U222)/(Z154-U154),"")</f>
        <v>0.213835347473797</v>
      </c>
      <c r="AA263" s="36">
        <f>IFERROR((AA222-V222)/(AA154-V154),"")</f>
        <v>0.180030959752323</v>
      </c>
      <c r="AB263" s="36">
        <f>IFERROR((AB222-W222)/(AB154-W154),"")</f>
        <v>0.789992783257158</v>
      </c>
      <c r="AC263" s="36">
        <f>IFERROR((AC222-X222)/(AC154-X154),"")</f>
        <v>0.19176267435494</v>
      </c>
      <c r="AD263" s="36">
        <f>IFERROR((AD222-Y222)/(AD154-Y154),"")</f>
        <v>0.340447390223697</v>
      </c>
      <c r="AE263" s="36">
        <f>IFERROR((AE222-Z222)/(AE154-Z154),"")</f>
        <v>0.280458768873401</v>
      </c>
      <c r="AF263" s="36">
        <f>IFERROR((AF222-AA222)/(AF154-AA154),"")</f>
        <v>0.105758751043252</v>
      </c>
      <c r="AG263" s="36">
        <f>IFERROR((AG222-AB222)/(AG154-AB154),"")</f>
        <v>0.0595123175008314</v>
      </c>
      <c r="AH263" s="36">
        <f>IFERROR((AH222-AC222)/(AH154-AC154),"")</f>
        <v>0.118962200236124</v>
      </c>
      <c r="AI263" s="36">
        <f>IFERROR((AI222-AD222)/(AI154-AD154),"")</f>
        <v>0.0827323683957488</v>
      </c>
      <c r="AJ263" s="36">
        <f>IFERROR((AJ222-AE222)/(AJ154-AE154),"")</f>
        <v>0.109618000661789</v>
      </c>
      <c r="AK263" s="36">
        <f>IFERROR((AK222-AF222)/(AK154-AF154),"")</f>
        <v>0.1927138800142</v>
      </c>
      <c r="AL263" s="36">
        <f>IFERROR((AL222-AG222)/(AL154-AG154),"")</f>
        <v>-2.02829064919599</v>
      </c>
      <c r="AM263" s="36">
        <f>IFERROR((AM222-AH222)/(AM154-AH154),"")</f>
        <v>0.129516157360795</v>
      </c>
      <c r="AN263" s="36">
        <f>IFERROR((AN222-AI222)/(AN154-AI154),"")</f>
        <v>0.73545331529095</v>
      </c>
      <c r="AO263" s="36">
        <f>IFERROR((AO222-AJ222)/(AO154-AJ154),"")</f>
        <v>0.142364305427782</v>
      </c>
      <c r="AP263" s="36">
        <f>IFERROR((AP222-AK222)/(AP154-AK154),"")</f>
        <v>2.19300189993666</v>
      </c>
      <c r="AQ263" s="36">
        <f>IFERROR((AQ222-AL222)/(AQ154-AL154),"")</f>
        <v>0.973404255319143</v>
      </c>
      <c r="AR263" s="36">
        <f>IFERROR((AR222-AM222)/(AR154-AM154),"")</f>
        <v>0.863750885757025</v>
      </c>
      <c r="AS263" s="36">
        <f>IFERROR((AS222-AN222)/(AS154-AN154),"")</f>
        <v>0.24230977738139</v>
      </c>
      <c r="AT263" s="36">
        <f>IFERROR((AT222-AO222)/(AT154-AO154),"")</f>
        <v>0.233061879633457</v>
      </c>
      <c r="AU263" s="36">
        <f>IFERROR((AU222-AP222)/(AU154-AP154),"")</f>
        <v>0.0872445270215675</v>
      </c>
      <c r="AV263" s="36">
        <f>IFERROR((AV222-AQ222)/(AV154-AQ154),"")</f>
        <v>-0.0546656316891293</v>
      </c>
      <c r="AW263" s="36">
        <f>IFERROR((AW222-AR222)/(AW154-AR154),"")</f>
        <v>0.173474726336123</v>
      </c>
      <c r="AX263" s="36">
        <f>IFERROR((AX222-AS222)/(AX154-AS154),"")</f>
        <v>0.435471560966745</v>
      </c>
      <c r="AY263" s="36">
        <f>IFERROR((AY222-AT222)/(AY154-AT154),"")</f>
        <v>0.264382103025958</v>
      </c>
      <c r="AZ263" s="36">
        <f>IFERROR((AZ222-AU222)/(AZ154-AU154),"")</f>
        <v>0.265799688876611</v>
      </c>
      <c r="BA263" s="36">
        <f>IFERROR((BA222-AV222)/(BA154-AV154),"")</f>
        <v>0.186172793555634</v>
      </c>
      <c r="BB263" s="36">
        <f>IFERROR((BB222-AW222)/(BB154-AW154),"")</f>
        <v>0.260655171222226</v>
      </c>
      <c r="BC263" s="36">
        <f>IFERROR((BC222-AX222)/(BC154-AX154),"")</f>
        <v>0.301483728855825</v>
      </c>
      <c r="BD263" s="36">
        <f>IFERROR((BD222-AY222)/(BD154-AY154),"")</f>
        <v>0.269389038320468</v>
      </c>
      <c r="BE263" s="36">
        <f>IFERROR((BE222-AZ222)/(BE154-AZ154),"")</f>
        <v>0.247783144130574</v>
      </c>
      <c r="BF263" s="36">
        <f>IFERROR((BF222-BA222)/(BF154-BA154),"")</f>
        <v>0.281889182423312</v>
      </c>
      <c r="BG263" s="36">
        <f>IFERROR((BG222-BB222)/(BG154-BB154),"")</f>
        <v>0.27642207004901</v>
      </c>
      <c r="BH263" s="36">
        <f>IFERROR((BH222-BC222)/(BH154-BC154),"")</f>
        <v>0.0720663769261171</v>
      </c>
      <c r="BI263" s="36">
        <f>IFERROR((BI222-BD222)/(BI154-BD154),"")</f>
        <v>0.263333186774534</v>
      </c>
      <c r="BJ263" s="36">
        <f>IFERROR((BJ222-BE222)/(BJ154-BE154),"")</f>
        <v>0.279584379529262</v>
      </c>
      <c r="BK263" s="36">
        <f>IFERROR((BK222-BF222)/(BK154-BF154),"")</f>
        <v>0.273530333908136</v>
      </c>
      <c r="BL263" s="36">
        <f>IFERROR((BL222-BG222)/(BL154-BG154),"")</f>
        <v>0.219371551373644</v>
      </c>
      <c r="BM263" s="36">
        <f>IFERROR((BM222-BH222)/(BM154-BH154),"")</f>
        <v>-0.0346713445464853</v>
      </c>
      <c r="BN263" s="36">
        <f>IFERROR((BN222-BI222)/(BN154-BI154),"")</f>
        <v>0.255953911835815</v>
      </c>
      <c r="BO263" s="36">
        <f>IFERROR((BO222-BJ222)/(BO154-BJ154),"")</f>
        <v>0.24446466484683</v>
      </c>
      <c r="BP263" s="36">
        <f>IFERROR((BP222-BK222)/(BP154-BK154),"")</f>
        <v>-0.0610147191842792</v>
      </c>
      <c r="BQ263" s="36">
        <f>IFERROR((BQ222-BL222)/(BQ154-BL154),"")</f>
        <v>0.097116404140663</v>
      </c>
      <c r="BR263" s="36">
        <f>IFERROR((BR222-BM222)/(BR154-BM154),"")</f>
        <v>-0.163296106248115</v>
      </c>
      <c r="BS263" s="36">
        <f>IFERROR((BS222-BN222)/(BS154-BN154),"")</f>
        <v>0.270637408568444</v>
      </c>
      <c r="BT263" s="36">
        <f>IFERROR((BT222-BO222)/(BT154-BO154),"")</f>
        <v>0.199695358083338</v>
      </c>
      <c r="BU263" s="36">
        <f>IFERROR((BU222-BP222)/(BU154-BP154),"")</f>
        <v>0.162550278738268</v>
      </c>
      <c r="BV263" s="36">
        <f>IFERROR((BV222-BQ222)/(BV154-BQ154),"")</f>
        <v>0.173969054931728</v>
      </c>
      <c r="BW263" s="36">
        <f>IFERROR((BW222-BR222)/(BW154-BR154),"")</f>
        <v>0.167925431027117</v>
      </c>
      <c r="BX263" s="36">
        <f>IFERROR((BX222-BS222)/(BX154-BS154),"")</f>
        <v>0.188945721047408</v>
      </c>
      <c r="BY263" s="254">
        <f>IFERROR((BY222-BT222)/(BY154-BT154),"")</f>
        <v>0.219931092737787</v>
      </c>
      <c r="BZ263" s="254">
        <f>IFERROR((BZ222-BU222)/(BZ154-BU154),"")</f>
        <v>0.240235769466764</v>
      </c>
      <c r="CA263" s="254">
        <f>IFERROR((CA222-BV222)/(CA154-BV154),"")</f>
        <v>0.203845080420809</v>
      </c>
      <c r="CB263" s="254">
        <f>IFERROR((CB222-CA222)/(CB154-CA154),"")</f>
        <v>0.283624708673073</v>
      </c>
      <c r="CC263" s="254">
        <f>IFERROR((CC222-CB222)/(CC154-CB154),"")</f>
        <v>0.258979755175705</v>
      </c>
      <c r="CD263" s="254">
        <f>IFERROR((CD222-CC222)/(CD154-CC154),"")</f>
        <v>0.251864726831791</v>
      </c>
      <c r="CE263" s="254">
        <f>IFERROR((CE222-CD222)/(CE154-CD154),"")</f>
        <v>0.252171795570235</v>
      </c>
      <c r="CF263" s="19" t="n"/>
    </row>
    <row r="264">
      <c r="B264" s="25" t="inlineStr">
        <is>
          <t xml:space="preserve">  Operating margin (GAAP) %</t>
        </is>
      </c>
      <c r="C264" s="36">
        <f>IF(AND(ISNUMBER(C162),ISNUMBER(C154)),IFERROR(C162/C154,""),"")</f>
        <v>0.118144037648682</v>
      </c>
      <c r="D264" s="36">
        <f>IF(AND(ISNUMBER(D162),ISNUMBER(D154)),IFERROR(D162/D154,""),"")</f>
        <v>0.121726564198977</v>
      </c>
      <c r="E264" s="36">
        <f>IF(AND(ISNUMBER(E162),ISNUMBER(E154)),IFERROR(E162/E154,""),"")</f>
        <v>0.119156268870019</v>
      </c>
      <c r="F264" s="36">
        <f>IF(AND(ISNUMBER(F162),ISNUMBER(F154)),IFERROR(F162/F154,""),"")</f>
        <v>0.0537655736330333</v>
      </c>
      <c r="G264" s="36">
        <f>IF(AND(ISNUMBER(G162),ISNUMBER(G154)),IFERROR(G162/G154,""),"")</f>
        <v>0.0900553190749367</v>
      </c>
      <c r="H264" s="36">
        <f>IF(AND(ISNUMBER(H162),ISNUMBER(H154)),IFERROR(H162/H154,""),"")</f>
        <v>0.110101317111314</v>
      </c>
      <c r="I264" s="36">
        <f>IF(AND(ISNUMBER(I162),ISNUMBER(I154)),IFERROR(I162/I154,""),"")</f>
        <v>0.126896049474183</v>
      </c>
      <c r="J264" s="36">
        <f>IF(AND(ISNUMBER(J162),ISNUMBER(J154)),IFERROR(J162/J154,""),"")</f>
        <v>0.123341678576846</v>
      </c>
      <c r="K264" s="36">
        <f>IF(AND(ISNUMBER(K162),ISNUMBER(K154)),IFERROR(K162/K154,""),"")</f>
        <v>0.143342607968855</v>
      </c>
      <c r="L264" s="36">
        <f>IF(AND(ISNUMBER(L162),ISNUMBER(L154)),IFERROR(L162/L154,""),"")</f>
        <v>0.137565311653117</v>
      </c>
      <c r="M264" s="36">
        <f>IF(AND(ISNUMBER(M162),ISNUMBER(M154)),IFERROR(M162/M154,""),"")</f>
        <v>0.166349324487857</v>
      </c>
      <c r="N264" s="36">
        <f>IF(AND(ISNUMBER(N162),ISNUMBER(N154)),IFERROR(N162/N154,""),"")</f>
        <v>0.142668046893595</v>
      </c>
      <c r="O264" s="36">
        <f>IF(AND(ISNUMBER(O162),ISNUMBER(O154)),IFERROR(O162/O154,""),"")</f>
        <v>0.117417109692261</v>
      </c>
      <c r="P264" s="36">
        <f>IF(AND(ISNUMBER(P162),ISNUMBER(P154)),IFERROR(P162/P154,""),"")</f>
        <v>0.154111492853427</v>
      </c>
      <c r="Q264" s="36">
        <f>IF(AND(ISNUMBER(Q162),ISNUMBER(Q154)),IFERROR(Q162/Q154,""),"")</f>
        <v>0.106341779632483</v>
      </c>
      <c r="R264" s="36">
        <f>IF(AND(ISNUMBER(R162),ISNUMBER(R154)),IFERROR(R162/R154,""),"")</f>
        <v>0.153397743123075</v>
      </c>
      <c r="S264" s="36">
        <f>IF(AND(ISNUMBER(S162),ISNUMBER(S154)),IFERROR(S162/S154,""),"")</f>
        <v>0.132848900446589</v>
      </c>
      <c r="T264" s="36">
        <f>IF(AND(ISNUMBER(T162),ISNUMBER(T154)),IFERROR(T162/T154,""),"")</f>
        <v>0.137557379540964</v>
      </c>
      <c r="U264" s="36">
        <f>IF(AND(ISNUMBER(U162),ISNUMBER(U154)),IFERROR(U162/U154,""),"")</f>
        <v>0.145601287721515</v>
      </c>
      <c r="V264" s="36">
        <f>IF(AND(ISNUMBER(V162),ISNUMBER(V154)),IFERROR(V162/V154,""),"")</f>
        <v>-0.130231599309325</v>
      </c>
      <c r="W264" s="36">
        <f>IF(AND(ISNUMBER(W162),ISNUMBER(W154)),IFERROR(W162/W154,""),"")</f>
        <v>0.13809343556608</v>
      </c>
      <c r="X264" s="36">
        <f>IF(AND(ISNUMBER(X162),ISNUMBER(X154)),IFERROR(X162/X154,""),"")</f>
        <v>0.071654170237216</v>
      </c>
      <c r="Y264" s="36">
        <f>IF(AND(ISNUMBER(Y162),ISNUMBER(Y154)),IFERROR(Y162/Y154,""),"")</f>
        <v>0.13671507584589</v>
      </c>
      <c r="Z264" s="36">
        <f>IF(AND(ISNUMBER(Z162),ISNUMBER(Z154)),IFERROR(Z162/Z154,""),"")</f>
        <v>0.0811622874389367</v>
      </c>
      <c r="AA264" s="36">
        <f>IF(AND(ISNUMBER(AA162),ISNUMBER(AA154)),IFERROR(AA162/AA154,""),"")</f>
        <v>0.144154983916032</v>
      </c>
      <c r="AB264" s="36">
        <f>IF(AND(ISNUMBER(AB162),ISNUMBER(AB154)),IFERROR(AB162/AB154,""),"")</f>
        <v>0.1473339387189</v>
      </c>
      <c r="AC264" s="36">
        <f>IF(AND(ISNUMBER(AC162),ISNUMBER(AC154)),IFERROR(AC162/AC154,""),"")</f>
        <v>0.126735349382357</v>
      </c>
      <c r="AD264" s="36">
        <f>IF(AND(ISNUMBER(AD162),ISNUMBER(AD154)),IFERROR(AD162/AD154,""),"")</f>
        <v>0.140276159112545</v>
      </c>
      <c r="AE264" s="36">
        <f>IF(AND(ISNUMBER(AE162),ISNUMBER(AE154)),IFERROR(AE162/AE154,""),"")</f>
        <v>0.139811568170144</v>
      </c>
      <c r="AF264" s="36">
        <f>IF(AND(ISNUMBER(AF162),ISNUMBER(AF154)),IFERROR(AF162/AF154,""),"")</f>
        <v>0.198762940801295</v>
      </c>
      <c r="AG264" s="36">
        <f>IF(AND(ISNUMBER(AG162),ISNUMBER(AG154)),IFERROR(AG162/AG154,""),"")</f>
        <v>0.101063324344038</v>
      </c>
      <c r="AH264" s="36">
        <f>IF(AND(ISNUMBER(AH162),ISNUMBER(AH154)),IFERROR(AH162/AH154,""),"")</f>
        <v>0.143921101373974</v>
      </c>
      <c r="AI264" s="36">
        <f>IF(AND(ISNUMBER(AI162),ISNUMBER(AI154)),IFERROR(AI162/AI154,""),"")</f>
        <v>0.112430315060394</v>
      </c>
      <c r="AJ264" s="36">
        <f>IF(AND(ISNUMBER(AJ162),ISNUMBER(AJ154)),IFERROR(AJ162/AJ154,""),"")</f>
        <v>0.119781989033633</v>
      </c>
      <c r="AK264" s="36">
        <f>IF(AND(ISNUMBER(AK162),ISNUMBER(AK154)),IFERROR(AK162/AK154,""),"")</f>
        <v>0.136734685571409</v>
      </c>
      <c r="AL264" s="36">
        <f>IF(AND(ISNUMBER(AL162),ISNUMBER(AL154)),IFERROR(AL162/AL154,""),"")</f>
        <v>0.127623761976911</v>
      </c>
      <c r="AM264" s="36">
        <f>IF(AND(ISNUMBER(AM162),ISNUMBER(AM154)),IFERROR(AM162/AM154,""),"")</f>
        <v>0.123994526977813</v>
      </c>
      <c r="AN264" s="36">
        <f>IF(AND(ISNUMBER(AN162),ISNUMBER(AN154)),IFERROR(AN162/AN154,""),"")</f>
        <v>0.124448413670647</v>
      </c>
      <c r="AO264" s="36">
        <f>IF(AND(ISNUMBER(AO162),ISNUMBER(AO154)),IFERROR(AO162/AO154,""),"")</f>
        <v>0.135373123571443</v>
      </c>
      <c r="AP264" s="36">
        <f>IF(AND(ISNUMBER(AP162),ISNUMBER(AP154)),IFERROR(AP162/AP154,""),"")</f>
        <v>0.121163190714617</v>
      </c>
      <c r="AQ264" s="36">
        <f>IF(AND(ISNUMBER(AQ162),ISNUMBER(AQ154)),IFERROR(AQ162/AQ154,""),"")</f>
        <v>0.112319996957791</v>
      </c>
      <c r="AR264" s="36">
        <f>IF(AND(ISNUMBER(AR162),ISNUMBER(AR154)),IFERROR(AR162/AR154,""),"")</f>
        <v>0.123501967187787</v>
      </c>
      <c r="AS264" s="36">
        <f>IF(AND(ISNUMBER(AS162),ISNUMBER(AS154)),IFERROR(AS162/AS154,""),"")</f>
        <v>0.115491509150402</v>
      </c>
      <c r="AT264" s="36">
        <f>IF(AND(ISNUMBER(AT162),ISNUMBER(AT154)),IFERROR(AT162/AT154,""),"")</f>
        <v>0.0673136660420126</v>
      </c>
      <c r="AU264" s="36">
        <f>IF(AND(ISNUMBER(AU162),ISNUMBER(AU154)),IFERROR(AU162/AU154,""),"")</f>
        <v>0.116301981796654</v>
      </c>
      <c r="AV264" s="36">
        <f>IF(AND(ISNUMBER(AV162),ISNUMBER(AV154)),IFERROR(AV162/AV154,""),"")</f>
        <v>0.120266246176819</v>
      </c>
      <c r="AW264" s="36">
        <f>IF(AND(ISNUMBER(AW162),ISNUMBER(AW154)),IFERROR(AW162/AW154,""),"")</f>
        <v>0.106225427430896</v>
      </c>
      <c r="AX264" s="36">
        <f>IF(AND(ISNUMBER(AX162),ISNUMBER(AX154)),IFERROR(AX162/AX154,""),"")</f>
        <v>0.137285491419657</v>
      </c>
      <c r="AY264" s="36">
        <f>IF(AND(ISNUMBER(AY162),ISNUMBER(AY154)),IFERROR(AY162/AY154,""),"")</f>
        <v>0.147403243253708</v>
      </c>
      <c r="AZ264" s="36">
        <f>IF(AND(ISNUMBER(AZ162),ISNUMBER(AZ154)),IFERROR(AZ162/AZ154,""),"")</f>
        <v>0.143306375813128</v>
      </c>
      <c r="BA264" s="36">
        <f>IF(AND(ISNUMBER(BA162),ISNUMBER(BA154)),IFERROR(BA162/BA154,""),"")</f>
        <v>0.142551208112279</v>
      </c>
      <c r="BB264" s="36">
        <f>IF(AND(ISNUMBER(BB162),ISNUMBER(BB154)),IFERROR(BB162/BB154,""),"")</f>
        <v>0.142746847732656</v>
      </c>
      <c r="BC264" s="36">
        <f>IF(AND(ISNUMBER(BC162),ISNUMBER(BC154)),IFERROR(BC162/BC154,""),"")</f>
        <v>0.174192391144613</v>
      </c>
      <c r="BD264" s="36">
        <f>IF(AND(ISNUMBER(BD162),ISNUMBER(BD154)),IFERROR(BD162/BD154,""),"")</f>
        <v>0.172787645074356</v>
      </c>
      <c r="BE264" s="36">
        <f>IF(AND(ISNUMBER(BE162),ISNUMBER(BE154)),IFERROR(BE162/BE154,""),"")</f>
        <v>0.151949232282623</v>
      </c>
      <c r="BF264" s="36">
        <f>IF(AND(ISNUMBER(BF162),ISNUMBER(BF154)),IFERROR(BF162/BF154,""),"")</f>
        <v>0.151984995713982</v>
      </c>
      <c r="BG264" s="36">
        <f>IF(AND(ISNUMBER(BG162),ISNUMBER(BG154)),IFERROR(BG162/BG154,""),"")</f>
        <v>0.162802884496509</v>
      </c>
      <c r="BH264" s="36">
        <f>IF(AND(ISNUMBER(BH162),ISNUMBER(BH154)),IFERROR(BH162/BH154,""),"")</f>
        <v>0.158142210992906</v>
      </c>
      <c r="BI264" s="36">
        <f>IF(AND(ISNUMBER(BI162),ISNUMBER(BI154)),IFERROR(BI162/BI154,""),"")</f>
        <v>0.167847326660789</v>
      </c>
      <c r="BJ264" s="36">
        <f>IF(AND(ISNUMBER(BJ162),ISNUMBER(BJ154)),IFERROR(BJ162/BJ154,""),"")</f>
        <v>0.165929807377755</v>
      </c>
      <c r="BK264" s="36">
        <f>IF(AND(ISNUMBER(BK162),ISNUMBER(BK154)),IFERROR(BK162/BK154,""),"")</f>
        <v>0.192752292364579</v>
      </c>
      <c r="BL264" s="36">
        <f>IF(AND(ISNUMBER(BL162),ISNUMBER(BL154)),IFERROR(BL162/BL154,""),"")</f>
        <v>0.171257475601412</v>
      </c>
      <c r="BM264" s="36">
        <f>IF(AND(ISNUMBER(BM162),ISNUMBER(BM154)),IFERROR(BM162/BM154,""),"")</f>
        <v>0.1682098498059</v>
      </c>
      <c r="BN264" s="36">
        <f>IF(AND(ISNUMBER(BN162),ISNUMBER(BN154)),IFERROR(BN162/BN154,""),"")</f>
        <v>0.145679237101919</v>
      </c>
      <c r="BO264" s="36">
        <f>IF(AND(ISNUMBER(BO162),ISNUMBER(BO154)),IFERROR(BO162/BO154,""),"")</f>
        <v>0.147963068190482</v>
      </c>
      <c r="BP264" s="36">
        <f>IF(AND(ISNUMBER(BP162),ISNUMBER(BP154)),IFERROR(BP162/BP154,""),"")</f>
        <v>0.173201204268755</v>
      </c>
      <c r="BQ264" s="36">
        <f>IF(AND(ISNUMBER(BQ162),ISNUMBER(BQ154)),IFERROR(BQ162/BQ154,""),"")</f>
        <v>0.158771363070545</v>
      </c>
      <c r="BR264" s="36">
        <f>IF(AND(ISNUMBER(BR162),ISNUMBER(BR154)),IFERROR(BR162/BR154,""),"")</f>
        <v>0.164197501364015</v>
      </c>
      <c r="BS264" s="36">
        <f>IF(AND(ISNUMBER(BS162),ISNUMBER(BS154)),IFERROR(BS162/BS154,""),"")</f>
        <v>0.176493768101165</v>
      </c>
      <c r="BT264" s="36">
        <f>IF(AND(ISNUMBER(BT162),ISNUMBER(BT154)),IFERROR(BT162/BT154,""),"")</f>
        <v>0.16646485624659</v>
      </c>
      <c r="BU264" s="36">
        <f>IF(AND(ISNUMBER(BU162),ISNUMBER(BU154)),IFERROR(BU162/BU154,""),"")</f>
        <v>0.170888510867096</v>
      </c>
      <c r="BV264" s="36">
        <f>IF(AND(ISNUMBER(BV162),ISNUMBER(BV154)),IFERROR(BV162/BV154,""),"")</f>
        <v>0.169633472974151</v>
      </c>
      <c r="BW264" s="36">
        <f>IF(AND(ISNUMBER(BW162),ISNUMBER(BW154)),IFERROR(BW162/BW154,""),"")</f>
        <v>0.165999960764521</v>
      </c>
      <c r="BX264" s="36">
        <f>IF(AND(ISNUMBER(BX162),ISNUMBER(BX154)),IFERROR(BX162/BX154,""),"")</f>
        <v>0.1809057092</v>
      </c>
      <c r="BY264" s="254">
        <f>IFERROR(BY162/BY154,"")</f>
        <v>0.178471649480216</v>
      </c>
      <c r="BZ264" s="254">
        <f>IFERROR(BZ162/BZ154,"")</f>
        <v>0.184548486032655</v>
      </c>
      <c r="CA264" s="254">
        <f>IFERROR(CA162/CA154,"")</f>
        <v>0.177673022225275</v>
      </c>
      <c r="CB264" s="254">
        <f>IFERROR(CB162/CB154,"")</f>
        <v>0.182659632906882</v>
      </c>
      <c r="CC264" s="254">
        <f>IFERROR(CC162/CC154,"")</f>
        <v>0.18787187664567</v>
      </c>
      <c r="CD264" s="254">
        <f>IFERROR(CD162/CD154,"")</f>
        <v>0.192179903890131</v>
      </c>
      <c r="CE264" s="254">
        <f>IFERROR(CE162/CE154,"")</f>
        <v>0.196126857757317</v>
      </c>
      <c r="CF264" s="19" t="n"/>
      <c r="CH264" s="20">
        <f>IFERROR(AVERAGE(CA264,CB264,CC264,CD264,CE264),"n/m")</f>
        <v>0.187302258685055</v>
      </c>
      <c r="CI264" s="20">
        <f>IFERROR(AVERAGE(AW264,BB264,BG264,BL264,BQ264,BV264),"n/m")</f>
        <v>0.151906245217695</v>
      </c>
      <c r="CJ264" s="20">
        <f>IFERROR(AVERAGE(X264,AC264,AH264,AM264,AR264,AW264,BB264,BG264,BL264,BQ264,BV264),"n/m")</f>
        <v>0.136476780587756</v>
      </c>
      <c r="CK264" s="20">
        <f>IFERROR(AVERAGE(C264,D264,E264,F264,G264,H264,I264,N264,S264,X264,AC264,AH264,AM264,AR264,AW264,BB264,BG264,BL264,BQ264,BV264),"n/m")</f>
        <v>0.125830333190832</v>
      </c>
    </row>
    <row r="265">
      <c r="B265" s="25" t="inlineStr">
        <is>
          <t xml:space="preserve">  Net margin %</t>
        </is>
      </c>
      <c r="C265" s="36">
        <f>IF(AND(ISNUMBER(C175),ISNUMBER(C154)),IFERROR(C175/C154,""),"")</f>
        <v>0.0887502757471798</v>
      </c>
      <c r="D265" s="36">
        <f>IF(AND(ISNUMBER(D175),ISNUMBER(D154)),IFERROR(D175/D154,""),"")</f>
        <v>0.0888887329970747</v>
      </c>
      <c r="E265" s="36">
        <f>IF(AND(ISNUMBER(E175),ISNUMBER(E154)),IFERROR(E175/E154,""),"")</f>
        <v>0.0856291982956931</v>
      </c>
      <c r="F265" s="36">
        <f>IF(AND(ISNUMBER(F175),ISNUMBER(F154)),IFERROR(F175/F154,""),"")</f>
        <v>0.0280902222594888</v>
      </c>
      <c r="G265" s="36">
        <f>IF(AND(ISNUMBER(G175),ISNUMBER(G154)),IFERROR(G175/G154,""),"")</f>
        <v>0.0629145790784533</v>
      </c>
      <c r="H265" s="36">
        <f>IF(AND(ISNUMBER(H175),ISNUMBER(H154)),IFERROR(H175/H154,""),"")</f>
        <v>0.0806001909739038</v>
      </c>
      <c r="I265" s="36">
        <f>IF(AND(ISNUMBER(I175),ISNUMBER(I154)),IFERROR(I175/I154,""),"")</f>
        <v>0.0902130710840913</v>
      </c>
      <c r="J265" s="36">
        <f>IF(AND(ISNUMBER(J175),ISNUMBER(J154)),IFERROR(J175/J154,""),"")</f>
        <v>0.092970373225824</v>
      </c>
      <c r="K265" s="36">
        <f>IF(AND(ISNUMBER(K175),ISNUMBER(K154)),IFERROR(K175/K154,""),"")</f>
        <v>0.0998113913053041</v>
      </c>
      <c r="L265" s="36">
        <f>IF(AND(ISNUMBER(L175),ISNUMBER(L154)),IFERROR(L175/L154,""),"")</f>
        <v>0.095456549232159</v>
      </c>
      <c r="M265" s="36">
        <f>IF(AND(ISNUMBER(M175),ISNUMBER(M154)),IFERROR(M175/M154,""),"")</f>
        <v>0.123566189277705</v>
      </c>
      <c r="N265" s="36">
        <f>IF(AND(ISNUMBER(N175),ISNUMBER(N154)),IFERROR(N175/N154,""),"")</f>
        <v>0.102984185698246</v>
      </c>
      <c r="O265" s="36">
        <f>IF(AND(ISNUMBER(O175),ISNUMBER(O154)),IFERROR(O175/O154,""),"")</f>
        <v>0.0824056800698331</v>
      </c>
      <c r="P265" s="36">
        <f>IF(AND(ISNUMBER(P175),ISNUMBER(P154)),IFERROR(P175/P154,""),"")</f>
        <v>0.106147850949376</v>
      </c>
      <c r="Q265" s="36">
        <f>IF(AND(ISNUMBER(Q175),ISNUMBER(Q154)),IFERROR(Q175/Q154,""),"")</f>
        <v>0.0638313329430815</v>
      </c>
      <c r="R265" s="36">
        <f>IF(AND(ISNUMBER(R175),ISNUMBER(R154)),IFERROR(R175/R154,""),"")</f>
        <v>0.109966459732672</v>
      </c>
      <c r="S265" s="36">
        <f>IF(AND(ISNUMBER(S175),ISNUMBER(S154)),IFERROR(S175/S154,""),"")</f>
        <v>0.0905284993836473</v>
      </c>
      <c r="T265" s="36">
        <f>IF(AND(ISNUMBER(T175),ISNUMBER(T154)),IFERROR(T175/T154,""),"")</f>
        <v>0.103897248822009</v>
      </c>
      <c r="U265" s="36">
        <f>IF(AND(ISNUMBER(U175),ISNUMBER(U154)),IFERROR(U175/U154,""),"")</f>
        <v>0.106655233625177</v>
      </c>
      <c r="V265" s="36">
        <f>IF(AND(ISNUMBER(V175),ISNUMBER(V154)),IFERROR(V175/V154,""),"")</f>
        <v>-0.0937216158322043</v>
      </c>
      <c r="W265" s="36">
        <f>IF(AND(ISNUMBER(W175),ISNUMBER(W154)),IFERROR(W175/W154,""),"")</f>
        <v>0.0857276160461984</v>
      </c>
      <c r="X265" s="36">
        <f>IF(AND(ISNUMBER(X175),ISNUMBER(X154)),IFERROR(X175/X154,""),"")</f>
        <v>0.0502714931948257</v>
      </c>
      <c r="Y265" s="36">
        <f>IF(AND(ISNUMBER(Y175),ISNUMBER(Y154)),IFERROR(Y175/Y154,""),"")</f>
        <v>0.0973957822640098</v>
      </c>
      <c r="Z265" s="36">
        <f>IF(AND(ISNUMBER(Z175),ISNUMBER(Z154)),IFERROR(Z175/Z154,""),"")</f>
        <v>0.0528630122649886</v>
      </c>
      <c r="AA265" s="36">
        <f>IF(AND(ISNUMBER(AA175),ISNUMBER(AA154)),IFERROR(AA175/AA154,""),"")</f>
        <v>0.105786000429845</v>
      </c>
      <c r="AB265" s="36">
        <f>IF(AND(ISNUMBER(AB175),ISNUMBER(AB154)),IFERROR(AB175/AB154,""),"")</f>
        <v>0.0947008662216137</v>
      </c>
      <c r="AC265" s="36">
        <f>IF(AND(ISNUMBER(AC175),ISNUMBER(AC154)),IFERROR(AC175/AC154,""),"")</f>
        <v>0.0872231508291077</v>
      </c>
      <c r="AD265" s="36">
        <f>IF(AND(ISNUMBER(AD175),ISNUMBER(AD154)),IFERROR(AD175/AD154,""),"")</f>
        <v>0.0961340822899758</v>
      </c>
      <c r="AE265" s="36">
        <f>IF(AND(ISNUMBER(AE175),ISNUMBER(AE154)),IFERROR(AE175/AE154,""),"")</f>
        <v>0.0978722453889078</v>
      </c>
      <c r="AF265" s="36">
        <f>IF(AND(ISNUMBER(AF175),ISNUMBER(AF154)),IFERROR(AF175/AF154,""),"")</f>
        <v>0.158517440861789</v>
      </c>
      <c r="AG265" s="36">
        <f>IF(AND(ISNUMBER(AG175),ISNUMBER(AG154)),IFERROR(AG175/AG154,""),"")</f>
        <v>0.0323628017157731</v>
      </c>
      <c r="AH265" s="36">
        <f>IF(AND(ISNUMBER(AH175),ISNUMBER(AH154)),IFERROR(AH175/AH154,""),"")</f>
        <v>0.0943072993727021</v>
      </c>
      <c r="AI265" s="36">
        <f>IF(AND(ISNUMBER(AI175),ISNUMBER(AI154)),IFERROR(AI175/AI154,""),"")</f>
        <v>0.0802749387617198</v>
      </c>
      <c r="AJ265" s="36">
        <f>IF(AND(ISNUMBER(AJ175),ISNUMBER(AJ154)),IFERROR(AJ175/AJ154,""),"")</f>
        <v>0.0871638828836583</v>
      </c>
      <c r="AK265" s="36">
        <f>IF(AND(ISNUMBER(AK175),ISNUMBER(AK154)),IFERROR(AK175/AK154,""),"")</f>
        <v>0.0956981355286061</v>
      </c>
      <c r="AL265" s="36">
        <f>IF(AND(ISNUMBER(AL175),ISNUMBER(AL154)),IFERROR(AL175/AL154,""),"")</f>
        <v>0.116746232658938</v>
      </c>
      <c r="AM265" s="36">
        <f>IF(AND(ISNUMBER(AM175),ISNUMBER(AM154)),IFERROR(AM175/AM154,""),"")</f>
        <v>0.0947827333017683</v>
      </c>
      <c r="AN265" s="36">
        <f>IF(AND(ISNUMBER(AN175),ISNUMBER(AN154)),IFERROR(AN175/AN154,""),"")</f>
        <v>0.0941549631573263</v>
      </c>
      <c r="AO265" s="36">
        <f>IF(AND(ISNUMBER(AO175),ISNUMBER(AO154)),IFERROR(AO175/AO154,""),"")</f>
        <v>0.109975701665877</v>
      </c>
      <c r="AP265" s="36">
        <f>IF(AND(ISNUMBER(AP175),ISNUMBER(AP154)),IFERROR(AP175/AP154,""),"")</f>
        <v>0.0991552896003328</v>
      </c>
      <c r="AQ265" s="36">
        <f>IF(AND(ISNUMBER(AQ175),ISNUMBER(AQ154)),IFERROR(AQ175/AQ154,""),"")</f>
        <v>0.0865345569171555</v>
      </c>
      <c r="AR265" s="36">
        <f>IF(AND(ISNUMBER(AR175),ISNUMBER(AR154)),IFERROR(AR175/AR154,""),"")</f>
        <v>0.097596554691017</v>
      </c>
      <c r="AS265" s="36">
        <f>IF(AND(ISNUMBER(AS175),ISNUMBER(AS154)),IFERROR(AS175/AS154,""),"")</f>
        <v>0.0791491628810056</v>
      </c>
      <c r="AT265" s="36">
        <f>IF(AND(ISNUMBER(AT175),ISNUMBER(AT154)),IFERROR(AT175/AT154,""),"")</f>
        <v>0.0456996209755098</v>
      </c>
      <c r="AU265" s="36">
        <f>IF(AND(ISNUMBER(AU175),ISNUMBER(AU154)),IFERROR(AU175/AU154,""),"")</f>
        <v>0.087427192594276</v>
      </c>
      <c r="AV265" s="36">
        <f>IF(AND(ISNUMBER(AV175),ISNUMBER(AV154)),IFERROR(AV175/AV154,""),"")</f>
        <v>0.0938001769977832</v>
      </c>
      <c r="AW265" s="36">
        <f>IF(AND(ISNUMBER(AW175),ISNUMBER(AW154)),IFERROR(AW175/AW154,""),"")</f>
        <v>0.0776210740378098</v>
      </c>
      <c r="AX265" s="36">
        <f>IF(AND(ISNUMBER(AX175),ISNUMBER(AX154)),IFERROR(AX175/AX154,""),"")</f>
        <v>0.0979853927433981</v>
      </c>
      <c r="AY265" s="36">
        <f>IF(AND(ISNUMBER(AY175),ISNUMBER(AY154)),IFERROR(AY175/AY154,""),"")</f>
        <v>0.116285963889097</v>
      </c>
      <c r="AZ265" s="36">
        <f>IF(AND(ISNUMBER(AZ175),ISNUMBER(AZ154)),IFERROR(AZ175/AZ154,""),"")</f>
        <v>0.0393785634394521</v>
      </c>
      <c r="BA265" s="36">
        <f>IF(AND(ISNUMBER(BA175),ISNUMBER(BA154)),IFERROR(BA175/BA154,""),"")</f>
        <v>0.0881574318537969</v>
      </c>
      <c r="BB265" s="36">
        <f>IF(AND(ISNUMBER(BB175),ISNUMBER(BB154)),IFERROR(BB175/BB154,""),"")</f>
        <v>0.0854825643594358</v>
      </c>
      <c r="BC265" s="36">
        <f>IF(AND(ISNUMBER(BC175),ISNUMBER(BC154)),IFERROR(BC175/BC154,""),"")</f>
        <v>0.136182692058333</v>
      </c>
      <c r="BD265" s="36">
        <f>IF(AND(ISNUMBER(BD175),ISNUMBER(BD154)),IFERROR(BD175/BD154,""),"")</f>
        <v>0.131832147435666</v>
      </c>
      <c r="BE265" s="36">
        <f>IF(AND(ISNUMBER(BE175),ISNUMBER(BE154)),IFERROR(BE175/BE154,""),"")</f>
        <v>0.116788204097344</v>
      </c>
      <c r="BF265" s="36">
        <f>IF(AND(ISNUMBER(BF175),ISNUMBER(BF154)),IFERROR(BF175/BF154,""),"")</f>
        <v>0.117243542506773</v>
      </c>
      <c r="BG265" s="36">
        <f>IF(AND(ISNUMBER(BG175),ISNUMBER(BG154)),IFERROR(BG175/BG154,""),"")</f>
        <v>0.125551052573227</v>
      </c>
      <c r="BH265" s="36">
        <f>IF(AND(ISNUMBER(BH175),ISNUMBER(BH154)),IFERROR(BH175/BH154,""),"")</f>
        <v>0.117315457938332</v>
      </c>
      <c r="BI265" s="36">
        <f>IF(AND(ISNUMBER(BI175),ISNUMBER(BI154)),IFERROR(BI175/BI154,""),"")</f>
        <v>0.129488527341559</v>
      </c>
      <c r="BJ265" s="36">
        <f>IF(AND(ISNUMBER(BJ175),ISNUMBER(BJ154)),IFERROR(BJ175/BJ154,""),"")</f>
        <v>0.125185102021459</v>
      </c>
      <c r="BK265" s="36">
        <f>IF(AND(ISNUMBER(BK175),ISNUMBER(BK154)),IFERROR(BK175/BK154,""),"")</f>
        <v>0.147984816450231</v>
      </c>
      <c r="BL265" s="36">
        <f>IF(AND(ISNUMBER(BL175),ISNUMBER(BL154)),IFERROR(BL175/BL154,""),"")</f>
        <v>0.130079997404355</v>
      </c>
      <c r="BM265" s="36">
        <f>IF(AND(ISNUMBER(BM175),ISNUMBER(BM154)),IFERROR(BM175/BM154,""),"")</f>
        <v>0.125780042132212</v>
      </c>
      <c r="BN265" s="36">
        <f>IF(AND(ISNUMBER(BN175),ISNUMBER(BN154)),IFERROR(BN175/BN154,""),"")</f>
        <v>0.0995494688665662</v>
      </c>
      <c r="BO265" s="36">
        <f>IF(AND(ISNUMBER(BO175),ISNUMBER(BO154)),IFERROR(BO175/BO154,""),"")</f>
        <v>0.102419393367685</v>
      </c>
      <c r="BP265" s="36">
        <f>IF(AND(ISNUMBER(BP175),ISNUMBER(BP154)),IFERROR(BP175/BP154,""),"")</f>
        <v>0.13720620998776</v>
      </c>
      <c r="BQ265" s="36">
        <f>IF(AND(ISNUMBER(BQ175),ISNUMBER(BQ154)),IFERROR(BQ175/BQ154,""),"")</f>
        <v>0.116274973993868</v>
      </c>
      <c r="BR265" s="36">
        <f>IF(AND(ISNUMBER(BR175),ISNUMBER(BR154)),IFERROR(BR175/BR154,""),"")</f>
        <v>0.11796935049005</v>
      </c>
      <c r="BS265" s="36">
        <f>IF(AND(ISNUMBER(BS175),ISNUMBER(BS154)),IFERROR(BS175/BS154,""),"")</f>
        <v>0.131716318857912</v>
      </c>
      <c r="BT265" s="36">
        <f>IF(AND(ISNUMBER(BT175),ISNUMBER(BT154)),IFERROR(BT175/BT154,""),"")</f>
        <v>0.115553034364938</v>
      </c>
      <c r="BU265" s="36">
        <f>IF(AND(ISNUMBER(BU175),ISNUMBER(BU154)),IFERROR(BU175/BU154,""),"")</f>
        <v>0.126096327574939</v>
      </c>
      <c r="BV265" s="36">
        <f>IF(AND(ISNUMBER(BV175),ISNUMBER(BV154)),IFERROR(BV175/BV154,""),"")</f>
        <v>0.122970146725622</v>
      </c>
      <c r="BW265" s="36">
        <f>IF(AND(ISNUMBER(BW175),ISNUMBER(BW154)),IFERROR(BW175/BW154,""),"")</f>
        <v>0.121613933588602</v>
      </c>
      <c r="BX265" s="36">
        <f>IF(AND(ISNUMBER(BX175),ISNUMBER(BX154)),IFERROR(BX175/BX154,""),"")</f>
        <v>0.129969507970644</v>
      </c>
      <c r="BY265" s="254">
        <f>IFERROR(BY175/BY154,"")</f>
        <v>0.12889316478879</v>
      </c>
      <c r="BZ265" s="254">
        <f>IFERROR(BZ175/BZ154,"")</f>
        <v>0.133620801464275</v>
      </c>
      <c r="CA265" s="254">
        <f>IFERROR(CA175/CA154,"")</f>
        <v>0.128636466970179</v>
      </c>
      <c r="CB265" s="254">
        <f>IFERROR(CB175/CB154,"")</f>
        <v>0.13352181362758</v>
      </c>
      <c r="CC265" s="254">
        <f>IFERROR(CC175/CC154,"")</f>
        <v>0.136834946126146</v>
      </c>
      <c r="CD265" s="254">
        <f>IFERROR(CD175/CD154,"")</f>
        <v>0.139867420083106</v>
      </c>
      <c r="CE265" s="254">
        <f>IFERROR(CE175/CE154,"")</f>
        <v>0.142666230684983</v>
      </c>
      <c r="CF265" s="19" t="n"/>
      <c r="CH265" s="20">
        <f>IFERROR(AVERAGE(CA265,CB265,CC265,CD265,CE265),"n/m")</f>
        <v>0.136305375498399</v>
      </c>
      <c r="CI265" s="20">
        <f>IFERROR(AVERAGE(AW265,BB265,BG265,BL265,BQ265,BV265),"n/m")</f>
        <v>0.10966330151572</v>
      </c>
      <c r="CJ265" s="20">
        <f>IFERROR(AVERAGE(X265,AC265,AH265,AM265,AR265,AW265,BB265,BG265,BL265,BQ265,BV265),"n/m")</f>
        <v>0.0983782764076126</v>
      </c>
      <c r="CK265" s="20">
        <f>IFERROR(AVERAGE(C265,D265,E265,F265,G265,H265,I265,N265,S265,X265,AC265,AH265,AM265,AR265,AW265,BB265,BG265,BL265,BQ265,BV265),"n/m")</f>
        <v>0.0900379998000758</v>
      </c>
    </row>
    <row r="266">
      <c r="B266" s="25" t="inlineStr">
        <is>
          <t xml:space="preserve">  SG&amp;A % of net sales</t>
        </is>
      </c>
      <c r="C266" s="36">
        <f>C150</f>
        <v>0.1601635973153</v>
      </c>
      <c r="D266" s="36">
        <f>D150</f>
        <v>0.162278409529355</v>
      </c>
      <c r="E266" s="36">
        <f>E150</f>
        <v>0.163515360826031</v>
      </c>
      <c r="F266" s="36">
        <f>F150</f>
        <v>0.19279355340502</v>
      </c>
      <c r="G266" s="36">
        <f>G150</f>
        <v>0.182483870905413</v>
      </c>
      <c r="H266" s="36">
        <f>H150</f>
        <v>0.163205496604517</v>
      </c>
      <c r="I266" s="36">
        <f>I150</f>
        <v>0.173556713875222</v>
      </c>
      <c r="J266" s="36">
        <f>J150</f>
        <v>0.190503957148404</v>
      </c>
      <c r="K266" s="36">
        <f>K150</f>
        <v>0.185879917298112</v>
      </c>
      <c r="L266" s="36">
        <f>L150</f>
        <v>0.189654200542005</v>
      </c>
      <c r="M266" s="36">
        <f>M150</f>
        <v>0.173313597960803</v>
      </c>
      <c r="N266" s="36">
        <f>N150</f>
        <v>0.184811357496185</v>
      </c>
      <c r="O266" s="36">
        <f>O150</f>
        <v>0.212995320131609</v>
      </c>
      <c r="P266" s="36">
        <f>P150</f>
        <v>0.188263780127407</v>
      </c>
      <c r="Q266" s="36">
        <f>Q150</f>
        <v>0.19059567435109</v>
      </c>
      <c r="R266" s="36">
        <f>R150</f>
        <v>0.184225839749457</v>
      </c>
      <c r="S266" s="36">
        <f>S150</f>
        <v>0.193897681177141</v>
      </c>
      <c r="T266" s="36">
        <f>T150</f>
        <v>0.197432740538076</v>
      </c>
      <c r="U266" s="36">
        <f>U150</f>
        <v>0.192187923097752</v>
      </c>
      <c r="V266" s="36">
        <f>V150</f>
        <v>0.198861998307412</v>
      </c>
      <c r="W266" s="36">
        <f>W150</f>
        <v>0.195080856008521</v>
      </c>
      <c r="X266" s="36">
        <f>X150</f>
        <v>0.19589469321407</v>
      </c>
      <c r="Y266" s="36">
        <f>Y150</f>
        <v>0.206655989773425</v>
      </c>
      <c r="Z266" s="36">
        <f>Z150</f>
        <v>0.203398613816596</v>
      </c>
      <c r="AA266" s="36">
        <f>AA150</f>
        <v>0.207846087174049</v>
      </c>
      <c r="AB266" s="36">
        <f>AB150</f>
        <v>0.202873926090936</v>
      </c>
      <c r="AC266" s="36">
        <f>AC150</f>
        <v>0.205167118464935</v>
      </c>
      <c r="AD266" s="36">
        <f>AD150</f>
        <v>0.210656966725599</v>
      </c>
      <c r="AE266" s="36">
        <f>AE150</f>
        <v>0.207137820686663</v>
      </c>
      <c r="AF266" s="36">
        <f>AF150</f>
        <v>0.198281978398515</v>
      </c>
      <c r="AG266" s="36">
        <f>AG150</f>
        <v>0.20418102611803</v>
      </c>
      <c r="AH266" s="36">
        <f>AH150</f>
        <v>0.204815824839746</v>
      </c>
      <c r="AI266" s="36">
        <f>AI150</f>
        <v>0.212738354168426</v>
      </c>
      <c r="AJ266" s="36">
        <f>AJ150</f>
        <v>0.20750532876317</v>
      </c>
      <c r="AK266" s="36">
        <f>AK150</f>
        <v>0.200962150267467</v>
      </c>
      <c r="AL266" s="36">
        <f>AL150</f>
        <v>0.207624891271761</v>
      </c>
      <c r="AM266" s="36">
        <f>AM150</f>
        <v>0.207251424220633</v>
      </c>
      <c r="AN266" s="36">
        <f>AN150</f>
        <v>0.211292799806105</v>
      </c>
      <c r="AO266" s="36">
        <f>AO150</f>
        <v>0.210278401251982</v>
      </c>
      <c r="AP266" s="36">
        <f>AP150</f>
        <v>0.202949439163199</v>
      </c>
      <c r="AQ266" s="36">
        <f>AQ150</f>
        <v>0.202878690546199</v>
      </c>
      <c r="AR266" s="36">
        <f>AR150</f>
        <v>0.206937300384381</v>
      </c>
      <c r="AS266" s="36">
        <f>AS150</f>
        <v>0.213289059261444</v>
      </c>
      <c r="AT266" s="36">
        <f>AT150</f>
        <v>0.213933001200216</v>
      </c>
      <c r="AU266" s="36">
        <f>AU150</f>
        <v>0.196351257609645</v>
      </c>
      <c r="AV266" s="36">
        <f>AV150</f>
        <v>0.196545372257471</v>
      </c>
      <c r="AW266" s="36">
        <f>AW150</f>
        <v>0.204790991940951</v>
      </c>
      <c r="AX266" s="36">
        <f>AX150</f>
        <v>0.192433235009333</v>
      </c>
      <c r="AY266" s="36">
        <f>AY150</f>
        <v>0.183382257209718</v>
      </c>
      <c r="AZ266" s="36">
        <f>AZ150</f>
        <v>0.184905772678913</v>
      </c>
      <c r="BA266" s="36">
        <f>BA150</f>
        <v>0.178570117180791</v>
      </c>
      <c r="BB266" s="36">
        <f>BB150</f>
        <v>0.184624541614876</v>
      </c>
      <c r="BC266" s="36">
        <f>BC150</f>
        <v>0.180113847563558</v>
      </c>
      <c r="BD266" s="36">
        <f>BD150</f>
        <v>0.172023403730859</v>
      </c>
      <c r="BE266" s="36">
        <f>BE150</f>
        <v>0.170057953038792</v>
      </c>
      <c r="BF266" s="36">
        <f>BF150</f>
        <v>0.176288544622927</v>
      </c>
      <c r="BG266" s="36">
        <f>BG150</f>
        <v>0.174581005957922</v>
      </c>
      <c r="BH266" s="36">
        <f>BH150</f>
        <v>0.182919401968359</v>
      </c>
      <c r="BI266" s="36">
        <f>BI150</f>
        <v>0.181740864539184</v>
      </c>
      <c r="BJ266" s="36">
        <f>BJ150</f>
        <v>0.181099946380905</v>
      </c>
      <c r="BK266" s="36">
        <f>BK150</f>
        <v>0.178487011036226</v>
      </c>
      <c r="BL266" s="36">
        <f>BL150</f>
        <v>0.181053412080629</v>
      </c>
      <c r="BM266" s="36">
        <f>BM150</f>
        <v>0.202555653961437</v>
      </c>
      <c r="BN266" s="36">
        <f>BN150</f>
        <v>0.204060359230799</v>
      </c>
      <c r="BO266" s="36">
        <f>BO150</f>
        <v>0.189366501348399</v>
      </c>
      <c r="BP266" s="36">
        <f>BP150</f>
        <v>0.18303456548774</v>
      </c>
      <c r="BQ266" s="36">
        <f>BQ150</f>
        <v>0.194725432624786</v>
      </c>
      <c r="BR266" s="36">
        <f>BR150</f>
        <v>0.195805804131471</v>
      </c>
      <c r="BS266" s="36">
        <f>BS150</f>
        <v>0.193686258408172</v>
      </c>
      <c r="BT266" s="36">
        <f>BT150</f>
        <v>0.194890442855299</v>
      </c>
      <c r="BU266" s="36">
        <f>BU150</f>
        <v>0.170244225768623</v>
      </c>
      <c r="BV266" s="36">
        <f>BV150</f>
        <v>0.188517229966527</v>
      </c>
      <c r="BW266" s="36">
        <f>BW150</f>
        <v>0.187983421226751</v>
      </c>
      <c r="BX266" s="36">
        <f>BX150</f>
        <v>0.184371420630125</v>
      </c>
      <c r="BY266" s="254">
        <f>BY150</f>
        <v>0.186288731141173</v>
      </c>
      <c r="BZ266" s="254">
        <f>BZ150</f>
        <v>0.161642514054497</v>
      </c>
      <c r="CA266" s="254">
        <f>CA150</f>
        <v>0.179967590598863</v>
      </c>
      <c r="CB266" s="254">
        <f>CB150</f>
        <v>0.185</v>
      </c>
      <c r="CC266" s="254">
        <f>CC150</f>
        <v>0.185</v>
      </c>
      <c r="CD266" s="254">
        <f>CD150</f>
        <v>0.185</v>
      </c>
      <c r="CE266" s="254">
        <f>CE150</f>
        <v>0.185</v>
      </c>
      <c r="CF266" s="19" t="n"/>
    </row>
    <row r="267">
      <c r="CF267" s="19" t="n"/>
    </row>
    <row r="268">
      <c r="B268" s="10" t="inlineStr">
        <is>
          <t>CONSOLIDATED STATEMENT OF CASH FLOWS</t>
        </is>
      </c>
      <c r="C268" s="10" t="n"/>
      <c r="D268" s="10" t="n"/>
      <c r="E268" s="10" t="n"/>
      <c r="F268" s="10" t="n"/>
      <c r="G268" s="10" t="n"/>
      <c r="H268" s="10" t="n"/>
      <c r="I268" s="10" t="n"/>
      <c r="J268" s="10" t="n"/>
      <c r="K268" s="10" t="n"/>
      <c r="L268" s="10" t="n"/>
      <c r="M268" s="10" t="n"/>
      <c r="N268" s="10" t="n"/>
      <c r="O268" s="10" t="n"/>
      <c r="P268" s="10" t="n"/>
      <c r="Q268" s="10" t="n"/>
      <c r="R268" s="10" t="n"/>
      <c r="S268" s="10" t="n"/>
      <c r="T268" s="10" t="n"/>
      <c r="U268" s="10" t="n"/>
      <c r="V268" s="10" t="n"/>
      <c r="W268" s="10" t="n"/>
      <c r="X268" s="10" t="n"/>
      <c r="Y268" s="10" t="n"/>
      <c r="Z268" s="10" t="n"/>
      <c r="AA268" s="10" t="n"/>
      <c r="AB268" s="10" t="n"/>
      <c r="AC268" s="10" t="n"/>
      <c r="AD268" s="10" t="n"/>
      <c r="AE268" s="10" t="n"/>
      <c r="AF268" s="10" t="n"/>
      <c r="AG268" s="10" t="n"/>
      <c r="AH268" s="10" t="n"/>
      <c r="AI268" s="10" t="n"/>
      <c r="AJ268" s="10" t="n"/>
      <c r="AK268" s="10" t="n"/>
      <c r="AL268" s="10" t="n"/>
      <c r="AM268" s="10" t="n"/>
      <c r="AN268" s="10" t="n"/>
      <c r="AO268" s="10" t="n"/>
      <c r="AP268" s="10" t="n"/>
      <c r="AQ268" s="10" t="n"/>
      <c r="AR268" s="10" t="n"/>
      <c r="AS268" s="10" t="n"/>
      <c r="AT268" s="10" t="n"/>
      <c r="AU268" s="10" t="n"/>
      <c r="AV268" s="10" t="n"/>
      <c r="AW268" s="10" t="n"/>
      <c r="AX268" s="10" t="n"/>
      <c r="AY268" s="10" t="n"/>
      <c r="AZ268" s="10" t="n"/>
      <c r="BA268" s="10" t="n"/>
      <c r="BB268" s="10" t="n"/>
      <c r="BC268" s="10" t="n"/>
      <c r="BD268" s="10" t="n"/>
      <c r="BE268" s="10" t="n"/>
      <c r="BF268" s="10" t="n"/>
      <c r="BG268" s="10" t="n"/>
      <c r="BH268" s="10" t="n"/>
      <c r="BI268" s="10" t="n"/>
      <c r="BJ268" s="10" t="n"/>
      <c r="BK268" s="10" t="n"/>
      <c r="BL268" s="10" t="n"/>
      <c r="BM268" s="10" t="n"/>
      <c r="BN268" s="10" t="n"/>
      <c r="BO268" s="10" t="n"/>
      <c r="BP268" s="10" t="n"/>
      <c r="BQ268" s="10" t="n"/>
      <c r="BR268" s="10" t="n"/>
      <c r="BS268" s="10" t="n"/>
      <c r="BT268" s="10" t="n"/>
      <c r="BU268" s="10" t="n"/>
      <c r="BV268" s="10" t="n"/>
      <c r="BW268" s="10" t="n"/>
      <c r="BX268" s="10" t="n"/>
      <c r="BY268" s="10" t="n"/>
      <c r="BZ268" s="10" t="n"/>
      <c r="CA268" s="10" t="n"/>
      <c r="CB268" s="10" t="n"/>
      <c r="CC268" s="10" t="n"/>
      <c r="CD268" s="10" t="n"/>
      <c r="CE268" s="10" t="n"/>
      <c r="CF268" s="10" t="inlineStr">
        <is>
          <t>CASH FLOW — forecast logic (annual; 2026E = 1H/26 actual + 2H estimate; quarters = discrete, derived from year-to-date statements)</t>
        </is>
      </c>
    </row>
    <row r="269">
      <c r="B269" s="25" t="inlineStr">
        <is>
          <t>Net income (incl. noncontrolling interests)</t>
        </is>
      </c>
      <c r="C269" s="34" t="n">
        <v>175.008</v>
      </c>
      <c r="D269" s="34" t="n">
        <v>202.736</v>
      </c>
      <c r="E269" s="34" t="n">
        <v>212.286</v>
      </c>
      <c r="F269" s="34" t="n">
        <v>48.576</v>
      </c>
      <c r="G269" s="34" t="n">
        <v>132.21</v>
      </c>
      <c r="H269" s="34" t="n">
        <v>217.013</v>
      </c>
      <c r="I269" s="34" t="n">
        <v>257.216</v>
      </c>
      <c r="J269" s="34" t="n">
        <v>66.843</v>
      </c>
      <c r="K269" s="34" t="n">
        <v>72.527</v>
      </c>
      <c r="L269" s="34" t="n">
        <v>64.252</v>
      </c>
      <c r="M269" s="34" t="n">
        <v>88.065</v>
      </c>
      <c r="N269" s="34" t="n">
        <v>291.687</v>
      </c>
      <c r="O269" s="34" t="n">
        <v>56.424</v>
      </c>
      <c r="P269" s="34" t="n">
        <v>77.289</v>
      </c>
      <c r="Q269" s="34" t="n">
        <v>44.832</v>
      </c>
      <c r="R269" s="34" t="n">
        <v>75.33499999999999</v>
      </c>
      <c r="S269" s="34" t="n">
        <v>253.88</v>
      </c>
      <c r="T269" s="34" t="n">
        <v>68.318</v>
      </c>
      <c r="U269" s="34" t="n">
        <v>70.876</v>
      </c>
      <c r="V269" s="34" t="n">
        <v>-60.481</v>
      </c>
      <c r="W269" s="34" t="n">
        <v>48.699</v>
      </c>
      <c r="X269" s="34" t="n">
        <v>127.412</v>
      </c>
      <c r="Y269" s="34" t="n">
        <v>53.624</v>
      </c>
      <c r="Z269" s="34" t="n">
        <v>31.309</v>
      </c>
      <c r="AA269" s="34" t="n">
        <v>60.039</v>
      </c>
      <c r="AB269" s="34" t="n">
        <v>53.401</v>
      </c>
      <c r="AC269" s="34" t="n">
        <v>198.373</v>
      </c>
      <c r="AD269" s="34" t="n">
        <v>55.848</v>
      </c>
      <c r="AE269" s="34" t="n">
        <v>61.331</v>
      </c>
      <c r="AF269" s="34" t="n">
        <v>106.111</v>
      </c>
      <c r="AG269" s="34" t="n">
        <v>24.185</v>
      </c>
      <c r="AH269" s="34" t="n">
        <v>247.475</v>
      </c>
      <c r="AI269" s="34" t="n">
        <v>60.82</v>
      </c>
      <c r="AJ269" s="34" t="n">
        <v>68.85899999999999</v>
      </c>
      <c r="AK269" s="34" t="n">
        <v>70.535</v>
      </c>
      <c r="AL269" s="34" t="n">
        <v>86.779</v>
      </c>
      <c r="AM269" s="34" t="n">
        <v>286.993</v>
      </c>
      <c r="AN269" s="34" t="n">
        <v>71.46599999999999</v>
      </c>
      <c r="AO269" s="34" t="n">
        <v>85.444</v>
      </c>
      <c r="AP269" s="34" t="n">
        <v>72.45699999999999</v>
      </c>
      <c r="AQ269" s="34" t="n">
        <v>63.716</v>
      </c>
      <c r="AR269" s="34" t="n">
        <v>293.083</v>
      </c>
      <c r="AS269" s="34" t="n">
        <v>55.555</v>
      </c>
      <c r="AT269" s="34" t="n">
        <v>27.013</v>
      </c>
      <c r="AU269" s="34" t="n">
        <v>58.506</v>
      </c>
      <c r="AV269" s="34" t="n">
        <v>65.06999999999999</v>
      </c>
      <c r="AW269" s="34" t="n">
        <v>206.144</v>
      </c>
      <c r="AX269" s="34" t="n">
        <v>74.133</v>
      </c>
      <c r="AY269" s="34" t="n">
        <v>96.28</v>
      </c>
      <c r="AZ269" s="34" t="n">
        <v>31.757</v>
      </c>
      <c r="BA269" s="34" t="n">
        <v>74.41</v>
      </c>
      <c r="BB269" s="34" t="n">
        <v>276.58</v>
      </c>
      <c r="BC269" s="34" t="n">
        <v>126.031</v>
      </c>
      <c r="BD269" s="34" t="n">
        <v>127.822</v>
      </c>
      <c r="BE269" s="34" t="n">
        <v>109.225</v>
      </c>
      <c r="BF269" s="34" t="n">
        <v>109.146</v>
      </c>
      <c r="BG269" s="34" t="n">
        <v>472.224</v>
      </c>
      <c r="BH269" s="34" t="n">
        <v>121.959</v>
      </c>
      <c r="BI269" s="34" t="n">
        <v>137.303</v>
      </c>
      <c r="BJ269" s="34" t="n">
        <v>129.343</v>
      </c>
      <c r="BK269" s="34" t="n">
        <v>156.643</v>
      </c>
      <c r="BL269" s="34" t="n">
        <v>545.248</v>
      </c>
      <c r="BM269" s="34" t="n">
        <v>123.415</v>
      </c>
      <c r="BN269" s="34" t="n">
        <v>101.708</v>
      </c>
      <c r="BO269" s="34" t="n">
        <v>100.756</v>
      </c>
      <c r="BP269" s="34" t="n">
        <v>140.229</v>
      </c>
      <c r="BQ269" s="34" t="n">
        <v>466.108</v>
      </c>
      <c r="BR269" s="34" t="n">
        <v>118.487</v>
      </c>
      <c r="BS269" s="34" t="n">
        <v>143.396</v>
      </c>
      <c r="BT269" s="34" t="n">
        <v>122.628</v>
      </c>
      <c r="BU269" s="34" t="n">
        <v>136.022</v>
      </c>
      <c r="BV269" s="34" t="n">
        <v>520.533</v>
      </c>
      <c r="BW269" s="34" t="n">
        <v>136.382</v>
      </c>
      <c r="BX269" s="34" t="n">
        <v>158.519</v>
      </c>
      <c r="BY269" s="257" t="n"/>
      <c r="BZ269" s="257" t="n"/>
      <c r="CA269" s="257">
        <f>CA173</f>
        <v>607.1381839125</v>
      </c>
      <c r="CB269" s="257">
        <f>CB173</f>
        <v>671.527788613991</v>
      </c>
      <c r="CC269" s="257">
        <f>CC173</f>
        <v>739.597580593692</v>
      </c>
      <c r="CD269" s="257">
        <f>CD173</f>
        <v>810.555140343366</v>
      </c>
      <c r="CE269" s="257">
        <f>CE173</f>
        <v>885.000165802894</v>
      </c>
      <c r="CF269" s="19" t="n"/>
    </row>
    <row r="270">
      <c r="B270" s="25" t="inlineStr">
        <is>
          <t>Adjustments:</t>
        </is>
      </c>
      <c r="C270" s="270" t="n"/>
      <c r="D270" s="270" t="n"/>
      <c r="E270" s="270" t="n"/>
      <c r="F270" s="270" t="n"/>
      <c r="G270" s="270" t="n"/>
      <c r="H270" s="270" t="n"/>
      <c r="I270" s="270" t="n"/>
      <c r="J270" s="270" t="n"/>
      <c r="K270" s="270" t="n"/>
      <c r="L270" s="270" t="n"/>
      <c r="M270" s="270" t="n"/>
      <c r="N270" s="270" t="n"/>
      <c r="O270" s="270" t="n"/>
      <c r="P270" s="270" t="n"/>
      <c r="Q270" s="270" t="n"/>
      <c r="R270" s="270" t="n"/>
      <c r="S270" s="270" t="n"/>
      <c r="T270" s="270" t="n"/>
      <c r="U270" s="270" t="n"/>
      <c r="V270" s="270" t="n"/>
      <c r="W270" s="270" t="n"/>
      <c r="X270" s="270" t="n"/>
      <c r="Y270" s="270" t="n"/>
      <c r="Z270" s="270" t="n"/>
      <c r="AA270" s="270" t="n"/>
      <c r="AB270" s="270" t="n"/>
      <c r="AC270" s="270" t="n"/>
      <c r="AD270" s="270" t="n"/>
      <c r="AE270" s="270" t="n"/>
      <c r="AF270" s="270" t="n"/>
      <c r="AG270" s="270" t="n"/>
      <c r="AH270" s="270" t="n"/>
      <c r="AI270" s="270" t="n"/>
      <c r="AJ270" s="270" t="n"/>
      <c r="AK270" s="270" t="n"/>
      <c r="AL270" s="270" t="n"/>
      <c r="AM270" s="270" t="n"/>
      <c r="AN270" s="270" t="n"/>
      <c r="AO270" s="270" t="n"/>
      <c r="AP270" s="270" t="n"/>
      <c r="AQ270" s="270" t="n"/>
      <c r="AR270" s="270" t="n"/>
      <c r="AS270" s="270" t="n"/>
      <c r="AT270" s="270" t="n"/>
      <c r="AU270" s="270" t="n"/>
      <c r="AV270" s="270" t="n"/>
      <c r="AW270" s="270" t="n"/>
      <c r="AX270" s="270" t="n"/>
      <c r="AY270" s="270" t="n"/>
      <c r="AZ270" s="270" t="n"/>
      <c r="BA270" s="270" t="n"/>
      <c r="BB270" s="270" t="n"/>
      <c r="BC270" s="270" t="n"/>
      <c r="BD270" s="270" t="n"/>
      <c r="BE270" s="270" t="n"/>
      <c r="BF270" s="270" t="n"/>
      <c r="BG270" s="270" t="n"/>
      <c r="BH270" s="270" t="n"/>
      <c r="BI270" s="270" t="n"/>
      <c r="BJ270" s="270" t="n"/>
      <c r="BK270" s="270" t="n"/>
      <c r="BL270" s="270" t="n"/>
      <c r="BM270" s="270" t="n"/>
      <c r="BN270" s="270" t="n"/>
      <c r="BO270" s="270" t="n"/>
      <c r="BP270" s="270" t="n"/>
      <c r="BQ270" s="270" t="n"/>
      <c r="BR270" s="270" t="n"/>
      <c r="BS270" s="270" t="n"/>
      <c r="BT270" s="270" t="n"/>
      <c r="BU270" s="270" t="n"/>
      <c r="BV270" s="270" t="n"/>
      <c r="BW270" s="270" t="n"/>
      <c r="BX270" s="270" t="n"/>
      <c r="BY270" s="269" t="n"/>
      <c r="BZ270" s="269" t="n"/>
      <c r="CA270" s="269" t="n"/>
      <c r="CB270" s="269" t="n"/>
      <c r="CC270" s="269" t="n"/>
      <c r="CD270" s="269" t="n"/>
      <c r="CE270" s="269" t="n"/>
      <c r="CF270" s="19" t="n"/>
    </row>
    <row r="271">
      <c r="B271" s="25" t="inlineStr">
        <is>
          <t xml:space="preserve">  Depreciation &amp; amortization</t>
        </is>
      </c>
      <c r="C271" s="34" t="n">
        <v>47.825</v>
      </c>
      <c r="D271" s="34" t="n">
        <v>52.61</v>
      </c>
      <c r="E271" s="34" t="n">
        <v>56.925</v>
      </c>
      <c r="F271" s="34" t="n">
        <v>56.598</v>
      </c>
      <c r="G271" s="34" t="n">
        <v>57.357</v>
      </c>
      <c r="H271" s="34" t="n">
        <v>62.051</v>
      </c>
      <c r="I271" s="34" t="n">
        <v>65.334</v>
      </c>
      <c r="J271" s="34" t="n">
        <v>17.397</v>
      </c>
      <c r="K271" s="34" t="n">
        <v>17.158</v>
      </c>
      <c r="L271" s="34" t="n">
        <v>17.326</v>
      </c>
      <c r="M271" s="34" t="n">
        <v>17.002</v>
      </c>
      <c r="N271" s="34" t="n">
        <v>68.883</v>
      </c>
      <c r="O271" s="34" t="n">
        <v>17.931</v>
      </c>
      <c r="P271" s="34" t="n">
        <v>17.969</v>
      </c>
      <c r="Q271" s="34" t="n">
        <v>17.117</v>
      </c>
      <c r="R271" s="34" t="n">
        <v>16.59</v>
      </c>
      <c r="S271" s="34" t="n">
        <v>69.607</v>
      </c>
      <c r="T271" s="34" t="n">
        <v>16.032</v>
      </c>
      <c r="U271" s="34" t="n">
        <v>15.686</v>
      </c>
      <c r="V271" s="34" t="n">
        <v>16.179</v>
      </c>
      <c r="W271" s="34" t="n">
        <v>16.11</v>
      </c>
      <c r="X271" s="34" t="n">
        <v>64.00700000000001</v>
      </c>
      <c r="Y271" s="34" t="n">
        <v>15.625</v>
      </c>
      <c r="Z271" s="34" t="n">
        <v>16.607</v>
      </c>
      <c r="AA271" s="34" t="n">
        <v>16.263</v>
      </c>
      <c r="AB271" s="34" t="n">
        <v>16.578</v>
      </c>
      <c r="AC271" s="34" t="n">
        <v>65.07299999999999</v>
      </c>
      <c r="AD271" s="34" t="n">
        <v>16.166</v>
      </c>
      <c r="AE271" s="34" t="n">
        <v>15.84</v>
      </c>
      <c r="AF271" s="34" t="n">
        <v>18.451</v>
      </c>
      <c r="AG271" s="34" t="n">
        <v>17.658</v>
      </c>
      <c r="AH271" s="34" t="n">
        <v>68.11499999999999</v>
      </c>
      <c r="AI271" s="34" t="n">
        <v>18.134</v>
      </c>
      <c r="AJ271" s="34" t="n">
        <v>18.189</v>
      </c>
      <c r="AK271" s="34" t="n">
        <v>17.623</v>
      </c>
      <c r="AL271" s="34" t="n">
        <v>18.4</v>
      </c>
      <c r="AM271" s="34" t="n">
        <v>72.346</v>
      </c>
      <c r="AN271" s="34" t="n">
        <v>18.901</v>
      </c>
      <c r="AO271" s="34" t="n">
        <v>20.351</v>
      </c>
      <c r="AP271" s="34" t="n">
        <v>21.148</v>
      </c>
      <c r="AQ271" s="34" t="n">
        <v>21.087</v>
      </c>
      <c r="AR271" s="34" t="n">
        <v>81.48699999999999</v>
      </c>
      <c r="AS271" s="34" t="n">
        <v>21.028</v>
      </c>
      <c r="AT271" s="34" t="n">
        <v>20.05</v>
      </c>
      <c r="AU271" s="34" t="n">
        <v>19.488</v>
      </c>
      <c r="AV271" s="34" t="n">
        <v>19.926</v>
      </c>
      <c r="AW271" s="34" t="n">
        <v>80.492</v>
      </c>
      <c r="AX271" s="34" t="n">
        <v>19.118</v>
      </c>
      <c r="AY271" s="34" t="n">
        <v>19.39</v>
      </c>
      <c r="AZ271" s="34" t="n">
        <v>22.05</v>
      </c>
      <c r="BA271" s="34" t="n">
        <v>20.588</v>
      </c>
      <c r="BB271" s="34" t="n">
        <v>81.146</v>
      </c>
      <c r="BC271" s="34" t="n">
        <v>19.891</v>
      </c>
      <c r="BD271" s="34" t="n">
        <v>19.868</v>
      </c>
      <c r="BE271" s="34" t="n">
        <v>19.25</v>
      </c>
      <c r="BF271" s="34" t="n">
        <v>19.05</v>
      </c>
      <c r="BG271" s="34" t="n">
        <v>78.059</v>
      </c>
      <c r="BH271" s="34" t="n">
        <v>21.295</v>
      </c>
      <c r="BI271" s="34" t="n">
        <v>21.917</v>
      </c>
      <c r="BJ271" s="34" t="n">
        <v>21.489</v>
      </c>
      <c r="BK271" s="34" t="n">
        <v>21.969</v>
      </c>
      <c r="BL271" s="34" t="n">
        <v>86.67</v>
      </c>
      <c r="BM271" s="34" t="n">
        <v>21.586</v>
      </c>
      <c r="BN271" s="34" t="n">
        <v>20.865</v>
      </c>
      <c r="BO271" s="34" t="n">
        <v>22.644</v>
      </c>
      <c r="BP271" s="34" t="n">
        <v>23.143</v>
      </c>
      <c r="BQ271" s="34" t="n">
        <v>88.238</v>
      </c>
      <c r="BR271" s="34" t="n">
        <v>23.784</v>
      </c>
      <c r="BS271" s="34" t="n">
        <v>24.462</v>
      </c>
      <c r="BT271" s="34" t="n">
        <v>24.744</v>
      </c>
      <c r="BU271" s="34" t="n">
        <v>25.556</v>
      </c>
      <c r="BV271" s="34" t="n">
        <v>98.54600000000001</v>
      </c>
      <c r="BW271" s="34" t="n">
        <v>26.009</v>
      </c>
      <c r="BX271" s="34" t="n">
        <v>25.969</v>
      </c>
      <c r="BY271" s="257" t="n"/>
      <c r="BZ271" s="257" t="n"/>
      <c r="CA271" s="257">
        <f>CA148</f>
        <v>103.956</v>
      </c>
      <c r="CB271" s="257">
        <f>CB148</f>
        <v>115.035350607264</v>
      </c>
      <c r="CC271" s="257">
        <f>CC148</f>
        <v>127.857022299732</v>
      </c>
      <c r="CD271" s="257">
        <f>CD148</f>
        <v>141.666020868437</v>
      </c>
      <c r="CE271" s="257">
        <f>CE148</f>
        <v>156.081040810477</v>
      </c>
      <c r="CF271" s="19" t="n"/>
    </row>
    <row r="272">
      <c r="B272" s="25" t="inlineStr">
        <is>
          <t xml:space="preserve">  Stock-based compensation</t>
        </is>
      </c>
      <c r="C272" s="34" t="n">
        <v>4.217</v>
      </c>
      <c r="D272" s="34" t="n">
        <v>4.679</v>
      </c>
      <c r="E272" s="34" t="n">
        <v>4.738</v>
      </c>
      <c r="F272" s="34" t="n">
        <v>5.432</v>
      </c>
      <c r="G272" s="34" t="n">
        <v>8.212999999999999</v>
      </c>
      <c r="H272" s="34" t="n">
        <v>6.61</v>
      </c>
      <c r="I272" s="34" t="n">
        <v>8.961</v>
      </c>
      <c r="J272" s="34" t="n">
        <v>2.468</v>
      </c>
      <c r="K272" s="34" t="n">
        <v>2.511</v>
      </c>
      <c r="L272" s="34" t="n">
        <v>2.532</v>
      </c>
      <c r="M272" s="34" t="n">
        <v>2.223</v>
      </c>
      <c r="N272" s="34" t="n">
        <v>9.734</v>
      </c>
      <c r="O272" s="34" t="n">
        <v>2.293</v>
      </c>
      <c r="P272" s="34" t="n">
        <v>2.292</v>
      </c>
      <c r="Q272" s="34" t="n">
        <v>1.683</v>
      </c>
      <c r="R272" s="34" t="n">
        <v>2.148</v>
      </c>
      <c r="S272" s="34" t="n">
        <v>8.416</v>
      </c>
      <c r="T272" s="34" t="n">
        <v>1.957</v>
      </c>
      <c r="U272" s="34" t="n">
        <v>1.932</v>
      </c>
      <c r="V272" s="34" t="n">
        <v>2.053</v>
      </c>
      <c r="W272" s="34" t="n">
        <v>1.99</v>
      </c>
      <c r="X272" s="34" t="n">
        <v>7.932</v>
      </c>
      <c r="Y272" s="34" t="n">
        <v>2.154</v>
      </c>
      <c r="Z272" s="34" t="n">
        <v>2.689</v>
      </c>
      <c r="AA272" s="34" t="n">
        <v>2.673</v>
      </c>
      <c r="AB272" s="34" t="n">
        <v>2.816</v>
      </c>
      <c r="AC272" s="34" t="n">
        <v>10.332</v>
      </c>
      <c r="AD272" s="34" t="n">
        <v>3.268</v>
      </c>
      <c r="AE272" s="34" t="n">
        <v>3.364</v>
      </c>
      <c r="AF272" s="34" t="n">
        <v>3.334</v>
      </c>
      <c r="AG272" s="34" t="n">
        <v>2.732</v>
      </c>
      <c r="AH272" s="34" t="n">
        <v>12.698</v>
      </c>
      <c r="AI272" s="34" t="n">
        <v>4.419</v>
      </c>
      <c r="AJ272" s="34" t="n">
        <v>5.402</v>
      </c>
      <c r="AK272" s="34" t="n">
        <v>3.762</v>
      </c>
      <c r="AL272" s="34" t="n">
        <v>4.971</v>
      </c>
      <c r="AM272" s="34" t="n">
        <v>18.554</v>
      </c>
      <c r="AN272" s="34" t="n">
        <v>4.149</v>
      </c>
      <c r="AO272" s="34" t="n">
        <v>4.596</v>
      </c>
      <c r="AP272" s="34" t="n">
        <v>3.857</v>
      </c>
      <c r="AQ272" s="34" t="n">
        <v>4.022</v>
      </c>
      <c r="AR272" s="34" t="n">
        <v>16.624</v>
      </c>
      <c r="AS272" s="34" t="n">
        <v>3.691</v>
      </c>
      <c r="AT272" s="34" t="n">
        <v>4.116</v>
      </c>
      <c r="AU272" s="34" t="n">
        <v>3.849</v>
      </c>
      <c r="AV272" s="34" t="n">
        <v>3.732</v>
      </c>
      <c r="AW272" s="34" t="n">
        <v>15.388</v>
      </c>
      <c r="AX272" s="34" t="n">
        <v>6.402</v>
      </c>
      <c r="AY272" s="34" t="n">
        <v>6.249</v>
      </c>
      <c r="AZ272" s="34" t="n">
        <v>5.564</v>
      </c>
      <c r="BA272" s="34" t="n">
        <v>5.572</v>
      </c>
      <c r="BB272" s="34" t="n">
        <v>23.787</v>
      </c>
      <c r="BC272" s="34" t="n">
        <v>11.148</v>
      </c>
      <c r="BD272" s="34" t="n">
        <v>5.192</v>
      </c>
      <c r="BE272" s="34" t="n">
        <v>4.609</v>
      </c>
      <c r="BF272" s="34" t="n">
        <v>4.318</v>
      </c>
      <c r="BG272" s="34" t="n">
        <v>25.267</v>
      </c>
      <c r="BH272" s="34" t="n">
        <v>11.634</v>
      </c>
      <c r="BI272" s="34" t="n">
        <v>4.981</v>
      </c>
      <c r="BJ272" s="34" t="n">
        <v>5.509</v>
      </c>
      <c r="BK272" s="34" t="n">
        <v>4.107</v>
      </c>
      <c r="BL272" s="34" t="n">
        <v>26.231</v>
      </c>
      <c r="BM272" s="34" t="n">
        <v>14.19</v>
      </c>
      <c r="BN272" s="34" t="n">
        <v>4.189</v>
      </c>
      <c r="BO272" s="34" t="n">
        <v>1.124</v>
      </c>
      <c r="BP272" s="34" t="n">
        <v>4.549</v>
      </c>
      <c r="BQ272" s="34" t="n">
        <v>24.052</v>
      </c>
      <c r="BR272" s="34" t="n">
        <v>8.352</v>
      </c>
      <c r="BS272" s="34" t="n">
        <v>3.925</v>
      </c>
      <c r="BT272" s="34" t="n">
        <v>3.633</v>
      </c>
      <c r="BU272" s="34" t="n">
        <v>4.438</v>
      </c>
      <c r="BV272" s="34" t="n">
        <v>20.348</v>
      </c>
      <c r="BW272" s="34" t="n">
        <v>9.58</v>
      </c>
      <c r="BX272" s="34" t="n">
        <v>4.875</v>
      </c>
      <c r="BY272" s="257" t="n"/>
      <c r="BZ272" s="257" t="n"/>
      <c r="CA272" s="257">
        <f>CA179</f>
        <v>29.1421863668934</v>
      </c>
      <c r="CB272" s="257">
        <f>CB179</f>
        <v>30.1760934952705</v>
      </c>
      <c r="CC272" s="257">
        <f>CC179</f>
        <v>32.4302059465952</v>
      </c>
      <c r="CD272" s="257">
        <f>CD179</f>
        <v>34.7710055649165</v>
      </c>
      <c r="CE272" s="257">
        <f>CE179</f>
        <v>37.219746882794</v>
      </c>
      <c r="CF272" s="19" t="n"/>
    </row>
    <row r="273">
      <c r="B273" s="25" t="inlineStr">
        <is>
          <t xml:space="preserve">  Non-cash rationalization &amp; impairment charges, (gains) losses on disposals</t>
        </is>
      </c>
      <c r="C273" s="34" t="n">
        <v>-5.26</v>
      </c>
      <c r="D273" s="34" t="n">
        <v>0.439</v>
      </c>
      <c r="E273" s="34" t="n">
        <v>19.191</v>
      </c>
      <c r="F273" s="34" t="n">
        <v>2.94</v>
      </c>
      <c r="G273" s="34" t="n">
        <v>-4.391</v>
      </c>
      <c r="H273" s="34" t="n">
        <v>0.023</v>
      </c>
      <c r="I273" s="34" t="n">
        <v>1.74</v>
      </c>
      <c r="J273" s="34" t="n">
        <v>0.114</v>
      </c>
      <c r="K273" s="34" t="n">
        <v>0.24</v>
      </c>
      <c r="L273" s="34" t="n">
        <v>4.695</v>
      </c>
      <c r="M273" s="34" t="n">
        <v>0.043</v>
      </c>
      <c r="N273" s="34" t="n">
        <v>5.092</v>
      </c>
      <c r="O273" s="34" t="n">
        <v>-0.035</v>
      </c>
      <c r="P273" s="34" t="n">
        <v>0.894</v>
      </c>
      <c r="Q273" s="34" t="n">
        <v>28.588</v>
      </c>
      <c r="R273" s="34" t="n">
        <v>0.127</v>
      </c>
      <c r="S273" s="34" t="n">
        <v>29.574</v>
      </c>
      <c r="T273" s="34" t="n">
        <v>0.03</v>
      </c>
      <c r="U273" s="34" t="n">
        <v>0</v>
      </c>
      <c r="V273" s="34" t="n">
        <v>6.09</v>
      </c>
      <c r="W273" s="34" t="n">
        <v>0.149</v>
      </c>
      <c r="X273" s="34" t="n">
        <v>6.269</v>
      </c>
      <c r="Y273" s="34" t="n">
        <v>0</v>
      </c>
      <c r="Z273" s="34" t="n">
        <v>0</v>
      </c>
      <c r="AA273" s="34" t="n">
        <v>0</v>
      </c>
      <c r="AB273" s="34" t="n">
        <v>0</v>
      </c>
      <c r="AC273" s="34" t="n">
        <v>0</v>
      </c>
      <c r="AD273" s="34" t="n">
        <v>0</v>
      </c>
      <c r="AE273" s="34" t="n">
        <v>0</v>
      </c>
      <c r="AF273" s="34" t="n">
        <v>0</v>
      </c>
      <c r="AG273" s="34" t="n">
        <v>1.441</v>
      </c>
      <c r="AH273" s="34" t="n">
        <v>1.441</v>
      </c>
      <c r="AI273" s="34" t="n">
        <v>0.676</v>
      </c>
      <c r="AJ273" s="34" t="n">
        <v>-0.05</v>
      </c>
      <c r="AK273" s="34" t="n">
        <v>-2.034</v>
      </c>
      <c r="AL273" s="34" t="n">
        <v>-4.57</v>
      </c>
      <c r="AM273" s="34" t="n">
        <v>-5.978</v>
      </c>
      <c r="AN273" s="34" t="n">
        <v>1.424</v>
      </c>
      <c r="AO273" s="34" t="n">
        <v>-0.355</v>
      </c>
      <c r="AP273" s="34" t="n">
        <v>0</v>
      </c>
      <c r="AQ273" s="34" t="n">
        <v>2.431</v>
      </c>
      <c r="AR273" s="34" t="n">
        <v>3.5</v>
      </c>
      <c r="AS273" s="34" t="n">
        <v>-0.236</v>
      </c>
      <c r="AT273" s="34" t="n">
        <v>22.141</v>
      </c>
      <c r="AU273" s="34" t="n">
        <v>0.022</v>
      </c>
      <c r="AV273" s="34" t="n">
        <v>-0.092</v>
      </c>
      <c r="AW273" s="34" t="n">
        <v>21.835</v>
      </c>
      <c r="AX273" s="34" t="n">
        <v>0.06</v>
      </c>
      <c r="AY273" s="34" t="n">
        <v>-1.434</v>
      </c>
      <c r="AZ273" s="34" t="n">
        <v>0.212</v>
      </c>
      <c r="BA273" s="34" t="n">
        <v>0.108</v>
      </c>
      <c r="BB273" s="34" t="n">
        <v>-1.054</v>
      </c>
      <c r="BC273" s="34" t="n">
        <v>1.188</v>
      </c>
      <c r="BD273" s="34" t="n">
        <v>-1.301</v>
      </c>
      <c r="BE273" s="34" t="n">
        <v>7.889</v>
      </c>
      <c r="BF273" s="34" t="n">
        <v>0.324</v>
      </c>
      <c r="BG273" s="34" t="n">
        <v>8.1</v>
      </c>
      <c r="BH273" s="34" t="n">
        <v>0</v>
      </c>
      <c r="BI273" s="34" t="n">
        <v>1.134</v>
      </c>
      <c r="BJ273" s="34" t="n">
        <v>-0.006</v>
      </c>
      <c r="BK273" s="34" t="n">
        <v>-32.536</v>
      </c>
      <c r="BL273" s="34" t="n">
        <v>-31.408</v>
      </c>
      <c r="BM273" s="34" t="n">
        <v>0.064</v>
      </c>
      <c r="BN273" s="34" t="n">
        <v>23.687</v>
      </c>
      <c r="BO273" s="34" t="n">
        <v>2.168</v>
      </c>
      <c r="BP273" s="34" t="n">
        <v>-5.032</v>
      </c>
      <c r="BQ273" s="34" t="n">
        <v>20.887</v>
      </c>
      <c r="BR273" s="34" t="n">
        <v>0</v>
      </c>
      <c r="BS273" s="34" t="n">
        <v>0.675</v>
      </c>
      <c r="BT273" s="34" t="n">
        <v>0.536</v>
      </c>
      <c r="BU273" s="34" t="n">
        <v>-0.07000000000000001</v>
      </c>
      <c r="BV273" s="34" t="n">
        <v>1.141</v>
      </c>
      <c r="BW273" s="34" t="n">
        <v>0</v>
      </c>
      <c r="BX273" s="34" t="n">
        <v>0</v>
      </c>
      <c r="BY273" s="257" t="n"/>
      <c r="BZ273" s="257" t="n"/>
      <c r="CA273" s="257">
        <f>($BW$273+$BX$273)</f>
        <v>0</v>
      </c>
      <c r="CB273" s="261" t="n">
        <v>0</v>
      </c>
      <c r="CC273" s="261" t="n">
        <v>0</v>
      </c>
      <c r="CD273" s="261" t="n">
        <v>0</v>
      </c>
      <c r="CE273" s="261" t="n">
        <v>0</v>
      </c>
      <c r="CF273" s="19" t="n"/>
    </row>
    <row r="274">
      <c r="B274" s="25" t="inlineStr">
        <is>
          <t xml:space="preserve">  Deferred income taxes</t>
        </is>
      </c>
      <c r="C274" s="34" t="n">
        <v>4.349</v>
      </c>
      <c r="D274" s="34" t="n">
        <v>-3.711</v>
      </c>
      <c r="E274" s="34" t="n">
        <v>7.367</v>
      </c>
      <c r="F274" s="34" t="n">
        <v>-7.09</v>
      </c>
      <c r="G274" s="34" t="n">
        <v>4.387</v>
      </c>
      <c r="H274" s="34" t="n">
        <v>15.139</v>
      </c>
      <c r="I274" s="34" t="n">
        <v>-2.137</v>
      </c>
      <c r="J274" s="34" t="n">
        <v>13.237</v>
      </c>
      <c r="K274" s="34" t="n">
        <v>6.467</v>
      </c>
      <c r="L274" s="34" t="n">
        <v>1.319</v>
      </c>
      <c r="M274" s="34" t="n">
        <v>-3.206</v>
      </c>
      <c r="N274" s="34" t="n">
        <v>17.817</v>
      </c>
      <c r="O274" s="34" t="n">
        <v>3.726</v>
      </c>
      <c r="P274" s="34" t="n">
        <v>-4.052</v>
      </c>
      <c r="Q274" s="34" t="n">
        <v>6.481</v>
      </c>
      <c r="R274" s="34" t="n">
        <v>11.732</v>
      </c>
      <c r="S274" s="34" t="n">
        <v>17.887</v>
      </c>
      <c r="T274" s="34" t="n">
        <v>-16.886</v>
      </c>
      <c r="U274" s="34" t="n">
        <v>10.549</v>
      </c>
      <c r="V274" s="34" t="n">
        <v>-51.353</v>
      </c>
      <c r="W274" s="34" t="n">
        <v>1.962</v>
      </c>
      <c r="X274" s="34" t="n">
        <v>-55.728</v>
      </c>
      <c r="Y274" s="34" t="n">
        <v>-4.238</v>
      </c>
      <c r="Z274" s="34" t="n">
        <v>-3.925</v>
      </c>
      <c r="AA274" s="34" t="n">
        <v>-4.65</v>
      </c>
      <c r="AB274" s="34" t="n">
        <v>3.008</v>
      </c>
      <c r="AC274" s="34" t="n">
        <v>-9.805</v>
      </c>
      <c r="AD274" s="34" t="n">
        <v>0.822</v>
      </c>
      <c r="AE274" s="34" t="n">
        <v>5.574</v>
      </c>
      <c r="AF274" s="34" t="n">
        <v>-3.267</v>
      </c>
      <c r="AG274" s="34" t="n">
        <v>0.929</v>
      </c>
      <c r="AH274" s="34" t="n">
        <v>4.058</v>
      </c>
      <c r="AI274" s="34" t="n">
        <v>7.955</v>
      </c>
      <c r="AJ274" s="34" t="n">
        <v>-2.986</v>
      </c>
      <c r="AK274" s="34" t="n">
        <v>-0.525</v>
      </c>
      <c r="AL274" s="34" t="n">
        <v>-2.954</v>
      </c>
      <c r="AM274" s="34" t="n">
        <v>1.49</v>
      </c>
      <c r="AN274" s="34" t="n">
        <v>1.317</v>
      </c>
      <c r="AO274" s="34" t="n">
        <v>1.357</v>
      </c>
      <c r="AP274" s="34" t="n">
        <v>1.371</v>
      </c>
      <c r="AQ274" s="34" t="n">
        <v>8.974</v>
      </c>
      <c r="AR274" s="34" t="n">
        <v>13.019</v>
      </c>
      <c r="AS274" s="34" t="n">
        <v>-3.685</v>
      </c>
      <c r="AT274" s="34" t="n">
        <v>-6.951</v>
      </c>
      <c r="AU274" s="34" t="n">
        <v>0.493</v>
      </c>
      <c r="AV274" s="34" t="n">
        <v>7.195</v>
      </c>
      <c r="AW274" s="34" t="n">
        <v>-2.948</v>
      </c>
      <c r="AX274" s="34" t="n">
        <v>-16.115</v>
      </c>
      <c r="AY274" s="34" t="n">
        <v>-4.88</v>
      </c>
      <c r="AZ274" s="34" t="n">
        <v>-7.433</v>
      </c>
      <c r="BA274" s="34" t="n">
        <v>-0.128</v>
      </c>
      <c r="BB274" s="34" t="n">
        <v>-28.556</v>
      </c>
      <c r="BC274" s="34" t="n">
        <v>-18.207</v>
      </c>
      <c r="BD274" s="34" t="n">
        <v>-3.565</v>
      </c>
      <c r="BE274" s="34" t="n">
        <v>-12.631</v>
      </c>
      <c r="BF274" s="34" t="n">
        <v>-13.804</v>
      </c>
      <c r="BG274" s="34" t="n">
        <v>-48.207</v>
      </c>
      <c r="BH274" s="34" t="n">
        <v>-7.019</v>
      </c>
      <c r="BI274" s="34" t="n">
        <v>10.793</v>
      </c>
      <c r="BJ274" s="34" t="n">
        <v>-0.573</v>
      </c>
      <c r="BK274" s="34" t="n">
        <v>-24.127</v>
      </c>
      <c r="BL274" s="34" t="n">
        <v>-20.926</v>
      </c>
      <c r="BM274" s="34" t="n">
        <v>-7.348</v>
      </c>
      <c r="BN274" s="34" t="n">
        <v>3.484</v>
      </c>
      <c r="BO274" s="34" t="n">
        <v>-9.476000000000001</v>
      </c>
      <c r="BP274" s="34" t="n">
        <v>-26.988</v>
      </c>
      <c r="BQ274" s="34" t="n">
        <v>-40.328</v>
      </c>
      <c r="BR274" s="34" t="n">
        <v>-5.838</v>
      </c>
      <c r="BS274" s="34" t="n">
        <v>-20.504</v>
      </c>
      <c r="BT274" s="34" t="n">
        <v>97.73699999999999</v>
      </c>
      <c r="BU274" s="34" t="n">
        <v>11.349</v>
      </c>
      <c r="BV274" s="34" t="n">
        <v>82.744</v>
      </c>
      <c r="BW274" s="34" t="n">
        <v>22.533</v>
      </c>
      <c r="BX274" s="34" t="n">
        <v>-4.041</v>
      </c>
      <c r="BY274" s="257" t="n"/>
      <c r="BZ274" s="257" t="n"/>
      <c r="CA274" s="257">
        <f>($BW$274+$BX$274)</f>
        <v>18.492</v>
      </c>
      <c r="CB274" s="261" t="n">
        <v>0</v>
      </c>
      <c r="CC274" s="261" t="n">
        <v>0</v>
      </c>
      <c r="CD274" s="261" t="n">
        <v>0</v>
      </c>
      <c r="CE274" s="261" t="n">
        <v>0</v>
      </c>
      <c r="CF274" s="19" t="inlineStr">
        <is>
          <t>2026E = 1H/26 actual; none forecast thereafter.</t>
        </is>
      </c>
    </row>
    <row r="275">
      <c r="B275" s="25" t="inlineStr">
        <is>
          <t xml:space="preserve">  Other non-cash items, net (derived; incl. pension contributions, equity earnings)</t>
        </is>
      </c>
      <c r="C275" s="34" t="n">
        <v>-6.513000000000034</v>
      </c>
      <c r="D275" s="34" t="n">
        <v>-9.411999999999978</v>
      </c>
      <c r="E275" s="34" t="n">
        <v>2.451000000000022</v>
      </c>
      <c r="F275" s="34" t="n">
        <v>33.90299999999999</v>
      </c>
      <c r="G275" s="34" t="n">
        <v>16.76599999999999</v>
      </c>
      <c r="H275" s="34" t="n">
        <v>20.84399999999994</v>
      </c>
      <c r="I275" s="34" t="n">
        <v>-31.28300000000007</v>
      </c>
      <c r="J275" s="34" t="n">
        <v>-49.50200000000001</v>
      </c>
      <c r="K275" s="34" t="n">
        <v>-18.14299999999999</v>
      </c>
      <c r="L275" s="34" t="n">
        <v>5.399000000000001</v>
      </c>
      <c r="M275" s="34" t="n">
        <v>4.914000000000001</v>
      </c>
      <c r="N275" s="34" t="n">
        <v>-57.33199999999994</v>
      </c>
      <c r="O275" s="34" t="n">
        <v>-2.112000000000009</v>
      </c>
      <c r="P275" s="34" t="n">
        <v>-1.673000000000016</v>
      </c>
      <c r="Q275" s="34" t="n">
        <v>-5.506999999999977</v>
      </c>
      <c r="R275" s="34" t="n">
        <v>1.862000000000023</v>
      </c>
      <c r="S275" s="34" t="n">
        <v>-7.42999999999995</v>
      </c>
      <c r="T275" s="34" t="n">
        <v>-19.40399999999999</v>
      </c>
      <c r="U275" s="34" t="n">
        <v>-21.527</v>
      </c>
      <c r="V275" s="34" t="n">
        <v>139.847</v>
      </c>
      <c r="W275" s="34" t="n">
        <v>10.78</v>
      </c>
      <c r="X275" s="34" t="n">
        <v>109.696</v>
      </c>
      <c r="Y275" s="34" t="n">
        <v>-16.71799999999999</v>
      </c>
      <c r="Z275" s="34" t="n">
        <v>36.61199999999999</v>
      </c>
      <c r="AA275" s="34" t="n">
        <v>2.863000000000014</v>
      </c>
      <c r="AB275" s="34" t="n">
        <v>-1.24199999999999</v>
      </c>
      <c r="AC275" s="34" t="n">
        <v>21.51500000000004</v>
      </c>
      <c r="AD275" s="34" t="n">
        <v>0.2860000000000014</v>
      </c>
      <c r="AE275" s="34" t="n">
        <v>-1.604000000000013</v>
      </c>
      <c r="AF275" s="34" t="n">
        <v>-49.99700000000001</v>
      </c>
      <c r="AG275" s="34" t="n">
        <v>33.86299999999999</v>
      </c>
      <c r="AH275" s="34" t="n">
        <v>-17.45199999999988</v>
      </c>
      <c r="AI275" s="34" t="n">
        <v>-5.610000000000007</v>
      </c>
      <c r="AJ275" s="34" t="n">
        <v>-3.908999999999992</v>
      </c>
      <c r="AK275" s="34" t="n">
        <v>2.147000000000006</v>
      </c>
      <c r="AL275" s="34" t="n">
        <v>-3.197000000000003</v>
      </c>
      <c r="AM275" s="34" t="n">
        <v>-10.56900000000002</v>
      </c>
      <c r="AN275" s="34" t="n">
        <v>-1.519999999999996</v>
      </c>
      <c r="AO275" s="34" t="n">
        <v>-5.396999999999991</v>
      </c>
      <c r="AP275" s="34" t="n">
        <v>-9.311999999999983</v>
      </c>
      <c r="AQ275" s="34" t="n">
        <v>-0.9539999999999935</v>
      </c>
      <c r="AR275" s="34" t="n">
        <v>-17.18300000000005</v>
      </c>
      <c r="AS275" s="34" t="n">
        <v>-4.349999999999994</v>
      </c>
      <c r="AT275" s="34" t="n">
        <v>1.647999999999996</v>
      </c>
      <c r="AU275" s="34" t="n">
        <v>-1.903999999999996</v>
      </c>
      <c r="AV275" s="34" t="n">
        <v>-5.798000000000002</v>
      </c>
      <c r="AW275" s="34" t="n">
        <v>-10.404</v>
      </c>
      <c r="AX275" s="34" t="n">
        <v>8.838999999999999</v>
      </c>
      <c r="AY275" s="34" t="n">
        <v>-5.606000000000009</v>
      </c>
      <c r="AZ275" s="34" t="n">
        <v>75.712</v>
      </c>
      <c r="BA275" s="34" t="n">
        <v>30.08300000000001</v>
      </c>
      <c r="BB275" s="34" t="n">
        <v>109.028</v>
      </c>
      <c r="BC275" s="34" t="n">
        <v>-0.2749999999999773</v>
      </c>
      <c r="BD275" s="34" t="n">
        <v>9.348999999999975</v>
      </c>
      <c r="BE275" s="34" t="n">
        <v>7.046999999999969</v>
      </c>
      <c r="BF275" s="34" t="n">
        <v>-4.138999999999996</v>
      </c>
      <c r="BG275" s="34" t="n">
        <v>11.98199999999991</v>
      </c>
      <c r="BH275" s="34" t="n">
        <v>-2.145000000000024</v>
      </c>
      <c r="BI275" s="34" t="n">
        <v>3.142000000000024</v>
      </c>
      <c r="BJ275" s="34" t="n">
        <v>-4.894999999999982</v>
      </c>
      <c r="BK275" s="34" t="n">
        <v>-13.56599999999997</v>
      </c>
      <c r="BL275" s="34" t="n">
        <v>-17.46399999999994</v>
      </c>
      <c r="BM275" s="34" t="n">
        <v>5.104000000000013</v>
      </c>
      <c r="BN275" s="34" t="n">
        <v>-3.084000000000003</v>
      </c>
      <c r="BO275" s="34" t="n">
        <v>5.266999999999967</v>
      </c>
      <c r="BP275" s="34" t="n">
        <v>-10.27500000000001</v>
      </c>
      <c r="BQ275" s="34" t="n">
        <v>-2.98800000000017</v>
      </c>
      <c r="BR275" s="34" t="n">
        <v>0.2820000000000107</v>
      </c>
      <c r="BS275" s="34" t="n">
        <v>-1.135999999999996</v>
      </c>
      <c r="BT275" s="34" t="n">
        <v>-2.265000000000015</v>
      </c>
      <c r="BU275" s="34" t="n">
        <v>6.493000000000009</v>
      </c>
      <c r="BV275" s="34" t="n">
        <v>3.374000000000024</v>
      </c>
      <c r="BW275" s="34" t="n">
        <v>-1.51600000000002</v>
      </c>
      <c r="BX275" s="34" t="n">
        <v>-0.2199999999999989</v>
      </c>
      <c r="BY275" s="257" t="n"/>
      <c r="BZ275" s="257" t="n"/>
      <c r="CA275" s="257">
        <f>($BW$275+$BX$275)</f>
        <v>-1.73600000000002</v>
      </c>
      <c r="CB275" s="261" t="n">
        <v>0</v>
      </c>
      <c r="CC275" s="261" t="n">
        <v>0</v>
      </c>
      <c r="CD275" s="261" t="n">
        <v>0</v>
      </c>
      <c r="CE275" s="261" t="n">
        <v>0</v>
      </c>
      <c r="CF275" s="19" t="n"/>
    </row>
    <row r="276">
      <c r="B276" s="25" t="inlineStr">
        <is>
          <t xml:space="preserve">  Changes in operating assets &amp; liabilities, net</t>
        </is>
      </c>
      <c r="C276" s="34" t="n">
        <v>-100.946</v>
      </c>
      <c r="D276" s="34" t="n">
        <v>2.491</v>
      </c>
      <c r="E276" s="34" t="n">
        <v>-45.509</v>
      </c>
      <c r="F276" s="34" t="n">
        <v>109.991</v>
      </c>
      <c r="G276" s="34" t="n">
        <v>-57.564</v>
      </c>
      <c r="H276" s="34" t="n">
        <v>-128.162</v>
      </c>
      <c r="I276" s="34" t="n">
        <v>27.653</v>
      </c>
      <c r="J276" s="34" t="n">
        <v>-70.705</v>
      </c>
      <c r="K276" s="34" t="n">
        <v>26.439</v>
      </c>
      <c r="L276" s="34" t="n">
        <v>59.517</v>
      </c>
      <c r="M276" s="34" t="n">
        <v>-12.238</v>
      </c>
      <c r="N276" s="34" t="n">
        <v>3.013</v>
      </c>
      <c r="O276" s="34" t="n">
        <v>-64.596</v>
      </c>
      <c r="P276" s="34" t="n">
        <v>12.255</v>
      </c>
      <c r="Q276" s="34" t="n">
        <v>56.254</v>
      </c>
      <c r="R276" s="34" t="n">
        <v>25.855</v>
      </c>
      <c r="S276" s="34" t="n">
        <v>29.768</v>
      </c>
      <c r="T276" s="34" t="n">
        <v>2.737</v>
      </c>
      <c r="U276" s="34" t="n">
        <v>-0.23</v>
      </c>
      <c r="V276" s="34" t="n">
        <v>53.031</v>
      </c>
      <c r="W276" s="34" t="n">
        <v>-4.268</v>
      </c>
      <c r="X276" s="34" t="n">
        <v>51.27</v>
      </c>
      <c r="Y276" s="34" t="n">
        <v>-26.086</v>
      </c>
      <c r="Z276" s="34" t="n">
        <v>17.704</v>
      </c>
      <c r="AA276" s="34" t="n">
        <v>34.221</v>
      </c>
      <c r="AB276" s="34" t="n">
        <v>-7.924</v>
      </c>
      <c r="AC276" s="34" t="n">
        <v>17.915</v>
      </c>
      <c r="AD276" s="34" t="n">
        <v>-0.15</v>
      </c>
      <c r="AE276" s="34" t="n">
        <v>-9.058</v>
      </c>
      <c r="AF276" s="34" t="n">
        <v>19.035</v>
      </c>
      <c r="AG276" s="34" t="n">
        <v>8.683</v>
      </c>
      <c r="AH276" s="34" t="n">
        <v>18.51</v>
      </c>
      <c r="AI276" s="34" t="n">
        <v>-42.617</v>
      </c>
      <c r="AJ276" s="34" t="n">
        <v>-5.724</v>
      </c>
      <c r="AK276" s="34" t="n">
        <v>14.711</v>
      </c>
      <c r="AL276" s="34" t="n">
        <v>-0.054</v>
      </c>
      <c r="AM276" s="34" t="n">
        <v>-33.684</v>
      </c>
      <c r="AN276" s="34" t="n">
        <v>-69.85899999999999</v>
      </c>
      <c r="AO276" s="34" t="n">
        <v>20.111</v>
      </c>
      <c r="AP276" s="34" t="n">
        <v>39.16</v>
      </c>
      <c r="AQ276" s="34" t="n">
        <v>23.243</v>
      </c>
      <c r="AR276" s="34" t="n">
        <v>12.655</v>
      </c>
      <c r="AS276" s="34" t="n">
        <v>-50.031</v>
      </c>
      <c r="AT276" s="34" t="n">
        <v>36.024</v>
      </c>
      <c r="AU276" s="34" t="n">
        <v>9.093999999999999</v>
      </c>
      <c r="AV276" s="34" t="n">
        <v>45.768</v>
      </c>
      <c r="AW276" s="34" t="n">
        <v>40.855</v>
      </c>
      <c r="AX276" s="34" t="n">
        <v>-47.175</v>
      </c>
      <c r="AY276" s="34" t="n">
        <v>-10.027</v>
      </c>
      <c r="AZ276" s="34" t="n">
        <v>-17.971</v>
      </c>
      <c r="BA276" s="34" t="n">
        <v>-20.695</v>
      </c>
      <c r="BB276" s="34" t="n">
        <v>-95.86799999999999</v>
      </c>
      <c r="BC276" s="34" t="n">
        <v>-96.68600000000001</v>
      </c>
      <c r="BD276" s="34" t="n">
        <v>-59.154</v>
      </c>
      <c r="BE276" s="34" t="n">
        <v>-5.106</v>
      </c>
      <c r="BF276" s="34" t="n">
        <v>-3.093</v>
      </c>
      <c r="BG276" s="34" t="n">
        <v>-164.039</v>
      </c>
      <c r="BH276" s="34" t="n">
        <v>-21.793</v>
      </c>
      <c r="BI276" s="34" t="n">
        <v>19.575</v>
      </c>
      <c r="BJ276" s="34" t="n">
        <v>72.23699999999999</v>
      </c>
      <c r="BK276" s="34" t="n">
        <v>9.172000000000001</v>
      </c>
      <c r="BL276" s="34" t="n">
        <v>79.191</v>
      </c>
      <c r="BM276" s="34" t="n">
        <v>-23.717</v>
      </c>
      <c r="BN276" s="34" t="n">
        <v>19.838</v>
      </c>
      <c r="BO276" s="34" t="n">
        <v>76.718</v>
      </c>
      <c r="BP276" s="34" t="n">
        <v>-29.831</v>
      </c>
      <c r="BQ276" s="34" t="n">
        <v>43.008</v>
      </c>
      <c r="BR276" s="34" t="n">
        <v>40.626</v>
      </c>
      <c r="BS276" s="34" t="n">
        <v>-6.99</v>
      </c>
      <c r="BT276" s="34" t="n">
        <v>-10.326</v>
      </c>
      <c r="BU276" s="34" t="n">
        <v>-88.82299999999999</v>
      </c>
      <c r="BV276" s="34" t="n">
        <v>-65.51300000000001</v>
      </c>
      <c r="BW276" s="34" t="n">
        <v>-90.818</v>
      </c>
      <c r="BX276" s="34" t="n">
        <v>68.66200000000001</v>
      </c>
      <c r="BY276" s="257" t="n"/>
      <c r="BZ276" s="257" t="n"/>
      <c r="CA276" s="257">
        <f>($BW$276+$BX$276)-(CA322-$BX$322)-(CA323-$BX$323)+(CA332-$BX$332)+(CA333-$BX$333)</f>
        <v>-122.759919896097</v>
      </c>
      <c r="CB276" s="257">
        <f>-(CB322-CA322)-(CB323-CA323)+(CB332-CA332)+(CB333-CA333)</f>
        <v>-45.3264201958072</v>
      </c>
      <c r="CC276" s="257">
        <f>-(CC322-CB322)-(CC323-CB323)+(CC332-CB332)+(CC333-CB333)</f>
        <v>-58.4288513077035</v>
      </c>
      <c r="CD276" s="257">
        <f>-(CD322-CC322)-(CD323-CC323)+(CD332-CC332)+(CD333-CC333)</f>
        <v>-60.9046187244547</v>
      </c>
      <c r="CE276" s="257">
        <f>-(CE322-CD322)-(CE323-CD323)+(CE332-CD332)+(CE333-CD333)</f>
        <v>-63.7004201185742</v>
      </c>
      <c r="CF276" s="19" t="inlineStr">
        <is>
          <t>Linked to the balance sheet: −Δ(receivables, inventories) + Δ(payables, accrued compensation); 2026E = 1H actual + 2H change vs 30-Jun-26.</t>
        </is>
      </c>
    </row>
    <row r="277">
      <c r="B277" s="16" t="inlineStr">
        <is>
          <t>Net cash provided by operating activities</t>
        </is>
      </c>
      <c r="C277" s="31" t="n">
        <v>118.68</v>
      </c>
      <c r="D277" s="31" t="n">
        <v>249.832</v>
      </c>
      <c r="E277" s="31" t="n">
        <v>257.449</v>
      </c>
      <c r="F277" s="31" t="n">
        <v>250.35</v>
      </c>
      <c r="G277" s="31" t="n">
        <v>156.978</v>
      </c>
      <c r="H277" s="31" t="n">
        <v>193.518</v>
      </c>
      <c r="I277" s="31" t="n">
        <v>327.484</v>
      </c>
      <c r="J277" s="31" t="n">
        <v>-20.148</v>
      </c>
      <c r="K277" s="31" t="n">
        <v>107.199</v>
      </c>
      <c r="L277" s="31" t="n">
        <v>155.04</v>
      </c>
      <c r="M277" s="31" t="n">
        <v>96.803</v>
      </c>
      <c r="N277" s="31" t="n">
        <v>338.894</v>
      </c>
      <c r="O277" s="31" t="n">
        <v>13.631</v>
      </c>
      <c r="P277" s="31" t="n">
        <v>104.974</v>
      </c>
      <c r="Q277" s="31" t="n">
        <v>149.448</v>
      </c>
      <c r="R277" s="31" t="n">
        <v>133.649</v>
      </c>
      <c r="S277" s="31" t="n">
        <v>401.702</v>
      </c>
      <c r="T277" s="31" t="n">
        <v>52.784</v>
      </c>
      <c r="U277" s="31" t="n">
        <v>77.286</v>
      </c>
      <c r="V277" s="31" t="n">
        <v>105.366</v>
      </c>
      <c r="W277" s="31" t="n">
        <v>75.422</v>
      </c>
      <c r="X277" s="31" t="n">
        <v>310.858</v>
      </c>
      <c r="Y277" s="31" t="n">
        <v>24.361</v>
      </c>
      <c r="Z277" s="31" t="n">
        <v>100.996</v>
      </c>
      <c r="AA277" s="31" t="n">
        <v>111.409</v>
      </c>
      <c r="AB277" s="31" t="n">
        <v>66.637</v>
      </c>
      <c r="AC277" s="31" t="n">
        <v>303.403</v>
      </c>
      <c r="AD277" s="31" t="n">
        <v>76.23999999999999</v>
      </c>
      <c r="AE277" s="31" t="n">
        <v>75.447</v>
      </c>
      <c r="AF277" s="31" t="n">
        <v>93.667</v>
      </c>
      <c r="AG277" s="31" t="n">
        <v>89.491</v>
      </c>
      <c r="AH277" s="31" t="n">
        <v>334.845</v>
      </c>
      <c r="AI277" s="31" t="n">
        <v>43.777</v>
      </c>
      <c r="AJ277" s="31" t="n">
        <v>79.78100000000001</v>
      </c>
      <c r="AK277" s="31" t="n">
        <v>106.219</v>
      </c>
      <c r="AL277" s="31" t="n">
        <v>99.375</v>
      </c>
      <c r="AM277" s="31" t="n">
        <v>329.152</v>
      </c>
      <c r="AN277" s="31" t="n">
        <v>25.878</v>
      </c>
      <c r="AO277" s="31" t="n">
        <v>126.107</v>
      </c>
      <c r="AP277" s="31" t="n">
        <v>128.681</v>
      </c>
      <c r="AQ277" s="31" t="n">
        <v>122.519</v>
      </c>
      <c r="AR277" s="31" t="n">
        <v>403.185</v>
      </c>
      <c r="AS277" s="31" t="n">
        <v>21.972</v>
      </c>
      <c r="AT277" s="31" t="n">
        <v>104.041</v>
      </c>
      <c r="AU277" s="31" t="n">
        <v>89.548</v>
      </c>
      <c r="AV277" s="31" t="n">
        <v>135.801</v>
      </c>
      <c r="AW277" s="31" t="n">
        <v>351.362</v>
      </c>
      <c r="AX277" s="31" t="n">
        <v>45.262</v>
      </c>
      <c r="AY277" s="31" t="n">
        <v>99.97199999999999</v>
      </c>
      <c r="AZ277" s="31" t="n">
        <v>109.891</v>
      </c>
      <c r="BA277" s="31" t="n">
        <v>109.938</v>
      </c>
      <c r="BB277" s="31" t="n">
        <v>365.063</v>
      </c>
      <c r="BC277" s="31" t="n">
        <v>43.09</v>
      </c>
      <c r="BD277" s="31" t="n">
        <v>98.211</v>
      </c>
      <c r="BE277" s="31" t="n">
        <v>130.283</v>
      </c>
      <c r="BF277" s="31" t="n">
        <v>111.802</v>
      </c>
      <c r="BG277" s="31" t="n">
        <v>383.386</v>
      </c>
      <c r="BH277" s="31" t="n">
        <v>123.931</v>
      </c>
      <c r="BI277" s="31" t="n">
        <v>198.845</v>
      </c>
      <c r="BJ277" s="31" t="n">
        <v>223.104</v>
      </c>
      <c r="BK277" s="31" t="n">
        <v>121.662</v>
      </c>
      <c r="BL277" s="31" t="n">
        <v>667.542</v>
      </c>
      <c r="BM277" s="31" t="n">
        <v>133.294</v>
      </c>
      <c r="BN277" s="31" t="n">
        <v>170.687</v>
      </c>
      <c r="BO277" s="31" t="n">
        <v>199.201</v>
      </c>
      <c r="BP277" s="31" t="n">
        <v>95.795</v>
      </c>
      <c r="BQ277" s="31" t="n">
        <v>598.977</v>
      </c>
      <c r="BR277" s="31" t="n">
        <v>185.693</v>
      </c>
      <c r="BS277" s="31" t="n">
        <v>143.828</v>
      </c>
      <c r="BT277" s="31" t="n">
        <v>236.687</v>
      </c>
      <c r="BU277" s="31" t="n">
        <v>94.965</v>
      </c>
      <c r="BV277" s="31" t="n">
        <v>661.173</v>
      </c>
      <c r="BW277" s="31" t="n">
        <v>102.17</v>
      </c>
      <c r="BX277" s="31" t="n">
        <v>253.764</v>
      </c>
      <c r="BY277" s="253" t="n"/>
      <c r="BZ277" s="253" t="n"/>
      <c r="CA277" s="253">
        <f>SUM(CA269:CA276)</f>
        <v>634.232450383296</v>
      </c>
      <c r="CB277" s="253">
        <f>SUM(CB269:CB276)</f>
        <v>771.412812520719</v>
      </c>
      <c r="CC277" s="253">
        <f>SUM(CC269:CC276)</f>
        <v>841.455957532316</v>
      </c>
      <c r="CD277" s="253">
        <f>SUM(CD269:CD276)</f>
        <v>926.087548052265</v>
      </c>
      <c r="CE277" s="253">
        <f>SUM(CE269:CE276)</f>
        <v>1014.60053337759</v>
      </c>
      <c r="CF277" s="19" t="n"/>
      <c r="CH277" s="20">
        <f>IFERROR((CE277/BV277)^(1/5)-1,"n/m")</f>
        <v>0.0894216336791052</v>
      </c>
      <c r="CI277" s="20">
        <f>IFERROR((BV277/AW277)^(1/5)-1,"n/m")</f>
        <v>0.134781021643683</v>
      </c>
      <c r="CJ277" s="20">
        <f>IFERROR((BV277/X277)^(1/10)-1,"n/m")</f>
        <v>0.0783886447492006</v>
      </c>
      <c r="CK277" s="20">
        <f>IFERROR((BV277/C277)^(1/19)-1,"n/m")</f>
        <v>0.0946111615213583</v>
      </c>
    </row>
    <row r="278">
      <c r="B278" s="25" t="inlineStr">
        <is>
          <t>Capital expenditures</t>
        </is>
      </c>
      <c r="C278" s="34" t="n">
        <v>-76.002</v>
      </c>
      <c r="D278" s="34" t="n">
        <v>-61.633</v>
      </c>
      <c r="E278" s="34" t="n">
        <v>-72.426</v>
      </c>
      <c r="F278" s="34" t="n">
        <v>-38.201</v>
      </c>
      <c r="G278" s="34" t="n">
        <v>-60.565</v>
      </c>
      <c r="H278" s="34" t="n">
        <v>-65.813</v>
      </c>
      <c r="I278" s="34" t="n">
        <v>-52.715</v>
      </c>
      <c r="J278" s="34" t="n">
        <v>-15.138</v>
      </c>
      <c r="K278" s="34" t="n">
        <v>-15.91</v>
      </c>
      <c r="L278" s="34" t="n">
        <v>-28.643</v>
      </c>
      <c r="M278" s="34" t="n">
        <v>-16.324</v>
      </c>
      <c r="N278" s="34" t="n">
        <v>-76.015</v>
      </c>
      <c r="O278" s="34" t="n">
        <v>-14.506</v>
      </c>
      <c r="P278" s="34" t="n">
        <v>-25.441</v>
      </c>
      <c r="Q278" s="34" t="n">
        <v>-15.483</v>
      </c>
      <c r="R278" s="34" t="n">
        <v>-17.56</v>
      </c>
      <c r="S278" s="34" t="n">
        <v>-72.98999999999999</v>
      </c>
      <c r="T278" s="34" t="n">
        <v>-12.456</v>
      </c>
      <c r="U278" s="34" t="n">
        <v>-16.761</v>
      </c>
      <c r="V278" s="34" t="n">
        <v>-10.97</v>
      </c>
      <c r="W278" s="34" t="n">
        <v>-10.32</v>
      </c>
      <c r="X278" s="34" t="n">
        <v>-50.507</v>
      </c>
      <c r="Y278" s="34" t="n">
        <v>-8.885</v>
      </c>
      <c r="Z278" s="34" t="n">
        <v>-15.894</v>
      </c>
      <c r="AA278" s="34" t="n">
        <v>-14.598</v>
      </c>
      <c r="AB278" s="34" t="n">
        <v>-10.5</v>
      </c>
      <c r="AC278" s="34" t="n">
        <v>-49.877</v>
      </c>
      <c r="AD278" s="34" t="n">
        <v>-12.037</v>
      </c>
      <c r="AE278" s="34" t="n">
        <v>-16.094</v>
      </c>
      <c r="AF278" s="34" t="n">
        <v>-10.828</v>
      </c>
      <c r="AG278" s="34" t="n">
        <v>-22.697</v>
      </c>
      <c r="AH278" s="34" t="n">
        <v>-61.656</v>
      </c>
      <c r="AI278" s="34" t="n">
        <v>-14.657</v>
      </c>
      <c r="AJ278" s="34" t="n">
        <v>-16.726</v>
      </c>
      <c r="AK278" s="34" t="n">
        <v>-17.363</v>
      </c>
      <c r="AL278" s="34" t="n">
        <v>-22.5</v>
      </c>
      <c r="AM278" s="34" t="n">
        <v>-71.246</v>
      </c>
      <c r="AN278" s="34" t="n">
        <v>-16.251</v>
      </c>
      <c r="AO278" s="34" t="n">
        <v>-20.262</v>
      </c>
      <c r="AP278" s="34" t="n">
        <v>-17.038</v>
      </c>
      <c r="AQ278" s="34" t="n">
        <v>-16.064</v>
      </c>
      <c r="AR278" s="34" t="n">
        <v>-69.61499999999999</v>
      </c>
      <c r="AS278" s="34" t="n">
        <v>-11.828</v>
      </c>
      <c r="AT278" s="34" t="n">
        <v>-13.183</v>
      </c>
      <c r="AU278" s="34" t="n">
        <v>-12.105</v>
      </c>
      <c r="AV278" s="34" t="n">
        <v>-22.085</v>
      </c>
      <c r="AW278" s="34" t="n">
        <v>-59.201</v>
      </c>
      <c r="AX278" s="34" t="n">
        <v>-9.936</v>
      </c>
      <c r="AY278" s="34" t="n">
        <v>-17.832</v>
      </c>
      <c r="AZ278" s="34" t="n">
        <v>-18.672</v>
      </c>
      <c r="BA278" s="34" t="n">
        <v>-16.091</v>
      </c>
      <c r="BB278" s="34" t="n">
        <v>-62.531</v>
      </c>
      <c r="BC278" s="34" t="n">
        <v>-18.672</v>
      </c>
      <c r="BD278" s="34" t="n">
        <v>-15.93</v>
      </c>
      <c r="BE278" s="34" t="n">
        <v>-17.699</v>
      </c>
      <c r="BF278" s="34" t="n">
        <v>-19.582</v>
      </c>
      <c r="BG278" s="34" t="n">
        <v>-71.883</v>
      </c>
      <c r="BH278" s="34" t="n">
        <v>-18.787</v>
      </c>
      <c r="BI278" s="34" t="n">
        <v>-21.765</v>
      </c>
      <c r="BJ278" s="34" t="n">
        <v>-25.907</v>
      </c>
      <c r="BK278" s="34" t="n">
        <v>-24.528</v>
      </c>
      <c r="BL278" s="34" t="n">
        <v>-90.98699999999999</v>
      </c>
      <c r="BM278" s="34" t="n">
        <v>-26.256</v>
      </c>
      <c r="BN278" s="34" t="n">
        <v>-23.139</v>
      </c>
      <c r="BO278" s="34" t="n">
        <v>-35.722</v>
      </c>
      <c r="BP278" s="34" t="n">
        <v>-31.486</v>
      </c>
      <c r="BQ278" s="34" t="n">
        <v>-116.603</v>
      </c>
      <c r="BR278" s="34" t="n">
        <v>-26.949</v>
      </c>
      <c r="BS278" s="34" t="n">
        <v>-25.443</v>
      </c>
      <c r="BT278" s="34" t="n">
        <v>-31.636</v>
      </c>
      <c r="BU278" s="34" t="n">
        <v>-42.946</v>
      </c>
      <c r="BV278" s="34" t="n">
        <v>-126.974</v>
      </c>
      <c r="BW278" s="34" t="n">
        <v>-39.163</v>
      </c>
      <c r="BX278" s="34" t="n">
        <v>-31.437</v>
      </c>
      <c r="BY278" s="257" t="n"/>
      <c r="BZ278" s="257" t="n"/>
      <c r="CA278" s="257">
        <f>-CHOOSE(MATCH($CF$2,{"Bull","Base","Bear"},0),$CO$17,$CP$17,$CQ$17)</f>
        <v>-120</v>
      </c>
      <c r="CB278" s="257">
        <f>-CB154*CB306</f>
        <v>-135.792420728717</v>
      </c>
      <c r="CC278" s="257">
        <f>-CC154*CC306</f>
        <v>-145.935926759678</v>
      </c>
      <c r="CD278" s="257">
        <f>-CD154*CD306</f>
        <v>-156.469525042124</v>
      </c>
      <c r="CE278" s="257">
        <f>-CE154*CE306</f>
        <v>-167.488860972573</v>
      </c>
      <c r="CF278" s="19" t="inlineStr">
        <is>
          <t>2026E: FY26 capex assumption $110–130m (scenario end-point). 2027E+: net sales × capex %.</t>
        </is>
      </c>
    </row>
    <row r="279">
      <c r="B279" s="25" t="inlineStr">
        <is>
          <t>Acquisition of businesses, net of cash acquired</t>
        </is>
      </c>
      <c r="C279" s="34" t="n">
        <v>-25.504</v>
      </c>
      <c r="D279" s="34" t="n">
        <v>-18.773</v>
      </c>
      <c r="E279" s="34" t="n">
        <v>-44.036</v>
      </c>
      <c r="F279" s="34" t="n">
        <v>-25.449</v>
      </c>
      <c r="G279" s="34" t="n">
        <v>-18.856</v>
      </c>
      <c r="H279" s="34" t="n">
        <v>-66.229</v>
      </c>
      <c r="I279" s="34" t="n">
        <v>-134.602</v>
      </c>
      <c r="J279" s="34" t="n">
        <v>-0.549</v>
      </c>
      <c r="K279" s="34" t="n">
        <v>-4.127</v>
      </c>
      <c r="L279" s="34" t="n">
        <v>-0.26</v>
      </c>
      <c r="M279" s="34" t="n">
        <v>-48.225</v>
      </c>
      <c r="N279" s="34" t="n">
        <v>-53.161</v>
      </c>
      <c r="O279" s="34" t="n">
        <v>-0.892</v>
      </c>
      <c r="P279" s="34" t="n">
        <v>0</v>
      </c>
      <c r="Q279" s="34" t="n">
        <v>0</v>
      </c>
      <c r="R279" s="34" t="n">
        <v>-23.338</v>
      </c>
      <c r="S279" s="34" t="n">
        <v>-24.23</v>
      </c>
      <c r="T279" s="34" t="n">
        <v>0</v>
      </c>
      <c r="U279" s="34" t="n">
        <v>0</v>
      </c>
      <c r="V279" s="34" t="n">
        <v>-33.882</v>
      </c>
      <c r="W279" s="34" t="n">
        <v>-3.194</v>
      </c>
      <c r="X279" s="34" t="n">
        <v>-37.076</v>
      </c>
      <c r="Y279" s="34" t="n">
        <v>0</v>
      </c>
      <c r="Z279" s="34" t="n">
        <v>-71.56699999999999</v>
      </c>
      <c r="AA279" s="34" t="n">
        <v>0</v>
      </c>
      <c r="AB279" s="34" t="n">
        <v>0</v>
      </c>
      <c r="AC279" s="34" t="n">
        <v>-71.56699999999999</v>
      </c>
      <c r="AD279" s="34" t="n">
        <v>0</v>
      </c>
      <c r="AE279" s="34" t="n">
        <v>0</v>
      </c>
      <c r="AF279" s="34" t="n">
        <v>-72.468</v>
      </c>
      <c r="AG279" s="34" t="n">
        <v>0</v>
      </c>
      <c r="AH279" s="34" t="n">
        <v>-72.468</v>
      </c>
      <c r="AI279" s="34" t="n">
        <v>6.235</v>
      </c>
      <c r="AJ279" s="34" t="n">
        <v>0</v>
      </c>
      <c r="AK279" s="34" t="n">
        <v>0.356</v>
      </c>
      <c r="AL279" s="34" t="n">
        <v>-108.383</v>
      </c>
      <c r="AM279" s="34" t="n">
        <v>-101.792</v>
      </c>
      <c r="AN279" s="34" t="n">
        <v>0</v>
      </c>
      <c r="AO279" s="34" t="n">
        <v>-107.843</v>
      </c>
      <c r="AP279" s="34" t="n">
        <v>-28.892</v>
      </c>
      <c r="AQ279" s="34" t="n">
        <v>2.018</v>
      </c>
      <c r="AR279" s="34" t="n">
        <v>-134.717</v>
      </c>
      <c r="AS279" s="34" t="n">
        <v>0</v>
      </c>
      <c r="AT279" s="34" t="n">
        <v>0</v>
      </c>
      <c r="AU279" s="34" t="n">
        <v>0</v>
      </c>
      <c r="AV279" s="34" t="n">
        <v>0</v>
      </c>
      <c r="AW279" s="34" t="n">
        <v>0</v>
      </c>
      <c r="AX279" s="34" t="n">
        <v>0</v>
      </c>
      <c r="AY279" s="34" t="n">
        <v>-83.723</v>
      </c>
      <c r="AZ279" s="34" t="n">
        <v>-74.88200000000001</v>
      </c>
      <c r="BA279" s="34" t="n">
        <v>2.499</v>
      </c>
      <c r="BB279" s="34" t="n">
        <v>-156.106</v>
      </c>
      <c r="BC279" s="34" t="n">
        <v>-22.013</v>
      </c>
      <c r="BD279" s="34" t="n">
        <v>-0.082</v>
      </c>
      <c r="BE279" s="34" t="n">
        <v>-0.199</v>
      </c>
      <c r="BF279" s="34" t="n">
        <v>-414.004</v>
      </c>
      <c r="BG279" s="34" t="n">
        <v>-436.298</v>
      </c>
      <c r="BH279" s="34" t="n">
        <v>0</v>
      </c>
      <c r="BI279" s="34" t="n">
        <v>-32.657</v>
      </c>
      <c r="BJ279" s="34" t="n">
        <v>-0.028</v>
      </c>
      <c r="BK279" s="34" t="n">
        <v>0</v>
      </c>
      <c r="BL279" s="34" t="n">
        <v>-32.685</v>
      </c>
      <c r="BM279" s="34" t="n">
        <v>0</v>
      </c>
      <c r="BN279" s="34" t="n">
        <v>-152.654</v>
      </c>
      <c r="BO279" s="34" t="n">
        <v>-100.092</v>
      </c>
      <c r="BP279" s="34" t="n">
        <v>0</v>
      </c>
      <c r="BQ279" s="34" t="n">
        <v>-252.746</v>
      </c>
      <c r="BR279" s="34" t="n">
        <v>0</v>
      </c>
      <c r="BS279" s="34" t="n">
        <v>-32.309</v>
      </c>
      <c r="BT279" s="34" t="n">
        <v>-104.346</v>
      </c>
      <c r="BU279" s="34" t="n">
        <v>-0.875</v>
      </c>
      <c r="BV279" s="34" t="n">
        <v>-137.53</v>
      </c>
      <c r="BW279" s="34" t="n">
        <v>0.14</v>
      </c>
      <c r="BX279" s="34" t="n">
        <v>0</v>
      </c>
      <c r="BY279" s="257" t="n"/>
      <c r="BZ279" s="257" t="n"/>
      <c r="CA279" s="257">
        <f>($BW$279+$BX$279)</f>
        <v>0.14</v>
      </c>
      <c r="CB279" s="257">
        <f>-CB112</f>
        <v>-200</v>
      </c>
      <c r="CC279" s="257">
        <f>-CC112</f>
        <v>-250</v>
      </c>
      <c r="CD279" s="257">
        <f>-CD112</f>
        <v>-250</v>
      </c>
      <c r="CE279" s="257">
        <f>-CE112</f>
        <v>-250</v>
      </c>
      <c r="CF279" s="19" t="inlineStr">
        <is>
          <t>2026E: 1H/26 actual (Alloy Steel true-up); 2027E+: M&amp;A lever.</t>
        </is>
      </c>
    </row>
    <row r="280">
      <c r="B280" s="25" t="inlineStr">
        <is>
          <t>Proceeds from sale of property, plant &amp; equipment / businesses</t>
        </is>
      </c>
      <c r="C280" s="34" t="n">
        <v>11.791</v>
      </c>
      <c r="D280" s="34" t="n">
        <v>0.701</v>
      </c>
      <c r="E280" s="34" t="n">
        <v>0.662</v>
      </c>
      <c r="F280" s="34" t="n">
        <v>0.5570000000000001</v>
      </c>
      <c r="G280" s="34" t="n">
        <v>10.021</v>
      </c>
      <c r="H280" s="34" t="n">
        <v>1.246</v>
      </c>
      <c r="I280" s="34" t="n">
        <v>1.387</v>
      </c>
      <c r="J280" s="34" t="n">
        <v>0.105</v>
      </c>
      <c r="K280" s="34" t="n">
        <v>0.487</v>
      </c>
      <c r="L280" s="34" t="n">
        <v>0.204</v>
      </c>
      <c r="M280" s="34" t="n">
        <v>0.597</v>
      </c>
      <c r="N280" s="34" t="n">
        <v>1.393</v>
      </c>
      <c r="O280" s="34" t="n">
        <v>1.066</v>
      </c>
      <c r="P280" s="34" t="n">
        <v>4.443</v>
      </c>
      <c r="Q280" s="34" t="n">
        <v>11.537</v>
      </c>
      <c r="R280" s="34" t="n">
        <v>0.411</v>
      </c>
      <c r="S280" s="34" t="n">
        <v>17.457</v>
      </c>
      <c r="T280" s="34" t="n">
        <v>1.187</v>
      </c>
      <c r="U280" s="34" t="n">
        <v>0.234</v>
      </c>
      <c r="V280" s="34" t="n">
        <v>0.752</v>
      </c>
      <c r="W280" s="34" t="n">
        <v>0.137</v>
      </c>
      <c r="X280" s="34" t="n">
        <v>2.31</v>
      </c>
      <c r="Y280" s="34" t="n">
        <v>0.458</v>
      </c>
      <c r="Z280" s="34" t="n">
        <v>0.221</v>
      </c>
      <c r="AA280" s="34" t="n">
        <v>0.257</v>
      </c>
      <c r="AB280" s="34" t="n">
        <v>0.191</v>
      </c>
      <c r="AC280" s="34" t="n">
        <v>1.127</v>
      </c>
      <c r="AD280" s="34" t="n">
        <v>0.203</v>
      </c>
      <c r="AE280" s="34" t="n">
        <v>0.899</v>
      </c>
      <c r="AF280" s="34" t="n">
        <v>0.892</v>
      </c>
      <c r="AG280" s="34" t="n">
        <v>0.307</v>
      </c>
      <c r="AH280" s="34" t="n">
        <v>2.301</v>
      </c>
      <c r="AI280" s="34" t="n">
        <v>0.118</v>
      </c>
      <c r="AJ280" s="34" t="n">
        <v>0.109</v>
      </c>
      <c r="AK280" s="34" t="n">
        <v>10.358</v>
      </c>
      <c r="AL280" s="34" t="n">
        <v>6.17</v>
      </c>
      <c r="AM280" s="34" t="n">
        <v>16.755</v>
      </c>
      <c r="AN280" s="34" t="n">
        <v>0.302</v>
      </c>
      <c r="AO280" s="34" t="n">
        <v>8.41</v>
      </c>
      <c r="AP280" s="34" t="n">
        <v>0.779</v>
      </c>
      <c r="AQ280" s="34" t="n">
        <v>0.018</v>
      </c>
      <c r="AR280" s="34" t="n">
        <v>9.509</v>
      </c>
      <c r="AS280" s="34" t="n">
        <v>6.1</v>
      </c>
      <c r="AT280" s="34" t="n">
        <v>0.118</v>
      </c>
      <c r="AU280" s="34" t="n">
        <v>0.739</v>
      </c>
      <c r="AV280" s="34" t="n">
        <v>0.71</v>
      </c>
      <c r="AW280" s="34" t="n">
        <v>7.667</v>
      </c>
      <c r="AX280" s="34" t="n">
        <v>0.584</v>
      </c>
      <c r="AY280" s="34" t="n">
        <v>1.973</v>
      </c>
      <c r="AZ280" s="34" t="n">
        <v>1.29</v>
      </c>
      <c r="BA280" s="34" t="n">
        <v>2.934</v>
      </c>
      <c r="BB280" s="34" t="n">
        <v>6.781</v>
      </c>
      <c r="BC280" s="34" t="n">
        <v>0.569</v>
      </c>
      <c r="BD280" s="34" t="n">
        <v>1.123</v>
      </c>
      <c r="BE280" s="34" t="n">
        <v>0.646</v>
      </c>
      <c r="BF280" s="34" t="n">
        <v>0.993</v>
      </c>
      <c r="BG280" s="34" t="n">
        <v>3.331</v>
      </c>
      <c r="BH280" s="34" t="n">
        <v>3.314</v>
      </c>
      <c r="BI280" s="34" t="n">
        <v>0.578</v>
      </c>
      <c r="BJ280" s="34" t="n">
        <v>0.704</v>
      </c>
      <c r="BK280" s="34" t="n">
        <v>44.898</v>
      </c>
      <c r="BL280" s="34" t="n">
        <v>49.494</v>
      </c>
      <c r="BM280" s="34" t="n">
        <v>0.316</v>
      </c>
      <c r="BN280" s="34" t="n">
        <v>0.987</v>
      </c>
      <c r="BO280" s="34" t="n">
        <v>1.203</v>
      </c>
      <c r="BP280" s="34" t="n">
        <v>5.292</v>
      </c>
      <c r="BQ280" s="34" t="n">
        <v>7.798</v>
      </c>
      <c r="BR280" s="34" t="n">
        <v>4.646</v>
      </c>
      <c r="BS280" s="34" t="n">
        <v>0.585</v>
      </c>
      <c r="BT280" s="34" t="n">
        <v>1.177</v>
      </c>
      <c r="BU280" s="34" t="n">
        <v>0.77</v>
      </c>
      <c r="BV280" s="34" t="n">
        <v>7.178</v>
      </c>
      <c r="BW280" s="34" t="n">
        <v>0.308</v>
      </c>
      <c r="BX280" s="34" t="n">
        <v>0.948</v>
      </c>
      <c r="BY280" s="257" t="n"/>
      <c r="BZ280" s="257" t="n"/>
      <c r="CA280" s="257">
        <f>($BW$280+$BX$280)</f>
        <v>1.256</v>
      </c>
      <c r="CB280" s="261" t="n">
        <v>0</v>
      </c>
      <c r="CC280" s="261" t="n">
        <v>0</v>
      </c>
      <c r="CD280" s="261" t="n">
        <v>0</v>
      </c>
      <c r="CE280" s="261" t="n">
        <v>0</v>
      </c>
      <c r="CF280" s="19" t="n"/>
    </row>
    <row r="281">
      <c r="B281" s="25" t="inlineStr">
        <is>
          <t>Other investing activities, net (derived)</t>
        </is>
      </c>
      <c r="C281" s="34" t="n">
        <v>0</v>
      </c>
      <c r="D281" s="34" t="n">
        <v>1.4210854715202e-14</v>
      </c>
      <c r="E281" s="34" t="n">
        <v>0</v>
      </c>
      <c r="F281" s="34" t="n">
        <v>-0.4879999999999995</v>
      </c>
      <c r="G281" s="34" t="n">
        <v>-1.4210854715202e-14</v>
      </c>
      <c r="H281" s="34" t="n">
        <v>0</v>
      </c>
      <c r="I281" s="34" t="n">
        <v>-1.540999999999997</v>
      </c>
      <c r="J281" s="34" t="n">
        <v>-1.77635683940025e-15</v>
      </c>
      <c r="K281" s="34" t="n">
        <v>-4.216999999999999</v>
      </c>
      <c r="L281" s="34" t="n">
        <v>0</v>
      </c>
      <c r="M281" s="34" t="n">
        <v>2.500000000000007</v>
      </c>
      <c r="N281" s="34" t="n">
        <v>-1.717000000000013</v>
      </c>
      <c r="O281" s="34" t="n">
        <v>0.5729999999999986</v>
      </c>
      <c r="P281" s="34" t="n">
        <v>0.2049999999999983</v>
      </c>
      <c r="Q281" s="34" t="n">
        <v>-4.440892098500626e-16</v>
      </c>
      <c r="R281" s="34" t="n">
        <v>-7.105427357601002e-15</v>
      </c>
      <c r="S281" s="34" t="n">
        <v>0.7780000000000058</v>
      </c>
      <c r="T281" s="34" t="n">
        <v>2.024000000000001</v>
      </c>
      <c r="U281" s="34" t="n">
        <v>-3.552713678800501e-15</v>
      </c>
      <c r="V281" s="34" t="n">
        <v>-2.103000000000009</v>
      </c>
      <c r="W281" s="34" t="n">
        <v>-1.77635683940025e-15</v>
      </c>
      <c r="X281" s="34" t="n">
        <v>-0.07900000000000773</v>
      </c>
      <c r="Y281" s="34" t="n">
        <v>0</v>
      </c>
      <c r="Z281" s="34" t="n">
        <v>-0.2830000000000013</v>
      </c>
      <c r="AA281" s="34" t="n">
        <v>1.77635683940025e-15</v>
      </c>
      <c r="AB281" s="34" t="n">
        <v>-39.346</v>
      </c>
      <c r="AC281" s="34" t="n">
        <v>-39.629</v>
      </c>
      <c r="AD281" s="34" t="n">
        <v>-31.125</v>
      </c>
      <c r="AE281" s="34" t="n">
        <v>-33.819</v>
      </c>
      <c r="AF281" s="34" t="n">
        <v>-75.419</v>
      </c>
      <c r="AG281" s="34" t="n">
        <v>0.1589999999999989</v>
      </c>
      <c r="AH281" s="34" t="n">
        <v>-140.204</v>
      </c>
      <c r="AI281" s="34" t="n">
        <v>42.421</v>
      </c>
      <c r="AJ281" s="34" t="n">
        <v>-1.999000000000002</v>
      </c>
      <c r="AK281" s="34" t="n">
        <v>39.42099999999999</v>
      </c>
      <c r="AL281" s="34" t="n">
        <v>97.28099999999998</v>
      </c>
      <c r="AM281" s="34" t="n">
        <v>177.124</v>
      </c>
      <c r="AN281" s="34" t="n">
        <v>2.000000000000002</v>
      </c>
      <c r="AO281" s="34" t="n">
        <v>2.842170943040401e-14</v>
      </c>
      <c r="AP281" s="34" t="n">
        <v>-7.105427357601002e-15</v>
      </c>
      <c r="AQ281" s="34" t="n">
        <v>-1.77635683940025e-15</v>
      </c>
      <c r="AR281" s="34" t="n">
        <v>1.999999999999972</v>
      </c>
      <c r="AS281" s="34" t="n">
        <v>0</v>
      </c>
      <c r="AT281" s="34" t="n">
        <v>0</v>
      </c>
      <c r="AU281" s="34" t="n">
        <v>0</v>
      </c>
      <c r="AV281" s="34" t="n">
        <v>2.321000000000002</v>
      </c>
      <c r="AW281" s="34" t="n">
        <v>2.320999999999998</v>
      </c>
      <c r="AX281" s="34" t="n">
        <v>6.5</v>
      </c>
      <c r="AY281" s="34" t="n">
        <v>1.4210854715202e-14</v>
      </c>
      <c r="AZ281" s="34" t="n">
        <v>0</v>
      </c>
      <c r="BA281" s="34" t="n">
        <v>1.77635683940025e-15</v>
      </c>
      <c r="BB281" s="34" t="n">
        <v>6.5</v>
      </c>
      <c r="BC281" s="34" t="n">
        <v>0</v>
      </c>
      <c r="BD281" s="34" t="n">
        <v>1.77635683940025e-15</v>
      </c>
      <c r="BE281" s="34" t="n">
        <v>3.552713678800501e-15</v>
      </c>
      <c r="BF281" s="34" t="n">
        <v>0.1589999999999918</v>
      </c>
      <c r="BG281" s="34" t="n">
        <v>0.1589999999999918</v>
      </c>
      <c r="BH281" s="34" t="n">
        <v>-0.5760000000000005</v>
      </c>
      <c r="BI281" s="34" t="n">
        <v>-6.453000000000003</v>
      </c>
      <c r="BJ281" s="34" t="n">
        <v>0.4679999999999964</v>
      </c>
      <c r="BK281" s="34" t="n">
        <v>6.009999999999994</v>
      </c>
      <c r="BL281" s="34" t="n">
        <v>-0.5510000000000019</v>
      </c>
      <c r="BM281" s="34" t="n">
        <v>0</v>
      </c>
      <c r="BN281" s="34" t="n">
        <v>0</v>
      </c>
      <c r="BO281" s="34" t="n">
        <v>0</v>
      </c>
      <c r="BP281" s="34" t="n">
        <v>0.3200000000000038</v>
      </c>
      <c r="BQ281" s="34" t="n">
        <v>0.3199999999999932</v>
      </c>
      <c r="BR281" s="34" t="n">
        <v>0</v>
      </c>
      <c r="BS281" s="34" t="n">
        <v>-7.105427357601002e-15</v>
      </c>
      <c r="BT281" s="34" t="n">
        <v>0</v>
      </c>
      <c r="BU281" s="34" t="n">
        <v>-7.105427357601002e-15</v>
      </c>
      <c r="BV281" s="34" t="n">
        <v>0</v>
      </c>
      <c r="BW281" s="34" t="n">
        <v>-7.105427357601002e-15</v>
      </c>
      <c r="BX281" s="34" t="n">
        <v>0</v>
      </c>
      <c r="BY281" s="257" t="n"/>
      <c r="BZ281" s="257" t="n"/>
      <c r="CA281" s="257">
        <f>($BW$281+$BX$281)</f>
        <v>-7.105427357601e-15</v>
      </c>
      <c r="CB281" s="261" t="n">
        <v>0</v>
      </c>
      <c r="CC281" s="261" t="n">
        <v>0</v>
      </c>
      <c r="CD281" s="261" t="n">
        <v>0</v>
      </c>
      <c r="CE281" s="261" t="n">
        <v>0</v>
      </c>
      <c r="CF281" s="19" t="n"/>
    </row>
    <row r="282">
      <c r="B282" s="16" t="inlineStr">
        <is>
          <t>Net cash used by investing activities</t>
        </is>
      </c>
      <c r="C282" s="31" t="n">
        <v>-89.715</v>
      </c>
      <c r="D282" s="31" t="n">
        <v>-79.705</v>
      </c>
      <c r="E282" s="31" t="n">
        <v>-115.8</v>
      </c>
      <c r="F282" s="31" t="n">
        <v>-63.581</v>
      </c>
      <c r="G282" s="31" t="n">
        <v>-69.40000000000001</v>
      </c>
      <c r="H282" s="31" t="n">
        <v>-130.796</v>
      </c>
      <c r="I282" s="31" t="n">
        <v>-187.471</v>
      </c>
      <c r="J282" s="31" t="n">
        <v>-15.582</v>
      </c>
      <c r="K282" s="31" t="n">
        <v>-23.767</v>
      </c>
      <c r="L282" s="31" t="n">
        <v>-28.699</v>
      </c>
      <c r="M282" s="31" t="n">
        <v>-61.452</v>
      </c>
      <c r="N282" s="31" t="n">
        <v>-129.5</v>
      </c>
      <c r="O282" s="31" t="n">
        <v>-13.759</v>
      </c>
      <c r="P282" s="31" t="n">
        <v>-20.793</v>
      </c>
      <c r="Q282" s="31" t="n">
        <v>-3.946</v>
      </c>
      <c r="R282" s="31" t="n">
        <v>-40.487</v>
      </c>
      <c r="S282" s="31" t="n">
        <v>-78.985</v>
      </c>
      <c r="T282" s="31" t="n">
        <v>-9.244999999999999</v>
      </c>
      <c r="U282" s="31" t="n">
        <v>-16.527</v>
      </c>
      <c r="V282" s="31" t="n">
        <v>-46.203</v>
      </c>
      <c r="W282" s="31" t="n">
        <v>-13.377</v>
      </c>
      <c r="X282" s="31" t="n">
        <v>-85.352</v>
      </c>
      <c r="Y282" s="31" t="n">
        <v>-8.427</v>
      </c>
      <c r="Z282" s="31" t="n">
        <v>-87.523</v>
      </c>
      <c r="AA282" s="31" t="n">
        <v>-14.341</v>
      </c>
      <c r="AB282" s="31" t="n">
        <v>-49.655</v>
      </c>
      <c r="AC282" s="31" t="n">
        <v>-159.946</v>
      </c>
      <c r="AD282" s="31" t="n">
        <v>-42.959</v>
      </c>
      <c r="AE282" s="31" t="n">
        <v>-49.014</v>
      </c>
      <c r="AF282" s="31" t="n">
        <v>-157.823</v>
      </c>
      <c r="AG282" s="31" t="n">
        <v>-22.231</v>
      </c>
      <c r="AH282" s="31" t="n">
        <v>-272.027</v>
      </c>
      <c r="AI282" s="31" t="n">
        <v>34.117</v>
      </c>
      <c r="AJ282" s="31" t="n">
        <v>-18.616</v>
      </c>
      <c r="AK282" s="31" t="n">
        <v>32.772</v>
      </c>
      <c r="AL282" s="31" t="n">
        <v>-27.432</v>
      </c>
      <c r="AM282" s="31" t="n">
        <v>20.841</v>
      </c>
      <c r="AN282" s="31" t="n">
        <v>-13.949</v>
      </c>
      <c r="AO282" s="31" t="n">
        <v>-119.695</v>
      </c>
      <c r="AP282" s="31" t="n">
        <v>-45.151</v>
      </c>
      <c r="AQ282" s="31" t="n">
        <v>-14.028</v>
      </c>
      <c r="AR282" s="31" t="n">
        <v>-192.823</v>
      </c>
      <c r="AS282" s="31" t="n">
        <v>-5.728</v>
      </c>
      <c r="AT282" s="31" t="n">
        <v>-13.065</v>
      </c>
      <c r="AU282" s="31" t="n">
        <v>-11.366</v>
      </c>
      <c r="AV282" s="31" t="n">
        <v>-19.054</v>
      </c>
      <c r="AW282" s="31" t="n">
        <v>-49.213</v>
      </c>
      <c r="AX282" s="31" t="n">
        <v>-2.852</v>
      </c>
      <c r="AY282" s="31" t="n">
        <v>-99.58199999999999</v>
      </c>
      <c r="AZ282" s="31" t="n">
        <v>-92.264</v>
      </c>
      <c r="BA282" s="31" t="n">
        <v>-10.658</v>
      </c>
      <c r="BB282" s="31" t="n">
        <v>-205.356</v>
      </c>
      <c r="BC282" s="31" t="n">
        <v>-40.116</v>
      </c>
      <c r="BD282" s="31" t="n">
        <v>-14.889</v>
      </c>
      <c r="BE282" s="31" t="n">
        <v>-17.252</v>
      </c>
      <c r="BF282" s="31" t="n">
        <v>-432.434</v>
      </c>
      <c r="BG282" s="31" t="n">
        <v>-504.691</v>
      </c>
      <c r="BH282" s="31" t="n">
        <v>-16.049</v>
      </c>
      <c r="BI282" s="31" t="n">
        <v>-60.297</v>
      </c>
      <c r="BJ282" s="31" t="n">
        <v>-24.763</v>
      </c>
      <c r="BK282" s="31" t="n">
        <v>26.38</v>
      </c>
      <c r="BL282" s="31" t="n">
        <v>-74.729</v>
      </c>
      <c r="BM282" s="31" t="n">
        <v>-25.94</v>
      </c>
      <c r="BN282" s="31" t="n">
        <v>-174.806</v>
      </c>
      <c r="BO282" s="31" t="n">
        <v>-134.611</v>
      </c>
      <c r="BP282" s="31" t="n">
        <v>-25.874</v>
      </c>
      <c r="BQ282" s="31" t="n">
        <v>-361.231</v>
      </c>
      <c r="BR282" s="31" t="n">
        <v>-22.303</v>
      </c>
      <c r="BS282" s="31" t="n">
        <v>-57.167</v>
      </c>
      <c r="BT282" s="31" t="n">
        <v>-134.805</v>
      </c>
      <c r="BU282" s="31" t="n">
        <v>-43.051</v>
      </c>
      <c r="BV282" s="31" t="n">
        <v>-257.326</v>
      </c>
      <c r="BW282" s="31" t="n">
        <v>-38.715</v>
      </c>
      <c r="BX282" s="31" t="n">
        <v>-30.489</v>
      </c>
      <c r="BY282" s="253" t="n"/>
      <c r="BZ282" s="253" t="n"/>
      <c r="CA282" s="253">
        <f>CA278+CA279+CA280+CA281</f>
        <v>-118.604</v>
      </c>
      <c r="CB282" s="253">
        <f>CB278+CB279+CB280+CB281</f>
        <v>-335.792420728717</v>
      </c>
      <c r="CC282" s="253">
        <f>CC278+CC279+CC280+CC281</f>
        <v>-395.935926759678</v>
      </c>
      <c r="CD282" s="253">
        <f>CD278+CD279+CD280+CD281</f>
        <v>-406.469525042124</v>
      </c>
      <c r="CE282" s="253">
        <f>CE278+CE279+CE280+CE281</f>
        <v>-417.488860972573</v>
      </c>
      <c r="CF282" s="19" t="n"/>
    </row>
    <row r="283">
      <c r="B283" s="25" t="inlineStr">
        <is>
          <t>Short-term borrowings, net (revolver / amounts due banks)</t>
        </is>
      </c>
      <c r="C283" s="34" t="n">
        <v>-1.042</v>
      </c>
      <c r="D283" s="34" t="n">
        <v>2.826</v>
      </c>
      <c r="E283" s="34" t="n">
        <v>6.104</v>
      </c>
      <c r="F283" s="34" t="n">
        <v>-12.954</v>
      </c>
      <c r="G283" s="34" t="n">
        <v>-18.599</v>
      </c>
      <c r="H283" s="34" t="n">
        <v>8.981</v>
      </c>
      <c r="I283" s="34" t="n">
        <v>-4.533</v>
      </c>
      <c r="J283" s="34" t="n">
        <v>-1.345</v>
      </c>
      <c r="K283" s="34" t="n">
        <v>-1.186</v>
      </c>
      <c r="L283" s="34" t="n">
        <v>0.477</v>
      </c>
      <c r="M283" s="34" t="n">
        <v>0.603</v>
      </c>
      <c r="N283" s="34" t="n">
        <v>-1.451</v>
      </c>
      <c r="O283" s="34" t="n">
        <v>-6.621</v>
      </c>
      <c r="P283" s="34" t="n">
        <v>-2.071</v>
      </c>
      <c r="Q283" s="34" t="n">
        <v>81.322</v>
      </c>
      <c r="R283" s="34" t="n">
        <v>-24.754</v>
      </c>
      <c r="S283" s="34" t="n">
        <v>47.876</v>
      </c>
      <c r="T283" s="34" t="n">
        <v>101.113</v>
      </c>
      <c r="U283" s="34" t="n">
        <v>-103.901</v>
      </c>
      <c r="V283" s="34" t="n">
        <v>-32.422</v>
      </c>
      <c r="W283" s="34" t="n">
        <v>0.981</v>
      </c>
      <c r="X283" s="34" t="n">
        <v>-34.229</v>
      </c>
      <c r="Y283" s="34" t="n">
        <v>21.787</v>
      </c>
      <c r="Z283" s="34" t="n">
        <v>137.673</v>
      </c>
      <c r="AA283" s="34" t="n">
        <v>24.005</v>
      </c>
      <c r="AB283" s="34" t="n">
        <v>-181.926</v>
      </c>
      <c r="AC283" s="34" t="n">
        <v>1.539</v>
      </c>
      <c r="AD283" s="34" t="n">
        <v>0.107</v>
      </c>
      <c r="AE283" s="34" t="n">
        <v>-0.299</v>
      </c>
      <c r="AF283" s="34" t="n">
        <v>-0.41</v>
      </c>
      <c r="AG283" s="34" t="n">
        <v>0.111</v>
      </c>
      <c r="AH283" s="34" t="n">
        <v>-0.491</v>
      </c>
      <c r="AI283" s="34" t="n">
        <v>-0.06</v>
      </c>
      <c r="AJ283" s="34" t="n">
        <v>0.276</v>
      </c>
      <c r="AK283" s="34" t="n">
        <v>-0.855</v>
      </c>
      <c r="AL283" s="34" t="n">
        <v>-0.196</v>
      </c>
      <c r="AM283" s="34" t="n">
        <v>-0.835</v>
      </c>
      <c r="AN283" s="34" t="n">
        <v>0</v>
      </c>
      <c r="AO283" s="34" t="n">
        <v>29.982</v>
      </c>
      <c r="AP283" s="34" t="n">
        <v>-27.543</v>
      </c>
      <c r="AQ283" s="34" t="n">
        <v>21.99</v>
      </c>
      <c r="AR283" s="34" t="n">
        <v>24.429</v>
      </c>
      <c r="AS283" s="34" t="n">
        <v>99.40000000000001</v>
      </c>
      <c r="AT283" s="34" t="n">
        <v>-82.58199999999999</v>
      </c>
      <c r="AU283" s="34" t="n">
        <v>-46.437</v>
      </c>
      <c r="AV283" s="34" t="n">
        <v>-2.127</v>
      </c>
      <c r="AW283" s="34" t="n">
        <v>-31.746</v>
      </c>
      <c r="AX283" s="34" t="n">
        <v>1.307</v>
      </c>
      <c r="AY283" s="34" t="n">
        <v>-0.144</v>
      </c>
      <c r="AZ283" s="34" t="n">
        <v>31.132</v>
      </c>
      <c r="BA283" s="34" t="n">
        <v>13.673</v>
      </c>
      <c r="BB283" s="34" t="n">
        <v>45.968</v>
      </c>
      <c r="BC283" s="34" t="n">
        <v>96.30800000000001</v>
      </c>
      <c r="BD283" s="34" t="n">
        <v>-24.479</v>
      </c>
      <c r="BE283" s="34" t="n">
        <v>-56.83</v>
      </c>
      <c r="BF283" s="34" t="n">
        <v>19.352</v>
      </c>
      <c r="BG283" s="34" t="n">
        <v>34.351</v>
      </c>
      <c r="BH283" s="34" t="n">
        <v>-43.94</v>
      </c>
      <c r="BI283" s="34" t="n">
        <v>-28.284</v>
      </c>
      <c r="BJ283" s="34" t="n">
        <v>-2.594</v>
      </c>
      <c r="BK283" s="34" t="n">
        <v>-5.055</v>
      </c>
      <c r="BL283" s="34" t="n">
        <v>-79.873</v>
      </c>
      <c r="BM283" s="34" t="n">
        <v>2.016</v>
      </c>
      <c r="BN283" s="34" t="n">
        <v>-2.594</v>
      </c>
      <c r="BO283" s="34" t="n">
        <v>6.099</v>
      </c>
      <c r="BP283" s="34" t="n">
        <v>2.928</v>
      </c>
      <c r="BQ283" s="34" t="n">
        <v>8.449</v>
      </c>
      <c r="BR283" s="34" t="n">
        <v>-0.904</v>
      </c>
      <c r="BS283" s="34" t="n">
        <v>-4.302</v>
      </c>
      <c r="BT283" s="34" t="n">
        <v>82.884</v>
      </c>
      <c r="BU283" s="34" t="n">
        <v>55.574</v>
      </c>
      <c r="BV283" s="34" t="n">
        <v>133.252</v>
      </c>
      <c r="BW283" s="34" t="n">
        <v>19.613</v>
      </c>
      <c r="BX283" s="34" t="n">
        <v>-163.502</v>
      </c>
      <c r="BY283" s="257" t="n"/>
      <c r="BZ283" s="257" t="n"/>
      <c r="CA283" s="257">
        <f>($BW$283+$BX$283)+(CA379-$BX$379)</f>
        <v>-143.889</v>
      </c>
      <c r="CB283" s="257">
        <f>CB379-CA379</f>
        <v>154.694377342239</v>
      </c>
      <c r="CC283" s="257">
        <f>CC379-CB379</f>
        <v>110.116586822896</v>
      </c>
      <c r="CD283" s="257">
        <f>CD379-CC379</f>
        <v>112.069807974783</v>
      </c>
      <c r="CE283" s="257">
        <f>CE379-CD379</f>
        <v>117.332269111405</v>
      </c>
      <c r="CF283" s="19" t="inlineStr">
        <is>
          <t>Forecast = change in prepayable facilities per the debt schedule.</t>
        </is>
      </c>
    </row>
    <row r="284">
      <c r="B284" s="25" t="inlineStr">
        <is>
          <t>Proceeds from long-term borrowings</t>
        </is>
      </c>
      <c r="C284" s="34" t="n">
        <v>0</v>
      </c>
      <c r="D284" s="34" t="n">
        <v>0</v>
      </c>
      <c r="E284" s="34" t="n">
        <v>1.352</v>
      </c>
      <c r="F284" s="34" t="n">
        <v>0.531</v>
      </c>
      <c r="G284" s="34" t="n">
        <v>0.15</v>
      </c>
      <c r="H284" s="34" t="n">
        <v>0.909</v>
      </c>
      <c r="I284" s="34" t="n">
        <v>0.918</v>
      </c>
      <c r="J284" s="34" t="n">
        <v>0</v>
      </c>
      <c r="K284" s="34" t="n">
        <v>0</v>
      </c>
      <c r="L284" s="34" t="n">
        <v>0</v>
      </c>
      <c r="M284" s="34" t="n">
        <v>0.061</v>
      </c>
      <c r="N284" s="34" t="n">
        <v>0.061</v>
      </c>
      <c r="O284" s="34" t="n">
        <v>0</v>
      </c>
      <c r="P284" s="34" t="n">
        <v>0.057</v>
      </c>
      <c r="Q284" s="34" t="n">
        <v>0</v>
      </c>
      <c r="R284" s="34" t="n">
        <v>8.696999999999999</v>
      </c>
      <c r="S284" s="34" t="n">
        <v>8.754</v>
      </c>
      <c r="T284" s="34" t="n">
        <v>2.5</v>
      </c>
      <c r="U284" s="34" t="n">
        <v>150</v>
      </c>
      <c r="V284" s="34" t="n">
        <v>203.869</v>
      </c>
      <c r="W284" s="34" t="n">
        <v>1.411</v>
      </c>
      <c r="X284" s="34" t="n">
        <v>357.78</v>
      </c>
      <c r="Y284" s="34" t="n">
        <v>0.224</v>
      </c>
      <c r="Z284" s="34" t="n">
        <v>0.037</v>
      </c>
      <c r="AA284" s="34" t="n">
        <v>0</v>
      </c>
      <c r="AB284" s="34" t="n">
        <v>350</v>
      </c>
      <c r="AC284" s="34" t="n">
        <v>350.261</v>
      </c>
      <c r="AD284" s="34" t="n">
        <v>0.015</v>
      </c>
      <c r="AE284" s="34" t="n">
        <v>0</v>
      </c>
      <c r="AF284" s="34" t="n">
        <v>0.019</v>
      </c>
      <c r="AG284" s="34" t="n">
        <v>0</v>
      </c>
      <c r="AH284" s="34" t="n">
        <v>0.034</v>
      </c>
      <c r="AI284" s="34" t="n">
        <v>0</v>
      </c>
      <c r="AJ284" s="34" t="n">
        <v>0</v>
      </c>
      <c r="AK284" s="34" t="n">
        <v>0</v>
      </c>
      <c r="AL284" s="34" t="n">
        <v>0</v>
      </c>
      <c r="AM284" s="34" t="n">
        <v>0</v>
      </c>
      <c r="AN284" s="34" t="n">
        <v>0</v>
      </c>
      <c r="AO284" s="34" t="n">
        <v>0</v>
      </c>
      <c r="AP284" s="34" t="n">
        <v>0</v>
      </c>
      <c r="AQ284" s="34" t="n">
        <v>0</v>
      </c>
      <c r="AR284" s="34" t="n">
        <v>0</v>
      </c>
      <c r="AS284" s="34" t="n">
        <v>0</v>
      </c>
      <c r="AT284" s="34" t="n">
        <v>0</v>
      </c>
      <c r="AU284" s="34" t="n">
        <v>0</v>
      </c>
      <c r="AV284" s="34" t="n">
        <v>0</v>
      </c>
      <c r="AW284" s="34" t="n">
        <v>0</v>
      </c>
      <c r="AX284" s="34" t="n">
        <v>0</v>
      </c>
      <c r="AY284" s="34" t="n">
        <v>0</v>
      </c>
      <c r="AZ284" s="34" t="n">
        <v>0</v>
      </c>
      <c r="BA284" s="34" t="n">
        <v>0</v>
      </c>
      <c r="BB284" s="34" t="n">
        <v>0</v>
      </c>
      <c r="BC284" s="34" t="n">
        <v>0</v>
      </c>
      <c r="BD284" s="34" t="n">
        <v>0</v>
      </c>
      <c r="BE284" s="34" t="n">
        <v>0</v>
      </c>
      <c r="BF284" s="34" t="n">
        <v>405.444</v>
      </c>
      <c r="BG284" s="34" t="n">
        <v>405.444</v>
      </c>
      <c r="BH284" s="34" t="n">
        <v>0</v>
      </c>
      <c r="BI284" s="34" t="n">
        <v>-6.978</v>
      </c>
      <c r="BJ284" s="34" t="n">
        <v>-1.019</v>
      </c>
      <c r="BK284" s="34" t="n">
        <v>-0.112</v>
      </c>
      <c r="BL284" s="34" t="n">
        <v>-8.109</v>
      </c>
      <c r="BM284" s="34" t="n">
        <v>0</v>
      </c>
      <c r="BN284" s="34" t="n">
        <v>400</v>
      </c>
      <c r="BO284" s="34" t="n">
        <v>150</v>
      </c>
      <c r="BP284" s="34" t="n">
        <v>0</v>
      </c>
      <c r="BQ284" s="34" t="n">
        <v>550</v>
      </c>
      <c r="BR284" s="34" t="n">
        <v>0</v>
      </c>
      <c r="BS284" s="34" t="n">
        <v>0</v>
      </c>
      <c r="BT284" s="34" t="n">
        <v>0</v>
      </c>
      <c r="BU284" s="34" t="n">
        <v>0</v>
      </c>
      <c r="BV284" s="34" t="n">
        <v>0</v>
      </c>
      <c r="BW284" s="34" t="n">
        <v>0</v>
      </c>
      <c r="BX284" s="34" t="n">
        <v>0</v>
      </c>
      <c r="BY284" s="257" t="n"/>
      <c r="BZ284" s="257" t="n"/>
      <c r="CA284" s="257">
        <f>($BW$284+$BX$284)</f>
        <v>0</v>
      </c>
      <c r="CB284" s="257">
        <f>CB374</f>
        <v>0</v>
      </c>
      <c r="CC284" s="257">
        <f>CC374</f>
        <v>100</v>
      </c>
      <c r="CD284" s="257">
        <f>CD374</f>
        <v>75</v>
      </c>
      <c r="CE284" s="257">
        <f>CE374</f>
        <v>100</v>
      </c>
      <c r="CF284" s="19" t="n"/>
    </row>
    <row r="285">
      <c r="B285" s="25" t="inlineStr">
        <is>
          <t>Payments on long-term borrowings</t>
        </is>
      </c>
      <c r="C285" s="34" t="n">
        <v>-3.147</v>
      </c>
      <c r="D285" s="34" t="n">
        <v>-40.142</v>
      </c>
      <c r="E285" s="34" t="n">
        <v>-1.033</v>
      </c>
      <c r="F285" s="34" t="n">
        <v>-31.405</v>
      </c>
      <c r="G285" s="34" t="n">
        <v>-8.73</v>
      </c>
      <c r="H285" s="34" t="n">
        <v>-1.941</v>
      </c>
      <c r="I285" s="34" t="n">
        <v>-85.688</v>
      </c>
      <c r="J285" s="34" t="n">
        <v>-0.147</v>
      </c>
      <c r="K285" s="34" t="n">
        <v>-0.077</v>
      </c>
      <c r="L285" s="34" t="n">
        <v>-0.073</v>
      </c>
      <c r="M285" s="34" t="n">
        <v>-0.153</v>
      </c>
      <c r="N285" s="34" t="n">
        <v>-0.45</v>
      </c>
      <c r="O285" s="34" t="n">
        <v>-1.435</v>
      </c>
      <c r="P285" s="34" t="n">
        <v>-0.073</v>
      </c>
      <c r="Q285" s="34" t="n">
        <v>-0.065</v>
      </c>
      <c r="R285" s="34" t="n">
        <v>-1.726</v>
      </c>
      <c r="S285" s="34" t="n">
        <v>-3.299</v>
      </c>
      <c r="T285" s="34" t="n">
        <v>-2.103</v>
      </c>
      <c r="U285" s="34" t="n">
        <v>-3.559</v>
      </c>
      <c r="V285" s="34" t="n">
        <v>-1.077</v>
      </c>
      <c r="W285" s="34" t="n">
        <v>-0.206</v>
      </c>
      <c r="X285" s="34" t="n">
        <v>-6.945</v>
      </c>
      <c r="Y285" s="34" t="n">
        <v>-0.255</v>
      </c>
      <c r="Z285" s="34" t="n">
        <v>-0.196</v>
      </c>
      <c r="AA285" s="34" t="n">
        <v>-0.016</v>
      </c>
      <c r="AB285" s="34" t="n">
        <v>-0.014</v>
      </c>
      <c r="AC285" s="34" t="n">
        <v>-0.481</v>
      </c>
      <c r="AD285" s="34" t="n">
        <v>-0.012</v>
      </c>
      <c r="AE285" s="34" t="n">
        <v>-0.022</v>
      </c>
      <c r="AF285" s="34" t="n">
        <v>-0.003</v>
      </c>
      <c r="AG285" s="34" t="n">
        <v>-0.002</v>
      </c>
      <c r="AH285" s="34" t="n">
        <v>-0.039</v>
      </c>
      <c r="AI285" s="34" t="n">
        <v>-0.003</v>
      </c>
      <c r="AJ285" s="34" t="n">
        <v>-0.003</v>
      </c>
      <c r="AK285" s="34" t="n">
        <v>-0.001</v>
      </c>
      <c r="AL285" s="34" t="n">
        <v>-0.1</v>
      </c>
      <c r="AM285" s="34" t="n">
        <v>-0.107</v>
      </c>
      <c r="AN285" s="34" t="n">
        <v>-0.003</v>
      </c>
      <c r="AO285" s="34" t="n">
        <v>-0.002</v>
      </c>
      <c r="AP285" s="34" t="n">
        <v>-0.001</v>
      </c>
      <c r="AQ285" s="34" t="n">
        <v>-0.101</v>
      </c>
      <c r="AR285" s="34" t="n">
        <v>-0.107</v>
      </c>
      <c r="AS285" s="34" t="n">
        <v>-0.002</v>
      </c>
      <c r="AT285" s="34" t="n">
        <v>-0.008999999999999999</v>
      </c>
      <c r="AU285" s="34" t="n">
        <v>-0.001</v>
      </c>
      <c r="AV285" s="34" t="n">
        <v>-0.002</v>
      </c>
      <c r="AW285" s="34" t="n">
        <v>-0.014</v>
      </c>
      <c r="AX285" s="34" t="n">
        <v>0</v>
      </c>
      <c r="AY285" s="34" t="n">
        <v>0</v>
      </c>
      <c r="AZ285" s="34" t="n">
        <v>0</v>
      </c>
      <c r="BA285" s="34" t="n">
        <v>0</v>
      </c>
      <c r="BB285" s="34" t="n">
        <v>0</v>
      </c>
      <c r="BC285" s="34" t="n">
        <v>0</v>
      </c>
      <c r="BD285" s="34" t="n">
        <v>0</v>
      </c>
      <c r="BE285" s="34" t="n">
        <v>0</v>
      </c>
      <c r="BF285" s="34" t="n">
        <v>0</v>
      </c>
      <c r="BG285" s="34" t="n">
        <v>0</v>
      </c>
      <c r="BH285" s="34" t="n">
        <v>-0.111</v>
      </c>
      <c r="BI285" s="34" t="n">
        <v>0.111</v>
      </c>
      <c r="BJ285" s="34" t="n">
        <v>0</v>
      </c>
      <c r="BK285" s="34" t="n">
        <v>0</v>
      </c>
      <c r="BL285" s="34" t="n">
        <v>0</v>
      </c>
      <c r="BM285" s="34" t="n">
        <v>-0.169</v>
      </c>
      <c r="BN285" s="34" t="n">
        <v>-400.17</v>
      </c>
      <c r="BO285" s="34" t="n">
        <v>-0.169</v>
      </c>
      <c r="BP285" s="34" t="n">
        <v>-0.169</v>
      </c>
      <c r="BQ285" s="34" t="n">
        <v>-400.677</v>
      </c>
      <c r="BR285" s="34" t="n">
        <v>-0.169</v>
      </c>
      <c r="BS285" s="34" t="n">
        <v>0</v>
      </c>
      <c r="BT285" s="34" t="n">
        <v>-100</v>
      </c>
      <c r="BU285" s="34" t="n">
        <v>0</v>
      </c>
      <c r="BV285" s="34" t="n">
        <v>-100.169</v>
      </c>
      <c r="BW285" s="34" t="n">
        <v>0</v>
      </c>
      <c r="BX285" s="34" t="n">
        <v>0</v>
      </c>
      <c r="BY285" s="257" t="n"/>
      <c r="BZ285" s="257" t="n"/>
      <c r="CA285" s="257">
        <f>($BW$285+$BX$285)+CA372</f>
        <v>0</v>
      </c>
      <c r="CB285" s="257">
        <f>CB372</f>
        <v>0</v>
      </c>
      <c r="CC285" s="257">
        <f>CC372</f>
        <v>-100</v>
      </c>
      <c r="CD285" s="257">
        <f>CD372</f>
        <v>-75</v>
      </c>
      <c r="CE285" s="257">
        <f>CE372</f>
        <v>-100</v>
      </c>
      <c r="CF285" s="19" t="n"/>
    </row>
    <row r="286">
      <c r="B286" s="25" t="inlineStr">
        <is>
          <t>Cash dividends paid to shareholders</t>
        </is>
      </c>
      <c r="C286" s="34" t="n">
        <v>-32.275</v>
      </c>
      <c r="D286" s="34" t="n">
        <v>-37.744</v>
      </c>
      <c r="E286" s="34" t="n">
        <v>-42.756</v>
      </c>
      <c r="F286" s="34" t="n">
        <v>-45.801</v>
      </c>
      <c r="G286" s="34" t="n">
        <v>-47.364</v>
      </c>
      <c r="H286" s="34" t="n">
        <v>-51.935</v>
      </c>
      <c r="I286" s="34" t="n">
        <v>-73.11199999999999</v>
      </c>
      <c r="J286" s="34" t="n">
        <v>0</v>
      </c>
      <c r="K286" s="34" t="n">
        <v>-16.58</v>
      </c>
      <c r="L286" s="34" t="n">
        <v>-16.407</v>
      </c>
      <c r="M286" s="34" t="n">
        <v>-16.29</v>
      </c>
      <c r="N286" s="34" t="n">
        <v>-49.277</v>
      </c>
      <c r="O286" s="34" t="n">
        <v>-18.623</v>
      </c>
      <c r="P286" s="34" t="n">
        <v>-18.496</v>
      </c>
      <c r="Q286" s="34" t="n">
        <v>-18.276</v>
      </c>
      <c r="R286" s="34" t="n">
        <v>-17.866</v>
      </c>
      <c r="S286" s="34" t="n">
        <v>-73.261</v>
      </c>
      <c r="T286" s="34" t="n">
        <v>-22.329</v>
      </c>
      <c r="U286" s="34" t="n">
        <v>-21.919</v>
      </c>
      <c r="V286" s="34" t="n">
        <v>-21.694</v>
      </c>
      <c r="W286" s="34" t="n">
        <v>-21.026</v>
      </c>
      <c r="X286" s="34" t="n">
        <v>-86.968</v>
      </c>
      <c r="Y286" s="34" t="n">
        <v>-22.625</v>
      </c>
      <c r="Z286" s="34" t="n">
        <v>-22.022</v>
      </c>
      <c r="AA286" s="34" t="n">
        <v>-21.533</v>
      </c>
      <c r="AB286" s="34" t="n">
        <v>-21.15</v>
      </c>
      <c r="AC286" s="34" t="n">
        <v>-87.33</v>
      </c>
      <c r="AD286" s="34" t="n">
        <v>-22.986</v>
      </c>
      <c r="AE286" s="34" t="n">
        <v>-23.03</v>
      </c>
      <c r="AF286" s="34" t="n">
        <v>-23.067</v>
      </c>
      <c r="AG286" s="34" t="n">
        <v>-23.369</v>
      </c>
      <c r="AH286" s="34" t="n">
        <v>-92.452</v>
      </c>
      <c r="AI286" s="34" t="n">
        <v>-25.661</v>
      </c>
      <c r="AJ286" s="34" t="n">
        <v>-25.589</v>
      </c>
      <c r="AK286" s="34" t="n">
        <v>-25.424</v>
      </c>
      <c r="AL286" s="34" t="n">
        <v>-25.384</v>
      </c>
      <c r="AM286" s="34" t="n">
        <v>-102.058</v>
      </c>
      <c r="AN286" s="34" t="n">
        <v>-30.56</v>
      </c>
      <c r="AO286" s="34" t="n">
        <v>-29.541</v>
      </c>
      <c r="AP286" s="34" t="n">
        <v>-29.061</v>
      </c>
      <c r="AQ286" s="34" t="n">
        <v>-28.758</v>
      </c>
      <c r="AR286" s="34" t="n">
        <v>-117.92</v>
      </c>
      <c r="AS286" s="34" t="n">
        <v>-30.675</v>
      </c>
      <c r="AT286" s="34" t="n">
        <v>-29.139</v>
      </c>
      <c r="AU286" s="34" t="n">
        <v>-29.131</v>
      </c>
      <c r="AV286" s="34" t="n">
        <v>-29.173</v>
      </c>
      <c r="AW286" s="34" t="n">
        <v>-118.118</v>
      </c>
      <c r="AX286" s="34" t="n">
        <v>-30.999</v>
      </c>
      <c r="AY286" s="34" t="n">
        <v>-30.38</v>
      </c>
      <c r="AZ286" s="34" t="n">
        <v>-30.338</v>
      </c>
      <c r="BA286" s="34" t="n">
        <v>-30.134</v>
      </c>
      <c r="BB286" s="34" t="n">
        <v>-121.851</v>
      </c>
      <c r="BC286" s="34" t="n">
        <v>-33.361</v>
      </c>
      <c r="BD286" s="34" t="n">
        <v>-32.553</v>
      </c>
      <c r="BE286" s="34" t="n">
        <v>-32.463</v>
      </c>
      <c r="BF286" s="34" t="n">
        <v>-32.347</v>
      </c>
      <c r="BG286" s="34" t="n">
        <v>-130.724</v>
      </c>
      <c r="BH286" s="34" t="n">
        <v>-37.583</v>
      </c>
      <c r="BI286" s="34" t="n">
        <v>-36.889</v>
      </c>
      <c r="BJ286" s="34" t="n">
        <v>-36.805</v>
      </c>
      <c r="BK286" s="34" t="n">
        <v>-36.733</v>
      </c>
      <c r="BL286" s="34" t="n">
        <v>-148.01</v>
      </c>
      <c r="BM286" s="34" t="n">
        <v>-41.28</v>
      </c>
      <c r="BN286" s="34" t="n">
        <v>-40.416</v>
      </c>
      <c r="BO286" s="34" t="n">
        <v>-40.283</v>
      </c>
      <c r="BP286" s="34" t="n">
        <v>-40.164</v>
      </c>
      <c r="BQ286" s="34" t="n">
        <v>-162.143</v>
      </c>
      <c r="BR286" s="34" t="n">
        <v>-42.975</v>
      </c>
      <c r="BS286" s="34" t="n">
        <v>-41.929</v>
      </c>
      <c r="BT286" s="34" t="n">
        <v>-41.572</v>
      </c>
      <c r="BU286" s="34" t="n">
        <v>-41.764</v>
      </c>
      <c r="BV286" s="34" t="n">
        <v>-168.24</v>
      </c>
      <c r="BW286" s="34" t="n">
        <v>-44.071</v>
      </c>
      <c r="BX286" s="34" t="n">
        <v>-43.395</v>
      </c>
      <c r="BY286" s="257" t="n"/>
      <c r="BZ286" s="257" t="n"/>
      <c r="CA286" s="257">
        <f>($BW$286+$BX$286)-($BY$187*$BY$181+$BZ$187*$BZ$181)</f>
        <v>-175.604409246788</v>
      </c>
      <c r="CB286" s="257">
        <f>-CB187*CB314</f>
        <v>-181.861672412723</v>
      </c>
      <c r="CC286" s="257">
        <f>-CC187*CC314</f>
        <v>-187.087756576237</v>
      </c>
      <c r="CD286" s="257">
        <f>-CD187*CD314</f>
        <v>-193.22623117597</v>
      </c>
      <c r="CE286" s="257">
        <f>-CE187*CE314</f>
        <v>-199.002577394797</v>
      </c>
      <c r="CF286" s="19" t="inlineStr">
        <is>
          <t>2027E+: dividends per share × beginning shares outstanding (avoids circularity with buybacks).</t>
        </is>
      </c>
    </row>
    <row r="287">
      <c r="B287" s="25" t="inlineStr">
        <is>
          <t>Purchase of shares for treasury</t>
        </is>
      </c>
      <c r="C287" s="34" t="n">
        <v>-0.126</v>
      </c>
      <c r="D287" s="34" t="n">
        <v>-15.459</v>
      </c>
      <c r="E287" s="34" t="n">
        <v>-42.337</v>
      </c>
      <c r="F287" s="34" t="n">
        <v>-0.343</v>
      </c>
      <c r="G287" s="34" t="n">
        <v>-39.682</v>
      </c>
      <c r="H287" s="34" t="n">
        <v>-36.997</v>
      </c>
      <c r="I287" s="34" t="n">
        <v>-81.018</v>
      </c>
      <c r="J287" s="34" t="n">
        <v>-12.78</v>
      </c>
      <c r="K287" s="34" t="n">
        <v>-56.897</v>
      </c>
      <c r="L287" s="34" t="n">
        <v>-43.964</v>
      </c>
      <c r="M287" s="34" t="n">
        <v>-54.238</v>
      </c>
      <c r="N287" s="34" t="n">
        <v>-167.879</v>
      </c>
      <c r="O287" s="34" t="n">
        <v>-51.021</v>
      </c>
      <c r="P287" s="34" t="n">
        <v>-68.312</v>
      </c>
      <c r="Q287" s="34" t="n">
        <v>-130.07</v>
      </c>
      <c r="R287" s="34" t="n">
        <v>-57.775</v>
      </c>
      <c r="S287" s="34" t="n">
        <v>-307.178</v>
      </c>
      <c r="T287" s="34" t="n">
        <v>-102.853</v>
      </c>
      <c r="U287" s="34" t="n">
        <v>-55.615</v>
      </c>
      <c r="V287" s="34" t="n">
        <v>-139.336</v>
      </c>
      <c r="W287" s="34" t="n">
        <v>-101.69</v>
      </c>
      <c r="X287" s="34" t="n">
        <v>-399.494</v>
      </c>
      <c r="Y287" s="34" t="n">
        <v>-102.488</v>
      </c>
      <c r="Z287" s="34" t="n">
        <v>-100.445</v>
      </c>
      <c r="AA287" s="34" t="n">
        <v>-85.661</v>
      </c>
      <c r="AB287" s="34" t="n">
        <v>-53.409</v>
      </c>
      <c r="AC287" s="34" t="n">
        <v>-342.003</v>
      </c>
      <c r="AD287" s="34" t="n">
        <v>-0.403</v>
      </c>
      <c r="AE287" s="34" t="n">
        <v>-7.345</v>
      </c>
      <c r="AF287" s="34" t="n">
        <v>-15.264</v>
      </c>
      <c r="AG287" s="34" t="n">
        <v>-20.152</v>
      </c>
      <c r="AH287" s="34" t="n">
        <v>-43.164</v>
      </c>
      <c r="AI287" s="34" t="n">
        <v>-14.724</v>
      </c>
      <c r="AJ287" s="34" t="n">
        <v>-35.508</v>
      </c>
      <c r="AK287" s="34" t="n">
        <v>-71.245</v>
      </c>
      <c r="AL287" s="34" t="n">
        <v>-80.173</v>
      </c>
      <c r="AM287" s="34" t="n">
        <v>-201.65</v>
      </c>
      <c r="AN287" s="34" t="n">
        <v>-75.584</v>
      </c>
      <c r="AO287" s="34" t="n">
        <v>-85.33</v>
      </c>
      <c r="AP287" s="34" t="n">
        <v>-61.028</v>
      </c>
      <c r="AQ287" s="34" t="n">
        <v>-70.751</v>
      </c>
      <c r="AR287" s="34" t="n">
        <v>-292.693</v>
      </c>
      <c r="AS287" s="34" t="n">
        <v>-109.762</v>
      </c>
      <c r="AT287" s="34" t="n">
        <v>-3.213</v>
      </c>
      <c r="AU287" s="34" t="n">
        <v>-0.223</v>
      </c>
      <c r="AV287" s="34" t="n">
        <v>-0.257</v>
      </c>
      <c r="AW287" s="34" t="n">
        <v>-113.455</v>
      </c>
      <c r="AX287" s="34" t="n">
        <v>-28.459</v>
      </c>
      <c r="AY287" s="34" t="n">
        <v>-25.229</v>
      </c>
      <c r="AZ287" s="34" t="n">
        <v>-50.16</v>
      </c>
      <c r="BA287" s="34" t="n">
        <v>-60.678</v>
      </c>
      <c r="BB287" s="34" t="n">
        <v>-164.526</v>
      </c>
      <c r="BC287" s="34" t="n">
        <v>-104.579</v>
      </c>
      <c r="BD287" s="34" t="n">
        <v>-25.119</v>
      </c>
      <c r="BE287" s="34" t="n">
        <v>-26.518</v>
      </c>
      <c r="BF287" s="34" t="n">
        <v>-25.077</v>
      </c>
      <c r="BG287" s="34" t="n">
        <v>-181.293</v>
      </c>
      <c r="BH287" s="34" t="n">
        <v>-32.158</v>
      </c>
      <c r="BI287" s="34" t="n">
        <v>-53.076</v>
      </c>
      <c r="BJ287" s="34" t="n">
        <v>-45.355</v>
      </c>
      <c r="BK287" s="34" t="n">
        <v>-68.176</v>
      </c>
      <c r="BL287" s="34" t="n">
        <v>-198.765</v>
      </c>
      <c r="BM287" s="34" t="n">
        <v>-110.405</v>
      </c>
      <c r="BN287" s="34" t="n">
        <v>-50.415</v>
      </c>
      <c r="BO287" s="34" t="n">
        <v>-50.392</v>
      </c>
      <c r="BP287" s="34" t="n">
        <v>-52.539</v>
      </c>
      <c r="BQ287" s="34" t="n">
        <v>-263.751</v>
      </c>
      <c r="BR287" s="34" t="n">
        <v>-106.694</v>
      </c>
      <c r="BS287" s="34" t="n">
        <v>-127.13</v>
      </c>
      <c r="BT287" s="34" t="n">
        <v>-52.664</v>
      </c>
      <c r="BU287" s="34" t="n">
        <v>-51.82</v>
      </c>
      <c r="BV287" s="34" t="n">
        <v>-338.308</v>
      </c>
      <c r="BW287" s="34" t="n">
        <v>-56.67</v>
      </c>
      <c r="BX287" s="34" t="n">
        <v>-76.122</v>
      </c>
      <c r="BY287" s="257" t="n"/>
      <c r="BZ287" s="257" t="n"/>
      <c r="CA287" s="257">
        <f>($BW$287+$BX$287)-CHOOSE(MATCH($CF$2,{"Bull","Base","Bear"},0),$CO$20,$CP$20,$CQ$20)</f>
        <v>-262.792</v>
      </c>
      <c r="CB287" s="257">
        <f>-CB388</f>
        <v>-411.656137858025</v>
      </c>
      <c r="CC287" s="257">
        <f>-CC388</f>
        <v>-368.548861019296</v>
      </c>
      <c r="CD287" s="257">
        <f>-CD388</f>
        <v>-438.461599808954</v>
      </c>
      <c r="CE287" s="257">
        <f>-CE388</f>
        <v>-515.441364121626</v>
      </c>
      <c r="CF287" s="19" t="inlineStr">
        <is>
          <t>2026E = 1H/26 actual + 2H scenario amount; 2027E+ = leverage plug (surplus cash returned once net debt / adj. EBITDA reaches the scenario floor).</t>
        </is>
      </c>
    </row>
    <row r="288">
      <c r="B288" s="25" t="inlineStr">
        <is>
          <t>Proceeds from exercise of stock options</t>
        </is>
      </c>
      <c r="C288" s="34" t="n">
        <v>13.618</v>
      </c>
      <c r="D288" s="34" t="n">
        <v>8.644</v>
      </c>
      <c r="E288" s="34" t="n">
        <v>7.201</v>
      </c>
      <c r="F288" s="34" t="n">
        <v>0.705</v>
      </c>
      <c r="G288" s="34" t="n">
        <v>3.508</v>
      </c>
      <c r="H288" s="34" t="n">
        <v>11.351</v>
      </c>
      <c r="I288" s="34" t="n">
        <v>18.776</v>
      </c>
      <c r="J288" s="34" t="n">
        <v>9.657999999999999</v>
      </c>
      <c r="K288" s="34" t="n">
        <v>3.546</v>
      </c>
      <c r="L288" s="34" t="n">
        <v>2.873</v>
      </c>
      <c r="M288" s="34" t="n">
        <v>4.22</v>
      </c>
      <c r="N288" s="34" t="n">
        <v>20.297</v>
      </c>
      <c r="O288" s="34" t="n">
        <v>2.956</v>
      </c>
      <c r="P288" s="34" t="n">
        <v>1.054</v>
      </c>
      <c r="Q288" s="34" t="n">
        <v>1.935</v>
      </c>
      <c r="R288" s="34" t="n">
        <v>3.171</v>
      </c>
      <c r="S288" s="34" t="n">
        <v>9.116</v>
      </c>
      <c r="T288" s="34" t="n">
        <v>1.733</v>
      </c>
      <c r="U288" s="34" t="n">
        <v>2.303</v>
      </c>
      <c r="V288" s="34" t="n">
        <v>0.5639999999999999</v>
      </c>
      <c r="W288" s="34" t="n">
        <v>1.396</v>
      </c>
      <c r="X288" s="34" t="n">
        <v>5.996</v>
      </c>
      <c r="Y288" s="34" t="n">
        <v>2.015</v>
      </c>
      <c r="Z288" s="34" t="n">
        <v>3.7</v>
      </c>
      <c r="AA288" s="34" t="n">
        <v>4.703</v>
      </c>
      <c r="AB288" s="34" t="n">
        <v>14.631</v>
      </c>
      <c r="AC288" s="34" t="n">
        <v>25.049</v>
      </c>
      <c r="AD288" s="34" t="n">
        <v>5.643</v>
      </c>
      <c r="AE288" s="34" t="n">
        <v>7.754</v>
      </c>
      <c r="AF288" s="34" t="n">
        <v>0.9360000000000001</v>
      </c>
      <c r="AG288" s="34" t="n">
        <v>2.294</v>
      </c>
      <c r="AH288" s="34" t="n">
        <v>16.627</v>
      </c>
      <c r="AI288" s="34" t="n">
        <v>1.962</v>
      </c>
      <c r="AJ288" s="34" t="n">
        <v>0.637</v>
      </c>
      <c r="AK288" s="34" t="n">
        <v>1.849</v>
      </c>
      <c r="AL288" s="34" t="n">
        <v>0.242</v>
      </c>
      <c r="AM288" s="34" t="n">
        <v>4.69</v>
      </c>
      <c r="AN288" s="34" t="n">
        <v>0.637</v>
      </c>
      <c r="AO288" s="34" t="n">
        <v>0.323</v>
      </c>
      <c r="AP288" s="34" t="n">
        <v>5.25</v>
      </c>
      <c r="AQ288" s="34" t="n">
        <v>8.137</v>
      </c>
      <c r="AR288" s="34" t="n">
        <v>14.347</v>
      </c>
      <c r="AS288" s="34" t="n">
        <v>1.047</v>
      </c>
      <c r="AT288" s="34" t="n">
        <v>0.955</v>
      </c>
      <c r="AU288" s="34" t="n">
        <v>5.959</v>
      </c>
      <c r="AV288" s="34" t="n">
        <v>9.231</v>
      </c>
      <c r="AW288" s="34" t="n">
        <v>17.192</v>
      </c>
      <c r="AX288" s="34" t="n">
        <v>2.78</v>
      </c>
      <c r="AY288" s="34" t="n">
        <v>2.892</v>
      </c>
      <c r="AZ288" s="34" t="n">
        <v>2.249</v>
      </c>
      <c r="BA288" s="34" t="n">
        <v>11.311</v>
      </c>
      <c r="BB288" s="34" t="n">
        <v>19.232</v>
      </c>
      <c r="BC288" s="34" t="n">
        <v>1.035</v>
      </c>
      <c r="BD288" s="34" t="n">
        <v>0.382</v>
      </c>
      <c r="BE288" s="34" t="n">
        <v>0.751</v>
      </c>
      <c r="BF288" s="34" t="n">
        <v>4.217</v>
      </c>
      <c r="BG288" s="34" t="n">
        <v>6.385</v>
      </c>
      <c r="BH288" s="34" t="n">
        <v>2.476</v>
      </c>
      <c r="BI288" s="34" t="n">
        <v>9.534000000000001</v>
      </c>
      <c r="BJ288" s="34" t="n">
        <v>1.289</v>
      </c>
      <c r="BK288" s="34" t="n">
        <v>9.066000000000001</v>
      </c>
      <c r="BL288" s="34" t="n">
        <v>22.365</v>
      </c>
      <c r="BM288" s="34" t="n">
        <v>24.438</v>
      </c>
      <c r="BN288" s="34" t="n">
        <v>0.543</v>
      </c>
      <c r="BO288" s="34" t="n">
        <v>0.899</v>
      </c>
      <c r="BP288" s="34" t="n">
        <v>1.524</v>
      </c>
      <c r="BQ288" s="34" t="n">
        <v>27.404</v>
      </c>
      <c r="BR288" s="34" t="n">
        <v>6.254</v>
      </c>
      <c r="BS288" s="34" t="n">
        <v>0.14</v>
      </c>
      <c r="BT288" s="34" t="n">
        <v>3.667</v>
      </c>
      <c r="BU288" s="34" t="n">
        <v>1.517</v>
      </c>
      <c r="BV288" s="34" t="n">
        <v>11.578</v>
      </c>
      <c r="BW288" s="34" t="n">
        <v>8.558999999999999</v>
      </c>
      <c r="BX288" s="34" t="n">
        <v>0</v>
      </c>
      <c r="BY288" s="257" t="n"/>
      <c r="BZ288" s="257" t="n"/>
      <c r="CA288" s="257">
        <f>($BW$288+$BX$288)</f>
        <v>8.559</v>
      </c>
      <c r="CB288" s="261" t="n">
        <v>0</v>
      </c>
      <c r="CC288" s="261" t="n">
        <v>0</v>
      </c>
      <c r="CD288" s="261" t="n">
        <v>0</v>
      </c>
      <c r="CE288" s="261" t="n">
        <v>0</v>
      </c>
      <c r="CF288" s="19" t="n"/>
    </row>
    <row r="289">
      <c r="B289" s="25" t="inlineStr">
        <is>
          <t>Other financing activities, net (derived; incl. NCI transactions)</t>
        </is>
      </c>
      <c r="C289" s="34" t="n">
        <v>5.242999999999995</v>
      </c>
      <c r="D289" s="34" t="n">
        <v>4.289000000000001</v>
      </c>
      <c r="E289" s="34" t="n">
        <v>3.728000000000009</v>
      </c>
      <c r="F289" s="34" t="n">
        <v>0.1950000000000074</v>
      </c>
      <c r="G289" s="34" t="n">
        <v>1.210000000000008</v>
      </c>
      <c r="H289" s="34" t="n">
        <v>6.262000000000008</v>
      </c>
      <c r="I289" s="34" t="n">
        <v>7.818999999999988</v>
      </c>
      <c r="J289" s="34" t="n">
        <v>3.988999999999999</v>
      </c>
      <c r="K289" s="34" t="n">
        <v>-1.333000000000013</v>
      </c>
      <c r="L289" s="34" t="n">
        <v>1.508000000000003</v>
      </c>
      <c r="M289" s="34" t="n">
        <v>0.3509999999999991</v>
      </c>
      <c r="N289" s="34" t="n">
        <v>4.514999999999986</v>
      </c>
      <c r="O289" s="34" t="n">
        <v>-0.6779999999999973</v>
      </c>
      <c r="P289" s="34" t="n">
        <v>0.8259999999999934</v>
      </c>
      <c r="Q289" s="34" t="n">
        <v>0.8829999999999814</v>
      </c>
      <c r="R289" s="34" t="n">
        <v>2.605999999999995</v>
      </c>
      <c r="S289" s="34" t="n">
        <v>3.637</v>
      </c>
      <c r="T289" s="34" t="n">
        <v>0.5169999999999817</v>
      </c>
      <c r="U289" s="34" t="n">
        <v>-7.219999999999999</v>
      </c>
      <c r="V289" s="34" t="n">
        <v>0.1499999999999968</v>
      </c>
      <c r="W289" s="34" t="n">
        <v>0.5049999999999955</v>
      </c>
      <c r="X289" s="34" t="n">
        <v>-6.047999999999945</v>
      </c>
      <c r="Y289" s="34" t="n">
        <v>-3.448999999999998</v>
      </c>
      <c r="Z289" s="34" t="n">
        <v>-13.27300000000002</v>
      </c>
      <c r="AA289" s="34" t="n">
        <v>1.891999999999996</v>
      </c>
      <c r="AB289" s="34" t="n">
        <v>4.940999999999988</v>
      </c>
      <c r="AC289" s="34" t="n">
        <v>-9.889000000000046</v>
      </c>
      <c r="AD289" s="34" t="n">
        <v>-0.00700000000000145</v>
      </c>
      <c r="AE289" s="34" t="n">
        <v>-15.182</v>
      </c>
      <c r="AF289" s="34" t="n">
        <v>-0.372000000000007</v>
      </c>
      <c r="AG289" s="34" t="n">
        <v>0.009000000000000341</v>
      </c>
      <c r="AH289" s="34" t="n">
        <v>-15.55200000000001</v>
      </c>
      <c r="AI289" s="34" t="n">
        <v>0</v>
      </c>
      <c r="AJ289" s="34" t="n">
        <v>0</v>
      </c>
      <c r="AK289" s="34" t="n">
        <v>-2.170000000000002</v>
      </c>
      <c r="AL289" s="34" t="n">
        <v>0</v>
      </c>
      <c r="AM289" s="34" t="n">
        <v>-2.170000000000016</v>
      </c>
      <c r="AN289" s="34" t="n">
        <v>0</v>
      </c>
      <c r="AO289" s="34" t="n">
        <v>0</v>
      </c>
      <c r="AP289" s="34" t="n">
        <v>1.4210854715202e-14</v>
      </c>
      <c r="AQ289" s="34" t="n">
        <v>0</v>
      </c>
      <c r="AR289" s="34" t="n">
        <v>0</v>
      </c>
      <c r="AS289" s="34" t="n">
        <v>-1.621000000000009</v>
      </c>
      <c r="AT289" s="34" t="n">
        <v>-0.09100000000000819</v>
      </c>
      <c r="AU289" s="34" t="n">
        <v>-1.792000000000016</v>
      </c>
      <c r="AV289" s="34" t="n">
        <v>3.504000000000001</v>
      </c>
      <c r="AW289" s="34" t="n">
        <v>-2.842170943040401e-14</v>
      </c>
      <c r="AX289" s="34" t="n">
        <v>-7.105427357601002e-15</v>
      </c>
      <c r="AY289" s="34" t="n">
        <v>-0.7630000000000052</v>
      </c>
      <c r="AZ289" s="34" t="n">
        <v>0</v>
      </c>
      <c r="BA289" s="34" t="n">
        <v>0</v>
      </c>
      <c r="BB289" s="34" t="n">
        <v>-0.7630000000000052</v>
      </c>
      <c r="BC289" s="34" t="n">
        <v>-1.4210854715202e-14</v>
      </c>
      <c r="BD289" s="34" t="n">
        <v>-1.4210854715202e-14</v>
      </c>
      <c r="BE289" s="34" t="n">
        <v>0</v>
      </c>
      <c r="BF289" s="34" t="n">
        <v>-0.4379999999999882</v>
      </c>
      <c r="BG289" s="34" t="n">
        <v>-0.4380000000000166</v>
      </c>
      <c r="BH289" s="34" t="n">
        <v>-1.4210854715202e-14</v>
      </c>
      <c r="BI289" s="34" t="n">
        <v>1.4210854715202e-14</v>
      </c>
      <c r="BJ289" s="34" t="n">
        <v>0</v>
      </c>
      <c r="BK289" s="34" t="n">
        <v>-1.4210854715202e-14</v>
      </c>
      <c r="BL289" s="34" t="n">
        <v>-5.684341886080801e-14</v>
      </c>
      <c r="BM289" s="34" t="n">
        <v>-1.4210854715202e-14</v>
      </c>
      <c r="BN289" s="34" t="n">
        <v>-1.4210854715202e-14</v>
      </c>
      <c r="BO289" s="34" t="n">
        <v>2.842170943040401e-14</v>
      </c>
      <c r="BP289" s="34" t="n">
        <v>-3.921999999999997</v>
      </c>
      <c r="BQ289" s="34" t="n">
        <v>-3.921999999999912</v>
      </c>
      <c r="BR289" s="34" t="n">
        <v>2.842170943040401e-14</v>
      </c>
      <c r="BS289" s="34" t="n">
        <v>0</v>
      </c>
      <c r="BT289" s="34" t="n">
        <v>0</v>
      </c>
      <c r="BU289" s="34" t="n">
        <v>0</v>
      </c>
      <c r="BV289" s="34" t="n">
        <v>0</v>
      </c>
      <c r="BW289" s="34" t="n">
        <v>0</v>
      </c>
      <c r="BX289" s="34" t="n">
        <v>0</v>
      </c>
      <c r="BY289" s="257" t="n"/>
      <c r="BZ289" s="257" t="n"/>
      <c r="CA289" s="257">
        <f>($BW$289+$BX$289)</f>
        <v>0</v>
      </c>
      <c r="CB289" s="261" t="n">
        <v>0</v>
      </c>
      <c r="CC289" s="261" t="n">
        <v>0</v>
      </c>
      <c r="CD289" s="261" t="n">
        <v>0</v>
      </c>
      <c r="CE289" s="261" t="n">
        <v>0</v>
      </c>
      <c r="CF289" s="19" t="n"/>
    </row>
    <row r="290">
      <c r="B290" s="16" t="inlineStr">
        <is>
          <t>Net cash used by financing activities</t>
        </is>
      </c>
      <c r="C290" s="31" t="n">
        <v>-17.729</v>
      </c>
      <c r="D290" s="31" t="n">
        <v>-77.586</v>
      </c>
      <c r="E290" s="31" t="n">
        <v>-67.741</v>
      </c>
      <c r="F290" s="31" t="n">
        <v>-89.072</v>
      </c>
      <c r="G290" s="31" t="n">
        <v>-109.507</v>
      </c>
      <c r="H290" s="31" t="n">
        <v>-63.37</v>
      </c>
      <c r="I290" s="31" t="n">
        <v>-216.838</v>
      </c>
      <c r="J290" s="31" t="n">
        <v>-0.625</v>
      </c>
      <c r="K290" s="31" t="n">
        <v>-72.527</v>
      </c>
      <c r="L290" s="31" t="n">
        <v>-55.586</v>
      </c>
      <c r="M290" s="31" t="n">
        <v>-65.446</v>
      </c>
      <c r="N290" s="31" t="n">
        <v>-194.184</v>
      </c>
      <c r="O290" s="31" t="n">
        <v>-75.422</v>
      </c>
      <c r="P290" s="31" t="n">
        <v>-87.015</v>
      </c>
      <c r="Q290" s="31" t="n">
        <v>-64.271</v>
      </c>
      <c r="R290" s="31" t="n">
        <v>-87.64700000000001</v>
      </c>
      <c r="S290" s="31" t="n">
        <v>-314.355</v>
      </c>
      <c r="T290" s="31" t="n">
        <v>-21.422</v>
      </c>
      <c r="U290" s="31" t="n">
        <v>-39.911</v>
      </c>
      <c r="V290" s="31" t="n">
        <v>10.054</v>
      </c>
      <c r="W290" s="31" t="n">
        <v>-118.629</v>
      </c>
      <c r="X290" s="31" t="n">
        <v>-169.908</v>
      </c>
      <c r="Y290" s="31" t="n">
        <v>-104.791</v>
      </c>
      <c r="Z290" s="31" t="n">
        <v>5.474</v>
      </c>
      <c r="AA290" s="31" t="n">
        <v>-76.61</v>
      </c>
      <c r="AB290" s="31" t="n">
        <v>113.073</v>
      </c>
      <c r="AC290" s="31" t="n">
        <v>-62.854</v>
      </c>
      <c r="AD290" s="31" t="n">
        <v>-17.643</v>
      </c>
      <c r="AE290" s="31" t="n">
        <v>-38.124</v>
      </c>
      <c r="AF290" s="31" t="n">
        <v>-38.161</v>
      </c>
      <c r="AG290" s="31" t="n">
        <v>-41.109</v>
      </c>
      <c r="AH290" s="31" t="n">
        <v>-135.037</v>
      </c>
      <c r="AI290" s="31" t="n">
        <v>-38.486</v>
      </c>
      <c r="AJ290" s="31" t="n">
        <v>-60.187</v>
      </c>
      <c r="AK290" s="31" t="n">
        <v>-97.846</v>
      </c>
      <c r="AL290" s="31" t="n">
        <v>-105.611</v>
      </c>
      <c r="AM290" s="31" t="n">
        <v>-302.13</v>
      </c>
      <c r="AN290" s="31" t="n">
        <v>-105.51</v>
      </c>
      <c r="AO290" s="31" t="n">
        <v>-84.568</v>
      </c>
      <c r="AP290" s="31" t="n">
        <v>-112.383</v>
      </c>
      <c r="AQ290" s="31" t="n">
        <v>-69.483</v>
      </c>
      <c r="AR290" s="31" t="n">
        <v>-371.944</v>
      </c>
      <c r="AS290" s="31" t="n">
        <v>-41.613</v>
      </c>
      <c r="AT290" s="31" t="n">
        <v>-114.079</v>
      </c>
      <c r="AU290" s="31" t="n">
        <v>-71.625</v>
      </c>
      <c r="AV290" s="31" t="n">
        <v>-18.824</v>
      </c>
      <c r="AW290" s="31" t="n">
        <v>-246.141</v>
      </c>
      <c r="AX290" s="31" t="n">
        <v>-55.371</v>
      </c>
      <c r="AY290" s="31" t="n">
        <v>-53.624</v>
      </c>
      <c r="AZ290" s="31" t="n">
        <v>-47.117</v>
      </c>
      <c r="BA290" s="31" t="n">
        <v>-65.828</v>
      </c>
      <c r="BB290" s="31" t="n">
        <v>-221.94</v>
      </c>
      <c r="BC290" s="31" t="n">
        <v>-40.597</v>
      </c>
      <c r="BD290" s="31" t="n">
        <v>-81.76900000000001</v>
      </c>
      <c r="BE290" s="31" t="n">
        <v>-115.06</v>
      </c>
      <c r="BF290" s="31" t="n">
        <v>371.151</v>
      </c>
      <c r="BG290" s="31" t="n">
        <v>133.725</v>
      </c>
      <c r="BH290" s="31" t="n">
        <v>-111.316</v>
      </c>
      <c r="BI290" s="31" t="n">
        <v>-115.582</v>
      </c>
      <c r="BJ290" s="31" t="n">
        <v>-84.48399999999999</v>
      </c>
      <c r="BK290" s="31" t="n">
        <v>-101.01</v>
      </c>
      <c r="BL290" s="31" t="n">
        <v>-412.392</v>
      </c>
      <c r="BM290" s="31" t="n">
        <v>-125.4</v>
      </c>
      <c r="BN290" s="31" t="n">
        <v>-93.05200000000001</v>
      </c>
      <c r="BO290" s="31" t="n">
        <v>66.154</v>
      </c>
      <c r="BP290" s="31" t="n">
        <v>-92.342</v>
      </c>
      <c r="BQ290" s="31" t="n">
        <v>-244.64</v>
      </c>
      <c r="BR290" s="31" t="n">
        <v>-144.488</v>
      </c>
      <c r="BS290" s="31" t="n">
        <v>-173.221</v>
      </c>
      <c r="BT290" s="31" t="n">
        <v>-107.685</v>
      </c>
      <c r="BU290" s="31" t="n">
        <v>-36.493</v>
      </c>
      <c r="BV290" s="31" t="n">
        <v>-461.887</v>
      </c>
      <c r="BW290" s="31" t="n">
        <v>-72.569</v>
      </c>
      <c r="BX290" s="31" t="n">
        <v>-283.019</v>
      </c>
      <c r="BY290" s="253" t="n"/>
      <c r="BZ290" s="253" t="n"/>
      <c r="CA290" s="253">
        <f>CA283+CA284+CA285+CA286+CA287+CA288+CA289</f>
        <v>-573.726409246788</v>
      </c>
      <c r="CB290" s="253">
        <f>CB283+CB284+CB285+CB286+CB287+CB288+CB289</f>
        <v>-438.82343292851</v>
      </c>
      <c r="CC290" s="253">
        <f>CC283+CC284+CC285+CC286+CC287+CC288+CC289</f>
        <v>-445.520030772638</v>
      </c>
      <c r="CD290" s="253">
        <f>CD283+CD284+CD285+CD286+CD287+CD288+CD289</f>
        <v>-519.618023010141</v>
      </c>
      <c r="CE290" s="253">
        <f>CE283+CE284+CE285+CE286+CE287+CE288+CE289</f>
        <v>-597.111672405019</v>
      </c>
      <c r="CF290" s="19" t="n"/>
    </row>
    <row r="291">
      <c r="B291" s="25" t="inlineStr">
        <is>
          <t>Effect of exchange rate changes on cash</t>
        </is>
      </c>
      <c r="C291" s="34" t="n">
        <v>0.969</v>
      </c>
      <c r="D291" s="34" t="n">
        <v>4.629</v>
      </c>
      <c r="E291" s="34" t="n">
        <v>-6.958</v>
      </c>
      <c r="F291" s="34" t="n">
        <v>6.107</v>
      </c>
      <c r="G291" s="34" t="n">
        <v>-0.014</v>
      </c>
      <c r="H291" s="34" t="n">
        <v>-4.444</v>
      </c>
      <c r="I291" s="34" t="n">
        <v>2.188</v>
      </c>
      <c r="J291" s="34" t="n">
        <v>-1.654</v>
      </c>
      <c r="K291" s="34" t="n">
        <v>-2.971</v>
      </c>
      <c r="L291" s="34" t="n">
        <v>3.165</v>
      </c>
      <c r="M291" s="34" t="n">
        <v>-0.389</v>
      </c>
      <c r="N291" s="34" t="n">
        <v>-1.849</v>
      </c>
      <c r="O291" s="34" t="n">
        <v>-18.888</v>
      </c>
      <c r="P291" s="34" t="n">
        <v>1.732</v>
      </c>
      <c r="Q291" s="34" t="n">
        <v>-5.993</v>
      </c>
      <c r="R291" s="34" t="n">
        <v>-6.659</v>
      </c>
      <c r="S291" s="34" t="n">
        <v>-29.808</v>
      </c>
      <c r="T291" s="34" t="n">
        <v>-11.479</v>
      </c>
      <c r="U291" s="34" t="n">
        <v>2.872</v>
      </c>
      <c r="V291" s="34" t="n">
        <v>-17.609</v>
      </c>
      <c r="W291" s="34" t="n">
        <v>-3.578</v>
      </c>
      <c r="X291" s="34" t="n">
        <v>-29.794</v>
      </c>
      <c r="Y291" s="34" t="n">
        <v>5.67</v>
      </c>
      <c r="Z291" s="34" t="n">
        <v>-2.924</v>
      </c>
      <c r="AA291" s="34" t="n">
        <v>-0.549</v>
      </c>
      <c r="AB291" s="34" t="n">
        <v>-7.804</v>
      </c>
      <c r="AC291" s="34" t="n">
        <v>-5.607</v>
      </c>
      <c r="AD291" s="34" t="n">
        <v>6.623</v>
      </c>
      <c r="AE291" s="34" t="n">
        <v>5.986</v>
      </c>
      <c r="AF291" s="34" t="n">
        <v>6.035</v>
      </c>
      <c r="AG291" s="34" t="n">
        <v>1.097</v>
      </c>
      <c r="AH291" s="34" t="n">
        <v>19.741</v>
      </c>
      <c r="AI291" s="34" t="n">
        <v>2.947</v>
      </c>
      <c r="AJ291" s="34" t="n">
        <v>-12.94</v>
      </c>
      <c r="AK291" s="34" t="n">
        <v>-0.039</v>
      </c>
      <c r="AL291" s="34" t="n">
        <v>-5.683</v>
      </c>
      <c r="AM291" s="34" t="n">
        <v>-15.715</v>
      </c>
      <c r="AN291" s="34" t="n">
        <v>1.866</v>
      </c>
      <c r="AO291" s="34" t="n">
        <v>0.883</v>
      </c>
      <c r="AP291" s="34" t="n">
        <v>-4.396</v>
      </c>
      <c r="AQ291" s="34" t="n">
        <v>3.943</v>
      </c>
      <c r="AR291" s="34" t="n">
        <v>2.296</v>
      </c>
      <c r="AS291" s="34" t="n">
        <v>-10.819</v>
      </c>
      <c r="AT291" s="34" t="n">
        <v>2.783</v>
      </c>
      <c r="AU291" s="34" t="n">
        <v>2.867</v>
      </c>
      <c r="AV291" s="34" t="n">
        <v>6.877</v>
      </c>
      <c r="AW291" s="34" t="n">
        <v>1.708</v>
      </c>
      <c r="AX291" s="34" t="n">
        <v>-2.192</v>
      </c>
      <c r="AY291" s="34" t="n">
        <v>1.992</v>
      </c>
      <c r="AZ291" s="34" t="n">
        <v>-0.835</v>
      </c>
      <c r="BA291" s="34" t="n">
        <v>-1.053</v>
      </c>
      <c r="BB291" s="34" t="n">
        <v>-2.088</v>
      </c>
      <c r="BC291" s="34" t="n">
        <v>-0.962</v>
      </c>
      <c r="BD291" s="34" t="n">
        <v>-3.13</v>
      </c>
      <c r="BE291" s="34" t="n">
        <v>-9.460000000000001</v>
      </c>
      <c r="BF291" s="34" t="n">
        <v>5.324</v>
      </c>
      <c r="BG291" s="34" t="n">
        <v>-8.228</v>
      </c>
      <c r="BH291" s="34" t="n">
        <v>5.087</v>
      </c>
      <c r="BI291" s="34" t="n">
        <v>-1.286</v>
      </c>
      <c r="BJ291" s="34" t="n">
        <v>8.327</v>
      </c>
      <c r="BK291" s="34" t="n">
        <v>4.088</v>
      </c>
      <c r="BL291" s="34" t="n">
        <v>16.216</v>
      </c>
      <c r="BM291" s="34" t="n">
        <v>-0.763</v>
      </c>
      <c r="BN291" s="34" t="n">
        <v>-5.135</v>
      </c>
      <c r="BO291" s="34" t="n">
        <v>0.802</v>
      </c>
      <c r="BP291" s="34" t="n">
        <v>-4.535</v>
      </c>
      <c r="BQ291" s="34" t="n">
        <v>-9.631</v>
      </c>
      <c r="BR291" s="34" t="n">
        <v>-1.459</v>
      </c>
      <c r="BS291" s="34" t="n">
        <v>-8.664</v>
      </c>
      <c r="BT291" s="34" t="n">
        <v>-0.681</v>
      </c>
      <c r="BU291" s="34" t="n">
        <v>0.371</v>
      </c>
      <c r="BV291" s="34" t="n">
        <v>-10.433</v>
      </c>
      <c r="BW291" s="34" t="n">
        <v>-0.772</v>
      </c>
      <c r="BX291" s="34" t="n">
        <v>3.284</v>
      </c>
      <c r="BY291" s="257" t="n"/>
      <c r="BZ291" s="257" t="n"/>
      <c r="CA291" s="257">
        <f>($BW$291+$BX$291)</f>
        <v>2.512</v>
      </c>
      <c r="CB291" s="261" t="n">
        <v>0</v>
      </c>
      <c r="CC291" s="261" t="n">
        <v>0</v>
      </c>
      <c r="CD291" s="261" t="n">
        <v>0</v>
      </c>
      <c r="CE291" s="261" t="n">
        <v>0</v>
      </c>
      <c r="CF291" s="19" t="n"/>
    </row>
    <row r="292">
      <c r="B292" s="25" t="inlineStr">
        <is>
          <t>Net increase (decrease) in cash</t>
        </is>
      </c>
      <c r="C292" s="34" t="n">
        <v>12.205</v>
      </c>
      <c r="D292" s="34" t="n">
        <v>97.17</v>
      </c>
      <c r="E292" s="34" t="n">
        <v>66.95</v>
      </c>
      <c r="F292" s="34" t="n">
        <v>103.804</v>
      </c>
      <c r="G292" s="34" t="n">
        <v>-21.943</v>
      </c>
      <c r="H292" s="34" t="n">
        <v>-5.092</v>
      </c>
      <c r="I292" s="34" t="n">
        <v>-74.637</v>
      </c>
      <c r="J292" s="34" t="n">
        <v>-38.009</v>
      </c>
      <c r="K292" s="34" t="n">
        <v>7.934</v>
      </c>
      <c r="L292" s="34" t="n">
        <v>73.92</v>
      </c>
      <c r="M292" s="34" t="n">
        <v>-30.484</v>
      </c>
      <c r="N292" s="34" t="n">
        <v>13.361</v>
      </c>
      <c r="O292" s="34" t="n">
        <v>-94.438</v>
      </c>
      <c r="P292" s="34" t="n">
        <v>-1.102</v>
      </c>
      <c r="Q292" s="34" t="n">
        <v>75.238</v>
      </c>
      <c r="R292" s="34" t="n">
        <v>-1.144</v>
      </c>
      <c r="S292" s="34" t="n">
        <v>-21.446</v>
      </c>
      <c r="T292" s="34" t="n">
        <v>10.638</v>
      </c>
      <c r="U292" s="34" t="n">
        <v>23.72</v>
      </c>
      <c r="V292" s="34" t="n">
        <v>51.608</v>
      </c>
      <c r="W292" s="34" t="n">
        <v>-60.162</v>
      </c>
      <c r="X292" s="34" t="n">
        <v>25.804</v>
      </c>
      <c r="Y292" s="34" t="n">
        <v>-83.187</v>
      </c>
      <c r="Z292" s="34" t="n">
        <v>16.023</v>
      </c>
      <c r="AA292" s="34" t="n">
        <v>19.909</v>
      </c>
      <c r="AB292" s="34" t="n">
        <v>122.251</v>
      </c>
      <c r="AC292" s="34" t="n">
        <v>74.996</v>
      </c>
      <c r="AD292" s="34" t="n">
        <v>22.261</v>
      </c>
      <c r="AE292" s="34" t="n">
        <v>-5.705</v>
      </c>
      <c r="AF292" s="34" t="n">
        <v>-96.282</v>
      </c>
      <c r="AG292" s="34" t="n">
        <v>27.248</v>
      </c>
      <c r="AH292" s="34" t="n">
        <v>-52.478</v>
      </c>
      <c r="AI292" s="34" t="n">
        <v>42.355</v>
      </c>
      <c r="AJ292" s="34" t="n">
        <v>-11.962</v>
      </c>
      <c r="AK292" s="34" t="n">
        <v>41.106</v>
      </c>
      <c r="AL292" s="34" t="n">
        <v>-39.351</v>
      </c>
      <c r="AM292" s="34" t="n">
        <v>32.148</v>
      </c>
      <c r="AN292" s="34" t="n">
        <v>-91.715</v>
      </c>
      <c r="AO292" s="34" t="n">
        <v>-77.273</v>
      </c>
      <c r="AP292" s="34" t="n">
        <v>-33.249</v>
      </c>
      <c r="AQ292" s="34" t="n">
        <v>42.951</v>
      </c>
      <c r="AR292" s="34" t="n">
        <v>-159.286</v>
      </c>
      <c r="AS292" s="34" t="n">
        <v>-36.188</v>
      </c>
      <c r="AT292" s="34" t="n">
        <v>-20.32</v>
      </c>
      <c r="AU292" s="34" t="n">
        <v>9.423999999999999</v>
      </c>
      <c r="AV292" s="34" t="n">
        <v>104.8</v>
      </c>
      <c r="AW292" s="34" t="n">
        <v>57.716</v>
      </c>
      <c r="AX292" s="34" t="n">
        <v>-15.153</v>
      </c>
      <c r="AY292" s="34" t="n">
        <v>-51.242</v>
      </c>
      <c r="AZ292" s="34" t="n">
        <v>-30.325</v>
      </c>
      <c r="BA292" s="34" t="n">
        <v>32.399</v>
      </c>
      <c r="BB292" s="34" t="n">
        <v>-64.321</v>
      </c>
      <c r="BC292" s="34" t="n">
        <v>-38.585</v>
      </c>
      <c r="BD292" s="34" t="n">
        <v>-1.577</v>
      </c>
      <c r="BE292" s="34" t="n">
        <v>-11.489</v>
      </c>
      <c r="BF292" s="34" t="n">
        <v>55.843</v>
      </c>
      <c r="BG292" s="34" t="n">
        <v>4.192</v>
      </c>
      <c r="BH292" s="34" t="n">
        <v>1.653</v>
      </c>
      <c r="BI292" s="34" t="n">
        <v>21.68</v>
      </c>
      <c r="BJ292" s="34" t="n">
        <v>122.184</v>
      </c>
      <c r="BK292" s="34" t="n">
        <v>51.12</v>
      </c>
      <c r="BL292" s="34" t="n">
        <v>196.637</v>
      </c>
      <c r="BM292" s="34" t="n">
        <v>-18.809</v>
      </c>
      <c r="BN292" s="34" t="n">
        <v>-102.306</v>
      </c>
      <c r="BO292" s="34" t="n">
        <v>131.546</v>
      </c>
      <c r="BP292" s="34" t="n">
        <v>-26.956</v>
      </c>
      <c r="BQ292" s="34" t="n">
        <v>-16.525</v>
      </c>
      <c r="BR292" s="34" t="n">
        <v>17.443</v>
      </c>
      <c r="BS292" s="34" t="n">
        <v>-95.224</v>
      </c>
      <c r="BT292" s="34" t="n">
        <v>-6.484</v>
      </c>
      <c r="BU292" s="34" t="n">
        <v>15.792</v>
      </c>
      <c r="BV292" s="34" t="n">
        <v>-68.473</v>
      </c>
      <c r="BW292" s="34" t="n">
        <v>-9.885999999999999</v>
      </c>
      <c r="BX292" s="34" t="n">
        <v>-56.46</v>
      </c>
      <c r="BY292" s="257" t="n"/>
      <c r="BZ292" s="257" t="n"/>
      <c r="CA292" s="257">
        <f>CA277+CA282+CA290+CA291</f>
        <v>-55.5859588634922</v>
      </c>
      <c r="CB292" s="257">
        <f>CB277+CB282+CB290+CB291</f>
        <v>-3.20304113650786</v>
      </c>
      <c r="CC292" s="257">
        <f>CC277+CC282+CC290+CC291</f>
        <v>0</v>
      </c>
      <c r="CD292" s="257">
        <f>CD277+CD282+CD290+CD291</f>
        <v>0</v>
      </c>
      <c r="CE292" s="257">
        <f>CE277+CE282+CE290+CE291</f>
        <v>0</v>
      </c>
      <c r="CF292" s="19" t="n"/>
    </row>
    <row r="293">
      <c r="B293" s="25" t="inlineStr">
        <is>
          <t>Cash — beginning of period</t>
        </is>
      </c>
      <c r="C293" s="34" t="n">
        <v>108.007</v>
      </c>
      <c r="D293" s="34" t="n">
        <v>120.212</v>
      </c>
      <c r="E293" s="34" t="n">
        <v>217.382</v>
      </c>
      <c r="F293" s="34" t="n">
        <v>284.332</v>
      </c>
      <c r="G293" s="34" t="n">
        <v>388.136</v>
      </c>
      <c r="H293" s="34" t="n">
        <v>366.193</v>
      </c>
      <c r="I293" s="34" t="n">
        <v>361.101</v>
      </c>
      <c r="J293" s="34" t="n">
        <v>286.464</v>
      </c>
      <c r="K293" s="34" t="n">
        <v>248.455</v>
      </c>
      <c r="L293" s="34" t="n">
        <v>256.389</v>
      </c>
      <c r="M293" s="34" t="n">
        <v>330.309</v>
      </c>
      <c r="N293" s="34" t="n">
        <v>286.464</v>
      </c>
      <c r="O293" s="34" t="n">
        <v>299.825</v>
      </c>
      <c r="P293" s="34" t="n">
        <v>205.387</v>
      </c>
      <c r="Q293" s="34" t="n">
        <v>204.285</v>
      </c>
      <c r="R293" s="34" t="n">
        <v>279.523</v>
      </c>
      <c r="S293" s="34" t="n">
        <v>299.825</v>
      </c>
      <c r="T293" s="34" t="n">
        <v>278.379</v>
      </c>
      <c r="U293" s="34" t="n">
        <v>289.017</v>
      </c>
      <c r="V293" s="34" t="n">
        <v>312.737</v>
      </c>
      <c r="W293" s="34" t="n">
        <v>364.345</v>
      </c>
      <c r="X293" s="34" t="n">
        <v>278.379</v>
      </c>
      <c r="Y293" s="34" t="n">
        <v>304.183</v>
      </c>
      <c r="Z293" s="34" t="n">
        <v>220.996</v>
      </c>
      <c r="AA293" s="34" t="n">
        <v>237.019</v>
      </c>
      <c r="AB293" s="34" t="n">
        <v>256.928</v>
      </c>
      <c r="AC293" s="34" t="n">
        <v>304.183</v>
      </c>
      <c r="AD293" s="34" t="n">
        <v>379.179</v>
      </c>
      <c r="AE293" s="34" t="n">
        <v>401.44</v>
      </c>
      <c r="AF293" s="34" t="n">
        <v>395.735</v>
      </c>
      <c r="AG293" s="34" t="n">
        <v>299.453</v>
      </c>
      <c r="AH293" s="34" t="n">
        <v>379.179</v>
      </c>
      <c r="AI293" s="34" t="n">
        <v>326.701</v>
      </c>
      <c r="AJ293" s="34" t="n">
        <v>369.056</v>
      </c>
      <c r="AK293" s="34" t="n">
        <v>357.094</v>
      </c>
      <c r="AL293" s="34" t="n">
        <v>398.2</v>
      </c>
      <c r="AM293" s="34" t="n">
        <v>326.701</v>
      </c>
      <c r="AN293" s="34" t="n">
        <v>358.849</v>
      </c>
      <c r="AO293" s="34" t="n">
        <v>267.134</v>
      </c>
      <c r="AP293" s="34" t="n">
        <v>189.861</v>
      </c>
      <c r="AQ293" s="34" t="n">
        <v>156.612</v>
      </c>
      <c r="AR293" s="34" t="n">
        <v>358.849</v>
      </c>
      <c r="AS293" s="34" t="n">
        <v>199.563</v>
      </c>
      <c r="AT293" s="34" t="n">
        <v>163.375</v>
      </c>
      <c r="AU293" s="34" t="n">
        <v>143.055</v>
      </c>
      <c r="AV293" s="34" t="n">
        <v>152.479</v>
      </c>
      <c r="AW293" s="34" t="n">
        <v>199.563</v>
      </c>
      <c r="AX293" s="34" t="n">
        <v>257.279</v>
      </c>
      <c r="AY293" s="34" t="n">
        <v>242.126</v>
      </c>
      <c r="AZ293" s="34" t="n">
        <v>190.884</v>
      </c>
      <c r="BA293" s="34" t="n">
        <v>160.559</v>
      </c>
      <c r="BB293" s="34" t="n">
        <v>257.279</v>
      </c>
      <c r="BC293" s="34" t="n">
        <v>192.958</v>
      </c>
      <c r="BD293" s="34" t="n">
        <v>154.373</v>
      </c>
      <c r="BE293" s="34" t="n">
        <v>152.796</v>
      </c>
      <c r="BF293" s="34" t="n">
        <v>141.307</v>
      </c>
      <c r="BG293" s="34" t="n">
        <v>192.958</v>
      </c>
      <c r="BH293" s="34" t="n">
        <v>197.15</v>
      </c>
      <c r="BI293" s="34" t="n">
        <v>198.803</v>
      </c>
      <c r="BJ293" s="34" t="n">
        <v>220.483</v>
      </c>
      <c r="BK293" s="34" t="n">
        <v>342.667</v>
      </c>
      <c r="BL293" s="34" t="n">
        <v>197.15</v>
      </c>
      <c r="BM293" s="34" t="n">
        <v>393.787</v>
      </c>
      <c r="BN293" s="34" t="n">
        <v>374.978</v>
      </c>
      <c r="BO293" s="34" t="n">
        <v>272.672</v>
      </c>
      <c r="BP293" s="34" t="n">
        <v>404.218</v>
      </c>
      <c r="BQ293" s="34" t="n">
        <v>393.787</v>
      </c>
      <c r="BR293" s="34" t="n">
        <v>377.262</v>
      </c>
      <c r="BS293" s="34" t="n">
        <v>394.705</v>
      </c>
      <c r="BT293" s="34" t="n">
        <v>299.481</v>
      </c>
      <c r="BU293" s="34" t="n">
        <v>292.997</v>
      </c>
      <c r="BV293" s="34" t="n">
        <v>377.262</v>
      </c>
      <c r="BW293" s="34" t="n">
        <v>308.789</v>
      </c>
      <c r="BX293" s="34" t="n">
        <v>298.903</v>
      </c>
      <c r="BY293" s="257" t="n"/>
      <c r="BZ293" s="257" t="n"/>
      <c r="CA293" s="257">
        <f>BV294</f>
        <v>308.789</v>
      </c>
      <c r="CB293" s="257">
        <f>CA294</f>
        <v>253.203041136508</v>
      </c>
      <c r="CC293" s="257">
        <f>CB294</f>
        <v>250</v>
      </c>
      <c r="CD293" s="257">
        <f>CC294</f>
        <v>250</v>
      </c>
      <c r="CE293" s="257">
        <f>CD294</f>
        <v>250</v>
      </c>
      <c r="CF293" s="19" t="n"/>
    </row>
    <row r="294">
      <c r="B294" s="16" t="inlineStr">
        <is>
          <t>Cash — end of period</t>
        </is>
      </c>
      <c r="C294" s="31" t="n">
        <v>120.212</v>
      </c>
      <c r="D294" s="31" t="n">
        <v>217.382</v>
      </c>
      <c r="E294" s="31" t="n">
        <v>284.332</v>
      </c>
      <c r="F294" s="31" t="n">
        <v>388.136</v>
      </c>
      <c r="G294" s="31" t="n">
        <v>366.193</v>
      </c>
      <c r="H294" s="31" t="n">
        <v>361.101</v>
      </c>
      <c r="I294" s="31" t="n">
        <v>286.464</v>
      </c>
      <c r="J294" s="31" t="n">
        <v>248.455</v>
      </c>
      <c r="K294" s="31" t="n">
        <v>256.389</v>
      </c>
      <c r="L294" s="31" t="n">
        <v>330.309</v>
      </c>
      <c r="M294" s="31" t="n">
        <v>299.825</v>
      </c>
      <c r="N294" s="31" t="n">
        <v>299.825</v>
      </c>
      <c r="O294" s="31" t="n">
        <v>205.387</v>
      </c>
      <c r="P294" s="31" t="n">
        <v>204.285</v>
      </c>
      <c r="Q294" s="31" t="n">
        <v>279.523</v>
      </c>
      <c r="R294" s="31" t="n">
        <v>278.379</v>
      </c>
      <c r="S294" s="31" t="n">
        <v>278.379</v>
      </c>
      <c r="T294" s="31" t="n">
        <v>289.017</v>
      </c>
      <c r="U294" s="31" t="n">
        <v>312.737</v>
      </c>
      <c r="V294" s="31" t="n">
        <v>364.345</v>
      </c>
      <c r="W294" s="31" t="n">
        <v>304.183</v>
      </c>
      <c r="X294" s="31" t="n">
        <v>304.183</v>
      </c>
      <c r="Y294" s="31" t="n">
        <v>220.996</v>
      </c>
      <c r="Z294" s="31" t="n">
        <v>237.019</v>
      </c>
      <c r="AA294" s="31" t="n">
        <v>256.928</v>
      </c>
      <c r="AB294" s="31" t="n">
        <v>379.179</v>
      </c>
      <c r="AC294" s="31" t="n">
        <v>379.179</v>
      </c>
      <c r="AD294" s="31" t="n">
        <v>401.44</v>
      </c>
      <c r="AE294" s="31" t="n">
        <v>395.735</v>
      </c>
      <c r="AF294" s="31" t="n">
        <v>299.453</v>
      </c>
      <c r="AG294" s="31" t="n">
        <v>326.701</v>
      </c>
      <c r="AH294" s="31" t="n">
        <v>326.701</v>
      </c>
      <c r="AI294" s="31" t="n">
        <v>369.056</v>
      </c>
      <c r="AJ294" s="31" t="n">
        <v>357.094</v>
      </c>
      <c r="AK294" s="31" t="n">
        <v>398.2</v>
      </c>
      <c r="AL294" s="31" t="n">
        <v>358.849</v>
      </c>
      <c r="AM294" s="31" t="n">
        <v>358.849</v>
      </c>
      <c r="AN294" s="31" t="n">
        <v>267.134</v>
      </c>
      <c r="AO294" s="31" t="n">
        <v>189.861</v>
      </c>
      <c r="AP294" s="31" t="n">
        <v>156.612</v>
      </c>
      <c r="AQ294" s="31" t="n">
        <v>199.563</v>
      </c>
      <c r="AR294" s="31" t="n">
        <v>199.563</v>
      </c>
      <c r="AS294" s="31" t="n">
        <v>163.375</v>
      </c>
      <c r="AT294" s="31" t="n">
        <v>143.055</v>
      </c>
      <c r="AU294" s="31" t="n">
        <v>152.479</v>
      </c>
      <c r="AV294" s="31" t="n">
        <v>257.279</v>
      </c>
      <c r="AW294" s="31" t="n">
        <v>257.279</v>
      </c>
      <c r="AX294" s="31" t="n">
        <v>242.126</v>
      </c>
      <c r="AY294" s="31" t="n">
        <v>190.884</v>
      </c>
      <c r="AZ294" s="31" t="n">
        <v>160.559</v>
      </c>
      <c r="BA294" s="31" t="n">
        <v>192.958</v>
      </c>
      <c r="BB294" s="31" t="n">
        <v>192.958</v>
      </c>
      <c r="BC294" s="31" t="n">
        <v>154.373</v>
      </c>
      <c r="BD294" s="31" t="n">
        <v>152.796</v>
      </c>
      <c r="BE294" s="31" t="n">
        <v>141.307</v>
      </c>
      <c r="BF294" s="31" t="n">
        <v>197.15</v>
      </c>
      <c r="BG294" s="31" t="n">
        <v>197.15</v>
      </c>
      <c r="BH294" s="31" t="n">
        <v>198.803</v>
      </c>
      <c r="BI294" s="31" t="n">
        <v>220.483</v>
      </c>
      <c r="BJ294" s="31" t="n">
        <v>342.667</v>
      </c>
      <c r="BK294" s="31" t="n">
        <v>393.787</v>
      </c>
      <c r="BL294" s="31" t="n">
        <v>393.787</v>
      </c>
      <c r="BM294" s="31" t="n">
        <v>374.978</v>
      </c>
      <c r="BN294" s="31" t="n">
        <v>272.672</v>
      </c>
      <c r="BO294" s="31" t="n">
        <v>404.218</v>
      </c>
      <c r="BP294" s="31" t="n">
        <v>377.262</v>
      </c>
      <c r="BQ294" s="31" t="n">
        <v>377.262</v>
      </c>
      <c r="BR294" s="31" t="n">
        <v>394.705</v>
      </c>
      <c r="BS294" s="31" t="n">
        <v>299.481</v>
      </c>
      <c r="BT294" s="31" t="n">
        <v>292.997</v>
      </c>
      <c r="BU294" s="31" t="n">
        <v>308.789</v>
      </c>
      <c r="BV294" s="31" t="n">
        <v>308.789</v>
      </c>
      <c r="BW294" s="31" t="n">
        <v>298.903</v>
      </c>
      <c r="BX294" s="31" t="n">
        <v>242.443</v>
      </c>
      <c r="BY294" s="253" t="n"/>
      <c r="BZ294" s="253" t="n"/>
      <c r="CA294" s="253">
        <f>CA293+CA292</f>
        <v>253.203041136508</v>
      </c>
      <c r="CB294" s="253">
        <f>CB293+CB292</f>
        <v>250</v>
      </c>
      <c r="CC294" s="253">
        <f>CC293+CC292</f>
        <v>250</v>
      </c>
      <c r="CD294" s="253">
        <f>CD293+CD292</f>
        <v>250</v>
      </c>
      <c r="CE294" s="253">
        <f>CE293+CE292</f>
        <v>250</v>
      </c>
      <c r="CF294" s="19" t="n"/>
    </row>
    <row r="295">
      <c r="B295" s="57" t="inlineStr">
        <is>
          <t xml:space="preserve">  Check: CFO + CFI + CFF + FX = change in cash (should be 0)</t>
        </is>
      </c>
      <c r="C295" s="44">
        <f>IF(ISNUMBER(C277),ROUND(C277+C282+C290+C291-C292,1),"")</f>
        <v>0</v>
      </c>
      <c r="D295" s="44">
        <f>IF(ISNUMBER(D277),ROUND(D277+D282+D290+D291-D292,1),"")</f>
        <v>0</v>
      </c>
      <c r="E295" s="44">
        <f>IF(ISNUMBER(E277),ROUND(E277+E282+E290+E291-E292,1),"")</f>
        <v>0</v>
      </c>
      <c r="F295" s="44">
        <f>IF(ISNUMBER(F277),ROUND(F277+F282+F290+F291-F292,1),"")</f>
        <v>0</v>
      </c>
      <c r="G295" s="44">
        <f>IF(ISNUMBER(G277),ROUND(G277+G282+G290+G291-G292,1),"")</f>
        <v>0</v>
      </c>
      <c r="H295" s="44">
        <f>IF(ISNUMBER(H277),ROUND(H277+H282+H290+H291-H292,1),"")</f>
        <v>0</v>
      </c>
      <c r="I295" s="44">
        <f>IF(ISNUMBER(I277),ROUND(I277+I282+I290+I291-I292,1),"")</f>
        <v>0</v>
      </c>
      <c r="J295" s="44">
        <f>IF(ISNUMBER(J277),ROUND(J277+J282+J290+J291-J292,1),"")</f>
        <v>0</v>
      </c>
      <c r="K295" s="44">
        <f>IF(ISNUMBER(K277),ROUND(K277+K282+K290+K291-K292,1),"")</f>
        <v>0</v>
      </c>
      <c r="L295" s="44">
        <f>IF(ISNUMBER(L277),ROUND(L277+L282+L290+L291-L292,1),"")</f>
        <v>0</v>
      </c>
      <c r="M295" s="44">
        <f>IF(ISNUMBER(M277),ROUND(M277+M282+M290+M291-M292,1),"")</f>
        <v>0</v>
      </c>
      <c r="N295" s="44">
        <f>IF(ISNUMBER(N277),ROUND(N277+N282+N290+N291-N292,1),"")</f>
        <v>0</v>
      </c>
      <c r="O295" s="44">
        <f>IF(ISNUMBER(O277),ROUND(O277+O282+O290+O291-O292,1),"")</f>
        <v>0</v>
      </c>
      <c r="P295" s="44">
        <f>IF(ISNUMBER(P277),ROUND(P277+P282+P290+P291-P292,1),"")</f>
        <v>0</v>
      </c>
      <c r="Q295" s="44">
        <f>IF(ISNUMBER(Q277),ROUND(Q277+Q282+Q290+Q291-Q292,1),"")</f>
        <v>0</v>
      </c>
      <c r="R295" s="44">
        <f>IF(ISNUMBER(R277),ROUND(R277+R282+R290+R291-R292,1),"")</f>
        <v>0</v>
      </c>
      <c r="S295" s="44">
        <f>IF(ISNUMBER(S277),ROUND(S277+S282+S290+S291-S292,1),"")</f>
        <v>0</v>
      </c>
      <c r="T295" s="44">
        <f>IF(ISNUMBER(T277),ROUND(T277+T282+T290+T291-T292,1),"")</f>
        <v>0</v>
      </c>
      <c r="U295" s="44">
        <f>IF(ISNUMBER(U277),ROUND(U277+U282+U290+U291-U292,1),"")</f>
        <v>0</v>
      </c>
      <c r="V295" s="44">
        <f>IF(ISNUMBER(V277),ROUND(V277+V282+V290+V291-V292,1),"")</f>
        <v>0</v>
      </c>
      <c r="W295" s="44">
        <f>IF(ISNUMBER(W277),ROUND(W277+W282+W290+W291-W292,1),"")</f>
        <v>0</v>
      </c>
      <c r="X295" s="44">
        <f>IF(ISNUMBER(X277),ROUND(X277+X282+X290+X291-X292,1),"")</f>
        <v>0</v>
      </c>
      <c r="Y295" s="44">
        <f>IF(ISNUMBER(Y277),ROUND(Y277+Y282+Y290+Y291-Y292,1),"")</f>
        <v>0</v>
      </c>
      <c r="Z295" s="44">
        <f>IF(ISNUMBER(Z277),ROUND(Z277+Z282+Z290+Z291-Z292,1),"")</f>
        <v>0</v>
      </c>
      <c r="AA295" s="44">
        <f>IF(ISNUMBER(AA277),ROUND(AA277+AA282+AA290+AA291-AA292,1),"")</f>
        <v>0</v>
      </c>
      <c r="AB295" s="44">
        <f>IF(ISNUMBER(AB277),ROUND(AB277+AB282+AB290+AB291-AB292,1),"")</f>
        <v>0</v>
      </c>
      <c r="AC295" s="44">
        <f>IF(ISNUMBER(AC277),ROUND(AC277+AC282+AC290+AC291-AC292,1),"")</f>
        <v>0</v>
      </c>
      <c r="AD295" s="44">
        <f>IF(ISNUMBER(AD277),ROUND(AD277+AD282+AD290+AD291-AD292,1),"")</f>
        <v>0</v>
      </c>
      <c r="AE295" s="44">
        <f>IF(ISNUMBER(AE277),ROUND(AE277+AE282+AE290+AE291-AE292,1),"")</f>
        <v>0</v>
      </c>
      <c r="AF295" s="44">
        <f>IF(ISNUMBER(AF277),ROUND(AF277+AF282+AF290+AF291-AF292,1),"")</f>
        <v>0</v>
      </c>
      <c r="AG295" s="44">
        <f>IF(ISNUMBER(AG277),ROUND(AG277+AG282+AG290+AG291-AG292,1),"")</f>
        <v>0</v>
      </c>
      <c r="AH295" s="44">
        <f>IF(ISNUMBER(AH277),ROUND(AH277+AH282+AH290+AH291-AH292,1),"")</f>
        <v>0</v>
      </c>
      <c r="AI295" s="44">
        <f>IF(ISNUMBER(AI277),ROUND(AI277+AI282+AI290+AI291-AI292,1),"")</f>
        <v>0</v>
      </c>
      <c r="AJ295" s="44">
        <f>IF(ISNUMBER(AJ277),ROUND(AJ277+AJ282+AJ290+AJ291-AJ292,1),"")</f>
        <v>0</v>
      </c>
      <c r="AK295" s="44">
        <f>IF(ISNUMBER(AK277),ROUND(AK277+AK282+AK290+AK291-AK292,1),"")</f>
        <v>0</v>
      </c>
      <c r="AL295" s="44">
        <f>IF(ISNUMBER(AL277),ROUND(AL277+AL282+AL290+AL291-AL292,1),"")</f>
        <v>0</v>
      </c>
      <c r="AM295" s="44">
        <f>IF(ISNUMBER(AM277),ROUND(AM277+AM282+AM290+AM291-AM292,1),"")</f>
        <v>0</v>
      </c>
      <c r="AN295" s="44">
        <f>IF(ISNUMBER(AN277),ROUND(AN277+AN282+AN290+AN291-AN292,1),"")</f>
        <v>0</v>
      </c>
      <c r="AO295" s="44">
        <f>IF(ISNUMBER(AO277),ROUND(AO277+AO282+AO290+AO291-AO292,1),"")</f>
        <v>0</v>
      </c>
      <c r="AP295" s="44">
        <f>IF(ISNUMBER(AP277),ROUND(AP277+AP282+AP290+AP291-AP292,1),"")</f>
        <v>0</v>
      </c>
      <c r="AQ295" s="44">
        <f>IF(ISNUMBER(AQ277),ROUND(AQ277+AQ282+AQ290+AQ291-AQ292,1),"")</f>
        <v>0</v>
      </c>
      <c r="AR295" s="44">
        <f>IF(ISNUMBER(AR277),ROUND(AR277+AR282+AR290+AR291-AR292,1),"")</f>
        <v>0</v>
      </c>
      <c r="AS295" s="44">
        <f>IF(ISNUMBER(AS277),ROUND(AS277+AS282+AS290+AS291-AS292,1),"")</f>
        <v>0</v>
      </c>
      <c r="AT295" s="44">
        <f>IF(ISNUMBER(AT277),ROUND(AT277+AT282+AT290+AT291-AT292,1),"")</f>
        <v>0</v>
      </c>
      <c r="AU295" s="44">
        <f>IF(ISNUMBER(AU277),ROUND(AU277+AU282+AU290+AU291-AU292,1),"")</f>
        <v>0</v>
      </c>
      <c r="AV295" s="44">
        <f>IF(ISNUMBER(AV277),ROUND(AV277+AV282+AV290+AV291-AV292,1),"")</f>
        <v>0</v>
      </c>
      <c r="AW295" s="44">
        <f>IF(ISNUMBER(AW277),ROUND(AW277+AW282+AW290+AW291-AW292,1),"")</f>
        <v>0</v>
      </c>
      <c r="AX295" s="44">
        <f>IF(ISNUMBER(AX277),ROUND(AX277+AX282+AX290+AX291-AX292,1),"")</f>
        <v>0</v>
      </c>
      <c r="AY295" s="44">
        <f>IF(ISNUMBER(AY277),ROUND(AY277+AY282+AY290+AY291-AY292,1),"")</f>
        <v>0</v>
      </c>
      <c r="AZ295" s="44">
        <f>IF(ISNUMBER(AZ277),ROUND(AZ277+AZ282+AZ290+AZ291-AZ292,1),"")</f>
        <v>0</v>
      </c>
      <c r="BA295" s="44">
        <f>IF(ISNUMBER(BA277),ROUND(BA277+BA282+BA290+BA291-BA292,1),"")</f>
        <v>0</v>
      </c>
      <c r="BB295" s="44">
        <f>IF(ISNUMBER(BB277),ROUND(BB277+BB282+BB290+BB291-BB292,1),"")</f>
        <v>0</v>
      </c>
      <c r="BC295" s="44">
        <f>IF(ISNUMBER(BC277),ROUND(BC277+BC282+BC290+BC291-BC292,1),"")</f>
        <v>0</v>
      </c>
      <c r="BD295" s="44">
        <f>IF(ISNUMBER(BD277),ROUND(BD277+BD282+BD290+BD291-BD292,1),"")</f>
        <v>0</v>
      </c>
      <c r="BE295" s="44">
        <f>IF(ISNUMBER(BE277),ROUND(BE277+BE282+BE290+BE291-BE292,1),"")</f>
        <v>0</v>
      </c>
      <c r="BF295" s="44">
        <f>IF(ISNUMBER(BF277),ROUND(BF277+BF282+BF290+BF291-BF292,1),"")</f>
        <v>0</v>
      </c>
      <c r="BG295" s="44">
        <f>IF(ISNUMBER(BG277),ROUND(BG277+BG282+BG290+BG291-BG292,1),"")</f>
        <v>0</v>
      </c>
      <c r="BH295" s="44">
        <f>IF(ISNUMBER(BH277),ROUND(BH277+BH282+BH290+BH291-BH292,1),"")</f>
        <v>0</v>
      </c>
      <c r="BI295" s="44">
        <f>IF(ISNUMBER(BI277),ROUND(BI277+BI282+BI290+BI291-BI292,1),"")</f>
        <v>0</v>
      </c>
      <c r="BJ295" s="44">
        <f>IF(ISNUMBER(BJ277),ROUND(BJ277+BJ282+BJ290+BJ291-BJ292,1),"")</f>
        <v>0</v>
      </c>
      <c r="BK295" s="44">
        <f>IF(ISNUMBER(BK277),ROUND(BK277+BK282+BK290+BK291-BK292,1),"")</f>
        <v>0</v>
      </c>
      <c r="BL295" s="44">
        <f>IF(ISNUMBER(BL277),ROUND(BL277+BL282+BL290+BL291-BL292,1),"")</f>
        <v>0</v>
      </c>
      <c r="BM295" s="44">
        <f>IF(ISNUMBER(BM277),ROUND(BM277+BM282+BM290+BM291-BM292,1),"")</f>
        <v>0</v>
      </c>
      <c r="BN295" s="44">
        <f>IF(ISNUMBER(BN277),ROUND(BN277+BN282+BN290+BN291-BN292,1),"")</f>
        <v>0</v>
      </c>
      <c r="BO295" s="44">
        <f>IF(ISNUMBER(BO277),ROUND(BO277+BO282+BO290+BO291-BO292,1),"")</f>
        <v>0</v>
      </c>
      <c r="BP295" s="44">
        <f>IF(ISNUMBER(BP277),ROUND(BP277+BP282+BP290+BP291-BP292,1),"")</f>
        <v>0</v>
      </c>
      <c r="BQ295" s="44">
        <f>IF(ISNUMBER(BQ277),ROUND(BQ277+BQ282+BQ290+BQ291-BQ292,1),"")</f>
        <v>0</v>
      </c>
      <c r="BR295" s="44">
        <f>IF(ISNUMBER(BR277),ROUND(BR277+BR282+BR290+BR291-BR292,1),"")</f>
        <v>0</v>
      </c>
      <c r="BS295" s="44">
        <f>IF(ISNUMBER(BS277),ROUND(BS277+BS282+BS290+BS291-BS292,1),"")</f>
        <v>0</v>
      </c>
      <c r="BT295" s="44">
        <f>IF(ISNUMBER(BT277),ROUND(BT277+BT282+BT290+BT291-BT292,1),"")</f>
        <v>0</v>
      </c>
      <c r="BU295" s="44">
        <f>IF(ISNUMBER(BU277),ROUND(BU277+BU282+BU290+BU291-BU292,1),"")</f>
        <v>0</v>
      </c>
      <c r="BV295" s="44">
        <f>IF(ISNUMBER(BV277),ROUND(BV277+BV282+BV290+BV291-BV292,1),"")</f>
        <v>0</v>
      </c>
      <c r="BW295" s="44">
        <f>IF(ISNUMBER(BW277),ROUND(BW277+BW282+BW290+BW291-BW292,1),"")</f>
        <v>0</v>
      </c>
      <c r="BX295" s="44">
        <f>IF(ISNUMBER(BX277),ROUND(BX277+BX282+BX290+BX291-BX292,1),"")</f>
        <v>0</v>
      </c>
      <c r="BY295" s="269" t="n"/>
      <c r="BZ295" s="269" t="n"/>
      <c r="CA295" s="268">
        <f>ROUND(CA277+CA282+CA290+CA291-CA292,1)</f>
        <v>0</v>
      </c>
      <c r="CB295" s="268">
        <f>ROUND(CB277+CB282+CB290+CB291-CB292,1)</f>
        <v>0</v>
      </c>
      <c r="CC295" s="268">
        <f>ROUND(CC277+CC282+CC290+CC291-CC292,1)</f>
        <v>0</v>
      </c>
      <c r="CD295" s="268">
        <f>ROUND(CD277+CD282+CD290+CD291-CD292,1)</f>
        <v>0</v>
      </c>
      <c r="CE295" s="268">
        <f>ROUND(CE277+CE282+CE290+CE291-CE292,1)</f>
        <v>0</v>
      </c>
      <c r="CF295" s="19" t="n"/>
    </row>
    <row r="296">
      <c r="B296" s="57" t="inlineStr">
        <is>
          <t xml:space="preserve">  Check: beginning cash + change = ending cash (should be 0)</t>
        </is>
      </c>
      <c r="C296" s="44">
        <f>IF(ISNUMBER(C294),ROUND(C293+C292-C294,1),"")</f>
        <v>0</v>
      </c>
      <c r="D296" s="44">
        <f>IF(ISNUMBER(D294),ROUND(D293+D292-D294,1),"")</f>
        <v>0</v>
      </c>
      <c r="E296" s="44">
        <f>IF(ISNUMBER(E294),ROUND(E293+E292-E294,1),"")</f>
        <v>0</v>
      </c>
      <c r="F296" s="44">
        <f>IF(ISNUMBER(F294),ROUND(F293+F292-F294,1),"")</f>
        <v>0</v>
      </c>
      <c r="G296" s="44">
        <f>IF(ISNUMBER(G294),ROUND(G293+G292-G294,1),"")</f>
        <v>0</v>
      </c>
      <c r="H296" s="44">
        <f>IF(ISNUMBER(H294),ROUND(H293+H292-H294,1),"")</f>
        <v>0</v>
      </c>
      <c r="I296" s="44">
        <f>IF(ISNUMBER(I294),ROUND(I293+I292-I294,1),"")</f>
        <v>0</v>
      </c>
      <c r="J296" s="44">
        <f>IF(ISNUMBER(J294),ROUND(J293+J292-J294,1),"")</f>
        <v>0</v>
      </c>
      <c r="K296" s="44">
        <f>IF(ISNUMBER(K294),ROUND(K293+K292-K294,1),"")</f>
        <v>0</v>
      </c>
      <c r="L296" s="44">
        <f>IF(ISNUMBER(L294),ROUND(L293+L292-L294,1),"")</f>
        <v>0</v>
      </c>
      <c r="M296" s="44">
        <f>IF(ISNUMBER(M294),ROUND(M293+M292-M294,1),"")</f>
        <v>0</v>
      </c>
      <c r="N296" s="44">
        <f>IF(ISNUMBER(N294),ROUND(N293+N292-N294,1),"")</f>
        <v>0</v>
      </c>
      <c r="O296" s="44">
        <f>IF(ISNUMBER(O294),ROUND(O293+O292-O294,1),"")</f>
        <v>0</v>
      </c>
      <c r="P296" s="44">
        <f>IF(ISNUMBER(P294),ROUND(P293+P292-P294,1),"")</f>
        <v>0</v>
      </c>
      <c r="Q296" s="44">
        <f>IF(ISNUMBER(Q294),ROUND(Q293+Q292-Q294,1),"")</f>
        <v>0</v>
      </c>
      <c r="R296" s="44">
        <f>IF(ISNUMBER(R294),ROUND(R293+R292-R294,1),"")</f>
        <v>0</v>
      </c>
      <c r="S296" s="44">
        <f>IF(ISNUMBER(S294),ROUND(S293+S292-S294,1),"")</f>
        <v>0</v>
      </c>
      <c r="T296" s="44">
        <f>IF(ISNUMBER(T294),ROUND(T293+T292-T294,1),"")</f>
        <v>0</v>
      </c>
      <c r="U296" s="44">
        <f>IF(ISNUMBER(U294),ROUND(U293+U292-U294,1),"")</f>
        <v>0</v>
      </c>
      <c r="V296" s="44">
        <f>IF(ISNUMBER(V294),ROUND(V293+V292-V294,1),"")</f>
        <v>0</v>
      </c>
      <c r="W296" s="44">
        <f>IF(ISNUMBER(W294),ROUND(W293+W292-W294,1),"")</f>
        <v>0</v>
      </c>
      <c r="X296" s="44">
        <f>IF(ISNUMBER(X294),ROUND(X293+X292-X294,1),"")</f>
        <v>0</v>
      </c>
      <c r="Y296" s="44">
        <f>IF(ISNUMBER(Y294),ROUND(Y293+Y292-Y294,1),"")</f>
        <v>0</v>
      </c>
      <c r="Z296" s="44">
        <f>IF(ISNUMBER(Z294),ROUND(Z293+Z292-Z294,1),"")</f>
        <v>0</v>
      </c>
      <c r="AA296" s="44">
        <f>IF(ISNUMBER(AA294),ROUND(AA293+AA292-AA294,1),"")</f>
        <v>0</v>
      </c>
      <c r="AB296" s="44">
        <f>IF(ISNUMBER(AB294),ROUND(AB293+AB292-AB294,1),"")</f>
        <v>0</v>
      </c>
      <c r="AC296" s="44">
        <f>IF(ISNUMBER(AC294),ROUND(AC293+AC292-AC294,1),"")</f>
        <v>0</v>
      </c>
      <c r="AD296" s="44">
        <f>IF(ISNUMBER(AD294),ROUND(AD293+AD292-AD294,1),"")</f>
        <v>0</v>
      </c>
      <c r="AE296" s="44">
        <f>IF(ISNUMBER(AE294),ROUND(AE293+AE292-AE294,1),"")</f>
        <v>0</v>
      </c>
      <c r="AF296" s="44">
        <f>IF(ISNUMBER(AF294),ROUND(AF293+AF292-AF294,1),"")</f>
        <v>0</v>
      </c>
      <c r="AG296" s="44">
        <f>IF(ISNUMBER(AG294),ROUND(AG293+AG292-AG294,1),"")</f>
        <v>0</v>
      </c>
      <c r="AH296" s="44">
        <f>IF(ISNUMBER(AH294),ROUND(AH293+AH292-AH294,1),"")</f>
        <v>0</v>
      </c>
      <c r="AI296" s="44">
        <f>IF(ISNUMBER(AI294),ROUND(AI293+AI292-AI294,1),"")</f>
        <v>0</v>
      </c>
      <c r="AJ296" s="44">
        <f>IF(ISNUMBER(AJ294),ROUND(AJ293+AJ292-AJ294,1),"")</f>
        <v>0</v>
      </c>
      <c r="AK296" s="44">
        <f>IF(ISNUMBER(AK294),ROUND(AK293+AK292-AK294,1),"")</f>
        <v>0</v>
      </c>
      <c r="AL296" s="44">
        <f>IF(ISNUMBER(AL294),ROUND(AL293+AL292-AL294,1),"")</f>
        <v>0</v>
      </c>
      <c r="AM296" s="44">
        <f>IF(ISNUMBER(AM294),ROUND(AM293+AM292-AM294,1),"")</f>
        <v>0</v>
      </c>
      <c r="AN296" s="44">
        <f>IF(ISNUMBER(AN294),ROUND(AN293+AN292-AN294,1),"")</f>
        <v>0</v>
      </c>
      <c r="AO296" s="44">
        <f>IF(ISNUMBER(AO294),ROUND(AO293+AO292-AO294,1),"")</f>
        <v>0</v>
      </c>
      <c r="AP296" s="44">
        <f>IF(ISNUMBER(AP294),ROUND(AP293+AP292-AP294,1),"")</f>
        <v>0</v>
      </c>
      <c r="AQ296" s="44">
        <f>IF(ISNUMBER(AQ294),ROUND(AQ293+AQ292-AQ294,1),"")</f>
        <v>0</v>
      </c>
      <c r="AR296" s="44">
        <f>IF(ISNUMBER(AR294),ROUND(AR293+AR292-AR294,1),"")</f>
        <v>0</v>
      </c>
      <c r="AS296" s="44">
        <f>IF(ISNUMBER(AS294),ROUND(AS293+AS292-AS294,1),"")</f>
        <v>0</v>
      </c>
      <c r="AT296" s="44">
        <f>IF(ISNUMBER(AT294),ROUND(AT293+AT292-AT294,1),"")</f>
        <v>0</v>
      </c>
      <c r="AU296" s="44">
        <f>IF(ISNUMBER(AU294),ROUND(AU293+AU292-AU294,1),"")</f>
        <v>0</v>
      </c>
      <c r="AV296" s="44">
        <f>IF(ISNUMBER(AV294),ROUND(AV293+AV292-AV294,1),"")</f>
        <v>0</v>
      </c>
      <c r="AW296" s="44">
        <f>IF(ISNUMBER(AW294),ROUND(AW293+AW292-AW294,1),"")</f>
        <v>0</v>
      </c>
      <c r="AX296" s="44">
        <f>IF(ISNUMBER(AX294),ROUND(AX293+AX292-AX294,1),"")</f>
        <v>0</v>
      </c>
      <c r="AY296" s="44">
        <f>IF(ISNUMBER(AY294),ROUND(AY293+AY292-AY294,1),"")</f>
        <v>0</v>
      </c>
      <c r="AZ296" s="44">
        <f>IF(ISNUMBER(AZ294),ROUND(AZ293+AZ292-AZ294,1),"")</f>
        <v>0</v>
      </c>
      <c r="BA296" s="44">
        <f>IF(ISNUMBER(BA294),ROUND(BA293+BA292-BA294,1),"")</f>
        <v>0</v>
      </c>
      <c r="BB296" s="44">
        <f>IF(ISNUMBER(BB294),ROUND(BB293+BB292-BB294,1),"")</f>
        <v>0</v>
      </c>
      <c r="BC296" s="44">
        <f>IF(ISNUMBER(BC294),ROUND(BC293+BC292-BC294,1),"")</f>
        <v>0</v>
      </c>
      <c r="BD296" s="44">
        <f>IF(ISNUMBER(BD294),ROUND(BD293+BD292-BD294,1),"")</f>
        <v>0</v>
      </c>
      <c r="BE296" s="44">
        <f>IF(ISNUMBER(BE294),ROUND(BE293+BE292-BE294,1),"")</f>
        <v>0</v>
      </c>
      <c r="BF296" s="44">
        <f>IF(ISNUMBER(BF294),ROUND(BF293+BF292-BF294,1),"")</f>
        <v>0</v>
      </c>
      <c r="BG296" s="44">
        <f>IF(ISNUMBER(BG294),ROUND(BG293+BG292-BG294,1),"")</f>
        <v>0</v>
      </c>
      <c r="BH296" s="44">
        <f>IF(ISNUMBER(BH294),ROUND(BH293+BH292-BH294,1),"")</f>
        <v>0</v>
      </c>
      <c r="BI296" s="44">
        <f>IF(ISNUMBER(BI294),ROUND(BI293+BI292-BI294,1),"")</f>
        <v>0</v>
      </c>
      <c r="BJ296" s="44">
        <f>IF(ISNUMBER(BJ294),ROUND(BJ293+BJ292-BJ294,1),"")</f>
        <v>0</v>
      </c>
      <c r="BK296" s="44">
        <f>IF(ISNUMBER(BK294),ROUND(BK293+BK292-BK294,1),"")</f>
        <v>0</v>
      </c>
      <c r="BL296" s="44">
        <f>IF(ISNUMBER(BL294),ROUND(BL293+BL292-BL294,1),"")</f>
        <v>0</v>
      </c>
      <c r="BM296" s="44">
        <f>IF(ISNUMBER(BM294),ROUND(BM293+BM292-BM294,1),"")</f>
        <v>0</v>
      </c>
      <c r="BN296" s="44">
        <f>IF(ISNUMBER(BN294),ROUND(BN293+BN292-BN294,1),"")</f>
        <v>0</v>
      </c>
      <c r="BO296" s="44">
        <f>IF(ISNUMBER(BO294),ROUND(BO293+BO292-BO294,1),"")</f>
        <v>0</v>
      </c>
      <c r="BP296" s="44">
        <f>IF(ISNUMBER(BP294),ROUND(BP293+BP292-BP294,1),"")</f>
        <v>0</v>
      </c>
      <c r="BQ296" s="44">
        <f>IF(ISNUMBER(BQ294),ROUND(BQ293+BQ292-BQ294,1),"")</f>
        <v>0</v>
      </c>
      <c r="BR296" s="44">
        <f>IF(ISNUMBER(BR294),ROUND(BR293+BR292-BR294,1),"")</f>
        <v>0</v>
      </c>
      <c r="BS296" s="44">
        <f>IF(ISNUMBER(BS294),ROUND(BS293+BS292-BS294,1),"")</f>
        <v>0</v>
      </c>
      <c r="BT296" s="44">
        <f>IF(ISNUMBER(BT294),ROUND(BT293+BT292-BT294,1),"")</f>
        <v>0</v>
      </c>
      <c r="BU296" s="44">
        <f>IF(ISNUMBER(BU294),ROUND(BU293+BU292-BU294,1),"")</f>
        <v>0</v>
      </c>
      <c r="BV296" s="44">
        <f>IF(ISNUMBER(BV294),ROUND(BV293+BV292-BV294,1),"")</f>
        <v>0</v>
      </c>
      <c r="BW296" s="44">
        <f>IF(ISNUMBER(BW294),ROUND(BW293+BW292-BW294,1),"")</f>
        <v>0</v>
      </c>
      <c r="BX296" s="44">
        <f>IF(ISNUMBER(BX294),ROUND(BX293+BX292-BX294,1),"")</f>
        <v>0</v>
      </c>
      <c r="BY296" s="269" t="n"/>
      <c r="BZ296" s="269" t="n"/>
      <c r="CA296" s="268">
        <f>ROUND(CA293+CA292-CA294,1)</f>
        <v>0</v>
      </c>
      <c r="CB296" s="268">
        <f>ROUND(CB293+CB292-CB294,1)</f>
        <v>0</v>
      </c>
      <c r="CC296" s="268">
        <f>ROUND(CC293+CC292-CC294,1)</f>
        <v>0</v>
      </c>
      <c r="CD296" s="268">
        <f>ROUND(CD293+CD292-CD294,1)</f>
        <v>0</v>
      </c>
      <c r="CE296" s="268">
        <f>ROUND(CE293+CE292-CE294,1)</f>
        <v>0</v>
      </c>
      <c r="CF296" s="19" t="n"/>
    </row>
    <row r="297">
      <c r="B297" s="25" t="inlineStr">
        <is>
          <t>(Memo)</t>
        </is>
      </c>
      <c r="C297" s="270" t="n"/>
      <c r="D297" s="270" t="n"/>
      <c r="E297" s="270" t="n"/>
      <c r="F297" s="270" t="n"/>
      <c r="G297" s="270" t="n"/>
      <c r="H297" s="270" t="n"/>
      <c r="I297" s="270" t="n"/>
      <c r="J297" s="270" t="n"/>
      <c r="K297" s="270" t="n"/>
      <c r="L297" s="270" t="n"/>
      <c r="M297" s="270" t="n"/>
      <c r="N297" s="270" t="n"/>
      <c r="O297" s="270" t="n"/>
      <c r="P297" s="270" t="n"/>
      <c r="Q297" s="270" t="n"/>
      <c r="R297" s="270" t="n"/>
      <c r="S297" s="270" t="n"/>
      <c r="T297" s="270" t="n"/>
      <c r="U297" s="270" t="n"/>
      <c r="V297" s="270" t="n"/>
      <c r="W297" s="270" t="n"/>
      <c r="X297" s="270" t="n"/>
      <c r="Y297" s="270" t="n"/>
      <c r="Z297" s="270" t="n"/>
      <c r="AA297" s="270" t="n"/>
      <c r="AB297" s="270" t="n"/>
      <c r="AC297" s="270" t="n"/>
      <c r="AD297" s="270" t="n"/>
      <c r="AE297" s="270" t="n"/>
      <c r="AF297" s="270" t="n"/>
      <c r="AG297" s="270" t="n"/>
      <c r="AH297" s="270" t="n"/>
      <c r="AI297" s="270" t="n"/>
      <c r="AJ297" s="270" t="n"/>
      <c r="AK297" s="270" t="n"/>
      <c r="AL297" s="270" t="n"/>
      <c r="AM297" s="270" t="n"/>
      <c r="AN297" s="270" t="n"/>
      <c r="AO297" s="270" t="n"/>
      <c r="AP297" s="270" t="n"/>
      <c r="AQ297" s="270" t="n"/>
      <c r="AR297" s="270" t="n"/>
      <c r="AS297" s="270" t="n"/>
      <c r="AT297" s="270" t="n"/>
      <c r="AU297" s="270" t="n"/>
      <c r="AV297" s="270" t="n"/>
      <c r="AW297" s="270" t="n"/>
      <c r="AX297" s="270" t="n"/>
      <c r="AY297" s="270" t="n"/>
      <c r="AZ297" s="270" t="n"/>
      <c r="BA297" s="270" t="n"/>
      <c r="BB297" s="270" t="n"/>
      <c r="BC297" s="270" t="n"/>
      <c r="BD297" s="270" t="n"/>
      <c r="BE297" s="270" t="n"/>
      <c r="BF297" s="270" t="n"/>
      <c r="BG297" s="270" t="n"/>
      <c r="BH297" s="270" t="n"/>
      <c r="BI297" s="270" t="n"/>
      <c r="BJ297" s="270" t="n"/>
      <c r="BK297" s="270" t="n"/>
      <c r="BL297" s="270" t="n"/>
      <c r="BM297" s="270" t="n"/>
      <c r="BN297" s="270" t="n"/>
      <c r="BO297" s="270" t="n"/>
      <c r="BP297" s="270" t="n"/>
      <c r="BQ297" s="270" t="n"/>
      <c r="BR297" s="270" t="n"/>
      <c r="BS297" s="270" t="n"/>
      <c r="BT297" s="270" t="n"/>
      <c r="BU297" s="270" t="n"/>
      <c r="BV297" s="270" t="n"/>
      <c r="BW297" s="270" t="n"/>
      <c r="BX297" s="270" t="n"/>
      <c r="BY297" s="269" t="n"/>
      <c r="BZ297" s="269" t="n"/>
      <c r="CA297" s="269" t="n"/>
      <c r="CB297" s="269" t="n"/>
      <c r="CC297" s="269" t="n"/>
      <c r="CD297" s="269" t="n"/>
      <c r="CE297" s="269" t="n"/>
      <c r="CF297" s="19" t="n"/>
    </row>
    <row r="298">
      <c r="B298" s="55" t="inlineStr">
        <is>
          <t>Free cash flow (operating cash flow − capital expenditures; company definition)</t>
        </is>
      </c>
      <c r="C298" s="56">
        <f>C277+C278</f>
        <v>42.678</v>
      </c>
      <c r="D298" s="56">
        <f>D277+D278</f>
        <v>188.199</v>
      </c>
      <c r="E298" s="56">
        <f>E277+E278</f>
        <v>185.023</v>
      </c>
      <c r="F298" s="56">
        <f>F277+F278</f>
        <v>212.149</v>
      </c>
      <c r="G298" s="56">
        <f>G277+G278</f>
        <v>96.413</v>
      </c>
      <c r="H298" s="56">
        <f>H277+H278</f>
        <v>127.705</v>
      </c>
      <c r="I298" s="56">
        <f>I277+I278</f>
        <v>274.769</v>
      </c>
      <c r="J298" s="56">
        <f>J277+J278</f>
        <v>-35.286</v>
      </c>
      <c r="K298" s="56">
        <f>K277+K278</f>
        <v>91.289</v>
      </c>
      <c r="L298" s="56">
        <f>L277+L278</f>
        <v>126.397</v>
      </c>
      <c r="M298" s="56">
        <f>M277+M278</f>
        <v>80.479</v>
      </c>
      <c r="N298" s="56">
        <f>N277+N278</f>
        <v>262.879</v>
      </c>
      <c r="O298" s="56">
        <f>O277+O278</f>
        <v>-0.875</v>
      </c>
      <c r="P298" s="56">
        <f>P277+P278</f>
        <v>79.533</v>
      </c>
      <c r="Q298" s="56">
        <f>Q277+Q278</f>
        <v>133.965</v>
      </c>
      <c r="R298" s="56">
        <f>R277+R278</f>
        <v>116.089</v>
      </c>
      <c r="S298" s="56">
        <f>S277+S278</f>
        <v>328.712</v>
      </c>
      <c r="T298" s="56">
        <f>T277+T278</f>
        <v>40.328</v>
      </c>
      <c r="U298" s="56">
        <f>U277+U278</f>
        <v>60.525</v>
      </c>
      <c r="V298" s="56">
        <f>V277+V278</f>
        <v>94.396</v>
      </c>
      <c r="W298" s="56">
        <f>W277+W278</f>
        <v>65.102</v>
      </c>
      <c r="X298" s="56">
        <f>X277+X278</f>
        <v>260.351</v>
      </c>
      <c r="Y298" s="56">
        <f>Y277+Y278</f>
        <v>15.476</v>
      </c>
      <c r="Z298" s="56">
        <f>Z277+Z278</f>
        <v>85.102</v>
      </c>
      <c r="AA298" s="56">
        <f>AA277+AA278</f>
        <v>96.811</v>
      </c>
      <c r="AB298" s="56">
        <f>AB277+AB278</f>
        <v>56.137</v>
      </c>
      <c r="AC298" s="56">
        <f>AC277+AC278</f>
        <v>253.526</v>
      </c>
      <c r="AD298" s="56">
        <f>AD277+AD278</f>
        <v>64.203</v>
      </c>
      <c r="AE298" s="56">
        <f>AE277+AE278</f>
        <v>59.353</v>
      </c>
      <c r="AF298" s="56">
        <f>AF277+AF278</f>
        <v>82.839</v>
      </c>
      <c r="AG298" s="56">
        <f>AG277+AG278</f>
        <v>66.794</v>
      </c>
      <c r="AH298" s="56">
        <f>AH277+AH278</f>
        <v>273.189</v>
      </c>
      <c r="AI298" s="56">
        <f>AI277+AI278</f>
        <v>29.12</v>
      </c>
      <c r="AJ298" s="56">
        <f>AJ277+AJ278</f>
        <v>63.055</v>
      </c>
      <c r="AK298" s="56">
        <f>AK277+AK278</f>
        <v>88.856</v>
      </c>
      <c r="AL298" s="56">
        <f>AL277+AL278</f>
        <v>76.875</v>
      </c>
      <c r="AM298" s="56">
        <f>AM277+AM278</f>
        <v>257.906</v>
      </c>
      <c r="AN298" s="56">
        <f>AN277+AN278</f>
        <v>9.627</v>
      </c>
      <c r="AO298" s="56">
        <f>AO277+AO278</f>
        <v>105.845</v>
      </c>
      <c r="AP298" s="56">
        <f>AP277+AP278</f>
        <v>111.643</v>
      </c>
      <c r="AQ298" s="56">
        <f>AQ277+AQ278</f>
        <v>106.455</v>
      </c>
      <c r="AR298" s="56">
        <f>AR277+AR278</f>
        <v>333.57</v>
      </c>
      <c r="AS298" s="56">
        <f>AS277+AS278</f>
        <v>10.144</v>
      </c>
      <c r="AT298" s="56">
        <f>AT277+AT278</f>
        <v>90.858</v>
      </c>
      <c r="AU298" s="56">
        <f>AU277+AU278</f>
        <v>77.443</v>
      </c>
      <c r="AV298" s="56">
        <f>AV277+AV278</f>
        <v>113.716</v>
      </c>
      <c r="AW298" s="56">
        <f>AW277+AW278</f>
        <v>292.161</v>
      </c>
      <c r="AX298" s="56">
        <f>AX277+AX278</f>
        <v>35.326</v>
      </c>
      <c r="AY298" s="56">
        <f>AY277+AY278</f>
        <v>82.14</v>
      </c>
      <c r="AZ298" s="56">
        <f>AZ277+AZ278</f>
        <v>91.219</v>
      </c>
      <c r="BA298" s="56">
        <f>BA277+BA278</f>
        <v>93.847</v>
      </c>
      <c r="BB298" s="56">
        <f>BB277+BB278</f>
        <v>302.532</v>
      </c>
      <c r="BC298" s="56">
        <f>BC277+BC278</f>
        <v>24.418</v>
      </c>
      <c r="BD298" s="56">
        <f>BD277+BD278</f>
        <v>82.281</v>
      </c>
      <c r="BE298" s="56">
        <f>BE277+BE278</f>
        <v>112.584</v>
      </c>
      <c r="BF298" s="56">
        <f>BF277+BF278</f>
        <v>92.22</v>
      </c>
      <c r="BG298" s="56">
        <f>BG277+BG278</f>
        <v>311.503</v>
      </c>
      <c r="BH298" s="56">
        <f>BH277+BH278</f>
        <v>105.144</v>
      </c>
      <c r="BI298" s="56">
        <f>BI277+BI278</f>
        <v>177.08</v>
      </c>
      <c r="BJ298" s="56">
        <f>BJ277+BJ278</f>
        <v>197.197</v>
      </c>
      <c r="BK298" s="56">
        <f>BK277+BK278</f>
        <v>97.134</v>
      </c>
      <c r="BL298" s="56">
        <f>BL277+BL278</f>
        <v>576.555</v>
      </c>
      <c r="BM298" s="56">
        <f>BM277+BM278</f>
        <v>107.038</v>
      </c>
      <c r="BN298" s="56">
        <f>BN277+BN278</f>
        <v>147.548</v>
      </c>
      <c r="BO298" s="56">
        <f>BO277+BO278</f>
        <v>163.479</v>
      </c>
      <c r="BP298" s="56">
        <f>BP277+BP278</f>
        <v>64.309</v>
      </c>
      <c r="BQ298" s="56">
        <f>BQ277+BQ278</f>
        <v>482.374</v>
      </c>
      <c r="BR298" s="56">
        <f>BR277+BR278</f>
        <v>158.744</v>
      </c>
      <c r="BS298" s="56">
        <f>BS277+BS278</f>
        <v>118.385</v>
      </c>
      <c r="BT298" s="56">
        <f>BT277+BT278</f>
        <v>205.051</v>
      </c>
      <c r="BU298" s="56">
        <f>BU277+BU278</f>
        <v>52.019</v>
      </c>
      <c r="BV298" s="56">
        <f>BV277+BV278</f>
        <v>534.199</v>
      </c>
      <c r="BW298" s="56">
        <f>BW277+BW278</f>
        <v>63.007</v>
      </c>
      <c r="BX298" s="56">
        <f>BX277+BX278</f>
        <v>222.327</v>
      </c>
      <c r="BY298" s="56" t="n"/>
      <c r="BZ298" s="56" t="n"/>
      <c r="CA298" s="56">
        <f>CA277+CA278</f>
        <v>514.232450383296</v>
      </c>
      <c r="CB298" s="56">
        <f>CB277+CB278</f>
        <v>635.620391792002</v>
      </c>
      <c r="CC298" s="56">
        <f>CC277+CC278</f>
        <v>695.520030772638</v>
      </c>
      <c r="CD298" s="56">
        <f>CD277+CD278</f>
        <v>769.618023010141</v>
      </c>
      <c r="CE298" s="56">
        <f>CE277+CE278</f>
        <v>847.111672405019</v>
      </c>
      <c r="CF298" s="19" t="inlineStr">
        <is>
          <t>LECO defines free cash flow as CFO − capital expenditures and cash conversion as FCF / adjusted net income.</t>
        </is>
      </c>
      <c r="CH298" s="20">
        <f>IFERROR((CE298/BV298)^(1/5)-1,"n/m")</f>
        <v>0.0965981756846517</v>
      </c>
      <c r="CI298" s="20">
        <f>IFERROR((BV298/AW298)^(1/5)-1,"n/m")</f>
        <v>0.128278118576212</v>
      </c>
      <c r="CJ298" s="20">
        <f>IFERROR((BV298/X298)^(1/10)-1,"n/m")</f>
        <v>0.0745196997548736</v>
      </c>
      <c r="CK298" s="20">
        <f>IFERROR((BV298/C298)^(1/19)-1,"n/m")</f>
        <v>0.14225510021613</v>
      </c>
    </row>
    <row r="299">
      <c r="B299" s="22" t="inlineStr">
        <is>
          <t xml:space="preserve">  FCF y/y %</t>
        </is>
      </c>
      <c r="C299" s="23" t="n"/>
      <c r="D299" s="23">
        <f>IF(AND(ISNUMBER(D298),ISNUMBER(C298)),IFERROR(D298/C298-1,""),"")</f>
        <v>3.40974272458878</v>
      </c>
      <c r="E299" s="23">
        <f>IF(AND(ISNUMBER(E298),ISNUMBER(D298)),IFERROR(E298/D298-1,""),"")</f>
        <v>-0.0168757538562903</v>
      </c>
      <c r="F299" s="23">
        <f>IF(AND(ISNUMBER(F298),ISNUMBER(E298)),IFERROR(F298/E298-1,""),"")</f>
        <v>0.146608799987028</v>
      </c>
      <c r="G299" s="23">
        <f>IF(AND(ISNUMBER(G298),ISNUMBER(F298)),IFERROR(G298/F298-1,""),"")</f>
        <v>-0.545541105543745</v>
      </c>
      <c r="H299" s="23">
        <f>IF(AND(ISNUMBER(H298),ISNUMBER(G298)),IFERROR(H298/G298-1,""),"")</f>
        <v>0.324562040388744</v>
      </c>
      <c r="I299" s="23">
        <f>IF(AND(ISNUMBER(I298),ISNUMBER(H298)),IFERROR(I298/H298-1,""),"")</f>
        <v>1.15159155867037</v>
      </c>
      <c r="J299" s="23" t="n"/>
      <c r="K299" s="23" t="n"/>
      <c r="L299" s="23" t="n"/>
      <c r="M299" s="23" t="n"/>
      <c r="N299" s="23">
        <f>IF(AND(ISNUMBER(N298),ISNUMBER(I298)),IFERROR(N298/I298-1,""),"")</f>
        <v>-0.0432727127150442</v>
      </c>
      <c r="O299" s="23">
        <f>IF(AND(ISNUMBER(O298),ISNUMBER(J298)),IFERROR(O298/J298-1,""),"")</f>
        <v>-0.975202629938219</v>
      </c>
      <c r="P299" s="23">
        <f>IF(AND(ISNUMBER(P298),ISNUMBER(K298)),IFERROR(P298/K298-1,""),"")</f>
        <v>-0.128777837417433</v>
      </c>
      <c r="Q299" s="23">
        <f>IF(AND(ISNUMBER(Q298),ISNUMBER(L298)),IFERROR(Q298/L298-1,""),"")</f>
        <v>0.059874838801554</v>
      </c>
      <c r="R299" s="23">
        <f>IF(AND(ISNUMBER(R298),ISNUMBER(M298)),IFERROR(R298/M298-1,""),"")</f>
        <v>0.442475676884653</v>
      </c>
      <c r="S299" s="23">
        <f>IF(AND(ISNUMBER(S298),ISNUMBER(N298)),IFERROR(S298/N298-1,""),"")</f>
        <v>0.250430806568801</v>
      </c>
      <c r="T299" s="23">
        <f>IF(AND(ISNUMBER(T298),ISNUMBER(O298)),IFERROR(T298/O298-1,""),"")</f>
        <v>-47.0891428571429</v>
      </c>
      <c r="U299" s="23">
        <f>IF(AND(ISNUMBER(U298),ISNUMBER(P298)),IFERROR(U298/P298-1,""),"")</f>
        <v>-0.238995134095281</v>
      </c>
      <c r="V299" s="23">
        <f>IF(AND(ISNUMBER(V298),ISNUMBER(Q298)),IFERROR(V298/Q298-1,""),"")</f>
        <v>-0.295368193184787</v>
      </c>
      <c r="W299" s="23">
        <f>IF(AND(ISNUMBER(W298),ISNUMBER(R298)),IFERROR(W298/R298-1,""),"")</f>
        <v>-0.439206126334106</v>
      </c>
      <c r="X299" s="23">
        <f>IF(AND(ISNUMBER(X298),ISNUMBER(S298)),IFERROR(X298/S298-1,""),"")</f>
        <v>-0.207966244006912</v>
      </c>
      <c r="Y299" s="23">
        <f>IF(AND(ISNUMBER(Y298),ISNUMBER(T298)),IFERROR(Y298/T298-1,""),"")</f>
        <v>-0.616246776433247</v>
      </c>
      <c r="Z299" s="23">
        <f>IF(AND(ISNUMBER(Z298),ISNUMBER(U298)),IFERROR(Z298/U298-1,""),"")</f>
        <v>0.40606361007848</v>
      </c>
      <c r="AA299" s="23">
        <f>IF(AND(ISNUMBER(AA298),ISNUMBER(V298)),IFERROR(AA298/V298-1,""),"")</f>
        <v>0.0255837111742023</v>
      </c>
      <c r="AB299" s="23">
        <f>IF(AND(ISNUMBER(AB298),ISNUMBER(W298)),IFERROR(AB298/W298-1,""),"")</f>
        <v>-0.137706982888391</v>
      </c>
      <c r="AC299" s="23">
        <f>IF(AND(ISNUMBER(AC298),ISNUMBER(X298)),IFERROR(AC298/X298-1,""),"")</f>
        <v>-0.0262146102761271</v>
      </c>
      <c r="AD299" s="23">
        <f>IF(AND(ISNUMBER(AD298),ISNUMBER(Y298)),IFERROR(AD298/Y298-1,""),"")</f>
        <v>3.14855259757043</v>
      </c>
      <c r="AE299" s="23">
        <f>IF(AND(ISNUMBER(AE298),ISNUMBER(Z298)),IFERROR(AE298/Z298-1,""),"")</f>
        <v>-0.302566332166106</v>
      </c>
      <c r="AF299" s="23">
        <f>IF(AND(ISNUMBER(AF298),ISNUMBER(AA298)),IFERROR(AF298/AA298-1,""),"")</f>
        <v>-0.144322442697627</v>
      </c>
      <c r="AG299" s="23">
        <f>IF(AND(ISNUMBER(AG298),ISNUMBER(AB298)),IFERROR(AG298/AB298-1,""),"")</f>
        <v>0.189839143523879</v>
      </c>
      <c r="AH299" s="23">
        <f>IF(AND(ISNUMBER(AH298),ISNUMBER(AC298)),IFERROR(AH298/AC298-1,""),"")</f>
        <v>0.0775581202716882</v>
      </c>
      <c r="AI299" s="23">
        <f>IF(AND(ISNUMBER(AI298),ISNUMBER(AD298)),IFERROR(AI298/AD298-1,""),"")</f>
        <v>-0.546438639938944</v>
      </c>
      <c r="AJ299" s="23">
        <f>IF(AND(ISNUMBER(AJ298),ISNUMBER(AE298)),IFERROR(AJ298/AE298-1,""),"")</f>
        <v>0.0623725843681029</v>
      </c>
      <c r="AK299" s="23">
        <f>IF(AND(ISNUMBER(AK298),ISNUMBER(AF298)),IFERROR(AK298/AF298-1,""),"")</f>
        <v>0.0726348700491315</v>
      </c>
      <c r="AL299" s="23">
        <f>IF(AND(ISNUMBER(AL298),ISNUMBER(AG298)),IFERROR(AL298/AG298-1,""),"")</f>
        <v>0.150926729945803</v>
      </c>
      <c r="AM299" s="23">
        <f>IF(AND(ISNUMBER(AM298),ISNUMBER(AH298)),IFERROR(AM298/AH298-1,""),"")</f>
        <v>-0.0559429552434396</v>
      </c>
      <c r="AN299" s="23">
        <f>IF(AND(ISNUMBER(AN298),ISNUMBER(AI298)),IFERROR(AN298/AI298-1,""),"")</f>
        <v>-0.669402472527473</v>
      </c>
      <c r="AO299" s="23">
        <f>IF(AND(ISNUMBER(AO298),ISNUMBER(AJ298)),IFERROR(AO298/AJ298-1,""),"")</f>
        <v>0.678613908492586</v>
      </c>
      <c r="AP299" s="23">
        <f>IF(AND(ISNUMBER(AP298),ISNUMBER(AK298)),IFERROR(AP298/AK298-1,""),"")</f>
        <v>0.256448635995318</v>
      </c>
      <c r="AQ299" s="23">
        <f>IF(AND(ISNUMBER(AQ298),ISNUMBER(AL298)),IFERROR(AQ298/AL298-1,""),"")</f>
        <v>0.384780487804878</v>
      </c>
      <c r="AR299" s="23">
        <f>IF(AND(ISNUMBER(AR298),ISNUMBER(AM298)),IFERROR(AR298/AM298-1,""),"")</f>
        <v>0.293378207563996</v>
      </c>
      <c r="AS299" s="23">
        <f>IF(AND(ISNUMBER(AS298),ISNUMBER(AN298)),IFERROR(AS298/AN298-1,""),"")</f>
        <v>0.0537031266230397</v>
      </c>
      <c r="AT299" s="23">
        <f>IF(AND(ISNUMBER(AT298),ISNUMBER(AO298)),IFERROR(AT298/AO298-1,""),"")</f>
        <v>-0.141593840049128</v>
      </c>
      <c r="AU299" s="23">
        <f>IF(AND(ISNUMBER(AU298),ISNUMBER(AP298)),IFERROR(AU298/AP298-1,""),"")</f>
        <v>-0.306333581147049</v>
      </c>
      <c r="AV299" s="23">
        <f>IF(AND(ISNUMBER(AV298),ISNUMBER(AQ298)),IFERROR(AV298/AQ298-1,""),"")</f>
        <v>0.0682072237095484</v>
      </c>
      <c r="AW299" s="23">
        <f>IF(AND(ISNUMBER(AW298),ISNUMBER(AR298)),IFERROR(AW298/AR298-1,""),"")</f>
        <v>-0.1241388614084</v>
      </c>
      <c r="AX299" s="23">
        <f>IF(AND(ISNUMBER(AX298),ISNUMBER(AS298)),IFERROR(AX298/AS298-1,""),"")</f>
        <v>2.48245268138801</v>
      </c>
      <c r="AY299" s="23">
        <f>IF(AND(ISNUMBER(AY298),ISNUMBER(AT298)),IFERROR(AY298/AT298-1,""),"")</f>
        <v>-0.09595192498184</v>
      </c>
      <c r="AZ299" s="23">
        <f>IF(AND(ISNUMBER(AZ298),ISNUMBER(AU298)),IFERROR(AZ298/AU298-1,""),"")</f>
        <v>0.177885670751391</v>
      </c>
      <c r="BA299" s="23">
        <f>IF(AND(ISNUMBER(BA298),ISNUMBER(AV298)),IFERROR(BA298/AV298-1,""),"")</f>
        <v>-0.174724752893172</v>
      </c>
      <c r="BB299" s="23">
        <f>IF(AND(ISNUMBER(BB298),ISNUMBER(AW298)),IFERROR(BB298/AW298-1,""),"")</f>
        <v>0.0354975510078346</v>
      </c>
      <c r="BC299" s="23">
        <f>IF(AND(ISNUMBER(BC298),ISNUMBER(AX298)),IFERROR(BC298/AX298-1,""),"")</f>
        <v>-0.308781067768782</v>
      </c>
      <c r="BD299" s="23">
        <f>IF(AND(ISNUMBER(BD298),ISNUMBER(AY298)),IFERROR(BD298/AY298-1,""),"")</f>
        <v>0.00171658144631137</v>
      </c>
      <c r="BE299" s="23">
        <f>IF(AND(ISNUMBER(BE298),ISNUMBER(AZ298)),IFERROR(BE298/AZ298-1,""),"")</f>
        <v>0.234216555761409</v>
      </c>
      <c r="BF299" s="23">
        <f>IF(AND(ISNUMBER(BF298),ISNUMBER(BA298)),IFERROR(BF298/BA298-1,""),"")</f>
        <v>-0.0173367289311327</v>
      </c>
      <c r="BG299" s="23">
        <f>IF(AND(ISNUMBER(BG298),ISNUMBER(BB298)),IFERROR(BG298/BB298-1,""),"")</f>
        <v>0.0296530614943216</v>
      </c>
      <c r="BH299" s="23">
        <f>IF(AND(ISNUMBER(BH298),ISNUMBER(BC298)),IFERROR(BH298/BC298-1,""),"")</f>
        <v>3.30600376771234</v>
      </c>
      <c r="BI299" s="23">
        <f>IF(AND(ISNUMBER(BI298),ISNUMBER(BD298)),IFERROR(BI298/BD298-1,""),"")</f>
        <v>1.15213718841531</v>
      </c>
      <c r="BJ299" s="23">
        <f>IF(AND(ISNUMBER(BJ298),ISNUMBER(BE298)),IFERROR(BJ298/BE298-1,""),"")</f>
        <v>0.751554394940667</v>
      </c>
      <c r="BK299" s="23">
        <f>IF(AND(ISNUMBER(BK298),ISNUMBER(BF298)),IFERROR(BK298/BF298-1,""),"")</f>
        <v>0.0532856213402735</v>
      </c>
      <c r="BL299" s="23">
        <f>IF(AND(ISNUMBER(BL298),ISNUMBER(BG298)),IFERROR(BL298/BG298-1,""),"")</f>
        <v>0.850881050904807</v>
      </c>
      <c r="BM299" s="23">
        <f>IF(AND(ISNUMBER(BM298),ISNUMBER(BH298)),IFERROR(BM298/BH298-1,""),"")</f>
        <v>0.0180133911587919</v>
      </c>
      <c r="BN299" s="23">
        <f>IF(AND(ISNUMBER(BN298),ISNUMBER(BI298)),IFERROR(BN298/BI298-1,""),"")</f>
        <v>-0.166772080415631</v>
      </c>
      <c r="BO299" s="23">
        <f>IF(AND(ISNUMBER(BO298),ISNUMBER(BJ298)),IFERROR(BO298/BJ298-1,""),"")</f>
        <v>-0.170986374032059</v>
      </c>
      <c r="BP299" s="23">
        <f>IF(AND(ISNUMBER(BP298),ISNUMBER(BK298)),IFERROR(BP298/BK298-1,""),"")</f>
        <v>-0.337935223505673</v>
      </c>
      <c r="BQ299" s="23">
        <f>IF(AND(ISNUMBER(BQ298),ISNUMBER(BL298)),IFERROR(BQ298/BL298-1,""),"")</f>
        <v>-0.163351284786361</v>
      </c>
      <c r="BR299" s="23">
        <f>IF(AND(ISNUMBER(BR298),ISNUMBER(BM298)),IFERROR(BR298/BM298-1,""),"")</f>
        <v>0.483062090098843</v>
      </c>
      <c r="BS299" s="23">
        <f>IF(AND(ISNUMBER(BS298),ISNUMBER(BN298)),IFERROR(BS298/BN298-1,""),"")</f>
        <v>-0.197650933933364</v>
      </c>
      <c r="BT299" s="23">
        <f>IF(AND(ISNUMBER(BT298),ISNUMBER(BO298)),IFERROR(BT298/BO298-1,""),"")</f>
        <v>0.254295658769628</v>
      </c>
      <c r="BU299" s="23">
        <f>IF(AND(ISNUMBER(BU298),ISNUMBER(BP298)),IFERROR(BU298/BP298-1,""),"")</f>
        <v>-0.191108554012657</v>
      </c>
      <c r="BV299" s="23">
        <f>IF(AND(ISNUMBER(BV298),ISNUMBER(BQ298)),IFERROR(BV298/BQ298-1,""),"")</f>
        <v>0.107437382611832</v>
      </c>
      <c r="BW299" s="23">
        <f>IF(AND(ISNUMBER(BW298),ISNUMBER(BR298)),IFERROR(BW298/BR298-1,""),"")</f>
        <v>-0.603090510507484</v>
      </c>
      <c r="BX299" s="23">
        <f>IF(AND(ISNUMBER(BX298),ISNUMBER(BS298)),IFERROR(BX298/BS298-1,""),"")</f>
        <v>0.877999746589517</v>
      </c>
      <c r="BY299" s="254" t="n"/>
      <c r="BZ299" s="254" t="n"/>
      <c r="CA299" s="254">
        <f>IFERROR(CA298/BV298-1,"")</f>
        <v>-0.0373766136153454</v>
      </c>
      <c r="CB299" s="254">
        <f>IFERROR(CB298/CA298-1,"")</f>
        <v>0.236056556365173</v>
      </c>
      <c r="CC299" s="254">
        <f>IFERROR(CC298/CB298-1,"")</f>
        <v>0.0942380700086749</v>
      </c>
      <c r="CD299" s="254">
        <f>IFERROR(CD298/CC298-1,"")</f>
        <v>0.106536100987903</v>
      </c>
      <c r="CE299" s="254">
        <f>IFERROR(CE298/CD298-1,"")</f>
        <v>0.100691053325108</v>
      </c>
      <c r="CF299" s="19" t="n"/>
    </row>
    <row r="300">
      <c r="B300" s="25" t="inlineStr">
        <is>
          <t xml:space="preserve">  FCF % of net sales</t>
        </is>
      </c>
      <c r="C300" s="36">
        <f>IFERROR(C298/C154,"")</f>
        <v>0.0216429207141282</v>
      </c>
      <c r="D300" s="36">
        <f>IFERROR(D298/D154,"")</f>
        <v>0.0825150474573655</v>
      </c>
      <c r="E300" s="36">
        <f>IFERROR(E298/E154,"")</f>
        <v>0.0746321997506385</v>
      </c>
      <c r="F300" s="36">
        <f>IFERROR(F298/F154,"")</f>
        <v>0.122680182850137</v>
      </c>
      <c r="G300" s="36">
        <f>IFERROR(G298/G154,"")</f>
        <v>0.0465724587135755</v>
      </c>
      <c r="H300" s="36">
        <f>IFERROR(H298/H154,"")</f>
        <v>0.0473927757236764</v>
      </c>
      <c r="I300" s="36">
        <f>IFERROR(I298/I154,"")</f>
        <v>0.0962964105213245</v>
      </c>
      <c r="J300" s="36">
        <f>IFERROR(J298/J154,"")</f>
        <v>-0.0491056580194358</v>
      </c>
      <c r="K300" s="36">
        <f>IFERROR(K298/K154,"")</f>
        <v>0.125494891618736</v>
      </c>
      <c r="L300" s="36">
        <f>IFERROR(L298/L154,"")</f>
        <v>0.182687624209575</v>
      </c>
      <c r="M300" s="36">
        <f>IFERROR(M298/M154,"")</f>
        <v>0.112590953159735</v>
      </c>
      <c r="N300" s="36">
        <f>IFERROR(N298/N154,"")</f>
        <v>0.0921518815173569</v>
      </c>
      <c r="O300" s="36">
        <f>IFERROR(O298/O154,"")</f>
        <v>-0.0012772566570617</v>
      </c>
      <c r="P300" s="36">
        <f>IFERROR(P298/P154,"")</f>
        <v>0.10916899898563</v>
      </c>
      <c r="Q300" s="36">
        <f>IFERROR(Q298/Q154,"")</f>
        <v>0.187160246836654</v>
      </c>
      <c r="R300" s="36">
        <f>IFERROR(R298/R154,"")</f>
        <v>0.169732174970831</v>
      </c>
      <c r="S300" s="36">
        <f>IFERROR(S298/S154,"")</f>
        <v>0.116841145918494</v>
      </c>
      <c r="T300" s="36">
        <f>IFERROR(T298/T154,"")</f>
        <v>0.0612980696154431</v>
      </c>
      <c r="U300" s="36">
        <f>IFERROR(U298/U154,"")</f>
        <v>0.0910506363390198</v>
      </c>
      <c r="V300" s="36">
        <f>IFERROR(V298/V154,"")</f>
        <v>0.146312731917057</v>
      </c>
      <c r="W300" s="36">
        <f>IFERROR(W298/W154,"")</f>
        <v>0.114619224099228</v>
      </c>
      <c r="X300" s="36">
        <f>IFERROR(X298/X154,"")</f>
        <v>0.102670527657839</v>
      </c>
      <c r="Y300" s="36">
        <f>IFERROR(Y298/Y154,"")</f>
        <v>0.0281012924851377</v>
      </c>
      <c r="Z300" s="36">
        <f>IFERROR(Z298/Z154,"")</f>
        <v>0.143651948455314</v>
      </c>
      <c r="AA300" s="36">
        <f>IFERROR(AA298/AA154,"")</f>
        <v>0.170548193768652</v>
      </c>
      <c r="AB300" s="36">
        <f>IFERROR(AB298/AB154,"")</f>
        <v>0.099564051448314</v>
      </c>
      <c r="AC300" s="36">
        <f>IFERROR(AC298/AC154,"")</f>
        <v>0.11145891127022</v>
      </c>
      <c r="AD300" s="36">
        <f>IFERROR(AD298/AD154,"")</f>
        <v>0.110523896663264</v>
      </c>
      <c r="AE300" s="36">
        <f>IFERROR(AE298/AE154,"")</f>
        <v>0.0946833254102205</v>
      </c>
      <c r="AF300" s="36">
        <f>IFERROR(AF298/AF154,"")</f>
        <v>0.123734299639577</v>
      </c>
      <c r="AG300" s="36">
        <f>IFERROR(AG298/AG154,"")</f>
        <v>0.0893941928705742</v>
      </c>
      <c r="AH300" s="36">
        <f>IFERROR(AH298/AH154,"")</f>
        <v>0.104094563735911</v>
      </c>
      <c r="AI300" s="36">
        <f>IFERROR(AI298/AI154,"")</f>
        <v>0.03843230002534</v>
      </c>
      <c r="AJ300" s="36">
        <f>IFERROR(AJ298/AJ154,"")</f>
        <v>0.0798112023006081</v>
      </c>
      <c r="AK300" s="36">
        <f>IFERROR(AK298/AK154,"")</f>
        <v>0.120548257425393</v>
      </c>
      <c r="AL300" s="36">
        <f>IFERROR(AL298/AL154,"")</f>
        <v>0.103350644706363</v>
      </c>
      <c r="AM300" s="36">
        <f>IFERROR(AM298/AM154,"")</f>
        <v>0.0851547574945339</v>
      </c>
      <c r="AN300" s="36">
        <f>IFERROR(AN298/AN154,"")</f>
        <v>0.0126808873855006</v>
      </c>
      <c r="AO300" s="36">
        <f>IFERROR(AO298/AO154,"")</f>
        <v>0.136221248687272</v>
      </c>
      <c r="AP300" s="36">
        <f>IFERROR(AP298/AP154,"")</f>
        <v>0.152771753037495</v>
      </c>
      <c r="AQ300" s="36">
        <f>IFERROR(AQ298/AQ154,"")</f>
        <v>0.144579638656158</v>
      </c>
      <c r="AR300" s="36">
        <f>IFERROR(AR298/AR154,"")</f>
        <v>0.111068860895716</v>
      </c>
      <c r="AS300" s="36">
        <f>IFERROR(AS298/AS154,"")</f>
        <v>0.0144503277107541</v>
      </c>
      <c r="AT300" s="36">
        <f>IFERROR(AT298/AT154,"")</f>
        <v>0.153807088553596</v>
      </c>
      <c r="AU300" s="36">
        <f>IFERROR(AU298/AU154,"")</f>
        <v>0.115778725287343</v>
      </c>
      <c r="AV300" s="36">
        <f>IFERROR(AV298/AV154,"")</f>
        <v>0.163904559566673</v>
      </c>
      <c r="AW300" s="36">
        <f>IFERROR(AW298/AW154,"")</f>
        <v>0.110025231603525</v>
      </c>
      <c r="AX300" s="36">
        <f>IFERROR(AX298/AX154,"")</f>
        <v>0.0466644914738165</v>
      </c>
      <c r="AY300" s="36">
        <f>IFERROR(AY298/AY154,"")</f>
        <v>0.0993884717116742</v>
      </c>
      <c r="AZ300" s="36">
        <f>IFERROR(AZ298/AZ154,"")</f>
        <v>0.113111225190773</v>
      </c>
      <c r="BA300" s="36">
        <f>IFERROR(BA298/BA154,"")</f>
        <v>0.111160069694913</v>
      </c>
      <c r="BB300" s="36">
        <f>IFERROR(BB298/BB154,"")</f>
        <v>0.0935421034079736</v>
      </c>
      <c r="BC300" s="36">
        <f>IFERROR(BC298/BC154,"")</f>
        <v>0.026385058912008</v>
      </c>
      <c r="BD300" s="36">
        <f>IFERROR(BD298/BD154,"")</f>
        <v>0.0848617300732578</v>
      </c>
      <c r="BE300" s="36">
        <f>IFERROR(BE298/BE154,"")</f>
        <v>0.120379795560498</v>
      </c>
      <c r="BF300" s="36">
        <f>IFERROR(BF298/BF154,"")</f>
        <v>0.0990618024478642</v>
      </c>
      <c r="BG300" s="36">
        <f>IFERROR(BG298/BG154,"")</f>
        <v>0.0828198683881335</v>
      </c>
      <c r="BH300" s="36">
        <f>IFERROR(BH298/BH154,"")</f>
        <v>0.101163908353643</v>
      </c>
      <c r="BI300" s="36">
        <f>IFERROR(BI298/BI154,"")</f>
        <v>0.166967606888781</v>
      </c>
      <c r="BJ300" s="36">
        <f>IFERROR(BJ298/BJ154,"")</f>
        <v>0.190857847454642</v>
      </c>
      <c r="BK300" s="36">
        <f>IFERROR(BK298/BK154,"")</f>
        <v>0.091764492486637</v>
      </c>
      <c r="BL300" s="36">
        <f>IFERROR(BL298/BL154,"")</f>
        <v>0.137548918846961</v>
      </c>
      <c r="BM300" s="36">
        <f>IFERROR(BM298/BM154,"")</f>
        <v>0.109089204308615</v>
      </c>
      <c r="BN300" s="36">
        <f>IFERROR(BN298/BN154,"")</f>
        <v>0.144416614546782</v>
      </c>
      <c r="BO300" s="36">
        <f>IFERROR(BO298/BO154,"")</f>
        <v>0.166177895195876</v>
      </c>
      <c r="BP300" s="36">
        <f>IFERROR(BP298/BP154,"")</f>
        <v>0.0629227489185749</v>
      </c>
      <c r="BQ300" s="36">
        <f>IFERROR(BQ298/BQ154,"")</f>
        <v>0.120332678918444</v>
      </c>
      <c r="BR300" s="36">
        <f>IFERROR(BR298/BR154,"")</f>
        <v>0.158050474517816</v>
      </c>
      <c r="BS300" s="36">
        <f>IFERROR(BS298/BS154,"")</f>
        <v>0.108742478228081</v>
      </c>
      <c r="BT300" s="36">
        <f>IFERROR(BT298/BT154,"")</f>
        <v>0.193220677574167</v>
      </c>
      <c r="BU300" s="36">
        <f>IFERROR(BU298/BU154,"")</f>
        <v>0.0482231173201448</v>
      </c>
      <c r="BV300" s="36">
        <f>IFERROR(BV298/BV154,"")</f>
        <v>0.126198587622074</v>
      </c>
      <c r="BW300" s="36">
        <f>IFERROR(BW298/BW154,"")</f>
        <v>0.0561843140122379</v>
      </c>
      <c r="BX300" s="36">
        <f>IFERROR(BX298/BX154,"")</f>
        <v>0.182285598562882</v>
      </c>
      <c r="BY300" s="254" t="n"/>
      <c r="BZ300" s="254" t="n"/>
      <c r="CA300" s="254">
        <f>IFERROR(CA298/CA154,"")</f>
        <v>0.108952207868808</v>
      </c>
      <c r="CB300" s="254">
        <f>IFERROR(CB298/CB154,"")</f>
        <v>0.1263822420006</v>
      </c>
      <c r="CC300" s="254">
        <f>IFERROR(CC298/CC154,"")</f>
        <v>0.128680039575079</v>
      </c>
      <c r="CD300" s="254">
        <f>IFERROR(CD298/CD154,"")</f>
        <v>0.132803410860227</v>
      </c>
      <c r="CE300" s="254">
        <f>IFERROR(CE298/CE154,"")</f>
        <v>0.13655842557005</v>
      </c>
      <c r="CF300" s="19" t="n"/>
      <c r="CH300" s="20">
        <f>IFERROR(AVERAGE(CA300,CB300,CC300,CD300,CE300),"n/m")</f>
        <v>0.126675265174953</v>
      </c>
      <c r="CI300" s="20">
        <f>IFERROR(AVERAGE(AW300,BB300,BG300,BL300,BQ300,BV300),"n/m")</f>
        <v>0.111744564797852</v>
      </c>
      <c r="CJ300" s="20">
        <f>IFERROR(AVERAGE(X300,AC300,AH300,AM300,AR300,AW300,BB300,BG300,BL300,BQ300,BV300),"n/m")</f>
        <v>0.107719546349212</v>
      </c>
      <c r="CK300" s="20">
        <f>IFERROR(AVERAGE(C300,D300,E300,F300,G300,H300,I300,N300,S300,X300,AC300,AH300,AM300,AR300,AW300,BB300,BG300,BL300,BQ300,BV300),"n/m")</f>
        <v>0.0942820016504014</v>
      </c>
    </row>
    <row r="301">
      <c r="B301" s="25" t="inlineStr">
        <is>
          <t xml:space="preserve">  Cash conversion — FCF / adjusted net income % (company definition)</t>
        </is>
      </c>
      <c r="C301" s="36">
        <f>IFERROR(C298/C240,"")</f>
        <v>0.249168038673065</v>
      </c>
      <c r="D301" s="36">
        <f>IFERROR(D298/D240,"")</f>
        <v>0.92878610662837</v>
      </c>
      <c r="E301" s="36">
        <f>IFERROR(E298/E240,"")</f>
        <v>0.802358206236801</v>
      </c>
      <c r="F301" s="36">
        <f>IFERROR(F298/F240,"")</f>
        <v>2.90225450764727</v>
      </c>
      <c r="G301" s="36">
        <f>IFERROR(G298/G240,"")</f>
        <v>0.743927469135803</v>
      </c>
      <c r="H301" s="36">
        <f>IFERROR(H298/H240,"")</f>
        <v>0.600741371443087</v>
      </c>
      <c r="I301" s="36">
        <f>IFERROR(I298/I240,"")</f>
        <v>1.03390289698561</v>
      </c>
      <c r="J301" s="36">
        <f>IFERROR(J298/J240,"")</f>
        <v>-0.457433982810252</v>
      </c>
      <c r="K301" s="36">
        <f>IFERROR(K298/K240,"")</f>
        <v>1.20556501987507</v>
      </c>
      <c r="L301" s="36">
        <f>IFERROR(L298/L240,"")</f>
        <v>1.77721066914132</v>
      </c>
      <c r="M301" s="36">
        <f>IFERROR(M298/M240,"")</f>
        <v>0.902180371055434</v>
      </c>
      <c r="N301" s="36">
        <f>IFERROR(N298/N240,"")</f>
        <v>0.839364854336693</v>
      </c>
      <c r="O301" s="36">
        <f>IFERROR(O298/O240,"")</f>
        <v>-0.0118066144027202</v>
      </c>
      <c r="P301" s="36">
        <f>IFERROR(P298/P240,"")</f>
        <v>0.975888978870648</v>
      </c>
      <c r="Q301" s="36">
        <f>IFERROR(Q298/Q240,"")</f>
        <v>1.78763010408327</v>
      </c>
      <c r="R301" s="36">
        <f>IFERROR(R298/R240,"")</f>
        <v>1.5400708420117</v>
      </c>
      <c r="S301" s="36">
        <f>IFERROR(S298/S240,"")</f>
        <v>1.07447503987866</v>
      </c>
      <c r="T301" s="36">
        <f>IFERROR(T298/T240,"")</f>
        <v>0.589987418439301</v>
      </c>
      <c r="U301" s="36">
        <f>IFERROR(U298/U240,"")</f>
        <v>0.842990055433299</v>
      </c>
      <c r="V301" s="36">
        <f>IFERROR(V298/V240,"")</f>
        <v>1.42564149034177</v>
      </c>
      <c r="W301" s="36">
        <f>IFERROR(W298/W240,"")</f>
        <v>1.20964715063453</v>
      </c>
      <c r="X301" s="36">
        <f>IFERROR(X298/X240,"")</f>
        <v>1.00064185345755</v>
      </c>
      <c r="Y301" s="36">
        <f>IFERROR(Y298/Y240,"")</f>
        <v>0.28852679070808</v>
      </c>
      <c r="Z301" s="36">
        <f>IFERROR(Z298/Z240,"")</f>
        <v>1.48333681935439</v>
      </c>
      <c r="AA301" s="36">
        <f>IFERROR(AA298/AA240,"")</f>
        <v>1.61220003663675</v>
      </c>
      <c r="AB301" s="36">
        <f>IFERROR(AB298/AB240,"")</f>
        <v>1.05135312295159</v>
      </c>
      <c r="AC301" s="36">
        <f>IFERROR(AC298/AC240,"")</f>
        <v>1.12952319851729</v>
      </c>
      <c r="AD301" s="36">
        <f>IFERROR(AD298/AD240,"")</f>
        <v>1.09602581173819</v>
      </c>
      <c r="AE301" s="36">
        <f>IFERROR(AE298/AE240,"")</f>
        <v>0.915291613977732</v>
      </c>
      <c r="AF301" s="36">
        <f>IFERROR(AF298/AF240,"")</f>
        <v>1.34097936058276</v>
      </c>
      <c r="AG301" s="36">
        <f>IFERROR(AG298/AG240,"")</f>
        <v>0.989394163827582</v>
      </c>
      <c r="AH301" s="36">
        <f>IFERROR(AH298/AH240,"")</f>
        <v>1.08104183072229</v>
      </c>
      <c r="AI301" s="36">
        <f>IFERROR(AI298/AI240,"")</f>
        <v>0.397363645047282</v>
      </c>
      <c r="AJ301" s="36">
        <f>IFERROR(AJ298/AJ240,"")</f>
        <v>0.784168635741823</v>
      </c>
      <c r="AK301" s="36">
        <f>IFERROR(AK298/AK240,"")</f>
        <v>1.11895227301347</v>
      </c>
      <c r="AL301" s="36">
        <f>IFERROR(AL298/AL240,"")</f>
        <v>0.920261923003257</v>
      </c>
      <c r="AM301" s="36">
        <f>IFERROR(AM298/AM240,"")</f>
        <v>0.814511162554202</v>
      </c>
      <c r="AN301" s="36">
        <f>IFERROR(AN298/AN240,"")</f>
        <v>0.128373693193941</v>
      </c>
      <c r="AO301" s="36">
        <f>IFERROR(AO298/AO240,"")</f>
        <v>1.30887753966389</v>
      </c>
      <c r="AP301" s="36">
        <f>IFERROR(AP298/AP240,"")</f>
        <v>1.64886499579081</v>
      </c>
      <c r="AQ301" s="36">
        <f>IFERROR(AQ298/AQ240,"")</f>
        <v>1.4993661971831</v>
      </c>
      <c r="AR301" s="36">
        <f>IFERROR(AR298/AR240,"")</f>
        <v>1.13240406289889</v>
      </c>
      <c r="AS301" s="36">
        <f>IFERROR(AS298/AS240,"")</f>
        <v>0.166532595669233</v>
      </c>
      <c r="AT301" s="36">
        <f>IFERROR(AT298/AT240,"")</f>
        <v>1.89319053175529</v>
      </c>
      <c r="AU301" s="36">
        <f>IFERROR(AU298/AU240,"")</f>
        <v>1.17314771332919</v>
      </c>
      <c r="AV301" s="36">
        <f>IFERROR(AV298/AV240,"")</f>
        <v>1.51629420235746</v>
      </c>
      <c r="AW301" s="36">
        <f>IFERROR(AW298/AW240,"")</f>
        <v>1.16904615187625</v>
      </c>
      <c r="AX301" s="36">
        <f>IFERROR(AX298/AX240,"")</f>
        <v>0.42675590132644</v>
      </c>
      <c r="AY301" s="36">
        <f>IFERROR(AY298/AY240,"")</f>
        <v>0.816476645825672</v>
      </c>
      <c r="AZ301" s="36">
        <f>IFERROR(AZ298/AZ240,"")</f>
        <v>0.973002666666668</v>
      </c>
      <c r="BA301" s="36">
        <f>IFERROR(BA298/BA240,"")</f>
        <v>0.975510119227052</v>
      </c>
      <c r="BB301" s="36">
        <f>IFERROR(BB298/BB240,"")</f>
        <v>0.810352124371206</v>
      </c>
      <c r="BC301" s="36">
        <f>IFERROR(BC298/BC240,"")</f>
        <v>0.195840651893201</v>
      </c>
      <c r="BD301" s="36">
        <f>IFERROR(BD298/BD240,"")</f>
        <v>0.641887569625388</v>
      </c>
      <c r="BE301" s="36">
        <f>IFERROR(BE298/BE240,"")</f>
        <v>0.9415503499954</v>
      </c>
      <c r="BF301" s="36">
        <f>IFERROR(BF298/BF240,"")</f>
        <v>0.814563569876518</v>
      </c>
      <c r="BG301" s="36">
        <f>IFERROR(BG298/BG240,"")</f>
        <v>0.641406674683315</v>
      </c>
      <c r="BH301" s="36">
        <f>IFERROR(BH298/BH240,"")</f>
        <v>0.846570048309178</v>
      </c>
      <c r="BI301" s="36">
        <f>IFERROR(BI298/BI240,"")</f>
        <v>1.2450081556893</v>
      </c>
      <c r="BJ301" s="36">
        <f>IFERROR(BJ298/BJ240,"")</f>
        <v>1.41371004165203</v>
      </c>
      <c r="BK301" s="36">
        <f>IFERROR(BK298/BK240,"")</f>
        <v>0.684032619258885</v>
      </c>
      <c r="BL301" s="36">
        <f>IFERROR(BL298/BL240,"")</f>
        <v>1.0522574381025</v>
      </c>
      <c r="BM301" s="36">
        <f>IFERROR(BM298/BM240,"")</f>
        <v>0.831970526053974</v>
      </c>
      <c r="BN301" s="36">
        <f>IFERROR(BN298/BN240,"")</f>
        <v>1.09897214360197</v>
      </c>
      <c r="BO301" s="36">
        <f>IFERROR(BO298/BO240,"")</f>
        <v>1.33596201621339</v>
      </c>
      <c r="BP301" s="36">
        <f>IFERROR(BP298/BP240,"")</f>
        <v>0.440529931977449</v>
      </c>
      <c r="BQ301" s="36">
        <f>IFERROR(BQ298/BQ240,"")</f>
        <v>0.907972480777013</v>
      </c>
      <c r="BR301" s="36">
        <f>IFERROR(BR298/BR240,"")</f>
        <v>1.30271796218487</v>
      </c>
      <c r="BS301" s="36">
        <f>IFERROR(BS298/BS240,"")</f>
        <v>0.813016784330962</v>
      </c>
      <c r="BT301" s="36">
        <f>IFERROR(BT298/BT240,"")</f>
        <v>1.49434476526403</v>
      </c>
      <c r="BU301" s="36">
        <f>IFERROR(BU298/BU240,"")</f>
        <v>0.354727402911794</v>
      </c>
      <c r="BV301" s="36">
        <f>IFERROR(BV298/BV240,"")</f>
        <v>0.968926107909768</v>
      </c>
      <c r="BW301" s="36">
        <f>IFERROR(BW298/BW240,"")</f>
        <v>0.455062184922504</v>
      </c>
      <c r="BX301" s="36">
        <f>IFERROR(BX298/BX240,"")</f>
        <v>1.37902865649423</v>
      </c>
      <c r="BY301" s="254" t="n"/>
      <c r="BZ301" s="254" t="n"/>
      <c r="CA301" s="254">
        <f>IFERROR(CA298/CA240,"")</f>
        <v>0.833716221620833</v>
      </c>
      <c r="CB301" s="254">
        <f>IFERROR(CB298/CB240,"")</f>
        <v>0.928546305399008</v>
      </c>
      <c r="CC301" s="254">
        <f>IFERROR(CC298/CC240,"")</f>
        <v>0.923683680723466</v>
      </c>
      <c r="CD301" s="254">
        <f>IFERROR(CD298/CD240,"")</f>
        <v>0.93406747669888</v>
      </c>
      <c r="CE301" s="254">
        <f>IFERROR(CE298/CE240,"")</f>
        <v>0.942924424110331</v>
      </c>
      <c r="CF301" s="19" t="n"/>
      <c r="CH301" s="20">
        <f>IFERROR(AVERAGE(CA301,CB301,CC301,CD301,CE301),"n/m")</f>
        <v>0.912587621710504</v>
      </c>
      <c r="CI301" s="20">
        <f>IFERROR(AVERAGE(AW301,BB301,BG301,BL301,BQ301,BV301),"n/m")</f>
        <v>0.924993496286675</v>
      </c>
      <c r="CJ301" s="20">
        <f>IFERROR(AVERAGE(X301,AC301,AH301,AM301,AR301,AW301,BB301,BG301,BL301,BQ301,BV301),"n/m")</f>
        <v>0.97346209871548</v>
      </c>
      <c r="CK301" s="20">
        <f>IFERROR(AVERAGE(C301,D301,E301,F301,G301,H301,I301,N301,S301,X301,AC301,AH301,AM301,AR301,AW301,BB301,BG301,BL301,BQ301,BV301),"n/m")</f>
        <v>0.994153078841782</v>
      </c>
    </row>
    <row r="302" outlineLevel="2" s="251">
      <c r="B302" s="156" t="inlineStr">
        <is>
          <t xml:space="preserve">  Memo: company-published cash conversion %</t>
        </is>
      </c>
      <c r="C302" s="40" t="n"/>
      <c r="D302" s="40" t="n"/>
      <c r="E302" s="40" t="n"/>
      <c r="F302" s="40" t="n"/>
      <c r="G302" s="40" t="n"/>
      <c r="H302" s="40" t="n"/>
      <c r="I302" s="40" t="n"/>
      <c r="J302" s="40" t="n"/>
      <c r="K302" s="40" t="n"/>
      <c r="L302" s="40" t="n"/>
      <c r="M302" s="40" t="n"/>
      <c r="N302" s="40" t="n"/>
      <c r="O302" s="40" t="n"/>
      <c r="P302" s="40" t="n"/>
      <c r="Q302" s="40" t="n"/>
      <c r="R302" s="40" t="n"/>
      <c r="S302" s="40" t="n"/>
      <c r="T302" s="40" t="n"/>
      <c r="U302" s="40" t="n"/>
      <c r="V302" s="40" t="n"/>
      <c r="W302" s="40" t="n"/>
      <c r="X302" s="40" t="n">
        <v>1</v>
      </c>
      <c r="Y302" s="40" t="n"/>
      <c r="Z302" s="40" t="n"/>
      <c r="AA302" s="40" t="n"/>
      <c r="AB302" s="40" t="n"/>
      <c r="AC302" s="40" t="n"/>
      <c r="AD302" s="40" t="n"/>
      <c r="AE302" s="40" t="n"/>
      <c r="AF302" s="40" t="n">
        <v>1.34</v>
      </c>
      <c r="AG302" s="40" t="n"/>
      <c r="AH302" s="40" t="n">
        <v>1.08</v>
      </c>
      <c r="AI302" s="40" t="n"/>
      <c r="AJ302" s="40" t="n"/>
      <c r="AK302" s="40" t="n"/>
      <c r="AL302" s="40" t="n"/>
      <c r="AM302" s="40" t="n"/>
      <c r="AN302" s="40" t="n"/>
      <c r="AO302" s="40" t="n"/>
      <c r="AP302" s="40" t="n">
        <v>1.65</v>
      </c>
      <c r="AQ302" s="40" t="n">
        <v>1.5</v>
      </c>
      <c r="AR302" s="40" t="n"/>
      <c r="AS302" s="40" t="n"/>
      <c r="AT302" s="40" t="n">
        <v>1.89</v>
      </c>
      <c r="AU302" s="40" t="n"/>
      <c r="AV302" s="40" t="n">
        <v>1.52</v>
      </c>
      <c r="AW302" s="40" t="n"/>
      <c r="AX302" s="40" t="n"/>
      <c r="AY302" s="40" t="n"/>
      <c r="AZ302" s="40" t="n"/>
      <c r="BA302" s="40" t="n"/>
      <c r="BB302" s="40" t="n"/>
      <c r="BC302" s="40" t="n"/>
      <c r="BD302" s="40" t="n"/>
      <c r="BE302" s="40" t="n"/>
      <c r="BF302" s="40" t="n"/>
      <c r="BG302" s="40" t="n"/>
      <c r="BH302" s="40" t="n"/>
      <c r="BI302" s="40" t="n"/>
      <c r="BJ302" s="40" t="n">
        <v>1.41</v>
      </c>
      <c r="BK302" s="40" t="n"/>
      <c r="BL302" s="40" t="n">
        <v>1.05</v>
      </c>
      <c r="BM302" s="40" t="n"/>
      <c r="BN302" s="40" t="n"/>
      <c r="BO302" s="40" t="n"/>
      <c r="BP302" s="40" t="n"/>
      <c r="BQ302" s="40" t="n"/>
      <c r="BR302" s="40" t="n"/>
      <c r="BS302" s="40" t="n"/>
      <c r="BT302" s="40" t="n">
        <v>1.49</v>
      </c>
      <c r="BU302" s="40" t="n">
        <v>0.35</v>
      </c>
      <c r="BV302" s="40" t="n">
        <v>0.97</v>
      </c>
      <c r="BW302" s="40" t="n">
        <v>0.46</v>
      </c>
      <c r="BX302" s="40" t="n">
        <v>1.38</v>
      </c>
      <c r="BY302" s="277" t="n"/>
      <c r="BZ302" s="277" t="n"/>
      <c r="CA302" s="277" t="n"/>
      <c r="CB302" s="277" t="n"/>
      <c r="CC302" s="277" t="n"/>
      <c r="CD302" s="277" t="n"/>
      <c r="CE302" s="277" t="n"/>
      <c r="CF302" s="19" t="n"/>
    </row>
    <row r="303">
      <c r="B303" s="25" t="inlineStr">
        <is>
          <t xml:space="preserve">  Memo: FY26 cash conversion target (company ~100%)</t>
        </is>
      </c>
      <c r="C303" s="36" t="n"/>
      <c r="D303" s="36" t="n"/>
      <c r="E303" s="36" t="n"/>
      <c r="F303" s="36" t="n"/>
      <c r="G303" s="36" t="n"/>
      <c r="H303" s="36" t="n"/>
      <c r="I303" s="36" t="n"/>
      <c r="J303" s="36" t="n"/>
      <c r="K303" s="36" t="n"/>
      <c r="L303" s="36" t="n"/>
      <c r="M303" s="36" t="n"/>
      <c r="N303" s="36" t="n"/>
      <c r="O303" s="36" t="n"/>
      <c r="P303" s="36" t="n"/>
      <c r="Q303" s="36" t="n"/>
      <c r="R303" s="36" t="n"/>
      <c r="S303" s="36" t="n"/>
      <c r="T303" s="36" t="n"/>
      <c r="U303" s="36" t="n"/>
      <c r="V303" s="36" t="n"/>
      <c r="W303" s="36" t="n"/>
      <c r="X303" s="36" t="n"/>
      <c r="Y303" s="36" t="n"/>
      <c r="Z303" s="36" t="n"/>
      <c r="AA303" s="36" t="n"/>
      <c r="AB303" s="36" t="n"/>
      <c r="AC303" s="36" t="n"/>
      <c r="AD303" s="36" t="n"/>
      <c r="AE303" s="36" t="n"/>
      <c r="AF303" s="36" t="n"/>
      <c r="AG303" s="36" t="n"/>
      <c r="AH303" s="36" t="n"/>
      <c r="AI303" s="36" t="n"/>
      <c r="AJ303" s="36" t="n"/>
      <c r="AK303" s="36" t="n"/>
      <c r="AL303" s="36" t="n"/>
      <c r="AM303" s="36" t="n"/>
      <c r="AN303" s="36" t="n"/>
      <c r="AO303" s="36" t="n"/>
      <c r="AP303" s="36" t="n"/>
      <c r="AQ303" s="36" t="n"/>
      <c r="AR303" s="36" t="n"/>
      <c r="AS303" s="36" t="n"/>
      <c r="AT303" s="36" t="n"/>
      <c r="AU303" s="36" t="n"/>
      <c r="AV303" s="36" t="n"/>
      <c r="AW303" s="36" t="n"/>
      <c r="AX303" s="36" t="n"/>
      <c r="AY303" s="36" t="n"/>
      <c r="AZ303" s="36" t="n"/>
      <c r="BA303" s="36" t="n"/>
      <c r="BB303" s="36" t="n"/>
      <c r="BC303" s="36" t="n"/>
      <c r="BD303" s="36" t="n"/>
      <c r="BE303" s="36" t="n"/>
      <c r="BF303" s="36" t="n"/>
      <c r="BG303" s="36" t="n"/>
      <c r="BH303" s="36" t="n"/>
      <c r="BI303" s="36" t="n"/>
      <c r="BJ303" s="36" t="n"/>
      <c r="BK303" s="36" t="n"/>
      <c r="BL303" s="36" t="n"/>
      <c r="BM303" s="36" t="n"/>
      <c r="BN303" s="36" t="n"/>
      <c r="BO303" s="36" t="n"/>
      <c r="BP303" s="36" t="n"/>
      <c r="BQ303" s="36" t="n"/>
      <c r="BR303" s="36" t="n"/>
      <c r="BS303" s="36" t="n"/>
      <c r="BT303" s="36" t="n"/>
      <c r="BU303" s="36" t="n"/>
      <c r="BV303" s="36" t="n"/>
      <c r="BW303" s="36" t="n"/>
      <c r="BX303" s="36" t="n"/>
      <c r="BY303" s="254" t="n"/>
      <c r="BZ303" s="254" t="n"/>
      <c r="CA303" s="254">
        <f>CHOOSE(MATCH($CF$2,{"Bull","Base","Bear"},0),$CO$18,$CP$18,$CQ$18)</f>
        <v>1</v>
      </c>
      <c r="CB303" s="254" t="n"/>
      <c r="CC303" s="254" t="n"/>
      <c r="CD303" s="254" t="n"/>
      <c r="CE303" s="254" t="n"/>
      <c r="CF303" s="19" t="inlineStr">
        <is>
          <t>Company targets ~100% cash conversion. Model 2026E sits below it because receivables / inventories are held at FY25 days on ~11% sales growth; lower the inventory-days input to close the gap.</t>
        </is>
      </c>
    </row>
    <row r="304">
      <c r="B304" s="25" t="inlineStr">
        <is>
          <t xml:space="preserve">  FCF per diluted share ($)</t>
        </is>
      </c>
      <c r="C304" s="38">
        <f>IFERROR(C298/C182,"")</f>
        <v>0.495886781929727</v>
      </c>
      <c r="D304" s="38">
        <f>IFERROR(D298/D182,"")</f>
        <v>2.16859098451327</v>
      </c>
      <c r="E304" s="38">
        <f>IFERROR(E298/E182,"")</f>
        <v>2.14873182514981</v>
      </c>
      <c r="F304" s="38">
        <f>IFERROR(F298/F182,"")</f>
        <v>2.48802598864756</v>
      </c>
      <c r="G304" s="38">
        <f>IFERROR(G298/G182,"")</f>
        <v>1.1312893081761</v>
      </c>
      <c r="H304" s="38">
        <f>IFERROR(H298/H182,"")</f>
        <v>1.50759078245266</v>
      </c>
      <c r="I304" s="38">
        <f>IFERROR(I298/I182,"")</f>
        <v>3.26425898425898</v>
      </c>
      <c r="J304" s="38">
        <f>IFERROR(J298/J182,"")</f>
        <v>-0.421144343923806</v>
      </c>
      <c r="K304" s="38">
        <f>IFERROR(K298/K182,"")</f>
        <v>1.09444797448778</v>
      </c>
      <c r="L304" s="38">
        <f>IFERROR(L298/L182,"")</f>
        <v>1.52825032947634</v>
      </c>
      <c r="M304" s="38">
        <f>IFERROR(M298/M182,"")</f>
        <v>0.9792538693663</v>
      </c>
      <c r="N304" s="38">
        <f>IFERROR(N298/N182,"")</f>
        <v>3.16561499000506</v>
      </c>
      <c r="O304" s="38">
        <f>IFERROR(O298/O182,"")</f>
        <v>-0.0107209370711625</v>
      </c>
      <c r="P304" s="38">
        <f>IFERROR(P298/P182,"")</f>
        <v>0.984648335458631</v>
      </c>
      <c r="Q304" s="38">
        <f>IFERROR(Q298/Q182,"")</f>
        <v>1.68033866415804</v>
      </c>
      <c r="R304" s="38">
        <f>IFERROR(R298/R182,"")</f>
        <v>1.48299693408278</v>
      </c>
      <c r="S304" s="38">
        <f>IFERROR(S298/S182,"")</f>
        <v>4.10397522972433</v>
      </c>
      <c r="T304" s="38">
        <f>IFERROR(T298/T182,"")</f>
        <v>0.523339259528413</v>
      </c>
      <c r="U304" s="38">
        <f>IFERROR(U298/U182,"")</f>
        <v>0.798767370963272</v>
      </c>
      <c r="V304" s="38">
        <f>IFERROR(V298/V182,"")</f>
        <v>1.27987634568973</v>
      </c>
      <c r="W304" s="38">
        <f>IFERROR(W298/W182,"")</f>
        <v>0.902677444849628</v>
      </c>
      <c r="X304" s="38">
        <f>IFERROR(X298/X182,"")</f>
        <v>3.47811740187565</v>
      </c>
      <c r="Y304" s="38">
        <f>IFERROR(Y298/Y182,"")</f>
        <v>0.220311476810068</v>
      </c>
      <c r="Z304" s="38">
        <f>IFERROR(Z298/Z182,"")</f>
        <v>1.23533168819858</v>
      </c>
      <c r="AA304" s="38">
        <f>IFERROR(AA298/AA182,"")</f>
        <v>1.44102587002471</v>
      </c>
      <c r="AB304" s="38">
        <f>IFERROR(AB298/AB182,"")</f>
        <v>0.846673604512616</v>
      </c>
      <c r="AC304" s="38">
        <f>IFERROR(AC298/AC182,"")</f>
        <v>3.71978989377311</v>
      </c>
      <c r="AD304" s="38">
        <f>IFERROR(AD298/AD182,"")</f>
        <v>0.964255140200952</v>
      </c>
      <c r="AE304" s="38">
        <f>IFERROR(AE298/AE182,"")</f>
        <v>0.889276778089088</v>
      </c>
      <c r="AF304" s="38">
        <f>IFERROR(AF298/AF182,"")</f>
        <v>1.24192677880723</v>
      </c>
      <c r="AG304" s="38">
        <f>IFERROR(AG298/AG182,"")</f>
        <v>1.00396813467609</v>
      </c>
      <c r="AH304" s="38">
        <f>IFERROR(AH298/AH182,"")</f>
        <v>4.09929024803805</v>
      </c>
      <c r="AI304" s="38">
        <f>IFERROR(AI298/AI182,"")</f>
        <v>0.438270397182547</v>
      </c>
      <c r="AJ304" s="38">
        <f>IFERROR(AJ298/AJ182,"")</f>
        <v>0.953630465358963</v>
      </c>
      <c r="AK304" s="38">
        <f>IFERROR(AK298/AK182,"")</f>
        <v>1.3534393468592</v>
      </c>
      <c r="AL304" s="38">
        <f>IFERROR(AL298/AL182,"")</f>
        <v>1.19077123251599</v>
      </c>
      <c r="AM304" s="38">
        <f>IFERROR(AM298/AM182,"")</f>
        <v>3.92658567035109</v>
      </c>
      <c r="AN304" s="38">
        <f>IFERROR(AN298/AN182,"")</f>
        <v>0.150659634736068</v>
      </c>
      <c r="AO304" s="38">
        <f>IFERROR(AO298/AO182,"")</f>
        <v>1.68087978402414</v>
      </c>
      <c r="AP304" s="38">
        <f>IFERROR(AP298/AP182,"")</f>
        <v>1.79892363964487</v>
      </c>
      <c r="AQ304" s="38">
        <f>IFERROR(AQ298/AQ182,"")</f>
        <v>1.72508507535246</v>
      </c>
      <c r="AR304" s="38">
        <f>IFERROR(AR298/AR182,"")</f>
        <v>5.32366178301254</v>
      </c>
      <c r="AS304" s="38">
        <f>IFERROR(AS298/AS182,"")</f>
        <v>0.166844849421866</v>
      </c>
      <c r="AT304" s="38">
        <f>IFERROR(AT298/AT182,"")</f>
        <v>1.51857732613528</v>
      </c>
      <c r="AU304" s="38">
        <f>IFERROR(AU298/AU182,"")</f>
        <v>1.29032956779633</v>
      </c>
      <c r="AV304" s="38">
        <f>IFERROR(AV298/AV182,"")</f>
        <v>1.88580620553556</v>
      </c>
      <c r="AW304" s="38">
        <f>IFERROR(AW298/AW182,"")</f>
        <v>4.84930620103572</v>
      </c>
      <c r="AX304" s="38">
        <f>IFERROR(AX298/AX182,"")</f>
        <v>0.585847194812518</v>
      </c>
      <c r="AY304" s="38">
        <f>IFERROR(AY298/AY182,"")</f>
        <v>1.36526826673758</v>
      </c>
      <c r="AZ304" s="38">
        <f>IFERROR(AZ298/AZ182,"")</f>
        <v>1.51892431937391</v>
      </c>
      <c r="BA304" s="38">
        <f>IFERROR(BA298/BA182,"")</f>
        <v>1.57363717155457</v>
      </c>
      <c r="BB304" s="38">
        <f>IFERROR(BB298/BB182,"")</f>
        <v>5.03699510505811</v>
      </c>
      <c r="BC304" s="38">
        <f>IFERROR(BC298/BC182,"")</f>
        <v>0.41196517748684</v>
      </c>
      <c r="BD304" s="38">
        <f>IFERROR(BD298/BD182,"")</f>
        <v>1.40200722464558</v>
      </c>
      <c r="BE304" s="38">
        <f>IFERROR(BE298/BE182,"")</f>
        <v>1.92365786146328</v>
      </c>
      <c r="BF304" s="38">
        <f>IFERROR(BF298/BF182,"")</f>
        <v>1.57751586582049</v>
      </c>
      <c r="BG304" s="38">
        <f>IFERROR(BG298/BG182,"")</f>
        <v>5.30226897479106</v>
      </c>
      <c r="BH304" s="38">
        <f>IFERROR(BH298/BH182,"")</f>
        <v>1.79988701918962</v>
      </c>
      <c r="BI304" s="38">
        <f>IFERROR(BI298/BI182,"")</f>
        <v>3.03723650584018</v>
      </c>
      <c r="BJ304" s="38">
        <f>IFERROR(BJ298/BJ182,"")</f>
        <v>3.3919946332737</v>
      </c>
      <c r="BK304" s="38">
        <f>IFERROR(BK298/BK182,"")</f>
        <v>1.67729792267445</v>
      </c>
      <c r="BL304" s="38">
        <f>IFERROR(BL298/BL182,"")</f>
        <v>9.9028700984181</v>
      </c>
      <c r="BM304" s="38">
        <f>IFERROR(BM298/BM182,"")</f>
        <v>1.85697680470498</v>
      </c>
      <c r="BN304" s="38">
        <f>IFERROR(BN298/BN182,"")</f>
        <v>2.57204615974619</v>
      </c>
      <c r="BO304" s="38">
        <f>IFERROR(BO298/BO182,"")</f>
        <v>2.86473556934076</v>
      </c>
      <c r="BP304" s="38">
        <f>IFERROR(BP298/BP182,"")</f>
        <v>1.13184202189447</v>
      </c>
      <c r="BQ304" s="38">
        <f>IFERROR(BQ298/BQ182,"")</f>
        <v>8.4339965730671</v>
      </c>
      <c r="BR304" s="38">
        <f>IFERROR(BR298/BR182,"")</f>
        <v>2.80828630565924</v>
      </c>
      <c r="BS304" s="38">
        <f>IFERROR(BS298/BS182,"")</f>
        <v>2.11522655803316</v>
      </c>
      <c r="BT304" s="38">
        <f>IFERROR(BT298/BT182,"")</f>
        <v>3.68969302191672</v>
      </c>
      <c r="BU304" s="38">
        <f>IFERROR(BU298/BU182,"")</f>
        <v>0.938767775933011</v>
      </c>
      <c r="BV304" s="38">
        <f>IFERROR(BV298/BV182,"")</f>
        <v>9.56060850111857</v>
      </c>
      <c r="BW304" s="38">
        <f>IFERROR(BW298/BW182,"")</f>
        <v>1.13901693873493</v>
      </c>
      <c r="BX304" s="38">
        <f>IFERROR(BX298/BX182,"")</f>
        <v>4.03482632209357</v>
      </c>
      <c r="BY304" s="271" t="n"/>
      <c r="BZ304" s="271" t="n"/>
      <c r="CA304" s="271">
        <f>IFERROR(CA298/CA182,"")</f>
        <v>9.34325958370617</v>
      </c>
      <c r="CB304" s="271">
        <f>IFERROR(CB298/CB182,"")</f>
        <v>11.7651211338205</v>
      </c>
      <c r="CC304" s="271">
        <f>IFERROR(CC298/CC182,"")</f>
        <v>13.1122421539226</v>
      </c>
      <c r="CD304" s="271">
        <f>IFERROR(CD298/CD182,"")</f>
        <v>14.7691190349851</v>
      </c>
      <c r="CE304" s="271">
        <f>IFERROR(CE298/CE182,"")</f>
        <v>16.5947689248414</v>
      </c>
      <c r="CF304" s="19" t="n"/>
    </row>
    <row r="305">
      <c r="B305" s="25" t="inlineStr">
        <is>
          <t>Capex ratios</t>
        </is>
      </c>
      <c r="C305" s="270" t="n"/>
      <c r="D305" s="270" t="n"/>
      <c r="E305" s="270" t="n"/>
      <c r="F305" s="270" t="n"/>
      <c r="G305" s="270" t="n"/>
      <c r="H305" s="270" t="n"/>
      <c r="I305" s="270" t="n"/>
      <c r="J305" s="270" t="n"/>
      <c r="K305" s="270" t="n"/>
      <c r="L305" s="270" t="n"/>
      <c r="M305" s="270" t="n"/>
      <c r="N305" s="270" t="n"/>
      <c r="O305" s="270" t="n"/>
      <c r="P305" s="270" t="n"/>
      <c r="Q305" s="270" t="n"/>
      <c r="R305" s="270" t="n"/>
      <c r="S305" s="270" t="n"/>
      <c r="T305" s="270" t="n"/>
      <c r="U305" s="270" t="n"/>
      <c r="V305" s="270" t="n"/>
      <c r="W305" s="270" t="n"/>
      <c r="X305" s="270" t="n"/>
      <c r="Y305" s="270" t="n"/>
      <c r="Z305" s="270" t="n"/>
      <c r="AA305" s="270" t="n"/>
      <c r="AB305" s="270" t="n"/>
      <c r="AC305" s="270" t="n"/>
      <c r="AD305" s="270" t="n"/>
      <c r="AE305" s="270" t="n"/>
      <c r="AF305" s="270" t="n"/>
      <c r="AG305" s="270" t="n"/>
      <c r="AH305" s="270" t="n"/>
      <c r="AI305" s="270" t="n"/>
      <c r="AJ305" s="270" t="n"/>
      <c r="AK305" s="270" t="n"/>
      <c r="AL305" s="270" t="n"/>
      <c r="AM305" s="270" t="n"/>
      <c r="AN305" s="270" t="n"/>
      <c r="AO305" s="270" t="n"/>
      <c r="AP305" s="270" t="n"/>
      <c r="AQ305" s="270" t="n"/>
      <c r="AR305" s="270" t="n"/>
      <c r="AS305" s="270" t="n"/>
      <c r="AT305" s="270" t="n"/>
      <c r="AU305" s="270" t="n"/>
      <c r="AV305" s="270" t="n"/>
      <c r="AW305" s="270" t="n"/>
      <c r="AX305" s="270" t="n"/>
      <c r="AY305" s="270" t="n"/>
      <c r="AZ305" s="270" t="n"/>
      <c r="BA305" s="270" t="n"/>
      <c r="BB305" s="270" t="n"/>
      <c r="BC305" s="270" t="n"/>
      <c r="BD305" s="270" t="n"/>
      <c r="BE305" s="270" t="n"/>
      <c r="BF305" s="270" t="n"/>
      <c r="BG305" s="270" t="n"/>
      <c r="BH305" s="270" t="n"/>
      <c r="BI305" s="270" t="n"/>
      <c r="BJ305" s="270" t="n"/>
      <c r="BK305" s="270" t="n"/>
      <c r="BL305" s="270" t="n"/>
      <c r="BM305" s="270" t="n"/>
      <c r="BN305" s="270" t="n"/>
      <c r="BO305" s="270" t="n"/>
      <c r="BP305" s="270" t="n"/>
      <c r="BQ305" s="270" t="n"/>
      <c r="BR305" s="270" t="n"/>
      <c r="BS305" s="270" t="n"/>
      <c r="BT305" s="270" t="n"/>
      <c r="BU305" s="270" t="n"/>
      <c r="BV305" s="270" t="n"/>
      <c r="BW305" s="270" t="n"/>
      <c r="BX305" s="270" t="n"/>
      <c r="BY305" s="269" t="n"/>
      <c r="BZ305" s="269" t="n"/>
      <c r="CA305" s="269" t="n"/>
      <c r="CB305" s="269" t="n"/>
      <c r="CC305" s="269" t="n"/>
      <c r="CD305" s="269" t="n"/>
      <c r="CE305" s="269" t="n"/>
      <c r="CF305" s="19" t="n"/>
    </row>
    <row r="306">
      <c r="B306" s="25" t="inlineStr">
        <is>
          <t xml:space="preserve">  Capex % of net sales</t>
        </is>
      </c>
      <c r="C306" s="36">
        <f>IFERROR(-C278/C154,"")</f>
        <v>0.0385422292543036</v>
      </c>
      <c r="D306" s="36">
        <f>IFERROR(-D278/D154,"")</f>
        <v>0.0270227255189444</v>
      </c>
      <c r="E306" s="36">
        <f>IFERROR(-E278/E154,"")</f>
        <v>0.029214269032173</v>
      </c>
      <c r="F306" s="36">
        <f>IFERROR(-F278/F154,"")</f>
        <v>0.0220906328338013</v>
      </c>
      <c r="G306" s="36">
        <f>IFERROR(-G278/G154,"")</f>
        <v>0.0292560231710215</v>
      </c>
      <c r="H306" s="36">
        <f>IFERROR(-H278/H154,"")</f>
        <v>0.0244239516753637</v>
      </c>
      <c r="I306" s="36">
        <f>IFERROR(-I278/I154,"")</f>
        <v>0.0184746651937869</v>
      </c>
      <c r="J306" s="36">
        <f>IFERROR(-J278/J154,"")</f>
        <v>0.0210667531343371</v>
      </c>
      <c r="K306" s="36">
        <f>IFERROR(-K278/K154,"")</f>
        <v>0.0218714601502271</v>
      </c>
      <c r="L306" s="36">
        <f>IFERROR(-L278/L154,"")</f>
        <v>0.0413990966576332</v>
      </c>
      <c r="M306" s="36">
        <f>IFERROR(-M278/M154,"")</f>
        <v>0.0228374447915545</v>
      </c>
      <c r="N306" s="36">
        <f>IFERROR(-N278/N154,"")</f>
        <v>0.0266469564839408</v>
      </c>
      <c r="O306" s="36">
        <f>IFERROR(-O278/O154,"")</f>
        <v>0.0211747257912423</v>
      </c>
      <c r="P306" s="36">
        <f>IFERROR(-P278/P154,"")</f>
        <v>0.0349209573786153</v>
      </c>
      <c r="Q306" s="36">
        <f>IFERROR(-Q278/Q154,"")</f>
        <v>0.0216310387173659</v>
      </c>
      <c r="R306" s="36">
        <f>IFERROR(-R278/R154,"")</f>
        <v>0.0256742412501426</v>
      </c>
      <c r="S306" s="36">
        <f>IFERROR(-S278/S154,"")</f>
        <v>0.025944398867674</v>
      </c>
      <c r="T306" s="36">
        <f>IFERROR(-T278/T154,"")</f>
        <v>0.0189329685362517</v>
      </c>
      <c r="U306" s="36">
        <f>IFERROR(-U278/U154,"")</f>
        <v>0.0252143695279357</v>
      </c>
      <c r="V306" s="36">
        <f>IFERROR(-V278/V154,"")</f>
        <v>0.0170033758753561</v>
      </c>
      <c r="W306" s="36">
        <f>IFERROR(-W278/W154,"")</f>
        <v>0.0181694939126914</v>
      </c>
      <c r="X306" s="36">
        <f>IFERROR(-X278/X154,"")</f>
        <v>0.0199176509420532</v>
      </c>
      <c r="Y306" s="36">
        <f>IFERROR(-Y278/Y154,"")</f>
        <v>0.0161333667440197</v>
      </c>
      <c r="Z306" s="36">
        <f>IFERROR(-Z278/Z154,"")</f>
        <v>0.0268290295028173</v>
      </c>
      <c r="AA306" s="36">
        <f>IFERROR(-AA278/AA154,"")</f>
        <v>0.0257167319068574</v>
      </c>
      <c r="AB306" s="36">
        <f>IFERROR(-AB278/AB154,"")</f>
        <v>0.018622700539881</v>
      </c>
      <c r="AC306" s="36">
        <f>IFERROR(-AC278/AC154,"")</f>
        <v>0.0219276765200601</v>
      </c>
      <c r="AD306" s="36">
        <f>IFERROR(-AD278/AD154,"")</f>
        <v>0.0207214015565582</v>
      </c>
      <c r="AE306" s="36">
        <f>IFERROR(-AE278/AE154,"")</f>
        <v>0.0256740761065505</v>
      </c>
      <c r="AF306" s="36">
        <f>IFERROR(-AF278/AF154,"")</f>
        <v>0.0161734810475421</v>
      </c>
      <c r="AG306" s="36">
        <f>IFERROR(-AG278/AG154,"")</f>
        <v>0.0303766804740459</v>
      </c>
      <c r="AH306" s="36">
        <f>IFERROR(-AH278/AH154,"")</f>
        <v>0.023493092407459</v>
      </c>
      <c r="AI306" s="36">
        <f>IFERROR(-AI278/AI154,"")</f>
        <v>0.0193441696933863</v>
      </c>
      <c r="AJ306" s="36">
        <f>IFERROR(-AJ278/AJ154,"")</f>
        <v>0.021170758380461</v>
      </c>
      <c r="AK306" s="36">
        <f>IFERROR(-AK278/AK154,"")</f>
        <v>0.0235558588466407</v>
      </c>
      <c r="AL306" s="36">
        <f>IFERROR(-AL278/AL154,"")</f>
        <v>0.0302489691823502</v>
      </c>
      <c r="AM306" s="36">
        <f>IFERROR(-AM278/AM154,"")</f>
        <v>0.0235238259383479</v>
      </c>
      <c r="AN306" s="36">
        <f>IFERROR(-AN278/AN154,"")</f>
        <v>0.021406159852682</v>
      </c>
      <c r="AO306" s="36">
        <f>IFERROR(-AO278/AO154,"")</f>
        <v>0.026076951588658</v>
      </c>
      <c r="AP306" s="36">
        <f>IFERROR(-AP278/AP154,"")</f>
        <v>0.0233147185963549</v>
      </c>
      <c r="AQ306" s="36">
        <f>IFERROR(-AQ278/AQ154,"")</f>
        <v>0.0218169866645299</v>
      </c>
      <c r="AR306" s="36">
        <f>IFERROR(-AR278/AR154,"")</f>
        <v>0.0231797186535219</v>
      </c>
      <c r="AS306" s="36">
        <f>IFERROR(-AS278/AS154,"")</f>
        <v>0.0168492188646293</v>
      </c>
      <c r="AT306" s="36">
        <f>IFERROR(-AT278/AT154,"")</f>
        <v>0.0223165692443379</v>
      </c>
      <c r="AU306" s="36">
        <f>IFERROR(-AU278/AU154,"")</f>
        <v>0.0180972001291696</v>
      </c>
      <c r="AV306" s="36">
        <f>IFERROR(-AV278/AV154,"")</f>
        <v>0.0318322153261631</v>
      </c>
      <c r="AW306" s="36">
        <f>IFERROR(-AW278/AW154,"")</f>
        <v>0.0222945695563757</v>
      </c>
      <c r="AX306" s="36">
        <f>IFERROR(-AX278/AX154,"")</f>
        <v>0.0131251312711272</v>
      </c>
      <c r="AY306" s="36">
        <f>IFERROR(-AY278/AY154,"")</f>
        <v>0.0215765184753174</v>
      </c>
      <c r="AZ306" s="36">
        <f>IFERROR(-AZ278/AZ154,"")</f>
        <v>0.0231532114664941</v>
      </c>
      <c r="BA306" s="36">
        <f>IFERROR(-BA278/BA154,"")</f>
        <v>0.0190594977086198</v>
      </c>
      <c r="BB306" s="36">
        <f>IFERROR(-BB278/BB154,"")</f>
        <v>0.01933442170813</v>
      </c>
      <c r="BC306" s="36">
        <f>IFERROR(-BC278/BC154,"")</f>
        <v>0.020176174134041</v>
      </c>
      <c r="BD306" s="36">
        <f>IFERROR(-BD278/BD154,"")</f>
        <v>0.0164296418379334</v>
      </c>
      <c r="BE306" s="36">
        <f>IFERROR(-BE278/BE154,"")</f>
        <v>0.0189245541251444</v>
      </c>
      <c r="BF306" s="36">
        <f>IFERROR(-BF278/BF154,"")</f>
        <v>0.0210347887175675</v>
      </c>
      <c r="BG306" s="36">
        <f>IFERROR(-BG278/BG154,"")</f>
        <v>0.0191116637699932</v>
      </c>
      <c r="BH306" s="36">
        <f>IFERROR(-BH278/BH154,"")</f>
        <v>0.0180758421425843</v>
      </c>
      <c r="BI306" s="36">
        <f>IFERROR(-BI278/BI154,"")</f>
        <v>0.0205220802119625</v>
      </c>
      <c r="BJ306" s="36">
        <f>IFERROR(-BJ278/BJ154,"")</f>
        <v>0.0250741859866397</v>
      </c>
      <c r="BK306" s="36">
        <f>IFERROR(-BK278/BK154,"")</f>
        <v>0.0231721073127044</v>
      </c>
      <c r="BL306" s="36">
        <f>IFERROR(-BL278/BL154,"")</f>
        <v>0.021706798968231</v>
      </c>
      <c r="BM306" s="36">
        <f>IFERROR(-BM278/BM154,"")</f>
        <v>0.0267591523414768</v>
      </c>
      <c r="BN306" s="36">
        <f>IFERROR(-BN278/BN154,"")</f>
        <v>0.0226479250413289</v>
      </c>
      <c r="BO306" s="36">
        <f>IFERROR(-BO278/BO154,"")</f>
        <v>0.0363117389523247</v>
      </c>
      <c r="BP306" s="36">
        <f>IFERROR(-BP278/BP154,"")</f>
        <v>0.0308072847105421</v>
      </c>
      <c r="BQ306" s="36">
        <f>IFERROR(-BQ278/BQ154,"")</f>
        <v>0.0290877024050371</v>
      </c>
      <c r="BR306" s="36">
        <f>IFERROR(-BR278/BR154,"")</f>
        <v>0.0268312644117612</v>
      </c>
      <c r="BS306" s="36">
        <f>IFERROR(-BS278/BS154,"")</f>
        <v>0.0233706539980325</v>
      </c>
      <c r="BT306" s="36">
        <f>IFERROR(-BT278/BT154,"")</f>
        <v>0.0298107756398961</v>
      </c>
      <c r="BU306" s="36">
        <f>IFERROR(-BU278/BU154,"")</f>
        <v>0.039812183941078</v>
      </c>
      <c r="BV306" s="36">
        <f>IFERROR(-BV278/BV154,"")</f>
        <v>0.0299961989159942</v>
      </c>
      <c r="BW306" s="36">
        <f>IFERROR(-BW278/BW154,"")</f>
        <v>0.034922251331777</v>
      </c>
      <c r="BX306" s="36">
        <f>IFERROR(-BX278/BX154,"")</f>
        <v>0.025775152644624</v>
      </c>
      <c r="BY306" s="254" t="n"/>
      <c r="BZ306" s="254" t="n"/>
      <c r="CA306" s="254">
        <f>IFERROR(-CA278/CA154,"")</f>
        <v>0.0254248150510761</v>
      </c>
      <c r="CB306" s="255" t="n">
        <v>0.027</v>
      </c>
      <c r="CC306" s="255" t="n">
        <v>0.027</v>
      </c>
      <c r="CD306" s="255" t="n">
        <v>0.027</v>
      </c>
      <c r="CE306" s="255" t="n">
        <v>0.027</v>
      </c>
      <c r="CF306" s="19" t="inlineStr">
        <is>
          <t>2027E+: 2.7% input (FY26 assumption ~2.5%; FY25 3.0% incl. capacity projects; 10-yr avg ~2.5%).</t>
        </is>
      </c>
      <c r="CH306" s="20">
        <f>IFERROR(AVERAGE(CA306,CB306,CC306,CD306,CE306),"n/m")</f>
        <v>0.0266849630102152</v>
      </c>
      <c r="CI306" s="20">
        <f>IFERROR(AVERAGE(AW306,BB306,BG306,BL306,BQ306,BV306),"n/m")</f>
        <v>0.0235885592206269</v>
      </c>
      <c r="CJ306" s="20">
        <f>IFERROR(AVERAGE(X306,AC306,AH306,AM306,AR306,AW306,BB306,BG306,BL306,BQ306,BV306),"n/m")</f>
        <v>0.023052119980473</v>
      </c>
      <c r="CK306" s="20">
        <f>IFERROR(AVERAGE(C306,D306,E306,F306,G306,H306,I306,N306,S306,X306,AC306,AH306,AM306,AR306,AW306,BB306,BG306,BL306,BQ306,BV306),"n/m")</f>
        <v>0.0247594585908106</v>
      </c>
    </row>
    <row r="307">
      <c r="B307" s="25" t="inlineStr">
        <is>
          <t xml:space="preserve">  Capex / D&amp;A (x)</t>
        </is>
      </c>
      <c r="C307" s="64">
        <f>IFERROR(-C278/C148,"")</f>
        <v>1.58916884474647</v>
      </c>
      <c r="D307" s="64">
        <f>IFERROR(-D278/D148,"")</f>
        <v>1.17150731800038</v>
      </c>
      <c r="E307" s="64">
        <f>IFERROR(-E278/E148,"")</f>
        <v>1.27230566534914</v>
      </c>
      <c r="F307" s="64">
        <f>IFERROR(-F278/F148,"")</f>
        <v>0.674953178557546</v>
      </c>
      <c r="G307" s="64">
        <f>IFERROR(-G278/G148,"")</f>
        <v>1.05593040082292</v>
      </c>
      <c r="H307" s="64">
        <f>IFERROR(-H278/H148,"")</f>
        <v>1.06062754830704</v>
      </c>
      <c r="I307" s="64">
        <f>IFERROR(-I278/I148,"")</f>
        <v>0.806854011693758</v>
      </c>
      <c r="J307" s="64">
        <f>IFERROR(-J278/J148,"")</f>
        <v>0.870150025866529</v>
      </c>
      <c r="K307" s="64">
        <f>IFERROR(-K278/K148,"")</f>
        <v>0.927264249912577</v>
      </c>
      <c r="L307" s="64">
        <f>IFERROR(-L278/L148,"")</f>
        <v>1.65318019161953</v>
      </c>
      <c r="M307" s="64">
        <f>IFERROR(-M278/M148,"")</f>
        <v>0.960122338548406</v>
      </c>
      <c r="N307" s="64">
        <f>IFERROR(-N278/N148,"")</f>
        <v>1.1035378830771</v>
      </c>
      <c r="O307" s="64">
        <f>IFERROR(-O278/O148,"")</f>
        <v>0.808990017288495</v>
      </c>
      <c r="P307" s="64">
        <f>IFERROR(-P278/P148,"")</f>
        <v>1.41582725805554</v>
      </c>
      <c r="Q307" s="64">
        <f>IFERROR(-Q278/Q148,"")</f>
        <v>0.904539346848163</v>
      </c>
      <c r="R307" s="64">
        <f>IFERROR(-R278/R148,"")</f>
        <v>1.05846895720313</v>
      </c>
      <c r="S307" s="64">
        <f>IFERROR(-S278/S148,"")</f>
        <v>1.04860143376385</v>
      </c>
      <c r="T307" s="64">
        <f>IFERROR(-T278/T148,"")</f>
        <v>0.776946107784431</v>
      </c>
      <c r="U307" s="64">
        <f>IFERROR(-U278/U148,"")</f>
        <v>1.06853244931786</v>
      </c>
      <c r="V307" s="64">
        <f>IFERROR(-V278/V148,"")</f>
        <v>0.678039433833983</v>
      </c>
      <c r="W307" s="64">
        <f>IFERROR(-W278/W148,"")</f>
        <v>0.640595903165736</v>
      </c>
      <c r="X307" s="64">
        <f>IFERROR(-X278/X148,"")</f>
        <v>0.789085568765916</v>
      </c>
      <c r="Y307" s="64">
        <f>IFERROR(-Y278/Y148,"")</f>
        <v>0.56864</v>
      </c>
      <c r="Z307" s="64">
        <f>IFERROR(-Z278/Z148,"")</f>
        <v>0.957066297344493</v>
      </c>
      <c r="AA307" s="64">
        <f>IFERROR(-AA278/AA148,"")</f>
        <v>0.897620365246264</v>
      </c>
      <c r="AB307" s="64">
        <f>IFERROR(-AB278/AB148,"")</f>
        <v>0.633369525877669</v>
      </c>
      <c r="AC307" s="64">
        <f>IFERROR(-AC278/AC148,"")</f>
        <v>0.766477648179737</v>
      </c>
      <c r="AD307" s="64">
        <f>IFERROR(-AD278/AD148,"")</f>
        <v>0.744587405666213</v>
      </c>
      <c r="AE307" s="64">
        <f>IFERROR(-AE278/AE148,"")</f>
        <v>1.01603535353535</v>
      </c>
      <c r="AF307" s="64">
        <f>IFERROR(-AF278/AF148,"")</f>
        <v>0.586851661156577</v>
      </c>
      <c r="AG307" s="64">
        <f>IFERROR(-AG278/AG148,"")</f>
        <v>1.28536640616151</v>
      </c>
      <c r="AH307" s="64">
        <f>IFERROR(-AH278/AH148,"")</f>
        <v>0.905175071570139</v>
      </c>
      <c r="AI307" s="64">
        <f>IFERROR(-AI278/AI148,"")</f>
        <v>0.808260725708614</v>
      </c>
      <c r="AJ307" s="64">
        <f>IFERROR(-AJ278/AJ148,"")</f>
        <v>0.919566771125405</v>
      </c>
      <c r="AK307" s="64">
        <f>IFERROR(-AK278/AK148,"")</f>
        <v>0.985246552800318</v>
      </c>
      <c r="AL307" s="64">
        <f>IFERROR(-AL278/AL148,"")</f>
        <v>1.22282608695652</v>
      </c>
      <c r="AM307" s="64">
        <f>IFERROR(-AM278/AM148,"")</f>
        <v>0.984795289304177</v>
      </c>
      <c r="AN307" s="64">
        <f>IFERROR(-AN278/AN148,"")</f>
        <v>0.859795778001164</v>
      </c>
      <c r="AO307" s="64">
        <f>IFERROR(-AO278/AO148,"")</f>
        <v>0.99562675052823</v>
      </c>
      <c r="AP307" s="64">
        <f>IFERROR(-AP278/AP148,"")</f>
        <v>0.805655381123511</v>
      </c>
      <c r="AQ307" s="64">
        <f>IFERROR(-AQ278/AQ148,"")</f>
        <v>0.76179636743017</v>
      </c>
      <c r="AR307" s="64">
        <f>IFERROR(-AR278/AR148,"")</f>
        <v>0.854308049136672</v>
      </c>
      <c r="AS307" s="64">
        <f>IFERROR(-AS278/AS148,"")</f>
        <v>0.562488111089975</v>
      </c>
      <c r="AT307" s="64">
        <f>IFERROR(-AT278/AT148,"")</f>
        <v>0.657506234413965</v>
      </c>
      <c r="AU307" s="64">
        <f>IFERROR(-AU278/AU148,"")</f>
        <v>0.621151477832512</v>
      </c>
      <c r="AV307" s="64">
        <f>IFERROR(-AV278/AV148,"")</f>
        <v>1.1083508983238</v>
      </c>
      <c r="AW307" s="64">
        <f>IFERROR(-AW278/AW148,"")</f>
        <v>0.735489241166824</v>
      </c>
      <c r="AX307" s="64">
        <f>IFERROR(-AX278/AX148,"")</f>
        <v>0.519719635945183</v>
      </c>
      <c r="AY307" s="64">
        <f>IFERROR(-AY278/AY148,"")</f>
        <v>0.919649303764827</v>
      </c>
      <c r="AZ307" s="64">
        <f>IFERROR(-AZ278/AZ148,"")</f>
        <v>0.846802721088435</v>
      </c>
      <c r="BA307" s="64">
        <f>IFERROR(-BA278/BA148,"")</f>
        <v>0.781571789391879</v>
      </c>
      <c r="BB307" s="64">
        <f>IFERROR(-BB278/BB148,"")</f>
        <v>0.770598673995021</v>
      </c>
      <c r="BC307" s="64">
        <f>IFERROR(-BC278/BC148,"")</f>
        <v>0.938716002212056</v>
      </c>
      <c r="BD307" s="64">
        <f>IFERROR(-BD278/BD148,"")</f>
        <v>0.801791826051943</v>
      </c>
      <c r="BE307" s="64">
        <f>IFERROR(-BE278/BE148,"")</f>
        <v>0.919428571428572</v>
      </c>
      <c r="BF307" s="64">
        <f>IFERROR(-BF278/BF148,"")</f>
        <v>1.02792650918635</v>
      </c>
      <c r="BG307" s="64">
        <f>IFERROR(-BG278/BG148,"")</f>
        <v>0.920880359727898</v>
      </c>
      <c r="BH307" s="64">
        <f>IFERROR(-BH278/BH148,"")</f>
        <v>0.882225874618455</v>
      </c>
      <c r="BI307" s="64">
        <f>IFERROR(-BI278/BI148,"")</f>
        <v>0.993064744262445</v>
      </c>
      <c r="BJ307" s="64">
        <f>IFERROR(-BJ278/BJ148,"")</f>
        <v>1.20559355949556</v>
      </c>
      <c r="BK307" s="64">
        <f>IFERROR(-BK278/BK148,"")</f>
        <v>1.11648231599071</v>
      </c>
      <c r="BL307" s="64">
        <f>IFERROR(-BL278/BL148,"")</f>
        <v>1.04980962270682</v>
      </c>
      <c r="BM307" s="64">
        <f>IFERROR(-BM278/BM148,"")</f>
        <v>1.21634392661911</v>
      </c>
      <c r="BN307" s="64">
        <f>IFERROR(-BN278/BN148,"")</f>
        <v>1.10898634076204</v>
      </c>
      <c r="BO307" s="64">
        <f>IFERROR(-BO278/BO148,"")</f>
        <v>1.57754813637167</v>
      </c>
      <c r="BP307" s="64">
        <f>IFERROR(-BP278/BP148,"")</f>
        <v>1.36049777470509</v>
      </c>
      <c r="BQ307" s="64">
        <f>IFERROR(-BQ278/BQ148,"")</f>
        <v>1.32146014188898</v>
      </c>
      <c r="BR307" s="64">
        <f>IFERROR(-BR278/BR148,"")</f>
        <v>1.13307265388496</v>
      </c>
      <c r="BS307" s="64">
        <f>IFERROR(-BS278/BS148,"")</f>
        <v>1.04010301692421</v>
      </c>
      <c r="BT307" s="64">
        <f>IFERROR(-BT278/BT148,"")</f>
        <v>1.27853216941481</v>
      </c>
      <c r="BU307" s="64">
        <f>IFERROR(-BU278/BU148,"")</f>
        <v>1.68046642667084</v>
      </c>
      <c r="BV307" s="64">
        <f>IFERROR(-BV278/BV148,"")</f>
        <v>1.28847441803828</v>
      </c>
      <c r="BW307" s="64">
        <f>IFERROR(-BW278/BW148,"")</f>
        <v>1.50574801030413</v>
      </c>
      <c r="BX307" s="64">
        <f>IFERROR(-BX278/BX148,"")</f>
        <v>1.21055874311679</v>
      </c>
      <c r="BY307" s="278" t="n"/>
      <c r="BZ307" s="278" t="n"/>
      <c r="CA307" s="278">
        <f>IFERROR(-CA278/CA148,"")</f>
        <v>1.15433452614568</v>
      </c>
      <c r="CB307" s="278">
        <f>IFERROR(-CB278/CB148,"")</f>
        <v>1.1804407950415</v>
      </c>
      <c r="CC307" s="278">
        <f>IFERROR(-CC278/CC148,"")</f>
        <v>1.14139938608585</v>
      </c>
      <c r="CD307" s="278">
        <f>IFERROR(-CD278/CD148,"")</f>
        <v>1.10449579993099</v>
      </c>
      <c r="CE307" s="278">
        <f>IFERROR(-CE278/CE148,"")</f>
        <v>1.07308908309977</v>
      </c>
      <c r="CF307" s="19" t="n"/>
    </row>
    <row r="308">
      <c r="CF308" s="19" t="n"/>
    </row>
    <row r="309">
      <c r="B309" s="10" t="inlineStr">
        <is>
          <t>SHARE BUYBACK SCHEDULE</t>
        </is>
      </c>
      <c r="C309" s="10" t="n"/>
      <c r="D309" s="10" t="n"/>
      <c r="E309" s="10" t="n"/>
      <c r="F309" s="10" t="n"/>
      <c r="G309" s="10" t="n"/>
      <c r="H309" s="10" t="n"/>
      <c r="I309" s="10" t="n"/>
      <c r="J309" s="10" t="n"/>
      <c r="K309" s="10" t="n"/>
      <c r="L309" s="10" t="n"/>
      <c r="M309" s="10" t="n"/>
      <c r="N309" s="10" t="n"/>
      <c r="O309" s="10" t="n"/>
      <c r="P309" s="10" t="n"/>
      <c r="Q309" s="10" t="n"/>
      <c r="R309" s="10" t="n"/>
      <c r="S309" s="10" t="n"/>
      <c r="T309" s="10" t="n"/>
      <c r="U309" s="10" t="n"/>
      <c r="V309" s="10" t="n"/>
      <c r="W309" s="10" t="n"/>
      <c r="X309" s="10" t="n"/>
      <c r="Y309" s="10" t="n"/>
      <c r="Z309" s="10" t="n"/>
      <c r="AA309" s="10" t="n"/>
      <c r="AB309" s="10" t="n"/>
      <c r="AC309" s="10" t="n"/>
      <c r="AD309" s="10" t="n"/>
      <c r="AE309" s="10" t="n"/>
      <c r="AF309" s="10" t="n"/>
      <c r="AG309" s="10" t="n"/>
      <c r="AH309" s="10" t="n"/>
      <c r="AI309" s="10" t="n"/>
      <c r="AJ309" s="10" t="n"/>
      <c r="AK309" s="10" t="n"/>
      <c r="AL309" s="10" t="n"/>
      <c r="AM309" s="10" t="n"/>
      <c r="AN309" s="10" t="n"/>
      <c r="AO309" s="10" t="n"/>
      <c r="AP309" s="10" t="n"/>
      <c r="AQ309" s="10" t="n"/>
      <c r="AR309" s="10" t="n"/>
      <c r="AS309" s="10" t="n"/>
      <c r="AT309" s="10" t="n"/>
      <c r="AU309" s="10" t="n"/>
      <c r="AV309" s="10" t="n"/>
      <c r="AW309" s="10" t="n"/>
      <c r="AX309" s="10" t="n"/>
      <c r="AY309" s="10" t="n"/>
      <c r="AZ309" s="10" t="n"/>
      <c r="BA309" s="10" t="n"/>
      <c r="BB309" s="10" t="n"/>
      <c r="BC309" s="10" t="n"/>
      <c r="BD309" s="10" t="n"/>
      <c r="BE309" s="10" t="n"/>
      <c r="BF309" s="10" t="n"/>
      <c r="BG309" s="10" t="n"/>
      <c r="BH309" s="10" t="n"/>
      <c r="BI309" s="10" t="n"/>
      <c r="BJ309" s="10" t="n"/>
      <c r="BK309" s="10" t="n"/>
      <c r="BL309" s="10" t="n"/>
      <c r="BM309" s="10" t="n"/>
      <c r="BN309" s="10" t="n"/>
      <c r="BO309" s="10" t="n"/>
      <c r="BP309" s="10" t="n"/>
      <c r="BQ309" s="10" t="n"/>
      <c r="BR309" s="10" t="n"/>
      <c r="BS309" s="10" t="n"/>
      <c r="BT309" s="10" t="n"/>
      <c r="BU309" s="10" t="n"/>
      <c r="BV309" s="10" t="n"/>
      <c r="BW309" s="10" t="n"/>
      <c r="BX309" s="10" t="n"/>
      <c r="BY309" s="10" t="n"/>
      <c r="BZ309" s="10" t="n"/>
      <c r="CA309" s="10" t="n"/>
      <c r="CB309" s="10" t="n"/>
      <c r="CC309" s="10" t="n"/>
      <c r="CD309" s="10" t="n"/>
      <c r="CE309" s="10" t="n"/>
      <c r="CF309" s="10" t="inlineStr">
        <is>
          <t>SHARES — 2026E = 2H/26 only (1H/26 repurchases already in the Q1/Q2 share counts)</t>
        </is>
      </c>
    </row>
    <row r="310">
      <c r="B310" s="25" t="inlineStr">
        <is>
          <t xml:space="preserve">  Avg buyback price ($)</t>
        </is>
      </c>
      <c r="C310" s="27" t="n"/>
      <c r="D310" s="27" t="n"/>
      <c r="E310" s="27" t="n"/>
      <c r="F310" s="27" t="n"/>
      <c r="G310" s="27" t="n"/>
      <c r="H310" s="27" t="n"/>
      <c r="I310" s="27" t="n"/>
      <c r="J310" s="27" t="n"/>
      <c r="K310" s="27" t="n"/>
      <c r="L310" s="27" t="n"/>
      <c r="M310" s="27" t="n"/>
      <c r="N310" s="27" t="n"/>
      <c r="O310" s="27" t="n"/>
      <c r="P310" s="27" t="n"/>
      <c r="Q310" s="27" t="n"/>
      <c r="R310" s="27" t="n"/>
      <c r="S310" s="27" t="n"/>
      <c r="T310" s="27" t="n"/>
      <c r="U310" s="27" t="n"/>
      <c r="V310" s="27" t="n"/>
      <c r="W310" s="27" t="n"/>
      <c r="X310" s="27" t="n"/>
      <c r="Y310" s="27" t="n"/>
      <c r="Z310" s="27" t="n"/>
      <c r="AA310" s="27" t="n"/>
      <c r="AB310" s="27" t="n"/>
      <c r="AC310" s="27" t="n"/>
      <c r="AD310" s="27" t="n"/>
      <c r="AE310" s="27" t="n"/>
      <c r="AF310" s="27" t="n"/>
      <c r="AG310" s="27" t="n"/>
      <c r="AH310" s="27" t="n"/>
      <c r="AI310" s="27" t="n"/>
      <c r="AJ310" s="27" t="n"/>
      <c r="AK310" s="27" t="n"/>
      <c r="AL310" s="27" t="n"/>
      <c r="AM310" s="27" t="n"/>
      <c r="AN310" s="27" t="n"/>
      <c r="AO310" s="27" t="n"/>
      <c r="AP310" s="27" t="n"/>
      <c r="AQ310" s="27" t="n"/>
      <c r="AR310" s="27" t="n"/>
      <c r="AS310" s="27" t="n"/>
      <c r="AT310" s="27" t="n"/>
      <c r="AU310" s="27" t="n"/>
      <c r="AV310" s="27" t="n"/>
      <c r="AW310" s="27" t="n"/>
      <c r="AX310" s="27" t="n"/>
      <c r="AY310" s="27" t="n"/>
      <c r="AZ310" s="27" t="n"/>
      <c r="BA310" s="27" t="n"/>
      <c r="BB310" s="27" t="n"/>
      <c r="BC310" s="27" t="n"/>
      <c r="BD310" s="27" t="n"/>
      <c r="BE310" s="27" t="n"/>
      <c r="BF310" s="27" t="n"/>
      <c r="BG310" s="27" t="n"/>
      <c r="BH310" s="27" t="n"/>
      <c r="BI310" s="27" t="n"/>
      <c r="BJ310" s="27" t="n"/>
      <c r="BK310" s="27" t="n"/>
      <c r="BL310" s="27" t="n"/>
      <c r="BM310" s="27" t="n"/>
      <c r="BN310" s="27" t="n"/>
      <c r="BO310" s="27" t="n"/>
      <c r="BP310" s="27" t="n"/>
      <c r="BQ310" s="27" t="n"/>
      <c r="BR310" s="27" t="n"/>
      <c r="BS310" s="27" t="n"/>
      <c r="BT310" s="27" t="n"/>
      <c r="BU310" s="27" t="n"/>
      <c r="BV310" s="27" t="n"/>
      <c r="BW310" s="27" t="n"/>
      <c r="BX310" s="27" t="n"/>
      <c r="BY310" s="271" t="n"/>
      <c r="BZ310" s="271" t="n"/>
      <c r="CA310" s="271">
        <f>CA424</f>
        <v>275.54</v>
      </c>
      <c r="CB310" s="271">
        <f>CA310*(1+CB369)</f>
        <v>294.8278</v>
      </c>
      <c r="CC310" s="271">
        <f>CB310*(1+CC369)</f>
        <v>315.465746</v>
      </c>
      <c r="CD310" s="271">
        <f>CC310*(1+CD369)</f>
        <v>337.54834822</v>
      </c>
      <c r="CE310" s="271">
        <f>CD310*(1+CE369)</f>
        <v>361.1767325954</v>
      </c>
      <c r="CF310" s="19" t="inlineStr">
        <is>
          <t>2026E = current share price (valuation input); appreciates with the share-price input.</t>
        </is>
      </c>
    </row>
    <row r="311">
      <c r="B311" s="25" t="inlineStr">
        <is>
          <t xml:space="preserve">  Buyback cash deployed (USDm)</t>
        </is>
      </c>
      <c r="C311" s="34" t="n"/>
      <c r="D311" s="34" t="n"/>
      <c r="E311" s="34" t="n"/>
      <c r="F311" s="34" t="n"/>
      <c r="G311" s="34" t="n"/>
      <c r="H311" s="34" t="n"/>
      <c r="I311" s="34" t="n"/>
      <c r="J311" s="34" t="n"/>
      <c r="K311" s="34" t="n"/>
      <c r="L311" s="34" t="n"/>
      <c r="M311" s="34" t="n"/>
      <c r="N311" s="34" t="n"/>
      <c r="O311" s="34" t="n"/>
      <c r="P311" s="34" t="n"/>
      <c r="Q311" s="34" t="n"/>
      <c r="R311" s="34" t="n"/>
      <c r="S311" s="34" t="n"/>
      <c r="T311" s="34" t="n"/>
      <c r="U311" s="34" t="n"/>
      <c r="V311" s="34" t="n"/>
      <c r="W311" s="34" t="n"/>
      <c r="X311" s="34" t="n"/>
      <c r="Y311" s="34" t="n"/>
      <c r="Z311" s="34" t="n"/>
      <c r="AA311" s="34" t="n"/>
      <c r="AB311" s="34" t="n"/>
      <c r="AC311" s="34" t="n"/>
      <c r="AD311" s="34" t="n"/>
      <c r="AE311" s="34" t="n"/>
      <c r="AF311" s="34" t="n"/>
      <c r="AG311" s="34" t="n"/>
      <c r="AH311" s="34" t="n"/>
      <c r="AI311" s="34" t="n"/>
      <c r="AJ311" s="34" t="n"/>
      <c r="AK311" s="34" t="n"/>
      <c r="AL311" s="34" t="n"/>
      <c r="AM311" s="34" t="n"/>
      <c r="AN311" s="34" t="n"/>
      <c r="AO311" s="34" t="n"/>
      <c r="AP311" s="34" t="n"/>
      <c r="AQ311" s="34" t="n"/>
      <c r="AR311" s="34" t="n"/>
      <c r="AS311" s="34" t="n"/>
      <c r="AT311" s="34" t="n"/>
      <c r="AU311" s="34" t="n"/>
      <c r="AV311" s="34" t="n"/>
      <c r="AW311" s="34" t="n"/>
      <c r="AX311" s="34" t="n"/>
      <c r="AY311" s="34" t="n"/>
      <c r="AZ311" s="34" t="n"/>
      <c r="BA311" s="34" t="n"/>
      <c r="BB311" s="34" t="n"/>
      <c r="BC311" s="34" t="n"/>
      <c r="BD311" s="34" t="n"/>
      <c r="BE311" s="34" t="n"/>
      <c r="BF311" s="34" t="n"/>
      <c r="BG311" s="34" t="n"/>
      <c r="BH311" s="34" t="n"/>
      <c r="BI311" s="34" t="n"/>
      <c r="BJ311" s="34" t="n"/>
      <c r="BK311" s="34" t="n"/>
      <c r="BL311" s="34" t="n"/>
      <c r="BM311" s="34" t="n"/>
      <c r="BN311" s="34" t="n"/>
      <c r="BO311" s="34" t="n"/>
      <c r="BP311" s="34" t="n"/>
      <c r="BQ311" s="34" t="n"/>
      <c r="BR311" s="34" t="n"/>
      <c r="BS311" s="34" t="n"/>
      <c r="BT311" s="34" t="n"/>
      <c r="BU311" s="34" t="n"/>
      <c r="BV311" s="34" t="n"/>
      <c r="BW311" s="34" t="n"/>
      <c r="BX311" s="34" t="n"/>
      <c r="BY311" s="257" t="n"/>
      <c r="BZ311" s="257" t="n"/>
      <c r="CA311" s="257">
        <f>CHOOSE(MATCH($CF$2,{"Bull","Base","Bear"},0),$CO$20,$CP$20,$CQ$20)</f>
        <v>130</v>
      </c>
      <c r="CB311" s="257">
        <f>-CB287</f>
        <v>411.656137858025</v>
      </c>
      <c r="CC311" s="257">
        <f>-CC287</f>
        <v>368.548861019296</v>
      </c>
      <c r="CD311" s="257">
        <f>-CD287</f>
        <v>438.461599808954</v>
      </c>
      <c r="CE311" s="257">
        <f>-CE287</f>
        <v>515.441364121626</v>
      </c>
      <c r="CF311" s="19" t="inlineStr">
        <is>
          <t>2026E row = 2H/26 buyback only.</t>
        </is>
      </c>
    </row>
    <row r="312">
      <c r="B312" s="25" t="inlineStr">
        <is>
          <t xml:space="preserve">  Implied shares repurchased (m)</t>
        </is>
      </c>
      <c r="C312" s="45" t="n"/>
      <c r="D312" s="45" t="n"/>
      <c r="E312" s="45" t="n"/>
      <c r="F312" s="45" t="n"/>
      <c r="G312" s="45" t="n"/>
      <c r="H312" s="45" t="n"/>
      <c r="I312" s="45" t="n"/>
      <c r="J312" s="45" t="n"/>
      <c r="K312" s="45" t="n"/>
      <c r="L312" s="45" t="n"/>
      <c r="M312" s="45" t="n"/>
      <c r="N312" s="45" t="n"/>
      <c r="O312" s="45" t="n"/>
      <c r="P312" s="45" t="n"/>
      <c r="Q312" s="45" t="n"/>
      <c r="R312" s="45" t="n"/>
      <c r="S312" s="45" t="n"/>
      <c r="T312" s="45" t="n"/>
      <c r="U312" s="45" t="n"/>
      <c r="V312" s="45" t="n"/>
      <c r="W312" s="45" t="n"/>
      <c r="X312" s="45" t="n"/>
      <c r="Y312" s="45" t="n"/>
      <c r="Z312" s="45" t="n"/>
      <c r="AA312" s="45" t="n"/>
      <c r="AB312" s="45" t="n"/>
      <c r="AC312" s="45" t="n"/>
      <c r="AD312" s="45" t="n"/>
      <c r="AE312" s="45" t="n"/>
      <c r="AF312" s="45" t="n"/>
      <c r="AG312" s="45" t="n"/>
      <c r="AH312" s="45" t="n"/>
      <c r="AI312" s="45" t="n"/>
      <c r="AJ312" s="45" t="n"/>
      <c r="AK312" s="45" t="n"/>
      <c r="AL312" s="45" t="n"/>
      <c r="AM312" s="45" t="n"/>
      <c r="AN312" s="45" t="n"/>
      <c r="AO312" s="45" t="n"/>
      <c r="AP312" s="45" t="n"/>
      <c r="AQ312" s="45" t="n"/>
      <c r="AR312" s="45" t="n"/>
      <c r="AS312" s="45" t="n"/>
      <c r="AT312" s="45" t="n"/>
      <c r="AU312" s="45" t="n"/>
      <c r="AV312" s="45" t="n"/>
      <c r="AW312" s="45" t="n"/>
      <c r="AX312" s="45" t="n"/>
      <c r="AY312" s="45" t="n"/>
      <c r="AZ312" s="45" t="n"/>
      <c r="BA312" s="45" t="n"/>
      <c r="BB312" s="45" t="n"/>
      <c r="BC312" s="45" t="n"/>
      <c r="BD312" s="45" t="n"/>
      <c r="BE312" s="45" t="n"/>
      <c r="BF312" s="45" t="n"/>
      <c r="BG312" s="45" t="n"/>
      <c r="BH312" s="45" t="n"/>
      <c r="BI312" s="45" t="n"/>
      <c r="BJ312" s="45" t="n"/>
      <c r="BK312" s="45" t="n"/>
      <c r="BL312" s="45" t="n"/>
      <c r="BM312" s="45" t="n"/>
      <c r="BN312" s="45" t="n"/>
      <c r="BO312" s="45" t="n"/>
      <c r="BP312" s="45" t="n"/>
      <c r="BQ312" s="45" t="n"/>
      <c r="BR312" s="45" t="n"/>
      <c r="BS312" s="45" t="n"/>
      <c r="BT312" s="45" t="n"/>
      <c r="BU312" s="45" t="n"/>
      <c r="BV312" s="45" t="n"/>
      <c r="BW312" s="45" t="n"/>
      <c r="BX312" s="45" t="n"/>
      <c r="BY312" s="266" t="n"/>
      <c r="BZ312" s="266" t="n"/>
      <c r="CA312" s="266">
        <f>IFERROR(CA311/CA310,0)</f>
        <v>0.471800827466067</v>
      </c>
      <c r="CB312" s="266">
        <f>IFERROR(CB311/CB310,0)</f>
        <v>1.39625957205537</v>
      </c>
      <c r="CC312" s="266">
        <f>IFERROR(CC311/CC310,0)</f>
        <v>1.16826902981503</v>
      </c>
      <c r="CD312" s="266">
        <f>IFERROR(CD311/CD310,0)</f>
        <v>1.2989593998048</v>
      </c>
      <c r="CE312" s="266">
        <f>IFERROR(CE311/CE310,0)</f>
        <v>1.42711674812961</v>
      </c>
      <c r="CF312" s="19" t="n"/>
    </row>
    <row r="313">
      <c r="B313" s="25" t="inlineStr">
        <is>
          <t xml:space="preserve">  Shares issued under equity plans (m)</t>
        </is>
      </c>
      <c r="C313" s="45" t="n"/>
      <c r="D313" s="45" t="n"/>
      <c r="E313" s="45" t="n"/>
      <c r="F313" s="45" t="n"/>
      <c r="G313" s="45" t="n"/>
      <c r="H313" s="45" t="n"/>
      <c r="I313" s="45" t="n"/>
      <c r="J313" s="45" t="n"/>
      <c r="K313" s="45" t="n"/>
      <c r="L313" s="45" t="n"/>
      <c r="M313" s="45" t="n"/>
      <c r="N313" s="45" t="n"/>
      <c r="O313" s="45" t="n"/>
      <c r="P313" s="45" t="n"/>
      <c r="Q313" s="45" t="n"/>
      <c r="R313" s="45" t="n"/>
      <c r="S313" s="45" t="n"/>
      <c r="T313" s="45" t="n"/>
      <c r="U313" s="45" t="n"/>
      <c r="V313" s="45" t="n"/>
      <c r="W313" s="45" t="n"/>
      <c r="X313" s="45" t="n"/>
      <c r="Y313" s="45" t="n"/>
      <c r="Z313" s="45" t="n"/>
      <c r="AA313" s="45" t="n"/>
      <c r="AB313" s="45" t="n"/>
      <c r="AC313" s="45" t="n"/>
      <c r="AD313" s="45" t="n"/>
      <c r="AE313" s="45" t="n"/>
      <c r="AF313" s="45" t="n"/>
      <c r="AG313" s="45" t="n"/>
      <c r="AH313" s="45" t="n"/>
      <c r="AI313" s="45" t="n"/>
      <c r="AJ313" s="45" t="n"/>
      <c r="AK313" s="45" t="n"/>
      <c r="AL313" s="45" t="n"/>
      <c r="AM313" s="45" t="n"/>
      <c r="AN313" s="45" t="n"/>
      <c r="AO313" s="45" t="n"/>
      <c r="AP313" s="45" t="n"/>
      <c r="AQ313" s="45" t="n"/>
      <c r="AR313" s="45" t="n"/>
      <c r="AS313" s="45" t="n"/>
      <c r="AT313" s="45" t="n"/>
      <c r="AU313" s="45" t="n"/>
      <c r="AV313" s="45" t="n"/>
      <c r="AW313" s="45" t="n"/>
      <c r="AX313" s="45" t="n"/>
      <c r="AY313" s="45" t="n"/>
      <c r="AZ313" s="45" t="n"/>
      <c r="BA313" s="45" t="n"/>
      <c r="BB313" s="45" t="n"/>
      <c r="BC313" s="45" t="n"/>
      <c r="BD313" s="45" t="n"/>
      <c r="BE313" s="45" t="n"/>
      <c r="BF313" s="45" t="n"/>
      <c r="BG313" s="45" t="n"/>
      <c r="BH313" s="45" t="n"/>
      <c r="BI313" s="45" t="n"/>
      <c r="BJ313" s="45" t="n"/>
      <c r="BK313" s="45" t="n"/>
      <c r="BL313" s="45" t="n"/>
      <c r="BM313" s="45" t="n"/>
      <c r="BN313" s="45" t="n"/>
      <c r="BO313" s="45" t="n"/>
      <c r="BP313" s="45" t="n"/>
      <c r="BQ313" s="45" t="n"/>
      <c r="BR313" s="45" t="n"/>
      <c r="BS313" s="45" t="n"/>
      <c r="BT313" s="45" t="n"/>
      <c r="BU313" s="45" t="n"/>
      <c r="BV313" s="45" t="n"/>
      <c r="BW313" s="45" t="n"/>
      <c r="BX313" s="45" t="n"/>
      <c r="BY313" s="266" t="n"/>
      <c r="BZ313" s="266" t="n"/>
      <c r="CA313" s="267" t="n">
        <v>0.1</v>
      </c>
      <c r="CB313" s="267" t="n">
        <v>0.3</v>
      </c>
      <c r="CC313" s="267" t="n">
        <v>0.3</v>
      </c>
      <c r="CD313" s="267" t="n">
        <v>0.3</v>
      </c>
      <c r="CE313" s="267" t="n">
        <v>0.3</v>
      </c>
      <c r="CF313" s="19" t="inlineStr">
        <is>
          <t>~0.3m shares p.a. issued on option exercises / RSU vesting (2023–25 avg).</t>
        </is>
      </c>
    </row>
    <row r="314">
      <c r="B314" s="25" t="inlineStr">
        <is>
          <t xml:space="preserve">  Beginning shares outstanding (m)</t>
        </is>
      </c>
      <c r="C314" s="45" t="n"/>
      <c r="D314" s="45" t="n"/>
      <c r="E314" s="45" t="n"/>
      <c r="F314" s="45" t="n"/>
      <c r="G314" s="45" t="n"/>
      <c r="H314" s="45" t="n"/>
      <c r="I314" s="45" t="n"/>
      <c r="J314" s="45" t="n"/>
      <c r="K314" s="45" t="n"/>
      <c r="L314" s="45" t="n"/>
      <c r="M314" s="45" t="n"/>
      <c r="N314" s="45" t="n"/>
      <c r="O314" s="45" t="n"/>
      <c r="P314" s="45" t="n"/>
      <c r="Q314" s="45" t="n"/>
      <c r="R314" s="45" t="n"/>
      <c r="S314" s="45" t="n"/>
      <c r="T314" s="45" t="n"/>
      <c r="U314" s="45" t="n"/>
      <c r="V314" s="45" t="n"/>
      <c r="W314" s="45" t="n"/>
      <c r="X314" s="45" t="n"/>
      <c r="Y314" s="45" t="n"/>
      <c r="Z314" s="45" t="n"/>
      <c r="AA314" s="45" t="n"/>
      <c r="AB314" s="45" t="n"/>
      <c r="AC314" s="45" t="n"/>
      <c r="AD314" s="45" t="n"/>
      <c r="AE314" s="45" t="n"/>
      <c r="AF314" s="45" t="n"/>
      <c r="AG314" s="45" t="n"/>
      <c r="AH314" s="45" t="n"/>
      <c r="AI314" s="45" t="n"/>
      <c r="AJ314" s="45" t="n"/>
      <c r="AK314" s="45" t="n"/>
      <c r="AL314" s="45" t="n"/>
      <c r="AM314" s="45" t="n"/>
      <c r="AN314" s="45" t="n"/>
      <c r="AO314" s="45" t="n"/>
      <c r="AP314" s="45" t="n"/>
      <c r="AQ314" s="45" t="n"/>
      <c r="AR314" s="45" t="n"/>
      <c r="AS314" s="45" t="n"/>
      <c r="AT314" s="45" t="n"/>
      <c r="AU314" s="45" t="n"/>
      <c r="AV314" s="45" t="n"/>
      <c r="AW314" s="45" t="n"/>
      <c r="AX314" s="45" t="n"/>
      <c r="AY314" s="45" t="n"/>
      <c r="AZ314" s="45" t="n"/>
      <c r="BA314" s="45" t="n"/>
      <c r="BB314" s="45" t="n"/>
      <c r="BC314" s="45" t="n"/>
      <c r="BD314" s="45" t="n"/>
      <c r="BE314" s="45" t="n"/>
      <c r="BF314" s="45" t="n"/>
      <c r="BG314" s="45" t="n"/>
      <c r="BH314" s="45" t="n"/>
      <c r="BI314" s="45" t="n"/>
      <c r="BJ314" s="45" t="n"/>
      <c r="BK314" s="45" t="n"/>
      <c r="BL314" s="45" t="n"/>
      <c r="BM314" s="45" t="n"/>
      <c r="BN314" s="45" t="n"/>
      <c r="BO314" s="45" t="n"/>
      <c r="BP314" s="45" t="n"/>
      <c r="BQ314" s="45" t="n"/>
      <c r="BR314" s="45" t="n"/>
      <c r="BS314" s="45" t="n"/>
      <c r="BT314" s="45" t="n"/>
      <c r="BU314" s="45" t="n"/>
      <c r="BV314" s="45" t="n"/>
      <c r="BW314" s="45" t="n"/>
      <c r="BX314" s="45" t="n"/>
      <c r="BY314" s="266" t="n"/>
      <c r="BZ314" s="266" t="n"/>
      <c r="CA314" s="266">
        <f>$BX$352</f>
        <v>54.505757</v>
      </c>
      <c r="CB314" s="266">
        <f>CA315</f>
        <v>54.1339561725339</v>
      </c>
      <c r="CC314" s="266">
        <f>CB315</f>
        <v>53.0376966004786</v>
      </c>
      <c r="CD314" s="266">
        <f>CC315</f>
        <v>52.1694275706635</v>
      </c>
      <c r="CE314" s="266">
        <f>CD315</f>
        <v>51.1704681708587</v>
      </c>
      <c r="CF314" s="19" t="inlineStr">
        <is>
          <t>2026E begins from shares outstanding at 30-Jun-2026 (54.51m, Q2-26 10-Q cover).</t>
        </is>
      </c>
    </row>
    <row r="315">
      <c r="B315" s="16" t="inlineStr">
        <is>
          <t xml:space="preserve">  Ending shares outstanding (m)</t>
        </is>
      </c>
      <c r="C315" s="279" t="n"/>
      <c r="D315" s="279" t="n"/>
      <c r="E315" s="279" t="n"/>
      <c r="F315" s="279" t="n"/>
      <c r="G315" s="279" t="n"/>
      <c r="H315" s="279" t="n"/>
      <c r="I315" s="279" t="n"/>
      <c r="J315" s="279" t="n"/>
      <c r="K315" s="279" t="n"/>
      <c r="L315" s="279" t="n"/>
      <c r="M315" s="279" t="n"/>
      <c r="N315" s="279" t="n"/>
      <c r="O315" s="279" t="n"/>
      <c r="P315" s="279" t="n"/>
      <c r="Q315" s="279" t="n"/>
      <c r="R315" s="279" t="n"/>
      <c r="S315" s="279" t="n"/>
      <c r="T315" s="279" t="n"/>
      <c r="U315" s="279" t="n"/>
      <c r="V315" s="279" t="n"/>
      <c r="W315" s="279" t="n"/>
      <c r="X315" s="279" t="n"/>
      <c r="Y315" s="279" t="n"/>
      <c r="Z315" s="279" t="n"/>
      <c r="AA315" s="279" t="n"/>
      <c r="AB315" s="279" t="n"/>
      <c r="AC315" s="279" t="n"/>
      <c r="AD315" s="279" t="n"/>
      <c r="AE315" s="279" t="n"/>
      <c r="AF315" s="279" t="n"/>
      <c r="AG315" s="279" t="n"/>
      <c r="AH315" s="279" t="n"/>
      <c r="AI315" s="279" t="n"/>
      <c r="AJ315" s="279" t="n"/>
      <c r="AK315" s="279" t="n"/>
      <c r="AL315" s="279" t="n"/>
      <c r="AM315" s="279" t="n"/>
      <c r="AN315" s="279" t="n"/>
      <c r="AO315" s="279" t="n"/>
      <c r="AP315" s="279" t="n"/>
      <c r="AQ315" s="279" t="n"/>
      <c r="AR315" s="279" t="n"/>
      <c r="AS315" s="279" t="n"/>
      <c r="AT315" s="279" t="n"/>
      <c r="AU315" s="279" t="n"/>
      <c r="AV315" s="279" t="n"/>
      <c r="AW315" s="279" t="n"/>
      <c r="AX315" s="279" t="n"/>
      <c r="AY315" s="279" t="n"/>
      <c r="AZ315" s="279" t="n"/>
      <c r="BA315" s="279" t="n"/>
      <c r="BB315" s="279" t="n"/>
      <c r="BC315" s="279" t="n"/>
      <c r="BD315" s="279" t="n"/>
      <c r="BE315" s="279" t="n"/>
      <c r="BF315" s="279" t="n"/>
      <c r="BG315" s="279" t="n"/>
      <c r="BH315" s="279" t="n"/>
      <c r="BI315" s="279" t="n"/>
      <c r="BJ315" s="279" t="n"/>
      <c r="BK315" s="279" t="n"/>
      <c r="BL315" s="279" t="n"/>
      <c r="BM315" s="279" t="n"/>
      <c r="BN315" s="279" t="n"/>
      <c r="BO315" s="279" t="n"/>
      <c r="BP315" s="279" t="n"/>
      <c r="BQ315" s="279" t="n"/>
      <c r="BR315" s="279" t="n"/>
      <c r="BS315" s="279" t="n"/>
      <c r="BT315" s="279" t="n"/>
      <c r="BU315" s="279" t="n"/>
      <c r="BV315" s="279" t="n"/>
      <c r="BW315" s="279" t="n"/>
      <c r="BX315" s="279" t="n"/>
      <c r="BY315" s="280" t="n"/>
      <c r="BZ315" s="280" t="n"/>
      <c r="CA315" s="280">
        <f>CA314-CA312+CA313</f>
        <v>54.1339561725339</v>
      </c>
      <c r="CB315" s="280">
        <f>CB314-CB312+CB313</f>
        <v>53.0376966004786</v>
      </c>
      <c r="CC315" s="280">
        <f>CC314-CC312+CC313</f>
        <v>52.1694275706635</v>
      </c>
      <c r="CD315" s="280">
        <f>CD314-CD312+CD313</f>
        <v>51.1704681708587</v>
      </c>
      <c r="CE315" s="280">
        <f>CE314-CE312+CE313</f>
        <v>50.0433514227291</v>
      </c>
      <c r="CF315" s="19" t="n"/>
    </row>
    <row r="316">
      <c r="B316" s="25" t="inlineStr">
        <is>
          <t xml:space="preserve">  % of shares repurchased</t>
        </is>
      </c>
      <c r="C316" s="36" t="n"/>
      <c r="D316" s="36" t="n"/>
      <c r="E316" s="36" t="n"/>
      <c r="F316" s="36" t="n"/>
      <c r="G316" s="36" t="n"/>
      <c r="H316" s="36" t="n"/>
      <c r="I316" s="36" t="n"/>
      <c r="J316" s="36" t="n"/>
      <c r="K316" s="36" t="n"/>
      <c r="L316" s="36" t="n"/>
      <c r="M316" s="36" t="n"/>
      <c r="N316" s="36" t="n"/>
      <c r="O316" s="36" t="n"/>
      <c r="P316" s="36" t="n"/>
      <c r="Q316" s="36" t="n"/>
      <c r="R316" s="36" t="n"/>
      <c r="S316" s="36" t="n"/>
      <c r="T316" s="36" t="n"/>
      <c r="U316" s="36" t="n"/>
      <c r="V316" s="36" t="n"/>
      <c r="W316" s="36" t="n"/>
      <c r="X316" s="36" t="n"/>
      <c r="Y316" s="36" t="n"/>
      <c r="Z316" s="36" t="n"/>
      <c r="AA316" s="36" t="n"/>
      <c r="AB316" s="36" t="n"/>
      <c r="AC316" s="36" t="n"/>
      <c r="AD316" s="36" t="n"/>
      <c r="AE316" s="36" t="n"/>
      <c r="AF316" s="36" t="n"/>
      <c r="AG316" s="36" t="n"/>
      <c r="AH316" s="36" t="n"/>
      <c r="AI316" s="36" t="n"/>
      <c r="AJ316" s="36" t="n"/>
      <c r="AK316" s="36" t="n"/>
      <c r="AL316" s="36" t="n"/>
      <c r="AM316" s="36" t="n"/>
      <c r="AN316" s="36" t="n"/>
      <c r="AO316" s="36" t="n"/>
      <c r="AP316" s="36" t="n"/>
      <c r="AQ316" s="36" t="n"/>
      <c r="AR316" s="36" t="n"/>
      <c r="AS316" s="36" t="n"/>
      <c r="AT316" s="36" t="n"/>
      <c r="AU316" s="36" t="n"/>
      <c r="AV316" s="36" t="n"/>
      <c r="AW316" s="36" t="n"/>
      <c r="AX316" s="36" t="n"/>
      <c r="AY316" s="36" t="n"/>
      <c r="AZ316" s="36" t="n"/>
      <c r="BA316" s="36" t="n"/>
      <c r="BB316" s="36" t="n"/>
      <c r="BC316" s="36" t="n"/>
      <c r="BD316" s="36" t="n"/>
      <c r="BE316" s="36" t="n"/>
      <c r="BF316" s="36" t="n"/>
      <c r="BG316" s="36" t="n"/>
      <c r="BH316" s="36" t="n"/>
      <c r="BI316" s="36" t="n"/>
      <c r="BJ316" s="36" t="n"/>
      <c r="BK316" s="36" t="n"/>
      <c r="BL316" s="36" t="n"/>
      <c r="BM316" s="36" t="n"/>
      <c r="BN316" s="36" t="n"/>
      <c r="BO316" s="36" t="n"/>
      <c r="BP316" s="36" t="n"/>
      <c r="BQ316" s="36" t="n"/>
      <c r="BR316" s="36" t="n"/>
      <c r="BS316" s="36" t="n"/>
      <c r="BT316" s="36" t="n"/>
      <c r="BU316" s="36" t="n"/>
      <c r="BV316" s="36" t="n"/>
      <c r="BW316" s="36" t="n"/>
      <c r="BX316" s="36" t="n"/>
      <c r="BY316" s="254" t="n"/>
      <c r="BZ316" s="254" t="n"/>
      <c r="CA316" s="254">
        <f>IFERROR(CA312/CA314,"")</f>
        <v>0.00865598155927027</v>
      </c>
      <c r="CB316" s="254">
        <f>IFERROR(CB312/CB314,"")</f>
        <v>0.0257926756286803</v>
      </c>
      <c r="CC316" s="254">
        <f>IFERROR(CC312/CC314,"")</f>
        <v>0.0220271449308093</v>
      </c>
      <c r="CD316" s="254">
        <f>IFERROR(CD312/CD314,"")</f>
        <v>0.0248988624236937</v>
      </c>
      <c r="CE316" s="254">
        <f>IFERROR(CE312/CE314,"")</f>
        <v>0.0278894604474686</v>
      </c>
      <c r="CF316" s="19" t="n"/>
    </row>
    <row r="317">
      <c r="B317" s="25" t="inlineStr">
        <is>
          <t xml:space="preserve">  Memo: cumulative shares repurchased since 2H/26 (m)</t>
        </is>
      </c>
      <c r="C317" s="45" t="n"/>
      <c r="D317" s="45" t="n"/>
      <c r="E317" s="45" t="n"/>
      <c r="F317" s="45" t="n"/>
      <c r="G317" s="45" t="n"/>
      <c r="H317" s="45" t="n"/>
      <c r="I317" s="45" t="n"/>
      <c r="J317" s="45" t="n"/>
      <c r="K317" s="45" t="n"/>
      <c r="L317" s="45" t="n"/>
      <c r="M317" s="45" t="n"/>
      <c r="N317" s="45" t="n"/>
      <c r="O317" s="45" t="n"/>
      <c r="P317" s="45" t="n"/>
      <c r="Q317" s="45" t="n"/>
      <c r="R317" s="45" t="n"/>
      <c r="S317" s="45" t="n"/>
      <c r="T317" s="45" t="n"/>
      <c r="U317" s="45" t="n"/>
      <c r="V317" s="45" t="n"/>
      <c r="W317" s="45" t="n"/>
      <c r="X317" s="45" t="n"/>
      <c r="Y317" s="45" t="n"/>
      <c r="Z317" s="45" t="n"/>
      <c r="AA317" s="45" t="n"/>
      <c r="AB317" s="45" t="n"/>
      <c r="AC317" s="45" t="n"/>
      <c r="AD317" s="45" t="n"/>
      <c r="AE317" s="45" t="n"/>
      <c r="AF317" s="45" t="n"/>
      <c r="AG317" s="45" t="n"/>
      <c r="AH317" s="45" t="n"/>
      <c r="AI317" s="45" t="n"/>
      <c r="AJ317" s="45" t="n"/>
      <c r="AK317" s="45" t="n"/>
      <c r="AL317" s="45" t="n"/>
      <c r="AM317" s="45" t="n"/>
      <c r="AN317" s="45" t="n"/>
      <c r="AO317" s="45" t="n"/>
      <c r="AP317" s="45" t="n"/>
      <c r="AQ317" s="45" t="n"/>
      <c r="AR317" s="45" t="n"/>
      <c r="AS317" s="45" t="n"/>
      <c r="AT317" s="45" t="n"/>
      <c r="AU317" s="45" t="n"/>
      <c r="AV317" s="45" t="n"/>
      <c r="AW317" s="45" t="n"/>
      <c r="AX317" s="45" t="n"/>
      <c r="AY317" s="45" t="n"/>
      <c r="AZ317" s="45" t="n"/>
      <c r="BA317" s="45" t="n"/>
      <c r="BB317" s="45" t="n"/>
      <c r="BC317" s="45" t="n"/>
      <c r="BD317" s="45" t="n"/>
      <c r="BE317" s="45" t="n"/>
      <c r="BF317" s="45" t="n"/>
      <c r="BG317" s="45" t="n"/>
      <c r="BH317" s="45" t="n"/>
      <c r="BI317" s="45" t="n"/>
      <c r="BJ317" s="45" t="n"/>
      <c r="BK317" s="45" t="n"/>
      <c r="BL317" s="45" t="n"/>
      <c r="BM317" s="45" t="n"/>
      <c r="BN317" s="45" t="n"/>
      <c r="BO317" s="45" t="n"/>
      <c r="BP317" s="45" t="n"/>
      <c r="BQ317" s="45" t="n"/>
      <c r="BR317" s="45" t="n"/>
      <c r="BS317" s="45" t="n"/>
      <c r="BT317" s="45" t="n"/>
      <c r="BU317" s="45" t="n"/>
      <c r="BV317" s="45" t="n"/>
      <c r="BW317" s="45" t="n"/>
      <c r="BX317" s="45" t="n"/>
      <c r="BY317" s="266" t="n"/>
      <c r="BZ317" s="266" t="n"/>
      <c r="CA317" s="266">
        <f>CA312</f>
        <v>0.471800827466067</v>
      </c>
      <c r="CB317" s="266">
        <f>CA317+CB312</f>
        <v>1.86806039952143</v>
      </c>
      <c r="CC317" s="266">
        <f>CB317+CC312</f>
        <v>3.03632942933647</v>
      </c>
      <c r="CD317" s="266">
        <f>CC317+CD312</f>
        <v>4.33528882914127</v>
      </c>
      <c r="CE317" s="266">
        <f>CD317+CE312</f>
        <v>5.76240557727088</v>
      </c>
      <c r="CF317" s="19" t="n"/>
    </row>
    <row r="318">
      <c r="CF318" s="19" t="n"/>
    </row>
    <row r="319">
      <c r="B319" s="10" t="inlineStr">
        <is>
          <t>CONSOLIDATED BALANCE SHEET</t>
        </is>
      </c>
      <c r="C319" s="10" t="n"/>
      <c r="D319" s="10" t="n"/>
      <c r="E319" s="10" t="n"/>
      <c r="F319" s="10" t="n"/>
      <c r="G319" s="10" t="n"/>
      <c r="H319" s="10" t="n"/>
      <c r="I319" s="10" t="n"/>
      <c r="J319" s="10" t="n"/>
      <c r="K319" s="10" t="n"/>
      <c r="L319" s="10" t="n"/>
      <c r="M319" s="10" t="n"/>
      <c r="N319" s="10" t="n"/>
      <c r="O319" s="10" t="n"/>
      <c r="P319" s="10" t="n"/>
      <c r="Q319" s="10" t="n"/>
      <c r="R319" s="10" t="n"/>
      <c r="S319" s="10" t="n"/>
      <c r="T319" s="10" t="n"/>
      <c r="U319" s="10" t="n"/>
      <c r="V319" s="10" t="n"/>
      <c r="W319" s="10" t="n"/>
      <c r="X319" s="10" t="n"/>
      <c r="Y319" s="10" t="n"/>
      <c r="Z319" s="10" t="n"/>
      <c r="AA319" s="10" t="n"/>
      <c r="AB319" s="10" t="n"/>
      <c r="AC319" s="10" t="n"/>
      <c r="AD319" s="10" t="n"/>
      <c r="AE319" s="10" t="n"/>
      <c r="AF319" s="10" t="n"/>
      <c r="AG319" s="10" t="n"/>
      <c r="AH319" s="10" t="n"/>
      <c r="AI319" s="10" t="n"/>
      <c r="AJ319" s="10" t="n"/>
      <c r="AK319" s="10" t="n"/>
      <c r="AL319" s="10" t="n"/>
      <c r="AM319" s="10" t="n"/>
      <c r="AN319" s="10" t="n"/>
      <c r="AO319" s="10" t="n"/>
      <c r="AP319" s="10" t="n"/>
      <c r="AQ319" s="10" t="n"/>
      <c r="AR319" s="10" t="n"/>
      <c r="AS319" s="10" t="n"/>
      <c r="AT319" s="10" t="n"/>
      <c r="AU319" s="10" t="n"/>
      <c r="AV319" s="10" t="n"/>
      <c r="AW319" s="10" t="n"/>
      <c r="AX319" s="10" t="n"/>
      <c r="AY319" s="10" t="n"/>
      <c r="AZ319" s="10" t="n"/>
      <c r="BA319" s="10" t="n"/>
      <c r="BB319" s="10" t="n"/>
      <c r="BC319" s="10" t="n"/>
      <c r="BD319" s="10" t="n"/>
      <c r="BE319" s="10" t="n"/>
      <c r="BF319" s="10" t="n"/>
      <c r="BG319" s="10" t="n"/>
      <c r="BH319" s="10" t="n"/>
      <c r="BI319" s="10" t="n"/>
      <c r="BJ319" s="10" t="n"/>
      <c r="BK319" s="10" t="n"/>
      <c r="BL319" s="10" t="n"/>
      <c r="BM319" s="10" t="n"/>
      <c r="BN319" s="10" t="n"/>
      <c r="BO319" s="10" t="n"/>
      <c r="BP319" s="10" t="n"/>
      <c r="BQ319" s="10" t="n"/>
      <c r="BR319" s="10" t="n"/>
      <c r="BS319" s="10" t="n"/>
      <c r="BT319" s="10" t="n"/>
      <c r="BU319" s="10" t="n"/>
      <c r="BV319" s="10" t="n"/>
      <c r="BW319" s="10" t="n"/>
      <c r="BX319" s="10" t="n"/>
      <c r="BY319" s="10" t="n"/>
      <c r="BZ319" s="10" t="n"/>
      <c r="CA319" s="10" t="n"/>
      <c r="CB319" s="10" t="n"/>
      <c r="CC319" s="10" t="n"/>
      <c r="CD319" s="10" t="n"/>
      <c r="CE319" s="10" t="n"/>
      <c r="CF319" s="10" t="inlineStr">
        <is>
          <t>BS FORECAST — 2026E rolled forward from the 30-Jun-2026 balance sheet (Q2/26) + 2H flows; 2027E+ from prior year end</t>
        </is>
      </c>
    </row>
    <row r="320">
      <c r="B320" s="25" t="inlineStr">
        <is>
          <t>ASSETS</t>
        </is>
      </c>
      <c r="C320" s="270" t="n"/>
      <c r="D320" s="270" t="n"/>
      <c r="E320" s="270" t="n"/>
      <c r="F320" s="270" t="n"/>
      <c r="G320" s="270" t="n"/>
      <c r="H320" s="270" t="n"/>
      <c r="I320" s="270" t="n"/>
      <c r="J320" s="270" t="n"/>
      <c r="K320" s="270" t="n"/>
      <c r="L320" s="270" t="n"/>
      <c r="M320" s="270" t="n"/>
      <c r="N320" s="270" t="n"/>
      <c r="O320" s="270" t="n"/>
      <c r="P320" s="270" t="n"/>
      <c r="Q320" s="270" t="n"/>
      <c r="R320" s="270" t="n"/>
      <c r="S320" s="270" t="n"/>
      <c r="T320" s="270" t="n"/>
      <c r="U320" s="270" t="n"/>
      <c r="V320" s="270" t="n"/>
      <c r="W320" s="270" t="n"/>
      <c r="X320" s="270" t="n"/>
      <c r="Y320" s="270" t="n"/>
      <c r="Z320" s="270" t="n"/>
      <c r="AA320" s="270" t="n"/>
      <c r="AB320" s="270" t="n"/>
      <c r="AC320" s="270" t="n"/>
      <c r="AD320" s="270" t="n"/>
      <c r="AE320" s="270" t="n"/>
      <c r="AF320" s="270" t="n"/>
      <c r="AG320" s="270" t="n"/>
      <c r="AH320" s="270" t="n"/>
      <c r="AI320" s="270" t="n"/>
      <c r="AJ320" s="270" t="n"/>
      <c r="AK320" s="270" t="n"/>
      <c r="AL320" s="270" t="n"/>
      <c r="AM320" s="270" t="n"/>
      <c r="AN320" s="270" t="n"/>
      <c r="AO320" s="270" t="n"/>
      <c r="AP320" s="270" t="n"/>
      <c r="AQ320" s="270" t="n"/>
      <c r="AR320" s="270" t="n"/>
      <c r="AS320" s="270" t="n"/>
      <c r="AT320" s="270" t="n"/>
      <c r="AU320" s="270" t="n"/>
      <c r="AV320" s="270" t="n"/>
      <c r="AW320" s="270" t="n"/>
      <c r="AX320" s="270" t="n"/>
      <c r="AY320" s="270" t="n"/>
      <c r="AZ320" s="270" t="n"/>
      <c r="BA320" s="270" t="n"/>
      <c r="BB320" s="270" t="n"/>
      <c r="BC320" s="270" t="n"/>
      <c r="BD320" s="270" t="n"/>
      <c r="BE320" s="270" t="n"/>
      <c r="BF320" s="270" t="n"/>
      <c r="BG320" s="270" t="n"/>
      <c r="BH320" s="270" t="n"/>
      <c r="BI320" s="270" t="n"/>
      <c r="BJ320" s="270" t="n"/>
      <c r="BK320" s="270" t="n"/>
      <c r="BL320" s="270" t="n"/>
      <c r="BM320" s="270" t="n"/>
      <c r="BN320" s="270" t="n"/>
      <c r="BO320" s="270" t="n"/>
      <c r="BP320" s="270" t="n"/>
      <c r="BQ320" s="270" t="n"/>
      <c r="BR320" s="270" t="n"/>
      <c r="BS320" s="270" t="n"/>
      <c r="BT320" s="270" t="n"/>
      <c r="BU320" s="270" t="n"/>
      <c r="BV320" s="270" t="n"/>
      <c r="BW320" s="270" t="n"/>
      <c r="BX320" s="270" t="n"/>
      <c r="BY320" s="269" t="n"/>
      <c r="BZ320" s="269" t="n"/>
      <c r="CA320" s="269" t="n"/>
      <c r="CB320" s="269" t="n"/>
      <c r="CC320" s="269" t="n"/>
      <c r="CD320" s="269" t="n"/>
      <c r="CE320" s="269" t="n"/>
      <c r="CF320" s="19" t="n"/>
    </row>
    <row r="321">
      <c r="B321" s="25" t="inlineStr">
        <is>
          <t xml:space="preserve">  Cash and cash equivalents</t>
        </is>
      </c>
      <c r="C321" s="34" t="n">
        <v>120.212</v>
      </c>
      <c r="D321" s="34" t="n">
        <v>217.382</v>
      </c>
      <c r="E321" s="34" t="n">
        <v>284.332</v>
      </c>
      <c r="F321" s="34" t="n">
        <v>388.136</v>
      </c>
      <c r="G321" s="34" t="n">
        <v>366.193</v>
      </c>
      <c r="H321" s="34" t="n">
        <v>361.101</v>
      </c>
      <c r="I321" s="34" t="n">
        <v>286.464</v>
      </c>
      <c r="J321" s="34" t="n">
        <v>248.455</v>
      </c>
      <c r="K321" s="34" t="n">
        <v>256.389</v>
      </c>
      <c r="L321" s="34" t="n">
        <v>330.309</v>
      </c>
      <c r="M321" s="34" t="n">
        <v>299.825</v>
      </c>
      <c r="N321" s="34" t="n">
        <v>299.825</v>
      </c>
      <c r="O321" s="34" t="n">
        <v>205.387</v>
      </c>
      <c r="P321" s="34" t="n">
        <v>204.285</v>
      </c>
      <c r="Q321" s="34" t="n">
        <v>279.523</v>
      </c>
      <c r="R321" s="34" t="n">
        <v>278.379</v>
      </c>
      <c r="S321" s="34" t="n">
        <v>278.379</v>
      </c>
      <c r="T321" s="34" t="n">
        <v>289.017</v>
      </c>
      <c r="U321" s="34" t="n">
        <v>312.737</v>
      </c>
      <c r="V321" s="34" t="n">
        <v>364.345</v>
      </c>
      <c r="W321" s="34" t="n">
        <v>304.183</v>
      </c>
      <c r="X321" s="34" t="n">
        <v>304.183</v>
      </c>
      <c r="Y321" s="34" t="n">
        <v>220.996</v>
      </c>
      <c r="Z321" s="34" t="n">
        <v>237.019</v>
      </c>
      <c r="AA321" s="34" t="n">
        <v>256.928</v>
      </c>
      <c r="AB321" s="34" t="n">
        <v>379.179</v>
      </c>
      <c r="AC321" s="34" t="n">
        <v>379.179</v>
      </c>
      <c r="AD321" s="34" t="n">
        <v>401.44</v>
      </c>
      <c r="AE321" s="34" t="n">
        <v>395.735</v>
      </c>
      <c r="AF321" s="34" t="n">
        <v>299.453</v>
      </c>
      <c r="AG321" s="34" t="n">
        <v>326.701</v>
      </c>
      <c r="AH321" s="34" t="n">
        <v>326.701</v>
      </c>
      <c r="AI321" s="34" t="n">
        <v>369.056</v>
      </c>
      <c r="AJ321" s="34" t="n">
        <v>357.094</v>
      </c>
      <c r="AK321" s="34" t="n">
        <v>398.2</v>
      </c>
      <c r="AL321" s="34" t="n">
        <v>358.849</v>
      </c>
      <c r="AM321" s="34" t="n">
        <v>358.849</v>
      </c>
      <c r="AN321" s="34" t="n">
        <v>267.134</v>
      </c>
      <c r="AO321" s="34" t="n">
        <v>189.861</v>
      </c>
      <c r="AP321" s="34" t="n">
        <v>156.612</v>
      </c>
      <c r="AQ321" s="34" t="n">
        <v>199.563</v>
      </c>
      <c r="AR321" s="34" t="n">
        <v>199.563</v>
      </c>
      <c r="AS321" s="34" t="n">
        <v>163.375</v>
      </c>
      <c r="AT321" s="34" t="n">
        <v>143.055</v>
      </c>
      <c r="AU321" s="34" t="n">
        <v>152.479</v>
      </c>
      <c r="AV321" s="34" t="n">
        <v>257.279</v>
      </c>
      <c r="AW321" s="34" t="n">
        <v>257.279</v>
      </c>
      <c r="AX321" s="34" t="n">
        <v>242.126</v>
      </c>
      <c r="AY321" s="34" t="n">
        <v>190.884</v>
      </c>
      <c r="AZ321" s="34" t="n">
        <v>160.559</v>
      </c>
      <c r="BA321" s="34" t="n">
        <v>192.958</v>
      </c>
      <c r="BB321" s="34" t="n">
        <v>192.958</v>
      </c>
      <c r="BC321" s="34" t="n">
        <v>154.373</v>
      </c>
      <c r="BD321" s="34" t="n">
        <v>152.796</v>
      </c>
      <c r="BE321" s="34" t="n">
        <v>141.307</v>
      </c>
      <c r="BF321" s="34" t="n">
        <v>197.15</v>
      </c>
      <c r="BG321" s="34" t="n">
        <v>197.15</v>
      </c>
      <c r="BH321" s="34" t="n">
        <v>198.803</v>
      </c>
      <c r="BI321" s="34" t="n">
        <v>220.483</v>
      </c>
      <c r="BJ321" s="34" t="n">
        <v>342.667</v>
      </c>
      <c r="BK321" s="34" t="n">
        <v>393.787</v>
      </c>
      <c r="BL321" s="34" t="n">
        <v>393.787</v>
      </c>
      <c r="BM321" s="34" t="n">
        <v>374.978</v>
      </c>
      <c r="BN321" s="34" t="n">
        <v>272.672</v>
      </c>
      <c r="BO321" s="34" t="n">
        <v>404.218</v>
      </c>
      <c r="BP321" s="34" t="n">
        <v>377.262</v>
      </c>
      <c r="BQ321" s="34" t="n">
        <v>377.262</v>
      </c>
      <c r="BR321" s="34" t="n">
        <v>394.705</v>
      </c>
      <c r="BS321" s="34" t="n">
        <v>299.481</v>
      </c>
      <c r="BT321" s="34" t="n">
        <v>292.997</v>
      </c>
      <c r="BU321" s="34" t="n">
        <v>308.789</v>
      </c>
      <c r="BV321" s="34" t="n">
        <v>308.789</v>
      </c>
      <c r="BW321" s="34" t="n">
        <v>298.903</v>
      </c>
      <c r="BX321" s="34" t="n">
        <v>242.443</v>
      </c>
      <c r="BY321" s="257" t="n"/>
      <c r="BZ321" s="257" t="n"/>
      <c r="CA321" s="257">
        <f>CA294</f>
        <v>253.203041136508</v>
      </c>
      <c r="CB321" s="257">
        <f>CB294</f>
        <v>250</v>
      </c>
      <c r="CC321" s="257">
        <f>CC294</f>
        <v>250</v>
      </c>
      <c r="CD321" s="257">
        <f>CD294</f>
        <v>250</v>
      </c>
      <c r="CE321" s="257">
        <f>CE294</f>
        <v>250</v>
      </c>
      <c r="CF321" s="19" t="n"/>
    </row>
    <row r="322">
      <c r="B322" s="25" t="inlineStr">
        <is>
          <t xml:space="preserve">  Accounts receivable, net</t>
        </is>
      </c>
      <c r="C322" s="34" t="n">
        <v>298.993</v>
      </c>
      <c r="D322" s="34" t="n">
        <v>344.058</v>
      </c>
      <c r="E322" s="34" t="n">
        <v>299.171</v>
      </c>
      <c r="F322" s="34" t="n">
        <v>273.7</v>
      </c>
      <c r="G322" s="34" t="n">
        <v>321.948</v>
      </c>
      <c r="H322" s="34" t="n">
        <v>386.197</v>
      </c>
      <c r="I322" s="34" t="n">
        <v>360.662</v>
      </c>
      <c r="J322" s="34" t="n">
        <v>423.767</v>
      </c>
      <c r="K322" s="34" t="n">
        <v>396.383</v>
      </c>
      <c r="L322" s="34" t="n">
        <v>375.224</v>
      </c>
      <c r="M322" s="34" t="n">
        <v>367.134</v>
      </c>
      <c r="N322" s="34" t="n">
        <v>367.134</v>
      </c>
      <c r="O322" s="34" t="n">
        <v>405.675</v>
      </c>
      <c r="P322" s="34" t="n">
        <v>407.223</v>
      </c>
      <c r="Q322" s="34" t="n">
        <v>354.376</v>
      </c>
      <c r="R322" s="34" t="n">
        <v>321.862</v>
      </c>
      <c r="S322" s="34" t="n">
        <v>321.862</v>
      </c>
      <c r="T322" s="34" t="n">
        <v>334.928</v>
      </c>
      <c r="U322" s="34" t="n">
        <v>329.223</v>
      </c>
      <c r="V322" s="34" t="n">
        <v>310.824</v>
      </c>
      <c r="W322" s="34" t="n">
        <v>264.715</v>
      </c>
      <c r="X322" s="34" t="n">
        <v>264.715</v>
      </c>
      <c r="Y322" s="34" t="n">
        <v>286.12</v>
      </c>
      <c r="Z322" s="34" t="n">
        <v>291.645</v>
      </c>
      <c r="AA322" s="34" t="n">
        <v>281.039</v>
      </c>
      <c r="AB322" s="34" t="n">
        <v>273.993</v>
      </c>
      <c r="AC322" s="34" t="n">
        <v>273.993</v>
      </c>
      <c r="AD322" s="34" t="n">
        <v>302.599</v>
      </c>
      <c r="AE322" s="34" t="n">
        <v>323.185</v>
      </c>
      <c r="AF322" s="34" t="n">
        <v>401.231</v>
      </c>
      <c r="AG322" s="34" t="n">
        <v>395.279</v>
      </c>
      <c r="AH322" s="34" t="n">
        <v>395.279</v>
      </c>
      <c r="AI322" s="34" t="n">
        <v>442.74</v>
      </c>
      <c r="AJ322" s="34" t="n">
        <v>425.806</v>
      </c>
      <c r="AK322" s="34" t="n">
        <v>409.594</v>
      </c>
      <c r="AL322" s="34" t="n">
        <v>396.885</v>
      </c>
      <c r="AM322" s="34" t="n">
        <v>396.885</v>
      </c>
      <c r="AN322" s="34" t="n">
        <v>423.187</v>
      </c>
      <c r="AO322" s="34" t="n">
        <v>428.353</v>
      </c>
      <c r="AP322" s="34" t="n">
        <v>395.355</v>
      </c>
      <c r="AQ322" s="34" t="n">
        <v>374.649</v>
      </c>
      <c r="AR322" s="34" t="n">
        <v>374.649</v>
      </c>
      <c r="AS322" s="34" t="n">
        <v>385.673</v>
      </c>
      <c r="AT322" s="34" t="n">
        <v>339.102</v>
      </c>
      <c r="AU322" s="34" t="n">
        <v>373.044</v>
      </c>
      <c r="AV322" s="34" t="n">
        <v>373.487</v>
      </c>
      <c r="AW322" s="34" t="n">
        <v>373.487</v>
      </c>
      <c r="AX322" s="34" t="n">
        <v>431.35</v>
      </c>
      <c r="AY322" s="34" t="n">
        <v>457.454</v>
      </c>
      <c r="AZ322" s="34" t="n">
        <v>443.054</v>
      </c>
      <c r="BA322" s="34" t="n">
        <v>429.074</v>
      </c>
      <c r="BB322" s="34" t="n">
        <v>429.074</v>
      </c>
      <c r="BC322" s="34" t="n">
        <v>516.231</v>
      </c>
      <c r="BD322" s="34" t="n">
        <v>518.371</v>
      </c>
      <c r="BE322" s="34" t="n">
        <v>463.106</v>
      </c>
      <c r="BF322" s="34" t="n">
        <v>541.529</v>
      </c>
      <c r="BG322" s="34" t="n">
        <v>541.529</v>
      </c>
      <c r="BH322" s="34" t="n">
        <v>573.467</v>
      </c>
      <c r="BI322" s="34" t="n">
        <v>570.294</v>
      </c>
      <c r="BJ322" s="34" t="n">
        <v>537.6369999999999</v>
      </c>
      <c r="BK322" s="34" t="n">
        <v>538.83</v>
      </c>
      <c r="BL322" s="34" t="n">
        <v>538.83</v>
      </c>
      <c r="BM322" s="34" t="n">
        <v>544.514</v>
      </c>
      <c r="BN322" s="34" t="n">
        <v>549.237</v>
      </c>
      <c r="BO322" s="34" t="n">
        <v>517.035</v>
      </c>
      <c r="BP322" s="34" t="n">
        <v>481.979</v>
      </c>
      <c r="BQ322" s="34" t="n">
        <v>481.979</v>
      </c>
      <c r="BR322" s="34" t="n">
        <v>522.721</v>
      </c>
      <c r="BS322" s="34" t="n">
        <v>554.277</v>
      </c>
      <c r="BT322" s="34" t="n">
        <v>501.538</v>
      </c>
      <c r="BU322" s="34" t="n">
        <v>538.7910000000001</v>
      </c>
      <c r="BV322" s="34" t="n">
        <v>538.7910000000001</v>
      </c>
      <c r="BW322" s="34" t="n">
        <v>598.3150000000001</v>
      </c>
      <c r="BX322" s="34" t="n">
        <v>586.348</v>
      </c>
      <c r="BY322" s="257" t="n"/>
      <c r="BZ322" s="257" t="n"/>
      <c r="CA322" s="257">
        <f>CA355*CA357/365</f>
        <v>594.823901013699</v>
      </c>
      <c r="CB322" s="257">
        <f>CB355*CB357/365</f>
        <v>633.835753781938</v>
      </c>
      <c r="CC322" s="257">
        <f>CC355*CC357/365</f>
        <v>681.182408010675</v>
      </c>
      <c r="CD322" s="257">
        <f>CD355*CD357/365</f>
        <v>730.349888578155</v>
      </c>
      <c r="CE322" s="257">
        <f>CE355*CE357/365</f>
        <v>781.784637720787</v>
      </c>
      <c r="CF322" s="19" t="inlineStr">
        <is>
          <t>Receivables = net sales × DSO / 365.</t>
        </is>
      </c>
    </row>
    <row r="323">
      <c r="B323" s="25" t="inlineStr">
        <is>
          <t xml:space="preserve">  Inventories</t>
        </is>
      </c>
      <c r="C323" s="34" t="n">
        <v>351.144</v>
      </c>
      <c r="D323" s="34" t="n">
        <v>343.849</v>
      </c>
      <c r="E323" s="34" t="n">
        <v>346.932</v>
      </c>
      <c r="F323" s="34" t="n">
        <v>255.743</v>
      </c>
      <c r="G323" s="34" t="n">
        <v>291.73</v>
      </c>
      <c r="H323" s="34" t="n">
        <v>373.238</v>
      </c>
      <c r="I323" s="34" t="n">
        <v>364.89</v>
      </c>
      <c r="J323" s="34" t="n">
        <v>377.26</v>
      </c>
      <c r="K323" s="34" t="n">
        <v>367.631</v>
      </c>
      <c r="L323" s="34" t="n">
        <v>369.863</v>
      </c>
      <c r="M323" s="34" t="n">
        <v>349.963</v>
      </c>
      <c r="N323" s="34" t="n">
        <v>349.963</v>
      </c>
      <c r="O323" s="34" t="n">
        <v>363.554</v>
      </c>
      <c r="P323" s="34" t="n">
        <v>368.027</v>
      </c>
      <c r="Q323" s="34" t="n">
        <v>337.197</v>
      </c>
      <c r="R323" s="34" t="n">
        <v>330.84</v>
      </c>
      <c r="S323" s="34" t="n">
        <v>330.84</v>
      </c>
      <c r="T323" s="34" t="n">
        <v>332.892</v>
      </c>
      <c r="U323" s="34" t="n">
        <v>321.723</v>
      </c>
      <c r="V323" s="34" t="n">
        <v>308.625</v>
      </c>
      <c r="W323" s="34" t="n">
        <v>275.93</v>
      </c>
      <c r="X323" s="34" t="n">
        <v>275.93</v>
      </c>
      <c r="Y323" s="34" t="n">
        <v>292.709</v>
      </c>
      <c r="Z323" s="34" t="n">
        <v>292.587</v>
      </c>
      <c r="AA323" s="34" t="n">
        <v>285.199</v>
      </c>
      <c r="AB323" s="34" t="n">
        <v>255.406</v>
      </c>
      <c r="AC323" s="34" t="n">
        <v>255.406</v>
      </c>
      <c r="AD323" s="34" t="n">
        <v>281.25</v>
      </c>
      <c r="AE323" s="34" t="n">
        <v>289.635</v>
      </c>
      <c r="AF323" s="34" t="n">
        <v>389.722</v>
      </c>
      <c r="AG323" s="34" t="n">
        <v>348.667</v>
      </c>
      <c r="AH323" s="34" t="n">
        <v>348.667</v>
      </c>
      <c r="AI323" s="34" t="n">
        <v>381.53</v>
      </c>
      <c r="AJ323" s="34" t="n">
        <v>365.634</v>
      </c>
      <c r="AK323" s="34" t="n">
        <v>377.431</v>
      </c>
      <c r="AL323" s="34" t="n">
        <v>361.829</v>
      </c>
      <c r="AM323" s="34" t="n">
        <v>361.829</v>
      </c>
      <c r="AN323" s="34" t="n">
        <v>375.737</v>
      </c>
      <c r="AO323" s="34" t="n">
        <v>397.752</v>
      </c>
      <c r="AP323" s="34" t="n">
        <v>411.12</v>
      </c>
      <c r="AQ323" s="34" t="n">
        <v>393.748</v>
      </c>
      <c r="AR323" s="34" t="n">
        <v>393.748</v>
      </c>
      <c r="AS323" s="34" t="n">
        <v>398.248</v>
      </c>
      <c r="AT323" s="34" t="n">
        <v>417.525</v>
      </c>
      <c r="AU323" s="34" t="n">
        <v>396.214</v>
      </c>
      <c r="AV323" s="34" t="n">
        <v>381.258</v>
      </c>
      <c r="AW323" s="34" t="n">
        <v>381.258</v>
      </c>
      <c r="AX323" s="34" t="n">
        <v>415.901</v>
      </c>
      <c r="AY323" s="34" t="n">
        <v>477.677</v>
      </c>
      <c r="AZ323" s="34" t="n">
        <v>524.433</v>
      </c>
      <c r="BA323" s="34" t="n">
        <v>539.919</v>
      </c>
      <c r="BB323" s="34" t="n">
        <v>539.919</v>
      </c>
      <c r="BC323" s="34" t="n">
        <v>599.7809999999999</v>
      </c>
      <c r="BD323" s="34" t="n">
        <v>639.393</v>
      </c>
      <c r="BE323" s="34" t="n">
        <v>632.376</v>
      </c>
      <c r="BF323" s="34" t="n">
        <v>665.451</v>
      </c>
      <c r="BG323" s="34" t="n">
        <v>665.451</v>
      </c>
      <c r="BH323" s="34" t="n">
        <v>664.599</v>
      </c>
      <c r="BI323" s="34" t="n">
        <v>674.754</v>
      </c>
      <c r="BJ323" s="34" t="n">
        <v>612.338</v>
      </c>
      <c r="BK323" s="34" t="n">
        <v>562.864</v>
      </c>
      <c r="BL323" s="34" t="n">
        <v>562.864</v>
      </c>
      <c r="BM323" s="34" t="n">
        <v>567.279</v>
      </c>
      <c r="BN323" s="34" t="n">
        <v>582.73</v>
      </c>
      <c r="BO323" s="34" t="n">
        <v>612.412</v>
      </c>
      <c r="BP323" s="34" t="n">
        <v>544.037</v>
      </c>
      <c r="BQ323" s="34" t="n">
        <v>544.037</v>
      </c>
      <c r="BR323" s="34" t="n">
        <v>574.329</v>
      </c>
      <c r="BS323" s="34" t="n">
        <v>621.4400000000001</v>
      </c>
      <c r="BT323" s="34" t="n">
        <v>671.515</v>
      </c>
      <c r="BU323" s="34" t="n">
        <v>633.364</v>
      </c>
      <c r="BV323" s="34" t="n">
        <v>633.364</v>
      </c>
      <c r="BW323" s="34" t="n">
        <v>693.938</v>
      </c>
      <c r="BX323" s="34" t="n">
        <v>690.543</v>
      </c>
      <c r="BY323" s="257" t="n"/>
      <c r="BZ323" s="257" t="n"/>
      <c r="CA323" s="257">
        <f>CA356*CA358/365</f>
        <v>711.683875161521</v>
      </c>
      <c r="CB323" s="257">
        <f>CB356*CB358/365</f>
        <v>745.787367711536</v>
      </c>
      <c r="CC323" s="257">
        <f>CC356*CC358/365</f>
        <v>795.122785750826</v>
      </c>
      <c r="CD323" s="257">
        <f>CD356*CD358/365</f>
        <v>846.887200177587</v>
      </c>
      <c r="CE323" s="257">
        <f>CE356*CE358/365</f>
        <v>901.009108122171</v>
      </c>
      <c r="CF323" s="19" t="n"/>
    </row>
    <row r="324">
      <c r="B324" s="25" t="inlineStr">
        <is>
          <t xml:space="preserve">  Other current assets (derived; incl. prepaid, assets held for sale)</t>
        </is>
      </c>
      <c r="C324" s="34" t="n">
        <v>59.06099999999998</v>
      </c>
      <c r="D324" s="34" t="n">
        <v>64.35900000000009</v>
      </c>
      <c r="E324" s="34" t="n">
        <v>94.29100000000011</v>
      </c>
      <c r="F324" s="34" t="n">
        <v>105.9670000000001</v>
      </c>
      <c r="G324" s="34" t="n">
        <v>102.641</v>
      </c>
      <c r="H324" s="34" t="n">
        <v>98.73399999999998</v>
      </c>
      <c r="I324" s="34" t="n">
        <v>120.8000000000001</v>
      </c>
      <c r="J324" s="34" t="n">
        <v>115.1780000000001</v>
      </c>
      <c r="K324" s="34" t="n">
        <v>113.821</v>
      </c>
      <c r="L324" s="34" t="n">
        <v>107.2529999999999</v>
      </c>
      <c r="M324" s="34" t="n">
        <v>113.853</v>
      </c>
      <c r="N324" s="34" t="n">
        <v>113.853</v>
      </c>
      <c r="O324" s="34" t="n">
        <v>110.329</v>
      </c>
      <c r="P324" s="34" t="n">
        <v>126.2040000000001</v>
      </c>
      <c r="Q324" s="34" t="n">
        <v>238.74</v>
      </c>
      <c r="R324" s="34" t="n">
        <v>167.5959999999999</v>
      </c>
      <c r="S324" s="34" t="n">
        <v>167.5959999999999</v>
      </c>
      <c r="T324" s="34" t="n">
        <v>138.1649999999999</v>
      </c>
      <c r="U324" s="34" t="n">
        <v>125.553</v>
      </c>
      <c r="V324" s="34" t="n">
        <v>85.06399999999991</v>
      </c>
      <c r="W324" s="34" t="n">
        <v>91.16700000000003</v>
      </c>
      <c r="X324" s="34" t="n">
        <v>91.16700000000003</v>
      </c>
      <c r="Y324" s="34" t="n">
        <v>102.522</v>
      </c>
      <c r="Z324" s="34" t="n">
        <v>100.3670000000001</v>
      </c>
      <c r="AA324" s="34" t="n">
        <v>97.31199999999995</v>
      </c>
      <c r="AB324" s="34" t="n">
        <v>135.135</v>
      </c>
      <c r="AC324" s="34" t="n">
        <v>135.135</v>
      </c>
      <c r="AD324" s="34" t="n">
        <v>162.7809999999999</v>
      </c>
      <c r="AE324" s="34" t="n">
        <v>199.2770000000001</v>
      </c>
      <c r="AF324" s="34" t="n">
        <v>288.2750000000001</v>
      </c>
      <c r="AG324" s="34" t="n">
        <v>302.961</v>
      </c>
      <c r="AH324" s="34" t="n">
        <v>302.961</v>
      </c>
      <c r="AI324" s="34" t="n">
        <v>252.519</v>
      </c>
      <c r="AJ324" s="34" t="n">
        <v>263.0329999999999</v>
      </c>
      <c r="AK324" s="34" t="n">
        <v>220.3469999999998</v>
      </c>
      <c r="AL324" s="34" t="n">
        <v>120.236</v>
      </c>
      <c r="AM324" s="34" t="n">
        <v>120.236</v>
      </c>
      <c r="AN324" s="34" t="n">
        <v>127.112</v>
      </c>
      <c r="AO324" s="34" t="n">
        <v>111.897</v>
      </c>
      <c r="AP324" s="34" t="n">
        <v>119.347</v>
      </c>
      <c r="AQ324" s="34" t="n">
        <v>107.6209999999999</v>
      </c>
      <c r="AR324" s="34" t="n">
        <v>107.6209999999999</v>
      </c>
      <c r="AS324" s="34" t="n">
        <v>112.0480000000001</v>
      </c>
      <c r="AT324" s="34" t="n">
        <v>108.097</v>
      </c>
      <c r="AU324" s="34" t="n">
        <v>104.474</v>
      </c>
      <c r="AV324" s="34" t="n">
        <v>100.3190000000001</v>
      </c>
      <c r="AW324" s="34" t="n">
        <v>100.3190000000001</v>
      </c>
      <c r="AX324" s="34" t="n">
        <v>106.91</v>
      </c>
      <c r="AY324" s="34" t="n">
        <v>111.9250000000001</v>
      </c>
      <c r="AZ324" s="34" t="n">
        <v>107.9120000000001</v>
      </c>
      <c r="BA324" s="34" t="n">
        <v>127.6419999999999</v>
      </c>
      <c r="BB324" s="34" t="n">
        <v>127.6419999999999</v>
      </c>
      <c r="BC324" s="34" t="n">
        <v>157.4480000000001</v>
      </c>
      <c r="BD324" s="34" t="n">
        <v>154.6429999999999</v>
      </c>
      <c r="BE324" s="34" t="n">
        <v>158.6089999999999</v>
      </c>
      <c r="BF324" s="34" t="n">
        <v>153.6599999999999</v>
      </c>
      <c r="BG324" s="34" t="n">
        <v>153.6599999999999</v>
      </c>
      <c r="BH324" s="34" t="n">
        <v>173.6220000000001</v>
      </c>
      <c r="BI324" s="34" t="n">
        <v>180.6470000000002</v>
      </c>
      <c r="BJ324" s="34" t="n">
        <v>179.6520000000003</v>
      </c>
      <c r="BK324" s="34" t="n">
        <v>197.63</v>
      </c>
      <c r="BL324" s="34" t="n">
        <v>197.63</v>
      </c>
      <c r="BM324" s="34" t="n">
        <v>192.9789999999999</v>
      </c>
      <c r="BN324" s="34" t="n">
        <v>208.467</v>
      </c>
      <c r="BO324" s="34" t="n">
        <v>223.436</v>
      </c>
      <c r="BP324" s="34" t="n">
        <v>242.0029999999999</v>
      </c>
      <c r="BQ324" s="34" t="n">
        <v>242.0029999999999</v>
      </c>
      <c r="BR324" s="34" t="n">
        <v>237.8720000000001</v>
      </c>
      <c r="BS324" s="34" t="n">
        <v>250.028</v>
      </c>
      <c r="BT324" s="34" t="n">
        <v>313.9219999999999</v>
      </c>
      <c r="BU324" s="34" t="n">
        <v>258.5679999999999</v>
      </c>
      <c r="BV324" s="34" t="n">
        <v>258.5679999999999</v>
      </c>
      <c r="BW324" s="34" t="n">
        <v>272.2879999999999</v>
      </c>
      <c r="BX324" s="34" t="n">
        <v>241.216</v>
      </c>
      <c r="BY324" s="257" t="n"/>
      <c r="BZ324" s="257" t="n"/>
      <c r="CA324" s="257">
        <f>$BX$324</f>
        <v>241.216</v>
      </c>
      <c r="CB324" s="257">
        <f>CA324</f>
        <v>241.216</v>
      </c>
      <c r="CC324" s="257">
        <f>CB324</f>
        <v>241.216</v>
      </c>
      <c r="CD324" s="257">
        <f>CC324</f>
        <v>241.216</v>
      </c>
      <c r="CE324" s="257">
        <f>CD324</f>
        <v>241.216</v>
      </c>
      <c r="CF324" s="19" t="n"/>
    </row>
    <row r="325">
      <c r="B325" s="16" t="inlineStr">
        <is>
          <t>Total current assets</t>
        </is>
      </c>
      <c r="C325" s="43">
        <f>C321+C322+C323+C324</f>
        <v>829.41</v>
      </c>
      <c r="D325" s="43">
        <f>D321+D322+D323+D324</f>
        <v>969.648</v>
      </c>
      <c r="E325" s="43">
        <f>E321+E322+E323+E324</f>
        <v>1024.726</v>
      </c>
      <c r="F325" s="43">
        <f>F321+F322+F323+F324</f>
        <v>1023.546</v>
      </c>
      <c r="G325" s="43">
        <f>G321+G322+G323+G324</f>
        <v>1082.512</v>
      </c>
      <c r="H325" s="43">
        <f>H321+H322+H323+H324</f>
        <v>1219.27</v>
      </c>
      <c r="I325" s="43">
        <f>I321+I322+I323+I324</f>
        <v>1132.816</v>
      </c>
      <c r="J325" s="43">
        <f>J321+J322+J323+J324</f>
        <v>1164.66</v>
      </c>
      <c r="K325" s="43">
        <f>K321+K322+K323+K324</f>
        <v>1134.224</v>
      </c>
      <c r="L325" s="43">
        <f>L321+L322+L323+L324</f>
        <v>1182.649</v>
      </c>
      <c r="M325" s="43">
        <f>M321+M322+M323+M324</f>
        <v>1130.775</v>
      </c>
      <c r="N325" s="43">
        <f>N321+N322+N323+N324</f>
        <v>1130.775</v>
      </c>
      <c r="O325" s="43">
        <f>O321+O322+O323+O324</f>
        <v>1084.945</v>
      </c>
      <c r="P325" s="43">
        <f>P321+P322+P323+P324</f>
        <v>1105.739</v>
      </c>
      <c r="Q325" s="43">
        <f>Q321+Q322+Q323+Q324</f>
        <v>1209.836</v>
      </c>
      <c r="R325" s="43">
        <f>R321+R322+R323+R324</f>
        <v>1098.677</v>
      </c>
      <c r="S325" s="43">
        <f>S321+S322+S323+S324</f>
        <v>1098.677</v>
      </c>
      <c r="T325" s="43">
        <f>T321+T322+T323+T324</f>
        <v>1095.002</v>
      </c>
      <c r="U325" s="43">
        <f>U321+U322+U323+U324</f>
        <v>1089.236</v>
      </c>
      <c r="V325" s="43">
        <f>V321+V322+V323+V324</f>
        <v>1068.858</v>
      </c>
      <c r="W325" s="43">
        <f>W321+W322+W323+W324</f>
        <v>935.995</v>
      </c>
      <c r="X325" s="43">
        <f>X321+X322+X323+X324</f>
        <v>935.995</v>
      </c>
      <c r="Y325" s="43">
        <f>Y321+Y322+Y323+Y324</f>
        <v>902.347</v>
      </c>
      <c r="Z325" s="43">
        <f>Z321+Z322+Z323+Z324</f>
        <v>921.618</v>
      </c>
      <c r="AA325" s="43">
        <f>AA321+AA322+AA323+AA324</f>
        <v>920.478</v>
      </c>
      <c r="AB325" s="43">
        <f>AB321+AB322+AB323+AB324</f>
        <v>1043.713</v>
      </c>
      <c r="AC325" s="43">
        <f>AC321+AC322+AC323+AC324</f>
        <v>1043.713</v>
      </c>
      <c r="AD325" s="43">
        <f>AD321+AD322+AD323+AD324</f>
        <v>1148.07</v>
      </c>
      <c r="AE325" s="43">
        <f>AE321+AE322+AE323+AE324</f>
        <v>1207.832</v>
      </c>
      <c r="AF325" s="43">
        <f>AF321+AF322+AF323+AF324</f>
        <v>1378.681</v>
      </c>
      <c r="AG325" s="43">
        <f>AG321+AG322+AG323+AG324</f>
        <v>1373.608</v>
      </c>
      <c r="AH325" s="43">
        <f>AH321+AH322+AH323+AH324</f>
        <v>1373.608</v>
      </c>
      <c r="AI325" s="43">
        <f>AI321+AI322+AI323+AI324</f>
        <v>1445.845</v>
      </c>
      <c r="AJ325" s="43">
        <f>AJ321+AJ322+AJ323+AJ324</f>
        <v>1411.567</v>
      </c>
      <c r="AK325" s="43">
        <f>AK321+AK322+AK323+AK324</f>
        <v>1405.572</v>
      </c>
      <c r="AL325" s="43">
        <f>AL321+AL322+AL323+AL324</f>
        <v>1237.799</v>
      </c>
      <c r="AM325" s="43">
        <f>AM321+AM322+AM323+AM324</f>
        <v>1237.799</v>
      </c>
      <c r="AN325" s="43">
        <f>AN321+AN322+AN323+AN324</f>
        <v>1193.17</v>
      </c>
      <c r="AO325" s="43">
        <f>AO321+AO322+AO323+AO324</f>
        <v>1127.863</v>
      </c>
      <c r="AP325" s="43">
        <f>AP321+AP322+AP323+AP324</f>
        <v>1082.434</v>
      </c>
      <c r="AQ325" s="43">
        <f>AQ321+AQ322+AQ323+AQ324</f>
        <v>1075.581</v>
      </c>
      <c r="AR325" s="43">
        <f>AR321+AR322+AR323+AR324</f>
        <v>1075.581</v>
      </c>
      <c r="AS325" s="43">
        <f>AS321+AS322+AS323+AS324</f>
        <v>1059.344</v>
      </c>
      <c r="AT325" s="43">
        <f>AT321+AT322+AT323+AT324</f>
        <v>1007.779</v>
      </c>
      <c r="AU325" s="43">
        <f>AU321+AU322+AU323+AU324</f>
        <v>1026.211</v>
      </c>
      <c r="AV325" s="43">
        <f>AV321+AV322+AV323+AV324</f>
        <v>1112.343</v>
      </c>
      <c r="AW325" s="43">
        <f>AW321+AW322+AW323+AW324</f>
        <v>1112.343</v>
      </c>
      <c r="AX325" s="43">
        <f>AX321+AX322+AX323+AX324</f>
        <v>1196.287</v>
      </c>
      <c r="AY325" s="43">
        <f>AY321+AY322+AY323+AY324</f>
        <v>1237.94</v>
      </c>
      <c r="AZ325" s="43">
        <f>AZ321+AZ322+AZ323+AZ324</f>
        <v>1235.958</v>
      </c>
      <c r="BA325" s="43">
        <f>BA321+BA322+BA323+BA324</f>
        <v>1289.593</v>
      </c>
      <c r="BB325" s="43">
        <f>BB321+BB322+BB323+BB324</f>
        <v>1289.593</v>
      </c>
      <c r="BC325" s="43">
        <f>BC321+BC322+BC323+BC324</f>
        <v>1427.833</v>
      </c>
      <c r="BD325" s="43">
        <f>BD321+BD322+BD323+BD324</f>
        <v>1465.203</v>
      </c>
      <c r="BE325" s="43">
        <f>BE321+BE322+BE323+BE324</f>
        <v>1395.398</v>
      </c>
      <c r="BF325" s="43">
        <f>BF321+BF322+BF323+BF324</f>
        <v>1557.79</v>
      </c>
      <c r="BG325" s="43">
        <f>BG321+BG322+BG323+BG324</f>
        <v>1557.79</v>
      </c>
      <c r="BH325" s="43">
        <f>BH321+BH322+BH323+BH324</f>
        <v>1610.491</v>
      </c>
      <c r="BI325" s="43">
        <f>BI321+BI322+BI323+BI324</f>
        <v>1646.178</v>
      </c>
      <c r="BJ325" s="43">
        <f>BJ321+BJ322+BJ323+BJ324</f>
        <v>1672.294</v>
      </c>
      <c r="BK325" s="43">
        <f>BK321+BK322+BK323+BK324</f>
        <v>1693.111</v>
      </c>
      <c r="BL325" s="43">
        <f>BL321+BL322+BL323+BL324</f>
        <v>1693.111</v>
      </c>
      <c r="BM325" s="43">
        <f>BM321+BM322+BM323+BM324</f>
        <v>1679.75</v>
      </c>
      <c r="BN325" s="43">
        <f>BN321+BN322+BN323+BN324</f>
        <v>1613.106</v>
      </c>
      <c r="BO325" s="43">
        <f>BO321+BO322+BO323+BO324</f>
        <v>1757.101</v>
      </c>
      <c r="BP325" s="43">
        <f>BP321+BP322+BP323+BP324</f>
        <v>1645.281</v>
      </c>
      <c r="BQ325" s="43">
        <f>BQ321+BQ322+BQ323+BQ324</f>
        <v>1645.281</v>
      </c>
      <c r="BR325" s="43">
        <f>BR321+BR322+BR323+BR324</f>
        <v>1729.627</v>
      </c>
      <c r="BS325" s="43">
        <f>BS321+BS322+BS323+BS324</f>
        <v>1725.226</v>
      </c>
      <c r="BT325" s="43">
        <f>BT321+BT322+BT323+BT324</f>
        <v>1779.972</v>
      </c>
      <c r="BU325" s="43">
        <f>BU321+BU322+BU323+BU324</f>
        <v>1739.512</v>
      </c>
      <c r="BV325" s="43">
        <f>BV321+BV322+BV323+BV324</f>
        <v>1739.512</v>
      </c>
      <c r="BW325" s="43">
        <f>BW321+BW322+BW323+BW324</f>
        <v>1863.444</v>
      </c>
      <c r="BX325" s="43">
        <f>BX321+BX322+BX323+BX324</f>
        <v>1760.55</v>
      </c>
      <c r="BY325" s="253" t="n"/>
      <c r="BZ325" s="253" t="n"/>
      <c r="CA325" s="253">
        <f>CA321+CA322+CA323+CA324</f>
        <v>1800.92681731173</v>
      </c>
      <c r="CB325" s="253">
        <f>CB321+CB322+CB323+CB324</f>
        <v>1870.83912149347</v>
      </c>
      <c r="CC325" s="253">
        <f>CC321+CC322+CC323+CC324</f>
        <v>1967.5211937615</v>
      </c>
      <c r="CD325" s="253">
        <f>CD321+CD322+CD323+CD324</f>
        <v>2068.45308875574</v>
      </c>
      <c r="CE325" s="253">
        <f>CE321+CE322+CE323+CE324</f>
        <v>2174.00974584296</v>
      </c>
      <c r="CF325" s="19" t="n"/>
    </row>
    <row r="326">
      <c r="B326" s="25" t="inlineStr">
        <is>
          <t xml:space="preserve">  Property, plant &amp; equipment, net</t>
        </is>
      </c>
      <c r="C326" s="34" t="n">
        <v>389.518</v>
      </c>
      <c r="D326" s="34" t="n">
        <v>429.944</v>
      </c>
      <c r="E326" s="34" t="n">
        <v>427.902</v>
      </c>
      <c r="F326" s="34" t="n">
        <v>460.061</v>
      </c>
      <c r="G326" s="34" t="n">
        <v>478.566</v>
      </c>
      <c r="H326" s="34" t="n">
        <v>470.451</v>
      </c>
      <c r="I326" s="34" t="n">
        <v>486.236</v>
      </c>
      <c r="J326" s="34" t="n">
        <v>481.074</v>
      </c>
      <c r="K326" s="34" t="n">
        <v>476.152</v>
      </c>
      <c r="L326" s="34" t="n">
        <v>478.673</v>
      </c>
      <c r="M326" s="34" t="n">
        <v>484.005</v>
      </c>
      <c r="N326" s="34" t="n">
        <v>484.005</v>
      </c>
      <c r="O326" s="34" t="n">
        <v>479.287</v>
      </c>
      <c r="P326" s="34" t="n">
        <v>481.861</v>
      </c>
      <c r="Q326" s="34" t="n">
        <v>450.016</v>
      </c>
      <c r="R326" s="34" t="n">
        <v>437.209</v>
      </c>
      <c r="S326" s="34" t="n">
        <v>437.209</v>
      </c>
      <c r="T326" s="34" t="n">
        <v>423.02</v>
      </c>
      <c r="U326" s="34" t="n">
        <v>429.329</v>
      </c>
      <c r="V326" s="34" t="n">
        <v>421.94</v>
      </c>
      <c r="W326" s="34" t="n">
        <v>411.323</v>
      </c>
      <c r="X326" s="34" t="n">
        <v>411.323</v>
      </c>
      <c r="Y326" s="34" t="n">
        <v>413.826</v>
      </c>
      <c r="Z326" s="34" t="n">
        <v>383.867</v>
      </c>
      <c r="AA326" s="34" t="n">
        <v>384.817</v>
      </c>
      <c r="AB326" s="34" t="n">
        <v>372.377</v>
      </c>
      <c r="AC326" s="34" t="n">
        <v>372.377</v>
      </c>
      <c r="AD326" s="34" t="n">
        <v>376.12</v>
      </c>
      <c r="AE326" s="34" t="n">
        <v>384.947</v>
      </c>
      <c r="AF326" s="34" t="n">
        <v>475.071</v>
      </c>
      <c r="AG326" s="34" t="n">
        <v>477.031</v>
      </c>
      <c r="AH326" s="34" t="n">
        <v>477.031</v>
      </c>
      <c r="AI326" s="34" t="n">
        <v>482.805</v>
      </c>
      <c r="AJ326" s="34" t="n">
        <v>468.205</v>
      </c>
      <c r="AK326" s="34" t="n">
        <v>461.828</v>
      </c>
      <c r="AL326" s="34" t="n">
        <v>478.801</v>
      </c>
      <c r="AM326" s="34" t="n">
        <v>478.801</v>
      </c>
      <c r="AN326" s="34" t="n">
        <v>476.876</v>
      </c>
      <c r="AO326" s="34" t="n">
        <v>512.364</v>
      </c>
      <c r="AP326" s="34" t="n">
        <v>523.229</v>
      </c>
      <c r="AQ326" s="34" t="n">
        <v>529.3440000000001</v>
      </c>
      <c r="AR326" s="34" t="n">
        <v>529.3440000000001</v>
      </c>
      <c r="AS326" s="34" t="n">
        <v>503.179</v>
      </c>
      <c r="AT326" s="34" t="n">
        <v>502.249</v>
      </c>
      <c r="AU326" s="34" t="n">
        <v>504.52</v>
      </c>
      <c r="AV326" s="34" t="n">
        <v>522.092</v>
      </c>
      <c r="AW326" s="34" t="n">
        <v>522.092</v>
      </c>
      <c r="AX326" s="34" t="n">
        <v>500.449</v>
      </c>
      <c r="AY326" s="34" t="n">
        <v>513.686</v>
      </c>
      <c r="AZ326" s="34" t="n">
        <v>520.081</v>
      </c>
      <c r="BA326" s="34" t="n">
        <v>511.744</v>
      </c>
      <c r="BB326" s="34" t="n">
        <v>511.744</v>
      </c>
      <c r="BC326" s="34" t="n">
        <v>511.873</v>
      </c>
      <c r="BD326" s="34" t="n">
        <v>503.088</v>
      </c>
      <c r="BE326" s="34" t="n">
        <v>489.961</v>
      </c>
      <c r="BF326" s="34" t="n">
        <v>544.871</v>
      </c>
      <c r="BG326" s="34" t="n">
        <v>544.871</v>
      </c>
      <c r="BH326" s="34" t="n">
        <v>553.409</v>
      </c>
      <c r="BI326" s="34" t="n">
        <v>563.1799999999999</v>
      </c>
      <c r="BJ326" s="34" t="n">
        <v>565.875</v>
      </c>
      <c r="BK326" s="34" t="n">
        <v>575.316</v>
      </c>
      <c r="BL326" s="34" t="n">
        <v>575.316</v>
      </c>
      <c r="BM326" s="34" t="n">
        <v>582.178</v>
      </c>
      <c r="BN326" s="34" t="n">
        <v>583.832</v>
      </c>
      <c r="BO326" s="34" t="n">
        <v>624.403</v>
      </c>
      <c r="BP326" s="34" t="n">
        <v>619.181</v>
      </c>
      <c r="BQ326" s="34" t="n">
        <v>619.181</v>
      </c>
      <c r="BR326" s="34" t="n">
        <v>636.158</v>
      </c>
      <c r="BS326" s="34" t="n">
        <v>660.672</v>
      </c>
      <c r="BT326" s="34" t="n">
        <v>677.2569999999999</v>
      </c>
      <c r="BU326" s="34" t="n">
        <v>702.7619999999999</v>
      </c>
      <c r="BV326" s="34" t="n">
        <v>702.7619999999999</v>
      </c>
      <c r="BW326" s="34" t="n">
        <v>720.836</v>
      </c>
      <c r="BX326" s="34" t="n">
        <v>731.7619999999999</v>
      </c>
      <c r="BY326" s="257" t="n"/>
      <c r="BZ326" s="257" t="n"/>
      <c r="CA326" s="257">
        <f>$BX$326-(CA278-$BW$278-$BX$278)-($BY$148+$BZ$148-CA367/2)</f>
        <v>746.034</v>
      </c>
      <c r="CB326" s="257">
        <f>CA326-CB278-(CB148-CB367-CB126)+CB112*CB122</f>
        <v>821.291070121453</v>
      </c>
      <c r="CC326" s="257">
        <f>CB326-CC278-(CC148-CC367-CC126)+CC112*CC122</f>
        <v>904.219974581399</v>
      </c>
      <c r="CD326" s="257">
        <f>CC326-CD278-(CD148-CD367-CD126)+CD112*CD122</f>
        <v>987.273478755087</v>
      </c>
      <c r="CE326" s="257">
        <f>CD326-CE278-(CE148-CE367-CE126)+CE112*CE122</f>
        <v>1070.43129891718</v>
      </c>
      <c r="CF326" s="19" t="inlineStr">
        <is>
          <t>PP&amp;E roll-forward: prior + capex − depreciation (total D&amp;A less intangible amortization) + acquired PP&amp;E (M&amp;A lever).</t>
        </is>
      </c>
    </row>
    <row r="327">
      <c r="B327" s="25" t="inlineStr">
        <is>
          <t xml:space="preserve">  Goodwill</t>
        </is>
      </c>
      <c r="C327" s="34" t="n">
        <v>35.208</v>
      </c>
      <c r="D327" s="34" t="n">
        <v>42.727</v>
      </c>
      <c r="E327" s="34" t="n">
        <v>36.187</v>
      </c>
      <c r="F327" s="34" t="n">
        <v>39.554</v>
      </c>
      <c r="G327" s="34" t="n">
        <v>45.952</v>
      </c>
      <c r="H327" s="34" t="n">
        <v>65.101</v>
      </c>
      <c r="I327" s="34" t="n">
        <v>132.903</v>
      </c>
      <c r="J327" s="34" t="n"/>
      <c r="K327" s="34" t="n"/>
      <c r="L327" s="34" t="n"/>
      <c r="M327" s="34" t="n">
        <v>174.715</v>
      </c>
      <c r="N327" s="34" t="n">
        <v>174.715</v>
      </c>
      <c r="O327" s="34" t="n"/>
      <c r="P327" s="34" t="n"/>
      <c r="Q327" s="34" t="n"/>
      <c r="R327" s="34" t="n">
        <v>179.517</v>
      </c>
      <c r="S327" s="34" t="n">
        <v>179.517</v>
      </c>
      <c r="T327" s="34" t="n"/>
      <c r="U327" s="34" t="n"/>
      <c r="V327" s="34" t="n"/>
      <c r="W327" s="34" t="n">
        <v>187.504</v>
      </c>
      <c r="X327" s="34" t="n">
        <v>187.504</v>
      </c>
      <c r="Y327" s="34" t="n">
        <v>190.596</v>
      </c>
      <c r="Z327" s="34" t="n">
        <v>237.457</v>
      </c>
      <c r="AA327" s="34" t="n">
        <v>236.588</v>
      </c>
      <c r="AB327" s="34" t="n">
        <v>231.919</v>
      </c>
      <c r="AC327" s="34" t="n">
        <v>231.919</v>
      </c>
      <c r="AD327" s="34" t="n">
        <v>233.474</v>
      </c>
      <c r="AE327" s="34" t="n">
        <v>234.109</v>
      </c>
      <c r="AF327" s="34" t="n">
        <v>235.899</v>
      </c>
      <c r="AG327" s="34" t="n">
        <v>234.582</v>
      </c>
      <c r="AH327" s="34" t="n">
        <v>234.582</v>
      </c>
      <c r="AI327" s="34" t="n">
        <v>236.569</v>
      </c>
      <c r="AJ327" s="34" t="n">
        <v>233.982</v>
      </c>
      <c r="AK327" s="34" t="n">
        <v>233.741</v>
      </c>
      <c r="AL327" s="34" t="n">
        <v>281.294</v>
      </c>
      <c r="AM327" s="34" t="n">
        <v>281.294</v>
      </c>
      <c r="AN327" s="34" t="n">
        <v>282.512</v>
      </c>
      <c r="AO327" s="34" t="n">
        <v>323.016</v>
      </c>
      <c r="AP327" s="34" t="n">
        <v>331.311</v>
      </c>
      <c r="AQ327" s="34" t="n">
        <v>337.107</v>
      </c>
      <c r="AR327" s="34" t="n">
        <v>337.107</v>
      </c>
      <c r="AS327" s="34" t="n">
        <v>326.584</v>
      </c>
      <c r="AT327" s="34" t="n">
        <v>328.622</v>
      </c>
      <c r="AU327" s="34" t="n">
        <v>331.473</v>
      </c>
      <c r="AV327" s="34" t="n">
        <v>335.593</v>
      </c>
      <c r="AW327" s="34" t="n">
        <v>335.593</v>
      </c>
      <c r="AX327" s="34" t="n">
        <v>334.194</v>
      </c>
      <c r="AY327" s="34" t="n">
        <v>412.803</v>
      </c>
      <c r="AZ327" s="34" t="n">
        <v>436.039</v>
      </c>
      <c r="BA327" s="34" t="n">
        <v>430.162</v>
      </c>
      <c r="BB327" s="34" t="n">
        <v>430.162</v>
      </c>
      <c r="BC327" s="34" t="n">
        <v>437.141</v>
      </c>
      <c r="BD327" s="34" t="n">
        <v>431.615</v>
      </c>
      <c r="BE327" s="34" t="n">
        <v>424.505</v>
      </c>
      <c r="BF327" s="34" t="n">
        <v>665.2569999999999</v>
      </c>
      <c r="BG327" s="34" t="n">
        <v>665.2569999999999</v>
      </c>
      <c r="BH327" s="34" t="n">
        <v>679.385</v>
      </c>
      <c r="BI327" s="34" t="n">
        <v>692.457</v>
      </c>
      <c r="BJ327" s="34" t="n">
        <v>686.625</v>
      </c>
      <c r="BK327" s="34" t="n">
        <v>694.452</v>
      </c>
      <c r="BL327" s="34" t="n">
        <v>694.452</v>
      </c>
      <c r="BM327" s="34" t="n">
        <v>689.8680000000001</v>
      </c>
      <c r="BN327" s="34" t="n">
        <v>791.991</v>
      </c>
      <c r="BO327" s="34" t="n">
        <v>818.828</v>
      </c>
      <c r="BP327" s="34" t="n">
        <v>804.927</v>
      </c>
      <c r="BQ327" s="34" t="n">
        <v>804.927</v>
      </c>
      <c r="BR327" s="34" t="n">
        <v>813.698</v>
      </c>
      <c r="BS327" s="34" t="n">
        <v>829.4829999999999</v>
      </c>
      <c r="BT327" s="34" t="n">
        <v>887.885</v>
      </c>
      <c r="BU327" s="34" t="n">
        <v>886.686</v>
      </c>
      <c r="BV327" s="34" t="n">
        <v>886.686</v>
      </c>
      <c r="BW327" s="34" t="n">
        <v>886.373</v>
      </c>
      <c r="BX327" s="34" t="n">
        <v>885.232</v>
      </c>
      <c r="BY327" s="257" t="n"/>
      <c r="BZ327" s="257" t="n"/>
      <c r="CA327" s="257">
        <f>$BX$327</f>
        <v>885.232</v>
      </c>
      <c r="CB327" s="257">
        <f>CA327+CB112*(1-CB122-CB123)</f>
        <v>975.232</v>
      </c>
      <c r="CC327" s="257">
        <f>CB327+CC112*(1-CC122-CC123)</f>
        <v>1087.732</v>
      </c>
      <c r="CD327" s="257">
        <f>CC327+CD112*(1-CD122-CD123)</f>
        <v>1200.232</v>
      </c>
      <c r="CE327" s="257">
        <f>CD327+CE112*(1-CE122-CE123)</f>
        <v>1312.732</v>
      </c>
      <c r="CF327" s="19" t="n"/>
    </row>
    <row r="328">
      <c r="B328" s="25" t="inlineStr">
        <is>
          <t xml:space="preserve">  Other noncurrent assets (derived; incl. intangibles, ROU assets, deferred taxes, pension)</t>
        </is>
      </c>
      <c r="C328" s="34" t="n">
        <v>140.443</v>
      </c>
      <c r="D328" s="34" t="n">
        <v>202.977</v>
      </c>
      <c r="E328" s="34" t="n">
        <v>229.99</v>
      </c>
      <c r="F328" s="34" t="n">
        <v>182.1309999999999</v>
      </c>
      <c r="G328" s="34" t="n">
        <v>176.7580000000001</v>
      </c>
      <c r="H328" s="34" t="n">
        <v>221.9540000000001</v>
      </c>
      <c r="I328" s="34" t="n">
        <v>337.9079999999998</v>
      </c>
      <c r="J328" s="34" t="n">
        <v>457.7929999999999</v>
      </c>
      <c r="K328" s="34" t="n">
        <v>449.7410000000003</v>
      </c>
      <c r="L328" s="34" t="n">
        <v>458.3190000000002</v>
      </c>
      <c r="M328" s="34" t="n">
        <v>362.3720000000001</v>
      </c>
      <c r="N328" s="34" t="n">
        <v>362.3720000000001</v>
      </c>
      <c r="O328" s="34" t="n">
        <v>549.7440000000001</v>
      </c>
      <c r="P328" s="34" t="n">
        <v>557.2389999999999</v>
      </c>
      <c r="Q328" s="34" t="n">
        <v>452.6669999999997</v>
      </c>
      <c r="R328" s="34" t="n">
        <v>223.812</v>
      </c>
      <c r="S328" s="34" t="n">
        <v>223.812</v>
      </c>
      <c r="T328" s="34" t="n">
        <v>403.4860000000001</v>
      </c>
      <c r="U328" s="34" t="n">
        <v>431.6009999999998</v>
      </c>
      <c r="V328" s="34" t="n">
        <v>437.2929999999999</v>
      </c>
      <c r="W328" s="34" t="n">
        <v>249.3490000000001</v>
      </c>
      <c r="X328" s="34" t="n">
        <v>249.3490000000001</v>
      </c>
      <c r="Y328" s="34" t="n">
        <v>270.326</v>
      </c>
      <c r="Z328" s="34" t="n">
        <v>294.4589999999999</v>
      </c>
      <c r="AA328" s="34" t="n">
        <v>291.938</v>
      </c>
      <c r="AB328" s="34" t="n">
        <v>295.428</v>
      </c>
      <c r="AC328" s="34" t="n">
        <v>295.428</v>
      </c>
      <c r="AD328" s="34" t="n">
        <v>295.0130000000002</v>
      </c>
      <c r="AE328" s="34" t="n">
        <v>294.7849999999996</v>
      </c>
      <c r="AF328" s="34" t="n">
        <v>321.452</v>
      </c>
      <c r="AG328" s="34" t="n">
        <v>321.3260000000001</v>
      </c>
      <c r="AH328" s="34" t="n">
        <v>321.3260000000001</v>
      </c>
      <c r="AI328" s="34" t="n">
        <v>323.2809999999999</v>
      </c>
      <c r="AJ328" s="34" t="n">
        <v>319.9770000000003</v>
      </c>
      <c r="AK328" s="34" t="n">
        <v>318.5040000000001</v>
      </c>
      <c r="AL328" s="34" t="n">
        <v>351.9309999999999</v>
      </c>
      <c r="AM328" s="34" t="n">
        <v>351.9309999999999</v>
      </c>
      <c r="AN328" s="34" t="n">
        <v>402.2930000000001</v>
      </c>
      <c r="AO328" s="34" t="n">
        <v>431.09</v>
      </c>
      <c r="AP328" s="34" t="n">
        <v>424.1859999999999</v>
      </c>
      <c r="AQ328" s="34" t="n">
        <v>429.1810000000002</v>
      </c>
      <c r="AR328" s="34" t="n">
        <v>429.1810000000002</v>
      </c>
      <c r="AS328" s="34" t="n">
        <v>416.7930000000001</v>
      </c>
      <c r="AT328" s="34" t="n">
        <v>360.3890000000002</v>
      </c>
      <c r="AU328" s="34" t="n">
        <v>355.2949999999998</v>
      </c>
      <c r="AV328" s="34" t="n">
        <v>344.4249999999999</v>
      </c>
      <c r="AW328" s="34" t="n">
        <v>344.4249999999999</v>
      </c>
      <c r="AX328" s="34" t="n">
        <v>330.8189999999997</v>
      </c>
      <c r="AY328" s="34" t="n">
        <v>348.297</v>
      </c>
      <c r="AZ328" s="34" t="n">
        <v>376.7189999999999</v>
      </c>
      <c r="BA328" s="34" t="n">
        <v>360.8079999999997</v>
      </c>
      <c r="BB328" s="34" t="n">
        <v>360.8079999999997</v>
      </c>
      <c r="BC328" s="34" t="n">
        <v>359.4969999999999</v>
      </c>
      <c r="BD328" s="34" t="n">
        <v>341.9070000000002</v>
      </c>
      <c r="BE328" s="34" t="n">
        <v>342.1010000000002</v>
      </c>
      <c r="BF328" s="34" t="n">
        <v>412.6279999999998</v>
      </c>
      <c r="BG328" s="34" t="n">
        <v>412.6279999999998</v>
      </c>
      <c r="BH328" s="34" t="n">
        <v>409.9159999999999</v>
      </c>
      <c r="BI328" s="34" t="n">
        <v>409.3729999999999</v>
      </c>
      <c r="BJ328" s="34" t="n">
        <v>401.1009999999999</v>
      </c>
      <c r="BK328" s="34" t="n">
        <v>414.4179999999999</v>
      </c>
      <c r="BL328" s="34" t="n">
        <v>414.4179999999999</v>
      </c>
      <c r="BM328" s="34" t="n">
        <v>427.9210000000002</v>
      </c>
      <c r="BN328" s="34" t="n">
        <v>426.3199999999997</v>
      </c>
      <c r="BO328" s="34" t="n">
        <v>464.213</v>
      </c>
      <c r="BP328" s="34" t="n">
        <v>450.7529999999998</v>
      </c>
      <c r="BQ328" s="34" t="n">
        <v>450.7529999999998</v>
      </c>
      <c r="BR328" s="34" t="n">
        <v>445.5910000000002</v>
      </c>
      <c r="BS328" s="34" t="n">
        <v>511.9880000000001</v>
      </c>
      <c r="BT328" s="34" t="n">
        <v>469.9910000000002</v>
      </c>
      <c r="BU328" s="34" t="n">
        <v>448.6170000000003</v>
      </c>
      <c r="BV328" s="34" t="n">
        <v>448.6170000000003</v>
      </c>
      <c r="BW328" s="34" t="n">
        <v>429.742</v>
      </c>
      <c r="BX328" s="34" t="n">
        <v>435.7660000000003</v>
      </c>
      <c r="BY328" s="257" t="n"/>
      <c r="BZ328" s="257" t="n"/>
      <c r="CA328" s="257">
        <f>$BX$328-CA367/2</f>
        <v>418.916</v>
      </c>
      <c r="CB328" s="257">
        <f>CA328-CB367-CB126+CB112*CB123</f>
        <v>474.416</v>
      </c>
      <c r="CC328" s="257">
        <f>CB328-CC367-CC126+CC112*CC123</f>
        <v>547.066</v>
      </c>
      <c r="CD328" s="257">
        <f>CC328-CD367-CD126+CD112*CD123</f>
        <v>616.316</v>
      </c>
      <c r="CE328" s="257">
        <f>CD328-CE367-CE126+CE112*CE123</f>
        <v>682.066</v>
      </c>
      <c r="CF328" s="19" t="inlineStr">
        <is>
          <t>Intangibles roll-forward inside other assets: − amortization (legacy per the FY2025 10-K schedule) + acquired intangibles (M&amp;A lever).</t>
        </is>
      </c>
    </row>
    <row r="329">
      <c r="B329" s="55" t="inlineStr">
        <is>
          <t>TOTAL ASSETS</t>
        </is>
      </c>
      <c r="C329" s="56">
        <f>C325+C326+N(C327)+C328</f>
        <v>1394.579</v>
      </c>
      <c r="D329" s="56">
        <f>D325+D326+N(D327)+D328</f>
        <v>1645.296</v>
      </c>
      <c r="E329" s="56">
        <f>E325+E326+N(E327)+E328</f>
        <v>1718.805</v>
      </c>
      <c r="F329" s="56">
        <f>F325+F326+N(F327)+F328</f>
        <v>1705.292</v>
      </c>
      <c r="G329" s="56">
        <f>G325+G326+N(G327)+G328</f>
        <v>1783.788</v>
      </c>
      <c r="H329" s="56">
        <f>H325+H326+N(H327)+H328</f>
        <v>1976.776</v>
      </c>
      <c r="I329" s="56">
        <f>I325+I326+N(I327)+I328</f>
        <v>2089.863</v>
      </c>
      <c r="J329" s="56">
        <f>J325+J326+N(J327)+J328</f>
        <v>2103.527</v>
      </c>
      <c r="K329" s="56">
        <f>K325+K326+N(K327)+K328</f>
        <v>2060.117</v>
      </c>
      <c r="L329" s="56">
        <f>L325+L326+N(L327)+L328</f>
        <v>2119.641</v>
      </c>
      <c r="M329" s="56">
        <f>M325+M326+N(M327)+M328</f>
        <v>2151.867</v>
      </c>
      <c r="N329" s="56">
        <f>N325+N326+N(N327)+N328</f>
        <v>2151.867</v>
      </c>
      <c r="O329" s="56">
        <f>O325+O326+N(O327)+O328</f>
        <v>2113.976</v>
      </c>
      <c r="P329" s="56">
        <f>P325+P326+N(P327)+P328</f>
        <v>2144.839</v>
      </c>
      <c r="Q329" s="56">
        <f>Q325+Q326+N(Q327)+Q328</f>
        <v>2112.519</v>
      </c>
      <c r="R329" s="56">
        <f>R325+R326+N(R327)+R328</f>
        <v>1939.215</v>
      </c>
      <c r="S329" s="56">
        <f>S325+S326+N(S327)+S328</f>
        <v>1939.215</v>
      </c>
      <c r="T329" s="56">
        <f>T325+T326+N(T327)+T328</f>
        <v>1921.508</v>
      </c>
      <c r="U329" s="56">
        <f>U325+U326+N(U327)+U328</f>
        <v>1950.166</v>
      </c>
      <c r="V329" s="56">
        <f>V325+V326+N(V327)+V328</f>
        <v>1928.091</v>
      </c>
      <c r="W329" s="56">
        <f>W325+W326+N(W327)+W328</f>
        <v>1784.171</v>
      </c>
      <c r="X329" s="56">
        <f>X325+X326+N(X327)+X328</f>
        <v>1784.171</v>
      </c>
      <c r="Y329" s="56">
        <f>Y325+Y326+N(Y327)+Y328</f>
        <v>1777.095</v>
      </c>
      <c r="Z329" s="56">
        <f>Z325+Z326+N(Z327)+Z328</f>
        <v>1837.401</v>
      </c>
      <c r="AA329" s="56">
        <f>AA325+AA326+N(AA327)+AA328</f>
        <v>1833.821</v>
      </c>
      <c r="AB329" s="56">
        <f>AB325+AB326+N(AB327)+AB328</f>
        <v>1943.437</v>
      </c>
      <c r="AC329" s="56">
        <f>AC325+AC326+N(AC327)+AC328</f>
        <v>1943.437</v>
      </c>
      <c r="AD329" s="56">
        <f>AD325+AD326+N(AD327)+AD328</f>
        <v>2052.677</v>
      </c>
      <c r="AE329" s="56">
        <f>AE325+AE326+N(AE327)+AE328</f>
        <v>2121.673</v>
      </c>
      <c r="AF329" s="56">
        <f>AF325+AF326+N(AF327)+AF328</f>
        <v>2411.103</v>
      </c>
      <c r="AG329" s="56">
        <f>AG325+AG326+N(AG327)+AG328</f>
        <v>2406.547</v>
      </c>
      <c r="AH329" s="56">
        <f>AH325+AH326+N(AH327)+AH328</f>
        <v>2406.547</v>
      </c>
      <c r="AI329" s="56">
        <f>AI325+AI326+N(AI327)+AI328</f>
        <v>2488.5</v>
      </c>
      <c r="AJ329" s="56">
        <f>AJ325+AJ326+N(AJ327)+AJ328</f>
        <v>2433.731</v>
      </c>
      <c r="AK329" s="56">
        <f>AK325+AK326+N(AK327)+AK328</f>
        <v>2419.645</v>
      </c>
      <c r="AL329" s="56">
        <f>AL325+AL326+N(AL327)+AL328</f>
        <v>2349.825</v>
      </c>
      <c r="AM329" s="56">
        <f>AM325+AM326+N(AM327)+AM328</f>
        <v>2349.825</v>
      </c>
      <c r="AN329" s="56">
        <f>AN325+AN326+N(AN327)+AN328</f>
        <v>2354.851</v>
      </c>
      <c r="AO329" s="56">
        <f>AO325+AO326+N(AO327)+AO328</f>
        <v>2394.333</v>
      </c>
      <c r="AP329" s="56">
        <f>AP325+AP326+N(AP327)+AP328</f>
        <v>2361.16</v>
      </c>
      <c r="AQ329" s="56">
        <f>AQ325+AQ326+N(AQ327)+AQ328</f>
        <v>2371.213</v>
      </c>
      <c r="AR329" s="56">
        <f>AR325+AR326+N(AR327)+AR328</f>
        <v>2371.213</v>
      </c>
      <c r="AS329" s="56">
        <f>AS325+AS326+N(AS327)+AS328</f>
        <v>2305.9</v>
      </c>
      <c r="AT329" s="56">
        <f>AT325+AT326+N(AT327)+AT328</f>
        <v>2199.039</v>
      </c>
      <c r="AU329" s="56">
        <f>AU325+AU326+N(AU327)+AU328</f>
        <v>2217.499</v>
      </c>
      <c r="AV329" s="56">
        <f>AV325+AV326+N(AV327)+AV328</f>
        <v>2314.453</v>
      </c>
      <c r="AW329" s="56">
        <f>AW325+AW326+N(AW327)+AW328</f>
        <v>2314.453</v>
      </c>
      <c r="AX329" s="56">
        <f>AX325+AX326+N(AX327)+AX328</f>
        <v>2361.749</v>
      </c>
      <c r="AY329" s="56">
        <f>AY325+AY326+N(AY327)+AY328</f>
        <v>2512.726</v>
      </c>
      <c r="AZ329" s="56">
        <f>AZ325+AZ326+N(AZ327)+AZ328</f>
        <v>2568.797</v>
      </c>
      <c r="BA329" s="56">
        <f>BA325+BA326+N(BA327)+BA328</f>
        <v>2592.307</v>
      </c>
      <c r="BB329" s="56">
        <f>BB325+BB326+N(BB327)+BB328</f>
        <v>2592.307</v>
      </c>
      <c r="BC329" s="56">
        <f>BC325+BC326+N(BC327)+BC328</f>
        <v>2736.344</v>
      </c>
      <c r="BD329" s="56">
        <f>BD325+BD326+N(BD327)+BD328</f>
        <v>2741.813</v>
      </c>
      <c r="BE329" s="56">
        <f>BE325+BE326+N(BE327)+BE328</f>
        <v>2651.965</v>
      </c>
      <c r="BF329" s="56">
        <f>BF325+BF326+N(BF327)+BF328</f>
        <v>3180.546</v>
      </c>
      <c r="BG329" s="56">
        <f>BG325+BG326+N(BG327)+BG328</f>
        <v>3180.546</v>
      </c>
      <c r="BH329" s="56">
        <f>BH325+BH326+N(BH327)+BH328</f>
        <v>3253.201</v>
      </c>
      <c r="BI329" s="56">
        <f>BI325+BI326+N(BI327)+BI328</f>
        <v>3311.188</v>
      </c>
      <c r="BJ329" s="56">
        <f>BJ325+BJ326+N(BJ327)+BJ328</f>
        <v>3325.895</v>
      </c>
      <c r="BK329" s="56">
        <f>BK325+BK326+N(BK327)+BK328</f>
        <v>3377.297</v>
      </c>
      <c r="BL329" s="56">
        <f>BL325+BL326+N(BL327)+BL328</f>
        <v>3377.297</v>
      </c>
      <c r="BM329" s="56">
        <f>BM325+BM326+N(BM327)+BM328</f>
        <v>3379.717</v>
      </c>
      <c r="BN329" s="56">
        <f>BN325+BN326+N(BN327)+BN328</f>
        <v>3415.249</v>
      </c>
      <c r="BO329" s="56">
        <f>BO325+BO326+N(BO327)+BO328</f>
        <v>3664.545</v>
      </c>
      <c r="BP329" s="56">
        <f>BP325+BP326+N(BP327)+BP328</f>
        <v>3520.142</v>
      </c>
      <c r="BQ329" s="56">
        <f>BQ325+BQ326+N(BQ327)+BQ328</f>
        <v>3520.142</v>
      </c>
      <c r="BR329" s="56">
        <f>BR325+BR326+N(BR327)+BR328</f>
        <v>3625.074</v>
      </c>
      <c r="BS329" s="56">
        <f>BS325+BS326+N(BS327)+BS328</f>
        <v>3727.369</v>
      </c>
      <c r="BT329" s="56">
        <f>BT325+BT326+N(BT327)+BT328</f>
        <v>3815.105</v>
      </c>
      <c r="BU329" s="56">
        <f>BU325+BU326+N(BU327)+BU328</f>
        <v>3777.577</v>
      </c>
      <c r="BV329" s="56">
        <f>BV325+BV326+N(BV327)+BV328</f>
        <v>3777.577</v>
      </c>
      <c r="BW329" s="56">
        <f>BW325+BW326+N(BW327)+BW328</f>
        <v>3900.395</v>
      </c>
      <c r="BX329" s="56">
        <f>BX325+BX326+N(BX327)+BX328</f>
        <v>3813.31</v>
      </c>
      <c r="BY329" s="56" t="n"/>
      <c r="BZ329" s="56" t="n"/>
      <c r="CA329" s="56">
        <f>CA325+CA326+N(CA327)+CA328</f>
        <v>3851.10881731173</v>
      </c>
      <c r="CB329" s="56">
        <f>CB325+CB326+N(CB327)+CB328</f>
        <v>4141.77819161493</v>
      </c>
      <c r="CC329" s="56">
        <f>CC325+CC326+N(CC327)+CC328</f>
        <v>4506.5391683429</v>
      </c>
      <c r="CD329" s="56">
        <f>CD325+CD326+N(CD327)+CD328</f>
        <v>4872.27456751083</v>
      </c>
      <c r="CE329" s="56">
        <f>CE325+CE326+N(CE327)+CE328</f>
        <v>5239.23904476014</v>
      </c>
      <c r="CF329" s="19" t="n"/>
    </row>
    <row r="330">
      <c r="B330" s="25" t="inlineStr">
        <is>
          <t>LIABILITIES AND EQUITY</t>
        </is>
      </c>
      <c r="C330" s="270" t="n"/>
      <c r="D330" s="270" t="n"/>
      <c r="E330" s="270" t="n"/>
      <c r="F330" s="270" t="n"/>
      <c r="G330" s="270" t="n"/>
      <c r="H330" s="270" t="n"/>
      <c r="I330" s="270" t="n"/>
      <c r="J330" s="270" t="n"/>
      <c r="K330" s="270" t="n"/>
      <c r="L330" s="270" t="n"/>
      <c r="M330" s="270" t="n"/>
      <c r="N330" s="270" t="n"/>
      <c r="O330" s="270" t="n"/>
      <c r="P330" s="270" t="n"/>
      <c r="Q330" s="270" t="n"/>
      <c r="R330" s="270" t="n"/>
      <c r="S330" s="270" t="n"/>
      <c r="T330" s="270" t="n"/>
      <c r="U330" s="270" t="n"/>
      <c r="V330" s="270" t="n"/>
      <c r="W330" s="270" t="n"/>
      <c r="X330" s="270" t="n"/>
      <c r="Y330" s="270" t="n"/>
      <c r="Z330" s="270" t="n"/>
      <c r="AA330" s="270" t="n"/>
      <c r="AB330" s="270" t="n"/>
      <c r="AC330" s="270" t="n"/>
      <c r="AD330" s="270" t="n"/>
      <c r="AE330" s="270" t="n"/>
      <c r="AF330" s="270" t="n"/>
      <c r="AG330" s="270" t="n"/>
      <c r="AH330" s="270" t="n"/>
      <c r="AI330" s="270" t="n"/>
      <c r="AJ330" s="270" t="n"/>
      <c r="AK330" s="270" t="n"/>
      <c r="AL330" s="270" t="n"/>
      <c r="AM330" s="270" t="n"/>
      <c r="AN330" s="270" t="n"/>
      <c r="AO330" s="270" t="n"/>
      <c r="AP330" s="270" t="n"/>
      <c r="AQ330" s="270" t="n"/>
      <c r="AR330" s="270" t="n"/>
      <c r="AS330" s="270" t="n"/>
      <c r="AT330" s="270" t="n"/>
      <c r="AU330" s="270" t="n"/>
      <c r="AV330" s="270" t="n"/>
      <c r="AW330" s="270" t="n"/>
      <c r="AX330" s="270" t="n"/>
      <c r="AY330" s="270" t="n"/>
      <c r="AZ330" s="270" t="n"/>
      <c r="BA330" s="270" t="n"/>
      <c r="BB330" s="270" t="n"/>
      <c r="BC330" s="270" t="n"/>
      <c r="BD330" s="270" t="n"/>
      <c r="BE330" s="270" t="n"/>
      <c r="BF330" s="270" t="n"/>
      <c r="BG330" s="270" t="n"/>
      <c r="BH330" s="270" t="n"/>
      <c r="BI330" s="270" t="n"/>
      <c r="BJ330" s="270" t="n"/>
      <c r="BK330" s="270" t="n"/>
      <c r="BL330" s="270" t="n"/>
      <c r="BM330" s="270" t="n"/>
      <c r="BN330" s="270" t="n"/>
      <c r="BO330" s="270" t="n"/>
      <c r="BP330" s="270" t="n"/>
      <c r="BQ330" s="270" t="n"/>
      <c r="BR330" s="270" t="n"/>
      <c r="BS330" s="270" t="n"/>
      <c r="BT330" s="270" t="n"/>
      <c r="BU330" s="270" t="n"/>
      <c r="BV330" s="270" t="n"/>
      <c r="BW330" s="270" t="n"/>
      <c r="BX330" s="270" t="n"/>
      <c r="BY330" s="269" t="n"/>
      <c r="BZ330" s="269" t="n"/>
      <c r="CA330" s="269" t="n"/>
      <c r="CB330" s="269" t="n"/>
      <c r="CC330" s="269" t="n"/>
      <c r="CD330" s="269" t="n"/>
      <c r="CE330" s="269" t="n"/>
      <c r="CF330" s="19" t="n"/>
    </row>
    <row r="331">
      <c r="B331" s="25" t="inlineStr">
        <is>
          <t xml:space="preserve">  Short-term debt &amp; current portion of long-term debt</t>
        </is>
      </c>
      <c r="C331" s="34" t="n">
        <v>47.134</v>
      </c>
      <c r="D331" s="34" t="n">
        <v>12.486</v>
      </c>
      <c r="E331" s="34" t="n">
        <v>50.693</v>
      </c>
      <c r="F331" s="34" t="n">
        <v>35.867</v>
      </c>
      <c r="G331" s="34" t="n">
        <v>13.078</v>
      </c>
      <c r="H331" s="34" t="n">
        <v>101.418</v>
      </c>
      <c r="I331" s="34" t="n">
        <v>18.676</v>
      </c>
      <c r="J331" s="34" t="n">
        <v>17.035</v>
      </c>
      <c r="K331" s="34" t="n">
        <v>14.776</v>
      </c>
      <c r="L331" s="34" t="n">
        <v>14.892</v>
      </c>
      <c r="M331" s="34" t="n">
        <v>15.296</v>
      </c>
      <c r="N331" s="34" t="n">
        <v>15.296</v>
      </c>
      <c r="O331" s="34" t="n">
        <v>7.303</v>
      </c>
      <c r="P331" s="34" t="n">
        <v>6.908</v>
      </c>
      <c r="Q331" s="34" t="n">
        <v>87.50099999999999</v>
      </c>
      <c r="R331" s="34" t="n">
        <v>68.166</v>
      </c>
      <c r="S331" s="34" t="n">
        <v>68.166</v>
      </c>
      <c r="T331" s="34" t="n">
        <v>167.985</v>
      </c>
      <c r="U331" s="34" t="n">
        <v>62.595</v>
      </c>
      <c r="V331" s="34" t="n">
        <v>2.453</v>
      </c>
      <c r="W331" s="34" t="n">
        <v>4.278</v>
      </c>
      <c r="X331" s="34" t="n">
        <v>4.278</v>
      </c>
      <c r="Y331" s="34" t="n">
        <v>24.844</v>
      </c>
      <c r="Z331" s="34" t="n">
        <v>159.908</v>
      </c>
      <c r="AA331" s="34" t="n">
        <v>183.827</v>
      </c>
      <c r="AB331" s="34" t="n">
        <v>1.889</v>
      </c>
      <c r="AC331" s="34" t="n">
        <v>1.889</v>
      </c>
      <c r="AD331" s="34" t="n">
        <v>2.136</v>
      </c>
      <c r="AE331" s="34" t="n">
        <v>1.953</v>
      </c>
      <c r="AF331" s="34" t="n">
        <v>2.135</v>
      </c>
      <c r="AG331" s="34" t="n">
        <v>2.131</v>
      </c>
      <c r="AH331" s="34" t="n">
        <v>2.131</v>
      </c>
      <c r="AI331" s="34" t="n">
        <v>1.981</v>
      </c>
      <c r="AJ331" s="34" t="n">
        <v>1.889</v>
      </c>
      <c r="AK331" s="34" t="n">
        <v>0.794</v>
      </c>
      <c r="AL331" s="34" t="n">
        <v>0.111</v>
      </c>
      <c r="AM331" s="34" t="n">
        <v>0.111</v>
      </c>
      <c r="AN331" s="34" t="n">
        <v>0.11</v>
      </c>
      <c r="AO331" s="34" t="n">
        <v>30.11</v>
      </c>
      <c r="AP331" s="34" t="n">
        <v>13.293</v>
      </c>
      <c r="AQ331" s="34" t="n">
        <v>34.969</v>
      </c>
      <c r="AR331" s="34" t="n">
        <v>34.969</v>
      </c>
      <c r="AS331" s="34" t="n">
        <v>132.378</v>
      </c>
      <c r="AT331" s="34" t="n">
        <v>49.597</v>
      </c>
      <c r="AU331" s="34" t="n">
        <v>1.147</v>
      </c>
      <c r="AV331" s="34" t="n">
        <v>2.734</v>
      </c>
      <c r="AW331" s="34" t="n">
        <v>2.734</v>
      </c>
      <c r="AX331" s="34" t="n">
        <v>3.607</v>
      </c>
      <c r="AY331" s="34" t="n">
        <v>10.435</v>
      </c>
      <c r="AZ331" s="34" t="n">
        <v>41.404</v>
      </c>
      <c r="BA331" s="34" t="n">
        <v>52.73</v>
      </c>
      <c r="BB331" s="34" t="n">
        <v>52.73</v>
      </c>
      <c r="BC331" s="34" t="n">
        <v>150.56</v>
      </c>
      <c r="BD331" s="34" t="n">
        <v>125.458</v>
      </c>
      <c r="BE331" s="34" t="n">
        <v>68.375</v>
      </c>
      <c r="BF331" s="34" t="n">
        <v>93.483</v>
      </c>
      <c r="BG331" s="34" t="n">
        <v>93.483</v>
      </c>
      <c r="BH331" s="34" t="n">
        <v>49.34</v>
      </c>
      <c r="BI331" s="34" t="n">
        <v>10.406</v>
      </c>
      <c r="BJ331" s="34" t="n">
        <v>7.7</v>
      </c>
      <c r="BK331" s="34" t="n">
        <v>2.439</v>
      </c>
      <c r="BL331" s="34" t="n">
        <v>2.439</v>
      </c>
      <c r="BM331" s="34" t="n">
        <v>4.72</v>
      </c>
      <c r="BN331" s="34" t="n">
        <v>6.254</v>
      </c>
      <c r="BO331" s="34" t="n">
        <v>111.993</v>
      </c>
      <c r="BP331" s="34" t="n">
        <v>110.524</v>
      </c>
      <c r="BQ331" s="34" t="n">
        <v>110.524</v>
      </c>
      <c r="BR331" s="34" t="n">
        <v>109.62</v>
      </c>
      <c r="BS331" s="34" t="n">
        <v>105.323</v>
      </c>
      <c r="BT331" s="34" t="n">
        <v>88.203</v>
      </c>
      <c r="BU331" s="34" t="n">
        <v>143.78</v>
      </c>
      <c r="BV331" s="34" t="n">
        <v>143.78</v>
      </c>
      <c r="BW331" s="34" t="n">
        <v>163.502</v>
      </c>
      <c r="BX331" s="34" t="n">
        <v>0</v>
      </c>
      <c r="BY331" s="257" t="n"/>
      <c r="BZ331" s="257" t="n"/>
      <c r="CA331" s="257">
        <f>CA379+CA376</f>
        <v>0</v>
      </c>
      <c r="CB331" s="257">
        <f>CB379+CB376</f>
        <v>254.694377342239</v>
      </c>
      <c r="CC331" s="257">
        <f>CC379+CC376</f>
        <v>339.810964165134</v>
      </c>
      <c r="CD331" s="257">
        <f>CD379+CD376</f>
        <v>476.880772139918</v>
      </c>
      <c r="CE331" s="257">
        <f>CE379+CE376</f>
        <v>494.213041251322</v>
      </c>
      <c r="CF331" s="19" t="n"/>
    </row>
    <row r="332">
      <c r="B332" s="25" t="inlineStr">
        <is>
          <t xml:space="preserve">  Trade accounts payable</t>
        </is>
      </c>
      <c r="C332" s="34" t="n">
        <v>142.264</v>
      </c>
      <c r="D332" s="34" t="n">
        <v>152.301</v>
      </c>
      <c r="E332" s="34" t="n">
        <v>124.388</v>
      </c>
      <c r="F332" s="34" t="n">
        <v>100.052</v>
      </c>
      <c r="G332" s="34" t="n">
        <v>147.111</v>
      </c>
      <c r="H332" s="34" t="n">
        <v>176.312</v>
      </c>
      <c r="I332" s="34" t="n">
        <v>209.647</v>
      </c>
      <c r="J332" s="34" t="n">
        <v>216.256</v>
      </c>
      <c r="K332" s="34" t="n">
        <v>195.459</v>
      </c>
      <c r="L332" s="34" t="n">
        <v>177.006</v>
      </c>
      <c r="M332" s="34" t="n">
        <v>212.799</v>
      </c>
      <c r="N332" s="34" t="n">
        <v>212.799</v>
      </c>
      <c r="O332" s="34" t="n">
        <v>199.739</v>
      </c>
      <c r="P332" s="34" t="n">
        <v>196.929</v>
      </c>
      <c r="Q332" s="34" t="n">
        <v>186.751</v>
      </c>
      <c r="R332" s="34" t="n">
        <v>202.482</v>
      </c>
      <c r="S332" s="34" t="n">
        <v>202.482</v>
      </c>
      <c r="T332" s="34" t="n">
        <v>185.944</v>
      </c>
      <c r="U332" s="34" t="n">
        <v>172.114</v>
      </c>
      <c r="V332" s="34" t="n">
        <v>166.858</v>
      </c>
      <c r="W332" s="34" t="n">
        <v>152.62</v>
      </c>
      <c r="X332" s="34" t="n">
        <v>152.62</v>
      </c>
      <c r="Y332" s="34" t="n">
        <v>159.59</v>
      </c>
      <c r="Z332" s="34" t="n">
        <v>173.037</v>
      </c>
      <c r="AA332" s="34" t="n">
        <v>164.783</v>
      </c>
      <c r="AB332" s="34" t="n">
        <v>176.757</v>
      </c>
      <c r="AC332" s="34" t="n">
        <v>176.757</v>
      </c>
      <c r="AD332" s="34" t="n">
        <v>186.253</v>
      </c>
      <c r="AE332" s="34" t="n">
        <v>194.758</v>
      </c>
      <c r="AF332" s="34" t="n">
        <v>242.253</v>
      </c>
      <c r="AG332" s="34" t="n">
        <v>269.763</v>
      </c>
      <c r="AH332" s="34" t="n">
        <v>269.763</v>
      </c>
      <c r="AI332" s="34" t="n">
        <v>277.122</v>
      </c>
      <c r="AJ332" s="34" t="n">
        <v>269.824</v>
      </c>
      <c r="AK332" s="34" t="n">
        <v>246.783</v>
      </c>
      <c r="AL332" s="34" t="n">
        <v>268.6</v>
      </c>
      <c r="AM332" s="34" t="n">
        <v>268.6</v>
      </c>
      <c r="AN332" s="34" t="n">
        <v>252.84</v>
      </c>
      <c r="AO332" s="34" t="n">
        <v>254.814</v>
      </c>
      <c r="AP332" s="34" t="n">
        <v>243.837</v>
      </c>
      <c r="AQ332" s="34" t="n">
        <v>273.002</v>
      </c>
      <c r="AR332" s="34" t="n">
        <v>273.002</v>
      </c>
      <c r="AS332" s="34" t="n">
        <v>248.335</v>
      </c>
      <c r="AT332" s="34" t="n">
        <v>226.799</v>
      </c>
      <c r="AU332" s="34" t="n">
        <v>226.494</v>
      </c>
      <c r="AV332" s="34" t="n">
        <v>256.53</v>
      </c>
      <c r="AW332" s="34" t="n">
        <v>256.53</v>
      </c>
      <c r="AX332" s="34" t="n">
        <v>294.062</v>
      </c>
      <c r="AY332" s="34" t="n">
        <v>317.771</v>
      </c>
      <c r="AZ332" s="34" t="n">
        <v>309.202</v>
      </c>
      <c r="BA332" s="34" t="n">
        <v>330.23</v>
      </c>
      <c r="BB332" s="34" t="n">
        <v>330.23</v>
      </c>
      <c r="BC332" s="34" t="n">
        <v>369.415</v>
      </c>
      <c r="BD332" s="34" t="n">
        <v>364.495</v>
      </c>
      <c r="BE332" s="34" t="n">
        <v>329.89</v>
      </c>
      <c r="BF332" s="34" t="n">
        <v>352.079</v>
      </c>
      <c r="BG332" s="34" t="n">
        <v>352.079</v>
      </c>
      <c r="BH332" s="34" t="n">
        <v>361.236</v>
      </c>
      <c r="BI332" s="34" t="n">
        <v>358.16</v>
      </c>
      <c r="BJ332" s="34" t="n">
        <v>328.46</v>
      </c>
      <c r="BK332" s="34" t="n">
        <v>325.435</v>
      </c>
      <c r="BL332" s="34" t="n">
        <v>325.435</v>
      </c>
      <c r="BM332" s="34" t="n">
        <v>327.798</v>
      </c>
      <c r="BN332" s="34" t="n">
        <v>351.445</v>
      </c>
      <c r="BO332" s="34" t="n">
        <v>323.584</v>
      </c>
      <c r="BP332" s="34" t="n">
        <v>296.59</v>
      </c>
      <c r="BQ332" s="34" t="n">
        <v>296.59</v>
      </c>
      <c r="BR332" s="34" t="n">
        <v>365.267</v>
      </c>
      <c r="BS332" s="34" t="n">
        <v>375.833</v>
      </c>
      <c r="BT332" s="34" t="n">
        <v>398.721</v>
      </c>
      <c r="BU332" s="34" t="n">
        <v>364.934</v>
      </c>
      <c r="BV332" s="34" t="n">
        <v>364.934</v>
      </c>
      <c r="BW332" s="34" t="n">
        <v>448.138</v>
      </c>
      <c r="BX332" s="34" t="n">
        <v>447.437</v>
      </c>
      <c r="BY332" s="257" t="n"/>
      <c r="BZ332" s="257" t="n"/>
      <c r="CA332" s="257">
        <f>CA356*CA359/365</f>
        <v>405.494300964122</v>
      </c>
      <c r="CB332" s="257">
        <f>CB356*CB359/365</f>
        <v>424.925360672852</v>
      </c>
      <c r="CC332" s="257">
        <f>CC356*CC359/365</f>
        <v>453.035075602215</v>
      </c>
      <c r="CD332" s="257">
        <f>CD356*CD359/365</f>
        <v>482.528753589555</v>
      </c>
      <c r="CE332" s="257">
        <f>CE356*CE359/365</f>
        <v>513.365654627749</v>
      </c>
      <c r="CF332" s="19" t="n"/>
    </row>
    <row r="333">
      <c r="B333" s="25" t="inlineStr">
        <is>
          <t xml:space="preserve">  Accrued employee compensation &amp; benefits</t>
        </is>
      </c>
      <c r="C333" s="34" t="n">
        <v>45.059</v>
      </c>
      <c r="D333" s="34" t="n">
        <v>48.486</v>
      </c>
      <c r="E333" s="34" t="n">
        <v>47.405</v>
      </c>
      <c r="F333" s="34" t="n">
        <v>36.486</v>
      </c>
      <c r="G333" s="34" t="n">
        <v>48.976</v>
      </c>
      <c r="H333" s="34" t="n">
        <v>55.67</v>
      </c>
      <c r="I333" s="34" t="n">
        <v>68.69799999999999</v>
      </c>
      <c r="J333" s="34" t="n"/>
      <c r="K333" s="34" t="n"/>
      <c r="L333" s="34" t="n"/>
      <c r="M333" s="34" t="n">
        <v>68.26300000000001</v>
      </c>
      <c r="N333" s="34" t="n">
        <v>68.26300000000001</v>
      </c>
      <c r="O333" s="34" t="n"/>
      <c r="P333" s="34" t="n"/>
      <c r="Q333" s="34" t="n"/>
      <c r="R333" s="34" t="n">
        <v>64.718</v>
      </c>
      <c r="S333" s="34" t="n">
        <v>64.718</v>
      </c>
      <c r="T333" s="34" t="n"/>
      <c r="U333" s="34" t="n"/>
      <c r="V333" s="34" t="n"/>
      <c r="W333" s="34" t="n">
        <v>65.571</v>
      </c>
      <c r="X333" s="34" t="n">
        <v>65.571</v>
      </c>
      <c r="Y333" s="34" t="n"/>
      <c r="Z333" s="34" t="n"/>
      <c r="AA333" s="34" t="n"/>
      <c r="AB333" s="34" t="n">
        <v>67.431</v>
      </c>
      <c r="AC333" s="34" t="n">
        <v>67.431</v>
      </c>
      <c r="AD333" s="34" t="n"/>
      <c r="AE333" s="34" t="n"/>
      <c r="AF333" s="34" t="n"/>
      <c r="AG333" s="34" t="n">
        <v>91.902</v>
      </c>
      <c r="AH333" s="34" t="n">
        <v>91.902</v>
      </c>
      <c r="AI333" s="34" t="n"/>
      <c r="AJ333" s="34" t="n"/>
      <c r="AK333" s="34" t="n">
        <v>138.622</v>
      </c>
      <c r="AL333" s="34" t="n">
        <v>94.202</v>
      </c>
      <c r="AM333" s="34" t="n">
        <v>94.202</v>
      </c>
      <c r="AN333" s="34" t="n">
        <v>87.126</v>
      </c>
      <c r="AO333" s="34" t="n">
        <v>115.891</v>
      </c>
      <c r="AP333" s="34" t="n">
        <v>133.361</v>
      </c>
      <c r="AQ333" s="34" t="n">
        <v>83.033</v>
      </c>
      <c r="AR333" s="34" t="n">
        <v>83.033</v>
      </c>
      <c r="AS333" s="34" t="n">
        <v>82.63</v>
      </c>
      <c r="AT333" s="34" t="n">
        <v>99.54300000000001</v>
      </c>
      <c r="AU333" s="34" t="n">
        <v>121.967</v>
      </c>
      <c r="AV333" s="34" t="n">
        <v>98.437</v>
      </c>
      <c r="AW333" s="34" t="n">
        <v>98.437</v>
      </c>
      <c r="AX333" s="34" t="n">
        <v>92.76900000000001</v>
      </c>
      <c r="AY333" s="34" t="n">
        <v>124.606</v>
      </c>
      <c r="AZ333" s="34" t="n">
        <v>156.128</v>
      </c>
      <c r="BA333" s="34" t="n">
        <v>108.562</v>
      </c>
      <c r="BB333" s="34" t="n">
        <v>108.562</v>
      </c>
      <c r="BC333" s="34" t="n">
        <v>109.797</v>
      </c>
      <c r="BD333" s="34" t="n">
        <v>144.253</v>
      </c>
      <c r="BE333" s="34" t="n">
        <v>183.638</v>
      </c>
      <c r="BF333" s="34" t="n">
        <v>109.369</v>
      </c>
      <c r="BG333" s="34" t="n">
        <v>109.369</v>
      </c>
      <c r="BH333" s="34" t="n">
        <v>109.525</v>
      </c>
      <c r="BI333" s="34" t="n">
        <v>159.173</v>
      </c>
      <c r="BJ333" s="34" t="n">
        <v>207.116</v>
      </c>
      <c r="BK333" s="34" t="n">
        <v>112.373</v>
      </c>
      <c r="BL333" s="34" t="n">
        <v>112.373</v>
      </c>
      <c r="BM333" s="34" t="n">
        <v>114.77</v>
      </c>
      <c r="BN333" s="34" t="n">
        <v>159.265</v>
      </c>
      <c r="BO333" s="34" t="n">
        <v>194.434</v>
      </c>
      <c r="BP333" s="34" t="n">
        <v>104.374</v>
      </c>
      <c r="BQ333" s="34" t="n">
        <v>104.374</v>
      </c>
      <c r="BR333" s="34" t="n">
        <v>113.767</v>
      </c>
      <c r="BS333" s="34" t="n">
        <v>167.471</v>
      </c>
      <c r="BT333" s="34" t="n">
        <v>212.626</v>
      </c>
      <c r="BU333" s="34" t="n">
        <v>116.158</v>
      </c>
      <c r="BV333" s="34" t="n">
        <v>116.158</v>
      </c>
      <c r="BW333" s="34" t="n">
        <v>110.861</v>
      </c>
      <c r="BX333" s="34" t="n">
        <v>156.479</v>
      </c>
      <c r="BY333" s="257" t="n"/>
      <c r="BZ333" s="257" t="n"/>
      <c r="CA333" s="257">
        <f>CA355*CA360</f>
        <v>127.434555315</v>
      </c>
      <c r="CB333" s="257">
        <f>CB355*CB360</f>
        <v>135.792420728717</v>
      </c>
      <c r="CC333" s="257">
        <f>CC355*CC360</f>
        <v>145.935926759678</v>
      </c>
      <c r="CD333" s="257">
        <f>CD355*CD360</f>
        <v>156.469525042124</v>
      </c>
      <c r="CE333" s="257">
        <f>CE355*CE360</f>
        <v>167.488860972573</v>
      </c>
      <c r="CF333" s="19" t="n"/>
    </row>
    <row r="334">
      <c r="B334" s="25" t="inlineStr">
        <is>
          <t xml:space="preserve">  Other current liabilities (derived; incl. accrued taxes, contract liabilities, current lease)</t>
        </is>
      </c>
      <c r="C334" s="34" t="n">
        <v>103.831</v>
      </c>
      <c r="D334" s="34" t="n">
        <v>98.64800000000002</v>
      </c>
      <c r="E334" s="34" t="n">
        <v>134.156</v>
      </c>
      <c r="F334" s="34" t="n">
        <v>125.566</v>
      </c>
      <c r="G334" s="34" t="n">
        <v>126.427</v>
      </c>
      <c r="H334" s="34" t="n">
        <v>137.6419999999999</v>
      </c>
      <c r="I334" s="34" t="n">
        <v>143.246</v>
      </c>
      <c r="J334" s="34" t="n">
        <v>225.69</v>
      </c>
      <c r="K334" s="34" t="n">
        <v>242.45</v>
      </c>
      <c r="L334" s="34" t="n">
        <v>289.297</v>
      </c>
      <c r="M334" s="34" t="n">
        <v>160.559</v>
      </c>
      <c r="N334" s="34" t="n">
        <v>160.559</v>
      </c>
      <c r="O334" s="34" t="n">
        <v>224.87</v>
      </c>
      <c r="P334" s="34" t="n">
        <v>260.6519999999999</v>
      </c>
      <c r="Q334" s="34" t="n">
        <v>297.4490000000001</v>
      </c>
      <c r="R334" s="34" t="n">
        <v>157.053</v>
      </c>
      <c r="S334" s="34" t="n">
        <v>157.053</v>
      </c>
      <c r="T334" s="34" t="n">
        <v>254.496</v>
      </c>
      <c r="U334" s="34" t="n">
        <v>235.847</v>
      </c>
      <c r="V334" s="34" t="n">
        <v>268.118</v>
      </c>
      <c r="W334" s="34" t="n">
        <v>147.653</v>
      </c>
      <c r="X334" s="34" t="n">
        <v>147.653</v>
      </c>
      <c r="Y334" s="34" t="n">
        <v>217.021</v>
      </c>
      <c r="Z334" s="34" t="n">
        <v>226.8449999999999</v>
      </c>
      <c r="AA334" s="34" t="n">
        <v>247.449</v>
      </c>
      <c r="AB334" s="34" t="n">
        <v>142.03</v>
      </c>
      <c r="AC334" s="34" t="n">
        <v>142.03</v>
      </c>
      <c r="AD334" s="34" t="n">
        <v>233.874</v>
      </c>
      <c r="AE334" s="34" t="n">
        <v>218.932</v>
      </c>
      <c r="AF334" s="34" t="n">
        <v>295.468</v>
      </c>
      <c r="AG334" s="34" t="n">
        <v>164.946</v>
      </c>
      <c r="AH334" s="34" t="n">
        <v>164.946</v>
      </c>
      <c r="AI334" s="34" t="n">
        <v>271.097</v>
      </c>
      <c r="AJ334" s="34" t="n">
        <v>268.045</v>
      </c>
      <c r="AK334" s="34" t="n">
        <v>159.352</v>
      </c>
      <c r="AL334" s="34" t="n">
        <v>175.269</v>
      </c>
      <c r="AM334" s="34" t="n">
        <v>175.269</v>
      </c>
      <c r="AN334" s="34" t="n">
        <v>185.451</v>
      </c>
      <c r="AO334" s="34" t="n">
        <v>170.196</v>
      </c>
      <c r="AP334" s="34" t="n">
        <v>181.946</v>
      </c>
      <c r="AQ334" s="34" t="n">
        <v>172.1309999999999</v>
      </c>
      <c r="AR334" s="34" t="n">
        <v>172.1309999999999</v>
      </c>
      <c r="AS334" s="34" t="n">
        <v>191.4789999999999</v>
      </c>
      <c r="AT334" s="34" t="n">
        <v>192.6320000000001</v>
      </c>
      <c r="AU334" s="34" t="n">
        <v>183.5529999999999</v>
      </c>
      <c r="AV334" s="34" t="n">
        <v>191.7479999999999</v>
      </c>
      <c r="AW334" s="34" t="n">
        <v>191.7479999999999</v>
      </c>
      <c r="AX334" s="34" t="n">
        <v>224.023</v>
      </c>
      <c r="AY334" s="34" t="n">
        <v>243.208</v>
      </c>
      <c r="AZ334" s="34" t="n">
        <v>238.686</v>
      </c>
      <c r="BA334" s="34" t="n">
        <v>264.3829999999999</v>
      </c>
      <c r="BB334" s="34" t="n">
        <v>264.3829999999999</v>
      </c>
      <c r="BC334" s="34" t="n">
        <v>297.8800000000001</v>
      </c>
      <c r="BD334" s="34" t="n">
        <v>269.477</v>
      </c>
      <c r="BE334" s="34" t="n">
        <v>238.425</v>
      </c>
      <c r="BF334" s="34" t="n">
        <v>297.966</v>
      </c>
      <c r="BG334" s="34" t="n">
        <v>297.966</v>
      </c>
      <c r="BH334" s="34" t="n">
        <v>315.838</v>
      </c>
      <c r="BI334" s="34" t="n">
        <v>283.023</v>
      </c>
      <c r="BJ334" s="34" t="n">
        <v>264.866</v>
      </c>
      <c r="BK334" s="34" t="n">
        <v>314.3630000000001</v>
      </c>
      <c r="BL334" s="34" t="n">
        <v>314.3630000000001</v>
      </c>
      <c r="BM334" s="34" t="n">
        <v>301.585</v>
      </c>
      <c r="BN334" s="34" t="n">
        <v>266.603</v>
      </c>
      <c r="BO334" s="34" t="n">
        <v>321.325</v>
      </c>
      <c r="BP334" s="34" t="n">
        <v>367.3140000000001</v>
      </c>
      <c r="BQ334" s="34" t="n">
        <v>367.3140000000001</v>
      </c>
      <c r="BR334" s="34" t="n">
        <v>381.2</v>
      </c>
      <c r="BS334" s="34" t="n">
        <v>376.6120000000001</v>
      </c>
      <c r="BT334" s="34" t="n">
        <v>339.874</v>
      </c>
      <c r="BU334" s="34" t="n">
        <v>331.819</v>
      </c>
      <c r="BV334" s="34" t="n">
        <v>331.819</v>
      </c>
      <c r="BW334" s="34" t="n">
        <v>297.8560000000001</v>
      </c>
      <c r="BX334" s="34" t="n">
        <v>284.1669999999999</v>
      </c>
      <c r="BY334" s="257" t="n"/>
      <c r="BZ334" s="257" t="n"/>
      <c r="CA334" s="257">
        <f>$BX$334</f>
        <v>284.167</v>
      </c>
      <c r="CB334" s="257">
        <f>CA334</f>
        <v>284.167</v>
      </c>
      <c r="CC334" s="257">
        <f>CB334</f>
        <v>284.167</v>
      </c>
      <c r="CD334" s="257">
        <f>CC334</f>
        <v>284.167</v>
      </c>
      <c r="CE334" s="257">
        <f>CD334</f>
        <v>284.167</v>
      </c>
      <c r="CF334" s="19" t="n"/>
    </row>
    <row r="335">
      <c r="B335" s="16" t="inlineStr">
        <is>
          <t>Total current liabilities</t>
        </is>
      </c>
      <c r="C335" s="43">
        <f>N(C331)+C332+N(C333)+C334</f>
        <v>338.288</v>
      </c>
      <c r="D335" s="43">
        <f>N(D331)+D332+N(D333)+D334</f>
        <v>311.921</v>
      </c>
      <c r="E335" s="43">
        <f>N(E331)+E332+N(E333)+E334</f>
        <v>356.642</v>
      </c>
      <c r="F335" s="43">
        <f>N(F331)+F332+N(F333)+F334</f>
        <v>297.971</v>
      </c>
      <c r="G335" s="43">
        <f>N(G331)+G332+N(G333)+G334</f>
        <v>335.592</v>
      </c>
      <c r="H335" s="43">
        <f>N(H331)+H332+N(H333)+H334</f>
        <v>471.042</v>
      </c>
      <c r="I335" s="43">
        <f>N(I331)+I332+N(I333)+I334</f>
        <v>440.267</v>
      </c>
      <c r="J335" s="43">
        <f>N(J331)+J332+N(J333)+J334</f>
        <v>458.981</v>
      </c>
      <c r="K335" s="43">
        <f>N(K331)+K332+N(K333)+K334</f>
        <v>452.685</v>
      </c>
      <c r="L335" s="43">
        <f>N(L331)+L332+N(L333)+L334</f>
        <v>481.195</v>
      </c>
      <c r="M335" s="43">
        <f>N(M331)+M332+N(M333)+M334</f>
        <v>456.917</v>
      </c>
      <c r="N335" s="43">
        <f>N(N331)+N332+N(N333)+N334</f>
        <v>456.917</v>
      </c>
      <c r="O335" s="43">
        <f>N(O331)+O332+N(O333)+O334</f>
        <v>431.912</v>
      </c>
      <c r="P335" s="43">
        <f>N(P331)+P332+N(P333)+P334</f>
        <v>464.489</v>
      </c>
      <c r="Q335" s="43">
        <f>N(Q331)+Q332+N(Q333)+Q334</f>
        <v>571.701</v>
      </c>
      <c r="R335" s="43">
        <f>N(R331)+R332+N(R333)+R334</f>
        <v>492.419</v>
      </c>
      <c r="S335" s="43">
        <f>N(S331)+S332+N(S333)+S334</f>
        <v>492.419</v>
      </c>
      <c r="T335" s="43">
        <f>N(T331)+T332+N(T333)+T334</f>
        <v>608.425</v>
      </c>
      <c r="U335" s="43">
        <f>N(U331)+U332+N(U333)+U334</f>
        <v>470.556</v>
      </c>
      <c r="V335" s="43">
        <f>N(V331)+V332+N(V333)+V334</f>
        <v>437.429</v>
      </c>
      <c r="W335" s="43">
        <f>N(W331)+W332+N(W333)+W334</f>
        <v>370.122</v>
      </c>
      <c r="X335" s="43">
        <f>N(X331)+X332+N(X333)+X334</f>
        <v>370.122</v>
      </c>
      <c r="Y335" s="43">
        <f>N(Y331)+Y332+N(Y333)+Y334</f>
        <v>401.455</v>
      </c>
      <c r="Z335" s="43">
        <f>N(Z331)+Z332+N(Z333)+Z334</f>
        <v>559.79</v>
      </c>
      <c r="AA335" s="43">
        <f>N(AA331)+AA332+N(AA333)+AA334</f>
        <v>596.059</v>
      </c>
      <c r="AB335" s="43">
        <f>N(AB331)+AB332+N(AB333)+AB334</f>
        <v>388.107</v>
      </c>
      <c r="AC335" s="43">
        <f>N(AC331)+AC332+N(AC333)+AC334</f>
        <v>388.107</v>
      </c>
      <c r="AD335" s="43">
        <f>N(AD331)+AD332+N(AD333)+AD334</f>
        <v>422.263</v>
      </c>
      <c r="AE335" s="43">
        <f>N(AE331)+AE332+N(AE333)+AE334</f>
        <v>415.643</v>
      </c>
      <c r="AF335" s="43">
        <f>N(AF331)+AF332+N(AF333)+AF334</f>
        <v>539.856</v>
      </c>
      <c r="AG335" s="43">
        <f>N(AG331)+AG332+N(AG333)+AG334</f>
        <v>528.742</v>
      </c>
      <c r="AH335" s="43">
        <f>N(AH331)+AH332+N(AH333)+AH334</f>
        <v>528.742</v>
      </c>
      <c r="AI335" s="43">
        <f>N(AI331)+AI332+N(AI333)+AI334</f>
        <v>550.2</v>
      </c>
      <c r="AJ335" s="43">
        <f>N(AJ331)+AJ332+N(AJ333)+AJ334</f>
        <v>539.758</v>
      </c>
      <c r="AK335" s="43">
        <f>N(AK331)+AK332+N(AK333)+AK334</f>
        <v>545.551</v>
      </c>
      <c r="AL335" s="43">
        <f>N(AL331)+AL332+N(AL333)+AL334</f>
        <v>538.182</v>
      </c>
      <c r="AM335" s="43">
        <f>N(AM331)+AM332+N(AM333)+AM334</f>
        <v>538.182</v>
      </c>
      <c r="AN335" s="43">
        <f>N(AN331)+AN332+N(AN333)+AN334</f>
        <v>525.527</v>
      </c>
      <c r="AO335" s="43">
        <f>N(AO331)+AO332+N(AO333)+AO334</f>
        <v>571.011</v>
      </c>
      <c r="AP335" s="43">
        <f>N(AP331)+AP332+N(AP333)+AP334</f>
        <v>572.437</v>
      </c>
      <c r="AQ335" s="43">
        <f>N(AQ331)+AQ332+N(AQ333)+AQ334</f>
        <v>563.135</v>
      </c>
      <c r="AR335" s="43">
        <f>N(AR331)+AR332+N(AR333)+AR334</f>
        <v>563.135</v>
      </c>
      <c r="AS335" s="43">
        <f>N(AS331)+AS332+N(AS333)+AS334</f>
        <v>654.822</v>
      </c>
      <c r="AT335" s="43">
        <f>N(AT331)+AT332+N(AT333)+AT334</f>
        <v>568.571</v>
      </c>
      <c r="AU335" s="43">
        <f>N(AU331)+AU332+N(AU333)+AU334</f>
        <v>533.161</v>
      </c>
      <c r="AV335" s="43">
        <f>N(AV331)+AV332+N(AV333)+AV334</f>
        <v>549.449</v>
      </c>
      <c r="AW335" s="43">
        <f>N(AW331)+AW332+N(AW333)+AW334</f>
        <v>549.449</v>
      </c>
      <c r="AX335" s="43">
        <f>N(AX331)+AX332+N(AX333)+AX334</f>
        <v>614.461</v>
      </c>
      <c r="AY335" s="43">
        <f>N(AY331)+AY332+N(AY333)+AY334</f>
        <v>696.02</v>
      </c>
      <c r="AZ335" s="43">
        <f>N(AZ331)+AZ332+N(AZ333)+AZ334</f>
        <v>745.42</v>
      </c>
      <c r="BA335" s="43">
        <f>N(BA331)+BA332+N(BA333)+BA334</f>
        <v>755.905</v>
      </c>
      <c r="BB335" s="43">
        <f>N(BB331)+BB332+N(BB333)+BB334</f>
        <v>755.905</v>
      </c>
      <c r="BC335" s="43">
        <f>N(BC331)+BC332+N(BC333)+BC334</f>
        <v>927.652</v>
      </c>
      <c r="BD335" s="43">
        <f>N(BD331)+BD332+N(BD333)+BD334</f>
        <v>903.683</v>
      </c>
      <c r="BE335" s="43">
        <f>N(BE331)+BE332+N(BE333)+BE334</f>
        <v>820.328</v>
      </c>
      <c r="BF335" s="43">
        <f>N(BF331)+BF332+N(BF333)+BF334</f>
        <v>852.897</v>
      </c>
      <c r="BG335" s="43">
        <f>N(BG331)+BG332+N(BG333)+BG334</f>
        <v>852.897</v>
      </c>
      <c r="BH335" s="43">
        <f>N(BH331)+BH332+N(BH333)+BH334</f>
        <v>835.939</v>
      </c>
      <c r="BI335" s="43">
        <f>N(BI331)+BI332+N(BI333)+BI334</f>
        <v>810.762</v>
      </c>
      <c r="BJ335" s="43">
        <f>N(BJ331)+BJ332+N(BJ333)+BJ334</f>
        <v>808.142</v>
      </c>
      <c r="BK335" s="43">
        <f>N(BK331)+BK332+N(BK333)+BK334</f>
        <v>754.61</v>
      </c>
      <c r="BL335" s="43">
        <f>N(BL331)+BL332+N(BL333)+BL334</f>
        <v>754.61</v>
      </c>
      <c r="BM335" s="43">
        <f>N(BM331)+BM332+N(BM333)+BM334</f>
        <v>748.873</v>
      </c>
      <c r="BN335" s="43">
        <f>N(BN331)+BN332+N(BN333)+BN334</f>
        <v>783.567</v>
      </c>
      <c r="BO335" s="43">
        <f>N(BO331)+BO332+N(BO333)+BO334</f>
        <v>951.336</v>
      </c>
      <c r="BP335" s="43">
        <f>N(BP331)+BP332+N(BP333)+BP334</f>
        <v>878.802</v>
      </c>
      <c r="BQ335" s="43">
        <f>N(BQ331)+BQ332+N(BQ333)+BQ334</f>
        <v>878.802</v>
      </c>
      <c r="BR335" s="43">
        <f>N(BR331)+BR332+N(BR333)+BR334</f>
        <v>969.854</v>
      </c>
      <c r="BS335" s="43">
        <f>N(BS331)+BS332+N(BS333)+BS334</f>
        <v>1025.239</v>
      </c>
      <c r="BT335" s="43">
        <f>N(BT331)+BT332+N(BT333)+BT334</f>
        <v>1039.424</v>
      </c>
      <c r="BU335" s="43">
        <f>N(BU331)+BU332+N(BU333)+BU334</f>
        <v>956.691</v>
      </c>
      <c r="BV335" s="43">
        <f>N(BV331)+BV332+N(BV333)+BV334</f>
        <v>956.691</v>
      </c>
      <c r="BW335" s="43">
        <f>N(BW331)+BW332+N(BW333)+BW334</f>
        <v>1020.357</v>
      </c>
      <c r="BX335" s="43">
        <f>N(BX331)+BX332+N(BX333)+BX334</f>
        <v>888.083</v>
      </c>
      <c r="BY335" s="253" t="n"/>
      <c r="BZ335" s="253" t="n"/>
      <c r="CA335" s="253">
        <f>N(CA331)+CA332+N(CA333)+CA334</f>
        <v>817.095856279122</v>
      </c>
      <c r="CB335" s="253">
        <f>N(CB331)+CB332+N(CB333)+CB334</f>
        <v>1099.57915874381</v>
      </c>
      <c r="CC335" s="253">
        <f>N(CC331)+CC332+N(CC333)+CC334</f>
        <v>1222.94896652703</v>
      </c>
      <c r="CD335" s="253">
        <f>N(CD331)+CD332+N(CD333)+CD334</f>
        <v>1400.0460507716</v>
      </c>
      <c r="CE335" s="253">
        <f>N(CE331)+CE332+N(CE333)+CE334</f>
        <v>1459.23455685164</v>
      </c>
      <c r="CF335" s="19" t="n"/>
    </row>
    <row r="336">
      <c r="B336" s="25" t="inlineStr">
        <is>
          <t xml:space="preserve">  Long-term debt, less current portion</t>
        </is>
      </c>
      <c r="C336" s="34" t="n">
        <v>113.965</v>
      </c>
      <c r="D336" s="34" t="n">
        <v>117.329</v>
      </c>
      <c r="E336" s="34" t="n">
        <v>91.53700000000001</v>
      </c>
      <c r="F336" s="34" t="n">
        <v>87.84999999999999</v>
      </c>
      <c r="G336" s="34" t="n">
        <v>84.627</v>
      </c>
      <c r="H336" s="34" t="n">
        <v>1.96</v>
      </c>
      <c r="I336" s="34" t="n">
        <v>1.599</v>
      </c>
      <c r="J336" s="34" t="n">
        <v>1.448</v>
      </c>
      <c r="K336" s="34" t="n">
        <v>1.388</v>
      </c>
      <c r="L336" s="34" t="n">
        <v>1.251</v>
      </c>
      <c r="M336" s="34" t="n">
        <v>3.791</v>
      </c>
      <c r="N336" s="34" t="n">
        <v>3.791</v>
      </c>
      <c r="O336" s="34" t="n">
        <v>2.678</v>
      </c>
      <c r="P336" s="34" t="n">
        <v>1.159</v>
      </c>
      <c r="Q336" s="34" t="n">
        <v>1.041</v>
      </c>
      <c r="R336" s="34" t="n">
        <v>2.488</v>
      </c>
      <c r="S336" s="34" t="n">
        <v>2.488</v>
      </c>
      <c r="T336" s="34" t="n">
        <v>3.882</v>
      </c>
      <c r="U336" s="34" t="n">
        <v>151.563</v>
      </c>
      <c r="V336" s="34" t="n">
        <v>350.899</v>
      </c>
      <c r="W336" s="34" t="n">
        <v>350.347</v>
      </c>
      <c r="X336" s="34" t="n">
        <v>350.347</v>
      </c>
      <c r="Y336" s="34" t="n">
        <v>350.106</v>
      </c>
      <c r="Z336" s="34" t="n">
        <v>360.931</v>
      </c>
      <c r="AA336" s="34" t="n">
        <v>359.831</v>
      </c>
      <c r="AB336" s="34" t="n">
        <v>703.704</v>
      </c>
      <c r="AC336" s="34" t="n">
        <v>703.704</v>
      </c>
      <c r="AD336" s="34" t="n">
        <v>703.378</v>
      </c>
      <c r="AE336" s="34" t="n">
        <v>704.732</v>
      </c>
      <c r="AF336" s="34" t="n">
        <v>704.804</v>
      </c>
      <c r="AG336" s="34" t="n">
        <v>704.136</v>
      </c>
      <c r="AH336" s="34" t="n">
        <v>704.136</v>
      </c>
      <c r="AI336" s="34" t="n">
        <v>700.869</v>
      </c>
      <c r="AJ336" s="34" t="n">
        <v>700.194</v>
      </c>
      <c r="AK336" s="34" t="n">
        <v>698.468</v>
      </c>
      <c r="AL336" s="34" t="n">
        <v>702.549</v>
      </c>
      <c r="AM336" s="34" t="n">
        <v>702.549</v>
      </c>
      <c r="AN336" s="34" t="n">
        <v>705.725</v>
      </c>
      <c r="AO336" s="34" t="n">
        <v>710.458</v>
      </c>
      <c r="AP336" s="34" t="n">
        <v>713.884</v>
      </c>
      <c r="AQ336" s="34" t="n">
        <v>712.302</v>
      </c>
      <c r="AR336" s="34" t="n">
        <v>712.302</v>
      </c>
      <c r="AS336" s="34" t="n">
        <v>715.95</v>
      </c>
      <c r="AT336" s="34" t="n">
        <v>715.817</v>
      </c>
      <c r="AU336" s="34" t="n">
        <v>715.687</v>
      </c>
      <c r="AV336" s="34" t="n">
        <v>715.456</v>
      </c>
      <c r="AW336" s="34" t="n">
        <v>715.456</v>
      </c>
      <c r="AX336" s="34" t="n">
        <v>715.328</v>
      </c>
      <c r="AY336" s="34" t="n">
        <v>718.1369999999999</v>
      </c>
      <c r="AZ336" s="34" t="n">
        <v>717.787</v>
      </c>
      <c r="BA336" s="34" t="n">
        <v>717.0890000000001</v>
      </c>
      <c r="BB336" s="34" t="n">
        <v>717.0890000000001</v>
      </c>
      <c r="BC336" s="34" t="n">
        <v>715.032</v>
      </c>
      <c r="BD336" s="34" t="n">
        <v>712.908</v>
      </c>
      <c r="BE336" s="34" t="n">
        <v>711.25</v>
      </c>
      <c r="BF336" s="34" t="n">
        <v>1110.396</v>
      </c>
      <c r="BG336" s="34" t="n">
        <v>1110.396</v>
      </c>
      <c r="BH336" s="34" t="n">
        <v>1110.626</v>
      </c>
      <c r="BI336" s="34" t="n">
        <v>1103.898</v>
      </c>
      <c r="BJ336" s="34" t="n">
        <v>1102.858</v>
      </c>
      <c r="BK336" s="34" t="n">
        <v>1102.771</v>
      </c>
      <c r="BL336" s="34" t="n">
        <v>1102.771</v>
      </c>
      <c r="BM336" s="34" t="n">
        <v>1102.677</v>
      </c>
      <c r="BN336" s="34" t="n">
        <v>1098.43</v>
      </c>
      <c r="BO336" s="34" t="n">
        <v>1150.616</v>
      </c>
      <c r="BP336" s="34" t="n">
        <v>1150.551</v>
      </c>
      <c r="BQ336" s="34" t="n">
        <v>1150.551</v>
      </c>
      <c r="BR336" s="34" t="n">
        <v>1150.473</v>
      </c>
      <c r="BS336" s="34" t="n">
        <v>1150.395</v>
      </c>
      <c r="BT336" s="34" t="n">
        <v>1150.315</v>
      </c>
      <c r="BU336" s="34" t="n">
        <v>1150.228</v>
      </c>
      <c r="BV336" s="34" t="n">
        <v>1150.228</v>
      </c>
      <c r="BW336" s="34" t="n">
        <v>1150.138</v>
      </c>
      <c r="BX336" s="34" t="n">
        <v>1150.054</v>
      </c>
      <c r="BY336" s="257" t="n"/>
      <c r="BZ336" s="257" t="n"/>
      <c r="CA336" s="257">
        <f>CA375-CA376</f>
        <v>1150</v>
      </c>
      <c r="CB336" s="257">
        <f>CB375-CB376</f>
        <v>1050</v>
      </c>
      <c r="CC336" s="257">
        <f>CC375-CC376</f>
        <v>1075</v>
      </c>
      <c r="CD336" s="257">
        <f>CD375-CD376</f>
        <v>1050</v>
      </c>
      <c r="CE336" s="257">
        <f>CE375-CE376</f>
        <v>1150</v>
      </c>
      <c r="CF336" s="19" t="n"/>
    </row>
    <row r="337">
      <c r="B337" s="25" t="inlineStr">
        <is>
          <t xml:space="preserve">  Other noncurrent liabilities (derived; incl. pensions, deferred taxes, lease liabilities)</t>
        </is>
      </c>
      <c r="C337" s="34" t="n">
        <v>89.34999999999994</v>
      </c>
      <c r="D337" s="34" t="n">
        <v>128.826</v>
      </c>
      <c r="E337" s="34" t="n">
        <v>275.3140000000001</v>
      </c>
      <c r="F337" s="34" t="n">
        <v>233.796</v>
      </c>
      <c r="G337" s="34" t="n">
        <v>214.091</v>
      </c>
      <c r="H337" s="34" t="n">
        <v>310.532</v>
      </c>
      <c r="I337" s="34" t="n">
        <v>289.676</v>
      </c>
      <c r="J337" s="34" t="n">
        <v>239.553</v>
      </c>
      <c r="K337" s="34" t="n">
        <v>211.589</v>
      </c>
      <c r="L337" s="34" t="n">
        <v>208.376</v>
      </c>
      <c r="M337" s="34" t="n">
        <v>160.471</v>
      </c>
      <c r="N337" s="34" t="n">
        <v>160.471</v>
      </c>
      <c r="O337" s="34" t="n">
        <v>167.2730000000001</v>
      </c>
      <c r="P337" s="34" t="n">
        <v>157.718</v>
      </c>
      <c r="Q337" s="34" t="n">
        <v>163.2979999999999</v>
      </c>
      <c r="R337" s="34" t="n">
        <v>158.527</v>
      </c>
      <c r="S337" s="34" t="n">
        <v>158.527</v>
      </c>
      <c r="T337" s="34" t="n">
        <v>129.246</v>
      </c>
      <c r="U337" s="34" t="n">
        <v>131.3890000000001</v>
      </c>
      <c r="V337" s="34" t="n">
        <v>127.794</v>
      </c>
      <c r="W337" s="34" t="n">
        <v>131.254</v>
      </c>
      <c r="X337" s="34" t="n">
        <v>131.254</v>
      </c>
      <c r="Y337" s="34" t="n">
        <v>132.8650000000001</v>
      </c>
      <c r="Z337" s="34" t="n">
        <v>124.2660000000001</v>
      </c>
      <c r="AA337" s="34" t="n">
        <v>125.014</v>
      </c>
      <c r="AB337" s="34" t="n">
        <v>139.4200000000001</v>
      </c>
      <c r="AC337" s="34" t="n">
        <v>139.4200000000001</v>
      </c>
      <c r="AD337" s="34" t="n">
        <v>142.9120000000001</v>
      </c>
      <c r="AE337" s="34" t="n">
        <v>149.5219999999999</v>
      </c>
      <c r="AF337" s="34" t="n">
        <v>220.515</v>
      </c>
      <c r="AG337" s="34" t="n">
        <v>241.2160000000001</v>
      </c>
      <c r="AH337" s="34" t="n">
        <v>241.2160000000001</v>
      </c>
      <c r="AI337" s="34" t="n">
        <v>256.7589999999999</v>
      </c>
      <c r="AJ337" s="34" t="n">
        <v>250.271</v>
      </c>
      <c r="AK337" s="34" t="n">
        <v>247.758</v>
      </c>
      <c r="AL337" s="34" t="n">
        <v>221.502</v>
      </c>
      <c r="AM337" s="34" t="n">
        <v>221.502</v>
      </c>
      <c r="AN337" s="34" t="n">
        <v>258.9339999999999</v>
      </c>
      <c r="AO337" s="34" t="n">
        <v>266.8060000000002</v>
      </c>
      <c r="AP337" s="34" t="n">
        <v>261.0310000000001</v>
      </c>
      <c r="AQ337" s="34" t="n">
        <v>276.699</v>
      </c>
      <c r="AR337" s="34" t="n">
        <v>276.699</v>
      </c>
      <c r="AS337" s="34" t="n">
        <v>267.168</v>
      </c>
      <c r="AT337" s="34" t="n">
        <v>254.5400000000001</v>
      </c>
      <c r="AU337" s="34" t="n">
        <v>257.9070000000002</v>
      </c>
      <c r="AV337" s="34" t="n">
        <v>259.298</v>
      </c>
      <c r="AW337" s="34" t="n">
        <v>259.298</v>
      </c>
      <c r="AX337" s="34" t="n">
        <v>228.5519999999999</v>
      </c>
      <c r="AY337" s="34" t="n">
        <v>238.9460000000001</v>
      </c>
      <c r="AZ337" s="34" t="n">
        <v>247.697</v>
      </c>
      <c r="BA337" s="34" t="n">
        <v>255.4039999999999</v>
      </c>
      <c r="BB337" s="34" t="n">
        <v>255.4039999999999</v>
      </c>
      <c r="BC337" s="34" t="n">
        <v>230.6</v>
      </c>
      <c r="BD337" s="34" t="n">
        <v>212.2389999999999</v>
      </c>
      <c r="BE337" s="34" t="n">
        <v>196.1590000000001</v>
      </c>
      <c r="BF337" s="34" t="n">
        <v>183.2120000000002</v>
      </c>
      <c r="BG337" s="34" t="n">
        <v>183.2120000000002</v>
      </c>
      <c r="BH337" s="34" t="n">
        <v>181.4000000000003</v>
      </c>
      <c r="BI337" s="34" t="n">
        <v>195.1040000000003</v>
      </c>
      <c r="BJ337" s="34" t="n">
        <v>189.3130000000001</v>
      </c>
      <c r="BK337" s="34" t="n">
        <v>211.0640000000001</v>
      </c>
      <c r="BL337" s="34" t="n">
        <v>211.0640000000001</v>
      </c>
      <c r="BM337" s="34" t="n">
        <v>220.3390000000002</v>
      </c>
      <c r="BN337" s="34" t="n">
        <v>220.3459999999998</v>
      </c>
      <c r="BO337" s="34" t="n">
        <v>223.403</v>
      </c>
      <c r="BP337" s="34" t="n">
        <v>163.3559999999998</v>
      </c>
      <c r="BQ337" s="34" t="n">
        <v>163.3559999999998</v>
      </c>
      <c r="BR337" s="34" t="n">
        <v>164.577</v>
      </c>
      <c r="BS337" s="34" t="n">
        <v>172.1219999999998</v>
      </c>
      <c r="BT337" s="34" t="n">
        <v>210.7330000000002</v>
      </c>
      <c r="BU337" s="34" t="n">
        <v>200.8639999999998</v>
      </c>
      <c r="BV337" s="34" t="n">
        <v>200.8639999999998</v>
      </c>
      <c r="BW337" s="34" t="n">
        <v>218.6400000000003</v>
      </c>
      <c r="BX337" s="34" t="n">
        <v>220.9929999999999</v>
      </c>
      <c r="BY337" s="257" t="n"/>
      <c r="BZ337" s="257" t="n"/>
      <c r="CA337" s="257">
        <f>$BX$337</f>
        <v>220.993</v>
      </c>
      <c r="CB337" s="257">
        <f>CA337</f>
        <v>220.993</v>
      </c>
      <c r="CC337" s="257">
        <f>CB337</f>
        <v>220.993</v>
      </c>
      <c r="CD337" s="257">
        <f>CC337</f>
        <v>220.993</v>
      </c>
      <c r="CE337" s="257">
        <f>CD337</f>
        <v>220.993</v>
      </c>
      <c r="CF337" s="19" t="n"/>
    </row>
    <row r="338">
      <c r="B338" s="16" t="inlineStr">
        <is>
          <t>Total liabilities</t>
        </is>
      </c>
      <c r="C338" s="43">
        <f>C335+N(C336)+C337</f>
        <v>541.603</v>
      </c>
      <c r="D338" s="43">
        <f>D335+N(D336)+D337</f>
        <v>558.076</v>
      </c>
      <c r="E338" s="43">
        <f>E335+N(E336)+E337</f>
        <v>723.493</v>
      </c>
      <c r="F338" s="43">
        <f>F335+N(F336)+F337</f>
        <v>619.617</v>
      </c>
      <c r="G338" s="43">
        <f>G335+N(G336)+G337</f>
        <v>634.31</v>
      </c>
      <c r="H338" s="43">
        <f>H335+N(H336)+H337</f>
        <v>783.534</v>
      </c>
      <c r="I338" s="43">
        <f>I335+N(I336)+I337</f>
        <v>731.542</v>
      </c>
      <c r="J338" s="43">
        <f>J335+N(J336)+J337</f>
        <v>699.982</v>
      </c>
      <c r="K338" s="43">
        <f>K335+N(K336)+K337</f>
        <v>665.662</v>
      </c>
      <c r="L338" s="43">
        <f>L335+N(L336)+L337</f>
        <v>690.822</v>
      </c>
      <c r="M338" s="43">
        <f>M335+N(M336)+M337</f>
        <v>621.179</v>
      </c>
      <c r="N338" s="43">
        <f>N335+N(N336)+N337</f>
        <v>621.179</v>
      </c>
      <c r="O338" s="43">
        <f>O335+N(O336)+O337</f>
        <v>601.863</v>
      </c>
      <c r="P338" s="43">
        <f>P335+N(P336)+P337</f>
        <v>623.366</v>
      </c>
      <c r="Q338" s="43">
        <f>Q335+N(Q336)+Q337</f>
        <v>736.04</v>
      </c>
      <c r="R338" s="43">
        <f>R335+N(R336)+R337</f>
        <v>653.434</v>
      </c>
      <c r="S338" s="43">
        <f>S335+N(S336)+S337</f>
        <v>653.434</v>
      </c>
      <c r="T338" s="43">
        <f>T335+N(T336)+T337</f>
        <v>741.553</v>
      </c>
      <c r="U338" s="43">
        <f>U335+N(U336)+U337</f>
        <v>753.508</v>
      </c>
      <c r="V338" s="43">
        <f>V335+N(V336)+V337</f>
        <v>916.122</v>
      </c>
      <c r="W338" s="43">
        <f>W335+N(W336)+W337</f>
        <v>851.723</v>
      </c>
      <c r="X338" s="43">
        <f>X335+N(X336)+X337</f>
        <v>851.723</v>
      </c>
      <c r="Y338" s="43">
        <f>Y335+N(Y336)+Y337</f>
        <v>884.426</v>
      </c>
      <c r="Z338" s="43">
        <f>Z335+N(Z336)+Z337</f>
        <v>1044.987</v>
      </c>
      <c r="AA338" s="43">
        <f>AA335+N(AA336)+AA337</f>
        <v>1080.904</v>
      </c>
      <c r="AB338" s="43">
        <f>AB335+N(AB336)+AB337</f>
        <v>1231.231</v>
      </c>
      <c r="AC338" s="43">
        <f>AC335+N(AC336)+AC337</f>
        <v>1231.231</v>
      </c>
      <c r="AD338" s="43">
        <f>AD335+N(AD336)+AD337</f>
        <v>1268.553</v>
      </c>
      <c r="AE338" s="43">
        <f>AE335+N(AE336)+AE337</f>
        <v>1269.897</v>
      </c>
      <c r="AF338" s="43">
        <f>AF335+N(AF336)+AF337</f>
        <v>1465.175</v>
      </c>
      <c r="AG338" s="43">
        <f>AG335+N(AG336)+AG337</f>
        <v>1474.094</v>
      </c>
      <c r="AH338" s="43">
        <f>AH335+N(AH336)+AH337</f>
        <v>1474.094</v>
      </c>
      <c r="AI338" s="43">
        <f>AI335+N(AI336)+AI337</f>
        <v>1507.828</v>
      </c>
      <c r="AJ338" s="43">
        <f>AJ335+N(AJ336)+AJ337</f>
        <v>1490.223</v>
      </c>
      <c r="AK338" s="43">
        <f>AK335+N(AK336)+AK337</f>
        <v>1491.777</v>
      </c>
      <c r="AL338" s="43">
        <f>AL335+N(AL336)+AL337</f>
        <v>1462.233</v>
      </c>
      <c r="AM338" s="43">
        <f>AM335+N(AM336)+AM337</f>
        <v>1462.233</v>
      </c>
      <c r="AN338" s="43">
        <f>AN335+N(AN336)+AN337</f>
        <v>1490.186</v>
      </c>
      <c r="AO338" s="43">
        <f>AO335+N(AO336)+AO337</f>
        <v>1548.275</v>
      </c>
      <c r="AP338" s="43">
        <f>AP335+N(AP336)+AP337</f>
        <v>1547.352</v>
      </c>
      <c r="AQ338" s="43">
        <f>AQ335+N(AQ336)+AQ337</f>
        <v>1552.136</v>
      </c>
      <c r="AR338" s="43">
        <f>AR335+N(AR336)+AR337</f>
        <v>1552.136</v>
      </c>
      <c r="AS338" s="43">
        <f>AS335+N(AS336)+AS337</f>
        <v>1637.94</v>
      </c>
      <c r="AT338" s="43">
        <f>AT335+N(AT336)+AT337</f>
        <v>1538.928</v>
      </c>
      <c r="AU338" s="43">
        <f>AU335+N(AU336)+AU337</f>
        <v>1506.755</v>
      </c>
      <c r="AV338" s="43">
        <f>AV335+N(AV336)+AV337</f>
        <v>1524.203</v>
      </c>
      <c r="AW338" s="43">
        <f>AW335+N(AW336)+AW337</f>
        <v>1524.203</v>
      </c>
      <c r="AX338" s="43">
        <f>AX335+N(AX336)+AX337</f>
        <v>1558.341</v>
      </c>
      <c r="AY338" s="43">
        <f>AY335+N(AY336)+AY337</f>
        <v>1653.103</v>
      </c>
      <c r="AZ338" s="43">
        <f>AZ335+N(AZ336)+AZ337</f>
        <v>1710.904</v>
      </c>
      <c r="BA338" s="43">
        <f>BA335+N(BA336)+BA337</f>
        <v>1728.398</v>
      </c>
      <c r="BB338" s="43">
        <f>BB335+N(BB336)+BB337</f>
        <v>1728.398</v>
      </c>
      <c r="BC338" s="43">
        <f>BC335+N(BC336)+BC337</f>
        <v>1873.284</v>
      </c>
      <c r="BD338" s="43">
        <f>BD335+N(BD336)+BD337</f>
        <v>1828.83</v>
      </c>
      <c r="BE338" s="43">
        <f>BE335+N(BE336)+BE337</f>
        <v>1727.737</v>
      </c>
      <c r="BF338" s="43">
        <f>BF335+N(BF336)+BF337</f>
        <v>2146.505</v>
      </c>
      <c r="BG338" s="43">
        <f>BG335+N(BG336)+BG337</f>
        <v>2146.505</v>
      </c>
      <c r="BH338" s="43">
        <f>BH335+N(BH336)+BH337</f>
        <v>2127.965</v>
      </c>
      <c r="BI338" s="43">
        <f>BI335+N(BI336)+BI337</f>
        <v>2109.764</v>
      </c>
      <c r="BJ338" s="43">
        <f>BJ335+N(BJ336)+BJ337</f>
        <v>2100.313</v>
      </c>
      <c r="BK338" s="43">
        <f>BK335+N(BK336)+BK337</f>
        <v>2068.445</v>
      </c>
      <c r="BL338" s="43">
        <f>BL335+N(BL336)+BL337</f>
        <v>2068.445</v>
      </c>
      <c r="BM338" s="43">
        <f>BM335+N(BM336)+BM337</f>
        <v>2071.889</v>
      </c>
      <c r="BN338" s="43">
        <f>BN335+N(BN336)+BN337</f>
        <v>2102.343</v>
      </c>
      <c r="BO338" s="43">
        <f>BO335+N(BO336)+BO337</f>
        <v>2325.355</v>
      </c>
      <c r="BP338" s="43">
        <f>BP335+N(BP336)+BP337</f>
        <v>2192.709</v>
      </c>
      <c r="BQ338" s="43">
        <f>BQ335+N(BQ336)+BQ337</f>
        <v>2192.709</v>
      </c>
      <c r="BR338" s="43">
        <f>BR335+N(BR336)+BR337</f>
        <v>2284.904</v>
      </c>
      <c r="BS338" s="43">
        <f>BS335+N(BS336)+BS337</f>
        <v>2347.756</v>
      </c>
      <c r="BT338" s="43">
        <f>BT335+N(BT336)+BT337</f>
        <v>2400.472</v>
      </c>
      <c r="BU338" s="43">
        <f>BU335+N(BU336)+BU337</f>
        <v>2307.783</v>
      </c>
      <c r="BV338" s="43">
        <f>BV335+N(BV336)+BV337</f>
        <v>2307.783</v>
      </c>
      <c r="BW338" s="43">
        <f>BW335+N(BW336)+BW337</f>
        <v>2389.135</v>
      </c>
      <c r="BX338" s="43">
        <f>BX335+N(BX336)+BX337</f>
        <v>2259.13</v>
      </c>
      <c r="BY338" s="253" t="n"/>
      <c r="BZ338" s="253" t="n"/>
      <c r="CA338" s="253">
        <f>CA335+N(CA336)+CA337</f>
        <v>2188.08885627912</v>
      </c>
      <c r="CB338" s="253">
        <f>CB335+N(CB336)+CB337</f>
        <v>2370.57215874381</v>
      </c>
      <c r="CC338" s="253">
        <f>CC335+N(CC336)+CC337</f>
        <v>2518.94196652703</v>
      </c>
      <c r="CD338" s="253">
        <f>CD335+N(CD336)+CD337</f>
        <v>2671.0390507716</v>
      </c>
      <c r="CE338" s="253">
        <f>CE335+N(CE336)+CE337</f>
        <v>2830.22755685164</v>
      </c>
      <c r="CF338" s="19" t="n"/>
    </row>
    <row r="339">
      <c r="B339" s="25" t="inlineStr">
        <is>
          <t>Shareholders' equity:</t>
        </is>
      </c>
      <c r="C339" s="270" t="n"/>
      <c r="D339" s="270" t="n"/>
      <c r="E339" s="270" t="n"/>
      <c r="F339" s="270" t="n"/>
      <c r="G339" s="270" t="n"/>
      <c r="H339" s="270" t="n"/>
      <c r="I339" s="270" t="n"/>
      <c r="J339" s="270" t="n"/>
      <c r="K339" s="270" t="n"/>
      <c r="L339" s="270" t="n"/>
      <c r="M339" s="270" t="n"/>
      <c r="N339" s="270" t="n"/>
      <c r="O339" s="270" t="n"/>
      <c r="P339" s="270" t="n"/>
      <c r="Q339" s="270" t="n"/>
      <c r="R339" s="270" t="n"/>
      <c r="S339" s="270" t="n"/>
      <c r="T339" s="270" t="n"/>
      <c r="U339" s="270" t="n"/>
      <c r="V339" s="270" t="n"/>
      <c r="W339" s="270" t="n"/>
      <c r="X339" s="270" t="n"/>
      <c r="Y339" s="270" t="n"/>
      <c r="Z339" s="270" t="n"/>
      <c r="AA339" s="270" t="n"/>
      <c r="AB339" s="270" t="n"/>
      <c r="AC339" s="270" t="n"/>
      <c r="AD339" s="270" t="n"/>
      <c r="AE339" s="270" t="n"/>
      <c r="AF339" s="270" t="n"/>
      <c r="AG339" s="270" t="n"/>
      <c r="AH339" s="270" t="n"/>
      <c r="AI339" s="270" t="n"/>
      <c r="AJ339" s="270" t="n"/>
      <c r="AK339" s="270" t="n"/>
      <c r="AL339" s="270" t="n"/>
      <c r="AM339" s="270" t="n"/>
      <c r="AN339" s="270" t="n"/>
      <c r="AO339" s="270" t="n"/>
      <c r="AP339" s="270" t="n"/>
      <c r="AQ339" s="270" t="n"/>
      <c r="AR339" s="270" t="n"/>
      <c r="AS339" s="270" t="n"/>
      <c r="AT339" s="270" t="n"/>
      <c r="AU339" s="270" t="n"/>
      <c r="AV339" s="270" t="n"/>
      <c r="AW339" s="270" t="n"/>
      <c r="AX339" s="270" t="n"/>
      <c r="AY339" s="270" t="n"/>
      <c r="AZ339" s="270" t="n"/>
      <c r="BA339" s="270" t="n"/>
      <c r="BB339" s="270" t="n"/>
      <c r="BC339" s="270" t="n"/>
      <c r="BD339" s="270" t="n"/>
      <c r="BE339" s="270" t="n"/>
      <c r="BF339" s="270" t="n"/>
      <c r="BG339" s="270" t="n"/>
      <c r="BH339" s="270" t="n"/>
      <c r="BI339" s="270" t="n"/>
      <c r="BJ339" s="270" t="n"/>
      <c r="BK339" s="270" t="n"/>
      <c r="BL339" s="270" t="n"/>
      <c r="BM339" s="270" t="n"/>
      <c r="BN339" s="270" t="n"/>
      <c r="BO339" s="270" t="n"/>
      <c r="BP339" s="270" t="n"/>
      <c r="BQ339" s="270" t="n"/>
      <c r="BR339" s="270" t="n"/>
      <c r="BS339" s="270" t="n"/>
      <c r="BT339" s="270" t="n"/>
      <c r="BU339" s="270" t="n"/>
      <c r="BV339" s="270" t="n"/>
      <c r="BW339" s="270" t="n"/>
      <c r="BX339" s="270" t="n"/>
      <c r="BY339" s="269" t="n"/>
      <c r="BZ339" s="269" t="n"/>
      <c r="CA339" s="269" t="n"/>
      <c r="CB339" s="269" t="n"/>
      <c r="CC339" s="269" t="n"/>
      <c r="CD339" s="269" t="n"/>
      <c r="CE339" s="269" t="n"/>
      <c r="CF339" s="19" t="n"/>
    </row>
    <row r="340">
      <c r="B340" s="25" t="inlineStr">
        <is>
          <t xml:space="preserve">  Common shares &amp; additional paid-in capital</t>
        </is>
      </c>
      <c r="C340" s="34" t="n">
        <v>142.244</v>
      </c>
      <c r="D340" s="34" t="n">
        <v>150.754</v>
      </c>
      <c r="E340" s="34" t="n">
        <v>160.467</v>
      </c>
      <c r="F340" s="34" t="n">
        <v>164.369</v>
      </c>
      <c r="G340" s="34" t="n">
        <v>172.305</v>
      </c>
      <c r="H340" s="34" t="n">
        <v>188.962</v>
      </c>
      <c r="I340" s="34" t="n">
        <v>214.982</v>
      </c>
      <c r="J340" s="34" t="n">
        <v>227.973</v>
      </c>
      <c r="K340" s="34" t="n">
        <v>234.185</v>
      </c>
      <c r="L340" s="34" t="n">
        <v>239.944</v>
      </c>
      <c r="M340" s="34" t="n">
        <v>250.377</v>
      </c>
      <c r="N340" s="34" t="n">
        <v>250.377</v>
      </c>
      <c r="O340" s="34" t="n">
        <v>254.682</v>
      </c>
      <c r="P340" s="34" t="n">
        <v>258.357</v>
      </c>
      <c r="Q340" s="34" t="n">
        <v>261.996</v>
      </c>
      <c r="R340" s="34" t="n">
        <v>268.674</v>
      </c>
      <c r="S340" s="34" t="n">
        <v>268.674</v>
      </c>
      <c r="T340" s="34" t="n">
        <v>271.846</v>
      </c>
      <c r="U340" s="34" t="n">
        <v>276.434</v>
      </c>
      <c r="V340" s="34" t="n">
        <v>279.037</v>
      </c>
      <c r="W340" s="34" t="n">
        <v>282.766</v>
      </c>
      <c r="X340" s="34" t="n">
        <v>282.766</v>
      </c>
      <c r="Y340" s="34" t="n">
        <v>286.711</v>
      </c>
      <c r="Z340" s="34" t="n">
        <v>293.024</v>
      </c>
      <c r="AA340" s="34" t="n">
        <v>300.643</v>
      </c>
      <c r="AB340" s="34" t="n">
        <v>319.275</v>
      </c>
      <c r="AC340" s="34" t="n">
        <v>319.275</v>
      </c>
      <c r="AD340" s="34" t="n">
        <v>327</v>
      </c>
      <c r="AE340" s="34" t="n">
        <v>336.322</v>
      </c>
      <c r="AF340" s="34" t="n">
        <v>340.38</v>
      </c>
      <c r="AG340" s="34" t="n">
        <v>344.167</v>
      </c>
      <c r="AH340" s="34" t="n">
        <v>344.167</v>
      </c>
      <c r="AI340" s="34" t="n">
        <v>355.469</v>
      </c>
      <c r="AJ340" s="34" t="n">
        <v>361.49</v>
      </c>
      <c r="AK340" s="34" t="n">
        <v>367.607</v>
      </c>
      <c r="AL340" s="34" t="n">
        <v>370.166</v>
      </c>
      <c r="AM340" s="34" t="n">
        <v>370.166</v>
      </c>
      <c r="AN340" s="34" t="n">
        <v>374.276</v>
      </c>
      <c r="AO340" s="34" t="n">
        <v>378.777</v>
      </c>
      <c r="AP340" s="34" t="n">
        <v>387.442</v>
      </c>
      <c r="AQ340" s="34" t="n">
        <v>399.304</v>
      </c>
      <c r="AR340" s="34" t="n">
        <v>399.304</v>
      </c>
      <c r="AS340" s="34" t="n">
        <v>396.954</v>
      </c>
      <c r="AT340" s="34" t="n">
        <v>404.55</v>
      </c>
      <c r="AU340" s="34" t="n">
        <v>413.944</v>
      </c>
      <c r="AV340" s="34" t="n">
        <v>419.816</v>
      </c>
      <c r="AW340" s="34" t="n">
        <v>419.816</v>
      </c>
      <c r="AX340" s="34" t="n">
        <v>428.387</v>
      </c>
      <c r="AY340" s="34" t="n">
        <v>437.434</v>
      </c>
      <c r="AZ340" s="34" t="n">
        <v>444.644</v>
      </c>
      <c r="BA340" s="34" t="n">
        <v>461.126</v>
      </c>
      <c r="BB340" s="34" t="n">
        <v>461.126</v>
      </c>
      <c r="BC340" s="34" t="n">
        <v>472.075</v>
      </c>
      <c r="BD340" s="34" t="n">
        <v>475.482</v>
      </c>
      <c r="BE340" s="34" t="n">
        <v>481.03</v>
      </c>
      <c r="BF340" s="34" t="n">
        <v>491.715</v>
      </c>
      <c r="BG340" s="34" t="n">
        <v>491.715</v>
      </c>
      <c r="BH340" s="34" t="n">
        <v>507.881</v>
      </c>
      <c r="BI340" s="34" t="n">
        <v>525.1609999999999</v>
      </c>
      <c r="BJ340" s="34" t="n">
        <v>529.0089999999999</v>
      </c>
      <c r="BK340" s="34" t="n">
        <v>533.2149999999999</v>
      </c>
      <c r="BL340" s="34" t="n">
        <v>533.2149999999999</v>
      </c>
      <c r="BM340" s="34" t="n">
        <v>570.2969999999999</v>
      </c>
      <c r="BN340" s="34" t="n">
        <v>569.1849999999999</v>
      </c>
      <c r="BO340" s="34" t="n">
        <v>571.006</v>
      </c>
      <c r="BP340" s="34" t="n">
        <v>576.598</v>
      </c>
      <c r="BQ340" s="34" t="n">
        <v>576.598</v>
      </c>
      <c r="BR340" s="34" t="n">
        <v>591.1079999999999</v>
      </c>
      <c r="BS340" s="34" t="n">
        <v>596.092</v>
      </c>
      <c r="BT340" s="34" t="n">
        <v>605.502</v>
      </c>
      <c r="BU340" s="34" t="n">
        <v>611.424</v>
      </c>
      <c r="BV340" s="34" t="n">
        <v>611.424</v>
      </c>
      <c r="BW340" s="34" t="n">
        <v>622.2489999999999</v>
      </c>
      <c r="BX340" s="34" t="n">
        <v>627.737</v>
      </c>
      <c r="BY340" s="257" t="n"/>
      <c r="BZ340" s="257" t="n"/>
      <c r="CA340" s="257">
        <f>$BX$340+(CA272-$BW$272-$BX$272)+(CA288-$BW$288-$BX$288)</f>
        <v>642.424186366893</v>
      </c>
      <c r="CB340" s="257">
        <f>CA340+CB272+CB288</f>
        <v>672.600279862164</v>
      </c>
      <c r="CC340" s="257">
        <f>CB340+CC272+CC288</f>
        <v>705.030485808759</v>
      </c>
      <c r="CD340" s="257">
        <f>CC340+CD272+CD288</f>
        <v>739.801491373676</v>
      </c>
      <c r="CE340" s="257">
        <f>CD340+CE272+CE288</f>
        <v>777.02123825647</v>
      </c>
      <c r="CF340" s="19" t="inlineStr">
        <is>
          <t>+ stock-based compensation + option proceeds.</t>
        </is>
      </c>
    </row>
    <row r="341">
      <c r="B341" s="25" t="inlineStr">
        <is>
          <t xml:space="preserve">  Retained earnings</t>
        </is>
      </c>
      <c r="C341" s="34" t="n">
        <v>906.074</v>
      </c>
      <c r="D341" s="34" t="n">
        <v>1068.1</v>
      </c>
      <c r="E341" s="34" t="n">
        <v>1236.81</v>
      </c>
      <c r="F341" s="34" t="n">
        <v>1239.004</v>
      </c>
      <c r="G341" s="34" t="n">
        <v>1320.552</v>
      </c>
      <c r="H341" s="34" t="n">
        <v>1484.393</v>
      </c>
      <c r="I341" s="34" t="n">
        <v>1682.668</v>
      </c>
      <c r="J341" s="34" t="n">
        <v>1732.884</v>
      </c>
      <c r="K341" s="34" t="n">
        <v>1789.049</v>
      </c>
      <c r="L341" s="34" t="n">
        <v>1838.77</v>
      </c>
      <c r="M341" s="34" t="n">
        <v>1908.462</v>
      </c>
      <c r="N341" s="34" t="n">
        <v>1908.462</v>
      </c>
      <c r="O341" s="34" t="n">
        <v>1946.414</v>
      </c>
      <c r="P341" s="34" t="n">
        <v>2005.468</v>
      </c>
      <c r="Q341" s="34" t="n">
        <v>2033.29</v>
      </c>
      <c r="R341" s="34" t="n">
        <v>2086.174</v>
      </c>
      <c r="S341" s="34" t="n">
        <v>2086.174</v>
      </c>
      <c r="T341" s="34" t="n">
        <v>2132.608</v>
      </c>
      <c r="U341" s="34" t="n">
        <v>2181.813</v>
      </c>
      <c r="V341" s="34" t="n">
        <v>2100.334</v>
      </c>
      <c r="W341" s="34" t="n">
        <v>2125.838</v>
      </c>
      <c r="X341" s="34" t="n">
        <v>2125.838</v>
      </c>
      <c r="Y341" s="34" t="n">
        <v>2157.33</v>
      </c>
      <c r="Z341" s="34" t="n">
        <v>2167</v>
      </c>
      <c r="AA341" s="34" t="n">
        <v>2205.798</v>
      </c>
      <c r="AB341" s="34" t="n">
        <v>2236.071</v>
      </c>
      <c r="AC341" s="34" t="n">
        <v>2236.071</v>
      </c>
      <c r="AD341" s="34" t="n">
        <v>2268.707</v>
      </c>
      <c r="AE341" s="34" t="n">
        <v>2306.814</v>
      </c>
      <c r="AF341" s="34" t="n">
        <v>2389.771</v>
      </c>
      <c r="AG341" s="34" t="n">
        <v>2388.219</v>
      </c>
      <c r="AH341" s="34" t="n">
        <v>2388.219</v>
      </c>
      <c r="AI341" s="34" t="n">
        <v>2417.773</v>
      </c>
      <c r="AJ341" s="34" t="n">
        <v>2461.13</v>
      </c>
      <c r="AK341" s="34" t="n">
        <v>2505.396</v>
      </c>
      <c r="AL341" s="34" t="n">
        <v>2564.44</v>
      </c>
      <c r="AM341" s="34" t="n">
        <v>2564.44</v>
      </c>
      <c r="AN341" s="34" t="n">
        <v>2605.265</v>
      </c>
      <c r="AO341" s="34" t="n">
        <v>2661.72</v>
      </c>
      <c r="AP341" s="34" t="n">
        <v>2704.486</v>
      </c>
      <c r="AQ341" s="34" t="n">
        <v>2736.481</v>
      </c>
      <c r="AR341" s="34" t="n">
        <v>2736.481</v>
      </c>
      <c r="AS341" s="34" t="n">
        <v>2767.939</v>
      </c>
      <c r="AT341" s="34" t="n">
        <v>2762.833</v>
      </c>
      <c r="AU341" s="34" t="n">
        <v>2790.579</v>
      </c>
      <c r="AV341" s="34" t="n">
        <v>2821.359</v>
      </c>
      <c r="AW341" s="34" t="n">
        <v>2821.359</v>
      </c>
      <c r="AX341" s="34" t="n">
        <v>2864.223</v>
      </c>
      <c r="AY341" s="34" t="n">
        <v>2928.819</v>
      </c>
      <c r="AZ341" s="34" t="n">
        <v>2930.361</v>
      </c>
      <c r="BA341" s="34" t="n">
        <v>2970.303</v>
      </c>
      <c r="BB341" s="34" t="n">
        <v>2970.303</v>
      </c>
      <c r="BC341" s="34" t="n">
        <v>3063.721</v>
      </c>
      <c r="BD341" s="34" t="n">
        <v>3160.92</v>
      </c>
      <c r="BE341" s="34" t="n">
        <v>3237.2</v>
      </c>
      <c r="BF341" s="34" t="n">
        <v>3306.5</v>
      </c>
      <c r="BG341" s="34" t="n">
        <v>3306.5</v>
      </c>
      <c r="BH341" s="34" t="n">
        <v>3387.543</v>
      </c>
      <c r="BI341" s="34" t="n">
        <v>3483.127</v>
      </c>
      <c r="BJ341" s="34" t="n">
        <v>3578.154</v>
      </c>
      <c r="BK341" s="34" t="n">
        <v>3688.038</v>
      </c>
      <c r="BL341" s="34" t="n">
        <v>3688.038</v>
      </c>
      <c r="BM341" s="34" t="n">
        <v>3766.297</v>
      </c>
      <c r="BN341" s="34" t="n">
        <v>3833.267</v>
      </c>
      <c r="BO341" s="34" t="n">
        <v>3893.883</v>
      </c>
      <c r="BP341" s="34" t="n">
        <v>3993.016</v>
      </c>
      <c r="BQ341" s="34" t="n">
        <v>3993.016</v>
      </c>
      <c r="BR341" s="34" t="n">
        <v>4067.213</v>
      </c>
      <c r="BS341" s="34" t="n">
        <v>4168.467</v>
      </c>
      <c r="BT341" s="34" t="n">
        <v>4247.355</v>
      </c>
      <c r="BU341" s="34" t="n">
        <v>4342.08</v>
      </c>
      <c r="BV341" s="34" t="n">
        <v>4342.08</v>
      </c>
      <c r="BW341" s="34" t="n">
        <v>4435.76</v>
      </c>
      <c r="BX341" s="34" t="n">
        <v>4548.978</v>
      </c>
      <c r="BY341" s="257" t="n"/>
      <c r="BZ341" s="257" t="n"/>
      <c r="CA341" s="257">
        <f>$BX$341+$BY$175+$BZ$175-($BY$187*$BY$181+$BZ$187*$BZ$181)</f>
        <v>4773.07677466571</v>
      </c>
      <c r="CB341" s="257">
        <f>CA341+CB175+CB286</f>
        <v>5262.74289086698</v>
      </c>
      <c r="CC341" s="257">
        <f>CB341+CC175+CC286</f>
        <v>5815.25271488444</v>
      </c>
      <c r="CD341" s="257">
        <f>CC341+CD175+CD286</f>
        <v>6432.58162405183</v>
      </c>
      <c r="CE341" s="257">
        <f>CD341+CE175+CE286</f>
        <v>7118.57921245993</v>
      </c>
      <c r="CF341" s="19" t="inlineStr">
        <is>
          <t>+ net income − dividends.</t>
        </is>
      </c>
    </row>
    <row r="342">
      <c r="B342" s="25" t="inlineStr">
        <is>
          <t xml:space="preserve">  Accumulated other comprehensive loss</t>
        </is>
      </c>
      <c r="C342" s="34" t="n">
        <v>-54.653</v>
      </c>
      <c r="D342" s="34" t="n">
        <v>15.841</v>
      </c>
      <c r="E342" s="34" t="n">
        <v>-218.158</v>
      </c>
      <c r="F342" s="34" t="n">
        <v>-149.404</v>
      </c>
      <c r="G342" s="34" t="n">
        <v>-141.948</v>
      </c>
      <c r="H342" s="34" t="n">
        <v>-247.881</v>
      </c>
      <c r="I342" s="34" t="n">
        <v>-235.4</v>
      </c>
      <c r="J342" s="34" t="n">
        <v>-244.045</v>
      </c>
      <c r="K342" s="34" t="n">
        <v>-259.787</v>
      </c>
      <c r="L342" s="34" t="n">
        <v>-236.43</v>
      </c>
      <c r="M342" s="34" t="n">
        <v>-151.941</v>
      </c>
      <c r="N342" s="34" t="n">
        <v>-151.941</v>
      </c>
      <c r="O342" s="34" t="n">
        <v>-162.857</v>
      </c>
      <c r="P342" s="34" t="n">
        <v>-148.391</v>
      </c>
      <c r="Q342" s="34" t="n">
        <v>-194.779</v>
      </c>
      <c r="R342" s="34" t="n">
        <v>-288.622</v>
      </c>
      <c r="S342" s="34" t="n">
        <v>-288.622</v>
      </c>
      <c r="T342" s="34" t="n">
        <v>-339.995</v>
      </c>
      <c r="U342" s="34" t="n">
        <v>-321.88</v>
      </c>
      <c r="V342" s="34" t="n">
        <v>-288.473</v>
      </c>
      <c r="W342" s="34" t="n">
        <v>-296.267</v>
      </c>
      <c r="X342" s="34" t="n">
        <v>-296.267</v>
      </c>
      <c r="Y342" s="34" t="n">
        <v>-269.579</v>
      </c>
      <c r="Z342" s="34" t="n">
        <v>-286.554</v>
      </c>
      <c r="AA342" s="34" t="n">
        <v>-288.44</v>
      </c>
      <c r="AB342" s="34" t="n">
        <v>-329.037</v>
      </c>
      <c r="AC342" s="34" t="n">
        <v>-329.037</v>
      </c>
      <c r="AD342" s="34" t="n">
        <v>-298.288</v>
      </c>
      <c r="AE342" s="34" t="n">
        <v>-272.523</v>
      </c>
      <c r="AF342" s="34" t="n">
        <v>-250.349</v>
      </c>
      <c r="AG342" s="34" t="n">
        <v>-247.186</v>
      </c>
      <c r="AH342" s="34" t="n">
        <v>-247.186</v>
      </c>
      <c r="AI342" s="34" t="n">
        <v>-225.716</v>
      </c>
      <c r="AJ342" s="34" t="n">
        <v>-276.479</v>
      </c>
      <c r="AK342" s="34" t="n">
        <v>-271.614</v>
      </c>
      <c r="AL342" s="34" t="n">
        <v>-293.739</v>
      </c>
      <c r="AM342" s="34" t="n">
        <v>-293.739</v>
      </c>
      <c r="AN342" s="34" t="n">
        <v>-287.524</v>
      </c>
      <c r="AO342" s="34" t="n">
        <v>-281.85</v>
      </c>
      <c r="AP342" s="34" t="n">
        <v>-305.868</v>
      </c>
      <c r="AQ342" s="34" t="n">
        <v>-275.85</v>
      </c>
      <c r="AR342" s="34" t="n">
        <v>-275.85</v>
      </c>
      <c r="AS342" s="34" t="n">
        <v>-348.177</v>
      </c>
      <c r="AT342" s="34" t="n">
        <v>-355.62</v>
      </c>
      <c r="AU342" s="34" t="n">
        <v>-343.281</v>
      </c>
      <c r="AV342" s="34" t="n">
        <v>-302.19</v>
      </c>
      <c r="AW342" s="34" t="n">
        <v>-302.19</v>
      </c>
      <c r="AX342" s="34" t="n">
        <v>-312.424</v>
      </c>
      <c r="AY342" s="34" t="n">
        <v>-305.191</v>
      </c>
      <c r="AZ342" s="34" t="n">
        <v>-265.819</v>
      </c>
      <c r="BA342" s="34" t="n">
        <v>-257.386</v>
      </c>
      <c r="BB342" s="34" t="n">
        <v>-257.386</v>
      </c>
      <c r="BC342" s="34" t="n">
        <v>-259.507</v>
      </c>
      <c r="BD342" s="34" t="n">
        <v>-285.197</v>
      </c>
      <c r="BE342" s="34" t="n">
        <v>-329.451</v>
      </c>
      <c r="BF342" s="34" t="n">
        <v>-275.299</v>
      </c>
      <c r="BG342" s="34" t="n">
        <v>-275.299</v>
      </c>
      <c r="BH342" s="34" t="n">
        <v>-250.836</v>
      </c>
      <c r="BI342" s="34" t="n">
        <v>-236.186</v>
      </c>
      <c r="BJ342" s="34" t="n">
        <v>-265.833</v>
      </c>
      <c r="BK342" s="34" t="n">
        <v>-229.847</v>
      </c>
      <c r="BL342" s="34" t="n">
        <v>-229.847</v>
      </c>
      <c r="BM342" s="34" t="n">
        <v>-239.454</v>
      </c>
      <c r="BN342" s="34" t="n">
        <v>-249.905</v>
      </c>
      <c r="BO342" s="34" t="n">
        <v>-235.826</v>
      </c>
      <c r="BP342" s="34" t="n">
        <v>-300.135</v>
      </c>
      <c r="BQ342" s="34" t="n">
        <v>-300.135</v>
      </c>
      <c r="BR342" s="34" t="n">
        <v>-270.912</v>
      </c>
      <c r="BS342" s="34" t="n">
        <v>-210.657</v>
      </c>
      <c r="BT342" s="34" t="n">
        <v>-211.91</v>
      </c>
      <c r="BU342" s="34" t="n">
        <v>-205.931</v>
      </c>
      <c r="BV342" s="34" t="n">
        <v>-205.931</v>
      </c>
      <c r="BW342" s="34" t="n">
        <v>-213.769</v>
      </c>
      <c r="BX342" s="34" t="n">
        <v>-213.496</v>
      </c>
      <c r="BY342" s="257" t="n"/>
      <c r="BZ342" s="257" t="n"/>
      <c r="CA342" s="257">
        <f>$BX$342</f>
        <v>-213.496</v>
      </c>
      <c r="CB342" s="257">
        <f>CA342</f>
        <v>-213.496</v>
      </c>
      <c r="CC342" s="257">
        <f>CB342</f>
        <v>-213.496</v>
      </c>
      <c r="CD342" s="257">
        <f>CC342</f>
        <v>-213.496</v>
      </c>
      <c r="CE342" s="257">
        <f>CD342</f>
        <v>-213.496</v>
      </c>
      <c r="CF342" s="19" t="n"/>
    </row>
    <row r="343">
      <c r="B343" s="25" t="inlineStr">
        <is>
          <t xml:space="preserve">  Treasury shares, at cost</t>
        </is>
      </c>
      <c r="C343" s="34" t="n">
        <v>-140.689</v>
      </c>
      <c r="D343" s="34" t="n">
        <v>-147.475</v>
      </c>
      <c r="E343" s="34" t="n">
        <v>-183.807</v>
      </c>
      <c r="F343" s="34" t="n">
        <v>-181.623</v>
      </c>
      <c r="G343" s="34" t="n">
        <v>-217.412</v>
      </c>
      <c r="H343" s="34" t="n">
        <v>-248.528</v>
      </c>
      <c r="I343" s="34" t="n">
        <v>-319.877</v>
      </c>
      <c r="J343" s="34" t="n">
        <v>-329.365</v>
      </c>
      <c r="K343" s="34" t="n">
        <v>-384.849</v>
      </c>
      <c r="L343" s="34" t="n">
        <v>-427.644</v>
      </c>
      <c r="M343" s="34" t="n">
        <v>-480.296</v>
      </c>
      <c r="N343" s="34" t="n">
        <v>-480.296</v>
      </c>
      <c r="O343" s="34" t="n">
        <v>-530.082</v>
      </c>
      <c r="P343" s="34" t="n">
        <v>-597.898</v>
      </c>
      <c r="Q343" s="34" t="n">
        <v>-727.168</v>
      </c>
      <c r="R343" s="34" t="n">
        <v>-783.677</v>
      </c>
      <c r="S343" s="34" t="n">
        <v>-783.677</v>
      </c>
      <c r="T343" s="34" t="n">
        <v>-885.477</v>
      </c>
      <c r="U343" s="34" t="n">
        <v>-940.687</v>
      </c>
      <c r="V343" s="34" t="n">
        <v>-1079.816</v>
      </c>
      <c r="W343" s="34" t="n">
        <v>-1180.75</v>
      </c>
      <c r="X343" s="34" t="n">
        <v>-1180.75</v>
      </c>
      <c r="Y343" s="34" t="n">
        <v>-1282.655</v>
      </c>
      <c r="Z343" s="34" t="n">
        <v>-1381.86</v>
      </c>
      <c r="AA343" s="34" t="n">
        <v>-1465.872</v>
      </c>
      <c r="AB343" s="34" t="n">
        <v>-1514.832</v>
      </c>
      <c r="AC343" s="34" t="n">
        <v>-1514.832</v>
      </c>
      <c r="AD343" s="34" t="n">
        <v>-1514.05</v>
      </c>
      <c r="AE343" s="34" t="n">
        <v>-1519.597</v>
      </c>
      <c r="AF343" s="34" t="n">
        <v>-1534.65</v>
      </c>
      <c r="AG343" s="34" t="n">
        <v>-1553.563</v>
      </c>
      <c r="AH343" s="34" t="n">
        <v>-1553.563</v>
      </c>
      <c r="AI343" s="34" t="n">
        <v>-1567.725</v>
      </c>
      <c r="AJ343" s="34" t="n">
        <v>-1603.409</v>
      </c>
      <c r="AK343" s="34" t="n">
        <v>-1674.232</v>
      </c>
      <c r="AL343" s="34" t="n">
        <v>-1753.925</v>
      </c>
      <c r="AM343" s="34" t="n">
        <v>-1753.925</v>
      </c>
      <c r="AN343" s="34" t="n">
        <v>-1828.025</v>
      </c>
      <c r="AO343" s="34" t="n">
        <v>-1913.219</v>
      </c>
      <c r="AP343" s="34" t="n">
        <v>-1973.136</v>
      </c>
      <c r="AQ343" s="34" t="n">
        <v>-2041.763</v>
      </c>
      <c r="AR343" s="34" t="n">
        <v>-2041.763</v>
      </c>
      <c r="AS343" s="34" t="n">
        <v>-2149.613</v>
      </c>
      <c r="AT343" s="34" t="n">
        <v>-2152.509</v>
      </c>
      <c r="AU343" s="34" t="n">
        <v>-2151.417</v>
      </c>
      <c r="AV343" s="34" t="n">
        <v>-2149.714</v>
      </c>
      <c r="AW343" s="34" t="n">
        <v>-2149.714</v>
      </c>
      <c r="AX343" s="34" t="n">
        <v>-2176.671</v>
      </c>
      <c r="AY343" s="34" t="n">
        <v>-2201.397</v>
      </c>
      <c r="AZ343" s="34" t="n">
        <v>-2251.193</v>
      </c>
      <c r="BA343" s="34" t="n">
        <v>-2309.941</v>
      </c>
      <c r="BB343" s="34" t="n">
        <v>-2309.941</v>
      </c>
      <c r="BC343" s="34" t="n">
        <v>-2413.171</v>
      </c>
      <c r="BD343" s="34" t="n">
        <v>-2438.144</v>
      </c>
      <c r="BE343" s="34" t="n">
        <v>-2464.46</v>
      </c>
      <c r="BF343" s="34" t="n">
        <v>-2488.776</v>
      </c>
      <c r="BG343" s="34" t="n">
        <v>-2488.776</v>
      </c>
      <c r="BH343" s="34" t="n">
        <v>-2519.299</v>
      </c>
      <c r="BI343" s="34" t="n">
        <v>-2570.678</v>
      </c>
      <c r="BJ343" s="34" t="n">
        <v>-2615.748</v>
      </c>
      <c r="BK343" s="34" t="n">
        <v>-2682.554</v>
      </c>
      <c r="BL343" s="34" t="n">
        <v>-2682.554</v>
      </c>
      <c r="BM343" s="34" t="n">
        <v>-2789.312</v>
      </c>
      <c r="BN343" s="34" t="n">
        <v>-2839.641</v>
      </c>
      <c r="BO343" s="34" t="n">
        <v>-2889.873</v>
      </c>
      <c r="BP343" s="34" t="n">
        <v>-2942.046</v>
      </c>
      <c r="BQ343" s="34" t="n">
        <v>-2942.046</v>
      </c>
      <c r="BR343" s="34" t="n">
        <v>-3047.239</v>
      </c>
      <c r="BS343" s="34" t="n">
        <v>-3174.289</v>
      </c>
      <c r="BT343" s="34" t="n">
        <v>-3226.314</v>
      </c>
      <c r="BU343" s="34" t="n">
        <v>-3277.779</v>
      </c>
      <c r="BV343" s="34" t="n">
        <v>-3277.779</v>
      </c>
      <c r="BW343" s="34" t="n">
        <v>-3332.98</v>
      </c>
      <c r="BX343" s="34" t="n">
        <v>-3409.039</v>
      </c>
      <c r="BY343" s="257" t="n"/>
      <c r="BZ343" s="257" t="n"/>
      <c r="CA343" s="257">
        <f>$BX$343+(CA287-$BW$287-$BX$287)</f>
        <v>-3539.039</v>
      </c>
      <c r="CB343" s="257">
        <f>CA343+CB287</f>
        <v>-3950.69513785803</v>
      </c>
      <c r="CC343" s="257">
        <f>CB343+CC287</f>
        <v>-4319.24399887732</v>
      </c>
      <c r="CD343" s="257">
        <f>CC343+CD287</f>
        <v>-4757.70559868628</v>
      </c>
      <c r="CE343" s="257">
        <f>CD343+CE287</f>
        <v>-5273.1469628079</v>
      </c>
      <c r="CF343" s="19" t="inlineStr">
        <is>
          <t>Lincoln Electric holds repurchased shares in treasury (44.1m shares at 30-Jun-26).</t>
        </is>
      </c>
    </row>
    <row r="344">
      <c r="B344" s="16" t="inlineStr">
        <is>
          <t>Total Lincoln Electric shareholders' equity</t>
        </is>
      </c>
      <c r="C344" s="43">
        <f>C340+C341+C342+C343</f>
        <v>852.976</v>
      </c>
      <c r="D344" s="43">
        <f>D340+D341+D342+D343</f>
        <v>1087.22</v>
      </c>
      <c r="E344" s="43">
        <f>E340+E341+E342+E343</f>
        <v>995.312</v>
      </c>
      <c r="F344" s="43">
        <f>F340+F341+F342+F343</f>
        <v>1072.346</v>
      </c>
      <c r="G344" s="43">
        <f>G340+G341+G342+G343</f>
        <v>1133.497</v>
      </c>
      <c r="H344" s="43">
        <f>H340+H341+H342+H343</f>
        <v>1176.946</v>
      </c>
      <c r="I344" s="43">
        <f>I340+I341+I342+I343</f>
        <v>1342.373</v>
      </c>
      <c r="J344" s="43">
        <f>J340+J341+J342+J343</f>
        <v>1387.447</v>
      </c>
      <c r="K344" s="43">
        <f>K340+K341+K342+K343</f>
        <v>1378.598</v>
      </c>
      <c r="L344" s="43">
        <f>L340+L341+L342+L343</f>
        <v>1414.64</v>
      </c>
      <c r="M344" s="43">
        <f>M340+M341+M342+M343</f>
        <v>1526.602</v>
      </c>
      <c r="N344" s="43">
        <f>N340+N341+N342+N343</f>
        <v>1526.602</v>
      </c>
      <c r="O344" s="43">
        <f>O340+O341+O342+O343</f>
        <v>1508.157</v>
      </c>
      <c r="P344" s="43">
        <f>P340+P341+P342+P343</f>
        <v>1517.536</v>
      </c>
      <c r="Q344" s="43">
        <f>Q340+Q341+Q342+Q343</f>
        <v>1373.339</v>
      </c>
      <c r="R344" s="43">
        <f>R340+R341+R342+R343</f>
        <v>1282.549</v>
      </c>
      <c r="S344" s="43">
        <f>S340+S341+S342+S343</f>
        <v>1282.549</v>
      </c>
      <c r="T344" s="43">
        <f>T340+T341+T342+T343</f>
        <v>1178.982</v>
      </c>
      <c r="U344" s="43">
        <f>U340+U341+U342+U343</f>
        <v>1195.68</v>
      </c>
      <c r="V344" s="43">
        <f>V340+V341+V342+V343</f>
        <v>1011.082</v>
      </c>
      <c r="W344" s="43">
        <f>W340+W341+W342+W343</f>
        <v>931.587</v>
      </c>
      <c r="X344" s="43">
        <f>X340+X341+X342+X343</f>
        <v>931.587</v>
      </c>
      <c r="Y344" s="43">
        <f>Y340+Y341+Y342+Y343</f>
        <v>891.807</v>
      </c>
      <c r="Z344" s="43">
        <f>Z340+Z341+Z342+Z343</f>
        <v>791.61</v>
      </c>
      <c r="AA344" s="43">
        <f>AA340+AA341+AA342+AA343</f>
        <v>752.129</v>
      </c>
      <c r="AB344" s="43">
        <f>AB340+AB341+AB342+AB343</f>
        <v>711.477</v>
      </c>
      <c r="AC344" s="43">
        <f>AC340+AC341+AC342+AC343</f>
        <v>711.477</v>
      </c>
      <c r="AD344" s="43">
        <f>AD340+AD341+AD342+AD343</f>
        <v>783.369</v>
      </c>
      <c r="AE344" s="43">
        <f>AE340+AE341+AE342+AE343</f>
        <v>851.016</v>
      </c>
      <c r="AF344" s="43">
        <f>AF340+AF341+AF342+AF343</f>
        <v>945.152</v>
      </c>
      <c r="AG344" s="43">
        <f>AG340+AG341+AG342+AG343</f>
        <v>931.637</v>
      </c>
      <c r="AH344" s="43">
        <f>AH340+AH341+AH342+AH343</f>
        <v>931.637</v>
      </c>
      <c r="AI344" s="43">
        <f>AI340+AI341+AI342+AI343</f>
        <v>979.801</v>
      </c>
      <c r="AJ344" s="43">
        <f>AJ340+AJ341+AJ342+AJ343</f>
        <v>942.732</v>
      </c>
      <c r="AK344" s="43">
        <f>AK340+AK341+AK342+AK343</f>
        <v>927.157</v>
      </c>
      <c r="AL344" s="43">
        <f>AL340+AL341+AL342+AL343</f>
        <v>886.942</v>
      </c>
      <c r="AM344" s="43">
        <f>AM340+AM341+AM342+AM343</f>
        <v>886.942</v>
      </c>
      <c r="AN344" s="43">
        <f>AN340+AN341+AN342+AN343</f>
        <v>863.992</v>
      </c>
      <c r="AO344" s="43">
        <f>AO340+AO341+AO342+AO343</f>
        <v>845.428</v>
      </c>
      <c r="AP344" s="43">
        <f>AP340+AP341+AP342+AP343</f>
        <v>812.924</v>
      </c>
      <c r="AQ344" s="43">
        <f>AQ340+AQ341+AQ342+AQ343</f>
        <v>818.172000000001</v>
      </c>
      <c r="AR344" s="43">
        <f>AR340+AR341+AR342+AR343</f>
        <v>818.172000000001</v>
      </c>
      <c r="AS344" s="43">
        <f>AS340+AS341+AS342+AS343</f>
        <v>667.103</v>
      </c>
      <c r="AT344" s="43">
        <f>AT340+AT341+AT342+AT343</f>
        <v>659.254</v>
      </c>
      <c r="AU344" s="43">
        <f>AU340+AU341+AU342+AU343</f>
        <v>709.825</v>
      </c>
      <c r="AV344" s="43">
        <f>AV340+AV341+AV342+AV343</f>
        <v>789.271</v>
      </c>
      <c r="AW344" s="43">
        <f>AW340+AW341+AW342+AW343</f>
        <v>789.271</v>
      </c>
      <c r="AX344" s="43">
        <f>AX340+AX341+AX342+AX343</f>
        <v>803.515</v>
      </c>
      <c r="AY344" s="43">
        <f>AY340+AY341+AY342+AY343</f>
        <v>859.665</v>
      </c>
      <c r="AZ344" s="43">
        <f>AZ340+AZ341+AZ342+AZ343</f>
        <v>857.993</v>
      </c>
      <c r="BA344" s="43">
        <f>BA340+BA341+BA342+BA343</f>
        <v>864.102</v>
      </c>
      <c r="BB344" s="43">
        <f>BB340+BB341+BB342+BB343</f>
        <v>864.102</v>
      </c>
      <c r="BC344" s="43">
        <f>BC340+BC341+BC342+BC343</f>
        <v>863.118</v>
      </c>
      <c r="BD344" s="43">
        <f>BD340+BD341+BD342+BD343</f>
        <v>913.061</v>
      </c>
      <c r="BE344" s="43">
        <f>BE340+BE341+BE342+BE343</f>
        <v>924.319</v>
      </c>
      <c r="BF344" s="43">
        <f>BF340+BF341+BF342+BF343</f>
        <v>1034.14</v>
      </c>
      <c r="BG344" s="43">
        <f>BG340+BG341+BG342+BG343</f>
        <v>1034.14</v>
      </c>
      <c r="BH344" s="43">
        <f>BH340+BH341+BH342+BH343</f>
        <v>1125.289</v>
      </c>
      <c r="BI344" s="43">
        <f>BI340+BI341+BI342+BI343</f>
        <v>1201.424</v>
      </c>
      <c r="BJ344" s="43">
        <f>BJ340+BJ341+BJ342+BJ343</f>
        <v>1225.582</v>
      </c>
      <c r="BK344" s="43">
        <f>BK340+BK341+BK342+BK343</f>
        <v>1308.852</v>
      </c>
      <c r="BL344" s="43">
        <f>BL340+BL341+BL342+BL343</f>
        <v>1308.852</v>
      </c>
      <c r="BM344" s="43">
        <f>BM340+BM341+BM342+BM343</f>
        <v>1307.828</v>
      </c>
      <c r="BN344" s="43">
        <f>BN340+BN341+BN342+BN343</f>
        <v>1312.906</v>
      </c>
      <c r="BO344" s="43">
        <f>BO340+BO341+BO342+BO343</f>
        <v>1339.19</v>
      </c>
      <c r="BP344" s="43">
        <f>BP340+BP341+BP342+BP343</f>
        <v>1327.433</v>
      </c>
      <c r="BQ344" s="43">
        <f>BQ340+BQ341+BQ342+BQ343</f>
        <v>1327.433</v>
      </c>
      <c r="BR344" s="43">
        <f>BR340+BR341+BR342+BR343</f>
        <v>1340.17</v>
      </c>
      <c r="BS344" s="43">
        <f>BS340+BS341+BS342+BS343</f>
        <v>1379.613</v>
      </c>
      <c r="BT344" s="43">
        <f>BT340+BT341+BT342+BT343</f>
        <v>1414.633</v>
      </c>
      <c r="BU344" s="43">
        <f>BU340+BU341+BU342+BU343</f>
        <v>1469.794</v>
      </c>
      <c r="BV344" s="43">
        <f>BV340+BV341+BV342+BV343</f>
        <v>1469.794</v>
      </c>
      <c r="BW344" s="43">
        <f>BW340+BW341+BW342+BW343</f>
        <v>1511.26</v>
      </c>
      <c r="BX344" s="43">
        <f>BX340+BX341+BX342+BX343</f>
        <v>1554.18</v>
      </c>
      <c r="BY344" s="253" t="n"/>
      <c r="BZ344" s="253" t="n"/>
      <c r="CA344" s="253">
        <f>CA340+CA341+CA342+CA343</f>
        <v>1662.9659610326</v>
      </c>
      <c r="CB344" s="253">
        <f>CB340+CB341+CB342+CB343</f>
        <v>1771.15203287112</v>
      </c>
      <c r="CC344" s="253">
        <f>CC340+CC341+CC342+CC343</f>
        <v>1987.54320181587</v>
      </c>
      <c r="CD344" s="253">
        <f>CD340+CD341+CD342+CD343</f>
        <v>2201.18151673923</v>
      </c>
      <c r="CE344" s="253">
        <f>CE340+CE341+CE342+CE343</f>
        <v>2408.9574879085</v>
      </c>
      <c r="CF344" s="19" t="n"/>
    </row>
    <row r="345">
      <c r="B345" s="25" t="inlineStr">
        <is>
          <t xml:space="preserve">  Noncontrolling interests</t>
        </is>
      </c>
      <c r="C345" s="34" t="n">
        <v>0</v>
      </c>
      <c r="D345" s="34" t="n">
        <v>0</v>
      </c>
      <c r="E345" s="34" t="n">
        <v>0</v>
      </c>
      <c r="F345" s="34" t="n">
        <v>13.329</v>
      </c>
      <c r="G345" s="34" t="n">
        <v>15.981</v>
      </c>
      <c r="H345" s="34" t="n">
        <v>16.296</v>
      </c>
      <c r="I345" s="34" t="n">
        <v>15.948</v>
      </c>
      <c r="J345" s="34" t="n">
        <v>16.098</v>
      </c>
      <c r="K345" s="34" t="n">
        <v>15.857</v>
      </c>
      <c r="L345" s="34" t="n">
        <v>14.179</v>
      </c>
      <c r="M345" s="34" t="n">
        <v>4.086</v>
      </c>
      <c r="N345" s="34" t="n">
        <v>4.086</v>
      </c>
      <c r="O345" s="34" t="n">
        <v>3.956</v>
      </c>
      <c r="P345" s="34" t="n">
        <v>3.937</v>
      </c>
      <c r="Q345" s="34" t="n">
        <v>3.14</v>
      </c>
      <c r="R345" s="34" t="n">
        <v>3.232</v>
      </c>
      <c r="S345" s="34" t="n">
        <v>3.232</v>
      </c>
      <c r="T345" s="34" t="n">
        <v>0.973</v>
      </c>
      <c r="U345" s="34" t="n">
        <v>0.978</v>
      </c>
      <c r="V345" s="34" t="n">
        <v>0.887</v>
      </c>
      <c r="W345" s="34" t="n">
        <v>0.861</v>
      </c>
      <c r="X345" s="34" t="n">
        <v>0.861</v>
      </c>
      <c r="Y345" s="34" t="n">
        <v>0.862</v>
      </c>
      <c r="Z345" s="34" t="n">
        <v>0.804</v>
      </c>
      <c r="AA345" s="34" t="n">
        <v>0.788</v>
      </c>
      <c r="AB345" s="34" t="n">
        <v>0.729</v>
      </c>
      <c r="AC345" s="34" t="n">
        <v>0.729</v>
      </c>
      <c r="AD345" s="34" t="n">
        <v>0.755</v>
      </c>
      <c r="AE345" s="34" t="n">
        <v>0.76</v>
      </c>
      <c r="AF345" s="34" t="n">
        <v>0.776</v>
      </c>
      <c r="AG345" s="34" t="n">
        <v>0.8159999999999999</v>
      </c>
      <c r="AH345" s="34" t="n">
        <v>0.8159999999999999</v>
      </c>
      <c r="AI345" s="34" t="n">
        <v>0.871</v>
      </c>
      <c r="AJ345" s="34" t="n">
        <v>0.776</v>
      </c>
      <c r="AK345" s="34" t="n">
        <v>0.711</v>
      </c>
      <c r="AL345" s="34" t="n">
        <v>0.65</v>
      </c>
      <c r="AM345" s="34" t="n">
        <v>0.65</v>
      </c>
      <c r="AN345" s="34" t="n">
        <v>0.673</v>
      </c>
      <c r="AO345" s="34" t="n">
        <v>0.63</v>
      </c>
      <c r="AP345" s="34" t="n">
        <v>0.884</v>
      </c>
      <c r="AQ345" s="34" t="n">
        <v>0.905</v>
      </c>
      <c r="AR345" s="34" t="n">
        <v>0.905</v>
      </c>
      <c r="AS345" s="34" t="n">
        <v>0.857</v>
      </c>
      <c r="AT345" s="34" t="n">
        <v>0.857</v>
      </c>
      <c r="AU345" s="34" t="n">
        <v>0.919</v>
      </c>
      <c r="AV345" s="34" t="n">
        <v>0.979</v>
      </c>
      <c r="AW345" s="34" t="n">
        <v>0.979</v>
      </c>
      <c r="AX345" s="34" t="n">
        <v>-0.107</v>
      </c>
      <c r="AY345" s="34" t="n">
        <v>-0.042</v>
      </c>
      <c r="AZ345" s="34" t="n">
        <v>-0.1</v>
      </c>
      <c r="BA345" s="34" t="n">
        <v>-0.193</v>
      </c>
      <c r="BB345" s="34" t="n">
        <v>-0.193</v>
      </c>
      <c r="BC345" s="34" t="n">
        <v>-0.058</v>
      </c>
      <c r="BD345" s="34" t="n">
        <v>-0.078</v>
      </c>
      <c r="BE345" s="34" t="n">
        <v>-0.091</v>
      </c>
      <c r="BF345" s="34" t="n">
        <v>-0.099</v>
      </c>
      <c r="BG345" s="34" t="n">
        <v>-0.099</v>
      </c>
      <c r="BH345" s="34" t="n">
        <v>-0.053</v>
      </c>
      <c r="BI345" s="34" t="n">
        <v>0</v>
      </c>
      <c r="BJ345" s="34" t="n">
        <v>0</v>
      </c>
      <c r="BK345" s="34" t="n">
        <v>0</v>
      </c>
      <c r="BL345" s="34" t="n">
        <v>0</v>
      </c>
      <c r="BM345" s="34" t="n">
        <v>0</v>
      </c>
      <c r="BN345" s="34" t="n">
        <v>0</v>
      </c>
      <c r="BO345" s="34" t="n">
        <v>0</v>
      </c>
      <c r="BP345" s="34" t="n">
        <v>0</v>
      </c>
      <c r="BQ345" s="34" t="n">
        <v>0</v>
      </c>
      <c r="BR345" s="34" t="n">
        <v>0</v>
      </c>
      <c r="BS345" s="34" t="n">
        <v>0</v>
      </c>
      <c r="BT345" s="34" t="n">
        <v>0</v>
      </c>
      <c r="BU345" s="34" t="n">
        <v>0</v>
      </c>
      <c r="BV345" s="34" t="n">
        <v>0</v>
      </c>
      <c r="BW345" s="34" t="n">
        <v>0</v>
      </c>
      <c r="BX345" s="34" t="n">
        <v>0</v>
      </c>
      <c r="BY345" s="257" t="n"/>
      <c r="BZ345" s="257" t="n"/>
      <c r="CA345" s="257">
        <f>$BX$345</f>
        <v>0</v>
      </c>
      <c r="CB345" s="257">
        <f>CA345</f>
        <v>0</v>
      </c>
      <c r="CC345" s="257">
        <f>CB345</f>
        <v>0</v>
      </c>
      <c r="CD345" s="257">
        <f>CC345</f>
        <v>0</v>
      </c>
      <c r="CE345" s="257">
        <f>CD345</f>
        <v>0</v>
      </c>
      <c r="CF345" s="19" t="n"/>
    </row>
    <row r="346">
      <c r="B346" s="16" t="inlineStr">
        <is>
          <t>Total equity</t>
        </is>
      </c>
      <c r="C346" s="43">
        <f>C344+N(C345)</f>
        <v>852.976</v>
      </c>
      <c r="D346" s="43">
        <f>D344+N(D345)</f>
        <v>1087.22</v>
      </c>
      <c r="E346" s="43">
        <f>E344+N(E345)</f>
        <v>995.312</v>
      </c>
      <c r="F346" s="43">
        <f>F344+N(F345)</f>
        <v>1085.675</v>
      </c>
      <c r="G346" s="43">
        <f>G344+N(G345)</f>
        <v>1149.478</v>
      </c>
      <c r="H346" s="43">
        <f>H344+N(H345)</f>
        <v>1193.242</v>
      </c>
      <c r="I346" s="43">
        <f>I344+N(I345)</f>
        <v>1358.321</v>
      </c>
      <c r="J346" s="43">
        <f>J344+N(J345)</f>
        <v>1403.545</v>
      </c>
      <c r="K346" s="43">
        <f>K344+N(K345)</f>
        <v>1394.455</v>
      </c>
      <c r="L346" s="43">
        <f>L344+N(L345)</f>
        <v>1428.819</v>
      </c>
      <c r="M346" s="43">
        <f>M344+N(M345)</f>
        <v>1530.688</v>
      </c>
      <c r="N346" s="43">
        <f>N344+N(N345)</f>
        <v>1530.688</v>
      </c>
      <c r="O346" s="43">
        <f>O344+N(O345)</f>
        <v>1512.113</v>
      </c>
      <c r="P346" s="43">
        <f>P344+N(P345)</f>
        <v>1521.473</v>
      </c>
      <c r="Q346" s="43">
        <f>Q344+N(Q345)</f>
        <v>1376.479</v>
      </c>
      <c r="R346" s="43">
        <f>R344+N(R345)</f>
        <v>1285.781</v>
      </c>
      <c r="S346" s="43">
        <f>S344+N(S345)</f>
        <v>1285.781</v>
      </c>
      <c r="T346" s="43">
        <f>T344+N(T345)</f>
        <v>1179.955</v>
      </c>
      <c r="U346" s="43">
        <f>U344+N(U345)</f>
        <v>1196.658</v>
      </c>
      <c r="V346" s="43">
        <f>V344+N(V345)</f>
        <v>1011.969</v>
      </c>
      <c r="W346" s="43">
        <f>W344+N(W345)</f>
        <v>932.448</v>
      </c>
      <c r="X346" s="43">
        <f>X344+N(X345)</f>
        <v>932.448</v>
      </c>
      <c r="Y346" s="43">
        <f>Y344+N(Y345)</f>
        <v>892.669</v>
      </c>
      <c r="Z346" s="43">
        <f>Z344+N(Z345)</f>
        <v>792.414</v>
      </c>
      <c r="AA346" s="43">
        <f>AA344+N(AA345)</f>
        <v>752.917</v>
      </c>
      <c r="AB346" s="43">
        <f>AB344+N(AB345)</f>
        <v>712.206</v>
      </c>
      <c r="AC346" s="43">
        <f>AC344+N(AC345)</f>
        <v>712.206</v>
      </c>
      <c r="AD346" s="43">
        <f>AD344+N(AD345)</f>
        <v>784.124</v>
      </c>
      <c r="AE346" s="43">
        <f>AE344+N(AE345)</f>
        <v>851.776</v>
      </c>
      <c r="AF346" s="43">
        <f>AF344+N(AF345)</f>
        <v>945.928</v>
      </c>
      <c r="AG346" s="43">
        <f>AG344+N(AG345)</f>
        <v>932.453</v>
      </c>
      <c r="AH346" s="43">
        <f>AH344+N(AH345)</f>
        <v>932.453</v>
      </c>
      <c r="AI346" s="43">
        <f>AI344+N(AI345)</f>
        <v>980.672</v>
      </c>
      <c r="AJ346" s="43">
        <f>AJ344+N(AJ345)</f>
        <v>943.508</v>
      </c>
      <c r="AK346" s="43">
        <f>AK344+N(AK345)</f>
        <v>927.868</v>
      </c>
      <c r="AL346" s="43">
        <f>AL344+N(AL345)</f>
        <v>887.592</v>
      </c>
      <c r="AM346" s="43">
        <f>AM344+N(AM345)</f>
        <v>887.592</v>
      </c>
      <c r="AN346" s="43">
        <f>AN344+N(AN345)</f>
        <v>864.665</v>
      </c>
      <c r="AO346" s="43">
        <f>AO344+N(AO345)</f>
        <v>846.058</v>
      </c>
      <c r="AP346" s="43">
        <f>AP344+N(AP345)</f>
        <v>813.808</v>
      </c>
      <c r="AQ346" s="43">
        <f>AQ344+N(AQ345)</f>
        <v>819.077000000001</v>
      </c>
      <c r="AR346" s="43">
        <f>AR344+N(AR345)</f>
        <v>819.077000000001</v>
      </c>
      <c r="AS346" s="43">
        <f>AS344+N(AS345)</f>
        <v>667.96</v>
      </c>
      <c r="AT346" s="43">
        <f>AT344+N(AT345)</f>
        <v>660.111</v>
      </c>
      <c r="AU346" s="43">
        <f>AU344+N(AU345)</f>
        <v>710.744</v>
      </c>
      <c r="AV346" s="43">
        <f>AV344+N(AV345)</f>
        <v>790.25</v>
      </c>
      <c r="AW346" s="43">
        <f>AW344+N(AW345)</f>
        <v>790.25</v>
      </c>
      <c r="AX346" s="43">
        <f>AX344+N(AX345)</f>
        <v>803.408</v>
      </c>
      <c r="AY346" s="43">
        <f>AY344+N(AY345)</f>
        <v>859.623</v>
      </c>
      <c r="AZ346" s="43">
        <f>AZ344+N(AZ345)</f>
        <v>857.893</v>
      </c>
      <c r="BA346" s="43">
        <f>BA344+N(BA345)</f>
        <v>863.909</v>
      </c>
      <c r="BB346" s="43">
        <f>BB344+N(BB345)</f>
        <v>863.909</v>
      </c>
      <c r="BC346" s="43">
        <f>BC344+N(BC345)</f>
        <v>863.06</v>
      </c>
      <c r="BD346" s="43">
        <f>BD344+N(BD345)</f>
        <v>912.983</v>
      </c>
      <c r="BE346" s="43">
        <f>BE344+N(BE345)</f>
        <v>924.228</v>
      </c>
      <c r="BF346" s="43">
        <f>BF344+N(BF345)</f>
        <v>1034.041</v>
      </c>
      <c r="BG346" s="43">
        <f>BG344+N(BG345)</f>
        <v>1034.041</v>
      </c>
      <c r="BH346" s="43">
        <f>BH344+N(BH345)</f>
        <v>1125.236</v>
      </c>
      <c r="BI346" s="43">
        <f>BI344+N(BI345)</f>
        <v>1201.424</v>
      </c>
      <c r="BJ346" s="43">
        <f>BJ344+N(BJ345)</f>
        <v>1225.582</v>
      </c>
      <c r="BK346" s="43">
        <f>BK344+N(BK345)</f>
        <v>1308.852</v>
      </c>
      <c r="BL346" s="43">
        <f>BL344+N(BL345)</f>
        <v>1308.852</v>
      </c>
      <c r="BM346" s="43">
        <f>BM344+N(BM345)</f>
        <v>1307.828</v>
      </c>
      <c r="BN346" s="43">
        <f>BN344+N(BN345)</f>
        <v>1312.906</v>
      </c>
      <c r="BO346" s="43">
        <f>BO344+N(BO345)</f>
        <v>1339.19</v>
      </c>
      <c r="BP346" s="43">
        <f>BP344+N(BP345)</f>
        <v>1327.433</v>
      </c>
      <c r="BQ346" s="43">
        <f>BQ344+N(BQ345)</f>
        <v>1327.433</v>
      </c>
      <c r="BR346" s="43">
        <f>BR344+N(BR345)</f>
        <v>1340.17</v>
      </c>
      <c r="BS346" s="43">
        <f>BS344+N(BS345)</f>
        <v>1379.613</v>
      </c>
      <c r="BT346" s="43">
        <f>BT344+N(BT345)</f>
        <v>1414.633</v>
      </c>
      <c r="BU346" s="43">
        <f>BU344+N(BU345)</f>
        <v>1469.794</v>
      </c>
      <c r="BV346" s="43">
        <f>BV344+N(BV345)</f>
        <v>1469.794</v>
      </c>
      <c r="BW346" s="43">
        <f>BW344+N(BW345)</f>
        <v>1511.26</v>
      </c>
      <c r="BX346" s="43">
        <f>BX344+N(BX345)</f>
        <v>1554.18</v>
      </c>
      <c r="BY346" s="253" t="n"/>
      <c r="BZ346" s="253" t="n"/>
      <c r="CA346" s="253">
        <f>CA344+N(CA345)</f>
        <v>1662.9659610326</v>
      </c>
      <c r="CB346" s="253">
        <f>CB344+N(CB345)</f>
        <v>1771.15203287112</v>
      </c>
      <c r="CC346" s="253">
        <f>CC344+N(CC345)</f>
        <v>1987.54320181587</v>
      </c>
      <c r="CD346" s="253">
        <f>CD344+N(CD345)</f>
        <v>2201.18151673923</v>
      </c>
      <c r="CE346" s="253">
        <f>CE344+N(CE345)</f>
        <v>2408.9574879085</v>
      </c>
      <c r="CF346" s="19" t="n"/>
    </row>
    <row r="347">
      <c r="B347" s="55" t="inlineStr">
        <is>
          <t>TOTAL LIABILITIES AND EQUITY</t>
        </is>
      </c>
      <c r="C347" s="56">
        <f>C338+C346</f>
        <v>1394.579</v>
      </c>
      <c r="D347" s="56">
        <f>D338+D346</f>
        <v>1645.296</v>
      </c>
      <c r="E347" s="56">
        <f>E338+E346</f>
        <v>1718.805</v>
      </c>
      <c r="F347" s="56">
        <f>F338+F346</f>
        <v>1705.292</v>
      </c>
      <c r="G347" s="56">
        <f>G338+G346</f>
        <v>1783.788</v>
      </c>
      <c r="H347" s="56">
        <f>H338+H346</f>
        <v>1976.776</v>
      </c>
      <c r="I347" s="56">
        <f>I338+I346</f>
        <v>2089.863</v>
      </c>
      <c r="J347" s="56">
        <f>J338+J346</f>
        <v>2103.527</v>
      </c>
      <c r="K347" s="56">
        <f>K338+K346</f>
        <v>2060.117</v>
      </c>
      <c r="L347" s="56">
        <f>L338+L346</f>
        <v>2119.641</v>
      </c>
      <c r="M347" s="56">
        <f>M338+M346</f>
        <v>2151.867</v>
      </c>
      <c r="N347" s="56">
        <f>N338+N346</f>
        <v>2151.867</v>
      </c>
      <c r="O347" s="56">
        <f>O338+O346</f>
        <v>2113.976</v>
      </c>
      <c r="P347" s="56">
        <f>P338+P346</f>
        <v>2144.839</v>
      </c>
      <c r="Q347" s="56">
        <f>Q338+Q346</f>
        <v>2112.519</v>
      </c>
      <c r="R347" s="56">
        <f>R338+R346</f>
        <v>1939.215</v>
      </c>
      <c r="S347" s="56">
        <f>S338+S346</f>
        <v>1939.215</v>
      </c>
      <c r="T347" s="56">
        <f>T338+T346</f>
        <v>1921.508</v>
      </c>
      <c r="U347" s="56">
        <f>U338+U346</f>
        <v>1950.166</v>
      </c>
      <c r="V347" s="56">
        <f>V338+V346</f>
        <v>1928.091</v>
      </c>
      <c r="W347" s="56">
        <f>W338+W346</f>
        <v>1784.171</v>
      </c>
      <c r="X347" s="56">
        <f>X338+X346</f>
        <v>1784.171</v>
      </c>
      <c r="Y347" s="56">
        <f>Y338+Y346</f>
        <v>1777.095</v>
      </c>
      <c r="Z347" s="56">
        <f>Z338+Z346</f>
        <v>1837.401</v>
      </c>
      <c r="AA347" s="56">
        <f>AA338+AA346</f>
        <v>1833.821</v>
      </c>
      <c r="AB347" s="56">
        <f>AB338+AB346</f>
        <v>1943.437</v>
      </c>
      <c r="AC347" s="56">
        <f>AC338+AC346</f>
        <v>1943.437</v>
      </c>
      <c r="AD347" s="56">
        <f>AD338+AD346</f>
        <v>2052.677</v>
      </c>
      <c r="AE347" s="56">
        <f>AE338+AE346</f>
        <v>2121.673</v>
      </c>
      <c r="AF347" s="56">
        <f>AF338+AF346</f>
        <v>2411.103</v>
      </c>
      <c r="AG347" s="56">
        <f>AG338+AG346</f>
        <v>2406.547</v>
      </c>
      <c r="AH347" s="56">
        <f>AH338+AH346</f>
        <v>2406.547</v>
      </c>
      <c r="AI347" s="56">
        <f>AI338+AI346</f>
        <v>2488.5</v>
      </c>
      <c r="AJ347" s="56">
        <f>AJ338+AJ346</f>
        <v>2433.731</v>
      </c>
      <c r="AK347" s="56">
        <f>AK338+AK346</f>
        <v>2419.645</v>
      </c>
      <c r="AL347" s="56">
        <f>AL338+AL346</f>
        <v>2349.825</v>
      </c>
      <c r="AM347" s="56">
        <f>AM338+AM346</f>
        <v>2349.825</v>
      </c>
      <c r="AN347" s="56">
        <f>AN338+AN346</f>
        <v>2354.851</v>
      </c>
      <c r="AO347" s="56">
        <f>AO338+AO346</f>
        <v>2394.333</v>
      </c>
      <c r="AP347" s="56">
        <f>AP338+AP346</f>
        <v>2361.16</v>
      </c>
      <c r="AQ347" s="56">
        <f>AQ338+AQ346</f>
        <v>2371.213</v>
      </c>
      <c r="AR347" s="56">
        <f>AR338+AR346</f>
        <v>2371.213</v>
      </c>
      <c r="AS347" s="56">
        <f>AS338+AS346</f>
        <v>2305.9</v>
      </c>
      <c r="AT347" s="56">
        <f>AT338+AT346</f>
        <v>2199.039</v>
      </c>
      <c r="AU347" s="56">
        <f>AU338+AU346</f>
        <v>2217.499</v>
      </c>
      <c r="AV347" s="56">
        <f>AV338+AV346</f>
        <v>2314.453</v>
      </c>
      <c r="AW347" s="56">
        <f>AW338+AW346</f>
        <v>2314.453</v>
      </c>
      <c r="AX347" s="56">
        <f>AX338+AX346</f>
        <v>2361.749</v>
      </c>
      <c r="AY347" s="56">
        <f>AY338+AY346</f>
        <v>2512.726</v>
      </c>
      <c r="AZ347" s="56">
        <f>AZ338+AZ346</f>
        <v>2568.797</v>
      </c>
      <c r="BA347" s="56">
        <f>BA338+BA346</f>
        <v>2592.307</v>
      </c>
      <c r="BB347" s="56">
        <f>BB338+BB346</f>
        <v>2592.307</v>
      </c>
      <c r="BC347" s="56">
        <f>BC338+BC346</f>
        <v>2736.344</v>
      </c>
      <c r="BD347" s="56">
        <f>BD338+BD346</f>
        <v>2741.813</v>
      </c>
      <c r="BE347" s="56">
        <f>BE338+BE346</f>
        <v>2651.965</v>
      </c>
      <c r="BF347" s="56">
        <f>BF338+BF346</f>
        <v>3180.546</v>
      </c>
      <c r="BG347" s="56">
        <f>BG338+BG346</f>
        <v>3180.546</v>
      </c>
      <c r="BH347" s="56">
        <f>BH338+BH346</f>
        <v>3253.201</v>
      </c>
      <c r="BI347" s="56">
        <f>BI338+BI346</f>
        <v>3311.188</v>
      </c>
      <c r="BJ347" s="56">
        <f>BJ338+BJ346</f>
        <v>3325.895</v>
      </c>
      <c r="BK347" s="56">
        <f>BK338+BK346</f>
        <v>3377.297</v>
      </c>
      <c r="BL347" s="56">
        <f>BL338+BL346</f>
        <v>3377.297</v>
      </c>
      <c r="BM347" s="56">
        <f>BM338+BM346</f>
        <v>3379.717</v>
      </c>
      <c r="BN347" s="56">
        <f>BN338+BN346</f>
        <v>3415.249</v>
      </c>
      <c r="BO347" s="56">
        <f>BO338+BO346</f>
        <v>3664.545</v>
      </c>
      <c r="BP347" s="56">
        <f>BP338+BP346</f>
        <v>3520.142</v>
      </c>
      <c r="BQ347" s="56">
        <f>BQ338+BQ346</f>
        <v>3520.142</v>
      </c>
      <c r="BR347" s="56">
        <f>BR338+BR346</f>
        <v>3625.074</v>
      </c>
      <c r="BS347" s="56">
        <f>BS338+BS346</f>
        <v>3727.369</v>
      </c>
      <c r="BT347" s="56">
        <f>BT338+BT346</f>
        <v>3815.105</v>
      </c>
      <c r="BU347" s="56">
        <f>BU338+BU346</f>
        <v>3777.577</v>
      </c>
      <c r="BV347" s="56">
        <f>BV338+BV346</f>
        <v>3777.577</v>
      </c>
      <c r="BW347" s="56">
        <f>BW338+BW346</f>
        <v>3900.395</v>
      </c>
      <c r="BX347" s="56">
        <f>BX338+BX346</f>
        <v>3813.31</v>
      </c>
      <c r="BY347" s="56" t="n"/>
      <c r="BZ347" s="56" t="n"/>
      <c r="CA347" s="56">
        <f>CA338+CA346</f>
        <v>3851.05481731173</v>
      </c>
      <c r="CB347" s="56">
        <f>CB338+CB346</f>
        <v>4141.72419161493</v>
      </c>
      <c r="CC347" s="56">
        <f>CC338+CC346</f>
        <v>4506.4851683429</v>
      </c>
      <c r="CD347" s="56">
        <f>CD338+CD346</f>
        <v>4872.22056751083</v>
      </c>
      <c r="CE347" s="56">
        <f>CE338+CE346</f>
        <v>5239.18504476014</v>
      </c>
      <c r="CF347" s="19" t="n"/>
    </row>
    <row r="348">
      <c r="B348" s="57" t="inlineStr">
        <is>
          <t>BS tie-out check (TA − TL&amp;E)</t>
        </is>
      </c>
      <c r="C348" s="44">
        <f>IF(ISNUMBER(C329),ROUND(C329-C347,1),"")</f>
        <v>0</v>
      </c>
      <c r="D348" s="44">
        <f>IF(ISNUMBER(D329),ROUND(D329-D347,1),"")</f>
        <v>0</v>
      </c>
      <c r="E348" s="44">
        <f>IF(ISNUMBER(E329),ROUND(E329-E347,1),"")</f>
        <v>0</v>
      </c>
      <c r="F348" s="44">
        <f>IF(ISNUMBER(F329),ROUND(F329-F347,1),"")</f>
        <v>0</v>
      </c>
      <c r="G348" s="44">
        <f>IF(ISNUMBER(G329),ROUND(G329-G347,1),"")</f>
        <v>0</v>
      </c>
      <c r="H348" s="44">
        <f>IF(ISNUMBER(H329),ROUND(H329-H347,1),"")</f>
        <v>0</v>
      </c>
      <c r="I348" s="44">
        <f>IF(ISNUMBER(I329),ROUND(I329-I347,1),"")</f>
        <v>0</v>
      </c>
      <c r="J348" s="44">
        <f>IF(ISNUMBER(J329),ROUND(J329-J347,1),"")</f>
        <v>0</v>
      </c>
      <c r="K348" s="44">
        <f>IF(ISNUMBER(K329),ROUND(K329-K347,1),"")</f>
        <v>0</v>
      </c>
      <c r="L348" s="44">
        <f>IF(ISNUMBER(L329),ROUND(L329-L347,1),"")</f>
        <v>0</v>
      </c>
      <c r="M348" s="44">
        <f>IF(ISNUMBER(M329),ROUND(M329-M347,1),"")</f>
        <v>0</v>
      </c>
      <c r="N348" s="44">
        <f>IF(ISNUMBER(N329),ROUND(N329-N347,1),"")</f>
        <v>0</v>
      </c>
      <c r="O348" s="44">
        <f>IF(ISNUMBER(O329),ROUND(O329-O347,1),"")</f>
        <v>0</v>
      </c>
      <c r="P348" s="44">
        <f>IF(ISNUMBER(P329),ROUND(P329-P347,1),"")</f>
        <v>0</v>
      </c>
      <c r="Q348" s="44">
        <f>IF(ISNUMBER(Q329),ROUND(Q329-Q347,1),"")</f>
        <v>0</v>
      </c>
      <c r="R348" s="44">
        <f>IF(ISNUMBER(R329),ROUND(R329-R347,1),"")</f>
        <v>0</v>
      </c>
      <c r="S348" s="44">
        <f>IF(ISNUMBER(S329),ROUND(S329-S347,1),"")</f>
        <v>0</v>
      </c>
      <c r="T348" s="44">
        <f>IF(ISNUMBER(T329),ROUND(T329-T347,1),"")</f>
        <v>0</v>
      </c>
      <c r="U348" s="44">
        <f>IF(ISNUMBER(U329),ROUND(U329-U347,1),"")</f>
        <v>0</v>
      </c>
      <c r="V348" s="44">
        <f>IF(ISNUMBER(V329),ROUND(V329-V347,1),"")</f>
        <v>0</v>
      </c>
      <c r="W348" s="44">
        <f>IF(ISNUMBER(W329),ROUND(W329-W347,1),"")</f>
        <v>0</v>
      </c>
      <c r="X348" s="44">
        <f>IF(ISNUMBER(X329),ROUND(X329-X347,1),"")</f>
        <v>0</v>
      </c>
      <c r="Y348" s="44">
        <f>IF(ISNUMBER(Y329),ROUND(Y329-Y347,1),"")</f>
        <v>0</v>
      </c>
      <c r="Z348" s="44">
        <f>IF(ISNUMBER(Z329),ROUND(Z329-Z347,1),"")</f>
        <v>0</v>
      </c>
      <c r="AA348" s="44">
        <f>IF(ISNUMBER(AA329),ROUND(AA329-AA347,1),"")</f>
        <v>0</v>
      </c>
      <c r="AB348" s="44">
        <f>IF(ISNUMBER(AB329),ROUND(AB329-AB347,1),"")</f>
        <v>0</v>
      </c>
      <c r="AC348" s="44">
        <f>IF(ISNUMBER(AC329),ROUND(AC329-AC347,1),"")</f>
        <v>0</v>
      </c>
      <c r="AD348" s="44">
        <f>IF(ISNUMBER(AD329),ROUND(AD329-AD347,1),"")</f>
        <v>0</v>
      </c>
      <c r="AE348" s="44">
        <f>IF(ISNUMBER(AE329),ROUND(AE329-AE347,1),"")</f>
        <v>0</v>
      </c>
      <c r="AF348" s="44">
        <f>IF(ISNUMBER(AF329),ROUND(AF329-AF347,1),"")</f>
        <v>0</v>
      </c>
      <c r="AG348" s="44">
        <f>IF(ISNUMBER(AG329),ROUND(AG329-AG347,1),"")</f>
        <v>0</v>
      </c>
      <c r="AH348" s="44">
        <f>IF(ISNUMBER(AH329),ROUND(AH329-AH347,1),"")</f>
        <v>0</v>
      </c>
      <c r="AI348" s="44">
        <f>IF(ISNUMBER(AI329),ROUND(AI329-AI347,1),"")</f>
        <v>0</v>
      </c>
      <c r="AJ348" s="44">
        <f>IF(ISNUMBER(AJ329),ROUND(AJ329-AJ347,1),"")</f>
        <v>0</v>
      </c>
      <c r="AK348" s="44">
        <f>IF(ISNUMBER(AK329),ROUND(AK329-AK347,1),"")</f>
        <v>0</v>
      </c>
      <c r="AL348" s="44">
        <f>IF(ISNUMBER(AL329),ROUND(AL329-AL347,1),"")</f>
        <v>0</v>
      </c>
      <c r="AM348" s="44">
        <f>IF(ISNUMBER(AM329),ROUND(AM329-AM347,1),"")</f>
        <v>0</v>
      </c>
      <c r="AN348" s="44">
        <f>IF(ISNUMBER(AN329),ROUND(AN329-AN347,1),"")</f>
        <v>0</v>
      </c>
      <c r="AO348" s="44">
        <f>IF(ISNUMBER(AO329),ROUND(AO329-AO347,1),"")</f>
        <v>0</v>
      </c>
      <c r="AP348" s="44">
        <f>IF(ISNUMBER(AP329),ROUND(AP329-AP347,1),"")</f>
        <v>0</v>
      </c>
      <c r="AQ348" s="44">
        <f>IF(ISNUMBER(AQ329),ROUND(AQ329-AQ347,1),"")</f>
        <v>0</v>
      </c>
      <c r="AR348" s="44">
        <f>IF(ISNUMBER(AR329),ROUND(AR329-AR347,1),"")</f>
        <v>0</v>
      </c>
      <c r="AS348" s="44">
        <f>IF(ISNUMBER(AS329),ROUND(AS329-AS347,1),"")</f>
        <v>0</v>
      </c>
      <c r="AT348" s="44">
        <f>IF(ISNUMBER(AT329),ROUND(AT329-AT347,1),"")</f>
        <v>0</v>
      </c>
      <c r="AU348" s="44">
        <f>IF(ISNUMBER(AU329),ROUND(AU329-AU347,1),"")</f>
        <v>0</v>
      </c>
      <c r="AV348" s="44">
        <f>IF(ISNUMBER(AV329),ROUND(AV329-AV347,1),"")</f>
        <v>0</v>
      </c>
      <c r="AW348" s="44">
        <f>IF(ISNUMBER(AW329),ROUND(AW329-AW347,1),"")</f>
        <v>0</v>
      </c>
      <c r="AX348" s="44">
        <f>IF(ISNUMBER(AX329),ROUND(AX329-AX347,1),"")</f>
        <v>0</v>
      </c>
      <c r="AY348" s="44">
        <f>IF(ISNUMBER(AY329),ROUND(AY329-AY347,1),"")</f>
        <v>0</v>
      </c>
      <c r="AZ348" s="44">
        <f>IF(ISNUMBER(AZ329),ROUND(AZ329-AZ347,1),"")</f>
        <v>0</v>
      </c>
      <c r="BA348" s="44">
        <f>IF(ISNUMBER(BA329),ROUND(BA329-BA347,1),"")</f>
        <v>0</v>
      </c>
      <c r="BB348" s="44">
        <f>IF(ISNUMBER(BB329),ROUND(BB329-BB347,1),"")</f>
        <v>0</v>
      </c>
      <c r="BC348" s="44">
        <f>IF(ISNUMBER(BC329),ROUND(BC329-BC347,1),"")</f>
        <v>0</v>
      </c>
      <c r="BD348" s="44">
        <f>IF(ISNUMBER(BD329),ROUND(BD329-BD347,1),"")</f>
        <v>0</v>
      </c>
      <c r="BE348" s="44">
        <f>IF(ISNUMBER(BE329),ROUND(BE329-BE347,1),"")</f>
        <v>0</v>
      </c>
      <c r="BF348" s="44">
        <f>IF(ISNUMBER(BF329),ROUND(BF329-BF347,1),"")</f>
        <v>0</v>
      </c>
      <c r="BG348" s="44">
        <f>IF(ISNUMBER(BG329),ROUND(BG329-BG347,1),"")</f>
        <v>0</v>
      </c>
      <c r="BH348" s="44">
        <f>IF(ISNUMBER(BH329),ROUND(BH329-BH347,1),"")</f>
        <v>0</v>
      </c>
      <c r="BI348" s="44">
        <f>IF(ISNUMBER(BI329),ROUND(BI329-BI347,1),"")</f>
        <v>0</v>
      </c>
      <c r="BJ348" s="44">
        <f>IF(ISNUMBER(BJ329),ROUND(BJ329-BJ347,1),"")</f>
        <v>0</v>
      </c>
      <c r="BK348" s="44">
        <f>IF(ISNUMBER(BK329),ROUND(BK329-BK347,1),"")</f>
        <v>0</v>
      </c>
      <c r="BL348" s="44">
        <f>IF(ISNUMBER(BL329),ROUND(BL329-BL347,1),"")</f>
        <v>0</v>
      </c>
      <c r="BM348" s="44">
        <f>IF(ISNUMBER(BM329),ROUND(BM329-BM347,1),"")</f>
        <v>0</v>
      </c>
      <c r="BN348" s="44">
        <f>IF(ISNUMBER(BN329),ROUND(BN329-BN347,1),"")</f>
        <v>0</v>
      </c>
      <c r="BO348" s="44">
        <f>IF(ISNUMBER(BO329),ROUND(BO329-BO347,1),"")</f>
        <v>0</v>
      </c>
      <c r="BP348" s="44">
        <f>IF(ISNUMBER(BP329),ROUND(BP329-BP347,1),"")</f>
        <v>0</v>
      </c>
      <c r="BQ348" s="44">
        <f>IF(ISNUMBER(BQ329),ROUND(BQ329-BQ347,1),"")</f>
        <v>0</v>
      </c>
      <c r="BR348" s="44">
        <f>IF(ISNUMBER(BR329),ROUND(BR329-BR347,1),"")</f>
        <v>0</v>
      </c>
      <c r="BS348" s="44">
        <f>IF(ISNUMBER(BS329),ROUND(BS329-BS347,1),"")</f>
        <v>0</v>
      </c>
      <c r="BT348" s="44">
        <f>IF(ISNUMBER(BT329),ROUND(BT329-BT347,1),"")</f>
        <v>0</v>
      </c>
      <c r="BU348" s="44">
        <f>IF(ISNUMBER(BU329),ROUND(BU329-BU347,1),"")</f>
        <v>0</v>
      </c>
      <c r="BV348" s="44">
        <f>IF(ISNUMBER(BV329),ROUND(BV329-BV347,1),"")</f>
        <v>0</v>
      </c>
      <c r="BW348" s="44">
        <f>IF(ISNUMBER(BW329),ROUND(BW329-BW347,1),"")</f>
        <v>0</v>
      </c>
      <c r="BX348" s="44">
        <f>IF(ISNUMBER(BX329),ROUND(BX329-BX347,1),"")</f>
        <v>0</v>
      </c>
      <c r="BY348" s="269" t="n"/>
      <c r="BZ348" s="269" t="n"/>
      <c r="CA348" s="268">
        <f>ROUND(CA329-CA347,1)</f>
        <v>0.1</v>
      </c>
      <c r="CB348" s="268">
        <f>ROUND(CB329-CB347,1)</f>
        <v>0.1</v>
      </c>
      <c r="CC348" s="268">
        <f>ROUND(CC329-CC347,1)</f>
        <v>0.1</v>
      </c>
      <c r="CD348" s="268">
        <f>ROUND(CD329-CD347,1)</f>
        <v>0.1</v>
      </c>
      <c r="CE348" s="268">
        <f>ROUND(CE329-CE347,1)</f>
        <v>0.1</v>
      </c>
      <c r="CF348" s="19" t="n"/>
    </row>
    <row r="349">
      <c r="B349" s="57" t="inlineStr">
        <is>
          <t xml:space="preserve">  Check: model total assets vs reported (should be 0)</t>
        </is>
      </c>
      <c r="C349" s="44">
        <f>IF(ISNUMBER(C350),ROUND(C329-C350,1),"")</f>
        <v>0</v>
      </c>
      <c r="D349" s="44">
        <f>IF(ISNUMBER(D350),ROUND(D329-D350,1),"")</f>
        <v>0</v>
      </c>
      <c r="E349" s="44">
        <f>IF(ISNUMBER(E350),ROUND(E329-E350,1),"")</f>
        <v>0</v>
      </c>
      <c r="F349" s="44">
        <f>IF(ISNUMBER(F350),ROUND(F329-F350,1),"")</f>
        <v>0</v>
      </c>
      <c r="G349" s="44">
        <f>IF(ISNUMBER(G350),ROUND(G329-G350,1),"")</f>
        <v>0</v>
      </c>
      <c r="H349" s="44">
        <f>IF(ISNUMBER(H350),ROUND(H329-H350,1),"")</f>
        <v>0</v>
      </c>
      <c r="I349" s="44">
        <f>IF(ISNUMBER(I350),ROUND(I329-I350,1),"")</f>
        <v>0</v>
      </c>
      <c r="J349" s="44">
        <f>IF(ISNUMBER(J350),ROUND(J329-J350,1),"")</f>
        <v>0</v>
      </c>
      <c r="K349" s="44">
        <f>IF(ISNUMBER(K350),ROUND(K329-K350,1),"")</f>
        <v>0</v>
      </c>
      <c r="L349" s="44">
        <f>IF(ISNUMBER(L350),ROUND(L329-L350,1),"")</f>
        <v>0</v>
      </c>
      <c r="M349" s="44">
        <f>IF(ISNUMBER(M350),ROUND(M329-M350,1),"")</f>
        <v>0</v>
      </c>
      <c r="N349" s="44">
        <f>IF(ISNUMBER(N350),ROUND(N329-N350,1),"")</f>
        <v>0</v>
      </c>
      <c r="O349" s="44">
        <f>IF(ISNUMBER(O350),ROUND(O329-O350,1),"")</f>
        <v>0</v>
      </c>
      <c r="P349" s="44">
        <f>IF(ISNUMBER(P350),ROUND(P329-P350,1),"")</f>
        <v>0</v>
      </c>
      <c r="Q349" s="44">
        <f>IF(ISNUMBER(Q350),ROUND(Q329-Q350,1),"")</f>
        <v>0</v>
      </c>
      <c r="R349" s="44">
        <f>IF(ISNUMBER(R350),ROUND(R329-R350,1),"")</f>
        <v>0</v>
      </c>
      <c r="S349" s="44">
        <f>IF(ISNUMBER(S350),ROUND(S329-S350,1),"")</f>
        <v>0</v>
      </c>
      <c r="T349" s="44">
        <f>IF(ISNUMBER(T350),ROUND(T329-T350,1),"")</f>
        <v>0</v>
      </c>
      <c r="U349" s="44">
        <f>IF(ISNUMBER(U350),ROUND(U329-U350,1),"")</f>
        <v>0</v>
      </c>
      <c r="V349" s="44">
        <f>IF(ISNUMBER(V350),ROUND(V329-V350,1),"")</f>
        <v>0</v>
      </c>
      <c r="W349" s="44">
        <f>IF(ISNUMBER(W350),ROUND(W329-W350,1),"")</f>
        <v>0</v>
      </c>
      <c r="X349" s="44">
        <f>IF(ISNUMBER(X350),ROUND(X329-X350,1),"")</f>
        <v>0</v>
      </c>
      <c r="Y349" s="44">
        <f>IF(ISNUMBER(Y350),ROUND(Y329-Y350,1),"")</f>
        <v>0</v>
      </c>
      <c r="Z349" s="44">
        <f>IF(ISNUMBER(Z350),ROUND(Z329-Z350,1),"")</f>
        <v>0</v>
      </c>
      <c r="AA349" s="44">
        <f>IF(ISNUMBER(AA350),ROUND(AA329-AA350,1),"")</f>
        <v>0</v>
      </c>
      <c r="AB349" s="44">
        <f>IF(ISNUMBER(AB350),ROUND(AB329-AB350,1),"")</f>
        <v>0</v>
      </c>
      <c r="AC349" s="44">
        <f>IF(ISNUMBER(AC350),ROUND(AC329-AC350,1),"")</f>
        <v>0</v>
      </c>
      <c r="AD349" s="44">
        <f>IF(ISNUMBER(AD350),ROUND(AD329-AD350,1),"")</f>
        <v>0</v>
      </c>
      <c r="AE349" s="44">
        <f>IF(ISNUMBER(AE350),ROUND(AE329-AE350,1),"")</f>
        <v>0</v>
      </c>
      <c r="AF349" s="44">
        <f>IF(ISNUMBER(AF350),ROUND(AF329-AF350,1),"")</f>
        <v>0</v>
      </c>
      <c r="AG349" s="44">
        <f>IF(ISNUMBER(AG350),ROUND(AG329-AG350,1),"")</f>
        <v>0</v>
      </c>
      <c r="AH349" s="44">
        <f>IF(ISNUMBER(AH350),ROUND(AH329-AH350,1),"")</f>
        <v>0</v>
      </c>
      <c r="AI349" s="44">
        <f>IF(ISNUMBER(AI350),ROUND(AI329-AI350,1),"")</f>
        <v>0</v>
      </c>
      <c r="AJ349" s="44">
        <f>IF(ISNUMBER(AJ350),ROUND(AJ329-AJ350,1),"")</f>
        <v>0</v>
      </c>
      <c r="AK349" s="44">
        <f>IF(ISNUMBER(AK350),ROUND(AK329-AK350,1),"")</f>
        <v>0</v>
      </c>
      <c r="AL349" s="44">
        <f>IF(ISNUMBER(AL350),ROUND(AL329-AL350,1),"")</f>
        <v>0</v>
      </c>
      <c r="AM349" s="44">
        <f>IF(ISNUMBER(AM350),ROUND(AM329-AM350,1),"")</f>
        <v>0</v>
      </c>
      <c r="AN349" s="44">
        <f>IF(ISNUMBER(AN350),ROUND(AN329-AN350,1),"")</f>
        <v>0</v>
      </c>
      <c r="AO349" s="44">
        <f>IF(ISNUMBER(AO350),ROUND(AO329-AO350,1),"")</f>
        <v>0</v>
      </c>
      <c r="AP349" s="44">
        <f>IF(ISNUMBER(AP350),ROUND(AP329-AP350,1),"")</f>
        <v>0</v>
      </c>
      <c r="AQ349" s="44">
        <f>IF(ISNUMBER(AQ350),ROUND(AQ329-AQ350,1),"")</f>
        <v>0</v>
      </c>
      <c r="AR349" s="44">
        <f>IF(ISNUMBER(AR350),ROUND(AR329-AR350,1),"")</f>
        <v>0</v>
      </c>
      <c r="AS349" s="44">
        <f>IF(ISNUMBER(AS350),ROUND(AS329-AS350,1),"")</f>
        <v>0</v>
      </c>
      <c r="AT349" s="44">
        <f>IF(ISNUMBER(AT350),ROUND(AT329-AT350,1),"")</f>
        <v>0</v>
      </c>
      <c r="AU349" s="44">
        <f>IF(ISNUMBER(AU350),ROUND(AU329-AU350,1),"")</f>
        <v>0</v>
      </c>
      <c r="AV349" s="44">
        <f>IF(ISNUMBER(AV350),ROUND(AV329-AV350,1),"")</f>
        <v>0</v>
      </c>
      <c r="AW349" s="44">
        <f>IF(ISNUMBER(AW350),ROUND(AW329-AW350,1),"")</f>
        <v>0</v>
      </c>
      <c r="AX349" s="44">
        <f>IF(ISNUMBER(AX350),ROUND(AX329-AX350,1),"")</f>
        <v>0</v>
      </c>
      <c r="AY349" s="44">
        <f>IF(ISNUMBER(AY350),ROUND(AY329-AY350,1),"")</f>
        <v>0</v>
      </c>
      <c r="AZ349" s="44">
        <f>IF(ISNUMBER(AZ350),ROUND(AZ329-AZ350,1),"")</f>
        <v>0</v>
      </c>
      <c r="BA349" s="44">
        <f>IF(ISNUMBER(BA350),ROUND(BA329-BA350,1),"")</f>
        <v>0</v>
      </c>
      <c r="BB349" s="44">
        <f>IF(ISNUMBER(BB350),ROUND(BB329-BB350,1),"")</f>
        <v>0</v>
      </c>
      <c r="BC349" s="44">
        <f>IF(ISNUMBER(BC350),ROUND(BC329-BC350,1),"")</f>
        <v>0</v>
      </c>
      <c r="BD349" s="44">
        <f>IF(ISNUMBER(BD350),ROUND(BD329-BD350,1),"")</f>
        <v>0</v>
      </c>
      <c r="BE349" s="44">
        <f>IF(ISNUMBER(BE350),ROUND(BE329-BE350,1),"")</f>
        <v>0</v>
      </c>
      <c r="BF349" s="44">
        <f>IF(ISNUMBER(BF350),ROUND(BF329-BF350,1),"")</f>
        <v>0</v>
      </c>
      <c r="BG349" s="44">
        <f>IF(ISNUMBER(BG350),ROUND(BG329-BG350,1),"")</f>
        <v>0</v>
      </c>
      <c r="BH349" s="44">
        <f>IF(ISNUMBER(BH350),ROUND(BH329-BH350,1),"")</f>
        <v>0</v>
      </c>
      <c r="BI349" s="44">
        <f>IF(ISNUMBER(BI350),ROUND(BI329-BI350,1),"")</f>
        <v>0</v>
      </c>
      <c r="BJ349" s="44">
        <f>IF(ISNUMBER(BJ350),ROUND(BJ329-BJ350,1),"")</f>
        <v>0</v>
      </c>
      <c r="BK349" s="44">
        <f>IF(ISNUMBER(BK350),ROUND(BK329-BK350,1),"")</f>
        <v>0</v>
      </c>
      <c r="BL349" s="44">
        <f>IF(ISNUMBER(BL350),ROUND(BL329-BL350,1),"")</f>
        <v>0</v>
      </c>
      <c r="BM349" s="44">
        <f>IF(ISNUMBER(BM350),ROUND(BM329-BM350,1),"")</f>
        <v>0</v>
      </c>
      <c r="BN349" s="44">
        <f>IF(ISNUMBER(BN350),ROUND(BN329-BN350,1),"")</f>
        <v>0</v>
      </c>
      <c r="BO349" s="44">
        <f>IF(ISNUMBER(BO350),ROUND(BO329-BO350,1),"")</f>
        <v>0</v>
      </c>
      <c r="BP349" s="44">
        <f>IF(ISNUMBER(BP350),ROUND(BP329-BP350,1),"")</f>
        <v>0</v>
      </c>
      <c r="BQ349" s="44">
        <f>IF(ISNUMBER(BQ350),ROUND(BQ329-BQ350,1),"")</f>
        <v>0</v>
      </c>
      <c r="BR349" s="44">
        <f>IF(ISNUMBER(BR350),ROUND(BR329-BR350,1),"")</f>
        <v>0</v>
      </c>
      <c r="BS349" s="44">
        <f>IF(ISNUMBER(BS350),ROUND(BS329-BS350,1),"")</f>
        <v>0</v>
      </c>
      <c r="BT349" s="44">
        <f>IF(ISNUMBER(BT350),ROUND(BT329-BT350,1),"")</f>
        <v>0</v>
      </c>
      <c r="BU349" s="44">
        <f>IF(ISNUMBER(BU350),ROUND(BU329-BU350,1),"")</f>
        <v>0</v>
      </c>
      <c r="BV349" s="44">
        <f>IF(ISNUMBER(BV350),ROUND(BV329-BV350,1),"")</f>
        <v>0</v>
      </c>
      <c r="BW349" s="44">
        <f>IF(ISNUMBER(BW350),ROUND(BW329-BW350,1),"")</f>
        <v>0</v>
      </c>
      <c r="BX349" s="44">
        <f>IF(ISNUMBER(BX350),ROUND(BX329-BX350,1),"")</f>
        <v>0</v>
      </c>
      <c r="BY349" s="269" t="n"/>
      <c r="BZ349" s="269" t="n"/>
      <c r="CA349" s="269" t="n"/>
      <c r="CB349" s="269" t="n"/>
      <c r="CC349" s="269" t="n"/>
      <c r="CD349" s="269" t="n"/>
      <c r="CE349" s="269" t="n"/>
      <c r="CF349" s="19" t="n"/>
    </row>
    <row r="350" outlineLevel="2" s="251">
      <c r="B350" s="156" t="inlineStr">
        <is>
          <t xml:space="preserve">  Memo: total assets as reported</t>
        </is>
      </c>
      <c r="C350" s="34" t="n">
        <v>1394.579</v>
      </c>
      <c r="D350" s="34" t="n">
        <v>1645.296</v>
      </c>
      <c r="E350" s="34" t="n">
        <v>1718.805</v>
      </c>
      <c r="F350" s="34" t="n">
        <v>1705.292</v>
      </c>
      <c r="G350" s="34" t="n">
        <v>1783.788</v>
      </c>
      <c r="H350" s="34" t="n">
        <v>1976.776</v>
      </c>
      <c r="I350" s="34" t="n">
        <v>2089.863</v>
      </c>
      <c r="J350" s="34" t="n">
        <v>2103.527</v>
      </c>
      <c r="K350" s="34" t="n">
        <v>2060.117</v>
      </c>
      <c r="L350" s="34" t="n">
        <v>2119.641</v>
      </c>
      <c r="M350" s="34" t="n">
        <v>2151.867</v>
      </c>
      <c r="N350" s="34" t="n">
        <v>2151.867</v>
      </c>
      <c r="O350" s="34" t="n">
        <v>2113.976</v>
      </c>
      <c r="P350" s="34" t="n">
        <v>2144.839</v>
      </c>
      <c r="Q350" s="34" t="n">
        <v>2112.519</v>
      </c>
      <c r="R350" s="34" t="n">
        <v>1939.215</v>
      </c>
      <c r="S350" s="34" t="n">
        <v>1939.215</v>
      </c>
      <c r="T350" s="34" t="n">
        <v>1921.508</v>
      </c>
      <c r="U350" s="34" t="n">
        <v>1950.166</v>
      </c>
      <c r="V350" s="34" t="n">
        <v>1928.091</v>
      </c>
      <c r="W350" s="34" t="n">
        <v>1784.171</v>
      </c>
      <c r="X350" s="34" t="n">
        <v>1784.171</v>
      </c>
      <c r="Y350" s="34" t="n">
        <v>1777.095</v>
      </c>
      <c r="Z350" s="34" t="n">
        <v>1837.401</v>
      </c>
      <c r="AA350" s="34" t="n">
        <v>1833.821</v>
      </c>
      <c r="AB350" s="34" t="n">
        <v>1943.437</v>
      </c>
      <c r="AC350" s="34" t="n">
        <v>1943.437</v>
      </c>
      <c r="AD350" s="34" t="n">
        <v>2052.677</v>
      </c>
      <c r="AE350" s="34" t="n">
        <v>2121.673</v>
      </c>
      <c r="AF350" s="34" t="n">
        <v>2411.103</v>
      </c>
      <c r="AG350" s="34" t="n">
        <v>2406.547</v>
      </c>
      <c r="AH350" s="34" t="n">
        <v>2406.547</v>
      </c>
      <c r="AI350" s="34" t="n">
        <v>2488.5</v>
      </c>
      <c r="AJ350" s="34" t="n">
        <v>2433.731</v>
      </c>
      <c r="AK350" s="34" t="n">
        <v>2419.645</v>
      </c>
      <c r="AL350" s="34" t="n">
        <v>2349.825</v>
      </c>
      <c r="AM350" s="34" t="n">
        <v>2349.825</v>
      </c>
      <c r="AN350" s="34" t="n">
        <v>2354.851</v>
      </c>
      <c r="AO350" s="34" t="n">
        <v>2394.333</v>
      </c>
      <c r="AP350" s="34" t="n">
        <v>2361.16</v>
      </c>
      <c r="AQ350" s="34" t="n">
        <v>2371.213</v>
      </c>
      <c r="AR350" s="34" t="n">
        <v>2371.213</v>
      </c>
      <c r="AS350" s="34" t="n">
        <v>2305.9</v>
      </c>
      <c r="AT350" s="34" t="n">
        <v>2199.039</v>
      </c>
      <c r="AU350" s="34" t="n">
        <v>2217.499</v>
      </c>
      <c r="AV350" s="34" t="n">
        <v>2314.453</v>
      </c>
      <c r="AW350" s="34" t="n">
        <v>2314.453</v>
      </c>
      <c r="AX350" s="34" t="n">
        <v>2361.749</v>
      </c>
      <c r="AY350" s="34" t="n">
        <v>2512.726</v>
      </c>
      <c r="AZ350" s="34" t="n">
        <v>2568.797</v>
      </c>
      <c r="BA350" s="34" t="n">
        <v>2592.307</v>
      </c>
      <c r="BB350" s="34" t="n">
        <v>2592.307</v>
      </c>
      <c r="BC350" s="34" t="n">
        <v>2736.344</v>
      </c>
      <c r="BD350" s="34" t="n">
        <v>2741.813</v>
      </c>
      <c r="BE350" s="34" t="n">
        <v>2651.965</v>
      </c>
      <c r="BF350" s="34" t="n">
        <v>3180.546</v>
      </c>
      <c r="BG350" s="34" t="n">
        <v>3180.546</v>
      </c>
      <c r="BH350" s="34" t="n">
        <v>3253.201</v>
      </c>
      <c r="BI350" s="34" t="n">
        <v>3311.188</v>
      </c>
      <c r="BJ350" s="34" t="n">
        <v>3325.895</v>
      </c>
      <c r="BK350" s="34" t="n">
        <v>3377.297</v>
      </c>
      <c r="BL350" s="34" t="n">
        <v>3377.297</v>
      </c>
      <c r="BM350" s="34" t="n">
        <v>3379.717</v>
      </c>
      <c r="BN350" s="34" t="n">
        <v>3415.249</v>
      </c>
      <c r="BO350" s="34" t="n">
        <v>3664.545</v>
      </c>
      <c r="BP350" s="34" t="n">
        <v>3520.142</v>
      </c>
      <c r="BQ350" s="34" t="n">
        <v>3520.142</v>
      </c>
      <c r="BR350" s="34" t="n">
        <v>3625.074</v>
      </c>
      <c r="BS350" s="34" t="n">
        <v>3727.369</v>
      </c>
      <c r="BT350" s="34" t="n">
        <v>3815.105</v>
      </c>
      <c r="BU350" s="34" t="n">
        <v>3777.577</v>
      </c>
      <c r="BV350" s="34" t="n">
        <v>3777.577</v>
      </c>
      <c r="BW350" s="34" t="n">
        <v>3900.395</v>
      </c>
      <c r="BX350" s="34" t="n">
        <v>3813.31</v>
      </c>
      <c r="BY350" s="269" t="n"/>
      <c r="BZ350" s="269" t="n"/>
      <c r="CA350" s="269" t="n"/>
      <c r="CB350" s="269" t="n"/>
      <c r="CC350" s="269" t="n"/>
      <c r="CD350" s="269" t="n"/>
      <c r="CE350" s="269" t="n"/>
      <c r="CF350" s="19" t="n"/>
    </row>
    <row r="351">
      <c r="B351" s="57" t="inlineStr">
        <is>
          <t xml:space="preserve">  Check: BS cash vs cash-flow ending cash (should be 0)</t>
        </is>
      </c>
      <c r="C351" s="44">
        <f>IF(AND(ISNUMBER(C321),ISNUMBER(C294)),ROUND(C321-C294,1),"")</f>
        <v>0</v>
      </c>
      <c r="D351" s="44">
        <f>IF(AND(ISNUMBER(D321),ISNUMBER(D294)),ROUND(D321-D294,1),"")</f>
        <v>0</v>
      </c>
      <c r="E351" s="44">
        <f>IF(AND(ISNUMBER(E321),ISNUMBER(E294)),ROUND(E321-E294,1),"")</f>
        <v>0</v>
      </c>
      <c r="F351" s="44">
        <f>IF(AND(ISNUMBER(F321),ISNUMBER(F294)),ROUND(F321-F294,1),"")</f>
        <v>0</v>
      </c>
      <c r="G351" s="44">
        <f>IF(AND(ISNUMBER(G321),ISNUMBER(G294)),ROUND(G321-G294,1),"")</f>
        <v>0</v>
      </c>
      <c r="H351" s="44">
        <f>IF(AND(ISNUMBER(H321),ISNUMBER(H294)),ROUND(H321-H294,1),"")</f>
        <v>0</v>
      </c>
      <c r="I351" s="44">
        <f>IF(AND(ISNUMBER(I321),ISNUMBER(I294)),ROUND(I321-I294,1),"")</f>
        <v>0</v>
      </c>
      <c r="J351" s="44">
        <f>IF(AND(ISNUMBER(J321),ISNUMBER(J294)),ROUND(J321-J294,1),"")</f>
        <v>0</v>
      </c>
      <c r="K351" s="44">
        <f>IF(AND(ISNUMBER(K321),ISNUMBER(K294)),ROUND(K321-K294,1),"")</f>
        <v>0</v>
      </c>
      <c r="L351" s="44">
        <f>IF(AND(ISNUMBER(L321),ISNUMBER(L294)),ROUND(L321-L294,1),"")</f>
        <v>0</v>
      </c>
      <c r="M351" s="44">
        <f>IF(AND(ISNUMBER(M321),ISNUMBER(M294)),ROUND(M321-M294,1),"")</f>
        <v>0</v>
      </c>
      <c r="N351" s="44">
        <f>IF(AND(ISNUMBER(N321),ISNUMBER(N294)),ROUND(N321-N294,1),"")</f>
        <v>0</v>
      </c>
      <c r="O351" s="44">
        <f>IF(AND(ISNUMBER(O321),ISNUMBER(O294)),ROUND(O321-O294,1),"")</f>
        <v>0</v>
      </c>
      <c r="P351" s="44">
        <f>IF(AND(ISNUMBER(P321),ISNUMBER(P294)),ROUND(P321-P294,1),"")</f>
        <v>0</v>
      </c>
      <c r="Q351" s="44">
        <f>IF(AND(ISNUMBER(Q321),ISNUMBER(Q294)),ROUND(Q321-Q294,1),"")</f>
        <v>0</v>
      </c>
      <c r="R351" s="44">
        <f>IF(AND(ISNUMBER(R321),ISNUMBER(R294)),ROUND(R321-R294,1),"")</f>
        <v>0</v>
      </c>
      <c r="S351" s="44">
        <f>IF(AND(ISNUMBER(S321),ISNUMBER(S294)),ROUND(S321-S294,1),"")</f>
        <v>0</v>
      </c>
      <c r="T351" s="44">
        <f>IF(AND(ISNUMBER(T321),ISNUMBER(T294)),ROUND(T321-T294,1),"")</f>
        <v>0</v>
      </c>
      <c r="U351" s="44">
        <f>IF(AND(ISNUMBER(U321),ISNUMBER(U294)),ROUND(U321-U294,1),"")</f>
        <v>0</v>
      </c>
      <c r="V351" s="44">
        <f>IF(AND(ISNUMBER(V321),ISNUMBER(V294)),ROUND(V321-V294,1),"")</f>
        <v>0</v>
      </c>
      <c r="W351" s="44">
        <f>IF(AND(ISNUMBER(W321),ISNUMBER(W294)),ROUND(W321-W294,1),"")</f>
        <v>0</v>
      </c>
      <c r="X351" s="44">
        <f>IF(AND(ISNUMBER(X321),ISNUMBER(X294)),ROUND(X321-X294,1),"")</f>
        <v>0</v>
      </c>
      <c r="Y351" s="44">
        <f>IF(AND(ISNUMBER(Y321),ISNUMBER(Y294)),ROUND(Y321-Y294,1),"")</f>
        <v>0</v>
      </c>
      <c r="Z351" s="44">
        <f>IF(AND(ISNUMBER(Z321),ISNUMBER(Z294)),ROUND(Z321-Z294,1),"")</f>
        <v>0</v>
      </c>
      <c r="AA351" s="44">
        <f>IF(AND(ISNUMBER(AA321),ISNUMBER(AA294)),ROUND(AA321-AA294,1),"")</f>
        <v>0</v>
      </c>
      <c r="AB351" s="44">
        <f>IF(AND(ISNUMBER(AB321),ISNUMBER(AB294)),ROUND(AB321-AB294,1),"")</f>
        <v>0</v>
      </c>
      <c r="AC351" s="44">
        <f>IF(AND(ISNUMBER(AC321),ISNUMBER(AC294)),ROUND(AC321-AC294,1),"")</f>
        <v>0</v>
      </c>
      <c r="AD351" s="44">
        <f>IF(AND(ISNUMBER(AD321),ISNUMBER(AD294)),ROUND(AD321-AD294,1),"")</f>
        <v>0</v>
      </c>
      <c r="AE351" s="44">
        <f>IF(AND(ISNUMBER(AE321),ISNUMBER(AE294)),ROUND(AE321-AE294,1),"")</f>
        <v>0</v>
      </c>
      <c r="AF351" s="44">
        <f>IF(AND(ISNUMBER(AF321),ISNUMBER(AF294)),ROUND(AF321-AF294,1),"")</f>
        <v>0</v>
      </c>
      <c r="AG351" s="44">
        <f>IF(AND(ISNUMBER(AG321),ISNUMBER(AG294)),ROUND(AG321-AG294,1),"")</f>
        <v>0</v>
      </c>
      <c r="AH351" s="44">
        <f>IF(AND(ISNUMBER(AH321),ISNUMBER(AH294)),ROUND(AH321-AH294,1),"")</f>
        <v>0</v>
      </c>
      <c r="AI351" s="44">
        <f>IF(AND(ISNUMBER(AI321),ISNUMBER(AI294)),ROUND(AI321-AI294,1),"")</f>
        <v>0</v>
      </c>
      <c r="AJ351" s="44">
        <f>IF(AND(ISNUMBER(AJ321),ISNUMBER(AJ294)),ROUND(AJ321-AJ294,1),"")</f>
        <v>0</v>
      </c>
      <c r="AK351" s="44">
        <f>IF(AND(ISNUMBER(AK321),ISNUMBER(AK294)),ROUND(AK321-AK294,1),"")</f>
        <v>0</v>
      </c>
      <c r="AL351" s="44">
        <f>IF(AND(ISNUMBER(AL321),ISNUMBER(AL294)),ROUND(AL321-AL294,1),"")</f>
        <v>0</v>
      </c>
      <c r="AM351" s="44">
        <f>IF(AND(ISNUMBER(AM321),ISNUMBER(AM294)),ROUND(AM321-AM294,1),"")</f>
        <v>0</v>
      </c>
      <c r="AN351" s="44">
        <f>IF(AND(ISNUMBER(AN321),ISNUMBER(AN294)),ROUND(AN321-AN294,1),"")</f>
        <v>0</v>
      </c>
      <c r="AO351" s="44">
        <f>IF(AND(ISNUMBER(AO321),ISNUMBER(AO294)),ROUND(AO321-AO294,1),"")</f>
        <v>0</v>
      </c>
      <c r="AP351" s="44">
        <f>IF(AND(ISNUMBER(AP321),ISNUMBER(AP294)),ROUND(AP321-AP294,1),"")</f>
        <v>0</v>
      </c>
      <c r="AQ351" s="44">
        <f>IF(AND(ISNUMBER(AQ321),ISNUMBER(AQ294)),ROUND(AQ321-AQ294,1),"")</f>
        <v>0</v>
      </c>
      <c r="AR351" s="44">
        <f>IF(AND(ISNUMBER(AR321),ISNUMBER(AR294)),ROUND(AR321-AR294,1),"")</f>
        <v>0</v>
      </c>
      <c r="AS351" s="44">
        <f>IF(AND(ISNUMBER(AS321),ISNUMBER(AS294)),ROUND(AS321-AS294,1),"")</f>
        <v>0</v>
      </c>
      <c r="AT351" s="44">
        <f>IF(AND(ISNUMBER(AT321),ISNUMBER(AT294)),ROUND(AT321-AT294,1),"")</f>
        <v>0</v>
      </c>
      <c r="AU351" s="44">
        <f>IF(AND(ISNUMBER(AU321),ISNUMBER(AU294)),ROUND(AU321-AU294,1),"")</f>
        <v>0</v>
      </c>
      <c r="AV351" s="44">
        <f>IF(AND(ISNUMBER(AV321),ISNUMBER(AV294)),ROUND(AV321-AV294,1),"")</f>
        <v>0</v>
      </c>
      <c r="AW351" s="44">
        <f>IF(AND(ISNUMBER(AW321),ISNUMBER(AW294)),ROUND(AW321-AW294,1),"")</f>
        <v>0</v>
      </c>
      <c r="AX351" s="44">
        <f>IF(AND(ISNUMBER(AX321),ISNUMBER(AX294)),ROUND(AX321-AX294,1),"")</f>
        <v>0</v>
      </c>
      <c r="AY351" s="44">
        <f>IF(AND(ISNUMBER(AY321),ISNUMBER(AY294)),ROUND(AY321-AY294,1),"")</f>
        <v>0</v>
      </c>
      <c r="AZ351" s="44">
        <f>IF(AND(ISNUMBER(AZ321),ISNUMBER(AZ294)),ROUND(AZ321-AZ294,1),"")</f>
        <v>0</v>
      </c>
      <c r="BA351" s="44">
        <f>IF(AND(ISNUMBER(BA321),ISNUMBER(BA294)),ROUND(BA321-BA294,1),"")</f>
        <v>0</v>
      </c>
      <c r="BB351" s="44">
        <f>IF(AND(ISNUMBER(BB321),ISNUMBER(BB294)),ROUND(BB321-BB294,1),"")</f>
        <v>0</v>
      </c>
      <c r="BC351" s="44">
        <f>IF(AND(ISNUMBER(BC321),ISNUMBER(BC294)),ROUND(BC321-BC294,1),"")</f>
        <v>0</v>
      </c>
      <c r="BD351" s="44">
        <f>IF(AND(ISNUMBER(BD321),ISNUMBER(BD294)),ROUND(BD321-BD294,1),"")</f>
        <v>0</v>
      </c>
      <c r="BE351" s="44">
        <f>IF(AND(ISNUMBER(BE321),ISNUMBER(BE294)),ROUND(BE321-BE294,1),"")</f>
        <v>0</v>
      </c>
      <c r="BF351" s="44">
        <f>IF(AND(ISNUMBER(BF321),ISNUMBER(BF294)),ROUND(BF321-BF294,1),"")</f>
        <v>0</v>
      </c>
      <c r="BG351" s="44">
        <f>IF(AND(ISNUMBER(BG321),ISNUMBER(BG294)),ROUND(BG321-BG294,1),"")</f>
        <v>0</v>
      </c>
      <c r="BH351" s="44">
        <f>IF(AND(ISNUMBER(BH321),ISNUMBER(BH294)),ROUND(BH321-BH294,1),"")</f>
        <v>0</v>
      </c>
      <c r="BI351" s="44">
        <f>IF(AND(ISNUMBER(BI321),ISNUMBER(BI294)),ROUND(BI321-BI294,1),"")</f>
        <v>0</v>
      </c>
      <c r="BJ351" s="44">
        <f>IF(AND(ISNUMBER(BJ321),ISNUMBER(BJ294)),ROUND(BJ321-BJ294,1),"")</f>
        <v>0</v>
      </c>
      <c r="BK351" s="44">
        <f>IF(AND(ISNUMBER(BK321),ISNUMBER(BK294)),ROUND(BK321-BK294,1),"")</f>
        <v>0</v>
      </c>
      <c r="BL351" s="44">
        <f>IF(AND(ISNUMBER(BL321),ISNUMBER(BL294)),ROUND(BL321-BL294,1),"")</f>
        <v>0</v>
      </c>
      <c r="BM351" s="44">
        <f>IF(AND(ISNUMBER(BM321),ISNUMBER(BM294)),ROUND(BM321-BM294,1),"")</f>
        <v>0</v>
      </c>
      <c r="BN351" s="44">
        <f>IF(AND(ISNUMBER(BN321),ISNUMBER(BN294)),ROUND(BN321-BN294,1),"")</f>
        <v>0</v>
      </c>
      <c r="BO351" s="44">
        <f>IF(AND(ISNUMBER(BO321),ISNUMBER(BO294)),ROUND(BO321-BO294,1),"")</f>
        <v>0</v>
      </c>
      <c r="BP351" s="44">
        <f>IF(AND(ISNUMBER(BP321),ISNUMBER(BP294)),ROUND(BP321-BP294,1),"")</f>
        <v>0</v>
      </c>
      <c r="BQ351" s="44">
        <f>IF(AND(ISNUMBER(BQ321),ISNUMBER(BQ294)),ROUND(BQ321-BQ294,1),"")</f>
        <v>0</v>
      </c>
      <c r="BR351" s="44">
        <f>IF(AND(ISNUMBER(BR321),ISNUMBER(BR294)),ROUND(BR321-BR294,1),"")</f>
        <v>0</v>
      </c>
      <c r="BS351" s="44">
        <f>IF(AND(ISNUMBER(BS321),ISNUMBER(BS294)),ROUND(BS321-BS294,1),"")</f>
        <v>0</v>
      </c>
      <c r="BT351" s="44">
        <f>IF(AND(ISNUMBER(BT321),ISNUMBER(BT294)),ROUND(BT321-BT294,1),"")</f>
        <v>0</v>
      </c>
      <c r="BU351" s="44">
        <f>IF(AND(ISNUMBER(BU321),ISNUMBER(BU294)),ROUND(BU321-BU294,1),"")</f>
        <v>0</v>
      </c>
      <c r="BV351" s="44">
        <f>IF(AND(ISNUMBER(BV321),ISNUMBER(BV294)),ROUND(BV321-BV294,1),"")</f>
        <v>0</v>
      </c>
      <c r="BW351" s="44">
        <f>IF(AND(ISNUMBER(BW321),ISNUMBER(BW294)),ROUND(BW321-BW294,1),"")</f>
        <v>0</v>
      </c>
      <c r="BX351" s="44">
        <f>IF(AND(ISNUMBER(BX321),ISNUMBER(BX294)),ROUND(BX321-BX294,1),"")</f>
        <v>0</v>
      </c>
      <c r="BY351" s="269" t="n"/>
      <c r="BZ351" s="269" t="n"/>
      <c r="CA351" s="268">
        <f>ROUND(CA321-CA294,1)</f>
        <v>0</v>
      </c>
      <c r="CB351" s="268">
        <f>ROUND(CB321-CB294,1)</f>
        <v>0</v>
      </c>
      <c r="CC351" s="268">
        <f>ROUND(CC321-CC294,1)</f>
        <v>0</v>
      </c>
      <c r="CD351" s="268">
        <f>ROUND(CD321-CD294,1)</f>
        <v>0</v>
      </c>
      <c r="CE351" s="268">
        <f>ROUND(CE321-CE294,1)</f>
        <v>0</v>
      </c>
      <c r="CF351" s="19" t="n"/>
    </row>
    <row r="352">
      <c r="B352" s="25" t="inlineStr">
        <is>
          <t xml:space="preserve">  Memo: common shares outstanding at period end (m)</t>
        </is>
      </c>
      <c r="C352" s="45" t="n">
        <v>85.61285799999999</v>
      </c>
      <c r="D352" s="45" t="n">
        <v>85.92335799999999</v>
      </c>
      <c r="E352" s="45" t="n">
        <v>85.043256</v>
      </c>
      <c r="F352" s="45" t="n">
        <v>85.274494</v>
      </c>
      <c r="G352" s="45" t="n">
        <v>84.24160000000001</v>
      </c>
      <c r="H352" s="45" t="n">
        <v>83.75736599999999</v>
      </c>
      <c r="I352" s="45" t="n">
        <v>82.944817</v>
      </c>
      <c r="J352" s="45" t="n">
        <v>83.072338</v>
      </c>
      <c r="K352" s="45" t="n">
        <v>82.20437600000001</v>
      </c>
      <c r="L352" s="45" t="n">
        <v>81.614694</v>
      </c>
      <c r="M352" s="45" t="n">
        <v>81.01008400000001</v>
      </c>
      <c r="N352" s="45" t="n">
        <v>81.01008400000001</v>
      </c>
      <c r="O352" s="45" t="n">
        <v>80.425365</v>
      </c>
      <c r="P352" s="45" t="n">
        <v>79.46620200000001</v>
      </c>
      <c r="Q352" s="45" t="n">
        <v>77.68004300000001</v>
      </c>
      <c r="R352" s="45" t="n">
        <v>76.99716099999999</v>
      </c>
      <c r="S352" s="45" t="n">
        <v>76.99716099999999</v>
      </c>
      <c r="T352" s="45" t="n">
        <v>75.58714599999999</v>
      </c>
      <c r="U352" s="45" t="n">
        <v>74.808048</v>
      </c>
      <c r="V352" s="45" t="n">
        <v>72.45963099999999</v>
      </c>
      <c r="W352" s="45" t="n">
        <v>70.693389</v>
      </c>
      <c r="X352" s="45" t="n">
        <v>70.693389</v>
      </c>
      <c r="Y352" s="45" t="n">
        <v>68.807794</v>
      </c>
      <c r="Z352" s="45" t="n">
        <v>67.264898</v>
      </c>
      <c r="AA352" s="45" t="n">
        <v>66.029417</v>
      </c>
      <c r="AB352" s="45" t="n">
        <v>65.67475400000001</v>
      </c>
      <c r="AC352" s="45" t="n">
        <v>65.67475400000001</v>
      </c>
      <c r="AD352" s="45" t="n">
        <v>65.796164</v>
      </c>
      <c r="AE352" s="45" t="n">
        <v>65.907156</v>
      </c>
      <c r="AF352" s="45" t="n">
        <v>65.755702</v>
      </c>
      <c r="AG352" s="45" t="n">
        <v>65.66254600000001</v>
      </c>
      <c r="AH352" s="45" t="n">
        <v>65.66254600000001</v>
      </c>
      <c r="AI352" s="45" t="n">
        <v>65.559005</v>
      </c>
      <c r="AJ352" s="45" t="n">
        <v>65.172057</v>
      </c>
      <c r="AK352" s="45" t="n">
        <v>64.445633</v>
      </c>
      <c r="AL352" s="45" t="n">
        <v>63.54587799999999</v>
      </c>
      <c r="AM352" s="45" t="n">
        <v>63.54587799999999</v>
      </c>
      <c r="AN352" s="45" t="n">
        <v>62.799738</v>
      </c>
      <c r="AO352" s="45" t="n">
        <v>61.779153</v>
      </c>
      <c r="AP352" s="45" t="n">
        <v>61.148658</v>
      </c>
      <c r="AQ352" s="45" t="n">
        <v>60.592096</v>
      </c>
      <c r="AR352" s="45" t="n">
        <v>60.592096</v>
      </c>
      <c r="AS352" s="45" t="n">
        <v>59.386965</v>
      </c>
      <c r="AT352" s="45" t="n">
        <v>59.366551</v>
      </c>
      <c r="AU352" s="45" t="n">
        <v>59.470712</v>
      </c>
      <c r="AV352" s="45" t="n">
        <v>59.64089499999999</v>
      </c>
      <c r="AW352" s="45" t="n">
        <v>59.64089499999999</v>
      </c>
      <c r="AX352" s="45" t="n">
        <v>59.53768299999999</v>
      </c>
      <c r="AY352" s="45" t="n">
        <v>59.386601</v>
      </c>
      <c r="AZ352" s="45" t="n">
        <v>59.04828500000001</v>
      </c>
      <c r="BA352" s="45" t="n">
        <v>58.786776</v>
      </c>
      <c r="BB352" s="45" t="n">
        <v>58.786776</v>
      </c>
      <c r="BC352" s="45" t="n">
        <v>58.097417</v>
      </c>
      <c r="BD352" s="45" t="n">
        <v>57.919337</v>
      </c>
      <c r="BE352" s="45" t="n">
        <v>57.7384</v>
      </c>
      <c r="BF352" s="45" t="n">
        <v>57.62353899999999</v>
      </c>
      <c r="BG352" s="45" t="n">
        <v>57.62353899999999</v>
      </c>
      <c r="BH352" s="45" t="n">
        <v>57.57285899999999</v>
      </c>
      <c r="BI352" s="45" t="n">
        <v>57.41257299999999</v>
      </c>
      <c r="BJ352" s="45" t="n">
        <v>57.19973599999999</v>
      </c>
      <c r="BK352" s="45" t="n">
        <v>56.975815</v>
      </c>
      <c r="BL352" s="45" t="n">
        <v>56.975815</v>
      </c>
      <c r="BM352" s="45" t="n">
        <v>56.908333</v>
      </c>
      <c r="BN352" s="45" t="n">
        <v>56.675255</v>
      </c>
      <c r="BO352" s="45" t="n">
        <v>56.425803</v>
      </c>
      <c r="BP352" s="45" t="n">
        <v>56.211219</v>
      </c>
      <c r="BQ352" s="45" t="n">
        <v>56.211219</v>
      </c>
      <c r="BR352" s="45" t="n">
        <v>55.826284</v>
      </c>
      <c r="BS352" s="45" t="n">
        <v>55.186252</v>
      </c>
      <c r="BT352" s="45" t="n">
        <v>55.026176</v>
      </c>
      <c r="BU352" s="45" t="n">
        <v>54.84594999999999</v>
      </c>
      <c r="BV352" s="45" t="n">
        <v>54.84594999999999</v>
      </c>
      <c r="BW352" s="45" t="n">
        <v>54.78711</v>
      </c>
      <c r="BX352" s="45" t="n">
        <v>54.505757</v>
      </c>
      <c r="BY352" s="266" t="n"/>
      <c r="BZ352" s="266" t="n"/>
      <c r="CA352" s="266">
        <f>CA315</f>
        <v>54.1339561725339</v>
      </c>
      <c r="CB352" s="266">
        <f>CB315</f>
        <v>53.0376966004786</v>
      </c>
      <c r="CC352" s="266">
        <f>CC315</f>
        <v>52.1694275706635</v>
      </c>
      <c r="CD352" s="266">
        <f>CD315</f>
        <v>51.1704681708587</v>
      </c>
      <c r="CE352" s="266">
        <f>CE315</f>
        <v>50.0433514227291</v>
      </c>
      <c r="CF352" s="19" t="n"/>
    </row>
    <row r="353">
      <c r="CF353" s="19" t="n"/>
    </row>
    <row r="354">
      <c r="B354" s="10" t="inlineStr">
        <is>
          <t>WORKING CAPITAL &amp; CASH CONVERSION</t>
        </is>
      </c>
      <c r="C354" s="10" t="n"/>
      <c r="D354" s="10" t="n"/>
      <c r="E354" s="10" t="n"/>
      <c r="F354" s="10" t="n"/>
      <c r="G354" s="10" t="n"/>
      <c r="H354" s="10" t="n"/>
      <c r="I354" s="10" t="n"/>
      <c r="J354" s="10" t="n"/>
      <c r="K354" s="10" t="n"/>
      <c r="L354" s="10" t="n"/>
      <c r="M354" s="10" t="n"/>
      <c r="N354" s="10" t="n"/>
      <c r="O354" s="10" t="n"/>
      <c r="P354" s="10" t="n"/>
      <c r="Q354" s="10" t="n"/>
      <c r="R354" s="10" t="n"/>
      <c r="S354" s="10" t="n"/>
      <c r="T354" s="10" t="n"/>
      <c r="U354" s="10" t="n"/>
      <c r="V354" s="10" t="n"/>
      <c r="W354" s="10" t="n"/>
      <c r="X354" s="10" t="n"/>
      <c r="Y354" s="10" t="n"/>
      <c r="Z354" s="10" t="n"/>
      <c r="AA354" s="10" t="n"/>
      <c r="AB354" s="10" t="n"/>
      <c r="AC354" s="10" t="n"/>
      <c r="AD354" s="10" t="n"/>
      <c r="AE354" s="10" t="n"/>
      <c r="AF354" s="10" t="n"/>
      <c r="AG354" s="10" t="n"/>
      <c r="AH354" s="10" t="n"/>
      <c r="AI354" s="10" t="n"/>
      <c r="AJ354" s="10" t="n"/>
      <c r="AK354" s="10" t="n"/>
      <c r="AL354" s="10" t="n"/>
      <c r="AM354" s="10" t="n"/>
      <c r="AN354" s="10" t="n"/>
      <c r="AO354" s="10" t="n"/>
      <c r="AP354" s="10" t="n"/>
      <c r="AQ354" s="10" t="n"/>
      <c r="AR354" s="10" t="n"/>
      <c r="AS354" s="10" t="n"/>
      <c r="AT354" s="10" t="n"/>
      <c r="AU354" s="10" t="n"/>
      <c r="AV354" s="10" t="n"/>
      <c r="AW354" s="10" t="n"/>
      <c r="AX354" s="10" t="n"/>
      <c r="AY354" s="10" t="n"/>
      <c r="AZ354" s="10" t="n"/>
      <c r="BA354" s="10" t="n"/>
      <c r="BB354" s="10" t="n"/>
      <c r="BC354" s="10" t="n"/>
      <c r="BD354" s="10" t="n"/>
      <c r="BE354" s="10" t="n"/>
      <c r="BF354" s="10" t="n"/>
      <c r="BG354" s="10" t="n"/>
      <c r="BH354" s="10" t="n"/>
      <c r="BI354" s="10" t="n"/>
      <c r="BJ354" s="10" t="n"/>
      <c r="BK354" s="10" t="n"/>
      <c r="BL354" s="10" t="n"/>
      <c r="BM354" s="10" t="n"/>
      <c r="BN354" s="10" t="n"/>
      <c r="BO354" s="10" t="n"/>
      <c r="BP354" s="10" t="n"/>
      <c r="BQ354" s="10" t="n"/>
      <c r="BR354" s="10" t="n"/>
      <c r="BS354" s="10" t="n"/>
      <c r="BT354" s="10" t="n"/>
      <c r="BU354" s="10" t="n"/>
      <c r="BV354" s="10" t="n"/>
      <c r="BW354" s="10" t="n"/>
      <c r="BX354" s="10" t="n"/>
      <c r="BY354" s="10" t="n"/>
      <c r="BZ354" s="10" t="n"/>
      <c r="CA354" s="10" t="n"/>
      <c r="CB354" s="10" t="n"/>
      <c r="CC354" s="10" t="n"/>
      <c r="CD354" s="10" t="n"/>
      <c r="CE354" s="10" t="n"/>
      <c r="CF354" s="10" t="inlineStr">
        <is>
          <t>WORKING CAPITAL — forecast drivers (blue = input)</t>
        </is>
      </c>
    </row>
    <row r="355">
      <c r="B355" s="25" t="inlineStr">
        <is>
          <t xml:space="preserve">  Net sales (period)</t>
        </is>
      </c>
      <c r="C355" s="44">
        <f>C154</f>
        <v>1971.915</v>
      </c>
      <c r="D355" s="44">
        <f>D154</f>
        <v>2280.784</v>
      </c>
      <c r="E355" s="44">
        <f>E154</f>
        <v>2479.131</v>
      </c>
      <c r="F355" s="44">
        <f>F154</f>
        <v>1729.285</v>
      </c>
      <c r="G355" s="44">
        <f>G154</f>
        <v>2070.172</v>
      </c>
      <c r="H355" s="44">
        <f>H154</f>
        <v>2694.609</v>
      </c>
      <c r="I355" s="44">
        <f>I154</f>
        <v>2853.367</v>
      </c>
      <c r="J355" s="44">
        <f>J154</f>
        <v>718.573</v>
      </c>
      <c r="K355" s="44">
        <f>K154</f>
        <v>727.432</v>
      </c>
      <c r="L355" s="44">
        <f>L154</f>
        <v>691.875</v>
      </c>
      <c r="M355" s="44">
        <f>M154</f>
        <v>714.791</v>
      </c>
      <c r="N355" s="44">
        <f>N154</f>
        <v>2852.671</v>
      </c>
      <c r="O355" s="44">
        <f>O154</f>
        <v>685.062</v>
      </c>
      <c r="P355" s="44">
        <f>P154</f>
        <v>728.531</v>
      </c>
      <c r="Q355" s="44">
        <f>Q154</f>
        <v>715.777</v>
      </c>
      <c r="R355" s="44">
        <f>R154</f>
        <v>683.954</v>
      </c>
      <c r="S355" s="44">
        <f>S154</f>
        <v>2813.324</v>
      </c>
      <c r="T355" s="44">
        <f>T154</f>
        <v>657.9</v>
      </c>
      <c r="U355" s="44">
        <f>U154</f>
        <v>664.74</v>
      </c>
      <c r="V355" s="44">
        <f>V154</f>
        <v>645.166</v>
      </c>
      <c r="W355" s="44">
        <f>W154</f>
        <v>567.985</v>
      </c>
      <c r="X355" s="44">
        <f>X154</f>
        <v>2535.791</v>
      </c>
      <c r="Y355" s="44">
        <f>Y154</f>
        <v>550.722</v>
      </c>
      <c r="Z355" s="44">
        <f>Z154</f>
        <v>592.418</v>
      </c>
      <c r="AA355" s="44">
        <f>AA154</f>
        <v>567.646</v>
      </c>
      <c r="AB355" s="44">
        <f>AB154</f>
        <v>563.828</v>
      </c>
      <c r="AC355" s="44">
        <f>AC154</f>
        <v>2274.614</v>
      </c>
      <c r="AD355" s="44">
        <f>AD154</f>
        <v>580.897</v>
      </c>
      <c r="AE355" s="44">
        <f>AE154</f>
        <v>626.858</v>
      </c>
      <c r="AF355" s="44">
        <f>AF154</f>
        <v>669.491</v>
      </c>
      <c r="AG355" s="44">
        <f>AG154</f>
        <v>747.185</v>
      </c>
      <c r="AH355" s="44">
        <f>AH154</f>
        <v>2624.431</v>
      </c>
      <c r="AI355" s="44">
        <f>AI154</f>
        <v>757.696</v>
      </c>
      <c r="AJ355" s="44">
        <f>AJ154</f>
        <v>790.052</v>
      </c>
      <c r="AK355" s="44">
        <f>AK154</f>
        <v>737.099</v>
      </c>
      <c r="AL355" s="44">
        <f>AL154</f>
        <v>743.827</v>
      </c>
      <c r="AM355" s="44">
        <f>AM154</f>
        <v>3028.674</v>
      </c>
      <c r="AN355" s="44">
        <f>AN154</f>
        <v>759.174</v>
      </c>
      <c r="AO355" s="44">
        <f>AO154</f>
        <v>777.008</v>
      </c>
      <c r="AP355" s="44">
        <f>AP154</f>
        <v>730.783</v>
      </c>
      <c r="AQ355" s="44">
        <f>AQ154</f>
        <v>736.307</v>
      </c>
      <c r="AR355" s="44">
        <f>AR154</f>
        <v>3003.272</v>
      </c>
      <c r="AS355" s="44">
        <f>AS154</f>
        <v>701.991</v>
      </c>
      <c r="AT355" s="44">
        <f>AT154</f>
        <v>590.727</v>
      </c>
      <c r="AU355" s="44">
        <f>AU154</f>
        <v>668.888</v>
      </c>
      <c r="AV355" s="44">
        <f>AV154</f>
        <v>693.794</v>
      </c>
      <c r="AW355" s="44">
        <f>AW154</f>
        <v>2655.4</v>
      </c>
      <c r="AX355" s="44">
        <f>AX154</f>
        <v>757.021</v>
      </c>
      <c r="AY355" s="44">
        <f>AY154</f>
        <v>826.454</v>
      </c>
      <c r="AZ355" s="44">
        <f>AZ154</f>
        <v>806.454</v>
      </c>
      <c r="BA355" s="44">
        <f>BA154</f>
        <v>844.251</v>
      </c>
      <c r="BB355" s="44">
        <f>BB154</f>
        <v>3234.18</v>
      </c>
      <c r="BC355" s="44">
        <f>BC154</f>
        <v>925.448</v>
      </c>
      <c r="BD355" s="44">
        <f>BD154</f>
        <v>969.589</v>
      </c>
      <c r="BE355" s="44">
        <f>BE154</f>
        <v>935.24</v>
      </c>
      <c r="BF355" s="44">
        <f>BF154</f>
        <v>930.934</v>
      </c>
      <c r="BG355" s="44">
        <f>BG154</f>
        <v>3761.211</v>
      </c>
      <c r="BH355" s="44">
        <f>BH154</f>
        <v>1039.343</v>
      </c>
      <c r="BI355" s="44">
        <f>BI154</f>
        <v>1060.565</v>
      </c>
      <c r="BJ355" s="44">
        <f>BJ154</f>
        <v>1033.214</v>
      </c>
      <c r="BK355" s="44">
        <f>BK154</f>
        <v>1058.514</v>
      </c>
      <c r="BL355" s="44">
        <f>BL154</f>
        <v>4191.636</v>
      </c>
      <c r="BM355" s="44">
        <f>BM154</f>
        <v>981.197</v>
      </c>
      <c r="BN355" s="44">
        <f>BN154</f>
        <v>1021.683</v>
      </c>
      <c r="BO355" s="44">
        <f>BO154</f>
        <v>983.759</v>
      </c>
      <c r="BP355" s="44">
        <f>BP154</f>
        <v>1022.031</v>
      </c>
      <c r="BQ355" s="44">
        <f>BQ154</f>
        <v>4008.67</v>
      </c>
      <c r="BR355" s="44">
        <f>BR154</f>
        <v>1004.388</v>
      </c>
      <c r="BS355" s="44">
        <f>BS154</f>
        <v>1088.673</v>
      </c>
      <c r="BT355" s="44">
        <f>BT154</f>
        <v>1061.227</v>
      </c>
      <c r="BU355" s="44">
        <f>BU154</f>
        <v>1078.715</v>
      </c>
      <c r="BV355" s="44">
        <f>BV154</f>
        <v>4233.003</v>
      </c>
      <c r="BW355" s="44">
        <f>BW154</f>
        <v>1121.434</v>
      </c>
      <c r="BX355" s="44">
        <f>BX154</f>
        <v>1219.663</v>
      </c>
      <c r="BY355" s="257" t="n"/>
      <c r="BZ355" s="257" t="n"/>
      <c r="CA355" s="257">
        <f>CA154</f>
        <v>4719.798345</v>
      </c>
      <c r="CB355" s="257">
        <f>CB154</f>
        <v>5029.34891587842</v>
      </c>
      <c r="CC355" s="257">
        <f>CC154</f>
        <v>5405.03432443253</v>
      </c>
      <c r="CD355" s="257">
        <f>CD154</f>
        <v>5795.16759415275</v>
      </c>
      <c r="CE355" s="257">
        <f>CE154</f>
        <v>6203.29114713233</v>
      </c>
      <c r="CF355" s="19" t="n"/>
    </row>
    <row r="356">
      <c r="B356" s="25" t="inlineStr">
        <is>
          <t xml:space="preserve">  Cost of goods sold (period)</t>
        </is>
      </c>
      <c r="C356" s="44">
        <f>C156</f>
        <v>1419.638</v>
      </c>
      <c r="D356" s="44">
        <f>D156</f>
        <v>1633.218</v>
      </c>
      <c r="E356" s="44">
        <f>E156</f>
        <v>1758.98</v>
      </c>
      <c r="F356" s="44">
        <f>F156</f>
        <v>1273.017</v>
      </c>
      <c r="G356" s="44">
        <f>G156</f>
        <v>1506.353</v>
      </c>
      <c r="H356" s="44">
        <f>H156</f>
        <v>1957.872</v>
      </c>
      <c r="I356" s="44">
        <f>I156</f>
        <v>1986.711</v>
      </c>
      <c r="J356" s="44">
        <f>J156</f>
        <v>492.001</v>
      </c>
      <c r="K356" s="44">
        <f>K156</f>
        <v>487.094</v>
      </c>
      <c r="L356" s="44">
        <f>L156</f>
        <v>459.178</v>
      </c>
      <c r="M356" s="44">
        <f>M156</f>
        <v>471.744</v>
      </c>
      <c r="N356" s="44">
        <f>N156</f>
        <v>1910.017</v>
      </c>
      <c r="O356" s="44">
        <f>O156</f>
        <v>458.726</v>
      </c>
      <c r="P356" s="44">
        <f>P156</f>
        <v>478.264</v>
      </c>
      <c r="Q356" s="44">
        <f>Q156</f>
        <v>474.168</v>
      </c>
      <c r="R356" s="44">
        <f>R156</f>
        <v>452.869</v>
      </c>
      <c r="S356" s="44">
        <f>S156</f>
        <v>1864.027</v>
      </c>
      <c r="T356" s="44">
        <f>T156</f>
        <v>437.51</v>
      </c>
      <c r="U356" s="44">
        <f>U156</f>
        <v>438.959</v>
      </c>
      <c r="V356" s="44">
        <f>V156</f>
        <v>446.272</v>
      </c>
      <c r="W356" s="44">
        <f>W156</f>
        <v>371.906</v>
      </c>
      <c r="X356" s="44">
        <f>X156</f>
        <v>1694.647</v>
      </c>
      <c r="Y356" s="44">
        <f>Y156</f>
        <v>361.62</v>
      </c>
      <c r="Z356" s="44">
        <f>Z156</f>
        <v>389.491</v>
      </c>
      <c r="AA356" s="44">
        <f>AA156</f>
        <v>367.834</v>
      </c>
      <c r="AB356" s="44">
        <f>AB156</f>
        <v>366.371</v>
      </c>
      <c r="AC356" s="44">
        <f>AC156</f>
        <v>1485.316</v>
      </c>
      <c r="AD356" s="44">
        <f>AD156</f>
        <v>377.041</v>
      </c>
      <c r="AE356" s="44">
        <f>AE156</f>
        <v>409.37</v>
      </c>
      <c r="AF356" s="44">
        <f>AF156</f>
        <v>449.975</v>
      </c>
      <c r="AG356" s="44">
        <f>AG156</f>
        <v>507.719</v>
      </c>
      <c r="AH356" s="44">
        <f>AH156</f>
        <v>1744.105</v>
      </c>
      <c r="AI356" s="44">
        <f>AI156</f>
        <v>501.142</v>
      </c>
      <c r="AJ356" s="44">
        <f>AJ156</f>
        <v>519.936</v>
      </c>
      <c r="AK356" s="44">
        <f>AK156</f>
        <v>485.547</v>
      </c>
      <c r="AL356" s="44">
        <f>AL156</f>
        <v>493.528</v>
      </c>
      <c r="AM356" s="44">
        <f>AM156</f>
        <v>2000.153</v>
      </c>
      <c r="AN356" s="44">
        <f>AN156</f>
        <v>500.753</v>
      </c>
      <c r="AO356" s="44">
        <f>AO156</f>
        <v>507.127</v>
      </c>
      <c r="AP356" s="44">
        <f>AP156</f>
        <v>492.432</v>
      </c>
      <c r="AQ356" s="44">
        <f>AQ156</f>
        <v>495.373</v>
      </c>
      <c r="AR356" s="44">
        <f>AR156</f>
        <v>1995.685</v>
      </c>
      <c r="AS356" s="44">
        <f>AS156</f>
        <v>464.669</v>
      </c>
      <c r="AT356" s="44">
        <f>AT156</f>
        <v>401.349</v>
      </c>
      <c r="AU356" s="44">
        <f>AU156</f>
        <v>453.501</v>
      </c>
      <c r="AV356" s="44">
        <f>AV156</f>
        <v>464.54</v>
      </c>
      <c r="AW356" s="44">
        <f>AW156</f>
        <v>1784.059</v>
      </c>
      <c r="AX356" s="44">
        <f>AX156</f>
        <v>503.254</v>
      </c>
      <c r="AY356" s="44">
        <f>AY156</f>
        <v>552.445</v>
      </c>
      <c r="AZ356" s="44">
        <f>AZ156</f>
        <v>538.282</v>
      </c>
      <c r="BA356" s="44">
        <f>BA156</f>
        <v>571.594</v>
      </c>
      <c r="BB356" s="44">
        <f>BB156</f>
        <v>2165.575</v>
      </c>
      <c r="BC356" s="44">
        <f>BC156</f>
        <v>595.671</v>
      </c>
      <c r="BD356" s="44">
        <f>BD156</f>
        <v>636.108</v>
      </c>
      <c r="BE356" s="44">
        <f>BE156</f>
        <v>625.722</v>
      </c>
      <c r="BF356" s="44">
        <f>BF156</f>
        <v>622.95</v>
      </c>
      <c r="BG356" s="44">
        <f>BG156</f>
        <v>2480.451</v>
      </c>
      <c r="BH356" s="44">
        <f>BH156</f>
        <v>683.986</v>
      </c>
      <c r="BI356" s="44">
        <f>BI156</f>
        <v>687.137</v>
      </c>
      <c r="BJ356" s="44">
        <f>BJ156</f>
        <v>667.584</v>
      </c>
      <c r="BK356" s="44">
        <f>BK156</f>
        <v>687.484</v>
      </c>
      <c r="BL356" s="44">
        <f>BL156</f>
        <v>2726.191</v>
      </c>
      <c r="BM356" s="44">
        <f>BM156</f>
        <v>612.798</v>
      </c>
      <c r="BN356" s="44">
        <f>BN156</f>
        <v>637.87</v>
      </c>
      <c r="BO356" s="44">
        <f>BO156</f>
        <v>631.681</v>
      </c>
      <c r="BP356" s="44">
        <f>BP156</f>
        <v>653.409</v>
      </c>
      <c r="BQ356" s="44">
        <f>BQ156</f>
        <v>2535.758</v>
      </c>
      <c r="BR356" s="44">
        <f>BR156</f>
        <v>638.94</v>
      </c>
      <c r="BS356" s="44">
        <f>BS156</f>
        <v>683.126</v>
      </c>
      <c r="BT356" s="44">
        <f>BT156</f>
        <v>671.916</v>
      </c>
      <c r="BU356" s="44">
        <f>BU156</f>
        <v>704.769</v>
      </c>
      <c r="BV356" s="44">
        <f>BV156</f>
        <v>2698.751</v>
      </c>
      <c r="BW356" s="44">
        <f>BW156</f>
        <v>722.302</v>
      </c>
      <c r="BX356" s="44">
        <f>BX156</f>
        <v>770.667</v>
      </c>
      <c r="BY356" s="257" t="n"/>
      <c r="BZ356" s="257" t="n"/>
      <c r="CA356" s="257">
        <f>CA156</f>
        <v>3020.51877248785</v>
      </c>
      <c r="CB356" s="257">
        <f>CB156</f>
        <v>3165.26033970594</v>
      </c>
      <c r="CC356" s="257">
        <f>CC156</f>
        <v>3374.64903254711</v>
      </c>
      <c r="CD356" s="257">
        <f>CD156</f>
        <v>3594.34683796301</v>
      </c>
      <c r="CE356" s="257">
        <f>CE156</f>
        <v>3824.05028447201</v>
      </c>
      <c r="CF356" s="19" t="n"/>
    </row>
    <row r="357">
      <c r="B357" s="25" t="inlineStr">
        <is>
          <t xml:space="preserve">  DSO — receivables / net sales × 365</t>
        </is>
      </c>
      <c r="C357" s="67">
        <f>IFERROR(C322/C355*365,"n/a")</f>
        <v>55.3433819409052</v>
      </c>
      <c r="D357" s="67">
        <f>IFERROR(D322/D355*365,"n/a")</f>
        <v>55.0605274326723</v>
      </c>
      <c r="E357" s="67">
        <f>IFERROR(E322/E355*365,"n/a")</f>
        <v>44.0466498139872</v>
      </c>
      <c r="F357" s="67">
        <f>IFERROR(F322/F355*365,"n/a")</f>
        <v>57.769829727315</v>
      </c>
      <c r="G357" s="67">
        <f>IFERROR(G322/G355*365,"n/a")</f>
        <v>56.763892082397</v>
      </c>
      <c r="H357" s="67">
        <f>IFERROR(H322/H355*365,"n/a")</f>
        <v>52.3125637151809</v>
      </c>
      <c r="I357" s="67">
        <f>IFERROR(I322/I355*365,"n/a")</f>
        <v>46.1355409241083</v>
      </c>
      <c r="J357" s="67">
        <f>IFERROR(J322/J355*91.25,"n/a")</f>
        <v>53.8132364422265</v>
      </c>
      <c r="K357" s="67">
        <f>IFERROR(K322/K355*91.25,"n/a")</f>
        <v>49.7227902401874</v>
      </c>
      <c r="L357" s="67">
        <f>IFERROR(L322/L355*91.25,"n/a")</f>
        <v>49.4875374887082</v>
      </c>
      <c r="M357" s="67">
        <f>IFERROR(M322/M355*91.25,"n/a")</f>
        <v>46.8682139254691</v>
      </c>
      <c r="N357" s="67">
        <f>IFERROR(N322/N355*365,"n/a")</f>
        <v>46.9748912510416</v>
      </c>
      <c r="O357" s="67">
        <f>IFERROR(O322/O355*91.25,"n/a")</f>
        <v>54.0357569825797</v>
      </c>
      <c r="P357" s="67">
        <f>IFERROR(P322/P355*91.25,"n/a")</f>
        <v>51.0055148648445</v>
      </c>
      <c r="Q357" s="67">
        <f>IFERROR(Q322/Q355*91.25,"n/a")</f>
        <v>45.177213014668</v>
      </c>
      <c r="R357" s="67">
        <f>IFERROR(R322/R355*91.25,"n/a")</f>
        <v>42.9413491258184</v>
      </c>
      <c r="S357" s="67">
        <f>IFERROR(S322/S355*365,"n/a")</f>
        <v>41.7583008569223</v>
      </c>
      <c r="T357" s="67">
        <f>IFERROR(T322/T355*91.25,"n/a")</f>
        <v>46.4541419668643</v>
      </c>
      <c r="U357" s="67">
        <f>IFERROR(U322/U355*91.25,"n/a")</f>
        <v>45.1930059120859</v>
      </c>
      <c r="V357" s="67">
        <f>IFERROR(V322/V355*91.25,"n/a")</f>
        <v>43.9618485785054</v>
      </c>
      <c r="W357" s="67">
        <f>IFERROR(W322/W355*91.25,"n/a")</f>
        <v>42.5279606855815</v>
      </c>
      <c r="X357" s="67">
        <f>IFERROR(X322/X355*365,"n/a")</f>
        <v>38.1028937321727</v>
      </c>
      <c r="Y357" s="67">
        <f>IFERROR(Y322/Y355*91.25,"n/a")</f>
        <v>47.4076757420259</v>
      </c>
      <c r="Z357" s="67">
        <f>IFERROR(Z322/Z355*91.25,"n/a")</f>
        <v>44.922008193539</v>
      </c>
      <c r="AA357" s="67">
        <f>IFERROR(AA322/AA355*91.25,"n/a")</f>
        <v>45.1774675590069</v>
      </c>
      <c r="AB357" s="67">
        <f>IFERROR(AB322/AB355*91.25,"n/a")</f>
        <v>44.3430642855623</v>
      </c>
      <c r="AC357" s="67">
        <f>IFERROR(AC322/AC355*365,"n/a")</f>
        <v>43.9667763409528</v>
      </c>
      <c r="AD357" s="67">
        <f>IFERROR(AD322/AD355*91.25,"n/a")</f>
        <v>47.5336569994336</v>
      </c>
      <c r="AE357" s="67">
        <f>IFERROR(AE322/AE355*91.25,"n/a")</f>
        <v>47.0451541656962</v>
      </c>
      <c r="AF357" s="67">
        <f>IFERROR(AF322/AF355*91.25,"n/a")</f>
        <v>54.6868124440807</v>
      </c>
      <c r="AG357" s="67">
        <f>IFERROR(AG322/AG355*91.25,"n/a")</f>
        <v>48.2734647376486</v>
      </c>
      <c r="AH357" s="67">
        <f>IFERROR(AH322/AH355*365,"n/a")</f>
        <v>54.9745201912338</v>
      </c>
      <c r="AI357" s="67">
        <f>IFERROR(AI322/AI355*91.25,"n/a")</f>
        <v>53.3195701178309</v>
      </c>
      <c r="AJ357" s="67">
        <f>IFERROR(AJ322/AJ355*91.25,"n/a")</f>
        <v>49.1800508067823</v>
      </c>
      <c r="AK357" s="67">
        <f>IFERROR(AK322/AK355*91.25,"n/a")</f>
        <v>50.706150055827</v>
      </c>
      <c r="AL357" s="67">
        <f>IFERROR(AL322/AL355*91.25,"n/a")</f>
        <v>48.6884130987447</v>
      </c>
      <c r="AM357" s="67">
        <f>IFERROR(AM322/AM355*365,"n/a")</f>
        <v>47.8305109760905</v>
      </c>
      <c r="AN357" s="67">
        <f>IFERROR(AN322/AN355*91.25,"n/a")</f>
        <v>50.8655640867574</v>
      </c>
      <c r="AO357" s="67">
        <f>IFERROR(AO322/AO355*91.25,"n/a")</f>
        <v>50.3047732455779</v>
      </c>
      <c r="AP357" s="67">
        <f>IFERROR(AP322/AP355*91.25,"n/a")</f>
        <v>49.3664244378974</v>
      </c>
      <c r="AQ357" s="67">
        <f>IFERROR(AQ322/AQ355*91.25,"n/a")</f>
        <v>46.4299826702721</v>
      </c>
      <c r="AR357" s="67">
        <f>IFERROR(AR322/AR355*365,"n/a")</f>
        <v>45.5326340737702</v>
      </c>
      <c r="AS357" s="67">
        <f>IFERROR(AS322/AS355*91.25,"n/a")</f>
        <v>50.1326388087597</v>
      </c>
      <c r="AT357" s="67">
        <f>IFERROR(AT322/AT355*91.25,"n/a")</f>
        <v>52.3813157346795</v>
      </c>
      <c r="AU357" s="67">
        <f>IFERROR(AU322/AU355*91.25,"n/a")</f>
        <v>50.890829256916</v>
      </c>
      <c r="AV357" s="67">
        <f>IFERROR(AV322/AV355*91.25,"n/a")</f>
        <v>49.1222016189244</v>
      </c>
      <c r="AW357" s="67">
        <f>IFERROR(AW322/AW355*365,"n/a")</f>
        <v>51.3379359041952</v>
      </c>
      <c r="AX357" s="67">
        <f>IFERROR(AX322/AX355*91.25,"n/a")</f>
        <v>51.9941817994481</v>
      </c>
      <c r="AY357" s="67">
        <f>IFERROR(AY322/AY355*91.25,"n/a")</f>
        <v>50.5081680287106</v>
      </c>
      <c r="AZ357" s="67">
        <f>IFERROR(AZ322/AZ355*91.25,"n/a")</f>
        <v>50.1314117110213</v>
      </c>
      <c r="BA357" s="67">
        <f>IFERROR(BA322/BA355*91.25,"n/a")</f>
        <v>46.3760214675493</v>
      </c>
      <c r="BB357" s="67">
        <f>IFERROR(BB322/BB355*365,"n/a")</f>
        <v>48.4240240184529</v>
      </c>
      <c r="BC357" s="67">
        <f>IFERROR(BC322/BC355*91.25,"n/a")</f>
        <v>50.9008380265558</v>
      </c>
      <c r="BD357" s="67">
        <f>IFERROR(BD322/BD355*91.25,"n/a")</f>
        <v>48.784952954293</v>
      </c>
      <c r="BE357" s="67">
        <f>IFERROR(BE322/BE355*91.25,"n/a")</f>
        <v>45.1845756169539</v>
      </c>
      <c r="BF357" s="67">
        <f>IFERROR(BF322/BF355*91.25,"n/a")</f>
        <v>53.0805849286845</v>
      </c>
      <c r="BG357" s="67">
        <f>IFERROR(BG322/BG355*365,"n/a")</f>
        <v>52.551714062306</v>
      </c>
      <c r="BH357" s="67">
        <f>IFERROR(BH322/BH355*91.25,"n/a")</f>
        <v>50.3480215386066</v>
      </c>
      <c r="BI357" s="67">
        <f>IFERROR(BI322/BI355*91.25,"n/a")</f>
        <v>49.0675512580558</v>
      </c>
      <c r="BJ357" s="67">
        <f>IFERROR(BJ322/BJ355*91.25,"n/a")</f>
        <v>47.4822991655165</v>
      </c>
      <c r="BK357" s="67">
        <f>IFERROR(BK322/BK355*91.25,"n/a")</f>
        <v>46.450247705746</v>
      </c>
      <c r="BL357" s="67">
        <f>IFERROR(BL322/BL355*365,"n/a")</f>
        <v>46.9203313455653</v>
      </c>
      <c r="BM357" s="67">
        <f>IFERROR(BM322/BM355*91.25,"n/a")</f>
        <v>50.6390689127668</v>
      </c>
      <c r="BN357" s="67">
        <f>IFERROR(BN322/BN355*91.25,"n/a")</f>
        <v>49.0542333091575</v>
      </c>
      <c r="BO357" s="67">
        <f>IFERROR(BO322/BO355*91.25,"n/a")</f>
        <v>47.9583350698698</v>
      </c>
      <c r="BP357" s="67">
        <f>IFERROR(BP322/BP355*91.25,"n/a")</f>
        <v>43.0325339935873</v>
      </c>
      <c r="BQ357" s="67">
        <f>IFERROR(BQ322/BQ355*365,"n/a")</f>
        <v>43.885462011091</v>
      </c>
      <c r="BR357" s="67">
        <f>IFERROR(BR322/BR355*91.25,"n/a")</f>
        <v>47.4899055444709</v>
      </c>
      <c r="BS357" s="67">
        <f>IFERROR(BS322/BS355*91.25,"n/a")</f>
        <v>46.4581892358863</v>
      </c>
      <c r="BT357" s="67">
        <f>IFERROR(BT322/BT355*91.25,"n/a")</f>
        <v>43.1249322717948</v>
      </c>
      <c r="BU357" s="67">
        <f>IFERROR(BU322/BU355*91.25,"n/a")</f>
        <v>45.5770789782287</v>
      </c>
      <c r="BV357" s="67">
        <f>IFERROR(BV322/BV355*365,"n/a")</f>
        <v>46.4584397884906</v>
      </c>
      <c r="BW357" s="67">
        <f>IFERROR(BW322/BW355*91.25,"n/a")</f>
        <v>48.6843128975936</v>
      </c>
      <c r="BX357" s="67">
        <f>IFERROR(BX322/BX355*91.25,"n/a")</f>
        <v>43.8680643751594</v>
      </c>
      <c r="BY357" s="281" t="n"/>
      <c r="BZ357" s="281" t="n"/>
      <c r="CA357" s="282" t="n">
        <v>46</v>
      </c>
      <c r="CB357" s="282" t="n">
        <v>46</v>
      </c>
      <c r="CC357" s="282" t="n">
        <v>46</v>
      </c>
      <c r="CD357" s="282" t="n">
        <v>46</v>
      </c>
      <c r="CE357" s="282" t="n">
        <v>46</v>
      </c>
      <c r="CF357" s="19" t="inlineStr">
        <is>
          <t>Forecast inputs set at FY2025 levels (DSO 46d, inventory 86d, payables 49d, accrued 2.7%).</t>
        </is>
      </c>
      <c r="CH357" s="283">
        <f>IFERROR(AVERAGE(CA357,CB357,CC357,CD357,CE357),"n/m")</f>
        <v>46</v>
      </c>
      <c r="CI357" s="283">
        <f>IFERROR(AVERAGE(AW357,BB357,BG357,BL357,BQ357,BV357),"n/m")</f>
        <v>48.2629845216835</v>
      </c>
      <c r="CJ357" s="283">
        <f>IFERROR(AVERAGE(X357,AC357,AH357,AM357,AR357,AW357,BB357,BG357,BL357,BQ357,BV357),"n/m")</f>
        <v>47.2713856767565</v>
      </c>
      <c r="CK357" s="283">
        <f>IFERROR(AVERAGE(C357,D357,E357,F357,G357,H357,I357,N357,S357,X357,AC357,AH357,AM357,AR357,AW357,BB357,BG357,BL357,BQ357,BV357),"n/m")</f>
        <v>48.8075410094425</v>
      </c>
    </row>
    <row r="358">
      <c r="B358" s="25" t="inlineStr">
        <is>
          <t xml:space="preserve">  Inventory days — inventories / COGS × 365</t>
        </is>
      </c>
      <c r="C358" s="67">
        <f>IFERROR(C323/C356*365,"n/a")</f>
        <v>90.2818605869947</v>
      </c>
      <c r="D358" s="67">
        <f>IFERROR(D323/D356*365,"n/a")</f>
        <v>76.8451517188765</v>
      </c>
      <c r="E358" s="67">
        <f>IFERROR(E323/E356*365,"n/a")</f>
        <v>71.9906877849663</v>
      </c>
      <c r="F358" s="67">
        <f>IFERROR(F323/F356*365,"n/a")</f>
        <v>73.3267466184662</v>
      </c>
      <c r="G358" s="67">
        <f>IFERROR(G323/G356*365,"n/a")</f>
        <v>70.6882450527864</v>
      </c>
      <c r="H358" s="67">
        <f>IFERROR(H323/H356*365,"n/a")</f>
        <v>69.581601861613</v>
      </c>
      <c r="I358" s="67">
        <f>IFERROR(I323/I356*365,"n/a")</f>
        <v>67.0378580477986</v>
      </c>
      <c r="J358" s="67">
        <f>IFERROR(J323/J356*91.25,"n/a")</f>
        <v>69.9693191680505</v>
      </c>
      <c r="K358" s="67">
        <f>IFERROR(K323/K356*91.25,"n/a")</f>
        <v>68.8703386820614</v>
      </c>
      <c r="L358" s="67">
        <f>IFERROR(L323/L356*91.25,"n/a")</f>
        <v>73.5009054222981</v>
      </c>
      <c r="M358" s="67">
        <f>IFERROR(M323/M356*91.25,"n/a")</f>
        <v>67.6937571013092</v>
      </c>
      <c r="N358" s="67">
        <f>IFERROR(N323/N356*365,"n/a")</f>
        <v>66.8771508316418</v>
      </c>
      <c r="O358" s="67">
        <f>IFERROR(O323/O356*91.25,"n/a")</f>
        <v>72.3183392700654</v>
      </c>
      <c r="P358" s="67">
        <f>IFERROR(P323/P356*91.25,"n/a")</f>
        <v>70.2174191450747</v>
      </c>
      <c r="Q358" s="67">
        <f>IFERROR(Q323/Q356*91.25,"n/a")</f>
        <v>64.8909800956623</v>
      </c>
      <c r="R358" s="67">
        <f>IFERROR(R323/R356*91.25,"n/a")</f>
        <v>66.6619927617037</v>
      </c>
      <c r="S358" s="67">
        <f>IFERROR(S323/S356*365,"n/a")</f>
        <v>64.7826453157599</v>
      </c>
      <c r="T358" s="67">
        <f>IFERROR(T323/T356*91.25,"n/a")</f>
        <v>69.4301730246166</v>
      </c>
      <c r="U358" s="67">
        <f>IFERROR(U323/U356*91.25,"n/a")</f>
        <v>66.87919315927</v>
      </c>
      <c r="V358" s="67">
        <f>IFERROR(V323/V356*91.25,"n/a")</f>
        <v>63.1050822144343</v>
      </c>
      <c r="W358" s="67">
        <f>IFERROR(W323/W356*91.25,"n/a")</f>
        <v>67.7015495851102</v>
      </c>
      <c r="X358" s="67">
        <f>IFERROR(X323/X356*365,"n/a")</f>
        <v>59.4309316335497</v>
      </c>
      <c r="Y358" s="67">
        <f>IFERROR(Y323/Y356*91.25,"n/a")</f>
        <v>73.8612251811294</v>
      </c>
      <c r="Z358" s="67">
        <f>IFERROR(Z323/Z356*91.25,"n/a")</f>
        <v>68.5473188083935</v>
      </c>
      <c r="AA358" s="67">
        <f>IFERROR(AA323/AA356*91.25,"n/a")</f>
        <v>70.7504166281529</v>
      </c>
      <c r="AB358" s="67">
        <f>IFERROR(AB323/AB356*91.25,"n/a")</f>
        <v>63.6125607649077</v>
      </c>
      <c r="AC358" s="67">
        <f>IFERROR(AC323/AC356*365,"n/a")</f>
        <v>62.7632032510254</v>
      </c>
      <c r="AD358" s="67">
        <f>IFERROR(AD323/AD356*91.25,"n/a")</f>
        <v>68.0670338239078</v>
      </c>
      <c r="AE358" s="67">
        <f>IFERROR(AE323/AE356*91.25,"n/a")</f>
        <v>64.5606511224565</v>
      </c>
      <c r="AF358" s="67">
        <f>IFERROR(AF323/AF356*91.25,"n/a")</f>
        <v>79.0313517417634</v>
      </c>
      <c r="AG358" s="67">
        <f>IFERROR(AG323/AG356*91.25,"n/a")</f>
        <v>62.6643157927909</v>
      </c>
      <c r="AH358" s="67">
        <f>IFERROR(AH323/AH356*365,"n/a")</f>
        <v>72.9677714357794</v>
      </c>
      <c r="AI358" s="67">
        <f>IFERROR(AI323/AI356*91.25,"n/a")</f>
        <v>69.4705542540837</v>
      </c>
      <c r="AJ358" s="67">
        <f>IFERROR(AJ323/AJ356*91.25,"n/a")</f>
        <v>64.1696333779542</v>
      </c>
      <c r="AK358" s="67">
        <f>IFERROR(AK323/AK356*91.25,"n/a")</f>
        <v>70.9315035413667</v>
      </c>
      <c r="AL358" s="67">
        <f>IFERROR(AL323/AL356*91.25,"n/a")</f>
        <v>66.8997427704203</v>
      </c>
      <c r="AM358" s="67">
        <f>IFERROR(AM323/AM356*365,"n/a")</f>
        <v>66.0287413012905</v>
      </c>
      <c r="AN358" s="67">
        <f>IFERROR(AN323/AN356*91.25,"n/a")</f>
        <v>68.4688883541387</v>
      </c>
      <c r="AO358" s="67">
        <f>IFERROR(AO323/AO356*91.25,"n/a")</f>
        <v>71.5695871053996</v>
      </c>
      <c r="AP358" s="67">
        <f>IFERROR(AP323/AP356*91.25,"n/a")</f>
        <v>76.1824982941807</v>
      </c>
      <c r="AQ358" s="67">
        <f>IFERROR(AQ323/AQ356*91.25,"n/a")</f>
        <v>72.5302045125592</v>
      </c>
      <c r="AR358" s="67">
        <f>IFERROR(AR323/AR356*365,"n/a")</f>
        <v>72.0143810270659</v>
      </c>
      <c r="AS358" s="67">
        <f>IFERROR(AS323/AS356*91.25,"n/a")</f>
        <v>78.2064867680005</v>
      </c>
      <c r="AT358" s="67">
        <f>IFERROR(AT323/AT356*91.25,"n/a")</f>
        <v>94.9277467989206</v>
      </c>
      <c r="AU358" s="67">
        <f>IFERROR(AU323/AU356*91.25,"n/a")</f>
        <v>79.7231483502793</v>
      </c>
      <c r="AV358" s="67">
        <f>IFERROR(AV323/AV356*91.25,"n/a")</f>
        <v>74.8908436302579</v>
      </c>
      <c r="AW358" s="67">
        <f>IFERROR(AW323/AW356*365,"n/a")</f>
        <v>78.0014394142795</v>
      </c>
      <c r="AX358" s="67">
        <f>IFERROR(AX323/AX356*91.25,"n/a")</f>
        <v>75.4111566922469</v>
      </c>
      <c r="AY358" s="67">
        <f>IFERROR(AY323/AY356*91.25,"n/a")</f>
        <v>78.9002095231199</v>
      </c>
      <c r="AZ358" s="67">
        <f>IFERROR(AZ323/AZ356*91.25,"n/a")</f>
        <v>88.9023063189926</v>
      </c>
      <c r="BA358" s="67">
        <f>IFERROR(BA323/BA356*91.25,"n/a")</f>
        <v>86.1933623341043</v>
      </c>
      <c r="BB358" s="67">
        <f>IFERROR(BB323/BB356*365,"n/a")</f>
        <v>91.001436108193</v>
      </c>
      <c r="BC358" s="67">
        <f>IFERROR(BC323/BC356*91.25,"n/a")</f>
        <v>91.8796051008023</v>
      </c>
      <c r="BD358" s="67">
        <f>IFERROR(BD323/BD356*91.25,"n/a")</f>
        <v>91.7212348374804</v>
      </c>
      <c r="BE358" s="67">
        <f>IFERROR(BE323/BE356*91.25,"n/a")</f>
        <v>92.2203630366201</v>
      </c>
      <c r="BF358" s="67">
        <f>IFERROR(BF323/BF356*91.25,"n/a")</f>
        <v>97.4755658560077</v>
      </c>
      <c r="BG358" s="67">
        <f>IFERROR(BG323/BG356*365,"n/a")</f>
        <v>97.9215533788009</v>
      </c>
      <c r="BH358" s="67">
        <f>IFERROR(BH323/BH356*91.25,"n/a")</f>
        <v>88.6635965502218</v>
      </c>
      <c r="BI358" s="67">
        <f>IFERROR(BI323/BI356*91.25,"n/a")</f>
        <v>89.6055699227374</v>
      </c>
      <c r="BJ358" s="67">
        <f>IFERROR(BJ323/BJ356*91.25,"n/a")</f>
        <v>83.69859448399</v>
      </c>
      <c r="BK358" s="67">
        <f>IFERROR(BK323/BK356*91.25,"n/a")</f>
        <v>74.7091423218577</v>
      </c>
      <c r="BL358" s="67">
        <f>IFERROR(BL323/BL356*365,"n/a")</f>
        <v>75.3598555640452</v>
      </c>
      <c r="BM358" s="67">
        <f>IFERROR(BM323/BM356*91.25,"n/a")</f>
        <v>84.4718957144116</v>
      </c>
      <c r="BN358" s="67">
        <f>IFERROR(BN323/BN356*91.25,"n/a")</f>
        <v>83.3619899038989</v>
      </c>
      <c r="BO358" s="67">
        <f>IFERROR(BO323/BO356*91.25,"n/a")</f>
        <v>88.4664807078256</v>
      </c>
      <c r="BP358" s="67">
        <f>IFERROR(BP323/BP356*91.25,"n/a")</f>
        <v>75.9759603096988</v>
      </c>
      <c r="BQ358" s="67">
        <f>IFERROR(BQ323/BQ356*365,"n/a")</f>
        <v>78.3093280194719</v>
      </c>
      <c r="BR358" s="67">
        <f>IFERROR(BR323/BR356*91.25,"n/a")</f>
        <v>82.0226018875012</v>
      </c>
      <c r="BS358" s="67">
        <f>IFERROR(BS323/BS356*91.25,"n/a")</f>
        <v>83.0101621077225</v>
      </c>
      <c r="BT358" s="67">
        <f>IFERROR(BT323/BT356*91.25,"n/a")</f>
        <v>91.19554192786</v>
      </c>
      <c r="BU358" s="67">
        <f>IFERROR(BU323/BU356*91.25,"n/a")</f>
        <v>82.004834208088</v>
      </c>
      <c r="BV358" s="67">
        <f>IFERROR(BV323/BV356*365,"n/a")</f>
        <v>85.6610557995162</v>
      </c>
      <c r="BW358" s="67">
        <f>IFERROR(BW323/BW356*91.25,"n/a")</f>
        <v>87.6667135076464</v>
      </c>
      <c r="BX358" s="67">
        <f>IFERROR(BX323/BX356*91.25,"n/a")</f>
        <v>81.7630036708462</v>
      </c>
      <c r="BY358" s="281" t="n"/>
      <c r="BZ358" s="281" t="n"/>
      <c r="CA358" s="282" t="n">
        <v>86</v>
      </c>
      <c r="CB358" s="282" t="n">
        <v>86</v>
      </c>
      <c r="CC358" s="282" t="n">
        <v>86</v>
      </c>
      <c r="CD358" s="282" t="n">
        <v>86</v>
      </c>
      <c r="CE358" s="282" t="n">
        <v>86</v>
      </c>
      <c r="CF358" s="19" t="n"/>
      <c r="CH358" s="283">
        <f>IFERROR(AVERAGE(CA358,CB358,CC358,CD358,CE358),"n/m")</f>
        <v>86</v>
      </c>
      <c r="CI358" s="283">
        <f>IFERROR(AVERAGE(AW358,BB358,BG358,BL358,BQ358,BV358),"n/m")</f>
        <v>84.3757780473844</v>
      </c>
      <c r="CJ358" s="283">
        <f>IFERROR(AVERAGE(X358,AC358,AH358,AM358,AR358,AW358,BB358,BG358,BL358,BQ358,BV358),"n/m")</f>
        <v>76.3145179030016</v>
      </c>
      <c r="CK358" s="283">
        <f>IFERROR(AVERAGE(C358,D358,E358,F358,G358,H358,I358,N358,S358,X358,AC358,AH358,AM358,AR358,AW358,BB358,BG358,BL358,BQ358,BV358),"n/m")</f>
        <v>74.543582237596</v>
      </c>
    </row>
    <row r="359">
      <c r="B359" s="25" t="inlineStr">
        <is>
          <t xml:space="preserve">  Payable days — payables / COGS × 365</t>
        </is>
      </c>
      <c r="C359" s="67">
        <f>IFERROR(C332/C356*365,"n/a")</f>
        <v>36.5771837609306</v>
      </c>
      <c r="D359" s="67">
        <f>IFERROR(D332/D356*365,"n/a")</f>
        <v>34.0370146545042</v>
      </c>
      <c r="E359" s="67">
        <f>IFERROR(E332/E356*365,"n/a")</f>
        <v>25.8113338412034</v>
      </c>
      <c r="F359" s="67">
        <f>IFERROR(F332/F356*365,"n/a")</f>
        <v>28.6869539055645</v>
      </c>
      <c r="G359" s="67">
        <f>IFERROR(G332/G356*365,"n/a")</f>
        <v>35.6460371506546</v>
      </c>
      <c r="H359" s="67">
        <f>IFERROR(H332/H356*365,"n/a")</f>
        <v>32.8692989122884</v>
      </c>
      <c r="I359" s="67">
        <f>IFERROR(I332/I356*365,"n/a")</f>
        <v>38.5165003868202</v>
      </c>
      <c r="J359" s="67">
        <f>IFERROR(J332/J356*91.25,"n/a")</f>
        <v>40.108373763468</v>
      </c>
      <c r="K359" s="67">
        <f>IFERROR(K332/K356*91.25,"n/a")</f>
        <v>36.6164102822043</v>
      </c>
      <c r="L359" s="67">
        <f>IFERROR(L332/L356*91.25,"n/a")</f>
        <v>35.1754602790203</v>
      </c>
      <c r="M359" s="67">
        <f>IFERROR(M332/M356*91.25,"n/a")</f>
        <v>41.1619623143061</v>
      </c>
      <c r="N359" s="67">
        <f>IFERROR(N332/N356*365,"n/a")</f>
        <v>40.6654155434219</v>
      </c>
      <c r="O359" s="67">
        <f>IFERROR(O332/O356*91.25,"n/a")</f>
        <v>39.7321794491701</v>
      </c>
      <c r="P359" s="67">
        <f>IFERROR(P332/P356*91.25,"n/a")</f>
        <v>37.5729121363933</v>
      </c>
      <c r="Q359" s="67">
        <f>IFERROR(Q332/Q356*91.25,"n/a")</f>
        <v>35.9387996448516</v>
      </c>
      <c r="R359" s="67">
        <f>IFERROR(R332/R356*91.25,"n/a")</f>
        <v>40.7987353958871</v>
      </c>
      <c r="S359" s="67">
        <f>IFERROR(S332/S356*365,"n/a")</f>
        <v>39.6485297691503</v>
      </c>
      <c r="T359" s="67">
        <f>IFERROR(T332/T356*91.25,"n/a")</f>
        <v>38.781719274988</v>
      </c>
      <c r="U359" s="67">
        <f>IFERROR(U332/U356*91.25,"n/a")</f>
        <v>35.7787458509793</v>
      </c>
      <c r="V359" s="67">
        <f>IFERROR(V332/V356*91.25,"n/a")</f>
        <v>34.1177409741145</v>
      </c>
      <c r="W359" s="67">
        <f>IFERROR(W332/W356*91.25,"n/a")</f>
        <v>37.4464918554689</v>
      </c>
      <c r="X359" s="67">
        <f>IFERROR(X332/X356*365,"n/a")</f>
        <v>32.8719196387212</v>
      </c>
      <c r="Y359" s="67">
        <f>IFERROR(Y332/Y356*91.25,"n/a")</f>
        <v>40.2704150765998</v>
      </c>
      <c r="Z359" s="67">
        <f>IFERROR(Z332/Z356*91.25,"n/a")</f>
        <v>40.5391299157105</v>
      </c>
      <c r="AA359" s="67">
        <f>IFERROR(AA332/AA356*91.25,"n/a")</f>
        <v>40.8783547741644</v>
      </c>
      <c r="AB359" s="67">
        <f>IFERROR(AB332/AB356*91.25,"n/a")</f>
        <v>44.0238890359772</v>
      </c>
      <c r="AC359" s="67">
        <f>IFERROR(AC332/AC356*365,"n/a")</f>
        <v>43.4360802684412</v>
      </c>
      <c r="AD359" s="67">
        <f>IFERROR(AD332/AD356*91.25,"n/a")</f>
        <v>45.0762284473041</v>
      </c>
      <c r="AE359" s="67">
        <f>IFERROR(AE332/AE356*91.25,"n/a")</f>
        <v>43.4122370960256</v>
      </c>
      <c r="AF359" s="67">
        <f>IFERROR(AF332/AF356*91.25,"n/a")</f>
        <v>49.1262542363465</v>
      </c>
      <c r="AG359" s="67">
        <f>IFERROR(AG332/AG356*91.25,"n/a")</f>
        <v>48.4832628875421</v>
      </c>
      <c r="AH359" s="67">
        <f>IFERROR(AH332/AH356*365,"n/a")</f>
        <v>56.4550270769248</v>
      </c>
      <c r="AI359" s="67">
        <f>IFERROR(AI332/AI356*91.25,"n/a")</f>
        <v>50.4595154666741</v>
      </c>
      <c r="AJ359" s="67">
        <f>IFERROR(AJ332/AJ356*91.25,"n/a")</f>
        <v>47.3547513540128</v>
      </c>
      <c r="AK359" s="67">
        <f>IFERROR(AK332/AK356*91.25,"n/a")</f>
        <v>46.3785148502617</v>
      </c>
      <c r="AL359" s="67">
        <f>IFERROR(AL332/AL356*91.25,"n/a")</f>
        <v>49.6623291890227</v>
      </c>
      <c r="AM359" s="67">
        <f>IFERROR(AM332/AM356*365,"n/a")</f>
        <v>49.0157502951024</v>
      </c>
      <c r="AN359" s="67">
        <f>IFERROR(AN332/AN356*91.25,"n/a")</f>
        <v>46.0739126874926</v>
      </c>
      <c r="AO359" s="67">
        <f>IFERROR(AO332/AO356*91.25,"n/a")</f>
        <v>45.8500089721115</v>
      </c>
      <c r="AP359" s="67">
        <f>IFERROR(AP332/AP356*91.25,"n/a")</f>
        <v>45.1841599449264</v>
      </c>
      <c r="AQ359" s="67">
        <f>IFERROR(AQ332/AQ356*91.25,"n/a")</f>
        <v>50.2882323017201</v>
      </c>
      <c r="AR359" s="67">
        <f>IFERROR(AR332/AR356*365,"n/a")</f>
        <v>49.9305902484611</v>
      </c>
      <c r="AS359" s="67">
        <f>IFERROR(AS332/AS356*91.25,"n/a")</f>
        <v>48.7671197131722</v>
      </c>
      <c r="AT359" s="67">
        <f>IFERROR(AT332/AT356*91.25,"n/a")</f>
        <v>51.5646201933978</v>
      </c>
      <c r="AU359" s="67">
        <f>IFERROR(AU332/AU356*91.25,"n/a")</f>
        <v>45.5733890333208</v>
      </c>
      <c r="AV359" s="67">
        <f>IFERROR(AV332/AV356*91.25,"n/a")</f>
        <v>50.390413096827</v>
      </c>
      <c r="AW359" s="67">
        <f>IFERROR(AW332/AW356*365,"n/a")</f>
        <v>52.4833819957748</v>
      </c>
      <c r="AX359" s="67">
        <f>IFERROR(AX332/AX356*91.25,"n/a")</f>
        <v>53.3193129115715</v>
      </c>
      <c r="AY359" s="67">
        <f>IFERROR(AY332/AY356*91.25,"n/a")</f>
        <v>52.4877657504367</v>
      </c>
      <c r="AZ359" s="67">
        <f>IFERROR(AZ332/AZ356*91.25,"n/a")</f>
        <v>52.4161731211521</v>
      </c>
      <c r="BA359" s="67">
        <f>IFERROR(BA332/BA356*91.25,"n/a")</f>
        <v>52.7183411652327</v>
      </c>
      <c r="BB359" s="67">
        <f>IFERROR(BB332/BB356*365,"n/a")</f>
        <v>55.6590974683398</v>
      </c>
      <c r="BC359" s="67">
        <f>IFERROR(BC332/BC356*91.25,"n/a")</f>
        <v>56.5901626065395</v>
      </c>
      <c r="BD359" s="67">
        <f>IFERROR(BD332/BD356*91.25,"n/a")</f>
        <v>52.2869838926723</v>
      </c>
      <c r="BE359" s="67">
        <f>IFERROR(BE332/BE356*91.25,"n/a")</f>
        <v>48.1083652165019</v>
      </c>
      <c r="BF359" s="67">
        <f>IFERROR(BF332/BF356*91.25,"n/a")</f>
        <v>51.5726924311743</v>
      </c>
      <c r="BG359" s="67">
        <f>IFERROR(BG332/BG356*365,"n/a")</f>
        <v>51.8086569740745</v>
      </c>
      <c r="BH359" s="67">
        <f>IFERROR(BH332/BH356*91.25,"n/a")</f>
        <v>48.1921925302565</v>
      </c>
      <c r="BI359" s="67">
        <f>IFERROR(BI332/BI356*91.25,"n/a")</f>
        <v>47.5627131125234</v>
      </c>
      <c r="BJ359" s="67">
        <f>IFERROR(BJ332/BJ356*91.25,"n/a")</f>
        <v>44.8961853489598</v>
      </c>
      <c r="BK359" s="67">
        <f>IFERROR(BK332/BK356*91.25,"n/a")</f>
        <v>43.1951052679044</v>
      </c>
      <c r="BL359" s="67">
        <f>IFERROR(BL332/BL356*365,"n/a")</f>
        <v>43.5713326762505</v>
      </c>
      <c r="BM359" s="67">
        <f>IFERROR(BM332/BM356*91.25,"n/a")</f>
        <v>48.8114639734464</v>
      </c>
      <c r="BN359" s="67">
        <f>IFERROR(BN332/BN356*91.25,"n/a")</f>
        <v>50.2756929311615</v>
      </c>
      <c r="BO359" s="67">
        <f>IFERROR(BO332/BO356*91.25,"n/a")</f>
        <v>46.7435936809877</v>
      </c>
      <c r="BP359" s="67">
        <f>IFERROR(BP332/BP356*91.25,"n/a")</f>
        <v>41.4194440235748</v>
      </c>
      <c r="BQ359" s="67">
        <f>IFERROR(BQ332/BQ356*365,"n/a")</f>
        <v>42.691514726563</v>
      </c>
      <c r="BR359" s="67">
        <f>IFERROR(BR332/BR356*91.25,"n/a")</f>
        <v>52.1654830657026</v>
      </c>
      <c r="BS359" s="67">
        <f>IFERROR(BS332/BS356*91.25,"n/a")</f>
        <v>50.202687717932</v>
      </c>
      <c r="BT359" s="67">
        <f>IFERROR(BT332/BT356*91.25,"n/a")</f>
        <v>54.1485710267355</v>
      </c>
      <c r="BU359" s="67">
        <f>IFERROR(BU332/BU356*91.25,"n/a")</f>
        <v>47.2498471130257</v>
      </c>
      <c r="BV359" s="67">
        <f>IFERROR(BV332/BV356*365,"n/a")</f>
        <v>49.3565023227412</v>
      </c>
      <c r="BW359" s="67">
        <f>IFERROR(BW332/BW356*91.25,"n/a")</f>
        <v>56.6142589941603</v>
      </c>
      <c r="BX359" s="67">
        <f>IFERROR(BX332/BX356*91.25,"n/a")</f>
        <v>52.9782983441616</v>
      </c>
      <c r="BY359" s="281" t="n"/>
      <c r="BZ359" s="281" t="n"/>
      <c r="CA359" s="282" t="n">
        <v>49</v>
      </c>
      <c r="CB359" s="282" t="n">
        <v>49</v>
      </c>
      <c r="CC359" s="282" t="n">
        <v>49</v>
      </c>
      <c r="CD359" s="282" t="n">
        <v>49</v>
      </c>
      <c r="CE359" s="282" t="n">
        <v>49</v>
      </c>
      <c r="CF359" s="19" t="n"/>
      <c r="CH359" s="283">
        <f>IFERROR(AVERAGE(CA359,CB359,CC359,CD359,CE359),"n/m")</f>
        <v>49</v>
      </c>
      <c r="CI359" s="283">
        <f>IFERROR(AVERAGE(AW359,BB359,BG359,BL359,BQ359,BV359),"n/m")</f>
        <v>49.2617476939573</v>
      </c>
      <c r="CJ359" s="283">
        <f>IFERROR(AVERAGE(X359,AC359,AH359,AM359,AR359,AW359,BB359,BG359,BL359,BQ359,BV359),"n/m")</f>
        <v>47.9345321537631</v>
      </c>
      <c r="CK359" s="283">
        <f>IFERROR(AVERAGE(C359,D359,E359,F359,G359,H359,I359,N359,S359,X359,AC359,AH359,AM359,AR359,AW359,BB359,BG359,BL359,BQ359,BV359),"n/m")</f>
        <v>41.9869060807966</v>
      </c>
    </row>
    <row r="360">
      <c r="B360" s="25" t="inlineStr">
        <is>
          <t xml:space="preserve">  Accrued employee compensation % of net sales (annualised)</t>
        </is>
      </c>
      <c r="C360" s="36">
        <f>IFERROR(C333/(C355*1),"n/a")</f>
        <v>0.0228503764107479</v>
      </c>
      <c r="D360" s="36">
        <f>IFERROR(D333/(D355*1),"n/a")</f>
        <v>0.0212584795403686</v>
      </c>
      <c r="E360" s="36">
        <f>IFERROR(E333/(E355*1),"n/a")</f>
        <v>0.0191216196320404</v>
      </c>
      <c r="F360" s="36">
        <f>IFERROR(F333/(F355*1),"n/a")</f>
        <v>0.0210988934733141</v>
      </c>
      <c r="G360" s="36">
        <f>IFERROR(G333/(G355*1),"n/a")</f>
        <v>0.0236579376013201</v>
      </c>
      <c r="H360" s="36">
        <f>IFERROR(H333/(H355*1),"n/a")</f>
        <v>0.0206597691910032</v>
      </c>
      <c r="I360" s="36">
        <f>IFERROR(I333/(I355*1),"n/a")</f>
        <v>0.02407611779347</v>
      </c>
      <c r="J360" s="36" t="n"/>
      <c r="K360" s="36" t="n"/>
      <c r="L360" s="36" t="n"/>
      <c r="M360" s="36">
        <f>IFERROR(M333/(M355*4),"n/a")</f>
        <v>0.0238751607113128</v>
      </c>
      <c r="N360" s="36">
        <f>IFERROR(N333/(N355*1),"n/a")</f>
        <v>0.0239295032620306</v>
      </c>
      <c r="O360" s="36" t="n"/>
      <c r="P360" s="36" t="n"/>
      <c r="Q360" s="36" t="n"/>
      <c r="R360" s="36">
        <f>IFERROR(R333/(R355*4),"n/a")</f>
        <v>0.023655830655278</v>
      </c>
      <c r="S360" s="36">
        <f>IFERROR(S333/(S355*1),"n/a")</f>
        <v>0.0230041047529542</v>
      </c>
      <c r="T360" s="36" t="n"/>
      <c r="U360" s="36" t="n"/>
      <c r="V360" s="36" t="n"/>
      <c r="W360" s="36">
        <f>IFERROR(W333/(W355*4),"n/a")</f>
        <v>0.0288612375326813</v>
      </c>
      <c r="X360" s="36">
        <f>IFERROR(X333/(X355*1),"n/a")</f>
        <v>0.0258582036137836</v>
      </c>
      <c r="Y360" s="36" t="n"/>
      <c r="Z360" s="36" t="n"/>
      <c r="AA360" s="36" t="n"/>
      <c r="AB360" s="36">
        <f>IFERROR(AB333/(AB355*4),"n/a")</f>
        <v>0.0298987457167789</v>
      </c>
      <c r="AC360" s="36">
        <f>IFERROR(AC333/(AC355*1),"n/a")</f>
        <v>0.0296450298819932</v>
      </c>
      <c r="AD360" s="36" t="n"/>
      <c r="AE360" s="36" t="n"/>
      <c r="AF360" s="36" t="n"/>
      <c r="AG360" s="36">
        <f>IFERROR(AG333/(AG355*4),"n/a")</f>
        <v>0.0307494127960278</v>
      </c>
      <c r="AH360" s="36">
        <f>IFERROR(AH333/(AH355*1),"n/a")</f>
        <v>0.0350178762558437</v>
      </c>
      <c r="AI360" s="36" t="n"/>
      <c r="AJ360" s="36" t="n"/>
      <c r="AK360" s="36">
        <f>IFERROR(AK333/(AK355*4),"n/a")</f>
        <v>0.0470160724678775</v>
      </c>
      <c r="AL360" s="36">
        <f>IFERROR(AL333/(AL355*4),"n/a")</f>
        <v>0.0316612599435084</v>
      </c>
      <c r="AM360" s="36">
        <f>IFERROR(AM333/(AM355*1),"n/a")</f>
        <v>0.0311033805553189</v>
      </c>
      <c r="AN360" s="36">
        <f>IFERROR(AN333/(AN355*4),"n/a")</f>
        <v>0.0286910510633926</v>
      </c>
      <c r="AO360" s="36">
        <f>IFERROR(AO333/(AO355*4),"n/a")</f>
        <v>0.0372875826246319</v>
      </c>
      <c r="AP360" s="36">
        <f>IFERROR(AP333/(AP355*4),"n/a")</f>
        <v>0.0456226403734077</v>
      </c>
      <c r="AQ360" s="36">
        <f>IFERROR(AQ333/(AQ355*4),"n/a")</f>
        <v>0.0281923844266047</v>
      </c>
      <c r="AR360" s="36">
        <f>IFERROR(AR333/(AR355*1),"n/a")</f>
        <v>0.0276475124464251</v>
      </c>
      <c r="AS360" s="36">
        <f>IFERROR(AS333/(AS355*4),"n/a")</f>
        <v>0.029427015446067</v>
      </c>
      <c r="AT360" s="36">
        <f>IFERROR(AT333/(AT355*4),"n/a")</f>
        <v>0.0421273278519519</v>
      </c>
      <c r="AU360" s="36">
        <f>IFERROR(AU333/(AU355*4),"n/a")</f>
        <v>0.0455857333365227</v>
      </c>
      <c r="AV360" s="36">
        <f>IFERROR(AV333/(AV355*4),"n/a")</f>
        <v>0.0354705431295168</v>
      </c>
      <c r="AW360" s="36">
        <f>IFERROR(AW333/(AW355*1),"n/a")</f>
        <v>0.0370704978534307</v>
      </c>
      <c r="AX360" s="36">
        <f>IFERROR(AX333/(AX355*4),"n/a")</f>
        <v>0.0306362042796699</v>
      </c>
      <c r="AY360" s="36">
        <f>IFERROR(AY333/(AY355*4),"n/a")</f>
        <v>0.0376929629477261</v>
      </c>
      <c r="AZ360" s="36">
        <f>IFERROR(AZ333/(AZ355*4),"n/a")</f>
        <v>0.0483995367373713</v>
      </c>
      <c r="BA360" s="36">
        <f>IFERROR(BA333/(BA355*4),"n/a")</f>
        <v>0.0321474300889191</v>
      </c>
      <c r="BB360" s="36">
        <f>IFERROR(BB333/(BB355*1),"n/a")</f>
        <v>0.0335670865567161</v>
      </c>
      <c r="BC360" s="36">
        <f>IFERROR(BC333/(BC355*4),"n/a")</f>
        <v>0.0296604995634547</v>
      </c>
      <c r="BD360" s="36">
        <f>IFERROR(BD333/(BD355*4),"n/a")</f>
        <v>0.0371943679229034</v>
      </c>
      <c r="BE360" s="36">
        <f>IFERROR(BE333/(BE355*4),"n/a")</f>
        <v>0.04908846926992</v>
      </c>
      <c r="BF360" s="36">
        <f>IFERROR(BF333/(BF355*4),"n/a")</f>
        <v>0.0293707717195848</v>
      </c>
      <c r="BG360" s="36">
        <f>IFERROR(BG333/(BG355*1),"n/a")</f>
        <v>0.0290781346752416</v>
      </c>
      <c r="BH360" s="36">
        <f>IFERROR(BH333/(BH355*4),"n/a")</f>
        <v>0.0263447678004278</v>
      </c>
      <c r="BI360" s="36">
        <f>IFERROR(BI333/(BI355*4),"n/a")</f>
        <v>0.0375208025910717</v>
      </c>
      <c r="BJ360" s="36">
        <f>IFERROR(BJ333/(BJ355*4),"n/a")</f>
        <v>0.0501144970935353</v>
      </c>
      <c r="BK360" s="36">
        <f>IFERROR(BK333/(BK355*4),"n/a")</f>
        <v>0.026540272495215</v>
      </c>
      <c r="BL360" s="36">
        <f>IFERROR(BL333/(BL355*1),"n/a")</f>
        <v>0.0268088641284692</v>
      </c>
      <c r="BM360" s="36">
        <f>IFERROR(BM333/(BM355*4),"n/a")</f>
        <v>0.0292423437902888</v>
      </c>
      <c r="BN360" s="36">
        <f>IFERROR(BN333/(BN355*4),"n/a")</f>
        <v>0.0389712366751722</v>
      </c>
      <c r="BO360" s="36">
        <f>IFERROR(BO333/(BO355*4),"n/a")</f>
        <v>0.049410983787696</v>
      </c>
      <c r="BP360" s="36">
        <f>IFERROR(BP333/(BP355*4),"n/a")</f>
        <v>0.0255310259669227</v>
      </c>
      <c r="BQ360" s="36">
        <f>IFERROR(BQ333/(BQ355*1),"n/a")</f>
        <v>0.0260370646623444</v>
      </c>
      <c r="BR360" s="36">
        <f>IFERROR(BR333/(BR355*4),"n/a")</f>
        <v>0.0283174928414119</v>
      </c>
      <c r="BS360" s="36">
        <f>IFERROR(BS333/(BS355*4),"n/a")</f>
        <v>0.0384575992974934</v>
      </c>
      <c r="BT360" s="36">
        <f>IFERROR(BT333/(BT355*4),"n/a")</f>
        <v>0.0500896603648418</v>
      </c>
      <c r="BU360" s="36">
        <f>IFERROR(BU333/(BU355*4),"n/a")</f>
        <v>0.0269204562836338</v>
      </c>
      <c r="BV360" s="36">
        <f>IFERROR(BV333/(BV355*1),"n/a")</f>
        <v>0.0274410389031144</v>
      </c>
      <c r="BW360" s="36">
        <f>IFERROR(BW333/(BW355*4),"n/a")</f>
        <v>0.0247141160335784</v>
      </c>
      <c r="BX360" s="36">
        <f>IFERROR(BX333/(BX355*4),"n/a")</f>
        <v>0.0320742287008789</v>
      </c>
      <c r="BY360" s="254" t="n"/>
      <c r="BZ360" s="254" t="n"/>
      <c r="CA360" s="255" t="n">
        <v>0.027</v>
      </c>
      <c r="CB360" s="255" t="n">
        <v>0.027</v>
      </c>
      <c r="CC360" s="255" t="n">
        <v>0.027</v>
      </c>
      <c r="CD360" s="255" t="n">
        <v>0.027</v>
      </c>
      <c r="CE360" s="255" t="n">
        <v>0.027</v>
      </c>
      <c r="CF360" s="19" t="n"/>
    </row>
    <row r="361">
      <c r="B361" s="16" t="inlineStr">
        <is>
          <t xml:space="preserve">  Operating NWC (receivables + inventories − payables − accrued compensation)</t>
        </is>
      </c>
      <c r="C361" s="43">
        <f>IF(ISNUMBER(C322),C322+C323-C332-N(C333),"n/a")</f>
        <v>462.814</v>
      </c>
      <c r="D361" s="43">
        <f>IF(ISNUMBER(D322),D322+D323-D332-N(D333),"n/a")</f>
        <v>487.12</v>
      </c>
      <c r="E361" s="43">
        <f>IF(ISNUMBER(E322),E322+E323-E332-N(E333),"n/a")</f>
        <v>474.31</v>
      </c>
      <c r="F361" s="43">
        <f>IF(ISNUMBER(F322),F322+F323-F332-N(F333),"n/a")</f>
        <v>392.905</v>
      </c>
      <c r="G361" s="43">
        <f>IF(ISNUMBER(G322),G322+G323-G332-N(G333),"n/a")</f>
        <v>417.591</v>
      </c>
      <c r="H361" s="43">
        <f>IF(ISNUMBER(H322),H322+H323-H332-N(H333),"n/a")</f>
        <v>527.453</v>
      </c>
      <c r="I361" s="43">
        <f>IF(ISNUMBER(I322),I322+I323-I332-N(I333),"n/a")</f>
        <v>447.207</v>
      </c>
      <c r="J361" s="43">
        <f>IF(ISNUMBER(J322),J322+J323-J332-N(J333),"n/a")</f>
        <v>584.771</v>
      </c>
      <c r="K361" s="43">
        <f>IF(ISNUMBER(K322),K322+K323-K332-N(K333),"n/a")</f>
        <v>568.555</v>
      </c>
      <c r="L361" s="43">
        <f>IF(ISNUMBER(L322),L322+L323-L332-N(L333),"n/a")</f>
        <v>568.081</v>
      </c>
      <c r="M361" s="43">
        <f>IF(ISNUMBER(M322),M322+M323-M332-N(M333),"n/a")</f>
        <v>436.035</v>
      </c>
      <c r="N361" s="43">
        <f>IF(ISNUMBER(N322),N322+N323-N332-N(N333),"n/a")</f>
        <v>436.035</v>
      </c>
      <c r="O361" s="43">
        <f>IF(ISNUMBER(O322),O322+O323-O332-N(O333),"n/a")</f>
        <v>569.49</v>
      </c>
      <c r="P361" s="43">
        <f>IF(ISNUMBER(P322),P322+P323-P332-N(P333),"n/a")</f>
        <v>578.321</v>
      </c>
      <c r="Q361" s="43">
        <f>IF(ISNUMBER(Q322),Q322+Q323-Q332-N(Q333),"n/a")</f>
        <v>504.822</v>
      </c>
      <c r="R361" s="43">
        <f>IF(ISNUMBER(R322),R322+R323-R332-N(R333),"n/a")</f>
        <v>385.502</v>
      </c>
      <c r="S361" s="43">
        <f>IF(ISNUMBER(S322),S322+S323-S332-N(S333),"n/a")</f>
        <v>385.502</v>
      </c>
      <c r="T361" s="43">
        <f>IF(ISNUMBER(T322),T322+T323-T332-N(T333),"n/a")</f>
        <v>481.876</v>
      </c>
      <c r="U361" s="43">
        <f>IF(ISNUMBER(U322),U322+U323-U332-N(U333),"n/a")</f>
        <v>478.832</v>
      </c>
      <c r="V361" s="43">
        <f>IF(ISNUMBER(V322),V322+V323-V332-N(V333),"n/a")</f>
        <v>452.591</v>
      </c>
      <c r="W361" s="43">
        <f>IF(ISNUMBER(W322),W322+W323-W332-N(W333),"n/a")</f>
        <v>322.454</v>
      </c>
      <c r="X361" s="43">
        <f>IF(ISNUMBER(X322),X322+X323-X332-N(X333),"n/a")</f>
        <v>322.454</v>
      </c>
      <c r="Y361" s="43">
        <f>IF(ISNUMBER(Y322),Y322+Y323-Y332-N(Y333),"n/a")</f>
        <v>419.239</v>
      </c>
      <c r="Z361" s="43">
        <f>IF(ISNUMBER(Z322),Z322+Z323-Z332-N(Z333),"n/a")</f>
        <v>411.195</v>
      </c>
      <c r="AA361" s="43">
        <f>IF(ISNUMBER(AA322),AA322+AA323-AA332-N(AA333),"n/a")</f>
        <v>401.455</v>
      </c>
      <c r="AB361" s="43">
        <f>IF(ISNUMBER(AB322),AB322+AB323-AB332-N(AB333),"n/a")</f>
        <v>285.211</v>
      </c>
      <c r="AC361" s="43">
        <f>IF(ISNUMBER(AC322),AC322+AC323-AC332-N(AC333),"n/a")</f>
        <v>285.211</v>
      </c>
      <c r="AD361" s="43">
        <f>IF(ISNUMBER(AD322),AD322+AD323-AD332-N(AD333),"n/a")</f>
        <v>397.596</v>
      </c>
      <c r="AE361" s="43">
        <f>IF(ISNUMBER(AE322),AE322+AE323-AE332-N(AE333),"n/a")</f>
        <v>418.062</v>
      </c>
      <c r="AF361" s="43">
        <f>IF(ISNUMBER(AF322),AF322+AF323-AF332-N(AF333),"n/a")</f>
        <v>548.7</v>
      </c>
      <c r="AG361" s="43">
        <f>IF(ISNUMBER(AG322),AG322+AG323-AG332-N(AG333),"n/a")</f>
        <v>382.281</v>
      </c>
      <c r="AH361" s="43">
        <f>IF(ISNUMBER(AH322),AH322+AH323-AH332-N(AH333),"n/a")</f>
        <v>382.281</v>
      </c>
      <c r="AI361" s="43">
        <f>IF(ISNUMBER(AI322),AI322+AI323-AI332-N(AI333),"n/a")</f>
        <v>547.148</v>
      </c>
      <c r="AJ361" s="43">
        <f>IF(ISNUMBER(AJ322),AJ322+AJ323-AJ332-N(AJ333),"n/a")</f>
        <v>521.616</v>
      </c>
      <c r="AK361" s="43">
        <f>IF(ISNUMBER(AK322),AK322+AK323-AK332-N(AK333),"n/a")</f>
        <v>401.62</v>
      </c>
      <c r="AL361" s="43">
        <f>IF(ISNUMBER(AL322),AL322+AL323-AL332-N(AL333),"n/a")</f>
        <v>395.912</v>
      </c>
      <c r="AM361" s="43">
        <f>IF(ISNUMBER(AM322),AM322+AM323-AM332-N(AM333),"n/a")</f>
        <v>395.912</v>
      </c>
      <c r="AN361" s="43">
        <f>IF(ISNUMBER(AN322),AN322+AN323-AN332-N(AN333),"n/a")</f>
        <v>458.958</v>
      </c>
      <c r="AO361" s="43">
        <f>IF(ISNUMBER(AO322),AO322+AO323-AO332-N(AO333),"n/a")</f>
        <v>455.4</v>
      </c>
      <c r="AP361" s="43">
        <f>IF(ISNUMBER(AP322),AP322+AP323-AP332-N(AP333),"n/a")</f>
        <v>429.277</v>
      </c>
      <c r="AQ361" s="43">
        <f>IF(ISNUMBER(AQ322),AQ322+AQ323-AQ332-N(AQ333),"n/a")</f>
        <v>412.362</v>
      </c>
      <c r="AR361" s="43">
        <f>IF(ISNUMBER(AR322),AR322+AR323-AR332-N(AR333),"n/a")</f>
        <v>412.362</v>
      </c>
      <c r="AS361" s="43">
        <f>IF(ISNUMBER(AS322),AS322+AS323-AS332-N(AS333),"n/a")</f>
        <v>452.956</v>
      </c>
      <c r="AT361" s="43">
        <f>IF(ISNUMBER(AT322),AT322+AT323-AT332-N(AT333),"n/a")</f>
        <v>430.285</v>
      </c>
      <c r="AU361" s="43">
        <f>IF(ISNUMBER(AU322),AU322+AU323-AU332-N(AU333),"n/a")</f>
        <v>420.797</v>
      </c>
      <c r="AV361" s="43">
        <f>IF(ISNUMBER(AV322),AV322+AV323-AV332-N(AV333),"n/a")</f>
        <v>399.778</v>
      </c>
      <c r="AW361" s="43">
        <f>IF(ISNUMBER(AW322),AW322+AW323-AW332-N(AW333),"n/a")</f>
        <v>399.778</v>
      </c>
      <c r="AX361" s="43">
        <f>IF(ISNUMBER(AX322),AX322+AX323-AX332-N(AX333),"n/a")</f>
        <v>460.42</v>
      </c>
      <c r="AY361" s="43">
        <f>IF(ISNUMBER(AY322),AY322+AY323-AY332-N(AY333),"n/a")</f>
        <v>492.754</v>
      </c>
      <c r="AZ361" s="43">
        <f>IF(ISNUMBER(AZ322),AZ322+AZ323-AZ332-N(AZ333),"n/a")</f>
        <v>502.157</v>
      </c>
      <c r="BA361" s="43">
        <f>IF(ISNUMBER(BA322),BA322+BA323-BA332-N(BA333),"n/a")</f>
        <v>530.201</v>
      </c>
      <c r="BB361" s="43">
        <f>IF(ISNUMBER(BB322),BB322+BB323-BB332-N(BB333),"n/a")</f>
        <v>530.201</v>
      </c>
      <c r="BC361" s="43">
        <f>IF(ISNUMBER(BC322),BC322+BC323-BC332-N(BC333),"n/a")</f>
        <v>636.8</v>
      </c>
      <c r="BD361" s="43">
        <f>IF(ISNUMBER(BD322),BD322+BD323-BD332-N(BD333),"n/a")</f>
        <v>649.016</v>
      </c>
      <c r="BE361" s="43">
        <f>IF(ISNUMBER(BE322),BE322+BE323-BE332-N(BE333),"n/a")</f>
        <v>581.954</v>
      </c>
      <c r="BF361" s="43">
        <f>IF(ISNUMBER(BF322),BF322+BF323-BF332-N(BF333),"n/a")</f>
        <v>745.532</v>
      </c>
      <c r="BG361" s="43">
        <f>IF(ISNUMBER(BG322),BG322+BG323-BG332-N(BG333),"n/a")</f>
        <v>745.532</v>
      </c>
      <c r="BH361" s="43">
        <f>IF(ISNUMBER(BH322),BH322+BH323-BH332-N(BH333),"n/a")</f>
        <v>767.305</v>
      </c>
      <c r="BI361" s="43">
        <f>IF(ISNUMBER(BI322),BI322+BI323-BI332-N(BI333),"n/a")</f>
        <v>727.715</v>
      </c>
      <c r="BJ361" s="43">
        <f>IF(ISNUMBER(BJ322),BJ322+BJ323-BJ332-N(BJ333),"n/a")</f>
        <v>614.399</v>
      </c>
      <c r="BK361" s="43">
        <f>IF(ISNUMBER(BK322),BK322+BK323-BK332-N(BK333),"n/a")</f>
        <v>663.886</v>
      </c>
      <c r="BL361" s="43">
        <f>IF(ISNUMBER(BL322),BL322+BL323-BL332-N(BL333),"n/a")</f>
        <v>663.886</v>
      </c>
      <c r="BM361" s="43">
        <f>IF(ISNUMBER(BM322),BM322+BM323-BM332-N(BM333),"n/a")</f>
        <v>669.225</v>
      </c>
      <c r="BN361" s="43">
        <f>IF(ISNUMBER(BN322),BN322+BN323-BN332-N(BN333),"n/a")</f>
        <v>621.257</v>
      </c>
      <c r="BO361" s="43">
        <f>IF(ISNUMBER(BO322),BO322+BO323-BO332-N(BO333),"n/a")</f>
        <v>611.429</v>
      </c>
      <c r="BP361" s="43">
        <f>IF(ISNUMBER(BP322),BP322+BP323-BP332-N(BP333),"n/a")</f>
        <v>625.052</v>
      </c>
      <c r="BQ361" s="43">
        <f>IF(ISNUMBER(BQ322),BQ322+BQ323-BQ332-N(BQ333),"n/a")</f>
        <v>625.052</v>
      </c>
      <c r="BR361" s="43">
        <f>IF(ISNUMBER(BR322),BR322+BR323-BR332-N(BR333),"n/a")</f>
        <v>618.016</v>
      </c>
      <c r="BS361" s="43">
        <f>IF(ISNUMBER(BS322),BS322+BS323-BS332-N(BS333),"n/a")</f>
        <v>632.413</v>
      </c>
      <c r="BT361" s="43">
        <f>IF(ISNUMBER(BT322),BT322+BT323-BT332-N(BT333),"n/a")</f>
        <v>561.706</v>
      </c>
      <c r="BU361" s="43">
        <f>IF(ISNUMBER(BU322),BU322+BU323-BU332-N(BU333),"n/a")</f>
        <v>691.063</v>
      </c>
      <c r="BV361" s="43">
        <f>IF(ISNUMBER(BV322),BV322+BV323-BV332-N(BV333),"n/a")</f>
        <v>691.063</v>
      </c>
      <c r="BW361" s="43">
        <f>IF(ISNUMBER(BW322),BW322+BW323-BW332-N(BW333),"n/a")</f>
        <v>733.254</v>
      </c>
      <c r="BX361" s="43">
        <f>IF(ISNUMBER(BX322),BX322+BX323-BX332-N(BX333),"n/a")</f>
        <v>672.975</v>
      </c>
      <c r="BY361" s="253" t="n"/>
      <c r="BZ361" s="253" t="n"/>
      <c r="CA361" s="253">
        <f>CA322+CA323-CA332-N(CA333)</f>
        <v>773.578919896097</v>
      </c>
      <c r="CB361" s="253">
        <f>CB322+CB323-CB332-N(CB333)</f>
        <v>818.905340091904</v>
      </c>
      <c r="CC361" s="253">
        <f>CC322+CC323-CC332-N(CC333)</f>
        <v>877.334191399608</v>
      </c>
      <c r="CD361" s="253">
        <f>CD322+CD323-CD332-N(CD333)</f>
        <v>938.238810124062</v>
      </c>
      <c r="CE361" s="253">
        <f>CE322+CE323-CE332-N(CE333)</f>
        <v>1001.93923024264</v>
      </c>
      <c r="CF361" s="19" t="n"/>
    </row>
    <row r="362">
      <c r="B362" s="25" t="inlineStr">
        <is>
          <t xml:space="preserve">  NWC % of net sales (annualised)</t>
        </is>
      </c>
      <c r="C362" s="36">
        <f>IFERROR(C361/(C355*1),"n/a")</f>
        <v>0.234702814269378</v>
      </c>
      <c r="D362" s="36">
        <f>IFERROR(D361/(D355*1),"n/a")</f>
        <v>0.213575682747687</v>
      </c>
      <c r="E362" s="36">
        <f>IFERROR(E361/(E355*1),"n/a")</f>
        <v>0.191321071778781</v>
      </c>
      <c r="F362" s="36">
        <f>IFERROR(F361/(F355*1),"n/a")</f>
        <v>0.227206620077084</v>
      </c>
      <c r="G362" s="36">
        <f>IFERROR(G361/(G355*1),"n/a")</f>
        <v>0.201718021497731</v>
      </c>
      <c r="H362" s="36">
        <f>IFERROR(H361/(H355*1),"n/a")</f>
        <v>0.195743798079796</v>
      </c>
      <c r="I362" s="36">
        <f>IFERROR(I361/(I355*1),"n/a")</f>
        <v>0.156729575971125</v>
      </c>
      <c r="J362" s="36">
        <f>IFERROR(J361/(J355*4),"n/a")</f>
        <v>0.203448710151926</v>
      </c>
      <c r="K362" s="36">
        <f>IFERROR(K361/(K355*4),"n/a")</f>
        <v>0.195397989090389</v>
      </c>
      <c r="L362" s="36">
        <f>IFERROR(L361/(L355*4),"n/a")</f>
        <v>0.205268654019874</v>
      </c>
      <c r="M362" s="36">
        <f>IFERROR(M361/(M355*4),"n/a")</f>
        <v>0.152504368409787</v>
      </c>
      <c r="N362" s="36">
        <f>IFERROR(N361/(N355*1),"n/a")</f>
        <v>0.152851485502534</v>
      </c>
      <c r="O362" s="36">
        <f>IFERROR(O361/(O355*4),"n/a")</f>
        <v>0.207824255322876</v>
      </c>
      <c r="P362" s="36">
        <f>IFERROR(P361/(P355*4),"n/a")</f>
        <v>0.198454492670868</v>
      </c>
      <c r="Q362" s="36">
        <f>IFERROR(Q361/(Q355*4),"n/a")</f>
        <v>0.176319579980916</v>
      </c>
      <c r="R362" s="36">
        <f>IFERROR(R361/(R355*4),"n/a")</f>
        <v>0.140909330159631</v>
      </c>
      <c r="S362" s="36">
        <f>IFERROR(S361/(S355*1),"n/a")</f>
        <v>0.137027231843897</v>
      </c>
      <c r="T362" s="36">
        <f>IFERROR(T361/(T355*4),"n/a")</f>
        <v>0.183111415108679</v>
      </c>
      <c r="U362" s="36">
        <f>IFERROR(U361/(U355*4),"n/a")</f>
        <v>0.180082438246532</v>
      </c>
      <c r="V362" s="36">
        <f>IFERROR(V361/(V355*4),"n/a")</f>
        <v>0.175377732242555</v>
      </c>
      <c r="W362" s="36">
        <f>IFERROR(W361/(W355*4),"n/a")</f>
        <v>0.141928924179336</v>
      </c>
      <c r="X362" s="36">
        <f>IFERROR(X361/(X355*1),"n/a")</f>
        <v>0.127161110675131</v>
      </c>
      <c r="Y362" s="36">
        <f>IFERROR(Y361/(Y355*4),"n/a")</f>
        <v>0.190313352290266</v>
      </c>
      <c r="Z362" s="36">
        <f>IFERROR(Z361/(Z355*4),"n/a")</f>
        <v>0.17352401513796</v>
      </c>
      <c r="AA362" s="36">
        <f>IFERROR(AA361/(AA355*4),"n/a")</f>
        <v>0.176806936012938</v>
      </c>
      <c r="AB362" s="36">
        <f>IFERROR(AB361/(AB355*4),"n/a")</f>
        <v>0.126461881992381</v>
      </c>
      <c r="AC362" s="36">
        <f>IFERROR(AC361/(AC355*1),"n/a")</f>
        <v>0.12538874727756</v>
      </c>
      <c r="AD362" s="36">
        <f>IFERROR(AD361/(AD355*4),"n/a")</f>
        <v>0.171112951177231</v>
      </c>
      <c r="AE362" s="36">
        <f>IFERROR(AE361/(AE355*4),"n/a")</f>
        <v>0.166729147590044</v>
      </c>
      <c r="AF362" s="36">
        <f>IFERROR(AF361/(AF355*4),"n/a")</f>
        <v>0.204894464600719</v>
      </c>
      <c r="AG362" s="36">
        <f>IFERROR(AG361/(AG355*4),"n/a")</f>
        <v>0.127907077899048</v>
      </c>
      <c r="AH362" s="36">
        <f>IFERROR(AH361/(AH355*1),"n/a")</f>
        <v>0.145662431208898</v>
      </c>
      <c r="AI362" s="36">
        <f>IFERROR(AI361/(AI355*4),"n/a")</f>
        <v>0.180530186248839</v>
      </c>
      <c r="AJ362" s="36">
        <f>IFERROR(AJ361/(AJ355*4),"n/a")</f>
        <v>0.165057489886742</v>
      </c>
      <c r="AK362" s="36">
        <f>IFERROR(AK361/(AK355*4),"n/a")</f>
        <v>0.136216437683405</v>
      </c>
      <c r="AL362" s="36">
        <f>IFERROR(AL361/(AL355*4),"n/a")</f>
        <v>0.133065887632474</v>
      </c>
      <c r="AM362" s="36">
        <f>IFERROR(AM361/(AM355*1),"n/a")</f>
        <v>0.130721233120501</v>
      </c>
      <c r="AN362" s="36">
        <f>IFERROR(AN361/(AN355*4),"n/a")</f>
        <v>0.151137288684807</v>
      </c>
      <c r="AO362" s="36">
        <f>IFERROR(AO361/(AO355*4),"n/a")</f>
        <v>0.146523587916727</v>
      </c>
      <c r="AP362" s="36">
        <f>IFERROR(AP361/(AP355*4),"n/a")</f>
        <v>0.146855153992362</v>
      </c>
      <c r="AQ362" s="36">
        <f>IFERROR(AQ361/(AQ355*4),"n/a")</f>
        <v>0.140010213131207</v>
      </c>
      <c r="AR362" s="36">
        <f>IFERROR(AR361/(AR355*1),"n/a")</f>
        <v>0.137304246834786</v>
      </c>
      <c r="AS362" s="36">
        <f>IFERROR(AS361/(AS355*4),"n/a")</f>
        <v>0.161311184901231</v>
      </c>
      <c r="AT362" s="36">
        <f>IFERROR(AT361/(AT355*4),"n/a")</f>
        <v>0.182099768590229</v>
      </c>
      <c r="AU362" s="36">
        <f>IFERROR(AU361/(AU355*4),"n/a")</f>
        <v>0.157274835248951</v>
      </c>
      <c r="AV362" s="36">
        <f>IFERROR(AV361/(AV355*4),"n/a")</f>
        <v>0.144055007682396</v>
      </c>
      <c r="AW362" s="36">
        <f>IFERROR(AW361/(AW355*1),"n/a")</f>
        <v>0.150552835730963</v>
      </c>
      <c r="AX362" s="36">
        <f>IFERROR(AX361/(AX355*4),"n/a")</f>
        <v>0.152049943132357</v>
      </c>
      <c r="AY362" s="36">
        <f>IFERROR(AY361/(AY355*4),"n/a")</f>
        <v>0.149056692810489</v>
      </c>
      <c r="AZ362" s="36">
        <f>IFERROR(AZ361/(AZ355*4),"n/a")</f>
        <v>0.155668209222101</v>
      </c>
      <c r="BA362" s="36">
        <f>IFERROR(BA361/(BA355*4),"n/a")</f>
        <v>0.157003367481946</v>
      </c>
      <c r="BB362" s="36">
        <f>IFERROR(BB361/(BB355*1),"n/a")</f>
        <v>0.163936762950732</v>
      </c>
      <c r="BC362" s="36">
        <f>IFERROR(BC361/(BC355*4),"n/a")</f>
        <v>0.172024792316802</v>
      </c>
      <c r="BD362" s="36">
        <f>IFERROR(BD361/(BD355*4),"n/a")</f>
        <v>0.167343070104962</v>
      </c>
      <c r="BE362" s="36">
        <f>IFERROR(BE361/(BE355*4),"n/a")</f>
        <v>0.155562743253069</v>
      </c>
      <c r="BF362" s="36">
        <f>IFERROR(BF361/(BF355*4),"n/a")</f>
        <v>0.200210756079378</v>
      </c>
      <c r="BG362" s="36">
        <f>IFERROR(BG361/(BG355*1),"n/a")</f>
        <v>0.198215946938366</v>
      </c>
      <c r="BH362" s="36">
        <f>IFERROR(BH361/(BH355*4),"n/a")</f>
        <v>0.184564912641929</v>
      </c>
      <c r="BI362" s="36">
        <f>IFERROR(BI361/(BI355*4),"n/a")</f>
        <v>0.171539462456332</v>
      </c>
      <c r="BJ362" s="36">
        <f>IFERROR(BJ361/(BJ355*4),"n/a")</f>
        <v>0.148662087428161</v>
      </c>
      <c r="BK362" s="36">
        <f>IFERROR(BK361/(BK355*4),"n/a")</f>
        <v>0.156796698012497</v>
      </c>
      <c r="BL362" s="36">
        <f>IFERROR(BL361/(BL355*1),"n/a")</f>
        <v>0.158383504674547</v>
      </c>
      <c r="BM362" s="36">
        <f>IFERROR(BM361/(BM355*4),"n/a")</f>
        <v>0.170512394554814</v>
      </c>
      <c r="BN362" s="36">
        <f>IFERROR(BN361/(BN355*4),"n/a")</f>
        <v>0.152018042778435</v>
      </c>
      <c r="BO362" s="36">
        <f>IFERROR(BO361/(BO355*4),"n/a")</f>
        <v>0.155380789400656</v>
      </c>
      <c r="BP362" s="36">
        <f>IFERROR(BP361/(BP355*4),"n/a")</f>
        <v>0.152894579518625</v>
      </c>
      <c r="BQ362" s="36">
        <f>IFERROR(BQ361/(BQ355*1),"n/a")</f>
        <v>0.155925032492073</v>
      </c>
      <c r="BR362" s="36">
        <f>IFERROR(BR361/(BR355*4),"n/a")</f>
        <v>0.153828998355217</v>
      </c>
      <c r="BS362" s="36">
        <f>IFERROR(BS361/(BS355*4),"n/a")</f>
        <v>0.145225655453933</v>
      </c>
      <c r="BT362" s="36">
        <f>IFERROR(BT361/(BT355*4),"n/a")</f>
        <v>0.132324658155135</v>
      </c>
      <c r="BU362" s="36">
        <f>IFERROR(BU361/(BU355*4),"n/a")</f>
        <v>0.160158846405214</v>
      </c>
      <c r="BV362" s="36">
        <f>IFERROR(BV361/(BV355*1),"n/a")</f>
        <v>0.163255967453838</v>
      </c>
      <c r="BW362" s="36">
        <f>IFERROR(BW361/(BW355*4),"n/a")</f>
        <v>0.163463476227758</v>
      </c>
      <c r="BX362" s="36">
        <f>IFERROR(BX361/(BX355*4),"n/a")</f>
        <v>0.137942816991251</v>
      </c>
      <c r="BY362" s="254" t="n"/>
      <c r="BZ362" s="254" t="n"/>
      <c r="CA362" s="254">
        <f>IFERROR(CA361/CA355,"n/a")</f>
        <v>0.163900841381412</v>
      </c>
      <c r="CB362" s="254">
        <f>IFERROR(CB361/CB355,"n/a")</f>
        <v>0.162825318702088</v>
      </c>
      <c r="CC362" s="254">
        <f>IFERROR(CC361/CC355,"n/a")</f>
        <v>0.162317968534218</v>
      </c>
      <c r="CD362" s="254">
        <f>IFERROR(CD361/CD355,"n/a")</f>
        <v>0.161900203036532</v>
      </c>
      <c r="CE362" s="254">
        <f>IFERROR(CE361/CE355,"n/a")</f>
        <v>0.161517363360547</v>
      </c>
      <c r="CF362" s="19" t="n"/>
      <c r="CH362" s="20">
        <f>IFERROR(AVERAGE(CA362,CB362,CC362,CD362,CE362),"n/m")</f>
        <v>0.162492339002959</v>
      </c>
      <c r="CI362" s="20">
        <f>IFERROR(AVERAGE(AW362,BB362,BG362,BL362,BQ362,BV362),"n/m")</f>
        <v>0.16504500837342</v>
      </c>
      <c r="CJ362" s="20">
        <f>IFERROR(AVERAGE(X362,AC362,AH362,AM362,AR362,AW362,BB362,BG362,BL362,BQ362,BV362),"n/m")</f>
        <v>0.150591619941582</v>
      </c>
      <c r="CK362" s="20">
        <f>IFERROR(AVERAGE(C362,D362,E362,F362,G362,H362,I362,N362,S362,X362,AC362,AH362,AM362,AR362,AW362,BB362,BG362,BL362,BQ362,BV362),"n/m")</f>
        <v>0.16836920605627</v>
      </c>
    </row>
    <row r="363">
      <c r="B363" s="25" t="inlineStr">
        <is>
          <t xml:space="preserve">  ΔNWC (y/y)</t>
        </is>
      </c>
      <c r="C363" s="34" t="n"/>
      <c r="D363" s="44">
        <f>IFERROR(D361-C361,"")</f>
        <v>24.306</v>
      </c>
      <c r="E363" s="44">
        <f>IFERROR(E361-D361,"")</f>
        <v>-12.8099999999999</v>
      </c>
      <c r="F363" s="44">
        <f>IFERROR(F361-E361,"")</f>
        <v>-81.4050000000001</v>
      </c>
      <c r="G363" s="44">
        <f>IFERROR(G361-F361,"")</f>
        <v>24.686</v>
      </c>
      <c r="H363" s="44">
        <f>IFERROR(H361-G361,"")</f>
        <v>109.862</v>
      </c>
      <c r="I363" s="44">
        <f>IFERROR(I361-H361,"")</f>
        <v>-80.246</v>
      </c>
      <c r="J363" s="34" t="n"/>
      <c r="K363" s="34" t="n"/>
      <c r="L363" s="34" t="n"/>
      <c r="M363" s="34" t="n"/>
      <c r="N363" s="44">
        <f>IFERROR(N361-I361,"")</f>
        <v>-11.172</v>
      </c>
      <c r="O363" s="44">
        <f>IFERROR(O361-J361,"")</f>
        <v>-15.2810000000001</v>
      </c>
      <c r="P363" s="44">
        <f>IFERROR(P361-K361,"")</f>
        <v>9.76600000000019</v>
      </c>
      <c r="Q363" s="44">
        <f>IFERROR(Q361-L361,"")</f>
        <v>-63.259</v>
      </c>
      <c r="R363" s="44">
        <f>IFERROR(R361-M361,"")</f>
        <v>-50.533</v>
      </c>
      <c r="S363" s="44">
        <f>IFERROR(S361-N361,"")</f>
        <v>-50.533</v>
      </c>
      <c r="T363" s="44">
        <f>IFERROR(T361-O361,"")</f>
        <v>-87.614</v>
      </c>
      <c r="U363" s="44">
        <f>IFERROR(U361-P361,"")</f>
        <v>-99.489</v>
      </c>
      <c r="V363" s="44">
        <f>IFERROR(V361-Q361,"")</f>
        <v>-52.2309999999999</v>
      </c>
      <c r="W363" s="44">
        <f>IFERROR(W361-R361,"")</f>
        <v>-63.0480000000001</v>
      </c>
      <c r="X363" s="44">
        <f>IFERROR(X361-S361,"")</f>
        <v>-63.0480000000001</v>
      </c>
      <c r="Y363" s="44">
        <f>IFERROR(Y361-T361,"")</f>
        <v>-62.6370000000001</v>
      </c>
      <c r="Z363" s="44">
        <f>IFERROR(Z361-U361,"")</f>
        <v>-67.6370000000001</v>
      </c>
      <c r="AA363" s="44">
        <f>IFERROR(AA361-V361,"")</f>
        <v>-51.136</v>
      </c>
      <c r="AB363" s="44">
        <f>IFERROR(AB361-W361,"")</f>
        <v>-37.2429999999999</v>
      </c>
      <c r="AC363" s="44">
        <f>IFERROR(AC361-X361,"")</f>
        <v>-37.2429999999999</v>
      </c>
      <c r="AD363" s="44">
        <f>IFERROR(AD361-Y361,"")</f>
        <v>-21.643</v>
      </c>
      <c r="AE363" s="44">
        <f>IFERROR(AE361-Z361,"")</f>
        <v>6.86699999999996</v>
      </c>
      <c r="AF363" s="44">
        <f>IFERROR(AF361-AA361,"")</f>
        <v>147.245</v>
      </c>
      <c r="AG363" s="44">
        <f>IFERROR(AG361-AB361,"")</f>
        <v>97.0699999999999</v>
      </c>
      <c r="AH363" s="44">
        <f>IFERROR(AH361-AC361,"")</f>
        <v>97.0699999999999</v>
      </c>
      <c r="AI363" s="44">
        <f>IFERROR(AI361-AD361,"")</f>
        <v>149.552</v>
      </c>
      <c r="AJ363" s="44">
        <f>IFERROR(AJ361-AE361,"")</f>
        <v>103.554</v>
      </c>
      <c r="AK363" s="44">
        <f>IFERROR(AK361-AF361,"")</f>
        <v>-147.08</v>
      </c>
      <c r="AL363" s="44">
        <f>IFERROR(AL361-AG361,"")</f>
        <v>13.631</v>
      </c>
      <c r="AM363" s="44">
        <f>IFERROR(AM361-AH361,"")</f>
        <v>13.631</v>
      </c>
      <c r="AN363" s="44">
        <f>IFERROR(AN361-AI361,"")</f>
        <v>-88.1899999999999</v>
      </c>
      <c r="AO363" s="44">
        <f>IFERROR(AO361-AJ361,"")</f>
        <v>-66.216</v>
      </c>
      <c r="AP363" s="44">
        <f>IFERROR(AP361-AK361,"")</f>
        <v>27.6570000000001</v>
      </c>
      <c r="AQ363" s="44">
        <f>IFERROR(AQ361-AL361,"")</f>
        <v>16.45</v>
      </c>
      <c r="AR363" s="44">
        <f>IFERROR(AR361-AM361,"")</f>
        <v>16.45</v>
      </c>
      <c r="AS363" s="44">
        <f>IFERROR(AS361-AN361,"")</f>
        <v>-6.00199999999995</v>
      </c>
      <c r="AT363" s="44">
        <f>IFERROR(AT361-AO361,"")</f>
        <v>-25.1150000000001</v>
      </c>
      <c r="AU363" s="44">
        <f>IFERROR(AU361-AP361,"")</f>
        <v>-8.48000000000002</v>
      </c>
      <c r="AV363" s="44">
        <f>IFERROR(AV361-AQ361,"")</f>
        <v>-12.5839999999999</v>
      </c>
      <c r="AW363" s="44">
        <f>IFERROR(AW361-AR361,"")</f>
        <v>-12.5839999999999</v>
      </c>
      <c r="AX363" s="44">
        <f>IFERROR(AX361-AS361,"")</f>
        <v>7.46399999999994</v>
      </c>
      <c r="AY363" s="44">
        <f>IFERROR(AY361-AT361,"")</f>
        <v>62.4690000000002</v>
      </c>
      <c r="AZ363" s="44">
        <f>IFERROR(AZ361-AU361,"")</f>
        <v>81.36</v>
      </c>
      <c r="BA363" s="44">
        <f>IFERROR(BA361-AV361,"")</f>
        <v>130.423</v>
      </c>
      <c r="BB363" s="44">
        <f>IFERROR(BB361-AW361,"")</f>
        <v>130.423</v>
      </c>
      <c r="BC363" s="44">
        <f>IFERROR(BC361-AX361,"")</f>
        <v>176.38</v>
      </c>
      <c r="BD363" s="44">
        <f>IFERROR(BD361-AY361,"")</f>
        <v>156.262</v>
      </c>
      <c r="BE363" s="44">
        <f>IFERROR(BE361-AZ361,"")</f>
        <v>79.797</v>
      </c>
      <c r="BF363" s="44">
        <f>IFERROR(BF361-BA361,"")</f>
        <v>215.331</v>
      </c>
      <c r="BG363" s="44">
        <f>IFERROR(BG361-BB361,"")</f>
        <v>215.331</v>
      </c>
      <c r="BH363" s="44">
        <f>IFERROR(BH361-BC361,"")</f>
        <v>130.505</v>
      </c>
      <c r="BI363" s="44">
        <f>IFERROR(BI361-BD361,"")</f>
        <v>78.6989999999998</v>
      </c>
      <c r="BJ363" s="44">
        <f>IFERROR(BJ361-BE361,"")</f>
        <v>32.4449999999999</v>
      </c>
      <c r="BK363" s="44">
        <f>IFERROR(BK361-BF361,"")</f>
        <v>-81.6460000000001</v>
      </c>
      <c r="BL363" s="44">
        <f>IFERROR(BL361-BG361,"")</f>
        <v>-81.6460000000001</v>
      </c>
      <c r="BM363" s="44">
        <f>IFERROR(BM361-BH361,"")</f>
        <v>-98.0799999999999</v>
      </c>
      <c r="BN363" s="44">
        <f>IFERROR(BN361-BI361,"")</f>
        <v>-106.458</v>
      </c>
      <c r="BO363" s="44">
        <f>IFERROR(BO361-BJ361,"")</f>
        <v>-2.9699999999998</v>
      </c>
      <c r="BP363" s="44">
        <f>IFERROR(BP361-BK361,"")</f>
        <v>-38.8339999999998</v>
      </c>
      <c r="BQ363" s="44">
        <f>IFERROR(BQ361-BL361,"")</f>
        <v>-38.8339999999998</v>
      </c>
      <c r="BR363" s="44">
        <f>IFERROR(BR361-BM361,"")</f>
        <v>-51.2090000000003</v>
      </c>
      <c r="BS363" s="44">
        <f>IFERROR(BS361-BN361,"")</f>
        <v>11.1559999999998</v>
      </c>
      <c r="BT363" s="44">
        <f>IFERROR(BT361-BO361,"")</f>
        <v>-49.7230000000002</v>
      </c>
      <c r="BU363" s="44">
        <f>IFERROR(BU361-BP361,"")</f>
        <v>66.0110000000001</v>
      </c>
      <c r="BV363" s="44">
        <f>IFERROR(BV361-BQ361,"")</f>
        <v>66.0110000000001</v>
      </c>
      <c r="BW363" s="44">
        <f>IFERROR(BW361-BR361,"")</f>
        <v>115.238</v>
      </c>
      <c r="BX363" s="44">
        <f>IFERROR(BX361-BS361,"")</f>
        <v>40.562</v>
      </c>
      <c r="BY363" s="257" t="n"/>
      <c r="BZ363" s="257" t="n"/>
      <c r="CA363" s="257">
        <f>IFERROR(CA361-BV361,"")</f>
        <v>82.5159198960967</v>
      </c>
      <c r="CB363" s="257">
        <f>IFERROR(CB361-CA361,"")</f>
        <v>45.3264201958074</v>
      </c>
      <c r="CC363" s="257">
        <f>IFERROR(CC361-CB361,"")</f>
        <v>58.4288513077034</v>
      </c>
      <c r="CD363" s="257">
        <f>IFERROR(CD361-CC361,"")</f>
        <v>60.9046187244545</v>
      </c>
      <c r="CE363" s="257">
        <f>IFERROR(CE361-CD361,"")</f>
        <v>63.7004201185742</v>
      </c>
      <c r="CF363" s="19" t="n"/>
    </row>
    <row r="364">
      <c r="CF364" s="19" t="n"/>
    </row>
    <row r="365">
      <c r="B365" s="10" t="inlineStr">
        <is>
          <t>BALANCE SHEET FORECAST SCHEDULES</t>
        </is>
      </c>
      <c r="C365" s="10" t="n"/>
      <c r="D365" s="10" t="n"/>
      <c r="E365" s="10" t="n"/>
      <c r="F365" s="10" t="n"/>
      <c r="G365" s="10" t="n"/>
      <c r="H365" s="10" t="n"/>
      <c r="I365" s="10" t="n"/>
      <c r="J365" s="10" t="n"/>
      <c r="K365" s="10" t="n"/>
      <c r="L365" s="10" t="n"/>
      <c r="M365" s="10" t="n"/>
      <c r="N365" s="10" t="n"/>
      <c r="O365" s="10" t="n"/>
      <c r="P365" s="10" t="n"/>
      <c r="Q365" s="10" t="n"/>
      <c r="R365" s="10" t="n"/>
      <c r="S365" s="10" t="n"/>
      <c r="T365" s="10" t="n"/>
      <c r="U365" s="10" t="n"/>
      <c r="V365" s="10" t="n"/>
      <c r="W365" s="10" t="n"/>
      <c r="X365" s="10" t="n"/>
      <c r="Y365" s="10" t="n"/>
      <c r="Z365" s="10" t="n"/>
      <c r="AA365" s="10" t="n"/>
      <c r="AB365" s="10" t="n"/>
      <c r="AC365" s="10" t="n"/>
      <c r="AD365" s="10" t="n"/>
      <c r="AE365" s="10" t="n"/>
      <c r="AF365" s="10" t="n"/>
      <c r="AG365" s="10" t="n"/>
      <c r="AH365" s="10" t="n"/>
      <c r="AI365" s="10" t="n"/>
      <c r="AJ365" s="10" t="n"/>
      <c r="AK365" s="10" t="n"/>
      <c r="AL365" s="10" t="n"/>
      <c r="AM365" s="10" t="n"/>
      <c r="AN365" s="10" t="n"/>
      <c r="AO365" s="10" t="n"/>
      <c r="AP365" s="10" t="n"/>
      <c r="AQ365" s="10" t="n"/>
      <c r="AR365" s="10" t="n"/>
      <c r="AS365" s="10" t="n"/>
      <c r="AT365" s="10" t="n"/>
      <c r="AU365" s="10" t="n"/>
      <c r="AV365" s="10" t="n"/>
      <c r="AW365" s="10" t="n"/>
      <c r="AX365" s="10" t="n"/>
      <c r="AY365" s="10" t="n"/>
      <c r="AZ365" s="10" t="n"/>
      <c r="BA365" s="10" t="n"/>
      <c r="BB365" s="10" t="n"/>
      <c r="BC365" s="10" t="n"/>
      <c r="BD365" s="10" t="n"/>
      <c r="BE365" s="10" t="n"/>
      <c r="BF365" s="10" t="n"/>
      <c r="BG365" s="10" t="n"/>
      <c r="BH365" s="10" t="n"/>
      <c r="BI365" s="10" t="n"/>
      <c r="BJ365" s="10" t="n"/>
      <c r="BK365" s="10" t="n"/>
      <c r="BL365" s="10" t="n"/>
      <c r="BM365" s="10" t="n"/>
      <c r="BN365" s="10" t="n"/>
      <c r="BO365" s="10" t="n"/>
      <c r="BP365" s="10" t="n"/>
      <c r="BQ365" s="10" t="n"/>
      <c r="BR365" s="10" t="n"/>
      <c r="BS365" s="10" t="n"/>
      <c r="BT365" s="10" t="n"/>
      <c r="BU365" s="10" t="n"/>
      <c r="BV365" s="10" t="n"/>
      <c r="BW365" s="10" t="n"/>
      <c r="BX365" s="10" t="n"/>
      <c r="BY365" s="10" t="n"/>
      <c r="BZ365" s="10" t="n"/>
      <c r="CA365" s="10" t="n"/>
      <c r="CB365" s="10" t="n"/>
      <c r="CC365" s="10" t="n"/>
      <c r="CD365" s="10" t="n"/>
      <c r="CE365" s="10" t="n"/>
      <c r="CF365" s="10" t="inlineStr">
        <is>
          <t>BS FORECAST SCHEDULES — explicit driver assumptions</t>
        </is>
      </c>
    </row>
    <row r="366">
      <c r="B366" s="14" t="inlineStr">
        <is>
          <t>Asset roll-forwards &amp; non-cash items</t>
        </is>
      </c>
      <c r="C366" s="14" t="n"/>
      <c r="D366" s="14" t="n"/>
      <c r="E366" s="14" t="n"/>
      <c r="F366" s="14" t="n"/>
      <c r="G366" s="14" t="n"/>
      <c r="H366" s="14" t="n"/>
      <c r="I366" s="14" t="n"/>
      <c r="J366" s="14" t="n"/>
      <c r="K366" s="14" t="n"/>
      <c r="L366" s="14" t="n"/>
      <c r="M366" s="14" t="n"/>
      <c r="N366" s="14" t="n"/>
      <c r="O366" s="14" t="n"/>
      <c r="P366" s="14" t="n"/>
      <c r="Q366" s="14" t="n"/>
      <c r="R366" s="14" t="n"/>
      <c r="S366" s="14" t="n"/>
      <c r="T366" s="14" t="n"/>
      <c r="U366" s="14" t="n"/>
      <c r="V366" s="14" t="n"/>
      <c r="W366" s="14" t="n"/>
      <c r="X366" s="14" t="n"/>
      <c r="Y366" s="14" t="n"/>
      <c r="Z366" s="14" t="n"/>
      <c r="AA366" s="14" t="n"/>
      <c r="AB366" s="14" t="n"/>
      <c r="AC366" s="14" t="n"/>
      <c r="AD366" s="14" t="n"/>
      <c r="AE366" s="14" t="n"/>
      <c r="AF366" s="14" t="n"/>
      <c r="AG366" s="14" t="n"/>
      <c r="AH366" s="14" t="n"/>
      <c r="AI366" s="14" t="n"/>
      <c r="AJ366" s="14" t="n"/>
      <c r="AK366" s="14" t="n"/>
      <c r="AL366" s="14" t="n"/>
      <c r="AM366" s="14" t="n"/>
      <c r="AN366" s="14" t="n"/>
      <c r="AO366" s="14" t="n"/>
      <c r="AP366" s="14" t="n"/>
      <c r="AQ366" s="14" t="n"/>
      <c r="AR366" s="14" t="n"/>
      <c r="AS366" s="14" t="n"/>
      <c r="AT366" s="14" t="n"/>
      <c r="AU366" s="14" t="n"/>
      <c r="AV366" s="14" t="n"/>
      <c r="AW366" s="14" t="n"/>
      <c r="AX366" s="14" t="n"/>
      <c r="AY366" s="14" t="n"/>
      <c r="AZ366" s="14" t="n"/>
      <c r="BA366" s="14" t="n"/>
      <c r="BB366" s="14" t="n"/>
      <c r="BC366" s="14" t="n"/>
      <c r="BD366" s="14" t="n"/>
      <c r="BE366" s="14" t="n"/>
      <c r="BF366" s="14" t="n"/>
      <c r="BG366" s="14" t="n"/>
      <c r="BH366" s="14" t="n"/>
      <c r="BI366" s="14" t="n"/>
      <c r="BJ366" s="14" t="n"/>
      <c r="BK366" s="14" t="n"/>
      <c r="BL366" s="14" t="n"/>
      <c r="BM366" s="14" t="n"/>
      <c r="BN366" s="14" t="n"/>
      <c r="BO366" s="14" t="n"/>
      <c r="BP366" s="14" t="n"/>
      <c r="BQ366" s="14" t="n"/>
      <c r="BR366" s="14" t="n"/>
      <c r="BS366" s="14" t="n"/>
      <c r="BT366" s="14" t="n"/>
      <c r="BU366" s="14" t="n"/>
      <c r="BV366" s="14" t="n"/>
      <c r="BW366" s="14" t="n"/>
      <c r="BX366" s="14" t="n"/>
      <c r="BY366" s="14" t="n"/>
      <c r="BZ366" s="14" t="n"/>
      <c r="CA366" s="14" t="n"/>
      <c r="CB366" s="14" t="n"/>
      <c r="CC366" s="14" t="n"/>
      <c r="CD366" s="14" t="n"/>
      <c r="CE366" s="14" t="n"/>
      <c r="CF366" s="15" t="n"/>
    </row>
    <row r="367">
      <c r="B367" s="25" t="inlineStr">
        <is>
          <t xml:space="preserve">  Amortization of acquired intangibles — legacy (USDm)</t>
        </is>
      </c>
      <c r="C367" s="45" t="n"/>
      <c r="D367" s="45" t="n"/>
      <c r="E367" s="45" t="n"/>
      <c r="F367" s="45" t="n"/>
      <c r="G367" s="45" t="n"/>
      <c r="H367" s="45" t="n"/>
      <c r="I367" s="45" t="n"/>
      <c r="J367" s="45" t="n"/>
      <c r="K367" s="45" t="n"/>
      <c r="L367" s="45" t="n"/>
      <c r="M367" s="45" t="n"/>
      <c r="N367" s="45" t="n"/>
      <c r="O367" s="45" t="n"/>
      <c r="P367" s="45" t="n"/>
      <c r="Q367" s="45" t="n"/>
      <c r="R367" s="45" t="n"/>
      <c r="S367" s="45" t="n"/>
      <c r="T367" s="45" t="n"/>
      <c r="U367" s="45" t="n"/>
      <c r="V367" s="45" t="n"/>
      <c r="W367" s="45" t="n"/>
      <c r="X367" s="45" t="n"/>
      <c r="Y367" s="45" t="n"/>
      <c r="Z367" s="45" t="n"/>
      <c r="AA367" s="45" t="n"/>
      <c r="AB367" s="45" t="n"/>
      <c r="AC367" s="45" t="n"/>
      <c r="AD367" s="45" t="n"/>
      <c r="AE367" s="45" t="n"/>
      <c r="AF367" s="45" t="n"/>
      <c r="AG367" s="45" t="n"/>
      <c r="AH367" s="45" t="n"/>
      <c r="AI367" s="45" t="n"/>
      <c r="AJ367" s="45" t="n"/>
      <c r="AK367" s="45" t="n"/>
      <c r="AL367" s="45" t="n"/>
      <c r="AM367" s="45" t="n"/>
      <c r="AN367" s="45" t="n"/>
      <c r="AO367" s="45" t="n"/>
      <c r="AP367" s="45" t="n"/>
      <c r="AQ367" s="45" t="n"/>
      <c r="AR367" s="45" t="n"/>
      <c r="AS367" s="45" t="n"/>
      <c r="AT367" s="45" t="n"/>
      <c r="AU367" s="45" t="n"/>
      <c r="AV367" s="45" t="n"/>
      <c r="AW367" s="45" t="n"/>
      <c r="AX367" s="45" t="n"/>
      <c r="AY367" s="45" t="n"/>
      <c r="AZ367" s="45" t="n"/>
      <c r="BA367" s="45" t="n"/>
      <c r="BB367" s="45" t="n"/>
      <c r="BC367" s="45" t="n"/>
      <c r="BD367" s="45" t="n"/>
      <c r="BE367" s="45" t="n"/>
      <c r="BF367" s="45" t="n"/>
      <c r="BG367" s="45" t="n"/>
      <c r="BH367" s="45" t="n"/>
      <c r="BI367" s="45" t="n"/>
      <c r="BJ367" s="45" t="n"/>
      <c r="BK367" s="45" t="n"/>
      <c r="BL367" s="45" t="n"/>
      <c r="BM367" s="45" t="n"/>
      <c r="BN367" s="45" t="n"/>
      <c r="BO367" s="45" t="n"/>
      <c r="BP367" s="45" t="n"/>
      <c r="BQ367" s="45" t="n"/>
      <c r="BR367" s="45" t="n"/>
      <c r="BS367" s="45" t="n"/>
      <c r="BT367" s="45" t="n"/>
      <c r="BU367" s="45" t="n"/>
      <c r="BV367" s="45" t="n"/>
      <c r="BW367" s="45" t="n"/>
      <c r="BX367" s="45" t="n"/>
      <c r="BY367" s="266" t="n"/>
      <c r="BZ367" s="266" t="n"/>
      <c r="CA367" s="267" t="n">
        <v>33.7</v>
      </c>
      <c r="CB367" s="267" t="n">
        <v>31.5</v>
      </c>
      <c r="CC367" s="267" t="n">
        <v>30.1</v>
      </c>
      <c r="CD367" s="267" t="n">
        <v>26</v>
      </c>
      <c r="CE367" s="267" t="n">
        <v>22</v>
      </c>
      <c r="CF367" s="19" t="inlineStr">
        <is>
          <t>FY2025 10-K expected amortization: $33.7m (2026), $31.5m (2027), $30.1m (2028), $26.0m (2029), $22.0m (2030).</t>
        </is>
      </c>
    </row>
    <row r="368">
      <c r="B368" s="25" t="inlineStr">
        <is>
          <t xml:space="preserve">  Dilutive securities (m shares)</t>
        </is>
      </c>
      <c r="C368" s="45" t="n"/>
      <c r="D368" s="45" t="n"/>
      <c r="E368" s="45" t="n"/>
      <c r="F368" s="45" t="n"/>
      <c r="G368" s="45" t="n"/>
      <c r="H368" s="45" t="n"/>
      <c r="I368" s="45" t="n"/>
      <c r="J368" s="45" t="n"/>
      <c r="K368" s="45" t="n"/>
      <c r="L368" s="45" t="n"/>
      <c r="M368" s="45" t="n"/>
      <c r="N368" s="45" t="n"/>
      <c r="O368" s="45" t="n"/>
      <c r="P368" s="45" t="n"/>
      <c r="Q368" s="45" t="n"/>
      <c r="R368" s="45" t="n"/>
      <c r="S368" s="45" t="n"/>
      <c r="T368" s="45" t="n"/>
      <c r="U368" s="45" t="n"/>
      <c r="V368" s="45" t="n"/>
      <c r="W368" s="45" t="n"/>
      <c r="X368" s="45" t="n"/>
      <c r="Y368" s="45" t="n"/>
      <c r="Z368" s="45" t="n"/>
      <c r="AA368" s="45" t="n"/>
      <c r="AB368" s="45" t="n"/>
      <c r="AC368" s="45" t="n"/>
      <c r="AD368" s="45" t="n"/>
      <c r="AE368" s="45" t="n"/>
      <c r="AF368" s="45" t="n"/>
      <c r="AG368" s="45" t="n"/>
      <c r="AH368" s="45" t="n"/>
      <c r="AI368" s="45" t="n"/>
      <c r="AJ368" s="45" t="n"/>
      <c r="AK368" s="45" t="n"/>
      <c r="AL368" s="45" t="n"/>
      <c r="AM368" s="45" t="n"/>
      <c r="AN368" s="45" t="n"/>
      <c r="AO368" s="45" t="n"/>
      <c r="AP368" s="45" t="n"/>
      <c r="AQ368" s="45" t="n"/>
      <c r="AR368" s="45" t="n"/>
      <c r="AS368" s="45" t="n"/>
      <c r="AT368" s="45" t="n"/>
      <c r="AU368" s="45" t="n"/>
      <c r="AV368" s="45" t="n"/>
      <c r="AW368" s="45" t="n"/>
      <c r="AX368" s="45" t="n"/>
      <c r="AY368" s="45" t="n"/>
      <c r="AZ368" s="45" t="n"/>
      <c r="BA368" s="45" t="n"/>
      <c r="BB368" s="45" t="n"/>
      <c r="BC368" s="45" t="n"/>
      <c r="BD368" s="45" t="n"/>
      <c r="BE368" s="45" t="n"/>
      <c r="BF368" s="45" t="n"/>
      <c r="BG368" s="45" t="n"/>
      <c r="BH368" s="45" t="n"/>
      <c r="BI368" s="45" t="n"/>
      <c r="BJ368" s="45" t="n"/>
      <c r="BK368" s="45" t="n"/>
      <c r="BL368" s="45" t="n"/>
      <c r="BM368" s="45" t="n"/>
      <c r="BN368" s="45" t="n"/>
      <c r="BO368" s="45" t="n"/>
      <c r="BP368" s="45" t="n"/>
      <c r="BQ368" s="45" t="n"/>
      <c r="BR368" s="45" t="n"/>
      <c r="BS368" s="45" t="n"/>
      <c r="BT368" s="45" t="n"/>
      <c r="BU368" s="45" t="n"/>
      <c r="BV368" s="45" t="n"/>
      <c r="BW368" s="45" t="n"/>
      <c r="BX368" s="45" t="n"/>
      <c r="BY368" s="266" t="n"/>
      <c r="BZ368" s="266" t="n"/>
      <c r="CA368" s="266" t="n"/>
      <c r="CB368" s="266">
        <f>$BX$182-$BX$181</f>
        <v>0.439999999999998</v>
      </c>
      <c r="CC368" s="266">
        <f>$BX$182-$BX$181</f>
        <v>0.439999999999998</v>
      </c>
      <c r="CD368" s="266">
        <f>$BX$182-$BX$181</f>
        <v>0.439999999999998</v>
      </c>
      <c r="CE368" s="266">
        <f>$BX$182-$BX$181</f>
        <v>0.439999999999998</v>
      </c>
      <c r="CF368" s="19" t="n"/>
    </row>
    <row r="369">
      <c r="B369" s="25" t="inlineStr">
        <is>
          <t xml:space="preserve">  Share-price appreciation % (buyback pricing)</t>
        </is>
      </c>
      <c r="C369" s="36" t="n"/>
      <c r="D369" s="36" t="n"/>
      <c r="E369" s="36" t="n"/>
      <c r="F369" s="36" t="n"/>
      <c r="G369" s="36" t="n"/>
      <c r="H369" s="36" t="n"/>
      <c r="I369" s="36" t="n"/>
      <c r="J369" s="36" t="n"/>
      <c r="K369" s="36" t="n"/>
      <c r="L369" s="36" t="n"/>
      <c r="M369" s="36" t="n"/>
      <c r="N369" s="36" t="n"/>
      <c r="O369" s="36" t="n"/>
      <c r="P369" s="36" t="n"/>
      <c r="Q369" s="36" t="n"/>
      <c r="R369" s="36" t="n"/>
      <c r="S369" s="36" t="n"/>
      <c r="T369" s="36" t="n"/>
      <c r="U369" s="36" t="n"/>
      <c r="V369" s="36" t="n"/>
      <c r="W369" s="36" t="n"/>
      <c r="X369" s="36" t="n"/>
      <c r="Y369" s="36" t="n"/>
      <c r="Z369" s="36" t="n"/>
      <c r="AA369" s="36" t="n"/>
      <c r="AB369" s="36" t="n"/>
      <c r="AC369" s="36" t="n"/>
      <c r="AD369" s="36" t="n"/>
      <c r="AE369" s="36" t="n"/>
      <c r="AF369" s="36" t="n"/>
      <c r="AG369" s="36" t="n"/>
      <c r="AH369" s="36" t="n"/>
      <c r="AI369" s="36" t="n"/>
      <c r="AJ369" s="36" t="n"/>
      <c r="AK369" s="36" t="n"/>
      <c r="AL369" s="36" t="n"/>
      <c r="AM369" s="36" t="n"/>
      <c r="AN369" s="36" t="n"/>
      <c r="AO369" s="36" t="n"/>
      <c r="AP369" s="36" t="n"/>
      <c r="AQ369" s="36" t="n"/>
      <c r="AR369" s="36" t="n"/>
      <c r="AS369" s="36" t="n"/>
      <c r="AT369" s="36" t="n"/>
      <c r="AU369" s="36" t="n"/>
      <c r="AV369" s="36" t="n"/>
      <c r="AW369" s="36" t="n"/>
      <c r="AX369" s="36" t="n"/>
      <c r="AY369" s="36" t="n"/>
      <c r="AZ369" s="36" t="n"/>
      <c r="BA369" s="36" t="n"/>
      <c r="BB369" s="36" t="n"/>
      <c r="BC369" s="36" t="n"/>
      <c r="BD369" s="36" t="n"/>
      <c r="BE369" s="36" t="n"/>
      <c r="BF369" s="36" t="n"/>
      <c r="BG369" s="36" t="n"/>
      <c r="BH369" s="36" t="n"/>
      <c r="BI369" s="36" t="n"/>
      <c r="BJ369" s="36" t="n"/>
      <c r="BK369" s="36" t="n"/>
      <c r="BL369" s="36" t="n"/>
      <c r="BM369" s="36" t="n"/>
      <c r="BN369" s="36" t="n"/>
      <c r="BO369" s="36" t="n"/>
      <c r="BP369" s="36" t="n"/>
      <c r="BQ369" s="36" t="n"/>
      <c r="BR369" s="36" t="n"/>
      <c r="BS369" s="36" t="n"/>
      <c r="BT369" s="36" t="n"/>
      <c r="BU369" s="36" t="n"/>
      <c r="BV369" s="36" t="n"/>
      <c r="BW369" s="36" t="n"/>
      <c r="BX369" s="36" t="n"/>
      <c r="BY369" s="254" t="n"/>
      <c r="BZ369" s="254" t="n"/>
      <c r="CA369" s="254" t="n"/>
      <c r="CB369" s="255" t="n">
        <v>0.07000000000000001</v>
      </c>
      <c r="CC369" s="255" t="n">
        <v>0.07000000000000001</v>
      </c>
      <c r="CD369" s="255" t="n">
        <v>0.07000000000000001</v>
      </c>
      <c r="CE369" s="255" t="n">
        <v>0.07000000000000001</v>
      </c>
      <c r="CF369" s="19" t="n"/>
    </row>
    <row r="370">
      <c r="B370" s="14" t="inlineStr">
        <is>
          <t>Debt schedule (senior notes with scheduled maturities + revolver / amounts due banks to a minimum cash balance)</t>
        </is>
      </c>
      <c r="C370" s="14" t="n"/>
      <c r="D370" s="14" t="n"/>
      <c r="E370" s="14" t="n"/>
      <c r="F370" s="14" t="n"/>
      <c r="G370" s="14" t="n"/>
      <c r="H370" s="14" t="n"/>
      <c r="I370" s="14" t="n"/>
      <c r="J370" s="14" t="n"/>
      <c r="K370" s="14" t="n"/>
      <c r="L370" s="14" t="n"/>
      <c r="M370" s="14" t="n"/>
      <c r="N370" s="14" t="n"/>
      <c r="O370" s="14" t="n"/>
      <c r="P370" s="14" t="n"/>
      <c r="Q370" s="14" t="n"/>
      <c r="R370" s="14" t="n"/>
      <c r="S370" s="14" t="n"/>
      <c r="T370" s="14" t="n"/>
      <c r="U370" s="14" t="n"/>
      <c r="V370" s="14" t="n"/>
      <c r="W370" s="14" t="n"/>
      <c r="X370" s="14" t="n"/>
      <c r="Y370" s="14" t="n"/>
      <c r="Z370" s="14" t="n"/>
      <c r="AA370" s="14" t="n"/>
      <c r="AB370" s="14" t="n"/>
      <c r="AC370" s="14" t="n"/>
      <c r="AD370" s="14" t="n"/>
      <c r="AE370" s="14" t="n"/>
      <c r="AF370" s="14" t="n"/>
      <c r="AG370" s="14" t="n"/>
      <c r="AH370" s="14" t="n"/>
      <c r="AI370" s="14" t="n"/>
      <c r="AJ370" s="14" t="n"/>
      <c r="AK370" s="14" t="n"/>
      <c r="AL370" s="14" t="n"/>
      <c r="AM370" s="14" t="n"/>
      <c r="AN370" s="14" t="n"/>
      <c r="AO370" s="14" t="n"/>
      <c r="AP370" s="14" t="n"/>
      <c r="AQ370" s="14" t="n"/>
      <c r="AR370" s="14" t="n"/>
      <c r="AS370" s="14" t="n"/>
      <c r="AT370" s="14" t="n"/>
      <c r="AU370" s="14" t="n"/>
      <c r="AV370" s="14" t="n"/>
      <c r="AW370" s="14" t="n"/>
      <c r="AX370" s="14" t="n"/>
      <c r="AY370" s="14" t="n"/>
      <c r="AZ370" s="14" t="n"/>
      <c r="BA370" s="14" t="n"/>
      <c r="BB370" s="14" t="n"/>
      <c r="BC370" s="14" t="n"/>
      <c r="BD370" s="14" t="n"/>
      <c r="BE370" s="14" t="n"/>
      <c r="BF370" s="14" t="n"/>
      <c r="BG370" s="14" t="n"/>
      <c r="BH370" s="14" t="n"/>
      <c r="BI370" s="14" t="n"/>
      <c r="BJ370" s="14" t="n"/>
      <c r="BK370" s="14" t="n"/>
      <c r="BL370" s="14" t="n"/>
      <c r="BM370" s="14" t="n"/>
      <c r="BN370" s="14" t="n"/>
      <c r="BO370" s="14" t="n"/>
      <c r="BP370" s="14" t="n"/>
      <c r="BQ370" s="14" t="n"/>
      <c r="BR370" s="14" t="n"/>
      <c r="BS370" s="14" t="n"/>
      <c r="BT370" s="14" t="n"/>
      <c r="BU370" s="14" t="n"/>
      <c r="BV370" s="14" t="n"/>
      <c r="BW370" s="14" t="n"/>
      <c r="BX370" s="14" t="n"/>
      <c r="BY370" s="14" t="n"/>
      <c r="BZ370" s="14" t="n"/>
      <c r="CA370" s="14" t="n"/>
      <c r="CB370" s="14" t="n"/>
      <c r="CC370" s="14" t="n"/>
      <c r="CD370" s="14" t="n"/>
      <c r="CE370" s="14" t="n"/>
      <c r="CF370" s="15" t="n"/>
    </row>
    <row r="371">
      <c r="B371" s="16" t="inlineStr">
        <is>
          <t xml:space="preserve">  Total debt (short-term + long-term)</t>
        </is>
      </c>
      <c r="C371" s="43">
        <f>N(C331)+N(C336)</f>
        <v>161.099</v>
      </c>
      <c r="D371" s="43">
        <f>N(D331)+N(D336)</f>
        <v>129.815</v>
      </c>
      <c r="E371" s="43">
        <f>N(E331)+N(E336)</f>
        <v>142.23</v>
      </c>
      <c r="F371" s="43">
        <f>N(F331)+N(F336)</f>
        <v>123.717</v>
      </c>
      <c r="G371" s="43">
        <f>N(G331)+N(G336)</f>
        <v>97.705</v>
      </c>
      <c r="H371" s="43">
        <f>N(H331)+N(H336)</f>
        <v>103.378</v>
      </c>
      <c r="I371" s="43">
        <f>N(I331)+N(I336)</f>
        <v>20.275</v>
      </c>
      <c r="J371" s="43">
        <f>N(J331)+N(J336)</f>
        <v>18.483</v>
      </c>
      <c r="K371" s="43">
        <f>N(K331)+N(K336)</f>
        <v>16.164</v>
      </c>
      <c r="L371" s="43">
        <f>N(L331)+N(L336)</f>
        <v>16.143</v>
      </c>
      <c r="M371" s="43">
        <f>N(M331)+N(M336)</f>
        <v>19.087</v>
      </c>
      <c r="N371" s="43">
        <f>N(N331)+N(N336)</f>
        <v>19.087</v>
      </c>
      <c r="O371" s="43">
        <f>N(O331)+N(O336)</f>
        <v>9.981</v>
      </c>
      <c r="P371" s="43">
        <f>N(P331)+N(P336)</f>
        <v>8.067</v>
      </c>
      <c r="Q371" s="43">
        <f>N(Q331)+N(Q336)</f>
        <v>88.542</v>
      </c>
      <c r="R371" s="43">
        <f>N(R331)+N(R336)</f>
        <v>70.654</v>
      </c>
      <c r="S371" s="43">
        <f>N(S331)+N(S336)</f>
        <v>70.654</v>
      </c>
      <c r="T371" s="43">
        <f>N(T331)+N(T336)</f>
        <v>171.867</v>
      </c>
      <c r="U371" s="43">
        <f>N(U331)+N(U336)</f>
        <v>214.158</v>
      </c>
      <c r="V371" s="43">
        <f>N(V331)+N(V336)</f>
        <v>353.352</v>
      </c>
      <c r="W371" s="43">
        <f>N(W331)+N(W336)</f>
        <v>354.625</v>
      </c>
      <c r="X371" s="43">
        <f>N(X331)+N(X336)</f>
        <v>354.625</v>
      </c>
      <c r="Y371" s="43">
        <f>N(Y331)+N(Y336)</f>
        <v>374.95</v>
      </c>
      <c r="Z371" s="43">
        <f>N(Z331)+N(Z336)</f>
        <v>520.839</v>
      </c>
      <c r="AA371" s="43">
        <f>N(AA331)+N(AA336)</f>
        <v>543.658</v>
      </c>
      <c r="AB371" s="43">
        <f>N(AB331)+N(AB336)</f>
        <v>705.593</v>
      </c>
      <c r="AC371" s="43">
        <f>N(AC331)+N(AC336)</f>
        <v>705.593</v>
      </c>
      <c r="AD371" s="43">
        <f>N(AD331)+N(AD336)</f>
        <v>705.514</v>
      </c>
      <c r="AE371" s="43">
        <f>N(AE331)+N(AE336)</f>
        <v>706.685</v>
      </c>
      <c r="AF371" s="43">
        <f>N(AF331)+N(AF336)</f>
        <v>706.939</v>
      </c>
      <c r="AG371" s="43">
        <f>N(AG331)+N(AG336)</f>
        <v>706.267</v>
      </c>
      <c r="AH371" s="43">
        <f>N(AH331)+N(AH336)</f>
        <v>706.267</v>
      </c>
      <c r="AI371" s="43">
        <f>N(AI331)+N(AI336)</f>
        <v>702.85</v>
      </c>
      <c r="AJ371" s="43">
        <f>N(AJ331)+N(AJ336)</f>
        <v>702.083</v>
      </c>
      <c r="AK371" s="43">
        <f>N(AK331)+N(AK336)</f>
        <v>699.262</v>
      </c>
      <c r="AL371" s="43">
        <f>N(AL331)+N(AL336)</f>
        <v>702.66</v>
      </c>
      <c r="AM371" s="43">
        <f>N(AM331)+N(AM336)</f>
        <v>702.66</v>
      </c>
      <c r="AN371" s="43">
        <f>N(AN331)+N(AN336)</f>
        <v>705.835</v>
      </c>
      <c r="AO371" s="43">
        <f>N(AO331)+N(AO336)</f>
        <v>740.568</v>
      </c>
      <c r="AP371" s="43">
        <f>N(AP331)+N(AP336)</f>
        <v>727.177</v>
      </c>
      <c r="AQ371" s="43">
        <f>N(AQ331)+N(AQ336)</f>
        <v>747.271</v>
      </c>
      <c r="AR371" s="43">
        <f>N(AR331)+N(AR336)</f>
        <v>747.271</v>
      </c>
      <c r="AS371" s="43">
        <f>N(AS331)+N(AS336)</f>
        <v>848.328</v>
      </c>
      <c r="AT371" s="43">
        <f>N(AT331)+N(AT336)</f>
        <v>765.414</v>
      </c>
      <c r="AU371" s="43">
        <f>N(AU331)+N(AU336)</f>
        <v>716.834</v>
      </c>
      <c r="AV371" s="43">
        <f>N(AV331)+N(AV336)</f>
        <v>718.19</v>
      </c>
      <c r="AW371" s="43">
        <f>N(AW331)+N(AW336)</f>
        <v>718.19</v>
      </c>
      <c r="AX371" s="43">
        <f>N(AX331)+N(AX336)</f>
        <v>718.935</v>
      </c>
      <c r="AY371" s="43">
        <f>N(AY331)+N(AY336)</f>
        <v>728.572</v>
      </c>
      <c r="AZ371" s="43">
        <f>N(AZ331)+N(AZ336)</f>
        <v>759.191</v>
      </c>
      <c r="BA371" s="43">
        <f>N(BA331)+N(BA336)</f>
        <v>769.819</v>
      </c>
      <c r="BB371" s="43">
        <f>N(BB331)+N(BB336)</f>
        <v>769.819</v>
      </c>
      <c r="BC371" s="43">
        <f>N(BC331)+N(BC336)</f>
        <v>865.592</v>
      </c>
      <c r="BD371" s="43">
        <f>N(BD331)+N(BD336)</f>
        <v>838.366</v>
      </c>
      <c r="BE371" s="43">
        <f>N(BE331)+N(BE336)</f>
        <v>779.625</v>
      </c>
      <c r="BF371" s="43">
        <f>N(BF331)+N(BF336)</f>
        <v>1203.879</v>
      </c>
      <c r="BG371" s="43">
        <f>N(BG331)+N(BG336)</f>
        <v>1203.879</v>
      </c>
      <c r="BH371" s="43">
        <f>N(BH331)+N(BH336)</f>
        <v>1159.966</v>
      </c>
      <c r="BI371" s="43">
        <f>N(BI331)+N(BI336)</f>
        <v>1114.304</v>
      </c>
      <c r="BJ371" s="43">
        <f>N(BJ331)+N(BJ336)</f>
        <v>1110.558</v>
      </c>
      <c r="BK371" s="43">
        <f>N(BK331)+N(BK336)</f>
        <v>1105.21</v>
      </c>
      <c r="BL371" s="43">
        <f>N(BL331)+N(BL336)</f>
        <v>1105.21</v>
      </c>
      <c r="BM371" s="43">
        <f>N(BM331)+N(BM336)</f>
        <v>1107.397</v>
      </c>
      <c r="BN371" s="43">
        <f>N(BN331)+N(BN336)</f>
        <v>1104.684</v>
      </c>
      <c r="BO371" s="43">
        <f>N(BO331)+N(BO336)</f>
        <v>1262.609</v>
      </c>
      <c r="BP371" s="43">
        <f>N(BP331)+N(BP336)</f>
        <v>1261.075</v>
      </c>
      <c r="BQ371" s="43">
        <f>N(BQ331)+N(BQ336)</f>
        <v>1261.075</v>
      </c>
      <c r="BR371" s="43">
        <f>N(BR331)+N(BR336)</f>
        <v>1260.093</v>
      </c>
      <c r="BS371" s="43">
        <f>N(BS331)+N(BS336)</f>
        <v>1255.718</v>
      </c>
      <c r="BT371" s="43">
        <f>N(BT331)+N(BT336)</f>
        <v>1238.518</v>
      </c>
      <c r="BU371" s="43">
        <f>N(BU331)+N(BU336)</f>
        <v>1294.008</v>
      </c>
      <c r="BV371" s="43">
        <f>N(BV331)+N(BV336)</f>
        <v>1294.008</v>
      </c>
      <c r="BW371" s="43">
        <f>N(BW331)+N(BW336)</f>
        <v>1313.64</v>
      </c>
      <c r="BX371" s="43">
        <f>N(BX331)+N(BX336)</f>
        <v>1150.054</v>
      </c>
      <c r="BY371" s="253" t="n"/>
      <c r="BZ371" s="253" t="n"/>
      <c r="CA371" s="253">
        <f>CA375+CA379</f>
        <v>1150</v>
      </c>
      <c r="CB371" s="253">
        <f>CB375+CB379</f>
        <v>1304.69437734224</v>
      </c>
      <c r="CC371" s="253">
        <f>CC375+CC379</f>
        <v>1414.81096416513</v>
      </c>
      <c r="CD371" s="253">
        <f>CD375+CD379</f>
        <v>1526.88077213992</v>
      </c>
      <c r="CE371" s="253">
        <f>CE375+CE379</f>
        <v>1644.21304125132</v>
      </c>
      <c r="CF371" s="19" t="inlineStr">
        <is>
          <t>Debt at 30-Jun-26 $1,150m: senior notes $1,150m face (2015 Notes B 3.35% 2030 $100m, C 3.61% 2035 $50m, D 4.02% 2045 $100m; 2016 Notes A 2.75% 2028 $100m, B 3.03% 2033 $100m, C 3.27% 2037 $100m, D 3.52% 2041 $50m; 2024 Notes A 5.55% 2029 $75m, B 5.62% 2031 $75m, C 5.74% 2034 $400m); $1.0bn revolver (SOFR + 1.10%, Jun-2029) undrawn.</t>
        </is>
      </c>
    </row>
    <row r="372">
      <c r="B372" s="25" t="inlineStr">
        <is>
          <t xml:space="preserve">  Scheduled note maturities (input, negative)</t>
        </is>
      </c>
      <c r="C372" s="34" t="n"/>
      <c r="D372" s="34" t="n"/>
      <c r="E372" s="34" t="n"/>
      <c r="F372" s="34" t="n"/>
      <c r="G372" s="34" t="n"/>
      <c r="H372" s="34" t="n"/>
      <c r="I372" s="34" t="n"/>
      <c r="J372" s="34" t="n"/>
      <c r="K372" s="34" t="n"/>
      <c r="L372" s="34" t="n"/>
      <c r="M372" s="34" t="n"/>
      <c r="N372" s="34" t="n"/>
      <c r="O372" s="34" t="n"/>
      <c r="P372" s="34" t="n"/>
      <c r="Q372" s="34" t="n"/>
      <c r="R372" s="34" t="n"/>
      <c r="S372" s="34" t="n"/>
      <c r="T372" s="34" t="n"/>
      <c r="U372" s="34" t="n"/>
      <c r="V372" s="34" t="n"/>
      <c r="W372" s="34" t="n"/>
      <c r="X372" s="34" t="n"/>
      <c r="Y372" s="34" t="n"/>
      <c r="Z372" s="34" t="n"/>
      <c r="AA372" s="34" t="n"/>
      <c r="AB372" s="34" t="n"/>
      <c r="AC372" s="34" t="n"/>
      <c r="AD372" s="34" t="n"/>
      <c r="AE372" s="34" t="n"/>
      <c r="AF372" s="34" t="n"/>
      <c r="AG372" s="34" t="n"/>
      <c r="AH372" s="34" t="n"/>
      <c r="AI372" s="34" t="n"/>
      <c r="AJ372" s="34" t="n"/>
      <c r="AK372" s="34" t="n"/>
      <c r="AL372" s="34" t="n"/>
      <c r="AM372" s="34" t="n"/>
      <c r="AN372" s="34" t="n"/>
      <c r="AO372" s="34" t="n"/>
      <c r="AP372" s="34" t="n"/>
      <c r="AQ372" s="34" t="n"/>
      <c r="AR372" s="34" t="n"/>
      <c r="AS372" s="34" t="n"/>
      <c r="AT372" s="34" t="n"/>
      <c r="AU372" s="34" t="n"/>
      <c r="AV372" s="34" t="n"/>
      <c r="AW372" s="34" t="n"/>
      <c r="AX372" s="34" t="n"/>
      <c r="AY372" s="34" t="n"/>
      <c r="AZ372" s="34" t="n"/>
      <c r="BA372" s="34" t="n"/>
      <c r="BB372" s="34" t="n"/>
      <c r="BC372" s="34" t="n"/>
      <c r="BD372" s="34" t="n"/>
      <c r="BE372" s="34" t="n"/>
      <c r="BF372" s="34" t="n"/>
      <c r="BG372" s="34" t="n"/>
      <c r="BH372" s="34" t="n"/>
      <c r="BI372" s="34" t="n"/>
      <c r="BJ372" s="34" t="n"/>
      <c r="BK372" s="34" t="n"/>
      <c r="BL372" s="34" t="n"/>
      <c r="BM372" s="34" t="n"/>
      <c r="BN372" s="34" t="n"/>
      <c r="BO372" s="34" t="n"/>
      <c r="BP372" s="34" t="n"/>
      <c r="BQ372" s="34" t="n"/>
      <c r="BR372" s="34" t="n"/>
      <c r="BS372" s="34" t="n"/>
      <c r="BT372" s="34" t="n"/>
      <c r="BU372" s="34" t="n"/>
      <c r="BV372" s="34" t="n"/>
      <c r="BW372" s="34" t="n"/>
      <c r="BX372" s="34" t="n"/>
      <c r="BY372" s="257" t="n"/>
      <c r="BZ372" s="257" t="n"/>
      <c r="CA372" s="261" t="n">
        <v>0</v>
      </c>
      <c r="CB372" s="261" t="n">
        <v>0</v>
      </c>
      <c r="CC372" s="261" t="n">
        <v>-100</v>
      </c>
      <c r="CD372" s="261" t="n">
        <v>-75</v>
      </c>
      <c r="CE372" s="261" t="n">
        <v>-100</v>
      </c>
      <c r="CF372" s="19" t="inlineStr">
        <is>
          <t>2028: 2016 Notes Series A ($100m); 2029: 2024 Notes Series A ($75m); 2030: 2015 Notes Series B ($100m).</t>
        </is>
      </c>
    </row>
    <row r="373">
      <c r="B373" s="25" t="inlineStr">
        <is>
          <t xml:space="preserve">  % of scheduled maturities refinanced (input)</t>
        </is>
      </c>
      <c r="C373" s="36" t="n"/>
      <c r="D373" s="36" t="n"/>
      <c r="E373" s="36" t="n"/>
      <c r="F373" s="36" t="n"/>
      <c r="G373" s="36" t="n"/>
      <c r="H373" s="36" t="n"/>
      <c r="I373" s="36" t="n"/>
      <c r="J373" s="36" t="n"/>
      <c r="K373" s="36" t="n"/>
      <c r="L373" s="36" t="n"/>
      <c r="M373" s="36" t="n"/>
      <c r="N373" s="36" t="n"/>
      <c r="O373" s="36" t="n"/>
      <c r="P373" s="36" t="n"/>
      <c r="Q373" s="36" t="n"/>
      <c r="R373" s="36" t="n"/>
      <c r="S373" s="36" t="n"/>
      <c r="T373" s="36" t="n"/>
      <c r="U373" s="36" t="n"/>
      <c r="V373" s="36" t="n"/>
      <c r="W373" s="36" t="n"/>
      <c r="X373" s="36" t="n"/>
      <c r="Y373" s="36" t="n"/>
      <c r="Z373" s="36" t="n"/>
      <c r="AA373" s="36" t="n"/>
      <c r="AB373" s="36" t="n"/>
      <c r="AC373" s="36" t="n"/>
      <c r="AD373" s="36" t="n"/>
      <c r="AE373" s="36" t="n"/>
      <c r="AF373" s="36" t="n"/>
      <c r="AG373" s="36" t="n"/>
      <c r="AH373" s="36" t="n"/>
      <c r="AI373" s="36" t="n"/>
      <c r="AJ373" s="36" t="n"/>
      <c r="AK373" s="36" t="n"/>
      <c r="AL373" s="36" t="n"/>
      <c r="AM373" s="36" t="n"/>
      <c r="AN373" s="36" t="n"/>
      <c r="AO373" s="36" t="n"/>
      <c r="AP373" s="36" t="n"/>
      <c r="AQ373" s="36" t="n"/>
      <c r="AR373" s="36" t="n"/>
      <c r="AS373" s="36" t="n"/>
      <c r="AT373" s="36" t="n"/>
      <c r="AU373" s="36" t="n"/>
      <c r="AV373" s="36" t="n"/>
      <c r="AW373" s="36" t="n"/>
      <c r="AX373" s="36" t="n"/>
      <c r="AY373" s="36" t="n"/>
      <c r="AZ373" s="36" t="n"/>
      <c r="BA373" s="36" t="n"/>
      <c r="BB373" s="36" t="n"/>
      <c r="BC373" s="36" t="n"/>
      <c r="BD373" s="36" t="n"/>
      <c r="BE373" s="36" t="n"/>
      <c r="BF373" s="36" t="n"/>
      <c r="BG373" s="36" t="n"/>
      <c r="BH373" s="36" t="n"/>
      <c r="BI373" s="36" t="n"/>
      <c r="BJ373" s="36" t="n"/>
      <c r="BK373" s="36" t="n"/>
      <c r="BL373" s="36" t="n"/>
      <c r="BM373" s="36" t="n"/>
      <c r="BN373" s="36" t="n"/>
      <c r="BO373" s="36" t="n"/>
      <c r="BP373" s="36" t="n"/>
      <c r="BQ373" s="36" t="n"/>
      <c r="BR373" s="36" t="n"/>
      <c r="BS373" s="36" t="n"/>
      <c r="BT373" s="36" t="n"/>
      <c r="BU373" s="36" t="n"/>
      <c r="BV373" s="36" t="n"/>
      <c r="BW373" s="36" t="n"/>
      <c r="BX373" s="36" t="n"/>
      <c r="BY373" s="254" t="n"/>
      <c r="BZ373" s="254" t="n"/>
      <c r="CA373" s="254" t="n"/>
      <c r="CB373" s="255" t="n">
        <v>1</v>
      </c>
      <c r="CC373" s="255" t="n">
        <v>1</v>
      </c>
      <c r="CD373" s="255" t="n">
        <v>1</v>
      </c>
      <c r="CE373" s="255" t="n">
        <v>1</v>
      </c>
      <c r="CF373" s="19" t="n"/>
    </row>
    <row r="374">
      <c r="B374" s="25" t="inlineStr">
        <is>
          <t xml:space="preserve">  Refinancing issuance</t>
        </is>
      </c>
      <c r="C374" s="34" t="n"/>
      <c r="D374" s="34" t="n"/>
      <c r="E374" s="34" t="n"/>
      <c r="F374" s="34" t="n"/>
      <c r="G374" s="34" t="n"/>
      <c r="H374" s="34" t="n"/>
      <c r="I374" s="34" t="n"/>
      <c r="J374" s="34" t="n"/>
      <c r="K374" s="34" t="n"/>
      <c r="L374" s="34" t="n"/>
      <c r="M374" s="34" t="n"/>
      <c r="N374" s="34" t="n"/>
      <c r="O374" s="34" t="n"/>
      <c r="P374" s="34" t="n"/>
      <c r="Q374" s="34" t="n"/>
      <c r="R374" s="34" t="n"/>
      <c r="S374" s="34" t="n"/>
      <c r="T374" s="34" t="n"/>
      <c r="U374" s="34" t="n"/>
      <c r="V374" s="34" t="n"/>
      <c r="W374" s="34" t="n"/>
      <c r="X374" s="34" t="n"/>
      <c r="Y374" s="34" t="n"/>
      <c r="Z374" s="34" t="n"/>
      <c r="AA374" s="34" t="n"/>
      <c r="AB374" s="34" t="n"/>
      <c r="AC374" s="34" t="n"/>
      <c r="AD374" s="34" t="n"/>
      <c r="AE374" s="34" t="n"/>
      <c r="AF374" s="34" t="n"/>
      <c r="AG374" s="34" t="n"/>
      <c r="AH374" s="34" t="n"/>
      <c r="AI374" s="34" t="n"/>
      <c r="AJ374" s="34" t="n"/>
      <c r="AK374" s="34" t="n"/>
      <c r="AL374" s="34" t="n"/>
      <c r="AM374" s="34" t="n"/>
      <c r="AN374" s="34" t="n"/>
      <c r="AO374" s="34" t="n"/>
      <c r="AP374" s="34" t="n"/>
      <c r="AQ374" s="34" t="n"/>
      <c r="AR374" s="34" t="n"/>
      <c r="AS374" s="34" t="n"/>
      <c r="AT374" s="34" t="n"/>
      <c r="AU374" s="34" t="n"/>
      <c r="AV374" s="34" t="n"/>
      <c r="AW374" s="34" t="n"/>
      <c r="AX374" s="34" t="n"/>
      <c r="AY374" s="34" t="n"/>
      <c r="AZ374" s="34" t="n"/>
      <c r="BA374" s="34" t="n"/>
      <c r="BB374" s="34" t="n"/>
      <c r="BC374" s="34" t="n"/>
      <c r="BD374" s="34" t="n"/>
      <c r="BE374" s="34" t="n"/>
      <c r="BF374" s="34" t="n"/>
      <c r="BG374" s="34" t="n"/>
      <c r="BH374" s="34" t="n"/>
      <c r="BI374" s="34" t="n"/>
      <c r="BJ374" s="34" t="n"/>
      <c r="BK374" s="34" t="n"/>
      <c r="BL374" s="34" t="n"/>
      <c r="BM374" s="34" t="n"/>
      <c r="BN374" s="34" t="n"/>
      <c r="BO374" s="34" t="n"/>
      <c r="BP374" s="34" t="n"/>
      <c r="BQ374" s="34" t="n"/>
      <c r="BR374" s="34" t="n"/>
      <c r="BS374" s="34" t="n"/>
      <c r="BT374" s="34" t="n"/>
      <c r="BU374" s="34" t="n"/>
      <c r="BV374" s="34" t="n"/>
      <c r="BW374" s="34" t="n"/>
      <c r="BX374" s="34" t="n"/>
      <c r="BY374" s="257" t="n"/>
      <c r="BZ374" s="257" t="n"/>
      <c r="CA374" s="261" t="n">
        <v>0</v>
      </c>
      <c r="CB374" s="257">
        <f>-CB372*CB373</f>
        <v>0</v>
      </c>
      <c r="CC374" s="257">
        <f>-CC372*CC373</f>
        <v>100</v>
      </c>
      <c r="CD374" s="257">
        <f>-CD372*CD373</f>
        <v>75</v>
      </c>
      <c r="CE374" s="257">
        <f>-CE372*CE373</f>
        <v>100</v>
      </c>
      <c r="CF374" s="19" t="n"/>
    </row>
    <row r="375">
      <c r="B375" s="25" t="inlineStr">
        <is>
          <t xml:space="preserve">  Senior notes outstanding (face, year end)</t>
        </is>
      </c>
      <c r="C375" s="34" t="n"/>
      <c r="D375" s="34" t="n"/>
      <c r="E375" s="34" t="n"/>
      <c r="F375" s="34" t="n"/>
      <c r="G375" s="34" t="n"/>
      <c r="H375" s="34" t="n"/>
      <c r="I375" s="34" t="n"/>
      <c r="J375" s="34" t="n"/>
      <c r="K375" s="34" t="n"/>
      <c r="L375" s="34" t="n"/>
      <c r="M375" s="34" t="n"/>
      <c r="N375" s="34" t="n"/>
      <c r="O375" s="34" t="n"/>
      <c r="P375" s="34" t="n"/>
      <c r="Q375" s="34" t="n"/>
      <c r="R375" s="34" t="n"/>
      <c r="S375" s="34" t="n"/>
      <c r="T375" s="34" t="n"/>
      <c r="U375" s="34" t="n"/>
      <c r="V375" s="34" t="n"/>
      <c r="W375" s="34" t="n"/>
      <c r="X375" s="34" t="n"/>
      <c r="Y375" s="34" t="n"/>
      <c r="Z375" s="34" t="n"/>
      <c r="AA375" s="34" t="n"/>
      <c r="AB375" s="34" t="n"/>
      <c r="AC375" s="34" t="n"/>
      <c r="AD375" s="34" t="n"/>
      <c r="AE375" s="34" t="n"/>
      <c r="AF375" s="34" t="n"/>
      <c r="AG375" s="34" t="n"/>
      <c r="AH375" s="34" t="n"/>
      <c r="AI375" s="34" t="n"/>
      <c r="AJ375" s="34" t="n"/>
      <c r="AK375" s="34" t="n"/>
      <c r="AL375" s="34" t="n"/>
      <c r="AM375" s="34" t="n"/>
      <c r="AN375" s="34" t="n"/>
      <c r="AO375" s="34" t="n"/>
      <c r="AP375" s="34" t="n"/>
      <c r="AQ375" s="34" t="n"/>
      <c r="AR375" s="34" t="n"/>
      <c r="AS375" s="34" t="n"/>
      <c r="AT375" s="34" t="n"/>
      <c r="AU375" s="34" t="n"/>
      <c r="AV375" s="34" t="n"/>
      <c r="AW375" s="34" t="n"/>
      <c r="AX375" s="34" t="n"/>
      <c r="AY375" s="34" t="n"/>
      <c r="AZ375" s="34" t="n"/>
      <c r="BA375" s="34" t="n"/>
      <c r="BB375" s="34" t="n"/>
      <c r="BC375" s="34" t="n"/>
      <c r="BD375" s="34" t="n"/>
      <c r="BE375" s="34" t="n"/>
      <c r="BF375" s="34" t="n"/>
      <c r="BG375" s="34" t="n"/>
      <c r="BH375" s="34" t="n"/>
      <c r="BI375" s="34" t="n"/>
      <c r="BJ375" s="34" t="n"/>
      <c r="BK375" s="34" t="n"/>
      <c r="BL375" s="34" t="n"/>
      <c r="BM375" s="34" t="n"/>
      <c r="BN375" s="34" t="n"/>
      <c r="BO375" s="34" t="n"/>
      <c r="BP375" s="34" t="n"/>
      <c r="BQ375" s="34" t="n"/>
      <c r="BR375" s="34" t="n"/>
      <c r="BS375" s="34" t="n"/>
      <c r="BT375" s="34" t="n"/>
      <c r="BU375" s="34" t="n"/>
      <c r="BV375" s="34" t="n"/>
      <c r="BW375" s="34" t="n"/>
      <c r="BX375" s="34" t="n"/>
      <c r="BY375" s="257" t="n"/>
      <c r="BZ375" s="257" t="n"/>
      <c r="CA375" s="257">
        <f>1150.0+CA372+CA374</f>
        <v>1150</v>
      </c>
      <c r="CB375" s="257">
        <f>CA375+CB372+CB374</f>
        <v>1150</v>
      </c>
      <c r="CC375" s="257">
        <f>CB375+CC372+CC374</f>
        <v>1150</v>
      </c>
      <c r="CD375" s="257">
        <f>CC375+CD372+CD374</f>
        <v>1150</v>
      </c>
      <c r="CE375" s="257">
        <f>CD375+CE372+CE374</f>
        <v>1150</v>
      </c>
      <c r="CF375" s="19" t="n"/>
    </row>
    <row r="376">
      <c r="B376" s="25" t="inlineStr">
        <is>
          <t xml:space="preserve">  Current portion (next year's scheduled maturities)</t>
        </is>
      </c>
      <c r="C376" s="34" t="n"/>
      <c r="D376" s="34" t="n"/>
      <c r="E376" s="34" t="n"/>
      <c r="F376" s="34" t="n"/>
      <c r="G376" s="34" t="n"/>
      <c r="H376" s="34" t="n"/>
      <c r="I376" s="34" t="n"/>
      <c r="J376" s="34" t="n"/>
      <c r="K376" s="34" t="n"/>
      <c r="L376" s="34" t="n"/>
      <c r="M376" s="34" t="n"/>
      <c r="N376" s="34" t="n"/>
      <c r="O376" s="34" t="n"/>
      <c r="P376" s="34" t="n"/>
      <c r="Q376" s="34" t="n"/>
      <c r="R376" s="34" t="n"/>
      <c r="S376" s="34" t="n"/>
      <c r="T376" s="34" t="n"/>
      <c r="U376" s="34" t="n"/>
      <c r="V376" s="34" t="n"/>
      <c r="W376" s="34" t="n"/>
      <c r="X376" s="34" t="n"/>
      <c r="Y376" s="34" t="n"/>
      <c r="Z376" s="34" t="n"/>
      <c r="AA376" s="34" t="n"/>
      <c r="AB376" s="34" t="n"/>
      <c r="AC376" s="34" t="n"/>
      <c r="AD376" s="34" t="n"/>
      <c r="AE376" s="34" t="n"/>
      <c r="AF376" s="34" t="n"/>
      <c r="AG376" s="34" t="n"/>
      <c r="AH376" s="34" t="n"/>
      <c r="AI376" s="34" t="n"/>
      <c r="AJ376" s="34" t="n"/>
      <c r="AK376" s="34" t="n"/>
      <c r="AL376" s="34" t="n"/>
      <c r="AM376" s="34" t="n"/>
      <c r="AN376" s="34" t="n"/>
      <c r="AO376" s="34" t="n"/>
      <c r="AP376" s="34" t="n"/>
      <c r="AQ376" s="34" t="n"/>
      <c r="AR376" s="34" t="n"/>
      <c r="AS376" s="34" t="n"/>
      <c r="AT376" s="34" t="n"/>
      <c r="AU376" s="34" t="n"/>
      <c r="AV376" s="34" t="n"/>
      <c r="AW376" s="34" t="n"/>
      <c r="AX376" s="34" t="n"/>
      <c r="AY376" s="34" t="n"/>
      <c r="AZ376" s="34" t="n"/>
      <c r="BA376" s="34" t="n"/>
      <c r="BB376" s="34" t="n"/>
      <c r="BC376" s="34" t="n"/>
      <c r="BD376" s="34" t="n"/>
      <c r="BE376" s="34" t="n"/>
      <c r="BF376" s="34" t="n"/>
      <c r="BG376" s="34" t="n"/>
      <c r="BH376" s="34" t="n"/>
      <c r="BI376" s="34" t="n"/>
      <c r="BJ376" s="34" t="n"/>
      <c r="BK376" s="34" t="n"/>
      <c r="BL376" s="34" t="n"/>
      <c r="BM376" s="34" t="n"/>
      <c r="BN376" s="34" t="n"/>
      <c r="BO376" s="34" t="n"/>
      <c r="BP376" s="34" t="n"/>
      <c r="BQ376" s="34" t="n"/>
      <c r="BR376" s="34" t="n"/>
      <c r="BS376" s="34" t="n"/>
      <c r="BT376" s="34" t="n"/>
      <c r="BU376" s="34" t="n"/>
      <c r="BV376" s="34" t="n"/>
      <c r="BW376" s="34" t="n"/>
      <c r="BX376" s="34" t="n"/>
      <c r="BY376" s="257" t="n"/>
      <c r="BZ376" s="257" t="n"/>
      <c r="CA376" s="257">
        <f>-CB372</f>
        <v>0</v>
      </c>
      <c r="CB376" s="257">
        <f>-CC372</f>
        <v>100</v>
      </c>
      <c r="CC376" s="257">
        <f>-CD372</f>
        <v>75</v>
      </c>
      <c r="CD376" s="257">
        <f>-CE372</f>
        <v>100</v>
      </c>
      <c r="CE376" s="261" t="n">
        <v>0</v>
      </c>
      <c r="CF376" s="19" t="n"/>
    </row>
    <row r="377">
      <c r="B377" s="25" t="inlineStr">
        <is>
          <t xml:space="preserve">  Cash before prepayable facilities (opening cash + CFO + CFI + non-facility financing)</t>
        </is>
      </c>
      <c r="C377" s="34" t="n"/>
      <c r="D377" s="34" t="n"/>
      <c r="E377" s="34" t="n"/>
      <c r="F377" s="34" t="n"/>
      <c r="G377" s="34" t="n"/>
      <c r="H377" s="34" t="n"/>
      <c r="I377" s="34" t="n"/>
      <c r="J377" s="34" t="n"/>
      <c r="K377" s="34" t="n"/>
      <c r="L377" s="34" t="n"/>
      <c r="M377" s="34" t="n"/>
      <c r="N377" s="34" t="n"/>
      <c r="O377" s="34" t="n"/>
      <c r="P377" s="34" t="n"/>
      <c r="Q377" s="34" t="n"/>
      <c r="R377" s="34" t="n"/>
      <c r="S377" s="34" t="n"/>
      <c r="T377" s="34" t="n"/>
      <c r="U377" s="34" t="n"/>
      <c r="V377" s="34" t="n"/>
      <c r="W377" s="34" t="n"/>
      <c r="X377" s="34" t="n"/>
      <c r="Y377" s="34" t="n"/>
      <c r="Z377" s="34" t="n"/>
      <c r="AA377" s="34" t="n"/>
      <c r="AB377" s="34" t="n"/>
      <c r="AC377" s="34" t="n"/>
      <c r="AD377" s="34" t="n"/>
      <c r="AE377" s="34" t="n"/>
      <c r="AF377" s="34" t="n"/>
      <c r="AG377" s="34" t="n"/>
      <c r="AH377" s="34" t="n"/>
      <c r="AI377" s="34" t="n"/>
      <c r="AJ377" s="34" t="n"/>
      <c r="AK377" s="34" t="n"/>
      <c r="AL377" s="34" t="n"/>
      <c r="AM377" s="34" t="n"/>
      <c r="AN377" s="34" t="n"/>
      <c r="AO377" s="34" t="n"/>
      <c r="AP377" s="34" t="n"/>
      <c r="AQ377" s="34" t="n"/>
      <c r="AR377" s="34" t="n"/>
      <c r="AS377" s="34" t="n"/>
      <c r="AT377" s="34" t="n"/>
      <c r="AU377" s="34" t="n"/>
      <c r="AV377" s="34" t="n"/>
      <c r="AW377" s="34" t="n"/>
      <c r="AX377" s="34" t="n"/>
      <c r="AY377" s="34" t="n"/>
      <c r="AZ377" s="34" t="n"/>
      <c r="BA377" s="34" t="n"/>
      <c r="BB377" s="34" t="n"/>
      <c r="BC377" s="34" t="n"/>
      <c r="BD377" s="34" t="n"/>
      <c r="BE377" s="34" t="n"/>
      <c r="BF377" s="34" t="n"/>
      <c r="BG377" s="34" t="n"/>
      <c r="BH377" s="34" t="n"/>
      <c r="BI377" s="34" t="n"/>
      <c r="BJ377" s="34" t="n"/>
      <c r="BK377" s="34" t="n"/>
      <c r="BL377" s="34" t="n"/>
      <c r="BM377" s="34" t="n"/>
      <c r="BN377" s="34" t="n"/>
      <c r="BO377" s="34" t="n"/>
      <c r="BP377" s="34" t="n"/>
      <c r="BQ377" s="34" t="n"/>
      <c r="BR377" s="34" t="n"/>
      <c r="BS377" s="34" t="n"/>
      <c r="BT377" s="34" t="n"/>
      <c r="BU377" s="34" t="n"/>
      <c r="BV377" s="34" t="n"/>
      <c r="BW377" s="34" t="n"/>
      <c r="BX377" s="34" t="n"/>
      <c r="BY377" s="257" t="n"/>
      <c r="BZ377" s="257" t="n"/>
      <c r="CA377" s="257">
        <f>CA293+CA277+CA282+CA286+CA287+CA288+CA289+CA291+($BW$284+$BX$284)+($BW$285+$BX$285)+CA372+($BW$283+$BX$283)</f>
        <v>253.203041136508</v>
      </c>
      <c r="CB377" s="257">
        <f>CB293+CB277+CB282+CB286+CB287+CB288+CB289+CB291+CB372+CB374</f>
        <v>95.3056226577612</v>
      </c>
      <c r="CC377" s="257">
        <f>CC293+CC277+CC282+CC286+CC287+CC288+CC289+CC291+CC372+CC374</f>
        <v>139.883413177104</v>
      </c>
      <c r="CD377" s="257">
        <f>CD293+CD277+CD282+CD286+CD287+CD288+CD289+CD291+CD372+CD374</f>
        <v>137.930192025217</v>
      </c>
      <c r="CE377" s="257">
        <f>CE293+CE277+CE282+CE286+CE287+CE288+CE289+CE291+CE372+CE374</f>
        <v>132.667730888595</v>
      </c>
      <c r="CF377" s="19" t="n"/>
    </row>
    <row r="378">
      <c r="B378" s="25" t="inlineStr">
        <is>
          <t xml:space="preserve">  Minimum cash balance</t>
        </is>
      </c>
      <c r="C378" s="34" t="n"/>
      <c r="D378" s="34" t="n"/>
      <c r="E378" s="34" t="n"/>
      <c r="F378" s="34" t="n"/>
      <c r="G378" s="34" t="n"/>
      <c r="H378" s="34" t="n"/>
      <c r="I378" s="34" t="n"/>
      <c r="J378" s="34" t="n"/>
      <c r="K378" s="34" t="n"/>
      <c r="L378" s="34" t="n"/>
      <c r="M378" s="34" t="n"/>
      <c r="N378" s="34" t="n"/>
      <c r="O378" s="34" t="n"/>
      <c r="P378" s="34" t="n"/>
      <c r="Q378" s="34" t="n"/>
      <c r="R378" s="34" t="n"/>
      <c r="S378" s="34" t="n"/>
      <c r="T378" s="34" t="n"/>
      <c r="U378" s="34" t="n"/>
      <c r="V378" s="34" t="n"/>
      <c r="W378" s="34" t="n"/>
      <c r="X378" s="34" t="n"/>
      <c r="Y378" s="34" t="n"/>
      <c r="Z378" s="34" t="n"/>
      <c r="AA378" s="34" t="n"/>
      <c r="AB378" s="34" t="n"/>
      <c r="AC378" s="34" t="n"/>
      <c r="AD378" s="34" t="n"/>
      <c r="AE378" s="34" t="n"/>
      <c r="AF378" s="34" t="n"/>
      <c r="AG378" s="34" t="n"/>
      <c r="AH378" s="34" t="n"/>
      <c r="AI378" s="34" t="n"/>
      <c r="AJ378" s="34" t="n"/>
      <c r="AK378" s="34" t="n"/>
      <c r="AL378" s="34" t="n"/>
      <c r="AM378" s="34" t="n"/>
      <c r="AN378" s="34" t="n"/>
      <c r="AO378" s="34" t="n"/>
      <c r="AP378" s="34" t="n"/>
      <c r="AQ378" s="34" t="n"/>
      <c r="AR378" s="34" t="n"/>
      <c r="AS378" s="34" t="n"/>
      <c r="AT378" s="34" t="n"/>
      <c r="AU378" s="34" t="n"/>
      <c r="AV378" s="34" t="n"/>
      <c r="AW378" s="34" t="n"/>
      <c r="AX378" s="34" t="n"/>
      <c r="AY378" s="34" t="n"/>
      <c r="AZ378" s="34" t="n"/>
      <c r="BA378" s="34" t="n"/>
      <c r="BB378" s="34" t="n"/>
      <c r="BC378" s="34" t="n"/>
      <c r="BD378" s="34" t="n"/>
      <c r="BE378" s="34" t="n"/>
      <c r="BF378" s="34" t="n"/>
      <c r="BG378" s="34" t="n"/>
      <c r="BH378" s="34" t="n"/>
      <c r="BI378" s="34" t="n"/>
      <c r="BJ378" s="34" t="n"/>
      <c r="BK378" s="34" t="n"/>
      <c r="BL378" s="34" t="n"/>
      <c r="BM378" s="34" t="n"/>
      <c r="BN378" s="34" t="n"/>
      <c r="BO378" s="34" t="n"/>
      <c r="BP378" s="34" t="n"/>
      <c r="BQ378" s="34" t="n"/>
      <c r="BR378" s="34" t="n"/>
      <c r="BS378" s="34" t="n"/>
      <c r="BT378" s="34" t="n"/>
      <c r="BU378" s="34" t="n"/>
      <c r="BV378" s="34" t="n"/>
      <c r="BW378" s="34" t="n"/>
      <c r="BX378" s="34" t="n"/>
      <c r="BY378" s="257" t="n"/>
      <c r="BZ378" s="257" t="n"/>
      <c r="CA378" s="261" t="n">
        <v>250</v>
      </c>
      <c r="CB378" s="261" t="n">
        <v>250</v>
      </c>
      <c r="CC378" s="261" t="n">
        <v>250</v>
      </c>
      <c r="CD378" s="261" t="n">
        <v>250</v>
      </c>
      <c r="CE378" s="261" t="n">
        <v>250</v>
      </c>
      <c r="CF378" s="19" t="inlineStr">
        <is>
          <t>LECO typically holds $200–400m of cash (largely outside the US).</t>
        </is>
      </c>
    </row>
    <row r="379">
      <c r="B379" s="25" t="inlineStr">
        <is>
          <t xml:space="preserve">  Revolver / amounts due banks outstanding (year end)</t>
        </is>
      </c>
      <c r="C379" s="34" t="n"/>
      <c r="D379" s="34" t="n"/>
      <c r="E379" s="34" t="n"/>
      <c r="F379" s="34" t="n"/>
      <c r="G379" s="34" t="n"/>
      <c r="H379" s="34" t="n"/>
      <c r="I379" s="34" t="n"/>
      <c r="J379" s="34" t="n"/>
      <c r="K379" s="34" t="n"/>
      <c r="L379" s="34" t="n"/>
      <c r="M379" s="34" t="n"/>
      <c r="N379" s="34" t="n"/>
      <c r="O379" s="34" t="n"/>
      <c r="P379" s="34" t="n"/>
      <c r="Q379" s="34" t="n"/>
      <c r="R379" s="34" t="n"/>
      <c r="S379" s="34" t="n"/>
      <c r="T379" s="34" t="n"/>
      <c r="U379" s="34" t="n"/>
      <c r="V379" s="34" t="n"/>
      <c r="W379" s="34" t="n"/>
      <c r="X379" s="34" t="n"/>
      <c r="Y379" s="34" t="n"/>
      <c r="Z379" s="34" t="n"/>
      <c r="AA379" s="34" t="n"/>
      <c r="AB379" s="34" t="n"/>
      <c r="AC379" s="34" t="n"/>
      <c r="AD379" s="34" t="n"/>
      <c r="AE379" s="34" t="n"/>
      <c r="AF379" s="34" t="n"/>
      <c r="AG379" s="34" t="n"/>
      <c r="AH379" s="34" t="n"/>
      <c r="AI379" s="34" t="n"/>
      <c r="AJ379" s="34" t="n"/>
      <c r="AK379" s="34" t="n"/>
      <c r="AL379" s="34" t="n"/>
      <c r="AM379" s="34" t="n"/>
      <c r="AN379" s="34" t="n"/>
      <c r="AO379" s="34" t="n"/>
      <c r="AP379" s="34" t="n"/>
      <c r="AQ379" s="34" t="n"/>
      <c r="AR379" s="34" t="n"/>
      <c r="AS379" s="34" t="n"/>
      <c r="AT379" s="34" t="n"/>
      <c r="AU379" s="34" t="n"/>
      <c r="AV379" s="34" t="n"/>
      <c r="AW379" s="34" t="n"/>
      <c r="AX379" s="34" t="n"/>
      <c r="AY379" s="34" t="n"/>
      <c r="AZ379" s="34" t="n"/>
      <c r="BA379" s="34" t="n"/>
      <c r="BB379" s="34" t="n"/>
      <c r="BC379" s="34" t="n"/>
      <c r="BD379" s="34" t="n"/>
      <c r="BE379" s="34" t="n"/>
      <c r="BF379" s="34" t="n"/>
      <c r="BG379" s="34" t="n"/>
      <c r="BH379" s="34" t="n"/>
      <c r="BI379" s="34" t="n"/>
      <c r="BJ379" s="34" t="n"/>
      <c r="BK379" s="34" t="n"/>
      <c r="BL379" s="34" t="n"/>
      <c r="BM379" s="34" t="n"/>
      <c r="BN379" s="34" t="n"/>
      <c r="BO379" s="34" t="n"/>
      <c r="BP379" s="34" t="n"/>
      <c r="BQ379" s="34" t="n"/>
      <c r="BR379" s="34" t="n"/>
      <c r="BS379" s="34" t="n"/>
      <c r="BT379" s="34" t="n"/>
      <c r="BU379" s="34" t="n"/>
      <c r="BV379" s="34" t="n"/>
      <c r="BW379" s="34" t="n"/>
      <c r="BX379" s="34" t="n"/>
      <c r="BY379" s="257" t="n"/>
      <c r="BZ379" s="257" t="n"/>
      <c r="CA379" s="257">
        <f>MAX(0,0.0+CA378-CA377)</f>
        <v>0</v>
      </c>
      <c r="CB379" s="257">
        <f>MAX(0,CA379+CB378-CB377)</f>
        <v>154.694377342239</v>
      </c>
      <c r="CC379" s="257">
        <f>MAX(0,CB379+CC378-CC377)</f>
        <v>264.810964165134</v>
      </c>
      <c r="CD379" s="257">
        <f>MAX(0,CC379+CD378-CD377)</f>
        <v>376.880772139918</v>
      </c>
      <c r="CE379" s="257">
        <f>MAX(0,CD379+CE378-CE377)</f>
        <v>494.213041251322</v>
      </c>
      <c r="CF379" s="19" t="inlineStr">
        <is>
          <t>Drawn/repaid so that cash = minimum balance; surplus cash first repays the revolver, then accumulates (or funds buybacks via the leverage plug).</t>
        </is>
      </c>
    </row>
    <row r="380">
      <c r="B380" s="25" t="inlineStr">
        <is>
          <t xml:space="preserve">  Net issuance / (repayment)</t>
        </is>
      </c>
      <c r="C380" s="34" t="n"/>
      <c r="D380" s="44">
        <f>IFERROR(D371-C371,"")</f>
        <v>-31.284</v>
      </c>
      <c r="E380" s="44">
        <f>IFERROR(E371-D371,"")</f>
        <v>12.415</v>
      </c>
      <c r="F380" s="44">
        <f>IFERROR(F371-E371,"")</f>
        <v>-18.513</v>
      </c>
      <c r="G380" s="44">
        <f>IFERROR(G371-F371,"")</f>
        <v>-26.012</v>
      </c>
      <c r="H380" s="44">
        <f>IFERROR(H371-G371,"")</f>
        <v>5.673</v>
      </c>
      <c r="I380" s="44">
        <f>IFERROR(I371-H371,"")</f>
        <v>-83.103</v>
      </c>
      <c r="J380" s="34" t="n"/>
      <c r="K380" s="34" t="n"/>
      <c r="L380" s="34" t="n"/>
      <c r="M380" s="34" t="n"/>
      <c r="N380" s="44">
        <f>IFERROR(N371-I371,"")</f>
        <v>-1.188</v>
      </c>
      <c r="O380" s="44">
        <f>IFERROR(O371-J371,"")</f>
        <v>-8.502</v>
      </c>
      <c r="P380" s="44">
        <f>IFERROR(P371-K371,"")</f>
        <v>-8.097</v>
      </c>
      <c r="Q380" s="44">
        <f>IFERROR(Q371-L371,"")</f>
        <v>72.399</v>
      </c>
      <c r="R380" s="44">
        <f>IFERROR(R371-M371,"")</f>
        <v>51.567</v>
      </c>
      <c r="S380" s="44">
        <f>IFERROR(S371-N371,"")</f>
        <v>51.567</v>
      </c>
      <c r="T380" s="44">
        <f>IFERROR(T371-O371,"")</f>
        <v>161.886</v>
      </c>
      <c r="U380" s="44">
        <f>IFERROR(U371-P371,"")</f>
        <v>206.091</v>
      </c>
      <c r="V380" s="44">
        <f>IFERROR(V371-Q371,"")</f>
        <v>264.81</v>
      </c>
      <c r="W380" s="44">
        <f>IFERROR(W371-R371,"")</f>
        <v>283.971</v>
      </c>
      <c r="X380" s="44">
        <f>IFERROR(X371-S371,"")</f>
        <v>283.971</v>
      </c>
      <c r="Y380" s="44">
        <f>IFERROR(Y371-T371,"")</f>
        <v>203.083</v>
      </c>
      <c r="Z380" s="44">
        <f>IFERROR(Z371-U371,"")</f>
        <v>306.681</v>
      </c>
      <c r="AA380" s="44">
        <f>IFERROR(AA371-V371,"")</f>
        <v>190.306</v>
      </c>
      <c r="AB380" s="44">
        <f>IFERROR(AB371-W371,"")</f>
        <v>350.968</v>
      </c>
      <c r="AC380" s="44">
        <f>IFERROR(AC371-X371,"")</f>
        <v>350.968</v>
      </c>
      <c r="AD380" s="44">
        <f>IFERROR(AD371-Y371,"")</f>
        <v>330.564</v>
      </c>
      <c r="AE380" s="44">
        <f>IFERROR(AE371-Z371,"")</f>
        <v>185.846</v>
      </c>
      <c r="AF380" s="44">
        <f>IFERROR(AF371-AA371,"")</f>
        <v>163.281</v>
      </c>
      <c r="AG380" s="44">
        <f>IFERROR(AG371-AB371,"")</f>
        <v>0.673999999999978</v>
      </c>
      <c r="AH380" s="44">
        <f>IFERROR(AH371-AC371,"")</f>
        <v>0.673999999999978</v>
      </c>
      <c r="AI380" s="44">
        <f>IFERROR(AI371-AD371,"")</f>
        <v>-2.66399999999999</v>
      </c>
      <c r="AJ380" s="44">
        <f>IFERROR(AJ371-AE371,"")</f>
        <v>-4.60199999999998</v>
      </c>
      <c r="AK380" s="44">
        <f>IFERROR(AK371-AF371,"")</f>
        <v>-7.67700000000002</v>
      </c>
      <c r="AL380" s="44">
        <f>IFERROR(AL371-AG371,"")</f>
        <v>-3.60699999999997</v>
      </c>
      <c r="AM380" s="44">
        <f>IFERROR(AM371-AH371,"")</f>
        <v>-3.60699999999997</v>
      </c>
      <c r="AN380" s="44">
        <f>IFERROR(AN371-AI371,"")</f>
        <v>2.98500000000001</v>
      </c>
      <c r="AO380" s="44">
        <f>IFERROR(AO371-AJ371,"")</f>
        <v>38.485</v>
      </c>
      <c r="AP380" s="44">
        <f>IFERROR(AP371-AK371,"")</f>
        <v>27.9150000000001</v>
      </c>
      <c r="AQ380" s="44">
        <f>IFERROR(AQ371-AL371,"")</f>
        <v>44.6110000000001</v>
      </c>
      <c r="AR380" s="44">
        <f>IFERROR(AR371-AM371,"")</f>
        <v>44.6110000000001</v>
      </c>
      <c r="AS380" s="44">
        <f>IFERROR(AS371-AN371,"")</f>
        <v>142.493</v>
      </c>
      <c r="AT380" s="44">
        <f>IFERROR(AT371-AO371,"")</f>
        <v>24.846</v>
      </c>
      <c r="AU380" s="44">
        <f>IFERROR(AU371-AP371,"")</f>
        <v>-10.343</v>
      </c>
      <c r="AV380" s="44">
        <f>IFERROR(AV371-AQ371,"")</f>
        <v>-29.081</v>
      </c>
      <c r="AW380" s="44">
        <f>IFERROR(AW371-AR371,"")</f>
        <v>-29.081</v>
      </c>
      <c r="AX380" s="44">
        <f>IFERROR(AX371-AS371,"")</f>
        <v>-129.393</v>
      </c>
      <c r="AY380" s="44">
        <f>IFERROR(AY371-AT371,"")</f>
        <v>-36.8420000000001</v>
      </c>
      <c r="AZ380" s="44">
        <f>IFERROR(AZ371-AU371,"")</f>
        <v>42.357</v>
      </c>
      <c r="BA380" s="44">
        <f>IFERROR(BA371-AV371,"")</f>
        <v>51.629</v>
      </c>
      <c r="BB380" s="44">
        <f>IFERROR(BB371-AW371,"")</f>
        <v>51.629</v>
      </c>
      <c r="BC380" s="44">
        <f>IFERROR(BC371-AX371,"")</f>
        <v>146.657</v>
      </c>
      <c r="BD380" s="44">
        <f>IFERROR(BD371-AY371,"")</f>
        <v>109.794</v>
      </c>
      <c r="BE380" s="44">
        <f>IFERROR(BE371-AZ371,"")</f>
        <v>20.434</v>
      </c>
      <c r="BF380" s="44">
        <f>IFERROR(BF371-BA371,"")</f>
        <v>434.06</v>
      </c>
      <c r="BG380" s="44">
        <f>IFERROR(BG371-BB371,"")</f>
        <v>434.06</v>
      </c>
      <c r="BH380" s="44">
        <f>IFERROR(BH371-BC371,"")</f>
        <v>294.374</v>
      </c>
      <c r="BI380" s="44">
        <f>IFERROR(BI371-BD371,"")</f>
        <v>275.938</v>
      </c>
      <c r="BJ380" s="44">
        <f>IFERROR(BJ371-BE371,"")</f>
        <v>330.933</v>
      </c>
      <c r="BK380" s="44">
        <f>IFERROR(BK371-BF371,"")</f>
        <v>-98.6689999999999</v>
      </c>
      <c r="BL380" s="44">
        <f>IFERROR(BL371-BG371,"")</f>
        <v>-98.6689999999999</v>
      </c>
      <c r="BM380" s="44">
        <f>IFERROR(BM371-BH371,"")</f>
        <v>-52.569</v>
      </c>
      <c r="BN380" s="44">
        <f>IFERROR(BN371-BI371,"")</f>
        <v>-9.61999999999989</v>
      </c>
      <c r="BO380" s="44">
        <f>IFERROR(BO371-BJ371,"")</f>
        <v>152.051</v>
      </c>
      <c r="BP380" s="44">
        <f>IFERROR(BP371-BK371,"")</f>
        <v>155.865</v>
      </c>
      <c r="BQ380" s="44">
        <f>IFERROR(BQ371-BL371,"")</f>
        <v>155.865</v>
      </c>
      <c r="BR380" s="44">
        <f>IFERROR(BR371-BM371,"")</f>
        <v>152.696</v>
      </c>
      <c r="BS380" s="44">
        <f>IFERROR(BS371-BN371,"")</f>
        <v>151.034</v>
      </c>
      <c r="BT380" s="44">
        <f>IFERROR(BT371-BO371,"")</f>
        <v>-24.0909999999999</v>
      </c>
      <c r="BU380" s="44">
        <f>IFERROR(BU371-BP371,"")</f>
        <v>32.9330000000002</v>
      </c>
      <c r="BV380" s="44">
        <f>IFERROR(BV371-BQ371,"")</f>
        <v>32.9330000000002</v>
      </c>
      <c r="BW380" s="44">
        <f>IFERROR(BW371-BR371,"")</f>
        <v>53.547</v>
      </c>
      <c r="BX380" s="44">
        <f>IFERROR(BX371-BS371,"")</f>
        <v>-105.664</v>
      </c>
      <c r="BY380" s="257" t="n"/>
      <c r="BZ380" s="257" t="n"/>
      <c r="CA380" s="257">
        <f>IFERROR(CA371-BV371,"")</f>
        <v>-144.008</v>
      </c>
      <c r="CB380" s="257">
        <f>IFERROR(CB371-CA371,"")</f>
        <v>154.694377342239</v>
      </c>
      <c r="CC380" s="257">
        <f>IFERROR(CC371-CB371,"")</f>
        <v>110.116586822896</v>
      </c>
      <c r="CD380" s="257">
        <f>IFERROR(CD371-CC371,"")</f>
        <v>112.069807974784</v>
      </c>
      <c r="CE380" s="257">
        <f>IFERROR(CE371-CD371,"")</f>
        <v>117.332269111404</v>
      </c>
      <c r="CF380" s="19" t="n"/>
    </row>
    <row r="381">
      <c r="B381" s="25" t="inlineStr">
        <is>
          <t xml:space="preserve">  Interest rate on senior notes (opening balance) % (historical = net interest / opening total debt)</t>
        </is>
      </c>
      <c r="C381" s="36" t="n"/>
      <c r="D381" s="36">
        <f>IFERROR(D167/C371,"")</f>
        <v>0.0194662909142825</v>
      </c>
      <c r="E381" s="36">
        <f>IFERROR(E167/D371,"")</f>
        <v>0.0254978238262142</v>
      </c>
      <c r="F381" s="36">
        <f>IFERROR(F167/E371,"")</f>
        <v>0.035569148562188</v>
      </c>
      <c r="G381" s="36">
        <f>IFERROR(G167/F371,"")</f>
        <v>0.0348375728477089</v>
      </c>
      <c r="H381" s="36">
        <f>IFERROR(H167/G371,"")</f>
        <v>0.0366716135305256</v>
      </c>
      <c r="I381" s="36">
        <f>IFERROR(I167/H371,"")</f>
        <v>0.00196366731799802</v>
      </c>
      <c r="J381" s="36" t="n"/>
      <c r="K381" s="36" t="n"/>
      <c r="L381" s="36" t="n"/>
      <c r="M381" s="36" t="n"/>
      <c r="N381" s="36">
        <f>IFERROR(N167/I371,"")</f>
        <v>-0.0224907521578298</v>
      </c>
      <c r="O381" s="36" t="n"/>
      <c r="P381" s="36" t="n"/>
      <c r="Q381" s="36" t="n"/>
      <c r="R381" s="36" t="n"/>
      <c r="S381" s="36">
        <f>IFERROR(S167/N371,"")</f>
        <v>0.384607324356892</v>
      </c>
      <c r="T381" s="36" t="n"/>
      <c r="U381" s="36" t="n"/>
      <c r="V381" s="36" t="n"/>
      <c r="W381" s="36" t="n"/>
      <c r="X381" s="36">
        <f>IFERROR(X167/S371,"")</f>
        <v>0.27047300931299</v>
      </c>
      <c r="Y381" s="36" t="n"/>
      <c r="Z381" s="36" t="n"/>
      <c r="AA381" s="36" t="n"/>
      <c r="AB381" s="36" t="n"/>
      <c r="AC381" s="36">
        <f>IFERROR(AC167/X371,"")</f>
        <v>0.0479013041945717</v>
      </c>
      <c r="AD381" s="36" t="n"/>
      <c r="AE381" s="36" t="n"/>
      <c r="AF381" s="36" t="n"/>
      <c r="AG381" s="36" t="n"/>
      <c r="AH381" s="36">
        <f>IFERROR(AH167/AC371,"")</f>
        <v>0.0275399557535293</v>
      </c>
      <c r="AI381" s="36" t="n"/>
      <c r="AJ381" s="36" t="n"/>
      <c r="AK381" s="36" t="n"/>
      <c r="AL381" s="36" t="n"/>
      <c r="AM381" s="36">
        <f>IFERROR(AM167/AH371,"")</f>
        <v>0.0248701978147075</v>
      </c>
      <c r="AN381" s="36" t="n"/>
      <c r="AO381" s="36" t="n"/>
      <c r="AP381" s="36" t="n"/>
      <c r="AQ381" s="36" t="n"/>
      <c r="AR381" s="36">
        <f>IFERROR(AR167/AM371,"")</f>
        <v>0.03332337118948</v>
      </c>
      <c r="AS381" s="36" t="n"/>
      <c r="AT381" s="36" t="n"/>
      <c r="AU381" s="36" t="n"/>
      <c r="AV381" s="36" t="n"/>
      <c r="AW381" s="36">
        <f>IFERROR(AW167/AR371,"")</f>
        <v>0.0294043258737459</v>
      </c>
      <c r="AX381" s="36" t="n"/>
      <c r="AY381" s="36" t="n"/>
      <c r="AZ381" s="36" t="n"/>
      <c r="BA381" s="36" t="n"/>
      <c r="BB381" s="36">
        <f>IFERROR(BB167/AW371,"")</f>
        <v>0.0309305337027806</v>
      </c>
      <c r="BC381" s="36" t="n"/>
      <c r="BD381" s="36" t="n"/>
      <c r="BE381" s="36" t="n"/>
      <c r="BF381" s="36" t="n"/>
      <c r="BG381" s="36">
        <f>IFERROR(BG167/BB371,"")</f>
        <v>0.0383206961636437</v>
      </c>
      <c r="BH381" s="36" t="n"/>
      <c r="BI381" s="36" t="n"/>
      <c r="BJ381" s="36" t="n"/>
      <c r="BK381" s="36" t="n"/>
      <c r="BL381" s="36">
        <f>IFERROR(BL167/BG371,"")</f>
        <v>0.0368566940697529</v>
      </c>
      <c r="BM381" s="36" t="n"/>
      <c r="BN381" s="36" t="n"/>
      <c r="BO381" s="36" t="n"/>
      <c r="BP381" s="36" t="n"/>
      <c r="BQ381" s="36">
        <f>IFERROR(BQ167/BL371,"")</f>
        <v>0.0387130047683246</v>
      </c>
      <c r="BR381" s="36" t="n"/>
      <c r="BS381" s="36" t="n"/>
      <c r="BT381" s="36" t="n"/>
      <c r="BU381" s="36" t="n"/>
      <c r="BV381" s="36">
        <f>IFERROR(BV167/BQ371,"")</f>
        <v>0.0408865452094443</v>
      </c>
      <c r="BW381" s="36" t="n"/>
      <c r="BX381" s="36" t="n"/>
      <c r="BY381" s="254" t="n"/>
      <c r="BZ381" s="254" t="n"/>
      <c r="CA381" s="254" t="n"/>
      <c r="CB381" s="255" t="n">
        <v>0.0445</v>
      </c>
      <c r="CC381" s="255" t="n">
        <v>0.0445</v>
      </c>
      <c r="CD381" s="255" t="n">
        <v>0.0445</v>
      </c>
      <c r="CE381" s="255" t="n">
        <v>0.0445</v>
      </c>
      <c r="CF381" s="19" t="inlineStr">
        <is>
          <t>Weighted-average effective rate on the senior notes 4.16% at 30-Jun-26 (incl. terminated swaps) + fees; drifts up as 2028–30 maturities refinance at ~5.5%.</t>
        </is>
      </c>
    </row>
    <row r="382">
      <c r="B382" s="25" t="inlineStr">
        <is>
          <t xml:space="preserve">  Interest rate on revolver %</t>
        </is>
      </c>
      <c r="C382" s="36" t="n"/>
      <c r="D382" s="36" t="n"/>
      <c r="E382" s="36" t="n"/>
      <c r="F382" s="36" t="n"/>
      <c r="G382" s="36" t="n"/>
      <c r="H382" s="36" t="n"/>
      <c r="I382" s="36" t="n"/>
      <c r="J382" s="36" t="n"/>
      <c r="K382" s="36" t="n"/>
      <c r="L382" s="36" t="n"/>
      <c r="M382" s="36" t="n"/>
      <c r="N382" s="36" t="n"/>
      <c r="O382" s="36" t="n"/>
      <c r="P382" s="36" t="n"/>
      <c r="Q382" s="36" t="n"/>
      <c r="R382" s="36" t="n"/>
      <c r="S382" s="36" t="n"/>
      <c r="T382" s="36" t="n"/>
      <c r="U382" s="36" t="n"/>
      <c r="V382" s="36" t="n"/>
      <c r="W382" s="36" t="n"/>
      <c r="X382" s="36" t="n"/>
      <c r="Y382" s="36" t="n"/>
      <c r="Z382" s="36" t="n"/>
      <c r="AA382" s="36" t="n"/>
      <c r="AB382" s="36" t="n"/>
      <c r="AC382" s="36" t="n"/>
      <c r="AD382" s="36" t="n"/>
      <c r="AE382" s="36" t="n"/>
      <c r="AF382" s="36" t="n"/>
      <c r="AG382" s="36" t="n"/>
      <c r="AH382" s="36" t="n"/>
      <c r="AI382" s="36" t="n"/>
      <c r="AJ382" s="36" t="n"/>
      <c r="AK382" s="36" t="n"/>
      <c r="AL382" s="36" t="n"/>
      <c r="AM382" s="36" t="n"/>
      <c r="AN382" s="36" t="n"/>
      <c r="AO382" s="36" t="n"/>
      <c r="AP382" s="36" t="n"/>
      <c r="AQ382" s="36" t="n"/>
      <c r="AR382" s="36" t="n"/>
      <c r="AS382" s="36" t="n"/>
      <c r="AT382" s="36" t="n"/>
      <c r="AU382" s="36" t="n"/>
      <c r="AV382" s="36" t="n"/>
      <c r="AW382" s="36" t="n"/>
      <c r="AX382" s="36" t="n"/>
      <c r="AY382" s="36" t="n"/>
      <c r="AZ382" s="36" t="n"/>
      <c r="BA382" s="36" t="n"/>
      <c r="BB382" s="36" t="n"/>
      <c r="BC382" s="36" t="n"/>
      <c r="BD382" s="36" t="n"/>
      <c r="BE382" s="36" t="n"/>
      <c r="BF382" s="36" t="n"/>
      <c r="BG382" s="36" t="n"/>
      <c r="BH382" s="36" t="n"/>
      <c r="BI382" s="36" t="n"/>
      <c r="BJ382" s="36" t="n"/>
      <c r="BK382" s="36" t="n"/>
      <c r="BL382" s="36" t="n"/>
      <c r="BM382" s="36" t="n"/>
      <c r="BN382" s="36" t="n"/>
      <c r="BO382" s="36" t="n"/>
      <c r="BP382" s="36" t="n"/>
      <c r="BQ382" s="36" t="n"/>
      <c r="BR382" s="36" t="n"/>
      <c r="BS382" s="36" t="n"/>
      <c r="BT382" s="36" t="n"/>
      <c r="BU382" s="36" t="n"/>
      <c r="BV382" s="36" t="n"/>
      <c r="BW382" s="36" t="n"/>
      <c r="BX382" s="36" t="n"/>
      <c r="BY382" s="254" t="n"/>
      <c r="BZ382" s="254" t="n"/>
      <c r="CA382" s="254" t="n"/>
      <c r="CB382" s="255" t="n">
        <v>0.05</v>
      </c>
      <c r="CC382" s="255" t="n">
        <v>0.05</v>
      </c>
      <c r="CD382" s="255" t="n">
        <v>0.05</v>
      </c>
      <c r="CE382" s="255" t="n">
        <v>0.05</v>
      </c>
      <c r="CF382" s="19" t="inlineStr">
        <is>
          <t>SOFR (~3.9%) + 1.10% margin.</t>
        </is>
      </c>
    </row>
    <row r="383">
      <c r="B383" s="25" t="inlineStr">
        <is>
          <t xml:space="preserve">  Interest income yield on opening cash %</t>
        </is>
      </c>
      <c r="C383" s="36" t="n"/>
      <c r="D383" s="36" t="n"/>
      <c r="E383" s="36" t="n"/>
      <c r="F383" s="36" t="n"/>
      <c r="G383" s="36" t="n"/>
      <c r="H383" s="36" t="n"/>
      <c r="I383" s="36" t="n"/>
      <c r="J383" s="36" t="n"/>
      <c r="K383" s="36" t="n"/>
      <c r="L383" s="36" t="n"/>
      <c r="M383" s="36" t="n"/>
      <c r="N383" s="36" t="n"/>
      <c r="O383" s="36" t="n"/>
      <c r="P383" s="36" t="n"/>
      <c r="Q383" s="36" t="n"/>
      <c r="R383" s="36" t="n"/>
      <c r="S383" s="36" t="n"/>
      <c r="T383" s="36" t="n"/>
      <c r="U383" s="36" t="n"/>
      <c r="V383" s="36" t="n"/>
      <c r="W383" s="36" t="n"/>
      <c r="X383" s="36" t="n"/>
      <c r="Y383" s="36" t="n"/>
      <c r="Z383" s="36" t="n"/>
      <c r="AA383" s="36" t="n"/>
      <c r="AB383" s="36" t="n"/>
      <c r="AC383" s="36" t="n"/>
      <c r="AD383" s="36" t="n"/>
      <c r="AE383" s="36" t="n"/>
      <c r="AF383" s="36" t="n"/>
      <c r="AG383" s="36" t="n"/>
      <c r="AH383" s="36" t="n"/>
      <c r="AI383" s="36" t="n"/>
      <c r="AJ383" s="36" t="n"/>
      <c r="AK383" s="36" t="n"/>
      <c r="AL383" s="36" t="n"/>
      <c r="AM383" s="36" t="n"/>
      <c r="AN383" s="36" t="n"/>
      <c r="AO383" s="36" t="n"/>
      <c r="AP383" s="36" t="n"/>
      <c r="AQ383" s="36" t="n"/>
      <c r="AR383" s="36" t="n"/>
      <c r="AS383" s="36" t="n"/>
      <c r="AT383" s="36" t="n"/>
      <c r="AU383" s="36" t="n"/>
      <c r="AV383" s="36" t="n"/>
      <c r="AW383" s="36" t="n"/>
      <c r="AX383" s="36" t="n"/>
      <c r="AY383" s="36" t="n"/>
      <c r="AZ383" s="36" t="n"/>
      <c r="BA383" s="36" t="n"/>
      <c r="BB383" s="36" t="n"/>
      <c r="BC383" s="36" t="n"/>
      <c r="BD383" s="36" t="n"/>
      <c r="BE383" s="36" t="n"/>
      <c r="BF383" s="36" t="n"/>
      <c r="BG383" s="36" t="n"/>
      <c r="BH383" s="36" t="n"/>
      <c r="BI383" s="36" t="n"/>
      <c r="BJ383" s="36" t="n"/>
      <c r="BK383" s="36" t="n"/>
      <c r="BL383" s="36" t="n"/>
      <c r="BM383" s="36" t="n"/>
      <c r="BN383" s="36" t="n"/>
      <c r="BO383" s="36" t="n"/>
      <c r="BP383" s="36" t="n"/>
      <c r="BQ383" s="36" t="n"/>
      <c r="BR383" s="36" t="n"/>
      <c r="BS383" s="36" t="n"/>
      <c r="BT383" s="36" t="n"/>
      <c r="BU383" s="36" t="n"/>
      <c r="BV383" s="36" t="n"/>
      <c r="BW383" s="36" t="n"/>
      <c r="BX383" s="36" t="n"/>
      <c r="BY383" s="254" t="n"/>
      <c r="BZ383" s="254" t="n"/>
      <c r="CA383" s="254" t="n"/>
      <c r="CB383" s="255" t="n">
        <v>0.025</v>
      </c>
      <c r="CC383" s="255" t="n">
        <v>0.025</v>
      </c>
      <c r="CD383" s="255" t="n">
        <v>0.025</v>
      </c>
      <c r="CE383" s="255" t="n">
        <v>0.025</v>
      </c>
      <c r="CF383" s="19" t="n"/>
    </row>
    <row r="384">
      <c r="B384" s="14" t="inlineStr">
        <is>
          <t>Leverage-targeted buybacks (repurchases plug to a minimum net debt / Adjusted EBITDA)</t>
        </is>
      </c>
      <c r="C384" s="14" t="n"/>
      <c r="D384" s="14" t="n"/>
      <c r="E384" s="14" t="n"/>
      <c r="F384" s="14" t="n"/>
      <c r="G384" s="14" t="n"/>
      <c r="H384" s="14" t="n"/>
      <c r="I384" s="14" t="n"/>
      <c r="J384" s="14" t="n"/>
      <c r="K384" s="14" t="n"/>
      <c r="L384" s="14" t="n"/>
      <c r="M384" s="14" t="n"/>
      <c r="N384" s="14" t="n"/>
      <c r="O384" s="14" t="n"/>
      <c r="P384" s="14" t="n"/>
      <c r="Q384" s="14" t="n"/>
      <c r="R384" s="14" t="n"/>
      <c r="S384" s="14" t="n"/>
      <c r="T384" s="14" t="n"/>
      <c r="U384" s="14" t="n"/>
      <c r="V384" s="14" t="n"/>
      <c r="W384" s="14" t="n"/>
      <c r="X384" s="14" t="n"/>
      <c r="Y384" s="14" t="n"/>
      <c r="Z384" s="14" t="n"/>
      <c r="AA384" s="14" t="n"/>
      <c r="AB384" s="14" t="n"/>
      <c r="AC384" s="14" t="n"/>
      <c r="AD384" s="14" t="n"/>
      <c r="AE384" s="14" t="n"/>
      <c r="AF384" s="14" t="n"/>
      <c r="AG384" s="14" t="n"/>
      <c r="AH384" s="14" t="n"/>
      <c r="AI384" s="14" t="n"/>
      <c r="AJ384" s="14" t="n"/>
      <c r="AK384" s="14" t="n"/>
      <c r="AL384" s="14" t="n"/>
      <c r="AM384" s="14" t="n"/>
      <c r="AN384" s="14" t="n"/>
      <c r="AO384" s="14" t="n"/>
      <c r="AP384" s="14" t="n"/>
      <c r="AQ384" s="14" t="n"/>
      <c r="AR384" s="14" t="n"/>
      <c r="AS384" s="14" t="n"/>
      <c r="AT384" s="14" t="n"/>
      <c r="AU384" s="14" t="n"/>
      <c r="AV384" s="14" t="n"/>
      <c r="AW384" s="14" t="n"/>
      <c r="AX384" s="14" t="n"/>
      <c r="AY384" s="14" t="n"/>
      <c r="AZ384" s="14" t="n"/>
      <c r="BA384" s="14" t="n"/>
      <c r="BB384" s="14" t="n"/>
      <c r="BC384" s="14" t="n"/>
      <c r="BD384" s="14" t="n"/>
      <c r="BE384" s="14" t="n"/>
      <c r="BF384" s="14" t="n"/>
      <c r="BG384" s="14" t="n"/>
      <c r="BH384" s="14" t="n"/>
      <c r="BI384" s="14" t="n"/>
      <c r="BJ384" s="14" t="n"/>
      <c r="BK384" s="14" t="n"/>
      <c r="BL384" s="14" t="n"/>
      <c r="BM384" s="14" t="n"/>
      <c r="BN384" s="14" t="n"/>
      <c r="BO384" s="14" t="n"/>
      <c r="BP384" s="14" t="n"/>
      <c r="BQ384" s="14" t="n"/>
      <c r="BR384" s="14" t="n"/>
      <c r="BS384" s="14" t="n"/>
      <c r="BT384" s="14" t="n"/>
      <c r="BU384" s="14" t="n"/>
      <c r="BV384" s="14" t="n"/>
      <c r="BW384" s="14" t="n"/>
      <c r="BX384" s="14" t="n"/>
      <c r="BY384" s="14" t="n"/>
      <c r="BZ384" s="14" t="n"/>
      <c r="CA384" s="14" t="n"/>
      <c r="CB384" s="14" t="n"/>
      <c r="CC384" s="14" t="n"/>
      <c r="CD384" s="14" t="n"/>
      <c r="CE384" s="14" t="n"/>
      <c r="CF384" s="15" t="n"/>
    </row>
    <row r="385">
      <c r="B385" s="25" t="inlineStr">
        <is>
          <t xml:space="preserve">  Minimum net debt / Adjusted EBITDA (x) (scenario)</t>
        </is>
      </c>
      <c r="C385" s="284" t="n"/>
      <c r="D385" s="284" t="n"/>
      <c r="E385" s="284" t="n"/>
      <c r="F385" s="284" t="n"/>
      <c r="G385" s="284" t="n"/>
      <c r="H385" s="284" t="n"/>
      <c r="I385" s="284" t="n"/>
      <c r="J385" s="284" t="n"/>
      <c r="K385" s="284" t="n"/>
      <c r="L385" s="284" t="n"/>
      <c r="M385" s="284" t="n"/>
      <c r="N385" s="284" t="n"/>
      <c r="O385" s="284" t="n"/>
      <c r="P385" s="284" t="n"/>
      <c r="Q385" s="284" t="n"/>
      <c r="R385" s="284" t="n"/>
      <c r="S385" s="284" t="n"/>
      <c r="T385" s="284" t="n"/>
      <c r="U385" s="284" t="n"/>
      <c r="V385" s="284" t="n"/>
      <c r="W385" s="284" t="n"/>
      <c r="X385" s="284" t="n"/>
      <c r="Y385" s="284" t="n"/>
      <c r="Z385" s="284" t="n"/>
      <c r="AA385" s="284" t="n"/>
      <c r="AB385" s="284" t="n"/>
      <c r="AC385" s="284" t="n"/>
      <c r="AD385" s="284" t="n"/>
      <c r="AE385" s="284" t="n"/>
      <c r="AF385" s="284" t="n"/>
      <c r="AG385" s="284" t="n"/>
      <c r="AH385" s="284" t="n"/>
      <c r="AI385" s="284" t="n"/>
      <c r="AJ385" s="284" t="n"/>
      <c r="AK385" s="284" t="n"/>
      <c r="AL385" s="284" t="n"/>
      <c r="AM385" s="284" t="n"/>
      <c r="AN385" s="284" t="n"/>
      <c r="AO385" s="284" t="n"/>
      <c r="AP385" s="284" t="n"/>
      <c r="AQ385" s="284" t="n"/>
      <c r="AR385" s="284" t="n"/>
      <c r="AS385" s="284" t="n"/>
      <c r="AT385" s="284" t="n"/>
      <c r="AU385" s="284" t="n"/>
      <c r="AV385" s="284" t="n"/>
      <c r="AW385" s="284" t="n"/>
      <c r="AX385" s="284" t="n"/>
      <c r="AY385" s="284" t="n"/>
      <c r="AZ385" s="284" t="n"/>
      <c r="BA385" s="284" t="n"/>
      <c r="BB385" s="284" t="n"/>
      <c r="BC385" s="284" t="n"/>
      <c r="BD385" s="284" t="n"/>
      <c r="BE385" s="284" t="n"/>
      <c r="BF385" s="284" t="n"/>
      <c r="BG385" s="284" t="n"/>
      <c r="BH385" s="284" t="n"/>
      <c r="BI385" s="284" t="n"/>
      <c r="BJ385" s="284" t="n"/>
      <c r="BK385" s="284" t="n"/>
      <c r="BL385" s="284" t="n"/>
      <c r="BM385" s="284" t="n"/>
      <c r="BN385" s="284" t="n"/>
      <c r="BO385" s="284" t="n"/>
      <c r="BP385" s="284" t="n"/>
      <c r="BQ385" s="284" t="n"/>
      <c r="BR385" s="284" t="n"/>
      <c r="BS385" s="284" t="n"/>
      <c r="BT385" s="284" t="n"/>
      <c r="BU385" s="284" t="n"/>
      <c r="BV385" s="284" t="n"/>
      <c r="BW385" s="284" t="n"/>
      <c r="BX385" s="284" t="n"/>
      <c r="BY385" s="278" t="n"/>
      <c r="BZ385" s="278" t="n"/>
      <c r="CA385" s="278" t="n"/>
      <c r="CB385" s="278">
        <f>CHOOSE(MATCH($CF$2,{"Bull","Base","Bear"},0),$CO$21,$CP$21,$CQ$21)</f>
        <v>1</v>
      </c>
      <c r="CC385" s="278">
        <f>CHOOSE(MATCH($CF$2,{"Bull","Base","Bear"},0),$CO$21,$CP$21,$CQ$21)</f>
        <v>1</v>
      </c>
      <c r="CD385" s="278">
        <f>CHOOSE(MATCH($CF$2,{"Bull","Base","Bear"},0),$CO$21,$CP$21,$CQ$21)</f>
        <v>1</v>
      </c>
      <c r="CE385" s="278">
        <f>CHOOSE(MATCH($CF$2,{"Bull","Base","Bear"},0),$CO$21,$CP$21,$CQ$21)</f>
        <v>1</v>
      </c>
      <c r="CF385" s="19" t="inlineStr">
        <is>
          <t>Surplus cash above the leverage floor is returned through repurchases (LECO returned ~100% of FCF in 2023–25).</t>
        </is>
      </c>
    </row>
    <row r="386">
      <c r="B386" s="25" t="inlineStr">
        <is>
          <t xml:space="preserve">  Net debt before buybacks (year end)</t>
        </is>
      </c>
      <c r="C386" s="34" t="n"/>
      <c r="D386" s="34" t="n"/>
      <c r="E386" s="34" t="n"/>
      <c r="F386" s="34" t="n"/>
      <c r="G386" s="34" t="n"/>
      <c r="H386" s="34" t="n"/>
      <c r="I386" s="34" t="n"/>
      <c r="J386" s="34" t="n"/>
      <c r="K386" s="34" t="n"/>
      <c r="L386" s="34" t="n"/>
      <c r="M386" s="34" t="n"/>
      <c r="N386" s="34" t="n"/>
      <c r="O386" s="34" t="n"/>
      <c r="P386" s="34" t="n"/>
      <c r="Q386" s="34" t="n"/>
      <c r="R386" s="34" t="n"/>
      <c r="S386" s="34" t="n"/>
      <c r="T386" s="34" t="n"/>
      <c r="U386" s="34" t="n"/>
      <c r="V386" s="34" t="n"/>
      <c r="W386" s="34" t="n"/>
      <c r="X386" s="34" t="n"/>
      <c r="Y386" s="34" t="n"/>
      <c r="Z386" s="34" t="n"/>
      <c r="AA386" s="34" t="n"/>
      <c r="AB386" s="34" t="n"/>
      <c r="AC386" s="34" t="n"/>
      <c r="AD386" s="34" t="n"/>
      <c r="AE386" s="34" t="n"/>
      <c r="AF386" s="34" t="n"/>
      <c r="AG386" s="34" t="n"/>
      <c r="AH386" s="34" t="n"/>
      <c r="AI386" s="34" t="n"/>
      <c r="AJ386" s="34" t="n"/>
      <c r="AK386" s="34" t="n"/>
      <c r="AL386" s="34" t="n"/>
      <c r="AM386" s="34" t="n"/>
      <c r="AN386" s="34" t="n"/>
      <c r="AO386" s="34" t="n"/>
      <c r="AP386" s="34" t="n"/>
      <c r="AQ386" s="34" t="n"/>
      <c r="AR386" s="34" t="n"/>
      <c r="AS386" s="34" t="n"/>
      <c r="AT386" s="34" t="n"/>
      <c r="AU386" s="34" t="n"/>
      <c r="AV386" s="34" t="n"/>
      <c r="AW386" s="34" t="n"/>
      <c r="AX386" s="34" t="n"/>
      <c r="AY386" s="34" t="n"/>
      <c r="AZ386" s="34" t="n"/>
      <c r="BA386" s="34" t="n"/>
      <c r="BB386" s="34" t="n"/>
      <c r="BC386" s="34" t="n"/>
      <c r="BD386" s="34" t="n"/>
      <c r="BE386" s="34" t="n"/>
      <c r="BF386" s="34" t="n"/>
      <c r="BG386" s="34" t="n"/>
      <c r="BH386" s="34" t="n"/>
      <c r="BI386" s="34" t="n"/>
      <c r="BJ386" s="34" t="n"/>
      <c r="BK386" s="34" t="n"/>
      <c r="BL386" s="34" t="n"/>
      <c r="BM386" s="34" t="n"/>
      <c r="BN386" s="34" t="n"/>
      <c r="BO386" s="34" t="n"/>
      <c r="BP386" s="34" t="n"/>
      <c r="BQ386" s="34" t="n"/>
      <c r="BR386" s="34" t="n"/>
      <c r="BS386" s="34" t="n"/>
      <c r="BT386" s="34" t="n"/>
      <c r="BU386" s="34" t="n"/>
      <c r="BV386" s="34" t="n"/>
      <c r="BW386" s="34" t="n"/>
      <c r="BX386" s="34" t="n"/>
      <c r="BY386" s="257" t="n"/>
      <c r="BZ386" s="257" t="n"/>
      <c r="CA386" s="257" t="n"/>
      <c r="CB386" s="257">
        <f>CA375+CA379-CA321-CB277-CB282-CB286-CB288-CB289-CB291</f>
        <v>643.038239484214</v>
      </c>
      <c r="CC386" s="257">
        <f>CB375+CB379-CB321-CC277-CC282-CC286-CC288-CC289-CC291</f>
        <v>796.262103145839</v>
      </c>
      <c r="CD386" s="257">
        <f>CC375+CC379-CC321-CD277-CD282-CD286-CD288-CD289-CD291</f>
        <v>838.419172330964</v>
      </c>
      <c r="CE386" s="257">
        <f>CD375+CD379-CD321-CE277-CE282-CE286-CE288-CE289-CE291</f>
        <v>878.771677129696</v>
      </c>
      <c r="CF386" s="19" t="n"/>
    </row>
    <row r="387">
      <c r="B387" s="25" t="inlineStr">
        <is>
          <t xml:space="preserve">  Target minimum net debt = min. leverage × Adjusted EBITDA</t>
        </is>
      </c>
      <c r="C387" s="34" t="n"/>
      <c r="D387" s="34" t="n"/>
      <c r="E387" s="34" t="n"/>
      <c r="F387" s="34" t="n"/>
      <c r="G387" s="34" t="n"/>
      <c r="H387" s="34" t="n"/>
      <c r="I387" s="34" t="n"/>
      <c r="J387" s="34" t="n"/>
      <c r="K387" s="34" t="n"/>
      <c r="L387" s="34" t="n"/>
      <c r="M387" s="34" t="n"/>
      <c r="N387" s="34" t="n"/>
      <c r="O387" s="34" t="n"/>
      <c r="P387" s="34" t="n"/>
      <c r="Q387" s="34" t="n"/>
      <c r="R387" s="34" t="n"/>
      <c r="S387" s="34" t="n"/>
      <c r="T387" s="34" t="n"/>
      <c r="U387" s="34" t="n"/>
      <c r="V387" s="34" t="n"/>
      <c r="W387" s="34" t="n"/>
      <c r="X387" s="34" t="n"/>
      <c r="Y387" s="34" t="n"/>
      <c r="Z387" s="34" t="n"/>
      <c r="AA387" s="34" t="n"/>
      <c r="AB387" s="34" t="n"/>
      <c r="AC387" s="34" t="n"/>
      <c r="AD387" s="34" t="n"/>
      <c r="AE387" s="34" t="n"/>
      <c r="AF387" s="34" t="n"/>
      <c r="AG387" s="34" t="n"/>
      <c r="AH387" s="34" t="n"/>
      <c r="AI387" s="34" t="n"/>
      <c r="AJ387" s="34" t="n"/>
      <c r="AK387" s="34" t="n"/>
      <c r="AL387" s="34" t="n"/>
      <c r="AM387" s="34" t="n"/>
      <c r="AN387" s="34" t="n"/>
      <c r="AO387" s="34" t="n"/>
      <c r="AP387" s="34" t="n"/>
      <c r="AQ387" s="34" t="n"/>
      <c r="AR387" s="34" t="n"/>
      <c r="AS387" s="34" t="n"/>
      <c r="AT387" s="34" t="n"/>
      <c r="AU387" s="34" t="n"/>
      <c r="AV387" s="34" t="n"/>
      <c r="AW387" s="34" t="n"/>
      <c r="AX387" s="34" t="n"/>
      <c r="AY387" s="34" t="n"/>
      <c r="AZ387" s="34" t="n"/>
      <c r="BA387" s="34" t="n"/>
      <c r="BB387" s="34" t="n"/>
      <c r="BC387" s="34" t="n"/>
      <c r="BD387" s="34" t="n"/>
      <c r="BE387" s="34" t="n"/>
      <c r="BF387" s="34" t="n"/>
      <c r="BG387" s="34" t="n"/>
      <c r="BH387" s="34" t="n"/>
      <c r="BI387" s="34" t="n"/>
      <c r="BJ387" s="34" t="n"/>
      <c r="BK387" s="34" t="n"/>
      <c r="BL387" s="34" t="n"/>
      <c r="BM387" s="34" t="n"/>
      <c r="BN387" s="34" t="n"/>
      <c r="BO387" s="34" t="n"/>
      <c r="BP387" s="34" t="n"/>
      <c r="BQ387" s="34" t="n"/>
      <c r="BR387" s="34" t="n"/>
      <c r="BS387" s="34" t="n"/>
      <c r="BT387" s="34" t="n"/>
      <c r="BU387" s="34" t="n"/>
      <c r="BV387" s="34" t="n"/>
      <c r="BW387" s="34" t="n"/>
      <c r="BX387" s="34" t="n"/>
      <c r="BY387" s="257" t="n"/>
      <c r="BZ387" s="257" t="n"/>
      <c r="CA387" s="257" t="n"/>
      <c r="CB387" s="257">
        <f>CB385*CB229</f>
        <v>1054.69437734224</v>
      </c>
      <c r="CC387" s="257">
        <f>CC385*CC229</f>
        <v>1164.81096416513</v>
      </c>
      <c r="CD387" s="257">
        <f>CD385*CD229</f>
        <v>1276.88077213992</v>
      </c>
      <c r="CE387" s="257">
        <f>CE385*CE229</f>
        <v>1394.21304125132</v>
      </c>
      <c r="CF387" s="19" t="n"/>
    </row>
    <row r="388">
      <c r="B388" s="16" t="inlineStr">
        <is>
          <t xml:space="preserve">  Share repurchases: plug to minimum leverage</t>
        </is>
      </c>
      <c r="C388" s="43" t="n"/>
      <c r="D388" s="43" t="n"/>
      <c r="E388" s="43" t="n"/>
      <c r="F388" s="43" t="n"/>
      <c r="G388" s="43" t="n"/>
      <c r="H388" s="43" t="n"/>
      <c r="I388" s="43" t="n"/>
      <c r="J388" s="43" t="n"/>
      <c r="K388" s="43" t="n"/>
      <c r="L388" s="43" t="n"/>
      <c r="M388" s="43" t="n"/>
      <c r="N388" s="43" t="n"/>
      <c r="O388" s="43" t="n"/>
      <c r="P388" s="43" t="n"/>
      <c r="Q388" s="43" t="n"/>
      <c r="R388" s="43" t="n"/>
      <c r="S388" s="43" t="n"/>
      <c r="T388" s="43" t="n"/>
      <c r="U388" s="43" t="n"/>
      <c r="V388" s="43" t="n"/>
      <c r="W388" s="43" t="n"/>
      <c r="X388" s="43" t="n"/>
      <c r="Y388" s="43" t="n"/>
      <c r="Z388" s="43" t="n"/>
      <c r="AA388" s="43" t="n"/>
      <c r="AB388" s="43" t="n"/>
      <c r="AC388" s="43" t="n"/>
      <c r="AD388" s="43" t="n"/>
      <c r="AE388" s="43" t="n"/>
      <c r="AF388" s="43" t="n"/>
      <c r="AG388" s="43" t="n"/>
      <c r="AH388" s="43" t="n"/>
      <c r="AI388" s="43" t="n"/>
      <c r="AJ388" s="43" t="n"/>
      <c r="AK388" s="43" t="n"/>
      <c r="AL388" s="43" t="n"/>
      <c r="AM388" s="43" t="n"/>
      <c r="AN388" s="43" t="n"/>
      <c r="AO388" s="43" t="n"/>
      <c r="AP388" s="43" t="n"/>
      <c r="AQ388" s="43" t="n"/>
      <c r="AR388" s="43" t="n"/>
      <c r="AS388" s="43" t="n"/>
      <c r="AT388" s="43" t="n"/>
      <c r="AU388" s="43" t="n"/>
      <c r="AV388" s="43" t="n"/>
      <c r="AW388" s="43" t="n"/>
      <c r="AX388" s="43" t="n"/>
      <c r="AY388" s="43" t="n"/>
      <c r="AZ388" s="43" t="n"/>
      <c r="BA388" s="43" t="n"/>
      <c r="BB388" s="43" t="n"/>
      <c r="BC388" s="43" t="n"/>
      <c r="BD388" s="43" t="n"/>
      <c r="BE388" s="43" t="n"/>
      <c r="BF388" s="43" t="n"/>
      <c r="BG388" s="43" t="n"/>
      <c r="BH388" s="43" t="n"/>
      <c r="BI388" s="43" t="n"/>
      <c r="BJ388" s="43" t="n"/>
      <c r="BK388" s="43" t="n"/>
      <c r="BL388" s="43" t="n"/>
      <c r="BM388" s="43" t="n"/>
      <c r="BN388" s="43" t="n"/>
      <c r="BO388" s="43" t="n"/>
      <c r="BP388" s="43" t="n"/>
      <c r="BQ388" s="43" t="n"/>
      <c r="BR388" s="43" t="n"/>
      <c r="BS388" s="43" t="n"/>
      <c r="BT388" s="43" t="n"/>
      <c r="BU388" s="43" t="n"/>
      <c r="BV388" s="43" t="n"/>
      <c r="BW388" s="43" t="n"/>
      <c r="BX388" s="43" t="n"/>
      <c r="BY388" s="253" t="n"/>
      <c r="BZ388" s="253" t="n"/>
      <c r="CA388" s="253" t="n"/>
      <c r="CB388" s="253">
        <f>MAX(0,CB387-CB386)</f>
        <v>411.656137858025</v>
      </c>
      <c r="CC388" s="253">
        <f>MAX(0,CC387-CC386)</f>
        <v>368.548861019296</v>
      </c>
      <c r="CD388" s="253">
        <f>MAX(0,CD387-CD386)</f>
        <v>438.461599808954</v>
      </c>
      <c r="CE388" s="253">
        <f>MAX(0,CE387-CE386)</f>
        <v>515.441364121626</v>
      </c>
      <c r="CF388" s="19" t="inlineStr">
        <is>
          <t>Feeds the cash-flow repurchase line.</t>
        </is>
      </c>
    </row>
    <row r="389">
      <c r="B389" s="14" t="inlineStr">
        <is>
          <t>Historical reference (driver context)</t>
        </is>
      </c>
      <c r="C389" s="14" t="n"/>
      <c r="D389" s="14" t="n"/>
      <c r="E389" s="14" t="n"/>
      <c r="F389" s="14" t="n"/>
      <c r="G389" s="14" t="n"/>
      <c r="H389" s="14" t="n"/>
      <c r="I389" s="14" t="n"/>
      <c r="J389" s="14" t="n"/>
      <c r="K389" s="14" t="n"/>
      <c r="L389" s="14" t="n"/>
      <c r="M389" s="14" t="n"/>
      <c r="N389" s="14" t="n"/>
      <c r="O389" s="14" t="n"/>
      <c r="P389" s="14" t="n"/>
      <c r="Q389" s="14" t="n"/>
      <c r="R389" s="14" t="n"/>
      <c r="S389" s="14" t="n"/>
      <c r="T389" s="14" t="n"/>
      <c r="U389" s="14" t="n"/>
      <c r="V389" s="14" t="n"/>
      <c r="W389" s="14" t="n"/>
      <c r="X389" s="14" t="n"/>
      <c r="Y389" s="14" t="n"/>
      <c r="Z389" s="14" t="n"/>
      <c r="AA389" s="14" t="n"/>
      <c r="AB389" s="14" t="n"/>
      <c r="AC389" s="14" t="n"/>
      <c r="AD389" s="14" t="n"/>
      <c r="AE389" s="14" t="n"/>
      <c r="AF389" s="14" t="n"/>
      <c r="AG389" s="14" t="n"/>
      <c r="AH389" s="14" t="n"/>
      <c r="AI389" s="14" t="n"/>
      <c r="AJ389" s="14" t="n"/>
      <c r="AK389" s="14" t="n"/>
      <c r="AL389" s="14" t="n"/>
      <c r="AM389" s="14" t="n"/>
      <c r="AN389" s="14" t="n"/>
      <c r="AO389" s="14" t="n"/>
      <c r="AP389" s="14" t="n"/>
      <c r="AQ389" s="14" t="n"/>
      <c r="AR389" s="14" t="n"/>
      <c r="AS389" s="14" t="n"/>
      <c r="AT389" s="14" t="n"/>
      <c r="AU389" s="14" t="n"/>
      <c r="AV389" s="14" t="n"/>
      <c r="AW389" s="14" t="n"/>
      <c r="AX389" s="14" t="n"/>
      <c r="AY389" s="14" t="n"/>
      <c r="AZ389" s="14" t="n"/>
      <c r="BA389" s="14" t="n"/>
      <c r="BB389" s="14" t="n"/>
      <c r="BC389" s="14" t="n"/>
      <c r="BD389" s="14" t="n"/>
      <c r="BE389" s="14" t="n"/>
      <c r="BF389" s="14" t="n"/>
      <c r="BG389" s="14" t="n"/>
      <c r="BH389" s="14" t="n"/>
      <c r="BI389" s="14" t="n"/>
      <c r="BJ389" s="14" t="n"/>
      <c r="BK389" s="14" t="n"/>
      <c r="BL389" s="14" t="n"/>
      <c r="BM389" s="14" t="n"/>
      <c r="BN389" s="14" t="n"/>
      <c r="BO389" s="14" t="n"/>
      <c r="BP389" s="14" t="n"/>
      <c r="BQ389" s="14" t="n"/>
      <c r="BR389" s="14" t="n"/>
      <c r="BS389" s="14" t="n"/>
      <c r="BT389" s="14" t="n"/>
      <c r="BU389" s="14" t="n"/>
      <c r="BV389" s="14" t="n"/>
      <c r="BW389" s="14" t="n"/>
      <c r="BX389" s="14" t="n"/>
      <c r="BY389" s="14" t="n"/>
      <c r="BZ389" s="14" t="n"/>
      <c r="CA389" s="14" t="n"/>
      <c r="CB389" s="14" t="n"/>
      <c r="CC389" s="14" t="n"/>
      <c r="CD389" s="14" t="n"/>
      <c r="CE389" s="14" t="n"/>
      <c r="CF389" s="15" t="n"/>
    </row>
    <row r="390">
      <c r="B390" s="25" t="inlineStr">
        <is>
          <t xml:space="preserve">  Total D&amp;A % of net sales</t>
        </is>
      </c>
      <c r="C390" s="36">
        <f>IF(AND(ISNUMBER(C148),ISNUMBER(C154)),IFERROR(C148/C154,""),"")</f>
        <v>0.0242530737886775</v>
      </c>
      <c r="D390" s="36">
        <f>IF(AND(ISNUMBER(D148),ISNUMBER(D154)),IFERROR(D148/D154,""),"")</f>
        <v>0.0230666297203067</v>
      </c>
      <c r="E390" s="36">
        <f>IF(AND(ISNUMBER(E148),ISNUMBER(E154)),IFERROR(E148/E154,""),"")</f>
        <v>0.022961674877205</v>
      </c>
      <c r="F390" s="36">
        <f>IF(AND(ISNUMBER(F148),ISNUMBER(F154)),IFERROR(F148/F154,""),"")</f>
        <v>0.0327291337171143</v>
      </c>
      <c r="G390" s="36">
        <f>IF(AND(ISNUMBER(G148),ISNUMBER(G154)),IFERROR(G148/G154,""),"")</f>
        <v>0.0277063934784163</v>
      </c>
      <c r="H390" s="36">
        <f>IF(AND(ISNUMBER(H148),ISNUMBER(H154)),IFERROR(H148/H154,""),"")</f>
        <v>0.0230278307539239</v>
      </c>
      <c r="I390" s="36">
        <f>IF(AND(ISNUMBER(I148),ISNUMBER(I154)),IFERROR(I148/I154,""),"")</f>
        <v>0.0228971597414563</v>
      </c>
      <c r="J390" s="36">
        <f>IF(AND(ISNUMBER(J148),ISNUMBER(J154)),IFERROR(J148/J154,""),"")</f>
        <v>0.024210483833932</v>
      </c>
      <c r="K390" s="36">
        <f>IF(AND(ISNUMBER(K148),ISNUMBER(K154)),IFERROR(K148/K154,""),"")</f>
        <v>0.0235870844285102</v>
      </c>
      <c r="L390" s="36">
        <f>IF(AND(ISNUMBER(L148),ISNUMBER(L154)),IFERROR(L148/L154,""),"")</f>
        <v>0.0250420957542909</v>
      </c>
      <c r="M390" s="36">
        <f>IF(AND(ISNUMBER(M148),ISNUMBER(M154)),IFERROR(M148/M154,""),"")</f>
        <v>0.0237859738021324</v>
      </c>
      <c r="N390" s="36">
        <f>IF(AND(ISNUMBER(N148),ISNUMBER(N154)),IFERROR(N148/N154,""),"")</f>
        <v>0.0241468434319976</v>
      </c>
      <c r="O390" s="36">
        <f>IF(AND(ISNUMBER(O148),ISNUMBER(O154)),IFERROR(O148/O154,""),"")</f>
        <v>0.0261742732774552</v>
      </c>
      <c r="P390" s="36">
        <f>IF(AND(ISNUMBER(P148),ISNUMBER(P154)),IFERROR(P148/P154,""),"")</f>
        <v>0.0246647019824826</v>
      </c>
      <c r="Q390" s="36">
        <f>IF(AND(ISNUMBER(Q148),ISNUMBER(Q154)),IFERROR(Q148/Q154,""),"")</f>
        <v>0.0239138726167507</v>
      </c>
      <c r="R390" s="36">
        <f>IF(AND(ISNUMBER(R148),ISNUMBER(R154)),IFERROR(R148/R154,""),"")</f>
        <v>0.0242560172175322</v>
      </c>
      <c r="S390" s="36">
        <f>IF(AND(ISNUMBER(S148),ISNUMBER(S154)),IFERROR(S148/S154,""),"")</f>
        <v>0.0247419067267048</v>
      </c>
      <c r="T390" s="36">
        <f>IF(AND(ISNUMBER(T148),ISNUMBER(T154)),IFERROR(T148/T154,""),"")</f>
        <v>0.0243684450524396</v>
      </c>
      <c r="U390" s="36">
        <f>IF(AND(ISNUMBER(U148),ISNUMBER(U154)),IFERROR(U148/U154,""),"")</f>
        <v>0.0235971958961398</v>
      </c>
      <c r="V390" s="36">
        <f>IF(AND(ISNUMBER(V148),ISNUMBER(V154)),IFERROR(V148/V154,""),"")</f>
        <v>0.0250772669359514</v>
      </c>
      <c r="W390" s="36">
        <f>IF(AND(ISNUMBER(W148),ISNUMBER(W154)),IFERROR(W148/W154,""),"")</f>
        <v>0.0283634250904513</v>
      </c>
      <c r="X390" s="36">
        <f>IF(AND(ISNUMBER(X148),ISNUMBER(X154)),IFERROR(X148/X154,""),"")</f>
        <v>0.0252414335408557</v>
      </c>
      <c r="Y390" s="36">
        <f>IF(AND(ISNUMBER(Y148),ISNUMBER(Y154)),IFERROR(Y148/Y154,""),"")</f>
        <v>0.0283718464125276</v>
      </c>
      <c r="Z390" s="36">
        <f>IF(AND(ISNUMBER(Z148),ISNUMBER(Z154)),IFERROR(Z148/Z154,""),"")</f>
        <v>0.0280325715964066</v>
      </c>
      <c r="AA390" s="36">
        <f>IF(AND(ISNUMBER(AA148),ISNUMBER(AA154)),IFERROR(AA148/AA154,""),"")</f>
        <v>0.0286498979998097</v>
      </c>
      <c r="AB390" s="36">
        <f>IF(AND(ISNUMBER(AB148),ISNUMBER(AB154)),IFERROR(AB148/AB154,""),"")</f>
        <v>0.0294025837666806</v>
      </c>
      <c r="AC390" s="36">
        <f>IF(AND(ISNUMBER(AC148),ISNUMBER(AC154)),IFERROR(AC148/AC154,""),"")</f>
        <v>0.0286083704751663</v>
      </c>
      <c r="AD390" s="36">
        <f>IF(AND(ISNUMBER(AD148),ISNUMBER(AD154)),IFERROR(AD148/AD154,""),"")</f>
        <v>0.0278293742264119</v>
      </c>
      <c r="AE390" s="36">
        <f>IF(AND(ISNUMBER(AE148),ISNUMBER(AE154)),IFERROR(AE148/AE154,""),"")</f>
        <v>0.0252688806715396</v>
      </c>
      <c r="AF390" s="36">
        <f>IF(AND(ISNUMBER(AF148),ISNUMBER(AF154)),IFERROR(AF148/AF154,""),"")</f>
        <v>0.0275597431481529</v>
      </c>
      <c r="AG390" s="36">
        <f>IF(AND(ISNUMBER(AG148),ISNUMBER(AG154)),IFERROR(AG148/AG154,""),"")</f>
        <v>0.0236327014059436</v>
      </c>
      <c r="AH390" s="36">
        <f>IF(AND(ISNUMBER(AH148),ISNUMBER(AH154)),IFERROR(AH148/AH154,""),"")</f>
        <v>0.0259541973098169</v>
      </c>
      <c r="AI390" s="36">
        <f>IF(AND(ISNUMBER(AI148),ISNUMBER(AI154)),IFERROR(AI148/AI154,""),"")</f>
        <v>0.0239330813413295</v>
      </c>
      <c r="AJ390" s="36">
        <f>IF(AND(ISNUMBER(AJ148),ISNUMBER(AJ154)),IFERROR(AJ148/AJ154,""),"")</f>
        <v>0.0230225352255295</v>
      </c>
      <c r="AK390" s="36">
        <f>IF(AND(ISNUMBER(AK148),ISNUMBER(AK154)),IFERROR(AK148/AK154,""),"")</f>
        <v>0.0239085930112509</v>
      </c>
      <c r="AL390" s="36">
        <f>IF(AND(ISNUMBER(AL148),ISNUMBER(AL154)),IFERROR(AL148/AL154,""),"")</f>
        <v>0.0247369347980108</v>
      </c>
      <c r="AM390" s="36">
        <f>IF(AND(ISNUMBER(AM148),ISNUMBER(AM154)),IFERROR(AM148/AM154,""),"")</f>
        <v>0.0238870211848486</v>
      </c>
      <c r="AN390" s="36">
        <f>IF(AND(ISNUMBER(AN148),ISNUMBER(AN154)),IFERROR(AN148/AN154,""),"")</f>
        <v>0.0248967957279886</v>
      </c>
      <c r="AO390" s="36">
        <f>IF(AND(ISNUMBER(AO148),ISNUMBER(AO154)),IFERROR(AO148/AO154,""),"")</f>
        <v>0.0261914935238762</v>
      </c>
      <c r="AP390" s="36">
        <f>IF(AND(ISNUMBER(AP148),ISNUMBER(AP154)),IFERROR(AP148/AP154,""),"")</f>
        <v>0.0289388231527006</v>
      </c>
      <c r="AQ390" s="36">
        <f>IF(AND(ISNUMBER(AQ148),ISNUMBER(AQ154)),IFERROR(AQ148/AQ154,""),"")</f>
        <v>0.0286388693846453</v>
      </c>
      <c r="AR390" s="36">
        <f>IF(AND(ISNUMBER(AR148),ISNUMBER(AR154)),IFERROR(AR148/AR154,""),"")</f>
        <v>0.0271327405576318</v>
      </c>
      <c r="AS390" s="36">
        <f>IF(AND(ISNUMBER(AS148),ISNUMBER(AS154)),IFERROR(AS148/AS154,""),"")</f>
        <v>0.0299547999903133</v>
      </c>
      <c r="AT390" s="36">
        <f>IF(AND(ISNUMBER(AT148),ISNUMBER(AT154)),IFERROR(AT148/AT154,""),"")</f>
        <v>0.0339412283508287</v>
      </c>
      <c r="AU390" s="36">
        <f>IF(AND(ISNUMBER(AU148),ISNUMBER(AU154)),IFERROR(AU148/AU154,""),"")</f>
        <v>0.0291349224384351</v>
      </c>
      <c r="AV390" s="36">
        <f>IF(AND(ISNUMBER(AV148),ISNUMBER(AV154)),IFERROR(AV148/AV154,""),"")</f>
        <v>0.0287203406198382</v>
      </c>
      <c r="AW390" s="36">
        <f>IF(AND(ISNUMBER(AW148),ISNUMBER(AW154)),IFERROR(AW148/AW154,""),"")</f>
        <v>0.0303125706108308</v>
      </c>
      <c r="AX390" s="36">
        <f>IF(AND(ISNUMBER(AX148),ISNUMBER(AX154)),IFERROR(AX148/AX154,""),"")</f>
        <v>0.025254253184522</v>
      </c>
      <c r="AY390" s="36">
        <f>IF(AND(ISNUMBER(AY148),ISNUMBER(AY154)),IFERROR(AY148/AY154,""),"")</f>
        <v>0.0234616808679007</v>
      </c>
      <c r="AZ390" s="36">
        <f>IF(AND(ISNUMBER(AZ148),ISNUMBER(AZ154)),IFERROR(AZ148/AZ154,""),"")</f>
        <v>0.0273419190679196</v>
      </c>
      <c r="BA390" s="36">
        <f>IF(AND(ISNUMBER(BA148),ISNUMBER(BA154)),IFERROR(BA148/BA154,""),"")</f>
        <v>0.0243861126608082</v>
      </c>
      <c r="BB390" s="36">
        <f>IF(AND(ISNUMBER(BB148),ISNUMBER(BB154)),IFERROR(BB148/BB154,""),"")</f>
        <v>0.0250901310378519</v>
      </c>
      <c r="BC390" s="36">
        <f>IF(AND(ISNUMBER(BC148),ISNUMBER(BC154)),IFERROR(BC148/BC154,""),"")</f>
        <v>0.0214933740199341</v>
      </c>
      <c r="BD390" s="36">
        <f>IF(AND(ISNUMBER(BD148),ISNUMBER(BD154)),IFERROR(BD148/BD154,""),"")</f>
        <v>0.0204911565622135</v>
      </c>
      <c r="BE390" s="36">
        <f>IF(AND(ISNUMBER(BE148),ISNUMBER(BE154)),IFERROR(BE148/BE154,""),"")</f>
        <v>0.0205829519695479</v>
      </c>
      <c r="BF390" s="36">
        <f>IF(AND(ISNUMBER(BF148),ISNUMBER(BF154)),IFERROR(BF148/BF154,""),"")</f>
        <v>0.0204633196338301</v>
      </c>
      <c r="BG390" s="36">
        <f>IF(AND(ISNUMBER(BG148),ISNUMBER(BG154)),IFERROR(BG148/BG154,""),"")</f>
        <v>0.0207536881073675</v>
      </c>
      <c r="BH390" s="36">
        <f>IF(AND(ISNUMBER(BH148),ISNUMBER(BH154)),IFERROR(BH148/BH154,""),"")</f>
        <v>0.0204889050101843</v>
      </c>
      <c r="BI390" s="36">
        <f>IF(AND(ISNUMBER(BI148),ISNUMBER(BI154)),IFERROR(BI148/BI154,""),"")</f>
        <v>0.0206654000462018</v>
      </c>
      <c r="BJ390" s="36">
        <f>IF(AND(ISNUMBER(BJ148),ISNUMBER(BJ154)),IFERROR(BJ148/BJ154,""),"")</f>
        <v>0.0207982083092176</v>
      </c>
      <c r="BK390" s="36">
        <f>IF(AND(ISNUMBER(BK148),ISNUMBER(BK154)),IFERROR(BK148/BK154,""),"")</f>
        <v>0.0207545672518266</v>
      </c>
      <c r="BL390" s="36">
        <f>IF(AND(ISNUMBER(BL148),ISNUMBER(BL154)),IFERROR(BL148/BL154,""),"")</f>
        <v>0.0206768908368952</v>
      </c>
      <c r="BM390" s="36">
        <f>IF(AND(ISNUMBER(BM148),ISNUMBER(BM154)),IFERROR(BM148/BM154,""),"")</f>
        <v>0.0219996595994484</v>
      </c>
      <c r="BN390" s="36">
        <f>IF(AND(ISNUMBER(BN148),ISNUMBER(BN154)),IFERROR(BN148/BN154,""),"")</f>
        <v>0.0204221857464595</v>
      </c>
      <c r="BO390" s="36">
        <f>IF(AND(ISNUMBER(BO148),ISNUMBER(BO154)),IFERROR(BO148/BO154,""),"")</f>
        <v>0.0230178326195745</v>
      </c>
      <c r="BP390" s="36">
        <f>IF(AND(ISNUMBER(BP148),ISNUMBER(BP154)),IFERROR(BP148/BP154,""),"")</f>
        <v>0.0226441272329313</v>
      </c>
      <c r="BQ390" s="36">
        <f>IF(AND(ISNUMBER(BQ148),ISNUMBER(BQ154)),IFERROR(BQ148/BQ154,""),"")</f>
        <v>0.022011789446375</v>
      </c>
      <c r="BR390" s="36">
        <f>IF(AND(ISNUMBER(BR148),ISNUMBER(BR154)),IFERROR(BR148/BR154,""),"")</f>
        <v>0.0236800917573687</v>
      </c>
      <c r="BS390" s="36">
        <f>IF(AND(ISNUMBER(BS148),ISNUMBER(BS154)),IFERROR(BS148/BS154,""),"")</f>
        <v>0.0224695569744083</v>
      </c>
      <c r="BT390" s="36">
        <f>IF(AND(ISNUMBER(BT148),ISNUMBER(BT154)),IFERROR(BT148/BT154,""),"")</f>
        <v>0.0233164063861926</v>
      </c>
      <c r="BU390" s="36">
        <f>IF(AND(ISNUMBER(BU148),ISNUMBER(BU154)),IFERROR(BU148/BU154,""),"")</f>
        <v>0.0236911510454569</v>
      </c>
      <c r="BV390" s="36">
        <f>IF(AND(ISNUMBER(BV148),ISNUMBER(BV154)),IFERROR(BV148/BV154,""),"")</f>
        <v>0.0232803992815502</v>
      </c>
      <c r="BW390" s="36">
        <f>IF(AND(ISNUMBER(BW148),ISNUMBER(BW154)),IFERROR(BW148/BW154,""),"")</f>
        <v>0.0231926265834637</v>
      </c>
      <c r="BX390" s="36">
        <f>IF(AND(ISNUMBER(BX148),ISNUMBER(BX154)),IFERROR(BX148/BX154,""),"")</f>
        <v>0.0212919470378293</v>
      </c>
      <c r="BY390" s="254" t="n"/>
      <c r="BZ390" s="254" t="n"/>
      <c r="CA390" s="254">
        <f>IFERROR(CA148/CA154,"")</f>
        <v>0.0220255172787472</v>
      </c>
      <c r="CB390" s="254">
        <f>IFERROR(CB148/CB154,"")</f>
        <v>0.0228728116762948</v>
      </c>
      <c r="CC390" s="254">
        <f>IFERROR(CC148/CC154,"")</f>
        <v>0.0236551730526069</v>
      </c>
      <c r="CD390" s="254">
        <f>IFERROR(CD148/CD154,"")</f>
        <v>0.0244455433888359</v>
      </c>
      <c r="CE390" s="254">
        <f>IFERROR(CE148/CE154,"")</f>
        <v>0.0251610052000591</v>
      </c>
      <c r="CF390" s="19" t="n"/>
    </row>
    <row r="391">
      <c r="B391" s="25" t="inlineStr">
        <is>
          <t xml:space="preserve">  Capex % of net sales</t>
        </is>
      </c>
      <c r="C391" s="36">
        <f>IFERROR(-C278/C154,"")</f>
        <v>0.0385422292543036</v>
      </c>
      <c r="D391" s="36">
        <f>IFERROR(-D278/D154,"")</f>
        <v>0.0270227255189444</v>
      </c>
      <c r="E391" s="36">
        <f>IFERROR(-E278/E154,"")</f>
        <v>0.029214269032173</v>
      </c>
      <c r="F391" s="36">
        <f>IFERROR(-F278/F154,"")</f>
        <v>0.0220906328338013</v>
      </c>
      <c r="G391" s="36">
        <f>IFERROR(-G278/G154,"")</f>
        <v>0.0292560231710215</v>
      </c>
      <c r="H391" s="36">
        <f>IFERROR(-H278/H154,"")</f>
        <v>0.0244239516753637</v>
      </c>
      <c r="I391" s="36">
        <f>IFERROR(-I278/I154,"")</f>
        <v>0.0184746651937869</v>
      </c>
      <c r="J391" s="36">
        <f>IFERROR(-J278/J154,"")</f>
        <v>0.0210667531343371</v>
      </c>
      <c r="K391" s="36">
        <f>IFERROR(-K278/K154,"")</f>
        <v>0.0218714601502271</v>
      </c>
      <c r="L391" s="36">
        <f>IFERROR(-L278/L154,"")</f>
        <v>0.0413990966576332</v>
      </c>
      <c r="M391" s="36">
        <f>IFERROR(-M278/M154,"")</f>
        <v>0.0228374447915545</v>
      </c>
      <c r="N391" s="36">
        <f>IFERROR(-N278/N154,"")</f>
        <v>0.0266469564839408</v>
      </c>
      <c r="O391" s="36">
        <f>IFERROR(-O278/O154,"")</f>
        <v>0.0211747257912423</v>
      </c>
      <c r="P391" s="36">
        <f>IFERROR(-P278/P154,"")</f>
        <v>0.0349209573786153</v>
      </c>
      <c r="Q391" s="36">
        <f>IFERROR(-Q278/Q154,"")</f>
        <v>0.0216310387173659</v>
      </c>
      <c r="R391" s="36">
        <f>IFERROR(-R278/R154,"")</f>
        <v>0.0256742412501426</v>
      </c>
      <c r="S391" s="36">
        <f>IFERROR(-S278/S154,"")</f>
        <v>0.025944398867674</v>
      </c>
      <c r="T391" s="36">
        <f>IFERROR(-T278/T154,"")</f>
        <v>0.0189329685362517</v>
      </c>
      <c r="U391" s="36">
        <f>IFERROR(-U278/U154,"")</f>
        <v>0.0252143695279357</v>
      </c>
      <c r="V391" s="36">
        <f>IFERROR(-V278/V154,"")</f>
        <v>0.0170033758753561</v>
      </c>
      <c r="W391" s="36">
        <f>IFERROR(-W278/W154,"")</f>
        <v>0.0181694939126914</v>
      </c>
      <c r="X391" s="36">
        <f>IFERROR(-X278/X154,"")</f>
        <v>0.0199176509420532</v>
      </c>
      <c r="Y391" s="36">
        <f>IFERROR(-Y278/Y154,"")</f>
        <v>0.0161333667440197</v>
      </c>
      <c r="Z391" s="36">
        <f>IFERROR(-Z278/Z154,"")</f>
        <v>0.0268290295028173</v>
      </c>
      <c r="AA391" s="36">
        <f>IFERROR(-AA278/AA154,"")</f>
        <v>0.0257167319068574</v>
      </c>
      <c r="AB391" s="36">
        <f>IFERROR(-AB278/AB154,"")</f>
        <v>0.018622700539881</v>
      </c>
      <c r="AC391" s="36">
        <f>IFERROR(-AC278/AC154,"")</f>
        <v>0.0219276765200601</v>
      </c>
      <c r="AD391" s="36">
        <f>IFERROR(-AD278/AD154,"")</f>
        <v>0.0207214015565582</v>
      </c>
      <c r="AE391" s="36">
        <f>IFERROR(-AE278/AE154,"")</f>
        <v>0.0256740761065505</v>
      </c>
      <c r="AF391" s="36">
        <f>IFERROR(-AF278/AF154,"")</f>
        <v>0.0161734810475421</v>
      </c>
      <c r="AG391" s="36">
        <f>IFERROR(-AG278/AG154,"")</f>
        <v>0.0303766804740459</v>
      </c>
      <c r="AH391" s="36">
        <f>IFERROR(-AH278/AH154,"")</f>
        <v>0.023493092407459</v>
      </c>
      <c r="AI391" s="36">
        <f>IFERROR(-AI278/AI154,"")</f>
        <v>0.0193441696933863</v>
      </c>
      <c r="AJ391" s="36">
        <f>IFERROR(-AJ278/AJ154,"")</f>
        <v>0.021170758380461</v>
      </c>
      <c r="AK391" s="36">
        <f>IFERROR(-AK278/AK154,"")</f>
        <v>0.0235558588466407</v>
      </c>
      <c r="AL391" s="36">
        <f>IFERROR(-AL278/AL154,"")</f>
        <v>0.0302489691823502</v>
      </c>
      <c r="AM391" s="36">
        <f>IFERROR(-AM278/AM154,"")</f>
        <v>0.0235238259383479</v>
      </c>
      <c r="AN391" s="36">
        <f>IFERROR(-AN278/AN154,"")</f>
        <v>0.021406159852682</v>
      </c>
      <c r="AO391" s="36">
        <f>IFERROR(-AO278/AO154,"")</f>
        <v>0.026076951588658</v>
      </c>
      <c r="AP391" s="36">
        <f>IFERROR(-AP278/AP154,"")</f>
        <v>0.0233147185963549</v>
      </c>
      <c r="AQ391" s="36">
        <f>IFERROR(-AQ278/AQ154,"")</f>
        <v>0.0218169866645299</v>
      </c>
      <c r="AR391" s="36">
        <f>IFERROR(-AR278/AR154,"")</f>
        <v>0.0231797186535219</v>
      </c>
      <c r="AS391" s="36">
        <f>IFERROR(-AS278/AS154,"")</f>
        <v>0.0168492188646293</v>
      </c>
      <c r="AT391" s="36">
        <f>IFERROR(-AT278/AT154,"")</f>
        <v>0.0223165692443379</v>
      </c>
      <c r="AU391" s="36">
        <f>IFERROR(-AU278/AU154,"")</f>
        <v>0.0180972001291696</v>
      </c>
      <c r="AV391" s="36">
        <f>IFERROR(-AV278/AV154,"")</f>
        <v>0.0318322153261631</v>
      </c>
      <c r="AW391" s="36">
        <f>IFERROR(-AW278/AW154,"")</f>
        <v>0.0222945695563757</v>
      </c>
      <c r="AX391" s="36">
        <f>IFERROR(-AX278/AX154,"")</f>
        <v>0.0131251312711272</v>
      </c>
      <c r="AY391" s="36">
        <f>IFERROR(-AY278/AY154,"")</f>
        <v>0.0215765184753174</v>
      </c>
      <c r="AZ391" s="36">
        <f>IFERROR(-AZ278/AZ154,"")</f>
        <v>0.0231532114664941</v>
      </c>
      <c r="BA391" s="36">
        <f>IFERROR(-BA278/BA154,"")</f>
        <v>0.0190594977086198</v>
      </c>
      <c r="BB391" s="36">
        <f>IFERROR(-BB278/BB154,"")</f>
        <v>0.01933442170813</v>
      </c>
      <c r="BC391" s="36">
        <f>IFERROR(-BC278/BC154,"")</f>
        <v>0.020176174134041</v>
      </c>
      <c r="BD391" s="36">
        <f>IFERROR(-BD278/BD154,"")</f>
        <v>0.0164296418379334</v>
      </c>
      <c r="BE391" s="36">
        <f>IFERROR(-BE278/BE154,"")</f>
        <v>0.0189245541251444</v>
      </c>
      <c r="BF391" s="36">
        <f>IFERROR(-BF278/BF154,"")</f>
        <v>0.0210347887175675</v>
      </c>
      <c r="BG391" s="36">
        <f>IFERROR(-BG278/BG154,"")</f>
        <v>0.0191116637699932</v>
      </c>
      <c r="BH391" s="36">
        <f>IFERROR(-BH278/BH154,"")</f>
        <v>0.0180758421425843</v>
      </c>
      <c r="BI391" s="36">
        <f>IFERROR(-BI278/BI154,"")</f>
        <v>0.0205220802119625</v>
      </c>
      <c r="BJ391" s="36">
        <f>IFERROR(-BJ278/BJ154,"")</f>
        <v>0.0250741859866397</v>
      </c>
      <c r="BK391" s="36">
        <f>IFERROR(-BK278/BK154,"")</f>
        <v>0.0231721073127044</v>
      </c>
      <c r="BL391" s="36">
        <f>IFERROR(-BL278/BL154,"")</f>
        <v>0.021706798968231</v>
      </c>
      <c r="BM391" s="36">
        <f>IFERROR(-BM278/BM154,"")</f>
        <v>0.0267591523414768</v>
      </c>
      <c r="BN391" s="36">
        <f>IFERROR(-BN278/BN154,"")</f>
        <v>0.0226479250413289</v>
      </c>
      <c r="BO391" s="36">
        <f>IFERROR(-BO278/BO154,"")</f>
        <v>0.0363117389523247</v>
      </c>
      <c r="BP391" s="36">
        <f>IFERROR(-BP278/BP154,"")</f>
        <v>0.0308072847105421</v>
      </c>
      <c r="BQ391" s="36">
        <f>IFERROR(-BQ278/BQ154,"")</f>
        <v>0.0290877024050371</v>
      </c>
      <c r="BR391" s="36">
        <f>IFERROR(-BR278/BR154,"")</f>
        <v>0.0268312644117612</v>
      </c>
      <c r="BS391" s="36">
        <f>IFERROR(-BS278/BS154,"")</f>
        <v>0.0233706539980325</v>
      </c>
      <c r="BT391" s="36">
        <f>IFERROR(-BT278/BT154,"")</f>
        <v>0.0298107756398961</v>
      </c>
      <c r="BU391" s="36">
        <f>IFERROR(-BU278/BU154,"")</f>
        <v>0.039812183941078</v>
      </c>
      <c r="BV391" s="36">
        <f>IFERROR(-BV278/BV154,"")</f>
        <v>0.0299961989159942</v>
      </c>
      <c r="BW391" s="36">
        <f>IFERROR(-BW278/BW154,"")</f>
        <v>0.034922251331777</v>
      </c>
      <c r="BX391" s="36">
        <f>IFERROR(-BX278/BX154,"")</f>
        <v>0.025775152644624</v>
      </c>
      <c r="BY391" s="254" t="n"/>
      <c r="BZ391" s="254" t="n"/>
      <c r="CA391" s="254">
        <f>IFERROR(-CA278/CA154,"")</f>
        <v>0.0254248150510761</v>
      </c>
      <c r="CB391" s="254">
        <f>IFERROR(-CB278/CB154,"")</f>
        <v>0.027</v>
      </c>
      <c r="CC391" s="254">
        <f>IFERROR(-CC278/CC154,"")</f>
        <v>0.027</v>
      </c>
      <c r="CD391" s="254">
        <f>IFERROR(-CD278/CD154,"")</f>
        <v>0.027</v>
      </c>
      <c r="CE391" s="254">
        <f>IFERROR(-CE278/CE154,"")</f>
        <v>0.027</v>
      </c>
      <c r="CF391" s="19" t="n"/>
    </row>
    <row r="392">
      <c r="CF392" s="19" t="n"/>
    </row>
    <row r="393">
      <c r="B393" s="10" t="inlineStr">
        <is>
          <t>RATIO ANALYSIS</t>
        </is>
      </c>
      <c r="C393" s="10" t="n"/>
      <c r="D393" s="10" t="n"/>
      <c r="E393" s="10" t="n"/>
      <c r="F393" s="10" t="n"/>
      <c r="G393" s="10" t="n"/>
      <c r="H393" s="10" t="n"/>
      <c r="I393" s="10" t="n"/>
      <c r="J393" s="10" t="n"/>
      <c r="K393" s="10" t="n"/>
      <c r="L393" s="10" t="n"/>
      <c r="M393" s="10" t="n"/>
      <c r="N393" s="10" t="n"/>
      <c r="O393" s="10" t="n"/>
      <c r="P393" s="10" t="n"/>
      <c r="Q393" s="10" t="n"/>
      <c r="R393" s="10" t="n"/>
      <c r="S393" s="10" t="n"/>
      <c r="T393" s="10" t="n"/>
      <c r="U393" s="10" t="n"/>
      <c r="V393" s="10" t="n"/>
      <c r="W393" s="10" t="n"/>
      <c r="X393" s="10" t="n"/>
      <c r="Y393" s="10" t="n"/>
      <c r="Z393" s="10" t="n"/>
      <c r="AA393" s="10" t="n"/>
      <c r="AB393" s="10" t="n"/>
      <c r="AC393" s="10" t="n"/>
      <c r="AD393" s="10" t="n"/>
      <c r="AE393" s="10" t="n"/>
      <c r="AF393" s="10" t="n"/>
      <c r="AG393" s="10" t="n"/>
      <c r="AH393" s="10" t="n"/>
      <c r="AI393" s="10" t="n"/>
      <c r="AJ393" s="10" t="n"/>
      <c r="AK393" s="10" t="n"/>
      <c r="AL393" s="10" t="n"/>
      <c r="AM393" s="10" t="n"/>
      <c r="AN393" s="10" t="n"/>
      <c r="AO393" s="10" t="n"/>
      <c r="AP393" s="10" t="n"/>
      <c r="AQ393" s="10" t="n"/>
      <c r="AR393" s="10" t="n"/>
      <c r="AS393" s="10" t="n"/>
      <c r="AT393" s="10" t="n"/>
      <c r="AU393" s="10" t="n"/>
      <c r="AV393" s="10" t="n"/>
      <c r="AW393" s="10" t="n"/>
      <c r="AX393" s="10" t="n"/>
      <c r="AY393" s="10" t="n"/>
      <c r="AZ393" s="10" t="n"/>
      <c r="BA393" s="10" t="n"/>
      <c r="BB393" s="10" t="n"/>
      <c r="BC393" s="10" t="n"/>
      <c r="BD393" s="10" t="n"/>
      <c r="BE393" s="10" t="n"/>
      <c r="BF393" s="10" t="n"/>
      <c r="BG393" s="10" t="n"/>
      <c r="BH393" s="10" t="n"/>
      <c r="BI393" s="10" t="n"/>
      <c r="BJ393" s="10" t="n"/>
      <c r="BK393" s="10" t="n"/>
      <c r="BL393" s="10" t="n"/>
      <c r="BM393" s="10" t="n"/>
      <c r="BN393" s="10" t="n"/>
      <c r="BO393" s="10" t="n"/>
      <c r="BP393" s="10" t="n"/>
      <c r="BQ393" s="10" t="n"/>
      <c r="BR393" s="10" t="n"/>
      <c r="BS393" s="10" t="n"/>
      <c r="BT393" s="10" t="n"/>
      <c r="BU393" s="10" t="n"/>
      <c r="BV393" s="10" t="n"/>
      <c r="BW393" s="10" t="n"/>
      <c r="BX393" s="10" t="n"/>
      <c r="BY393" s="10" t="n"/>
      <c r="BZ393" s="10" t="n"/>
      <c r="CA393" s="10" t="n"/>
      <c r="CB393" s="10" t="n"/>
      <c r="CC393" s="10" t="n"/>
      <c r="CD393" s="10" t="n"/>
      <c r="CE393" s="10" t="n"/>
      <c r="CF393" s="10" t="inlineStr">
        <is>
          <t>RETURNS — annual columns (NOPAT on adjusted EBIT)</t>
        </is>
      </c>
    </row>
    <row r="394">
      <c r="B394" s="14" t="inlineStr">
        <is>
          <t>DuPont decomposition of ROIC</t>
        </is>
      </c>
      <c r="C394" s="14" t="n"/>
      <c r="D394" s="14" t="n"/>
      <c r="E394" s="14" t="n"/>
      <c r="F394" s="14" t="n"/>
      <c r="G394" s="14" t="n"/>
      <c r="H394" s="14" t="n"/>
      <c r="I394" s="14" t="n"/>
      <c r="J394" s="14" t="n"/>
      <c r="K394" s="14" t="n"/>
      <c r="L394" s="14" t="n"/>
      <c r="M394" s="14" t="n"/>
      <c r="N394" s="14" t="n"/>
      <c r="O394" s="14" t="n"/>
      <c r="P394" s="14" t="n"/>
      <c r="Q394" s="14" t="n"/>
      <c r="R394" s="14" t="n"/>
      <c r="S394" s="14" t="n"/>
      <c r="T394" s="14" t="n"/>
      <c r="U394" s="14" t="n"/>
      <c r="V394" s="14" t="n"/>
      <c r="W394" s="14" t="n"/>
      <c r="X394" s="14" t="n"/>
      <c r="Y394" s="14" t="n"/>
      <c r="Z394" s="14" t="n"/>
      <c r="AA394" s="14" t="n"/>
      <c r="AB394" s="14" t="n"/>
      <c r="AC394" s="14" t="n"/>
      <c r="AD394" s="14" t="n"/>
      <c r="AE394" s="14" t="n"/>
      <c r="AF394" s="14" t="n"/>
      <c r="AG394" s="14" t="n"/>
      <c r="AH394" s="14" t="n"/>
      <c r="AI394" s="14" t="n"/>
      <c r="AJ394" s="14" t="n"/>
      <c r="AK394" s="14" t="n"/>
      <c r="AL394" s="14" t="n"/>
      <c r="AM394" s="14" t="n"/>
      <c r="AN394" s="14" t="n"/>
      <c r="AO394" s="14" t="n"/>
      <c r="AP394" s="14" t="n"/>
      <c r="AQ394" s="14" t="n"/>
      <c r="AR394" s="14" t="n"/>
      <c r="AS394" s="14" t="n"/>
      <c r="AT394" s="14" t="n"/>
      <c r="AU394" s="14" t="n"/>
      <c r="AV394" s="14" t="n"/>
      <c r="AW394" s="14" t="n"/>
      <c r="AX394" s="14" t="n"/>
      <c r="AY394" s="14" t="n"/>
      <c r="AZ394" s="14" t="n"/>
      <c r="BA394" s="14" t="n"/>
      <c r="BB394" s="14" t="n"/>
      <c r="BC394" s="14" t="n"/>
      <c r="BD394" s="14" t="n"/>
      <c r="BE394" s="14" t="n"/>
      <c r="BF394" s="14" t="n"/>
      <c r="BG394" s="14" t="n"/>
      <c r="BH394" s="14" t="n"/>
      <c r="BI394" s="14" t="n"/>
      <c r="BJ394" s="14" t="n"/>
      <c r="BK394" s="14" t="n"/>
      <c r="BL394" s="14" t="n"/>
      <c r="BM394" s="14" t="n"/>
      <c r="BN394" s="14" t="n"/>
      <c r="BO394" s="14" t="n"/>
      <c r="BP394" s="14" t="n"/>
      <c r="BQ394" s="14" t="n"/>
      <c r="BR394" s="14" t="n"/>
      <c r="BS394" s="14" t="n"/>
      <c r="BT394" s="14" t="n"/>
      <c r="BU394" s="14" t="n"/>
      <c r="BV394" s="14" t="n"/>
      <c r="BW394" s="14" t="n"/>
      <c r="BX394" s="14" t="n"/>
      <c r="BY394" s="14" t="n"/>
      <c r="BZ394" s="14" t="n"/>
      <c r="CA394" s="14" t="n"/>
      <c r="CB394" s="14" t="n"/>
      <c r="CC394" s="14" t="n"/>
      <c r="CD394" s="14" t="n"/>
      <c r="CE394" s="14" t="n"/>
      <c r="CF394" s="15" t="n"/>
    </row>
    <row r="395">
      <c r="B395" s="25" t="inlineStr">
        <is>
          <t>Adjusted EBIT</t>
        </is>
      </c>
      <c r="C395" s="44">
        <f>C222</f>
        <v>236.921</v>
      </c>
      <c r="D395" s="44">
        <f>D222</f>
        <v>290.105</v>
      </c>
      <c r="E395" s="44">
        <f>E222</f>
        <v>322.49</v>
      </c>
      <c r="F395" s="44">
        <f>F222</f>
        <v>122.17</v>
      </c>
      <c r="G395" s="44">
        <f>G222</f>
        <v>194.157</v>
      </c>
      <c r="H395" s="44">
        <f>H222</f>
        <v>305.196</v>
      </c>
      <c r="I395" s="44">
        <f>I222</f>
        <v>380.508</v>
      </c>
      <c r="J395" s="34" t="n"/>
      <c r="K395" s="34" t="n"/>
      <c r="L395" s="34" t="n"/>
      <c r="M395" s="34" t="n"/>
      <c r="N395" s="44">
        <f>N222</f>
        <v>437.351</v>
      </c>
      <c r="O395" s="34" t="n"/>
      <c r="P395" s="34" t="n"/>
      <c r="Q395" s="34" t="n"/>
      <c r="R395" s="34" t="n"/>
      <c r="S395" s="44">
        <f>S222</f>
        <v>434.34</v>
      </c>
      <c r="T395" s="34" t="n"/>
      <c r="U395" s="34" t="n"/>
      <c r="V395" s="34" t="n"/>
      <c r="W395" s="34" t="n"/>
      <c r="X395" s="44">
        <f>X222</f>
        <v>378.807</v>
      </c>
      <c r="Y395" s="34" t="n"/>
      <c r="Z395" s="34" t="n"/>
      <c r="AA395" s="34" t="n"/>
      <c r="AB395" s="34" t="n"/>
      <c r="AC395" s="44">
        <f>AC222</f>
        <v>328.723</v>
      </c>
      <c r="AD395" s="34" t="n"/>
      <c r="AE395" s="34" t="n"/>
      <c r="AF395" s="34" t="n"/>
      <c r="AG395" s="34" t="n"/>
      <c r="AH395" s="44">
        <f>AH222</f>
        <v>370.338</v>
      </c>
      <c r="AI395" s="34" t="n"/>
      <c r="AJ395" s="34" t="n"/>
      <c r="AK395" s="34" t="n"/>
      <c r="AL395" s="34" t="n"/>
      <c r="AM395" s="44">
        <f>AM222</f>
        <v>422.694</v>
      </c>
      <c r="AN395" s="34" t="n"/>
      <c r="AO395" s="34" t="n"/>
      <c r="AP395" s="34" t="n"/>
      <c r="AQ395" s="34" t="n"/>
      <c r="AR395" s="44">
        <f>AR222</f>
        <v>400.753</v>
      </c>
      <c r="AS395" s="34" t="n"/>
      <c r="AT395" s="34" t="n"/>
      <c r="AU395" s="34" t="n"/>
      <c r="AV395" s="34" t="n"/>
      <c r="AW395" s="44">
        <f>AW222</f>
        <v>340.406</v>
      </c>
      <c r="AX395" s="34" t="n"/>
      <c r="AY395" s="34" t="n"/>
      <c r="AZ395" s="34" t="n"/>
      <c r="BA395" s="34" t="n"/>
      <c r="BB395" s="44">
        <f>BB222</f>
        <v>491.268</v>
      </c>
      <c r="BC395" s="34" t="n"/>
      <c r="BD395" s="34" t="n"/>
      <c r="BE395" s="34" t="n"/>
      <c r="BF395" s="34" t="n"/>
      <c r="BG395" s="44">
        <f>BG222</f>
        <v>636.951</v>
      </c>
      <c r="BH395" s="34" t="n"/>
      <c r="BI395" s="34" t="n"/>
      <c r="BJ395" s="34" t="n"/>
      <c r="BK395" s="34" t="n"/>
      <c r="BL395" s="44">
        <f>BL222</f>
        <v>731.374000000001</v>
      </c>
      <c r="BM395" s="34" t="n"/>
      <c r="BN395" s="34" t="n"/>
      <c r="BO395" s="34" t="n"/>
      <c r="BP395" s="34" t="n"/>
      <c r="BQ395" s="44">
        <f>BQ222</f>
        <v>713.605</v>
      </c>
      <c r="BR395" s="34" t="n"/>
      <c r="BS395" s="34" t="n"/>
      <c r="BT395" s="34" t="n"/>
      <c r="BU395" s="34" t="n"/>
      <c r="BV395" s="44">
        <f>BV222</f>
        <v>752.632</v>
      </c>
      <c r="BW395" s="34" t="n"/>
      <c r="BX395" s="34" t="n"/>
      <c r="BY395" s="257" t="n"/>
      <c r="BZ395" s="257" t="n"/>
      <c r="CA395" s="257">
        <f>CA222</f>
        <v>851.86283625</v>
      </c>
      <c r="CB395" s="257">
        <f>CB222</f>
        <v>939.659026734974</v>
      </c>
      <c r="CC395" s="257">
        <f>CC222</f>
        <v>1036.9539418654</v>
      </c>
      <c r="CD395" s="257">
        <f>CD222</f>
        <v>1135.21475127148</v>
      </c>
      <c r="CE395" s="257">
        <f>CE222</f>
        <v>1238.13200044084</v>
      </c>
      <c r="CF395" s="19" t="n"/>
    </row>
    <row r="396">
      <c r="B396" s="25" t="inlineStr">
        <is>
          <t>Effective tax rate (actual)</t>
        </is>
      </c>
      <c r="C396" s="36">
        <f>C172</f>
        <v>0.265203298456578</v>
      </c>
      <c r="D396" s="36">
        <f>D172</f>
        <v>0.293989002531716</v>
      </c>
      <c r="E396" s="36">
        <f>E172</f>
        <v>0.291929194920766</v>
      </c>
      <c r="F396" s="36">
        <f>F172</f>
        <v>0.438304367433309</v>
      </c>
      <c r="G396" s="36">
        <f>G172</f>
        <v>0.293402740663147</v>
      </c>
      <c r="H396" s="36">
        <f>H172</f>
        <v>0.279818538417886</v>
      </c>
      <c r="I396" s="36">
        <f>I172</f>
        <v>0.304012771599426</v>
      </c>
      <c r="J396" s="36" t="n"/>
      <c r="K396" s="36" t="n"/>
      <c r="L396" s="36" t="n"/>
      <c r="M396" s="36" t="n"/>
      <c r="N396" s="36">
        <f>N172</f>
        <v>0.299571848112938</v>
      </c>
      <c r="O396" s="36" t="n"/>
      <c r="P396" s="36" t="n"/>
      <c r="Q396" s="36" t="n"/>
      <c r="R396" s="36" t="n"/>
      <c r="S396" s="36">
        <f>S172</f>
        <v>0.324451256342915</v>
      </c>
      <c r="T396" s="36" t="n"/>
      <c r="U396" s="36" t="n"/>
      <c r="V396" s="36" t="n"/>
      <c r="W396" s="36" t="n"/>
      <c r="X396" s="36">
        <f>X172</f>
        <v>0.249577411698186</v>
      </c>
      <c r="Y396" s="36" t="n"/>
      <c r="Z396" s="36" t="n"/>
      <c r="AA396" s="36" t="n"/>
      <c r="AB396" s="36" t="n"/>
      <c r="AC396" s="36">
        <f>AC172</f>
        <v>0.284853706721271</v>
      </c>
      <c r="AD396" s="36" t="n"/>
      <c r="AE396" s="36" t="n"/>
      <c r="AF396" s="36" t="n"/>
      <c r="AG396" s="36" t="n"/>
      <c r="AH396" s="36">
        <f>AH172</f>
        <v>0.324274511517164</v>
      </c>
      <c r="AI396" s="36" t="n"/>
      <c r="AJ396" s="36" t="n"/>
      <c r="AK396" s="36" t="n"/>
      <c r="AL396" s="36" t="n"/>
      <c r="AM396" s="36">
        <f>AM172</f>
        <v>0.221523897357999</v>
      </c>
      <c r="AN396" s="36" t="n"/>
      <c r="AO396" s="36" t="n"/>
      <c r="AP396" s="36" t="n"/>
      <c r="AQ396" s="36" t="n"/>
      <c r="AR396" s="36">
        <f>AR172</f>
        <v>0.204644321601767</v>
      </c>
      <c r="AS396" s="36" t="n"/>
      <c r="AT396" s="36" t="n"/>
      <c r="AU396" s="36" t="n"/>
      <c r="AV396" s="36" t="n"/>
      <c r="AW396" s="36">
        <f>AW172</f>
        <v>0.219269807604908</v>
      </c>
      <c r="AX396" s="36" t="n"/>
      <c r="AY396" s="36" t="n"/>
      <c r="AZ396" s="36" t="n"/>
      <c r="BA396" s="36" t="n"/>
      <c r="BB396" s="36">
        <f>BB172</f>
        <v>0.148979378334636</v>
      </c>
      <c r="BC396" s="36" t="n"/>
      <c r="BD396" s="36" t="n"/>
      <c r="BE396" s="36" t="n"/>
      <c r="BF396" s="36" t="n"/>
      <c r="BG396" s="36">
        <f>BG172</f>
        <v>0.203437090415922</v>
      </c>
      <c r="BH396" s="36" t="n"/>
      <c r="BI396" s="36" t="n"/>
      <c r="BJ396" s="36" t="n"/>
      <c r="BK396" s="36" t="n"/>
      <c r="BL396" s="36">
        <f>BL172</f>
        <v>0.206179953586289</v>
      </c>
      <c r="BM396" s="36" t="n"/>
      <c r="BN396" s="36" t="n"/>
      <c r="BO396" s="36" t="n"/>
      <c r="BP396" s="36" t="n"/>
      <c r="BQ396" s="36">
        <f>BQ172</f>
        <v>0.215503181861789</v>
      </c>
      <c r="BR396" s="36" t="n"/>
      <c r="BS396" s="36" t="n"/>
      <c r="BT396" s="36" t="n"/>
      <c r="BU396" s="36" t="n"/>
      <c r="BV396" s="36">
        <f>BV172</f>
        <v>0.229353764157229</v>
      </c>
      <c r="BW396" s="36" t="n"/>
      <c r="BX396" s="36" t="n"/>
      <c r="BY396" s="254" t="n"/>
      <c r="BZ396" s="254" t="n"/>
      <c r="CA396" s="254">
        <f>CA172</f>
        <v>0.2282849708978</v>
      </c>
      <c r="CB396" s="254">
        <f>CB172</f>
        <v>0.235</v>
      </c>
      <c r="CC396" s="254">
        <f>CC172</f>
        <v>0.235</v>
      </c>
      <c r="CD396" s="254">
        <f>CD172</f>
        <v>0.235</v>
      </c>
      <c r="CE396" s="254">
        <f>CE172</f>
        <v>0.235</v>
      </c>
      <c r="CF396" s="19" t="n"/>
    </row>
    <row r="397">
      <c r="B397" s="16" t="inlineStr">
        <is>
          <t>NOPAT = Adjusted EBIT × (1 − tax rate)</t>
        </is>
      </c>
      <c r="C397" s="43">
        <f>IFERROR(C395*(1-C396),"n/a")</f>
        <v>174.088769326369</v>
      </c>
      <c r="D397" s="43">
        <f>IFERROR(D395*(1-D396),"n/a")</f>
        <v>204.817320420537</v>
      </c>
      <c r="E397" s="43">
        <f>IFERROR(E395*(1-E396),"n/a")</f>
        <v>228.345753930002</v>
      </c>
      <c r="F397" s="43">
        <f>IFERROR(F395*(1-F396),"n/a")</f>
        <v>68.6223554306727</v>
      </c>
      <c r="G397" s="43">
        <f>IFERROR(G395*(1-G396),"n/a")</f>
        <v>137.190804081065</v>
      </c>
      <c r="H397" s="43">
        <f>IFERROR(H395*(1-H396),"n/a")</f>
        <v>219.796501349015</v>
      </c>
      <c r="I397" s="43">
        <f>IFERROR(I395*(1-I396),"n/a")</f>
        <v>264.828708304246</v>
      </c>
      <c r="J397" s="43" t="n"/>
      <c r="K397" s="43" t="n"/>
      <c r="L397" s="43" t="n"/>
      <c r="M397" s="43" t="n"/>
      <c r="N397" s="43">
        <f>IFERROR(N395*(1-N396),"n/a")</f>
        <v>306.332952655958</v>
      </c>
      <c r="O397" s="43" t="n"/>
      <c r="P397" s="43" t="n"/>
      <c r="Q397" s="43" t="n"/>
      <c r="R397" s="43" t="n"/>
      <c r="S397" s="43">
        <f>IFERROR(S395*(1-S396),"n/a")</f>
        <v>293.417841320018</v>
      </c>
      <c r="T397" s="43" t="n"/>
      <c r="U397" s="43" t="n"/>
      <c r="V397" s="43" t="n"/>
      <c r="W397" s="43" t="n"/>
      <c r="X397" s="43">
        <f>IFERROR(X395*(1-X396),"n/a")</f>
        <v>284.265329406845</v>
      </c>
      <c r="Y397" s="43" t="n"/>
      <c r="Z397" s="43" t="n"/>
      <c r="AA397" s="43" t="n"/>
      <c r="AB397" s="43" t="n"/>
      <c r="AC397" s="43">
        <f>IFERROR(AC395*(1-AC396),"n/a")</f>
        <v>235.085034965464</v>
      </c>
      <c r="AD397" s="43" t="n"/>
      <c r="AE397" s="43" t="n"/>
      <c r="AF397" s="43" t="n"/>
      <c r="AG397" s="43" t="n"/>
      <c r="AH397" s="43">
        <f>IFERROR(AH395*(1-AH396),"n/a")</f>
        <v>250.246825953757</v>
      </c>
      <c r="AI397" s="43" t="n"/>
      <c r="AJ397" s="43" t="n"/>
      <c r="AK397" s="43" t="n"/>
      <c r="AL397" s="43" t="n"/>
      <c r="AM397" s="43">
        <f>IFERROR(AM395*(1-AM396),"n/a")</f>
        <v>329.057177730158</v>
      </c>
      <c r="AN397" s="43" t="n"/>
      <c r="AO397" s="43" t="n"/>
      <c r="AP397" s="43" t="n"/>
      <c r="AQ397" s="43" t="n"/>
      <c r="AR397" s="43">
        <f>IFERROR(AR395*(1-AR396),"n/a")</f>
        <v>318.741174185127</v>
      </c>
      <c r="AS397" s="43" t="n"/>
      <c r="AT397" s="43" t="n"/>
      <c r="AU397" s="43" t="n"/>
      <c r="AV397" s="43" t="n"/>
      <c r="AW397" s="43">
        <f>IFERROR(AW395*(1-AW396),"n/a")</f>
        <v>265.765241872444</v>
      </c>
      <c r="AX397" s="43" t="n"/>
      <c r="AY397" s="43" t="n"/>
      <c r="AZ397" s="43" t="n"/>
      <c r="BA397" s="43" t="n"/>
      <c r="BB397" s="43">
        <f>IFERROR(BB395*(1-BB396),"n/a")</f>
        <v>418.0791987643</v>
      </c>
      <c r="BC397" s="43" t="n"/>
      <c r="BD397" s="43" t="n"/>
      <c r="BE397" s="43" t="n"/>
      <c r="BF397" s="43" t="n"/>
      <c r="BG397" s="43">
        <f>IFERROR(BG395*(1-BG396),"n/a")</f>
        <v>507.371541822488</v>
      </c>
      <c r="BH397" s="43" t="n"/>
      <c r="BI397" s="43" t="n"/>
      <c r="BJ397" s="43" t="n"/>
      <c r="BK397" s="43" t="n"/>
      <c r="BL397" s="43">
        <f>IFERROR(BL395*(1-BL396),"n/a")</f>
        <v>580.579342625782</v>
      </c>
      <c r="BM397" s="43" t="n"/>
      <c r="BN397" s="43" t="n"/>
      <c r="BO397" s="43" t="n"/>
      <c r="BP397" s="43" t="n"/>
      <c r="BQ397" s="43">
        <f>IFERROR(BQ395*(1-BQ396),"n/a")</f>
        <v>559.820851907518</v>
      </c>
      <c r="BR397" s="43" t="n"/>
      <c r="BS397" s="43" t="n"/>
      <c r="BT397" s="43" t="n"/>
      <c r="BU397" s="43" t="n"/>
      <c r="BV397" s="43">
        <f>IFERROR(BV395*(1-BV396),"n/a")</f>
        <v>580.013017774816</v>
      </c>
      <c r="BW397" s="43" t="n"/>
      <c r="BX397" s="43" t="n"/>
      <c r="BY397" s="253" t="n"/>
      <c r="BZ397" s="253" t="n"/>
      <c r="CA397" s="253">
        <f>IFERROR(CA395*(1-CA396),"n/a")</f>
        <v>657.395353467751</v>
      </c>
      <c r="CB397" s="253">
        <f>IFERROR(CB395*(1-CB396),"n/a")</f>
        <v>718.839155452256</v>
      </c>
      <c r="CC397" s="253">
        <f>IFERROR(CC395*(1-CC396),"n/a")</f>
        <v>793.269765527033</v>
      </c>
      <c r="CD397" s="253">
        <f>IFERROR(CD395*(1-CD396),"n/a")</f>
        <v>868.439284722683</v>
      </c>
      <c r="CE397" s="253">
        <f>IFERROR(CE395*(1-CE396),"n/a")</f>
        <v>947.170980337246</v>
      </c>
      <c r="CF397" s="19" t="n"/>
    </row>
    <row r="398">
      <c r="B398" s="16" t="inlineStr">
        <is>
          <t>Invested capital (IC) = Equity + Net debt</t>
        </is>
      </c>
      <c r="C398" s="43">
        <f>IFERROR(C399+C400,"n/a")</f>
        <v>893.863</v>
      </c>
      <c r="D398" s="43">
        <f>IFERROR(D399+D400,"n/a")</f>
        <v>999.653</v>
      </c>
      <c r="E398" s="43">
        <f>IFERROR(E399+E400,"n/a")</f>
        <v>853.21</v>
      </c>
      <c r="F398" s="43">
        <f>IFERROR(F399+F400,"n/a")</f>
        <v>821.256</v>
      </c>
      <c r="G398" s="43">
        <f>IFERROR(G399+G400,"n/a")</f>
        <v>880.99</v>
      </c>
      <c r="H398" s="43">
        <f>IFERROR(H399+H400,"n/a")</f>
        <v>935.519</v>
      </c>
      <c r="I398" s="43">
        <f>IFERROR(I399+I400,"n/a")</f>
        <v>1092.132</v>
      </c>
      <c r="J398" s="43" t="n"/>
      <c r="K398" s="43" t="n"/>
      <c r="L398" s="43" t="n"/>
      <c r="M398" s="43" t="n"/>
      <c r="N398" s="43">
        <f>IFERROR(N399+N400,"n/a")</f>
        <v>1249.95</v>
      </c>
      <c r="O398" s="43" t="n"/>
      <c r="P398" s="43" t="n"/>
      <c r="Q398" s="43" t="n"/>
      <c r="R398" s="43" t="n"/>
      <c r="S398" s="43">
        <f>IFERROR(S399+S400,"n/a")</f>
        <v>1078.056</v>
      </c>
      <c r="T398" s="43" t="n"/>
      <c r="U398" s="43" t="n"/>
      <c r="V398" s="43" t="n"/>
      <c r="W398" s="43" t="n"/>
      <c r="X398" s="43">
        <f>IFERROR(X399+X400,"n/a")</f>
        <v>982.89</v>
      </c>
      <c r="Y398" s="43" t="n"/>
      <c r="Z398" s="43" t="n"/>
      <c r="AA398" s="43" t="n"/>
      <c r="AB398" s="43" t="n"/>
      <c r="AC398" s="43">
        <f>IFERROR(AC399+AC400,"n/a")</f>
        <v>1038.62</v>
      </c>
      <c r="AD398" s="43" t="n"/>
      <c r="AE398" s="43" t="n"/>
      <c r="AF398" s="43" t="n"/>
      <c r="AG398" s="43" t="n"/>
      <c r="AH398" s="43">
        <f>IFERROR(AH399+AH400,"n/a")</f>
        <v>1312.019</v>
      </c>
      <c r="AI398" s="43" t="n"/>
      <c r="AJ398" s="43" t="n"/>
      <c r="AK398" s="43" t="n"/>
      <c r="AL398" s="43" t="n"/>
      <c r="AM398" s="43">
        <f>IFERROR(AM399+AM400,"n/a")</f>
        <v>1231.403</v>
      </c>
      <c r="AN398" s="43" t="n"/>
      <c r="AO398" s="43" t="n"/>
      <c r="AP398" s="43" t="n"/>
      <c r="AQ398" s="43" t="n"/>
      <c r="AR398" s="43">
        <f>IFERROR(AR399+AR400,"n/a")</f>
        <v>1366.785</v>
      </c>
      <c r="AS398" s="43" t="n"/>
      <c r="AT398" s="43" t="n"/>
      <c r="AU398" s="43" t="n"/>
      <c r="AV398" s="43" t="n"/>
      <c r="AW398" s="43">
        <f>IFERROR(AW399+AW400,"n/a")</f>
        <v>1251.161</v>
      </c>
      <c r="AX398" s="43" t="n"/>
      <c r="AY398" s="43" t="n"/>
      <c r="AZ398" s="43" t="n"/>
      <c r="BA398" s="43" t="n"/>
      <c r="BB398" s="43">
        <f>IFERROR(BB399+BB400,"n/a")</f>
        <v>1440.77</v>
      </c>
      <c r="BC398" s="43" t="n"/>
      <c r="BD398" s="43" t="n"/>
      <c r="BE398" s="43" t="n"/>
      <c r="BF398" s="43" t="n"/>
      <c r="BG398" s="43">
        <f>IFERROR(BG399+BG400,"n/a")</f>
        <v>2040.77</v>
      </c>
      <c r="BH398" s="43" t="n"/>
      <c r="BI398" s="43" t="n"/>
      <c r="BJ398" s="43" t="n"/>
      <c r="BK398" s="43" t="n"/>
      <c r="BL398" s="43">
        <f>IFERROR(BL399+BL400,"n/a")</f>
        <v>2020.275</v>
      </c>
      <c r="BM398" s="43" t="n"/>
      <c r="BN398" s="43" t="n"/>
      <c r="BO398" s="43" t="n"/>
      <c r="BP398" s="43" t="n"/>
      <c r="BQ398" s="43">
        <f>IFERROR(BQ399+BQ400,"n/a")</f>
        <v>2211.246</v>
      </c>
      <c r="BR398" s="43" t="n"/>
      <c r="BS398" s="43" t="n"/>
      <c r="BT398" s="43" t="n"/>
      <c r="BU398" s="43" t="n"/>
      <c r="BV398" s="43">
        <f>IFERROR(BV399+BV400,"n/a")</f>
        <v>2455.013</v>
      </c>
      <c r="BW398" s="43" t="n"/>
      <c r="BX398" s="43" t="n"/>
      <c r="BY398" s="253" t="n"/>
      <c r="BZ398" s="253" t="n"/>
      <c r="CA398" s="253">
        <f>IFERROR(CA399+CA400,"n/a")</f>
        <v>2559.7629198961</v>
      </c>
      <c r="CB398" s="253">
        <f>IFERROR(CB399+CB400,"n/a")</f>
        <v>2825.84641021336</v>
      </c>
      <c r="CC398" s="253">
        <f>IFERROR(CC399+CC400,"n/a")</f>
        <v>3152.35416598101</v>
      </c>
      <c r="CD398" s="253">
        <f>IFERROR(CD399+CD400,"n/a")</f>
        <v>3478.06228887915</v>
      </c>
      <c r="CE398" s="253">
        <f>IFERROR(CE399+CE400,"n/a")</f>
        <v>3803.17052915982</v>
      </c>
      <c r="CF398" s="19" t="n"/>
    </row>
    <row r="399">
      <c r="B399" s="25" t="inlineStr">
        <is>
          <t xml:space="preserve">  Total equity incl. NCI</t>
        </is>
      </c>
      <c r="C399" s="44">
        <f>C346</f>
        <v>852.976</v>
      </c>
      <c r="D399" s="44">
        <f>D346</f>
        <v>1087.22</v>
      </c>
      <c r="E399" s="44">
        <f>E346</f>
        <v>995.312</v>
      </c>
      <c r="F399" s="44">
        <f>F346</f>
        <v>1085.675</v>
      </c>
      <c r="G399" s="44">
        <f>G346</f>
        <v>1149.478</v>
      </c>
      <c r="H399" s="44">
        <f>H346</f>
        <v>1193.242</v>
      </c>
      <c r="I399" s="44">
        <f>I346</f>
        <v>1358.321</v>
      </c>
      <c r="J399" s="34" t="n"/>
      <c r="K399" s="34" t="n"/>
      <c r="L399" s="34" t="n"/>
      <c r="M399" s="34" t="n"/>
      <c r="N399" s="44">
        <f>N346</f>
        <v>1530.688</v>
      </c>
      <c r="O399" s="34" t="n"/>
      <c r="P399" s="34" t="n"/>
      <c r="Q399" s="34" t="n"/>
      <c r="R399" s="34" t="n"/>
      <c r="S399" s="44">
        <f>S346</f>
        <v>1285.781</v>
      </c>
      <c r="T399" s="34" t="n"/>
      <c r="U399" s="34" t="n"/>
      <c r="V399" s="34" t="n"/>
      <c r="W399" s="34" t="n"/>
      <c r="X399" s="44">
        <f>X346</f>
        <v>932.448</v>
      </c>
      <c r="Y399" s="34" t="n"/>
      <c r="Z399" s="34" t="n"/>
      <c r="AA399" s="34" t="n"/>
      <c r="AB399" s="34" t="n"/>
      <c r="AC399" s="44">
        <f>AC346</f>
        <v>712.206</v>
      </c>
      <c r="AD399" s="34" t="n"/>
      <c r="AE399" s="34" t="n"/>
      <c r="AF399" s="34" t="n"/>
      <c r="AG399" s="34" t="n"/>
      <c r="AH399" s="44">
        <f>AH346</f>
        <v>932.453</v>
      </c>
      <c r="AI399" s="34" t="n"/>
      <c r="AJ399" s="34" t="n"/>
      <c r="AK399" s="34" t="n"/>
      <c r="AL399" s="34" t="n"/>
      <c r="AM399" s="44">
        <f>AM346</f>
        <v>887.592</v>
      </c>
      <c r="AN399" s="34" t="n"/>
      <c r="AO399" s="34" t="n"/>
      <c r="AP399" s="34" t="n"/>
      <c r="AQ399" s="34" t="n"/>
      <c r="AR399" s="44">
        <f>AR346</f>
        <v>819.077000000001</v>
      </c>
      <c r="AS399" s="34" t="n"/>
      <c r="AT399" s="34" t="n"/>
      <c r="AU399" s="34" t="n"/>
      <c r="AV399" s="34" t="n"/>
      <c r="AW399" s="44">
        <f>AW346</f>
        <v>790.25</v>
      </c>
      <c r="AX399" s="34" t="n"/>
      <c r="AY399" s="34" t="n"/>
      <c r="AZ399" s="34" t="n"/>
      <c r="BA399" s="34" t="n"/>
      <c r="BB399" s="44">
        <f>BB346</f>
        <v>863.909</v>
      </c>
      <c r="BC399" s="34" t="n"/>
      <c r="BD399" s="34" t="n"/>
      <c r="BE399" s="34" t="n"/>
      <c r="BF399" s="34" t="n"/>
      <c r="BG399" s="44">
        <f>BG346</f>
        <v>1034.041</v>
      </c>
      <c r="BH399" s="34" t="n"/>
      <c r="BI399" s="34" t="n"/>
      <c r="BJ399" s="34" t="n"/>
      <c r="BK399" s="34" t="n"/>
      <c r="BL399" s="44">
        <f>BL346</f>
        <v>1308.852</v>
      </c>
      <c r="BM399" s="34" t="n"/>
      <c r="BN399" s="34" t="n"/>
      <c r="BO399" s="34" t="n"/>
      <c r="BP399" s="34" t="n"/>
      <c r="BQ399" s="44">
        <f>BQ346</f>
        <v>1327.433</v>
      </c>
      <c r="BR399" s="34" t="n"/>
      <c r="BS399" s="34" t="n"/>
      <c r="BT399" s="34" t="n"/>
      <c r="BU399" s="34" t="n"/>
      <c r="BV399" s="44">
        <f>BV346</f>
        <v>1469.794</v>
      </c>
      <c r="BW399" s="34" t="n"/>
      <c r="BX399" s="34" t="n"/>
      <c r="BY399" s="257" t="n"/>
      <c r="BZ399" s="257" t="n"/>
      <c r="CA399" s="257">
        <f>CA346</f>
        <v>1662.9659610326</v>
      </c>
      <c r="CB399" s="257">
        <f>CB346</f>
        <v>1771.15203287112</v>
      </c>
      <c r="CC399" s="257">
        <f>CC346</f>
        <v>1987.54320181587</v>
      </c>
      <c r="CD399" s="257">
        <f>CD346</f>
        <v>2201.18151673923</v>
      </c>
      <c r="CE399" s="257">
        <f>CE346</f>
        <v>2408.9574879085</v>
      </c>
      <c r="CF399" s="19" t="n"/>
    </row>
    <row r="400">
      <c r="B400" s="25" t="inlineStr">
        <is>
          <t xml:space="preserve">  Net debt = Total debt − Cash</t>
        </is>
      </c>
      <c r="C400" s="44">
        <f>C371-C321</f>
        <v>40.887</v>
      </c>
      <c r="D400" s="44">
        <f>D371-D321</f>
        <v>-87.567</v>
      </c>
      <c r="E400" s="44">
        <f>E371-E321</f>
        <v>-142.102</v>
      </c>
      <c r="F400" s="44">
        <f>F371-F321</f>
        <v>-264.419</v>
      </c>
      <c r="G400" s="44">
        <f>G371-G321</f>
        <v>-268.488</v>
      </c>
      <c r="H400" s="44">
        <f>H371-H321</f>
        <v>-257.723</v>
      </c>
      <c r="I400" s="44">
        <f>I371-I321</f>
        <v>-266.189</v>
      </c>
      <c r="J400" s="34" t="n"/>
      <c r="K400" s="34" t="n"/>
      <c r="L400" s="34" t="n"/>
      <c r="M400" s="34" t="n"/>
      <c r="N400" s="44">
        <f>N371-N321</f>
        <v>-280.738</v>
      </c>
      <c r="O400" s="34" t="n"/>
      <c r="P400" s="34" t="n"/>
      <c r="Q400" s="34" t="n"/>
      <c r="R400" s="34" t="n"/>
      <c r="S400" s="44">
        <f>S371-S321</f>
        <v>-207.725</v>
      </c>
      <c r="T400" s="34" t="n"/>
      <c r="U400" s="34" t="n"/>
      <c r="V400" s="34" t="n"/>
      <c r="W400" s="34" t="n"/>
      <c r="X400" s="44">
        <f>X371-X321</f>
        <v>50.442</v>
      </c>
      <c r="Y400" s="34" t="n"/>
      <c r="Z400" s="34" t="n"/>
      <c r="AA400" s="34" t="n"/>
      <c r="AB400" s="34" t="n"/>
      <c r="AC400" s="44">
        <f>AC371-AC321</f>
        <v>326.414</v>
      </c>
      <c r="AD400" s="34" t="n"/>
      <c r="AE400" s="34" t="n"/>
      <c r="AF400" s="34" t="n"/>
      <c r="AG400" s="34" t="n"/>
      <c r="AH400" s="44">
        <f>AH371-AH321</f>
        <v>379.566</v>
      </c>
      <c r="AI400" s="34" t="n"/>
      <c r="AJ400" s="34" t="n"/>
      <c r="AK400" s="34" t="n"/>
      <c r="AL400" s="34" t="n"/>
      <c r="AM400" s="44">
        <f>AM371-AM321</f>
        <v>343.811</v>
      </c>
      <c r="AN400" s="34" t="n"/>
      <c r="AO400" s="34" t="n"/>
      <c r="AP400" s="34" t="n"/>
      <c r="AQ400" s="34" t="n"/>
      <c r="AR400" s="44">
        <f>AR371-AR321</f>
        <v>547.708</v>
      </c>
      <c r="AS400" s="34" t="n"/>
      <c r="AT400" s="34" t="n"/>
      <c r="AU400" s="34" t="n"/>
      <c r="AV400" s="34" t="n"/>
      <c r="AW400" s="44">
        <f>AW371-AW321</f>
        <v>460.911</v>
      </c>
      <c r="AX400" s="34" t="n"/>
      <c r="AY400" s="34" t="n"/>
      <c r="AZ400" s="34" t="n"/>
      <c r="BA400" s="34" t="n"/>
      <c r="BB400" s="44">
        <f>BB371-BB321</f>
        <v>576.861</v>
      </c>
      <c r="BC400" s="34" t="n"/>
      <c r="BD400" s="34" t="n"/>
      <c r="BE400" s="34" t="n"/>
      <c r="BF400" s="34" t="n"/>
      <c r="BG400" s="44">
        <f>BG371-BG321</f>
        <v>1006.729</v>
      </c>
      <c r="BH400" s="34" t="n"/>
      <c r="BI400" s="34" t="n"/>
      <c r="BJ400" s="34" t="n"/>
      <c r="BK400" s="34" t="n"/>
      <c r="BL400" s="44">
        <f>BL371-BL321</f>
        <v>711.423</v>
      </c>
      <c r="BM400" s="34" t="n"/>
      <c r="BN400" s="34" t="n"/>
      <c r="BO400" s="34" t="n"/>
      <c r="BP400" s="34" t="n"/>
      <c r="BQ400" s="44">
        <f>BQ371-BQ321</f>
        <v>883.813</v>
      </c>
      <c r="BR400" s="34" t="n"/>
      <c r="BS400" s="34" t="n"/>
      <c r="BT400" s="34" t="n"/>
      <c r="BU400" s="34" t="n"/>
      <c r="BV400" s="44">
        <f>BV371-BV321</f>
        <v>985.219</v>
      </c>
      <c r="BW400" s="34" t="n"/>
      <c r="BX400" s="34" t="n"/>
      <c r="BY400" s="257" t="n"/>
      <c r="BZ400" s="257" t="n"/>
      <c r="CA400" s="257">
        <f>CA371-CA321</f>
        <v>896.796958863492</v>
      </c>
      <c r="CB400" s="257">
        <f>CB371-CB321</f>
        <v>1054.69437734224</v>
      </c>
      <c r="CC400" s="257">
        <f>CC371-CC321</f>
        <v>1164.81096416513</v>
      </c>
      <c r="CD400" s="257">
        <f>CD371-CD321</f>
        <v>1276.88077213992</v>
      </c>
      <c r="CE400" s="257">
        <f>CE371-CE321</f>
        <v>1394.21304125132</v>
      </c>
      <c r="CF400" s="19" t="n"/>
    </row>
    <row r="401">
      <c r="B401" s="55" t="inlineStr">
        <is>
          <t>ROIC = NOPAT / IC</t>
        </is>
      </c>
      <c r="C401" s="70">
        <f>IFERROR(C397/C398,"n/a")</f>
        <v>0.194760012805507</v>
      </c>
      <c r="D401" s="70">
        <f>IFERROR(D397/D398,"n/a")</f>
        <v>0.204888416701132</v>
      </c>
      <c r="E401" s="70">
        <f>IFERROR(E397/E398,"n/a")</f>
        <v>0.267631361481935</v>
      </c>
      <c r="F401" s="70">
        <f>IFERROR(F397/F398,"n/a")</f>
        <v>0.0835578131918339</v>
      </c>
      <c r="G401" s="70">
        <f>IFERROR(G397/G398,"n/a")</f>
        <v>0.155723452117578</v>
      </c>
      <c r="H401" s="70">
        <f>IFERROR(H397/H398,"n/a")</f>
        <v>0.234946058122833</v>
      </c>
      <c r="I401" s="70">
        <f>IFERROR(I397/I398,"n/a")</f>
        <v>0.242487820432187</v>
      </c>
      <c r="J401" s="70" t="n"/>
      <c r="K401" s="70" t="n"/>
      <c r="L401" s="70" t="n"/>
      <c r="M401" s="70" t="n"/>
      <c r="N401" s="70">
        <f>IFERROR(N397/N398,"n/a")</f>
        <v>0.245076165171373</v>
      </c>
      <c r="O401" s="70" t="n"/>
      <c r="P401" s="70" t="n"/>
      <c r="Q401" s="70" t="n"/>
      <c r="R401" s="70" t="n"/>
      <c r="S401" s="70">
        <f>IFERROR(S397/S398,"n/a")</f>
        <v>0.272173097983795</v>
      </c>
      <c r="T401" s="70" t="n"/>
      <c r="U401" s="70" t="n"/>
      <c r="V401" s="70" t="n"/>
      <c r="W401" s="70" t="n"/>
      <c r="X401" s="70">
        <f>IFERROR(X397/X398,"n/a")</f>
        <v>0.289213777133601</v>
      </c>
      <c r="Y401" s="70" t="n"/>
      <c r="Z401" s="70" t="n"/>
      <c r="AA401" s="70" t="n"/>
      <c r="AB401" s="70" t="n"/>
      <c r="AC401" s="70">
        <f>IFERROR(AC397/AC398,"n/a")</f>
        <v>0.226343643455223</v>
      </c>
      <c r="AD401" s="70" t="n"/>
      <c r="AE401" s="70" t="n"/>
      <c r="AF401" s="70" t="n"/>
      <c r="AG401" s="70" t="n"/>
      <c r="AH401" s="70">
        <f>IFERROR(AH397/AH398,"n/a")</f>
        <v>0.190734147869624</v>
      </c>
      <c r="AI401" s="70" t="n"/>
      <c r="AJ401" s="70" t="n"/>
      <c r="AK401" s="70" t="n"/>
      <c r="AL401" s="70" t="n"/>
      <c r="AM401" s="70">
        <f>IFERROR(AM397/AM398,"n/a")</f>
        <v>0.267221354609464</v>
      </c>
      <c r="AN401" s="70" t="n"/>
      <c r="AO401" s="70" t="n"/>
      <c r="AP401" s="70" t="n"/>
      <c r="AQ401" s="70" t="n"/>
      <c r="AR401" s="70">
        <f>IFERROR(AR397/AR398,"n/a")</f>
        <v>0.23320505725855</v>
      </c>
      <c r="AS401" s="70" t="n"/>
      <c r="AT401" s="70" t="n"/>
      <c r="AU401" s="70" t="n"/>
      <c r="AV401" s="70" t="n"/>
      <c r="AW401" s="70">
        <f>IFERROR(AW397/AW398,"n/a")</f>
        <v>0.212414902536479</v>
      </c>
      <c r="AX401" s="70" t="n"/>
      <c r="AY401" s="70" t="n"/>
      <c r="AZ401" s="70" t="n"/>
      <c r="BA401" s="70" t="n"/>
      <c r="BB401" s="70">
        <f>IFERROR(BB397/BB398,"n/a")</f>
        <v>0.290177612501857</v>
      </c>
      <c r="BC401" s="70" t="n"/>
      <c r="BD401" s="70" t="n"/>
      <c r="BE401" s="70" t="n"/>
      <c r="BF401" s="70" t="n"/>
      <c r="BG401" s="70">
        <f>IFERROR(BG397/BG398,"n/a")</f>
        <v>0.248617699114789</v>
      </c>
      <c r="BH401" s="70" t="n"/>
      <c r="BI401" s="70" t="n"/>
      <c r="BJ401" s="70" t="n"/>
      <c r="BK401" s="70" t="n"/>
      <c r="BL401" s="70">
        <f>IFERROR(BL397/BL398,"n/a")</f>
        <v>0.287376393127561</v>
      </c>
      <c r="BM401" s="70" t="n"/>
      <c r="BN401" s="70" t="n"/>
      <c r="BO401" s="70" t="n"/>
      <c r="BP401" s="70" t="n"/>
      <c r="BQ401" s="70">
        <f>IFERROR(BQ397/BQ398,"n/a")</f>
        <v>0.253169865273931</v>
      </c>
      <c r="BR401" s="70" t="n"/>
      <c r="BS401" s="70" t="n"/>
      <c r="BT401" s="70" t="n"/>
      <c r="BU401" s="70" t="n"/>
      <c r="BV401" s="70">
        <f>IFERROR(BV397/BV398,"n/a")</f>
        <v>0.236256597327516</v>
      </c>
      <c r="BW401" s="70" t="n"/>
      <c r="BX401" s="70" t="n"/>
      <c r="BY401" s="70" t="n"/>
      <c r="BZ401" s="70" t="n"/>
      <c r="CA401" s="70">
        <f>IFERROR(CA397/CA398,"n/a")</f>
        <v>0.256818843791376</v>
      </c>
      <c r="CB401" s="70">
        <f>IFERROR(CB397/CB398,"n/a")</f>
        <v>0.25438012230749</v>
      </c>
      <c r="CC401" s="70">
        <f>IFERROR(CC397/CC398,"n/a")</f>
        <v>0.251643604670977</v>
      </c>
      <c r="CD401" s="70">
        <f>IFERROR(CD397/CD398,"n/a")</f>
        <v>0.249690549677461</v>
      </c>
      <c r="CE401" s="70">
        <f>IFERROR(CE397/CE398,"n/a")</f>
        <v>0.249047728224401</v>
      </c>
      <c r="CF401" s="19" t="n"/>
      <c r="CH401" s="20">
        <f>IFERROR(AVERAGE(CA401,CB401,CC401,CD401,CE401),"n/m")</f>
        <v>0.252316169734341</v>
      </c>
      <c r="CI401" s="20">
        <f>IFERROR(AVERAGE(AW401,BB401,BG401,BL401,BQ401,BV401),"n/m")</f>
        <v>0.254668844980355</v>
      </c>
      <c r="CJ401" s="20">
        <f>IFERROR(AVERAGE(X401,AC401,AH401,AM401,AR401,AW401,BB401,BG401,BL401,BQ401,BV401),"n/m")</f>
        <v>0.248611913655327</v>
      </c>
      <c r="CK401" s="20">
        <f>IFERROR(AVERAGE(C401,D401,E401,F401,G401,H401,I401,N401,S401,X401,AC401,AH401,AM401,AR401,AW401,BB401,BG401,BL401,BQ401,BV401),"n/m")</f>
        <v>0.231798762410838</v>
      </c>
    </row>
    <row r="402">
      <c r="B402" s="25" t="inlineStr">
        <is>
          <t xml:space="preserve">  Margin = Adjusted EBIT / Net sales</t>
        </is>
      </c>
      <c r="C402" s="36">
        <f>IFERROR(C395/C154,"n/a")</f>
        <v>0.120147673708045</v>
      </c>
      <c r="D402" s="36">
        <f>IFERROR(D395/D154,"n/a")</f>
        <v>0.127195297757262</v>
      </c>
      <c r="E402" s="36">
        <f>IFERROR(E395/E154,"n/a")</f>
        <v>0.130081871429949</v>
      </c>
      <c r="F402" s="36">
        <f>IFERROR(F395/F154,"n/a")</f>
        <v>0.0706476954348185</v>
      </c>
      <c r="G402" s="36">
        <f>IFERROR(G395/G154,"n/a")</f>
        <v>0.0937878591730542</v>
      </c>
      <c r="H402" s="36">
        <f>IFERROR(H395/H154,"n/a")</f>
        <v>0.11326170141939</v>
      </c>
      <c r="I402" s="36">
        <f>IFERROR(I395/I154,"n/a")</f>
        <v>0.133354034023664</v>
      </c>
      <c r="J402" s="36" t="n"/>
      <c r="K402" s="36" t="n"/>
      <c r="L402" s="36" t="n"/>
      <c r="M402" s="36" t="n"/>
      <c r="N402" s="36">
        <f>IFERROR(N395/N154,"n/a")</f>
        <v>0.153312807540722</v>
      </c>
      <c r="O402" s="36" t="n"/>
      <c r="P402" s="36" t="n"/>
      <c r="Q402" s="36" t="n"/>
      <c r="R402" s="36" t="n"/>
      <c r="S402" s="36">
        <f>IFERROR(S395/S154,"n/a")</f>
        <v>0.154386768107762</v>
      </c>
      <c r="T402" s="36" t="n"/>
      <c r="U402" s="36" t="n"/>
      <c r="V402" s="36" t="n"/>
      <c r="W402" s="36" t="n"/>
      <c r="X402" s="36">
        <f>IFERROR(X395/X154,"n/a")</f>
        <v>0.149384156659599</v>
      </c>
      <c r="Y402" s="36" t="n"/>
      <c r="Z402" s="36" t="n"/>
      <c r="AA402" s="36" t="n"/>
      <c r="AB402" s="36" t="n"/>
      <c r="AC402" s="36">
        <f>IFERROR(AC395/AC154,"n/a")</f>
        <v>0.14451814681524</v>
      </c>
      <c r="AD402" s="36" t="n"/>
      <c r="AE402" s="36" t="n"/>
      <c r="AF402" s="36" t="n"/>
      <c r="AG402" s="36" t="n"/>
      <c r="AH402" s="36">
        <f>IFERROR(AH395/AH154,"n/a")</f>
        <v>0.141111730504631</v>
      </c>
      <c r="AI402" s="36" t="n"/>
      <c r="AJ402" s="36" t="n"/>
      <c r="AK402" s="36" t="n"/>
      <c r="AL402" s="36" t="n"/>
      <c r="AM402" s="36">
        <f>IFERROR(AM395/AM154,"n/a")</f>
        <v>0.1395640468403</v>
      </c>
      <c r="AN402" s="36" t="n"/>
      <c r="AO402" s="36" t="n"/>
      <c r="AP402" s="36" t="n"/>
      <c r="AQ402" s="36" t="n"/>
      <c r="AR402" s="36">
        <f>IFERROR(AR395/AR154,"n/a")</f>
        <v>0.133438796086402</v>
      </c>
      <c r="AS402" s="36" t="n"/>
      <c r="AT402" s="36" t="n"/>
      <c r="AU402" s="36" t="n"/>
      <c r="AV402" s="36" t="n"/>
      <c r="AW402" s="36">
        <f>IFERROR(AW395/AW154,"n/a")</f>
        <v>0.128193869096935</v>
      </c>
      <c r="AX402" s="36" t="n"/>
      <c r="AY402" s="36" t="n"/>
      <c r="AZ402" s="36" t="n"/>
      <c r="BA402" s="36" t="n"/>
      <c r="BB402" s="36">
        <f>IFERROR(BB395/BB154,"n/a")</f>
        <v>0.151898781143907</v>
      </c>
      <c r="BC402" s="36" t="n"/>
      <c r="BD402" s="36" t="n"/>
      <c r="BE402" s="36" t="n"/>
      <c r="BF402" s="36" t="n"/>
      <c r="BG402" s="36">
        <f>IFERROR(BG395/BG154,"n/a")</f>
        <v>0.169347319254357</v>
      </c>
      <c r="BH402" s="36" t="n"/>
      <c r="BI402" s="36" t="n"/>
      <c r="BJ402" s="36" t="n"/>
      <c r="BK402" s="36" t="n"/>
      <c r="BL402" s="36">
        <f>IFERROR(BL395/BL154,"n/a")</f>
        <v>0.174484139367064</v>
      </c>
      <c r="BM402" s="36" t="n"/>
      <c r="BN402" s="36" t="n"/>
      <c r="BO402" s="36" t="n"/>
      <c r="BP402" s="36" t="n"/>
      <c r="BQ402" s="36">
        <f>IFERROR(BQ395/BQ154,"n/a")</f>
        <v>0.178015401616995</v>
      </c>
      <c r="BR402" s="36" t="n"/>
      <c r="BS402" s="36" t="n"/>
      <c r="BT402" s="36" t="n"/>
      <c r="BU402" s="36" t="n"/>
      <c r="BV402" s="36">
        <f>IFERROR(BV395/BV154,"n/a")</f>
        <v>0.177800960689137</v>
      </c>
      <c r="BW402" s="36" t="n"/>
      <c r="BX402" s="36" t="n"/>
      <c r="BY402" s="254" t="n"/>
      <c r="BZ402" s="254" t="n"/>
      <c r="CA402" s="254">
        <f>IFERROR(CA395/CA154,"n/a")</f>
        <v>0.180487125504511</v>
      </c>
      <c r="CB402" s="254">
        <f>IFERROR(CB395/CB154,"n/a")</f>
        <v>0.186835123681383</v>
      </c>
      <c r="CC402" s="254">
        <f>IFERROR(CC395/CC154,"n/a")</f>
        <v>0.191849649719712</v>
      </c>
      <c r="CD402" s="254">
        <f>IFERROR(CD395/CD154,"n/a")</f>
        <v>0.195889891504932</v>
      </c>
      <c r="CE402" s="254">
        <f>IFERROR(CE395/CE154,"n/a")</f>
        <v>0.19959275988734</v>
      </c>
      <c r="CF402" s="19" t="n"/>
    </row>
    <row r="403">
      <c r="B403" s="25" t="inlineStr">
        <is>
          <t xml:space="preserve">  Capital turnover = Net sales / IC</t>
        </is>
      </c>
      <c r="C403" s="64">
        <f>IFERROR(C154/C398,"n/a")</f>
        <v>2.20605954156286</v>
      </c>
      <c r="D403" s="64">
        <f>IFERROR(D154/D398,"n/a")</f>
        <v>2.28157570677025</v>
      </c>
      <c r="E403" s="64">
        <f>IFERROR(E154/E398,"n/a")</f>
        <v>2.90565159808254</v>
      </c>
      <c r="F403" s="64">
        <f>IFERROR(F154/F398,"n/a")</f>
        <v>2.10565889320748</v>
      </c>
      <c r="G403" s="64">
        <f>IFERROR(G154/G398,"n/a")</f>
        <v>2.34982462911043</v>
      </c>
      <c r="H403" s="64">
        <f>IFERROR(H154/H398,"n/a")</f>
        <v>2.88033594186756</v>
      </c>
      <c r="I403" s="64">
        <f>IFERROR(I154/I398,"n/a")</f>
        <v>2.61265762746628</v>
      </c>
      <c r="J403" s="284" t="n"/>
      <c r="K403" s="284" t="n"/>
      <c r="L403" s="284" t="n"/>
      <c r="M403" s="284" t="n"/>
      <c r="N403" s="64">
        <f>IFERROR(N154/N398,"n/a")</f>
        <v>2.28222808912357</v>
      </c>
      <c r="O403" s="284" t="n"/>
      <c r="P403" s="284" t="n"/>
      <c r="Q403" s="284" t="n"/>
      <c r="R403" s="284" t="n"/>
      <c r="S403" s="64">
        <f>IFERROR(S154/S398,"n/a")</f>
        <v>2.60962695815431</v>
      </c>
      <c r="T403" s="284" t="n"/>
      <c r="U403" s="284" t="n"/>
      <c r="V403" s="284" t="n"/>
      <c r="W403" s="284" t="n"/>
      <c r="X403" s="64">
        <f>IFERROR(X154/X398,"n/a")</f>
        <v>2.57993366500829</v>
      </c>
      <c r="Y403" s="284" t="n"/>
      <c r="Z403" s="284" t="n"/>
      <c r="AA403" s="284" t="n"/>
      <c r="AB403" s="284" t="n"/>
      <c r="AC403" s="64">
        <f>IFERROR(AC154/AC398,"n/a")</f>
        <v>2.19003485394081</v>
      </c>
      <c r="AD403" s="284" t="n"/>
      <c r="AE403" s="284" t="n"/>
      <c r="AF403" s="284" t="n"/>
      <c r="AG403" s="284" t="n"/>
      <c r="AH403" s="64">
        <f>IFERROR(AH154/AH398,"n/a")</f>
        <v>2.0002995383451</v>
      </c>
      <c r="AI403" s="284" t="n"/>
      <c r="AJ403" s="284" t="n"/>
      <c r="AK403" s="284" t="n"/>
      <c r="AL403" s="284" t="n"/>
      <c r="AM403" s="64">
        <f>IFERROR(AM154/AM398,"n/a")</f>
        <v>2.45953112019379</v>
      </c>
      <c r="AN403" s="284" t="n"/>
      <c r="AO403" s="284" t="n"/>
      <c r="AP403" s="284" t="n"/>
      <c r="AQ403" s="284" t="n"/>
      <c r="AR403" s="64">
        <f>IFERROR(AR154/AR398,"n/a")</f>
        <v>2.19732584129911</v>
      </c>
      <c r="AS403" s="284" t="n"/>
      <c r="AT403" s="284" t="n"/>
      <c r="AU403" s="284" t="n"/>
      <c r="AV403" s="284" t="n"/>
      <c r="AW403" s="64">
        <f>IFERROR(AW154/AW398,"n/a")</f>
        <v>2.12234876246942</v>
      </c>
      <c r="AX403" s="284" t="n"/>
      <c r="AY403" s="284" t="n"/>
      <c r="AZ403" s="284" t="n"/>
      <c r="BA403" s="284" t="n"/>
      <c r="BB403" s="64">
        <f>IFERROR(BB154/BB398,"n/a")</f>
        <v>2.24475801134116</v>
      </c>
      <c r="BC403" s="284" t="n"/>
      <c r="BD403" s="284" t="n"/>
      <c r="BE403" s="284" t="n"/>
      <c r="BF403" s="284" t="n"/>
      <c r="BG403" s="64">
        <f>IFERROR(BG154/BG398,"n/a")</f>
        <v>1.84303522689965</v>
      </c>
      <c r="BH403" s="284" t="n"/>
      <c r="BI403" s="284" t="n"/>
      <c r="BJ403" s="284" t="n"/>
      <c r="BK403" s="284" t="n"/>
      <c r="BL403" s="64">
        <f>IFERROR(BL154/BL398,"n/a")</f>
        <v>2.07478486839663</v>
      </c>
      <c r="BM403" s="284" t="n"/>
      <c r="BN403" s="284" t="n"/>
      <c r="BO403" s="284" t="n"/>
      <c r="BP403" s="284" t="n"/>
      <c r="BQ403" s="64">
        <f>IFERROR(BQ154/BQ398,"n/a")</f>
        <v>1.81285573834843</v>
      </c>
      <c r="BR403" s="284" t="n"/>
      <c r="BS403" s="284" t="n"/>
      <c r="BT403" s="284" t="n"/>
      <c r="BU403" s="284" t="n"/>
      <c r="BV403" s="64">
        <f>IFERROR(BV154/BV398,"n/a")</f>
        <v>1.72422834420836</v>
      </c>
      <c r="BW403" s="284" t="n"/>
      <c r="BX403" s="284" t="n"/>
      <c r="BY403" s="278" t="n"/>
      <c r="BZ403" s="278" t="n"/>
      <c r="CA403" s="278">
        <f>IFERROR(CA154/CA398,"n/a")</f>
        <v>1.84384198564435</v>
      </c>
      <c r="CB403" s="278">
        <f>IFERROR(CB154/CB398,"n/a")</f>
        <v>1.77976725759087</v>
      </c>
      <c r="CC403" s="278">
        <f>IFERROR(CC154/CC398,"n/a")</f>
        <v>1.71460249700417</v>
      </c>
      <c r="CD403" s="278">
        <f>IFERROR(CD154/CD398,"n/a")</f>
        <v>1.66620581025313</v>
      </c>
      <c r="CE403" s="278">
        <f>IFERROR(CE154/CE398,"n/a")</f>
        <v>1.6310841440241</v>
      </c>
      <c r="CF403" s="19" t="n"/>
    </row>
    <row r="404">
      <c r="B404" s="25" t="inlineStr">
        <is>
          <t xml:space="preserve">  Tax burden = (1 − effective tax rate)</t>
        </is>
      </c>
      <c r="C404" s="36">
        <f>IFERROR(1-C396,"n/a")</f>
        <v>0.734796701543423</v>
      </c>
      <c r="D404" s="36">
        <f>IFERROR(1-D396,"n/a")</f>
        <v>0.706010997468284</v>
      </c>
      <c r="E404" s="36">
        <f>IFERROR(1-E396,"n/a")</f>
        <v>0.708070805079234</v>
      </c>
      <c r="F404" s="36">
        <f>IFERROR(1-F396,"n/a")</f>
        <v>0.561695632566691</v>
      </c>
      <c r="G404" s="36">
        <f>IFERROR(1-G396,"n/a")</f>
        <v>0.706597259336854</v>
      </c>
      <c r="H404" s="36">
        <f>IFERROR(1-H396,"n/a")</f>
        <v>0.720181461582114</v>
      </c>
      <c r="I404" s="36">
        <f>IFERROR(1-I396,"n/a")</f>
        <v>0.695987228400574</v>
      </c>
      <c r="J404" s="36" t="n"/>
      <c r="K404" s="36" t="n"/>
      <c r="L404" s="36" t="n"/>
      <c r="M404" s="36" t="n"/>
      <c r="N404" s="36">
        <f>IFERROR(1-N396,"n/a")</f>
        <v>0.700428151887062</v>
      </c>
      <c r="O404" s="36" t="n"/>
      <c r="P404" s="36" t="n"/>
      <c r="Q404" s="36" t="n"/>
      <c r="R404" s="36" t="n"/>
      <c r="S404" s="36">
        <f>IFERROR(1-S396,"n/a")</f>
        <v>0.675548743657085</v>
      </c>
      <c r="T404" s="36" t="n"/>
      <c r="U404" s="36" t="n"/>
      <c r="V404" s="36" t="n"/>
      <c r="W404" s="36" t="n"/>
      <c r="X404" s="36">
        <f>IFERROR(1-X396,"n/a")</f>
        <v>0.750422588301814</v>
      </c>
      <c r="Y404" s="36" t="n"/>
      <c r="Z404" s="36" t="n"/>
      <c r="AA404" s="36" t="n"/>
      <c r="AB404" s="36" t="n"/>
      <c r="AC404" s="36">
        <f>IFERROR(1-AC396,"n/a")</f>
        <v>0.715146293278729</v>
      </c>
      <c r="AD404" s="36" t="n"/>
      <c r="AE404" s="36" t="n"/>
      <c r="AF404" s="36" t="n"/>
      <c r="AG404" s="36" t="n"/>
      <c r="AH404" s="36">
        <f>IFERROR(1-AH396,"n/a")</f>
        <v>0.675725488482836</v>
      </c>
      <c r="AI404" s="36" t="n"/>
      <c r="AJ404" s="36" t="n"/>
      <c r="AK404" s="36" t="n"/>
      <c r="AL404" s="36" t="n"/>
      <c r="AM404" s="36">
        <f>IFERROR(1-AM396,"n/a")</f>
        <v>0.778476102642001</v>
      </c>
      <c r="AN404" s="36" t="n"/>
      <c r="AO404" s="36" t="n"/>
      <c r="AP404" s="36" t="n"/>
      <c r="AQ404" s="36" t="n"/>
      <c r="AR404" s="36">
        <f>IFERROR(1-AR396,"n/a")</f>
        <v>0.795355678398233</v>
      </c>
      <c r="AS404" s="36" t="n"/>
      <c r="AT404" s="36" t="n"/>
      <c r="AU404" s="36" t="n"/>
      <c r="AV404" s="36" t="n"/>
      <c r="AW404" s="36">
        <f>IFERROR(1-AW396,"n/a")</f>
        <v>0.780730192395092</v>
      </c>
      <c r="AX404" s="36" t="n"/>
      <c r="AY404" s="36" t="n"/>
      <c r="AZ404" s="36" t="n"/>
      <c r="BA404" s="36" t="n"/>
      <c r="BB404" s="36">
        <f>IFERROR(1-BB396,"n/a")</f>
        <v>0.851020621665364</v>
      </c>
      <c r="BC404" s="36" t="n"/>
      <c r="BD404" s="36" t="n"/>
      <c r="BE404" s="36" t="n"/>
      <c r="BF404" s="36" t="n"/>
      <c r="BG404" s="36">
        <f>IFERROR(1-BG396,"n/a")</f>
        <v>0.796562909584078</v>
      </c>
      <c r="BH404" s="36" t="n"/>
      <c r="BI404" s="36" t="n"/>
      <c r="BJ404" s="36" t="n"/>
      <c r="BK404" s="36" t="n"/>
      <c r="BL404" s="36">
        <f>IFERROR(1-BL396,"n/a")</f>
        <v>0.793820046413711</v>
      </c>
      <c r="BM404" s="36" t="n"/>
      <c r="BN404" s="36" t="n"/>
      <c r="BO404" s="36" t="n"/>
      <c r="BP404" s="36" t="n"/>
      <c r="BQ404" s="36">
        <f>IFERROR(1-BQ396,"n/a")</f>
        <v>0.784496818138211</v>
      </c>
      <c r="BR404" s="36" t="n"/>
      <c r="BS404" s="36" t="n"/>
      <c r="BT404" s="36" t="n"/>
      <c r="BU404" s="36" t="n"/>
      <c r="BV404" s="36">
        <f>IFERROR(1-BV396,"n/a")</f>
        <v>0.770646235842771</v>
      </c>
      <c r="BW404" s="36" t="n"/>
      <c r="BX404" s="36" t="n"/>
      <c r="BY404" s="254" t="n"/>
      <c r="BZ404" s="254" t="n"/>
      <c r="CA404" s="254">
        <f>IFERROR(1-CA396,"n/a")</f>
        <v>0.7717150291022</v>
      </c>
      <c r="CB404" s="254">
        <f>IFERROR(1-CB396,"n/a")</f>
        <v>0.765</v>
      </c>
      <c r="CC404" s="254">
        <f>IFERROR(1-CC396,"n/a")</f>
        <v>0.765</v>
      </c>
      <c r="CD404" s="254">
        <f>IFERROR(1-CD396,"n/a")</f>
        <v>0.765</v>
      </c>
      <c r="CE404" s="254">
        <f>IFERROR(1-CE396,"n/a")</f>
        <v>0.765</v>
      </c>
      <c r="CF404" s="19" t="n"/>
    </row>
    <row r="405">
      <c r="B405" s="57" t="inlineStr">
        <is>
          <t xml:space="preserve">  Check: Margin × Turnover × Tax burden = ROIC</t>
        </is>
      </c>
      <c r="C405" s="36">
        <f>IFERROR(ROUND(C402*C403*C404-C401,6),"n/a")</f>
        <v>0</v>
      </c>
      <c r="D405" s="36">
        <f>IFERROR(ROUND(D402*D403*D404-D401,6),"n/a")</f>
        <v>0</v>
      </c>
      <c r="E405" s="36">
        <f>IFERROR(ROUND(E402*E403*E404-E401,6),"n/a")</f>
        <v>0</v>
      </c>
      <c r="F405" s="36">
        <f>IFERROR(ROUND(F402*F403*F404-F401,6),"n/a")</f>
        <v>0</v>
      </c>
      <c r="G405" s="36">
        <f>IFERROR(ROUND(G402*G403*G404-G401,6),"n/a")</f>
        <v>0</v>
      </c>
      <c r="H405" s="36">
        <f>IFERROR(ROUND(H402*H403*H404-H401,6),"n/a")</f>
        <v>0</v>
      </c>
      <c r="I405" s="36">
        <f>IFERROR(ROUND(I402*I403*I404-I401,6),"n/a")</f>
        <v>0</v>
      </c>
      <c r="J405" s="36" t="n"/>
      <c r="K405" s="36" t="n"/>
      <c r="L405" s="36" t="n"/>
      <c r="M405" s="36" t="n"/>
      <c r="N405" s="36">
        <f>IFERROR(ROUND(N402*N403*N404-N401,6),"n/a")</f>
        <v>0</v>
      </c>
      <c r="O405" s="36" t="n"/>
      <c r="P405" s="36" t="n"/>
      <c r="Q405" s="36" t="n"/>
      <c r="R405" s="36" t="n"/>
      <c r="S405" s="36">
        <f>IFERROR(ROUND(S402*S403*S404-S401,6),"n/a")</f>
        <v>0</v>
      </c>
      <c r="T405" s="36" t="n"/>
      <c r="U405" s="36" t="n"/>
      <c r="V405" s="36" t="n"/>
      <c r="W405" s="36" t="n"/>
      <c r="X405" s="36">
        <f>IFERROR(ROUND(X402*X403*X404-X401,6),"n/a")</f>
        <v>0</v>
      </c>
      <c r="Y405" s="36" t="n"/>
      <c r="Z405" s="36" t="n"/>
      <c r="AA405" s="36" t="n"/>
      <c r="AB405" s="36" t="n"/>
      <c r="AC405" s="36">
        <f>IFERROR(ROUND(AC402*AC403*AC404-AC401,6),"n/a")</f>
        <v>0</v>
      </c>
      <c r="AD405" s="36" t="n"/>
      <c r="AE405" s="36" t="n"/>
      <c r="AF405" s="36" t="n"/>
      <c r="AG405" s="36" t="n"/>
      <c r="AH405" s="36">
        <f>IFERROR(ROUND(AH402*AH403*AH404-AH401,6),"n/a")</f>
        <v>0</v>
      </c>
      <c r="AI405" s="36" t="n"/>
      <c r="AJ405" s="36" t="n"/>
      <c r="AK405" s="36" t="n"/>
      <c r="AL405" s="36" t="n"/>
      <c r="AM405" s="36">
        <f>IFERROR(ROUND(AM402*AM403*AM404-AM401,6),"n/a")</f>
        <v>0</v>
      </c>
      <c r="AN405" s="36" t="n"/>
      <c r="AO405" s="36" t="n"/>
      <c r="AP405" s="36" t="n"/>
      <c r="AQ405" s="36" t="n"/>
      <c r="AR405" s="36">
        <f>IFERROR(ROUND(AR402*AR403*AR404-AR401,6),"n/a")</f>
        <v>0</v>
      </c>
      <c r="AS405" s="36" t="n"/>
      <c r="AT405" s="36" t="n"/>
      <c r="AU405" s="36" t="n"/>
      <c r="AV405" s="36" t="n"/>
      <c r="AW405" s="36">
        <f>IFERROR(ROUND(AW402*AW403*AW404-AW401,6),"n/a")</f>
        <v>0</v>
      </c>
      <c r="AX405" s="36" t="n"/>
      <c r="AY405" s="36" t="n"/>
      <c r="AZ405" s="36" t="n"/>
      <c r="BA405" s="36" t="n"/>
      <c r="BB405" s="36">
        <f>IFERROR(ROUND(BB402*BB403*BB404-BB401,6),"n/a")</f>
        <v>0</v>
      </c>
      <c r="BC405" s="36" t="n"/>
      <c r="BD405" s="36" t="n"/>
      <c r="BE405" s="36" t="n"/>
      <c r="BF405" s="36" t="n"/>
      <c r="BG405" s="36">
        <f>IFERROR(ROUND(BG402*BG403*BG404-BG401,6),"n/a")</f>
        <v>0</v>
      </c>
      <c r="BH405" s="36" t="n"/>
      <c r="BI405" s="36" t="n"/>
      <c r="BJ405" s="36" t="n"/>
      <c r="BK405" s="36" t="n"/>
      <c r="BL405" s="36">
        <f>IFERROR(ROUND(BL402*BL403*BL404-BL401,6),"n/a")</f>
        <v>0</v>
      </c>
      <c r="BM405" s="36" t="n"/>
      <c r="BN405" s="36" t="n"/>
      <c r="BO405" s="36" t="n"/>
      <c r="BP405" s="36" t="n"/>
      <c r="BQ405" s="36">
        <f>IFERROR(ROUND(BQ402*BQ403*BQ404-BQ401,6),"n/a")</f>
        <v>0</v>
      </c>
      <c r="BR405" s="36" t="n"/>
      <c r="BS405" s="36" t="n"/>
      <c r="BT405" s="36" t="n"/>
      <c r="BU405" s="36" t="n"/>
      <c r="BV405" s="36">
        <f>IFERROR(ROUND(BV402*BV403*BV404-BV401,6),"n/a")</f>
        <v>0</v>
      </c>
      <c r="BW405" s="36" t="n"/>
      <c r="BX405" s="36" t="n"/>
      <c r="BY405" s="277" t="n"/>
      <c r="BZ405" s="277" t="n"/>
      <c r="CA405" s="285">
        <f>IFERROR(ROUND(CA402*CA403*CA404-CA401,6),"n/a")</f>
        <v>0</v>
      </c>
      <c r="CB405" s="285">
        <f>IFERROR(ROUND(CB402*CB403*CB404-CB401,6),"n/a")</f>
        <v>0</v>
      </c>
      <c r="CC405" s="285">
        <f>IFERROR(ROUND(CC402*CC403*CC404-CC401,6),"n/a")</f>
        <v>0</v>
      </c>
      <c r="CD405" s="285">
        <f>IFERROR(ROUND(CD402*CD403*CD404-CD401,6),"n/a")</f>
        <v>0</v>
      </c>
      <c r="CE405" s="285">
        <f>IFERROR(ROUND(CE402*CE403*CE404-CE401,6),"n/a")</f>
        <v>0</v>
      </c>
      <c r="CF405" s="19" t="n"/>
    </row>
    <row r="406">
      <c r="B406" s="156" t="inlineStr">
        <is>
          <t xml:space="preserve">  Memo: company-published adjusted ROIC (rolling 12 months; adjusted NOPAT / period-end invested capital)</t>
        </is>
      </c>
      <c r="C406" s="40" t="n">
        <v>0.199</v>
      </c>
      <c r="D406" s="40" t="n">
        <v>0.205</v>
      </c>
      <c r="E406" s="40" t="n">
        <v>0.188</v>
      </c>
      <c r="F406" s="40" t="n"/>
      <c r="G406" s="40" t="n">
        <v>0.107</v>
      </c>
      <c r="H406" s="40" t="n">
        <v>0.169</v>
      </c>
      <c r="I406" s="40" t="n">
        <v>0.187</v>
      </c>
      <c r="J406" s="40" t="n"/>
      <c r="K406" s="40" t="n"/>
      <c r="L406" s="40" t="n"/>
      <c r="M406" s="40" t="n"/>
      <c r="N406" s="40" t="n">
        <v>0.189</v>
      </c>
      <c r="O406" s="40" t="n"/>
      <c r="P406" s="40" t="n"/>
      <c r="Q406" s="40" t="n"/>
      <c r="R406" s="40" t="n"/>
      <c r="S406" s="40" t="n">
        <v>0.191</v>
      </c>
      <c r="T406" s="40" t="n"/>
      <c r="U406" s="40" t="n"/>
      <c r="V406" s="40" t="n"/>
      <c r="W406" s="40" t="n"/>
      <c r="X406" s="40" t="n">
        <v>0.211</v>
      </c>
      <c r="Y406" s="40" t="n"/>
      <c r="Z406" s="40" t="n"/>
      <c r="AA406" s="40" t="n"/>
      <c r="AB406" s="40" t="n"/>
      <c r="AC406" s="40" t="n">
        <v>0.166</v>
      </c>
      <c r="AD406" s="40" t="n"/>
      <c r="AE406" s="40" t="n"/>
      <c r="AF406" s="40" t="n"/>
      <c r="AG406" s="40" t="n"/>
      <c r="AH406" s="40" t="n">
        <v>0.162</v>
      </c>
      <c r="AI406" s="40" t="n"/>
      <c r="AJ406" s="40" t="n"/>
      <c r="AK406" s="40" t="n"/>
      <c r="AL406" s="40" t="n"/>
      <c r="AM406" s="40" t="n">
        <v>0.207</v>
      </c>
      <c r="AN406" s="40" t="n"/>
      <c r="AO406" s="40" t="n"/>
      <c r="AP406" s="40" t="n"/>
      <c r="AQ406" s="40" t="n"/>
      <c r="AR406" s="40" t="n">
        <v>0.199</v>
      </c>
      <c r="AS406" s="40" t="n"/>
      <c r="AT406" s="40" t="n"/>
      <c r="AU406" s="40" t="n"/>
      <c r="AV406" s="40" t="n"/>
      <c r="AW406" s="40" t="n">
        <v>0.177</v>
      </c>
      <c r="AX406" s="40" t="n"/>
      <c r="AY406" s="40" t="n"/>
      <c r="AZ406" s="40" t="n"/>
      <c r="BA406" s="40" t="n"/>
      <c r="BB406" s="40" t="n">
        <v>0.239</v>
      </c>
      <c r="BC406" s="40" t="n"/>
      <c r="BD406" s="40" t="n"/>
      <c r="BE406" s="40" t="n"/>
      <c r="BF406" s="40" t="n"/>
      <c r="BG406" s="40" t="n">
        <v>0.227</v>
      </c>
      <c r="BH406" s="40" t="n"/>
      <c r="BI406" s="40" t="n"/>
      <c r="BJ406" s="40" t="n"/>
      <c r="BK406" s="40" t="n"/>
      <c r="BL406" s="40" t="n">
        <v>0.241</v>
      </c>
      <c r="BM406" s="40" t="n"/>
      <c r="BN406" s="40" t="n"/>
      <c r="BO406" s="40" t="n"/>
      <c r="BP406" s="40" t="n"/>
      <c r="BQ406" s="40" t="n">
        <v>0.218</v>
      </c>
      <c r="BR406" s="40" t="n"/>
      <c r="BS406" s="40" t="n"/>
      <c r="BT406" s="40" t="n"/>
      <c r="BU406" s="40" t="n"/>
      <c r="BV406" s="40" t="n">
        <v>0.213</v>
      </c>
      <c r="BW406" s="40" t="n"/>
      <c r="BX406" s="40" t="n"/>
      <c r="BY406" s="277" t="n"/>
      <c r="BZ406" s="277" t="n"/>
      <c r="CA406" s="277" t="n"/>
      <c r="CB406" s="277" t="n"/>
      <c r="CC406" s="277" t="n"/>
      <c r="CD406" s="277" t="n"/>
      <c r="CE406" s="277" t="n"/>
      <c r="CF406" s="19" t="n"/>
    </row>
    <row r="407">
      <c r="B407" s="14" t="inlineStr">
        <is>
          <t>RONTA decomposition</t>
        </is>
      </c>
      <c r="C407" s="14" t="n"/>
      <c r="D407" s="14" t="n"/>
      <c r="E407" s="14" t="n"/>
      <c r="F407" s="14" t="n"/>
      <c r="G407" s="14" t="n"/>
      <c r="H407" s="14" t="n"/>
      <c r="I407" s="14" t="n"/>
      <c r="J407" s="14" t="n"/>
      <c r="K407" s="14" t="n"/>
      <c r="L407" s="14" t="n"/>
      <c r="M407" s="14" t="n"/>
      <c r="N407" s="14" t="n"/>
      <c r="O407" s="14" t="n"/>
      <c r="P407" s="14" t="n"/>
      <c r="Q407" s="14" t="n"/>
      <c r="R407" s="14" t="n"/>
      <c r="S407" s="14" t="n"/>
      <c r="T407" s="14" t="n"/>
      <c r="U407" s="14" t="n"/>
      <c r="V407" s="14" t="n"/>
      <c r="W407" s="14" t="n"/>
      <c r="X407" s="14" t="n"/>
      <c r="Y407" s="14" t="n"/>
      <c r="Z407" s="14" t="n"/>
      <c r="AA407" s="14" t="n"/>
      <c r="AB407" s="14" t="n"/>
      <c r="AC407" s="14" t="n"/>
      <c r="AD407" s="14" t="n"/>
      <c r="AE407" s="14" t="n"/>
      <c r="AF407" s="14" t="n"/>
      <c r="AG407" s="14" t="n"/>
      <c r="AH407" s="14" t="n"/>
      <c r="AI407" s="14" t="n"/>
      <c r="AJ407" s="14" t="n"/>
      <c r="AK407" s="14" t="n"/>
      <c r="AL407" s="14" t="n"/>
      <c r="AM407" s="14" t="n"/>
      <c r="AN407" s="14" t="n"/>
      <c r="AO407" s="14" t="n"/>
      <c r="AP407" s="14" t="n"/>
      <c r="AQ407" s="14" t="n"/>
      <c r="AR407" s="14" t="n"/>
      <c r="AS407" s="14" t="n"/>
      <c r="AT407" s="14" t="n"/>
      <c r="AU407" s="14" t="n"/>
      <c r="AV407" s="14" t="n"/>
      <c r="AW407" s="14" t="n"/>
      <c r="AX407" s="14" t="n"/>
      <c r="AY407" s="14" t="n"/>
      <c r="AZ407" s="14" t="n"/>
      <c r="BA407" s="14" t="n"/>
      <c r="BB407" s="14" t="n"/>
      <c r="BC407" s="14" t="n"/>
      <c r="BD407" s="14" t="n"/>
      <c r="BE407" s="14" t="n"/>
      <c r="BF407" s="14" t="n"/>
      <c r="BG407" s="14" t="n"/>
      <c r="BH407" s="14" t="n"/>
      <c r="BI407" s="14" t="n"/>
      <c r="BJ407" s="14" t="n"/>
      <c r="BK407" s="14" t="n"/>
      <c r="BL407" s="14" t="n"/>
      <c r="BM407" s="14" t="n"/>
      <c r="BN407" s="14" t="n"/>
      <c r="BO407" s="14" t="n"/>
      <c r="BP407" s="14" t="n"/>
      <c r="BQ407" s="14" t="n"/>
      <c r="BR407" s="14" t="n"/>
      <c r="BS407" s="14" t="n"/>
      <c r="BT407" s="14" t="n"/>
      <c r="BU407" s="14" t="n"/>
      <c r="BV407" s="14" t="n"/>
      <c r="BW407" s="14" t="n"/>
      <c r="BX407" s="14" t="n"/>
      <c r="BY407" s="14" t="n"/>
      <c r="BZ407" s="14" t="n"/>
      <c r="CA407" s="14" t="n"/>
      <c r="CB407" s="14" t="n"/>
      <c r="CC407" s="14" t="n"/>
      <c r="CD407" s="14" t="n"/>
      <c r="CE407" s="14" t="n"/>
      <c r="CF407" s="15" t="n"/>
    </row>
    <row r="408">
      <c r="B408" s="25" t="inlineStr">
        <is>
          <t>NOPAT = Adjusted EBIT × (1 − tax rate)</t>
        </is>
      </c>
      <c r="C408" s="44">
        <f>C397</f>
        <v>174.088769326369</v>
      </c>
      <c r="D408" s="44">
        <f>D397</f>
        <v>204.817320420537</v>
      </c>
      <c r="E408" s="44">
        <f>E397</f>
        <v>228.345753930002</v>
      </c>
      <c r="F408" s="44">
        <f>F397</f>
        <v>68.6223554306727</v>
      </c>
      <c r="G408" s="44">
        <f>G397</f>
        <v>137.190804081065</v>
      </c>
      <c r="H408" s="44">
        <f>H397</f>
        <v>219.796501349015</v>
      </c>
      <c r="I408" s="44">
        <f>I397</f>
        <v>264.828708304246</v>
      </c>
      <c r="J408" s="34" t="n"/>
      <c r="K408" s="34" t="n"/>
      <c r="L408" s="34" t="n"/>
      <c r="M408" s="34" t="n"/>
      <c r="N408" s="44">
        <f>N397</f>
        <v>306.332952655958</v>
      </c>
      <c r="O408" s="34" t="n"/>
      <c r="P408" s="34" t="n"/>
      <c r="Q408" s="34" t="n"/>
      <c r="R408" s="34" t="n"/>
      <c r="S408" s="44">
        <f>S397</f>
        <v>293.417841320018</v>
      </c>
      <c r="T408" s="34" t="n"/>
      <c r="U408" s="34" t="n"/>
      <c r="V408" s="34" t="n"/>
      <c r="W408" s="34" t="n"/>
      <c r="X408" s="44">
        <f>X397</f>
        <v>284.265329406845</v>
      </c>
      <c r="Y408" s="34" t="n"/>
      <c r="Z408" s="34" t="n"/>
      <c r="AA408" s="34" t="n"/>
      <c r="AB408" s="34" t="n"/>
      <c r="AC408" s="44">
        <f>AC397</f>
        <v>235.085034965464</v>
      </c>
      <c r="AD408" s="34" t="n"/>
      <c r="AE408" s="34" t="n"/>
      <c r="AF408" s="34" t="n"/>
      <c r="AG408" s="34" t="n"/>
      <c r="AH408" s="44">
        <f>AH397</f>
        <v>250.246825953757</v>
      </c>
      <c r="AI408" s="34" t="n"/>
      <c r="AJ408" s="34" t="n"/>
      <c r="AK408" s="34" t="n"/>
      <c r="AL408" s="34" t="n"/>
      <c r="AM408" s="44">
        <f>AM397</f>
        <v>329.057177730158</v>
      </c>
      <c r="AN408" s="34" t="n"/>
      <c r="AO408" s="34" t="n"/>
      <c r="AP408" s="34" t="n"/>
      <c r="AQ408" s="34" t="n"/>
      <c r="AR408" s="44">
        <f>AR397</f>
        <v>318.741174185127</v>
      </c>
      <c r="AS408" s="34" t="n"/>
      <c r="AT408" s="34" t="n"/>
      <c r="AU408" s="34" t="n"/>
      <c r="AV408" s="34" t="n"/>
      <c r="AW408" s="44">
        <f>AW397</f>
        <v>265.765241872444</v>
      </c>
      <c r="AX408" s="34" t="n"/>
      <c r="AY408" s="34" t="n"/>
      <c r="AZ408" s="34" t="n"/>
      <c r="BA408" s="34" t="n"/>
      <c r="BB408" s="44">
        <f>BB397</f>
        <v>418.0791987643</v>
      </c>
      <c r="BC408" s="34" t="n"/>
      <c r="BD408" s="34" t="n"/>
      <c r="BE408" s="34" t="n"/>
      <c r="BF408" s="34" t="n"/>
      <c r="BG408" s="44">
        <f>BG397</f>
        <v>507.371541822488</v>
      </c>
      <c r="BH408" s="34" t="n"/>
      <c r="BI408" s="34" t="n"/>
      <c r="BJ408" s="34" t="n"/>
      <c r="BK408" s="34" t="n"/>
      <c r="BL408" s="44">
        <f>BL397</f>
        <v>580.579342625782</v>
      </c>
      <c r="BM408" s="34" t="n"/>
      <c r="BN408" s="34" t="n"/>
      <c r="BO408" s="34" t="n"/>
      <c r="BP408" s="34" t="n"/>
      <c r="BQ408" s="44">
        <f>BQ397</f>
        <v>559.820851907518</v>
      </c>
      <c r="BR408" s="34" t="n"/>
      <c r="BS408" s="34" t="n"/>
      <c r="BT408" s="34" t="n"/>
      <c r="BU408" s="34" t="n"/>
      <c r="BV408" s="44">
        <f>BV397</f>
        <v>580.013017774816</v>
      </c>
      <c r="BW408" s="34" t="n"/>
      <c r="BX408" s="34" t="n"/>
      <c r="BY408" s="257" t="n"/>
      <c r="BZ408" s="257" t="n"/>
      <c r="CA408" s="257">
        <f>CA397</f>
        <v>657.395353467751</v>
      </c>
      <c r="CB408" s="257">
        <f>CB397</f>
        <v>718.839155452256</v>
      </c>
      <c r="CC408" s="257">
        <f>CC397</f>
        <v>793.269765527033</v>
      </c>
      <c r="CD408" s="257">
        <f>CD397</f>
        <v>868.439284722683</v>
      </c>
      <c r="CE408" s="257">
        <f>CE397</f>
        <v>947.170980337246</v>
      </c>
      <c r="CF408" s="19" t="n"/>
    </row>
    <row r="409">
      <c r="B409" s="25" t="inlineStr">
        <is>
          <t xml:space="preserve">  Total assets</t>
        </is>
      </c>
      <c r="C409" s="44">
        <f>C329</f>
        <v>1394.579</v>
      </c>
      <c r="D409" s="44">
        <f>D329</f>
        <v>1645.296</v>
      </c>
      <c r="E409" s="44">
        <f>E329</f>
        <v>1718.805</v>
      </c>
      <c r="F409" s="44">
        <f>F329</f>
        <v>1705.292</v>
      </c>
      <c r="G409" s="44">
        <f>G329</f>
        <v>1783.788</v>
      </c>
      <c r="H409" s="44">
        <f>H329</f>
        <v>1976.776</v>
      </c>
      <c r="I409" s="44">
        <f>I329</f>
        <v>2089.863</v>
      </c>
      <c r="J409" s="34" t="n"/>
      <c r="K409" s="34" t="n"/>
      <c r="L409" s="34" t="n"/>
      <c r="M409" s="34" t="n"/>
      <c r="N409" s="44">
        <f>N329</f>
        <v>2151.867</v>
      </c>
      <c r="O409" s="34" t="n"/>
      <c r="P409" s="34" t="n"/>
      <c r="Q409" s="34" t="n"/>
      <c r="R409" s="34" t="n"/>
      <c r="S409" s="44">
        <f>S329</f>
        <v>1939.215</v>
      </c>
      <c r="T409" s="34" t="n"/>
      <c r="U409" s="34" t="n"/>
      <c r="V409" s="34" t="n"/>
      <c r="W409" s="34" t="n"/>
      <c r="X409" s="44">
        <f>X329</f>
        <v>1784.171</v>
      </c>
      <c r="Y409" s="34" t="n"/>
      <c r="Z409" s="34" t="n"/>
      <c r="AA409" s="34" t="n"/>
      <c r="AB409" s="34" t="n"/>
      <c r="AC409" s="44">
        <f>AC329</f>
        <v>1943.437</v>
      </c>
      <c r="AD409" s="34" t="n"/>
      <c r="AE409" s="34" t="n"/>
      <c r="AF409" s="34" t="n"/>
      <c r="AG409" s="34" t="n"/>
      <c r="AH409" s="44">
        <f>AH329</f>
        <v>2406.547</v>
      </c>
      <c r="AI409" s="34" t="n"/>
      <c r="AJ409" s="34" t="n"/>
      <c r="AK409" s="34" t="n"/>
      <c r="AL409" s="34" t="n"/>
      <c r="AM409" s="44">
        <f>AM329</f>
        <v>2349.825</v>
      </c>
      <c r="AN409" s="34" t="n"/>
      <c r="AO409" s="34" t="n"/>
      <c r="AP409" s="34" t="n"/>
      <c r="AQ409" s="34" t="n"/>
      <c r="AR409" s="44">
        <f>AR329</f>
        <v>2371.213</v>
      </c>
      <c r="AS409" s="34" t="n"/>
      <c r="AT409" s="34" t="n"/>
      <c r="AU409" s="34" t="n"/>
      <c r="AV409" s="34" t="n"/>
      <c r="AW409" s="44">
        <f>AW329</f>
        <v>2314.453</v>
      </c>
      <c r="AX409" s="34" t="n"/>
      <c r="AY409" s="34" t="n"/>
      <c r="AZ409" s="34" t="n"/>
      <c r="BA409" s="34" t="n"/>
      <c r="BB409" s="44">
        <f>BB329</f>
        <v>2592.307</v>
      </c>
      <c r="BC409" s="34" t="n"/>
      <c r="BD409" s="34" t="n"/>
      <c r="BE409" s="34" t="n"/>
      <c r="BF409" s="34" t="n"/>
      <c r="BG409" s="44">
        <f>BG329</f>
        <v>3180.546</v>
      </c>
      <c r="BH409" s="34" t="n"/>
      <c r="BI409" s="34" t="n"/>
      <c r="BJ409" s="34" t="n"/>
      <c r="BK409" s="34" t="n"/>
      <c r="BL409" s="44">
        <f>BL329</f>
        <v>3377.297</v>
      </c>
      <c r="BM409" s="34" t="n"/>
      <c r="BN409" s="34" t="n"/>
      <c r="BO409" s="34" t="n"/>
      <c r="BP409" s="34" t="n"/>
      <c r="BQ409" s="44">
        <f>BQ329</f>
        <v>3520.142</v>
      </c>
      <c r="BR409" s="34" t="n"/>
      <c r="BS409" s="34" t="n"/>
      <c r="BT409" s="34" t="n"/>
      <c r="BU409" s="34" t="n"/>
      <c r="BV409" s="44">
        <f>BV329</f>
        <v>3777.577</v>
      </c>
      <c r="BW409" s="34" t="n"/>
      <c r="BX409" s="34" t="n"/>
      <c r="BY409" s="257" t="n"/>
      <c r="BZ409" s="257" t="n"/>
      <c r="CA409" s="257">
        <f>CA329</f>
        <v>3851.10881731173</v>
      </c>
      <c r="CB409" s="257">
        <f>CB329</f>
        <v>4141.77819161493</v>
      </c>
      <c r="CC409" s="257">
        <f>CC329</f>
        <v>4506.5391683429</v>
      </c>
      <c r="CD409" s="257">
        <f>CD329</f>
        <v>4872.27456751083</v>
      </c>
      <c r="CE409" s="257">
        <f>CE329</f>
        <v>5239.23904476014</v>
      </c>
      <c r="CF409" s="19" t="n"/>
    </row>
    <row r="410">
      <c r="B410" s="25" t="inlineStr">
        <is>
          <t xml:space="preserve">  − Goodwill</t>
        </is>
      </c>
      <c r="C410" s="44">
        <f>-N(C327)</f>
        <v>-35.208</v>
      </c>
      <c r="D410" s="44">
        <f>-N(D327)</f>
        <v>-42.727</v>
      </c>
      <c r="E410" s="44">
        <f>-N(E327)</f>
        <v>-36.187</v>
      </c>
      <c r="F410" s="44">
        <f>-N(F327)</f>
        <v>-39.554</v>
      </c>
      <c r="G410" s="44">
        <f>-N(G327)</f>
        <v>-45.952</v>
      </c>
      <c r="H410" s="44">
        <f>-N(H327)</f>
        <v>-65.101</v>
      </c>
      <c r="I410" s="44">
        <f>-N(I327)</f>
        <v>-132.903</v>
      </c>
      <c r="J410" s="34" t="n"/>
      <c r="K410" s="34" t="n"/>
      <c r="L410" s="34" t="n"/>
      <c r="M410" s="34" t="n"/>
      <c r="N410" s="44">
        <f>-N(N327)</f>
        <v>-174.715</v>
      </c>
      <c r="O410" s="34" t="n"/>
      <c r="P410" s="34" t="n"/>
      <c r="Q410" s="34" t="n"/>
      <c r="R410" s="34" t="n"/>
      <c r="S410" s="44">
        <f>-N(S327)</f>
        <v>-179.517</v>
      </c>
      <c r="T410" s="34" t="n"/>
      <c r="U410" s="34" t="n"/>
      <c r="V410" s="34" t="n"/>
      <c r="W410" s="34" t="n"/>
      <c r="X410" s="44">
        <f>-N(X327)</f>
        <v>-187.504</v>
      </c>
      <c r="Y410" s="34" t="n"/>
      <c r="Z410" s="34" t="n"/>
      <c r="AA410" s="34" t="n"/>
      <c r="AB410" s="34" t="n"/>
      <c r="AC410" s="44">
        <f>-N(AC327)</f>
        <v>-231.919</v>
      </c>
      <c r="AD410" s="34" t="n"/>
      <c r="AE410" s="34" t="n"/>
      <c r="AF410" s="34" t="n"/>
      <c r="AG410" s="34" t="n"/>
      <c r="AH410" s="44">
        <f>-N(AH327)</f>
        <v>-234.582</v>
      </c>
      <c r="AI410" s="34" t="n"/>
      <c r="AJ410" s="34" t="n"/>
      <c r="AK410" s="34" t="n"/>
      <c r="AL410" s="34" t="n"/>
      <c r="AM410" s="44">
        <f>-N(AM327)</f>
        <v>-281.294</v>
      </c>
      <c r="AN410" s="34" t="n"/>
      <c r="AO410" s="34" t="n"/>
      <c r="AP410" s="34" t="n"/>
      <c r="AQ410" s="34" t="n"/>
      <c r="AR410" s="44">
        <f>-N(AR327)</f>
        <v>-337.107</v>
      </c>
      <c r="AS410" s="34" t="n"/>
      <c r="AT410" s="34" t="n"/>
      <c r="AU410" s="34" t="n"/>
      <c r="AV410" s="34" t="n"/>
      <c r="AW410" s="44">
        <f>-N(AW327)</f>
        <v>-335.593</v>
      </c>
      <c r="AX410" s="34" t="n"/>
      <c r="AY410" s="34" t="n"/>
      <c r="AZ410" s="34" t="n"/>
      <c r="BA410" s="34" t="n"/>
      <c r="BB410" s="44">
        <f>-N(BB327)</f>
        <v>-430.162</v>
      </c>
      <c r="BC410" s="34" t="n"/>
      <c r="BD410" s="34" t="n"/>
      <c r="BE410" s="34" t="n"/>
      <c r="BF410" s="34" t="n"/>
      <c r="BG410" s="44">
        <f>-N(BG327)</f>
        <v>-665.257</v>
      </c>
      <c r="BH410" s="34" t="n"/>
      <c r="BI410" s="34" t="n"/>
      <c r="BJ410" s="34" t="n"/>
      <c r="BK410" s="34" t="n"/>
      <c r="BL410" s="44">
        <f>-N(BL327)</f>
        <v>-694.452</v>
      </c>
      <c r="BM410" s="34" t="n"/>
      <c r="BN410" s="34" t="n"/>
      <c r="BO410" s="34" t="n"/>
      <c r="BP410" s="34" t="n"/>
      <c r="BQ410" s="44">
        <f>-N(BQ327)</f>
        <v>-804.927</v>
      </c>
      <c r="BR410" s="34" t="n"/>
      <c r="BS410" s="34" t="n"/>
      <c r="BT410" s="34" t="n"/>
      <c r="BU410" s="34" t="n"/>
      <c r="BV410" s="44">
        <f>-N(BV327)</f>
        <v>-886.686</v>
      </c>
      <c r="BW410" s="34" t="n"/>
      <c r="BX410" s="34" t="n"/>
      <c r="BY410" s="257" t="n"/>
      <c r="BZ410" s="257" t="n"/>
      <c r="CA410" s="257">
        <f>-N(CA327)</f>
        <v>-885.232</v>
      </c>
      <c r="CB410" s="257">
        <f>-N(CB327)</f>
        <v>-975.232</v>
      </c>
      <c r="CC410" s="257">
        <f>-N(CC327)</f>
        <v>-1087.732</v>
      </c>
      <c r="CD410" s="257">
        <f>-N(CD327)</f>
        <v>-1200.232</v>
      </c>
      <c r="CE410" s="257">
        <f>-N(CE327)</f>
        <v>-1312.732</v>
      </c>
      <c r="CF410" s="19" t="inlineStr">
        <is>
          <t>Acquired intangibles sit inside other noncurrent assets (not deducted; ~$250m at FY25).</t>
        </is>
      </c>
    </row>
    <row r="411">
      <c r="B411" s="25" t="inlineStr">
        <is>
          <t xml:space="preserve">  − Non-interest-bearing current liabilities (total CL excl. debt)</t>
        </is>
      </c>
      <c r="C411" s="44">
        <f>-(C335-N(C331))</f>
        <v>-291.154</v>
      </c>
      <c r="D411" s="44">
        <f>-(D335-N(D331))</f>
        <v>-299.435</v>
      </c>
      <c r="E411" s="44">
        <f>-(E335-N(E331))</f>
        <v>-305.949</v>
      </c>
      <c r="F411" s="44">
        <f>-(F335-N(F331))</f>
        <v>-262.104</v>
      </c>
      <c r="G411" s="44">
        <f>-(G335-N(G331))</f>
        <v>-322.514</v>
      </c>
      <c r="H411" s="44">
        <f>-(H335-N(H331))</f>
        <v>-369.624</v>
      </c>
      <c r="I411" s="44">
        <f>-(I335-N(I331))</f>
        <v>-421.591</v>
      </c>
      <c r="J411" s="34" t="n"/>
      <c r="K411" s="34" t="n"/>
      <c r="L411" s="34" t="n"/>
      <c r="M411" s="34" t="n"/>
      <c r="N411" s="44">
        <f>-(N335-N(N331))</f>
        <v>-441.621</v>
      </c>
      <c r="O411" s="34" t="n"/>
      <c r="P411" s="34" t="n"/>
      <c r="Q411" s="34" t="n"/>
      <c r="R411" s="34" t="n"/>
      <c r="S411" s="44">
        <f>-(S335-N(S331))</f>
        <v>-424.253</v>
      </c>
      <c r="T411" s="34" t="n"/>
      <c r="U411" s="34" t="n"/>
      <c r="V411" s="34" t="n"/>
      <c r="W411" s="34" t="n"/>
      <c r="X411" s="44">
        <f>-(X335-N(X331))</f>
        <v>-365.844</v>
      </c>
      <c r="Y411" s="34" t="n"/>
      <c r="Z411" s="34" t="n"/>
      <c r="AA411" s="34" t="n"/>
      <c r="AB411" s="34" t="n"/>
      <c r="AC411" s="44">
        <f>-(AC335-N(AC331))</f>
        <v>-386.218</v>
      </c>
      <c r="AD411" s="34" t="n"/>
      <c r="AE411" s="34" t="n"/>
      <c r="AF411" s="34" t="n"/>
      <c r="AG411" s="34" t="n"/>
      <c r="AH411" s="44">
        <f>-(AH335-N(AH331))</f>
        <v>-526.611</v>
      </c>
      <c r="AI411" s="34" t="n"/>
      <c r="AJ411" s="34" t="n"/>
      <c r="AK411" s="34" t="n"/>
      <c r="AL411" s="34" t="n"/>
      <c r="AM411" s="44">
        <f>-(AM335-N(AM331))</f>
        <v>-538.071</v>
      </c>
      <c r="AN411" s="34" t="n"/>
      <c r="AO411" s="34" t="n"/>
      <c r="AP411" s="34" t="n"/>
      <c r="AQ411" s="34" t="n"/>
      <c r="AR411" s="44">
        <f>-(AR335-N(AR331))</f>
        <v>-528.166</v>
      </c>
      <c r="AS411" s="34" t="n"/>
      <c r="AT411" s="34" t="n"/>
      <c r="AU411" s="34" t="n"/>
      <c r="AV411" s="34" t="n"/>
      <c r="AW411" s="44">
        <f>-(AW335-N(AW331))</f>
        <v>-546.715</v>
      </c>
      <c r="AX411" s="34" t="n"/>
      <c r="AY411" s="34" t="n"/>
      <c r="AZ411" s="34" t="n"/>
      <c r="BA411" s="34" t="n"/>
      <c r="BB411" s="44">
        <f>-(BB335-N(BB331))</f>
        <v>-703.175</v>
      </c>
      <c r="BC411" s="34" t="n"/>
      <c r="BD411" s="34" t="n"/>
      <c r="BE411" s="34" t="n"/>
      <c r="BF411" s="34" t="n"/>
      <c r="BG411" s="44">
        <f>-(BG335-N(BG331))</f>
        <v>-759.414</v>
      </c>
      <c r="BH411" s="34" t="n"/>
      <c r="BI411" s="34" t="n"/>
      <c r="BJ411" s="34" t="n"/>
      <c r="BK411" s="34" t="n"/>
      <c r="BL411" s="44">
        <f>-(BL335-N(BL331))</f>
        <v>-752.171</v>
      </c>
      <c r="BM411" s="34" t="n"/>
      <c r="BN411" s="34" t="n"/>
      <c r="BO411" s="34" t="n"/>
      <c r="BP411" s="34" t="n"/>
      <c r="BQ411" s="44">
        <f>-(BQ335-N(BQ331))</f>
        <v>-768.278</v>
      </c>
      <c r="BR411" s="34" t="n"/>
      <c r="BS411" s="34" t="n"/>
      <c r="BT411" s="34" t="n"/>
      <c r="BU411" s="34" t="n"/>
      <c r="BV411" s="44">
        <f>-(BV335-N(BV331))</f>
        <v>-812.911</v>
      </c>
      <c r="BW411" s="34" t="n"/>
      <c r="BX411" s="34" t="n"/>
      <c r="BY411" s="257" t="n"/>
      <c r="BZ411" s="257" t="n"/>
      <c r="CA411" s="257">
        <f>-(CA335-N(CA331))</f>
        <v>-817.095856279122</v>
      </c>
      <c r="CB411" s="257">
        <f>-(CB335-N(CB331))</f>
        <v>-844.884781401569</v>
      </c>
      <c r="CC411" s="257">
        <f>-(CC335-N(CC331))</f>
        <v>-883.138002361893</v>
      </c>
      <c r="CD411" s="257">
        <f>-(CD335-N(CD331))</f>
        <v>-923.16527863168</v>
      </c>
      <c r="CE411" s="257">
        <f>-(CE335-N(CE331))</f>
        <v>-965.021515600322</v>
      </c>
      <c r="CF411" s="19" t="n"/>
    </row>
    <row r="412">
      <c r="B412" s="16" t="inlineStr">
        <is>
          <t xml:space="preserve">  = Net tangible assets</t>
        </is>
      </c>
      <c r="C412" s="43">
        <f>C409+C410+C411</f>
        <v>1068.217</v>
      </c>
      <c r="D412" s="43">
        <f>D409+D410+D411</f>
        <v>1303.134</v>
      </c>
      <c r="E412" s="43">
        <f>E409+E410+E411</f>
        <v>1376.669</v>
      </c>
      <c r="F412" s="43">
        <f>F409+F410+F411</f>
        <v>1403.634</v>
      </c>
      <c r="G412" s="43">
        <f>G409+G410+G411</f>
        <v>1415.322</v>
      </c>
      <c r="H412" s="43">
        <f>H409+H410+H411</f>
        <v>1542.051</v>
      </c>
      <c r="I412" s="43">
        <f>I409+I410+I411</f>
        <v>1535.369</v>
      </c>
      <c r="J412" s="43" t="n"/>
      <c r="K412" s="43" t="n"/>
      <c r="L412" s="43" t="n"/>
      <c r="M412" s="43" t="n"/>
      <c r="N412" s="43">
        <f>N409+N410+N411</f>
        <v>1535.531</v>
      </c>
      <c r="O412" s="43" t="n"/>
      <c r="P412" s="43" t="n"/>
      <c r="Q412" s="43" t="n"/>
      <c r="R412" s="43" t="n"/>
      <c r="S412" s="43">
        <f>S409+S410+S411</f>
        <v>1335.445</v>
      </c>
      <c r="T412" s="43" t="n"/>
      <c r="U412" s="43" t="n"/>
      <c r="V412" s="43" t="n"/>
      <c r="W412" s="43" t="n"/>
      <c r="X412" s="43">
        <f>X409+X410+X411</f>
        <v>1230.823</v>
      </c>
      <c r="Y412" s="43" t="n"/>
      <c r="Z412" s="43" t="n"/>
      <c r="AA412" s="43" t="n"/>
      <c r="AB412" s="43" t="n"/>
      <c r="AC412" s="43">
        <f>AC409+AC410+AC411</f>
        <v>1325.3</v>
      </c>
      <c r="AD412" s="43" t="n"/>
      <c r="AE412" s="43" t="n"/>
      <c r="AF412" s="43" t="n"/>
      <c r="AG412" s="43" t="n"/>
      <c r="AH412" s="43">
        <f>AH409+AH410+AH411</f>
        <v>1645.354</v>
      </c>
      <c r="AI412" s="43" t="n"/>
      <c r="AJ412" s="43" t="n"/>
      <c r="AK412" s="43" t="n"/>
      <c r="AL412" s="43" t="n"/>
      <c r="AM412" s="43">
        <f>AM409+AM410+AM411</f>
        <v>1530.46</v>
      </c>
      <c r="AN412" s="43" t="n"/>
      <c r="AO412" s="43" t="n"/>
      <c r="AP412" s="43" t="n"/>
      <c r="AQ412" s="43" t="n"/>
      <c r="AR412" s="43">
        <f>AR409+AR410+AR411</f>
        <v>1505.94</v>
      </c>
      <c r="AS412" s="43" t="n"/>
      <c r="AT412" s="43" t="n"/>
      <c r="AU412" s="43" t="n"/>
      <c r="AV412" s="43" t="n"/>
      <c r="AW412" s="43">
        <f>AW409+AW410+AW411</f>
        <v>1432.145</v>
      </c>
      <c r="AX412" s="43" t="n"/>
      <c r="AY412" s="43" t="n"/>
      <c r="AZ412" s="43" t="n"/>
      <c r="BA412" s="43" t="n"/>
      <c r="BB412" s="43">
        <f>BB409+BB410+BB411</f>
        <v>1458.97</v>
      </c>
      <c r="BC412" s="43" t="n"/>
      <c r="BD412" s="43" t="n"/>
      <c r="BE412" s="43" t="n"/>
      <c r="BF412" s="43" t="n"/>
      <c r="BG412" s="43">
        <f>BG409+BG410+BG411</f>
        <v>1755.875</v>
      </c>
      <c r="BH412" s="43" t="n"/>
      <c r="BI412" s="43" t="n"/>
      <c r="BJ412" s="43" t="n"/>
      <c r="BK412" s="43" t="n"/>
      <c r="BL412" s="43">
        <f>BL409+BL410+BL411</f>
        <v>1930.674</v>
      </c>
      <c r="BM412" s="43" t="n"/>
      <c r="BN412" s="43" t="n"/>
      <c r="BO412" s="43" t="n"/>
      <c r="BP412" s="43" t="n"/>
      <c r="BQ412" s="43">
        <f>BQ409+BQ410+BQ411</f>
        <v>1946.937</v>
      </c>
      <c r="BR412" s="43" t="n"/>
      <c r="BS412" s="43" t="n"/>
      <c r="BT412" s="43" t="n"/>
      <c r="BU412" s="43" t="n"/>
      <c r="BV412" s="43">
        <f>BV409+BV410+BV411</f>
        <v>2077.98</v>
      </c>
      <c r="BW412" s="43" t="n"/>
      <c r="BX412" s="43" t="n"/>
      <c r="BY412" s="253" t="n"/>
      <c r="BZ412" s="253" t="n"/>
      <c r="CA412" s="253">
        <f>CA409+CA410+CA411</f>
        <v>2148.78096103261</v>
      </c>
      <c r="CB412" s="253">
        <f>CB409+CB410+CB411</f>
        <v>2321.66141021336</v>
      </c>
      <c r="CC412" s="253">
        <f>CC409+CC410+CC411</f>
        <v>2535.66916598101</v>
      </c>
      <c r="CD412" s="253">
        <f>CD409+CD410+CD411</f>
        <v>2748.87728887915</v>
      </c>
      <c r="CE412" s="253">
        <f>CE409+CE410+CE411</f>
        <v>2961.48552915982</v>
      </c>
      <c r="CF412" s="19" t="n"/>
    </row>
    <row r="413">
      <c r="B413" s="55" t="inlineStr">
        <is>
          <t>RONTA = NOPAT / NTA</t>
        </is>
      </c>
      <c r="C413" s="70">
        <f>IFERROR(C408/C412,"n/a")</f>
        <v>0.162971352568223</v>
      </c>
      <c r="D413" s="70">
        <f>IFERROR(D408/D412,"n/a")</f>
        <v>0.157172877402122</v>
      </c>
      <c r="E413" s="70">
        <f>IFERROR(E408/E412,"n/a")</f>
        <v>0.165868305257111</v>
      </c>
      <c r="F413" s="70">
        <f>IFERROR(F408/F412,"n/a")</f>
        <v>0.04888906611743</v>
      </c>
      <c r="G413" s="70">
        <f>IFERROR(G408/G412,"n/a")</f>
        <v>0.0969325737048286</v>
      </c>
      <c r="H413" s="70">
        <f>IFERROR(H408/H412,"n/a")</f>
        <v>0.142535169945102</v>
      </c>
      <c r="I413" s="70">
        <f>IFERROR(I408/I412,"n/a")</f>
        <v>0.172485381888162</v>
      </c>
      <c r="J413" s="70" t="n"/>
      <c r="K413" s="70" t="n"/>
      <c r="L413" s="70" t="n"/>
      <c r="M413" s="70" t="n"/>
      <c r="N413" s="70">
        <f>IFERROR(N408/N412,"n/a")</f>
        <v>0.19949643000106</v>
      </c>
      <c r="O413" s="70" t="n"/>
      <c r="P413" s="70" t="n"/>
      <c r="Q413" s="70" t="n"/>
      <c r="R413" s="70" t="n"/>
      <c r="S413" s="70">
        <f>IFERROR(S408/S412,"n/a")</f>
        <v>0.219715406714629</v>
      </c>
      <c r="T413" s="70" t="n"/>
      <c r="U413" s="70" t="n"/>
      <c r="V413" s="70" t="n"/>
      <c r="W413" s="70" t="n"/>
      <c r="X413" s="70">
        <f>IFERROR(X408/X412,"n/a")</f>
        <v>0.23095549027508</v>
      </c>
      <c r="Y413" s="70" t="n"/>
      <c r="Z413" s="70" t="n"/>
      <c r="AA413" s="70" t="n"/>
      <c r="AB413" s="70" t="n"/>
      <c r="AC413" s="70">
        <f>IFERROR(AC408/AC412,"n/a")</f>
        <v>0.177382505821673</v>
      </c>
      <c r="AD413" s="70" t="n"/>
      <c r="AE413" s="70" t="n"/>
      <c r="AF413" s="70" t="n"/>
      <c r="AG413" s="70" t="n"/>
      <c r="AH413" s="70">
        <f>IFERROR(AH408/AH412,"n/a")</f>
        <v>0.152093000019301</v>
      </c>
      <c r="AI413" s="70" t="n"/>
      <c r="AJ413" s="70" t="n"/>
      <c r="AK413" s="70" t="n"/>
      <c r="AL413" s="70" t="n"/>
      <c r="AM413" s="70">
        <f>IFERROR(AM408/AM412,"n/a")</f>
        <v>0.215005408655017</v>
      </c>
      <c r="AN413" s="70" t="n"/>
      <c r="AO413" s="70" t="n"/>
      <c r="AP413" s="70" t="n"/>
      <c r="AQ413" s="70" t="n"/>
      <c r="AR413" s="70">
        <f>IFERROR(AR408/AR412,"n/a")</f>
        <v>0.211655958527648</v>
      </c>
      <c r="AS413" s="70" t="n"/>
      <c r="AT413" s="70" t="n"/>
      <c r="AU413" s="70" t="n"/>
      <c r="AV413" s="70" t="n"/>
      <c r="AW413" s="70">
        <f>IFERROR(AW408/AW412,"n/a")</f>
        <v>0.185571462297773</v>
      </c>
      <c r="AX413" s="70" t="n"/>
      <c r="AY413" s="70" t="n"/>
      <c r="AZ413" s="70" t="n"/>
      <c r="BA413" s="70" t="n"/>
      <c r="BB413" s="70">
        <f>IFERROR(BB408/BB412,"n/a")</f>
        <v>0.286557776214933</v>
      </c>
      <c r="BC413" s="70" t="n"/>
      <c r="BD413" s="70" t="n"/>
      <c r="BE413" s="70" t="n"/>
      <c r="BF413" s="70" t="n"/>
      <c r="BG413" s="70">
        <f>IFERROR(BG408/BG412,"n/a")</f>
        <v>0.288956526986538</v>
      </c>
      <c r="BH413" s="70" t="n"/>
      <c r="BI413" s="70" t="n"/>
      <c r="BJ413" s="70" t="n"/>
      <c r="BK413" s="70" t="n"/>
      <c r="BL413" s="70">
        <f>IFERROR(BL408/BL412,"n/a")</f>
        <v>0.300713296302629</v>
      </c>
      <c r="BM413" s="70" t="n"/>
      <c r="BN413" s="70" t="n"/>
      <c r="BO413" s="70" t="n"/>
      <c r="BP413" s="70" t="n"/>
      <c r="BQ413" s="70">
        <f>IFERROR(BQ408/BQ412,"n/a")</f>
        <v>0.287539274207393</v>
      </c>
      <c r="BR413" s="70" t="n"/>
      <c r="BS413" s="70" t="n"/>
      <c r="BT413" s="70" t="n"/>
      <c r="BU413" s="70" t="n"/>
      <c r="BV413" s="70">
        <f>IFERROR(BV408/BV412,"n/a")</f>
        <v>0.279123484237007</v>
      </c>
      <c r="BW413" s="70" t="n"/>
      <c r="BX413" s="70" t="n"/>
      <c r="BY413" s="70" t="n"/>
      <c r="BZ413" s="70" t="n"/>
      <c r="CA413" s="70">
        <f>IFERROR(CA408/CA412,"n/a")</f>
        <v>0.305938746381966</v>
      </c>
      <c r="CB413" s="70">
        <f>IFERROR(CB408/CB412,"n/a")</f>
        <v>0.309622734947468</v>
      </c>
      <c r="CC413" s="70">
        <f>IFERROR(CC408/CC412,"n/a")</f>
        <v>0.312844347428948</v>
      </c>
      <c r="CD413" s="70">
        <f>IFERROR(CD408/CD412,"n/a")</f>
        <v>0.315925082664126</v>
      </c>
      <c r="CE413" s="70">
        <f>IFERROR(CE408/CE412,"n/a")</f>
        <v>0.319829683789122</v>
      </c>
      <c r="CF413" s="19" t="n"/>
      <c r="CH413" s="20">
        <f>IFERROR(AVERAGE(CA413,CB413,CC413,CD413,CE413),"n/m")</f>
        <v>0.312832119042326</v>
      </c>
      <c r="CI413" s="20">
        <f>IFERROR(AVERAGE(AW413,BB413,BG413,BL413,BQ413,BV413),"n/m")</f>
        <v>0.271410303374379</v>
      </c>
      <c r="CJ413" s="20">
        <f>IFERROR(AVERAGE(X413,AC413,AH413,AM413,AR413,AW413,BB413,BG413,BL413,BQ413,BV413),"n/m")</f>
        <v>0.237777653049545</v>
      </c>
      <c r="CK413" s="20">
        <f>IFERROR(AVERAGE(C413,D413,E413,F413,G413,H413,I413,N413,S413,X413,AC413,AH413,AM413,AR413,AW413,BB413,BG413,BL413,BQ413,BV413),"n/m")</f>
        <v>0.199081037357183</v>
      </c>
    </row>
    <row r="414">
      <c r="B414" s="14" t="inlineStr">
        <is>
          <t>Return on Equity (ROE)</t>
        </is>
      </c>
      <c r="C414" s="14" t="n"/>
      <c r="D414" s="14" t="n"/>
      <c r="E414" s="14" t="n"/>
      <c r="F414" s="14" t="n"/>
      <c r="G414" s="14" t="n"/>
      <c r="H414" s="14" t="n"/>
      <c r="I414" s="14" t="n"/>
      <c r="J414" s="14" t="n"/>
      <c r="K414" s="14" t="n"/>
      <c r="L414" s="14" t="n"/>
      <c r="M414" s="14" t="n"/>
      <c r="N414" s="14" t="n"/>
      <c r="O414" s="14" t="n"/>
      <c r="P414" s="14" t="n"/>
      <c r="Q414" s="14" t="n"/>
      <c r="R414" s="14" t="n"/>
      <c r="S414" s="14" t="n"/>
      <c r="T414" s="14" t="n"/>
      <c r="U414" s="14" t="n"/>
      <c r="V414" s="14" t="n"/>
      <c r="W414" s="14" t="n"/>
      <c r="X414" s="14" t="n"/>
      <c r="Y414" s="14" t="n"/>
      <c r="Z414" s="14" t="n"/>
      <c r="AA414" s="14" t="n"/>
      <c r="AB414" s="14" t="n"/>
      <c r="AC414" s="14" t="n"/>
      <c r="AD414" s="14" t="n"/>
      <c r="AE414" s="14" t="n"/>
      <c r="AF414" s="14" t="n"/>
      <c r="AG414" s="14" t="n"/>
      <c r="AH414" s="14" t="n"/>
      <c r="AI414" s="14" t="n"/>
      <c r="AJ414" s="14" t="n"/>
      <c r="AK414" s="14" t="n"/>
      <c r="AL414" s="14" t="n"/>
      <c r="AM414" s="14" t="n"/>
      <c r="AN414" s="14" t="n"/>
      <c r="AO414" s="14" t="n"/>
      <c r="AP414" s="14" t="n"/>
      <c r="AQ414" s="14" t="n"/>
      <c r="AR414" s="14" t="n"/>
      <c r="AS414" s="14" t="n"/>
      <c r="AT414" s="14" t="n"/>
      <c r="AU414" s="14" t="n"/>
      <c r="AV414" s="14" t="n"/>
      <c r="AW414" s="14" t="n"/>
      <c r="AX414" s="14" t="n"/>
      <c r="AY414" s="14" t="n"/>
      <c r="AZ414" s="14" t="n"/>
      <c r="BA414" s="14" t="n"/>
      <c r="BB414" s="14" t="n"/>
      <c r="BC414" s="14" t="n"/>
      <c r="BD414" s="14" t="n"/>
      <c r="BE414" s="14" t="n"/>
      <c r="BF414" s="14" t="n"/>
      <c r="BG414" s="14" t="n"/>
      <c r="BH414" s="14" t="n"/>
      <c r="BI414" s="14" t="n"/>
      <c r="BJ414" s="14" t="n"/>
      <c r="BK414" s="14" t="n"/>
      <c r="BL414" s="14" t="n"/>
      <c r="BM414" s="14" t="n"/>
      <c r="BN414" s="14" t="n"/>
      <c r="BO414" s="14" t="n"/>
      <c r="BP414" s="14" t="n"/>
      <c r="BQ414" s="14" t="n"/>
      <c r="BR414" s="14" t="n"/>
      <c r="BS414" s="14" t="n"/>
      <c r="BT414" s="14" t="n"/>
      <c r="BU414" s="14" t="n"/>
      <c r="BV414" s="14" t="n"/>
      <c r="BW414" s="14" t="n"/>
      <c r="BX414" s="14" t="n"/>
      <c r="BY414" s="14" t="n"/>
      <c r="BZ414" s="14" t="n"/>
      <c r="CA414" s="14" t="n"/>
      <c r="CB414" s="14" t="n"/>
      <c r="CC414" s="14" t="n"/>
      <c r="CD414" s="14" t="n"/>
      <c r="CE414" s="14" t="n"/>
      <c r="CF414" s="15" t="n"/>
    </row>
    <row r="415">
      <c r="B415" s="25" t="inlineStr">
        <is>
          <t>Net income attributable to Lincoln Electric</t>
        </is>
      </c>
      <c r="C415" s="44">
        <f>C175</f>
        <v>175.008</v>
      </c>
      <c r="D415" s="44">
        <f>D175</f>
        <v>202.736</v>
      </c>
      <c r="E415" s="44">
        <f>E175</f>
        <v>212.286</v>
      </c>
      <c r="F415" s="44">
        <f>F175</f>
        <v>48.5760000000001</v>
      </c>
      <c r="G415" s="44">
        <f>G175</f>
        <v>130.244</v>
      </c>
      <c r="H415" s="44">
        <f>H175</f>
        <v>217.186</v>
      </c>
      <c r="I415" s="44">
        <f>I175</f>
        <v>257.411</v>
      </c>
      <c r="J415" s="34" t="n"/>
      <c r="K415" s="34" t="n"/>
      <c r="L415" s="34" t="n"/>
      <c r="M415" s="34" t="n"/>
      <c r="N415" s="44">
        <f>N175</f>
        <v>293.78</v>
      </c>
      <c r="O415" s="34" t="n"/>
      <c r="P415" s="34" t="n"/>
      <c r="Q415" s="34" t="n"/>
      <c r="R415" s="34" t="n"/>
      <c r="S415" s="44">
        <f>S175</f>
        <v>254.686</v>
      </c>
      <c r="T415" s="34" t="n"/>
      <c r="U415" s="34" t="n"/>
      <c r="V415" s="34" t="n"/>
      <c r="W415" s="34" t="n"/>
      <c r="X415" s="44">
        <f>X175</f>
        <v>127.478</v>
      </c>
      <c r="Y415" s="34" t="n"/>
      <c r="Z415" s="34" t="n"/>
      <c r="AA415" s="34" t="n"/>
      <c r="AB415" s="34" t="n"/>
      <c r="AC415" s="44">
        <f>AC175</f>
        <v>198.399</v>
      </c>
      <c r="AD415" s="34" t="n"/>
      <c r="AE415" s="34" t="n"/>
      <c r="AF415" s="34" t="n"/>
      <c r="AG415" s="34" t="n"/>
      <c r="AH415" s="44">
        <f>AH175</f>
        <v>247.503</v>
      </c>
      <c r="AI415" s="34" t="n"/>
      <c r="AJ415" s="34" t="n"/>
      <c r="AK415" s="34" t="n"/>
      <c r="AL415" s="34" t="n"/>
      <c r="AM415" s="44">
        <f>AM175</f>
        <v>287.066</v>
      </c>
      <c r="AN415" s="34" t="n"/>
      <c r="AO415" s="34" t="n"/>
      <c r="AP415" s="34" t="n"/>
      <c r="AQ415" s="34" t="n"/>
      <c r="AR415" s="44">
        <f>AR175</f>
        <v>293.109</v>
      </c>
      <c r="AS415" s="34" t="n"/>
      <c r="AT415" s="34" t="n"/>
      <c r="AU415" s="34" t="n"/>
      <c r="AV415" s="34" t="n"/>
      <c r="AW415" s="44">
        <f>AW175</f>
        <v>206.115</v>
      </c>
      <c r="AX415" s="34" t="n"/>
      <c r="AY415" s="34" t="n"/>
      <c r="AZ415" s="34" t="n"/>
      <c r="BA415" s="34" t="n"/>
      <c r="BB415" s="44">
        <f>BB175</f>
        <v>276.466</v>
      </c>
      <c r="BC415" s="34" t="n"/>
      <c r="BD415" s="34" t="n"/>
      <c r="BE415" s="34" t="n"/>
      <c r="BF415" s="34" t="n"/>
      <c r="BG415" s="44">
        <f>BG175</f>
        <v>472.224</v>
      </c>
      <c r="BH415" s="34" t="n"/>
      <c r="BI415" s="34" t="n"/>
      <c r="BJ415" s="34" t="n"/>
      <c r="BK415" s="34" t="n"/>
      <c r="BL415" s="44">
        <f>BL175</f>
        <v>545.248000000001</v>
      </c>
      <c r="BM415" s="34" t="n"/>
      <c r="BN415" s="34" t="n"/>
      <c r="BO415" s="34" t="n"/>
      <c r="BP415" s="34" t="n"/>
      <c r="BQ415" s="44">
        <f>BQ175</f>
        <v>466.108</v>
      </c>
      <c r="BR415" s="34" t="n"/>
      <c r="BS415" s="34" t="n"/>
      <c r="BT415" s="34" t="n"/>
      <c r="BU415" s="34" t="n"/>
      <c r="BV415" s="44">
        <f>BV175</f>
        <v>520.532999999999</v>
      </c>
      <c r="BW415" s="34" t="n"/>
      <c r="BX415" s="34" t="n"/>
      <c r="BY415" s="257" t="n"/>
      <c r="BZ415" s="257" t="n"/>
      <c r="CA415" s="257">
        <f>CA175</f>
        <v>607.1381839125</v>
      </c>
      <c r="CB415" s="257">
        <f>CB175</f>
        <v>671.527788613991</v>
      </c>
      <c r="CC415" s="257">
        <f>CC175</f>
        <v>739.597580593692</v>
      </c>
      <c r="CD415" s="257">
        <f>CD175</f>
        <v>810.555140343366</v>
      </c>
      <c r="CE415" s="257">
        <f>CE175</f>
        <v>885.000165802894</v>
      </c>
      <c r="CF415" s="19" t="n"/>
    </row>
    <row r="416">
      <c r="B416" s="25" t="inlineStr">
        <is>
          <t>Lincoln Electric shareholders' equity</t>
        </is>
      </c>
      <c r="C416" s="44">
        <f>C344</f>
        <v>852.976</v>
      </c>
      <c r="D416" s="44">
        <f>D344</f>
        <v>1087.22</v>
      </c>
      <c r="E416" s="44">
        <f>E344</f>
        <v>995.312</v>
      </c>
      <c r="F416" s="44">
        <f>F344</f>
        <v>1072.346</v>
      </c>
      <c r="G416" s="44">
        <f>G344</f>
        <v>1133.497</v>
      </c>
      <c r="H416" s="44">
        <f>H344</f>
        <v>1176.946</v>
      </c>
      <c r="I416" s="44">
        <f>I344</f>
        <v>1342.373</v>
      </c>
      <c r="J416" s="34" t="n"/>
      <c r="K416" s="34" t="n"/>
      <c r="L416" s="34" t="n"/>
      <c r="M416" s="34" t="n"/>
      <c r="N416" s="44">
        <f>N344</f>
        <v>1526.602</v>
      </c>
      <c r="O416" s="34" t="n"/>
      <c r="P416" s="34" t="n"/>
      <c r="Q416" s="34" t="n"/>
      <c r="R416" s="34" t="n"/>
      <c r="S416" s="44">
        <f>S344</f>
        <v>1282.549</v>
      </c>
      <c r="T416" s="34" t="n"/>
      <c r="U416" s="34" t="n"/>
      <c r="V416" s="34" t="n"/>
      <c r="W416" s="34" t="n"/>
      <c r="X416" s="44">
        <f>X344</f>
        <v>931.587</v>
      </c>
      <c r="Y416" s="34" t="n"/>
      <c r="Z416" s="34" t="n"/>
      <c r="AA416" s="34" t="n"/>
      <c r="AB416" s="34" t="n"/>
      <c r="AC416" s="44">
        <f>AC344</f>
        <v>711.477</v>
      </c>
      <c r="AD416" s="34" t="n"/>
      <c r="AE416" s="34" t="n"/>
      <c r="AF416" s="34" t="n"/>
      <c r="AG416" s="34" t="n"/>
      <c r="AH416" s="44">
        <f>AH344</f>
        <v>931.637</v>
      </c>
      <c r="AI416" s="34" t="n"/>
      <c r="AJ416" s="34" t="n"/>
      <c r="AK416" s="34" t="n"/>
      <c r="AL416" s="34" t="n"/>
      <c r="AM416" s="44">
        <f>AM344</f>
        <v>886.942</v>
      </c>
      <c r="AN416" s="34" t="n"/>
      <c r="AO416" s="34" t="n"/>
      <c r="AP416" s="34" t="n"/>
      <c r="AQ416" s="34" t="n"/>
      <c r="AR416" s="44">
        <f>AR344</f>
        <v>818.172000000001</v>
      </c>
      <c r="AS416" s="34" t="n"/>
      <c r="AT416" s="34" t="n"/>
      <c r="AU416" s="34" t="n"/>
      <c r="AV416" s="34" t="n"/>
      <c r="AW416" s="44">
        <f>AW344</f>
        <v>789.271</v>
      </c>
      <c r="AX416" s="34" t="n"/>
      <c r="AY416" s="34" t="n"/>
      <c r="AZ416" s="34" t="n"/>
      <c r="BA416" s="34" t="n"/>
      <c r="BB416" s="44">
        <f>BB344</f>
        <v>864.102</v>
      </c>
      <c r="BC416" s="34" t="n"/>
      <c r="BD416" s="34" t="n"/>
      <c r="BE416" s="34" t="n"/>
      <c r="BF416" s="34" t="n"/>
      <c r="BG416" s="44">
        <f>BG344</f>
        <v>1034.14</v>
      </c>
      <c r="BH416" s="34" t="n"/>
      <c r="BI416" s="34" t="n"/>
      <c r="BJ416" s="34" t="n"/>
      <c r="BK416" s="34" t="n"/>
      <c r="BL416" s="44">
        <f>BL344</f>
        <v>1308.852</v>
      </c>
      <c r="BM416" s="34" t="n"/>
      <c r="BN416" s="34" t="n"/>
      <c r="BO416" s="34" t="n"/>
      <c r="BP416" s="34" t="n"/>
      <c r="BQ416" s="44">
        <f>BQ344</f>
        <v>1327.433</v>
      </c>
      <c r="BR416" s="34" t="n"/>
      <c r="BS416" s="34" t="n"/>
      <c r="BT416" s="34" t="n"/>
      <c r="BU416" s="34" t="n"/>
      <c r="BV416" s="44">
        <f>BV344</f>
        <v>1469.794</v>
      </c>
      <c r="BW416" s="34" t="n"/>
      <c r="BX416" s="34" t="n"/>
      <c r="BY416" s="257" t="n"/>
      <c r="BZ416" s="257" t="n"/>
      <c r="CA416" s="257">
        <f>CA344</f>
        <v>1662.9659610326</v>
      </c>
      <c r="CB416" s="257">
        <f>CB344</f>
        <v>1771.15203287112</v>
      </c>
      <c r="CC416" s="257">
        <f>CC344</f>
        <v>1987.54320181587</v>
      </c>
      <c r="CD416" s="257">
        <f>CD344</f>
        <v>2201.18151673923</v>
      </c>
      <c r="CE416" s="257">
        <f>CE344</f>
        <v>2408.9574879085</v>
      </c>
      <c r="CF416" s="19" t="n"/>
    </row>
    <row r="417">
      <c r="B417" s="55" t="inlineStr">
        <is>
          <t>ROE = Net income / Equity</t>
        </is>
      </c>
      <c r="C417" s="70">
        <f>IFERROR(C415/C416,"n/a")</f>
        <v>0.205173416368104</v>
      </c>
      <c r="D417" s="70">
        <f>IFERROR(D415/D416,"n/a")</f>
        <v>0.186471919206784</v>
      </c>
      <c r="E417" s="70">
        <f>IFERROR(E415/E416,"n/a")</f>
        <v>0.213285884225248</v>
      </c>
      <c r="F417" s="70">
        <f>IFERROR(F415/F416,"n/a")</f>
        <v>0.0452988121371274</v>
      </c>
      <c r="G417" s="70">
        <f>IFERROR(G415/G416,"n/a")</f>
        <v>0.114904582896999</v>
      </c>
      <c r="H417" s="70">
        <f>IFERROR(H415/H416,"n/a")</f>
        <v>0.184533530000527</v>
      </c>
      <c r="I417" s="70">
        <f>IFERROR(I415/I416,"n/a")</f>
        <v>0.191758177496121</v>
      </c>
      <c r="J417" s="70" t="n"/>
      <c r="K417" s="70" t="n"/>
      <c r="L417" s="70" t="n"/>
      <c r="M417" s="70" t="n"/>
      <c r="N417" s="70">
        <f>IFERROR(N415/N416,"n/a")</f>
        <v>0.192440465818858</v>
      </c>
      <c r="O417" s="70" t="n"/>
      <c r="P417" s="70" t="n"/>
      <c r="Q417" s="70" t="n"/>
      <c r="R417" s="70" t="n"/>
      <c r="S417" s="70">
        <f>IFERROR(S415/S416,"n/a")</f>
        <v>0.198577988053478</v>
      </c>
      <c r="T417" s="70" t="n"/>
      <c r="U417" s="70" t="n"/>
      <c r="V417" s="70" t="n"/>
      <c r="W417" s="70" t="n"/>
      <c r="X417" s="70">
        <f>IFERROR(X415/X416,"n/a")</f>
        <v>0.136839608109602</v>
      </c>
      <c r="Y417" s="70" t="n"/>
      <c r="Z417" s="70" t="n"/>
      <c r="AA417" s="70" t="n"/>
      <c r="AB417" s="70" t="n"/>
      <c r="AC417" s="70">
        <f>IFERROR(AC415/AC416,"n/a")</f>
        <v>0.278855114079584</v>
      </c>
      <c r="AD417" s="70" t="n"/>
      <c r="AE417" s="70" t="n"/>
      <c r="AF417" s="70" t="n"/>
      <c r="AG417" s="70" t="n"/>
      <c r="AH417" s="70">
        <f>IFERROR(AH415/AH416,"n/a")</f>
        <v>0.265664631181458</v>
      </c>
      <c r="AI417" s="70" t="n"/>
      <c r="AJ417" s="70" t="n"/>
      <c r="AK417" s="70" t="n"/>
      <c r="AL417" s="70" t="n"/>
      <c r="AM417" s="70">
        <f>IFERROR(AM415/AM416,"n/a")</f>
        <v>0.323658142246054</v>
      </c>
      <c r="AN417" s="70" t="n"/>
      <c r="AO417" s="70" t="n"/>
      <c r="AP417" s="70" t="n"/>
      <c r="AQ417" s="70" t="n"/>
      <c r="AR417" s="70">
        <f>IFERROR(AR415/AR416,"n/a")</f>
        <v>0.358248632316921</v>
      </c>
      <c r="AS417" s="70" t="n"/>
      <c r="AT417" s="70" t="n"/>
      <c r="AU417" s="70" t="n"/>
      <c r="AV417" s="70" t="n"/>
      <c r="AW417" s="70">
        <f>IFERROR(AW415/AW416,"n/a")</f>
        <v>0.261146044894593</v>
      </c>
      <c r="AX417" s="70" t="n"/>
      <c r="AY417" s="70" t="n"/>
      <c r="AZ417" s="70" t="n"/>
      <c r="BA417" s="70" t="n"/>
      <c r="BB417" s="70">
        <f>IFERROR(BB415/BB416,"n/a")</f>
        <v>0.31994602489058</v>
      </c>
      <c r="BC417" s="70" t="n"/>
      <c r="BD417" s="70" t="n"/>
      <c r="BE417" s="70" t="n"/>
      <c r="BF417" s="70" t="n"/>
      <c r="BG417" s="70">
        <f>IFERROR(BG415/BG416,"n/a")</f>
        <v>0.456634498230413</v>
      </c>
      <c r="BH417" s="70" t="n"/>
      <c r="BI417" s="70" t="n"/>
      <c r="BJ417" s="70" t="n"/>
      <c r="BK417" s="70" t="n"/>
      <c r="BL417" s="70">
        <f>IFERROR(BL415/BL416,"n/a")</f>
        <v>0.416584915635993</v>
      </c>
      <c r="BM417" s="70" t="n"/>
      <c r="BN417" s="70" t="n"/>
      <c r="BO417" s="70" t="n"/>
      <c r="BP417" s="70" t="n"/>
      <c r="BQ417" s="70">
        <f>IFERROR(BQ415/BQ416,"n/a")</f>
        <v>0.351134859537167</v>
      </c>
      <c r="BR417" s="70" t="n"/>
      <c r="BS417" s="70" t="n"/>
      <c r="BT417" s="70" t="n"/>
      <c r="BU417" s="70" t="n"/>
      <c r="BV417" s="70">
        <f>IFERROR(BV415/BV416,"n/a")</f>
        <v>0.354153711336418</v>
      </c>
      <c r="BW417" s="70" t="n"/>
      <c r="BX417" s="70" t="n"/>
      <c r="BY417" s="70" t="n"/>
      <c r="BZ417" s="70" t="n"/>
      <c r="CA417" s="70">
        <f>IFERROR(CA415/CA416,"n/a")</f>
        <v>0.365093572652264</v>
      </c>
      <c r="CB417" s="70">
        <f>IFERROR(CB415/CB416,"n/a")</f>
        <v>0.379147456655889</v>
      </c>
      <c r="CC417" s="70">
        <f>IFERROR(CC415/CC416,"n/a")</f>
        <v>0.372116480244543</v>
      </c>
      <c r="CD417" s="70">
        <f>IFERROR(CD415/CD416,"n/a")</f>
        <v>0.368236392219075</v>
      </c>
      <c r="CE417" s="70">
        <f>IFERROR(CE415/CE416,"n/a")</f>
        <v>0.367378905707161</v>
      </c>
      <c r="CF417" s="19" t="n"/>
      <c r="CH417" s="20">
        <f>IFERROR(AVERAGE(CA417,CB417,CC417,CD417,CE417),"n/m")</f>
        <v>0.370394561495786</v>
      </c>
      <c r="CI417" s="20">
        <f>IFERROR(AVERAGE(AW417,BB417,BG417,BL417,BQ417,BV417),"n/m")</f>
        <v>0.359933342420861</v>
      </c>
      <c r="CJ417" s="20">
        <f>IFERROR(AVERAGE(X417,AC417,AH417,AM417,AR417,AW417,BB417,BG417,BL417,BQ417,BV417),"n/m")</f>
        <v>0.320260562041708</v>
      </c>
      <c r="CK417" s="20">
        <f>IFERROR(AVERAGE(C417,D417,E417,F417,G417,H417,I417,N417,S417,X417,AC417,AH417,AM417,AR417,AW417,BB417,BG417,BL417,BQ417,BV417),"n/m")</f>
        <v>0.252765547933102</v>
      </c>
    </row>
    <row r="418">
      <c r="B418" s="14" t="inlineStr">
        <is>
          <t>Leverage</t>
        </is>
      </c>
      <c r="C418" s="14" t="n"/>
      <c r="D418" s="14" t="n"/>
      <c r="E418" s="14" t="n"/>
      <c r="F418" s="14" t="n"/>
      <c r="G418" s="14" t="n"/>
      <c r="H418" s="14" t="n"/>
      <c r="I418" s="14" t="n"/>
      <c r="J418" s="14" t="n"/>
      <c r="K418" s="14" t="n"/>
      <c r="L418" s="14" t="n"/>
      <c r="M418" s="14" t="n"/>
      <c r="N418" s="14" t="n"/>
      <c r="O418" s="14" t="n"/>
      <c r="P418" s="14" t="n"/>
      <c r="Q418" s="14" t="n"/>
      <c r="R418" s="14" t="n"/>
      <c r="S418" s="14" t="n"/>
      <c r="T418" s="14" t="n"/>
      <c r="U418" s="14" t="n"/>
      <c r="V418" s="14" t="n"/>
      <c r="W418" s="14" t="n"/>
      <c r="X418" s="14" t="n"/>
      <c r="Y418" s="14" t="n"/>
      <c r="Z418" s="14" t="n"/>
      <c r="AA418" s="14" t="n"/>
      <c r="AB418" s="14" t="n"/>
      <c r="AC418" s="14" t="n"/>
      <c r="AD418" s="14" t="n"/>
      <c r="AE418" s="14" t="n"/>
      <c r="AF418" s="14" t="n"/>
      <c r="AG418" s="14" t="n"/>
      <c r="AH418" s="14" t="n"/>
      <c r="AI418" s="14" t="n"/>
      <c r="AJ418" s="14" t="n"/>
      <c r="AK418" s="14" t="n"/>
      <c r="AL418" s="14" t="n"/>
      <c r="AM418" s="14" t="n"/>
      <c r="AN418" s="14" t="n"/>
      <c r="AO418" s="14" t="n"/>
      <c r="AP418" s="14" t="n"/>
      <c r="AQ418" s="14" t="n"/>
      <c r="AR418" s="14" t="n"/>
      <c r="AS418" s="14" t="n"/>
      <c r="AT418" s="14" t="n"/>
      <c r="AU418" s="14" t="n"/>
      <c r="AV418" s="14" t="n"/>
      <c r="AW418" s="14" t="n"/>
      <c r="AX418" s="14" t="n"/>
      <c r="AY418" s="14" t="n"/>
      <c r="AZ418" s="14" t="n"/>
      <c r="BA418" s="14" t="n"/>
      <c r="BB418" s="14" t="n"/>
      <c r="BC418" s="14" t="n"/>
      <c r="BD418" s="14" t="n"/>
      <c r="BE418" s="14" t="n"/>
      <c r="BF418" s="14" t="n"/>
      <c r="BG418" s="14" t="n"/>
      <c r="BH418" s="14" t="n"/>
      <c r="BI418" s="14" t="n"/>
      <c r="BJ418" s="14" t="n"/>
      <c r="BK418" s="14" t="n"/>
      <c r="BL418" s="14" t="n"/>
      <c r="BM418" s="14" t="n"/>
      <c r="BN418" s="14" t="n"/>
      <c r="BO418" s="14" t="n"/>
      <c r="BP418" s="14" t="n"/>
      <c r="BQ418" s="14" t="n"/>
      <c r="BR418" s="14" t="n"/>
      <c r="BS418" s="14" t="n"/>
      <c r="BT418" s="14" t="n"/>
      <c r="BU418" s="14" t="n"/>
      <c r="BV418" s="14" t="n"/>
      <c r="BW418" s="14" t="n"/>
      <c r="BX418" s="14" t="n"/>
      <c r="BY418" s="14" t="n"/>
      <c r="BZ418" s="14" t="n"/>
      <c r="CA418" s="14" t="n"/>
      <c r="CB418" s="14" t="n"/>
      <c r="CC418" s="14" t="n"/>
      <c r="CD418" s="14" t="n"/>
      <c r="CE418" s="14" t="n"/>
      <c r="CF418" s="15" t="n"/>
    </row>
    <row r="419">
      <c r="B419" s="25" t="inlineStr">
        <is>
          <t>Net debt = Total debt − cash</t>
        </is>
      </c>
      <c r="C419" s="44">
        <f>C400</f>
        <v>40.887</v>
      </c>
      <c r="D419" s="44">
        <f>D400</f>
        <v>-87.567</v>
      </c>
      <c r="E419" s="44">
        <f>E400</f>
        <v>-142.102</v>
      </c>
      <c r="F419" s="44">
        <f>F400</f>
        <v>-264.419</v>
      </c>
      <c r="G419" s="44">
        <f>G400</f>
        <v>-268.488</v>
      </c>
      <c r="H419" s="44">
        <f>H400</f>
        <v>-257.723</v>
      </c>
      <c r="I419" s="44">
        <f>I400</f>
        <v>-266.189</v>
      </c>
      <c r="J419" s="34" t="n"/>
      <c r="K419" s="34" t="n"/>
      <c r="L419" s="34" t="n"/>
      <c r="M419" s="34" t="n"/>
      <c r="N419" s="44">
        <f>N400</f>
        <v>-280.738</v>
      </c>
      <c r="O419" s="34" t="n"/>
      <c r="P419" s="34" t="n"/>
      <c r="Q419" s="34" t="n"/>
      <c r="R419" s="34" t="n"/>
      <c r="S419" s="44">
        <f>S400</f>
        <v>-207.725</v>
      </c>
      <c r="T419" s="34" t="n"/>
      <c r="U419" s="34" t="n"/>
      <c r="V419" s="34" t="n"/>
      <c r="W419" s="34" t="n"/>
      <c r="X419" s="44">
        <f>X400</f>
        <v>50.442</v>
      </c>
      <c r="Y419" s="34" t="n"/>
      <c r="Z419" s="34" t="n"/>
      <c r="AA419" s="34" t="n"/>
      <c r="AB419" s="34" t="n"/>
      <c r="AC419" s="44">
        <f>AC400</f>
        <v>326.414</v>
      </c>
      <c r="AD419" s="34" t="n"/>
      <c r="AE419" s="34" t="n"/>
      <c r="AF419" s="34" t="n"/>
      <c r="AG419" s="34" t="n"/>
      <c r="AH419" s="44">
        <f>AH400</f>
        <v>379.566</v>
      </c>
      <c r="AI419" s="34" t="n"/>
      <c r="AJ419" s="34" t="n"/>
      <c r="AK419" s="34" t="n"/>
      <c r="AL419" s="34" t="n"/>
      <c r="AM419" s="44">
        <f>AM400</f>
        <v>343.811</v>
      </c>
      <c r="AN419" s="34" t="n"/>
      <c r="AO419" s="34" t="n"/>
      <c r="AP419" s="34" t="n"/>
      <c r="AQ419" s="34" t="n"/>
      <c r="AR419" s="44">
        <f>AR400</f>
        <v>547.708</v>
      </c>
      <c r="AS419" s="34" t="n"/>
      <c r="AT419" s="34" t="n"/>
      <c r="AU419" s="34" t="n"/>
      <c r="AV419" s="34" t="n"/>
      <c r="AW419" s="44">
        <f>AW400</f>
        <v>460.911</v>
      </c>
      <c r="AX419" s="34" t="n"/>
      <c r="AY419" s="34" t="n"/>
      <c r="AZ419" s="34" t="n"/>
      <c r="BA419" s="34" t="n"/>
      <c r="BB419" s="44">
        <f>BB400</f>
        <v>576.861</v>
      </c>
      <c r="BC419" s="34" t="n"/>
      <c r="BD419" s="34" t="n"/>
      <c r="BE419" s="34" t="n"/>
      <c r="BF419" s="34" t="n"/>
      <c r="BG419" s="44">
        <f>BG400</f>
        <v>1006.729</v>
      </c>
      <c r="BH419" s="34" t="n"/>
      <c r="BI419" s="34" t="n"/>
      <c r="BJ419" s="34" t="n"/>
      <c r="BK419" s="34" t="n"/>
      <c r="BL419" s="44">
        <f>BL400</f>
        <v>711.423</v>
      </c>
      <c r="BM419" s="34" t="n"/>
      <c r="BN419" s="34" t="n"/>
      <c r="BO419" s="34" t="n"/>
      <c r="BP419" s="34" t="n"/>
      <c r="BQ419" s="44">
        <f>BQ400</f>
        <v>883.813</v>
      </c>
      <c r="BR419" s="34" t="n"/>
      <c r="BS419" s="34" t="n"/>
      <c r="BT419" s="34" t="n"/>
      <c r="BU419" s="34" t="n"/>
      <c r="BV419" s="44">
        <f>BV400</f>
        <v>985.219</v>
      </c>
      <c r="BW419" s="34" t="n"/>
      <c r="BX419" s="34" t="n"/>
      <c r="BY419" s="257" t="n"/>
      <c r="BZ419" s="257" t="n"/>
      <c r="CA419" s="257">
        <f>CA400</f>
        <v>896.796958863492</v>
      </c>
      <c r="CB419" s="257">
        <f>CB400</f>
        <v>1054.69437734224</v>
      </c>
      <c r="CC419" s="257">
        <f>CC400</f>
        <v>1164.81096416513</v>
      </c>
      <c r="CD419" s="257">
        <f>CD400</f>
        <v>1276.88077213992</v>
      </c>
      <c r="CE419" s="257">
        <f>CE400</f>
        <v>1394.21304125132</v>
      </c>
      <c r="CF419" s="19" t="n"/>
    </row>
    <row r="420">
      <c r="B420" s="25" t="inlineStr">
        <is>
          <t>Adjusted EBITDA</t>
        </is>
      </c>
      <c r="C420" s="44">
        <f>C229</f>
        <v>284.746</v>
      </c>
      <c r="D420" s="44">
        <f>D229</f>
        <v>342.715</v>
      </c>
      <c r="E420" s="44">
        <f>E229</f>
        <v>379.415</v>
      </c>
      <c r="F420" s="44">
        <f>F229</f>
        <v>178.768</v>
      </c>
      <c r="G420" s="44">
        <f>G229</f>
        <v>251.514</v>
      </c>
      <c r="H420" s="44">
        <f>H229</f>
        <v>367.247</v>
      </c>
      <c r="I420" s="44">
        <f>I229</f>
        <v>445.842</v>
      </c>
      <c r="J420" s="34" t="n"/>
      <c r="K420" s="34" t="n"/>
      <c r="L420" s="34" t="n"/>
      <c r="M420" s="34" t="n"/>
      <c r="N420" s="44">
        <f>N229</f>
        <v>506.234</v>
      </c>
      <c r="O420" s="34" t="n"/>
      <c r="P420" s="34" t="n"/>
      <c r="Q420" s="34" t="n"/>
      <c r="R420" s="34" t="n"/>
      <c r="S420" s="44">
        <f>S229</f>
        <v>503.947</v>
      </c>
      <c r="T420" s="34" t="n"/>
      <c r="U420" s="34" t="n"/>
      <c r="V420" s="34" t="n"/>
      <c r="W420" s="34" t="n"/>
      <c r="X420" s="44">
        <f>X229</f>
        <v>442.814</v>
      </c>
      <c r="Y420" s="34" t="n"/>
      <c r="Z420" s="34" t="n"/>
      <c r="AA420" s="34" t="n"/>
      <c r="AB420" s="34" t="n"/>
      <c r="AC420" s="44">
        <f>AC229</f>
        <v>393.796</v>
      </c>
      <c r="AD420" s="34" t="n"/>
      <c r="AE420" s="34" t="n"/>
      <c r="AF420" s="34" t="n"/>
      <c r="AG420" s="34" t="n"/>
      <c r="AH420" s="44">
        <f>AH229</f>
        <v>438.453</v>
      </c>
      <c r="AI420" s="34" t="n"/>
      <c r="AJ420" s="34" t="n"/>
      <c r="AK420" s="34" t="n"/>
      <c r="AL420" s="34" t="n"/>
      <c r="AM420" s="44">
        <f>AM229</f>
        <v>495.04</v>
      </c>
      <c r="AN420" s="34" t="n"/>
      <c r="AO420" s="34" t="n"/>
      <c r="AP420" s="34" t="n"/>
      <c r="AQ420" s="34" t="n"/>
      <c r="AR420" s="44">
        <f>AR229</f>
        <v>482.24</v>
      </c>
      <c r="AS420" s="34" t="n"/>
      <c r="AT420" s="34" t="n"/>
      <c r="AU420" s="34" t="n"/>
      <c r="AV420" s="34" t="n"/>
      <c r="AW420" s="44">
        <f>AW229</f>
        <v>420.898</v>
      </c>
      <c r="AX420" s="34" t="n"/>
      <c r="AY420" s="34" t="n"/>
      <c r="AZ420" s="34" t="n"/>
      <c r="BA420" s="34" t="n"/>
      <c r="BB420" s="44">
        <f>BB229</f>
        <v>572.414</v>
      </c>
      <c r="BC420" s="34" t="n"/>
      <c r="BD420" s="34" t="n"/>
      <c r="BE420" s="34" t="n"/>
      <c r="BF420" s="34" t="n"/>
      <c r="BG420" s="44">
        <f>BG229</f>
        <v>715.01</v>
      </c>
      <c r="BH420" s="34" t="n"/>
      <c r="BI420" s="34" t="n"/>
      <c r="BJ420" s="34" t="n"/>
      <c r="BK420" s="34" t="n"/>
      <c r="BL420" s="44">
        <f>BL229</f>
        <v>818.044000000001</v>
      </c>
      <c r="BM420" s="34" t="n"/>
      <c r="BN420" s="34" t="n"/>
      <c r="BO420" s="34" t="n"/>
      <c r="BP420" s="34" t="n"/>
      <c r="BQ420" s="44">
        <f>BQ229</f>
        <v>801.843</v>
      </c>
      <c r="BR420" s="34" t="n"/>
      <c r="BS420" s="34" t="n"/>
      <c r="BT420" s="34" t="n"/>
      <c r="BU420" s="34" t="n"/>
      <c r="BV420" s="44">
        <f>BV229</f>
        <v>851.178</v>
      </c>
      <c r="BW420" s="34" t="n"/>
      <c r="BX420" s="34" t="n"/>
      <c r="BY420" s="257" t="n"/>
      <c r="BZ420" s="257" t="n"/>
      <c r="CA420" s="257">
        <f>CA229</f>
        <v>955.81883625</v>
      </c>
      <c r="CB420" s="257">
        <f>CB229</f>
        <v>1054.69437734224</v>
      </c>
      <c r="CC420" s="257">
        <f>CC229</f>
        <v>1164.81096416513</v>
      </c>
      <c r="CD420" s="257">
        <f>CD229</f>
        <v>1276.88077213992</v>
      </c>
      <c r="CE420" s="257">
        <f>CE229</f>
        <v>1394.21304125132</v>
      </c>
      <c r="CF420" s="19" t="n"/>
    </row>
    <row r="421">
      <c r="B421" s="55" t="inlineStr">
        <is>
          <t>Net debt / Adjusted EBITDA (x)</t>
        </is>
      </c>
      <c r="C421" s="71">
        <f>IFERROR(C419/C420,"n/a")</f>
        <v>0.143591130340725</v>
      </c>
      <c r="D421" s="71">
        <f>IFERROR(D419/D420,"n/a")</f>
        <v>-0.255509680054856</v>
      </c>
      <c r="E421" s="71">
        <f>IFERROR(E419/E420,"n/a")</f>
        <v>-0.37452920944085</v>
      </c>
      <c r="F421" s="71">
        <f>IFERROR(F419/F420,"n/a")</f>
        <v>-1.47911818670008</v>
      </c>
      <c r="G421" s="71">
        <f>IFERROR(G419/G420,"n/a")</f>
        <v>-1.06748729692979</v>
      </c>
      <c r="H421" s="71">
        <f>IFERROR(H419/H420,"n/a")</f>
        <v>-0.701770198258938</v>
      </c>
      <c r="I421" s="71">
        <f>IFERROR(I419/I420,"n/a")</f>
        <v>-0.597047833088852</v>
      </c>
      <c r="J421" s="71" t="n"/>
      <c r="K421" s="71" t="n"/>
      <c r="L421" s="71" t="n"/>
      <c r="M421" s="71" t="n"/>
      <c r="N421" s="71">
        <f>IFERROR(N419/N420,"n/a")</f>
        <v>-0.554561724419933</v>
      </c>
      <c r="O421" s="71" t="n"/>
      <c r="P421" s="71" t="n"/>
      <c r="Q421" s="71" t="n"/>
      <c r="R421" s="71" t="n"/>
      <c r="S421" s="71">
        <f>IFERROR(S419/S420,"n/a")</f>
        <v>-0.412196123798733</v>
      </c>
      <c r="T421" s="71" t="n"/>
      <c r="U421" s="71" t="n"/>
      <c r="V421" s="71" t="n"/>
      <c r="W421" s="71" t="n"/>
      <c r="X421" s="71">
        <f>IFERROR(X419/X420,"n/a")</f>
        <v>0.113912387593888</v>
      </c>
      <c r="Y421" s="71" t="n"/>
      <c r="Z421" s="71" t="n"/>
      <c r="AA421" s="71" t="n"/>
      <c r="AB421" s="71" t="n"/>
      <c r="AC421" s="71">
        <f>IFERROR(AC419/AC420,"n/a")</f>
        <v>0.82889110097614</v>
      </c>
      <c r="AD421" s="71" t="n"/>
      <c r="AE421" s="71" t="n"/>
      <c r="AF421" s="71" t="n"/>
      <c r="AG421" s="71" t="n"/>
      <c r="AH421" s="71">
        <f>IFERROR(AH419/AH420,"n/a")</f>
        <v>0.865693700351007</v>
      </c>
      <c r="AI421" s="71" t="n"/>
      <c r="AJ421" s="71" t="n"/>
      <c r="AK421" s="71" t="n"/>
      <c r="AL421" s="71" t="n"/>
      <c r="AM421" s="71">
        <f>IFERROR(AM419/AM420,"n/a")</f>
        <v>0.694511554621849</v>
      </c>
      <c r="AN421" s="71" t="n"/>
      <c r="AO421" s="71" t="n"/>
      <c r="AP421" s="71" t="n"/>
      <c r="AQ421" s="71" t="n"/>
      <c r="AR421" s="71">
        <f>IFERROR(AR419/AR420,"n/a")</f>
        <v>1.13575812873258</v>
      </c>
      <c r="AS421" s="71" t="n"/>
      <c r="AT421" s="71" t="n"/>
      <c r="AU421" s="71" t="n"/>
      <c r="AV421" s="71" t="n"/>
      <c r="AW421" s="71">
        <f>IFERROR(AW419/AW420,"n/a")</f>
        <v>1.09506578791061</v>
      </c>
      <c r="AX421" s="71" t="n"/>
      <c r="AY421" s="71" t="n"/>
      <c r="AZ421" s="71" t="n"/>
      <c r="BA421" s="71" t="n"/>
      <c r="BB421" s="71">
        <f>IFERROR(BB419/BB420,"n/a")</f>
        <v>1.00776885261367</v>
      </c>
      <c r="BC421" s="71" t="n"/>
      <c r="BD421" s="71" t="n"/>
      <c r="BE421" s="71" t="n"/>
      <c r="BF421" s="71" t="n"/>
      <c r="BG421" s="71">
        <f>IFERROR(BG419/BG420,"n/a")</f>
        <v>1.40799289520426</v>
      </c>
      <c r="BH421" s="71" t="n"/>
      <c r="BI421" s="71" t="n"/>
      <c r="BJ421" s="71" t="n"/>
      <c r="BK421" s="71" t="n"/>
      <c r="BL421" s="71">
        <f>IFERROR(BL419/BL420,"n/a")</f>
        <v>0.869663489983423</v>
      </c>
      <c r="BM421" s="71" t="n"/>
      <c r="BN421" s="71" t="n"/>
      <c r="BO421" s="71" t="n"/>
      <c r="BP421" s="71" t="n"/>
      <c r="BQ421" s="71">
        <f>IFERROR(BQ419/BQ420,"n/a")</f>
        <v>1.10222699456128</v>
      </c>
      <c r="BR421" s="71" t="n"/>
      <c r="BS421" s="71" t="n"/>
      <c r="BT421" s="71" t="n"/>
      <c r="BU421" s="71" t="n"/>
      <c r="BV421" s="71">
        <f>IFERROR(BV419/BV420,"n/a")</f>
        <v>1.15747704945382</v>
      </c>
      <c r="BW421" s="71" t="n"/>
      <c r="BX421" s="71" t="n"/>
      <c r="BY421" s="71" t="n"/>
      <c r="BZ421" s="71" t="n"/>
      <c r="CA421" s="71">
        <f>IFERROR(CA419/CA420,"n/a")</f>
        <v>0.938249932782168</v>
      </c>
      <c r="CB421" s="71">
        <f>IFERROR(CB419/CB420,"n/a")</f>
        <v>1</v>
      </c>
      <c r="CC421" s="71">
        <f>IFERROR(CC419/CC420,"n/a")</f>
        <v>1</v>
      </c>
      <c r="CD421" s="71">
        <f>IFERROR(CD419/CD420,"n/a")</f>
        <v>1</v>
      </c>
      <c r="CE421" s="71">
        <f>IFERROR(CE419/CE420,"n/a")</f>
        <v>1</v>
      </c>
      <c r="CF421" s="19" t="n"/>
    </row>
    <row r="422">
      <c r="CF422" s="19" t="n"/>
    </row>
    <row r="423">
      <c r="B423" s="10" t="inlineStr">
        <is>
          <t>VALUATION</t>
        </is>
      </c>
      <c r="C423" s="10" t="n"/>
      <c r="D423" s="10" t="n"/>
      <c r="E423" s="10" t="n"/>
      <c r="F423" s="10" t="n"/>
      <c r="G423" s="10" t="n"/>
      <c r="H423" s="10" t="n"/>
      <c r="I423" s="10" t="n"/>
      <c r="J423" s="10" t="n"/>
      <c r="K423" s="10" t="n"/>
      <c r="L423" s="10" t="n"/>
      <c r="M423" s="10" t="n"/>
      <c r="N423" s="10" t="n"/>
      <c r="O423" s="10" t="n"/>
      <c r="P423" s="10" t="n"/>
      <c r="Q423" s="10" t="n"/>
      <c r="R423" s="10" t="n"/>
      <c r="S423" s="10" t="n"/>
      <c r="T423" s="10" t="n"/>
      <c r="U423" s="10" t="n"/>
      <c r="V423" s="10" t="n"/>
      <c r="W423" s="10" t="n"/>
      <c r="X423" s="10" t="n"/>
      <c r="Y423" s="10" t="n"/>
      <c r="Z423" s="10" t="n"/>
      <c r="AA423" s="10" t="n"/>
      <c r="AB423" s="10" t="n"/>
      <c r="AC423" s="10" t="n"/>
      <c r="AD423" s="10" t="n"/>
      <c r="AE423" s="10" t="n"/>
      <c r="AF423" s="10" t="n"/>
      <c r="AG423" s="10" t="n"/>
      <c r="AH423" s="10" t="n"/>
      <c r="AI423" s="10" t="n"/>
      <c r="AJ423" s="10" t="n"/>
      <c r="AK423" s="10" t="n"/>
      <c r="AL423" s="10" t="n"/>
      <c r="AM423" s="10" t="n"/>
      <c r="AN423" s="10" t="n"/>
      <c r="AO423" s="10" t="n"/>
      <c r="AP423" s="10" t="n"/>
      <c r="AQ423" s="10" t="n"/>
      <c r="AR423" s="10" t="n"/>
      <c r="AS423" s="10" t="n"/>
      <c r="AT423" s="10" t="n"/>
      <c r="AU423" s="10" t="n"/>
      <c r="AV423" s="10" t="n"/>
      <c r="AW423" s="10" t="n"/>
      <c r="AX423" s="10" t="n"/>
      <c r="AY423" s="10" t="n"/>
      <c r="AZ423" s="10" t="n"/>
      <c r="BA423" s="10" t="n"/>
      <c r="BB423" s="10" t="n"/>
      <c r="BC423" s="10" t="n"/>
      <c r="BD423" s="10" t="n"/>
      <c r="BE423" s="10" t="n"/>
      <c r="BF423" s="10" t="n"/>
      <c r="BG423" s="10" t="n"/>
      <c r="BH423" s="10" t="n"/>
      <c r="BI423" s="10" t="n"/>
      <c r="BJ423" s="10" t="n"/>
      <c r="BK423" s="10" t="n"/>
      <c r="BL423" s="10" t="n"/>
      <c r="BM423" s="10" t="n"/>
      <c r="BN423" s="10" t="n"/>
      <c r="BO423" s="10" t="n"/>
      <c r="BP423" s="10" t="n"/>
      <c r="BQ423" s="10" t="n"/>
      <c r="BR423" s="10" t="n"/>
      <c r="BS423" s="10" t="n"/>
      <c r="BT423" s="10" t="n"/>
      <c r="BU423" s="10" t="n"/>
      <c r="BV423" s="10" t="n"/>
      <c r="BW423" s="10" t="n"/>
      <c r="BX423" s="10" t="n"/>
      <c r="BY423" s="10" t="n"/>
      <c r="BZ423" s="10" t="n"/>
      <c r="CA423" s="10" t="n"/>
      <c r="CB423" s="10" t="n"/>
      <c r="CC423" s="10" t="n"/>
      <c r="CD423" s="10" t="n"/>
      <c r="CE423" s="10" t="n"/>
      <c r="CF423" s="10" t="inlineStr">
        <is>
          <t>VALUATION — share price input $275.54 (close 6-Oct-2026 (stockanalysis.com via web search; market data sites are blocked from this environment) — update to market)</t>
        </is>
      </c>
    </row>
    <row r="424">
      <c r="B424" s="69" t="inlineStr">
        <is>
          <t>Share price ($) — current</t>
        </is>
      </c>
      <c r="C424" s="286" t="n"/>
      <c r="D424" s="286" t="n"/>
      <c r="E424" s="286" t="n"/>
      <c r="F424" s="286" t="n"/>
      <c r="G424" s="286" t="n"/>
      <c r="H424" s="286" t="n"/>
      <c r="I424" s="286" t="n"/>
      <c r="J424" s="286" t="n"/>
      <c r="K424" s="286" t="n"/>
      <c r="L424" s="286" t="n"/>
      <c r="M424" s="286" t="n"/>
      <c r="N424" s="286" t="n"/>
      <c r="O424" s="286" t="n"/>
      <c r="P424" s="286" t="n"/>
      <c r="Q424" s="286" t="n"/>
      <c r="R424" s="286" t="n"/>
      <c r="S424" s="286" t="n"/>
      <c r="T424" s="286" t="n"/>
      <c r="U424" s="286" t="n"/>
      <c r="V424" s="286" t="n"/>
      <c r="W424" s="286" t="n"/>
      <c r="X424" s="286" t="n"/>
      <c r="Y424" s="286" t="n"/>
      <c r="Z424" s="286" t="n"/>
      <c r="AA424" s="286" t="n"/>
      <c r="AB424" s="286" t="n"/>
      <c r="AC424" s="286" t="n"/>
      <c r="AD424" s="286" t="n"/>
      <c r="AE424" s="286" t="n"/>
      <c r="AF424" s="286" t="n"/>
      <c r="AG424" s="286" t="n"/>
      <c r="AH424" s="286" t="n"/>
      <c r="AI424" s="286" t="n"/>
      <c r="AJ424" s="286" t="n"/>
      <c r="AK424" s="286" t="n"/>
      <c r="AL424" s="286" t="n"/>
      <c r="AM424" s="286" t="n"/>
      <c r="AN424" s="286" t="n"/>
      <c r="AO424" s="286" t="n"/>
      <c r="AP424" s="286" t="n"/>
      <c r="AQ424" s="286" t="n"/>
      <c r="AR424" s="286" t="n"/>
      <c r="AS424" s="286" t="n"/>
      <c r="AT424" s="286" t="n"/>
      <c r="AU424" s="286" t="n"/>
      <c r="AV424" s="286" t="n"/>
      <c r="AW424" s="286" t="n"/>
      <c r="AX424" s="286" t="n"/>
      <c r="AY424" s="286" t="n"/>
      <c r="AZ424" s="286" t="n"/>
      <c r="BA424" s="286" t="n"/>
      <c r="BB424" s="286" t="n"/>
      <c r="BC424" s="286" t="n"/>
      <c r="BD424" s="286" t="n"/>
      <c r="BE424" s="286" t="n"/>
      <c r="BF424" s="286" t="n"/>
      <c r="BG424" s="286" t="n"/>
      <c r="BH424" s="286" t="n"/>
      <c r="BI424" s="286" t="n"/>
      <c r="BJ424" s="286" t="n"/>
      <c r="BK424" s="286" t="n"/>
      <c r="BL424" s="286" t="n"/>
      <c r="BM424" s="286" t="n"/>
      <c r="BN424" s="286" t="n"/>
      <c r="BO424" s="286" t="n"/>
      <c r="BP424" s="286" t="n"/>
      <c r="BQ424" s="286" t="n"/>
      <c r="BR424" s="286" t="n"/>
      <c r="BS424" s="286" t="n"/>
      <c r="BT424" s="286" t="n"/>
      <c r="BU424" s="286" t="n"/>
      <c r="BV424" s="286" t="n"/>
      <c r="BW424" s="286" t="n"/>
      <c r="BX424" s="286" t="n"/>
      <c r="BY424" s="273" t="n"/>
      <c r="BZ424" s="273" t="n"/>
      <c r="CA424" s="287" t="n">
        <v>275.54</v>
      </c>
      <c r="CB424" s="271">
        <f>CA424</f>
        <v>275.54</v>
      </c>
      <c r="CC424" s="271">
        <f>CB424</f>
        <v>275.54</v>
      </c>
      <c r="CD424" s="271">
        <f>CC424</f>
        <v>275.54</v>
      </c>
      <c r="CE424" s="271">
        <f>CD424</f>
        <v>275.54</v>
      </c>
      <c r="CF424" s="19" t="n"/>
    </row>
    <row r="425">
      <c r="B425" s="25" t="inlineStr">
        <is>
          <t>Diluted shares at period end (m)</t>
        </is>
      </c>
      <c r="C425" s="45" t="n"/>
      <c r="D425" s="45" t="n"/>
      <c r="E425" s="45" t="n"/>
      <c r="F425" s="45" t="n"/>
      <c r="G425" s="45" t="n"/>
      <c r="H425" s="45" t="n"/>
      <c r="I425" s="45" t="n"/>
      <c r="J425" s="45" t="n"/>
      <c r="K425" s="45" t="n"/>
      <c r="L425" s="45" t="n"/>
      <c r="M425" s="45" t="n"/>
      <c r="N425" s="45" t="n"/>
      <c r="O425" s="45" t="n"/>
      <c r="P425" s="45" t="n"/>
      <c r="Q425" s="45" t="n"/>
      <c r="R425" s="45" t="n"/>
      <c r="S425" s="45" t="n"/>
      <c r="T425" s="45" t="n"/>
      <c r="U425" s="45" t="n"/>
      <c r="V425" s="45" t="n"/>
      <c r="W425" s="45" t="n"/>
      <c r="X425" s="45" t="n"/>
      <c r="Y425" s="45" t="n"/>
      <c r="Z425" s="45" t="n"/>
      <c r="AA425" s="45" t="n"/>
      <c r="AB425" s="45" t="n"/>
      <c r="AC425" s="45" t="n"/>
      <c r="AD425" s="45" t="n"/>
      <c r="AE425" s="45" t="n"/>
      <c r="AF425" s="45" t="n"/>
      <c r="AG425" s="45" t="n"/>
      <c r="AH425" s="45" t="n"/>
      <c r="AI425" s="45" t="n"/>
      <c r="AJ425" s="45" t="n"/>
      <c r="AK425" s="45" t="n"/>
      <c r="AL425" s="45" t="n"/>
      <c r="AM425" s="45" t="n"/>
      <c r="AN425" s="45" t="n"/>
      <c r="AO425" s="45" t="n"/>
      <c r="AP425" s="45" t="n"/>
      <c r="AQ425" s="45" t="n"/>
      <c r="AR425" s="45" t="n"/>
      <c r="AS425" s="45" t="n"/>
      <c r="AT425" s="45" t="n"/>
      <c r="AU425" s="45" t="n"/>
      <c r="AV425" s="45" t="n"/>
      <c r="AW425" s="45" t="n"/>
      <c r="AX425" s="45" t="n"/>
      <c r="AY425" s="45" t="n"/>
      <c r="AZ425" s="45" t="n"/>
      <c r="BA425" s="45" t="n"/>
      <c r="BB425" s="45" t="n"/>
      <c r="BC425" s="45" t="n"/>
      <c r="BD425" s="45" t="n"/>
      <c r="BE425" s="45" t="n"/>
      <c r="BF425" s="45" t="n"/>
      <c r="BG425" s="45" t="n"/>
      <c r="BH425" s="45" t="n"/>
      <c r="BI425" s="45" t="n"/>
      <c r="BJ425" s="45" t="n"/>
      <c r="BK425" s="45" t="n"/>
      <c r="BL425" s="45" t="n"/>
      <c r="BM425" s="45" t="n"/>
      <c r="BN425" s="45" t="n"/>
      <c r="BO425" s="45" t="n"/>
      <c r="BP425" s="45" t="n"/>
      <c r="BQ425" s="45" t="n"/>
      <c r="BR425" s="45" t="n"/>
      <c r="BS425" s="45" t="n"/>
      <c r="BT425" s="45" t="n"/>
      <c r="BU425" s="45" t="n"/>
      <c r="BV425" s="45" t="n"/>
      <c r="BW425" s="45" t="n"/>
      <c r="BX425" s="45" t="n"/>
      <c r="BY425" s="266" t="n"/>
      <c r="BZ425" s="266" t="n"/>
      <c r="CA425" s="266">
        <f>CA315+(CA182-CA181)</f>
        <v>54.5877061725339</v>
      </c>
      <c r="CB425" s="266">
        <f>CB315+(CB182-CB181)</f>
        <v>53.4776966004786</v>
      </c>
      <c r="CC425" s="266">
        <f>CC315+(CC182-CC181)</f>
        <v>52.6094275706635</v>
      </c>
      <c r="CD425" s="266">
        <f>CD315+(CD182-CD181)</f>
        <v>51.6104681708587</v>
      </c>
      <c r="CE425" s="266">
        <f>CE315+(CE182-CE181)</f>
        <v>50.4833514227291</v>
      </c>
      <c r="CF425" s="19" t="n"/>
    </row>
    <row r="426">
      <c r="B426" s="25" t="inlineStr">
        <is>
          <t>Market capitalisation (USDm)</t>
        </is>
      </c>
      <c r="C426" s="34" t="n"/>
      <c r="D426" s="34" t="n"/>
      <c r="E426" s="34" t="n"/>
      <c r="F426" s="34" t="n"/>
      <c r="G426" s="34" t="n"/>
      <c r="H426" s="34" t="n"/>
      <c r="I426" s="34" t="n"/>
      <c r="J426" s="34" t="n"/>
      <c r="K426" s="34" t="n"/>
      <c r="L426" s="34" t="n"/>
      <c r="M426" s="34" t="n"/>
      <c r="N426" s="34" t="n"/>
      <c r="O426" s="34" t="n"/>
      <c r="P426" s="34" t="n"/>
      <c r="Q426" s="34" t="n"/>
      <c r="R426" s="34" t="n"/>
      <c r="S426" s="34" t="n"/>
      <c r="T426" s="34" t="n"/>
      <c r="U426" s="34" t="n"/>
      <c r="V426" s="34" t="n"/>
      <c r="W426" s="34" t="n"/>
      <c r="X426" s="34" t="n"/>
      <c r="Y426" s="34" t="n"/>
      <c r="Z426" s="34" t="n"/>
      <c r="AA426" s="34" t="n"/>
      <c r="AB426" s="34" t="n"/>
      <c r="AC426" s="34" t="n"/>
      <c r="AD426" s="34" t="n"/>
      <c r="AE426" s="34" t="n"/>
      <c r="AF426" s="34" t="n"/>
      <c r="AG426" s="34" t="n"/>
      <c r="AH426" s="34" t="n"/>
      <c r="AI426" s="34" t="n"/>
      <c r="AJ426" s="34" t="n"/>
      <c r="AK426" s="34" t="n"/>
      <c r="AL426" s="34" t="n"/>
      <c r="AM426" s="34" t="n"/>
      <c r="AN426" s="34" t="n"/>
      <c r="AO426" s="34" t="n"/>
      <c r="AP426" s="34" t="n"/>
      <c r="AQ426" s="34" t="n"/>
      <c r="AR426" s="34" t="n"/>
      <c r="AS426" s="34" t="n"/>
      <c r="AT426" s="34" t="n"/>
      <c r="AU426" s="34" t="n"/>
      <c r="AV426" s="34" t="n"/>
      <c r="AW426" s="34" t="n"/>
      <c r="AX426" s="34" t="n"/>
      <c r="AY426" s="34" t="n"/>
      <c r="AZ426" s="34" t="n"/>
      <c r="BA426" s="34" t="n"/>
      <c r="BB426" s="34" t="n"/>
      <c r="BC426" s="34" t="n"/>
      <c r="BD426" s="34" t="n"/>
      <c r="BE426" s="34" t="n"/>
      <c r="BF426" s="34" t="n"/>
      <c r="BG426" s="34" t="n"/>
      <c r="BH426" s="34" t="n"/>
      <c r="BI426" s="34" t="n"/>
      <c r="BJ426" s="34" t="n"/>
      <c r="BK426" s="34" t="n"/>
      <c r="BL426" s="34" t="n"/>
      <c r="BM426" s="34" t="n"/>
      <c r="BN426" s="34" t="n"/>
      <c r="BO426" s="34" t="n"/>
      <c r="BP426" s="34" t="n"/>
      <c r="BQ426" s="34" t="n"/>
      <c r="BR426" s="34" t="n"/>
      <c r="BS426" s="34" t="n"/>
      <c r="BT426" s="34" t="n"/>
      <c r="BU426" s="34" t="n"/>
      <c r="BV426" s="34" t="n"/>
      <c r="BW426" s="34" t="n"/>
      <c r="BX426" s="34" t="n"/>
      <c r="BY426" s="257" t="n"/>
      <c r="BZ426" s="257" t="n"/>
      <c r="CA426" s="257">
        <f>IFERROR(CA424*CA425,"n/a")</f>
        <v>15041.09655878</v>
      </c>
      <c r="CB426" s="257">
        <f>IFERROR(CB424*CB425,"n/a")</f>
        <v>14735.2445212959</v>
      </c>
      <c r="CC426" s="257">
        <f>IFERROR(CC424*CC425,"n/a")</f>
        <v>14496.0016728206</v>
      </c>
      <c r="CD426" s="257">
        <f>IFERROR(CD424*CD425,"n/a")</f>
        <v>14220.7483997984</v>
      </c>
      <c r="CE426" s="257">
        <f>IFERROR(CE424*CE425,"n/a")</f>
        <v>13910.1826510188</v>
      </c>
      <c r="CF426" s="19" t="n"/>
    </row>
    <row r="427">
      <c r="B427" s="25" t="inlineStr">
        <is>
          <t>Net debt (USDm)</t>
        </is>
      </c>
      <c r="C427" s="34" t="n"/>
      <c r="D427" s="34" t="n"/>
      <c r="E427" s="34" t="n"/>
      <c r="F427" s="34" t="n"/>
      <c r="G427" s="34" t="n"/>
      <c r="H427" s="34" t="n"/>
      <c r="I427" s="34" t="n"/>
      <c r="J427" s="34" t="n"/>
      <c r="K427" s="34" t="n"/>
      <c r="L427" s="34" t="n"/>
      <c r="M427" s="34" t="n"/>
      <c r="N427" s="34" t="n"/>
      <c r="O427" s="34" t="n"/>
      <c r="P427" s="34" t="n"/>
      <c r="Q427" s="34" t="n"/>
      <c r="R427" s="34" t="n"/>
      <c r="S427" s="34" t="n"/>
      <c r="T427" s="34" t="n"/>
      <c r="U427" s="34" t="n"/>
      <c r="V427" s="34" t="n"/>
      <c r="W427" s="34" t="n"/>
      <c r="X427" s="34" t="n"/>
      <c r="Y427" s="34" t="n"/>
      <c r="Z427" s="34" t="n"/>
      <c r="AA427" s="34" t="n"/>
      <c r="AB427" s="34" t="n"/>
      <c r="AC427" s="34" t="n"/>
      <c r="AD427" s="34" t="n"/>
      <c r="AE427" s="34" t="n"/>
      <c r="AF427" s="34" t="n"/>
      <c r="AG427" s="34" t="n"/>
      <c r="AH427" s="34" t="n"/>
      <c r="AI427" s="34" t="n"/>
      <c r="AJ427" s="34" t="n"/>
      <c r="AK427" s="34" t="n"/>
      <c r="AL427" s="34" t="n"/>
      <c r="AM427" s="34" t="n"/>
      <c r="AN427" s="34" t="n"/>
      <c r="AO427" s="34" t="n"/>
      <c r="AP427" s="34" t="n"/>
      <c r="AQ427" s="34" t="n"/>
      <c r="AR427" s="34" t="n"/>
      <c r="AS427" s="34" t="n"/>
      <c r="AT427" s="34" t="n"/>
      <c r="AU427" s="34" t="n"/>
      <c r="AV427" s="34" t="n"/>
      <c r="AW427" s="34" t="n"/>
      <c r="AX427" s="34" t="n"/>
      <c r="AY427" s="34" t="n"/>
      <c r="AZ427" s="34" t="n"/>
      <c r="BA427" s="34" t="n"/>
      <c r="BB427" s="34" t="n"/>
      <c r="BC427" s="34" t="n"/>
      <c r="BD427" s="34" t="n"/>
      <c r="BE427" s="34" t="n"/>
      <c r="BF427" s="34" t="n"/>
      <c r="BG427" s="34" t="n"/>
      <c r="BH427" s="34" t="n"/>
      <c r="BI427" s="34" t="n"/>
      <c r="BJ427" s="34" t="n"/>
      <c r="BK427" s="34" t="n"/>
      <c r="BL427" s="34" t="n"/>
      <c r="BM427" s="34" t="n"/>
      <c r="BN427" s="34" t="n"/>
      <c r="BO427" s="34" t="n"/>
      <c r="BP427" s="34" t="n"/>
      <c r="BQ427" s="34" t="n"/>
      <c r="BR427" s="34" t="n"/>
      <c r="BS427" s="34" t="n"/>
      <c r="BT427" s="34" t="n"/>
      <c r="BU427" s="34" t="n"/>
      <c r="BV427" s="34" t="n"/>
      <c r="BW427" s="34" t="n"/>
      <c r="BX427" s="34" t="n"/>
      <c r="BY427" s="257" t="n"/>
      <c r="BZ427" s="257" t="n"/>
      <c r="CA427" s="257">
        <f>CA400</f>
        <v>896.796958863492</v>
      </c>
      <c r="CB427" s="257">
        <f>CB400</f>
        <v>1054.69437734224</v>
      </c>
      <c r="CC427" s="257">
        <f>CC400</f>
        <v>1164.81096416513</v>
      </c>
      <c r="CD427" s="257">
        <f>CD400</f>
        <v>1276.88077213992</v>
      </c>
      <c r="CE427" s="257">
        <f>CE400</f>
        <v>1394.21304125132</v>
      </c>
      <c r="CF427" s="19" t="n"/>
    </row>
    <row r="428">
      <c r="B428" s="25" t="inlineStr">
        <is>
          <t>Noncontrolling interests (USDm)</t>
        </is>
      </c>
      <c r="C428" s="34" t="n"/>
      <c r="D428" s="34" t="n"/>
      <c r="E428" s="34" t="n"/>
      <c r="F428" s="34" t="n"/>
      <c r="G428" s="34" t="n"/>
      <c r="H428" s="34" t="n"/>
      <c r="I428" s="34" t="n"/>
      <c r="J428" s="34" t="n"/>
      <c r="K428" s="34" t="n"/>
      <c r="L428" s="34" t="n"/>
      <c r="M428" s="34" t="n"/>
      <c r="N428" s="34" t="n"/>
      <c r="O428" s="34" t="n"/>
      <c r="P428" s="34" t="n"/>
      <c r="Q428" s="34" t="n"/>
      <c r="R428" s="34" t="n"/>
      <c r="S428" s="34" t="n"/>
      <c r="T428" s="34" t="n"/>
      <c r="U428" s="34" t="n"/>
      <c r="V428" s="34" t="n"/>
      <c r="W428" s="34" t="n"/>
      <c r="X428" s="34" t="n"/>
      <c r="Y428" s="34" t="n"/>
      <c r="Z428" s="34" t="n"/>
      <c r="AA428" s="34" t="n"/>
      <c r="AB428" s="34" t="n"/>
      <c r="AC428" s="34" t="n"/>
      <c r="AD428" s="34" t="n"/>
      <c r="AE428" s="34" t="n"/>
      <c r="AF428" s="34" t="n"/>
      <c r="AG428" s="34" t="n"/>
      <c r="AH428" s="34" t="n"/>
      <c r="AI428" s="34" t="n"/>
      <c r="AJ428" s="34" t="n"/>
      <c r="AK428" s="34" t="n"/>
      <c r="AL428" s="34" t="n"/>
      <c r="AM428" s="34" t="n"/>
      <c r="AN428" s="34" t="n"/>
      <c r="AO428" s="34" t="n"/>
      <c r="AP428" s="34" t="n"/>
      <c r="AQ428" s="34" t="n"/>
      <c r="AR428" s="34" t="n"/>
      <c r="AS428" s="34" t="n"/>
      <c r="AT428" s="34" t="n"/>
      <c r="AU428" s="34" t="n"/>
      <c r="AV428" s="34" t="n"/>
      <c r="AW428" s="34" t="n"/>
      <c r="AX428" s="34" t="n"/>
      <c r="AY428" s="34" t="n"/>
      <c r="AZ428" s="34" t="n"/>
      <c r="BA428" s="34" t="n"/>
      <c r="BB428" s="34" t="n"/>
      <c r="BC428" s="34" t="n"/>
      <c r="BD428" s="34" t="n"/>
      <c r="BE428" s="34" t="n"/>
      <c r="BF428" s="34" t="n"/>
      <c r="BG428" s="34" t="n"/>
      <c r="BH428" s="34" t="n"/>
      <c r="BI428" s="34" t="n"/>
      <c r="BJ428" s="34" t="n"/>
      <c r="BK428" s="34" t="n"/>
      <c r="BL428" s="34" t="n"/>
      <c r="BM428" s="34" t="n"/>
      <c r="BN428" s="34" t="n"/>
      <c r="BO428" s="34" t="n"/>
      <c r="BP428" s="34" t="n"/>
      <c r="BQ428" s="34" t="n"/>
      <c r="BR428" s="34" t="n"/>
      <c r="BS428" s="34" t="n"/>
      <c r="BT428" s="34" t="n"/>
      <c r="BU428" s="34" t="n"/>
      <c r="BV428" s="34" t="n"/>
      <c r="BW428" s="34" t="n"/>
      <c r="BX428" s="34" t="n"/>
      <c r="BY428" s="257" t="n"/>
      <c r="BZ428" s="257" t="n"/>
      <c r="CA428" s="257">
        <f>N(CA345)</f>
        <v>0</v>
      </c>
      <c r="CB428" s="257">
        <f>N(CB345)</f>
        <v>0</v>
      </c>
      <c r="CC428" s="257">
        <f>N(CC345)</f>
        <v>0</v>
      </c>
      <c r="CD428" s="257">
        <f>N(CD345)</f>
        <v>0</v>
      </c>
      <c r="CE428" s="257">
        <f>N(CE345)</f>
        <v>0</v>
      </c>
      <c r="CF428" s="19" t="n"/>
    </row>
    <row r="429">
      <c r="B429" s="16" t="inlineStr">
        <is>
          <t>Enterprise value (USDm)</t>
        </is>
      </c>
      <c r="C429" s="43" t="n"/>
      <c r="D429" s="43" t="n"/>
      <c r="E429" s="43" t="n"/>
      <c r="F429" s="43" t="n"/>
      <c r="G429" s="43" t="n"/>
      <c r="H429" s="43" t="n"/>
      <c r="I429" s="43" t="n"/>
      <c r="J429" s="43" t="n"/>
      <c r="K429" s="43" t="n"/>
      <c r="L429" s="43" t="n"/>
      <c r="M429" s="43" t="n"/>
      <c r="N429" s="43" t="n"/>
      <c r="O429" s="43" t="n"/>
      <c r="P429" s="43" t="n"/>
      <c r="Q429" s="43" t="n"/>
      <c r="R429" s="43" t="n"/>
      <c r="S429" s="43" t="n"/>
      <c r="T429" s="43" t="n"/>
      <c r="U429" s="43" t="n"/>
      <c r="V429" s="43" t="n"/>
      <c r="W429" s="43" t="n"/>
      <c r="X429" s="43" t="n"/>
      <c r="Y429" s="43" t="n"/>
      <c r="Z429" s="43" t="n"/>
      <c r="AA429" s="43" t="n"/>
      <c r="AB429" s="43" t="n"/>
      <c r="AC429" s="43" t="n"/>
      <c r="AD429" s="43" t="n"/>
      <c r="AE429" s="43" t="n"/>
      <c r="AF429" s="43" t="n"/>
      <c r="AG429" s="43" t="n"/>
      <c r="AH429" s="43" t="n"/>
      <c r="AI429" s="43" t="n"/>
      <c r="AJ429" s="43" t="n"/>
      <c r="AK429" s="43" t="n"/>
      <c r="AL429" s="43" t="n"/>
      <c r="AM429" s="43" t="n"/>
      <c r="AN429" s="43" t="n"/>
      <c r="AO429" s="43" t="n"/>
      <c r="AP429" s="43" t="n"/>
      <c r="AQ429" s="43" t="n"/>
      <c r="AR429" s="43" t="n"/>
      <c r="AS429" s="43" t="n"/>
      <c r="AT429" s="43" t="n"/>
      <c r="AU429" s="43" t="n"/>
      <c r="AV429" s="43" t="n"/>
      <c r="AW429" s="43" t="n"/>
      <c r="AX429" s="43" t="n"/>
      <c r="AY429" s="43" t="n"/>
      <c r="AZ429" s="43" t="n"/>
      <c r="BA429" s="43" t="n"/>
      <c r="BB429" s="43" t="n"/>
      <c r="BC429" s="43" t="n"/>
      <c r="BD429" s="43" t="n"/>
      <c r="BE429" s="43" t="n"/>
      <c r="BF429" s="43" t="n"/>
      <c r="BG429" s="43" t="n"/>
      <c r="BH429" s="43" t="n"/>
      <c r="BI429" s="43" t="n"/>
      <c r="BJ429" s="43" t="n"/>
      <c r="BK429" s="43" t="n"/>
      <c r="BL429" s="43" t="n"/>
      <c r="BM429" s="43" t="n"/>
      <c r="BN429" s="43" t="n"/>
      <c r="BO429" s="43" t="n"/>
      <c r="BP429" s="43" t="n"/>
      <c r="BQ429" s="43" t="n"/>
      <c r="BR429" s="43" t="n"/>
      <c r="BS429" s="43" t="n"/>
      <c r="BT429" s="43" t="n"/>
      <c r="BU429" s="43" t="n"/>
      <c r="BV429" s="43" t="n"/>
      <c r="BW429" s="43" t="n"/>
      <c r="BX429" s="43" t="n"/>
      <c r="BY429" s="253" t="n"/>
      <c r="BZ429" s="253" t="n"/>
      <c r="CA429" s="253">
        <f>IFERROR(CA426+CA427+CA428,"n/a")</f>
        <v>15937.8935176435</v>
      </c>
      <c r="CB429" s="253">
        <f>IFERROR(CB426+CB427+CB428,"n/a")</f>
        <v>15789.9388986381</v>
      </c>
      <c r="CC429" s="253">
        <f>IFERROR(CC426+CC427+CC428,"n/a")</f>
        <v>15660.8126369858</v>
      </c>
      <c r="CD429" s="253">
        <f>IFERROR(CD426+CD427+CD428,"n/a")</f>
        <v>15497.6291719383</v>
      </c>
      <c r="CE429" s="253">
        <f>IFERROR(CE426+CE427+CE428,"n/a")</f>
        <v>15304.3956922701</v>
      </c>
      <c r="CF429" s="19" t="n"/>
    </row>
    <row r="430">
      <c r="B430" s="25" t="inlineStr">
        <is>
          <t>Multiples</t>
        </is>
      </c>
      <c r="C430" s="270" t="n"/>
      <c r="D430" s="270" t="n"/>
      <c r="E430" s="270" t="n"/>
      <c r="F430" s="270" t="n"/>
      <c r="G430" s="270" t="n"/>
      <c r="H430" s="270" t="n"/>
      <c r="I430" s="270" t="n"/>
      <c r="J430" s="270" t="n"/>
      <c r="K430" s="270" t="n"/>
      <c r="L430" s="270" t="n"/>
      <c r="M430" s="270" t="n"/>
      <c r="N430" s="270" t="n"/>
      <c r="O430" s="270" t="n"/>
      <c r="P430" s="270" t="n"/>
      <c r="Q430" s="270" t="n"/>
      <c r="R430" s="270" t="n"/>
      <c r="S430" s="270" t="n"/>
      <c r="T430" s="270" t="n"/>
      <c r="U430" s="270" t="n"/>
      <c r="V430" s="270" t="n"/>
      <c r="W430" s="270" t="n"/>
      <c r="X430" s="270" t="n"/>
      <c r="Y430" s="270" t="n"/>
      <c r="Z430" s="270" t="n"/>
      <c r="AA430" s="270" t="n"/>
      <c r="AB430" s="270" t="n"/>
      <c r="AC430" s="270" t="n"/>
      <c r="AD430" s="270" t="n"/>
      <c r="AE430" s="270" t="n"/>
      <c r="AF430" s="270" t="n"/>
      <c r="AG430" s="270" t="n"/>
      <c r="AH430" s="270" t="n"/>
      <c r="AI430" s="270" t="n"/>
      <c r="AJ430" s="270" t="n"/>
      <c r="AK430" s="270" t="n"/>
      <c r="AL430" s="270" t="n"/>
      <c r="AM430" s="270" t="n"/>
      <c r="AN430" s="270" t="n"/>
      <c r="AO430" s="270" t="n"/>
      <c r="AP430" s="270" t="n"/>
      <c r="AQ430" s="270" t="n"/>
      <c r="AR430" s="270" t="n"/>
      <c r="AS430" s="270" t="n"/>
      <c r="AT430" s="270" t="n"/>
      <c r="AU430" s="270" t="n"/>
      <c r="AV430" s="270" t="n"/>
      <c r="AW430" s="270" t="n"/>
      <c r="AX430" s="270" t="n"/>
      <c r="AY430" s="270" t="n"/>
      <c r="AZ430" s="270" t="n"/>
      <c r="BA430" s="270" t="n"/>
      <c r="BB430" s="270" t="n"/>
      <c r="BC430" s="270" t="n"/>
      <c r="BD430" s="270" t="n"/>
      <c r="BE430" s="270" t="n"/>
      <c r="BF430" s="270" t="n"/>
      <c r="BG430" s="270" t="n"/>
      <c r="BH430" s="270" t="n"/>
      <c r="BI430" s="270" t="n"/>
      <c r="BJ430" s="270" t="n"/>
      <c r="BK430" s="270" t="n"/>
      <c r="BL430" s="270" t="n"/>
      <c r="BM430" s="270" t="n"/>
      <c r="BN430" s="270" t="n"/>
      <c r="BO430" s="270" t="n"/>
      <c r="BP430" s="270" t="n"/>
      <c r="BQ430" s="270" t="n"/>
      <c r="BR430" s="270" t="n"/>
      <c r="BS430" s="270" t="n"/>
      <c r="BT430" s="270" t="n"/>
      <c r="BU430" s="270" t="n"/>
      <c r="BV430" s="270" t="n"/>
      <c r="BW430" s="270" t="n"/>
      <c r="BX430" s="270" t="n"/>
      <c r="BY430" s="269" t="n"/>
      <c r="BZ430" s="269" t="n"/>
      <c r="CA430" s="269" t="n"/>
      <c r="CB430" s="269" t="n"/>
      <c r="CC430" s="269" t="n"/>
      <c r="CD430" s="269" t="n"/>
      <c r="CE430" s="269" t="n"/>
      <c r="CF430" s="19" t="n"/>
    </row>
    <row r="431">
      <c r="B431" s="25" t="inlineStr">
        <is>
          <t xml:space="preserve">  EV / Net sales</t>
        </is>
      </c>
      <c r="C431" s="284" t="n"/>
      <c r="D431" s="284" t="n"/>
      <c r="E431" s="284" t="n"/>
      <c r="F431" s="284" t="n"/>
      <c r="G431" s="284" t="n"/>
      <c r="H431" s="284" t="n"/>
      <c r="I431" s="284" t="n"/>
      <c r="J431" s="284" t="n"/>
      <c r="K431" s="284" t="n"/>
      <c r="L431" s="284" t="n"/>
      <c r="M431" s="284" t="n"/>
      <c r="N431" s="284" t="n"/>
      <c r="O431" s="284" t="n"/>
      <c r="P431" s="284" t="n"/>
      <c r="Q431" s="284" t="n"/>
      <c r="R431" s="284" t="n"/>
      <c r="S431" s="284" t="n"/>
      <c r="T431" s="284" t="n"/>
      <c r="U431" s="284" t="n"/>
      <c r="V431" s="284" t="n"/>
      <c r="W431" s="284" t="n"/>
      <c r="X431" s="284" t="n"/>
      <c r="Y431" s="284" t="n"/>
      <c r="Z431" s="284" t="n"/>
      <c r="AA431" s="284" t="n"/>
      <c r="AB431" s="284" t="n"/>
      <c r="AC431" s="284" t="n"/>
      <c r="AD431" s="284" t="n"/>
      <c r="AE431" s="284" t="n"/>
      <c r="AF431" s="284" t="n"/>
      <c r="AG431" s="284" t="n"/>
      <c r="AH431" s="284" t="n"/>
      <c r="AI431" s="284" t="n"/>
      <c r="AJ431" s="284" t="n"/>
      <c r="AK431" s="284" t="n"/>
      <c r="AL431" s="284" t="n"/>
      <c r="AM431" s="284" t="n"/>
      <c r="AN431" s="284" t="n"/>
      <c r="AO431" s="284" t="n"/>
      <c r="AP431" s="284" t="n"/>
      <c r="AQ431" s="284" t="n"/>
      <c r="AR431" s="284" t="n"/>
      <c r="AS431" s="284" t="n"/>
      <c r="AT431" s="284" t="n"/>
      <c r="AU431" s="284" t="n"/>
      <c r="AV431" s="284" t="n"/>
      <c r="AW431" s="284" t="n"/>
      <c r="AX431" s="284" t="n"/>
      <c r="AY431" s="284" t="n"/>
      <c r="AZ431" s="284" t="n"/>
      <c r="BA431" s="284" t="n"/>
      <c r="BB431" s="284" t="n"/>
      <c r="BC431" s="284" t="n"/>
      <c r="BD431" s="284" t="n"/>
      <c r="BE431" s="284" t="n"/>
      <c r="BF431" s="284" t="n"/>
      <c r="BG431" s="284" t="n"/>
      <c r="BH431" s="284" t="n"/>
      <c r="BI431" s="284" t="n"/>
      <c r="BJ431" s="284" t="n"/>
      <c r="BK431" s="284" t="n"/>
      <c r="BL431" s="284" t="n"/>
      <c r="BM431" s="284" t="n"/>
      <c r="BN431" s="284" t="n"/>
      <c r="BO431" s="284" t="n"/>
      <c r="BP431" s="284" t="n"/>
      <c r="BQ431" s="284" t="n"/>
      <c r="BR431" s="284" t="n"/>
      <c r="BS431" s="284" t="n"/>
      <c r="BT431" s="284" t="n"/>
      <c r="BU431" s="284" t="n"/>
      <c r="BV431" s="284" t="n"/>
      <c r="BW431" s="284" t="n"/>
      <c r="BX431" s="284" t="n"/>
      <c r="BY431" s="278" t="n"/>
      <c r="BZ431" s="278" t="n"/>
      <c r="CA431" s="278">
        <f>IFERROR(CA429/CA154,"n/a")</f>
        <v>3.37681662491525</v>
      </c>
      <c r="CB431" s="278">
        <f>IFERROR(CB429/CB154,"n/a")</f>
        <v>3.13955924767655</v>
      </c>
      <c r="CC431" s="278">
        <f>IFERROR(CC429/CC154,"n/a")</f>
        <v>2.89744924767522</v>
      </c>
      <c r="CD431" s="278">
        <f>IFERROR(CD429/CD154,"n/a")</f>
        <v>2.6742331296122</v>
      </c>
      <c r="CE431" s="278">
        <f>IFERROR(CE429/CE154,"n/a")</f>
        <v>2.46714128504915</v>
      </c>
      <c r="CF431" s="19" t="n"/>
    </row>
    <row r="432">
      <c r="B432" s="25" t="inlineStr">
        <is>
          <t xml:space="preserve">  EV / Adjusted EBITDA</t>
        </is>
      </c>
      <c r="C432" s="262" t="n"/>
      <c r="D432" s="262" t="n"/>
      <c r="E432" s="262" t="n"/>
      <c r="F432" s="262" t="n"/>
      <c r="G432" s="262" t="n"/>
      <c r="H432" s="262" t="n"/>
      <c r="I432" s="262" t="n"/>
      <c r="J432" s="262" t="n"/>
      <c r="K432" s="262" t="n"/>
      <c r="L432" s="262" t="n"/>
      <c r="M432" s="262" t="n"/>
      <c r="N432" s="262" t="n"/>
      <c r="O432" s="262" t="n"/>
      <c r="P432" s="262" t="n"/>
      <c r="Q432" s="262" t="n"/>
      <c r="R432" s="262" t="n"/>
      <c r="S432" s="262" t="n"/>
      <c r="T432" s="262" t="n"/>
      <c r="U432" s="262" t="n"/>
      <c r="V432" s="262" t="n"/>
      <c r="W432" s="262" t="n"/>
      <c r="X432" s="262" t="n"/>
      <c r="Y432" s="262" t="n"/>
      <c r="Z432" s="262" t="n"/>
      <c r="AA432" s="262" t="n"/>
      <c r="AB432" s="262" t="n"/>
      <c r="AC432" s="262" t="n"/>
      <c r="AD432" s="262" t="n"/>
      <c r="AE432" s="262" t="n"/>
      <c r="AF432" s="262" t="n"/>
      <c r="AG432" s="262" t="n"/>
      <c r="AH432" s="262" t="n"/>
      <c r="AI432" s="262" t="n"/>
      <c r="AJ432" s="262" t="n"/>
      <c r="AK432" s="262" t="n"/>
      <c r="AL432" s="262" t="n"/>
      <c r="AM432" s="262" t="n"/>
      <c r="AN432" s="262" t="n"/>
      <c r="AO432" s="262" t="n"/>
      <c r="AP432" s="262" t="n"/>
      <c r="AQ432" s="262" t="n"/>
      <c r="AR432" s="262" t="n"/>
      <c r="AS432" s="262" t="n"/>
      <c r="AT432" s="262" t="n"/>
      <c r="AU432" s="262" t="n"/>
      <c r="AV432" s="262" t="n"/>
      <c r="AW432" s="262" t="n"/>
      <c r="AX432" s="262" t="n"/>
      <c r="AY432" s="262" t="n"/>
      <c r="AZ432" s="262" t="n"/>
      <c r="BA432" s="262" t="n"/>
      <c r="BB432" s="262" t="n"/>
      <c r="BC432" s="262" t="n"/>
      <c r="BD432" s="262" t="n"/>
      <c r="BE432" s="262" t="n"/>
      <c r="BF432" s="262" t="n"/>
      <c r="BG432" s="262" t="n"/>
      <c r="BH432" s="262" t="n"/>
      <c r="BI432" s="262" t="n"/>
      <c r="BJ432" s="262" t="n"/>
      <c r="BK432" s="262" t="n"/>
      <c r="BL432" s="262" t="n"/>
      <c r="BM432" s="262" t="n"/>
      <c r="BN432" s="262" t="n"/>
      <c r="BO432" s="262" t="n"/>
      <c r="BP432" s="262" t="n"/>
      <c r="BQ432" s="262" t="n"/>
      <c r="BR432" s="262" t="n"/>
      <c r="BS432" s="262" t="n"/>
      <c r="BT432" s="262" t="n"/>
      <c r="BU432" s="262" t="n"/>
      <c r="BV432" s="262" t="n"/>
      <c r="BW432" s="262" t="n"/>
      <c r="BX432" s="262" t="n"/>
      <c r="BY432" s="263" t="n"/>
      <c r="BZ432" s="263" t="n"/>
      <c r="CA432" s="263">
        <f>IFERROR(CA429/CA229,"n/a")</f>
        <v>16.6745966005161</v>
      </c>
      <c r="CB432" s="263">
        <f>IFERROR(CB429/CB229,"n/a")</f>
        <v>14.9711037034517</v>
      </c>
      <c r="CC432" s="263">
        <f>IFERROR(CC429/CC229,"n/a")</f>
        <v>13.4449392380252</v>
      </c>
      <c r="CD432" s="263">
        <f>IFERROR(CD429/CD229,"n/a")</f>
        <v>12.1370996494574</v>
      </c>
      <c r="CE432" s="263">
        <f>IFERROR(CE429/CE229,"n/a")</f>
        <v>10.9770854521159</v>
      </c>
      <c r="CF432" s="19" t="n"/>
    </row>
    <row r="433">
      <c r="B433" s="25" t="inlineStr">
        <is>
          <t xml:space="preserve">  EV / Adjusted EBIT</t>
        </is>
      </c>
      <c r="C433" s="262" t="n"/>
      <c r="D433" s="262" t="n"/>
      <c r="E433" s="262" t="n"/>
      <c r="F433" s="262" t="n"/>
      <c r="G433" s="262" t="n"/>
      <c r="H433" s="262" t="n"/>
      <c r="I433" s="262" t="n"/>
      <c r="J433" s="262" t="n"/>
      <c r="K433" s="262" t="n"/>
      <c r="L433" s="262" t="n"/>
      <c r="M433" s="262" t="n"/>
      <c r="N433" s="262" t="n"/>
      <c r="O433" s="262" t="n"/>
      <c r="P433" s="262" t="n"/>
      <c r="Q433" s="262" t="n"/>
      <c r="R433" s="262" t="n"/>
      <c r="S433" s="262" t="n"/>
      <c r="T433" s="262" t="n"/>
      <c r="U433" s="262" t="n"/>
      <c r="V433" s="262" t="n"/>
      <c r="W433" s="262" t="n"/>
      <c r="X433" s="262" t="n"/>
      <c r="Y433" s="262" t="n"/>
      <c r="Z433" s="262" t="n"/>
      <c r="AA433" s="262" t="n"/>
      <c r="AB433" s="262" t="n"/>
      <c r="AC433" s="262" t="n"/>
      <c r="AD433" s="262" t="n"/>
      <c r="AE433" s="262" t="n"/>
      <c r="AF433" s="262" t="n"/>
      <c r="AG433" s="262" t="n"/>
      <c r="AH433" s="262" t="n"/>
      <c r="AI433" s="262" t="n"/>
      <c r="AJ433" s="262" t="n"/>
      <c r="AK433" s="262" t="n"/>
      <c r="AL433" s="262" t="n"/>
      <c r="AM433" s="262" t="n"/>
      <c r="AN433" s="262" t="n"/>
      <c r="AO433" s="262" t="n"/>
      <c r="AP433" s="262" t="n"/>
      <c r="AQ433" s="262" t="n"/>
      <c r="AR433" s="262" t="n"/>
      <c r="AS433" s="262" t="n"/>
      <c r="AT433" s="262" t="n"/>
      <c r="AU433" s="262" t="n"/>
      <c r="AV433" s="262" t="n"/>
      <c r="AW433" s="262" t="n"/>
      <c r="AX433" s="262" t="n"/>
      <c r="AY433" s="262" t="n"/>
      <c r="AZ433" s="262" t="n"/>
      <c r="BA433" s="262" t="n"/>
      <c r="BB433" s="262" t="n"/>
      <c r="BC433" s="262" t="n"/>
      <c r="BD433" s="262" t="n"/>
      <c r="BE433" s="262" t="n"/>
      <c r="BF433" s="262" t="n"/>
      <c r="BG433" s="262" t="n"/>
      <c r="BH433" s="262" t="n"/>
      <c r="BI433" s="262" t="n"/>
      <c r="BJ433" s="262" t="n"/>
      <c r="BK433" s="262" t="n"/>
      <c r="BL433" s="262" t="n"/>
      <c r="BM433" s="262" t="n"/>
      <c r="BN433" s="262" t="n"/>
      <c r="BO433" s="262" t="n"/>
      <c r="BP433" s="262" t="n"/>
      <c r="BQ433" s="262" t="n"/>
      <c r="BR433" s="262" t="n"/>
      <c r="BS433" s="262" t="n"/>
      <c r="BT433" s="262" t="n"/>
      <c r="BU433" s="262" t="n"/>
      <c r="BV433" s="262" t="n"/>
      <c r="BW433" s="262" t="n"/>
      <c r="BX433" s="262" t="n"/>
      <c r="BY433" s="263" t="n"/>
      <c r="BZ433" s="263" t="n"/>
      <c r="CA433" s="263">
        <f>IFERROR(CA429/CA222,"n/a")</f>
        <v>18.7094598325289</v>
      </c>
      <c r="CB433" s="263">
        <f>IFERROR(CB429/CB222,"n/a")</f>
        <v>16.8039027449172</v>
      </c>
      <c r="CC433" s="263">
        <f>IFERROR(CC429/CC222,"n/a")</f>
        <v>15.1027080419918</v>
      </c>
      <c r="CD433" s="263">
        <f>IFERROR(CD429/CD222,"n/a")</f>
        <v>13.6517158137528</v>
      </c>
      <c r="CE433" s="263">
        <f>IFERROR(CE429/CE222,"n/a")</f>
        <v>12.3608756472015</v>
      </c>
      <c r="CF433" s="19" t="n"/>
    </row>
    <row r="434">
      <c r="B434" s="25" t="inlineStr">
        <is>
          <t xml:space="preserve">  EV / IC</t>
        </is>
      </c>
      <c r="C434" s="284" t="n"/>
      <c r="D434" s="284" t="n"/>
      <c r="E434" s="284" t="n"/>
      <c r="F434" s="284" t="n"/>
      <c r="G434" s="284" t="n"/>
      <c r="H434" s="284" t="n"/>
      <c r="I434" s="284" t="n"/>
      <c r="J434" s="284" t="n"/>
      <c r="K434" s="284" t="n"/>
      <c r="L434" s="284" t="n"/>
      <c r="M434" s="284" t="n"/>
      <c r="N434" s="284" t="n"/>
      <c r="O434" s="284" t="n"/>
      <c r="P434" s="284" t="n"/>
      <c r="Q434" s="284" t="n"/>
      <c r="R434" s="284" t="n"/>
      <c r="S434" s="284" t="n"/>
      <c r="T434" s="284" t="n"/>
      <c r="U434" s="284" t="n"/>
      <c r="V434" s="284" t="n"/>
      <c r="W434" s="284" t="n"/>
      <c r="X434" s="284" t="n"/>
      <c r="Y434" s="284" t="n"/>
      <c r="Z434" s="284" t="n"/>
      <c r="AA434" s="284" t="n"/>
      <c r="AB434" s="284" t="n"/>
      <c r="AC434" s="284" t="n"/>
      <c r="AD434" s="284" t="n"/>
      <c r="AE434" s="284" t="n"/>
      <c r="AF434" s="284" t="n"/>
      <c r="AG434" s="284" t="n"/>
      <c r="AH434" s="284" t="n"/>
      <c r="AI434" s="284" t="n"/>
      <c r="AJ434" s="284" t="n"/>
      <c r="AK434" s="284" t="n"/>
      <c r="AL434" s="284" t="n"/>
      <c r="AM434" s="284" t="n"/>
      <c r="AN434" s="284" t="n"/>
      <c r="AO434" s="284" t="n"/>
      <c r="AP434" s="284" t="n"/>
      <c r="AQ434" s="284" t="n"/>
      <c r="AR434" s="284" t="n"/>
      <c r="AS434" s="284" t="n"/>
      <c r="AT434" s="284" t="n"/>
      <c r="AU434" s="284" t="n"/>
      <c r="AV434" s="284" t="n"/>
      <c r="AW434" s="284" t="n"/>
      <c r="AX434" s="284" t="n"/>
      <c r="AY434" s="284" t="n"/>
      <c r="AZ434" s="284" t="n"/>
      <c r="BA434" s="284" t="n"/>
      <c r="BB434" s="284" t="n"/>
      <c r="BC434" s="284" t="n"/>
      <c r="BD434" s="284" t="n"/>
      <c r="BE434" s="284" t="n"/>
      <c r="BF434" s="284" t="n"/>
      <c r="BG434" s="284" t="n"/>
      <c r="BH434" s="284" t="n"/>
      <c r="BI434" s="284" t="n"/>
      <c r="BJ434" s="284" t="n"/>
      <c r="BK434" s="284" t="n"/>
      <c r="BL434" s="284" t="n"/>
      <c r="BM434" s="284" t="n"/>
      <c r="BN434" s="284" t="n"/>
      <c r="BO434" s="284" t="n"/>
      <c r="BP434" s="284" t="n"/>
      <c r="BQ434" s="284" t="n"/>
      <c r="BR434" s="284" t="n"/>
      <c r="BS434" s="284" t="n"/>
      <c r="BT434" s="284" t="n"/>
      <c r="BU434" s="284" t="n"/>
      <c r="BV434" s="284" t="n"/>
      <c r="BW434" s="284" t="n"/>
      <c r="BX434" s="284" t="n"/>
      <c r="BY434" s="278" t="n"/>
      <c r="BZ434" s="278" t="n"/>
      <c r="CA434" s="278">
        <f>IFERROR(CA429/CA398,"n/a")</f>
        <v>6.22631627084059</v>
      </c>
      <c r="CB434" s="278">
        <f>IFERROR(CB429/CB398,"n/a")</f>
        <v>5.58768475228133</v>
      </c>
      <c r="CC434" s="278">
        <f>IFERROR(CC429/CC398,"n/a")</f>
        <v>4.96797371500678</v>
      </c>
      <c r="CD434" s="278">
        <f>IFERROR(CD429/CD398,"n/a")</f>
        <v>4.45582277853127</v>
      </c>
      <c r="CE434" s="278">
        <f>IFERROR(CE429/CE398,"n/a")</f>
        <v>4.02411503111092</v>
      </c>
      <c r="CF434" s="19" t="n"/>
    </row>
    <row r="435">
      <c r="B435" s="25" t="inlineStr">
        <is>
          <t xml:space="preserve">  P / E (GAAP diluted)</t>
        </is>
      </c>
      <c r="C435" s="262" t="n"/>
      <c r="D435" s="262" t="n"/>
      <c r="E435" s="262" t="n"/>
      <c r="F435" s="262" t="n"/>
      <c r="G435" s="262" t="n"/>
      <c r="H435" s="262" t="n"/>
      <c r="I435" s="262" t="n"/>
      <c r="J435" s="262" t="n"/>
      <c r="K435" s="262" t="n"/>
      <c r="L435" s="262" t="n"/>
      <c r="M435" s="262" t="n"/>
      <c r="N435" s="262" t="n"/>
      <c r="O435" s="262" t="n"/>
      <c r="P435" s="262" t="n"/>
      <c r="Q435" s="262" t="n"/>
      <c r="R435" s="262" t="n"/>
      <c r="S435" s="262" t="n"/>
      <c r="T435" s="262" t="n"/>
      <c r="U435" s="262" t="n"/>
      <c r="V435" s="262" t="n"/>
      <c r="W435" s="262" t="n"/>
      <c r="X435" s="262" t="n"/>
      <c r="Y435" s="262" t="n"/>
      <c r="Z435" s="262" t="n"/>
      <c r="AA435" s="262" t="n"/>
      <c r="AB435" s="262" t="n"/>
      <c r="AC435" s="262" t="n"/>
      <c r="AD435" s="262" t="n"/>
      <c r="AE435" s="262" t="n"/>
      <c r="AF435" s="262" t="n"/>
      <c r="AG435" s="262" t="n"/>
      <c r="AH435" s="262" t="n"/>
      <c r="AI435" s="262" t="n"/>
      <c r="AJ435" s="262" t="n"/>
      <c r="AK435" s="262" t="n"/>
      <c r="AL435" s="262" t="n"/>
      <c r="AM435" s="262" t="n"/>
      <c r="AN435" s="262" t="n"/>
      <c r="AO435" s="262" t="n"/>
      <c r="AP435" s="262" t="n"/>
      <c r="AQ435" s="262" t="n"/>
      <c r="AR435" s="262" t="n"/>
      <c r="AS435" s="262" t="n"/>
      <c r="AT435" s="262" t="n"/>
      <c r="AU435" s="262" t="n"/>
      <c r="AV435" s="262" t="n"/>
      <c r="AW435" s="262" t="n"/>
      <c r="AX435" s="262" t="n"/>
      <c r="AY435" s="262" t="n"/>
      <c r="AZ435" s="262" t="n"/>
      <c r="BA435" s="262" t="n"/>
      <c r="BB435" s="262" t="n"/>
      <c r="BC435" s="262" t="n"/>
      <c r="BD435" s="262" t="n"/>
      <c r="BE435" s="262" t="n"/>
      <c r="BF435" s="262" t="n"/>
      <c r="BG435" s="262" t="n"/>
      <c r="BH435" s="262" t="n"/>
      <c r="BI435" s="262" t="n"/>
      <c r="BJ435" s="262" t="n"/>
      <c r="BK435" s="262" t="n"/>
      <c r="BL435" s="262" t="n"/>
      <c r="BM435" s="262" t="n"/>
      <c r="BN435" s="262" t="n"/>
      <c r="BO435" s="262" t="n"/>
      <c r="BP435" s="262" t="n"/>
      <c r="BQ435" s="262" t="n"/>
      <c r="BR435" s="262" t="n"/>
      <c r="BS435" s="262" t="n"/>
      <c r="BT435" s="262" t="n"/>
      <c r="BU435" s="262" t="n"/>
      <c r="BV435" s="262" t="n"/>
      <c r="BW435" s="262" t="n"/>
      <c r="BX435" s="262" t="n"/>
      <c r="BY435" s="263" t="n"/>
      <c r="BZ435" s="263" t="n"/>
      <c r="CA435" s="263">
        <f>IFERROR(CA424/CA184,"n/a")</f>
        <v>24.9731111462428</v>
      </c>
      <c r="CB435" s="263">
        <f>IFERROR(CB424/CB184,"n/a")</f>
        <v>22.1677739252796</v>
      </c>
      <c r="CC435" s="263">
        <f>IFERROR(CC424/CC184,"n/a")</f>
        <v>19.7615885727019</v>
      </c>
      <c r="CD435" s="263">
        <f>IFERROR(CD424/CD184,"n/a")</f>
        <v>17.714248323966</v>
      </c>
      <c r="CE435" s="263">
        <f>IFERROR(CE424/CE184,"n/a")</f>
        <v>15.8931784070888</v>
      </c>
      <c r="CF435" s="19" t="n"/>
    </row>
    <row r="436">
      <c r="B436" s="25" t="inlineStr">
        <is>
          <t xml:space="preserve">  P / E (adjusted EPS)</t>
        </is>
      </c>
      <c r="C436" s="262" t="n"/>
      <c r="D436" s="262" t="n"/>
      <c r="E436" s="262" t="n"/>
      <c r="F436" s="262" t="n"/>
      <c r="G436" s="262" t="n"/>
      <c r="H436" s="262" t="n"/>
      <c r="I436" s="262" t="n"/>
      <c r="J436" s="262" t="n"/>
      <c r="K436" s="262" t="n"/>
      <c r="L436" s="262" t="n"/>
      <c r="M436" s="262" t="n"/>
      <c r="N436" s="262" t="n"/>
      <c r="O436" s="262" t="n"/>
      <c r="P436" s="262" t="n"/>
      <c r="Q436" s="262" t="n"/>
      <c r="R436" s="262" t="n"/>
      <c r="S436" s="262" t="n"/>
      <c r="T436" s="262" t="n"/>
      <c r="U436" s="262" t="n"/>
      <c r="V436" s="262" t="n"/>
      <c r="W436" s="262" t="n"/>
      <c r="X436" s="262" t="n"/>
      <c r="Y436" s="262" t="n"/>
      <c r="Z436" s="262" t="n"/>
      <c r="AA436" s="262" t="n"/>
      <c r="AB436" s="262" t="n"/>
      <c r="AC436" s="262" t="n"/>
      <c r="AD436" s="262" t="n"/>
      <c r="AE436" s="262" t="n"/>
      <c r="AF436" s="262" t="n"/>
      <c r="AG436" s="262" t="n"/>
      <c r="AH436" s="262" t="n"/>
      <c r="AI436" s="262" t="n"/>
      <c r="AJ436" s="262" t="n"/>
      <c r="AK436" s="262" t="n"/>
      <c r="AL436" s="262" t="n"/>
      <c r="AM436" s="262" t="n"/>
      <c r="AN436" s="262" t="n"/>
      <c r="AO436" s="262" t="n"/>
      <c r="AP436" s="262" t="n"/>
      <c r="AQ436" s="262" t="n"/>
      <c r="AR436" s="262" t="n"/>
      <c r="AS436" s="262" t="n"/>
      <c r="AT436" s="262" t="n"/>
      <c r="AU436" s="262" t="n"/>
      <c r="AV436" s="262" t="n"/>
      <c r="AW436" s="262" t="n"/>
      <c r="AX436" s="262" t="n"/>
      <c r="AY436" s="262" t="n"/>
      <c r="AZ436" s="262" t="n"/>
      <c r="BA436" s="262" t="n"/>
      <c r="BB436" s="262" t="n"/>
      <c r="BC436" s="262" t="n"/>
      <c r="BD436" s="262" t="n"/>
      <c r="BE436" s="262" t="n"/>
      <c r="BF436" s="262" t="n"/>
      <c r="BG436" s="262" t="n"/>
      <c r="BH436" s="262" t="n"/>
      <c r="BI436" s="262" t="n"/>
      <c r="BJ436" s="262" t="n"/>
      <c r="BK436" s="262" t="n"/>
      <c r="BL436" s="262" t="n"/>
      <c r="BM436" s="262" t="n"/>
      <c r="BN436" s="262" t="n"/>
      <c r="BO436" s="262" t="n"/>
      <c r="BP436" s="262" t="n"/>
      <c r="BQ436" s="262" t="n"/>
      <c r="BR436" s="262" t="n"/>
      <c r="BS436" s="262" t="n"/>
      <c r="BT436" s="262" t="n"/>
      <c r="BU436" s="262" t="n"/>
      <c r="BV436" s="262" t="n"/>
      <c r="BW436" s="262" t="n"/>
      <c r="BX436" s="262" t="n"/>
      <c r="BY436" s="263" t="n"/>
      <c r="BZ436" s="263" t="n"/>
      <c r="CA436" s="263">
        <f>IFERROR(CA424/CA244,"n/a")</f>
        <v>24.5841744990648</v>
      </c>
      <c r="CB436" s="263">
        <f>IFERROR(CB424/CB244,"n/a")</f>
        <v>21.7466225871794</v>
      </c>
      <c r="CC436" s="263">
        <f>IFERROR(CC424/CC244,"n/a")</f>
        <v>19.4102426113603</v>
      </c>
      <c r="CD436" s="263">
        <f>IFERROR(CD424/CD244,"n/a")</f>
        <v>17.426425497685</v>
      </c>
      <c r="CE436" s="263">
        <f>IFERROR(CE424/CE244,"n/a")</f>
        <v>15.6563430919749</v>
      </c>
      <c r="CF436" s="19" t="n"/>
    </row>
    <row r="437">
      <c r="B437" s="25" t="inlineStr">
        <is>
          <t xml:space="preserve">  FCF yield</t>
        </is>
      </c>
      <c r="C437" s="36" t="n"/>
      <c r="D437" s="36" t="n"/>
      <c r="E437" s="36" t="n"/>
      <c r="F437" s="36" t="n"/>
      <c r="G437" s="36" t="n"/>
      <c r="H437" s="36" t="n"/>
      <c r="I437" s="36" t="n"/>
      <c r="J437" s="36" t="n"/>
      <c r="K437" s="36" t="n"/>
      <c r="L437" s="36" t="n"/>
      <c r="M437" s="36" t="n"/>
      <c r="N437" s="36" t="n"/>
      <c r="O437" s="36" t="n"/>
      <c r="P437" s="36" t="n"/>
      <c r="Q437" s="36" t="n"/>
      <c r="R437" s="36" t="n"/>
      <c r="S437" s="36" t="n"/>
      <c r="T437" s="36" t="n"/>
      <c r="U437" s="36" t="n"/>
      <c r="V437" s="36" t="n"/>
      <c r="W437" s="36" t="n"/>
      <c r="X437" s="36" t="n"/>
      <c r="Y437" s="36" t="n"/>
      <c r="Z437" s="36" t="n"/>
      <c r="AA437" s="36" t="n"/>
      <c r="AB437" s="36" t="n"/>
      <c r="AC437" s="36" t="n"/>
      <c r="AD437" s="36" t="n"/>
      <c r="AE437" s="36" t="n"/>
      <c r="AF437" s="36" t="n"/>
      <c r="AG437" s="36" t="n"/>
      <c r="AH437" s="36" t="n"/>
      <c r="AI437" s="36" t="n"/>
      <c r="AJ437" s="36" t="n"/>
      <c r="AK437" s="36" t="n"/>
      <c r="AL437" s="36" t="n"/>
      <c r="AM437" s="36" t="n"/>
      <c r="AN437" s="36" t="n"/>
      <c r="AO437" s="36" t="n"/>
      <c r="AP437" s="36" t="n"/>
      <c r="AQ437" s="36" t="n"/>
      <c r="AR437" s="36" t="n"/>
      <c r="AS437" s="36" t="n"/>
      <c r="AT437" s="36" t="n"/>
      <c r="AU437" s="36" t="n"/>
      <c r="AV437" s="36" t="n"/>
      <c r="AW437" s="36" t="n"/>
      <c r="AX437" s="36" t="n"/>
      <c r="AY437" s="36" t="n"/>
      <c r="AZ437" s="36" t="n"/>
      <c r="BA437" s="36" t="n"/>
      <c r="BB437" s="36" t="n"/>
      <c r="BC437" s="36" t="n"/>
      <c r="BD437" s="36" t="n"/>
      <c r="BE437" s="36" t="n"/>
      <c r="BF437" s="36" t="n"/>
      <c r="BG437" s="36" t="n"/>
      <c r="BH437" s="36" t="n"/>
      <c r="BI437" s="36" t="n"/>
      <c r="BJ437" s="36" t="n"/>
      <c r="BK437" s="36" t="n"/>
      <c r="BL437" s="36" t="n"/>
      <c r="BM437" s="36" t="n"/>
      <c r="BN437" s="36" t="n"/>
      <c r="BO437" s="36" t="n"/>
      <c r="BP437" s="36" t="n"/>
      <c r="BQ437" s="36" t="n"/>
      <c r="BR437" s="36" t="n"/>
      <c r="BS437" s="36" t="n"/>
      <c r="BT437" s="36" t="n"/>
      <c r="BU437" s="36" t="n"/>
      <c r="BV437" s="36" t="n"/>
      <c r="BW437" s="36" t="n"/>
      <c r="BX437" s="36" t="n"/>
      <c r="BY437" s="254" t="n"/>
      <c r="BZ437" s="254" t="n"/>
      <c r="CA437" s="254">
        <f>IFERROR(CA298/CA426,"n/a")</f>
        <v>0.0341884947266774</v>
      </c>
      <c r="CB437" s="254">
        <f>IFERROR(CB298/CB426,"n/a")</f>
        <v>0.0431360600004555</v>
      </c>
      <c r="CC437" s="254">
        <f>IFERROR(CC298/CC426,"n/a")</f>
        <v>0.0479801290363195</v>
      </c>
      <c r="CD437" s="254">
        <f>IFERROR(CD298/CD426,"n/a")</f>
        <v>0.0541193755330803</v>
      </c>
      <c r="CE437" s="254">
        <f>IFERROR(CE298/CE426,"n/a")</f>
        <v>0.060898673558609</v>
      </c>
      <c r="CF437" s="19" t="n"/>
    </row>
    <row r="438">
      <c r="B438" s="25" t="inlineStr">
        <is>
          <t xml:space="preserve">  Dividend yield</t>
        </is>
      </c>
      <c r="C438" s="36" t="n"/>
      <c r="D438" s="36" t="n"/>
      <c r="E438" s="36" t="n"/>
      <c r="F438" s="36" t="n"/>
      <c r="G438" s="36" t="n"/>
      <c r="H438" s="36" t="n"/>
      <c r="I438" s="36" t="n"/>
      <c r="J438" s="36" t="n"/>
      <c r="K438" s="36" t="n"/>
      <c r="L438" s="36" t="n"/>
      <c r="M438" s="36" t="n"/>
      <c r="N438" s="36" t="n"/>
      <c r="O438" s="36" t="n"/>
      <c r="P438" s="36" t="n"/>
      <c r="Q438" s="36" t="n"/>
      <c r="R438" s="36" t="n"/>
      <c r="S438" s="36" t="n"/>
      <c r="T438" s="36" t="n"/>
      <c r="U438" s="36" t="n"/>
      <c r="V438" s="36" t="n"/>
      <c r="W438" s="36" t="n"/>
      <c r="X438" s="36" t="n"/>
      <c r="Y438" s="36" t="n"/>
      <c r="Z438" s="36" t="n"/>
      <c r="AA438" s="36" t="n"/>
      <c r="AB438" s="36" t="n"/>
      <c r="AC438" s="36" t="n"/>
      <c r="AD438" s="36" t="n"/>
      <c r="AE438" s="36" t="n"/>
      <c r="AF438" s="36" t="n"/>
      <c r="AG438" s="36" t="n"/>
      <c r="AH438" s="36" t="n"/>
      <c r="AI438" s="36" t="n"/>
      <c r="AJ438" s="36" t="n"/>
      <c r="AK438" s="36" t="n"/>
      <c r="AL438" s="36" t="n"/>
      <c r="AM438" s="36" t="n"/>
      <c r="AN438" s="36" t="n"/>
      <c r="AO438" s="36" t="n"/>
      <c r="AP438" s="36" t="n"/>
      <c r="AQ438" s="36" t="n"/>
      <c r="AR438" s="36" t="n"/>
      <c r="AS438" s="36" t="n"/>
      <c r="AT438" s="36" t="n"/>
      <c r="AU438" s="36" t="n"/>
      <c r="AV438" s="36" t="n"/>
      <c r="AW438" s="36" t="n"/>
      <c r="AX438" s="36" t="n"/>
      <c r="AY438" s="36" t="n"/>
      <c r="AZ438" s="36" t="n"/>
      <c r="BA438" s="36" t="n"/>
      <c r="BB438" s="36" t="n"/>
      <c r="BC438" s="36" t="n"/>
      <c r="BD438" s="36" t="n"/>
      <c r="BE438" s="36" t="n"/>
      <c r="BF438" s="36" t="n"/>
      <c r="BG438" s="36" t="n"/>
      <c r="BH438" s="36" t="n"/>
      <c r="BI438" s="36" t="n"/>
      <c r="BJ438" s="36" t="n"/>
      <c r="BK438" s="36" t="n"/>
      <c r="BL438" s="36" t="n"/>
      <c r="BM438" s="36" t="n"/>
      <c r="BN438" s="36" t="n"/>
      <c r="BO438" s="36" t="n"/>
      <c r="BP438" s="36" t="n"/>
      <c r="BQ438" s="36" t="n"/>
      <c r="BR438" s="36" t="n"/>
      <c r="BS438" s="36" t="n"/>
      <c r="BT438" s="36" t="n"/>
      <c r="BU438" s="36" t="n"/>
      <c r="BV438" s="36" t="n"/>
      <c r="BW438" s="36" t="n"/>
      <c r="BX438" s="36" t="n"/>
      <c r="BY438" s="254" t="n"/>
      <c r="BZ438" s="254" t="n"/>
      <c r="CA438" s="254">
        <f>IFERROR(CA187/CA424,"n/a")</f>
        <v>0.0116117442113668</v>
      </c>
      <c r="CB438" s="254">
        <f>IFERROR(CB187/CB424,"n/a")</f>
        <v>0.0121923314219351</v>
      </c>
      <c r="CC438" s="254">
        <f>IFERROR(CC187/CC424,"n/a")</f>
        <v>0.0128019479930319</v>
      </c>
      <c r="CD438" s="254">
        <f>IFERROR(CD187/CD424,"n/a")</f>
        <v>0.0134420453926835</v>
      </c>
      <c r="CE438" s="254">
        <f>IFERROR(CE187/CE424,"n/a")</f>
        <v>0.0141141476623176</v>
      </c>
      <c r="CF438" s="19" t="n"/>
    </row>
  </sheetData>
  <dataValidations count="1">
    <dataValidation sqref="CF2" showDropDown="0" showInputMessage="0" showErrorMessage="0" allowBlank="0" type="list">
      <formula1>"Bull,Base,Bear"</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B2:AJ50"/>
  <sheetViews>
    <sheetView showGridLines="0" zoomScale="60" zoomScaleNormal="60" workbookViewId="0">
      <selection activeCell="H26" sqref="H26"/>
    </sheetView>
  </sheetViews>
  <sheetFormatPr baseColWidth="8" defaultColWidth="8.5703125" defaultRowHeight="15"/>
  <cols>
    <col width="2.140625" customWidth="1" style="251" min="1" max="1"/>
    <col width="63.85546875" customWidth="1" style="251" min="2" max="2"/>
    <col width="11.85546875" customWidth="1" style="251" min="3" max="8"/>
    <col width="13.28515625" customWidth="1" style="251" min="9" max="9"/>
    <col width="12.5703125" customWidth="1" style="251" min="10" max="12"/>
    <col width="3.85546875" customWidth="1" style="251" min="13" max="13"/>
    <col width="63.85546875" customWidth="1" style="251" min="14" max="14"/>
    <col width="11.85546875" customWidth="1" style="251" min="15" max="20"/>
    <col width="13.28515625" customWidth="1" style="251" min="21" max="21"/>
    <col width="12.5703125" customWidth="1" style="251" min="22" max="24"/>
    <col width="3.85546875" customWidth="1" style="251" min="25" max="25"/>
    <col width="63.85546875" customWidth="1" style="251" min="26" max="26"/>
    <col width="11.85546875" customWidth="1" style="251" min="27" max="32"/>
    <col width="13.28515625" customWidth="1" style="251" min="33" max="33"/>
    <col width="12.5703125" customWidth="1" style="251" min="34" max="36"/>
  </cols>
  <sheetData>
    <row r="2" ht="19.5" customHeight="1" s="251">
      <c r="B2" s="73" t="inlineStr">
        <is>
          <t>Lincoln Electric (LECO) — Bull / Base / Bear Case P&amp;L Summary</t>
        </is>
      </c>
      <c r="J2" s="152" t="inlineStr">
        <is>
          <t>Share price ($):</t>
        </is>
      </c>
      <c r="K2" s="74">
        <f>Model!$CA$424</f>
        <v>275.54</v>
      </c>
    </row>
    <row r="3" ht="15" customHeight="1" s="251">
      <c r="B3" s="4" t="inlineStr">
        <is>
          <t>Adjusted figures (company definitions: adjusted EBIT / adjusted net income / adjusted diluted EPS) · USD millions · Live panel linked to Model — toggle scenario via Model!CF2. Bull and Bear panels are value snapshots generated from the Model with the switch set to each case. Adjusted EBITDA is a model measure (adjusted EBIT + D&amp;A).</t>
        </is>
      </c>
      <c r="J3" s="152" t="inlineStr">
        <is>
          <t>As of:</t>
        </is>
      </c>
      <c r="K3" s="288" t="str">
        <f>TODAY()</f>
        <v>2026-10-07 00:00:00</v>
      </c>
    </row>
    <row r="5" ht="15" customHeight="1" s="251">
      <c r="B5" s="10" t="inlineStr">
        <is>
          <t>Scenario:</t>
        </is>
      </c>
      <c r="C5" s="75" t="str">
        <f>Model!$CF$2</f>
        <v>Base</v>
      </c>
      <c r="N5" s="76" t="inlineStr">
        <is>
          <t>Scenario:</t>
        </is>
      </c>
      <c r="O5" s="77" t="inlineStr">
        <is>
          <t>Bull</t>
        </is>
      </c>
      <c r="P5" s="4" t="inlineStr">
        <is>
          <t>Snapshot (values) — Model run with switch = Bull</t>
        </is>
      </c>
      <c r="Z5" s="76" t="inlineStr">
        <is>
          <t>Scenario:</t>
        </is>
      </c>
      <c r="AA5" s="77" t="inlineStr">
        <is>
          <t>Bear</t>
        </is>
      </c>
      <c r="AB5" s="4" t="inlineStr">
        <is>
          <t>Snapshot (values) — Model run with switch = Bear</t>
        </is>
      </c>
    </row>
    <row r="7" ht="32.1" customHeight="1" s="251">
      <c r="B7" s="78" t="inlineStr">
        <is>
          <t>(USDm, except EPS and shares)</t>
        </is>
      </c>
      <c r="C7" s="150" t="inlineStr">
        <is>
          <t>2025A</t>
        </is>
      </c>
      <c r="D7" s="150" t="inlineStr">
        <is>
          <t>2026E</t>
        </is>
      </c>
      <c r="E7" s="150" t="inlineStr">
        <is>
          <t>2027E</t>
        </is>
      </c>
      <c r="F7" s="150" t="inlineStr">
        <is>
          <t>2028E</t>
        </is>
      </c>
      <c r="G7" s="150" t="inlineStr">
        <is>
          <t>2029E</t>
        </is>
      </c>
      <c r="H7" s="150" t="inlineStr">
        <is>
          <t>2030E</t>
        </is>
      </c>
      <c r="I7" s="150" t="inlineStr">
        <is>
          <t>25-'30 CAGR</t>
        </is>
      </c>
      <c r="J7" s="151" t="inlineStr">
        <is>
          <t>LT Hist Avg</t>
        </is>
      </c>
      <c r="K7" s="151" t="inlineStr">
        <is>
          <t>LT Hist Min</t>
        </is>
      </c>
      <c r="L7" s="151" t="inlineStr">
        <is>
          <t>LT Hist Max</t>
        </is>
      </c>
      <c r="N7" s="78" t="inlineStr">
        <is>
          <t>(USDm, except EPS and shares)</t>
        </is>
      </c>
      <c r="O7" s="150" t="inlineStr">
        <is>
          <t>2025A</t>
        </is>
      </c>
      <c r="P7" s="150" t="inlineStr">
        <is>
          <t>2026E</t>
        </is>
      </c>
      <c r="Q7" s="150" t="inlineStr">
        <is>
          <t>2027E</t>
        </is>
      </c>
      <c r="R7" s="150" t="inlineStr">
        <is>
          <t>2028E</t>
        </is>
      </c>
      <c r="S7" s="150" t="inlineStr">
        <is>
          <t>2029E</t>
        </is>
      </c>
      <c r="T7" s="150" t="inlineStr">
        <is>
          <t>2030E</t>
        </is>
      </c>
      <c r="U7" s="150" t="inlineStr">
        <is>
          <t>25-'30 CAGR</t>
        </is>
      </c>
      <c r="V7" s="151" t="inlineStr">
        <is>
          <t>LT Hist Avg</t>
        </is>
      </c>
      <c r="W7" s="151" t="inlineStr">
        <is>
          <t>LT Hist Min</t>
        </is>
      </c>
      <c r="X7" s="151" t="inlineStr">
        <is>
          <t>LT Hist Max</t>
        </is>
      </c>
      <c r="Z7" s="78" t="inlineStr">
        <is>
          <t>(USDm, except EPS and shares)</t>
        </is>
      </c>
      <c r="AA7" s="150" t="inlineStr">
        <is>
          <t>2025A</t>
        </is>
      </c>
      <c r="AB7" s="150" t="inlineStr">
        <is>
          <t>2026E</t>
        </is>
      </c>
      <c r="AC7" s="150" t="inlineStr">
        <is>
          <t>2027E</t>
        </is>
      </c>
      <c r="AD7" s="150" t="inlineStr">
        <is>
          <t>2028E</t>
        </is>
      </c>
      <c r="AE7" s="150" t="inlineStr">
        <is>
          <t>2029E</t>
        </is>
      </c>
      <c r="AF7" s="150" t="inlineStr">
        <is>
          <t>2030E</t>
        </is>
      </c>
      <c r="AG7" s="150" t="inlineStr">
        <is>
          <t>25-'30 CAGR</t>
        </is>
      </c>
      <c r="AH7" s="151" t="inlineStr">
        <is>
          <t>LT Hist Avg</t>
        </is>
      </c>
      <c r="AI7" s="151" t="inlineStr">
        <is>
          <t>LT Hist Min</t>
        </is>
      </c>
      <c r="AJ7" s="151" t="inlineStr">
        <is>
          <t>LT Hist Max</t>
        </is>
      </c>
    </row>
    <row r="9" ht="15" customHeight="1" s="251">
      <c r="B9" s="79" t="inlineStr">
        <is>
          <t>Net sales</t>
        </is>
      </c>
      <c r="C9" s="80">
        <f>Model!BV154</f>
        <v>4233.003</v>
      </c>
      <c r="D9" s="81">
        <f>Model!CA154</f>
        <v>4719.798345</v>
      </c>
      <c r="E9" s="81">
        <f>Model!CB154</f>
        <v>5029.34891587842</v>
      </c>
      <c r="F9" s="81">
        <f>Model!CC154</f>
        <v>5405.03432443253</v>
      </c>
      <c r="G9" s="81">
        <f>Model!CD154</f>
        <v>5795.16759415275</v>
      </c>
      <c r="H9" s="81">
        <f>Model!CE154</f>
        <v>6203.29114713233</v>
      </c>
      <c r="I9" s="289">
        <f>IFERROR((H9/C9)^(1/5)-1,"n/m")</f>
        <v>0.0794305809416627</v>
      </c>
      <c r="N9" s="79" t="inlineStr">
        <is>
          <t>Net sales</t>
        </is>
      </c>
      <c r="O9" s="80" t="n">
        <v>4233.003</v>
      </c>
      <c r="P9" s="81" t="n">
        <v>4783.29339</v>
      </c>
      <c r="Q9" s="81" t="n">
        <v>5290.7138516283</v>
      </c>
      <c r="R9" s="81" t="n">
        <v>5926.51111330125</v>
      </c>
      <c r="S9" s="81" t="n">
        <v>6602.46985170822</v>
      </c>
      <c r="T9" s="81" t="n">
        <v>7324.71469562861</v>
      </c>
      <c r="U9" s="289" t="n">
        <v>0.115908093303664</v>
      </c>
      <c r="Z9" s="79" t="inlineStr">
        <is>
          <t>Net sales</t>
        </is>
      </c>
      <c r="AA9" s="80" t="n">
        <v>4233.003</v>
      </c>
      <c r="AB9" s="81" t="n">
        <v>4656.3033</v>
      </c>
      <c r="AC9" s="81" t="n">
        <v>4772.163150333</v>
      </c>
      <c r="AD9" s="81" t="n">
        <v>4902.66134232426</v>
      </c>
      <c r="AE9" s="81" t="n">
        <v>5034.2020734416</v>
      </c>
      <c r="AF9" s="81" t="n">
        <v>5169.43441918129</v>
      </c>
      <c r="AG9" s="289" t="n">
        <v>0.0407798866350133</v>
      </c>
    </row>
    <row r="10" ht="15" customHeight="1" s="251">
      <c r="B10" s="83" t="inlineStr">
        <is>
          <t xml:space="preserve">   Net sales y/y %</t>
        </is>
      </c>
      <c r="C10" s="290" t="n"/>
      <c r="D10" s="291">
        <f>IFERROR(D9/C9-1,"")</f>
        <v>0.115</v>
      </c>
      <c r="E10" s="291">
        <f>IFERROR(E9/D9-1,"")</f>
        <v>0.0655855501128235</v>
      </c>
      <c r="F10" s="291">
        <f>IFERROR(F9/E9-1,"")</f>
        <v>0.0746986170253599</v>
      </c>
      <c r="G10" s="291">
        <f>IFERROR(G9/F9-1,"")</f>
        <v>0.0721796100270251</v>
      </c>
      <c r="H10" s="291">
        <f>IFERROR(H9/G9-1,"")</f>
        <v>0.0704248059005868</v>
      </c>
      <c r="N10" s="83" t="inlineStr">
        <is>
          <t xml:space="preserve">   Net sales y/y %</t>
        </is>
      </c>
      <c r="O10" s="290" t="n"/>
      <c r="P10" s="291" t="n">
        <v>0.13</v>
      </c>
      <c r="Q10" s="291" t="n">
        <v>0.106081818583222</v>
      </c>
      <c r="R10" s="291" t="n">
        <v>0.120172301791991</v>
      </c>
      <c r="S10" s="291" t="n">
        <v>0.114056773957594</v>
      </c>
      <c r="T10" s="291" t="n">
        <v>0.109390100998875</v>
      </c>
      <c r="Z10" s="83" t="inlineStr">
        <is>
          <t xml:space="preserve">   Net sales y/y %</t>
        </is>
      </c>
      <c r="AA10" s="290" t="n"/>
      <c r="AB10" s="291" t="n">
        <v>0.1</v>
      </c>
      <c r="AC10" s="291" t="n">
        <v>0.0248823675925485</v>
      </c>
      <c r="AD10" s="291" t="n">
        <v>0.0273457105049213</v>
      </c>
      <c r="AE10" s="291" t="n">
        <v>0.0268304747019259</v>
      </c>
      <c r="AF10" s="291" t="n">
        <v>0.0268627170238398</v>
      </c>
    </row>
    <row r="11" ht="15" customHeight="1" s="251">
      <c r="B11" s="79" t="inlineStr">
        <is>
          <t xml:space="preserve">   Organic sales growth % (volume + price)</t>
        </is>
      </c>
      <c r="C11" s="86">
        <f>Model!BV252</f>
        <v>0.025</v>
      </c>
      <c r="D11" s="87">
        <f>Model!CA252</f>
        <v>0.0996867877485557</v>
      </c>
      <c r="E11" s="87">
        <f>Model!CB252</f>
        <v>0.054991877174875</v>
      </c>
      <c r="F11" s="87">
        <f>Model!CC252</f>
        <v>0.0515345848715772</v>
      </c>
      <c r="G11" s="87">
        <f>Model!CD252</f>
        <v>0.0473583060450036</v>
      </c>
      <c r="H11" s="87">
        <f>Model!CE252</f>
        <v>0.0463484702755775</v>
      </c>
      <c r="N11" s="79" t="inlineStr">
        <is>
          <t xml:space="preserve">   Organic sales growth % (volume + price)</t>
        </is>
      </c>
      <c r="O11" s="86" t="n">
        <v>0.025</v>
      </c>
      <c r="P11" s="87" t="n">
        <v>0.114686787748556</v>
      </c>
      <c r="Q11" s="87" t="n">
        <v>0.0857826138269206</v>
      </c>
      <c r="R11" s="87" t="n">
        <v>0.08145978840119091</v>
      </c>
      <c r="S11" s="87" t="n">
        <v>0.0758518042940559</v>
      </c>
      <c r="T11" s="87" t="n">
        <v>0.0736572984603214</v>
      </c>
      <c r="Z11" s="79" t="inlineStr">
        <is>
          <t xml:space="preserve">   Organic sales growth % (volume + price)</t>
        </is>
      </c>
      <c r="AA11" s="86" t="n">
        <v>0.025</v>
      </c>
      <c r="AB11" s="87" t="n">
        <v>0.08468678774855599</v>
      </c>
      <c r="AC11" s="87" t="n">
        <v>0.0241978786599211</v>
      </c>
      <c r="AD11" s="87" t="n">
        <v>0.0212198193284244</v>
      </c>
      <c r="AE11" s="87" t="n">
        <v>0.0179019052823879</v>
      </c>
      <c r="AF11" s="87" t="n">
        <v>0.0177460086625378</v>
      </c>
    </row>
    <row r="12" ht="15" customHeight="1" s="251">
      <c r="B12" s="79" t="inlineStr">
        <is>
          <t>Adjusted EBIT (company definition)</t>
        </is>
      </c>
      <c r="C12" s="80">
        <f>Model!BV222</f>
        <v>752.632</v>
      </c>
      <c r="D12" s="81">
        <f>Model!CA222</f>
        <v>851.86283625</v>
      </c>
      <c r="E12" s="81">
        <f>Model!CB222</f>
        <v>939.659026734974</v>
      </c>
      <c r="F12" s="81">
        <f>Model!CC222</f>
        <v>1036.9539418654</v>
      </c>
      <c r="G12" s="81">
        <f>Model!CD222</f>
        <v>1135.21475127148</v>
      </c>
      <c r="H12" s="81">
        <f>Model!CE222</f>
        <v>1238.13200044084</v>
      </c>
      <c r="I12" s="289">
        <f>IFERROR((H12/C12)^(1/5)-1,"n/m")</f>
        <v>0.104680922106365</v>
      </c>
      <c r="N12" s="79" t="inlineStr">
        <is>
          <t>Adjusted EBIT (company definition)</t>
        </is>
      </c>
      <c r="O12" s="80" t="n">
        <v>752.6319999999999</v>
      </c>
      <c r="P12" s="81" t="n">
        <v>875.29295725</v>
      </c>
      <c r="Q12" s="81" t="n">
        <v>1016.43339172551</v>
      </c>
      <c r="R12" s="81" t="n">
        <v>1179.81296373101</v>
      </c>
      <c r="S12" s="81" t="n">
        <v>1351.48554648866</v>
      </c>
      <c r="T12" s="81" t="n">
        <v>1535.92379565343</v>
      </c>
      <c r="U12" s="289" t="n">
        <v>0.153340115355214</v>
      </c>
      <c r="Z12" s="79" t="inlineStr">
        <is>
          <t>Adjusted EBIT (company definition)</t>
        </is>
      </c>
      <c r="AA12" s="80" t="n">
        <v>752.6319999999999</v>
      </c>
      <c r="AB12" s="81" t="n">
        <v>831.6074675</v>
      </c>
      <c r="AC12" s="81" t="n">
        <v>867.339550006263</v>
      </c>
      <c r="AD12" s="81" t="n">
        <v>903.069777166202</v>
      </c>
      <c r="AE12" s="81" t="n">
        <v>936.1533516777851</v>
      </c>
      <c r="AF12" s="81" t="n">
        <v>970.011019743151</v>
      </c>
      <c r="AG12" s="289" t="n">
        <v>0.0520558550858874</v>
      </c>
    </row>
    <row r="13" ht="15" customHeight="1" s="251">
      <c r="B13" s="83" t="inlineStr">
        <is>
          <t xml:space="preserve">   Adjusted EBIT margin %</t>
        </is>
      </c>
      <c r="C13" s="88">
        <f>IFERROR(C12/C9,"")</f>
        <v>0.177800960689137</v>
      </c>
      <c r="D13" s="89">
        <f>IFERROR(D12/D9,"")</f>
        <v>0.180487125504511</v>
      </c>
      <c r="E13" s="89">
        <f>IFERROR(E12/E9,"")</f>
        <v>0.186835123681383</v>
      </c>
      <c r="F13" s="89">
        <f>IFERROR(F12/F9,"")</f>
        <v>0.191849649719712</v>
      </c>
      <c r="G13" s="89">
        <f>IFERROR(G12/G9,"")</f>
        <v>0.195889891504932</v>
      </c>
      <c r="H13" s="89">
        <f>IFERROR(H12/H9,"")</f>
        <v>0.19959275988734</v>
      </c>
      <c r="J13" s="90">
        <f>IFERROR(AVERAGE(Model!C223,Model!D223,Model!E223,Model!F223,Model!G223,Model!H223,Model!I223,Model!N223,Model!S223,Model!X223,Model!AC223,Model!AH223,Model!AM223,Model!AR223,Model!AW223,Model!BB223,Model!BG223,Model!BL223,Model!BQ223,Model!BV223),"")</f>
        <v>0.139196652833462</v>
      </c>
      <c r="K13" s="90">
        <f>IFERROR(MIN(Model!C223,Model!D223,Model!E223,Model!F223,Model!G223,Model!H223,Model!I223,Model!N223,Model!S223,Model!X223,Model!AC223,Model!AH223,Model!AM223,Model!AR223,Model!AW223,Model!BB223,Model!BG223,Model!BL223,Model!BQ223,Model!BV223),"")</f>
        <v>0.0706476954348185</v>
      </c>
      <c r="L13" s="90">
        <f>IFERROR(MAX(Model!C223,Model!D223,Model!E223,Model!F223,Model!G223,Model!H223,Model!I223,Model!N223,Model!S223,Model!X223,Model!AC223,Model!AH223,Model!AM223,Model!AR223,Model!AW223,Model!BB223,Model!BG223,Model!BL223,Model!BQ223,Model!BV223),"")</f>
        <v>0.178015401616995</v>
      </c>
      <c r="N13" s="83" t="inlineStr">
        <is>
          <t xml:space="preserve">   Adjusted EBIT margin %</t>
        </is>
      </c>
      <c r="O13" s="88" t="n">
        <v>0.177800960689137</v>
      </c>
      <c r="P13" s="89" t="n">
        <v>0.182989602745233</v>
      </c>
      <c r="Q13" s="89" t="n">
        <v>0.192116493204918</v>
      </c>
      <c r="R13" s="89" t="n">
        <v>0.199073779020354</v>
      </c>
      <c r="S13" s="89" t="n">
        <v>0.204693936790791</v>
      </c>
      <c r="T13" s="89" t="n">
        <v>0.20969059676414</v>
      </c>
      <c r="V13" s="90" t="n">
        <v>0.139196652833462</v>
      </c>
      <c r="W13" s="90" t="n">
        <v>0.0706476954348185</v>
      </c>
      <c r="X13" s="90" t="n">
        <v>0.178015401616995</v>
      </c>
      <c r="Z13" s="83" t="inlineStr">
        <is>
          <t xml:space="preserve">   Adjusted EBIT margin %</t>
        </is>
      </c>
      <c r="AA13" s="88" t="n">
        <v>0.177800960689137</v>
      </c>
      <c r="AB13" s="89" t="n">
        <v>0.178598217066315</v>
      </c>
      <c r="AC13" s="89" t="n">
        <v>0.181749768958704</v>
      </c>
      <c r="AD13" s="89" t="n">
        <v>0.184199909826542</v>
      </c>
      <c r="AE13" s="89" t="n">
        <v>0.185958636149421</v>
      </c>
      <c r="AF13" s="89" t="n">
        <v>0.187643548807565</v>
      </c>
      <c r="AH13" s="90" t="n">
        <v>0.139196652833462</v>
      </c>
      <c r="AI13" s="90" t="n">
        <v>0.0706476954348185</v>
      </c>
      <c r="AJ13" s="90" t="n">
        <v>0.178015401616995</v>
      </c>
    </row>
    <row r="15" ht="15" customHeight="1" s="251">
      <c r="B15" s="79" t="inlineStr">
        <is>
          <t>Operating income (GAAP)</t>
        </is>
      </c>
      <c r="C15" s="80">
        <f>Model!BV162</f>
        <v>718.059</v>
      </c>
      <c r="D15" s="81">
        <f>Model!CA162</f>
        <v>838.58083625</v>
      </c>
      <c r="E15" s="81">
        <f>Model!CB162</f>
        <v>918.659026734974</v>
      </c>
      <c r="F15" s="81">
        <f>Model!CC162</f>
        <v>1015.4539418654</v>
      </c>
      <c r="G15" s="81">
        <f>Model!CD162</f>
        <v>1113.71475127148</v>
      </c>
      <c r="H15" s="81">
        <f>Model!CE162</f>
        <v>1216.63200044084</v>
      </c>
      <c r="I15" s="289">
        <f>IFERROR((H15/C15)^(1/5)-1,"n/m")</f>
        <v>0.111219415956094</v>
      </c>
      <c r="N15" s="79" t="inlineStr">
        <is>
          <t>Operating income (GAAP)</t>
        </is>
      </c>
      <c r="O15" s="80" t="n">
        <v>718.059</v>
      </c>
      <c r="P15" s="81" t="n">
        <v>862.01095725</v>
      </c>
      <c r="Q15" s="81" t="n">
        <v>993.933391725514</v>
      </c>
      <c r="R15" s="81" t="n">
        <v>1156.81296373101</v>
      </c>
      <c r="S15" s="81" t="n">
        <v>1328.48554648866</v>
      </c>
      <c r="T15" s="81" t="n">
        <v>1512.92379565343</v>
      </c>
      <c r="U15" s="289" t="n">
        <v>0.16073046895935</v>
      </c>
      <c r="Z15" s="79" t="inlineStr">
        <is>
          <t>Operating income (GAAP)</t>
        </is>
      </c>
      <c r="AA15" s="80" t="n">
        <v>718.059</v>
      </c>
      <c r="AB15" s="81" t="n">
        <v>818.3254674999999</v>
      </c>
      <c r="AC15" s="81" t="n">
        <v>846.339550006263</v>
      </c>
      <c r="AD15" s="81" t="n">
        <v>882.069777166202</v>
      </c>
      <c r="AE15" s="81" t="n">
        <v>915.1533516777851</v>
      </c>
      <c r="AF15" s="81" t="n">
        <v>949.011019743151</v>
      </c>
      <c r="AG15" s="289" t="n">
        <v>0.0573584128581528</v>
      </c>
    </row>
    <row r="16" ht="15" customHeight="1" s="251">
      <c r="B16" s="83" t="inlineStr">
        <is>
          <t xml:space="preserve">   Operating income y/y %</t>
        </is>
      </c>
      <c r="C16" s="290" t="n"/>
      <c r="D16" s="291">
        <f>IFERROR(D15/C15-1,"")</f>
        <v>0.16784391846631</v>
      </c>
      <c r="E16" s="291">
        <f>IFERROR(E15/D15-1,"")</f>
        <v>0.0954925119003098</v>
      </c>
      <c r="F16" s="291">
        <f>IFERROR(F15/E15-1,"")</f>
        <v>0.105365442795951</v>
      </c>
      <c r="G16" s="291">
        <f>IFERROR(G15/F15-1,"")</f>
        <v>0.0967654025012417</v>
      </c>
      <c r="H16" s="291">
        <f>IFERROR(H15/G15-1,"")</f>
        <v>0.0924089844835654</v>
      </c>
      <c r="N16" s="83" t="inlineStr">
        <is>
          <t xml:space="preserve">   Operating income y/y %</t>
        </is>
      </c>
      <c r="O16" s="290" t="n"/>
      <c r="P16" s="291" t="n">
        <v>0.200473717688936</v>
      </c>
      <c r="Q16" s="291" t="n">
        <v>0.153040322012119</v>
      </c>
      <c r="R16" s="291" t="n">
        <v>0.163873729730244</v>
      </c>
      <c r="S16" s="291" t="n">
        <v>0.148401330327394</v>
      </c>
      <c r="T16" s="291" t="n">
        <v>0.138833463150773</v>
      </c>
      <c r="Z16" s="83" t="inlineStr">
        <is>
          <t xml:space="preserve">   Operating income y/y %</t>
        </is>
      </c>
      <c r="AA16" s="290" t="n"/>
      <c r="AB16" s="291" t="n">
        <v>0.139635416449067</v>
      </c>
      <c r="AC16" s="291" t="n">
        <v>0.0342334237645647</v>
      </c>
      <c r="AD16" s="291" t="n">
        <v>0.0422173667290804</v>
      </c>
      <c r="AE16" s="291" t="n">
        <v>0.0375067544178527</v>
      </c>
      <c r="AF16" s="291" t="n">
        <v>0.0369967153628337</v>
      </c>
    </row>
    <row r="17" ht="15" customHeight="1" s="251">
      <c r="B17" s="83" t="inlineStr">
        <is>
          <t xml:space="preserve">   Operating margin (GAAP) %</t>
        </is>
      </c>
      <c r="C17" s="88">
        <f>IFERROR(C15/C9,"")</f>
        <v>0.169633472974151</v>
      </c>
      <c r="D17" s="89">
        <f>IFERROR(D15/D9,"")</f>
        <v>0.177673022225275</v>
      </c>
      <c r="E17" s="89">
        <f>IFERROR(E15/E9,"")</f>
        <v>0.182659632906882</v>
      </c>
      <c r="F17" s="89">
        <f>IFERROR(F15/F9,"")</f>
        <v>0.18787187664567</v>
      </c>
      <c r="G17" s="89">
        <f>IFERROR(G15/G9,"")</f>
        <v>0.192179903890131</v>
      </c>
      <c r="H17" s="89">
        <f>IFERROR(H15/H9,"")</f>
        <v>0.196126857757317</v>
      </c>
      <c r="J17" s="90">
        <f>IFERROR(AVERAGE(Model!C264,Model!D264,Model!E264,Model!F264,Model!G264,Model!H264,Model!I264,Model!N264,Model!S264,Model!X264,Model!AC264,Model!AH264,Model!AM264,Model!AR264,Model!AW264,Model!BB264,Model!BG264,Model!BL264,Model!BQ264,Model!BV264),"")</f>
        <v>0.125830333190832</v>
      </c>
      <c r="K17" s="90">
        <f>IFERROR(MIN(Model!C264,Model!D264,Model!E264,Model!F264,Model!G264,Model!H264,Model!I264,Model!N264,Model!S264,Model!X264,Model!AC264,Model!AH264,Model!AM264,Model!AR264,Model!AW264,Model!BB264,Model!BG264,Model!BL264,Model!BQ264,Model!BV264),"")</f>
        <v>0.0537655736330333</v>
      </c>
      <c r="L17" s="90">
        <f>IFERROR(MAX(Model!C264,Model!D264,Model!E264,Model!F264,Model!G264,Model!H264,Model!I264,Model!N264,Model!S264,Model!X264,Model!AC264,Model!AH264,Model!AM264,Model!AR264,Model!AW264,Model!BB264,Model!BG264,Model!BL264,Model!BQ264,Model!BV264),"")</f>
        <v>0.171257475601412</v>
      </c>
      <c r="N17" s="83" t="inlineStr">
        <is>
          <t xml:space="preserve">   Operating margin (GAAP) %</t>
        </is>
      </c>
      <c r="O17" s="88" t="n">
        <v>0.169633472974151</v>
      </c>
      <c r="P17" s="89" t="n">
        <v>0.180212854819261</v>
      </c>
      <c r="Q17" s="89" t="n">
        <v>0.18786375895563</v>
      </c>
      <c r="R17" s="89" t="n">
        <v>0.195192912257381</v>
      </c>
      <c r="S17" s="89" t="n">
        <v>0.20121039191795</v>
      </c>
      <c r="T17" s="89" t="n">
        <v>0.206550542720298</v>
      </c>
      <c r="V17" s="90" t="n">
        <v>0.125830333190832</v>
      </c>
      <c r="W17" s="90" t="n">
        <v>0.0537655736330333</v>
      </c>
      <c r="X17" s="90" t="n">
        <v>0.171257475601412</v>
      </c>
      <c r="Z17" s="83" t="inlineStr">
        <is>
          <t xml:space="preserve">   Operating margin (GAAP) %</t>
        </is>
      </c>
      <c r="AA17" s="88" t="n">
        <v>0.169633472974151</v>
      </c>
      <c r="AB17" s="89" t="n">
        <v>0.175745739651453</v>
      </c>
      <c r="AC17" s="89" t="n">
        <v>0.177349248830105</v>
      </c>
      <c r="AD17" s="89" t="n">
        <v>0.179916521981922</v>
      </c>
      <c r="AE17" s="89" t="n">
        <v>0.181787170702933</v>
      </c>
      <c r="AF17" s="89" t="n">
        <v>0.183581208849817</v>
      </c>
      <c r="AH17" s="90" t="n">
        <v>0.125830333190832</v>
      </c>
      <c r="AI17" s="90" t="n">
        <v>0.0537655736330333</v>
      </c>
      <c r="AJ17" s="90" t="n">
        <v>0.171257475601412</v>
      </c>
    </row>
    <row r="19" ht="15" customHeight="1" s="251">
      <c r="B19" s="79" t="inlineStr">
        <is>
          <t>Adjusted net income (attributable to Lincoln Electric)</t>
        </is>
      </c>
      <c r="C19" s="80">
        <f>Model!BV240</f>
        <v>551.330999999999</v>
      </c>
      <c r="D19" s="81">
        <f>Model!CA240</f>
        <v>616.7955439125</v>
      </c>
      <c r="E19" s="81">
        <f>Model!CB240</f>
        <v>684.532788613991</v>
      </c>
      <c r="F19" s="81">
        <f>Model!CC240</f>
        <v>752.985080593693</v>
      </c>
      <c r="G19" s="81">
        <f>Model!CD240</f>
        <v>823.942640343366</v>
      </c>
      <c r="H19" s="81">
        <f>Model!CE240</f>
        <v>898.387665802894</v>
      </c>
      <c r="I19" s="289">
        <f>IFERROR((H19/C19)^(1/5)-1,"n/m")</f>
        <v>0.10258041439244</v>
      </c>
      <c r="N19" s="79" t="inlineStr">
        <is>
          <t>Adjusted net income (attributable to Lincoln Electric)</t>
        </is>
      </c>
      <c r="O19" s="80" t="n">
        <v>551.330999999999</v>
      </c>
      <c r="P19" s="81" t="n">
        <v>641.076066655</v>
      </c>
      <c r="Q19" s="81" t="n">
        <v>742.39052590323</v>
      </c>
      <c r="R19" s="81" t="n">
        <v>848.167535186021</v>
      </c>
      <c r="S19" s="81" t="n">
        <v>970.652764014332</v>
      </c>
      <c r="T19" s="81" t="n">
        <v>1102.42675521323</v>
      </c>
      <c r="U19" s="289" t="n">
        <v>0.148649337553291</v>
      </c>
      <c r="Z19" s="79" t="inlineStr">
        <is>
          <t>Adjusted net income (attributable to Lincoln Electric)</t>
        </is>
      </c>
      <c r="AA19" s="80" t="n">
        <v>551.330999999999</v>
      </c>
      <c r="AB19" s="81" t="n">
        <v>595.4464353</v>
      </c>
      <c r="AC19" s="81" t="n">
        <v>629.738562144731</v>
      </c>
      <c r="AD19" s="81" t="n">
        <v>659.705488137209</v>
      </c>
      <c r="AE19" s="81" t="n">
        <v>684.439092151251</v>
      </c>
      <c r="AF19" s="81" t="n">
        <v>709.794683264962</v>
      </c>
      <c r="AG19" s="289" t="n">
        <v>0.0518263971680921</v>
      </c>
    </row>
    <row r="21" ht="15" customHeight="1" s="251">
      <c r="B21" s="79" t="inlineStr">
        <is>
          <t>FDSO (m)</t>
        </is>
      </c>
      <c r="C21" s="91">
        <f>Model!BV182</f>
        <v>55.875</v>
      </c>
      <c r="D21" s="92">
        <f>Model!CA182</f>
        <v>55.0377997931335</v>
      </c>
      <c r="E21" s="92">
        <f>Model!CB182</f>
        <v>54.0258263865063</v>
      </c>
      <c r="F21" s="92">
        <f>Model!CC182</f>
        <v>53.0435620855711</v>
      </c>
      <c r="G21" s="92">
        <f>Model!CD182</f>
        <v>52.1099478707611</v>
      </c>
      <c r="H21" s="92">
        <f>Model!CE182</f>
        <v>51.0469097967939</v>
      </c>
      <c r="I21" s="289">
        <f>IFERROR((H21/C21)^(1/5)-1,"n/m")</f>
        <v>-0.017912046155923</v>
      </c>
      <c r="N21" s="79" t="inlineStr">
        <is>
          <t>FDSO (m)</t>
        </is>
      </c>
      <c r="O21" s="91" t="n">
        <v>55.875</v>
      </c>
      <c r="P21" s="92" t="n">
        <v>55.0105805146258</v>
      </c>
      <c r="Q21" s="92" t="n">
        <v>53.5395398360744</v>
      </c>
      <c r="R21" s="92" t="n">
        <v>52.1279536405496</v>
      </c>
      <c r="S21" s="92" t="n">
        <v>51.0018883322307</v>
      </c>
      <c r="T21" s="92" t="n">
        <v>49.569620779291</v>
      </c>
      <c r="U21" s="289" t="n">
        <v>-0.0236633055404143</v>
      </c>
      <c r="Z21" s="79" t="inlineStr">
        <is>
          <t>FDSO (m)</t>
        </is>
      </c>
      <c r="AA21" s="91" t="n">
        <v>55.875</v>
      </c>
      <c r="AB21" s="92" t="n">
        <v>55.0650190716411</v>
      </c>
      <c r="AC21" s="92" t="n">
        <v>54.4275950208291</v>
      </c>
      <c r="AD21" s="92" t="n">
        <v>53.7257321354455</v>
      </c>
      <c r="AE21" s="92" t="n">
        <v>52.8437623547304</v>
      </c>
      <c r="AF21" s="92" t="n">
        <v>51.9818257517654</v>
      </c>
      <c r="AG21" s="289" t="n">
        <v>-0.0143407575888306</v>
      </c>
    </row>
    <row r="23" ht="15" customHeight="1" s="251">
      <c r="B23" s="79" t="inlineStr">
        <is>
          <t>Adjusted EPS — Diluted ($)</t>
        </is>
      </c>
      <c r="C23" s="93">
        <f>Model!BV244</f>
        <v>9.86722147651006</v>
      </c>
      <c r="D23" s="94">
        <f>Model!CA244</f>
        <v>11.2080232757248</v>
      </c>
      <c r="E23" s="94">
        <f>Model!CB244</f>
        <v>12.670473260636</v>
      </c>
      <c r="F23" s="94">
        <f>Model!CC244</f>
        <v>14.19559793852</v>
      </c>
      <c r="G23" s="94">
        <f>Model!CD244</f>
        <v>15.8116189712345</v>
      </c>
      <c r="H23" s="94">
        <f>Model!CE244</f>
        <v>17.5992566323637</v>
      </c>
      <c r="I23" s="289">
        <f>IFERROR((H23/C23)^(1/5)-1,"n/m")</f>
        <v>0.12269009112344</v>
      </c>
      <c r="N23" s="79" t="inlineStr">
        <is>
          <t>Adjusted EPS — Diluted ($)</t>
        </is>
      </c>
      <c r="O23" s="93" t="n">
        <v>9.867221476510061</v>
      </c>
      <c r="P23" s="94" t="n">
        <v>11.6568342405819</v>
      </c>
      <c r="Q23" s="94" t="n">
        <v>13.8662104339383</v>
      </c>
      <c r="R23" s="94" t="n">
        <v>16.27087725397</v>
      </c>
      <c r="S23" s="94" t="n">
        <v>19.0317024673952</v>
      </c>
      <c r="T23" s="94" t="n">
        <v>22.2399675019058</v>
      </c>
      <c r="U23" s="289" t="n">
        <v>0.176488955164266</v>
      </c>
      <c r="Z23" s="79" t="inlineStr">
        <is>
          <t>Adjusted EPS — Diluted ($)</t>
        </is>
      </c>
      <c r="AA23" s="93" t="n">
        <v>9.867221476510061</v>
      </c>
      <c r="AB23" s="94" t="n">
        <v>10.813487993741</v>
      </c>
      <c r="AC23" s="94" t="n">
        <v>11.5702073902721</v>
      </c>
      <c r="AD23" s="94" t="n">
        <v>12.2791344466755</v>
      </c>
      <c r="AE23" s="94" t="n">
        <v>12.9521264507386</v>
      </c>
      <c r="AF23" s="94" t="n">
        <v>13.6546701274888</v>
      </c>
      <c r="AG23" s="289" t="n">
        <v>0.0671298476287419</v>
      </c>
    </row>
    <row r="24" ht="15" customHeight="1" s="251">
      <c r="B24" s="83" t="inlineStr">
        <is>
          <t xml:space="preserve">   EPS y/y %</t>
        </is>
      </c>
      <c r="C24" s="290" t="n"/>
      <c r="D24" s="291">
        <f>IFERROR(D23/C23-1,"")</f>
        <v>0.135884433364216</v>
      </c>
      <c r="E24" s="291">
        <f>IFERROR(E23/D23-1,"")</f>
        <v>0.130482418615123</v>
      </c>
      <c r="F24" s="291">
        <f>IFERROR(F23/E23-1,"")</f>
        <v>0.120368406649987</v>
      </c>
      <c r="G24" s="291">
        <f>IFERROR(G23/F23-1,"")</f>
        <v>0.1138395888439</v>
      </c>
      <c r="H24" s="291">
        <f>IFERROR(H23/G23-1,"")</f>
        <v>0.113058483409027</v>
      </c>
      <c r="N24" s="83" t="inlineStr">
        <is>
          <t xml:space="preserve">   EPS y/y %</t>
        </is>
      </c>
      <c r="O24" s="290" t="n"/>
      <c r="P24" s="291" t="n">
        <v>0.181369473496887</v>
      </c>
      <c r="Q24" s="291" t="n">
        <v>0.189534838340993</v>
      </c>
      <c r="R24" s="291" t="n">
        <v>0.173419178331967</v>
      </c>
      <c r="S24" s="291" t="n">
        <v>0.169678940497913</v>
      </c>
      <c r="T24" s="291" t="n">
        <v>0.168574778846344</v>
      </c>
      <c r="Z24" s="83" t="inlineStr">
        <is>
          <t xml:space="preserve">   EPS y/y %</t>
        </is>
      </c>
      <c r="AA24" s="290" t="n"/>
      <c r="AB24" s="291" t="n">
        <v>0.09589999773326351</v>
      </c>
      <c r="AC24" s="291" t="n">
        <v>0.0699792145669438</v>
      </c>
      <c r="AD24" s="291" t="n">
        <v>0.061271767436035</v>
      </c>
      <c r="AE24" s="291" t="n">
        <v>0.0548077722404416</v>
      </c>
      <c r="AF24" s="291" t="n">
        <v>0.0542415702488854</v>
      </c>
    </row>
    <row r="26" ht="15" customHeight="1" s="251">
      <c r="B26" s="83" t="inlineStr">
        <is>
          <t>P / E (x) — assumed (adjusted EPS)</t>
        </is>
      </c>
      <c r="C26" s="292" t="n"/>
      <c r="D26" s="292" t="n"/>
      <c r="E26" s="292" t="n"/>
      <c r="F26" s="292" t="n"/>
      <c r="G26" s="292" t="n">
        <v>22</v>
      </c>
      <c r="H26" s="292" t="n">
        <v>22</v>
      </c>
      <c r="N26" s="83" t="inlineStr">
        <is>
          <t>P / E (x) — assumed (adjusted EPS)</t>
        </is>
      </c>
      <c r="O26" s="292" t="n"/>
      <c r="P26" s="292" t="n"/>
      <c r="Q26" s="292" t="n"/>
      <c r="R26" s="292" t="n"/>
      <c r="S26" s="292" t="n">
        <v>25</v>
      </c>
      <c r="T26" s="292" t="n">
        <v>25</v>
      </c>
      <c r="Z26" s="83" t="inlineStr">
        <is>
          <t>P / E (x) — assumed (adjusted EPS)</t>
        </is>
      </c>
      <c r="AA26" s="292" t="n"/>
      <c r="AB26" s="292" t="n"/>
      <c r="AC26" s="292" t="n"/>
      <c r="AD26" s="292" t="n">
        <v>18</v>
      </c>
      <c r="AE26" s="292" t="n">
        <v>18</v>
      </c>
      <c r="AF26" s="292" t="n">
        <v>18</v>
      </c>
    </row>
    <row r="27" ht="15" customHeight="1" s="251">
      <c r="B27" s="10" t="inlineStr">
        <is>
          <t>Price Target ($)</t>
        </is>
      </c>
      <c r="C27" s="96" t="n"/>
      <c r="D27" s="96" t="n"/>
      <c r="E27" s="96" t="n"/>
      <c r="F27" s="96" t="n"/>
      <c r="G27" s="96">
        <f>G26*G23</f>
        <v>347.855617367159</v>
      </c>
      <c r="H27" s="96">
        <f>H26*H23</f>
        <v>387.183645912</v>
      </c>
      <c r="N27" s="10" t="inlineStr">
        <is>
          <t>Price Target ($)</t>
        </is>
      </c>
      <c r="O27" s="96" t="n"/>
      <c r="P27" s="96" t="n"/>
      <c r="Q27" s="96" t="n"/>
      <c r="R27" s="96" t="n"/>
      <c r="S27" s="96">
        <f>S26*S23</f>
        <v>475.79256168488</v>
      </c>
      <c r="T27" s="96">
        <f>T26*T23</f>
        <v>555.999187547645</v>
      </c>
      <c r="Z27" s="10" t="inlineStr">
        <is>
          <t>Price Target ($)</t>
        </is>
      </c>
      <c r="AA27" s="96" t="n"/>
      <c r="AB27" s="96" t="n"/>
      <c r="AC27" s="96" t="n"/>
      <c r="AD27" s="96">
        <f>AD26*AD23</f>
        <v>221.024420040159</v>
      </c>
      <c r="AE27" s="96">
        <f>AE26*AE23</f>
        <v>233.138276113295</v>
      </c>
      <c r="AF27" s="96">
        <f>AF26*AF23</f>
        <v>245.784062294798</v>
      </c>
    </row>
    <row r="28" ht="15" customHeight="1" s="251">
      <c r="B28" t="inlineStr">
        <is>
          <t xml:space="preserve">   Upside / (Downside) vs current</t>
        </is>
      </c>
      <c r="E28" s="293" t="n"/>
      <c r="F28" s="293" t="n"/>
      <c r="G28" s="293">
        <f>IFERROR(G27/$K$2-1,"")</f>
        <v>0.262450523942653</v>
      </c>
      <c r="H28" s="293">
        <f>IFERROR(H27/$K$2-1,"")</f>
        <v>0.405181265558541</v>
      </c>
      <c r="N28" t="inlineStr">
        <is>
          <t xml:space="preserve">   Upside / (Downside) vs current</t>
        </is>
      </c>
      <c r="O28" s="293" t="n"/>
      <c r="P28" s="293" t="n"/>
      <c r="Q28" s="293" t="n"/>
      <c r="R28" s="293" t="n"/>
      <c r="S28" s="293">
        <f>IFERROR(S27/$K$2-1,"")</f>
        <v>0.726764033116353</v>
      </c>
      <c r="T28" s="293">
        <f>IFERROR(T27/$K$2-1,"")</f>
        <v>1.01785289811877</v>
      </c>
      <c r="Z28" t="inlineStr">
        <is>
          <t xml:space="preserve">   Upside / (Downside) vs current</t>
        </is>
      </c>
      <c r="AA28" s="293" t="n"/>
      <c r="AB28" s="293" t="n"/>
      <c r="AC28" s="293" t="n"/>
      <c r="AD28" s="293">
        <f>IFERROR(AD27/$K$2-1,"")</f>
        <v>-0.197849967191119</v>
      </c>
      <c r="AE28" s="293">
        <f>IFERROR(AE27/$K$2-1,"")</f>
        <v>-0.153885910890271</v>
      </c>
      <c r="AF28" s="293">
        <f>IFERROR(AF27/$K$2-1,"")</f>
        <v>-0.107991354087253</v>
      </c>
    </row>
    <row r="29" ht="15" customHeight="1" s="251">
      <c r="B29" s="75" t="inlineStr">
        <is>
          <t>IRR (to Dec-Y-1)</t>
        </is>
      </c>
      <c r="C29" s="294" t="n"/>
      <c r="D29" s="294" t="n"/>
      <c r="E29" s="294" t="n"/>
      <c r="F29" s="294" t="n"/>
      <c r="G29" s="294">
        <f>IFERROR((G27/$K$2)^(1/((DATE(2029-1,12,31)-$K$3)/365.25))-1,"")</f>
        <v>0.109953008152095</v>
      </c>
      <c r="H29" s="294">
        <f>IFERROR((H27/$K$2)^(1/((DATE(2030-1,12,31)-$K$3)/365.25))-1,"")</f>
        <v>0.11093704948586</v>
      </c>
      <c r="N29" s="75" t="inlineStr">
        <is>
          <t>IRR (to Dec-Y-1)</t>
        </is>
      </c>
      <c r="O29" s="294" t="n"/>
      <c r="P29" s="294" t="n"/>
      <c r="Q29" s="294" t="n"/>
      <c r="R29" s="294" t="n"/>
      <c r="S29" s="294">
        <f>IFERROR((S27/$K$2)^(1/((DATE(2029-1,12,31)-$K$3)/365.25))-1,"")</f>
        <v>0.276991275898787</v>
      </c>
      <c r="T29" s="294">
        <f>IFERROR((T27/$K$2)^(1/((DATE(2030-1,12,31)-$K$3)/365.25))-1,"")</f>
        <v>0.242492358513895</v>
      </c>
      <c r="Z29" s="75" t="inlineStr">
        <is>
          <t>IRR (to Dec-Y-1)</t>
        </is>
      </c>
      <c r="AA29" s="294" t="n"/>
      <c r="AB29" s="294" t="n"/>
      <c r="AC29" s="294" t="n"/>
      <c r="AD29" s="294">
        <f>IFERROR((AD27/$K$2)^(1/((DATE(2028-1,12,31)-$K$3)/365.25))-1,"")</f>
        <v>-0.163843699516673</v>
      </c>
      <c r="AE29" s="294">
        <f>IFERROR((AE27/$K$2)^(1/((DATE(2029-1,12,31)-$K$3)/365.25))-1,"")</f>
        <v>-0.0720673828861135</v>
      </c>
      <c r="AF29" s="294">
        <f>IFERROR((AF27/$K$2)^(1/((DATE(2030-1,12,31)-$K$3)/365.25))-1,"")</f>
        <v>-0.0347261280338778</v>
      </c>
    </row>
    <row r="31" ht="15" customHeight="1" s="251">
      <c r="B31" s="79" t="inlineStr">
        <is>
          <t>Free Cash Flow</t>
        </is>
      </c>
      <c r="C31" s="80">
        <f>Model!BV298</f>
        <v>534.199</v>
      </c>
      <c r="D31" s="81">
        <f>Model!CA298</f>
        <v>514.232450383296</v>
      </c>
      <c r="E31" s="81">
        <f>Model!CB298</f>
        <v>635.620391792002</v>
      </c>
      <c r="F31" s="81">
        <f>Model!CC298</f>
        <v>695.520030772638</v>
      </c>
      <c r="G31" s="81">
        <f>Model!CD298</f>
        <v>769.618023010141</v>
      </c>
      <c r="H31" s="81">
        <f>Model!CE298</f>
        <v>847.111672405019</v>
      </c>
      <c r="I31" s="289">
        <f>IFERROR((H31/C31)^(1/5)-1,"n/m")</f>
        <v>0.0965981756846517</v>
      </c>
      <c r="N31" s="79" t="inlineStr">
        <is>
          <t>Free Cash Flow</t>
        </is>
      </c>
      <c r="O31" s="80" t="n">
        <v>534.199</v>
      </c>
      <c r="P31" s="81" t="n">
        <v>519.674974324859</v>
      </c>
      <c r="Q31" s="81" t="n">
        <v>663.514195278311</v>
      </c>
      <c r="R31" s="81" t="n">
        <v>754.1197284731981</v>
      </c>
      <c r="S31" s="81" t="n">
        <v>879.288157026555</v>
      </c>
      <c r="T31" s="81" t="n">
        <v>1013.42790360509</v>
      </c>
      <c r="U31" s="289" t="n">
        <v>0.136626971652336</v>
      </c>
      <c r="Z31" s="79" t="inlineStr">
        <is>
          <t>Free Cash Flow</t>
        </is>
      </c>
      <c r="AA31" s="80" t="n">
        <v>534.199</v>
      </c>
      <c r="AB31" s="81" t="n">
        <v>512.043164772418</v>
      </c>
      <c r="AC31" s="81" t="n">
        <v>608.867459792983</v>
      </c>
      <c r="AD31" s="81" t="n">
        <v>635.884756249044</v>
      </c>
      <c r="AE31" s="81" t="n">
        <v>662.347009737712</v>
      </c>
      <c r="AF31" s="81" t="n">
        <v>689.381920087918</v>
      </c>
      <c r="AG31" s="289" t="n">
        <v>0.0523285757257506</v>
      </c>
    </row>
    <row r="32" ht="15" customHeight="1" s="251">
      <c r="B32" s="83" t="inlineStr">
        <is>
          <t xml:space="preserve">   FCF %</t>
        </is>
      </c>
      <c r="C32" s="88">
        <f>IFERROR(C31/C9,"")</f>
        <v>0.126198587622074</v>
      </c>
      <c r="D32" s="89">
        <f>IFERROR(D31/D9,"")</f>
        <v>0.108952207868808</v>
      </c>
      <c r="E32" s="89">
        <f>IFERROR(E31/E9,"")</f>
        <v>0.1263822420006</v>
      </c>
      <c r="F32" s="89">
        <f>IFERROR(F31/F9,"")</f>
        <v>0.128680039575079</v>
      </c>
      <c r="G32" s="89">
        <f>IFERROR(G31/G9,"")</f>
        <v>0.132803410860227</v>
      </c>
      <c r="H32" s="89">
        <f>IFERROR(H31/H9,"")</f>
        <v>0.13655842557005</v>
      </c>
      <c r="J32" s="90">
        <f>IFERROR(AVERAGE(Model!C300,Model!D300,Model!E300,Model!F300,Model!G300,Model!H300,Model!I300,Model!N300,Model!S300,Model!X300,Model!AC300,Model!AH300,Model!AM300,Model!AR300,Model!AW300,Model!BB300,Model!BG300,Model!BL300,Model!BQ300,Model!BV300),"")</f>
        <v>0.0942820016504014</v>
      </c>
      <c r="K32" s="90">
        <f>IFERROR(MIN(Model!C300,Model!D300,Model!E300,Model!F300,Model!G300,Model!H300,Model!I300,Model!N300,Model!S300,Model!X300,Model!AC300,Model!AH300,Model!AM300,Model!AR300,Model!AW300,Model!BB300,Model!BG300,Model!BL300,Model!BQ300,Model!BV300),"")</f>
        <v>0.0216429207141282</v>
      </c>
      <c r="L32" s="90">
        <f>IFERROR(MAX(Model!C300,Model!D300,Model!E300,Model!F300,Model!G300,Model!H300,Model!I300,Model!N300,Model!S300,Model!X300,Model!AC300,Model!AH300,Model!AM300,Model!AR300,Model!AW300,Model!BB300,Model!BG300,Model!BL300,Model!BQ300,Model!BV300),"")</f>
        <v>0.137548918846961</v>
      </c>
      <c r="N32" s="83" t="inlineStr">
        <is>
          <t xml:space="preserve">   FCF %</t>
        </is>
      </c>
      <c r="O32" s="88" t="n">
        <v>0.126198587622074</v>
      </c>
      <c r="P32" s="89" t="n">
        <v>0.108643759007402</v>
      </c>
      <c r="Q32" s="89" t="n">
        <v>0.125411090806603</v>
      </c>
      <c r="R32" s="89" t="n">
        <v>0.12724513867538</v>
      </c>
      <c r="S32" s="89" t="n">
        <v>0.133175641354737</v>
      </c>
      <c r="T32" s="89" t="n">
        <v>0.138357321167732</v>
      </c>
      <c r="V32" s="90" t="n">
        <v>0.0942820016504014</v>
      </c>
      <c r="W32" s="90" t="n">
        <v>0.0216429207141282</v>
      </c>
      <c r="X32" s="90" t="n">
        <v>0.137548918846961</v>
      </c>
      <c r="Z32" s="83" t="inlineStr">
        <is>
          <t xml:space="preserve">   FCF %</t>
        </is>
      </c>
      <c r="AA32" s="88" t="n">
        <v>0.126198587622074</v>
      </c>
      <c r="AB32" s="89" t="n">
        <v>0.109967743031778</v>
      </c>
      <c r="AC32" s="89" t="n">
        <v>0.127587310117529</v>
      </c>
      <c r="AD32" s="89" t="n">
        <v>0.129701954071252</v>
      </c>
      <c r="AE32" s="89" t="n">
        <v>0.131569412605025</v>
      </c>
      <c r="AF32" s="89" t="n">
        <v>0.133357320005831</v>
      </c>
      <c r="AH32" s="90" t="n">
        <v>0.0942820016504014</v>
      </c>
      <c r="AI32" s="90" t="n">
        <v>0.0216429207141282</v>
      </c>
      <c r="AJ32" s="90" t="n">
        <v>0.137548918846961</v>
      </c>
    </row>
    <row r="33" ht="15" customHeight="1" s="251">
      <c r="B33" s="83" t="inlineStr">
        <is>
          <t xml:space="preserve">   FCF / share ($)</t>
        </is>
      </c>
      <c r="C33" s="99">
        <f>IFERROR(C31/C21,"")</f>
        <v>9.56060850111857</v>
      </c>
      <c r="D33" s="100">
        <f>IFERROR(D31/D21,"")</f>
        <v>9.34325958370617</v>
      </c>
      <c r="E33" s="100">
        <f>IFERROR(E31/E21,"")</f>
        <v>11.7651211338205</v>
      </c>
      <c r="F33" s="100">
        <f>IFERROR(F31/F21,"")</f>
        <v>13.1122421539226</v>
      </c>
      <c r="G33" s="100">
        <f>IFERROR(G31/G21,"")</f>
        <v>14.7691190349851</v>
      </c>
      <c r="H33" s="100">
        <f>IFERROR(H31/H21,"")</f>
        <v>16.5947689248414</v>
      </c>
      <c r="N33" s="83" t="inlineStr">
        <is>
          <t xml:space="preserve">   FCF / share ($)</t>
        </is>
      </c>
      <c r="O33" s="99" t="n">
        <v>9.560608501118571</v>
      </c>
      <c r="P33" s="100" t="n">
        <v>9.44681858404841</v>
      </c>
      <c r="Q33" s="100" t="n">
        <v>12.3929753096466</v>
      </c>
      <c r="R33" s="100" t="n">
        <v>14.4667050172977</v>
      </c>
      <c r="S33" s="100" t="n">
        <v>17.2403059137496</v>
      </c>
      <c r="T33" s="100" t="n">
        <v>20.4445361427594</v>
      </c>
      <c r="Z33" s="83" t="inlineStr">
        <is>
          <t xml:space="preserve">   FCF / share ($)</t>
        </is>
      </c>
      <c r="AA33" s="99" t="n">
        <v>9.560608501118571</v>
      </c>
      <c r="AB33" s="100" t="n">
        <v>9.298882909787711</v>
      </c>
      <c r="AC33" s="100" t="n">
        <v>11.1867419377978</v>
      </c>
      <c r="AD33" s="100" t="n">
        <v>11.835757857072</v>
      </c>
      <c r="AE33" s="100" t="n">
        <v>12.5340623041088</v>
      </c>
      <c r="AF33" s="100" t="n">
        <v>13.2619797423045</v>
      </c>
    </row>
    <row r="34" ht="15" customHeight="1" s="251">
      <c r="B34" s="83" t="inlineStr">
        <is>
          <t xml:space="preserve">   FCF Yield (on PT)</t>
        </is>
      </c>
      <c r="E34" s="101" t="n"/>
      <c r="F34" s="101">
        <f>IFERROR(F33/F$27,"")</f>
      </c>
      <c r="G34" s="101">
        <f>IFERROR(G33/G$27,"")</f>
        <v>0.0424576125772218</v>
      </c>
      <c r="H34" s="101">
        <f>IFERROR(H33/H$27,"")</f>
        <v>0.0428602010959241</v>
      </c>
      <c r="N34" s="83" t="inlineStr">
        <is>
          <t xml:space="preserve">   FCF Yield (on PT)</t>
        </is>
      </c>
      <c r="Q34" s="101" t="n"/>
      <c r="R34" s="101">
        <f>IFERROR(R33/R$27,"")</f>
      </c>
      <c r="S34" s="101">
        <f>IFERROR(S33/S$27,"")</f>
        <v>0.0362349210603422</v>
      </c>
      <c r="T34" s="101">
        <f>IFERROR(T33/T$27,"")</f>
        <v>0.0367708021893601</v>
      </c>
      <c r="Z34" s="83" t="inlineStr">
        <is>
          <t xml:space="preserve">   FCF Yield (on PT)</t>
        </is>
      </c>
      <c r="AC34" s="101" t="n"/>
      <c r="AD34" s="101">
        <f>IFERROR(AD33/AD$27,"")</f>
        <v>0.05354954830295</v>
      </c>
      <c r="AE34" s="101">
        <f>IFERROR(AE33/AE$27,"")</f>
        <v>0.0537623530252828</v>
      </c>
      <c r="AF34" s="101">
        <f>IFERROR(AF33/AF$27,"")</f>
        <v>0.0539578507185621</v>
      </c>
    </row>
    <row r="35" ht="15" customHeight="1" s="251">
      <c r="B35" s="79" t="inlineStr">
        <is>
          <t>Adjusted EBITDA (model: adjusted EBIT + D&amp;A)</t>
        </is>
      </c>
      <c r="C35" s="80">
        <f>Model!BV229</f>
        <v>851.178</v>
      </c>
      <c r="D35" s="81">
        <f>Model!CA229</f>
        <v>955.81883625</v>
      </c>
      <c r="E35" s="81">
        <f>Model!CB229</f>
        <v>1054.69437734224</v>
      </c>
      <c r="F35" s="81">
        <f>Model!CC229</f>
        <v>1164.81096416513</v>
      </c>
      <c r="G35" s="81">
        <f>Model!CD229</f>
        <v>1276.88077213992</v>
      </c>
      <c r="H35" s="81">
        <f>Model!CE229</f>
        <v>1394.21304125132</v>
      </c>
      <c r="I35" s="289">
        <f>IFERROR((H35/C35)^(1/5)-1,"n/m")</f>
        <v>0.103727212184306</v>
      </c>
      <c r="N35" s="79" t="inlineStr">
        <is>
          <t>Adjusted EBITDA (model: adjusted EBIT + D&amp;A)</t>
        </is>
      </c>
      <c r="O35" s="80" t="n">
        <v>851.178</v>
      </c>
      <c r="P35" s="81" t="n">
        <v>979.24895725</v>
      </c>
      <c r="Q35" s="81" t="n">
        <v>1138.75570338715</v>
      </c>
      <c r="R35" s="81" t="n">
        <v>1323.73446378028</v>
      </c>
      <c r="S35" s="81" t="n">
        <v>1518.6891181521</v>
      </c>
      <c r="T35" s="81" t="n">
        <v>1727.77379630507</v>
      </c>
      <c r="U35" s="289" t="n">
        <v>0.152108282057557</v>
      </c>
      <c r="Z35" s="79" t="inlineStr">
        <is>
          <t>Adjusted EBITDA (model: adjusted EBIT + D&amp;A)</t>
        </is>
      </c>
      <c r="AA35" s="80" t="n">
        <v>851.178</v>
      </c>
      <c r="AB35" s="81" t="n">
        <v>935.5634675</v>
      </c>
      <c r="AC35" s="81" t="n">
        <v>975.181970888755</v>
      </c>
      <c r="AD35" s="81" t="n">
        <v>1015.2921573685</v>
      </c>
      <c r="AE35" s="81" t="n">
        <v>1053.32439833022</v>
      </c>
      <c r="AF35" s="81" t="n">
        <v>1092.29335417473</v>
      </c>
      <c r="AG35" s="289" t="n">
        <v>0.0511477868161405</v>
      </c>
    </row>
    <row r="36" ht="15" customHeight="1" s="251">
      <c r="B36" s="83" t="inlineStr">
        <is>
          <t xml:space="preserve">   Adjusted EBITDA % of net sales</t>
        </is>
      </c>
      <c r="C36" s="88">
        <f>IFERROR(C35/C9,"")</f>
        <v>0.201081359970687</v>
      </c>
      <c r="D36" s="89">
        <f>IFERROR(D35/D9,"")</f>
        <v>0.202512642783259</v>
      </c>
      <c r="E36" s="89">
        <f>IFERROR(E35/E9,"")</f>
        <v>0.209707935357678</v>
      </c>
      <c r="F36" s="89">
        <f>IFERROR(F35/F9,"")</f>
        <v>0.215504822772319</v>
      </c>
      <c r="G36" s="89">
        <f>IFERROR(G35/G9,"")</f>
        <v>0.220335434893768</v>
      </c>
      <c r="H36" s="89">
        <f>IFERROR(H35/H9,"")</f>
        <v>0.224753765087399</v>
      </c>
      <c r="J36" s="90">
        <f>IFERROR(AVERAGE(Model!C230,Model!D230,Model!E230,Model!F230,Model!G230,Model!H230,Model!I230,Model!N230,Model!S230,Model!X230,Model!AC230,Model!AH230,Model!AM230,Model!AR230,Model!AW230,Model!BB230,Model!BG230,Model!BL230,Model!BQ230,Model!BV230),"")</f>
        <v>0.164120646764711</v>
      </c>
      <c r="K36" s="90">
        <f>IFERROR(MIN(Model!C230,Model!D230,Model!E230,Model!F230,Model!G230,Model!H230,Model!I230,Model!N230,Model!S230,Model!X230,Model!AC230,Model!AH230,Model!AM230,Model!AR230,Model!AW230,Model!BB230,Model!BG230,Model!BL230,Model!BQ230,Model!BV230),"")</f>
        <v>0.103376829151933</v>
      </c>
      <c r="L36" s="90">
        <f>IFERROR(MAX(Model!C230,Model!D230,Model!E230,Model!F230,Model!G230,Model!H230,Model!I230,Model!N230,Model!S230,Model!X230,Model!AC230,Model!AH230,Model!AM230,Model!AR230,Model!AW230,Model!BB230,Model!BG230,Model!BL230,Model!BQ230,Model!BV230),"")</f>
        <v>0.201081359970687</v>
      </c>
      <c r="N36" s="83" t="inlineStr">
        <is>
          <t xml:space="preserve">   Adjusted EBITDA % of net sales</t>
        </is>
      </c>
      <c r="O36" s="88" t="n">
        <v>0.201081359970687</v>
      </c>
      <c r="P36" s="89" t="n">
        <v>0.204722745900811</v>
      </c>
      <c r="Q36" s="89" t="n">
        <v>0.215236683616272</v>
      </c>
      <c r="R36" s="89" t="n">
        <v>0.223358134064634</v>
      </c>
      <c r="S36" s="89" t="n">
        <v>0.2300183343903</v>
      </c>
      <c r="T36" s="89" t="n">
        <v>0.235882743301416</v>
      </c>
      <c r="V36" s="90" t="n">
        <v>0.164120646764711</v>
      </c>
      <c r="W36" s="90" t="n">
        <v>0.103376829151933</v>
      </c>
      <c r="X36" s="90" t="n">
        <v>0.201081359970687</v>
      </c>
      <c r="Z36" s="83" t="inlineStr">
        <is>
          <t xml:space="preserve">   Adjusted EBITDA % of net sales</t>
        </is>
      </c>
      <c r="AA36" s="88" t="n">
        <v>0.201081359970687</v>
      </c>
      <c r="AB36" s="89" t="n">
        <v>0.200924082307954</v>
      </c>
      <c r="AC36" s="89" t="n">
        <v>0.204347994854432</v>
      </c>
      <c r="AD36" s="89" t="n">
        <v>0.207090004076677</v>
      </c>
      <c r="AE36" s="89" t="n">
        <v>0.209233634837015</v>
      </c>
      <c r="AF36" s="89" t="n">
        <v>0.211298425630811</v>
      </c>
      <c r="AH36" s="90" t="n">
        <v>0.164120646764711</v>
      </c>
      <c r="AI36" s="90" t="n">
        <v>0.103376829151933</v>
      </c>
      <c r="AJ36" s="90" t="n">
        <v>0.201081359970687</v>
      </c>
    </row>
    <row r="38" ht="15" customHeight="1" s="251">
      <c r="B38" s="79" t="inlineStr">
        <is>
          <t>Net Debt</t>
        </is>
      </c>
      <c r="C38" s="80">
        <f>Model!BV419</f>
        <v>985.219</v>
      </c>
      <c r="D38" s="81">
        <f>Model!CA419</f>
        <v>896.796958863492</v>
      </c>
      <c r="E38" s="81">
        <f>Model!CB419</f>
        <v>1054.69437734224</v>
      </c>
      <c r="F38" s="81">
        <f>Model!CC419</f>
        <v>1164.81096416513</v>
      </c>
      <c r="G38" s="81">
        <f>Model!CD419</f>
        <v>1276.88077213992</v>
      </c>
      <c r="H38" s="81">
        <f>Model!CE419</f>
        <v>1394.21304125132</v>
      </c>
      <c r="N38" s="79" t="inlineStr">
        <is>
          <t>Net Debt</t>
        </is>
      </c>
      <c r="O38" s="80" t="n">
        <v>985.2190000000001</v>
      </c>
      <c r="P38" s="81" t="n">
        <v>921.265196517342</v>
      </c>
      <c r="Q38" s="81" t="n">
        <v>1423.44462923394</v>
      </c>
      <c r="R38" s="81" t="n">
        <v>1654.66807972536</v>
      </c>
      <c r="S38" s="81" t="n">
        <v>1898.36139769012</v>
      </c>
      <c r="T38" s="81" t="n">
        <v>2159.71724538134</v>
      </c>
      <c r="Z38" s="79" t="inlineStr">
        <is>
          <t>Net Debt</t>
        </is>
      </c>
      <c r="AA38" s="80" t="n">
        <v>985.2190000000001</v>
      </c>
      <c r="AB38" s="81" t="n">
        <v>869.075482878957</v>
      </c>
      <c r="AC38" s="81" t="n">
        <v>731.386478166567</v>
      </c>
      <c r="AD38" s="81" t="n">
        <v>761.469118026374</v>
      </c>
      <c r="AE38" s="81" t="n">
        <v>789.993298747666</v>
      </c>
      <c r="AF38" s="81" t="n">
        <v>819.220015631047</v>
      </c>
    </row>
    <row r="39" ht="15" customHeight="1" s="251">
      <c r="B39" s="83" t="inlineStr">
        <is>
          <t xml:space="preserve">   Net Debt / Adjusted EBITDA (x)</t>
        </is>
      </c>
      <c r="C39" s="102">
        <f>IFERROR(C38/C35,"")</f>
        <v>1.15747704945382</v>
      </c>
      <c r="D39" s="103">
        <f>IFERROR(D38/D35,"")</f>
        <v>0.938249932782168</v>
      </c>
      <c r="E39" s="103">
        <f>IFERROR(E38/E35,"")</f>
        <v>1</v>
      </c>
      <c r="F39" s="103">
        <f>IFERROR(F38/F35,"")</f>
        <v>1</v>
      </c>
      <c r="G39" s="103">
        <f>IFERROR(G38/G35,"")</f>
        <v>1</v>
      </c>
      <c r="H39" s="103">
        <f>IFERROR(H38/H35,"")</f>
        <v>1</v>
      </c>
      <c r="N39" s="83" t="inlineStr">
        <is>
          <t xml:space="preserve">   Net Debt / Adjusted EBITDA (x)</t>
        </is>
      </c>
      <c r="O39" s="102" t="n">
        <v>1.15747704945382</v>
      </c>
      <c r="P39" s="103" t="n">
        <v>0.940787518533089</v>
      </c>
      <c r="Q39" s="103" t="n">
        <v>1.25</v>
      </c>
      <c r="R39" s="103" t="n">
        <v>1.25</v>
      </c>
      <c r="S39" s="103" t="n">
        <v>1.25</v>
      </c>
      <c r="T39" s="103" t="n">
        <v>1.25</v>
      </c>
      <c r="Z39" s="83" t="inlineStr">
        <is>
          <t xml:space="preserve">   Net Debt / Adjusted EBITDA (x)</t>
        </is>
      </c>
      <c r="AA39" s="102" t="n">
        <v>1.15747704945382</v>
      </c>
      <c r="AB39" s="103" t="n">
        <v>0.928932683959207</v>
      </c>
      <c r="AC39" s="103" t="n">
        <v>0.75</v>
      </c>
      <c r="AD39" s="103" t="n">
        <v>0.75</v>
      </c>
      <c r="AE39" s="103" t="n">
        <v>0.75</v>
      </c>
      <c r="AF39" s="103" t="n">
        <v>0.75</v>
      </c>
    </row>
    <row r="40" ht="15" customHeight="1" s="251">
      <c r="B40" s="252" t="inlineStr">
        <is>
          <t xml:space="preserve">   Share repurchases ($m)</t>
        </is>
      </c>
      <c r="C40" s="102" t="n"/>
      <c r="D40" s="248">
        <f>Model!CA311</f>
        <v>130</v>
      </c>
      <c r="E40" s="248">
        <f>Model!CB311</f>
        <v>411.656137858025</v>
      </c>
      <c r="F40" s="248">
        <f>Model!CC311</f>
        <v>368.548861019296</v>
      </c>
      <c r="G40" s="248">
        <f>Model!CD311</f>
        <v>438.461599808954</v>
      </c>
      <c r="H40" s="248">
        <f>Model!CE311</f>
        <v>515.441364121626</v>
      </c>
      <c r="N40" s="252" t="inlineStr">
        <is>
          <t xml:space="preserve">   Share repurchases ($m)</t>
        </is>
      </c>
      <c r="O40" s="102" t="n"/>
      <c r="P40" s="248" t="n">
        <v>160</v>
      </c>
      <c r="Q40" s="248" t="n">
        <v>634.197725524842</v>
      </c>
      <c r="R40" s="248" t="n">
        <v>401.302065717512</v>
      </c>
      <c r="S40" s="248" t="n">
        <v>533.3387682360089</v>
      </c>
      <c r="T40" s="248" t="n">
        <v>680.63698749105</v>
      </c>
      <c r="Z40" s="83" t="n"/>
      <c r="AA40" s="102" t="n"/>
      <c r="AB40" s="103" t="n"/>
      <c r="AC40" s="103" t="n"/>
      <c r="AD40" s="103" t="n"/>
      <c r="AE40" s="103" t="n"/>
      <c r="AF40" s="103" t="n"/>
    </row>
    <row r="41" ht="15" customHeight="1" s="251">
      <c r="B41" s="252" t="inlineStr">
        <is>
          <t xml:space="preserve">   Implied avg buyback price ($)</t>
        </is>
      </c>
      <c r="C41" s="102" t="n"/>
      <c r="D41" s="249">
        <f>Model!CA310</f>
        <v>275.54</v>
      </c>
      <c r="E41" s="249">
        <f>Model!CB310</f>
        <v>294.8278</v>
      </c>
      <c r="F41" s="249">
        <f>Model!CC310</f>
        <v>315.465746</v>
      </c>
      <c r="G41" s="249">
        <f>Model!CD310</f>
        <v>337.54834822</v>
      </c>
      <c r="H41" s="249">
        <f>Model!CE310</f>
        <v>361.1767325954</v>
      </c>
      <c r="N41" s="252" t="inlineStr">
        <is>
          <t xml:space="preserve">   Implied avg buyback price ($)</t>
        </is>
      </c>
      <c r="O41" s="102" t="n"/>
      <c r="P41" s="249" t="n">
        <v>275.54</v>
      </c>
      <c r="Q41" s="249" t="n">
        <v>294.8278</v>
      </c>
      <c r="R41" s="249" t="n">
        <v>315.465746</v>
      </c>
      <c r="S41" s="249" t="n">
        <v>337.54834822</v>
      </c>
      <c r="T41" s="249" t="n">
        <v>361.1767325954</v>
      </c>
      <c r="Z41" s="83" t="n"/>
      <c r="AA41" s="102" t="n"/>
      <c r="AB41" s="103" t="n"/>
      <c r="AC41" s="103" t="n"/>
      <c r="AD41" s="103" t="n"/>
      <c r="AE41" s="103" t="n"/>
      <c r="AF41" s="103" t="n"/>
    </row>
    <row r="42" ht="15" customHeight="1" s="251">
      <c r="B42" s="252" t="inlineStr">
        <is>
          <t xml:space="preserve">   Shares repurchased (m)</t>
        </is>
      </c>
      <c r="C42" s="102" t="n"/>
      <c r="D42" s="250">
        <f>Model!CA312</f>
        <v>0.471800827466067</v>
      </c>
      <c r="E42" s="250">
        <f>Model!CB312</f>
        <v>1.39625957205537</v>
      </c>
      <c r="F42" s="250">
        <f>Model!CC312</f>
        <v>1.16826902981503</v>
      </c>
      <c r="G42" s="250">
        <f>Model!CD312</f>
        <v>1.2989593998048</v>
      </c>
      <c r="H42" s="250">
        <f>Model!CE312</f>
        <v>1.42711674812961</v>
      </c>
      <c r="N42" s="252" t="inlineStr">
        <is>
          <t xml:space="preserve">   Shares repurchased (m)</t>
        </is>
      </c>
      <c r="O42" s="102" t="n"/>
      <c r="P42" s="250" t="n">
        <v>0.580677941496697</v>
      </c>
      <c r="Q42" s="250" t="n">
        <v>2.15107844485778</v>
      </c>
      <c r="R42" s="250" t="n">
        <v>1.2720939461919</v>
      </c>
      <c r="S42" s="250" t="n">
        <v>1.5800366704458</v>
      </c>
      <c r="T42" s="250" t="n">
        <v>1.8844984354336</v>
      </c>
      <c r="Z42" s="83" t="n"/>
      <c r="AA42" s="102" t="n"/>
      <c r="AB42" s="103" t="n"/>
      <c r="AC42" s="103" t="n"/>
      <c r="AD42" s="103" t="n"/>
      <c r="AE42" s="103" t="n"/>
      <c r="AF42" s="103" t="n"/>
    </row>
    <row r="44" ht="15" customHeight="1" s="251">
      <c r="B44" s="79" t="inlineStr">
        <is>
          <t>ROIC</t>
        </is>
      </c>
      <c r="C44" s="86">
        <f>Model!BV401</f>
        <v>0.236256597327516</v>
      </c>
      <c r="D44" s="87">
        <f>Model!CA401</f>
        <v>0.256818843791376</v>
      </c>
      <c r="E44" s="87">
        <f>Model!CB401</f>
        <v>0.25438012230749</v>
      </c>
      <c r="F44" s="87">
        <f>Model!CC401</f>
        <v>0.251643604670977</v>
      </c>
      <c r="G44" s="87">
        <f>Model!CD401</f>
        <v>0.249690549677461</v>
      </c>
      <c r="H44" s="87">
        <f>Model!CE401</f>
        <v>0.249047728224401</v>
      </c>
      <c r="J44" s="90">
        <f>IFERROR(AVERAGE(Model!C401,Model!D401,Model!E401,Model!F401,Model!G401,Model!H401,Model!I401,Model!N401,Model!S401,Model!X401,Model!AC401,Model!AH401,Model!AM401,Model!AR401,Model!AW401,Model!BB401,Model!BG401,Model!BL401,Model!BQ401,Model!BV401),"")</f>
        <v>0.231798762410838</v>
      </c>
      <c r="K44" s="90">
        <f>IFERROR(MIN(Model!C401,Model!D401,Model!E401,Model!F401,Model!G401,Model!H401,Model!I401,Model!N401,Model!S401,Model!X401,Model!AC401,Model!AH401,Model!AM401,Model!AR401,Model!AW401,Model!BB401,Model!BG401,Model!BL401,Model!BQ401,Model!BV401),"")</f>
        <v>0.0835578131918339</v>
      </c>
      <c r="L44" s="90">
        <f>IFERROR(MAX(Model!C401,Model!D401,Model!E401,Model!F401,Model!G401,Model!H401,Model!I401,Model!N401,Model!S401,Model!X401,Model!AC401,Model!AH401,Model!AM401,Model!AR401,Model!AW401,Model!BB401,Model!BG401,Model!BL401,Model!BQ401,Model!BV401),"")</f>
        <v>0.290177612501857</v>
      </c>
      <c r="N44" s="79" t="inlineStr">
        <is>
          <t>ROIC</t>
        </is>
      </c>
      <c r="O44" s="86" t="n">
        <v>0.236256597327516</v>
      </c>
      <c r="P44" s="87" t="n">
        <v>0.263698130038095</v>
      </c>
      <c r="Q44" s="87" t="n">
        <v>0.257009270377413</v>
      </c>
      <c r="R44" s="87" t="n">
        <v>0.25492120231361</v>
      </c>
      <c r="S44" s="87" t="n">
        <v>0.254841559715375</v>
      </c>
      <c r="T44" s="87" t="n">
        <v>0.256804737341288</v>
      </c>
      <c r="V44" s="90" t="n">
        <v>0.231798762410838</v>
      </c>
      <c r="W44" s="90" t="n">
        <v>0.0835578131918339</v>
      </c>
      <c r="X44" s="90" t="n">
        <v>0.290177612501857</v>
      </c>
      <c r="Z44" s="79" t="inlineStr">
        <is>
          <t>ROIC</t>
        </is>
      </c>
      <c r="AA44" s="86" t="n">
        <v>0.236256597327516</v>
      </c>
      <c r="AB44" s="87" t="n">
        <v>0.251018590759142</v>
      </c>
      <c r="AC44" s="87" t="n">
        <v>0.252602960629392</v>
      </c>
      <c r="AD44" s="87" t="n">
        <v>0.24967940122809</v>
      </c>
      <c r="AE44" s="87" t="n">
        <v>0.246421066949332</v>
      </c>
      <c r="AF44" s="87" t="n">
        <v>0.243724684148428</v>
      </c>
      <c r="AH44" s="90" t="n">
        <v>0.231798762410838</v>
      </c>
      <c r="AI44" s="90" t="n">
        <v>0.0835578131918339</v>
      </c>
      <c r="AJ44" s="90" t="n">
        <v>0.290177612501857</v>
      </c>
    </row>
    <row r="45" ht="15" customHeight="1" s="251">
      <c r="B45" s="79" t="inlineStr">
        <is>
          <t>RONTA</t>
        </is>
      </c>
      <c r="C45" s="86">
        <f>Model!BV413</f>
        <v>0.279123484237007</v>
      </c>
      <c r="D45" s="87">
        <f>Model!CA413</f>
        <v>0.305938746381966</v>
      </c>
      <c r="E45" s="87">
        <f>Model!CB413</f>
        <v>0.309622734947468</v>
      </c>
      <c r="F45" s="87">
        <f>Model!CC413</f>
        <v>0.312844347428948</v>
      </c>
      <c r="G45" s="87">
        <f>Model!CD413</f>
        <v>0.315925082664126</v>
      </c>
      <c r="H45" s="87">
        <f>Model!CE413</f>
        <v>0.319829683789122</v>
      </c>
      <c r="J45" s="90">
        <f>IFERROR(AVERAGE(Model!C413,Model!D413,Model!E413,Model!F413,Model!G413,Model!H413,Model!I413,Model!N413,Model!S413,Model!X413,Model!AC413,Model!AH413,Model!AM413,Model!AR413,Model!AW413,Model!BB413,Model!BG413,Model!BL413,Model!BQ413,Model!BV413),"")</f>
        <v>0.199081037357183</v>
      </c>
      <c r="K45" s="90">
        <f>IFERROR(MIN(Model!C413,Model!D413,Model!E413,Model!F413,Model!G413,Model!H413,Model!I413,Model!N413,Model!S413,Model!X413,Model!AC413,Model!AH413,Model!AM413,Model!AR413,Model!AW413,Model!BB413,Model!BG413,Model!BL413,Model!BQ413,Model!BV413),"")</f>
        <v>0.04888906611743</v>
      </c>
      <c r="L45" s="90">
        <f>IFERROR(MAX(Model!C413,Model!D413,Model!E413,Model!F413,Model!G413,Model!H413,Model!I413,Model!N413,Model!S413,Model!X413,Model!AC413,Model!AH413,Model!AM413,Model!AR413,Model!AW413,Model!BB413,Model!BG413,Model!BL413,Model!BQ413,Model!BV413),"")</f>
        <v>0.300713296302629</v>
      </c>
      <c r="N45" s="79" t="inlineStr">
        <is>
          <t>RONTA</t>
        </is>
      </c>
      <c r="O45" s="86" t="n">
        <v>0.279123484237007</v>
      </c>
      <c r="P45" s="87" t="n">
        <v>0.314150554319059</v>
      </c>
      <c r="Q45" s="87" t="n">
        <v>0.316887735224445</v>
      </c>
      <c r="R45" s="87" t="n">
        <v>0.323630736565193</v>
      </c>
      <c r="S45" s="87" t="n">
        <v>0.330812710490932</v>
      </c>
      <c r="T45" s="87" t="n">
        <v>0.339226887631745</v>
      </c>
      <c r="V45" s="90" t="n">
        <v>0.199081037357183</v>
      </c>
      <c r="W45" s="90" t="n">
        <v>0.04888906611743</v>
      </c>
      <c r="X45" s="90" t="n">
        <v>0.300713296302629</v>
      </c>
      <c r="Z45" s="79" t="inlineStr">
        <is>
          <t>RONTA</t>
        </is>
      </c>
      <c r="AA45" s="86" t="n">
        <v>0.279123484237007</v>
      </c>
      <c r="AB45" s="87" t="n">
        <v>0.295621145770256</v>
      </c>
      <c r="AC45" s="87" t="n">
        <v>0.281312593183588</v>
      </c>
      <c r="AD45" s="87" t="n">
        <v>0.285028418911594</v>
      </c>
      <c r="AE45" s="87" t="n">
        <v>0.287664693561268</v>
      </c>
      <c r="AF45" s="87" t="n">
        <v>0.290575592364401</v>
      </c>
      <c r="AH45" s="90" t="n">
        <v>0.199081037357183</v>
      </c>
      <c r="AI45" s="90" t="n">
        <v>0.04888906611743</v>
      </c>
      <c r="AJ45" s="90" t="n">
        <v>0.300713296302629</v>
      </c>
    </row>
    <row r="47" ht="15" customHeight="1" s="251">
      <c r="B47" s="83" t="inlineStr">
        <is>
          <t>Implied Market Cap (USDm)</t>
        </is>
      </c>
      <c r="E47" s="104" t="n"/>
      <c r="F47" s="104">
        <f>F27*F21</f>
        <v>0</v>
      </c>
      <c r="G47" s="104">
        <f>G27*G21</f>
        <v>18126.7380875541</v>
      </c>
      <c r="H47" s="104">
        <f>H27*H21</f>
        <v>19764.5286476637</v>
      </c>
      <c r="N47" s="83" t="inlineStr">
        <is>
          <t>Implied Market Cap (USDm)</t>
        </is>
      </c>
      <c r="Q47" s="104" t="n"/>
      <c r="R47" s="104">
        <f>R27*R21</f>
        <v>0</v>
      </c>
      <c r="S47" s="104">
        <f>S27*S21</f>
        <v>24266.3191003582</v>
      </c>
      <c r="T47" s="104">
        <f>T27*T21</f>
        <v>27560.6688803307</v>
      </c>
      <c r="Z47" s="83" t="inlineStr">
        <is>
          <t>Implied Market Cap (USDm)</t>
        </is>
      </c>
      <c r="AC47" s="104" t="n"/>
      <c r="AD47" s="104">
        <f>AD27*AD21</f>
        <v>11874.6987864698</v>
      </c>
      <c r="AE47" s="104">
        <f>AE27*AE21</f>
        <v>12319.9036587225</v>
      </c>
      <c r="AF47" s="104">
        <f>AF27*AF21</f>
        <v>12776.3042987693</v>
      </c>
    </row>
    <row r="48" ht="15" customHeight="1" s="251">
      <c r="B48" s="83" t="inlineStr">
        <is>
          <t>(+) Net Debt &amp; NCI</t>
        </is>
      </c>
      <c r="E48" s="104" t="n"/>
      <c r="F48" s="104">
        <f>F38+Model!CC345</f>
        <v>1164.81096416513</v>
      </c>
      <c r="G48" s="104">
        <f>G38+Model!CD345</f>
        <v>1276.88077213992</v>
      </c>
      <c r="H48" s="104">
        <f>H38+Model!CE345</f>
        <v>1394.21304125132</v>
      </c>
      <c r="N48" s="83" t="inlineStr">
        <is>
          <t>(+) Net Debt &amp; NCI</t>
        </is>
      </c>
      <c r="Q48" s="104" t="n"/>
      <c r="R48" s="104">
        <f>R38+Model!CC345</f>
        <v>1654.66807972536</v>
      </c>
      <c r="S48" s="104">
        <f>S38+Model!CD345</f>
        <v>1898.36139769012</v>
      </c>
      <c r="T48" s="104">
        <f>T38+Model!CE345</f>
        <v>2159.71724538134</v>
      </c>
      <c r="Z48" s="83" t="inlineStr">
        <is>
          <t>(+) Net Debt &amp; NCI</t>
        </is>
      </c>
      <c r="AC48" s="104" t="n"/>
      <c r="AD48" s="104">
        <f>AD38+Model!CC345</f>
        <v>761.469118026374</v>
      </c>
      <c r="AE48" s="104">
        <f>AE38+Model!CD345</f>
        <v>789.993298747666</v>
      </c>
      <c r="AF48" s="104">
        <f>AF38+Model!CE345</f>
        <v>819.220015631047</v>
      </c>
    </row>
    <row r="49" ht="15" customHeight="1" s="251">
      <c r="B49" s="83" t="inlineStr">
        <is>
          <t>Implied Enterprise Value (USDm)</t>
        </is>
      </c>
      <c r="E49" s="104" t="n"/>
      <c r="F49" s="104">
        <f>F47+F48</f>
        <v>1164.81096416513</v>
      </c>
      <c r="G49" s="104">
        <f>G47+G48</f>
        <v>19403.618859694</v>
      </c>
      <c r="H49" s="104">
        <f>H47+H48</f>
        <v>21158.741688915</v>
      </c>
      <c r="N49" s="83" t="inlineStr">
        <is>
          <t>Implied Enterprise Value (USDm)</t>
        </is>
      </c>
      <c r="Q49" s="104" t="n"/>
      <c r="R49" s="104">
        <f>R47+R48</f>
        <v>1654.66807972536</v>
      </c>
      <c r="S49" s="104">
        <f>S47+S48</f>
        <v>26164.6804980484</v>
      </c>
      <c r="T49" s="104">
        <f>T47+T48</f>
        <v>29720.386125712</v>
      </c>
      <c r="Z49" s="83" t="inlineStr">
        <is>
          <t>Implied Enterprise Value (USDm)</t>
        </is>
      </c>
      <c r="AC49" s="104" t="n"/>
      <c r="AD49" s="104">
        <f>AD47+AD48</f>
        <v>12636.1679044961</v>
      </c>
      <c r="AE49" s="104">
        <f>AE47+AE48</f>
        <v>13109.8969574701</v>
      </c>
      <c r="AF49" s="104">
        <f>AF47+AF48</f>
        <v>13595.5243144003</v>
      </c>
    </row>
    <row r="50" ht="15" customHeight="1" s="251">
      <c r="B50" s="83" t="inlineStr">
        <is>
          <t>Implied EV / Adjusted EBITDA (x)</t>
        </is>
      </c>
      <c r="E50" s="105" t="n"/>
      <c r="F50" s="105">
        <f>IFERROR(F49/F35,"")</f>
        <v>1</v>
      </c>
      <c r="G50" s="105">
        <f>IFERROR(G49/G35,"")</f>
        <v>15.1961085819904</v>
      </c>
      <c r="H50" s="105">
        <f>IFERROR(H49/H35,"")</f>
        <v>15.1761180414184</v>
      </c>
      <c r="N50" s="83" t="inlineStr">
        <is>
          <t>Implied EV / Adjusted EBITDA (x)</t>
        </is>
      </c>
      <c r="Q50" s="105" t="n"/>
      <c r="R50" s="105">
        <f>IFERROR(R49/R35,"")</f>
        <v>1.25000000000001</v>
      </c>
      <c r="S50" s="105">
        <f>IFERROR(S49/S35,"")</f>
        <v>17.2284638016534</v>
      </c>
      <c r="T50" s="105">
        <f>IFERROR(T49/T35,"")</f>
        <v>17.2015492938199</v>
      </c>
      <c r="Z50" s="83" t="inlineStr">
        <is>
          <t>Implied EV / Adjusted EBITDA (x)</t>
        </is>
      </c>
      <c r="AC50" s="105" t="n"/>
      <c r="AD50" s="105">
        <f>IFERROR(AD49/AD35,"")</f>
        <v>12.4458440979662</v>
      </c>
      <c r="AE50" s="105">
        <f>IFERROR(AE49/AE35,"")</f>
        <v>12.4462102826561</v>
      </c>
      <c r="AF50" s="105">
        <f>IFERROR(AF49/AF35,"")</f>
        <v>12.4467701487319</v>
      </c>
    </row>
  </sheetData>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Q130"/>
  <sheetViews>
    <sheetView showGridLines="0" zoomScale="50" zoomScaleNormal="50" workbookViewId="0">
      <selection activeCell="D61" sqref="D61"/>
    </sheetView>
  </sheetViews>
  <sheetFormatPr baseColWidth="8" defaultColWidth="8.5703125" defaultRowHeight="15"/>
  <cols>
    <col width="3.42578125" customWidth="1" style="251" min="1" max="1"/>
    <col width="55.28515625" customWidth="1" style="251" min="2" max="2"/>
    <col width="12.5703125" customWidth="1" style="251" min="3" max="14"/>
    <col width="2.28515625" customWidth="1" style="251" min="15" max="15"/>
    <col width="14.85546875" customWidth="1" style="251" min="16" max="17"/>
  </cols>
  <sheetData>
    <row r="1">
      <c r="A1" s="192" t="n"/>
      <c r="B1" s="192" t="n"/>
      <c r="C1" s="192" t="n"/>
      <c r="D1" s="192" t="n"/>
      <c r="E1" s="192" t="n"/>
      <c r="F1" s="192" t="n"/>
      <c r="G1" s="192" t="n"/>
      <c r="H1" s="192" t="n"/>
      <c r="I1" s="192" t="n"/>
      <c r="J1" s="192" t="n"/>
      <c r="K1" s="192" t="n"/>
      <c r="L1" s="192" t="n"/>
      <c r="M1" s="192" t="n"/>
      <c r="N1" s="192" t="n"/>
      <c r="O1" s="192" t="n"/>
      <c r="P1" s="192" t="n"/>
      <c r="Q1" s="192" t="n"/>
    </row>
    <row r="2" ht="24" customHeight="1" s="251">
      <c r="A2" s="192" t="n"/>
      <c r="B2" s="193" t="inlineStr">
        <is>
          <t>DCF VALUATION — LINCOLN ELECTRIC HOLDINGS (LECO)</t>
        </is>
      </c>
      <c r="C2" s="194" t="n"/>
      <c r="D2" s="194" t="n"/>
      <c r="E2" s="194" t="n"/>
      <c r="F2" s="194" t="n"/>
      <c r="G2" s="194" t="n"/>
      <c r="H2" s="194" t="n"/>
      <c r="I2" s="194" t="n"/>
      <c r="J2" s="194" t="n"/>
      <c r="K2" s="194" t="n"/>
      <c r="L2" s="194" t="n"/>
      <c r="M2" s="194" t="n"/>
      <c r="N2" s="194" t="n"/>
      <c r="O2" s="192" t="n"/>
      <c r="P2" s="192" t="n"/>
      <c r="Q2" s="192" t="n"/>
    </row>
    <row r="3" ht="15" customHeight="1" s="251">
      <c r="A3" s="192" t="n"/>
      <c r="B3" s="192" t="n"/>
      <c r="C3" s="192" t="n"/>
      <c r="D3" s="192" t="n"/>
      <c r="E3" s="192" t="n"/>
      <c r="F3" s="192" t="n"/>
      <c r="G3" s="192" t="n"/>
      <c r="H3" s="192" t="n"/>
      <c r="I3" s="192" t="n"/>
      <c r="J3" s="192" t="n"/>
      <c r="K3" s="192" t="n"/>
      <c r="L3" s="192" t="n"/>
      <c r="M3" s="192" t="n"/>
      <c r="N3" s="192" t="n"/>
      <c r="O3" s="192" t="n"/>
      <c r="P3" s="192" t="n"/>
      <c r="Q3" s="192" t="n"/>
    </row>
    <row r="4" ht="15.75" customHeight="1" s="251">
      <c r="A4" s="192" t="n"/>
      <c r="B4" s="195" t="inlineStr">
        <is>
          <t>1. WACC BUILD</t>
        </is>
      </c>
      <c r="C4" s="196" t="n"/>
      <c r="D4" s="196" t="n"/>
      <c r="E4" s="196" t="n"/>
      <c r="F4" s="196" t="n"/>
      <c r="G4" s="196" t="n"/>
      <c r="H4" s="196" t="n"/>
      <c r="I4" s="196" t="n"/>
      <c r="J4" s="196" t="n"/>
      <c r="K4" s="196" t="n"/>
      <c r="L4" s="196" t="n"/>
      <c r="M4" s="196" t="n"/>
      <c r="N4" s="196" t="n"/>
      <c r="O4" s="192" t="n"/>
      <c r="P4" s="192" t="n"/>
      <c r="Q4" s="192" t="n"/>
    </row>
    <row r="5" ht="15.75" customHeight="1" s="251">
      <c r="A5" s="192" t="n"/>
      <c r="B5" s="197" t="inlineStr">
        <is>
          <t>Risk-free rate (US 10Y govt)</t>
        </is>
      </c>
      <c r="C5" s="169" t="n">
        <v>0.055</v>
      </c>
      <c r="D5" s="198" t="inlineStr">
        <is>
          <t>Assumption (~US 10Y Treasury yield); update to market</t>
        </is>
      </c>
      <c r="E5" s="192" t="n"/>
      <c r="F5" s="192" t="n"/>
      <c r="G5" s="192" t="n"/>
      <c r="H5" s="192" t="n"/>
      <c r="I5" s="192" t="n"/>
      <c r="J5" s="192" t="n"/>
      <c r="K5" s="192" t="n"/>
      <c r="L5" s="192" t="n"/>
      <c r="M5" s="192" t="n"/>
      <c r="N5" s="192" t="n"/>
      <c r="O5" s="192" t="n"/>
      <c r="P5" s="192" t="n"/>
      <c r="Q5" s="192" t="n"/>
    </row>
    <row r="6" ht="15.75" customHeight="1" s="251">
      <c r="A6" s="192" t="n"/>
      <c r="B6" s="197" t="inlineStr">
        <is>
          <t>Equity risk premium</t>
        </is>
      </c>
      <c r="C6" s="169" t="n">
        <v>0.05</v>
      </c>
      <c r="D6" s="198" t="inlineStr">
        <is>
          <t>US implied ERP ~4.5–5.5% (Damodaran)</t>
        </is>
      </c>
      <c r="E6" s="192" t="n"/>
      <c r="F6" s="192" t="n"/>
      <c r="G6" s="192" t="n"/>
      <c r="H6" s="192" t="n"/>
      <c r="I6" s="192" t="n"/>
      <c r="J6" s="192" t="n"/>
      <c r="K6" s="192" t="n"/>
      <c r="L6" s="192" t="n"/>
      <c r="M6" s="192" t="n"/>
      <c r="N6" s="192" t="n"/>
      <c r="O6" s="192" t="n"/>
      <c r="P6" s="192" t="n"/>
      <c r="Q6" s="192" t="n"/>
    </row>
    <row r="7" ht="15.75" customHeight="1" s="251">
      <c r="A7" s="192" t="n"/>
      <c r="B7" s="197" t="inlineStr">
        <is>
          <t>Levered beta</t>
        </is>
      </c>
      <c r="C7" s="170" t="n">
        <v>1.1</v>
      </c>
      <c r="D7" s="198" t="inlineStr">
        <is>
          <t>Diversified industrials / welding peers (ESAB, ITW, Kennametal, Snap-on) ~1.0–1.2; short-cycle industrial capex exposure, partly offset by consumables (~2/3 of welding sales) and automation growth</t>
        </is>
      </c>
      <c r="E7" s="192" t="n"/>
      <c r="F7" s="192" t="n"/>
      <c r="G7" s="192" t="n"/>
      <c r="H7" s="192" t="n"/>
      <c r="I7" s="192" t="n"/>
      <c r="J7" s="192" t="n"/>
      <c r="K7" s="192" t="n"/>
      <c r="L7" s="192" t="n"/>
      <c r="M7" s="192" t="n"/>
      <c r="N7" s="192" t="n"/>
      <c r="O7" s="192" t="n"/>
      <c r="P7" s="192" t="n"/>
      <c r="Q7" s="192" t="n"/>
    </row>
    <row r="8" ht="15.75" customHeight="1" s="251">
      <c r="A8" s="192" t="n"/>
      <c r="B8" s="197" t="inlineStr">
        <is>
          <t>Cost of equity</t>
        </is>
      </c>
      <c r="C8" s="171">
        <f>C5+C7*C6</f>
        <v>0.11</v>
      </c>
      <c r="D8" s="198" t="n"/>
      <c r="E8" s="192" t="n"/>
      <c r="F8" s="192" t="n"/>
      <c r="G8" s="192" t="n"/>
      <c r="H8" s="192" t="n"/>
      <c r="I8" s="192" t="n"/>
      <c r="J8" s="192" t="n"/>
      <c r="K8" s="192" t="n"/>
      <c r="L8" s="192" t="n"/>
      <c r="M8" s="192" t="n"/>
      <c r="N8" s="192" t="n"/>
      <c r="O8" s="192" t="n"/>
      <c r="P8" s="192" t="n"/>
      <c r="Q8" s="192" t="n"/>
    </row>
    <row r="9" ht="15.75" customHeight="1" s="251">
      <c r="A9" s="192" t="n"/>
      <c r="B9" s="197" t="inlineStr">
        <is>
          <t>Pre-tax cost of debt</t>
        </is>
      </c>
      <c r="C9" s="169" t="n">
        <v>0.055</v>
      </c>
      <c r="D9" s="198" t="inlineStr">
        <is>
          <t>Investment-grade private-placement notes (2024 Notes priced at 5.55%–5.74%); marginal cost ~5.5%</t>
        </is>
      </c>
      <c r="E9" s="192" t="n"/>
      <c r="F9" s="192" t="n"/>
      <c r="G9" s="192" t="n"/>
      <c r="H9" s="192" t="n"/>
      <c r="I9" s="192" t="n"/>
      <c r="J9" s="192" t="n"/>
      <c r="K9" s="192" t="n"/>
      <c r="L9" s="192" t="n"/>
      <c r="M9" s="192" t="n"/>
      <c r="N9" s="192" t="n"/>
      <c r="O9" s="192" t="n"/>
      <c r="P9" s="192" t="n"/>
      <c r="Q9" s="192" t="n"/>
    </row>
    <row r="10" ht="15.75" customHeight="1" s="251">
      <c r="A10" s="192" t="n"/>
      <c r="B10" s="197" t="inlineStr">
        <is>
          <t>Tax rate</t>
        </is>
      </c>
      <c r="C10" s="169" t="n">
        <v>0.235</v>
      </c>
      <c r="D10" s="198" t="inlineStr">
        <is>
          <t>Model 2027E+ effective tax rate</t>
        </is>
      </c>
      <c r="E10" s="192" t="n"/>
      <c r="F10" s="192" t="n"/>
      <c r="G10" s="192" t="n"/>
      <c r="H10" s="192" t="n"/>
      <c r="I10" s="192" t="n"/>
      <c r="J10" s="192" t="n"/>
      <c r="K10" s="192" t="n"/>
      <c r="L10" s="192" t="n"/>
      <c r="M10" s="192" t="n"/>
      <c r="N10" s="192" t="n"/>
      <c r="O10" s="192" t="n"/>
      <c r="P10" s="192" t="n"/>
      <c r="Q10" s="192" t="n"/>
    </row>
    <row r="11" ht="15.75" customHeight="1" s="251">
      <c r="A11" s="192" t="n"/>
      <c r="B11" s="197" t="inlineStr">
        <is>
          <t>After-tax cost of debt</t>
        </is>
      </c>
      <c r="C11" s="171">
        <f>C9*(1-C10)</f>
        <v>0.042075</v>
      </c>
      <c r="D11" s="198" t="n"/>
      <c r="E11" s="192" t="n"/>
      <c r="F11" s="192" t="n"/>
      <c r="G11" s="192" t="n"/>
      <c r="H11" s="192" t="n"/>
      <c r="I11" s="192" t="n"/>
      <c r="J11" s="192" t="n"/>
      <c r="K11" s="192" t="n"/>
      <c r="L11" s="192" t="n"/>
      <c r="M11" s="192" t="n"/>
      <c r="N11" s="192" t="n"/>
      <c r="O11" s="192" t="n"/>
      <c r="P11" s="192" t="n"/>
      <c r="Q11" s="192" t="n"/>
    </row>
    <row r="12" ht="15.75" customHeight="1" s="251">
      <c r="A12" s="192" t="n"/>
      <c r="B12" s="197" t="inlineStr">
        <is>
          <t>Target D/V</t>
        </is>
      </c>
      <c r="C12" s="169" t="n">
        <v>0.08</v>
      </c>
      <c r="D12" s="198" t="inlineStr">
        <is>
          <t>Net debt ~$0.9bn at YE2026E vs ~$15bn market cap ($275.54 × ~54m shares); LECO runs ~0.5–1.0x net leverage</t>
        </is>
      </c>
      <c r="E12" s="192" t="n"/>
      <c r="F12" s="192" t="n"/>
      <c r="G12" s="192" t="n"/>
      <c r="H12" s="192" t="n"/>
      <c r="I12" s="192" t="n"/>
      <c r="J12" s="192" t="n"/>
      <c r="K12" s="192" t="n"/>
      <c r="L12" s="192" t="n"/>
      <c r="M12" s="192" t="n"/>
      <c r="N12" s="192" t="n"/>
      <c r="O12" s="192" t="n"/>
      <c r="P12" s="192" t="n"/>
      <c r="Q12" s="192" t="n"/>
    </row>
    <row r="13" ht="15.75" customHeight="1" s="251">
      <c r="A13" s="192" t="n"/>
      <c r="B13" s="199" t="inlineStr">
        <is>
          <t>WACC</t>
        </is>
      </c>
      <c r="C13" s="216">
        <f>C8*(1-C12)+C11*C12</f>
        <v>0.104566</v>
      </c>
      <c r="D13" s="198" t="n"/>
      <c r="E13" s="192" t="n"/>
      <c r="F13" s="192" t="n"/>
      <c r="G13" s="192" t="n"/>
      <c r="H13" s="192" t="n"/>
      <c r="I13" s="192" t="n"/>
      <c r="J13" s="192" t="n"/>
      <c r="K13" s="192" t="n"/>
      <c r="L13" s="192" t="n"/>
      <c r="M13" s="192" t="n"/>
      <c r="N13" s="192" t="n"/>
      <c r="O13" s="192" t="n"/>
      <c r="P13" s="192" t="n"/>
      <c r="Q13" s="192" t="n"/>
    </row>
    <row r="14" ht="15" customHeight="1" s="251">
      <c r="A14" s="192" t="n"/>
      <c r="B14" s="192" t="n"/>
      <c r="C14" s="192" t="n"/>
      <c r="D14" s="198" t="n"/>
      <c r="E14" s="192" t="n"/>
      <c r="F14" s="192" t="n"/>
      <c r="G14" s="192" t="n"/>
      <c r="H14" s="192" t="n"/>
      <c r="I14" s="192" t="n"/>
      <c r="J14" s="192" t="n"/>
      <c r="K14" s="192" t="n"/>
      <c r="L14" s="192" t="n"/>
      <c r="M14" s="192" t="n"/>
      <c r="N14" s="192" t="n"/>
      <c r="O14" s="192" t="n"/>
      <c r="P14" s="192" t="n"/>
      <c r="Q14" s="192" t="n"/>
    </row>
    <row r="15" ht="15.75" customHeight="1" s="251">
      <c r="A15" s="192" t="n"/>
      <c r="B15" s="197" t="inlineStr">
        <is>
          <t>Valuation date (live)</t>
        </is>
      </c>
      <c r="C15" s="172" t="str">
        <f>TODAY()</f>
        <v>2026-10-07 00:00:00</v>
      </c>
      <c r="D15" s="198" t="inlineStr">
        <is>
          <t>Periods = (Dec-31-Year − today) / 365.25; cash flows assumed at year-end</t>
        </is>
      </c>
      <c r="E15" s="192" t="n"/>
      <c r="F15" s="192" t="n"/>
      <c r="G15" s="192" t="n"/>
      <c r="H15" s="192" t="n"/>
      <c r="I15" s="192" t="n"/>
      <c r="J15" s="192" t="n"/>
      <c r="K15" s="192" t="n"/>
      <c r="L15" s="192" t="n"/>
      <c r="M15" s="192" t="n"/>
      <c r="N15" s="192" t="n"/>
      <c r="O15" s="192" t="n"/>
      <c r="P15" s="192" t="n"/>
      <c r="Q15" s="192" t="n"/>
    </row>
    <row r="16" ht="15.75" customHeight="1" s="251">
      <c r="A16" s="192" t="n"/>
      <c r="B16" s="195" t="inlineStr">
        <is>
          <t>2. UNLEVERED FREE CASH FLOW BUILD (USDm)</t>
        </is>
      </c>
      <c r="C16" s="196" t="n"/>
      <c r="D16" s="196" t="n"/>
      <c r="E16" s="196" t="n"/>
      <c r="F16" s="196" t="n"/>
      <c r="G16" s="196" t="n"/>
      <c r="H16" s="196" t="n"/>
      <c r="I16" s="196" t="n"/>
      <c r="J16" s="196" t="n"/>
      <c r="K16" s="196" t="n"/>
      <c r="L16" s="196" t="n"/>
      <c r="M16" s="196" t="n"/>
      <c r="N16" s="196" t="n"/>
      <c r="O16" s="192" t="n"/>
      <c r="P16" s="201" t="n"/>
      <c r="Q16" s="201" t="n"/>
    </row>
    <row r="17" ht="15.75" customHeight="1" s="251">
      <c r="A17" s="192" t="n"/>
      <c r="B17" s="194" t="n"/>
      <c r="C17" s="194" t="n"/>
      <c r="D17" s="203" t="inlineStr">
        <is>
          <t>2026E</t>
        </is>
      </c>
      <c r="E17" s="203" t="inlineStr">
        <is>
          <t>2027E</t>
        </is>
      </c>
      <c r="F17" s="203" t="inlineStr">
        <is>
          <t>2028E</t>
        </is>
      </c>
      <c r="G17" s="203" t="inlineStr">
        <is>
          <t>2029E</t>
        </is>
      </c>
      <c r="H17" s="203" t="inlineStr">
        <is>
          <t>2030E</t>
        </is>
      </c>
      <c r="I17" s="203" t="inlineStr">
        <is>
          <t>2031E</t>
        </is>
      </c>
      <c r="J17" s="203" t="inlineStr">
        <is>
          <t>2032E</t>
        </is>
      </c>
      <c r="K17" s="203" t="inlineStr">
        <is>
          <t>2033E</t>
        </is>
      </c>
      <c r="L17" s="203" t="inlineStr">
        <is>
          <t>2034E</t>
        </is>
      </c>
      <c r="M17" s="203" t="inlineStr">
        <is>
          <t>2035E</t>
        </is>
      </c>
      <c r="N17" s="203" t="inlineStr">
        <is>
          <t>Terminal</t>
        </is>
      </c>
      <c r="O17" s="192" t="n"/>
      <c r="P17" s="204" t="inlineStr">
        <is>
          <t>CAGR 26–30E</t>
        </is>
      </c>
      <c r="Q17" s="204" t="inlineStr">
        <is>
          <t>CAGR 26–35E</t>
        </is>
      </c>
    </row>
    <row r="18" ht="15.75" customHeight="1" s="251">
      <c r="A18" s="192" t="n"/>
      <c r="B18" s="197" t="inlineStr">
        <is>
          <t>Adj. EBIT less rationalization &amp; transaction costs (cash special items)</t>
        </is>
      </c>
      <c r="C18" s="192" t="n"/>
      <c r="D18" s="173">
        <f>Model!CA222-Model!CA214-Model!CA215</f>
        <v>839.23883625</v>
      </c>
      <c r="E18" s="173">
        <f>Model!CB222-Model!CB214-Model!CB215</f>
        <v>922.659026734974</v>
      </c>
      <c r="F18" s="173">
        <f>Model!CC222-Model!CC214-Model!CC215</f>
        <v>1019.4539418654</v>
      </c>
      <c r="G18" s="173">
        <f>Model!CD222-Model!CD214-Model!CD215</f>
        <v>1117.71475127148</v>
      </c>
      <c r="H18" s="173">
        <f>Model!CE222-Model!CE214-Model!CE215</f>
        <v>1220.63200044084</v>
      </c>
      <c r="I18" s="174">
        <f>H18*(1+I$26)</f>
        <v>1293.8699204673</v>
      </c>
      <c r="J18" s="174">
        <f>I18*(1+J$26)</f>
        <v>1366.65010349358</v>
      </c>
      <c r="K18" s="174">
        <f>J18*(1+K$26)</f>
        <v>1438.39923392699</v>
      </c>
      <c r="L18" s="174">
        <f>K18*(1+L$26)</f>
        <v>1508.52119658093</v>
      </c>
      <c r="M18" s="174">
        <f>L18*(1+M$26)</f>
        <v>1576.40465042708</v>
      </c>
      <c r="N18" s="192" t="n"/>
      <c r="O18" s="192" t="n"/>
      <c r="P18" s="176">
        <f>(H18/D18)^(1/(COLUMNS(D18:H18)-1))-1</f>
        <v>0.0981831975520981</v>
      </c>
      <c r="Q18" s="176">
        <f>(M18/D18)^(1/(COLUMNS(D18:M18)-1))-1</f>
        <v>0.0725566432296632</v>
      </c>
    </row>
    <row r="19" ht="15.75" customHeight="1" s="251">
      <c r="A19" s="192" t="n"/>
      <c r="B19" s="197" t="inlineStr">
        <is>
          <t>× (1 − tax rate)</t>
        </is>
      </c>
      <c r="C19" s="192" t="n"/>
      <c r="D19" s="177">
        <f>1-$C$10</f>
        <v>0.765</v>
      </c>
      <c r="E19" s="177">
        <f>1-$C$10</f>
        <v>0.765</v>
      </c>
      <c r="F19" s="177">
        <f>1-$C$10</f>
        <v>0.765</v>
      </c>
      <c r="G19" s="177">
        <f>1-$C$10</f>
        <v>0.765</v>
      </c>
      <c r="H19" s="177">
        <f>1-$C$10</f>
        <v>0.765</v>
      </c>
      <c r="I19" s="177">
        <f>1-$C$10</f>
        <v>0.765</v>
      </c>
      <c r="J19" s="177">
        <f>1-$C$10</f>
        <v>0.765</v>
      </c>
      <c r="K19" s="177">
        <f>1-$C$10</f>
        <v>0.765</v>
      </c>
      <c r="L19" s="177">
        <f>1-$C$10</f>
        <v>0.765</v>
      </c>
      <c r="M19" s="177">
        <f>1-$C$10</f>
        <v>0.765</v>
      </c>
      <c r="N19" s="192" t="n"/>
      <c r="O19" s="192" t="n"/>
      <c r="P19" s="176" t="n"/>
      <c r="Q19" s="176" t="n"/>
    </row>
    <row r="20" ht="15.75" customHeight="1" s="251">
      <c r="A20" s="192" t="n"/>
      <c r="B20" s="199" t="inlineStr">
        <is>
          <t>NOPAT</t>
        </is>
      </c>
      <c r="C20" s="192" t="n"/>
      <c r="D20" s="174">
        <f>D18*D19</f>
        <v>642.01770973125</v>
      </c>
      <c r="E20" s="174">
        <f>E18*E19</f>
        <v>705.834155452256</v>
      </c>
      <c r="F20" s="174">
        <f>F18*F19</f>
        <v>779.882265527033</v>
      </c>
      <c r="G20" s="174">
        <f>G18*G19</f>
        <v>855.051784722683</v>
      </c>
      <c r="H20" s="174">
        <f>H18*H19</f>
        <v>933.783480337246</v>
      </c>
      <c r="I20" s="174">
        <f>I18*I19</f>
        <v>989.810489157481</v>
      </c>
      <c r="J20" s="174">
        <f>J18*J19</f>
        <v>1045.48732917259</v>
      </c>
      <c r="K20" s="174">
        <f>K18*K19</f>
        <v>1100.37541395415</v>
      </c>
      <c r="L20" s="174">
        <f>L18*L19</f>
        <v>1154.01871538442</v>
      </c>
      <c r="M20" s="174">
        <f>M18*M19</f>
        <v>1205.94955757671</v>
      </c>
      <c r="N20" s="192" t="n"/>
      <c r="O20" s="192" t="n"/>
      <c r="P20" s="176" t="n"/>
      <c r="Q20" s="176" t="n"/>
    </row>
    <row r="21" ht="15.75" customHeight="1" s="251">
      <c r="A21" s="192" t="n"/>
      <c r="B21" s="197" t="inlineStr">
        <is>
          <t>plus D&amp;A</t>
        </is>
      </c>
      <c r="C21" s="192" t="n"/>
      <c r="D21" s="173">
        <f>Model!CA148</f>
        <v>103.956</v>
      </c>
      <c r="E21" s="173">
        <f>Model!CB148</f>
        <v>115.035350607264</v>
      </c>
      <c r="F21" s="173">
        <f>Model!CC148</f>
        <v>127.857022299732</v>
      </c>
      <c r="G21" s="173">
        <f>Model!CD148</f>
        <v>141.666020868437</v>
      </c>
      <c r="H21" s="173">
        <f>Model!CE148</f>
        <v>156.081040810477</v>
      </c>
      <c r="I21" s="174">
        <f>H21*(1+I$26)</f>
        <v>165.445903259106</v>
      </c>
      <c r="J21" s="174">
        <f>I21*(1+J$26)</f>
        <v>174.752235317431</v>
      </c>
      <c r="K21" s="174">
        <f>J21*(1+K$26)</f>
        <v>183.926727671596</v>
      </c>
      <c r="L21" s="174">
        <f>K21*(1+L$26)</f>
        <v>192.893155645586</v>
      </c>
      <c r="M21" s="174">
        <f>L21*(1+M$26)</f>
        <v>201.573347649638</v>
      </c>
      <c r="N21" s="192" t="n"/>
      <c r="O21" s="192" t="n"/>
      <c r="P21" s="176" t="n"/>
      <c r="Q21" s="176" t="n"/>
    </row>
    <row r="22" ht="15.75" customHeight="1" s="251">
      <c r="A22" s="192" t="n"/>
      <c r="B22" s="197" t="inlineStr">
        <is>
          <t>− Capex and acquisitions (M&amp;A 2027E–30E)</t>
        </is>
      </c>
      <c r="C22" s="192" t="n"/>
      <c r="D22" s="173">
        <f>Model!CA278</f>
        <v>-120</v>
      </c>
      <c r="E22" s="173">
        <f>Model!CB278+Model!CB279</f>
        <v>-335.792420728717</v>
      </c>
      <c r="F22" s="173">
        <f>Model!CC278+Model!CC279</f>
        <v>-395.935926759678</v>
      </c>
      <c r="G22" s="173">
        <f>Model!CD278+Model!CD279</f>
        <v>-406.469525042124</v>
      </c>
      <c r="H22" s="173">
        <f>Model!CE278+Model!CE279</f>
        <v>-417.488860972573</v>
      </c>
      <c r="I22" s="174">
        <f>Model!CE278*(1+I$26)</f>
        <v>-177.538192630927</v>
      </c>
      <c r="J22" s="174">
        <f>I22*(1+J$26)</f>
        <v>-187.524715966417</v>
      </c>
      <c r="K22" s="174">
        <f>J22*(1+K$26)</f>
        <v>-197.369763554654</v>
      </c>
      <c r="L22" s="174">
        <f>K22*(1+L$26)</f>
        <v>-206.991539527943</v>
      </c>
      <c r="M22" s="174">
        <f>L22*(1+M$26)</f>
        <v>-216.306158806701</v>
      </c>
      <c r="N22" s="192" t="n"/>
      <c r="O22" s="192" t="n"/>
      <c r="P22" s="176" t="n"/>
      <c r="Q22" s="176" t="n"/>
    </row>
    <row r="23" ht="15.75" customHeight="1" s="251">
      <c r="A23" s="192" t="n"/>
      <c r="B23" s="197" t="inlineStr">
        <is>
          <t>− Δ Working capital (CF statement)</t>
        </is>
      </c>
      <c r="C23" s="192" t="n"/>
      <c r="D23" s="173">
        <f>Model!CA276</f>
        <v>-122.759919896097</v>
      </c>
      <c r="E23" s="173">
        <f>Model!CB276</f>
        <v>-45.3264201958072</v>
      </c>
      <c r="F23" s="173">
        <f>Model!CC276</f>
        <v>-58.4288513077035</v>
      </c>
      <c r="G23" s="173">
        <f>Model!CD276</f>
        <v>-60.9046187244547</v>
      </c>
      <c r="H23" s="173">
        <f>Model!CE276</f>
        <v>-63.7004201185742</v>
      </c>
      <c r="I23" s="174">
        <f>H23*(1+I$26)</f>
        <v>-67.5224453256887</v>
      </c>
      <c r="J23" s="174">
        <f>I23*(1+J$26)</f>
        <v>-71.3205828752587</v>
      </c>
      <c r="K23" s="174">
        <f>J23*(1+K$26)</f>
        <v>-75.0649134762098</v>
      </c>
      <c r="L23" s="174">
        <f>K23*(1+L$26)</f>
        <v>-78.724328008175</v>
      </c>
      <c r="M23" s="174">
        <f>L23*(1+M$26)</f>
        <v>-82.2669227685429</v>
      </c>
      <c r="N23" s="192" t="n"/>
      <c r="O23" s="192" t="n"/>
      <c r="P23" s="176" t="n"/>
      <c r="Q23" s="176" t="n"/>
    </row>
    <row r="24" ht="15.75" customHeight="1" s="251">
      <c r="A24" s="192" t="n"/>
      <c r="B24" s="217" t="inlineStr">
        <is>
          <t>Unlevered FCF</t>
        </is>
      </c>
      <c r="C24" s="218" t="n"/>
      <c r="D24" s="219">
        <f>D20+D21+D22+D23</f>
        <v>503.213789835153</v>
      </c>
      <c r="E24" s="219">
        <f>E20+E21+E22+E23</f>
        <v>439.750665134995</v>
      </c>
      <c r="F24" s="219">
        <f>F20+F21+F22+F23</f>
        <v>453.374509759383</v>
      </c>
      <c r="G24" s="219">
        <f>G20+G21+G22+G23</f>
        <v>529.343661824541</v>
      </c>
      <c r="H24" s="219">
        <f>H20+H21+H22+H23</f>
        <v>608.675240056577</v>
      </c>
      <c r="I24" s="219">
        <f>I20+I21+I22+I23</f>
        <v>910.195754459971</v>
      </c>
      <c r="J24" s="219">
        <f>J20+J21+J22+J23</f>
        <v>961.394265648345</v>
      </c>
      <c r="K24" s="219">
        <f>K20+K21+K22+K23</f>
        <v>1011.86746459488</v>
      </c>
      <c r="L24" s="219">
        <f>L20+L21+L22+L23</f>
        <v>1061.19600349388</v>
      </c>
      <c r="M24" s="219">
        <f>M20+M21+M22+M23</f>
        <v>1108.94982365111</v>
      </c>
      <c r="N24" s="219">
        <f>M24*(1+$C$27)</f>
        <v>1147.7630674789</v>
      </c>
      <c r="O24" s="192" t="n"/>
      <c r="P24" s="181">
        <f>(H24/D24)^(1/(COLUMNS(D24:H24)-1))-1</f>
        <v>0.0487169212221295</v>
      </c>
      <c r="Q24" s="181">
        <f>(M24/D24)^(1/(COLUMNS(D24:M24)-1))-1</f>
        <v>0.0917641215018303</v>
      </c>
    </row>
    <row r="25" ht="15.75" customHeight="1" s="251">
      <c r="A25" s="192" t="n"/>
      <c r="B25" s="199" t="inlineStr">
        <is>
          <t>Terminal Value (Gordon Growth)</t>
        </is>
      </c>
      <c r="C25" s="192" t="n"/>
      <c r="D25" s="192" t="n"/>
      <c r="E25" s="192" t="n"/>
      <c r="F25" s="192" t="n"/>
      <c r="G25" s="192" t="n"/>
      <c r="H25" s="192" t="n"/>
      <c r="I25" s="192" t="n"/>
      <c r="J25" s="192" t="n"/>
      <c r="K25" s="192" t="n"/>
      <c r="L25" s="192" t="n"/>
      <c r="M25" s="192" t="n"/>
      <c r="N25" s="179">
        <f>N24/($C$13-$C$27)</f>
        <v>16498.9084822887</v>
      </c>
      <c r="O25" s="192" t="n"/>
      <c r="P25" s="192" t="n"/>
      <c r="Q25" s="192" t="n"/>
    </row>
    <row r="26" ht="15.75" customHeight="1" s="251">
      <c r="A26" s="192" t="n"/>
      <c r="B26" s="197" t="inlineStr">
        <is>
          <t>Fade-period growth (2031E–35E; 6% → 4.5% linear)</t>
        </is>
      </c>
      <c r="C26" s="192" t="n"/>
      <c r="D26" s="192" t="n"/>
      <c r="E26" s="192" t="n"/>
      <c r="F26" s="192" t="n"/>
      <c r="G26" s="192" t="n"/>
      <c r="H26" s="192" t="n"/>
      <c r="I26" s="182" t="n">
        <v>0.06</v>
      </c>
      <c r="J26" s="183">
        <f>I26+($M$26-$I$26)/4</f>
        <v>0.05625</v>
      </c>
      <c r="K26" s="183">
        <f>J26+($M$26-$I$26)/4</f>
        <v>0.0525</v>
      </c>
      <c r="L26" s="183">
        <f>K26+($M$26-$I$26)/4</f>
        <v>0.04875</v>
      </c>
      <c r="M26" s="182" t="n">
        <v>0.045</v>
      </c>
      <c r="N26" s="192" t="n"/>
      <c r="O26" s="192" t="n"/>
      <c r="P26" s="192" t="n"/>
      <c r="Q26" s="192" t="n"/>
    </row>
    <row r="27" ht="15.75" customHeight="1" s="251">
      <c r="A27" s="192" t="n"/>
      <c r="B27" s="197" t="inlineStr">
        <is>
          <t>Terminal growth rate</t>
        </is>
      </c>
      <c r="C27" s="184" t="n">
        <v>0.035</v>
      </c>
      <c r="D27" s="192" t="n"/>
      <c r="E27" s="192" t="n"/>
      <c r="F27" s="192" t="n"/>
      <c r="G27" s="192" t="n"/>
      <c r="H27" s="192" t="n"/>
      <c r="I27" s="192" t="n"/>
      <c r="J27" s="192" t="n"/>
      <c r="K27" s="192" t="n"/>
      <c r="L27" s="192" t="n"/>
      <c r="M27" s="192" t="n"/>
      <c r="N27" s="192" t="n"/>
      <c r="O27" s="192" t="n"/>
      <c r="P27" s="192" t="n"/>
      <c r="Q27" s="192" t="n"/>
    </row>
    <row r="28" ht="15" customHeight="1" s="251">
      <c r="A28" s="192" t="n"/>
      <c r="B28" s="192" t="n"/>
      <c r="C28" s="192" t="n"/>
      <c r="D28" s="192" t="n"/>
      <c r="E28" s="192" t="n"/>
      <c r="F28" s="192" t="n"/>
      <c r="G28" s="192" t="n"/>
      <c r="H28" s="192" t="n"/>
      <c r="I28" s="192" t="n"/>
      <c r="J28" s="192" t="n"/>
      <c r="K28" s="192" t="n"/>
      <c r="L28" s="192" t="n"/>
      <c r="M28" s="192" t="n"/>
      <c r="N28" s="192" t="n"/>
      <c r="O28" s="192" t="n"/>
      <c r="P28" s="192" t="n"/>
      <c r="Q28" s="192" t="n"/>
    </row>
    <row r="29" ht="15.75" customHeight="1" s="251">
      <c r="A29" s="192" t="n"/>
      <c r="B29" s="197" t="inlineStr">
        <is>
          <t>Discount period (years)</t>
        </is>
      </c>
      <c r="C29" s="192" t="n"/>
      <c r="D29" s="177">
        <f>(DATE(2026,12,31)-$C$15)/365.25</f>
        <v>0.232717316906229</v>
      </c>
      <c r="E29" s="177">
        <f>(DATE(2027,12,31)-$C$15)/365.25</f>
        <v>1.23203285420945</v>
      </c>
      <c r="F29" s="177">
        <f>(DATE(2028,12,31)-$C$15)/365.25</f>
        <v>2.23408624229979</v>
      </c>
      <c r="G29" s="177">
        <f>(DATE(2029,12,31)-$C$15)/365.25</f>
        <v>3.23340177960301</v>
      </c>
      <c r="H29" s="177">
        <f>(DATE(2030,12,31)-$C$15)/365.25</f>
        <v>4.23271731690623</v>
      </c>
      <c r="I29" s="177">
        <f>(DATE(2031,12,31)-$C$15)/365.25</f>
        <v>5.23203285420945</v>
      </c>
      <c r="J29" s="177">
        <f>(DATE(2032,12,31)-$C$15)/365.25</f>
        <v>6.2340862422998</v>
      </c>
      <c r="K29" s="177">
        <f>(DATE(2033,12,31)-$C$15)/365.25</f>
        <v>7.23340177960301</v>
      </c>
      <c r="L29" s="177">
        <f>(DATE(2034,12,31)-$C$15)/365.25</f>
        <v>8.23271731690623</v>
      </c>
      <c r="M29" s="177">
        <f>(DATE(2035,12,31)-$C$15)/365.25</f>
        <v>9.23203285420945</v>
      </c>
      <c r="N29" s="177">
        <f>M29</f>
        <v>9.23203285420945</v>
      </c>
      <c r="O29" s="192" t="n"/>
      <c r="P29" s="192" t="n"/>
      <c r="Q29" s="192" t="n"/>
    </row>
    <row r="30" ht="15.75" customHeight="1" s="251">
      <c r="A30" s="192" t="n"/>
      <c r="B30" s="197" t="inlineStr">
        <is>
          <t>Discount factor</t>
        </is>
      </c>
      <c r="C30" s="192" t="n"/>
      <c r="D30" s="185">
        <f>1/(1+$C$13)^D29</f>
        <v>0.977121456982098</v>
      </c>
      <c r="E30" s="185">
        <f>1/(1+$C$13)^E29</f>
        <v>0.8846804748593</v>
      </c>
      <c r="F30" s="185">
        <f>1/(1+$C$13)^F29</f>
        <v>0.800766842957994</v>
      </c>
      <c r="G30" s="185">
        <f>1/(1+$C$13)^G29</f>
        <v>0.72500996249501</v>
      </c>
      <c r="H30" s="185">
        <f>1/(1+$C$13)^H29</f>
        <v>0.656420093238788</v>
      </c>
      <c r="I30" s="185">
        <f>1/(1+$C$13)^I29</f>
        <v>0.594319197111149</v>
      </c>
      <c r="J30" s="185">
        <f>1/(1+$C$13)^J29</f>
        <v>0.537946886705863</v>
      </c>
      <c r="K30" s="185">
        <f>1/(1+$C$13)^K29</f>
        <v>0.487054197591676</v>
      </c>
      <c r="L30" s="185">
        <f>1/(1+$C$13)^L29</f>
        <v>0.440976232513041</v>
      </c>
      <c r="M30" s="185">
        <f>1/(1+$C$13)^M29</f>
        <v>0.399257492498652</v>
      </c>
      <c r="N30" s="185">
        <f>1/(1+$C$13)^N29</f>
        <v>0.399257492498652</v>
      </c>
      <c r="O30" s="192" t="n"/>
      <c r="P30" s="192" t="n"/>
      <c r="Q30" s="192" t="n"/>
    </row>
    <row r="31" ht="15.75" customHeight="1" s="251">
      <c r="A31" s="192" t="n"/>
      <c r="B31" s="220" t="inlineStr">
        <is>
          <t>PV of UFCF</t>
        </is>
      </c>
      <c r="C31" s="221" t="n"/>
      <c r="D31" s="222">
        <f>D24*D30</f>
        <v>491.700991497208</v>
      </c>
      <c r="E31" s="222">
        <f>E24*E30</f>
        <v>389.038827251321</v>
      </c>
      <c r="F31" s="222">
        <f>F24*F30</f>
        <v>363.04727485765</v>
      </c>
      <c r="G31" s="222">
        <f>G24*G30</f>
        <v>383.779428406382</v>
      </c>
      <c r="H31" s="222">
        <f>H24*H30</f>
        <v>399.546657830079</v>
      </c>
      <c r="I31" s="222">
        <f>I24*I30</f>
        <v>540.946810004627</v>
      </c>
      <c r="J31" s="222">
        <f>J24*J30</f>
        <v>517.179052102396</v>
      </c>
      <c r="K31" s="222">
        <f>K24*K30</f>
        <v>492.834296037384</v>
      </c>
      <c r="L31" s="222">
        <f>L24*L30</f>
        <v>467.962215578628</v>
      </c>
      <c r="M31" s="222">
        <f>M24*M30</f>
        <v>442.756525897764</v>
      </c>
      <c r="N31" s="222">
        <f>N25*N30</f>
        <v>6587.31282960333</v>
      </c>
      <c r="O31" s="192" t="n"/>
      <c r="P31" s="192" t="n"/>
      <c r="Q31" s="192" t="n"/>
    </row>
    <row r="32" ht="15" customHeight="1" s="251">
      <c r="A32" s="192" t="n"/>
      <c r="B32" s="192" t="n"/>
      <c r="C32" s="192" t="n"/>
      <c r="D32" s="198" t="inlineStr">
        <is>
          <t>LECO-specific: Lincoln Electric's adjusted EBIT expenses stock-based compensation and includes all amortization of acquired intangibles (no amortization add-back in the company's adjusted measures). Rationalization and acquisition transaction costs are cash costs and are deducted in row 18 (Model adjusted EBIT less those special items). Acquisition spend from the M&amp;A lever is deducted in 2027E–30E; the fade period and terminal value assume no new acquisitions. Pension non-service items sit in other income (outside adjusted EBIT). Operating-lease costs are inside operating income.</t>
        </is>
      </c>
      <c r="E32" s="192" t="n"/>
      <c r="F32" s="192" t="n"/>
      <c r="G32" s="192" t="n"/>
      <c r="H32" s="192" t="n"/>
      <c r="I32" s="192" t="n"/>
      <c r="J32" s="192" t="n"/>
      <c r="K32" s="192" t="n"/>
      <c r="L32" s="192" t="n"/>
      <c r="M32" s="192" t="n"/>
      <c r="N32" s="192" t="n"/>
      <c r="O32" s="192" t="n"/>
      <c r="P32" s="192" t="n"/>
      <c r="Q32" s="192" t="n"/>
    </row>
    <row r="33" ht="15.75" customHeight="1" s="251">
      <c r="A33" s="192" t="n"/>
      <c r="B33" s="195" t="inlineStr">
        <is>
          <t>IMPLIED ROIC — invested capital roll-forward (USDm)</t>
        </is>
      </c>
      <c r="C33" s="195" t="n"/>
      <c r="D33" s="195" t="n"/>
      <c r="E33" s="195" t="n"/>
      <c r="F33" s="195" t="n"/>
      <c r="G33" s="195" t="n"/>
      <c r="H33" s="195" t="n"/>
      <c r="I33" s="195" t="n"/>
      <c r="J33" s="195" t="n"/>
      <c r="K33" s="195" t="n"/>
      <c r="L33" s="195" t="n"/>
      <c r="M33" s="195" t="n"/>
      <c r="N33" s="195" t="n"/>
      <c r="O33" s="192" t="n"/>
      <c r="P33" s="192" t="n"/>
      <c r="Q33" s="192" t="n"/>
    </row>
    <row r="34" ht="15.75" customHeight="1" s="251">
      <c r="A34" s="192" t="n"/>
      <c r="B34" s="197" t="inlineStr">
        <is>
          <t>Opening invested capital</t>
        </is>
      </c>
      <c r="C34" s="192" t="n"/>
      <c r="D34" s="173">
        <f>Model!BV398</f>
        <v>2455.013</v>
      </c>
      <c r="E34" s="174">
        <f>D38</f>
        <v>2593.8169198961</v>
      </c>
      <c r="F34" s="174">
        <f>E38</f>
        <v>2859.90041021336</v>
      </c>
      <c r="G34" s="174">
        <f>F38</f>
        <v>3186.40816598101</v>
      </c>
      <c r="H34" s="174">
        <f>G38</f>
        <v>3512.11628887915</v>
      </c>
      <c r="I34" s="174">
        <f>H38</f>
        <v>3837.22452915982</v>
      </c>
      <c r="J34" s="174">
        <f>I38</f>
        <v>3916.83926385733</v>
      </c>
      <c r="K34" s="174">
        <f>J38</f>
        <v>4000.93232738157</v>
      </c>
      <c r="L34" s="174">
        <f>K38</f>
        <v>4089.44027674084</v>
      </c>
      <c r="M34" s="174">
        <f>L38</f>
        <v>4182.26298863137</v>
      </c>
      <c r="N34" s="174" t="n"/>
      <c r="O34" s="192" t="n"/>
      <c r="P34" s="192" t="n"/>
      <c r="Q34" s="192" t="n"/>
    </row>
    <row r="35" ht="15.75" customHeight="1" s="251">
      <c r="A35" s="192" t="n"/>
      <c r="B35" s="197" t="inlineStr">
        <is>
          <t>plus Capex and acquisitions</t>
        </is>
      </c>
      <c r="C35" s="192" t="n"/>
      <c r="D35" s="174">
        <f>-D22</f>
        <v>120</v>
      </c>
      <c r="E35" s="174">
        <f>-E22</f>
        <v>335.792420728717</v>
      </c>
      <c r="F35" s="174">
        <f>-F22</f>
        <v>395.935926759678</v>
      </c>
      <c r="G35" s="174">
        <f>-G22</f>
        <v>406.469525042124</v>
      </c>
      <c r="H35" s="174">
        <f>-H22</f>
        <v>417.488860972573</v>
      </c>
      <c r="I35" s="174">
        <f>-I22</f>
        <v>177.538192630927</v>
      </c>
      <c r="J35" s="174">
        <f>-J22</f>
        <v>187.524715966417</v>
      </c>
      <c r="K35" s="174">
        <f>-K22</f>
        <v>197.369763554654</v>
      </c>
      <c r="L35" s="174">
        <f>-L22</f>
        <v>206.991539527943</v>
      </c>
      <c r="M35" s="174">
        <f>-M22</f>
        <v>216.306158806701</v>
      </c>
      <c r="N35" s="174" t="n"/>
      <c r="O35" s="192" t="n"/>
      <c r="P35" s="192" t="n"/>
      <c r="Q35" s="192" t="n"/>
    </row>
    <row r="36" ht="15.75" customHeight="1" s="251">
      <c r="A36" s="192" t="n"/>
      <c r="B36" s="197" t="inlineStr">
        <is>
          <t>less DD&amp;A</t>
        </is>
      </c>
      <c r="C36" s="192" t="n"/>
      <c r="D36" s="174">
        <f>-D21</f>
        <v>-103.956</v>
      </c>
      <c r="E36" s="174">
        <f>-E21</f>
        <v>-115.035350607264</v>
      </c>
      <c r="F36" s="174">
        <f>-F21</f>
        <v>-127.857022299732</v>
      </c>
      <c r="G36" s="174">
        <f>-G21</f>
        <v>-141.666020868437</v>
      </c>
      <c r="H36" s="174">
        <f>-H21</f>
        <v>-156.081040810477</v>
      </c>
      <c r="I36" s="174">
        <f>-I21</f>
        <v>-165.445903259106</v>
      </c>
      <c r="J36" s="174">
        <f>-J21</f>
        <v>-174.752235317431</v>
      </c>
      <c r="K36" s="174">
        <f>-K21</f>
        <v>-183.926727671596</v>
      </c>
      <c r="L36" s="174">
        <f>-L21</f>
        <v>-192.893155645586</v>
      </c>
      <c r="M36" s="174">
        <f>-M21</f>
        <v>-201.573347649638</v>
      </c>
      <c r="N36" s="174" t="n"/>
      <c r="O36" s="192" t="n"/>
      <c r="P36" s="192" t="n"/>
      <c r="Q36" s="192" t="n"/>
    </row>
    <row r="37" ht="15.75" customHeight="1" s="251">
      <c r="A37" s="192" t="n"/>
      <c r="B37" s="197" t="inlineStr">
        <is>
          <t>plus Δ Working capital investment</t>
        </is>
      </c>
      <c r="C37" s="192" t="n"/>
      <c r="D37" s="174">
        <f>-D23</f>
        <v>122.759919896097</v>
      </c>
      <c r="E37" s="174">
        <f>-E23</f>
        <v>45.3264201958072</v>
      </c>
      <c r="F37" s="174">
        <f>-F23</f>
        <v>58.4288513077035</v>
      </c>
      <c r="G37" s="174">
        <f>-G23</f>
        <v>60.9046187244547</v>
      </c>
      <c r="H37" s="174">
        <f>-H23</f>
        <v>63.7004201185742</v>
      </c>
      <c r="I37" s="174">
        <f>-I23</f>
        <v>67.5224453256887</v>
      </c>
      <c r="J37" s="174">
        <f>-J23</f>
        <v>71.3205828752587</v>
      </c>
      <c r="K37" s="174">
        <f>-K23</f>
        <v>75.0649134762098</v>
      </c>
      <c r="L37" s="174">
        <f>-L23</f>
        <v>78.724328008175</v>
      </c>
      <c r="M37" s="174">
        <f>-M23</f>
        <v>82.2669227685429</v>
      </c>
      <c r="N37" s="174" t="n"/>
      <c r="O37" s="192" t="n"/>
      <c r="P37" s="192" t="n"/>
      <c r="Q37" s="192" t="n"/>
    </row>
    <row r="38" ht="15.75" customHeight="1" s="251">
      <c r="A38" s="192" t="n"/>
      <c r="B38" s="223" t="inlineStr">
        <is>
          <t>Closing invested capital</t>
        </is>
      </c>
      <c r="C38" s="223" t="n"/>
      <c r="D38" s="224">
        <f>SUM(D34:D37)</f>
        <v>2593.8169198961</v>
      </c>
      <c r="E38" s="224">
        <f>SUM(E34:E37)</f>
        <v>2859.90041021336</v>
      </c>
      <c r="F38" s="224">
        <f>SUM(F34:F37)</f>
        <v>3186.40816598101</v>
      </c>
      <c r="G38" s="224">
        <f>SUM(G34:G37)</f>
        <v>3512.11628887915</v>
      </c>
      <c r="H38" s="224">
        <f>SUM(H34:H37)</f>
        <v>3837.22452915982</v>
      </c>
      <c r="I38" s="224">
        <f>SUM(I34:I37)</f>
        <v>3916.83926385733</v>
      </c>
      <c r="J38" s="224">
        <f>SUM(J34:J37)</f>
        <v>4000.93232738157</v>
      </c>
      <c r="K38" s="224">
        <f>SUM(K34:K37)</f>
        <v>4089.44027674084</v>
      </c>
      <c r="L38" s="224">
        <f>SUM(L34:L37)</f>
        <v>4182.26298863137</v>
      </c>
      <c r="M38" s="224">
        <f>SUM(M34:M37)</f>
        <v>4279.26272255698</v>
      </c>
      <c r="N38" s="178" t="n"/>
      <c r="O38" s="192" t="n"/>
      <c r="P38" s="192" t="n"/>
      <c r="Q38" s="192" t="n"/>
    </row>
    <row r="39" ht="15.75" customHeight="1" s="251">
      <c r="A39" s="192" t="n"/>
      <c r="B39" s="197" t="inlineStr">
        <is>
          <t>NOPAT (row 20)</t>
        </is>
      </c>
      <c r="C39" s="192" t="n"/>
      <c r="D39" s="174">
        <f>D20</f>
        <v>642.01770973125</v>
      </c>
      <c r="E39" s="174">
        <f>E20</f>
        <v>705.834155452256</v>
      </c>
      <c r="F39" s="174">
        <f>F20</f>
        <v>779.882265527033</v>
      </c>
      <c r="G39" s="174">
        <f>G20</f>
        <v>855.051784722683</v>
      </c>
      <c r="H39" s="174">
        <f>H20</f>
        <v>933.783480337246</v>
      </c>
      <c r="I39" s="174">
        <f>I20</f>
        <v>989.810489157481</v>
      </c>
      <c r="J39" s="174">
        <f>J20</f>
        <v>1045.48732917259</v>
      </c>
      <c r="K39" s="174">
        <f>K20</f>
        <v>1100.37541395415</v>
      </c>
      <c r="L39" s="174">
        <f>L20</f>
        <v>1154.01871538442</v>
      </c>
      <c r="M39" s="174">
        <f>M20</f>
        <v>1205.94955757671</v>
      </c>
      <c r="N39" s="174" t="n"/>
      <c r="O39" s="192" t="n"/>
      <c r="P39" s="192" t="n"/>
      <c r="Q39" s="192" t="n"/>
    </row>
    <row r="40" ht="15.75" customHeight="1" s="251">
      <c r="A40" s="192" t="n"/>
      <c r="B40" s="200" t="inlineStr">
        <is>
          <t>Implied ROIC (NOPAT / avg. invested capital)</t>
        </is>
      </c>
      <c r="C40" s="200" t="n"/>
      <c r="D40" s="180">
        <f>IFERROR(D39/AVERAGE(D34,D38),"")</f>
        <v>0.254323365974848</v>
      </c>
      <c r="E40" s="180">
        <f>IFERROR(E39/AVERAGE(E34,E38),"")</f>
        <v>0.258845155598884</v>
      </c>
      <c r="F40" s="180">
        <f>IFERROR(F39/AVERAGE(F34,F38),"")</f>
        <v>0.257969720102477</v>
      </c>
      <c r="G40" s="180">
        <f>IFERROR(G39/AVERAGE(G34,G38),"")</f>
        <v>0.255295562622689</v>
      </c>
      <c r="H40" s="180">
        <f>IFERROR(H39/AVERAGE(H34,H38),"")</f>
        <v>0.254113533024696</v>
      </c>
      <c r="I40" s="180">
        <f>IFERROR(I39/AVERAGE(I34,I38),"")</f>
        <v>0.255301095162216</v>
      </c>
      <c r="J40" s="180">
        <f>IFERROR(J39/AVERAGE(J34,J38),"")</f>
        <v>0.264086256372799</v>
      </c>
      <c r="K40" s="180">
        <f>IFERROR(K39/AVERAGE(K34,K38),"")</f>
        <v>0.272020948304274</v>
      </c>
      <c r="L40" s="180">
        <f>IFERROR(L39/AVERAGE(L34,L38),"")</f>
        <v>0.279028073991841</v>
      </c>
      <c r="M40" s="180">
        <f>IFERROR(M39/AVERAGE(M34,M38),"")</f>
        <v>0.285043052219798</v>
      </c>
      <c r="N40" s="180" t="n"/>
      <c r="O40" s="192" t="n"/>
      <c r="P40" s="192" t="n"/>
      <c r="Q40" s="192" t="n"/>
    </row>
    <row r="41" ht="15.75" customHeight="1" s="251">
      <c r="A41" s="192" t="n"/>
      <c r="B41" s="197" t="inlineStr">
        <is>
          <t>Reinvestment rate (net investment / NOPAT)</t>
        </is>
      </c>
      <c r="C41" s="192" t="n"/>
      <c r="D41" s="175">
        <f>IFERROR(SUM(D35:D37)/D39,"")</f>
        <v>0.216199518786173</v>
      </c>
      <c r="E41" s="175">
        <f>IFERROR(SUM(E35:E37)/E39,"")</f>
        <v>0.376977351211872</v>
      </c>
      <c r="F41" s="175">
        <f>IFERROR(SUM(F35:F37)/F39,"")</f>
        <v>0.418662880540053</v>
      </c>
      <c r="G41" s="175">
        <f>IFERROR(SUM(G35:G37)/G39,"")</f>
        <v>0.380922101699113</v>
      </c>
      <c r="H41" s="175">
        <f>IFERROR(SUM(H35:H37)/H39,"")</f>
        <v>0.348162338621854</v>
      </c>
      <c r="I41" s="175">
        <f>IFERROR(SUM(I35:I37)/I39,"")</f>
        <v>0.0804343210843092</v>
      </c>
      <c r="J41" s="175">
        <f>IFERROR(SUM(J35:J37)/J39,"")</f>
        <v>0.0804343210843092</v>
      </c>
      <c r="K41" s="175">
        <f>IFERROR(SUM(K35:K37)/K39,"")</f>
        <v>0.0804343210843092</v>
      </c>
      <c r="L41" s="175">
        <f>IFERROR(SUM(L35:L37)/L39,"")</f>
        <v>0.0804343210843092</v>
      </c>
      <c r="M41" s="175">
        <f>IFERROR(SUM(M35:M37)/M39,"")</f>
        <v>0.0804343210843092</v>
      </c>
      <c r="N41" s="175" t="n"/>
      <c r="O41" s="192" t="n"/>
      <c r="P41" s="192" t="n"/>
      <c r="Q41" s="192" t="n"/>
    </row>
    <row r="42" ht="15.75" customHeight="1" s="251">
      <c r="A42" s="192" t="n"/>
      <c r="B42" s="197" t="inlineStr">
        <is>
          <t>Implied terminal RONIC (g / reinvestment rate)</t>
        </is>
      </c>
      <c r="C42" s="192" t="n"/>
      <c r="D42" s="175" t="n"/>
      <c r="E42" s="175" t="n"/>
      <c r="F42" s="175" t="n"/>
      <c r="G42" s="175" t="n"/>
      <c r="H42" s="175" t="n"/>
      <c r="I42" s="175" t="n"/>
      <c r="J42" s="175" t="n"/>
      <c r="K42" s="175" t="n"/>
      <c r="L42" s="175" t="n"/>
      <c r="M42" s="175" t="n"/>
      <c r="N42" s="175">
        <f>IFERROR($C$27/M41,"")</f>
        <v>0.435137631898626</v>
      </c>
      <c r="O42" s="192" t="n"/>
      <c r="P42" s="192" t="n"/>
      <c r="Q42" s="192" t="n"/>
    </row>
    <row r="43" ht="15" customHeight="1" s="251">
      <c r="A43" s="192" t="n"/>
      <c r="B43" s="192" t="n"/>
      <c r="C43" s="192" t="n"/>
      <c r="D43" s="198" t="inlineStr">
        <is>
          <t>Opening IC = Model 2025A book invested capital (total equity + net debt), rolled forward with capex + M&amp;A − D&amp;A + ΔWC.</t>
        </is>
      </c>
      <c r="E43" s="192" t="n"/>
      <c r="F43" s="192" t="n"/>
      <c r="G43" s="192" t="n"/>
      <c r="H43" s="192" t="n"/>
      <c r="I43" s="192" t="n"/>
      <c r="J43" s="192" t="n"/>
      <c r="K43" s="192" t="n"/>
      <c r="L43" s="192" t="n"/>
      <c r="M43" s="192" t="n"/>
      <c r="N43" s="192" t="n"/>
      <c r="O43" s="192" t="n"/>
      <c r="P43" s="192" t="n"/>
      <c r="Q43" s="192" t="n"/>
    </row>
    <row r="44" ht="15.75" customHeight="1" s="251">
      <c r="A44" s="192" t="n"/>
      <c r="B44" s="195" t="inlineStr">
        <is>
          <t>3. VALUATION SUMMARY</t>
        </is>
      </c>
      <c r="C44" s="196" t="n"/>
      <c r="D44" s="196" t="n"/>
      <c r="E44" s="196" t="n"/>
      <c r="F44" s="196" t="n"/>
      <c r="G44" s="196" t="n"/>
      <c r="H44" s="196" t="n"/>
      <c r="I44" s="196" t="n"/>
      <c r="J44" s="196" t="n"/>
      <c r="K44" s="196" t="n"/>
      <c r="L44" s="196" t="n"/>
      <c r="M44" s="196" t="n"/>
      <c r="N44" s="196" t="n"/>
      <c r="O44" s="192" t="n"/>
      <c r="P44" s="192" t="n"/>
      <c r="Q44" s="192" t="n"/>
    </row>
    <row r="45" ht="15.75" customHeight="1" s="251">
      <c r="A45" s="192" t="n"/>
      <c r="B45" s="197" t="inlineStr">
        <is>
          <t>Sum of PV (explicit + fade)</t>
        </is>
      </c>
      <c r="C45" s="174">
        <f>SUM(D31:M31)</f>
        <v>4488.79207946344</v>
      </c>
      <c r="D45" s="192" t="n"/>
      <c r="E45" s="192" t="n"/>
      <c r="F45" s="192" t="n"/>
      <c r="G45" s="192" t="n"/>
      <c r="H45" s="192" t="n"/>
      <c r="I45" s="192" t="n"/>
      <c r="J45" s="192" t="n"/>
      <c r="K45" s="192" t="n"/>
      <c r="L45" s="192" t="n"/>
      <c r="M45" s="192" t="n"/>
      <c r="N45" s="192" t="n"/>
      <c r="O45" s="192" t="n"/>
      <c r="P45" s="192" t="n"/>
      <c r="Q45" s="192" t="n"/>
    </row>
    <row r="46" ht="15.75" customHeight="1" s="251">
      <c r="A46" s="192" t="n"/>
      <c r="B46" s="197" t="inlineStr">
        <is>
          <t>PV of Terminal Value</t>
        </is>
      </c>
      <c r="C46" s="174">
        <f>N31</f>
        <v>6587.31282960333</v>
      </c>
      <c r="D46" s="192" t="n"/>
      <c r="E46" s="192" t="n"/>
      <c r="F46" s="192" t="n"/>
      <c r="G46" s="192" t="n"/>
      <c r="H46" s="192" t="n"/>
      <c r="I46" s="192" t="n"/>
      <c r="J46" s="192" t="n"/>
      <c r="K46" s="192" t="n"/>
      <c r="L46" s="192" t="n"/>
      <c r="M46" s="192" t="n"/>
      <c r="N46" s="192" t="n"/>
      <c r="O46" s="192" t="n"/>
      <c r="P46" s="192" t="n"/>
      <c r="Q46" s="192" t="n"/>
    </row>
    <row r="47" ht="15.75" customHeight="1" s="251">
      <c r="A47" s="192" t="n"/>
      <c r="B47" s="199" t="inlineStr">
        <is>
          <t>Enterprise Value</t>
        </is>
      </c>
      <c r="C47" s="219">
        <f>C45+C46</f>
        <v>11076.1049090668</v>
      </c>
      <c r="D47" s="192" t="n"/>
      <c r="E47" s="192" t="n"/>
      <c r="F47" s="192" t="n"/>
      <c r="G47" s="192" t="n"/>
      <c r="H47" s="192" t="n"/>
      <c r="I47" s="192" t="n"/>
      <c r="J47" s="192" t="n"/>
      <c r="K47" s="192" t="n"/>
      <c r="L47" s="192" t="n"/>
      <c r="M47" s="192" t="n"/>
      <c r="N47" s="192" t="n"/>
      <c r="O47" s="192" t="n"/>
      <c r="P47" s="192" t="n"/>
      <c r="Q47" s="192" t="n"/>
    </row>
    <row r="48" ht="15.75" customHeight="1" s="251">
      <c r="A48" s="192" t="n"/>
      <c r="B48" s="197" t="inlineStr">
        <is>
          <t>Less: Net debt + NCI (Model 2026E YE)</t>
        </is>
      </c>
      <c r="C48" s="173">
        <f>Model!CA419+Model!CA345</f>
        <v>896.796958863492</v>
      </c>
      <c r="D48" s="198" t="inlineStr">
        <is>
          <t>LECO has no noncontrolling interests since 2023 (Model row shown for completeness).</t>
        </is>
      </c>
      <c r="E48" s="192" t="n"/>
      <c r="F48" s="192" t="n"/>
      <c r="G48" s="192" t="n"/>
      <c r="H48" s="192" t="n"/>
      <c r="I48" s="192" t="n"/>
      <c r="J48" s="192" t="n"/>
      <c r="K48" s="192" t="n"/>
      <c r="L48" s="192" t="n"/>
      <c r="M48" s="192" t="n"/>
      <c r="N48" s="192" t="n"/>
      <c r="O48" s="192" t="n"/>
      <c r="P48" s="192" t="n"/>
      <c r="Q48" s="192" t="n"/>
    </row>
    <row r="49" ht="15.75" customHeight="1" s="251">
      <c r="A49" s="192" t="n"/>
      <c r="B49" s="199" t="inlineStr">
        <is>
          <t>Equity Value</t>
        </is>
      </c>
      <c r="C49" s="178">
        <f>C47-C48</f>
        <v>10179.3079502033</v>
      </c>
      <c r="D49" s="192" t="n"/>
      <c r="E49" s="192" t="n"/>
      <c r="F49" s="192" t="n"/>
      <c r="G49" s="192" t="n"/>
      <c r="H49" s="192" t="n"/>
      <c r="I49" s="192" t="n"/>
      <c r="J49" s="192" t="n"/>
      <c r="K49" s="192" t="n"/>
      <c r="L49" s="192" t="n"/>
      <c r="M49" s="192" t="n"/>
      <c r="N49" s="192" t="n"/>
      <c r="O49" s="192" t="n"/>
      <c r="P49" s="192" t="n"/>
      <c r="Q49" s="192" t="n"/>
    </row>
    <row r="50" ht="15.75" customHeight="1" s="251">
      <c r="A50" s="192" t="n"/>
      <c r="B50" s="197" t="inlineStr">
        <is>
          <t>Diluted shares (m, Model 2026E)</t>
        </is>
      </c>
      <c r="C50" s="186">
        <f>Model!CA425</f>
        <v>54.5877061725339</v>
      </c>
      <c r="D50" s="192" t="n"/>
      <c r="E50" s="192" t="n"/>
      <c r="F50" s="192" t="n"/>
      <c r="G50" s="192" t="n"/>
      <c r="H50" s="192" t="n"/>
      <c r="I50" s="192" t="n"/>
      <c r="J50" s="192" t="n"/>
      <c r="K50" s="192" t="n"/>
      <c r="L50" s="192" t="n"/>
      <c r="M50" s="192" t="n"/>
      <c r="N50" s="192" t="n"/>
      <c r="O50" s="192" t="n"/>
      <c r="P50" s="192" t="n"/>
      <c r="Q50" s="192" t="n"/>
    </row>
    <row r="51" ht="15.75" customHeight="1" s="251">
      <c r="A51" s="192" t="n"/>
      <c r="B51" s="199" t="inlineStr">
        <is>
          <t>Implied share price ($)</t>
        </is>
      </c>
      <c r="C51" s="187">
        <f>C49/C50</f>
        <v>186.4761988355</v>
      </c>
      <c r="D51" s="192" t="n"/>
      <c r="E51" s="192" t="n"/>
      <c r="F51" s="192" t="n"/>
      <c r="G51" s="192" t="n"/>
      <c r="H51" s="192" t="n"/>
      <c r="I51" s="192" t="n"/>
      <c r="J51" s="192" t="n"/>
      <c r="K51" s="192" t="n"/>
      <c r="L51" s="192" t="n"/>
      <c r="M51" s="192" t="n"/>
      <c r="N51" s="192" t="n"/>
      <c r="O51" s="192" t="n"/>
      <c r="P51" s="192" t="n"/>
      <c r="Q51" s="192" t="n"/>
    </row>
    <row r="52" ht="15.75" customHeight="1" s="251">
      <c r="A52" s="192" t="n"/>
      <c r="B52" s="197" t="inlineStr">
        <is>
          <t>Current share price ($)</t>
        </is>
      </c>
      <c r="C52" s="188">
        <f>Model!CA424</f>
        <v>275.54</v>
      </c>
      <c r="D52" s="192" t="n"/>
      <c r="E52" s="192" t="n"/>
      <c r="F52" s="192" t="n"/>
      <c r="G52" s="192" t="n"/>
      <c r="H52" s="192" t="n"/>
      <c r="I52" s="192" t="n"/>
      <c r="J52" s="192" t="n"/>
      <c r="K52" s="192" t="n"/>
      <c r="L52" s="192" t="n"/>
      <c r="M52" s="192" t="n"/>
      <c r="N52" s="192" t="n"/>
      <c r="O52" s="192" t="n"/>
      <c r="P52" s="192" t="n"/>
      <c r="Q52" s="192" t="n"/>
    </row>
    <row r="53" ht="15.75" customHeight="1" s="251">
      <c r="A53" s="192" t="n"/>
      <c r="B53" s="199" t="inlineStr">
        <is>
          <t>Implied upside / (downside)</t>
        </is>
      </c>
      <c r="C53" s="189">
        <f>C51/C52-1</f>
        <v>-0.323233654512957</v>
      </c>
      <c r="D53" s="192" t="n"/>
      <c r="E53" s="192" t="n"/>
      <c r="F53" s="192" t="n"/>
      <c r="G53" s="192" t="n"/>
      <c r="H53" s="192" t="n"/>
      <c r="I53" s="192" t="n"/>
      <c r="J53" s="192" t="n"/>
      <c r="K53" s="192" t="n"/>
      <c r="L53" s="192" t="n"/>
      <c r="M53" s="192" t="n"/>
      <c r="N53" s="192" t="n"/>
      <c r="O53" s="192" t="n"/>
      <c r="P53" s="192" t="n"/>
      <c r="Q53" s="192" t="n"/>
    </row>
    <row r="54" ht="15.75" customHeight="1" s="251">
      <c r="A54" s="192" t="n"/>
      <c r="B54" s="197" t="inlineStr">
        <is>
          <t>Required discount to DCF value for target IRR</t>
        </is>
      </c>
      <c r="C54" s="175">
        <f>1-((1+C13)/(1+H54))^H55</f>
        <v>0.113902539808733</v>
      </c>
      <c r="D54" s="205" t="inlineStr">
        <is>
          <t>vs. current</t>
        </is>
      </c>
      <c r="E54" s="237" t="inlineStr">
        <is>
          <t>Target IRR</t>
        </is>
      </c>
      <c r="F54" s="192" t="n"/>
      <c r="G54" s="192" t="n"/>
      <c r="H54" s="182" t="n">
        <v>0.15</v>
      </c>
      <c r="I54" s="192" t="n"/>
      <c r="J54" s="192" t="n"/>
      <c r="K54" s="192" t="n"/>
      <c r="L54" s="192" t="n"/>
      <c r="M54" s="192" t="n"/>
      <c r="N54" s="192" t="n"/>
      <c r="O54" s="192" t="n"/>
      <c r="P54" s="192" t="n"/>
      <c r="Q54" s="192" t="n"/>
    </row>
    <row r="55" ht="15.75" customHeight="1" s="251">
      <c r="A55" s="192" t="n"/>
      <c r="B55" s="199" t="inlineStr">
        <is>
          <t>Max entry price for target IRR ($)</t>
        </is>
      </c>
      <c r="C55" s="190">
        <f>C51*(1-C54)</f>
        <v>165.236086174258</v>
      </c>
      <c r="D55" s="175">
        <f>C55/C52-1</f>
        <v>-0.400319060121006</v>
      </c>
      <c r="E55" s="237" t="inlineStr">
        <is>
          <t>Years for discount to close</t>
        </is>
      </c>
      <c r="F55" s="192" t="n"/>
      <c r="G55" s="192" t="n"/>
      <c r="H55" s="191" t="n">
        <v>3</v>
      </c>
      <c r="I55" s="192" t="n"/>
      <c r="J55" s="192" t="n"/>
      <c r="K55" s="192" t="n"/>
      <c r="L55" s="192" t="n"/>
      <c r="M55" s="192" t="n"/>
      <c r="N55" s="192" t="n"/>
      <c r="O55" s="192" t="n"/>
      <c r="P55" s="192" t="n"/>
      <c r="Q55" s="192" t="n"/>
    </row>
    <row r="56" ht="15" customHeight="1" s="251">
      <c r="A56" s="192" t="n"/>
      <c r="B56" s="192" t="n"/>
      <c r="C56" s="192" t="n"/>
      <c r="D56" s="192" t="n"/>
      <c r="E56" s="192" t="n"/>
      <c r="F56" s="192" t="n"/>
      <c r="G56" s="192" t="n"/>
      <c r="H56" s="192" t="n"/>
      <c r="I56" s="192" t="n"/>
      <c r="J56" s="192" t="n"/>
      <c r="K56" s="192" t="n"/>
      <c r="L56" s="192" t="n"/>
      <c r="M56" s="192" t="n"/>
      <c r="N56" s="192" t="n"/>
      <c r="O56" s="192" t="n"/>
      <c r="P56" s="192" t="n"/>
      <c r="Q56" s="192" t="n"/>
    </row>
    <row r="57" ht="15" customHeight="1" s="251">
      <c r="A57" s="192" t="n"/>
      <c r="B57" s="192" t="n"/>
      <c r="C57" s="192" t="n"/>
      <c r="D57" s="192" t="n"/>
      <c r="E57" s="192" t="n"/>
      <c r="F57" s="192" t="n"/>
      <c r="G57" s="192" t="n"/>
      <c r="H57" s="192" t="n"/>
      <c r="I57" s="192" t="n"/>
      <c r="J57" s="192" t="n"/>
      <c r="K57" s="192" t="n"/>
      <c r="L57" s="192" t="n"/>
      <c r="M57" s="192" t="n"/>
      <c r="N57" s="192" t="n"/>
      <c r="O57" s="192" t="n"/>
      <c r="P57" s="192" t="n"/>
      <c r="Q57" s="192" t="n"/>
    </row>
    <row r="58" ht="15.75" customHeight="1" s="251">
      <c r="A58" s="192" t="n"/>
      <c r="B58" s="195" t="inlineStr">
        <is>
          <t>4. SENSITIVITY: IMPLIED PRICE ($) — WACC × Terminal Growth</t>
        </is>
      </c>
      <c r="C58" s="196" t="n"/>
      <c r="D58" s="196" t="n"/>
      <c r="E58" s="196" t="n"/>
      <c r="F58" s="196" t="n"/>
      <c r="G58" s="196" t="n"/>
      <c r="H58" s="196" t="n"/>
      <c r="I58" s="196" t="n"/>
      <c r="J58" s="196" t="n"/>
      <c r="K58" s="196" t="n"/>
      <c r="L58" s="196" t="n"/>
      <c r="M58" s="196" t="n"/>
      <c r="N58" s="196" t="n"/>
      <c r="O58" s="192" t="n"/>
      <c r="P58" s="192" t="n"/>
      <c r="Q58" s="192" t="n"/>
    </row>
    <row r="59" ht="15" customHeight="1" s="251">
      <c r="A59" s="192" t="n"/>
      <c r="B59" s="192" t="n"/>
      <c r="C59" s="192" t="n"/>
      <c r="D59" s="192" t="n"/>
      <c r="E59" s="192" t="n"/>
      <c r="F59" s="192" t="n"/>
      <c r="G59" s="192" t="n"/>
      <c r="H59" s="192" t="n"/>
      <c r="I59" s="192" t="n"/>
      <c r="J59" s="192" t="n"/>
      <c r="K59" s="192" t="n"/>
      <c r="L59" s="192" t="n"/>
      <c r="M59" s="192" t="n"/>
      <c r="N59" s="192" t="n"/>
      <c r="O59" s="192" t="n"/>
      <c r="P59" s="192" t="n"/>
      <c r="Q59" s="192" t="n"/>
    </row>
    <row r="60" ht="15.75" customHeight="1" s="251">
      <c r="A60" s="192" t="n"/>
      <c r="B60" s="199" t="n"/>
      <c r="C60" s="192" t="n"/>
      <c r="D60" s="206" t="inlineStr">
        <is>
          <t>WACC →</t>
        </is>
      </c>
      <c r="E60" s="206" t="n"/>
      <c r="F60" s="206" t="n"/>
      <c r="G60" s="206" t="n"/>
      <c r="H60" s="206" t="n"/>
      <c r="I60" s="192" t="n"/>
      <c r="J60" s="192" t="n"/>
      <c r="K60" s="192" t="n"/>
      <c r="L60" s="192" t="n"/>
      <c r="M60" s="192" t="n"/>
      <c r="N60" s="192" t="n"/>
      <c r="O60" s="192" t="n"/>
      <c r="P60" s="192" t="n"/>
      <c r="Q60" s="192" t="n"/>
    </row>
    <row r="61" ht="15.75" customHeight="1" s="251">
      <c r="A61" s="192" t="n"/>
      <c r="B61" s="231" t="inlineStr">
        <is>
          <t>Terminal growth ↓</t>
        </is>
      </c>
      <c r="C61" s="227" t="n"/>
      <c r="D61" s="228">
        <f>F61-0.01</f>
        <v>0.094566</v>
      </c>
      <c r="E61" s="228">
        <f>F61-0.005</f>
        <v>0.099566</v>
      </c>
      <c r="F61" s="228">
        <f>$C$13</f>
        <v>0.104566</v>
      </c>
      <c r="G61" s="228">
        <f>F61+0.005</f>
        <v>0.109566</v>
      </c>
      <c r="H61" s="234">
        <f>F61+0.01</f>
        <v>0.114566</v>
      </c>
      <c r="I61" s="192" t="n"/>
      <c r="J61" s="192" t="n"/>
      <c r="K61" s="192" t="n"/>
      <c r="L61" s="192" t="n"/>
      <c r="M61" s="192" t="n"/>
      <c r="N61" s="192" t="n"/>
      <c r="O61" s="192" t="n"/>
      <c r="P61" s="192" t="n"/>
      <c r="Q61" s="192" t="n"/>
    </row>
    <row r="62" ht="15.75" customHeight="1" s="251">
      <c r="A62" s="192" t="n"/>
      <c r="B62" s="232">
        <f>B64-0.01</f>
        <v>0.025</v>
      </c>
      <c r="C62" s="192" t="n"/>
      <c r="D62" s="225">
        <f t="array" ref="D62">IFERROR((SUMPRODUCT($D$24:$M$24/(1+D$61)^$D$29:$M$29)+($M$24*(1+$B62)/(D$61-$B62))/(1+D$61)^$M$29-$C$48)/$C$50,"")</f>
        <v>199.536959737432</v>
      </c>
      <c r="E62" s="225">
        <f t="array" ref="E62">IFERROR((SUMPRODUCT($D$24:$M$24/(1+E$61)^$D$29:$M$29)+($M$24*(1+$B62)/(E$61-$B62))/(1+E$61)^$M$29-$C$48)/$C$50,"")</f>
        <v>183.913109165732</v>
      </c>
      <c r="F62" s="225">
        <f t="array" ref="F62">IFERROR((SUMPRODUCT($D$24:$M$24/(1+F$61)^$D$29:$M$29)+($M$24*(1+$B62)/(F$61-$B62))/(1+F$61)^$M$29-$C$48)/$C$50,"")</f>
        <v>170.290284448248</v>
      </c>
      <c r="G62" s="225">
        <f t="array" ref="G62">IFERROR((SUMPRODUCT($D$24:$M$24/(1+G$61)^$D$29:$M$29)+($M$24*(1+$B62)/(G$61-$B62))/(1+G$61)^$M$29-$C$48)/$C$50,"")</f>
        <v>158.312451256914</v>
      </c>
      <c r="H62" s="235">
        <f t="array" ref="H62">IFERROR((SUMPRODUCT($D$24:$M$24/(1+H$61)^$D$29:$M$29)+($M$24*(1+$B62)/(H$61-$B62))/(1+H$61)^$M$29-$C$48)/$C$50,"")</f>
        <v>147.703115592942</v>
      </c>
      <c r="I62" s="192" t="n"/>
      <c r="J62" s="192" t="n"/>
      <c r="K62" s="192" t="n"/>
      <c r="L62" s="192" t="n"/>
      <c r="M62" s="192" t="n"/>
      <c r="N62" s="192" t="n"/>
      <c r="O62" s="192" t="n"/>
      <c r="P62" s="192" t="n"/>
      <c r="Q62" s="192" t="n"/>
    </row>
    <row r="63" ht="15.75" customHeight="1" s="251">
      <c r="A63" s="192" t="n"/>
      <c r="B63" s="232">
        <f>B64-0.005</f>
        <v>0.03</v>
      </c>
      <c r="C63" s="192" t="n"/>
      <c r="D63" s="225">
        <f t="array" ref="D63">IFERROR((SUMPRODUCT($D$24:$M$24/(1+D$61)^$D$29:$M$29)+($M$24*(1+$B63)/(D$61-$B63))/(1+D$61)^$M$29-$C$48)/$C$50,"")</f>
        <v>210.285391131751</v>
      </c>
      <c r="E63" s="225">
        <f t="array" ref="E63">IFERROR((SUMPRODUCT($D$24:$M$24/(1+E$61)^$D$29:$M$29)+($M$24*(1+$B63)/(E$61-$B63))/(1+E$61)^$M$29-$C$48)/$C$50,"")</f>
        <v>192.877361241185</v>
      </c>
      <c r="F63" s="225">
        <f t="array" ref="F63">IFERROR((SUMPRODUCT($D$24:$M$24/(1+F$61)^$D$29:$M$29)+($M$24*(1+$B63)/(F$61-$B63))/(1+F$61)^$M$29-$C$48)/$C$50,"")</f>
        <v>177.84057090765</v>
      </c>
      <c r="G63" s="225">
        <f t="array" ref="G63">IFERROR((SUMPRODUCT($D$24:$M$24/(1+G$61)^$D$29:$M$29)+($M$24*(1+$B63)/(G$61-$B63))/(1+G$61)^$M$29-$C$48)/$C$50,"")</f>
        <v>164.726933484895</v>
      </c>
      <c r="H63" s="235">
        <f t="array" ref="H63">IFERROR((SUMPRODUCT($D$24:$M$24/(1+H$61)^$D$29:$M$29)+($M$24*(1+$B63)/(H$61-$B63))/(1+H$61)^$M$29-$C$48)/$C$50,"")</f>
        <v>153.19437133815</v>
      </c>
      <c r="I63" s="192" t="n"/>
      <c r="J63" s="192" t="n"/>
      <c r="K63" s="192" t="n"/>
      <c r="L63" s="192" t="n"/>
      <c r="M63" s="192" t="n"/>
      <c r="N63" s="192" t="n"/>
      <c r="O63" s="192" t="n"/>
      <c r="P63" s="192" t="n"/>
      <c r="Q63" s="192" t="n"/>
    </row>
    <row r="64" ht="15.75" customHeight="1" s="251">
      <c r="A64" s="192" t="n"/>
      <c r="B64" s="232">
        <f>$C$27</f>
        <v>0.035</v>
      </c>
      <c r="C64" s="192" t="n"/>
      <c r="D64" s="225">
        <f t="array" ref="D64">IFERROR((SUMPRODUCT($D$24:$M$24/(1+D$61)^$D$29:$M$29)+($M$24*(1+$B64)/(D$61-$B64))/(1+D$61)^$M$29-$C$48)/$C$50,"")</f>
        <v>222.838280000858</v>
      </c>
      <c r="E64" s="225">
        <f t="array" ref="E64">IFERROR((SUMPRODUCT($D$24:$M$24/(1+E$61)^$D$29:$M$29)+($M$24*(1+$B64)/(E$61-$B64))/(1+E$61)^$M$29-$C$48)/$C$50,"")</f>
        <v>203.229999166072</v>
      </c>
      <c r="F64" s="226">
        <f t="array" ref="F64">IFERROR((SUMPRODUCT($D$24:$M$24/(1+F$61)^$D$29:$M$29)+($M$24*(1+$B64)/(F$61-$B64))/(1+F$61)^$M$29-$C$48)/$C$50,"")</f>
        <v>186.4761988355</v>
      </c>
      <c r="G64" s="225">
        <f t="array" ref="G64">IFERROR((SUMPRODUCT($D$24:$M$24/(1+G$61)^$D$29:$M$29)+($M$24*(1+$B64)/(G$61-$B64))/(1+G$61)^$M$29-$C$48)/$C$50,"")</f>
        <v>172.001657944991</v>
      </c>
      <c r="H64" s="235">
        <f t="array" ref="H64">IFERROR((SUMPRODUCT($D$24:$M$24/(1+H$61)^$D$29:$M$29)+($M$24*(1+$B64)/(H$61-$B64))/(1+H$61)^$M$29-$C$48)/$C$50,"")</f>
        <v>159.375778120888</v>
      </c>
      <c r="I64" s="192" t="n"/>
      <c r="J64" s="192" t="n"/>
      <c r="K64" s="192" t="n"/>
      <c r="L64" s="192" t="n"/>
      <c r="M64" s="192" t="n"/>
      <c r="N64" s="192" t="n"/>
      <c r="O64" s="192" t="n"/>
      <c r="P64" s="192" t="n"/>
      <c r="Q64" s="192" t="n"/>
    </row>
    <row r="65" ht="15.75" customHeight="1" s="251">
      <c r="A65" s="192" t="n"/>
      <c r="B65" s="232">
        <f>B64+0.005</f>
        <v>0.04</v>
      </c>
      <c r="C65" s="192" t="n"/>
      <c r="D65" s="225">
        <f t="array" ref="D65">IFERROR((SUMPRODUCT($D$24:$M$24/(1+D$61)^$D$29:$M$29)+($M$24*(1+$B65)/(D$61-$B65))/(1+D$61)^$M$29-$C$48)/$C$50,"")</f>
        <v>237.691665308976</v>
      </c>
      <c r="E65" s="225">
        <f t="array" ref="E65">IFERROR((SUMPRODUCT($D$24:$M$24/(1+E$61)^$D$29:$M$29)+($M$24*(1+$B65)/(E$61-$B65))/(1+E$61)^$M$29-$C$48)/$C$50,"")</f>
        <v>215.320648359953</v>
      </c>
      <c r="F65" s="225">
        <f t="array" ref="F65">IFERROR((SUMPRODUCT($D$24:$M$24/(1+F$61)^$D$29:$M$29)+($M$24*(1+$B65)/(F$61-$B65))/(1+F$61)^$M$29-$C$48)/$C$50,"")</f>
        <v>196.449315213594</v>
      </c>
      <c r="G65" s="225">
        <f t="array" ref="G65">IFERROR((SUMPRODUCT($D$24:$M$24/(1+G$61)^$D$29:$M$29)+($M$24*(1+$B65)/(G$61-$B65))/(1+G$61)^$M$29-$C$48)/$C$50,"")</f>
        <v>180.322112281765</v>
      </c>
      <c r="H65" s="235">
        <f t="array" ref="H65">IFERROR((SUMPRODUCT($D$24:$M$24/(1+H$61)^$D$29:$M$29)+($M$24*(1+$B65)/(H$61-$B65))/(1+H$61)^$M$29-$C$48)/$C$50,"")</f>
        <v>166.386169532376</v>
      </c>
      <c r="I65" s="192" t="n"/>
      <c r="J65" s="192" t="n"/>
      <c r="K65" s="192" t="n"/>
      <c r="L65" s="192" t="n"/>
      <c r="M65" s="192" t="n"/>
      <c r="N65" s="192" t="n"/>
      <c r="O65" s="192" t="n"/>
      <c r="P65" s="192" t="n"/>
      <c r="Q65" s="192" t="n"/>
    </row>
    <row r="66" ht="15.75" customHeight="1" s="251">
      <c r="A66" s="192" t="n"/>
      <c r="B66" s="233">
        <f>B64+0.01</f>
        <v>0.045</v>
      </c>
      <c r="C66" s="229" t="n"/>
      <c r="D66" s="230">
        <f t="array" ref="D66">IFERROR((SUMPRODUCT($D$24:$M$24/(1+D$61)^$D$29:$M$29)+($M$24*(1+$B66)/(D$61-$B66))/(1+D$61)^$M$29-$C$48)/$C$50,"")</f>
        <v>255.541738933302</v>
      </c>
      <c r="E66" s="230">
        <f t="array" ref="E66">IFERROR((SUMPRODUCT($D$24:$M$24/(1+E$61)^$D$29:$M$29)+($M$24*(1+$B66)/(E$61-$B66))/(1+E$61)^$M$29-$C$48)/$C$50,"")</f>
        <v>229.627081960585</v>
      </c>
      <c r="F66" s="230">
        <f t="array" ref="F66">IFERROR((SUMPRODUCT($D$24:$M$24/(1+F$61)^$D$29:$M$29)+($M$24*(1+$B66)/(F$61-$B66))/(1+F$61)^$M$29-$C$48)/$C$50,"")</f>
        <v>208.09672840163</v>
      </c>
      <c r="G66" s="230">
        <f t="array" ref="G66">IFERROR((SUMPRODUCT($D$24:$M$24/(1+G$61)^$D$29:$M$29)+($M$24*(1+$B66)/(G$61-$B66))/(1+G$61)^$M$29-$C$48)/$C$50,"")</f>
        <v>189.931240895522</v>
      </c>
      <c r="H66" s="236">
        <f t="array" ref="H66">IFERROR((SUMPRODUCT($D$24:$M$24/(1+H$61)^$D$29:$M$29)+($M$24*(1+$B66)/(H$61-$B66))/(1+H$61)^$M$29-$C$48)/$C$50,"")</f>
        <v>174.404293372276</v>
      </c>
      <c r="I66" s="192" t="n"/>
      <c r="J66" s="192" t="n"/>
      <c r="K66" s="192" t="n"/>
      <c r="L66" s="192" t="n"/>
      <c r="M66" s="192" t="n"/>
      <c r="N66" s="192" t="n"/>
      <c r="O66" s="192" t="n"/>
      <c r="P66" s="192" t="n"/>
      <c r="Q66" s="192" t="n"/>
    </row>
    <row r="67" ht="15" customHeight="1" s="251">
      <c r="A67" s="192" t="n"/>
      <c r="B67" s="192" t="n"/>
      <c r="C67" s="192" t="n"/>
      <c r="D67" s="192" t="n"/>
      <c r="E67" s="192" t="n"/>
      <c r="F67" s="192" t="n"/>
      <c r="G67" s="192" t="n"/>
      <c r="H67" s="192" t="n"/>
      <c r="I67" s="192" t="n"/>
      <c r="J67" s="192" t="n"/>
      <c r="K67" s="192" t="n"/>
      <c r="L67" s="192" t="n"/>
      <c r="M67" s="192" t="n"/>
      <c r="N67" s="192" t="n"/>
      <c r="O67" s="192" t="n"/>
      <c r="P67" s="192" t="n"/>
      <c r="Q67" s="192" t="n"/>
    </row>
    <row r="68" ht="15" customHeight="1" s="251">
      <c r="A68" s="192" t="n"/>
      <c r="B68" s="192" t="n"/>
      <c r="C68" s="192" t="n"/>
      <c r="D68" s="192" t="n"/>
      <c r="E68" s="192" t="n"/>
      <c r="F68" s="192" t="n"/>
      <c r="G68" s="192" t="n"/>
      <c r="H68" s="192" t="n"/>
      <c r="I68" s="192" t="n"/>
      <c r="J68" s="192" t="n"/>
      <c r="K68" s="192" t="n"/>
      <c r="L68" s="192" t="n"/>
      <c r="M68" s="192" t="n"/>
      <c r="N68" s="192" t="n"/>
      <c r="O68" s="192" t="n"/>
      <c r="P68" s="192" t="n"/>
      <c r="Q68" s="192" t="n"/>
    </row>
    <row r="69" ht="15.75" customHeight="1" s="251">
      <c r="A69" s="192" t="n"/>
      <c r="B69" s="195" t="inlineStr">
        <is>
          <t>5. REVERSE DCF</t>
        </is>
      </c>
      <c r="C69" s="196" t="n"/>
      <c r="D69" s="196" t="n"/>
      <c r="E69" s="196" t="n"/>
      <c r="F69" s="196" t="n"/>
      <c r="G69" s="196" t="n"/>
      <c r="H69" s="196" t="n"/>
      <c r="I69" s="196" t="n"/>
      <c r="J69" s="196" t="n"/>
      <c r="K69" s="196" t="n"/>
      <c r="L69" s="196" t="n"/>
      <c r="M69" s="196" t="n"/>
      <c r="N69" s="196" t="n"/>
      <c r="O69" s="192" t="n"/>
      <c r="P69" s="192" t="n"/>
      <c r="Q69" s="192" t="n"/>
    </row>
    <row r="70" ht="15" customHeight="1" s="251">
      <c r="A70" s="192" t="n"/>
      <c r="B70" s="198" t="inlineStr">
        <is>
          <t>To solve for the market-implied path: Data ▸ What-If Analysis ▸ Goal Seek — set C51 to the current price (C52) by changing C27 (terminal growth) or the fade-period growth inputs (I26:M26).</t>
        </is>
      </c>
      <c r="C70" s="192" t="n"/>
      <c r="D70" s="192" t="n"/>
      <c r="E70" s="192" t="n"/>
      <c r="F70" s="192" t="n"/>
      <c r="G70" s="192" t="n"/>
      <c r="H70" s="192" t="n"/>
      <c r="I70" s="192" t="n"/>
      <c r="J70" s="192" t="n"/>
      <c r="K70" s="192" t="n"/>
      <c r="L70" s="192" t="n"/>
      <c r="M70" s="192" t="n"/>
      <c r="N70" s="192" t="n"/>
      <c r="O70" s="192" t="n"/>
      <c r="P70" s="192" t="n"/>
      <c r="Q70" s="192" t="n"/>
    </row>
    <row r="71" ht="15" customHeight="1" s="251">
      <c r="A71" s="192" t="n"/>
      <c r="B71" s="192" t="n"/>
      <c r="C71" s="192" t="n"/>
      <c r="D71" s="192" t="n"/>
      <c r="E71" s="192" t="n"/>
      <c r="F71" s="192" t="n"/>
      <c r="G71" s="192" t="n"/>
      <c r="H71" s="192" t="n"/>
      <c r="I71" s="192" t="n"/>
      <c r="J71" s="192" t="n"/>
      <c r="K71" s="192" t="n"/>
      <c r="L71" s="192" t="n"/>
      <c r="M71" s="192" t="n"/>
      <c r="N71" s="192" t="n"/>
      <c r="O71" s="192" t="n"/>
      <c r="P71" s="192" t="n"/>
      <c r="Q71" s="192" t="n"/>
    </row>
    <row r="72" ht="15.75" customHeight="1" s="251">
      <c r="A72" s="192" t="n"/>
      <c r="B72" s="195" t="inlineStr">
        <is>
          <t>6. MAUBOUSSIN EV / NOPAT — TWO-STAGE FRAMEWORK</t>
        </is>
      </c>
      <c r="C72" s="196" t="n"/>
      <c r="D72" s="196" t="n"/>
      <c r="E72" s="196" t="n"/>
      <c r="F72" s="196" t="n"/>
      <c r="G72" s="196" t="n"/>
      <c r="H72" s="196" t="n"/>
      <c r="I72" s="196" t="n"/>
      <c r="J72" s="196" t="n"/>
      <c r="K72" s="196" t="n"/>
      <c r="L72" s="196" t="n"/>
      <c r="M72" s="196" t="n"/>
      <c r="N72" s="196" t="n"/>
      <c r="O72" s="192" t="n"/>
      <c r="P72" s="192" t="n"/>
      <c r="Q72" s="192" t="n"/>
    </row>
    <row r="73" ht="15" customHeight="1" s="251">
      <c r="A73" s="192" t="n"/>
      <c r="B73" s="198" t="inlineStr">
        <is>
          <t>EV/NOPAT  =  1/r  +  [g × (1 − r/ROIIC) / (r × (r − g))] × [1 − ((1+g)/(1+r))^N]</t>
        </is>
      </c>
      <c r="C73" s="192" t="n"/>
      <c r="D73" s="192" t="n"/>
      <c r="E73" s="192" t="n"/>
      <c r="F73" s="192" t="n"/>
      <c r="G73" s="192" t="n"/>
      <c r="H73" s="192" t="n"/>
      <c r="I73" s="192" t="n"/>
      <c r="J73" s="192" t="n"/>
      <c r="K73" s="192" t="n"/>
      <c r="L73" s="192" t="n"/>
      <c r="M73" s="192" t="n"/>
      <c r="N73" s="192" t="n"/>
      <c r="O73" s="192" t="n"/>
      <c r="P73" s="192" t="n"/>
      <c r="Q73" s="192" t="n"/>
    </row>
    <row r="74" ht="15" customHeight="1" s="251">
      <c r="A74" s="192" t="n"/>
      <c r="B74" s="198" t="inlineStr">
        <is>
          <t>Formula source: Mauboussin &amp; Rappaport, "Expectations Investing" (2021); Counterpoint Global, "What Does a Price-Earnings Multiple Mean?" (2020).</t>
        </is>
      </c>
      <c r="C74" s="192" t="n"/>
      <c r="D74" s="192" t="n"/>
      <c r="E74" s="192" t="n"/>
      <c r="F74" s="192" t="n"/>
      <c r="G74" s="192" t="n"/>
      <c r="H74" s="192" t="n"/>
      <c r="I74" s="192" t="n"/>
      <c r="J74" s="192" t="n"/>
      <c r="K74" s="192" t="n"/>
      <c r="L74" s="192" t="n"/>
      <c r="M74" s="192" t="n"/>
      <c r="N74" s="192" t="n"/>
      <c r="O74" s="192" t="n"/>
      <c r="P74" s="192" t="n"/>
      <c r="Q74" s="192" t="n"/>
    </row>
    <row r="75" ht="15" customHeight="1" s="251">
      <c r="A75" s="192" t="n"/>
      <c r="B75" s="192" t="n"/>
      <c r="C75" s="192" t="n"/>
      <c r="D75" s="192" t="n"/>
      <c r="E75" s="192" t="n"/>
      <c r="F75" s="192" t="n"/>
      <c r="G75" s="192" t="n"/>
      <c r="H75" s="192" t="n"/>
      <c r="I75" s="192" t="n"/>
      <c r="J75" s="192" t="n"/>
      <c r="K75" s="192" t="n"/>
      <c r="L75" s="192" t="n"/>
      <c r="M75" s="192" t="n"/>
      <c r="N75" s="192" t="n"/>
      <c r="O75" s="192" t="n"/>
      <c r="P75" s="192" t="n"/>
      <c r="Q75" s="192" t="n"/>
    </row>
    <row r="76" ht="15.75" customHeight="1" s="251">
      <c r="A76" s="192" t="n"/>
      <c r="B76" s="195" t="inlineStr">
        <is>
          <t>Input</t>
        </is>
      </c>
      <c r="C76" s="207" t="inlineStr">
        <is>
          <t>Value</t>
        </is>
      </c>
      <c r="D76" s="195" t="inlineStr">
        <is>
          <t>Rationale (Lincoln Electric characteristics)</t>
        </is>
      </c>
      <c r="E76" s="196" t="n"/>
      <c r="F76" s="196" t="n"/>
      <c r="G76" s="196" t="n"/>
      <c r="H76" s="196" t="n"/>
      <c r="I76" s="196" t="n"/>
      <c r="J76" s="196" t="n"/>
      <c r="K76" s="196" t="n"/>
      <c r="L76" s="196" t="n"/>
      <c r="M76" s="196" t="n"/>
      <c r="N76" s="196" t="n"/>
      <c r="O76" s="192" t="n"/>
      <c r="P76" s="192" t="n"/>
      <c r="Q76" s="192" t="n"/>
    </row>
    <row r="77" ht="15.75" customHeight="1" s="251">
      <c r="A77" s="192" t="n"/>
      <c r="B77" s="197" t="inlineStr">
        <is>
          <t>r  (Cost of capital / WACC)</t>
        </is>
      </c>
      <c r="C77" s="238">
        <f>$C$13</f>
        <v>0.104566</v>
      </c>
      <c r="D77" s="198" t="inlineStr">
        <is>
          <t>Linked from Section 1 WACC build</t>
        </is>
      </c>
      <c r="E77" s="192" t="n"/>
      <c r="F77" s="192" t="n"/>
      <c r="G77" s="192" t="n"/>
      <c r="H77" s="192" t="n"/>
      <c r="I77" s="192" t="n"/>
      <c r="J77" s="192" t="n"/>
      <c r="K77" s="192" t="n"/>
      <c r="L77" s="192" t="n"/>
      <c r="M77" s="192" t="n"/>
      <c r="N77" s="192" t="n"/>
      <c r="O77" s="192" t="n"/>
      <c r="P77" s="192" t="n"/>
      <c r="Q77" s="192" t="n"/>
    </row>
    <row r="78" ht="15.75" customHeight="1" s="251">
      <c r="A78" s="192" t="n"/>
      <c r="B78" s="197" t="inlineStr">
        <is>
          <t>g  (NOPAT growth, Stage 1)</t>
        </is>
      </c>
      <c r="C78" s="239" t="n">
        <v>0.07000000000000001</v>
      </c>
      <c r="D78" s="198" t="inlineStr">
        <is>
          <t>Model adjusted EBIT CAGR 2026–30E: low/mid-single-digit organic growth (volume recovery + price), automation mix, bolt-on M&amp;A and buybacks → ~7% NOPAT growth</t>
        </is>
      </c>
      <c r="E78" s="192" t="n"/>
      <c r="F78" s="192" t="n"/>
      <c r="G78" s="192" t="n"/>
      <c r="H78" s="192" t="n"/>
      <c r="I78" s="192" t="n"/>
      <c r="J78" s="192" t="n"/>
      <c r="K78" s="192" t="n"/>
      <c r="L78" s="192" t="n"/>
      <c r="M78" s="192" t="n"/>
      <c r="N78" s="192" t="n"/>
      <c r="O78" s="192" t="n"/>
      <c r="P78" s="192" t="n"/>
      <c r="Q78" s="192" t="n"/>
    </row>
    <row r="79" ht="15.75" customHeight="1" s="251">
      <c r="A79" s="192" t="n"/>
      <c r="B79" s="197" t="inlineStr">
        <is>
          <t>ROIIC  (Return on incremental invested capital)</t>
        </is>
      </c>
      <c r="C79" s="239" t="n">
        <v>0.25</v>
      </c>
      <c r="D79" s="198" t="inlineStr">
        <is>
          <t>Consumables franchise and distribution reach earn high returns on organic investment (company adjusted ROIC ~22–23%); acquired growth earns lower returns on purchase price</t>
        </is>
      </c>
      <c r="E79" s="192" t="n"/>
      <c r="F79" s="192" t="n"/>
      <c r="G79" s="192" t="n"/>
      <c r="H79" s="192" t="n"/>
      <c r="I79" s="192" t="n"/>
      <c r="J79" s="192" t="n"/>
      <c r="K79" s="192" t="n"/>
      <c r="L79" s="192" t="n"/>
      <c r="M79" s="192" t="n"/>
      <c r="N79" s="192" t="n"/>
      <c r="O79" s="192" t="n"/>
      <c r="P79" s="192" t="n"/>
      <c r="Q79" s="192" t="n"/>
    </row>
    <row r="80" ht="15.75" customHeight="1" s="251">
      <c r="A80" s="192" t="n"/>
      <c r="B80" s="197" t="inlineStr">
        <is>
          <t>N  (Years of value creation / CAP)</t>
        </is>
      </c>
      <c r="C80" s="208" t="n">
        <v>12</v>
      </c>
      <c r="D80" s="198" t="inlineStr">
        <is>
          <t>#1 global arc-welding brand; consumables razor/razor-blade model; installed base, distributor network and application know-how; welding automation and cobot growth; RISE 2030 strategy</t>
        </is>
      </c>
      <c r="E80" s="192" t="n"/>
      <c r="F80" s="192" t="n"/>
      <c r="G80" s="192" t="n"/>
      <c r="H80" s="192" t="n"/>
      <c r="I80" s="192" t="n"/>
      <c r="J80" s="192" t="n"/>
      <c r="K80" s="192" t="n"/>
      <c r="L80" s="192" t="n"/>
      <c r="M80" s="192" t="n"/>
      <c r="N80" s="192" t="n"/>
      <c r="O80" s="192" t="n"/>
      <c r="P80" s="192" t="n"/>
      <c r="Q80" s="192" t="n"/>
    </row>
    <row r="81" ht="15" customHeight="1" s="251">
      <c r="A81" s="192" t="n"/>
      <c r="B81" s="192" t="n"/>
      <c r="C81" s="192" t="n"/>
      <c r="D81" s="192" t="n"/>
      <c r="E81" s="192" t="n"/>
      <c r="F81" s="192" t="n"/>
      <c r="G81" s="192" t="n"/>
      <c r="H81" s="192" t="n"/>
      <c r="I81" s="192" t="n"/>
      <c r="J81" s="192" t="n"/>
      <c r="K81" s="192" t="n"/>
      <c r="L81" s="192" t="n"/>
      <c r="M81" s="192" t="n"/>
      <c r="N81" s="192" t="n"/>
      <c r="O81" s="192" t="n"/>
      <c r="P81" s="192" t="n"/>
      <c r="Q81" s="192" t="n"/>
    </row>
    <row r="82" ht="15.75" customHeight="1" s="251">
      <c r="A82" s="192" t="n"/>
      <c r="B82" s="195" t="inlineStr">
        <is>
          <t>Calculation</t>
        </is>
      </c>
      <c r="C82" s="207" t="inlineStr">
        <is>
          <t>Value</t>
        </is>
      </c>
      <c r="D82" s="192" t="n"/>
      <c r="E82" s="192" t="n"/>
      <c r="F82" s="192" t="n"/>
      <c r="G82" s="192" t="n"/>
      <c r="H82" s="192" t="n"/>
      <c r="I82" s="192" t="n"/>
      <c r="J82" s="192" t="n"/>
      <c r="K82" s="192" t="n"/>
      <c r="L82" s="192" t="n"/>
      <c r="M82" s="192" t="n"/>
      <c r="N82" s="192" t="n"/>
      <c r="O82" s="192" t="n"/>
      <c r="P82" s="192" t="n"/>
      <c r="Q82" s="192" t="n"/>
    </row>
    <row r="83" ht="15.75" customHeight="1" s="251">
      <c r="A83" s="192" t="n"/>
      <c r="B83" s="197" t="inlineStr">
        <is>
          <t>Steady-state component:  1 / r</t>
        </is>
      </c>
      <c r="C83" s="240">
        <f>1/C77</f>
        <v>9.56333798749115</v>
      </c>
      <c r="D83" s="192" t="n"/>
      <c r="E83" s="192" t="n"/>
      <c r="F83" s="192" t="n"/>
      <c r="G83" s="192" t="n"/>
      <c r="H83" s="192" t="n"/>
      <c r="I83" s="192" t="n"/>
      <c r="J83" s="192" t="n"/>
      <c r="K83" s="192" t="n"/>
      <c r="L83" s="192" t="n"/>
      <c r="M83" s="192" t="n"/>
      <c r="N83" s="192" t="n"/>
      <c r="O83" s="192" t="n"/>
      <c r="P83" s="192" t="n"/>
      <c r="Q83" s="192" t="n"/>
    </row>
    <row r="84" ht="15.75" customHeight="1" s="251">
      <c r="A84" s="192" t="n"/>
      <c r="B84" s="197" t="inlineStr">
        <is>
          <t>Value-creation factor: 1 − r / ROIIC</t>
        </is>
      </c>
      <c r="C84" s="241">
        <f>1-C77/C79</f>
        <v>0.581736</v>
      </c>
      <c r="D84" s="192" t="n"/>
      <c r="E84" s="192" t="n"/>
      <c r="F84" s="192" t="n"/>
      <c r="G84" s="192" t="n"/>
      <c r="H84" s="192" t="n"/>
      <c r="I84" s="192" t="n"/>
      <c r="J84" s="192" t="n"/>
      <c r="K84" s="192" t="n"/>
      <c r="L84" s="192" t="n"/>
      <c r="M84" s="192" t="n"/>
      <c r="N84" s="192" t="n"/>
      <c r="O84" s="192" t="n"/>
      <c r="P84" s="192" t="n"/>
      <c r="Q84" s="192" t="n"/>
    </row>
    <row r="85" ht="15.75" customHeight="1" s="251">
      <c r="A85" s="192" t="n"/>
      <c r="B85" s="197" t="inlineStr">
        <is>
          <t>Growth multiplier: g × (1 − r/ROIIC) / (r × (r − g))</t>
        </is>
      </c>
      <c r="C85" s="241">
        <f>C78*C84/(C77*(C77-C78))</f>
        <v>11.2663790755187</v>
      </c>
      <c r="D85" s="192" t="n"/>
      <c r="E85" s="192" t="n"/>
      <c r="F85" s="192" t="n"/>
      <c r="G85" s="192" t="n"/>
      <c r="H85" s="192" t="n"/>
      <c r="I85" s="192" t="n"/>
      <c r="J85" s="192" t="n"/>
      <c r="K85" s="192" t="n"/>
      <c r="L85" s="192" t="n"/>
      <c r="M85" s="192" t="n"/>
      <c r="N85" s="192" t="n"/>
      <c r="O85" s="192" t="n"/>
      <c r="P85" s="192" t="n"/>
      <c r="Q85" s="192" t="n"/>
    </row>
    <row r="86" ht="15.75" customHeight="1" s="251">
      <c r="A86" s="192" t="n"/>
      <c r="B86" s="197" t="inlineStr">
        <is>
          <t>Time decay: 1 − ((1+g)/(1+r))^N</t>
        </is>
      </c>
      <c r="C86" s="242">
        <f>1-((1+C78)/(1+C77))^C80</f>
        <v>0.317181497174298</v>
      </c>
      <c r="D86" s="192" t="n"/>
      <c r="E86" s="192" t="n"/>
      <c r="F86" s="192" t="n"/>
      <c r="G86" s="192" t="n"/>
      <c r="H86" s="192" t="n"/>
      <c r="I86" s="192" t="n"/>
      <c r="J86" s="192" t="n"/>
      <c r="K86" s="192" t="n"/>
      <c r="L86" s="192" t="n"/>
      <c r="M86" s="192" t="n"/>
      <c r="N86" s="192" t="n"/>
      <c r="O86" s="192" t="n"/>
      <c r="P86" s="192" t="n"/>
      <c r="Q86" s="192" t="n"/>
    </row>
    <row r="87" ht="15.75" customHeight="1" s="251">
      <c r="A87" s="192" t="n"/>
      <c r="B87" s="197" t="inlineStr">
        <is>
          <t>PVGO component (growth value)</t>
        </is>
      </c>
      <c r="C87" s="240">
        <f>C85*C86</f>
        <v>3.57348698290622</v>
      </c>
      <c r="D87" s="192" t="n"/>
      <c r="E87" s="192" t="n"/>
      <c r="F87" s="192" t="n"/>
      <c r="G87" s="192" t="n"/>
      <c r="H87" s="192" t="n"/>
      <c r="I87" s="192" t="n"/>
      <c r="J87" s="192" t="n"/>
      <c r="K87" s="192" t="n"/>
      <c r="L87" s="192" t="n"/>
      <c r="M87" s="192" t="n"/>
      <c r="N87" s="192" t="n"/>
      <c r="O87" s="192" t="n"/>
      <c r="P87" s="192" t="n"/>
      <c r="Q87" s="192" t="n"/>
    </row>
    <row r="88" ht="15.75" customHeight="1" s="251">
      <c r="A88" s="192" t="n"/>
      <c r="B88" s="202" t="inlineStr">
        <is>
          <t>Mauboussin EV / NOPAT (steady-state + PVGO)</t>
        </is>
      </c>
      <c r="C88" s="295">
        <f>C83+C87</f>
        <v>13.1368249703974</v>
      </c>
      <c r="D88" s="192" t="n"/>
      <c r="E88" s="192" t="n"/>
      <c r="F88" s="192" t="n"/>
      <c r="G88" s="192" t="n"/>
      <c r="H88" s="192" t="n"/>
      <c r="I88" s="192" t="n"/>
      <c r="J88" s="192" t="n"/>
      <c r="K88" s="192" t="n"/>
      <c r="L88" s="192" t="n"/>
      <c r="M88" s="192" t="n"/>
      <c r="N88" s="192" t="n"/>
      <c r="O88" s="192" t="n"/>
      <c r="P88" s="192" t="n"/>
      <c r="Q88" s="192" t="n"/>
    </row>
    <row r="89" ht="15" customHeight="1" s="251">
      <c r="A89" s="192" t="n"/>
      <c r="B89" s="192" t="n"/>
      <c r="C89" s="192" t="n"/>
      <c r="D89" s="192" t="n"/>
      <c r="E89" s="192" t="n"/>
      <c r="F89" s="192" t="n"/>
      <c r="G89" s="192" t="n"/>
      <c r="H89" s="192" t="n"/>
      <c r="I89" s="192" t="n"/>
      <c r="J89" s="192" t="n"/>
      <c r="K89" s="192" t="n"/>
      <c r="L89" s="192" t="n"/>
      <c r="M89" s="192" t="n"/>
      <c r="N89" s="192" t="n"/>
      <c r="O89" s="192" t="n"/>
      <c r="P89" s="192" t="n"/>
      <c r="Q89" s="192" t="n"/>
    </row>
    <row r="90" ht="15.75" customHeight="1" s="251">
      <c r="A90" s="192" t="n"/>
      <c r="B90" s="195" t="inlineStr">
        <is>
          <t>VALUATION  —  Applied to 2028E NOPAT</t>
        </is>
      </c>
      <c r="C90" s="207" t="inlineStr">
        <is>
          <t>USDm</t>
        </is>
      </c>
      <c r="D90" s="192" t="n"/>
      <c r="E90" s="192" t="n"/>
      <c r="F90" s="192" t="n"/>
      <c r="G90" s="192" t="n"/>
      <c r="H90" s="192" t="n"/>
      <c r="I90" s="192" t="n"/>
      <c r="J90" s="192" t="n"/>
      <c r="K90" s="192" t="n"/>
      <c r="L90" s="192" t="n"/>
      <c r="M90" s="192" t="n"/>
      <c r="N90" s="192" t="n"/>
      <c r="O90" s="192" t="n"/>
      <c r="P90" s="192" t="n"/>
      <c r="Q90" s="192" t="n"/>
    </row>
    <row r="91" ht="15.75" customHeight="1" s="251">
      <c r="A91" s="192" t="n"/>
      <c r="B91" s="197" t="inlineStr">
        <is>
          <t>2028E Adj. EBIT less rationalization &amp; transaction costs</t>
        </is>
      </c>
      <c r="C91" s="209">
        <f>Model!CC222-Model!CC214-Model!CC215</f>
        <v>1019.4539418654</v>
      </c>
      <c r="D91" s="192" t="n"/>
      <c r="E91" s="192" t="n"/>
      <c r="F91" s="192" t="n"/>
      <c r="G91" s="192" t="n"/>
      <c r="H91" s="192" t="n"/>
      <c r="I91" s="192" t="n"/>
      <c r="J91" s="192" t="n"/>
      <c r="K91" s="192" t="n"/>
      <c r="L91" s="192" t="n"/>
      <c r="M91" s="192" t="n"/>
      <c r="N91" s="192" t="n"/>
      <c r="O91" s="192" t="n"/>
      <c r="P91" s="192" t="n"/>
      <c r="Q91" s="192" t="n"/>
    </row>
    <row r="92" ht="15.75" customHeight="1" s="251">
      <c r="A92" s="192" t="n"/>
      <c r="B92" s="197" t="inlineStr">
        <is>
          <t>Tax rate (from WACC build)</t>
        </is>
      </c>
      <c r="C92" s="210">
        <f>$C$10</f>
        <v>0.235</v>
      </c>
      <c r="D92" s="192" t="n"/>
      <c r="E92" s="192" t="n"/>
      <c r="F92" s="192" t="n"/>
      <c r="G92" s="192" t="n"/>
      <c r="H92" s="192" t="n"/>
      <c r="I92" s="192" t="n"/>
      <c r="J92" s="192" t="n"/>
      <c r="K92" s="192" t="n"/>
      <c r="L92" s="192" t="n"/>
      <c r="M92" s="192" t="n"/>
      <c r="N92" s="192" t="n"/>
      <c r="O92" s="192" t="n"/>
      <c r="P92" s="192" t="n"/>
      <c r="Q92" s="192" t="n"/>
    </row>
    <row r="93" ht="15.75" customHeight="1" s="251">
      <c r="A93" s="192" t="n"/>
      <c r="B93" s="197" t="inlineStr">
        <is>
          <t>2028E NOPAT</t>
        </is>
      </c>
      <c r="C93" s="211">
        <f>C91*(1-C92)</f>
        <v>779.882265527033</v>
      </c>
      <c r="D93" s="192" t="n"/>
      <c r="E93" s="192" t="n"/>
      <c r="F93" s="192" t="n"/>
      <c r="G93" s="192" t="n"/>
      <c r="H93" s="192" t="n"/>
      <c r="I93" s="192" t="n"/>
      <c r="J93" s="192" t="n"/>
      <c r="K93" s="192" t="n"/>
      <c r="L93" s="192" t="n"/>
      <c r="M93" s="192" t="n"/>
      <c r="N93" s="192" t="n"/>
      <c r="O93" s="192" t="n"/>
      <c r="P93" s="192" t="n"/>
      <c r="Q93" s="192" t="n"/>
    </row>
    <row r="94" ht="15.75" customHeight="1" s="251">
      <c r="A94" s="192" t="n"/>
      <c r="B94" s="197" t="inlineStr">
        <is>
          <t>× Mauboussin EV/NOPAT multiple</t>
        </is>
      </c>
      <c r="C94" s="296">
        <f>C88</f>
        <v>13.1368249703974</v>
      </c>
      <c r="D94" s="192" t="n"/>
      <c r="E94" s="192" t="n"/>
      <c r="F94" s="192" t="n"/>
      <c r="G94" s="192" t="n"/>
      <c r="H94" s="192" t="n"/>
      <c r="I94" s="192" t="n"/>
      <c r="J94" s="192" t="n"/>
      <c r="K94" s="192" t="n"/>
      <c r="L94" s="192" t="n"/>
      <c r="M94" s="192" t="n"/>
      <c r="N94" s="192" t="n"/>
      <c r="O94" s="192" t="n"/>
      <c r="P94" s="192" t="n"/>
      <c r="Q94" s="192" t="n"/>
    </row>
    <row r="95" ht="15.75" customHeight="1" s="251">
      <c r="A95" s="192" t="n"/>
      <c r="B95" s="197" t="inlineStr">
        <is>
          <t>Implied Enterprise Value (2028E basis)</t>
        </is>
      </c>
      <c r="C95" s="211">
        <f>C93*C94</f>
        <v>10245.1768197456</v>
      </c>
      <c r="D95" s="192" t="n"/>
      <c r="E95" s="192" t="n"/>
      <c r="F95" s="192" t="n"/>
      <c r="G95" s="192" t="n"/>
      <c r="H95" s="192" t="n"/>
      <c r="I95" s="192" t="n"/>
      <c r="J95" s="192" t="n"/>
      <c r="K95" s="192" t="n"/>
      <c r="L95" s="192" t="n"/>
      <c r="M95" s="192" t="n"/>
      <c r="N95" s="192" t="n"/>
      <c r="O95" s="192" t="n"/>
      <c r="P95" s="192" t="n"/>
      <c r="Q95" s="192" t="n"/>
    </row>
    <row r="96" ht="15.75" customHeight="1" s="251">
      <c r="A96" s="192" t="n"/>
      <c r="B96" s="197" t="inlineStr">
        <is>
          <t>Less: YE2027 net debt + NCI (Model)</t>
        </is>
      </c>
      <c r="C96" s="209">
        <f>Model!CB419+Model!CB345</f>
        <v>1054.69437734224</v>
      </c>
      <c r="D96" s="192" t="n"/>
      <c r="E96" s="192" t="n"/>
      <c r="F96" s="192" t="n"/>
      <c r="G96" s="192" t="n"/>
      <c r="H96" s="192" t="n"/>
      <c r="I96" s="192" t="n"/>
      <c r="J96" s="192" t="n"/>
      <c r="K96" s="192" t="n"/>
      <c r="L96" s="192" t="n"/>
      <c r="M96" s="192" t="n"/>
      <c r="N96" s="192" t="n"/>
      <c r="O96" s="192" t="n"/>
      <c r="P96" s="192" t="n"/>
      <c r="Q96" s="192" t="n"/>
    </row>
    <row r="97" ht="15.75" customHeight="1" s="251">
      <c r="A97" s="192" t="n"/>
      <c r="B97" s="197" t="inlineStr">
        <is>
          <t>Implied Equity Value</t>
        </is>
      </c>
      <c r="C97" s="211">
        <f>C95-C96</f>
        <v>9190.48244240337</v>
      </c>
      <c r="D97" s="192" t="n"/>
      <c r="E97" s="192" t="n"/>
      <c r="F97" s="192" t="n"/>
      <c r="G97" s="192" t="n"/>
      <c r="H97" s="192" t="n"/>
      <c r="I97" s="192" t="n"/>
      <c r="J97" s="192" t="n"/>
      <c r="K97" s="192" t="n"/>
      <c r="L97" s="192" t="n"/>
      <c r="M97" s="192" t="n"/>
      <c r="N97" s="192" t="n"/>
      <c r="O97" s="192" t="n"/>
      <c r="P97" s="192" t="n"/>
      <c r="Q97" s="192" t="n"/>
    </row>
    <row r="98" ht="15.75" customHeight="1" s="251">
      <c r="A98" s="192" t="n"/>
      <c r="B98" s="197" t="inlineStr">
        <is>
          <t>Diluted shares 2028E (m, Model)</t>
        </is>
      </c>
      <c r="C98" s="212">
        <f>Model!CC425</f>
        <v>52.6094275706635</v>
      </c>
      <c r="D98" s="192" t="n"/>
      <c r="E98" s="192" t="n"/>
      <c r="F98" s="192" t="n"/>
      <c r="G98" s="192" t="n"/>
      <c r="H98" s="192" t="n"/>
      <c r="I98" s="192" t="n"/>
      <c r="J98" s="192" t="n"/>
      <c r="K98" s="192" t="n"/>
      <c r="L98" s="192" t="n"/>
      <c r="M98" s="192" t="n"/>
      <c r="N98" s="192" t="n"/>
      <c r="O98" s="192" t="n"/>
      <c r="P98" s="192" t="n"/>
      <c r="Q98" s="192" t="n"/>
    </row>
    <row r="99" ht="15.75" customHeight="1" s="251">
      <c r="A99" s="192" t="n"/>
      <c r="B99" s="202" t="inlineStr">
        <is>
          <t>Implied share price 2028 ($)</t>
        </is>
      </c>
      <c r="C99" s="213">
        <f>C97/C98</f>
        <v>174.692690393922</v>
      </c>
      <c r="D99" s="192" t="n"/>
      <c r="E99" s="192" t="n"/>
      <c r="F99" s="192" t="n"/>
      <c r="G99" s="192" t="n"/>
      <c r="H99" s="192" t="n"/>
      <c r="I99" s="192" t="n"/>
      <c r="J99" s="192" t="n"/>
      <c r="K99" s="192" t="n"/>
      <c r="L99" s="192" t="n"/>
      <c r="M99" s="192" t="n"/>
      <c r="N99" s="192" t="n"/>
      <c r="O99" s="192" t="n"/>
      <c r="P99" s="192" t="n"/>
      <c r="Q99" s="192" t="n"/>
    </row>
    <row r="100" ht="15" customHeight="1" s="251">
      <c r="A100" s="192" t="n"/>
      <c r="B100" s="192" t="n"/>
      <c r="C100" s="192" t="n"/>
      <c r="D100" s="192" t="n"/>
      <c r="E100" s="192" t="n"/>
      <c r="F100" s="192" t="n"/>
      <c r="G100" s="192" t="n"/>
      <c r="H100" s="192" t="n"/>
      <c r="I100" s="192" t="n"/>
      <c r="J100" s="192" t="n"/>
      <c r="K100" s="192" t="n"/>
      <c r="L100" s="192" t="n"/>
      <c r="M100" s="192" t="n"/>
      <c r="N100" s="192" t="n"/>
      <c r="O100" s="192" t="n"/>
      <c r="P100" s="192" t="n"/>
      <c r="Q100" s="192" t="n"/>
    </row>
    <row r="101" ht="15.75" customHeight="1" s="251">
      <c r="A101" s="192" t="n"/>
      <c r="B101" s="197" t="inlineStr">
        <is>
          <t>Current share price ($)</t>
        </is>
      </c>
      <c r="C101" s="214">
        <f>C52</f>
        <v>275.54</v>
      </c>
      <c r="D101" s="192" t="n"/>
      <c r="E101" s="192" t="n"/>
      <c r="F101" s="192" t="n"/>
      <c r="G101" s="192" t="n"/>
      <c r="H101" s="192" t="n"/>
      <c r="I101" s="192" t="n"/>
      <c r="J101" s="192" t="n"/>
      <c r="K101" s="192" t="n"/>
      <c r="L101" s="192" t="n"/>
      <c r="M101" s="192" t="n"/>
      <c r="N101" s="192" t="n"/>
      <c r="O101" s="192" t="n"/>
      <c r="P101" s="192" t="n"/>
      <c r="Q101" s="192" t="n"/>
    </row>
    <row r="102" ht="15.75" customHeight="1" s="251">
      <c r="A102" s="192" t="n"/>
      <c r="B102" s="199" t="inlineStr">
        <is>
          <t>Implied upside / (downside)</t>
        </is>
      </c>
      <c r="C102" s="245">
        <f>C99/C101-1</f>
        <v>-0.365998800922111</v>
      </c>
      <c r="D102" s="192" t="n"/>
      <c r="E102" s="192" t="n"/>
      <c r="F102" s="192" t="n"/>
      <c r="G102" s="192" t="n"/>
      <c r="H102" s="192" t="n"/>
      <c r="I102" s="192" t="n"/>
      <c r="J102" s="192" t="n"/>
      <c r="K102" s="192" t="n"/>
      <c r="L102" s="192" t="n"/>
      <c r="M102" s="192" t="n"/>
      <c r="N102" s="192" t="n"/>
      <c r="O102" s="192" t="n"/>
      <c r="P102" s="192" t="n"/>
      <c r="Q102" s="192" t="n"/>
    </row>
    <row r="103" ht="15" customHeight="1" s="251">
      <c r="A103" s="192" t="n"/>
      <c r="B103" s="192" t="n"/>
      <c r="C103" s="192" t="n"/>
      <c r="D103" s="192" t="n"/>
      <c r="E103" s="192" t="n"/>
      <c r="F103" s="192" t="n"/>
      <c r="G103" s="192" t="n"/>
      <c r="H103" s="192" t="n"/>
      <c r="I103" s="192" t="n"/>
      <c r="J103" s="192" t="n"/>
      <c r="K103" s="192" t="n"/>
      <c r="L103" s="192" t="n"/>
      <c r="M103" s="192" t="n"/>
      <c r="N103" s="192" t="n"/>
      <c r="O103" s="192" t="n"/>
      <c r="P103" s="192" t="n"/>
      <c r="Q103" s="192" t="n"/>
    </row>
    <row r="104" ht="15.75" customHeight="1" s="251">
      <c r="A104" s="192" t="n"/>
      <c r="B104" s="195" t="inlineStr">
        <is>
          <t>MARKET-IMPLIED EV/NOPAT TODAY</t>
        </is>
      </c>
      <c r="C104" s="207" t="inlineStr">
        <is>
          <t>USDm</t>
        </is>
      </c>
      <c r="D104" s="192" t="n"/>
      <c r="E104" s="192" t="n"/>
      <c r="F104" s="192" t="n"/>
      <c r="G104" s="192" t="n"/>
      <c r="H104" s="192" t="n"/>
      <c r="I104" s="192" t="n"/>
      <c r="J104" s="192" t="n"/>
      <c r="K104" s="192" t="n"/>
      <c r="L104" s="192" t="n"/>
      <c r="M104" s="192" t="n"/>
      <c r="N104" s="192" t="n"/>
      <c r="O104" s="192" t="n"/>
      <c r="P104" s="192" t="n"/>
      <c r="Q104" s="192" t="n"/>
    </row>
    <row r="105" ht="15.75" customHeight="1" s="251">
      <c r="A105" s="192" t="n"/>
      <c r="B105" s="197" t="inlineStr">
        <is>
          <t>Current market cap (spot × diluted shares)</t>
        </is>
      </c>
      <c r="C105" s="211">
        <f>C52*C50</f>
        <v>15041.09655878</v>
      </c>
      <c r="D105" s="192" t="n"/>
      <c r="E105" s="192" t="n"/>
      <c r="F105" s="192" t="n"/>
      <c r="G105" s="192" t="n"/>
      <c r="H105" s="192" t="n"/>
      <c r="I105" s="192" t="n"/>
      <c r="J105" s="192" t="n"/>
      <c r="K105" s="192" t="n"/>
      <c r="L105" s="192" t="n"/>
      <c r="M105" s="192" t="n"/>
      <c r="N105" s="192" t="n"/>
      <c r="O105" s="192" t="n"/>
      <c r="P105" s="192" t="n"/>
      <c r="Q105" s="192" t="n"/>
    </row>
    <row r="106" ht="15.75" customHeight="1" s="251">
      <c r="A106" s="192" t="n"/>
      <c r="B106" s="197" t="inlineStr">
        <is>
          <t>Plus: YE2026 net debt + NCI</t>
        </is>
      </c>
      <c r="C106" s="211">
        <f>C48</f>
        <v>896.796958863492</v>
      </c>
      <c r="D106" s="192" t="n"/>
      <c r="E106" s="192" t="n"/>
      <c r="F106" s="192" t="n"/>
      <c r="G106" s="192" t="n"/>
      <c r="H106" s="192" t="n"/>
      <c r="I106" s="192" t="n"/>
      <c r="J106" s="192" t="n"/>
      <c r="K106" s="192" t="n"/>
      <c r="L106" s="192" t="n"/>
      <c r="M106" s="192" t="n"/>
      <c r="N106" s="192" t="n"/>
      <c r="O106" s="192" t="n"/>
      <c r="P106" s="192" t="n"/>
      <c r="Q106" s="192" t="n"/>
    </row>
    <row r="107" ht="15.75" customHeight="1" s="251">
      <c r="A107" s="192" t="n"/>
      <c r="B107" s="197" t="inlineStr">
        <is>
          <t>Implied Enterprise Value (today)</t>
        </is>
      </c>
      <c r="C107" s="211">
        <f>C105+C106</f>
        <v>15937.8935176435</v>
      </c>
      <c r="D107" s="192" t="n"/>
      <c r="E107" s="192" t="n"/>
      <c r="F107" s="192" t="n"/>
      <c r="G107" s="192" t="n"/>
      <c r="H107" s="192" t="n"/>
      <c r="I107" s="192" t="n"/>
      <c r="J107" s="192" t="n"/>
      <c r="K107" s="192" t="n"/>
      <c r="L107" s="192" t="n"/>
      <c r="M107" s="192" t="n"/>
      <c r="N107" s="192" t="n"/>
      <c r="O107" s="192" t="n"/>
      <c r="P107" s="192" t="n"/>
      <c r="Q107" s="192" t="n"/>
    </row>
    <row r="108" ht="15.75" customHeight="1" s="251">
      <c r="A108" s="192" t="n"/>
      <c r="B108" s="202" t="inlineStr">
        <is>
          <t>LECO market-implied EV/NOPAT (on 2028E NOPAT)</t>
        </is>
      </c>
      <c r="C108" s="297">
        <f>C107/C93</f>
        <v>20.4362815031739</v>
      </c>
      <c r="D108" s="192" t="n"/>
      <c r="E108" s="192" t="n"/>
      <c r="F108" s="192" t="n"/>
      <c r="G108" s="192" t="n"/>
      <c r="H108" s="192" t="n"/>
      <c r="I108" s="192" t="n"/>
      <c r="J108" s="192" t="n"/>
      <c r="K108" s="192" t="n"/>
      <c r="L108" s="192" t="n"/>
      <c r="M108" s="192" t="n"/>
      <c r="N108" s="192" t="n"/>
      <c r="O108" s="192" t="n"/>
      <c r="P108" s="192" t="n"/>
      <c r="Q108" s="192" t="n"/>
    </row>
    <row r="109" ht="15" customHeight="1" s="251">
      <c r="A109" s="192" t="n"/>
      <c r="B109" s="192" t="n"/>
      <c r="C109" s="192" t="n"/>
      <c r="D109" s="192" t="n"/>
      <c r="E109" s="192" t="n"/>
      <c r="F109" s="192" t="n"/>
      <c r="G109" s="192" t="n"/>
      <c r="H109" s="192" t="n"/>
      <c r="I109" s="192" t="n"/>
      <c r="J109" s="192" t="n"/>
      <c r="K109" s="192" t="n"/>
      <c r="L109" s="192" t="n"/>
      <c r="M109" s="192" t="n"/>
      <c r="N109" s="192" t="n"/>
      <c r="O109" s="192" t="n"/>
      <c r="P109" s="192" t="n"/>
      <c r="Q109" s="192" t="n"/>
    </row>
    <row r="110" ht="15.75" customHeight="1" s="251">
      <c r="A110" s="192" t="n"/>
      <c r="B110" s="199" t="inlineStr">
        <is>
          <t>Multiple gap (Mauboussin − Market)</t>
        </is>
      </c>
      <c r="C110" s="247">
        <f>C88-C108</f>
        <v>-7.29945653277657</v>
      </c>
      <c r="D110" s="192" t="n"/>
      <c r="E110" s="192" t="n"/>
      <c r="F110" s="192" t="n"/>
      <c r="G110" s="192" t="n"/>
      <c r="H110" s="192" t="n"/>
      <c r="I110" s="192" t="n"/>
      <c r="J110" s="192" t="n"/>
      <c r="K110" s="192" t="n"/>
      <c r="L110" s="192" t="n"/>
      <c r="M110" s="192" t="n"/>
      <c r="N110" s="192" t="n"/>
      <c r="O110" s="192" t="n"/>
      <c r="P110" s="192" t="n"/>
      <c r="Q110" s="192" t="n"/>
    </row>
    <row r="111" ht="15.75" customHeight="1" s="251">
      <c r="A111" s="192" t="n"/>
      <c r="B111" s="197" t="inlineStr">
        <is>
          <t>Implied re-rating headroom</t>
        </is>
      </c>
      <c r="C111" s="215">
        <f>C88/C108-1</f>
        <v>-0.357181248048619</v>
      </c>
      <c r="D111" s="192" t="n"/>
      <c r="E111" s="192" t="n"/>
      <c r="F111" s="192" t="n"/>
      <c r="G111" s="192" t="n"/>
      <c r="H111" s="192" t="n"/>
      <c r="I111" s="192" t="n"/>
      <c r="J111" s="192" t="n"/>
      <c r="K111" s="192" t="n"/>
      <c r="L111" s="192" t="n"/>
      <c r="M111" s="192" t="n"/>
      <c r="N111" s="192" t="n"/>
      <c r="O111" s="192" t="n"/>
      <c r="P111" s="192" t="n"/>
      <c r="Q111" s="192" t="n"/>
    </row>
    <row r="112" ht="15" customHeight="1" s="251">
      <c r="A112" s="192" t="n"/>
      <c r="B112" s="192" t="n"/>
      <c r="C112" s="192" t="n"/>
      <c r="D112" s="192" t="n"/>
      <c r="E112" s="192" t="n"/>
      <c r="F112" s="192" t="n"/>
      <c r="G112" s="192" t="n"/>
      <c r="H112" s="192" t="n"/>
      <c r="I112" s="192" t="n"/>
      <c r="J112" s="192" t="n"/>
      <c r="K112" s="192" t="n"/>
      <c r="L112" s="192" t="n"/>
      <c r="M112" s="192" t="n"/>
      <c r="N112" s="192" t="n"/>
      <c r="O112" s="192" t="n"/>
      <c r="P112" s="192" t="n"/>
      <c r="Q112" s="192" t="n"/>
    </row>
    <row r="113" ht="15" customHeight="1" s="251">
      <c r="A113" s="192" t="n"/>
      <c r="B113" s="192" t="n"/>
      <c r="C113" s="192" t="n"/>
      <c r="D113" s="192" t="n"/>
      <c r="E113" s="192" t="n"/>
      <c r="F113" s="192" t="n"/>
      <c r="G113" s="192" t="n"/>
      <c r="H113" s="192" t="n"/>
      <c r="I113" s="192" t="n"/>
      <c r="J113" s="192" t="n"/>
      <c r="K113" s="192" t="n"/>
      <c r="L113" s="192" t="n"/>
      <c r="M113" s="192" t="n"/>
      <c r="N113" s="192" t="n"/>
      <c r="O113" s="192" t="n"/>
      <c r="P113" s="192" t="n"/>
      <c r="Q113" s="192" t="n"/>
    </row>
    <row r="114" ht="15" customHeight="1" s="251">
      <c r="A114" s="192" t="n"/>
      <c r="B114" s="192" t="n"/>
      <c r="C114" s="192" t="n"/>
      <c r="D114" s="192" t="n"/>
      <c r="E114" s="192" t="n"/>
      <c r="F114" s="192" t="n"/>
      <c r="G114" s="192" t="n"/>
      <c r="H114" s="192" t="n"/>
      <c r="I114" s="192" t="n"/>
      <c r="J114" s="192" t="n"/>
      <c r="K114" s="192" t="n"/>
      <c r="L114" s="192" t="n"/>
      <c r="M114" s="192" t="n"/>
      <c r="N114" s="192" t="n"/>
      <c r="O114" s="192" t="n"/>
      <c r="P114" s="192" t="n"/>
      <c r="Q114" s="192" t="n"/>
    </row>
    <row r="115" ht="15" customHeight="1" s="251">
      <c r="A115" s="192" t="n"/>
      <c r="B115" s="192" t="n"/>
      <c r="C115" s="192" t="n"/>
      <c r="D115" s="192" t="n"/>
      <c r="E115" s="192" t="n"/>
      <c r="F115" s="192" t="n"/>
      <c r="G115" s="192" t="n"/>
      <c r="H115" s="192" t="n"/>
      <c r="I115" s="192" t="n"/>
      <c r="J115" s="192" t="n"/>
      <c r="K115" s="192" t="n"/>
      <c r="L115" s="192" t="n"/>
      <c r="M115" s="192" t="n"/>
      <c r="N115" s="192" t="n"/>
      <c r="O115" s="192" t="n"/>
      <c r="P115" s="192" t="n"/>
      <c r="Q115" s="192" t="n"/>
    </row>
    <row r="116">
      <c r="A116" s="192" t="n"/>
      <c r="B116" s="192" t="n"/>
      <c r="C116" s="192" t="n"/>
      <c r="D116" s="192" t="n"/>
      <c r="E116" s="192" t="n"/>
      <c r="F116" s="192" t="n"/>
      <c r="G116" s="192" t="n"/>
      <c r="H116" s="192" t="n"/>
      <c r="I116" s="192" t="n"/>
      <c r="J116" s="192" t="n"/>
      <c r="K116" s="192" t="n"/>
      <c r="L116" s="192" t="n"/>
      <c r="M116" s="192" t="n"/>
      <c r="N116" s="192" t="n"/>
      <c r="O116" s="192" t="n"/>
      <c r="P116" s="192" t="n"/>
      <c r="Q116" s="192" t="n"/>
    </row>
    <row r="117" ht="15" customHeight="1" s="251">
      <c r="A117" s="192" t="n"/>
      <c r="B117" s="192" t="n"/>
      <c r="C117" s="192" t="n"/>
      <c r="D117" s="192" t="n"/>
      <c r="E117" s="192" t="n"/>
      <c r="F117" s="192" t="n"/>
      <c r="G117" s="192" t="n"/>
      <c r="H117" s="192" t="n"/>
      <c r="I117" s="192" t="n"/>
      <c r="J117" s="192" t="n"/>
      <c r="K117" s="192" t="n"/>
      <c r="L117" s="192" t="n"/>
      <c r="M117" s="192" t="n"/>
      <c r="N117" s="192" t="n"/>
      <c r="O117" s="192" t="n"/>
      <c r="P117" s="192" t="n"/>
      <c r="Q117" s="192" t="n"/>
    </row>
    <row r="118" ht="15" customHeight="1" s="251">
      <c r="A118" s="192" t="n"/>
      <c r="B118" s="192" t="n"/>
      <c r="C118" s="192" t="n"/>
      <c r="D118" s="192" t="n"/>
      <c r="E118" s="192" t="n"/>
      <c r="F118" s="192" t="n"/>
      <c r="G118" s="192" t="n"/>
      <c r="H118" s="192" t="n"/>
      <c r="I118" s="192" t="n"/>
      <c r="J118" s="192" t="n"/>
      <c r="K118" s="192" t="n"/>
      <c r="L118" s="192" t="n"/>
      <c r="M118" s="192" t="n"/>
      <c r="N118" s="192" t="n"/>
      <c r="O118" s="192" t="n"/>
      <c r="P118" s="192" t="n"/>
      <c r="Q118" s="192" t="n"/>
    </row>
    <row r="119">
      <c r="A119" s="192" t="n"/>
      <c r="B119" s="192" t="n"/>
      <c r="C119" s="192" t="n"/>
      <c r="D119" s="192" t="n"/>
      <c r="E119" s="192" t="n"/>
      <c r="F119" s="192" t="n"/>
      <c r="G119" s="192" t="n"/>
      <c r="H119" s="192" t="n"/>
      <c r="I119" s="192" t="n"/>
      <c r="J119" s="192" t="n"/>
      <c r="K119" s="192" t="n"/>
      <c r="L119" s="192" t="n"/>
      <c r="M119" s="192" t="n"/>
      <c r="N119" s="192" t="n"/>
      <c r="O119" s="192" t="n"/>
      <c r="P119" s="192" t="n"/>
      <c r="Q119" s="192" t="n"/>
    </row>
    <row r="120">
      <c r="A120" s="192" t="n"/>
      <c r="B120" s="192" t="n"/>
      <c r="C120" s="192" t="n"/>
      <c r="D120" s="192" t="n"/>
      <c r="E120" s="192" t="n"/>
      <c r="F120" s="192" t="n"/>
      <c r="G120" s="192" t="n"/>
      <c r="H120" s="192" t="n"/>
      <c r="I120" s="192" t="n"/>
      <c r="J120" s="192" t="n"/>
      <c r="K120" s="192" t="n"/>
      <c r="L120" s="192" t="n"/>
      <c r="M120" s="192" t="n"/>
      <c r="N120" s="192" t="n"/>
      <c r="O120" s="192" t="n"/>
      <c r="P120" s="192" t="n"/>
      <c r="Q120" s="192" t="n"/>
    </row>
    <row r="121">
      <c r="A121" s="192" t="n"/>
      <c r="B121" s="192" t="n"/>
      <c r="C121" s="192" t="n"/>
      <c r="D121" s="192" t="n"/>
      <c r="E121" s="192" t="n"/>
      <c r="F121" s="192" t="n"/>
      <c r="G121" s="192" t="n"/>
      <c r="H121" s="192" t="n"/>
      <c r="I121" s="192" t="n"/>
      <c r="J121" s="192" t="n"/>
      <c r="K121" s="192" t="n"/>
      <c r="L121" s="192" t="n"/>
      <c r="M121" s="192" t="n"/>
      <c r="N121" s="192" t="n"/>
      <c r="O121" s="192" t="n"/>
      <c r="P121" s="192" t="n"/>
      <c r="Q121" s="192" t="n"/>
    </row>
    <row r="122">
      <c r="A122" s="192" t="n"/>
      <c r="B122" s="192" t="n"/>
      <c r="C122" s="192" t="n"/>
      <c r="D122" s="192" t="n"/>
      <c r="E122" s="192" t="n"/>
      <c r="F122" s="192" t="n"/>
      <c r="G122" s="192" t="n"/>
      <c r="H122" s="192" t="n"/>
      <c r="I122" s="192" t="n"/>
      <c r="J122" s="192" t="n"/>
      <c r="K122" s="192" t="n"/>
      <c r="L122" s="192" t="n"/>
      <c r="M122" s="192" t="n"/>
      <c r="N122" s="192" t="n"/>
      <c r="O122" s="192" t="n"/>
      <c r="P122" s="192" t="n"/>
      <c r="Q122" s="192" t="n"/>
    </row>
    <row r="123">
      <c r="A123" s="192" t="n"/>
      <c r="B123" s="192" t="n"/>
      <c r="C123" s="192" t="n"/>
      <c r="D123" s="192" t="n"/>
      <c r="E123" s="192" t="n"/>
      <c r="F123" s="192" t="n"/>
      <c r="G123" s="192" t="n"/>
      <c r="H123" s="192" t="n"/>
      <c r="I123" s="192" t="n"/>
      <c r="J123" s="192" t="n"/>
      <c r="K123" s="192" t="n"/>
      <c r="L123" s="192" t="n"/>
      <c r="M123" s="192" t="n"/>
      <c r="N123" s="192" t="n"/>
      <c r="O123" s="192" t="n"/>
      <c r="P123" s="192" t="n"/>
      <c r="Q123" s="192" t="n"/>
    </row>
    <row r="124">
      <c r="A124" s="192" t="n"/>
      <c r="B124" s="192" t="n"/>
      <c r="C124" s="192" t="n"/>
      <c r="D124" s="192" t="n"/>
      <c r="E124" s="192" t="n"/>
      <c r="F124" s="192" t="n"/>
      <c r="G124" s="192" t="n"/>
      <c r="H124" s="192" t="n"/>
      <c r="I124" s="192" t="n"/>
      <c r="J124" s="192" t="n"/>
      <c r="K124" s="192" t="n"/>
      <c r="L124" s="192" t="n"/>
      <c r="M124" s="192" t="n"/>
      <c r="N124" s="192" t="n"/>
      <c r="O124" s="192" t="n"/>
      <c r="P124" s="192" t="n"/>
      <c r="Q124" s="192" t="n"/>
    </row>
    <row r="125">
      <c r="A125" s="192" t="n"/>
      <c r="B125" s="192" t="n"/>
      <c r="C125" s="192" t="n"/>
      <c r="D125" s="192" t="n"/>
      <c r="E125" s="192" t="n"/>
      <c r="F125" s="192" t="n"/>
      <c r="G125" s="192" t="n"/>
      <c r="H125" s="192" t="n"/>
      <c r="I125" s="192" t="n"/>
      <c r="J125" s="192" t="n"/>
      <c r="K125" s="192" t="n"/>
      <c r="L125" s="192" t="n"/>
      <c r="M125" s="192" t="n"/>
      <c r="N125" s="192" t="n"/>
      <c r="O125" s="192" t="n"/>
      <c r="P125" s="192" t="n"/>
      <c r="Q125" s="192" t="n"/>
    </row>
    <row r="126">
      <c r="A126" s="192" t="n"/>
      <c r="B126" s="192" t="n"/>
      <c r="C126" s="192" t="n"/>
      <c r="D126" s="192" t="n"/>
      <c r="E126" s="192" t="n"/>
      <c r="F126" s="192" t="n"/>
      <c r="G126" s="192" t="n"/>
      <c r="H126" s="192" t="n"/>
      <c r="I126" s="192" t="n"/>
      <c r="J126" s="192" t="n"/>
      <c r="K126" s="192" t="n"/>
      <c r="L126" s="192" t="n"/>
      <c r="M126" s="192" t="n"/>
      <c r="N126" s="192" t="n"/>
      <c r="O126" s="192" t="n"/>
      <c r="P126" s="192" t="n"/>
      <c r="Q126" s="192" t="n"/>
    </row>
    <row r="127">
      <c r="A127" s="192" t="n"/>
      <c r="B127" s="192" t="n"/>
      <c r="C127" s="192" t="n"/>
      <c r="D127" s="192" t="n"/>
      <c r="E127" s="192" t="n"/>
      <c r="F127" s="192" t="n"/>
      <c r="G127" s="192" t="n"/>
      <c r="H127" s="192" t="n"/>
      <c r="I127" s="192" t="n"/>
      <c r="J127" s="192" t="n"/>
      <c r="K127" s="192" t="n"/>
      <c r="L127" s="192" t="n"/>
      <c r="M127" s="192" t="n"/>
      <c r="N127" s="192" t="n"/>
      <c r="O127" s="192" t="n"/>
      <c r="P127" s="192" t="n"/>
      <c r="Q127" s="192" t="n"/>
    </row>
    <row r="128">
      <c r="A128" s="192" t="n"/>
      <c r="B128" s="192" t="n"/>
      <c r="C128" s="192" t="n"/>
      <c r="D128" s="192" t="n"/>
      <c r="E128" s="192" t="n"/>
      <c r="F128" s="192" t="n"/>
      <c r="G128" s="192" t="n"/>
      <c r="H128" s="192" t="n"/>
      <c r="I128" s="192" t="n"/>
      <c r="J128" s="192" t="n"/>
      <c r="K128" s="192" t="n"/>
      <c r="L128" s="192" t="n"/>
      <c r="M128" s="192" t="n"/>
      <c r="N128" s="192" t="n"/>
      <c r="O128" s="192" t="n"/>
      <c r="P128" s="192" t="n"/>
      <c r="Q128" s="192" t="n"/>
    </row>
    <row r="129">
      <c r="A129" s="192" t="n"/>
      <c r="B129" s="192" t="n"/>
      <c r="C129" s="192" t="n"/>
      <c r="D129" s="192" t="n"/>
      <c r="E129" s="192" t="n"/>
      <c r="F129" s="192" t="n"/>
      <c r="G129" s="192" t="n"/>
      <c r="H129" s="192" t="n"/>
      <c r="I129" s="192" t="n"/>
      <c r="J129" s="192" t="n"/>
      <c r="K129" s="192" t="n"/>
      <c r="L129" s="192" t="n"/>
      <c r="M129" s="192" t="n"/>
      <c r="N129" s="192" t="n"/>
      <c r="O129" s="192" t="n"/>
      <c r="P129" s="192" t="n"/>
      <c r="Q129" s="192" t="n"/>
    </row>
    <row r="130">
      <c r="A130" s="192" t="n"/>
      <c r="B130" s="192" t="n"/>
      <c r="C130" s="192" t="n"/>
      <c r="D130" s="192" t="n"/>
      <c r="E130" s="192" t="n"/>
      <c r="F130" s="192" t="n"/>
      <c r="G130" s="192" t="n"/>
      <c r="H130" s="192" t="n"/>
      <c r="I130" s="192" t="n"/>
      <c r="J130" s="192" t="n"/>
      <c r="K130" s="192" t="n"/>
      <c r="L130" s="192" t="n"/>
      <c r="M130" s="192" t="n"/>
      <c r="N130" s="192" t="n"/>
      <c r="O130" s="192" t="n"/>
      <c r="P130" s="192" t="n"/>
      <c r="Q130" s="192" t="n"/>
    </row>
  </sheetData>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B2:V21"/>
  <sheetViews>
    <sheetView zoomScale="70" zoomScaleNormal="70" workbookViewId="0">
      <selection activeCell="A1" sqref="A1"/>
    </sheetView>
  </sheetViews>
  <sheetFormatPr baseColWidth="8" defaultColWidth="8.5703125" defaultRowHeight="15"/>
  <cols>
    <col width="30" customWidth="1" style="251" min="2" max="2"/>
  </cols>
  <sheetData>
    <row r="2" ht="17.25" customHeight="1" s="251">
      <c r="B2" s="107" t="inlineStr">
        <is>
          <t>Lincoln Electric — Historical Operating Performance (2006–2025)</t>
        </is>
      </c>
    </row>
    <row r="3" ht="15" customHeight="1" s="251">
      <c r="B3" s="4" t="inlineStr">
        <is>
          <t>All historicals · USDm · Linked to Model. Volume / price = company "change in net sales" table (consolidated; 2006–08 from the 10-K MD&amp;A). Adjusted EBIT as reconciled by Lincoln Electric in each period ("EBIT, as adjusted" to 2019).</t>
        </is>
      </c>
    </row>
    <row r="7" ht="15" customHeight="1" s="251">
      <c r="C7" s="10" t="n">
        <v>2006</v>
      </c>
      <c r="D7" s="10" t="n">
        <v>2007</v>
      </c>
      <c r="E7" s="10" t="n">
        <v>2008</v>
      </c>
      <c r="F7" s="10" t="n">
        <v>2009</v>
      </c>
      <c r="G7" s="10" t="n">
        <v>2010</v>
      </c>
      <c r="H7" s="10" t="n">
        <v>2011</v>
      </c>
      <c r="I7" s="10" t="n">
        <v>2012</v>
      </c>
      <c r="J7" s="10" t="n">
        <v>2013</v>
      </c>
      <c r="K7" s="10" t="n">
        <v>2014</v>
      </c>
      <c r="L7" s="10" t="n">
        <v>2015</v>
      </c>
      <c r="M7" s="10" t="n">
        <v>2016</v>
      </c>
      <c r="N7" s="10" t="n">
        <v>2017</v>
      </c>
      <c r="O7" s="10" t="n">
        <v>2018</v>
      </c>
      <c r="P7" s="10" t="n">
        <v>2019</v>
      </c>
      <c r="Q7" s="10" t="n">
        <v>2020</v>
      </c>
      <c r="R7" s="10" t="n">
        <v>2021</v>
      </c>
      <c r="S7" s="10" t="n">
        <v>2022</v>
      </c>
      <c r="T7" s="10" t="n">
        <v>2023</v>
      </c>
      <c r="U7" s="10" t="n">
        <v>2024</v>
      </c>
      <c r="V7" s="10" t="n">
        <v>2025</v>
      </c>
    </row>
    <row r="8" ht="15" customHeight="1" s="251">
      <c r="B8" t="inlineStr">
        <is>
          <t>Organic volume %</t>
        </is>
      </c>
      <c r="C8" s="108">
        <f>IFERROR(Model!C105+0,0)</f>
        <v>0.155</v>
      </c>
      <c r="D8" s="108">
        <f>IFERROR(Model!D105+0,0)</f>
        <v>0.068</v>
      </c>
      <c r="E8" s="108">
        <f>IFERROR(Model!E105+0,0)</f>
        <v>-0.039</v>
      </c>
      <c r="F8" s="108">
        <f>IFERROR(Model!F105+0,0)</f>
        <v>-0.298</v>
      </c>
      <c r="G8" s="108">
        <f>IFERROR(Model!G105+0,0)</f>
        <v>0.141</v>
      </c>
      <c r="H8" s="108">
        <f>IFERROR(Model!H105+0,0)</f>
        <v>0.148</v>
      </c>
      <c r="I8" s="108">
        <f>IFERROR(Model!I105+0,0)</f>
        <v>0.013</v>
      </c>
      <c r="J8" s="108">
        <f>IFERROR(Model!N105+0,0)</f>
        <v>-0.027</v>
      </c>
      <c r="K8" s="108">
        <f>IFERROR(Model!S105+0,0)</f>
        <v>-0.02</v>
      </c>
      <c r="L8" s="108">
        <f>IFERROR(Model!X105+0,0)</f>
        <v>-0.08</v>
      </c>
      <c r="M8" s="108">
        <f>IFERROR(Model!AC105+0,0)</f>
        <v>-0.098</v>
      </c>
      <c r="N8" s="108">
        <f>IFERROR(Model!AH105+0,0)</f>
        <v>0.042</v>
      </c>
      <c r="O8" s="108">
        <f>IFERROR(Model!AM105+0,0)</f>
        <v>0.011</v>
      </c>
      <c r="P8" s="108">
        <f>IFERROR(Model!AR105+0,0)</f>
        <v>-0.047</v>
      </c>
      <c r="Q8" s="108">
        <f>IFERROR(Model!AW105+0,0)</f>
        <v>-0.127</v>
      </c>
      <c r="R8" s="108">
        <f>IFERROR(Model!BB105+0,0)</f>
        <v>0.098</v>
      </c>
      <c r="S8" s="108">
        <f>IFERROR(Model!BG105+0,0)</f>
        <v>0.05</v>
      </c>
      <c r="T8" s="108">
        <f>IFERROR(Model!BL105+0,0)</f>
        <v>0.023</v>
      </c>
      <c r="U8" s="108">
        <f>IFERROR(Model!BQ105+0,0)</f>
        <v>-0.072</v>
      </c>
      <c r="V8" s="108">
        <f>IFERROR(Model!BV105+0,0)</f>
        <v>-0.037</v>
      </c>
    </row>
    <row r="9" ht="15" customHeight="1" s="251">
      <c r="B9" t="inlineStr">
        <is>
          <t>Price %</t>
        </is>
      </c>
      <c r="C9" s="108">
        <f>IFERROR(Model!C106+0,0)</f>
        <v>0.029</v>
      </c>
      <c r="D9" s="108">
        <f>IFERROR(Model!D106+0,0)</f>
        <v>0.038</v>
      </c>
      <c r="E9" s="108">
        <f>IFERROR(Model!E106+0,0)</f>
        <v>0.077</v>
      </c>
      <c r="F9" s="108">
        <f>IFERROR(Model!F106+0,0)</f>
        <v>-0.005</v>
      </c>
      <c r="G9" s="108">
        <f>IFERROR(Model!G106+0,0)</f>
        <v>0.004</v>
      </c>
      <c r="H9" s="108">
        <f>IFERROR(Model!H106+0,0)</f>
        <v>0.069</v>
      </c>
      <c r="I9" s="108">
        <f>IFERROR(Model!I106+0,0)</f>
        <v>0.017</v>
      </c>
      <c r="J9" s="108">
        <f>IFERROR(Model!N106+0,0)</f>
        <v>0.001</v>
      </c>
      <c r="K9" s="108">
        <f>IFERROR(Model!S106+0,0)</f>
        <v>0.018</v>
      </c>
      <c r="L9" s="108">
        <f>IFERROR(Model!X106+0,0)</f>
        <v>0.04</v>
      </c>
      <c r="M9" s="108">
        <f>IFERROR(Model!AC106+0,0)</f>
        <v>0.102</v>
      </c>
      <c r="N9" s="108">
        <f>IFERROR(Model!AH106+0,0)</f>
        <v>0.024</v>
      </c>
      <c r="O9" s="108">
        <f>IFERROR(Model!AM106+0,0)</f>
        <v>0.056</v>
      </c>
      <c r="P9" s="108">
        <f>IFERROR(Model!AR106+0,0)</f>
        <v>0.012</v>
      </c>
      <c r="Q9" s="108">
        <f>IFERROR(Model!AW106+0,0)</f>
        <v>0.005</v>
      </c>
      <c r="R9" s="108">
        <f>IFERROR(Model!BB106+0,0)</f>
        <v>0.095</v>
      </c>
      <c r="S9" s="108">
        <f>IFERROR(Model!BG106+0,0)</f>
        <v>0.145</v>
      </c>
      <c r="T9" s="108">
        <f>IFERROR(Model!BL106+0,0)</f>
        <v>0.017</v>
      </c>
      <c r="U9" s="108">
        <f>IFERROR(Model!BQ106+0,0)</f>
        <v>0.007</v>
      </c>
      <c r="V9" s="108">
        <f>IFERROR(Model!BV106+0,0)</f>
        <v>0.062</v>
      </c>
    </row>
    <row r="11" ht="15" customHeight="1" s="251">
      <c r="C11" s="10">
        <f>C7</f>
        <v>2006</v>
      </c>
      <c r="D11" s="10">
        <f>D7</f>
        <v>2007</v>
      </c>
      <c r="E11" s="10">
        <f>E7</f>
        <v>2008</v>
      </c>
      <c r="F11" s="10">
        <f>F7</f>
        <v>2009</v>
      </c>
      <c r="G11" s="10">
        <f>G7</f>
        <v>2010</v>
      </c>
      <c r="H11" s="10">
        <f>H7</f>
        <v>2011</v>
      </c>
      <c r="I11" s="10">
        <f>I7</f>
        <v>2012</v>
      </c>
      <c r="J11" s="10">
        <f>J7</f>
        <v>2013</v>
      </c>
      <c r="K11" s="10">
        <f>K7</f>
        <v>2014</v>
      </c>
      <c r="L11" s="10">
        <f>L7</f>
        <v>2015</v>
      </c>
      <c r="M11" s="10">
        <f>M7</f>
        <v>2016</v>
      </c>
      <c r="N11" s="10">
        <f>N7</f>
        <v>2017</v>
      </c>
      <c r="O11" s="10">
        <f>O7</f>
        <v>2018</v>
      </c>
      <c r="P11" s="10">
        <f>P7</f>
        <v>2019</v>
      </c>
      <c r="Q11" s="10">
        <f>Q7</f>
        <v>2020</v>
      </c>
      <c r="R11" s="10">
        <f>R7</f>
        <v>2021</v>
      </c>
      <c r="S11" s="10">
        <f>S7</f>
        <v>2022</v>
      </c>
      <c r="T11" s="10">
        <f>T7</f>
        <v>2023</v>
      </c>
      <c r="U11" s="10">
        <f>U7</f>
        <v>2024</v>
      </c>
      <c r="V11" s="10">
        <f>V7</f>
        <v>2025</v>
      </c>
    </row>
    <row r="12" ht="15" customHeight="1" s="251">
      <c r="B12" t="inlineStr">
        <is>
          <t>Adjusted EBIT</t>
        </is>
      </c>
      <c r="C12" s="106">
        <f>Model!C222</f>
        <v>236.921</v>
      </c>
      <c r="D12" s="106">
        <f>Model!D222</f>
        <v>290.105</v>
      </c>
      <c r="E12" s="106">
        <f>Model!E222</f>
        <v>322.49</v>
      </c>
      <c r="F12" s="106">
        <f>Model!F222</f>
        <v>122.17</v>
      </c>
      <c r="G12" s="106">
        <f>Model!G222</f>
        <v>194.157</v>
      </c>
      <c r="H12" s="106">
        <f>Model!H222</f>
        <v>305.196</v>
      </c>
      <c r="I12" s="106">
        <f>Model!I222</f>
        <v>380.508</v>
      </c>
      <c r="J12" s="106">
        <f>Model!N222</f>
        <v>437.351</v>
      </c>
      <c r="K12" s="106">
        <f>Model!S222</f>
        <v>434.34</v>
      </c>
      <c r="L12" s="106">
        <f>Model!X222</f>
        <v>378.807</v>
      </c>
      <c r="M12" s="106">
        <f>Model!AC222</f>
        <v>328.723</v>
      </c>
      <c r="N12" s="106">
        <f>Model!AH222</f>
        <v>370.338</v>
      </c>
      <c r="O12" s="106">
        <f>Model!AM222</f>
        <v>422.694</v>
      </c>
      <c r="P12" s="106">
        <f>Model!AR222</f>
        <v>400.753</v>
      </c>
      <c r="Q12" s="106">
        <f>Model!AW222</f>
        <v>340.406</v>
      </c>
      <c r="R12" s="106">
        <f>Model!BB222</f>
        <v>491.268</v>
      </c>
      <c r="S12" s="106">
        <f>Model!BG222</f>
        <v>636.951</v>
      </c>
      <c r="T12" s="106">
        <f>Model!BL222</f>
        <v>731.374000000001</v>
      </c>
      <c r="U12" s="106">
        <f>Model!BQ222</f>
        <v>713.605</v>
      </c>
      <c r="V12" s="106">
        <f>Model!BV222</f>
        <v>752.632</v>
      </c>
    </row>
    <row r="13" ht="15" customHeight="1" s="251">
      <c r="B13" t="inlineStr">
        <is>
          <t>Operating income (GAAP)</t>
        </is>
      </c>
      <c r="C13" s="106">
        <f>Model!C162</f>
        <v>232.97</v>
      </c>
      <c r="D13" s="106">
        <f>Model!D162</f>
        <v>277.632</v>
      </c>
      <c r="E13" s="106">
        <f>Model!E162</f>
        <v>295.404</v>
      </c>
      <c r="F13" s="106">
        <f>Model!F162</f>
        <v>92.9760000000001</v>
      </c>
      <c r="G13" s="106">
        <f>Model!G162</f>
        <v>186.43</v>
      </c>
      <c r="H13" s="106">
        <f>Model!H162</f>
        <v>296.68</v>
      </c>
      <c r="I13" s="106">
        <f>Model!I162</f>
        <v>362.081</v>
      </c>
      <c r="J13" s="106">
        <f>Model!N162</f>
        <v>406.985</v>
      </c>
      <c r="K13" s="106">
        <f>Model!S162</f>
        <v>373.747</v>
      </c>
      <c r="L13" s="106">
        <f>Model!X162</f>
        <v>181.7</v>
      </c>
      <c r="M13" s="106">
        <f>Model!AC162</f>
        <v>288.274</v>
      </c>
      <c r="N13" s="106">
        <f>Model!AH162</f>
        <v>377.711</v>
      </c>
      <c r="O13" s="106">
        <f>Model!AM162</f>
        <v>375.539</v>
      </c>
      <c r="P13" s="106">
        <f>Model!AR162</f>
        <v>370.91</v>
      </c>
      <c r="Q13" s="106">
        <f>Model!AW162</f>
        <v>282.071</v>
      </c>
      <c r="R13" s="106">
        <f>Model!BB162</f>
        <v>461.669</v>
      </c>
      <c r="S13" s="106">
        <f>Model!BG162</f>
        <v>612.336</v>
      </c>
      <c r="T13" s="106">
        <f>Model!BL162</f>
        <v>717.849000000001</v>
      </c>
      <c r="U13" s="106">
        <f>Model!BQ162</f>
        <v>636.462</v>
      </c>
      <c r="V13" s="106">
        <f>Model!BV162</f>
        <v>718.059</v>
      </c>
    </row>
    <row r="14" ht="15" customHeight="1" s="251">
      <c r="B14" t="inlineStr">
        <is>
          <t>Adj. EBIT margin %</t>
        </is>
      </c>
      <c r="C14" s="108">
        <f>Model!C223</f>
        <v>0.120147673708045</v>
      </c>
      <c r="D14" s="108">
        <f>Model!D223</f>
        <v>0.127195297757262</v>
      </c>
      <c r="E14" s="108">
        <f>Model!E223</f>
        <v>0.130081871429949</v>
      </c>
      <c r="F14" s="108">
        <f>Model!F223</f>
        <v>0.0706476954348185</v>
      </c>
      <c r="G14" s="108">
        <f>Model!G223</f>
        <v>0.0937878591730542</v>
      </c>
      <c r="H14" s="108">
        <f>Model!H223</f>
        <v>0.11326170141939</v>
      </c>
      <c r="I14" s="108">
        <f>Model!I223</f>
        <v>0.133354034023664</v>
      </c>
      <c r="J14" s="108">
        <f>Model!N223</f>
        <v>0.153312807540722</v>
      </c>
      <c r="K14" s="108">
        <f>Model!S223</f>
        <v>0.154386768107762</v>
      </c>
      <c r="L14" s="108">
        <f>Model!X223</f>
        <v>0.149384156659599</v>
      </c>
      <c r="M14" s="108">
        <f>Model!AC223</f>
        <v>0.14451814681524</v>
      </c>
      <c r="N14" s="108">
        <f>Model!AH223</f>
        <v>0.141111730504631</v>
      </c>
      <c r="O14" s="108">
        <f>Model!AM223</f>
        <v>0.1395640468403</v>
      </c>
      <c r="P14" s="108">
        <f>Model!AR223</f>
        <v>0.133438796086402</v>
      </c>
      <c r="Q14" s="108">
        <f>Model!AW223</f>
        <v>0.128193869096935</v>
      </c>
      <c r="R14" s="108">
        <f>Model!BB223</f>
        <v>0.151898781143907</v>
      </c>
      <c r="S14" s="108">
        <f>Model!BG223</f>
        <v>0.169347319254357</v>
      </c>
      <c r="T14" s="108">
        <f>Model!BL223</f>
        <v>0.174484139367064</v>
      </c>
      <c r="U14" s="108">
        <f>Model!BQ223</f>
        <v>0.178015401616995</v>
      </c>
      <c r="V14" s="108">
        <f>Model!BV223</f>
        <v>0.177800960689137</v>
      </c>
    </row>
    <row r="15" ht="15" customHeight="1" s="251">
      <c r="B15" t="inlineStr">
        <is>
          <t>GAAP Op. margin %</t>
        </is>
      </c>
      <c r="C15" s="108">
        <f>Model!C264</f>
        <v>0.118144037648682</v>
      </c>
      <c r="D15" s="108">
        <f>Model!D264</f>
        <v>0.121726564198977</v>
      </c>
      <c r="E15" s="108">
        <f>Model!E264</f>
        <v>0.119156268870019</v>
      </c>
      <c r="F15" s="108">
        <f>Model!F264</f>
        <v>0.0537655736330333</v>
      </c>
      <c r="G15" s="108">
        <f>Model!G264</f>
        <v>0.0900553190749367</v>
      </c>
      <c r="H15" s="108">
        <f>Model!H264</f>
        <v>0.110101317111314</v>
      </c>
      <c r="I15" s="108">
        <f>Model!I264</f>
        <v>0.126896049474183</v>
      </c>
      <c r="J15" s="108">
        <f>Model!N264</f>
        <v>0.142668046893595</v>
      </c>
      <c r="K15" s="108">
        <f>Model!S264</f>
        <v>0.132848900446589</v>
      </c>
      <c r="L15" s="108">
        <f>Model!X264</f>
        <v>0.071654170237216</v>
      </c>
      <c r="M15" s="108">
        <f>Model!AC264</f>
        <v>0.126735349382357</v>
      </c>
      <c r="N15" s="108">
        <f>Model!AH264</f>
        <v>0.143921101373974</v>
      </c>
      <c r="O15" s="108">
        <f>Model!AM264</f>
        <v>0.123994526977813</v>
      </c>
      <c r="P15" s="108">
        <f>Model!AR264</f>
        <v>0.123501967187787</v>
      </c>
      <c r="Q15" s="108">
        <f>Model!AW264</f>
        <v>0.106225427430896</v>
      </c>
      <c r="R15" s="108">
        <f>Model!BB264</f>
        <v>0.142746847732656</v>
      </c>
      <c r="S15" s="108">
        <f>Model!BG264</f>
        <v>0.162802884496509</v>
      </c>
      <c r="T15" s="108">
        <f>Model!BL264</f>
        <v>0.171257475601412</v>
      </c>
      <c r="U15" s="108">
        <f>Model!BQ264</f>
        <v>0.158771363070545</v>
      </c>
      <c r="V15" s="108">
        <f>Model!BV264</f>
        <v>0.169633472974151</v>
      </c>
    </row>
    <row r="17" ht="15" customHeight="1" s="251">
      <c r="C17" s="10">
        <f>C7</f>
        <v>2006</v>
      </c>
      <c r="D17" s="10">
        <f>D7</f>
        <v>2007</v>
      </c>
      <c r="E17" s="10">
        <f>E7</f>
        <v>2008</v>
      </c>
      <c r="F17" s="10">
        <f>F7</f>
        <v>2009</v>
      </c>
      <c r="G17" s="10">
        <f>G7</f>
        <v>2010</v>
      </c>
      <c r="H17" s="10">
        <f>H7</f>
        <v>2011</v>
      </c>
      <c r="I17" s="10">
        <f>I7</f>
        <v>2012</v>
      </c>
      <c r="J17" s="10">
        <f>J7</f>
        <v>2013</v>
      </c>
      <c r="K17" s="10">
        <f>K7</f>
        <v>2014</v>
      </c>
      <c r="L17" s="10">
        <f>L7</f>
        <v>2015</v>
      </c>
      <c r="M17" s="10">
        <f>M7</f>
        <v>2016</v>
      </c>
      <c r="N17" s="10">
        <f>N7</f>
        <v>2017</v>
      </c>
      <c r="O17" s="10">
        <f>O7</f>
        <v>2018</v>
      </c>
      <c r="P17" s="10">
        <f>P7</f>
        <v>2019</v>
      </c>
      <c r="Q17" s="10">
        <f>Q7</f>
        <v>2020</v>
      </c>
      <c r="R17" s="10">
        <f>R7</f>
        <v>2021</v>
      </c>
      <c r="S17" s="10">
        <f>S7</f>
        <v>2022</v>
      </c>
      <c r="T17" s="10">
        <f>T7</f>
        <v>2023</v>
      </c>
      <c r="U17" s="10">
        <f>U7</f>
        <v>2024</v>
      </c>
      <c r="V17" s="10">
        <f>V7</f>
        <v>2025</v>
      </c>
    </row>
    <row r="18" ht="15" customHeight="1" s="251">
      <c r="B18" t="inlineStr">
        <is>
          <t>ROIC</t>
        </is>
      </c>
      <c r="C18" s="108">
        <f>IFERROR(Model!C401+0,NA())</f>
        <v>0.194760012805507</v>
      </c>
      <c r="D18" s="108">
        <f>IFERROR(Model!D401+0,NA())</f>
        <v>0.204888416701132</v>
      </c>
      <c r="E18" s="108">
        <f>IFERROR(Model!E401+0,NA())</f>
        <v>0.267631361481935</v>
      </c>
      <c r="F18" s="108">
        <f>IFERROR(Model!F401+0,NA())</f>
        <v>0.0835578131918339</v>
      </c>
      <c r="G18" s="108">
        <f>IFERROR(Model!G401+0,NA())</f>
        <v>0.155723452117578</v>
      </c>
      <c r="H18" s="108">
        <f>IFERROR(Model!H401+0,NA())</f>
        <v>0.234946058122833</v>
      </c>
      <c r="I18" s="108">
        <f>IFERROR(Model!I401+0,NA())</f>
        <v>0.242487820432187</v>
      </c>
      <c r="J18" s="108">
        <f>IFERROR(Model!N401+0,NA())</f>
        <v>0.245076165171373</v>
      </c>
      <c r="K18" s="108">
        <f>IFERROR(Model!S401+0,NA())</f>
        <v>0.272173097983795</v>
      </c>
      <c r="L18" s="108">
        <f>IFERROR(Model!X401+0,NA())</f>
        <v>0.289213777133601</v>
      </c>
      <c r="M18" s="108">
        <f>IFERROR(Model!AC401+0,NA())</f>
        <v>0.226343643455223</v>
      </c>
      <c r="N18" s="108">
        <f>IFERROR(Model!AH401+0,NA())</f>
        <v>0.190734147869624</v>
      </c>
      <c r="O18" s="108">
        <f>IFERROR(Model!AM401+0,NA())</f>
        <v>0.267221354609464</v>
      </c>
      <c r="P18" s="108">
        <f>IFERROR(Model!AR401+0,NA())</f>
        <v>0.23320505725855</v>
      </c>
      <c r="Q18" s="108">
        <f>IFERROR(Model!AW401+0,NA())</f>
        <v>0.212414902536479</v>
      </c>
      <c r="R18" s="108">
        <f>IFERROR(Model!BB401+0,NA())</f>
        <v>0.290177612501857</v>
      </c>
      <c r="S18" s="108">
        <f>IFERROR(Model!BG401+0,NA())</f>
        <v>0.248617699114789</v>
      </c>
      <c r="T18" s="108">
        <f>IFERROR(Model!BL401+0,NA())</f>
        <v>0.287376393127561</v>
      </c>
      <c r="U18" s="108">
        <f>IFERROR(Model!BQ401+0,NA())</f>
        <v>0.253169865273931</v>
      </c>
      <c r="V18" s="108">
        <f>IFERROR(Model!BV401+0,NA())</f>
        <v>0.236256597327516</v>
      </c>
    </row>
    <row r="19" ht="15" customHeight="1" s="251">
      <c r="B19" t="inlineStr">
        <is>
          <t>RONTA</t>
        </is>
      </c>
      <c r="C19" s="108">
        <f>IFERROR(Model!C413+0,NA())</f>
        <v>0.162971352568223</v>
      </c>
      <c r="D19" s="108">
        <f>IFERROR(Model!D413+0,NA())</f>
        <v>0.157172877402122</v>
      </c>
      <c r="E19" s="108">
        <f>IFERROR(Model!E413+0,NA())</f>
        <v>0.165868305257111</v>
      </c>
      <c r="F19" s="108">
        <f>IFERROR(Model!F413+0,NA())</f>
        <v>0.04888906611743</v>
      </c>
      <c r="G19" s="108">
        <f>IFERROR(Model!G413+0,NA())</f>
        <v>0.0969325737048286</v>
      </c>
      <c r="H19" s="108">
        <f>IFERROR(Model!H413+0,NA())</f>
        <v>0.142535169945102</v>
      </c>
      <c r="I19" s="108">
        <f>IFERROR(Model!I413+0,NA())</f>
        <v>0.172485381888162</v>
      </c>
      <c r="J19" s="108">
        <f>IFERROR(Model!N413+0,NA())</f>
        <v>0.19949643000106</v>
      </c>
      <c r="K19" s="108">
        <f>IFERROR(Model!S413+0,NA())</f>
        <v>0.219715406714629</v>
      </c>
      <c r="L19" s="108">
        <f>IFERROR(Model!X413+0,NA())</f>
        <v>0.23095549027508</v>
      </c>
      <c r="M19" s="108">
        <f>IFERROR(Model!AC413+0,NA())</f>
        <v>0.177382505821673</v>
      </c>
      <c r="N19" s="108">
        <f>IFERROR(Model!AH413+0,NA())</f>
        <v>0.152093000019301</v>
      </c>
      <c r="O19" s="108">
        <f>IFERROR(Model!AM413+0,NA())</f>
        <v>0.215005408655017</v>
      </c>
      <c r="P19" s="108">
        <f>IFERROR(Model!AR413+0,NA())</f>
        <v>0.211655958527648</v>
      </c>
      <c r="Q19" s="108">
        <f>IFERROR(Model!AW413+0,NA())</f>
        <v>0.185571462297773</v>
      </c>
      <c r="R19" s="108">
        <f>IFERROR(Model!BB413+0,NA())</f>
        <v>0.286557776214933</v>
      </c>
      <c r="S19" s="108">
        <f>IFERROR(Model!BG413+0,NA())</f>
        <v>0.288956526986538</v>
      </c>
      <c r="T19" s="108">
        <f>IFERROR(Model!BL413+0,NA())</f>
        <v>0.300713296302629</v>
      </c>
      <c r="U19" s="108">
        <f>IFERROR(Model!BQ413+0,NA())</f>
        <v>0.287539274207393</v>
      </c>
      <c r="V19" s="108">
        <f>IFERROR(Model!BV413+0,NA())</f>
        <v>0.279123484237007</v>
      </c>
    </row>
    <row r="20" ht="15" customHeight="1" s="251">
      <c r="B20" t="inlineStr">
        <is>
          <t>Adj. EBIT margin %</t>
        </is>
      </c>
      <c r="C20" s="108">
        <f>IFERROR(Model!C223+0,NA())</f>
        <v>0.120147673708045</v>
      </c>
      <c r="D20" s="108">
        <f>IFERROR(Model!D223+0,NA())</f>
        <v>0.127195297757262</v>
      </c>
      <c r="E20" s="108">
        <f>IFERROR(Model!E223+0,NA())</f>
        <v>0.130081871429949</v>
      </c>
      <c r="F20" s="108">
        <f>IFERROR(Model!F223+0,NA())</f>
        <v>0.0706476954348185</v>
      </c>
      <c r="G20" s="108">
        <f>IFERROR(Model!G223+0,NA())</f>
        <v>0.0937878591730542</v>
      </c>
      <c r="H20" s="108">
        <f>IFERROR(Model!H223+0,NA())</f>
        <v>0.11326170141939</v>
      </c>
      <c r="I20" s="108">
        <f>IFERROR(Model!I223+0,NA())</f>
        <v>0.133354034023664</v>
      </c>
      <c r="J20" s="108">
        <f>IFERROR(Model!N223+0,NA())</f>
        <v>0.153312807540722</v>
      </c>
      <c r="K20" s="108">
        <f>IFERROR(Model!S223+0,NA())</f>
        <v>0.154386768107762</v>
      </c>
      <c r="L20" s="108">
        <f>IFERROR(Model!X223+0,NA())</f>
        <v>0.149384156659599</v>
      </c>
      <c r="M20" s="108">
        <f>IFERROR(Model!AC223+0,NA())</f>
        <v>0.14451814681524</v>
      </c>
      <c r="N20" s="108">
        <f>IFERROR(Model!AH223+0,NA())</f>
        <v>0.141111730504631</v>
      </c>
      <c r="O20" s="108">
        <f>IFERROR(Model!AM223+0,NA())</f>
        <v>0.1395640468403</v>
      </c>
      <c r="P20" s="108">
        <f>IFERROR(Model!AR223+0,NA())</f>
        <v>0.133438796086402</v>
      </c>
      <c r="Q20" s="108">
        <f>IFERROR(Model!AW223+0,NA())</f>
        <v>0.128193869096935</v>
      </c>
      <c r="R20" s="108">
        <f>IFERROR(Model!BB223+0,NA())</f>
        <v>0.151898781143907</v>
      </c>
      <c r="S20" s="108">
        <f>IFERROR(Model!BG223+0,NA())</f>
        <v>0.169347319254357</v>
      </c>
      <c r="T20" s="108">
        <f>IFERROR(Model!BL223+0,NA())</f>
        <v>0.174484139367064</v>
      </c>
      <c r="U20" s="108">
        <f>IFERROR(Model!BQ223+0,NA())</f>
        <v>0.178015401616995</v>
      </c>
      <c r="V20" s="108">
        <f>IFERROR(Model!BV223+0,NA())</f>
        <v>0.177800960689137</v>
      </c>
    </row>
    <row r="21" ht="15" customHeight="1" s="251">
      <c r="B21" t="inlineStr">
        <is>
          <t>FCF margin %</t>
        </is>
      </c>
      <c r="C21" s="108">
        <f>IFERROR(Model!C300+0,NA())</f>
        <v>0.0216429207141282</v>
      </c>
      <c r="D21" s="108">
        <f>IFERROR(Model!D300+0,NA())</f>
        <v>0.0825150474573655</v>
      </c>
      <c r="E21" s="108">
        <f>IFERROR(Model!E300+0,NA())</f>
        <v>0.0746321997506385</v>
      </c>
      <c r="F21" s="108">
        <f>IFERROR(Model!F300+0,NA())</f>
        <v>0.122680182850137</v>
      </c>
      <c r="G21" s="108">
        <f>IFERROR(Model!G300+0,NA())</f>
        <v>0.0465724587135755</v>
      </c>
      <c r="H21" s="108">
        <f>IFERROR(Model!H300+0,NA())</f>
        <v>0.0473927757236764</v>
      </c>
      <c r="I21" s="108">
        <f>IFERROR(Model!I300+0,NA())</f>
        <v>0.0962964105213245</v>
      </c>
      <c r="J21" s="108">
        <f>IFERROR(Model!N300+0,NA())</f>
        <v>0.0921518815173569</v>
      </c>
      <c r="K21" s="108">
        <f>IFERROR(Model!S300+0,NA())</f>
        <v>0.116841145918494</v>
      </c>
      <c r="L21" s="108">
        <f>IFERROR(Model!X300+0,NA())</f>
        <v>0.102670527657839</v>
      </c>
      <c r="M21" s="108">
        <f>IFERROR(Model!AC300+0,NA())</f>
        <v>0.11145891127022</v>
      </c>
      <c r="N21" s="108">
        <f>IFERROR(Model!AH300+0,NA())</f>
        <v>0.104094563735911</v>
      </c>
      <c r="O21" s="108">
        <f>IFERROR(Model!AM300+0,NA())</f>
        <v>0.0851547574945339</v>
      </c>
      <c r="P21" s="108">
        <f>IFERROR(Model!AR300+0,NA())</f>
        <v>0.111068860895716</v>
      </c>
      <c r="Q21" s="108">
        <f>IFERROR(Model!AW300+0,NA())</f>
        <v>0.110025231603525</v>
      </c>
      <c r="R21" s="108">
        <f>IFERROR(Model!BB300+0,NA())</f>
        <v>0.0935421034079736</v>
      </c>
      <c r="S21" s="108">
        <f>IFERROR(Model!BG300+0,NA())</f>
        <v>0.0828198683881335</v>
      </c>
      <c r="T21" s="108">
        <f>IFERROR(Model!BL300+0,NA())</f>
        <v>0.137548918846961</v>
      </c>
      <c r="U21" s="108">
        <f>IFERROR(Model!BQ300+0,NA())</f>
        <v>0.120332678918444</v>
      </c>
      <c r="V21" s="108">
        <f>IFERROR(Model!BV300+0,NA())</f>
        <v>0.126198587622074</v>
      </c>
    </row>
  </sheetData>
  <pageMargins left="0.75" right="0.75" top="1" bottom="1" header="0.511811023622047" footer="0.511811023622047"/>
  <pageSetup orientation="portrait" paperSize="9" horizontalDpi="300" verticalDpi="30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2026-10-04T02:35:31Z</dcterms:created>
  <dcterms:modified xmlns:dcterms="http://purl.org/dc/terms/" xmlns:xsi="http://www.w3.org/2001/XMLSchema-instance" xsi:type="dcterms:W3CDTF">2026-10-07T13:27:52Z</dcterms:modified>
  <cp:lastModifiedBy>Payton Liske</cp:lastModifiedBy>
  <cp:revision>3</cp:revision>
</cp:coreProperties>
</file>