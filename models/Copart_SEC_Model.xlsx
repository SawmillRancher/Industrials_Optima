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Model" sheetId="2" state="visible" r:id="rId2"/>
    <sheet xmlns:r="http://schemas.openxmlformats.org/officeDocument/2006/relationships" name="Bull-Base-Bear" sheetId="3" state="visible" r:id="rId3"/>
    <sheet xmlns:r="http://schemas.openxmlformats.org/officeDocument/2006/relationships" name="DCF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;(0.0%);&quot;-&quot;"/>
    <numFmt numFmtId="165" formatCode="#,##0;(#,##0);&quot;-&quot;"/>
    <numFmt numFmtId="166" formatCode="0.00;(0.00);&quot;-&quot;"/>
    <numFmt numFmtId="167" formatCode="0.00x"/>
    <numFmt numFmtId="168" formatCode="0.000"/>
  </numFmts>
  <fonts count="13">
    <font>
      <name val="Calibri"/>
      <family val="2"/>
      <color theme="1"/>
      <sz val="11"/>
      <scheme val="minor"/>
    </font>
    <font>
      <name val="Calibri"/>
      <b val="1"/>
      <color rgb="001F3864"/>
      <sz val="16"/>
    </font>
    <font>
      <name val="Calibri"/>
      <color rgb="00595959"/>
      <sz val="10"/>
    </font>
    <font>
      <name val="Calibri"/>
      <i val="1"/>
      <color rgb="00595959"/>
      <sz val="9"/>
    </font>
    <font>
      <name val="Calibri"/>
      <b val="1"/>
      <color rgb="00000000"/>
      <sz val="10"/>
    </font>
    <font>
      <name val="Calibri"/>
      <b val="1"/>
      <color rgb="000000FF"/>
      <sz val="10"/>
    </font>
    <font>
      <name val="Calibri"/>
      <b val="1"/>
      <color rgb="00FFFFFF"/>
      <sz val="11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color rgb="000000FF"/>
      <sz val="10"/>
    </font>
    <font>
      <name val="Calibri"/>
      <color rgb="00404040"/>
      <sz val="10"/>
    </font>
    <font>
      <name val="Calibri"/>
      <b val="1"/>
      <color rgb="001F3864"/>
      <sz val="22"/>
    </font>
    <font>
      <color rgb="00595959"/>
      <sz val="12"/>
    </font>
  </fonts>
  <fills count="8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2F3E46"/>
      </patternFill>
    </fill>
    <fill>
      <patternFill patternType="solid">
        <fgColor rgb="00FFFDE7"/>
      </patternFill>
    </fill>
    <fill>
      <patternFill patternType="solid">
        <fgColor rgb="0084A98C"/>
      </patternFill>
    </fill>
    <fill>
      <patternFill patternType="solid">
        <fgColor rgb="0052796F"/>
      </patternFill>
    </fill>
    <fill>
      <patternFill patternType="solid">
        <fgColor rgb="00D9E1F2"/>
      </patternFill>
    </fill>
  </fills>
  <borders count="2">
    <border>
      <left/>
      <right/>
      <top/>
      <bottom/>
      <diagonal/>
    </border>
    <border>
      <top style="thin">
        <color rgb="00808080"/>
      </top>
    </border>
  </borders>
  <cellStyleXfs count="1">
    <xf numFmtId="0" fontId="0" fillId="0" borderId="0"/>
  </cellStyleXfs>
  <cellXfs count="49">
    <xf numFmtId="0" fontId="0" fillId="0" borderId="0" pivotButton="0" quotePrefix="0" xfId="0"/>
    <xf numFmtId="0" fontId="11" fillId="0" borderId="0" pivotButton="0" quotePrefix="0" xfId="0"/>
    <xf numFmtId="0" fontId="12" fillId="0" borderId="0" pivotButton="0" quotePrefix="0" xfId="0"/>
    <xf numFmtId="0" fontId="4" fillId="7" borderId="0" pivotButton="0" quotePrefix="0" xfId="0"/>
    <xf numFmtId="0" fontId="8" fillId="0" borderId="0" applyAlignment="1" pivotButton="0" quotePrefix="0" xfId="0">
      <alignment horizontal="left" vertical="top" wrapText="1"/>
    </xf>
    <xf numFmtId="0" fontId="6" fillId="3" borderId="0" pivotButton="0" quotePrefix="0" xfId="0"/>
    <xf numFmtId="0" fontId="4" fillId="0" borderId="0" pivotButton="0" quotePrefix="0" xfId="0"/>
    <xf numFmtId="0" fontId="3" fillId="0" borderId="0" applyAlignment="1" pivotButton="0" quotePrefix="0" xfId="0">
      <alignment horizontal="left" vertical="top" wrapText="1"/>
    </xf>
    <xf numFmtId="0" fontId="1" fillId="0" borderId="0" pivotButton="0" quotePrefix="0" xfId="0"/>
    <xf numFmtId="0" fontId="5" fillId="2" borderId="0" applyAlignment="1" pivotButton="0" quotePrefix="0" xfId="0">
      <alignment horizontal="center" vertical="center" wrapText="1"/>
    </xf>
    <xf numFmtId="0" fontId="2" fillId="0" borderId="0" pivotButton="0" quotePrefix="0" xfId="0"/>
    <xf numFmtId="0" fontId="3" fillId="0" borderId="0" pivotButton="0" quotePrefix="0" xfId="0"/>
    <xf numFmtId="0" fontId="0" fillId="3" borderId="0" pivotButton="0" quotePrefix="0" xfId="0"/>
    <xf numFmtId="0" fontId="6" fillId="3" borderId="0" applyAlignment="1" pivotButton="0" quotePrefix="0" xfId="0">
      <alignment horizontal="left"/>
    </xf>
    <xf numFmtId="0" fontId="6" fillId="3" borderId="0" applyAlignment="1" pivotButton="0" quotePrefix="0" xfId="0">
      <alignment horizontal="center" vertical="center" wrapText="1"/>
    </xf>
    <xf numFmtId="0" fontId="6" fillId="4" borderId="0" applyAlignment="1" pivotButton="0" quotePrefix="0" xfId="0">
      <alignment horizontal="center" vertical="center" wrapText="1"/>
    </xf>
    <xf numFmtId="0" fontId="6" fillId="5" borderId="0" applyAlignment="1" pivotButton="0" quotePrefix="0" xfId="0">
      <alignment horizontal="center" vertical="center" wrapText="1"/>
    </xf>
    <xf numFmtId="0" fontId="7" fillId="6" borderId="0" applyAlignment="1" pivotButton="0" quotePrefix="0" xfId="0">
      <alignment horizontal="center" vertical="center" wrapText="1"/>
    </xf>
    <xf numFmtId="0" fontId="8" fillId="0" borderId="0" pivotButton="0" quotePrefix="0" xfId="0"/>
    <xf numFmtId="164" fontId="9" fillId="0" borderId="0" pivotButton="0" quotePrefix="0" xfId="0"/>
    <xf numFmtId="0" fontId="7" fillId="6" borderId="0" pivotButton="0" quotePrefix="0" xfId="0"/>
    <xf numFmtId="0" fontId="0" fillId="6" borderId="0" pivotButton="0" quotePrefix="0" xfId="0"/>
    <xf numFmtId="165" fontId="8" fillId="0" borderId="0" applyAlignment="1" pivotButton="0" quotePrefix="0" xfId="0">
      <alignment horizontal="right"/>
    </xf>
    <xf numFmtId="165" fontId="9" fillId="0" borderId="0" applyAlignment="1" pivotButton="0" quotePrefix="0" xfId="0">
      <alignment horizontal="right"/>
    </xf>
    <xf numFmtId="165" fontId="8" fillId="4" borderId="0" applyAlignment="1" pivotButton="0" quotePrefix="0" xfId="0">
      <alignment horizontal="right"/>
    </xf>
    <xf numFmtId="164" fontId="8" fillId="0" borderId="0" pivotButton="0" quotePrefix="0" xfId="0"/>
    <xf numFmtId="165" fontId="4" fillId="0" borderId="0" applyAlignment="1" pivotButton="0" quotePrefix="0" xfId="0">
      <alignment horizontal="right"/>
    </xf>
    <xf numFmtId="165" fontId="5" fillId="0" borderId="0" applyAlignment="1" pivotButton="0" quotePrefix="0" xfId="0">
      <alignment horizontal="right"/>
    </xf>
    <xf numFmtId="165" fontId="4" fillId="4" borderId="0" applyAlignment="1" pivotButton="0" quotePrefix="0" xfId="0">
      <alignment horizontal="right"/>
    </xf>
    <xf numFmtId="164" fontId="8" fillId="0" borderId="0" applyAlignment="1" pivotButton="0" quotePrefix="0" xfId="0">
      <alignment horizontal="right"/>
    </xf>
    <xf numFmtId="164" fontId="8" fillId="4" borderId="0" applyAlignment="1" pivotButton="0" quotePrefix="0" xfId="0">
      <alignment horizontal="right"/>
    </xf>
    <xf numFmtId="0" fontId="10" fillId="0" borderId="0" pivotButton="0" quotePrefix="0" xfId="0"/>
    <xf numFmtId="0" fontId="4" fillId="0" borderId="1" pivotButton="0" quotePrefix="0" xfId="0"/>
    <xf numFmtId="165" fontId="4" fillId="0" borderId="1" applyAlignment="1" pivotButton="0" quotePrefix="0" xfId="0">
      <alignment horizontal="right"/>
    </xf>
    <xf numFmtId="165" fontId="4" fillId="4" borderId="1" applyAlignment="1" pivotButton="0" quotePrefix="0" xfId="0">
      <alignment horizontal="right"/>
    </xf>
    <xf numFmtId="166" fontId="8" fillId="0" borderId="0" applyAlignment="1" pivotButton="0" quotePrefix="0" xfId="0">
      <alignment horizontal="right"/>
    </xf>
    <xf numFmtId="166" fontId="8" fillId="4" borderId="0" applyAlignment="1" pivotButton="0" quotePrefix="0" xfId="0">
      <alignment horizontal="right"/>
    </xf>
    <xf numFmtId="166" fontId="4" fillId="0" borderId="0" applyAlignment="1" pivotButton="0" quotePrefix="0" xfId="0">
      <alignment horizontal="right"/>
    </xf>
    <xf numFmtId="166" fontId="4" fillId="4" borderId="0" applyAlignment="1" pivotButton="0" quotePrefix="0" xfId="0">
      <alignment horizontal="right"/>
    </xf>
    <xf numFmtId="167" fontId="8" fillId="0" borderId="0" applyAlignment="1" pivotButton="0" quotePrefix="0" xfId="0">
      <alignment horizontal="right"/>
    </xf>
    <xf numFmtId="166" fontId="9" fillId="0" borderId="0" applyAlignment="1" pivotButton="0" quotePrefix="0" xfId="0">
      <alignment horizontal="right"/>
    </xf>
    <xf numFmtId="166" fontId="9" fillId="4" borderId="0" applyAlignment="1" pivotButton="0" quotePrefix="0" xfId="0">
      <alignment horizontal="right"/>
    </xf>
    <xf numFmtId="167" fontId="8" fillId="4" borderId="0" applyAlignment="1" pivotButton="0" quotePrefix="0" xfId="0">
      <alignment horizontal="right"/>
    </xf>
    <xf numFmtId="165" fontId="8" fillId="0" borderId="0" pivotButton="0" quotePrefix="0" xfId="0"/>
    <xf numFmtId="166" fontId="8" fillId="0" borderId="0" pivotButton="0" quotePrefix="0" xfId="0"/>
    <xf numFmtId="0" fontId="5" fillId="0" borderId="0" pivotButton="0" quotePrefix="0" xfId="0"/>
    <xf numFmtId="168" fontId="8" fillId="0" borderId="0" pivotButton="0" quotePrefix="0" xfId="0"/>
    <xf numFmtId="165" fontId="4" fillId="0" borderId="0" pivotButton="0" quotePrefix="0" xfId="0"/>
    <xf numFmtId="166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C23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66" customWidth="1" min="3" max="3"/>
  </cols>
  <sheetData>
    <row r="2">
      <c r="B2" s="1" t="inlineStr">
        <is>
          <t>COPART, INC.</t>
        </is>
      </c>
    </row>
    <row r="3">
      <c r="B3" s="2" t="inlineStr">
        <is>
          <t>SEC-Filings 3-Statement Financial Model — 15-Year History + 5-Year Forecast</t>
        </is>
      </c>
    </row>
    <row r="5">
      <c r="B5" s="3" t="inlineStr">
        <is>
          <t>Ticker / Exchange</t>
        </is>
      </c>
      <c r="C5" s="4" t="inlineStr">
        <is>
          <t>CPRT · Nasdaq</t>
        </is>
      </c>
    </row>
    <row r="6">
      <c r="B6" s="3" t="inlineStr">
        <is>
          <t>SEC CIK</t>
        </is>
      </c>
      <c r="C6" s="4" t="inlineStr">
        <is>
          <t>0000900075</t>
        </is>
      </c>
    </row>
    <row r="7">
      <c r="B7" s="3" t="inlineStr">
        <is>
          <t>Fiscal year end</t>
        </is>
      </c>
      <c r="C7" s="4" t="inlineStr">
        <is>
          <t>July 31</t>
        </is>
      </c>
    </row>
    <row r="8">
      <c r="B8" s="3" t="inlineStr">
        <is>
          <t>Currency / units</t>
        </is>
      </c>
      <c r="C8" s="4" t="inlineStr">
        <is>
          <t>US$ millions (except per-share and share counts)</t>
        </is>
      </c>
    </row>
    <row r="9">
      <c r="B9" s="3" t="inlineStr">
        <is>
          <t>Data source</t>
        </is>
      </c>
      <c r="C9" s="4" t="inlineStr">
        <is>
          <t>SEC EDGAR — Forms 10-K &amp; 10-Q, XBRL (data.sec.gov). No non-SEC inputs except the manual valuation share price.</t>
        </is>
      </c>
    </row>
    <row r="10">
      <c r="B10" s="3" t="inlineStr">
        <is>
          <t>Reported segments</t>
        </is>
      </c>
      <c r="C10" s="4" t="inlineStr">
        <is>
          <t>United States · International</t>
        </is>
      </c>
    </row>
    <row r="11">
      <c r="B11" s="3" t="inlineStr">
        <is>
          <t>Historical coverage</t>
        </is>
      </c>
      <c r="C11" s="4" t="inlineStr">
        <is>
          <t>FY2011–FY2025 (annual + Q1/Q2/1H/Q3/Q4)</t>
        </is>
      </c>
    </row>
    <row r="12">
      <c r="B12" s="3" t="inlineStr">
        <is>
          <t>Forecast</t>
        </is>
      </c>
      <c r="C12" s="4" t="inlineStr">
        <is>
          <t>FY2026E–FY2030E (driver-based, scenario toggle)</t>
        </is>
      </c>
    </row>
    <row r="14">
      <c r="B14" s="5" t="inlineStr">
        <is>
          <t>Worksheets</t>
        </is>
      </c>
      <c r="C14" s="5" t="n"/>
    </row>
    <row r="15">
      <c r="B15" s="6" t="inlineStr">
        <is>
          <t>Model</t>
        </is>
      </c>
      <c r="C15" s="4" t="inlineStr">
        <is>
          <t>Full model — segment P&amp;L, income statement, cash flow, balance sheet, ratios, valuation; historicals (formulas) + FY26E–30E estimates.</t>
        </is>
      </c>
    </row>
    <row r="16">
      <c r="B16" s="6" t="inlineStr">
        <is>
          <t>Bull / Base / Bear</t>
        </is>
      </c>
      <c r="C16" s="4" t="inlineStr">
        <is>
          <t>Scenario P&amp;L summary linked to the Model scenario toggle.</t>
        </is>
      </c>
    </row>
    <row r="17">
      <c r="B17" s="6" t="inlineStr">
        <is>
          <t>DCF</t>
        </is>
      </c>
      <c r="C17" s="4" t="inlineStr">
        <is>
          <t>Unlevered DCF built off the model's forecast free cash flow.</t>
        </is>
      </c>
    </row>
    <row r="19">
      <c r="B19" s="7" t="inlineStr">
        <is>
          <t>Colour key: blue = as-reported figure taken directly from Copart's SEC filings; black = live Excel formula; pale-yellow columns = forecast years driven by the Assumptions / scenario table on the Model tab. Segment operating income is reported by Copart from ~FY2016 (two reportable segments); earlier years reflect geographic revenue disclosure as filed. For research/education only — not investment advice.</t>
        </is>
      </c>
    </row>
    <row r="20"/>
    <row r="21"/>
    <row r="22"/>
    <row r="23"/>
  </sheetData>
  <mergeCells count="1">
    <mergeCell ref="B19:C2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DC103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40" customWidth="1" min="2" max="2"/>
    <col width="9.5" customWidth="1" min="3" max="3"/>
    <col width="9.5" customWidth="1" min="4" max="4"/>
    <col width="9.5" customWidth="1" min="5" max="5"/>
    <col width="9.5" customWidth="1" min="6" max="6"/>
    <col width="9.5" customWidth="1" min="7" max="7"/>
    <col width="9.5" customWidth="1" min="8" max="8"/>
    <col width="9.5" customWidth="1" min="9" max="9"/>
    <col width="9.5" customWidth="1" min="10" max="10"/>
    <col width="9.5" customWidth="1" min="11" max="11"/>
    <col width="9.5" customWidth="1" min="12" max="12"/>
    <col width="9.5" customWidth="1" min="13" max="13"/>
    <col width="9.5" customWidth="1" min="14" max="14"/>
    <col width="9.5" customWidth="1" min="15" max="15"/>
    <col width="9.5" customWidth="1" min="16" max="16"/>
    <col width="9.5" customWidth="1" min="17" max="17"/>
    <col width="9.5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9.5" customWidth="1" min="23" max="23"/>
    <col width="9.5" customWidth="1" min="24" max="24"/>
    <col width="9.5" customWidth="1" min="25" max="25"/>
    <col width="9.5" customWidth="1" min="26" max="26"/>
    <col width="9.5" customWidth="1" min="27" max="27"/>
    <col width="9.5" customWidth="1" min="28" max="28"/>
    <col width="9.5" customWidth="1" min="29" max="29"/>
    <col width="9.5" customWidth="1" min="30" max="30"/>
    <col width="9.5" customWidth="1" min="31" max="31"/>
    <col width="9.5" customWidth="1" min="32" max="32"/>
    <col width="9.5" customWidth="1" min="33" max="33"/>
    <col width="9.5" customWidth="1" min="34" max="34"/>
    <col width="9.5" customWidth="1" min="35" max="35"/>
    <col width="9.5" customWidth="1" min="36" max="36"/>
    <col width="9.5" customWidth="1" min="37" max="37"/>
    <col width="9.5" customWidth="1" min="38" max="38"/>
    <col width="9.5" customWidth="1" min="39" max="39"/>
    <col width="9.5" customWidth="1" min="40" max="40"/>
    <col width="9.5" customWidth="1" min="41" max="41"/>
    <col width="9.5" customWidth="1" min="42" max="42"/>
    <col width="9.5" customWidth="1" min="43" max="43"/>
    <col width="9.5" customWidth="1" min="44" max="44"/>
    <col width="9.5" customWidth="1" min="45" max="45"/>
    <col width="9.5" customWidth="1" min="46" max="46"/>
    <col width="9.5" customWidth="1" min="47" max="47"/>
    <col width="9.5" customWidth="1" min="48" max="48"/>
    <col width="9.5" customWidth="1" min="49" max="49"/>
    <col width="9.5" customWidth="1" min="50" max="50"/>
    <col width="9.5" customWidth="1" min="51" max="51"/>
    <col width="9.5" customWidth="1" min="52" max="52"/>
    <col width="9.5" customWidth="1" min="53" max="53"/>
    <col width="9.5" customWidth="1" min="54" max="54"/>
    <col width="9.5" customWidth="1" min="55" max="55"/>
    <col width="9.5" customWidth="1" min="56" max="56"/>
    <col width="9.5" customWidth="1" min="57" max="57"/>
    <col width="9.5" customWidth="1" min="58" max="58"/>
    <col width="9.5" customWidth="1" min="59" max="59"/>
    <col width="9.5" customWidth="1" min="60" max="60"/>
    <col width="9.5" customWidth="1" min="61" max="61"/>
    <col width="9.5" customWidth="1" min="62" max="62"/>
    <col width="9.5" customWidth="1" min="63" max="63"/>
    <col width="9.5" customWidth="1" min="64" max="64"/>
    <col width="9.5" customWidth="1" min="65" max="65"/>
    <col width="9.5" customWidth="1" min="66" max="66"/>
    <col width="9.5" customWidth="1" min="67" max="67"/>
    <col width="9.5" customWidth="1" min="68" max="68"/>
    <col width="9.5" customWidth="1" min="69" max="69"/>
    <col width="9.5" customWidth="1" min="70" max="70"/>
    <col width="9.5" customWidth="1" min="71" max="71"/>
    <col width="9.5" customWidth="1" min="72" max="72"/>
    <col width="9.5" customWidth="1" min="73" max="73"/>
    <col width="9.5" customWidth="1" min="74" max="74"/>
    <col width="9.5" customWidth="1" min="75" max="75"/>
    <col width="9.5" customWidth="1" min="76" max="76"/>
    <col width="9.5" customWidth="1" min="77" max="77"/>
    <col width="9.5" customWidth="1" min="78" max="78"/>
    <col width="9.5" customWidth="1" min="79" max="79"/>
    <col width="9.5" customWidth="1" min="80" max="80"/>
    <col width="9.5" customWidth="1" min="81" max="81"/>
    <col width="9.5" customWidth="1" min="82" max="82"/>
    <col width="9.5" customWidth="1" min="83" max="83"/>
    <col width="9.5" customWidth="1" min="84" max="84"/>
    <col width="9.5" customWidth="1" min="85" max="85"/>
    <col width="9.5" customWidth="1" min="86" max="86"/>
    <col width="9.5" customWidth="1" min="87" max="87"/>
    <col width="9.5" customWidth="1" min="88" max="88"/>
    <col width="9.5" customWidth="1" min="89" max="89"/>
    <col width="9.5" customWidth="1" min="90" max="90"/>
    <col width="9.5" customWidth="1" min="91" max="91"/>
    <col width="9.5" customWidth="1" min="92" max="92"/>
    <col width="10" customWidth="1" min="93" max="93"/>
    <col width="10" customWidth="1" min="94" max="94"/>
    <col width="10" customWidth="1" min="95" max="95"/>
    <col width="10" customWidth="1" min="96" max="96"/>
    <col width="10" customWidth="1" min="97" max="97"/>
    <col width="26" customWidth="1" min="98" max="98"/>
    <col width="12" customWidth="1" min="99" max="99"/>
    <col width="12" customWidth="1" min="100" max="100"/>
    <col width="12" customWidth="1" min="101" max="101"/>
    <col width="30" customWidth="1" min="104" max="104"/>
    <col width="8" customWidth="1" min="105" max="105"/>
    <col width="8" customWidth="1" min="106" max="106"/>
    <col width="8" customWidth="1" min="107" max="107"/>
  </cols>
  <sheetData>
    <row r="2">
      <c r="B2" s="8" t="inlineStr">
        <is>
          <t>COPART, INC. (CPRT) — SEC-Filings 3-Statement Model</t>
        </is>
      </c>
      <c r="CT2" s="6" t="inlineStr">
        <is>
          <t>Scenario:</t>
        </is>
      </c>
      <c r="CU2" s="9" t="inlineStr">
        <is>
          <t>Base</t>
        </is>
      </c>
    </row>
    <row r="3">
      <c r="B3" s="10" t="inlineStr">
        <is>
          <t>US GAAP as reported · US$ millions · FYE July 31 · Source: SEC EDGAR Forms 10-K &amp; 10-Q (data.sec.gov XBRL), CIK 0000900075</t>
        </is>
      </c>
    </row>
    <row r="4">
      <c r="B4" s="11" t="inlineStr">
        <is>
          <t>Blue = as-reported input from SEC filings · Black = formula · Yellow columns = forecast (driven by Assumptions / scenario toggle).</t>
        </is>
      </c>
    </row>
    <row r="5">
      <c r="CZ5" s="5" t="inlineStr">
        <is>
          <t>SCENARIO / ASSUMPTIONS TABLE</t>
        </is>
      </c>
      <c r="DA5" s="12" t="n"/>
      <c r="DB5" s="12" t="n"/>
      <c r="DC5" s="12" t="n"/>
    </row>
    <row r="6">
      <c r="B6" s="13" t="inlineStr">
        <is>
          <t>(US$ in millions)</t>
        </is>
      </c>
      <c r="C6" s="14" t="inlineStr">
        <is>
          <t>Q1 11</t>
        </is>
      </c>
      <c r="D6" s="14" t="inlineStr">
        <is>
          <t>Q2 11</t>
        </is>
      </c>
      <c r="E6" s="14" t="inlineStr">
        <is>
          <t>1H 11</t>
        </is>
      </c>
      <c r="F6" s="14" t="inlineStr">
        <is>
          <t>Q3 11</t>
        </is>
      </c>
      <c r="G6" s="14" t="inlineStr">
        <is>
          <t>Q4 11</t>
        </is>
      </c>
      <c r="H6" s="14" t="inlineStr">
        <is>
          <t>FY2011</t>
        </is>
      </c>
      <c r="I6" s="14" t="inlineStr">
        <is>
          <t>Q1 12</t>
        </is>
      </c>
      <c r="J6" s="14" t="inlineStr">
        <is>
          <t>Q2 12</t>
        </is>
      </c>
      <c r="K6" s="14" t="inlineStr">
        <is>
          <t>1H 12</t>
        </is>
      </c>
      <c r="L6" s="14" t="inlineStr">
        <is>
          <t>Q3 12</t>
        </is>
      </c>
      <c r="M6" s="14" t="inlineStr">
        <is>
          <t>Q4 12</t>
        </is>
      </c>
      <c r="N6" s="14" t="inlineStr">
        <is>
          <t>FY2012</t>
        </is>
      </c>
      <c r="O6" s="14" t="inlineStr">
        <is>
          <t>Q1 13</t>
        </is>
      </c>
      <c r="P6" s="14" t="inlineStr">
        <is>
          <t>Q2 13</t>
        </is>
      </c>
      <c r="Q6" s="14" t="inlineStr">
        <is>
          <t>1H 13</t>
        </is>
      </c>
      <c r="R6" s="14" t="inlineStr">
        <is>
          <t>Q3 13</t>
        </is>
      </c>
      <c r="S6" s="14" t="inlineStr">
        <is>
          <t>Q4 13</t>
        </is>
      </c>
      <c r="T6" s="14" t="inlineStr">
        <is>
          <t>FY2013</t>
        </is>
      </c>
      <c r="U6" s="14" t="inlineStr">
        <is>
          <t>Q1 14</t>
        </is>
      </c>
      <c r="V6" s="14" t="inlineStr">
        <is>
          <t>Q2 14</t>
        </is>
      </c>
      <c r="W6" s="14" t="inlineStr">
        <is>
          <t>1H 14</t>
        </is>
      </c>
      <c r="X6" s="14" t="inlineStr">
        <is>
          <t>Q3 14</t>
        </is>
      </c>
      <c r="Y6" s="14" t="inlineStr">
        <is>
          <t>Q4 14</t>
        </is>
      </c>
      <c r="Z6" s="14" t="inlineStr">
        <is>
          <t>FY2014</t>
        </is>
      </c>
      <c r="AA6" s="14" t="inlineStr">
        <is>
          <t>Q1 15</t>
        </is>
      </c>
      <c r="AB6" s="14" t="inlineStr">
        <is>
          <t>Q2 15</t>
        </is>
      </c>
      <c r="AC6" s="14" t="inlineStr">
        <is>
          <t>1H 15</t>
        </is>
      </c>
      <c r="AD6" s="14" t="inlineStr">
        <is>
          <t>Q3 15</t>
        </is>
      </c>
      <c r="AE6" s="14" t="inlineStr">
        <is>
          <t>Q4 15</t>
        </is>
      </c>
      <c r="AF6" s="14" t="inlineStr">
        <is>
          <t>FY2015</t>
        </is>
      </c>
      <c r="AG6" s="14" t="inlineStr">
        <is>
          <t>Q1 16</t>
        </is>
      </c>
      <c r="AH6" s="14" t="inlineStr">
        <is>
          <t>Q2 16</t>
        </is>
      </c>
      <c r="AI6" s="14" t="inlineStr">
        <is>
          <t>1H 16</t>
        </is>
      </c>
      <c r="AJ6" s="14" t="inlineStr">
        <is>
          <t>Q3 16</t>
        </is>
      </c>
      <c r="AK6" s="14" t="inlineStr">
        <is>
          <t>Q4 16</t>
        </is>
      </c>
      <c r="AL6" s="14" t="inlineStr">
        <is>
          <t>FY2016</t>
        </is>
      </c>
      <c r="AM6" s="14" t="inlineStr">
        <is>
          <t>Q1 17</t>
        </is>
      </c>
      <c r="AN6" s="14" t="inlineStr">
        <is>
          <t>Q2 17</t>
        </is>
      </c>
      <c r="AO6" s="14" t="inlineStr">
        <is>
          <t>1H 17</t>
        </is>
      </c>
      <c r="AP6" s="14" t="inlineStr">
        <is>
          <t>Q3 17</t>
        </is>
      </c>
      <c r="AQ6" s="14" t="inlineStr">
        <is>
          <t>Q4 17</t>
        </is>
      </c>
      <c r="AR6" s="14" t="inlineStr">
        <is>
          <t>FY2017</t>
        </is>
      </c>
      <c r="AS6" s="14" t="inlineStr">
        <is>
          <t>Q1 18</t>
        </is>
      </c>
      <c r="AT6" s="14" t="inlineStr">
        <is>
          <t>Q2 18</t>
        </is>
      </c>
      <c r="AU6" s="14" t="inlineStr">
        <is>
          <t>1H 18</t>
        </is>
      </c>
      <c r="AV6" s="14" t="inlineStr">
        <is>
          <t>Q3 18</t>
        </is>
      </c>
      <c r="AW6" s="14" t="inlineStr">
        <is>
          <t>Q4 18</t>
        </is>
      </c>
      <c r="AX6" s="14" t="inlineStr">
        <is>
          <t>FY2018</t>
        </is>
      </c>
      <c r="AY6" s="14" t="inlineStr">
        <is>
          <t>Q1 19</t>
        </is>
      </c>
      <c r="AZ6" s="14" t="inlineStr">
        <is>
          <t>Q2 19</t>
        </is>
      </c>
      <c r="BA6" s="14" t="inlineStr">
        <is>
          <t>1H 19</t>
        </is>
      </c>
      <c r="BB6" s="14" t="inlineStr">
        <is>
          <t>Q3 19</t>
        </is>
      </c>
      <c r="BC6" s="14" t="inlineStr">
        <is>
          <t>Q4 19</t>
        </is>
      </c>
      <c r="BD6" s="14" t="inlineStr">
        <is>
          <t>FY2019</t>
        </is>
      </c>
      <c r="BE6" s="14" t="inlineStr">
        <is>
          <t>Q1 20</t>
        </is>
      </c>
      <c r="BF6" s="14" t="inlineStr">
        <is>
          <t>Q2 20</t>
        </is>
      </c>
      <c r="BG6" s="14" t="inlineStr">
        <is>
          <t>1H 20</t>
        </is>
      </c>
      <c r="BH6" s="14" t="inlineStr">
        <is>
          <t>Q3 20</t>
        </is>
      </c>
      <c r="BI6" s="14" t="inlineStr">
        <is>
          <t>Q4 20</t>
        </is>
      </c>
      <c r="BJ6" s="14" t="inlineStr">
        <is>
          <t>FY2020</t>
        </is>
      </c>
      <c r="BK6" s="14" t="inlineStr">
        <is>
          <t>Q1 21</t>
        </is>
      </c>
      <c r="BL6" s="14" t="inlineStr">
        <is>
          <t>Q2 21</t>
        </is>
      </c>
      <c r="BM6" s="14" t="inlineStr">
        <is>
          <t>1H 21</t>
        </is>
      </c>
      <c r="BN6" s="14" t="inlineStr">
        <is>
          <t>Q3 21</t>
        </is>
      </c>
      <c r="BO6" s="14" t="inlineStr">
        <is>
          <t>Q4 21</t>
        </is>
      </c>
      <c r="BP6" s="14" t="inlineStr">
        <is>
          <t>FY2021</t>
        </is>
      </c>
      <c r="BQ6" s="14" t="inlineStr">
        <is>
          <t>Q1 22</t>
        </is>
      </c>
      <c r="BR6" s="14" t="inlineStr">
        <is>
          <t>Q2 22</t>
        </is>
      </c>
      <c r="BS6" s="14" t="inlineStr">
        <is>
          <t>1H 22</t>
        </is>
      </c>
      <c r="BT6" s="14" t="inlineStr">
        <is>
          <t>Q3 22</t>
        </is>
      </c>
      <c r="BU6" s="14" t="inlineStr">
        <is>
          <t>Q4 22</t>
        </is>
      </c>
      <c r="BV6" s="14" t="inlineStr">
        <is>
          <t>FY2022</t>
        </is>
      </c>
      <c r="BW6" s="14" t="inlineStr">
        <is>
          <t>Q1 23</t>
        </is>
      </c>
      <c r="BX6" s="14" t="inlineStr">
        <is>
          <t>Q2 23</t>
        </is>
      </c>
      <c r="BY6" s="14" t="inlineStr">
        <is>
          <t>1H 23</t>
        </is>
      </c>
      <c r="BZ6" s="14" t="inlineStr">
        <is>
          <t>Q3 23</t>
        </is>
      </c>
      <c r="CA6" s="14" t="inlineStr">
        <is>
          <t>Q4 23</t>
        </is>
      </c>
      <c r="CB6" s="14" t="inlineStr">
        <is>
          <t>FY2023</t>
        </is>
      </c>
      <c r="CC6" s="14" t="inlineStr">
        <is>
          <t>Q1 24</t>
        </is>
      </c>
      <c r="CD6" s="14" t="inlineStr">
        <is>
          <t>Q2 24</t>
        </is>
      </c>
      <c r="CE6" s="14" t="inlineStr">
        <is>
          <t>1H 24</t>
        </is>
      </c>
      <c r="CF6" s="14" t="inlineStr">
        <is>
          <t>Q3 24</t>
        </is>
      </c>
      <c r="CG6" s="14" t="inlineStr">
        <is>
          <t>Q4 24</t>
        </is>
      </c>
      <c r="CH6" s="14" t="inlineStr">
        <is>
          <t>FY2024</t>
        </is>
      </c>
      <c r="CI6" s="14" t="inlineStr">
        <is>
          <t>Q1 25</t>
        </is>
      </c>
      <c r="CJ6" s="14" t="inlineStr">
        <is>
          <t>Q2 25</t>
        </is>
      </c>
      <c r="CK6" s="14" t="inlineStr">
        <is>
          <t>1H 25</t>
        </is>
      </c>
      <c r="CL6" s="14" t="inlineStr">
        <is>
          <t>Q3 25</t>
        </is>
      </c>
      <c r="CM6" s="14" t="inlineStr">
        <is>
          <t>Q4 25</t>
        </is>
      </c>
      <c r="CN6" s="14" t="inlineStr">
        <is>
          <t>FY2025</t>
        </is>
      </c>
      <c r="CO6" s="15" t="inlineStr">
        <is>
          <t>FY2026E</t>
        </is>
      </c>
      <c r="CP6" s="15" t="inlineStr">
        <is>
          <t>FY2027E</t>
        </is>
      </c>
      <c r="CQ6" s="15" t="inlineStr">
        <is>
          <t>FY2028E</t>
        </is>
      </c>
      <c r="CR6" s="15" t="inlineStr">
        <is>
          <t>FY2029E</t>
        </is>
      </c>
      <c r="CS6" s="15" t="inlineStr">
        <is>
          <t>FY2030E</t>
        </is>
      </c>
      <c r="CT6" s="16" t="inlineStr">
        <is>
          <t>Modelling Notes</t>
        </is>
      </c>
      <c r="CU6" s="16" t="inlineStr">
        <is>
          <t>5Y CAGR (fwd)</t>
        </is>
      </c>
      <c r="CV6" s="16" t="inlineStr">
        <is>
          <t>5Y CAGR (hist)</t>
        </is>
      </c>
      <c r="CW6" s="16" t="inlineStr">
        <is>
          <t>10Y CAGR</t>
        </is>
      </c>
      <c r="CZ6" s="17" t="inlineStr">
        <is>
          <t>Driver</t>
        </is>
      </c>
      <c r="DA6" s="17" t="inlineStr">
        <is>
          <t>Bull</t>
        </is>
      </c>
      <c r="DB6" s="17" t="inlineStr">
        <is>
          <t>Base</t>
        </is>
      </c>
      <c r="DC6" s="17" t="inlineStr">
        <is>
          <t>Bear</t>
        </is>
      </c>
    </row>
    <row r="7">
      <c r="CZ7" s="18" t="inlineStr">
        <is>
          <t>Revenue growth — US</t>
        </is>
      </c>
      <c r="DA7" s="19" t="n">
        <v>0.14</v>
      </c>
      <c r="DB7" s="19" t="n">
        <v>0.1</v>
      </c>
      <c r="DC7" s="19" t="n">
        <v>0.04</v>
      </c>
    </row>
    <row r="8">
      <c r="B8" s="5" t="inlineStr">
        <is>
          <t>SEGMENT P&amp;L — BY REPORTABLE SEGMENT (US &amp; INTERNATIONAL)</t>
        </is>
      </c>
      <c r="C8" s="12" t="n"/>
      <c r="D8" s="12" t="n"/>
      <c r="E8" s="12" t="n"/>
      <c r="F8" s="12" t="n"/>
      <c r="G8" s="12" t="n"/>
      <c r="H8" s="12" t="n"/>
      <c r="I8" s="12" t="n"/>
      <c r="J8" s="12" t="n"/>
      <c r="K8" s="12" t="n"/>
      <c r="L8" s="12" t="n"/>
      <c r="M8" s="12" t="n"/>
      <c r="N8" s="12" t="n"/>
      <c r="O8" s="12" t="n"/>
      <c r="P8" s="12" t="n"/>
      <c r="Q8" s="12" t="n"/>
      <c r="R8" s="12" t="n"/>
      <c r="S8" s="12" t="n"/>
      <c r="T8" s="12" t="n"/>
      <c r="U8" s="12" t="n"/>
      <c r="V8" s="12" t="n"/>
      <c r="W8" s="12" t="n"/>
      <c r="X8" s="12" t="n"/>
      <c r="Y8" s="12" t="n"/>
      <c r="Z8" s="12" t="n"/>
      <c r="AA8" s="12" t="n"/>
      <c r="AB8" s="12" t="n"/>
      <c r="AC8" s="12" t="n"/>
      <c r="AD8" s="12" t="n"/>
      <c r="AE8" s="12" t="n"/>
      <c r="AF8" s="12" t="n"/>
      <c r="AG8" s="12" t="n"/>
      <c r="AH8" s="12" t="n"/>
      <c r="AI8" s="12" t="n"/>
      <c r="AJ8" s="12" t="n"/>
      <c r="AK8" s="12" t="n"/>
      <c r="AL8" s="12" t="n"/>
      <c r="AM8" s="12" t="n"/>
      <c r="AN8" s="12" t="n"/>
      <c r="AO8" s="12" t="n"/>
      <c r="AP8" s="12" t="n"/>
      <c r="AQ8" s="12" t="n"/>
      <c r="AR8" s="12" t="n"/>
      <c r="AS8" s="12" t="n"/>
      <c r="AT8" s="12" t="n"/>
      <c r="AU8" s="12" t="n"/>
      <c r="AV8" s="12" t="n"/>
      <c r="AW8" s="12" t="n"/>
      <c r="AX8" s="12" t="n"/>
      <c r="AY8" s="12" t="n"/>
      <c r="AZ8" s="12" t="n"/>
      <c r="BA8" s="12" t="n"/>
      <c r="BB8" s="12" t="n"/>
      <c r="BC8" s="12" t="n"/>
      <c r="BD8" s="12" t="n"/>
      <c r="BE8" s="12" t="n"/>
      <c r="BF8" s="12" t="n"/>
      <c r="BG8" s="12" t="n"/>
      <c r="BH8" s="12" t="n"/>
      <c r="BI8" s="12" t="n"/>
      <c r="BJ8" s="12" t="n"/>
      <c r="BK8" s="12" t="n"/>
      <c r="BL8" s="12" t="n"/>
      <c r="BM8" s="12" t="n"/>
      <c r="BN8" s="12" t="n"/>
      <c r="BO8" s="12" t="n"/>
      <c r="BP8" s="12" t="n"/>
      <c r="BQ8" s="12" t="n"/>
      <c r="BR8" s="12" t="n"/>
      <c r="BS8" s="12" t="n"/>
      <c r="BT8" s="12" t="n"/>
      <c r="BU8" s="12" t="n"/>
      <c r="BV8" s="12" t="n"/>
      <c r="BW8" s="12" t="n"/>
      <c r="BX8" s="12" t="n"/>
      <c r="BY8" s="12" t="n"/>
      <c r="BZ8" s="12" t="n"/>
      <c r="CA8" s="12" t="n"/>
      <c r="CB8" s="12" t="n"/>
      <c r="CC8" s="12" t="n"/>
      <c r="CD8" s="12" t="n"/>
      <c r="CE8" s="12" t="n"/>
      <c r="CF8" s="12" t="n"/>
      <c r="CG8" s="12" t="n"/>
      <c r="CH8" s="12" t="n"/>
      <c r="CI8" s="12" t="n"/>
      <c r="CJ8" s="12" t="n"/>
      <c r="CK8" s="12" t="n"/>
      <c r="CL8" s="12" t="n"/>
      <c r="CM8" s="12" t="n"/>
      <c r="CN8" s="12" t="n"/>
      <c r="CO8" s="12" t="n"/>
      <c r="CP8" s="12" t="n"/>
      <c r="CQ8" s="12" t="n"/>
      <c r="CR8" s="12" t="n"/>
      <c r="CS8" s="12" t="n"/>
      <c r="CT8" s="12" t="n"/>
      <c r="CU8" s="12" t="n"/>
      <c r="CV8" s="12" t="n"/>
      <c r="CW8" s="12" t="n"/>
      <c r="CZ8" s="18" t="inlineStr">
        <is>
          <t>Revenue growth — International</t>
        </is>
      </c>
      <c r="DA8" s="19" t="n">
        <v>0.16</v>
      </c>
      <c r="DB8" s="19" t="n">
        <v>0.11</v>
      </c>
      <c r="DC8" s="19" t="n">
        <v>0.04</v>
      </c>
    </row>
    <row r="9">
      <c r="B9" s="20" t="inlineStr">
        <is>
          <t>United States</t>
        </is>
      </c>
      <c r="C9" s="21" t="n"/>
      <c r="D9" s="21" t="n"/>
      <c r="E9" s="21" t="n"/>
      <c r="F9" s="21" t="n"/>
      <c r="G9" s="21" t="n"/>
      <c r="H9" s="21" t="n"/>
      <c r="I9" s="21" t="n"/>
      <c r="J9" s="21" t="n"/>
      <c r="K9" s="21" t="n"/>
      <c r="L9" s="21" t="n"/>
      <c r="M9" s="21" t="n"/>
      <c r="N9" s="21" t="n"/>
      <c r="O9" s="21" t="n"/>
      <c r="P9" s="21" t="n"/>
      <c r="Q9" s="21" t="n"/>
      <c r="R9" s="21" t="n"/>
      <c r="S9" s="21" t="n"/>
      <c r="T9" s="21" t="n"/>
      <c r="U9" s="21" t="n"/>
      <c r="V9" s="21" t="n"/>
      <c r="W9" s="21" t="n"/>
      <c r="X9" s="21" t="n"/>
      <c r="Y9" s="21" t="n"/>
      <c r="Z9" s="21" t="n"/>
      <c r="AA9" s="21" t="n"/>
      <c r="AB9" s="21" t="n"/>
      <c r="AC9" s="21" t="n"/>
      <c r="AD9" s="21" t="n"/>
      <c r="AE9" s="21" t="n"/>
      <c r="AF9" s="21" t="n"/>
      <c r="AG9" s="21" t="n"/>
      <c r="AH9" s="21" t="n"/>
      <c r="AI9" s="21" t="n"/>
      <c r="AJ9" s="21" t="n"/>
      <c r="AK9" s="21" t="n"/>
      <c r="AL9" s="21" t="n"/>
      <c r="AM9" s="21" t="n"/>
      <c r="AN9" s="21" t="n"/>
      <c r="AO9" s="21" t="n"/>
      <c r="AP9" s="21" t="n"/>
      <c r="AQ9" s="21" t="n"/>
      <c r="AR9" s="21" t="n"/>
      <c r="AS9" s="21" t="n"/>
      <c r="AT9" s="21" t="n"/>
      <c r="AU9" s="21" t="n"/>
      <c r="AV9" s="21" t="n"/>
      <c r="AW9" s="21" t="n"/>
      <c r="AX9" s="21" t="n"/>
      <c r="AY9" s="21" t="n"/>
      <c r="AZ9" s="21" t="n"/>
      <c r="BA9" s="21" t="n"/>
      <c r="BB9" s="21" t="n"/>
      <c r="BC9" s="21" t="n"/>
      <c r="BD9" s="21" t="n"/>
      <c r="BE9" s="21" t="n"/>
      <c r="BF9" s="21" t="n"/>
      <c r="BG9" s="21" t="n"/>
      <c r="BH9" s="21" t="n"/>
      <c r="BI9" s="21" t="n"/>
      <c r="BJ9" s="21" t="n"/>
      <c r="BK9" s="21" t="n"/>
      <c r="BL9" s="21" t="n"/>
      <c r="BM9" s="21" t="n"/>
      <c r="BN9" s="21" t="n"/>
      <c r="BO9" s="21" t="n"/>
      <c r="BP9" s="21" t="n"/>
      <c r="BQ9" s="21" t="n"/>
      <c r="BR9" s="21" t="n"/>
      <c r="BS9" s="21" t="n"/>
      <c r="BT9" s="21" t="n"/>
      <c r="BU9" s="21" t="n"/>
      <c r="BV9" s="21" t="n"/>
      <c r="BW9" s="21" t="n"/>
      <c r="BX9" s="21" t="n"/>
      <c r="BY9" s="21" t="n"/>
      <c r="BZ9" s="21" t="n"/>
      <c r="CA9" s="21" t="n"/>
      <c r="CB9" s="21" t="n"/>
      <c r="CC9" s="21" t="n"/>
      <c r="CD9" s="21" t="n"/>
      <c r="CE9" s="21" t="n"/>
      <c r="CF9" s="21" t="n"/>
      <c r="CG9" s="21" t="n"/>
      <c r="CH9" s="21" t="n"/>
      <c r="CI9" s="21" t="n"/>
      <c r="CJ9" s="21" t="n"/>
      <c r="CK9" s="21" t="n"/>
      <c r="CL9" s="21" t="n"/>
      <c r="CM9" s="21" t="n"/>
      <c r="CN9" s="21" t="n"/>
      <c r="CO9" s="21" t="n"/>
      <c r="CP9" s="21" t="n"/>
      <c r="CQ9" s="21" t="n"/>
      <c r="CR9" s="21" t="n"/>
      <c r="CS9" s="21" t="n"/>
      <c r="CT9" s="21" t="n"/>
      <c r="CU9" s="21" t="n"/>
      <c r="CV9" s="21" t="n"/>
      <c r="CW9" s="21" t="n"/>
      <c r="CZ9" s="18" t="inlineStr">
        <is>
          <t>Operating margin — US</t>
        </is>
      </c>
      <c r="DA9" s="19" t="n">
        <v>0.4</v>
      </c>
      <c r="DB9" s="19" t="n">
        <v>0.385</v>
      </c>
      <c r="DC9" s="19" t="n">
        <v>0.35</v>
      </c>
    </row>
    <row r="10">
      <c r="B10" s="18" t="inlineStr">
        <is>
          <t xml:space="preserve">  Revenue</t>
        </is>
      </c>
      <c r="E10" s="22">
        <f>C10+D10</f>
        <v/>
      </c>
      <c r="K10" s="22">
        <f>I10+J10</f>
        <v/>
      </c>
      <c r="N10" s="23" t="n">
        <v>724.869</v>
      </c>
      <c r="Q10" s="22">
        <f>O10+P10</f>
        <v/>
      </c>
      <c r="T10" s="23" t="n">
        <v>826.03</v>
      </c>
      <c r="W10" s="22">
        <f>U10+V10</f>
        <v/>
      </c>
      <c r="Z10" s="23" t="n">
        <v>904</v>
      </c>
      <c r="AC10" s="22">
        <f>AA10+AB10</f>
        <v/>
      </c>
      <c r="AF10" s="23" t="n">
        <v>914.443</v>
      </c>
      <c r="AI10" s="22">
        <f>AG10+AH10</f>
        <v/>
      </c>
      <c r="AL10" s="23" t="n">
        <v>1016.036</v>
      </c>
      <c r="AM10" s="23" t="n">
        <v>285.062</v>
      </c>
      <c r="AN10" s="23" t="n">
        <v>286.911</v>
      </c>
      <c r="AO10" s="22">
        <f>AM10+AN10</f>
        <v/>
      </c>
      <c r="AP10" s="23" t="n">
        <v>307.12</v>
      </c>
      <c r="AQ10" s="23" t="n">
        <v>314.095</v>
      </c>
      <c r="AR10" s="23" t="n">
        <v>1193.188</v>
      </c>
      <c r="AS10" s="23" t="n">
        <v>351.105</v>
      </c>
      <c r="AT10" s="23" t="n">
        <v>385.135</v>
      </c>
      <c r="AU10" s="22">
        <f>AS10+AT10</f>
        <v/>
      </c>
      <c r="AV10" s="23" t="n">
        <v>385.281</v>
      </c>
      <c r="AW10" s="23" t="n">
        <v>369.501</v>
      </c>
      <c r="AX10" s="23" t="n">
        <v>1491.022</v>
      </c>
      <c r="AY10" s="23" t="n">
        <v>371.209</v>
      </c>
      <c r="AZ10" s="23" t="n">
        <v>390.072</v>
      </c>
      <c r="BA10" s="22">
        <f>AY10+AZ10</f>
        <v/>
      </c>
      <c r="BB10" s="23" t="n">
        <v>448.199</v>
      </c>
      <c r="BC10" s="23" t="n">
        <v>447.089</v>
      </c>
      <c r="BD10" s="23" t="n">
        <v>1656.569</v>
      </c>
      <c r="BE10" s="23" t="n">
        <v>464.164</v>
      </c>
      <c r="BF10" s="23" t="n">
        <v>482.737</v>
      </c>
      <c r="BG10" s="22">
        <f>BE10+BF10</f>
        <v/>
      </c>
      <c r="BH10" s="23" t="n">
        <v>467.198</v>
      </c>
      <c r="BI10" s="23" t="n">
        <v>446.587</v>
      </c>
      <c r="BJ10" s="23" t="n">
        <v>1860.686</v>
      </c>
      <c r="BK10" s="23" t="n">
        <v>497.255</v>
      </c>
      <c r="BL10" s="23" t="n">
        <v>517.923</v>
      </c>
      <c r="BM10" s="22">
        <f>BK10+BL10</f>
        <v/>
      </c>
      <c r="BN10" s="23" t="n">
        <v>621.953</v>
      </c>
      <c r="BO10" s="23" t="n">
        <v>634.941</v>
      </c>
      <c r="BP10" s="23" t="n">
        <v>2272.072</v>
      </c>
      <c r="BQ10" s="23" t="n">
        <v>678.461</v>
      </c>
      <c r="BR10" s="23" t="n">
        <v>727.386</v>
      </c>
      <c r="BS10" s="22">
        <f>BQ10+BR10</f>
        <v/>
      </c>
      <c r="BT10" s="23" t="n">
        <v>790.25</v>
      </c>
      <c r="BU10" s="23" t="n">
        <v>749.053</v>
      </c>
      <c r="BV10" s="23" t="n">
        <v>2945.15</v>
      </c>
      <c r="BW10" s="23" t="n">
        <v>748.849</v>
      </c>
      <c r="BX10" s="23" t="n">
        <v>787.929</v>
      </c>
      <c r="BY10" s="22">
        <f>BW10+BX10</f>
        <v/>
      </c>
      <c r="BZ10" s="23" t="n">
        <v>833.758</v>
      </c>
      <c r="CA10" s="23" t="n">
        <v>819.112</v>
      </c>
      <c r="CB10" s="23" t="n">
        <v>3189.648</v>
      </c>
      <c r="CC10" s="23" t="n">
        <v>840.9059999999999</v>
      </c>
      <c r="CD10" s="23" t="n">
        <v>830.726</v>
      </c>
      <c r="CE10" s="22">
        <f>CC10+CD10</f>
        <v/>
      </c>
      <c r="CF10" s="23" t="n">
        <v>918.9160000000001</v>
      </c>
      <c r="CG10" s="23" t="n">
        <v>874.187</v>
      </c>
      <c r="CH10" s="23" t="n">
        <v>3464.735</v>
      </c>
      <c r="CI10" s="23" t="n">
        <v>947.539</v>
      </c>
      <c r="CJ10" s="23" t="n">
        <v>974.845</v>
      </c>
      <c r="CK10" s="22">
        <f>CI10+CJ10</f>
        <v/>
      </c>
      <c r="CL10" s="23" t="n">
        <v>1006.457</v>
      </c>
      <c r="CM10" s="23" t="n">
        <v>926.263</v>
      </c>
      <c r="CN10" s="23" t="n">
        <v>3855.104</v>
      </c>
      <c r="CO10" s="24">
        <f>CN10*(1+CHOOSE(MATCH($CU$2,{"Bull","Base","Bear"},0),$DA$7,$DB$7,$DC$7))</f>
        <v/>
      </c>
      <c r="CP10" s="24">
        <f>CO10*(1+CHOOSE(MATCH($CU$2,{"Bull","Base","Bear"},0),$DA$7,$DB$7,$DC$7))</f>
        <v/>
      </c>
      <c r="CQ10" s="24">
        <f>CP10*(1+CHOOSE(MATCH($CU$2,{"Bull","Base","Bear"},0),$DA$7,$DB$7,$DC$7))</f>
        <v/>
      </c>
      <c r="CR10" s="24">
        <f>CQ10*(1+CHOOSE(MATCH($CU$2,{"Bull","Base","Bear"},0),$DA$7,$DB$7,$DC$7))</f>
        <v/>
      </c>
      <c r="CS10" s="24">
        <f>CR10*(1+CHOOSE(MATCH($CU$2,{"Bull","Base","Bear"},0),$DA$7,$DB$7,$DC$7))</f>
        <v/>
      </c>
      <c r="CU10" s="25">
        <f>IFERROR((CS10/CN10)^(1/5)-1,"n/m")</f>
        <v/>
      </c>
      <c r="CV10" s="25">
        <f>IFERROR((CN10/BJ10)^(1/5)-1,"n/m")</f>
        <v/>
      </c>
      <c r="CW10" s="25">
        <f>IFERROR((CN10/H10)^(1/14)-1,"n/m")</f>
        <v/>
      </c>
      <c r="CZ10" s="18" t="inlineStr">
        <is>
          <t>Operating margin — International</t>
        </is>
      </c>
      <c r="DA10" s="19" t="n">
        <v>0.3</v>
      </c>
      <c r="DB10" s="19" t="n">
        <v>0.27</v>
      </c>
      <c r="DC10" s="19" t="n">
        <v>0.22</v>
      </c>
    </row>
    <row r="11">
      <c r="B11" s="6" t="inlineStr">
        <is>
          <t xml:space="preserve">  Operating income</t>
        </is>
      </c>
      <c r="E11" s="26">
        <f>C11+D11</f>
        <v/>
      </c>
      <c r="K11" s="26">
        <f>I11+J11</f>
        <v/>
      </c>
      <c r="Q11" s="26">
        <f>O11+P11</f>
        <v/>
      </c>
      <c r="W11" s="26">
        <f>U11+V11</f>
        <v/>
      </c>
      <c r="AC11" s="26">
        <f>AA11+AB11</f>
        <v/>
      </c>
      <c r="AI11" s="26">
        <f>AG11+AH11</f>
        <v/>
      </c>
      <c r="AL11" s="27" t="n">
        <v>347.709</v>
      </c>
      <c r="AM11" s="27" t="n">
        <v>88.982</v>
      </c>
      <c r="AN11" s="27" t="n">
        <v>93.592</v>
      </c>
      <c r="AO11" s="26">
        <f>AM11+AN11</f>
        <v/>
      </c>
      <c r="AP11" s="27" t="n">
        <v>119.117</v>
      </c>
      <c r="AQ11" s="27" t="n">
        <v>94.669</v>
      </c>
      <c r="AR11" s="27" t="n">
        <v>396.36</v>
      </c>
      <c r="AS11" s="27" t="n">
        <v>106.019</v>
      </c>
      <c r="AT11" s="27" t="n">
        <v>133.01</v>
      </c>
      <c r="AU11" s="26">
        <f>AS11+AT11</f>
        <v/>
      </c>
      <c r="AV11" s="27" t="n">
        <v>150.888</v>
      </c>
      <c r="AW11" s="27" t="n">
        <v>124.97</v>
      </c>
      <c r="AX11" s="27" t="n">
        <v>514.8869999999999</v>
      </c>
      <c r="AY11" s="27" t="n">
        <v>130.292</v>
      </c>
      <c r="AZ11" s="27" t="n">
        <v>145.402</v>
      </c>
      <c r="BA11" s="26">
        <f>AY11+AZ11</f>
        <v/>
      </c>
      <c r="BB11" s="27" t="n">
        <v>188.258</v>
      </c>
      <c r="BC11" s="27" t="n">
        <v>176.842</v>
      </c>
      <c r="BD11" s="27" t="n">
        <v>640.794</v>
      </c>
      <c r="BE11" s="27" t="n">
        <v>189.05</v>
      </c>
      <c r="BF11" s="27" t="n">
        <v>190.085</v>
      </c>
      <c r="BG11" s="26">
        <f>BE11+BF11</f>
        <v/>
      </c>
      <c r="BH11" s="27" t="n">
        <v>180.687</v>
      </c>
      <c r="BI11" s="27" t="n">
        <v>188.955</v>
      </c>
      <c r="BJ11" s="27" t="n">
        <v>748.777</v>
      </c>
      <c r="BK11" s="27" t="n">
        <v>223.239</v>
      </c>
      <c r="BL11" s="27" t="n">
        <v>229.452</v>
      </c>
      <c r="BM11" s="26">
        <f>BK11+BL11</f>
        <v/>
      </c>
      <c r="BN11" s="27" t="n">
        <v>296.726</v>
      </c>
      <c r="BO11" s="27" t="n">
        <v>274.138</v>
      </c>
      <c r="BP11" s="27" t="n">
        <v>1023.555</v>
      </c>
      <c r="BQ11" s="27" t="n">
        <v>294.949</v>
      </c>
      <c r="BR11" s="27" t="n">
        <v>312.646</v>
      </c>
      <c r="BS11" s="26">
        <f>BQ11+BR11</f>
        <v/>
      </c>
      <c r="BT11" s="27" t="n">
        <v>340.437</v>
      </c>
      <c r="BU11" s="27" t="n">
        <v>299.537</v>
      </c>
      <c r="BV11" s="27" t="n">
        <v>1247.569</v>
      </c>
      <c r="BW11" s="27" t="n">
        <v>282.628</v>
      </c>
      <c r="BX11" s="27" t="n">
        <v>336.164</v>
      </c>
      <c r="BY11" s="26">
        <f>BW11+BX11</f>
        <v/>
      </c>
      <c r="BZ11" s="27" t="n">
        <v>384.791</v>
      </c>
      <c r="CA11" s="27" t="n">
        <v>364.514</v>
      </c>
      <c r="CB11" s="27" t="n">
        <v>1368.097</v>
      </c>
      <c r="CC11" s="27" t="n">
        <v>362.291</v>
      </c>
      <c r="CD11" s="27" t="n">
        <v>347.338</v>
      </c>
      <c r="CE11" s="26">
        <f>CC11+CD11</f>
        <v/>
      </c>
      <c r="CF11" s="27" t="n">
        <v>392.931</v>
      </c>
      <c r="CG11" s="27" t="n">
        <v>325.474</v>
      </c>
      <c r="CH11" s="27" t="n">
        <v>1428.034</v>
      </c>
      <c r="CI11" s="27" t="n">
        <v>355.059</v>
      </c>
      <c r="CJ11" s="27" t="n">
        <v>375.893</v>
      </c>
      <c r="CK11" s="26">
        <f>CI11+CJ11</f>
        <v/>
      </c>
      <c r="CL11" s="27" t="n">
        <v>392.465</v>
      </c>
      <c r="CM11" s="27" t="n">
        <v>357.469</v>
      </c>
      <c r="CN11" s="27" t="n">
        <v>1480.886</v>
      </c>
      <c r="CO11" s="28">
        <f>CO10*CHOOSE(MATCH($CU$2,{"Bull","Base","Bear"},0),$DA$9,$DB$9,$DC$9)</f>
        <v/>
      </c>
      <c r="CP11" s="28">
        <f>CP10*CHOOSE(MATCH($CU$2,{"Bull","Base","Bear"},0),$DA$9,$DB$9,$DC$9)</f>
        <v/>
      </c>
      <c r="CQ11" s="28">
        <f>CQ10*CHOOSE(MATCH($CU$2,{"Bull","Base","Bear"},0),$DA$9,$DB$9,$DC$9)</f>
        <v/>
      </c>
      <c r="CR11" s="28">
        <f>CR10*CHOOSE(MATCH($CU$2,{"Bull","Base","Bear"},0),$DA$9,$DB$9,$DC$9)</f>
        <v/>
      </c>
      <c r="CS11" s="28">
        <f>CS10*CHOOSE(MATCH($CU$2,{"Bull","Base","Bear"},0),$DA$9,$DB$9,$DC$9)</f>
        <v/>
      </c>
      <c r="CU11" s="25">
        <f>IFERROR((CS11/CN11)^(1/5)-1,"n/m")</f>
        <v/>
      </c>
      <c r="CV11" s="25">
        <f>IFERROR((CN11/BJ11)^(1/5)-1,"n/m")</f>
        <v/>
      </c>
      <c r="CW11" s="25">
        <f>IFERROR((CN11/H11)^(1/14)-1,"n/m")</f>
        <v/>
      </c>
      <c r="CZ11" s="18" t="inlineStr">
        <is>
          <t>Other income % of revenue</t>
        </is>
      </c>
      <c r="DA11" s="19" t="n">
        <v>0.02</v>
      </c>
      <c r="DB11" s="19" t="n">
        <v>0.015</v>
      </c>
      <c r="DC11" s="19" t="n">
        <v>0.01</v>
      </c>
    </row>
    <row r="12">
      <c r="B12" s="18" t="inlineStr">
        <is>
          <t xml:space="preserve">  Operating margin %</t>
        </is>
      </c>
      <c r="C12" s="29">
        <f>IFERROR(C11/C10,"")</f>
        <v/>
      </c>
      <c r="D12" s="29">
        <f>IFERROR(D11/D10,"")</f>
        <v/>
      </c>
      <c r="E12" s="29">
        <f>IFERROR(E11/E10,"")</f>
        <v/>
      </c>
      <c r="F12" s="29">
        <f>IFERROR(F11/F10,"")</f>
        <v/>
      </c>
      <c r="G12" s="29">
        <f>IFERROR(G11/G10,"")</f>
        <v/>
      </c>
      <c r="H12" s="29">
        <f>IFERROR(H11/H10,"")</f>
        <v/>
      </c>
      <c r="I12" s="29">
        <f>IFERROR(I11/I10,"")</f>
        <v/>
      </c>
      <c r="J12" s="29">
        <f>IFERROR(J11/J10,"")</f>
        <v/>
      </c>
      <c r="K12" s="29">
        <f>IFERROR(K11/K10,"")</f>
        <v/>
      </c>
      <c r="L12" s="29">
        <f>IFERROR(L11/L10,"")</f>
        <v/>
      </c>
      <c r="M12" s="29">
        <f>IFERROR(M11/M10,"")</f>
        <v/>
      </c>
      <c r="N12" s="29">
        <f>IFERROR(N11/N10,"")</f>
        <v/>
      </c>
      <c r="O12" s="29">
        <f>IFERROR(O11/O10,"")</f>
        <v/>
      </c>
      <c r="P12" s="29">
        <f>IFERROR(P11/P10,"")</f>
        <v/>
      </c>
      <c r="Q12" s="29">
        <f>IFERROR(Q11/Q10,"")</f>
        <v/>
      </c>
      <c r="R12" s="29">
        <f>IFERROR(R11/R10,"")</f>
        <v/>
      </c>
      <c r="S12" s="29">
        <f>IFERROR(S11/S10,"")</f>
        <v/>
      </c>
      <c r="T12" s="29">
        <f>IFERROR(T11/T10,"")</f>
        <v/>
      </c>
      <c r="U12" s="29">
        <f>IFERROR(U11/U10,"")</f>
        <v/>
      </c>
      <c r="V12" s="29">
        <f>IFERROR(V11/V10,"")</f>
        <v/>
      </c>
      <c r="W12" s="29">
        <f>IFERROR(W11/W10,"")</f>
        <v/>
      </c>
      <c r="X12" s="29">
        <f>IFERROR(X11/X10,"")</f>
        <v/>
      </c>
      <c r="Y12" s="29">
        <f>IFERROR(Y11/Y10,"")</f>
        <v/>
      </c>
      <c r="Z12" s="29">
        <f>IFERROR(Z11/Z10,"")</f>
        <v/>
      </c>
      <c r="AA12" s="29">
        <f>IFERROR(AA11/AA10,"")</f>
        <v/>
      </c>
      <c r="AB12" s="29">
        <f>IFERROR(AB11/AB10,"")</f>
        <v/>
      </c>
      <c r="AC12" s="29">
        <f>IFERROR(AC11/AC10,"")</f>
        <v/>
      </c>
      <c r="AD12" s="29">
        <f>IFERROR(AD11/AD10,"")</f>
        <v/>
      </c>
      <c r="AE12" s="29">
        <f>IFERROR(AE11/AE10,"")</f>
        <v/>
      </c>
      <c r="AF12" s="29">
        <f>IFERROR(AF11/AF10,"")</f>
        <v/>
      </c>
      <c r="AG12" s="29">
        <f>IFERROR(AG11/AG10,"")</f>
        <v/>
      </c>
      <c r="AH12" s="29">
        <f>IFERROR(AH11/AH10,"")</f>
        <v/>
      </c>
      <c r="AI12" s="29">
        <f>IFERROR(AI11/AI10,"")</f>
        <v/>
      </c>
      <c r="AJ12" s="29">
        <f>IFERROR(AJ11/AJ10,"")</f>
        <v/>
      </c>
      <c r="AK12" s="29">
        <f>IFERROR(AK11/AK10,"")</f>
        <v/>
      </c>
      <c r="AL12" s="29">
        <f>IFERROR(AL11/AL10,"")</f>
        <v/>
      </c>
      <c r="AM12" s="29">
        <f>IFERROR(AM11/AM10,"")</f>
        <v/>
      </c>
      <c r="AN12" s="29">
        <f>IFERROR(AN11/AN10,"")</f>
        <v/>
      </c>
      <c r="AO12" s="29">
        <f>IFERROR(AO11/AO10,"")</f>
        <v/>
      </c>
      <c r="AP12" s="29">
        <f>IFERROR(AP11/AP10,"")</f>
        <v/>
      </c>
      <c r="AQ12" s="29">
        <f>IFERROR(AQ11/AQ10,"")</f>
        <v/>
      </c>
      <c r="AR12" s="29">
        <f>IFERROR(AR11/AR10,"")</f>
        <v/>
      </c>
      <c r="AS12" s="29">
        <f>IFERROR(AS11/AS10,"")</f>
        <v/>
      </c>
      <c r="AT12" s="29">
        <f>IFERROR(AT11/AT10,"")</f>
        <v/>
      </c>
      <c r="AU12" s="29">
        <f>IFERROR(AU11/AU10,"")</f>
        <v/>
      </c>
      <c r="AV12" s="29">
        <f>IFERROR(AV11/AV10,"")</f>
        <v/>
      </c>
      <c r="AW12" s="29">
        <f>IFERROR(AW11/AW10,"")</f>
        <v/>
      </c>
      <c r="AX12" s="29">
        <f>IFERROR(AX11/AX10,"")</f>
        <v/>
      </c>
      <c r="AY12" s="29">
        <f>IFERROR(AY11/AY10,"")</f>
        <v/>
      </c>
      <c r="AZ12" s="29">
        <f>IFERROR(AZ11/AZ10,"")</f>
        <v/>
      </c>
      <c r="BA12" s="29">
        <f>IFERROR(BA11/BA10,"")</f>
        <v/>
      </c>
      <c r="BB12" s="29">
        <f>IFERROR(BB11/BB10,"")</f>
        <v/>
      </c>
      <c r="BC12" s="29">
        <f>IFERROR(BC11/BC10,"")</f>
        <v/>
      </c>
      <c r="BD12" s="29">
        <f>IFERROR(BD11/BD10,"")</f>
        <v/>
      </c>
      <c r="BE12" s="29">
        <f>IFERROR(BE11/BE10,"")</f>
        <v/>
      </c>
      <c r="BF12" s="29">
        <f>IFERROR(BF11/BF10,"")</f>
        <v/>
      </c>
      <c r="BG12" s="29">
        <f>IFERROR(BG11/BG10,"")</f>
        <v/>
      </c>
      <c r="BH12" s="29">
        <f>IFERROR(BH11/BH10,"")</f>
        <v/>
      </c>
      <c r="BI12" s="29">
        <f>IFERROR(BI11/BI10,"")</f>
        <v/>
      </c>
      <c r="BJ12" s="29">
        <f>IFERROR(BJ11/BJ10,"")</f>
        <v/>
      </c>
      <c r="BK12" s="29">
        <f>IFERROR(BK11/BK10,"")</f>
        <v/>
      </c>
      <c r="BL12" s="29">
        <f>IFERROR(BL11/BL10,"")</f>
        <v/>
      </c>
      <c r="BM12" s="29">
        <f>IFERROR(BM11/BM10,"")</f>
        <v/>
      </c>
      <c r="BN12" s="29">
        <f>IFERROR(BN11/BN10,"")</f>
        <v/>
      </c>
      <c r="BO12" s="29">
        <f>IFERROR(BO11/BO10,"")</f>
        <v/>
      </c>
      <c r="BP12" s="29">
        <f>IFERROR(BP11/BP10,"")</f>
        <v/>
      </c>
      <c r="BQ12" s="29">
        <f>IFERROR(BQ11/BQ10,"")</f>
        <v/>
      </c>
      <c r="BR12" s="29">
        <f>IFERROR(BR11/BR10,"")</f>
        <v/>
      </c>
      <c r="BS12" s="29">
        <f>IFERROR(BS11/BS10,"")</f>
        <v/>
      </c>
      <c r="BT12" s="29">
        <f>IFERROR(BT11/BT10,"")</f>
        <v/>
      </c>
      <c r="BU12" s="29">
        <f>IFERROR(BU11/BU10,"")</f>
        <v/>
      </c>
      <c r="BV12" s="29">
        <f>IFERROR(BV11/BV10,"")</f>
        <v/>
      </c>
      <c r="BW12" s="29">
        <f>IFERROR(BW11/BW10,"")</f>
        <v/>
      </c>
      <c r="BX12" s="29">
        <f>IFERROR(BX11/BX10,"")</f>
        <v/>
      </c>
      <c r="BY12" s="29">
        <f>IFERROR(BY11/BY10,"")</f>
        <v/>
      </c>
      <c r="BZ12" s="29">
        <f>IFERROR(BZ11/BZ10,"")</f>
        <v/>
      </c>
      <c r="CA12" s="29">
        <f>IFERROR(CA11/CA10,"")</f>
        <v/>
      </c>
      <c r="CB12" s="29">
        <f>IFERROR(CB11/CB10,"")</f>
        <v/>
      </c>
      <c r="CC12" s="29">
        <f>IFERROR(CC11/CC10,"")</f>
        <v/>
      </c>
      <c r="CD12" s="29">
        <f>IFERROR(CD11/CD10,"")</f>
        <v/>
      </c>
      <c r="CE12" s="29">
        <f>IFERROR(CE11/CE10,"")</f>
        <v/>
      </c>
      <c r="CF12" s="29">
        <f>IFERROR(CF11/CF10,"")</f>
        <v/>
      </c>
      <c r="CG12" s="29">
        <f>IFERROR(CG11/CG10,"")</f>
        <v/>
      </c>
      <c r="CH12" s="29">
        <f>IFERROR(CH11/CH10,"")</f>
        <v/>
      </c>
      <c r="CI12" s="29">
        <f>IFERROR(CI11/CI10,"")</f>
        <v/>
      </c>
      <c r="CJ12" s="29">
        <f>IFERROR(CJ11/CJ10,"")</f>
        <v/>
      </c>
      <c r="CK12" s="29">
        <f>IFERROR(CK11/CK10,"")</f>
        <v/>
      </c>
      <c r="CL12" s="29">
        <f>IFERROR(CL11/CL10,"")</f>
        <v/>
      </c>
      <c r="CM12" s="29">
        <f>IFERROR(CM11/CM10,"")</f>
        <v/>
      </c>
      <c r="CN12" s="29">
        <f>IFERROR(CN11/CN10,"")</f>
        <v/>
      </c>
      <c r="CO12" s="30">
        <f>IFERROR(CO11/CO10,"")</f>
        <v/>
      </c>
      <c r="CP12" s="30">
        <f>IFERROR(CP11/CP10,"")</f>
        <v/>
      </c>
      <c r="CQ12" s="30">
        <f>IFERROR(CQ11/CQ10,"")</f>
        <v/>
      </c>
      <c r="CR12" s="30">
        <f>IFERROR(CR11/CR10,"")</f>
        <v/>
      </c>
      <c r="CS12" s="30">
        <f>IFERROR(CS11/CS10,"")</f>
        <v/>
      </c>
      <c r="CZ12" s="18" t="inlineStr">
        <is>
          <t>Effective tax rate</t>
        </is>
      </c>
      <c r="DA12" s="19" t="n">
        <v>0.22</v>
      </c>
      <c r="DB12" s="19" t="n">
        <v>0.23</v>
      </c>
      <c r="DC12" s="19" t="n">
        <v>0.25</v>
      </c>
    </row>
    <row r="13">
      <c r="B13" s="31" t="inlineStr">
        <is>
          <t xml:space="preserve">  Revenue y/y %</t>
        </is>
      </c>
      <c r="N13" s="29">
        <f>IFERROR(N10/H10-1,"")</f>
        <v/>
      </c>
      <c r="T13" s="29">
        <f>IFERROR(T10/N10-1,"")</f>
        <v/>
      </c>
      <c r="Z13" s="29">
        <f>IFERROR(Z10/T10-1,"")</f>
        <v/>
      </c>
      <c r="AF13" s="29">
        <f>IFERROR(AF10/Z10-1,"")</f>
        <v/>
      </c>
      <c r="AL13" s="29">
        <f>IFERROR(AL10/AF10-1,"")</f>
        <v/>
      </c>
      <c r="AR13" s="29">
        <f>IFERROR(AR10/AL10-1,"")</f>
        <v/>
      </c>
      <c r="AX13" s="29">
        <f>IFERROR(AX10/AR10-1,"")</f>
        <v/>
      </c>
      <c r="BD13" s="29">
        <f>IFERROR(BD10/AX10-1,"")</f>
        <v/>
      </c>
      <c r="BJ13" s="29">
        <f>IFERROR(BJ10/BD10-1,"")</f>
        <v/>
      </c>
      <c r="BP13" s="29">
        <f>IFERROR(BP10/BJ10-1,"")</f>
        <v/>
      </c>
      <c r="BV13" s="29">
        <f>IFERROR(BV10/BP10-1,"")</f>
        <v/>
      </c>
      <c r="CB13" s="29">
        <f>IFERROR(CB10/BV10-1,"")</f>
        <v/>
      </c>
      <c r="CH13" s="29">
        <f>IFERROR(CH10/CB10-1,"")</f>
        <v/>
      </c>
      <c r="CN13" s="29">
        <f>IFERROR(CN10/CH10-1,"")</f>
        <v/>
      </c>
      <c r="CO13" s="30">
        <f>IFERROR(CO10/CN10-1,"")</f>
        <v/>
      </c>
      <c r="CP13" s="30">
        <f>IFERROR(CP10/CO10-1,"")</f>
        <v/>
      </c>
      <c r="CQ13" s="30">
        <f>IFERROR(CQ10/CP10-1,"")</f>
        <v/>
      </c>
      <c r="CR13" s="30">
        <f>IFERROR(CR10/CQ10-1,"")</f>
        <v/>
      </c>
      <c r="CS13" s="30">
        <f>IFERROR(CS10/CR10-1,"")</f>
        <v/>
      </c>
      <c r="CZ13" s="18" t="inlineStr">
        <is>
          <t>D&amp;A % of revenue</t>
        </is>
      </c>
      <c r="DA13" s="19" t="n">
        <v>0.045</v>
      </c>
      <c r="DB13" s="19" t="n">
        <v>0.05</v>
      </c>
      <c r="DC13" s="19" t="n">
        <v>0.055</v>
      </c>
    </row>
    <row r="14">
      <c r="B14" s="18" t="inlineStr">
        <is>
          <t xml:space="preserve">  Depreciation &amp; amortisation</t>
        </is>
      </c>
      <c r="E14" s="22">
        <f>C14+D14</f>
        <v/>
      </c>
      <c r="K14" s="22">
        <f>I14+J14</f>
        <v/>
      </c>
      <c r="Q14" s="22">
        <f>O14+P14</f>
        <v/>
      </c>
      <c r="W14" s="22">
        <f>U14+V14</f>
        <v/>
      </c>
      <c r="AC14" s="22">
        <f>AA14+AB14</f>
        <v/>
      </c>
      <c r="AI14" s="22">
        <f>AG14+AH14</f>
        <v/>
      </c>
      <c r="AL14" s="23" t="n">
        <v>39.083</v>
      </c>
      <c r="AM14" s="23" t="n">
        <v>12.386</v>
      </c>
      <c r="AN14" s="23" t="n">
        <v>12.667</v>
      </c>
      <c r="AO14" s="22">
        <f>AM14+AN14</f>
        <v/>
      </c>
      <c r="AP14" s="23" t="n">
        <v>10.904</v>
      </c>
      <c r="AQ14" s="23" t="n">
        <v>11.55</v>
      </c>
      <c r="AR14" s="23" t="n">
        <v>47.507</v>
      </c>
      <c r="AS14" s="23" t="n">
        <v>13.529</v>
      </c>
      <c r="AT14" s="23" t="n">
        <v>14.054</v>
      </c>
      <c r="AU14" s="22">
        <f>AS14+AT14</f>
        <v/>
      </c>
      <c r="AV14" s="23" t="n">
        <v>14.189</v>
      </c>
      <c r="AW14" s="23" t="n">
        <v>26.007</v>
      </c>
      <c r="AX14" s="23" t="n">
        <v>67.779</v>
      </c>
      <c r="AY14" s="23" t="n">
        <v>19.392</v>
      </c>
      <c r="AZ14" s="23" t="n">
        <v>17.877</v>
      </c>
      <c r="BA14" s="22">
        <f>AY14+AZ14</f>
        <v/>
      </c>
      <c r="BB14" s="23" t="n">
        <v>18.636</v>
      </c>
      <c r="BC14" s="23" t="n">
        <v>19.23</v>
      </c>
      <c r="BD14" s="23" t="n">
        <v>75.13500000000001</v>
      </c>
      <c r="BE14" s="23" t="n">
        <v>20.567</v>
      </c>
      <c r="BF14" s="23" t="n">
        <v>21.698</v>
      </c>
      <c r="BG14" s="22">
        <f>BE14+BF14</f>
        <v/>
      </c>
      <c r="BH14" s="23" t="n">
        <v>23.703</v>
      </c>
      <c r="BI14" s="23" t="n">
        <v>24.667</v>
      </c>
      <c r="BJ14" s="23" t="n">
        <v>90.63500000000001</v>
      </c>
      <c r="BK14" s="23" t="n">
        <v>26.105</v>
      </c>
      <c r="BL14" s="23" t="n">
        <v>27.745</v>
      </c>
      <c r="BM14" s="22">
        <f>BK14+BL14</f>
        <v/>
      </c>
      <c r="BN14" s="23" t="n">
        <v>28.161</v>
      </c>
      <c r="BO14" s="23" t="n">
        <v>25.754</v>
      </c>
      <c r="BP14" s="23" t="n">
        <v>107.765</v>
      </c>
      <c r="BQ14" s="23" t="n">
        <v>27.725</v>
      </c>
      <c r="BR14" s="23" t="n">
        <v>29.316</v>
      </c>
      <c r="BS14" s="22">
        <f>BQ14+BR14</f>
        <v/>
      </c>
      <c r="BT14" s="23" t="n">
        <v>31.609</v>
      </c>
      <c r="BU14" s="23" t="n">
        <v>31.985</v>
      </c>
      <c r="BV14" s="23" t="n">
        <v>120.635</v>
      </c>
      <c r="BW14" s="23" t="n">
        <v>34.935</v>
      </c>
      <c r="BX14" s="23" t="n">
        <v>34.121</v>
      </c>
      <c r="BY14" s="22">
        <f>BW14+BX14</f>
        <v/>
      </c>
      <c r="BZ14" s="23" t="n">
        <v>32.918</v>
      </c>
      <c r="CA14" s="23" t="n">
        <v>33.83</v>
      </c>
      <c r="CB14" s="23" t="n">
        <v>135.804</v>
      </c>
      <c r="CC14" s="23" t="n">
        <v>36.936</v>
      </c>
      <c r="CD14" s="23" t="n">
        <v>38.344</v>
      </c>
      <c r="CE14" s="22">
        <f>CC14+CD14</f>
        <v/>
      </c>
      <c r="CF14" s="23" t="n">
        <v>43.477</v>
      </c>
      <c r="CG14" s="23" t="n">
        <v>42.928</v>
      </c>
      <c r="CH14" s="23" t="n">
        <v>161.685</v>
      </c>
      <c r="CI14" s="23" t="n">
        <v>45.915</v>
      </c>
      <c r="CJ14" s="23" t="n">
        <v>46.455</v>
      </c>
      <c r="CK14" s="22">
        <f>CI14+CJ14</f>
        <v/>
      </c>
      <c r="CL14" s="23" t="n">
        <v>46.461</v>
      </c>
      <c r="CM14" s="23" t="n">
        <v>45.195</v>
      </c>
      <c r="CN14" s="23" t="n">
        <v>184.026</v>
      </c>
      <c r="CZ14" s="18" t="inlineStr">
        <is>
          <t>Stock-based comp % of revenue</t>
        </is>
      </c>
      <c r="DA14" s="19" t="n">
        <v>0.006</v>
      </c>
      <c r="DB14" s="19" t="n">
        <v>0.007</v>
      </c>
      <c r="DC14" s="19" t="n">
        <v>0.008</v>
      </c>
    </row>
    <row r="15">
      <c r="B15" s="18" t="inlineStr">
        <is>
          <t xml:space="preserve">  Capital expenditures</t>
        </is>
      </c>
      <c r="E15" s="22">
        <f>C15+D15</f>
        <v/>
      </c>
      <c r="K15" s="22">
        <f>I15+J15</f>
        <v/>
      </c>
      <c r="Q15" s="22">
        <f>O15+P15</f>
        <v/>
      </c>
      <c r="W15" s="22">
        <f>U15+V15</f>
        <v/>
      </c>
      <c r="AC15" s="22">
        <f>AA15+AB15</f>
        <v/>
      </c>
      <c r="AI15" s="22">
        <f>AG15+AH15</f>
        <v/>
      </c>
      <c r="AL15" s="23" t="n">
        <v>153.451</v>
      </c>
      <c r="AM15" s="23" t="n">
        <v>36.521</v>
      </c>
      <c r="AN15" s="23" t="n">
        <v>51.541</v>
      </c>
      <c r="AO15" s="22">
        <f>AM15+AN15</f>
        <v/>
      </c>
      <c r="AP15" s="23" t="n">
        <v>40.872</v>
      </c>
      <c r="AQ15" s="23" t="n">
        <v>188.712</v>
      </c>
      <c r="AR15" s="23" t="n">
        <v>317.646</v>
      </c>
      <c r="AS15" s="23" t="n">
        <v>38.905</v>
      </c>
      <c r="AT15" s="23" t="n">
        <v>56.804</v>
      </c>
      <c r="AU15" s="22">
        <f>AS15+AT15</f>
        <v/>
      </c>
      <c r="AV15" s="23" t="n">
        <v>57.028</v>
      </c>
      <c r="AW15" s="23" t="n">
        <v>103.131</v>
      </c>
      <c r="AX15" s="23" t="n">
        <v>255.868</v>
      </c>
      <c r="AY15" s="23" t="n">
        <v>35.253</v>
      </c>
      <c r="AZ15" s="23" t="n">
        <v>66.901</v>
      </c>
      <c r="BA15" s="22">
        <f>AY15+AZ15</f>
        <v/>
      </c>
      <c r="BB15" s="23" t="n">
        <v>107.569</v>
      </c>
      <c r="BC15" s="23" t="n">
        <v>101.749</v>
      </c>
      <c r="BD15" s="23" t="n">
        <v>311.472</v>
      </c>
      <c r="BE15" s="23" t="n">
        <v>113.266</v>
      </c>
      <c r="BF15" s="23" t="n">
        <v>261.157</v>
      </c>
      <c r="BG15" s="22">
        <f>BE15+BF15</f>
        <v/>
      </c>
      <c r="BH15" s="23" t="n">
        <v>86.423</v>
      </c>
      <c r="BI15" s="23" t="n">
        <v>107.626</v>
      </c>
      <c r="BJ15" s="23" t="n">
        <v>568.472</v>
      </c>
      <c r="BK15" s="23" t="n">
        <v>122.459</v>
      </c>
      <c r="BL15" s="23" t="n">
        <v>121.595</v>
      </c>
      <c r="BM15" s="22">
        <f>BK15+BL15</f>
        <v/>
      </c>
      <c r="BN15" s="23" t="n">
        <v>59.006</v>
      </c>
      <c r="BO15" s="23" t="n">
        <v>87.646</v>
      </c>
      <c r="BP15" s="23" t="n">
        <v>390.706</v>
      </c>
      <c r="BQ15" s="23" t="n">
        <v>54.272</v>
      </c>
      <c r="BR15" s="23" t="n">
        <v>86.788</v>
      </c>
      <c r="BS15" s="22">
        <f>BQ15+BR15</f>
        <v/>
      </c>
      <c r="BT15" s="23" t="n">
        <v>64.39700000000001</v>
      </c>
      <c r="BU15" s="23" t="n">
        <v>92.175</v>
      </c>
      <c r="BV15" s="23" t="n">
        <v>297.632</v>
      </c>
      <c r="BW15" s="23" t="n">
        <v>136.283</v>
      </c>
      <c r="BX15" s="23" t="n">
        <v>89.428</v>
      </c>
      <c r="BY15" s="22">
        <f>BW15+BX15</f>
        <v/>
      </c>
      <c r="BZ15" s="23" t="n">
        <v>79.633</v>
      </c>
      <c r="CA15" s="23" t="n">
        <v>67.846</v>
      </c>
      <c r="CB15" s="23" t="n">
        <v>373.19</v>
      </c>
      <c r="CC15" s="23" t="n">
        <v>216.131</v>
      </c>
      <c r="CD15" s="23" t="n">
        <v>83.861</v>
      </c>
      <c r="CE15" s="22">
        <f>CC15+CD15</f>
        <v/>
      </c>
      <c r="CF15" s="23" t="n">
        <v>72.18600000000001</v>
      </c>
      <c r="CG15" s="23" t="n">
        <v>119.319</v>
      </c>
      <c r="CH15" s="23" t="n">
        <v>491.497</v>
      </c>
      <c r="CI15" s="23" t="n">
        <v>211.917</v>
      </c>
      <c r="CJ15" s="23" t="n">
        <v>153.212</v>
      </c>
      <c r="CK15" s="22">
        <f>CI15+CJ15</f>
        <v/>
      </c>
      <c r="CL15" s="23" t="n">
        <v>62.906</v>
      </c>
      <c r="CM15" s="23" t="n">
        <v>62.93</v>
      </c>
      <c r="CN15" s="23" t="n">
        <v>490.965</v>
      </c>
      <c r="CZ15" s="18" t="inlineStr">
        <is>
          <t>ΔNWC % of Δrevenue</t>
        </is>
      </c>
      <c r="DA15" s="19" t="n">
        <v>0.05</v>
      </c>
      <c r="DB15" s="19" t="n">
        <v>0.08</v>
      </c>
      <c r="DC15" s="19" t="n">
        <v>0.1</v>
      </c>
    </row>
    <row r="16">
      <c r="B16" s="18" t="inlineStr">
        <is>
          <t xml:space="preserve">  Total assets</t>
        </is>
      </c>
      <c r="AK16" s="23" t="n">
        <v>1249.755</v>
      </c>
      <c r="AL16" s="23" t="n">
        <v>1249.755</v>
      </c>
      <c r="AM16" s="23" t="n">
        <v>1375.198</v>
      </c>
      <c r="AN16" s="23" t="n">
        <v>1422.145</v>
      </c>
      <c r="AP16" s="23" t="n">
        <v>1372.425</v>
      </c>
      <c r="AQ16" s="23" t="n">
        <v>1514.018</v>
      </c>
      <c r="AR16" s="23" t="n">
        <v>1514.018</v>
      </c>
      <c r="AS16" s="23" t="n">
        <v>1577.659</v>
      </c>
      <c r="AT16" s="23" t="n">
        <v>1659.901</v>
      </c>
      <c r="AV16" s="23" t="n">
        <v>1702.637</v>
      </c>
      <c r="AW16" s="23" t="n">
        <v>1856.058</v>
      </c>
      <c r="AX16" s="23" t="n">
        <v>1856.058</v>
      </c>
      <c r="AY16" s="23" t="n">
        <v>1934.693</v>
      </c>
      <c r="AZ16" s="23" t="n">
        <v>1848.216</v>
      </c>
      <c r="BB16" s="23" t="n">
        <v>1935.621</v>
      </c>
      <c r="BC16" s="23" t="n">
        <v>2094.592</v>
      </c>
      <c r="BD16" s="23" t="n">
        <v>2094.592</v>
      </c>
      <c r="BE16" s="23" t="n">
        <v>2322.493</v>
      </c>
      <c r="BF16" s="23" t="n">
        <v>2526.943</v>
      </c>
      <c r="BH16" s="23" t="n">
        <v>2666.911</v>
      </c>
      <c r="BI16" s="23" t="n">
        <v>2901.158</v>
      </c>
      <c r="BJ16" s="23" t="n">
        <v>2901.158</v>
      </c>
      <c r="BK16" s="23" t="n">
        <v>3161.943</v>
      </c>
      <c r="BL16" s="23" t="n">
        <v>3287.453</v>
      </c>
      <c r="BN16" s="23" t="n">
        <v>3604.803</v>
      </c>
      <c r="BO16" s="23" t="n">
        <v>3900.712</v>
      </c>
      <c r="BP16" s="23" t="n">
        <v>3900.712</v>
      </c>
      <c r="BQ16" s="23" t="n">
        <v>4223.448</v>
      </c>
      <c r="BR16" s="23" t="n">
        <v>4447.523</v>
      </c>
      <c r="BT16" s="23" t="n">
        <v>4751.379</v>
      </c>
      <c r="BU16" s="23" t="n">
        <v>4615.788</v>
      </c>
      <c r="BV16" s="23" t="n">
        <v>4615.788</v>
      </c>
      <c r="BW16" s="23" t="n">
        <v>4870.941</v>
      </c>
      <c r="BX16" s="23" t="n">
        <v>5136.744</v>
      </c>
      <c r="BZ16" s="23" t="n">
        <v>5510.093</v>
      </c>
      <c r="CA16" s="23" t="n">
        <v>5825.064</v>
      </c>
      <c r="CB16" s="23" t="n">
        <v>5825.064</v>
      </c>
      <c r="CC16" s="23" t="n">
        <v>6410.493</v>
      </c>
      <c r="CD16" s="23" t="n">
        <v>6626.492</v>
      </c>
      <c r="CF16" s="23" t="n">
        <v>7034.96</v>
      </c>
      <c r="CG16" s="23" t="n">
        <v>7386.103</v>
      </c>
      <c r="CH16" s="23" t="n">
        <v>7386.103</v>
      </c>
      <c r="CI16" s="23" t="n">
        <v>7756.673</v>
      </c>
      <c r="CJ16" s="23" t="n">
        <v>8047.72</v>
      </c>
      <c r="CL16" s="23" t="n">
        <v>8413.365</v>
      </c>
      <c r="CM16" s="23" t="n">
        <v>8834.063</v>
      </c>
      <c r="CN16" s="23" t="n">
        <v>8834.063</v>
      </c>
      <c r="CZ16" s="18" t="inlineStr">
        <is>
          <t>CapEx % of revenue</t>
        </is>
      </c>
      <c r="DA16" s="19" t="n">
        <v>0.1</v>
      </c>
      <c r="DB16" s="19" t="n">
        <v>0.12</v>
      </c>
      <c r="DC16" s="19" t="n">
        <v>0.14</v>
      </c>
    </row>
    <row r="17">
      <c r="B17" s="18" t="inlineStr">
        <is>
          <t xml:space="preserve">  Goodwill</t>
        </is>
      </c>
      <c r="AK17" s="23" t="n">
        <v>179.906</v>
      </c>
      <c r="AL17" s="23" t="n">
        <v>179.906</v>
      </c>
      <c r="AM17" s="23" t="n">
        <v>179.906</v>
      </c>
      <c r="AN17" s="23" t="n">
        <v>179.906</v>
      </c>
      <c r="AP17" s="23" t="n">
        <v>180.063</v>
      </c>
      <c r="AQ17" s="23" t="n">
        <v>259.162</v>
      </c>
      <c r="AR17" s="23" t="n">
        <v>259.162</v>
      </c>
      <c r="AS17" s="23" t="n">
        <v>257.896</v>
      </c>
      <c r="AT17" s="23" t="n">
        <v>257.896</v>
      </c>
      <c r="AV17" s="23" t="n">
        <v>257.896</v>
      </c>
      <c r="AW17" s="23" t="n">
        <v>256.434</v>
      </c>
      <c r="AX17" s="23" t="n">
        <v>256.434</v>
      </c>
      <c r="AY17" s="23" t="n">
        <v>256.434</v>
      </c>
      <c r="AZ17" s="23" t="n">
        <v>256.434</v>
      </c>
      <c r="BB17" s="23" t="n">
        <v>256.997</v>
      </c>
      <c r="BC17" s="23" t="n">
        <v>256.998</v>
      </c>
      <c r="BD17" s="23" t="n">
        <v>256.998</v>
      </c>
      <c r="BE17" s="23" t="n">
        <v>256.998</v>
      </c>
      <c r="BF17" s="23" t="n">
        <v>256.998</v>
      </c>
      <c r="BH17" s="23" t="n">
        <v>260.67</v>
      </c>
      <c r="BI17" s="23" t="n">
        <v>262.423</v>
      </c>
      <c r="BJ17" s="23" t="n">
        <v>262.423</v>
      </c>
      <c r="BK17" s="23" t="n">
        <v>262.423</v>
      </c>
      <c r="BL17" s="23" t="n">
        <v>262.423</v>
      </c>
      <c r="BN17" s="23" t="n">
        <v>262.423</v>
      </c>
      <c r="BO17" s="23" t="n">
        <v>270.305</v>
      </c>
      <c r="BP17" s="23" t="n">
        <v>270.305</v>
      </c>
      <c r="BQ17" s="23" t="n">
        <v>270.269</v>
      </c>
      <c r="BR17" s="23" t="n">
        <v>270.357</v>
      </c>
      <c r="BT17" s="23" t="n">
        <v>270.358</v>
      </c>
      <c r="BU17" s="23" t="n">
        <v>270.269</v>
      </c>
      <c r="BV17" s="23" t="n">
        <v>270.269</v>
      </c>
      <c r="BW17" s="23" t="n">
        <v>270.269</v>
      </c>
      <c r="BX17" s="23" t="n">
        <v>270.269</v>
      </c>
      <c r="BZ17" s="23" t="n">
        <v>270.269</v>
      </c>
      <c r="CA17" s="23" t="n">
        <v>270.269</v>
      </c>
      <c r="CB17" s="23" t="n">
        <v>270.269</v>
      </c>
      <c r="CC17" s="23" t="n">
        <v>383.329</v>
      </c>
      <c r="CD17" s="23" t="n">
        <v>388.207</v>
      </c>
      <c r="CF17" s="23" t="n">
        <v>390.903</v>
      </c>
      <c r="CG17" s="23" t="n">
        <v>390.421</v>
      </c>
      <c r="CH17" s="23" t="n">
        <v>390.421</v>
      </c>
      <c r="CI17" s="23" t="n">
        <v>390.422</v>
      </c>
      <c r="CJ17" s="23" t="n">
        <v>390.421</v>
      </c>
      <c r="CL17" s="23" t="n">
        <v>390.421</v>
      </c>
      <c r="CM17" s="23" t="n">
        <v>390.422</v>
      </c>
      <c r="CN17" s="23" t="n">
        <v>390.422</v>
      </c>
      <c r="CZ17" s="18" t="inlineStr">
        <is>
          <t>Buyback (% shares retired / yr)</t>
        </is>
      </c>
      <c r="DA17" s="19" t="n">
        <v>0.01</v>
      </c>
      <c r="DB17" s="19" t="n">
        <v>0.005</v>
      </c>
      <c r="DC17" s="19" t="n">
        <v>0</v>
      </c>
    </row>
    <row r="19">
      <c r="B19" s="20" t="inlineStr">
        <is>
          <t>International</t>
        </is>
      </c>
      <c r="C19" s="21" t="n"/>
      <c r="D19" s="21" t="n"/>
      <c r="E19" s="21" t="n"/>
      <c r="F19" s="21" t="n"/>
      <c r="G19" s="21" t="n"/>
      <c r="H19" s="21" t="n"/>
      <c r="I19" s="21" t="n"/>
      <c r="J19" s="21" t="n"/>
      <c r="K19" s="21" t="n"/>
      <c r="L19" s="21" t="n"/>
      <c r="M19" s="21" t="n"/>
      <c r="N19" s="21" t="n"/>
      <c r="O19" s="21" t="n"/>
      <c r="P19" s="21" t="n"/>
      <c r="Q19" s="21" t="n"/>
      <c r="R19" s="21" t="n"/>
      <c r="S19" s="21" t="n"/>
      <c r="T19" s="21" t="n"/>
      <c r="U19" s="21" t="n"/>
      <c r="V19" s="21" t="n"/>
      <c r="W19" s="21" t="n"/>
      <c r="X19" s="21" t="n"/>
      <c r="Y19" s="21" t="n"/>
      <c r="Z19" s="21" t="n"/>
      <c r="AA19" s="21" t="n"/>
      <c r="AB19" s="21" t="n"/>
      <c r="AC19" s="21" t="n"/>
      <c r="AD19" s="21" t="n"/>
      <c r="AE19" s="21" t="n"/>
      <c r="AF19" s="21" t="n"/>
      <c r="AG19" s="21" t="n"/>
      <c r="AH19" s="21" t="n"/>
      <c r="AI19" s="21" t="n"/>
      <c r="AJ19" s="21" t="n"/>
      <c r="AK19" s="21" t="n"/>
      <c r="AL19" s="21" t="n"/>
      <c r="AM19" s="21" t="n"/>
      <c r="AN19" s="21" t="n"/>
      <c r="AO19" s="21" t="n"/>
      <c r="AP19" s="21" t="n"/>
      <c r="AQ19" s="21" t="n"/>
      <c r="AR19" s="21" t="n"/>
      <c r="AS19" s="21" t="n"/>
      <c r="AT19" s="21" t="n"/>
      <c r="AU19" s="21" t="n"/>
      <c r="AV19" s="21" t="n"/>
      <c r="AW19" s="21" t="n"/>
      <c r="AX19" s="21" t="n"/>
      <c r="AY19" s="21" t="n"/>
      <c r="AZ19" s="21" t="n"/>
      <c r="BA19" s="21" t="n"/>
      <c r="BB19" s="21" t="n"/>
      <c r="BC19" s="21" t="n"/>
      <c r="BD19" s="21" t="n"/>
      <c r="BE19" s="21" t="n"/>
      <c r="BF19" s="21" t="n"/>
      <c r="BG19" s="21" t="n"/>
      <c r="BH19" s="21" t="n"/>
      <c r="BI19" s="21" t="n"/>
      <c r="BJ19" s="21" t="n"/>
      <c r="BK19" s="21" t="n"/>
      <c r="BL19" s="21" t="n"/>
      <c r="BM19" s="21" t="n"/>
      <c r="BN19" s="21" t="n"/>
      <c r="BO19" s="21" t="n"/>
      <c r="BP19" s="21" t="n"/>
      <c r="BQ19" s="21" t="n"/>
      <c r="BR19" s="21" t="n"/>
      <c r="BS19" s="21" t="n"/>
      <c r="BT19" s="21" t="n"/>
      <c r="BU19" s="21" t="n"/>
      <c r="BV19" s="21" t="n"/>
      <c r="BW19" s="21" t="n"/>
      <c r="BX19" s="21" t="n"/>
      <c r="BY19" s="21" t="n"/>
      <c r="BZ19" s="21" t="n"/>
      <c r="CA19" s="21" t="n"/>
      <c r="CB19" s="21" t="n"/>
      <c r="CC19" s="21" t="n"/>
      <c r="CD19" s="21" t="n"/>
      <c r="CE19" s="21" t="n"/>
      <c r="CF19" s="21" t="n"/>
      <c r="CG19" s="21" t="n"/>
      <c r="CH19" s="21" t="n"/>
      <c r="CI19" s="21" t="n"/>
      <c r="CJ19" s="21" t="n"/>
      <c r="CK19" s="21" t="n"/>
      <c r="CL19" s="21" t="n"/>
      <c r="CM19" s="21" t="n"/>
      <c r="CN19" s="21" t="n"/>
      <c r="CO19" s="21" t="n"/>
      <c r="CP19" s="21" t="n"/>
      <c r="CQ19" s="21" t="n"/>
      <c r="CR19" s="21" t="n"/>
      <c r="CS19" s="21" t="n"/>
      <c r="CT19" s="21" t="n"/>
      <c r="CU19" s="21" t="n"/>
      <c r="CV19" s="21" t="n"/>
      <c r="CW19" s="21" t="n"/>
    </row>
    <row r="20">
      <c r="B20" s="18" t="inlineStr">
        <is>
          <t xml:space="preserve">  Revenue</t>
        </is>
      </c>
      <c r="E20" s="22">
        <f>C20+D20</f>
        <v/>
      </c>
      <c r="K20" s="22">
        <f>I20+J20</f>
        <v/>
      </c>
      <c r="Q20" s="22">
        <f>O20+P20</f>
        <v/>
      </c>
      <c r="T20" s="23" t="n">
        <v>228.945</v>
      </c>
      <c r="W20" s="22">
        <f>U20+V20</f>
        <v/>
      </c>
      <c r="Z20" s="23" t="n">
        <v>269.915</v>
      </c>
      <c r="AC20" s="22">
        <f>AA20+AB20</f>
        <v/>
      </c>
      <c r="AF20" s="23" t="n">
        <v>243.199</v>
      </c>
      <c r="AI20" s="22">
        <f>AG20+AH20</f>
        <v/>
      </c>
      <c r="AL20" s="23" t="n">
        <v>252.413</v>
      </c>
      <c r="AM20" s="23" t="n">
        <v>60.929</v>
      </c>
      <c r="AN20" s="23" t="n">
        <v>62.621</v>
      </c>
      <c r="AO20" s="22">
        <f>AM20+AN20</f>
        <v/>
      </c>
      <c r="AP20" s="23" t="n">
        <v>66.742</v>
      </c>
      <c r="AQ20" s="23" t="n">
        <v>64.501</v>
      </c>
      <c r="AR20" s="23" t="n">
        <v>254.793</v>
      </c>
      <c r="AS20" s="23" t="n">
        <v>68.063</v>
      </c>
      <c r="AT20" s="23" t="n">
        <v>73.971</v>
      </c>
      <c r="AU20" s="22">
        <f>AS20+AT20</f>
        <v/>
      </c>
      <c r="AV20" s="23" t="n">
        <v>92.917</v>
      </c>
      <c r="AW20" s="23" t="n">
        <v>79.72199999999999</v>
      </c>
      <c r="AX20" s="23" t="n">
        <v>314.673</v>
      </c>
      <c r="AY20" s="23" t="n">
        <v>90.15900000000001</v>
      </c>
      <c r="AZ20" s="23" t="n">
        <v>94.82599999999999</v>
      </c>
      <c r="BA20" s="22">
        <f>AY20+AZ20</f>
        <v/>
      </c>
      <c r="BB20" s="23" t="n">
        <v>104.917</v>
      </c>
      <c r="BC20" s="23" t="n">
        <v>95.486</v>
      </c>
      <c r="BD20" s="23" t="n">
        <v>385.388</v>
      </c>
      <c r="BE20" s="23" t="n">
        <v>90.26000000000001</v>
      </c>
      <c r="BF20" s="23" t="n">
        <v>92.40300000000001</v>
      </c>
      <c r="BG20" s="22">
        <f>BE20+BF20</f>
        <v/>
      </c>
      <c r="BH20" s="23" t="n">
        <v>83.16200000000001</v>
      </c>
      <c r="BI20" s="23" t="n">
        <v>79.072</v>
      </c>
      <c r="BJ20" s="23" t="n">
        <v>344.897</v>
      </c>
      <c r="BK20" s="23" t="n">
        <v>95.685</v>
      </c>
      <c r="BL20" s="23" t="n">
        <v>99.108</v>
      </c>
      <c r="BM20" s="22">
        <f>BK20+BL20</f>
        <v/>
      </c>
      <c r="BN20" s="23" t="n">
        <v>111.957</v>
      </c>
      <c r="BO20" s="23" t="n">
        <v>113.689</v>
      </c>
      <c r="BP20" s="23" t="n">
        <v>420.439</v>
      </c>
      <c r="BQ20" s="23" t="n">
        <v>131.671</v>
      </c>
      <c r="BR20" s="23" t="n">
        <v>140.074</v>
      </c>
      <c r="BS20" s="22">
        <f>BQ20+BR20</f>
        <v/>
      </c>
      <c r="BT20" s="23" t="n">
        <v>149.691</v>
      </c>
      <c r="BU20" s="23" t="n">
        <v>134.335</v>
      </c>
      <c r="BV20" s="23" t="n">
        <v>555.771</v>
      </c>
      <c r="BW20" s="23" t="n">
        <v>144.523</v>
      </c>
      <c r="BX20" s="23" t="n">
        <v>168.795</v>
      </c>
      <c r="BY20" s="22">
        <f>BW20+BX20</f>
        <v/>
      </c>
      <c r="BZ20" s="23" t="n">
        <v>188.073</v>
      </c>
      <c r="CA20" s="23" t="n">
        <v>178.479</v>
      </c>
      <c r="CB20" s="23" t="n">
        <v>679.87</v>
      </c>
      <c r="CC20" s="23" t="n">
        <v>179.51</v>
      </c>
      <c r="CD20" s="23" t="n">
        <v>189.423</v>
      </c>
      <c r="CE20" s="22">
        <f>CC20+CD20</f>
        <v/>
      </c>
      <c r="CF20" s="23" t="n">
        <v>208.343</v>
      </c>
      <c r="CG20" s="23" t="n">
        <v>194.812</v>
      </c>
      <c r="CH20" s="23" t="n">
        <v>772.088</v>
      </c>
      <c r="CI20" s="23" t="n">
        <v>199.29</v>
      </c>
      <c r="CJ20" s="23" t="n">
        <v>188.471</v>
      </c>
      <c r="CK20" s="22">
        <f>CI20+CJ20</f>
        <v/>
      </c>
      <c r="CL20" s="23" t="n">
        <v>205.259</v>
      </c>
      <c r="CM20" s="23" t="n">
        <v>198.834</v>
      </c>
      <c r="CN20" s="23" t="n">
        <v>791.854</v>
      </c>
      <c r="CO20" s="24">
        <f>CN20*(1+CHOOSE(MATCH($CU$2,{"Bull","Base","Bear"},0),$DA$8,$DB$8,$DC$8))</f>
        <v/>
      </c>
      <c r="CP20" s="24">
        <f>CO20*(1+CHOOSE(MATCH($CU$2,{"Bull","Base","Bear"},0),$DA$8,$DB$8,$DC$8))</f>
        <v/>
      </c>
      <c r="CQ20" s="24">
        <f>CP20*(1+CHOOSE(MATCH($CU$2,{"Bull","Base","Bear"},0),$DA$8,$DB$8,$DC$8))</f>
        <v/>
      </c>
      <c r="CR20" s="24">
        <f>CQ20*(1+CHOOSE(MATCH($CU$2,{"Bull","Base","Bear"},0),$DA$8,$DB$8,$DC$8))</f>
        <v/>
      </c>
      <c r="CS20" s="24">
        <f>CR20*(1+CHOOSE(MATCH($CU$2,{"Bull","Base","Bear"},0),$DA$8,$DB$8,$DC$8))</f>
        <v/>
      </c>
      <c r="CU20" s="25">
        <f>IFERROR((CS20/CN20)^(1/5)-1,"n/m")</f>
        <v/>
      </c>
      <c r="CV20" s="25">
        <f>IFERROR((CN20/BJ20)^(1/5)-1,"n/m")</f>
        <v/>
      </c>
      <c r="CW20" s="25">
        <f>IFERROR((CN20/H20)^(1/14)-1,"n/m")</f>
        <v/>
      </c>
    </row>
    <row r="21">
      <c r="B21" s="6" t="inlineStr">
        <is>
          <t xml:space="preserve">  Operating income</t>
        </is>
      </c>
      <c r="E21" s="26">
        <f>C21+D21</f>
        <v/>
      </c>
      <c r="K21" s="26">
        <f>I21+J21</f>
        <v/>
      </c>
      <c r="Q21" s="26">
        <f>O21+P21</f>
        <v/>
      </c>
      <c r="W21" s="26">
        <f>U21+V21</f>
        <v/>
      </c>
      <c r="AC21" s="26">
        <f>AA21+AB21</f>
        <v/>
      </c>
      <c r="AI21" s="26">
        <f>AG21+AH21</f>
        <v/>
      </c>
      <c r="AL21" s="27" t="n">
        <v>58.761</v>
      </c>
      <c r="AM21" s="27" t="n">
        <v>15.842</v>
      </c>
      <c r="AN21" s="27" t="n">
        <v>15.288</v>
      </c>
      <c r="AO21" s="26">
        <f>AM21+AN21</f>
        <v/>
      </c>
      <c r="AP21" s="27" t="n">
        <v>17.671</v>
      </c>
      <c r="AQ21" s="27" t="n">
        <v>16.138</v>
      </c>
      <c r="AR21" s="27" t="n">
        <v>64.93899999999999</v>
      </c>
      <c r="AS21" s="27" t="n">
        <v>17.923</v>
      </c>
      <c r="AT21" s="27" t="n">
        <v>17.937</v>
      </c>
      <c r="AU21" s="26">
        <f>AS21+AT21</f>
        <v/>
      </c>
      <c r="AV21" s="27" t="n">
        <v>23.731</v>
      </c>
      <c r="AW21" s="27" t="n">
        <v>9.867000000000001</v>
      </c>
      <c r="AX21" s="27" t="n">
        <v>69.458</v>
      </c>
      <c r="AY21" s="27" t="n">
        <v>21.148</v>
      </c>
      <c r="AZ21" s="27" t="n">
        <v>19.337</v>
      </c>
      <c r="BA21" s="26">
        <f>AY21+AZ21</f>
        <v/>
      </c>
      <c r="BB21" s="27" t="n">
        <v>19.236</v>
      </c>
      <c r="BC21" s="27" t="n">
        <v>15.96</v>
      </c>
      <c r="BD21" s="27" t="n">
        <v>75.681</v>
      </c>
      <c r="BE21" s="27" t="n">
        <v>16.341</v>
      </c>
      <c r="BF21" s="27" t="n">
        <v>19.807</v>
      </c>
      <c r="BG21" s="26">
        <f>BE21+BF21</f>
        <v/>
      </c>
      <c r="BH21" s="27" t="n">
        <v>14.414</v>
      </c>
      <c r="BI21" s="27" t="n">
        <v>16.76</v>
      </c>
      <c r="BJ21" s="27" t="n">
        <v>67.322</v>
      </c>
      <c r="BK21" s="27" t="n">
        <v>25.355</v>
      </c>
      <c r="BL21" s="27" t="n">
        <v>28.769</v>
      </c>
      <c r="BM21" s="26">
        <f>BK21+BL21</f>
        <v/>
      </c>
      <c r="BN21" s="27" t="n">
        <v>31.385</v>
      </c>
      <c r="BO21" s="27" t="n">
        <v>27.362</v>
      </c>
      <c r="BP21" s="27" t="n">
        <v>112.871</v>
      </c>
      <c r="BQ21" s="27" t="n">
        <v>35.172</v>
      </c>
      <c r="BR21" s="27" t="n">
        <v>34.682</v>
      </c>
      <c r="BS21" s="26">
        <f>BQ21+BR21</f>
        <v/>
      </c>
      <c r="BT21" s="27" t="n">
        <v>32.318</v>
      </c>
      <c r="BU21" s="27" t="n">
        <v>25.256</v>
      </c>
      <c r="BV21" s="27" t="n">
        <v>127.428</v>
      </c>
      <c r="BW21" s="27" t="n">
        <v>28.875</v>
      </c>
      <c r="BX21" s="27" t="n">
        <v>29.361</v>
      </c>
      <c r="BY21" s="26">
        <f>BW21+BX21</f>
        <v/>
      </c>
      <c r="BZ21" s="27" t="n">
        <v>34.133</v>
      </c>
      <c r="CA21" s="27" t="n">
        <v>26.103</v>
      </c>
      <c r="CB21" s="27" t="n">
        <v>118.472</v>
      </c>
      <c r="CC21" s="27" t="n">
        <v>33.085</v>
      </c>
      <c r="CD21" s="27" t="n">
        <v>32.562</v>
      </c>
      <c r="CE21" s="26">
        <f>CC21+CD21</f>
        <v/>
      </c>
      <c r="CF21" s="27" t="n">
        <v>44.272</v>
      </c>
      <c r="CG21" s="27" t="n">
        <v>34.07</v>
      </c>
      <c r="CH21" s="27" t="n">
        <v>143.989</v>
      </c>
      <c r="CI21" s="27" t="n">
        <v>51.308</v>
      </c>
      <c r="CJ21" s="27" t="n">
        <v>50.318</v>
      </c>
      <c r="CK21" s="26">
        <f>CI21+CJ21</f>
        <v/>
      </c>
      <c r="CL21" s="27" t="n">
        <v>59.08</v>
      </c>
      <c r="CM21" s="27" t="n">
        <v>55.122</v>
      </c>
      <c r="CN21" s="27" t="n">
        <v>215.828</v>
      </c>
      <c r="CO21" s="28">
        <f>CO20*CHOOSE(MATCH($CU$2,{"Bull","Base","Bear"},0),$DA$10,$DB$10,$DC$10)</f>
        <v/>
      </c>
      <c r="CP21" s="28">
        <f>CP20*CHOOSE(MATCH($CU$2,{"Bull","Base","Bear"},0),$DA$10,$DB$10,$DC$10)</f>
        <v/>
      </c>
      <c r="CQ21" s="28">
        <f>CQ20*CHOOSE(MATCH($CU$2,{"Bull","Base","Bear"},0),$DA$10,$DB$10,$DC$10)</f>
        <v/>
      </c>
      <c r="CR21" s="28">
        <f>CR20*CHOOSE(MATCH($CU$2,{"Bull","Base","Bear"},0),$DA$10,$DB$10,$DC$10)</f>
        <v/>
      </c>
      <c r="CS21" s="28">
        <f>CS20*CHOOSE(MATCH($CU$2,{"Bull","Base","Bear"},0),$DA$10,$DB$10,$DC$10)</f>
        <v/>
      </c>
      <c r="CU21" s="25">
        <f>IFERROR((CS21/CN21)^(1/5)-1,"n/m")</f>
        <v/>
      </c>
      <c r="CV21" s="25">
        <f>IFERROR((CN21/BJ21)^(1/5)-1,"n/m")</f>
        <v/>
      </c>
      <c r="CW21" s="25">
        <f>IFERROR((CN21/H21)^(1/14)-1,"n/m")</f>
        <v/>
      </c>
    </row>
    <row r="22">
      <c r="B22" s="18" t="inlineStr">
        <is>
          <t xml:space="preserve">  Operating margin %</t>
        </is>
      </c>
      <c r="C22" s="29">
        <f>IFERROR(C21/C20,"")</f>
        <v/>
      </c>
      <c r="D22" s="29">
        <f>IFERROR(D21/D20,"")</f>
        <v/>
      </c>
      <c r="E22" s="29">
        <f>IFERROR(E21/E20,"")</f>
        <v/>
      </c>
      <c r="F22" s="29">
        <f>IFERROR(F21/F20,"")</f>
        <v/>
      </c>
      <c r="G22" s="29">
        <f>IFERROR(G21/G20,"")</f>
        <v/>
      </c>
      <c r="H22" s="29">
        <f>IFERROR(H21/H20,"")</f>
        <v/>
      </c>
      <c r="I22" s="29">
        <f>IFERROR(I21/I20,"")</f>
        <v/>
      </c>
      <c r="J22" s="29">
        <f>IFERROR(J21/J20,"")</f>
        <v/>
      </c>
      <c r="K22" s="29">
        <f>IFERROR(K21/K20,"")</f>
        <v/>
      </c>
      <c r="L22" s="29">
        <f>IFERROR(L21/L20,"")</f>
        <v/>
      </c>
      <c r="M22" s="29">
        <f>IFERROR(M21/M20,"")</f>
        <v/>
      </c>
      <c r="N22" s="29">
        <f>IFERROR(N21/N20,"")</f>
        <v/>
      </c>
      <c r="O22" s="29">
        <f>IFERROR(O21/O20,"")</f>
        <v/>
      </c>
      <c r="P22" s="29">
        <f>IFERROR(P21/P20,"")</f>
        <v/>
      </c>
      <c r="Q22" s="29">
        <f>IFERROR(Q21/Q20,"")</f>
        <v/>
      </c>
      <c r="R22" s="29">
        <f>IFERROR(R21/R20,"")</f>
        <v/>
      </c>
      <c r="S22" s="29">
        <f>IFERROR(S21/S20,"")</f>
        <v/>
      </c>
      <c r="T22" s="29">
        <f>IFERROR(T21/T20,"")</f>
        <v/>
      </c>
      <c r="U22" s="29">
        <f>IFERROR(U21/U20,"")</f>
        <v/>
      </c>
      <c r="V22" s="29">
        <f>IFERROR(V21/V20,"")</f>
        <v/>
      </c>
      <c r="W22" s="29">
        <f>IFERROR(W21/W20,"")</f>
        <v/>
      </c>
      <c r="X22" s="29">
        <f>IFERROR(X21/X20,"")</f>
        <v/>
      </c>
      <c r="Y22" s="29">
        <f>IFERROR(Y21/Y20,"")</f>
        <v/>
      </c>
      <c r="Z22" s="29">
        <f>IFERROR(Z21/Z20,"")</f>
        <v/>
      </c>
      <c r="AA22" s="29">
        <f>IFERROR(AA21/AA20,"")</f>
        <v/>
      </c>
      <c r="AB22" s="29">
        <f>IFERROR(AB21/AB20,"")</f>
        <v/>
      </c>
      <c r="AC22" s="29">
        <f>IFERROR(AC21/AC20,"")</f>
        <v/>
      </c>
      <c r="AD22" s="29">
        <f>IFERROR(AD21/AD20,"")</f>
        <v/>
      </c>
      <c r="AE22" s="29">
        <f>IFERROR(AE21/AE20,"")</f>
        <v/>
      </c>
      <c r="AF22" s="29">
        <f>IFERROR(AF21/AF20,"")</f>
        <v/>
      </c>
      <c r="AG22" s="29">
        <f>IFERROR(AG21/AG20,"")</f>
        <v/>
      </c>
      <c r="AH22" s="29">
        <f>IFERROR(AH21/AH20,"")</f>
        <v/>
      </c>
      <c r="AI22" s="29">
        <f>IFERROR(AI21/AI20,"")</f>
        <v/>
      </c>
      <c r="AJ22" s="29">
        <f>IFERROR(AJ21/AJ20,"")</f>
        <v/>
      </c>
      <c r="AK22" s="29">
        <f>IFERROR(AK21/AK20,"")</f>
        <v/>
      </c>
      <c r="AL22" s="29">
        <f>IFERROR(AL21/AL20,"")</f>
        <v/>
      </c>
      <c r="AM22" s="29">
        <f>IFERROR(AM21/AM20,"")</f>
        <v/>
      </c>
      <c r="AN22" s="29">
        <f>IFERROR(AN21/AN20,"")</f>
        <v/>
      </c>
      <c r="AO22" s="29">
        <f>IFERROR(AO21/AO20,"")</f>
        <v/>
      </c>
      <c r="AP22" s="29">
        <f>IFERROR(AP21/AP20,"")</f>
        <v/>
      </c>
      <c r="AQ22" s="29">
        <f>IFERROR(AQ21/AQ20,"")</f>
        <v/>
      </c>
      <c r="AR22" s="29">
        <f>IFERROR(AR21/AR20,"")</f>
        <v/>
      </c>
      <c r="AS22" s="29">
        <f>IFERROR(AS21/AS20,"")</f>
        <v/>
      </c>
      <c r="AT22" s="29">
        <f>IFERROR(AT21/AT20,"")</f>
        <v/>
      </c>
      <c r="AU22" s="29">
        <f>IFERROR(AU21/AU20,"")</f>
        <v/>
      </c>
      <c r="AV22" s="29">
        <f>IFERROR(AV21/AV20,"")</f>
        <v/>
      </c>
      <c r="AW22" s="29">
        <f>IFERROR(AW21/AW20,"")</f>
        <v/>
      </c>
      <c r="AX22" s="29">
        <f>IFERROR(AX21/AX20,"")</f>
        <v/>
      </c>
      <c r="AY22" s="29">
        <f>IFERROR(AY21/AY20,"")</f>
        <v/>
      </c>
      <c r="AZ22" s="29">
        <f>IFERROR(AZ21/AZ20,"")</f>
        <v/>
      </c>
      <c r="BA22" s="29">
        <f>IFERROR(BA21/BA20,"")</f>
        <v/>
      </c>
      <c r="BB22" s="29">
        <f>IFERROR(BB21/BB20,"")</f>
        <v/>
      </c>
      <c r="BC22" s="29">
        <f>IFERROR(BC21/BC20,"")</f>
        <v/>
      </c>
      <c r="BD22" s="29">
        <f>IFERROR(BD21/BD20,"")</f>
        <v/>
      </c>
      <c r="BE22" s="29">
        <f>IFERROR(BE21/BE20,"")</f>
        <v/>
      </c>
      <c r="BF22" s="29">
        <f>IFERROR(BF21/BF20,"")</f>
        <v/>
      </c>
      <c r="BG22" s="29">
        <f>IFERROR(BG21/BG20,"")</f>
        <v/>
      </c>
      <c r="BH22" s="29">
        <f>IFERROR(BH21/BH20,"")</f>
        <v/>
      </c>
      <c r="BI22" s="29">
        <f>IFERROR(BI21/BI20,"")</f>
        <v/>
      </c>
      <c r="BJ22" s="29">
        <f>IFERROR(BJ21/BJ20,"")</f>
        <v/>
      </c>
      <c r="BK22" s="29">
        <f>IFERROR(BK21/BK20,"")</f>
        <v/>
      </c>
      <c r="BL22" s="29">
        <f>IFERROR(BL21/BL20,"")</f>
        <v/>
      </c>
      <c r="BM22" s="29">
        <f>IFERROR(BM21/BM20,"")</f>
        <v/>
      </c>
      <c r="BN22" s="29">
        <f>IFERROR(BN21/BN20,"")</f>
        <v/>
      </c>
      <c r="BO22" s="29">
        <f>IFERROR(BO21/BO20,"")</f>
        <v/>
      </c>
      <c r="BP22" s="29">
        <f>IFERROR(BP21/BP20,"")</f>
        <v/>
      </c>
      <c r="BQ22" s="29">
        <f>IFERROR(BQ21/BQ20,"")</f>
        <v/>
      </c>
      <c r="BR22" s="29">
        <f>IFERROR(BR21/BR20,"")</f>
        <v/>
      </c>
      <c r="BS22" s="29">
        <f>IFERROR(BS21/BS20,"")</f>
        <v/>
      </c>
      <c r="BT22" s="29">
        <f>IFERROR(BT21/BT20,"")</f>
        <v/>
      </c>
      <c r="BU22" s="29">
        <f>IFERROR(BU21/BU20,"")</f>
        <v/>
      </c>
      <c r="BV22" s="29">
        <f>IFERROR(BV21/BV20,"")</f>
        <v/>
      </c>
      <c r="BW22" s="29">
        <f>IFERROR(BW21/BW20,"")</f>
        <v/>
      </c>
      <c r="BX22" s="29">
        <f>IFERROR(BX21/BX20,"")</f>
        <v/>
      </c>
      <c r="BY22" s="29">
        <f>IFERROR(BY21/BY20,"")</f>
        <v/>
      </c>
      <c r="BZ22" s="29">
        <f>IFERROR(BZ21/BZ20,"")</f>
        <v/>
      </c>
      <c r="CA22" s="29">
        <f>IFERROR(CA21/CA20,"")</f>
        <v/>
      </c>
      <c r="CB22" s="29">
        <f>IFERROR(CB21/CB20,"")</f>
        <v/>
      </c>
      <c r="CC22" s="29">
        <f>IFERROR(CC21/CC20,"")</f>
        <v/>
      </c>
      <c r="CD22" s="29">
        <f>IFERROR(CD21/CD20,"")</f>
        <v/>
      </c>
      <c r="CE22" s="29">
        <f>IFERROR(CE21/CE20,"")</f>
        <v/>
      </c>
      <c r="CF22" s="29">
        <f>IFERROR(CF21/CF20,"")</f>
        <v/>
      </c>
      <c r="CG22" s="29">
        <f>IFERROR(CG21/CG20,"")</f>
        <v/>
      </c>
      <c r="CH22" s="29">
        <f>IFERROR(CH21/CH20,"")</f>
        <v/>
      </c>
      <c r="CI22" s="29">
        <f>IFERROR(CI21/CI20,"")</f>
        <v/>
      </c>
      <c r="CJ22" s="29">
        <f>IFERROR(CJ21/CJ20,"")</f>
        <v/>
      </c>
      <c r="CK22" s="29">
        <f>IFERROR(CK21/CK20,"")</f>
        <v/>
      </c>
      <c r="CL22" s="29">
        <f>IFERROR(CL21/CL20,"")</f>
        <v/>
      </c>
      <c r="CM22" s="29">
        <f>IFERROR(CM21/CM20,"")</f>
        <v/>
      </c>
      <c r="CN22" s="29">
        <f>IFERROR(CN21/CN20,"")</f>
        <v/>
      </c>
      <c r="CO22" s="30">
        <f>IFERROR(CO21/CO20,"")</f>
        <v/>
      </c>
      <c r="CP22" s="30">
        <f>IFERROR(CP21/CP20,"")</f>
        <v/>
      </c>
      <c r="CQ22" s="30">
        <f>IFERROR(CQ21/CQ20,"")</f>
        <v/>
      </c>
      <c r="CR22" s="30">
        <f>IFERROR(CR21/CR20,"")</f>
        <v/>
      </c>
      <c r="CS22" s="30">
        <f>IFERROR(CS21/CS20,"")</f>
        <v/>
      </c>
    </row>
    <row r="23">
      <c r="B23" s="31" t="inlineStr">
        <is>
          <t xml:space="preserve">  Revenue y/y %</t>
        </is>
      </c>
      <c r="N23" s="29">
        <f>IFERROR(N20/H20-1,"")</f>
        <v/>
      </c>
      <c r="T23" s="29">
        <f>IFERROR(T20/N20-1,"")</f>
        <v/>
      </c>
      <c r="Z23" s="29">
        <f>IFERROR(Z20/T20-1,"")</f>
        <v/>
      </c>
      <c r="AF23" s="29">
        <f>IFERROR(AF20/Z20-1,"")</f>
        <v/>
      </c>
      <c r="AL23" s="29">
        <f>IFERROR(AL20/AF20-1,"")</f>
        <v/>
      </c>
      <c r="AR23" s="29">
        <f>IFERROR(AR20/AL20-1,"")</f>
        <v/>
      </c>
      <c r="AX23" s="29">
        <f>IFERROR(AX20/AR20-1,"")</f>
        <v/>
      </c>
      <c r="BD23" s="29">
        <f>IFERROR(BD20/AX20-1,"")</f>
        <v/>
      </c>
      <c r="BJ23" s="29">
        <f>IFERROR(BJ20/BD20-1,"")</f>
        <v/>
      </c>
      <c r="BP23" s="29">
        <f>IFERROR(BP20/BJ20-1,"")</f>
        <v/>
      </c>
      <c r="BV23" s="29">
        <f>IFERROR(BV20/BP20-1,"")</f>
        <v/>
      </c>
      <c r="CB23" s="29">
        <f>IFERROR(CB20/BV20-1,"")</f>
        <v/>
      </c>
      <c r="CH23" s="29">
        <f>IFERROR(CH20/CB20-1,"")</f>
        <v/>
      </c>
      <c r="CN23" s="29">
        <f>IFERROR(CN20/CH20-1,"")</f>
        <v/>
      </c>
      <c r="CO23" s="30">
        <f>IFERROR(CO20/CN20-1,"")</f>
        <v/>
      </c>
      <c r="CP23" s="30">
        <f>IFERROR(CP20/CO20-1,"")</f>
        <v/>
      </c>
      <c r="CQ23" s="30">
        <f>IFERROR(CQ20/CP20-1,"")</f>
        <v/>
      </c>
      <c r="CR23" s="30">
        <f>IFERROR(CR20/CQ20-1,"")</f>
        <v/>
      </c>
      <c r="CS23" s="30">
        <f>IFERROR(CS20/CR20-1,"")</f>
        <v/>
      </c>
    </row>
    <row r="24">
      <c r="B24" s="18" t="inlineStr">
        <is>
          <t xml:space="preserve">  Depreciation &amp; amortisation</t>
        </is>
      </c>
      <c r="E24" s="22">
        <f>C24+D24</f>
        <v/>
      </c>
      <c r="K24" s="22">
        <f>I24+J24</f>
        <v/>
      </c>
      <c r="Q24" s="22">
        <f>O24+P24</f>
        <v/>
      </c>
      <c r="W24" s="22">
        <f>U24+V24</f>
        <v/>
      </c>
      <c r="AC24" s="22">
        <f>AA24+AB24</f>
        <v/>
      </c>
      <c r="AI24" s="22">
        <f>AG24+AH24</f>
        <v/>
      </c>
      <c r="AL24" s="23" t="n">
        <v>9.492000000000001</v>
      </c>
      <c r="AM24" s="23" t="n">
        <v>2.323</v>
      </c>
      <c r="AN24" s="23" t="n">
        <v>2.548</v>
      </c>
      <c r="AO24" s="22">
        <f>AM24+AN24</f>
        <v/>
      </c>
      <c r="AP24" s="23" t="n">
        <v>2.304</v>
      </c>
      <c r="AQ24" s="23" t="n">
        <v>2.318</v>
      </c>
      <c r="AR24" s="23" t="n">
        <v>9.493</v>
      </c>
      <c r="AS24" s="23" t="n">
        <v>2.373</v>
      </c>
      <c r="AT24" s="23" t="n">
        <v>3.817</v>
      </c>
      <c r="AU24" s="22">
        <f>AS24+AT24</f>
        <v/>
      </c>
      <c r="AV24" s="23" t="n">
        <v>2.384</v>
      </c>
      <c r="AW24" s="23" t="n">
        <v>2.245</v>
      </c>
      <c r="AX24" s="23" t="n">
        <v>10.819</v>
      </c>
      <c r="AY24" s="23" t="n">
        <v>2.477</v>
      </c>
      <c r="AZ24" s="23" t="n">
        <v>2.522</v>
      </c>
      <c r="BA24" s="22">
        <f>AY24+AZ24</f>
        <v/>
      </c>
      <c r="BB24" s="23" t="n">
        <v>2.476</v>
      </c>
      <c r="BC24" s="23" t="n">
        <v>2.285</v>
      </c>
      <c r="BD24" s="23" t="n">
        <v>9.76</v>
      </c>
      <c r="BE24" s="23" t="n">
        <v>2.447</v>
      </c>
      <c r="BF24" s="23" t="n">
        <v>2.584</v>
      </c>
      <c r="BG24" s="22">
        <f>BE24+BF24</f>
        <v/>
      </c>
      <c r="BH24" s="23" t="n">
        <v>3.012</v>
      </c>
      <c r="BI24" s="23" t="n">
        <v>2.712</v>
      </c>
      <c r="BJ24" s="23" t="n">
        <v>10.755</v>
      </c>
      <c r="BK24" s="23" t="n">
        <v>2.844</v>
      </c>
      <c r="BL24" s="23" t="n">
        <v>3.647</v>
      </c>
      <c r="BM24" s="22">
        <f>BK24+BL24</f>
        <v/>
      </c>
      <c r="BN24" s="23" t="n">
        <v>3.805</v>
      </c>
      <c r="BO24" s="23" t="n">
        <v>3.91</v>
      </c>
      <c r="BP24" s="23" t="n">
        <v>14.206</v>
      </c>
      <c r="BQ24" s="23" t="n">
        <v>4.035</v>
      </c>
      <c r="BR24" s="23" t="n">
        <v>3.987</v>
      </c>
      <c r="BS24" s="22">
        <f>BQ24+BR24</f>
        <v/>
      </c>
      <c r="BT24" s="23" t="n">
        <v>4.97</v>
      </c>
      <c r="BU24" s="23" t="n">
        <v>4.358</v>
      </c>
      <c r="BV24" s="23" t="n">
        <v>17.35</v>
      </c>
      <c r="BW24" s="23" t="n">
        <v>4.123</v>
      </c>
      <c r="BX24" s="23" t="n">
        <v>4.293</v>
      </c>
      <c r="BY24" s="22">
        <f>BW24+BX24</f>
        <v/>
      </c>
      <c r="BZ24" s="23" t="n">
        <v>4.453</v>
      </c>
      <c r="CA24" s="23" t="n">
        <v>10.805</v>
      </c>
      <c r="CB24" s="23" t="n">
        <v>23.674</v>
      </c>
      <c r="CC24" s="23" t="n">
        <v>6.228</v>
      </c>
      <c r="CD24" s="23" t="n">
        <v>6.918</v>
      </c>
      <c r="CE24" s="22">
        <f>CC24+CD24</f>
        <v/>
      </c>
      <c r="CF24" s="23" t="n">
        <v>7.256</v>
      </c>
      <c r="CG24" s="23" t="n">
        <v>7.674</v>
      </c>
      <c r="CH24" s="23" t="n">
        <v>28.076</v>
      </c>
      <c r="CI24" s="23" t="n">
        <v>7.712</v>
      </c>
      <c r="CJ24" s="23" t="n">
        <v>7.744</v>
      </c>
      <c r="CK24" s="22">
        <f>CI24+CJ24</f>
        <v/>
      </c>
      <c r="CL24" s="23" t="n">
        <v>7.955</v>
      </c>
      <c r="CM24" s="23" t="n">
        <v>8.412000000000001</v>
      </c>
      <c r="CN24" s="23" t="n">
        <v>31.823</v>
      </c>
    </row>
    <row r="25">
      <c r="B25" s="18" t="inlineStr">
        <is>
          <t xml:space="preserve">  Capital expenditures</t>
        </is>
      </c>
      <c r="E25" s="22">
        <f>C25+D25</f>
        <v/>
      </c>
      <c r="K25" s="22">
        <f>I25+J25</f>
        <v/>
      </c>
      <c r="Q25" s="22">
        <f>O25+P25</f>
        <v/>
      </c>
      <c r="W25" s="22">
        <f>U25+V25</f>
        <v/>
      </c>
      <c r="AC25" s="22">
        <f>AA25+AB25</f>
        <v/>
      </c>
      <c r="AI25" s="22">
        <f>AG25+AH25</f>
        <v/>
      </c>
      <c r="AL25" s="23" t="n">
        <v>20.466</v>
      </c>
      <c r="AM25" s="23" t="n">
        <v>1.688</v>
      </c>
      <c r="AN25" s="23" t="n">
        <v>2.662</v>
      </c>
      <c r="AO25" s="22">
        <f>AM25+AN25</f>
        <v/>
      </c>
      <c r="AP25" s="23" t="n">
        <v>1.426</v>
      </c>
      <c r="AQ25" s="23" t="n">
        <v>9.568</v>
      </c>
      <c r="AR25" s="23" t="n">
        <v>15.344</v>
      </c>
      <c r="AS25" s="23" t="n">
        <v>2.456</v>
      </c>
      <c r="AT25" s="23" t="n">
        <v>12.617</v>
      </c>
      <c r="AU25" s="22">
        <f>AS25+AT25</f>
        <v/>
      </c>
      <c r="AV25" s="23" t="n">
        <v>20.672</v>
      </c>
      <c r="AW25" s="23" t="n">
        <v>5.084</v>
      </c>
      <c r="AX25" s="23" t="n">
        <v>40.829</v>
      </c>
      <c r="AY25" s="23" t="n">
        <v>27.083</v>
      </c>
      <c r="AZ25" s="23" t="n">
        <v>7.49</v>
      </c>
      <c r="BA25" s="22">
        <f>AY25+AZ25</f>
        <v/>
      </c>
      <c r="BB25" s="23" t="n">
        <v>15.785</v>
      </c>
      <c r="BC25" s="23" t="n">
        <v>12.798</v>
      </c>
      <c r="BD25" s="23" t="n">
        <v>63.156</v>
      </c>
      <c r="BE25" s="23" t="n">
        <v>18.527</v>
      </c>
      <c r="BF25" s="23" t="n">
        <v>7.402</v>
      </c>
      <c r="BG25" s="22">
        <f>BE25+BF25</f>
        <v/>
      </c>
      <c r="BH25" s="23" t="n">
        <v>4.223</v>
      </c>
      <c r="BI25" s="23" t="n">
        <v>5.05</v>
      </c>
      <c r="BJ25" s="23" t="n">
        <v>35.202</v>
      </c>
      <c r="BK25" s="23" t="n">
        <v>24.634</v>
      </c>
      <c r="BL25" s="23" t="n">
        <v>14.526</v>
      </c>
      <c r="BM25" s="22">
        <f>BK25+BL25</f>
        <v/>
      </c>
      <c r="BN25" s="23" t="n">
        <v>22.175</v>
      </c>
      <c r="BO25" s="23" t="n">
        <v>15.955</v>
      </c>
      <c r="BP25" s="23" t="n">
        <v>77.29000000000001</v>
      </c>
      <c r="BQ25" s="23" t="n">
        <v>10.424</v>
      </c>
      <c r="BR25" s="23" t="n">
        <v>5.185</v>
      </c>
      <c r="BS25" s="22">
        <f>BQ25+BR25</f>
        <v/>
      </c>
      <c r="BT25" s="23" t="n">
        <v>14.237</v>
      </c>
      <c r="BU25" s="23" t="n">
        <v>116.574</v>
      </c>
      <c r="BV25" s="23" t="n">
        <v>146.42</v>
      </c>
      <c r="BW25" s="23" t="n">
        <v>16.372</v>
      </c>
      <c r="BX25" s="23" t="n">
        <v>14.636</v>
      </c>
      <c r="BY25" s="22">
        <f>BW25+BX25</f>
        <v/>
      </c>
      <c r="BZ25" s="23" t="n">
        <v>10.172</v>
      </c>
      <c r="CA25" s="23" t="n">
        <v>102.266</v>
      </c>
      <c r="CB25" s="23" t="n">
        <v>143.446</v>
      </c>
      <c r="CC25" s="23" t="n">
        <v>40.542</v>
      </c>
      <c r="CD25" s="23" t="n">
        <v>39.168</v>
      </c>
      <c r="CE25" s="22">
        <f>CC25+CD25</f>
        <v/>
      </c>
      <c r="CF25" s="23" t="n">
        <v>15.629</v>
      </c>
      <c r="CG25" s="23" t="n">
        <v>18.567</v>
      </c>
      <c r="CH25" s="23" t="n">
        <v>113.906</v>
      </c>
      <c r="CI25" s="23" t="n">
        <v>26.098</v>
      </c>
      <c r="CJ25" s="23" t="n">
        <v>20.868</v>
      </c>
      <c r="CK25" s="22">
        <f>CI25+CJ25</f>
        <v/>
      </c>
      <c r="CL25" s="23" t="n">
        <v>7.561</v>
      </c>
      <c r="CM25" s="23" t="n">
        <v>24.721</v>
      </c>
      <c r="CN25" s="23" t="n">
        <v>79.248</v>
      </c>
    </row>
    <row r="26">
      <c r="B26" s="18" t="inlineStr">
        <is>
          <t xml:space="preserve">  Total assets</t>
        </is>
      </c>
      <c r="AK26" s="23" t="n">
        <v>400.065</v>
      </c>
      <c r="AL26" s="23" t="n">
        <v>400.065</v>
      </c>
      <c r="AM26" s="23" t="n">
        <v>395.198</v>
      </c>
      <c r="AN26" s="23" t="n">
        <v>419.096</v>
      </c>
      <c r="AP26" s="23" t="n">
        <v>439.261</v>
      </c>
      <c r="AQ26" s="23" t="n">
        <v>468.483</v>
      </c>
      <c r="AR26" s="23" t="n">
        <v>468.483</v>
      </c>
      <c r="AS26" s="23" t="n">
        <v>485.011</v>
      </c>
      <c r="AT26" s="23" t="n">
        <v>483.64</v>
      </c>
      <c r="AV26" s="23" t="n">
        <v>462.556</v>
      </c>
      <c r="AW26" s="23" t="n">
        <v>451.64</v>
      </c>
      <c r="AX26" s="23" t="n">
        <v>451.64</v>
      </c>
      <c r="AY26" s="23" t="n">
        <v>447.095</v>
      </c>
      <c r="AZ26" s="23" t="n">
        <v>448.689</v>
      </c>
      <c r="BB26" s="23" t="n">
        <v>456.142</v>
      </c>
      <c r="BC26" s="23" t="n">
        <v>453.025</v>
      </c>
      <c r="BD26" s="23" t="n">
        <v>453.025</v>
      </c>
      <c r="BE26" s="23" t="n">
        <v>533.446</v>
      </c>
      <c r="BF26" s="23" t="n">
        <v>521.662</v>
      </c>
      <c r="BH26" s="23" t="n">
        <v>494.672</v>
      </c>
      <c r="BI26" s="23" t="n">
        <v>554.103</v>
      </c>
      <c r="BJ26" s="23" t="n">
        <v>554.103</v>
      </c>
      <c r="BK26" s="23" t="n">
        <v>579.245</v>
      </c>
      <c r="BL26" s="23" t="n">
        <v>646.985</v>
      </c>
      <c r="BN26" s="23" t="n">
        <v>677.143</v>
      </c>
      <c r="BO26" s="23" t="n">
        <v>661.431</v>
      </c>
      <c r="BP26" s="23" t="n">
        <v>661.431</v>
      </c>
      <c r="BQ26" s="23" t="n">
        <v>695.404</v>
      </c>
      <c r="BR26" s="23" t="n">
        <v>689.433</v>
      </c>
      <c r="BT26" s="23" t="n">
        <v>692.495</v>
      </c>
      <c r="BU26" s="23" t="n">
        <v>693.076</v>
      </c>
      <c r="BV26" s="23" t="n">
        <v>693.076</v>
      </c>
      <c r="BW26" s="23" t="n">
        <v>722.736</v>
      </c>
      <c r="BX26" s="23" t="n">
        <v>795.664</v>
      </c>
      <c r="BZ26" s="23" t="n">
        <v>839.712</v>
      </c>
      <c r="CA26" s="23" t="n">
        <v>912.8150000000001</v>
      </c>
      <c r="CB26" s="23" t="n">
        <v>912.8150000000001</v>
      </c>
      <c r="CC26" s="23" t="n">
        <v>923.293</v>
      </c>
      <c r="CD26" s="23" t="n">
        <v>972.028</v>
      </c>
      <c r="CF26" s="23" t="n">
        <v>975.672</v>
      </c>
      <c r="CG26" s="23" t="n">
        <v>1041.661</v>
      </c>
      <c r="CH26" s="23" t="n">
        <v>1041.661</v>
      </c>
      <c r="CI26" s="23" t="n">
        <v>1112.814</v>
      </c>
      <c r="CJ26" s="23" t="n">
        <v>1139.627</v>
      </c>
      <c r="CL26" s="23" t="n">
        <v>1258.857</v>
      </c>
      <c r="CM26" s="23" t="n">
        <v>1256.839</v>
      </c>
      <c r="CN26" s="23" t="n">
        <v>1256.839</v>
      </c>
    </row>
    <row r="27">
      <c r="B27" s="18" t="inlineStr">
        <is>
          <t xml:space="preserve">  Goodwill</t>
        </is>
      </c>
      <c r="AK27" s="23" t="n">
        <v>80.292</v>
      </c>
      <c r="AL27" s="23" t="n">
        <v>80.292</v>
      </c>
      <c r="AM27" s="23" t="n">
        <v>75.187</v>
      </c>
      <c r="AN27" s="23" t="n">
        <v>76.961</v>
      </c>
      <c r="AP27" s="23" t="n">
        <v>78.571</v>
      </c>
      <c r="AQ27" s="23" t="n">
        <v>81.081</v>
      </c>
      <c r="AR27" s="23" t="n">
        <v>81.081</v>
      </c>
      <c r="AS27" s="23" t="n">
        <v>81.128</v>
      </c>
      <c r="AT27" s="23" t="n">
        <v>86.60299999999999</v>
      </c>
      <c r="AV27" s="23" t="n">
        <v>84.563</v>
      </c>
      <c r="AW27" s="23" t="n">
        <v>80.801</v>
      </c>
      <c r="AX27" s="23" t="n">
        <v>80.801</v>
      </c>
      <c r="AY27" s="23" t="n">
        <v>78.68600000000001</v>
      </c>
      <c r="AZ27" s="23" t="n">
        <v>81.611</v>
      </c>
      <c r="BB27" s="23" t="n">
        <v>80.72799999999999</v>
      </c>
      <c r="BC27" s="23" t="n">
        <v>76.32299999999999</v>
      </c>
      <c r="BD27" s="23" t="n">
        <v>76.32299999999999</v>
      </c>
      <c r="BE27" s="23" t="n">
        <v>80.181</v>
      </c>
      <c r="BF27" s="23" t="n">
        <v>81.264</v>
      </c>
      <c r="BH27" s="23" t="n">
        <v>77.369</v>
      </c>
      <c r="BI27" s="23" t="n">
        <v>81.199</v>
      </c>
      <c r="BJ27" s="23" t="n">
        <v>81.199</v>
      </c>
      <c r="BK27" s="23" t="n">
        <v>80.15300000000001</v>
      </c>
      <c r="BL27" s="23" t="n">
        <v>84.54300000000001</v>
      </c>
      <c r="BN27" s="23" t="n">
        <v>85.092</v>
      </c>
      <c r="BO27" s="23" t="n">
        <v>85.41200000000001</v>
      </c>
      <c r="BP27" s="23" t="n">
        <v>85.41200000000001</v>
      </c>
      <c r="BQ27" s="23" t="n">
        <v>83.79300000000001</v>
      </c>
      <c r="BR27" s="23" t="n">
        <v>82.551</v>
      </c>
      <c r="BT27" s="23" t="n">
        <v>77.642</v>
      </c>
      <c r="BU27" s="23" t="n">
        <v>131.685</v>
      </c>
      <c r="BV27" s="23" t="n">
        <v>131.685</v>
      </c>
      <c r="BW27" s="23" t="n">
        <v>124.575</v>
      </c>
      <c r="BX27" s="23" t="n">
        <v>133.777</v>
      </c>
      <c r="BZ27" s="23" t="n">
        <v>136.371</v>
      </c>
      <c r="CA27" s="23" t="n">
        <v>124.02</v>
      </c>
      <c r="CB27" s="23" t="n">
        <v>124.02</v>
      </c>
      <c r="CC27" s="23" t="n">
        <v>117.597</v>
      </c>
      <c r="CD27" s="23" t="n">
        <v>122.356</v>
      </c>
      <c r="CF27" s="23" t="n">
        <v>120.469</v>
      </c>
      <c r="CG27" s="23" t="n">
        <v>123.488</v>
      </c>
      <c r="CH27" s="23" t="n">
        <v>123.488</v>
      </c>
      <c r="CI27" s="23" t="n">
        <v>124.061</v>
      </c>
      <c r="CJ27" s="23" t="n">
        <v>119.249</v>
      </c>
      <c r="CL27" s="23" t="n">
        <v>128.179</v>
      </c>
      <c r="CM27" s="23" t="n">
        <v>127.357</v>
      </c>
      <c r="CN27" s="23" t="n">
        <v>127.357</v>
      </c>
    </row>
    <row r="29">
      <c r="B29" s="20" t="inlineStr">
        <is>
          <t>Group total (consolidated segments)</t>
        </is>
      </c>
      <c r="C29" s="21" t="n"/>
      <c r="D29" s="21" t="n"/>
      <c r="E29" s="21" t="n"/>
      <c r="F29" s="21" t="n"/>
      <c r="G29" s="21" t="n"/>
      <c r="H29" s="21" t="n"/>
      <c r="I29" s="21" t="n"/>
      <c r="J29" s="21" t="n"/>
      <c r="K29" s="21" t="n"/>
      <c r="L29" s="21" t="n"/>
      <c r="M29" s="21" t="n"/>
      <c r="N29" s="21" t="n"/>
      <c r="O29" s="21" t="n"/>
      <c r="P29" s="21" t="n"/>
      <c r="Q29" s="21" t="n"/>
      <c r="R29" s="21" t="n"/>
      <c r="S29" s="21" t="n"/>
      <c r="T29" s="21" t="n"/>
      <c r="U29" s="21" t="n"/>
      <c r="V29" s="21" t="n"/>
      <c r="W29" s="21" t="n"/>
      <c r="X29" s="21" t="n"/>
      <c r="Y29" s="21" t="n"/>
      <c r="Z29" s="21" t="n"/>
      <c r="AA29" s="21" t="n"/>
      <c r="AB29" s="21" t="n"/>
      <c r="AC29" s="21" t="n"/>
      <c r="AD29" s="21" t="n"/>
      <c r="AE29" s="21" t="n"/>
      <c r="AF29" s="21" t="n"/>
      <c r="AG29" s="21" t="n"/>
      <c r="AH29" s="21" t="n"/>
      <c r="AI29" s="21" t="n"/>
      <c r="AJ29" s="21" t="n"/>
      <c r="AK29" s="21" t="n"/>
      <c r="AL29" s="21" t="n"/>
      <c r="AM29" s="21" t="n"/>
      <c r="AN29" s="21" t="n"/>
      <c r="AO29" s="21" t="n"/>
      <c r="AP29" s="21" t="n"/>
      <c r="AQ29" s="21" t="n"/>
      <c r="AR29" s="21" t="n"/>
      <c r="AS29" s="21" t="n"/>
      <c r="AT29" s="21" t="n"/>
      <c r="AU29" s="21" t="n"/>
      <c r="AV29" s="21" t="n"/>
      <c r="AW29" s="21" t="n"/>
      <c r="AX29" s="21" t="n"/>
      <c r="AY29" s="21" t="n"/>
      <c r="AZ29" s="21" t="n"/>
      <c r="BA29" s="21" t="n"/>
      <c r="BB29" s="21" t="n"/>
      <c r="BC29" s="21" t="n"/>
      <c r="BD29" s="21" t="n"/>
      <c r="BE29" s="21" t="n"/>
      <c r="BF29" s="21" t="n"/>
      <c r="BG29" s="21" t="n"/>
      <c r="BH29" s="21" t="n"/>
      <c r="BI29" s="21" t="n"/>
      <c r="BJ29" s="21" t="n"/>
      <c r="BK29" s="21" t="n"/>
      <c r="BL29" s="21" t="n"/>
      <c r="BM29" s="21" t="n"/>
      <c r="BN29" s="21" t="n"/>
      <c r="BO29" s="21" t="n"/>
      <c r="BP29" s="21" t="n"/>
      <c r="BQ29" s="21" t="n"/>
      <c r="BR29" s="21" t="n"/>
      <c r="BS29" s="21" t="n"/>
      <c r="BT29" s="21" t="n"/>
      <c r="BU29" s="21" t="n"/>
      <c r="BV29" s="21" t="n"/>
      <c r="BW29" s="21" t="n"/>
      <c r="BX29" s="21" t="n"/>
      <c r="BY29" s="21" t="n"/>
      <c r="BZ29" s="21" t="n"/>
      <c r="CA29" s="21" t="n"/>
      <c r="CB29" s="21" t="n"/>
      <c r="CC29" s="21" t="n"/>
      <c r="CD29" s="21" t="n"/>
      <c r="CE29" s="21" t="n"/>
      <c r="CF29" s="21" t="n"/>
      <c r="CG29" s="21" t="n"/>
      <c r="CH29" s="21" t="n"/>
      <c r="CI29" s="21" t="n"/>
      <c r="CJ29" s="21" t="n"/>
      <c r="CK29" s="21" t="n"/>
      <c r="CL29" s="21" t="n"/>
      <c r="CM29" s="21" t="n"/>
      <c r="CN29" s="21" t="n"/>
      <c r="CO29" s="21" t="n"/>
      <c r="CP29" s="21" t="n"/>
      <c r="CQ29" s="21" t="n"/>
      <c r="CR29" s="21" t="n"/>
      <c r="CS29" s="21" t="n"/>
      <c r="CT29" s="21" t="n"/>
      <c r="CU29" s="21" t="n"/>
      <c r="CV29" s="21" t="n"/>
      <c r="CW29" s="21" t="n"/>
    </row>
    <row r="30">
      <c r="B30" s="32" t="inlineStr">
        <is>
          <t xml:space="preserve">  Revenue</t>
        </is>
      </c>
      <c r="C30" s="33">
        <f>C10+C20</f>
        <v/>
      </c>
      <c r="D30" s="33">
        <f>D10+D20</f>
        <v/>
      </c>
      <c r="E30" s="33">
        <f>E10+E20</f>
        <v/>
      </c>
      <c r="F30" s="33">
        <f>F10+F20</f>
        <v/>
      </c>
      <c r="G30" s="33">
        <f>G10+G20</f>
        <v/>
      </c>
      <c r="H30" s="33">
        <f>H10+H20</f>
        <v/>
      </c>
      <c r="I30" s="33">
        <f>I10+I20</f>
        <v/>
      </c>
      <c r="J30" s="33">
        <f>J10+J20</f>
        <v/>
      </c>
      <c r="K30" s="33">
        <f>K10+K20</f>
        <v/>
      </c>
      <c r="L30" s="33">
        <f>L10+L20</f>
        <v/>
      </c>
      <c r="M30" s="33">
        <f>M10+M20</f>
        <v/>
      </c>
      <c r="N30" s="33">
        <f>N10+N20</f>
        <v/>
      </c>
      <c r="O30" s="33">
        <f>O10+O20</f>
        <v/>
      </c>
      <c r="P30" s="33">
        <f>P10+P20</f>
        <v/>
      </c>
      <c r="Q30" s="33">
        <f>Q10+Q20</f>
        <v/>
      </c>
      <c r="R30" s="33">
        <f>R10+R20</f>
        <v/>
      </c>
      <c r="S30" s="33">
        <f>S10+S20</f>
        <v/>
      </c>
      <c r="T30" s="33">
        <f>T10+T20</f>
        <v/>
      </c>
      <c r="U30" s="33">
        <f>U10+U20</f>
        <v/>
      </c>
      <c r="V30" s="33">
        <f>V10+V20</f>
        <v/>
      </c>
      <c r="W30" s="33">
        <f>W10+W20</f>
        <v/>
      </c>
      <c r="X30" s="33">
        <f>X10+X20</f>
        <v/>
      </c>
      <c r="Y30" s="33">
        <f>Y10+Y20</f>
        <v/>
      </c>
      <c r="Z30" s="33">
        <f>Z10+Z20</f>
        <v/>
      </c>
      <c r="AA30" s="33">
        <f>AA10+AA20</f>
        <v/>
      </c>
      <c r="AB30" s="33">
        <f>AB10+AB20</f>
        <v/>
      </c>
      <c r="AC30" s="33">
        <f>AC10+AC20</f>
        <v/>
      </c>
      <c r="AD30" s="33">
        <f>AD10+AD20</f>
        <v/>
      </c>
      <c r="AE30" s="33">
        <f>AE10+AE20</f>
        <v/>
      </c>
      <c r="AF30" s="33">
        <f>AF10+AF20</f>
        <v/>
      </c>
      <c r="AG30" s="33">
        <f>AG10+AG20</f>
        <v/>
      </c>
      <c r="AH30" s="33">
        <f>AH10+AH20</f>
        <v/>
      </c>
      <c r="AI30" s="33">
        <f>AI10+AI20</f>
        <v/>
      </c>
      <c r="AJ30" s="33">
        <f>AJ10+AJ20</f>
        <v/>
      </c>
      <c r="AK30" s="33">
        <f>AK10+AK20</f>
        <v/>
      </c>
      <c r="AL30" s="33">
        <f>AL10+AL20</f>
        <v/>
      </c>
      <c r="AM30" s="33">
        <f>AM10+AM20</f>
        <v/>
      </c>
      <c r="AN30" s="33">
        <f>AN10+AN20</f>
        <v/>
      </c>
      <c r="AO30" s="33">
        <f>AO10+AO20</f>
        <v/>
      </c>
      <c r="AP30" s="33">
        <f>AP10+AP20</f>
        <v/>
      </c>
      <c r="AQ30" s="33">
        <f>AQ10+AQ20</f>
        <v/>
      </c>
      <c r="AR30" s="33">
        <f>AR10+AR20</f>
        <v/>
      </c>
      <c r="AS30" s="33">
        <f>AS10+AS20</f>
        <v/>
      </c>
      <c r="AT30" s="33">
        <f>AT10+AT20</f>
        <v/>
      </c>
      <c r="AU30" s="33">
        <f>AU10+AU20</f>
        <v/>
      </c>
      <c r="AV30" s="33">
        <f>AV10+AV20</f>
        <v/>
      </c>
      <c r="AW30" s="33">
        <f>AW10+AW20</f>
        <v/>
      </c>
      <c r="AX30" s="33">
        <f>AX10+AX20</f>
        <v/>
      </c>
      <c r="AY30" s="33">
        <f>AY10+AY20</f>
        <v/>
      </c>
      <c r="AZ30" s="33">
        <f>AZ10+AZ20</f>
        <v/>
      </c>
      <c r="BA30" s="33">
        <f>BA10+BA20</f>
        <v/>
      </c>
      <c r="BB30" s="33">
        <f>BB10+BB20</f>
        <v/>
      </c>
      <c r="BC30" s="33">
        <f>BC10+BC20</f>
        <v/>
      </c>
      <c r="BD30" s="33">
        <f>BD10+BD20</f>
        <v/>
      </c>
      <c r="BE30" s="33">
        <f>BE10+BE20</f>
        <v/>
      </c>
      <c r="BF30" s="33">
        <f>BF10+BF20</f>
        <v/>
      </c>
      <c r="BG30" s="33">
        <f>BG10+BG20</f>
        <v/>
      </c>
      <c r="BH30" s="33">
        <f>BH10+BH20</f>
        <v/>
      </c>
      <c r="BI30" s="33">
        <f>BI10+BI20</f>
        <v/>
      </c>
      <c r="BJ30" s="33">
        <f>BJ10+BJ20</f>
        <v/>
      </c>
      <c r="BK30" s="33">
        <f>BK10+BK20</f>
        <v/>
      </c>
      <c r="BL30" s="33">
        <f>BL10+BL20</f>
        <v/>
      </c>
      <c r="BM30" s="33">
        <f>BM10+BM20</f>
        <v/>
      </c>
      <c r="BN30" s="33">
        <f>BN10+BN20</f>
        <v/>
      </c>
      <c r="BO30" s="33">
        <f>BO10+BO20</f>
        <v/>
      </c>
      <c r="BP30" s="33">
        <f>BP10+BP20</f>
        <v/>
      </c>
      <c r="BQ30" s="33">
        <f>BQ10+BQ20</f>
        <v/>
      </c>
      <c r="BR30" s="33">
        <f>BR10+BR20</f>
        <v/>
      </c>
      <c r="BS30" s="33">
        <f>BS10+BS20</f>
        <v/>
      </c>
      <c r="BT30" s="33">
        <f>BT10+BT20</f>
        <v/>
      </c>
      <c r="BU30" s="33">
        <f>BU10+BU20</f>
        <v/>
      </c>
      <c r="BV30" s="33">
        <f>BV10+BV20</f>
        <v/>
      </c>
      <c r="BW30" s="33">
        <f>BW10+BW20</f>
        <v/>
      </c>
      <c r="BX30" s="33">
        <f>BX10+BX20</f>
        <v/>
      </c>
      <c r="BY30" s="33">
        <f>BY10+BY20</f>
        <v/>
      </c>
      <c r="BZ30" s="33">
        <f>BZ10+BZ20</f>
        <v/>
      </c>
      <c r="CA30" s="33">
        <f>CA10+CA20</f>
        <v/>
      </c>
      <c r="CB30" s="33">
        <f>CB10+CB20</f>
        <v/>
      </c>
      <c r="CC30" s="33">
        <f>CC10+CC20</f>
        <v/>
      </c>
      <c r="CD30" s="33">
        <f>CD10+CD20</f>
        <v/>
      </c>
      <c r="CE30" s="33">
        <f>CE10+CE20</f>
        <v/>
      </c>
      <c r="CF30" s="33">
        <f>CF10+CF20</f>
        <v/>
      </c>
      <c r="CG30" s="33">
        <f>CG10+CG20</f>
        <v/>
      </c>
      <c r="CH30" s="33">
        <f>CH10+CH20</f>
        <v/>
      </c>
      <c r="CI30" s="33">
        <f>CI10+CI20</f>
        <v/>
      </c>
      <c r="CJ30" s="33">
        <f>CJ10+CJ20</f>
        <v/>
      </c>
      <c r="CK30" s="33">
        <f>CK10+CK20</f>
        <v/>
      </c>
      <c r="CL30" s="33">
        <f>CL10+CL20</f>
        <v/>
      </c>
      <c r="CM30" s="33">
        <f>CM10+CM20</f>
        <v/>
      </c>
      <c r="CN30" s="33">
        <f>CN10+CN20</f>
        <v/>
      </c>
      <c r="CO30" s="34">
        <f>CO10+CO20</f>
        <v/>
      </c>
      <c r="CP30" s="34">
        <f>CP10+CP20</f>
        <v/>
      </c>
      <c r="CQ30" s="34">
        <f>CQ10+CQ20</f>
        <v/>
      </c>
      <c r="CR30" s="34">
        <f>CR10+CR20</f>
        <v/>
      </c>
      <c r="CS30" s="34">
        <f>CS10+CS20</f>
        <v/>
      </c>
      <c r="CU30" s="25">
        <f>IFERROR((CS30/CN30)^(1/5)-1,"n/m")</f>
        <v/>
      </c>
      <c r="CV30" s="25">
        <f>IFERROR((CN30/BJ30)^(1/5)-1,"n/m")</f>
        <v/>
      </c>
      <c r="CW30" s="25">
        <f>IFERROR((CN30/H30)^(1/14)-1,"n/m")</f>
        <v/>
      </c>
    </row>
    <row r="31">
      <c r="B31" s="32" t="inlineStr">
        <is>
          <t xml:space="preserve">  Operating income</t>
        </is>
      </c>
      <c r="C31" s="33">
        <f>C11+C21</f>
        <v/>
      </c>
      <c r="D31" s="33">
        <f>D11+D21</f>
        <v/>
      </c>
      <c r="E31" s="33">
        <f>E11+E21</f>
        <v/>
      </c>
      <c r="F31" s="33">
        <f>F11+F21</f>
        <v/>
      </c>
      <c r="G31" s="33">
        <f>G11+G21</f>
        <v/>
      </c>
      <c r="H31" s="33">
        <f>H11+H21</f>
        <v/>
      </c>
      <c r="I31" s="33">
        <f>I11+I21</f>
        <v/>
      </c>
      <c r="J31" s="33">
        <f>J11+J21</f>
        <v/>
      </c>
      <c r="K31" s="33">
        <f>K11+K21</f>
        <v/>
      </c>
      <c r="L31" s="33">
        <f>L11+L21</f>
        <v/>
      </c>
      <c r="M31" s="33">
        <f>M11+M21</f>
        <v/>
      </c>
      <c r="N31" s="33">
        <f>N11+N21</f>
        <v/>
      </c>
      <c r="O31" s="33">
        <f>O11+O21</f>
        <v/>
      </c>
      <c r="P31" s="33">
        <f>P11+P21</f>
        <v/>
      </c>
      <c r="Q31" s="33">
        <f>Q11+Q21</f>
        <v/>
      </c>
      <c r="R31" s="33">
        <f>R11+R21</f>
        <v/>
      </c>
      <c r="S31" s="33">
        <f>S11+S21</f>
        <v/>
      </c>
      <c r="T31" s="33">
        <f>T11+T21</f>
        <v/>
      </c>
      <c r="U31" s="33">
        <f>U11+U21</f>
        <v/>
      </c>
      <c r="V31" s="33">
        <f>V11+V21</f>
        <v/>
      </c>
      <c r="W31" s="33">
        <f>W11+W21</f>
        <v/>
      </c>
      <c r="X31" s="33">
        <f>X11+X21</f>
        <v/>
      </c>
      <c r="Y31" s="33">
        <f>Y11+Y21</f>
        <v/>
      </c>
      <c r="Z31" s="33">
        <f>Z11+Z21</f>
        <v/>
      </c>
      <c r="AA31" s="33">
        <f>AA11+AA21</f>
        <v/>
      </c>
      <c r="AB31" s="33">
        <f>AB11+AB21</f>
        <v/>
      </c>
      <c r="AC31" s="33">
        <f>AC11+AC21</f>
        <v/>
      </c>
      <c r="AD31" s="33">
        <f>AD11+AD21</f>
        <v/>
      </c>
      <c r="AE31" s="33">
        <f>AE11+AE21</f>
        <v/>
      </c>
      <c r="AF31" s="33">
        <f>AF11+AF21</f>
        <v/>
      </c>
      <c r="AG31" s="33">
        <f>AG11+AG21</f>
        <v/>
      </c>
      <c r="AH31" s="33">
        <f>AH11+AH21</f>
        <v/>
      </c>
      <c r="AI31" s="33">
        <f>AI11+AI21</f>
        <v/>
      </c>
      <c r="AJ31" s="33">
        <f>AJ11+AJ21</f>
        <v/>
      </c>
      <c r="AK31" s="33">
        <f>AK11+AK21</f>
        <v/>
      </c>
      <c r="AL31" s="33">
        <f>AL11+AL21</f>
        <v/>
      </c>
      <c r="AM31" s="33">
        <f>AM11+AM21</f>
        <v/>
      </c>
      <c r="AN31" s="33">
        <f>AN11+AN21</f>
        <v/>
      </c>
      <c r="AO31" s="33">
        <f>AO11+AO21</f>
        <v/>
      </c>
      <c r="AP31" s="33">
        <f>AP11+AP21</f>
        <v/>
      </c>
      <c r="AQ31" s="33">
        <f>AQ11+AQ21</f>
        <v/>
      </c>
      <c r="AR31" s="33">
        <f>AR11+AR21</f>
        <v/>
      </c>
      <c r="AS31" s="33">
        <f>AS11+AS21</f>
        <v/>
      </c>
      <c r="AT31" s="33">
        <f>AT11+AT21</f>
        <v/>
      </c>
      <c r="AU31" s="33">
        <f>AU11+AU21</f>
        <v/>
      </c>
      <c r="AV31" s="33">
        <f>AV11+AV21</f>
        <v/>
      </c>
      <c r="AW31" s="33">
        <f>AW11+AW21</f>
        <v/>
      </c>
      <c r="AX31" s="33">
        <f>AX11+AX21</f>
        <v/>
      </c>
      <c r="AY31" s="33">
        <f>AY11+AY21</f>
        <v/>
      </c>
      <c r="AZ31" s="33">
        <f>AZ11+AZ21</f>
        <v/>
      </c>
      <c r="BA31" s="33">
        <f>BA11+BA21</f>
        <v/>
      </c>
      <c r="BB31" s="33">
        <f>BB11+BB21</f>
        <v/>
      </c>
      <c r="BC31" s="33">
        <f>BC11+BC21</f>
        <v/>
      </c>
      <c r="BD31" s="33">
        <f>BD11+BD21</f>
        <v/>
      </c>
      <c r="BE31" s="33">
        <f>BE11+BE21</f>
        <v/>
      </c>
      <c r="BF31" s="33">
        <f>BF11+BF21</f>
        <v/>
      </c>
      <c r="BG31" s="33">
        <f>BG11+BG21</f>
        <v/>
      </c>
      <c r="BH31" s="33">
        <f>BH11+BH21</f>
        <v/>
      </c>
      <c r="BI31" s="33">
        <f>BI11+BI21</f>
        <v/>
      </c>
      <c r="BJ31" s="33">
        <f>BJ11+BJ21</f>
        <v/>
      </c>
      <c r="BK31" s="33">
        <f>BK11+BK21</f>
        <v/>
      </c>
      <c r="BL31" s="33">
        <f>BL11+BL21</f>
        <v/>
      </c>
      <c r="BM31" s="33">
        <f>BM11+BM21</f>
        <v/>
      </c>
      <c r="BN31" s="33">
        <f>BN11+BN21</f>
        <v/>
      </c>
      <c r="BO31" s="33">
        <f>BO11+BO21</f>
        <v/>
      </c>
      <c r="BP31" s="33">
        <f>BP11+BP21</f>
        <v/>
      </c>
      <c r="BQ31" s="33">
        <f>BQ11+BQ21</f>
        <v/>
      </c>
      <c r="BR31" s="33">
        <f>BR11+BR21</f>
        <v/>
      </c>
      <c r="BS31" s="33">
        <f>BS11+BS21</f>
        <v/>
      </c>
      <c r="BT31" s="33">
        <f>BT11+BT21</f>
        <v/>
      </c>
      <c r="BU31" s="33">
        <f>BU11+BU21</f>
        <v/>
      </c>
      <c r="BV31" s="33">
        <f>BV11+BV21</f>
        <v/>
      </c>
      <c r="BW31" s="33">
        <f>BW11+BW21</f>
        <v/>
      </c>
      <c r="BX31" s="33">
        <f>BX11+BX21</f>
        <v/>
      </c>
      <c r="BY31" s="33">
        <f>BY11+BY21</f>
        <v/>
      </c>
      <c r="BZ31" s="33">
        <f>BZ11+BZ21</f>
        <v/>
      </c>
      <c r="CA31" s="33">
        <f>CA11+CA21</f>
        <v/>
      </c>
      <c r="CB31" s="33">
        <f>CB11+CB21</f>
        <v/>
      </c>
      <c r="CC31" s="33">
        <f>CC11+CC21</f>
        <v/>
      </c>
      <c r="CD31" s="33">
        <f>CD11+CD21</f>
        <v/>
      </c>
      <c r="CE31" s="33">
        <f>CE11+CE21</f>
        <v/>
      </c>
      <c r="CF31" s="33">
        <f>CF11+CF21</f>
        <v/>
      </c>
      <c r="CG31" s="33">
        <f>CG11+CG21</f>
        <v/>
      </c>
      <c r="CH31" s="33">
        <f>CH11+CH21</f>
        <v/>
      </c>
      <c r="CI31" s="33">
        <f>CI11+CI21</f>
        <v/>
      </c>
      <c r="CJ31" s="33">
        <f>CJ11+CJ21</f>
        <v/>
      </c>
      <c r="CK31" s="33">
        <f>CK11+CK21</f>
        <v/>
      </c>
      <c r="CL31" s="33">
        <f>CL11+CL21</f>
        <v/>
      </c>
      <c r="CM31" s="33">
        <f>CM11+CM21</f>
        <v/>
      </c>
      <c r="CN31" s="33">
        <f>CN11+CN21</f>
        <v/>
      </c>
      <c r="CO31" s="34">
        <f>CO11+CO21</f>
        <v/>
      </c>
      <c r="CP31" s="34">
        <f>CP11+CP21</f>
        <v/>
      </c>
      <c r="CQ31" s="34">
        <f>CQ11+CQ21</f>
        <v/>
      </c>
      <c r="CR31" s="34">
        <f>CR11+CR21</f>
        <v/>
      </c>
      <c r="CS31" s="34">
        <f>CS11+CS21</f>
        <v/>
      </c>
      <c r="CU31" s="25">
        <f>IFERROR((CS31/CN31)^(1/5)-1,"n/m")</f>
        <v/>
      </c>
      <c r="CV31" s="25">
        <f>IFERROR((CN31/BJ31)^(1/5)-1,"n/m")</f>
        <v/>
      </c>
      <c r="CW31" s="25">
        <f>IFERROR((CN31/H31)^(1/14)-1,"n/m")</f>
        <v/>
      </c>
    </row>
    <row r="32">
      <c r="B32" s="18" t="inlineStr">
        <is>
          <t xml:space="preserve">  Operating margin %</t>
        </is>
      </c>
      <c r="C32" s="29">
        <f>IFERROR(C31/C30,"")</f>
        <v/>
      </c>
      <c r="D32" s="29">
        <f>IFERROR(D31/D30,"")</f>
        <v/>
      </c>
      <c r="E32" s="29">
        <f>IFERROR(E31/E30,"")</f>
        <v/>
      </c>
      <c r="F32" s="29">
        <f>IFERROR(F31/F30,"")</f>
        <v/>
      </c>
      <c r="G32" s="29">
        <f>IFERROR(G31/G30,"")</f>
        <v/>
      </c>
      <c r="H32" s="29">
        <f>IFERROR(H31/H30,"")</f>
        <v/>
      </c>
      <c r="I32" s="29">
        <f>IFERROR(I31/I30,"")</f>
        <v/>
      </c>
      <c r="J32" s="29">
        <f>IFERROR(J31/J30,"")</f>
        <v/>
      </c>
      <c r="K32" s="29">
        <f>IFERROR(K31/K30,"")</f>
        <v/>
      </c>
      <c r="L32" s="29">
        <f>IFERROR(L31/L30,"")</f>
        <v/>
      </c>
      <c r="M32" s="29">
        <f>IFERROR(M31/M30,"")</f>
        <v/>
      </c>
      <c r="N32" s="29">
        <f>IFERROR(N31/N30,"")</f>
        <v/>
      </c>
      <c r="O32" s="29">
        <f>IFERROR(O31/O30,"")</f>
        <v/>
      </c>
      <c r="P32" s="29">
        <f>IFERROR(P31/P30,"")</f>
        <v/>
      </c>
      <c r="Q32" s="29">
        <f>IFERROR(Q31/Q30,"")</f>
        <v/>
      </c>
      <c r="R32" s="29">
        <f>IFERROR(R31/R30,"")</f>
        <v/>
      </c>
      <c r="S32" s="29">
        <f>IFERROR(S31/S30,"")</f>
        <v/>
      </c>
      <c r="T32" s="29">
        <f>IFERROR(T31/T30,"")</f>
        <v/>
      </c>
      <c r="U32" s="29">
        <f>IFERROR(U31/U30,"")</f>
        <v/>
      </c>
      <c r="V32" s="29">
        <f>IFERROR(V31/V30,"")</f>
        <v/>
      </c>
      <c r="W32" s="29">
        <f>IFERROR(W31/W30,"")</f>
        <v/>
      </c>
      <c r="X32" s="29">
        <f>IFERROR(X31/X30,"")</f>
        <v/>
      </c>
      <c r="Y32" s="29">
        <f>IFERROR(Y31/Y30,"")</f>
        <v/>
      </c>
      <c r="Z32" s="29">
        <f>IFERROR(Z31/Z30,"")</f>
        <v/>
      </c>
      <c r="AA32" s="29">
        <f>IFERROR(AA31/AA30,"")</f>
        <v/>
      </c>
      <c r="AB32" s="29">
        <f>IFERROR(AB31/AB30,"")</f>
        <v/>
      </c>
      <c r="AC32" s="29">
        <f>IFERROR(AC31/AC30,"")</f>
        <v/>
      </c>
      <c r="AD32" s="29">
        <f>IFERROR(AD31/AD30,"")</f>
        <v/>
      </c>
      <c r="AE32" s="29">
        <f>IFERROR(AE31/AE30,"")</f>
        <v/>
      </c>
      <c r="AF32" s="29">
        <f>IFERROR(AF31/AF30,"")</f>
        <v/>
      </c>
      <c r="AG32" s="29">
        <f>IFERROR(AG31/AG30,"")</f>
        <v/>
      </c>
      <c r="AH32" s="29">
        <f>IFERROR(AH31/AH30,"")</f>
        <v/>
      </c>
      <c r="AI32" s="29">
        <f>IFERROR(AI31/AI30,"")</f>
        <v/>
      </c>
      <c r="AJ32" s="29">
        <f>IFERROR(AJ31/AJ30,"")</f>
        <v/>
      </c>
      <c r="AK32" s="29">
        <f>IFERROR(AK31/AK30,"")</f>
        <v/>
      </c>
      <c r="AL32" s="29">
        <f>IFERROR(AL31/AL30,"")</f>
        <v/>
      </c>
      <c r="AM32" s="29">
        <f>IFERROR(AM31/AM30,"")</f>
        <v/>
      </c>
      <c r="AN32" s="29">
        <f>IFERROR(AN31/AN30,"")</f>
        <v/>
      </c>
      <c r="AO32" s="29">
        <f>IFERROR(AO31/AO30,"")</f>
        <v/>
      </c>
      <c r="AP32" s="29">
        <f>IFERROR(AP31/AP30,"")</f>
        <v/>
      </c>
      <c r="AQ32" s="29">
        <f>IFERROR(AQ31/AQ30,"")</f>
        <v/>
      </c>
      <c r="AR32" s="29">
        <f>IFERROR(AR31/AR30,"")</f>
        <v/>
      </c>
      <c r="AS32" s="29">
        <f>IFERROR(AS31/AS30,"")</f>
        <v/>
      </c>
      <c r="AT32" s="29">
        <f>IFERROR(AT31/AT30,"")</f>
        <v/>
      </c>
      <c r="AU32" s="29">
        <f>IFERROR(AU31/AU30,"")</f>
        <v/>
      </c>
      <c r="AV32" s="29">
        <f>IFERROR(AV31/AV30,"")</f>
        <v/>
      </c>
      <c r="AW32" s="29">
        <f>IFERROR(AW31/AW30,"")</f>
        <v/>
      </c>
      <c r="AX32" s="29">
        <f>IFERROR(AX31/AX30,"")</f>
        <v/>
      </c>
      <c r="AY32" s="29">
        <f>IFERROR(AY31/AY30,"")</f>
        <v/>
      </c>
      <c r="AZ32" s="29">
        <f>IFERROR(AZ31/AZ30,"")</f>
        <v/>
      </c>
      <c r="BA32" s="29">
        <f>IFERROR(BA31/BA30,"")</f>
        <v/>
      </c>
      <c r="BB32" s="29">
        <f>IFERROR(BB31/BB30,"")</f>
        <v/>
      </c>
      <c r="BC32" s="29">
        <f>IFERROR(BC31/BC30,"")</f>
        <v/>
      </c>
      <c r="BD32" s="29">
        <f>IFERROR(BD31/BD30,"")</f>
        <v/>
      </c>
      <c r="BE32" s="29">
        <f>IFERROR(BE31/BE30,"")</f>
        <v/>
      </c>
      <c r="BF32" s="29">
        <f>IFERROR(BF31/BF30,"")</f>
        <v/>
      </c>
      <c r="BG32" s="29">
        <f>IFERROR(BG31/BG30,"")</f>
        <v/>
      </c>
      <c r="BH32" s="29">
        <f>IFERROR(BH31/BH30,"")</f>
        <v/>
      </c>
      <c r="BI32" s="29">
        <f>IFERROR(BI31/BI30,"")</f>
        <v/>
      </c>
      <c r="BJ32" s="29">
        <f>IFERROR(BJ31/BJ30,"")</f>
        <v/>
      </c>
      <c r="BK32" s="29">
        <f>IFERROR(BK31/BK30,"")</f>
        <v/>
      </c>
      <c r="BL32" s="29">
        <f>IFERROR(BL31/BL30,"")</f>
        <v/>
      </c>
      <c r="BM32" s="29">
        <f>IFERROR(BM31/BM30,"")</f>
        <v/>
      </c>
      <c r="BN32" s="29">
        <f>IFERROR(BN31/BN30,"")</f>
        <v/>
      </c>
      <c r="BO32" s="29">
        <f>IFERROR(BO31/BO30,"")</f>
        <v/>
      </c>
      <c r="BP32" s="29">
        <f>IFERROR(BP31/BP30,"")</f>
        <v/>
      </c>
      <c r="BQ32" s="29">
        <f>IFERROR(BQ31/BQ30,"")</f>
        <v/>
      </c>
      <c r="BR32" s="29">
        <f>IFERROR(BR31/BR30,"")</f>
        <v/>
      </c>
      <c r="BS32" s="29">
        <f>IFERROR(BS31/BS30,"")</f>
        <v/>
      </c>
      <c r="BT32" s="29">
        <f>IFERROR(BT31/BT30,"")</f>
        <v/>
      </c>
      <c r="BU32" s="29">
        <f>IFERROR(BU31/BU30,"")</f>
        <v/>
      </c>
      <c r="BV32" s="29">
        <f>IFERROR(BV31/BV30,"")</f>
        <v/>
      </c>
      <c r="BW32" s="29">
        <f>IFERROR(BW31/BW30,"")</f>
        <v/>
      </c>
      <c r="BX32" s="29">
        <f>IFERROR(BX31/BX30,"")</f>
        <v/>
      </c>
      <c r="BY32" s="29">
        <f>IFERROR(BY31/BY30,"")</f>
        <v/>
      </c>
      <c r="BZ32" s="29">
        <f>IFERROR(BZ31/BZ30,"")</f>
        <v/>
      </c>
      <c r="CA32" s="29">
        <f>IFERROR(CA31/CA30,"")</f>
        <v/>
      </c>
      <c r="CB32" s="29">
        <f>IFERROR(CB31/CB30,"")</f>
        <v/>
      </c>
      <c r="CC32" s="29">
        <f>IFERROR(CC31/CC30,"")</f>
        <v/>
      </c>
      <c r="CD32" s="29">
        <f>IFERROR(CD31/CD30,"")</f>
        <v/>
      </c>
      <c r="CE32" s="29">
        <f>IFERROR(CE31/CE30,"")</f>
        <v/>
      </c>
      <c r="CF32" s="29">
        <f>IFERROR(CF31/CF30,"")</f>
        <v/>
      </c>
      <c r="CG32" s="29">
        <f>IFERROR(CG31/CG30,"")</f>
        <v/>
      </c>
      <c r="CH32" s="29">
        <f>IFERROR(CH31/CH30,"")</f>
        <v/>
      </c>
      <c r="CI32" s="29">
        <f>IFERROR(CI31/CI30,"")</f>
        <v/>
      </c>
      <c r="CJ32" s="29">
        <f>IFERROR(CJ31/CJ30,"")</f>
        <v/>
      </c>
      <c r="CK32" s="29">
        <f>IFERROR(CK31/CK30,"")</f>
        <v/>
      </c>
      <c r="CL32" s="29">
        <f>IFERROR(CL31/CL30,"")</f>
        <v/>
      </c>
      <c r="CM32" s="29">
        <f>IFERROR(CM31/CM30,"")</f>
        <v/>
      </c>
      <c r="CN32" s="29">
        <f>IFERROR(CN31/CN30,"")</f>
        <v/>
      </c>
      <c r="CO32" s="30">
        <f>IFERROR(CO31/CO30,"")</f>
        <v/>
      </c>
      <c r="CP32" s="30">
        <f>IFERROR(CP31/CP30,"")</f>
        <v/>
      </c>
      <c r="CQ32" s="30">
        <f>IFERROR(CQ31/CQ30,"")</f>
        <v/>
      </c>
      <c r="CR32" s="30">
        <f>IFERROR(CR31/CR30,"")</f>
        <v/>
      </c>
      <c r="CS32" s="30">
        <f>IFERROR(CS31/CS30,"")</f>
        <v/>
      </c>
    </row>
    <row r="33">
      <c r="B33" s="20" t="inlineStr">
        <is>
          <t>Revenue mix %</t>
        </is>
      </c>
      <c r="C33" s="21" t="n"/>
      <c r="D33" s="21" t="n"/>
      <c r="E33" s="21" t="n"/>
      <c r="F33" s="21" t="n"/>
      <c r="G33" s="21" t="n"/>
      <c r="H33" s="21" t="n"/>
      <c r="I33" s="21" t="n"/>
      <c r="J33" s="21" t="n"/>
      <c r="K33" s="21" t="n"/>
      <c r="L33" s="21" t="n"/>
      <c r="M33" s="21" t="n"/>
      <c r="N33" s="21" t="n"/>
      <c r="O33" s="21" t="n"/>
      <c r="P33" s="21" t="n"/>
      <c r="Q33" s="21" t="n"/>
      <c r="R33" s="21" t="n"/>
      <c r="S33" s="21" t="n"/>
      <c r="T33" s="21" t="n"/>
      <c r="U33" s="21" t="n"/>
      <c r="V33" s="21" t="n"/>
      <c r="W33" s="21" t="n"/>
      <c r="X33" s="21" t="n"/>
      <c r="Y33" s="21" t="n"/>
      <c r="Z33" s="21" t="n"/>
      <c r="AA33" s="21" t="n"/>
      <c r="AB33" s="21" t="n"/>
      <c r="AC33" s="21" t="n"/>
      <c r="AD33" s="21" t="n"/>
      <c r="AE33" s="21" t="n"/>
      <c r="AF33" s="21" t="n"/>
      <c r="AG33" s="21" t="n"/>
      <c r="AH33" s="21" t="n"/>
      <c r="AI33" s="21" t="n"/>
      <c r="AJ33" s="21" t="n"/>
      <c r="AK33" s="21" t="n"/>
      <c r="AL33" s="21" t="n"/>
      <c r="AM33" s="21" t="n"/>
      <c r="AN33" s="21" t="n"/>
      <c r="AO33" s="21" t="n"/>
      <c r="AP33" s="21" t="n"/>
      <c r="AQ33" s="21" t="n"/>
      <c r="AR33" s="21" t="n"/>
      <c r="AS33" s="21" t="n"/>
      <c r="AT33" s="21" t="n"/>
      <c r="AU33" s="21" t="n"/>
      <c r="AV33" s="21" t="n"/>
      <c r="AW33" s="21" t="n"/>
      <c r="AX33" s="21" t="n"/>
      <c r="AY33" s="21" t="n"/>
      <c r="AZ33" s="21" t="n"/>
      <c r="BA33" s="21" t="n"/>
      <c r="BB33" s="21" t="n"/>
      <c r="BC33" s="21" t="n"/>
      <c r="BD33" s="21" t="n"/>
      <c r="BE33" s="21" t="n"/>
      <c r="BF33" s="21" t="n"/>
      <c r="BG33" s="21" t="n"/>
      <c r="BH33" s="21" t="n"/>
      <c r="BI33" s="21" t="n"/>
      <c r="BJ33" s="21" t="n"/>
      <c r="BK33" s="21" t="n"/>
      <c r="BL33" s="21" t="n"/>
      <c r="BM33" s="21" t="n"/>
      <c r="BN33" s="21" t="n"/>
      <c r="BO33" s="21" t="n"/>
      <c r="BP33" s="21" t="n"/>
      <c r="BQ33" s="21" t="n"/>
      <c r="BR33" s="21" t="n"/>
      <c r="BS33" s="21" t="n"/>
      <c r="BT33" s="21" t="n"/>
      <c r="BU33" s="21" t="n"/>
      <c r="BV33" s="21" t="n"/>
      <c r="BW33" s="21" t="n"/>
      <c r="BX33" s="21" t="n"/>
      <c r="BY33" s="21" t="n"/>
      <c r="BZ33" s="21" t="n"/>
      <c r="CA33" s="21" t="n"/>
      <c r="CB33" s="21" t="n"/>
      <c r="CC33" s="21" t="n"/>
      <c r="CD33" s="21" t="n"/>
      <c r="CE33" s="21" t="n"/>
      <c r="CF33" s="21" t="n"/>
      <c r="CG33" s="21" t="n"/>
      <c r="CH33" s="21" t="n"/>
      <c r="CI33" s="21" t="n"/>
      <c r="CJ33" s="21" t="n"/>
      <c r="CK33" s="21" t="n"/>
      <c r="CL33" s="21" t="n"/>
      <c r="CM33" s="21" t="n"/>
      <c r="CN33" s="21" t="n"/>
      <c r="CO33" s="21" t="n"/>
      <c r="CP33" s="21" t="n"/>
      <c r="CQ33" s="21" t="n"/>
      <c r="CR33" s="21" t="n"/>
      <c r="CS33" s="21" t="n"/>
      <c r="CT33" s="21" t="n"/>
      <c r="CU33" s="21" t="n"/>
      <c r="CV33" s="21" t="n"/>
      <c r="CW33" s="21" t="n"/>
    </row>
    <row r="34">
      <c r="B34" s="18" t="inlineStr">
        <is>
          <t xml:space="preserve">  United States</t>
        </is>
      </c>
      <c r="C34" s="29">
        <f>IFERROR(C10/C30,"")</f>
        <v/>
      </c>
      <c r="D34" s="29">
        <f>IFERROR(D10/D30,"")</f>
        <v/>
      </c>
      <c r="E34" s="29">
        <f>IFERROR(E10/E30,"")</f>
        <v/>
      </c>
      <c r="F34" s="29">
        <f>IFERROR(F10/F30,"")</f>
        <v/>
      </c>
      <c r="G34" s="29">
        <f>IFERROR(G10/G30,"")</f>
        <v/>
      </c>
      <c r="H34" s="29">
        <f>IFERROR(H10/H30,"")</f>
        <v/>
      </c>
      <c r="I34" s="29">
        <f>IFERROR(I10/I30,"")</f>
        <v/>
      </c>
      <c r="J34" s="29">
        <f>IFERROR(J10/J30,"")</f>
        <v/>
      </c>
      <c r="K34" s="29">
        <f>IFERROR(K10/K30,"")</f>
        <v/>
      </c>
      <c r="L34" s="29">
        <f>IFERROR(L10/L30,"")</f>
        <v/>
      </c>
      <c r="M34" s="29">
        <f>IFERROR(M10/M30,"")</f>
        <v/>
      </c>
      <c r="N34" s="29">
        <f>IFERROR(N10/N30,"")</f>
        <v/>
      </c>
      <c r="O34" s="29">
        <f>IFERROR(O10/O30,"")</f>
        <v/>
      </c>
      <c r="P34" s="29">
        <f>IFERROR(P10/P30,"")</f>
        <v/>
      </c>
      <c r="Q34" s="29">
        <f>IFERROR(Q10/Q30,"")</f>
        <v/>
      </c>
      <c r="R34" s="29">
        <f>IFERROR(R10/R30,"")</f>
        <v/>
      </c>
      <c r="S34" s="29">
        <f>IFERROR(S10/S30,"")</f>
        <v/>
      </c>
      <c r="T34" s="29">
        <f>IFERROR(T10/T30,"")</f>
        <v/>
      </c>
      <c r="U34" s="29">
        <f>IFERROR(U10/U30,"")</f>
        <v/>
      </c>
      <c r="V34" s="29">
        <f>IFERROR(V10/V30,"")</f>
        <v/>
      </c>
      <c r="W34" s="29">
        <f>IFERROR(W10/W30,"")</f>
        <v/>
      </c>
      <c r="X34" s="29">
        <f>IFERROR(X10/X30,"")</f>
        <v/>
      </c>
      <c r="Y34" s="29">
        <f>IFERROR(Y10/Y30,"")</f>
        <v/>
      </c>
      <c r="Z34" s="29">
        <f>IFERROR(Z10/Z30,"")</f>
        <v/>
      </c>
      <c r="AA34" s="29">
        <f>IFERROR(AA10/AA30,"")</f>
        <v/>
      </c>
      <c r="AB34" s="29">
        <f>IFERROR(AB10/AB30,"")</f>
        <v/>
      </c>
      <c r="AC34" s="29">
        <f>IFERROR(AC10/AC30,"")</f>
        <v/>
      </c>
      <c r="AD34" s="29">
        <f>IFERROR(AD10/AD30,"")</f>
        <v/>
      </c>
      <c r="AE34" s="29">
        <f>IFERROR(AE10/AE30,"")</f>
        <v/>
      </c>
      <c r="AF34" s="29">
        <f>IFERROR(AF10/AF30,"")</f>
        <v/>
      </c>
      <c r="AG34" s="29">
        <f>IFERROR(AG10/AG30,"")</f>
        <v/>
      </c>
      <c r="AH34" s="29">
        <f>IFERROR(AH10/AH30,"")</f>
        <v/>
      </c>
      <c r="AI34" s="29">
        <f>IFERROR(AI10/AI30,"")</f>
        <v/>
      </c>
      <c r="AJ34" s="29">
        <f>IFERROR(AJ10/AJ30,"")</f>
        <v/>
      </c>
      <c r="AK34" s="29">
        <f>IFERROR(AK10/AK30,"")</f>
        <v/>
      </c>
      <c r="AL34" s="29">
        <f>IFERROR(AL10/AL30,"")</f>
        <v/>
      </c>
      <c r="AM34" s="29">
        <f>IFERROR(AM10/AM30,"")</f>
        <v/>
      </c>
      <c r="AN34" s="29">
        <f>IFERROR(AN10/AN30,"")</f>
        <v/>
      </c>
      <c r="AO34" s="29">
        <f>IFERROR(AO10/AO30,"")</f>
        <v/>
      </c>
      <c r="AP34" s="29">
        <f>IFERROR(AP10/AP30,"")</f>
        <v/>
      </c>
      <c r="AQ34" s="29">
        <f>IFERROR(AQ10/AQ30,"")</f>
        <v/>
      </c>
      <c r="AR34" s="29">
        <f>IFERROR(AR10/AR30,"")</f>
        <v/>
      </c>
      <c r="AS34" s="29">
        <f>IFERROR(AS10/AS30,"")</f>
        <v/>
      </c>
      <c r="AT34" s="29">
        <f>IFERROR(AT10/AT30,"")</f>
        <v/>
      </c>
      <c r="AU34" s="29">
        <f>IFERROR(AU10/AU30,"")</f>
        <v/>
      </c>
      <c r="AV34" s="29">
        <f>IFERROR(AV10/AV30,"")</f>
        <v/>
      </c>
      <c r="AW34" s="29">
        <f>IFERROR(AW10/AW30,"")</f>
        <v/>
      </c>
      <c r="AX34" s="29">
        <f>IFERROR(AX10/AX30,"")</f>
        <v/>
      </c>
      <c r="AY34" s="29">
        <f>IFERROR(AY10/AY30,"")</f>
        <v/>
      </c>
      <c r="AZ34" s="29">
        <f>IFERROR(AZ10/AZ30,"")</f>
        <v/>
      </c>
      <c r="BA34" s="29">
        <f>IFERROR(BA10/BA30,"")</f>
        <v/>
      </c>
      <c r="BB34" s="29">
        <f>IFERROR(BB10/BB30,"")</f>
        <v/>
      </c>
      <c r="BC34" s="29">
        <f>IFERROR(BC10/BC30,"")</f>
        <v/>
      </c>
      <c r="BD34" s="29">
        <f>IFERROR(BD10/BD30,"")</f>
        <v/>
      </c>
      <c r="BE34" s="29">
        <f>IFERROR(BE10/BE30,"")</f>
        <v/>
      </c>
      <c r="BF34" s="29">
        <f>IFERROR(BF10/BF30,"")</f>
        <v/>
      </c>
      <c r="BG34" s="29">
        <f>IFERROR(BG10/BG30,"")</f>
        <v/>
      </c>
      <c r="BH34" s="29">
        <f>IFERROR(BH10/BH30,"")</f>
        <v/>
      </c>
      <c r="BI34" s="29">
        <f>IFERROR(BI10/BI30,"")</f>
        <v/>
      </c>
      <c r="BJ34" s="29">
        <f>IFERROR(BJ10/BJ30,"")</f>
        <v/>
      </c>
      <c r="BK34" s="29">
        <f>IFERROR(BK10/BK30,"")</f>
        <v/>
      </c>
      <c r="BL34" s="29">
        <f>IFERROR(BL10/BL30,"")</f>
        <v/>
      </c>
      <c r="BM34" s="29">
        <f>IFERROR(BM10/BM30,"")</f>
        <v/>
      </c>
      <c r="BN34" s="29">
        <f>IFERROR(BN10/BN30,"")</f>
        <v/>
      </c>
      <c r="BO34" s="29">
        <f>IFERROR(BO10/BO30,"")</f>
        <v/>
      </c>
      <c r="BP34" s="29">
        <f>IFERROR(BP10/BP30,"")</f>
        <v/>
      </c>
      <c r="BQ34" s="29">
        <f>IFERROR(BQ10/BQ30,"")</f>
        <v/>
      </c>
      <c r="BR34" s="29">
        <f>IFERROR(BR10/BR30,"")</f>
        <v/>
      </c>
      <c r="BS34" s="29">
        <f>IFERROR(BS10/BS30,"")</f>
        <v/>
      </c>
      <c r="BT34" s="29">
        <f>IFERROR(BT10/BT30,"")</f>
        <v/>
      </c>
      <c r="BU34" s="29">
        <f>IFERROR(BU10/BU30,"")</f>
        <v/>
      </c>
      <c r="BV34" s="29">
        <f>IFERROR(BV10/BV30,"")</f>
        <v/>
      </c>
      <c r="BW34" s="29">
        <f>IFERROR(BW10/BW30,"")</f>
        <v/>
      </c>
      <c r="BX34" s="29">
        <f>IFERROR(BX10/BX30,"")</f>
        <v/>
      </c>
      <c r="BY34" s="29">
        <f>IFERROR(BY10/BY30,"")</f>
        <v/>
      </c>
      <c r="BZ34" s="29">
        <f>IFERROR(BZ10/BZ30,"")</f>
        <v/>
      </c>
      <c r="CA34" s="29">
        <f>IFERROR(CA10/CA30,"")</f>
        <v/>
      </c>
      <c r="CB34" s="29">
        <f>IFERROR(CB10/CB30,"")</f>
        <v/>
      </c>
      <c r="CC34" s="29">
        <f>IFERROR(CC10/CC30,"")</f>
        <v/>
      </c>
      <c r="CD34" s="29">
        <f>IFERROR(CD10/CD30,"")</f>
        <v/>
      </c>
      <c r="CE34" s="29">
        <f>IFERROR(CE10/CE30,"")</f>
        <v/>
      </c>
      <c r="CF34" s="29">
        <f>IFERROR(CF10/CF30,"")</f>
        <v/>
      </c>
      <c r="CG34" s="29">
        <f>IFERROR(CG10/CG30,"")</f>
        <v/>
      </c>
      <c r="CH34" s="29">
        <f>IFERROR(CH10/CH30,"")</f>
        <v/>
      </c>
      <c r="CI34" s="29">
        <f>IFERROR(CI10/CI30,"")</f>
        <v/>
      </c>
      <c r="CJ34" s="29">
        <f>IFERROR(CJ10/CJ30,"")</f>
        <v/>
      </c>
      <c r="CK34" s="29">
        <f>IFERROR(CK10/CK30,"")</f>
        <v/>
      </c>
      <c r="CL34" s="29">
        <f>IFERROR(CL10/CL30,"")</f>
        <v/>
      </c>
      <c r="CM34" s="29">
        <f>IFERROR(CM10/CM30,"")</f>
        <v/>
      </c>
      <c r="CN34" s="29">
        <f>IFERROR(CN10/CN30,"")</f>
        <v/>
      </c>
      <c r="CO34" s="30">
        <f>IFERROR(CO10/CO30,"")</f>
        <v/>
      </c>
      <c r="CP34" s="30">
        <f>IFERROR(CP10/CP30,"")</f>
        <v/>
      </c>
      <c r="CQ34" s="30">
        <f>IFERROR(CQ10/CQ30,"")</f>
        <v/>
      </c>
      <c r="CR34" s="30">
        <f>IFERROR(CR10/CR30,"")</f>
        <v/>
      </c>
      <c r="CS34" s="30">
        <f>IFERROR(CS10/CS30,"")</f>
        <v/>
      </c>
    </row>
    <row r="35">
      <c r="B35" s="18" t="inlineStr">
        <is>
          <t xml:space="preserve">  International</t>
        </is>
      </c>
      <c r="C35" s="29">
        <f>IFERROR(C20/C30,"")</f>
        <v/>
      </c>
      <c r="D35" s="29">
        <f>IFERROR(D20/D30,"")</f>
        <v/>
      </c>
      <c r="E35" s="29">
        <f>IFERROR(E20/E30,"")</f>
        <v/>
      </c>
      <c r="F35" s="29">
        <f>IFERROR(F20/F30,"")</f>
        <v/>
      </c>
      <c r="G35" s="29">
        <f>IFERROR(G20/G30,"")</f>
        <v/>
      </c>
      <c r="H35" s="29">
        <f>IFERROR(H20/H30,"")</f>
        <v/>
      </c>
      <c r="I35" s="29">
        <f>IFERROR(I20/I30,"")</f>
        <v/>
      </c>
      <c r="J35" s="29">
        <f>IFERROR(J20/J30,"")</f>
        <v/>
      </c>
      <c r="K35" s="29">
        <f>IFERROR(K20/K30,"")</f>
        <v/>
      </c>
      <c r="L35" s="29">
        <f>IFERROR(L20/L30,"")</f>
        <v/>
      </c>
      <c r="M35" s="29">
        <f>IFERROR(M20/M30,"")</f>
        <v/>
      </c>
      <c r="N35" s="29">
        <f>IFERROR(N20/N30,"")</f>
        <v/>
      </c>
      <c r="O35" s="29">
        <f>IFERROR(O20/O30,"")</f>
        <v/>
      </c>
      <c r="P35" s="29">
        <f>IFERROR(P20/P30,"")</f>
        <v/>
      </c>
      <c r="Q35" s="29">
        <f>IFERROR(Q20/Q30,"")</f>
        <v/>
      </c>
      <c r="R35" s="29">
        <f>IFERROR(R20/R30,"")</f>
        <v/>
      </c>
      <c r="S35" s="29">
        <f>IFERROR(S20/S30,"")</f>
        <v/>
      </c>
      <c r="T35" s="29">
        <f>IFERROR(T20/T30,"")</f>
        <v/>
      </c>
      <c r="U35" s="29">
        <f>IFERROR(U20/U30,"")</f>
        <v/>
      </c>
      <c r="V35" s="29">
        <f>IFERROR(V20/V30,"")</f>
        <v/>
      </c>
      <c r="W35" s="29">
        <f>IFERROR(W20/W30,"")</f>
        <v/>
      </c>
      <c r="X35" s="29">
        <f>IFERROR(X20/X30,"")</f>
        <v/>
      </c>
      <c r="Y35" s="29">
        <f>IFERROR(Y20/Y30,"")</f>
        <v/>
      </c>
      <c r="Z35" s="29">
        <f>IFERROR(Z20/Z30,"")</f>
        <v/>
      </c>
      <c r="AA35" s="29">
        <f>IFERROR(AA20/AA30,"")</f>
        <v/>
      </c>
      <c r="AB35" s="29">
        <f>IFERROR(AB20/AB30,"")</f>
        <v/>
      </c>
      <c r="AC35" s="29">
        <f>IFERROR(AC20/AC30,"")</f>
        <v/>
      </c>
      <c r="AD35" s="29">
        <f>IFERROR(AD20/AD30,"")</f>
        <v/>
      </c>
      <c r="AE35" s="29">
        <f>IFERROR(AE20/AE30,"")</f>
        <v/>
      </c>
      <c r="AF35" s="29">
        <f>IFERROR(AF20/AF30,"")</f>
        <v/>
      </c>
      <c r="AG35" s="29">
        <f>IFERROR(AG20/AG30,"")</f>
        <v/>
      </c>
      <c r="AH35" s="29">
        <f>IFERROR(AH20/AH30,"")</f>
        <v/>
      </c>
      <c r="AI35" s="29">
        <f>IFERROR(AI20/AI30,"")</f>
        <v/>
      </c>
      <c r="AJ35" s="29">
        <f>IFERROR(AJ20/AJ30,"")</f>
        <v/>
      </c>
      <c r="AK35" s="29">
        <f>IFERROR(AK20/AK30,"")</f>
        <v/>
      </c>
      <c r="AL35" s="29">
        <f>IFERROR(AL20/AL30,"")</f>
        <v/>
      </c>
      <c r="AM35" s="29">
        <f>IFERROR(AM20/AM30,"")</f>
        <v/>
      </c>
      <c r="AN35" s="29">
        <f>IFERROR(AN20/AN30,"")</f>
        <v/>
      </c>
      <c r="AO35" s="29">
        <f>IFERROR(AO20/AO30,"")</f>
        <v/>
      </c>
      <c r="AP35" s="29">
        <f>IFERROR(AP20/AP30,"")</f>
        <v/>
      </c>
      <c r="AQ35" s="29">
        <f>IFERROR(AQ20/AQ30,"")</f>
        <v/>
      </c>
      <c r="AR35" s="29">
        <f>IFERROR(AR20/AR30,"")</f>
        <v/>
      </c>
      <c r="AS35" s="29">
        <f>IFERROR(AS20/AS30,"")</f>
        <v/>
      </c>
      <c r="AT35" s="29">
        <f>IFERROR(AT20/AT30,"")</f>
        <v/>
      </c>
      <c r="AU35" s="29">
        <f>IFERROR(AU20/AU30,"")</f>
        <v/>
      </c>
      <c r="AV35" s="29">
        <f>IFERROR(AV20/AV30,"")</f>
        <v/>
      </c>
      <c r="AW35" s="29">
        <f>IFERROR(AW20/AW30,"")</f>
        <v/>
      </c>
      <c r="AX35" s="29">
        <f>IFERROR(AX20/AX30,"")</f>
        <v/>
      </c>
      <c r="AY35" s="29">
        <f>IFERROR(AY20/AY30,"")</f>
        <v/>
      </c>
      <c r="AZ35" s="29">
        <f>IFERROR(AZ20/AZ30,"")</f>
        <v/>
      </c>
      <c r="BA35" s="29">
        <f>IFERROR(BA20/BA30,"")</f>
        <v/>
      </c>
      <c r="BB35" s="29">
        <f>IFERROR(BB20/BB30,"")</f>
        <v/>
      </c>
      <c r="BC35" s="29">
        <f>IFERROR(BC20/BC30,"")</f>
        <v/>
      </c>
      <c r="BD35" s="29">
        <f>IFERROR(BD20/BD30,"")</f>
        <v/>
      </c>
      <c r="BE35" s="29">
        <f>IFERROR(BE20/BE30,"")</f>
        <v/>
      </c>
      <c r="BF35" s="29">
        <f>IFERROR(BF20/BF30,"")</f>
        <v/>
      </c>
      <c r="BG35" s="29">
        <f>IFERROR(BG20/BG30,"")</f>
        <v/>
      </c>
      <c r="BH35" s="29">
        <f>IFERROR(BH20/BH30,"")</f>
        <v/>
      </c>
      <c r="BI35" s="29">
        <f>IFERROR(BI20/BI30,"")</f>
        <v/>
      </c>
      <c r="BJ35" s="29">
        <f>IFERROR(BJ20/BJ30,"")</f>
        <v/>
      </c>
      <c r="BK35" s="29">
        <f>IFERROR(BK20/BK30,"")</f>
        <v/>
      </c>
      <c r="BL35" s="29">
        <f>IFERROR(BL20/BL30,"")</f>
        <v/>
      </c>
      <c r="BM35" s="29">
        <f>IFERROR(BM20/BM30,"")</f>
        <v/>
      </c>
      <c r="BN35" s="29">
        <f>IFERROR(BN20/BN30,"")</f>
        <v/>
      </c>
      <c r="BO35" s="29">
        <f>IFERROR(BO20/BO30,"")</f>
        <v/>
      </c>
      <c r="BP35" s="29">
        <f>IFERROR(BP20/BP30,"")</f>
        <v/>
      </c>
      <c r="BQ35" s="29">
        <f>IFERROR(BQ20/BQ30,"")</f>
        <v/>
      </c>
      <c r="BR35" s="29">
        <f>IFERROR(BR20/BR30,"")</f>
        <v/>
      </c>
      <c r="BS35" s="29">
        <f>IFERROR(BS20/BS30,"")</f>
        <v/>
      </c>
      <c r="BT35" s="29">
        <f>IFERROR(BT20/BT30,"")</f>
        <v/>
      </c>
      <c r="BU35" s="29">
        <f>IFERROR(BU20/BU30,"")</f>
        <v/>
      </c>
      <c r="BV35" s="29">
        <f>IFERROR(BV20/BV30,"")</f>
        <v/>
      </c>
      <c r="BW35" s="29">
        <f>IFERROR(BW20/BW30,"")</f>
        <v/>
      </c>
      <c r="BX35" s="29">
        <f>IFERROR(BX20/BX30,"")</f>
        <v/>
      </c>
      <c r="BY35" s="29">
        <f>IFERROR(BY20/BY30,"")</f>
        <v/>
      </c>
      <c r="BZ35" s="29">
        <f>IFERROR(BZ20/BZ30,"")</f>
        <v/>
      </c>
      <c r="CA35" s="29">
        <f>IFERROR(CA20/CA30,"")</f>
        <v/>
      </c>
      <c r="CB35" s="29">
        <f>IFERROR(CB20/CB30,"")</f>
        <v/>
      </c>
      <c r="CC35" s="29">
        <f>IFERROR(CC20/CC30,"")</f>
        <v/>
      </c>
      <c r="CD35" s="29">
        <f>IFERROR(CD20/CD30,"")</f>
        <v/>
      </c>
      <c r="CE35" s="29">
        <f>IFERROR(CE20/CE30,"")</f>
        <v/>
      </c>
      <c r="CF35" s="29">
        <f>IFERROR(CF20/CF30,"")</f>
        <v/>
      </c>
      <c r="CG35" s="29">
        <f>IFERROR(CG20/CG30,"")</f>
        <v/>
      </c>
      <c r="CH35" s="29">
        <f>IFERROR(CH20/CH30,"")</f>
        <v/>
      </c>
      <c r="CI35" s="29">
        <f>IFERROR(CI20/CI30,"")</f>
        <v/>
      </c>
      <c r="CJ35" s="29">
        <f>IFERROR(CJ20/CJ30,"")</f>
        <v/>
      </c>
      <c r="CK35" s="29">
        <f>IFERROR(CK20/CK30,"")</f>
        <v/>
      </c>
      <c r="CL35" s="29">
        <f>IFERROR(CL20/CL30,"")</f>
        <v/>
      </c>
      <c r="CM35" s="29">
        <f>IFERROR(CM20/CM30,"")</f>
        <v/>
      </c>
      <c r="CN35" s="29">
        <f>IFERROR(CN20/CN30,"")</f>
        <v/>
      </c>
      <c r="CO35" s="30">
        <f>IFERROR(CO20/CO30,"")</f>
        <v/>
      </c>
      <c r="CP35" s="30">
        <f>IFERROR(CP20/CP30,"")</f>
        <v/>
      </c>
      <c r="CQ35" s="30">
        <f>IFERROR(CQ20/CQ30,"")</f>
        <v/>
      </c>
      <c r="CR35" s="30">
        <f>IFERROR(CR20/CR30,"")</f>
        <v/>
      </c>
      <c r="CS35" s="30">
        <f>IFERROR(CS20/CS30,"")</f>
        <v/>
      </c>
    </row>
    <row r="37">
      <c r="B37" s="5" t="inlineStr">
        <is>
          <t>CONSOLIDATED INCOME STATEMENT</t>
        </is>
      </c>
      <c r="C37" s="12" t="n"/>
      <c r="D37" s="12" t="n"/>
      <c r="E37" s="12" t="n"/>
      <c r="F37" s="12" t="n"/>
      <c r="G37" s="12" t="n"/>
      <c r="H37" s="12" t="n"/>
      <c r="I37" s="12" t="n"/>
      <c r="J37" s="12" t="n"/>
      <c r="K37" s="12" t="n"/>
      <c r="L37" s="12" t="n"/>
      <c r="M37" s="12" t="n"/>
      <c r="N37" s="12" t="n"/>
      <c r="O37" s="12" t="n"/>
      <c r="P37" s="12" t="n"/>
      <c r="Q37" s="12" t="n"/>
      <c r="R37" s="12" t="n"/>
      <c r="S37" s="12" t="n"/>
      <c r="T37" s="12" t="n"/>
      <c r="U37" s="12" t="n"/>
      <c r="V37" s="12" t="n"/>
      <c r="W37" s="12" t="n"/>
      <c r="X37" s="12" t="n"/>
      <c r="Y37" s="12" t="n"/>
      <c r="Z37" s="12" t="n"/>
      <c r="AA37" s="12" t="n"/>
      <c r="AB37" s="12" t="n"/>
      <c r="AC37" s="12" t="n"/>
      <c r="AD37" s="12" t="n"/>
      <c r="AE37" s="12" t="n"/>
      <c r="AF37" s="12" t="n"/>
      <c r="AG37" s="12" t="n"/>
      <c r="AH37" s="12" t="n"/>
      <c r="AI37" s="12" t="n"/>
      <c r="AJ37" s="12" t="n"/>
      <c r="AK37" s="12" t="n"/>
      <c r="AL37" s="12" t="n"/>
      <c r="AM37" s="12" t="n"/>
      <c r="AN37" s="12" t="n"/>
      <c r="AO37" s="12" t="n"/>
      <c r="AP37" s="12" t="n"/>
      <c r="AQ37" s="12" t="n"/>
      <c r="AR37" s="12" t="n"/>
      <c r="AS37" s="12" t="n"/>
      <c r="AT37" s="12" t="n"/>
      <c r="AU37" s="12" t="n"/>
      <c r="AV37" s="12" t="n"/>
      <c r="AW37" s="12" t="n"/>
      <c r="AX37" s="12" t="n"/>
      <c r="AY37" s="12" t="n"/>
      <c r="AZ37" s="12" t="n"/>
      <c r="BA37" s="12" t="n"/>
      <c r="BB37" s="12" t="n"/>
      <c r="BC37" s="12" t="n"/>
      <c r="BD37" s="12" t="n"/>
      <c r="BE37" s="12" t="n"/>
      <c r="BF37" s="12" t="n"/>
      <c r="BG37" s="12" t="n"/>
      <c r="BH37" s="12" t="n"/>
      <c r="BI37" s="12" t="n"/>
      <c r="BJ37" s="12" t="n"/>
      <c r="BK37" s="12" t="n"/>
      <c r="BL37" s="12" t="n"/>
      <c r="BM37" s="12" t="n"/>
      <c r="BN37" s="12" t="n"/>
      <c r="BO37" s="12" t="n"/>
      <c r="BP37" s="12" t="n"/>
      <c r="BQ37" s="12" t="n"/>
      <c r="BR37" s="12" t="n"/>
      <c r="BS37" s="12" t="n"/>
      <c r="BT37" s="12" t="n"/>
      <c r="BU37" s="12" t="n"/>
      <c r="BV37" s="12" t="n"/>
      <c r="BW37" s="12" t="n"/>
      <c r="BX37" s="12" t="n"/>
      <c r="BY37" s="12" t="n"/>
      <c r="BZ37" s="12" t="n"/>
      <c r="CA37" s="12" t="n"/>
      <c r="CB37" s="12" t="n"/>
      <c r="CC37" s="12" t="n"/>
      <c r="CD37" s="12" t="n"/>
      <c r="CE37" s="12" t="n"/>
      <c r="CF37" s="12" t="n"/>
      <c r="CG37" s="12" t="n"/>
      <c r="CH37" s="12" t="n"/>
      <c r="CI37" s="12" t="n"/>
      <c r="CJ37" s="12" t="n"/>
      <c r="CK37" s="12" t="n"/>
      <c r="CL37" s="12" t="n"/>
      <c r="CM37" s="12" t="n"/>
      <c r="CN37" s="12" t="n"/>
      <c r="CO37" s="12" t="n"/>
      <c r="CP37" s="12" t="n"/>
      <c r="CQ37" s="12" t="n"/>
      <c r="CR37" s="12" t="n"/>
      <c r="CS37" s="12" t="n"/>
      <c r="CT37" s="12" t="n"/>
      <c r="CU37" s="12" t="n"/>
      <c r="CV37" s="12" t="n"/>
      <c r="CW37" s="12" t="n"/>
    </row>
    <row r="38">
      <c r="B38" s="6" t="inlineStr">
        <is>
          <t>Total revenues (service + vehicle sales)</t>
        </is>
      </c>
      <c r="C38" s="27" t="n">
        <v>212.667</v>
      </c>
      <c r="D38" s="27" t="n">
        <v>207.38</v>
      </c>
      <c r="E38" s="26">
        <f>C38+D38</f>
        <v/>
      </c>
      <c r="F38" s="27" t="n">
        <v>236.755</v>
      </c>
      <c r="G38" s="27" t="n">
        <v>215.443</v>
      </c>
      <c r="H38" s="27" t="n">
        <v>872.246</v>
      </c>
      <c r="I38" s="27" t="n">
        <v>225.626</v>
      </c>
      <c r="J38" s="27" t="n">
        <v>227.904</v>
      </c>
      <c r="K38" s="26">
        <f>I38+J38</f>
        <v/>
      </c>
      <c r="L38" s="27" t="n">
        <v>244.105</v>
      </c>
      <c r="M38" s="27" t="n">
        <v>226.556</v>
      </c>
      <c r="N38" s="27" t="n">
        <v>924.191</v>
      </c>
      <c r="O38" s="27" t="n">
        <v>238.866</v>
      </c>
      <c r="P38" s="27" t="n">
        <v>266.185</v>
      </c>
      <c r="Q38" s="26">
        <f>O38+P38</f>
        <v/>
      </c>
      <c r="R38" s="27" t="n">
        <v>277.638</v>
      </c>
      <c r="S38" s="27" t="n">
        <v>263.697</v>
      </c>
      <c r="T38" s="27" t="n">
        <v>1046.386</v>
      </c>
      <c r="U38" s="27" t="n">
        <v>279.883</v>
      </c>
      <c r="V38" s="27" t="n">
        <v>286.434</v>
      </c>
      <c r="W38" s="26">
        <f>U38+V38</f>
        <v/>
      </c>
      <c r="X38" s="27" t="n">
        <v>309.722</v>
      </c>
      <c r="Y38" s="27" t="n">
        <v>287.45</v>
      </c>
      <c r="Z38" s="27" t="n">
        <v>1163.489</v>
      </c>
      <c r="AA38" s="27" t="n">
        <v>290.386</v>
      </c>
      <c r="AB38" s="27" t="n">
        <v>276.258</v>
      </c>
      <c r="AC38" s="26">
        <f>AA38+AB38</f>
        <v/>
      </c>
      <c r="AD38" s="27" t="n">
        <v>297.142</v>
      </c>
      <c r="AE38" s="27" t="n">
        <v>282.293</v>
      </c>
      <c r="AF38" s="27" t="n">
        <v>1146.079</v>
      </c>
      <c r="AG38" s="27" t="n">
        <v>288.838</v>
      </c>
      <c r="AH38" s="27" t="n">
        <v>299.706</v>
      </c>
      <c r="AI38" s="26">
        <f>AG38+AH38</f>
        <v/>
      </c>
      <c r="AJ38" s="27" t="n">
        <v>347.246</v>
      </c>
      <c r="AK38" s="27" t="n">
        <v>332.659</v>
      </c>
      <c r="AL38" s="27" t="n">
        <v>1268.449</v>
      </c>
      <c r="AM38" s="27" t="n">
        <v>345.991</v>
      </c>
      <c r="AN38" s="27" t="n">
        <v>349.532</v>
      </c>
      <c r="AO38" s="26">
        <f>AM38+AN38</f>
        <v/>
      </c>
      <c r="AP38" s="27" t="n">
        <v>373.862</v>
      </c>
      <c r="AQ38" s="27" t="n">
        <v>378.596</v>
      </c>
      <c r="AR38" s="27" t="n">
        <v>1447.981</v>
      </c>
      <c r="AS38" s="27" t="n">
        <v>419.168</v>
      </c>
      <c r="AT38" s="27" t="n">
        <v>459.106</v>
      </c>
      <c r="AU38" s="26">
        <f>AS38+AT38</f>
        <v/>
      </c>
      <c r="AV38" s="27" t="n">
        <v>478.198</v>
      </c>
      <c r="AW38" s="27" t="n">
        <v>449.223</v>
      </c>
      <c r="AX38" s="27" t="n">
        <v>1805.695</v>
      </c>
      <c r="AY38" s="27" t="n">
        <v>461.368</v>
      </c>
      <c r="AZ38" s="27" t="n">
        <v>484.898</v>
      </c>
      <c r="BA38" s="26">
        <f>AY38+AZ38</f>
        <v/>
      </c>
      <c r="BB38" s="27" t="n">
        <v>553.116</v>
      </c>
      <c r="BC38" s="27" t="n">
        <v>542.575</v>
      </c>
      <c r="BD38" s="27" t="n">
        <v>2041.957</v>
      </c>
      <c r="BE38" s="27" t="n">
        <v>554.424</v>
      </c>
      <c r="BF38" s="27" t="n">
        <v>575.14</v>
      </c>
      <c r="BG38" s="26">
        <f>BE38+BF38</f>
        <v/>
      </c>
      <c r="BH38" s="27" t="n">
        <v>550.36</v>
      </c>
      <c r="BI38" s="27" t="n">
        <v>525.659</v>
      </c>
      <c r="BJ38" s="27" t="n">
        <v>2205.583</v>
      </c>
      <c r="BK38" s="27" t="n">
        <v>592.9400000000001</v>
      </c>
      <c r="BL38" s="27" t="n">
        <v>617.0309999999999</v>
      </c>
      <c r="BM38" s="26">
        <f>BK38+BL38</f>
        <v/>
      </c>
      <c r="BN38" s="27" t="n">
        <v>733.91</v>
      </c>
      <c r="BO38" s="27" t="n">
        <v>748.63</v>
      </c>
      <c r="BP38" s="27" t="n">
        <v>2692.511</v>
      </c>
      <c r="BQ38" s="27" t="n">
        <v>810.1319999999999</v>
      </c>
      <c r="BR38" s="27" t="n">
        <v>867.46</v>
      </c>
      <c r="BS38" s="26">
        <f>BQ38+BR38</f>
        <v/>
      </c>
      <c r="BT38" s="27" t="n">
        <v>939.941</v>
      </c>
      <c r="BU38" s="27" t="n">
        <v>883.388</v>
      </c>
      <c r="BV38" s="27" t="n">
        <v>3500.921</v>
      </c>
      <c r="BW38" s="27" t="n">
        <v>893.372</v>
      </c>
      <c r="BX38" s="27" t="n">
        <v>956.724</v>
      </c>
      <c r="BY38" s="26">
        <f>BW38+BX38</f>
        <v/>
      </c>
      <c r="BZ38" s="27" t="n">
        <v>1021.831</v>
      </c>
      <c r="CA38" s="27" t="n">
        <v>997.591</v>
      </c>
      <c r="CB38" s="27" t="n">
        <v>3869.518</v>
      </c>
      <c r="CC38" s="27" t="n">
        <v>1020.416</v>
      </c>
      <c r="CD38" s="27" t="n">
        <v>1020.149</v>
      </c>
      <c r="CE38" s="26">
        <f>CC38+CD38</f>
        <v/>
      </c>
      <c r="CF38" s="27" t="n">
        <v>1127.259</v>
      </c>
      <c r="CG38" s="27" t="n">
        <v>1068.999</v>
      </c>
      <c r="CH38" s="27" t="n">
        <v>4236.823</v>
      </c>
      <c r="CI38" s="27" t="n">
        <v>1146.829</v>
      </c>
      <c r="CJ38" s="27" t="n">
        <v>1163.316</v>
      </c>
      <c r="CK38" s="26">
        <f>CI38+CJ38</f>
        <v/>
      </c>
      <c r="CL38" s="27" t="n">
        <v>1211.716</v>
      </c>
      <c r="CM38" s="27" t="n">
        <v>1125.097</v>
      </c>
      <c r="CN38" s="27" t="n">
        <v>4646.958</v>
      </c>
      <c r="CO38" s="28">
        <f>CO30</f>
        <v/>
      </c>
      <c r="CP38" s="28">
        <f>CP30</f>
        <v/>
      </c>
      <c r="CQ38" s="28">
        <f>CQ30</f>
        <v/>
      </c>
      <c r="CR38" s="28">
        <f>CR30</f>
        <v/>
      </c>
      <c r="CS38" s="28">
        <f>CS30</f>
        <v/>
      </c>
      <c r="CU38" s="25">
        <f>IFERROR((CS38/CN38)^(1/5)-1,"n/m")</f>
        <v/>
      </c>
      <c r="CV38" s="25">
        <f>IFERROR((CN38/BJ38)^(1/5)-1,"n/m")</f>
        <v/>
      </c>
      <c r="CW38" s="25">
        <f>IFERROR((CN38/H38)^(1/14)-1,"n/m")</f>
        <v/>
      </c>
    </row>
    <row r="39">
      <c r="B39" s="18" t="inlineStr">
        <is>
          <t>Yard operations expense</t>
        </is>
      </c>
      <c r="D39" s="23" t="n">
        <v>94.473</v>
      </c>
      <c r="E39" s="22">
        <f>C39+D39</f>
        <v/>
      </c>
      <c r="F39" s="23" t="n">
        <v>92.996</v>
      </c>
      <c r="H39" s="23" t="n">
        <v>374.149</v>
      </c>
      <c r="I39" s="23" t="n">
        <v>96.20699999999999</v>
      </c>
      <c r="J39" s="23" t="n">
        <v>94.60299999999999</v>
      </c>
      <c r="K39" s="22">
        <f>I39+J39</f>
        <v/>
      </c>
      <c r="L39" s="23" t="n">
        <v>92.578</v>
      </c>
      <c r="N39" s="23" t="n">
        <v>377.604</v>
      </c>
      <c r="O39" s="23" t="n">
        <v>97.119</v>
      </c>
      <c r="P39" s="23" t="n">
        <v>127.164</v>
      </c>
      <c r="Q39" s="22">
        <f>O39+P39</f>
        <v/>
      </c>
      <c r="R39" s="23" t="n">
        <v>116.41</v>
      </c>
      <c r="S39" s="23" t="n">
        <v>117.535</v>
      </c>
      <c r="T39" s="23" t="n">
        <v>458.228</v>
      </c>
      <c r="U39" s="23" t="n">
        <v>125.956</v>
      </c>
      <c r="V39" s="23" t="n">
        <v>131.246</v>
      </c>
      <c r="W39" s="22">
        <f>U39+V39</f>
        <v/>
      </c>
      <c r="X39" s="23" t="n">
        <v>131.207</v>
      </c>
      <c r="Y39" s="23" t="n">
        <v>132.014</v>
      </c>
      <c r="Z39" s="23" t="n">
        <v>520.423</v>
      </c>
      <c r="AA39" s="23" t="n">
        <v>131.005</v>
      </c>
      <c r="AB39" s="23" t="n">
        <v>129.273</v>
      </c>
      <c r="AC39" s="22">
        <f>AA39+AB39</f>
        <v/>
      </c>
      <c r="AD39" s="23" t="n">
        <v>135.222</v>
      </c>
      <c r="AE39" s="23" t="n">
        <v>130.791</v>
      </c>
      <c r="AF39" s="23" t="n">
        <v>526.2910000000001</v>
      </c>
      <c r="AG39" s="23" t="n">
        <v>135.909</v>
      </c>
      <c r="AH39" s="23" t="n">
        <v>140.965</v>
      </c>
      <c r="AI39" s="22">
        <f>AG39+AH39</f>
        <v/>
      </c>
      <c r="AJ39" s="23" t="n">
        <v>151.855</v>
      </c>
      <c r="AK39" s="23" t="n">
        <v>154.175</v>
      </c>
      <c r="AL39" s="23" t="n">
        <v>582.904</v>
      </c>
      <c r="AM39" s="23" t="n">
        <v>167.611</v>
      </c>
      <c r="AN39" s="23" t="n">
        <v>169.081</v>
      </c>
      <c r="AO39" s="22">
        <f>AM39+AN39</f>
        <v/>
      </c>
      <c r="AP39" s="23" t="n">
        <v>166.572</v>
      </c>
      <c r="AQ39" s="23" t="n">
        <v>175.137</v>
      </c>
      <c r="AR39" s="23" t="n">
        <v>678.401</v>
      </c>
      <c r="AS39" s="23" t="n">
        <v>217.607</v>
      </c>
      <c r="AT39" s="23" t="n">
        <v>217.184</v>
      </c>
      <c r="AU39" s="22">
        <f>AS39+AT39</f>
        <v/>
      </c>
      <c r="AV39" s="23" t="n">
        <v>201.592</v>
      </c>
      <c r="AW39" s="23" t="n">
        <v>210.485</v>
      </c>
      <c r="AX39" s="23" t="n">
        <v>846.8680000000001</v>
      </c>
      <c r="AY39" s="23" t="n">
        <v>207.694</v>
      </c>
      <c r="AZ39" s="23" t="n">
        <v>215.46</v>
      </c>
      <c r="BA39" s="22">
        <f>AY39+AZ39</f>
        <v/>
      </c>
      <c r="BB39" s="23" t="n">
        <v>230.553</v>
      </c>
      <c r="BC39" s="23" t="n">
        <v>234.404</v>
      </c>
      <c r="BD39" s="23" t="n">
        <v>888.111</v>
      </c>
      <c r="BE39" s="23" t="n">
        <v>240.791</v>
      </c>
      <c r="BF39" s="23" t="n">
        <v>257.351</v>
      </c>
      <c r="BG39" s="22">
        <f>BE39+BF39</f>
        <v/>
      </c>
      <c r="BH39" s="23" t="n">
        <v>253.76</v>
      </c>
      <c r="BI39" s="23" t="n">
        <v>220.585</v>
      </c>
      <c r="BJ39" s="23" t="n">
        <v>972.487</v>
      </c>
      <c r="BK39" s="23" t="n">
        <v>231.811</v>
      </c>
      <c r="BL39" s="23" t="n">
        <v>235.904</v>
      </c>
      <c r="BM39" s="22">
        <f>BK39+BL39</f>
        <v/>
      </c>
      <c r="BN39" s="23" t="n">
        <v>258.071</v>
      </c>
      <c r="BO39" s="23" t="n">
        <v>277.506</v>
      </c>
      <c r="BP39" s="23" t="n">
        <v>1003.292</v>
      </c>
      <c r="BQ39" s="23" t="n">
        <v>298.694</v>
      </c>
      <c r="BR39" s="23" t="n">
        <v>323.814</v>
      </c>
      <c r="BS39" s="22">
        <f>BQ39+BR39</f>
        <v/>
      </c>
      <c r="BT39" s="23" t="n">
        <v>346.428</v>
      </c>
      <c r="BU39" s="23" t="n">
        <v>340.561</v>
      </c>
      <c r="BV39" s="23" t="n">
        <v>1309.497</v>
      </c>
      <c r="BW39" s="23" t="n">
        <v>372.777</v>
      </c>
      <c r="BX39" s="23" t="n">
        <v>375.497</v>
      </c>
      <c r="BY39" s="22">
        <f>BW39+BX39</f>
        <v/>
      </c>
      <c r="BZ39" s="23" t="n">
        <v>378.958</v>
      </c>
      <c r="CA39" s="23" t="n">
        <v>390.797</v>
      </c>
      <c r="CB39" s="23" t="n">
        <v>1518.029</v>
      </c>
      <c r="CC39" s="23" t="n">
        <v>408.501</v>
      </c>
      <c r="CD39" s="23" t="n">
        <v>409.178</v>
      </c>
      <c r="CE39" s="22">
        <f>CC39+CD39</f>
        <v/>
      </c>
      <c r="CF39" s="23" t="n">
        <v>438.873</v>
      </c>
      <c r="CG39" s="23" t="n">
        <v>453.532</v>
      </c>
      <c r="CH39" s="23" t="n">
        <v>1710.084</v>
      </c>
      <c r="CI39" s="23" t="n">
        <v>496.546</v>
      </c>
      <c r="CJ39" s="23" t="n">
        <v>490.056</v>
      </c>
      <c r="CK39" s="22">
        <f>CI39+CJ39</f>
        <v/>
      </c>
      <c r="CL39" s="23" t="n">
        <v>489.735</v>
      </c>
      <c r="CM39" s="23" t="n">
        <v>467.981</v>
      </c>
      <c r="CN39" s="23" t="n">
        <v>1944.318</v>
      </c>
    </row>
    <row r="40">
      <c r="B40" s="18" t="inlineStr">
        <is>
          <t>Cost of vehicle sales</t>
        </is>
      </c>
      <c r="D40" s="23" t="n">
        <v>27.002</v>
      </c>
      <c r="E40" s="22">
        <f>C40+D40</f>
        <v/>
      </c>
      <c r="F40" s="23" t="n">
        <v>34.852</v>
      </c>
      <c r="H40" s="23" t="n">
        <v>125.202</v>
      </c>
      <c r="I40" s="23" t="n">
        <v>34.194</v>
      </c>
      <c r="J40" s="23" t="n">
        <v>33.605</v>
      </c>
      <c r="K40" s="22">
        <f>I40+J40</f>
        <v/>
      </c>
      <c r="L40" s="23" t="n">
        <v>36.258</v>
      </c>
      <c r="N40" s="23" t="n">
        <v>136.971</v>
      </c>
      <c r="O40" s="23" t="n">
        <v>36.311</v>
      </c>
      <c r="P40" s="23" t="n">
        <v>42.204</v>
      </c>
      <c r="Q40" s="22">
        <f>O40+P40</f>
        <v/>
      </c>
      <c r="R40" s="23" t="n">
        <v>45.631</v>
      </c>
      <c r="S40" s="23" t="n">
        <v>43.09</v>
      </c>
      <c r="T40" s="23" t="n">
        <v>167.236</v>
      </c>
      <c r="U40" s="23" t="n">
        <v>46.091</v>
      </c>
      <c r="V40" s="23" t="n">
        <v>43.642</v>
      </c>
      <c r="W40" s="22">
        <f>U40+V40</f>
        <v/>
      </c>
      <c r="X40" s="23" t="n">
        <v>46.263</v>
      </c>
      <c r="Y40" s="23" t="n">
        <v>38.497</v>
      </c>
      <c r="Z40" s="23" t="n">
        <v>174.493</v>
      </c>
      <c r="AA40" s="23" t="n">
        <v>37.073</v>
      </c>
      <c r="AB40" s="23" t="n">
        <v>32.118</v>
      </c>
      <c r="AC40" s="22">
        <f>AA40+AB40</f>
        <v/>
      </c>
      <c r="AD40" s="23" t="n">
        <v>34.503</v>
      </c>
      <c r="AE40" s="23" t="n">
        <v>32.718</v>
      </c>
      <c r="AF40" s="23" t="n">
        <v>136.412</v>
      </c>
      <c r="AG40" s="23" t="n">
        <v>32.068</v>
      </c>
      <c r="AH40" s="23" t="n">
        <v>34.127</v>
      </c>
      <c r="AI40" s="22">
        <f>AG40+AH40</f>
        <v/>
      </c>
      <c r="AJ40" s="23" t="n">
        <v>37.744</v>
      </c>
      <c r="AK40" s="23" t="n">
        <v>37.02</v>
      </c>
      <c r="AL40" s="23" t="n">
        <v>140.959</v>
      </c>
      <c r="AM40" s="23" t="n">
        <v>33.087</v>
      </c>
      <c r="AN40" s="23" t="n">
        <v>33.686</v>
      </c>
      <c r="AO40" s="22">
        <f>AM40+AN40</f>
        <v/>
      </c>
      <c r="AP40" s="23" t="n">
        <v>34.785</v>
      </c>
      <c r="AQ40" s="23" t="n">
        <v>35.994</v>
      </c>
      <c r="AR40" s="23" t="n">
        <v>137.552</v>
      </c>
      <c r="AS40" s="23" t="n">
        <v>38.297</v>
      </c>
      <c r="AT40" s="23" t="n">
        <v>50.313</v>
      </c>
      <c r="AU40" s="22">
        <f>AS40+AT40</f>
        <v/>
      </c>
      <c r="AV40" s="23" t="n">
        <v>57.538</v>
      </c>
      <c r="AW40" s="23" t="n">
        <v>50.313</v>
      </c>
      <c r="AX40" s="23" t="n">
        <v>196.461</v>
      </c>
      <c r="BB40" s="23" t="n">
        <v>70.98399999999999</v>
      </c>
      <c r="BD40" s="23" t="n">
        <v>255.504</v>
      </c>
      <c r="BE40" s="23" t="n">
        <v>58.764</v>
      </c>
      <c r="BF40" s="23" t="n">
        <v>57.9</v>
      </c>
      <c r="BG40" s="22">
        <f>BE40+BF40</f>
        <v/>
      </c>
      <c r="BH40" s="23" t="n">
        <v>53.987</v>
      </c>
      <c r="BI40" s="23" t="n">
        <v>54.643</v>
      </c>
      <c r="BJ40" s="23" t="n">
        <v>225.294</v>
      </c>
      <c r="BK40" s="23" t="n">
        <v>64.36</v>
      </c>
      <c r="BL40" s="23" t="n">
        <v>73.629</v>
      </c>
      <c r="BM40" s="22">
        <f>BK40+BL40</f>
        <v/>
      </c>
      <c r="BN40" s="23" t="n">
        <v>94.498</v>
      </c>
      <c r="BO40" s="23" t="n">
        <v>113.641</v>
      </c>
      <c r="BP40" s="23" t="n">
        <v>346.128</v>
      </c>
      <c r="BQ40" s="23" t="n">
        <v>126.408</v>
      </c>
      <c r="BR40" s="23" t="n">
        <v>140.304</v>
      </c>
      <c r="BS40" s="22">
        <f>BQ40+BR40</f>
        <v/>
      </c>
      <c r="BT40" s="23" t="n">
        <v>157.236</v>
      </c>
      <c r="BU40" s="23" t="n">
        <v>161.255</v>
      </c>
      <c r="BV40" s="23" t="n">
        <v>585.203</v>
      </c>
      <c r="BW40" s="23" t="n">
        <v>151.112</v>
      </c>
      <c r="BX40" s="23" t="n">
        <v>154.727</v>
      </c>
      <c r="BY40" s="22">
        <f>BW40+BX40</f>
        <v/>
      </c>
      <c r="BZ40" s="23" t="n">
        <v>159.443</v>
      </c>
      <c r="CA40" s="23" t="n">
        <v>149.216</v>
      </c>
      <c r="CB40" s="23" t="n">
        <v>614.498</v>
      </c>
      <c r="CC40" s="23" t="n">
        <v>147.896</v>
      </c>
      <c r="CD40" s="23" t="n">
        <v>146.819</v>
      </c>
      <c r="CE40" s="22">
        <f>CC40+CD40</f>
        <v/>
      </c>
      <c r="CF40" s="23" t="n">
        <v>162.881</v>
      </c>
      <c r="CG40" s="23" t="n">
        <v>161.891</v>
      </c>
      <c r="CH40" s="23" t="n">
        <v>619.487</v>
      </c>
      <c r="CI40" s="23" t="n">
        <v>138.178</v>
      </c>
      <c r="CJ40" s="23" t="n">
        <v>147.707</v>
      </c>
      <c r="CK40" s="22">
        <f>CI40+CJ40</f>
        <v/>
      </c>
      <c r="CL40" s="23" t="n">
        <v>169.714</v>
      </c>
      <c r="CM40" s="23" t="n">
        <v>147.398</v>
      </c>
      <c r="CN40" s="23" t="n">
        <v>602.997</v>
      </c>
    </row>
    <row r="41">
      <c r="B41" s="6" t="inlineStr">
        <is>
          <t>Gross profit</t>
        </is>
      </c>
      <c r="D41" s="26">
        <f>D38-D39-D40</f>
        <v/>
      </c>
      <c r="E41" s="26">
        <f>E38-E39-E40</f>
        <v/>
      </c>
      <c r="F41" s="26">
        <f>F38-F39-F40</f>
        <v/>
      </c>
      <c r="H41" s="26">
        <f>H38-H39-H40</f>
        <v/>
      </c>
      <c r="I41" s="26">
        <f>I38-I39-I40</f>
        <v/>
      </c>
      <c r="J41" s="26">
        <f>J38-J39-J40</f>
        <v/>
      </c>
      <c r="K41" s="26">
        <f>K38-K39-K40</f>
        <v/>
      </c>
      <c r="L41" s="26">
        <f>L38-L39-L40</f>
        <v/>
      </c>
      <c r="N41" s="26">
        <f>N38-N39-N40</f>
        <v/>
      </c>
      <c r="O41" s="26">
        <f>O38-O39-O40</f>
        <v/>
      </c>
      <c r="P41" s="26">
        <f>P38-P39-P40</f>
        <v/>
      </c>
      <c r="Q41" s="26">
        <f>Q38-Q39-Q40</f>
        <v/>
      </c>
      <c r="R41" s="26">
        <f>R38-R39-R40</f>
        <v/>
      </c>
      <c r="S41" s="26">
        <f>S38-S39-S40</f>
        <v/>
      </c>
      <c r="T41" s="26">
        <f>T38-T39-T40</f>
        <v/>
      </c>
      <c r="U41" s="26">
        <f>U38-U39-U40</f>
        <v/>
      </c>
      <c r="V41" s="26">
        <f>V38-V39-V40</f>
        <v/>
      </c>
      <c r="W41" s="26">
        <f>W38-W39-W40</f>
        <v/>
      </c>
      <c r="X41" s="26">
        <f>X38-X39-X40</f>
        <v/>
      </c>
      <c r="Y41" s="26">
        <f>Y38-Y39-Y40</f>
        <v/>
      </c>
      <c r="Z41" s="26">
        <f>Z38-Z39-Z40</f>
        <v/>
      </c>
      <c r="AA41" s="26">
        <f>AA38-AA39-AA40</f>
        <v/>
      </c>
      <c r="AB41" s="26">
        <f>AB38-AB39-AB40</f>
        <v/>
      </c>
      <c r="AC41" s="26">
        <f>AC38-AC39-AC40</f>
        <v/>
      </c>
      <c r="AD41" s="26">
        <f>AD38-AD39-AD40</f>
        <v/>
      </c>
      <c r="AE41" s="26">
        <f>AE38-AE39-AE40</f>
        <v/>
      </c>
      <c r="AF41" s="26">
        <f>AF38-AF39-AF40</f>
        <v/>
      </c>
      <c r="AG41" s="26">
        <f>AG38-AG39-AG40</f>
        <v/>
      </c>
      <c r="AH41" s="26">
        <f>AH38-AH39-AH40</f>
        <v/>
      </c>
      <c r="AI41" s="26">
        <f>AI38-AI39-AI40</f>
        <v/>
      </c>
      <c r="AJ41" s="26">
        <f>AJ38-AJ39-AJ40</f>
        <v/>
      </c>
      <c r="AK41" s="26">
        <f>AK38-AK39-AK40</f>
        <v/>
      </c>
      <c r="AL41" s="26">
        <f>AL38-AL39-AL40</f>
        <v/>
      </c>
      <c r="AM41" s="26">
        <f>AM38-AM39-AM40</f>
        <v/>
      </c>
      <c r="AN41" s="26">
        <f>AN38-AN39-AN40</f>
        <v/>
      </c>
      <c r="AO41" s="26">
        <f>AO38-AO39-AO40</f>
        <v/>
      </c>
      <c r="AP41" s="26">
        <f>AP38-AP39-AP40</f>
        <v/>
      </c>
      <c r="AQ41" s="26">
        <f>AQ38-AQ39-AQ40</f>
        <v/>
      </c>
      <c r="AR41" s="26">
        <f>AR38-AR39-AR40</f>
        <v/>
      </c>
      <c r="AS41" s="26">
        <f>AS38-AS39-AS40</f>
        <v/>
      </c>
      <c r="AT41" s="26">
        <f>AT38-AT39-AT40</f>
        <v/>
      </c>
      <c r="AU41" s="26">
        <f>AU38-AU39-AU40</f>
        <v/>
      </c>
      <c r="AV41" s="26">
        <f>AV38-AV39-AV40</f>
        <v/>
      </c>
      <c r="AW41" s="26">
        <f>AW38-AW39-AW40</f>
        <v/>
      </c>
      <c r="AX41" s="26">
        <f>AX38-AX39-AX40</f>
        <v/>
      </c>
      <c r="BB41" s="26">
        <f>BB38-BB39-BB40</f>
        <v/>
      </c>
      <c r="BD41" s="26">
        <f>BD38-BD39-BD40</f>
        <v/>
      </c>
      <c r="BE41" s="26">
        <f>BE38-BE39-BE40</f>
        <v/>
      </c>
      <c r="BF41" s="26">
        <f>BF38-BF39-BF40</f>
        <v/>
      </c>
      <c r="BG41" s="26">
        <f>BG38-BG39-BG40</f>
        <v/>
      </c>
      <c r="BH41" s="26">
        <f>BH38-BH39-BH40</f>
        <v/>
      </c>
      <c r="BI41" s="26">
        <f>BI38-BI39-BI40</f>
        <v/>
      </c>
      <c r="BJ41" s="26">
        <f>BJ38-BJ39-BJ40</f>
        <v/>
      </c>
      <c r="BK41" s="26">
        <f>BK38-BK39-BK40</f>
        <v/>
      </c>
      <c r="BL41" s="26">
        <f>BL38-BL39-BL40</f>
        <v/>
      </c>
      <c r="BM41" s="26">
        <f>BM38-BM39-BM40</f>
        <v/>
      </c>
      <c r="BN41" s="26">
        <f>BN38-BN39-BN40</f>
        <v/>
      </c>
      <c r="BO41" s="26">
        <f>BO38-BO39-BO40</f>
        <v/>
      </c>
      <c r="BP41" s="26">
        <f>BP38-BP39-BP40</f>
        <v/>
      </c>
      <c r="BQ41" s="26">
        <f>BQ38-BQ39-BQ40</f>
        <v/>
      </c>
      <c r="BR41" s="26">
        <f>BR38-BR39-BR40</f>
        <v/>
      </c>
      <c r="BS41" s="26">
        <f>BS38-BS39-BS40</f>
        <v/>
      </c>
      <c r="BT41" s="26">
        <f>BT38-BT39-BT40</f>
        <v/>
      </c>
      <c r="BU41" s="26">
        <f>BU38-BU39-BU40</f>
        <v/>
      </c>
      <c r="BV41" s="26">
        <f>BV38-BV39-BV40</f>
        <v/>
      </c>
      <c r="BW41" s="26">
        <f>BW38-BW39-BW40</f>
        <v/>
      </c>
      <c r="BX41" s="26">
        <f>BX38-BX39-BX40</f>
        <v/>
      </c>
      <c r="BY41" s="26">
        <f>BY38-BY39-BY40</f>
        <v/>
      </c>
      <c r="BZ41" s="26">
        <f>BZ38-BZ39-BZ40</f>
        <v/>
      </c>
      <c r="CA41" s="26">
        <f>CA38-CA39-CA40</f>
        <v/>
      </c>
      <c r="CB41" s="26">
        <f>CB38-CB39-CB40</f>
        <v/>
      </c>
      <c r="CC41" s="26">
        <f>CC38-CC39-CC40</f>
        <v/>
      </c>
      <c r="CD41" s="26">
        <f>CD38-CD39-CD40</f>
        <v/>
      </c>
      <c r="CE41" s="26">
        <f>CE38-CE39-CE40</f>
        <v/>
      </c>
      <c r="CF41" s="26">
        <f>CF38-CF39-CF40</f>
        <v/>
      </c>
      <c r="CG41" s="26">
        <f>CG38-CG39-CG40</f>
        <v/>
      </c>
      <c r="CH41" s="26">
        <f>CH38-CH39-CH40</f>
        <v/>
      </c>
      <c r="CI41" s="26">
        <f>CI38-CI39-CI40</f>
        <v/>
      </c>
      <c r="CJ41" s="26">
        <f>CJ38-CJ39-CJ40</f>
        <v/>
      </c>
      <c r="CK41" s="26">
        <f>CK38-CK39-CK40</f>
        <v/>
      </c>
      <c r="CL41" s="26">
        <f>CL38-CL39-CL40</f>
        <v/>
      </c>
      <c r="CM41" s="26">
        <f>CM38-CM39-CM40</f>
        <v/>
      </c>
      <c r="CN41" s="26">
        <f>CN38-CN39-CN40</f>
        <v/>
      </c>
    </row>
    <row r="42">
      <c r="B42" s="18" t="inlineStr">
        <is>
          <t>General &amp; administrative</t>
        </is>
      </c>
      <c r="D42" s="23" t="n">
        <v>25.71</v>
      </c>
      <c r="E42" s="22">
        <f>C42+D42</f>
        <v/>
      </c>
      <c r="F42" s="23" t="n">
        <v>26.863</v>
      </c>
      <c r="H42" s="23" t="n">
        <v>107.605</v>
      </c>
      <c r="I42" s="23" t="n">
        <v>29.849</v>
      </c>
      <c r="J42" s="23" t="n">
        <v>27.386</v>
      </c>
      <c r="K42" s="22">
        <f>I42+J42</f>
        <v/>
      </c>
      <c r="L42" s="23" t="n">
        <v>27.325</v>
      </c>
      <c r="N42" s="23" t="n">
        <v>114.492</v>
      </c>
      <c r="O42" s="23" t="n">
        <v>31.079</v>
      </c>
      <c r="P42" s="23" t="n">
        <v>34.047</v>
      </c>
      <c r="Q42" s="22">
        <f>O42+P42</f>
        <v/>
      </c>
      <c r="R42" s="23" t="n">
        <v>32.784</v>
      </c>
      <c r="S42" s="23" t="n">
        <v>40.02</v>
      </c>
      <c r="T42" s="23" t="n">
        <v>137.93</v>
      </c>
      <c r="U42" s="23" t="n">
        <v>42.877</v>
      </c>
      <c r="V42" s="23" t="n">
        <v>40.062</v>
      </c>
      <c r="W42" s="22">
        <f>U42+V42</f>
        <v/>
      </c>
      <c r="X42" s="23" t="n">
        <v>40.515</v>
      </c>
      <c r="Y42" s="23" t="n">
        <v>41.081</v>
      </c>
      <c r="Z42" s="23" t="n">
        <v>164.535</v>
      </c>
      <c r="AA42" s="23" t="n">
        <v>39.907</v>
      </c>
      <c r="AB42" s="23" t="n">
        <v>34.399</v>
      </c>
      <c r="AC42" s="22">
        <f>AA42+AB42</f>
        <v/>
      </c>
      <c r="AD42" s="23" t="n">
        <v>32.65</v>
      </c>
      <c r="AE42" s="23" t="n">
        <v>32.019</v>
      </c>
      <c r="AF42" s="23" t="n">
        <v>138.975</v>
      </c>
      <c r="AG42" s="23" t="n">
        <v>34.615</v>
      </c>
      <c r="AH42" s="23" t="n">
        <v>32.529</v>
      </c>
      <c r="AI42" s="22">
        <f>AG42+AH42</f>
        <v/>
      </c>
      <c r="AJ42" s="23" t="n">
        <v>35.699</v>
      </c>
      <c r="AK42" s="23" t="n">
        <v>35.273</v>
      </c>
      <c r="AL42" s="23" t="n">
        <v>138.116</v>
      </c>
      <c r="AM42" s="23" t="n">
        <v>40.469</v>
      </c>
      <c r="AN42" s="23" t="n">
        <v>37.885</v>
      </c>
      <c r="AO42" s="22">
        <f>AM42+AN42</f>
        <v/>
      </c>
      <c r="AP42" s="23" t="n">
        <v>35.717</v>
      </c>
      <c r="AQ42" s="23" t="n">
        <v>37.293</v>
      </c>
      <c r="AR42" s="23" t="n">
        <v>151.364</v>
      </c>
      <c r="AS42" s="23" t="n">
        <v>39.322</v>
      </c>
      <c r="AT42" s="23" t="n">
        <v>40.662</v>
      </c>
      <c r="AU42" s="22">
        <f>AS42+AT42</f>
        <v/>
      </c>
      <c r="AV42" s="23" t="n">
        <v>44.449</v>
      </c>
      <c r="AW42" s="23" t="n">
        <v>52.457</v>
      </c>
      <c r="AX42" s="23" t="n">
        <v>176.89</v>
      </c>
      <c r="AY42" s="23" t="n">
        <v>44.478</v>
      </c>
      <c r="AZ42" s="23" t="n">
        <v>43.487</v>
      </c>
      <c r="BA42" s="22">
        <f>AY42+AZ42</f>
        <v/>
      </c>
      <c r="BB42" s="23" t="n">
        <v>44.085</v>
      </c>
      <c r="BC42" s="23" t="n">
        <v>49.817</v>
      </c>
      <c r="BD42" s="23" t="n">
        <v>181.867</v>
      </c>
      <c r="BE42" s="23" t="n">
        <v>49.478</v>
      </c>
      <c r="BF42" s="23" t="n">
        <v>49.997</v>
      </c>
      <c r="BG42" s="22">
        <f>BE42+BF42</f>
        <v/>
      </c>
      <c r="BH42" s="23" t="n">
        <v>47.512</v>
      </c>
      <c r="BI42" s="23" t="n">
        <v>44.716</v>
      </c>
      <c r="BJ42" s="23" t="n">
        <v>191.703</v>
      </c>
      <c r="BK42" s="23" t="n">
        <v>48.175</v>
      </c>
      <c r="BL42" s="23" t="n">
        <v>49.277</v>
      </c>
      <c r="BM42" s="22">
        <f>BK42+BL42</f>
        <v/>
      </c>
      <c r="BN42" s="23" t="n">
        <v>53.23</v>
      </c>
      <c r="BO42" s="23" t="n">
        <v>55.983</v>
      </c>
      <c r="BP42" s="23" t="n">
        <v>206.665</v>
      </c>
      <c r="BQ42" s="23" t="n">
        <v>54.909</v>
      </c>
      <c r="BR42" s="23" t="n">
        <v>56.014</v>
      </c>
      <c r="BS42" s="22">
        <f>BQ42+BR42</f>
        <v/>
      </c>
      <c r="BT42" s="23" t="n">
        <v>63.522</v>
      </c>
      <c r="BU42" s="23" t="n">
        <v>56.779</v>
      </c>
      <c r="BV42" s="23" t="n">
        <v>231.224</v>
      </c>
      <c r="BW42" s="23" t="n">
        <v>57.98</v>
      </c>
      <c r="BX42" s="23" t="n">
        <v>60.975</v>
      </c>
      <c r="BY42" s="22">
        <f>BW42+BX42</f>
        <v/>
      </c>
      <c r="BZ42" s="23" t="n">
        <v>64.506</v>
      </c>
      <c r="CA42" s="23" t="n">
        <v>66.961</v>
      </c>
      <c r="CB42" s="23" t="n">
        <v>250.422</v>
      </c>
      <c r="CC42" s="23" t="n">
        <v>68.643</v>
      </c>
      <c r="CD42" s="23" t="n">
        <v>84.252</v>
      </c>
      <c r="CE42" s="22">
        <f>CC42+CD42</f>
        <v/>
      </c>
      <c r="CF42" s="23" t="n">
        <v>88.30200000000001</v>
      </c>
      <c r="CG42" s="23" t="n">
        <v>94.032</v>
      </c>
      <c r="CH42" s="23" t="n">
        <v>335.229</v>
      </c>
      <c r="CI42" s="23" t="n">
        <v>105.738</v>
      </c>
      <c r="CJ42" s="23" t="n">
        <v>99.342</v>
      </c>
      <c r="CK42" s="22">
        <f>CI42+CJ42</f>
        <v/>
      </c>
      <c r="CL42" s="23" t="n">
        <v>100.722</v>
      </c>
      <c r="CM42" s="23" t="n">
        <v>97.127</v>
      </c>
      <c r="CN42" s="23" t="n">
        <v>402.929</v>
      </c>
    </row>
    <row r="43">
      <c r="B43" s="6" t="inlineStr">
        <is>
          <t>Operating income</t>
        </is>
      </c>
      <c r="D43" s="26">
        <f>D41-D42</f>
        <v/>
      </c>
      <c r="E43" s="26">
        <f>E41-E42</f>
        <v/>
      </c>
      <c r="F43" s="26">
        <f>F41-F42</f>
        <v/>
      </c>
      <c r="H43" s="26">
        <f>H41-H42</f>
        <v/>
      </c>
      <c r="I43" s="26">
        <f>I41-I42</f>
        <v/>
      </c>
      <c r="J43" s="26">
        <f>J41-J42</f>
        <v/>
      </c>
      <c r="K43" s="26">
        <f>K41-K42</f>
        <v/>
      </c>
      <c r="L43" s="26">
        <f>L41-L42</f>
        <v/>
      </c>
      <c r="N43" s="26">
        <f>N41-N42</f>
        <v/>
      </c>
      <c r="O43" s="26">
        <f>O41-O42</f>
        <v/>
      </c>
      <c r="P43" s="26">
        <f>P41-P42</f>
        <v/>
      </c>
      <c r="Q43" s="26">
        <f>Q41-Q42</f>
        <v/>
      </c>
      <c r="R43" s="26">
        <f>R41-R42</f>
        <v/>
      </c>
      <c r="S43" s="26">
        <f>S41-S42</f>
        <v/>
      </c>
      <c r="T43" s="26">
        <f>T41-T42</f>
        <v/>
      </c>
      <c r="U43" s="26">
        <f>U41-U42</f>
        <v/>
      </c>
      <c r="V43" s="26">
        <f>V41-V42</f>
        <v/>
      </c>
      <c r="W43" s="26">
        <f>W41-W42</f>
        <v/>
      </c>
      <c r="X43" s="26">
        <f>X41-X42</f>
        <v/>
      </c>
      <c r="Y43" s="26">
        <f>Y41-Y42</f>
        <v/>
      </c>
      <c r="Z43" s="26">
        <f>Z41-Z42</f>
        <v/>
      </c>
      <c r="AA43" s="26">
        <f>AA41-AA42</f>
        <v/>
      </c>
      <c r="AB43" s="26">
        <f>AB41-AB42</f>
        <v/>
      </c>
      <c r="AC43" s="26">
        <f>AC41-AC42</f>
        <v/>
      </c>
      <c r="AD43" s="26">
        <f>AD41-AD42</f>
        <v/>
      </c>
      <c r="AE43" s="26">
        <f>AE41-AE42</f>
        <v/>
      </c>
      <c r="AF43" s="26">
        <f>AF41-AF42</f>
        <v/>
      </c>
      <c r="AG43" s="26">
        <f>AG41-AG42</f>
        <v/>
      </c>
      <c r="AH43" s="26">
        <f>AH41-AH42</f>
        <v/>
      </c>
      <c r="AI43" s="26">
        <f>AI41-AI42</f>
        <v/>
      </c>
      <c r="AJ43" s="26">
        <f>AJ41-AJ42</f>
        <v/>
      </c>
      <c r="AK43" s="26">
        <f>AK41-AK42</f>
        <v/>
      </c>
      <c r="AL43" s="26">
        <f>AL41-AL42</f>
        <v/>
      </c>
      <c r="AM43" s="26">
        <f>AM41-AM42</f>
        <v/>
      </c>
      <c r="AN43" s="26">
        <f>AN41-AN42</f>
        <v/>
      </c>
      <c r="AO43" s="26">
        <f>AO41-AO42</f>
        <v/>
      </c>
      <c r="AP43" s="26">
        <f>AP41-AP42</f>
        <v/>
      </c>
      <c r="AQ43" s="26">
        <f>AQ41-AQ42</f>
        <v/>
      </c>
      <c r="AR43" s="26">
        <f>AR41-AR42</f>
        <v/>
      </c>
      <c r="AS43" s="26">
        <f>AS41-AS42</f>
        <v/>
      </c>
      <c r="AT43" s="26">
        <f>AT41-AT42</f>
        <v/>
      </c>
      <c r="AU43" s="26">
        <f>AU41-AU42</f>
        <v/>
      </c>
      <c r="AV43" s="26">
        <f>AV41-AV42</f>
        <v/>
      </c>
      <c r="AW43" s="26">
        <f>AW41-AW42</f>
        <v/>
      </c>
      <c r="AX43" s="26">
        <f>AX41-AX42</f>
        <v/>
      </c>
      <c r="BB43" s="26">
        <f>BB41-BB42</f>
        <v/>
      </c>
      <c r="BD43" s="26">
        <f>BD41-BD42</f>
        <v/>
      </c>
      <c r="BE43" s="26">
        <f>BE41-BE42</f>
        <v/>
      </c>
      <c r="BF43" s="26">
        <f>BF41-BF42</f>
        <v/>
      </c>
      <c r="BG43" s="26">
        <f>BG41-BG42</f>
        <v/>
      </c>
      <c r="BH43" s="26">
        <f>BH41-BH42</f>
        <v/>
      </c>
      <c r="BI43" s="26">
        <f>BI41-BI42</f>
        <v/>
      </c>
      <c r="BJ43" s="26">
        <f>BJ41-BJ42</f>
        <v/>
      </c>
      <c r="BK43" s="26">
        <f>BK41-BK42</f>
        <v/>
      </c>
      <c r="BL43" s="26">
        <f>BL41-BL42</f>
        <v/>
      </c>
      <c r="BM43" s="26">
        <f>BM41-BM42</f>
        <v/>
      </c>
      <c r="BN43" s="26">
        <f>BN41-BN42</f>
        <v/>
      </c>
      <c r="BO43" s="26">
        <f>BO41-BO42</f>
        <v/>
      </c>
      <c r="BP43" s="26">
        <f>BP41-BP42</f>
        <v/>
      </c>
      <c r="BQ43" s="26">
        <f>BQ41-BQ42</f>
        <v/>
      </c>
      <c r="BR43" s="26">
        <f>BR41-BR42</f>
        <v/>
      </c>
      <c r="BS43" s="26">
        <f>BS41-BS42</f>
        <v/>
      </c>
      <c r="BT43" s="26">
        <f>BT41-BT42</f>
        <v/>
      </c>
      <c r="BU43" s="26">
        <f>BU41-BU42</f>
        <v/>
      </c>
      <c r="BV43" s="26">
        <f>BV41-BV42</f>
        <v/>
      </c>
      <c r="BW43" s="26">
        <f>BW41-BW42</f>
        <v/>
      </c>
      <c r="BX43" s="26">
        <f>BX41-BX42</f>
        <v/>
      </c>
      <c r="BY43" s="26">
        <f>BY41-BY42</f>
        <v/>
      </c>
      <c r="BZ43" s="26">
        <f>BZ41-BZ42</f>
        <v/>
      </c>
      <c r="CA43" s="26">
        <f>CA41-CA42</f>
        <v/>
      </c>
      <c r="CB43" s="26">
        <f>CB41-CB42</f>
        <v/>
      </c>
      <c r="CC43" s="26">
        <f>CC41-CC42</f>
        <v/>
      </c>
      <c r="CD43" s="26">
        <f>CD41-CD42</f>
        <v/>
      </c>
      <c r="CE43" s="26">
        <f>CE41-CE42</f>
        <v/>
      </c>
      <c r="CF43" s="26">
        <f>CF41-CF42</f>
        <v/>
      </c>
      <c r="CG43" s="26">
        <f>CG41-CG42</f>
        <v/>
      </c>
      <c r="CH43" s="26">
        <f>CH41-CH42</f>
        <v/>
      </c>
      <c r="CI43" s="26">
        <f>CI41-CI42</f>
        <v/>
      </c>
      <c r="CJ43" s="26">
        <f>CJ41-CJ42</f>
        <v/>
      </c>
      <c r="CK43" s="26">
        <f>CK41-CK42</f>
        <v/>
      </c>
      <c r="CL43" s="26">
        <f>CL41-CL42</f>
        <v/>
      </c>
      <c r="CM43" s="26">
        <f>CM41-CM42</f>
        <v/>
      </c>
      <c r="CN43" s="26">
        <f>CN41-CN42</f>
        <v/>
      </c>
      <c r="CO43" s="28">
        <f>CO31</f>
        <v/>
      </c>
      <c r="CP43" s="28">
        <f>CP31</f>
        <v/>
      </c>
      <c r="CQ43" s="28">
        <f>CQ31</f>
        <v/>
      </c>
      <c r="CR43" s="28">
        <f>CR31</f>
        <v/>
      </c>
      <c r="CS43" s="28">
        <f>CS31</f>
        <v/>
      </c>
      <c r="CU43" s="25">
        <f>IFERROR((CS43/CN43)^(1/5)-1,"n/m")</f>
        <v/>
      </c>
      <c r="CV43" s="25">
        <f>IFERROR((CN43/BJ43)^(1/5)-1,"n/m")</f>
        <v/>
      </c>
      <c r="CW43" s="25">
        <f>IFERROR((CN43/H43)^(1/14)-1,"n/m")</f>
        <v/>
      </c>
    </row>
    <row r="44">
      <c r="B44" s="18" t="inlineStr">
        <is>
          <t>Interest &amp; other income / (expense), net</t>
        </is>
      </c>
      <c r="C44" s="23" t="n">
        <v>0.569</v>
      </c>
      <c r="D44" s="23" t="n">
        <v>0.522</v>
      </c>
      <c r="E44" s="22">
        <f>C44+D44</f>
        <v/>
      </c>
      <c r="F44" s="23" t="n">
        <v>-1.694</v>
      </c>
      <c r="G44" s="23" t="n">
        <v>-0.8110000000000001</v>
      </c>
      <c r="H44" s="23" t="n">
        <v>-1.413</v>
      </c>
      <c r="I44" s="23" t="n">
        <v>-1.561</v>
      </c>
      <c r="J44" s="23" t="n">
        <v>-1.323</v>
      </c>
      <c r="K44" s="22">
        <f>I44+J44</f>
        <v/>
      </c>
      <c r="L44" s="23" t="n">
        <v>-3.397</v>
      </c>
      <c r="N44" s="23" t="n">
        <v>-8.297000000000001</v>
      </c>
      <c r="O44" s="23" t="n">
        <v>-2.769</v>
      </c>
      <c r="P44" s="23" t="n">
        <v>-1.653</v>
      </c>
      <c r="Q44" s="22">
        <f>O44+P44</f>
        <v/>
      </c>
      <c r="R44" s="23" t="n">
        <v>-0.8080000000000001</v>
      </c>
      <c r="S44" s="23" t="n">
        <v>-0.89</v>
      </c>
      <c r="T44" s="23" t="n">
        <v>-6.12</v>
      </c>
      <c r="U44" s="23" t="n">
        <v>-0.714</v>
      </c>
      <c r="V44" s="23" t="n">
        <v>-0.896</v>
      </c>
      <c r="W44" s="22">
        <f>U44+V44</f>
        <v/>
      </c>
      <c r="X44" s="23" t="n">
        <v>-1.315</v>
      </c>
      <c r="Y44" s="23" t="n">
        <v>-1.974</v>
      </c>
      <c r="Z44" s="23" t="n">
        <v>-4.899</v>
      </c>
      <c r="AA44" s="23" t="n">
        <v>-0.178</v>
      </c>
      <c r="AB44" s="23" t="n">
        <v>-0.364</v>
      </c>
      <c r="AC44" s="22">
        <f>AA44+AB44</f>
        <v/>
      </c>
      <c r="AD44" s="23" t="n">
        <v>-6.471</v>
      </c>
      <c r="AE44" s="23" t="n">
        <v>-5.319</v>
      </c>
      <c r="AF44" s="23" t="n">
        <v>-12.332</v>
      </c>
      <c r="AG44" s="23" t="n">
        <v>-4.486</v>
      </c>
      <c r="AH44" s="23" t="n">
        <v>-0.533</v>
      </c>
      <c r="AI44" s="22">
        <f>AG44+AH44</f>
        <v/>
      </c>
      <c r="AJ44" s="23" t="n">
        <v>-5.38</v>
      </c>
      <c r="AK44" s="23" t="n">
        <v>-0.206</v>
      </c>
      <c r="AL44" s="23" t="n">
        <v>-10.605</v>
      </c>
      <c r="AM44" s="23" t="n">
        <v>-2.29</v>
      </c>
      <c r="AN44" s="23" t="n">
        <v>-8.781000000000001</v>
      </c>
      <c r="AO44" s="22">
        <f>AM44+AN44</f>
        <v/>
      </c>
      <c r="AP44" s="23" t="n">
        <v>-5.7</v>
      </c>
      <c r="AQ44" s="23" t="n">
        <v>-4.428</v>
      </c>
      <c r="AR44" s="23" t="n">
        <v>-21.199</v>
      </c>
      <c r="AS44" s="23" t="n">
        <v>-9.814</v>
      </c>
      <c r="AT44" s="23" t="n">
        <v>-6.509</v>
      </c>
      <c r="AU44" s="22">
        <f>AS44+AT44</f>
        <v/>
      </c>
      <c r="AV44" s="23" t="n">
        <v>-3.403</v>
      </c>
      <c r="AW44" s="23" t="n">
        <v>-2.108</v>
      </c>
      <c r="AX44" s="23" t="n">
        <v>-21.834</v>
      </c>
      <c r="AY44" s="23" t="n">
        <v>-2.654</v>
      </c>
      <c r="AZ44" s="23" t="n">
        <v>0.227</v>
      </c>
      <c r="BA44" s="22">
        <f>AY44+AZ44</f>
        <v/>
      </c>
      <c r="BB44" s="23" t="n">
        <v>-3.365</v>
      </c>
      <c r="BC44" s="23" t="n">
        <v>-5.732</v>
      </c>
      <c r="BD44" s="23" t="n">
        <v>-11.524</v>
      </c>
      <c r="BE44" s="23" t="n">
        <v>-3.309</v>
      </c>
      <c r="BF44" s="23" t="n">
        <v>-4.818</v>
      </c>
      <c r="BG44" s="22">
        <f>BE44+BF44</f>
        <v/>
      </c>
      <c r="BH44" s="23" t="n">
        <v>-3.301</v>
      </c>
      <c r="BI44" s="23" t="n">
        <v>-3.832</v>
      </c>
      <c r="BJ44" s="23" t="n">
        <v>-15.26</v>
      </c>
      <c r="BK44" s="23" t="n">
        <v>-1.779</v>
      </c>
      <c r="BL44" s="23" t="n">
        <v>-5.769</v>
      </c>
      <c r="BM44" s="22">
        <f>BK44+BL44</f>
        <v/>
      </c>
      <c r="BN44" s="23" t="n">
        <v>-4.576</v>
      </c>
      <c r="BO44" s="23" t="n">
        <v>-2.456</v>
      </c>
      <c r="BP44" s="23" t="n">
        <v>-14.58</v>
      </c>
      <c r="BQ44" s="23" t="n">
        <v>-4.295</v>
      </c>
      <c r="BR44" s="23" t="n">
        <v>-5.273</v>
      </c>
      <c r="BS44" s="22">
        <f>BQ44+BR44</f>
        <v/>
      </c>
      <c r="BT44" s="23" t="n">
        <v>-3.15</v>
      </c>
      <c r="BU44" s="23" t="n">
        <v>-21.325</v>
      </c>
      <c r="BV44" s="23" t="n">
        <v>-34.043</v>
      </c>
      <c r="BW44" s="23" t="n">
        <v>1.6</v>
      </c>
      <c r="BX44" s="23" t="n">
        <v>11.578</v>
      </c>
      <c r="BY44" s="22">
        <f>BW44+BX44</f>
        <v/>
      </c>
      <c r="BZ44" s="23" t="n">
        <v>21.506</v>
      </c>
      <c r="CA44" s="23" t="n">
        <v>33.075</v>
      </c>
      <c r="CB44" s="23" t="n">
        <v>67.759</v>
      </c>
      <c r="CC44" s="23" t="n">
        <v>27.933</v>
      </c>
      <c r="CD44" s="23" t="n">
        <v>30.853</v>
      </c>
      <c r="CE44" s="22">
        <f>CC44+CD44</f>
        <v/>
      </c>
      <c r="CF44" s="23" t="n">
        <v>34.909</v>
      </c>
      <c r="CG44" s="23" t="n">
        <v>48.883</v>
      </c>
      <c r="CH44" s="23" t="n">
        <v>142.578</v>
      </c>
      <c r="CI44" s="23" t="n">
        <v>44.951</v>
      </c>
      <c r="CJ44" s="23" t="n">
        <v>36.84</v>
      </c>
      <c r="CK44" s="22">
        <f>CI44+CJ44</f>
        <v/>
      </c>
      <c r="CL44" s="23" t="n">
        <v>51.259</v>
      </c>
      <c r="CM44" s="23" t="n">
        <v>65.81699999999999</v>
      </c>
      <c r="CN44" s="23" t="n">
        <v>198.867</v>
      </c>
      <c r="CO44" s="24">
        <f>CO38*CHOOSE(MATCH($CU$2,{"Bull","Base","Bear"},0),$DA$11,$DB$11,$DC$11)</f>
        <v/>
      </c>
      <c r="CP44" s="24">
        <f>CP38*CHOOSE(MATCH($CU$2,{"Bull","Base","Bear"},0),$DA$11,$DB$11,$DC$11)</f>
        <v/>
      </c>
      <c r="CQ44" s="24">
        <f>CQ38*CHOOSE(MATCH($CU$2,{"Bull","Base","Bear"},0),$DA$11,$DB$11,$DC$11)</f>
        <v/>
      </c>
      <c r="CR44" s="24">
        <f>CR38*CHOOSE(MATCH($CU$2,{"Bull","Base","Bear"},0),$DA$11,$DB$11,$DC$11)</f>
        <v/>
      </c>
      <c r="CS44" s="24">
        <f>CS38*CHOOSE(MATCH($CU$2,{"Bull","Base","Bear"},0),$DA$11,$DB$11,$DC$11)</f>
        <v/>
      </c>
    </row>
    <row r="45">
      <c r="B45" s="6" t="inlineStr">
        <is>
          <t>Income before income taxes</t>
        </is>
      </c>
      <c r="D45" s="26">
        <f>D43+D44</f>
        <v/>
      </c>
      <c r="E45" s="26">
        <f>E43+E44</f>
        <v/>
      </c>
      <c r="F45" s="26">
        <f>F43+F44</f>
        <v/>
      </c>
      <c r="H45" s="26">
        <f>H43+H44</f>
        <v/>
      </c>
      <c r="I45" s="26">
        <f>I43+I44</f>
        <v/>
      </c>
      <c r="J45" s="26">
        <f>J43+J44</f>
        <v/>
      </c>
      <c r="K45" s="26">
        <f>K43+K44</f>
        <v/>
      </c>
      <c r="L45" s="26">
        <f>L43+L44</f>
        <v/>
      </c>
      <c r="N45" s="26">
        <f>N43+N44</f>
        <v/>
      </c>
      <c r="O45" s="26">
        <f>O43+O44</f>
        <v/>
      </c>
      <c r="P45" s="26">
        <f>P43+P44</f>
        <v/>
      </c>
      <c r="Q45" s="26">
        <f>Q43+Q44</f>
        <v/>
      </c>
      <c r="R45" s="26">
        <f>R43+R44</f>
        <v/>
      </c>
      <c r="S45" s="26">
        <f>S43+S44</f>
        <v/>
      </c>
      <c r="T45" s="26">
        <f>T43+T44</f>
        <v/>
      </c>
      <c r="U45" s="26">
        <f>U43+U44</f>
        <v/>
      </c>
      <c r="V45" s="26">
        <f>V43+V44</f>
        <v/>
      </c>
      <c r="W45" s="26">
        <f>W43+W44</f>
        <v/>
      </c>
      <c r="X45" s="26">
        <f>X43+X44</f>
        <v/>
      </c>
      <c r="Y45" s="26">
        <f>Y43+Y44</f>
        <v/>
      </c>
      <c r="Z45" s="26">
        <f>Z43+Z44</f>
        <v/>
      </c>
      <c r="AA45" s="26">
        <f>AA43+AA44</f>
        <v/>
      </c>
      <c r="AB45" s="26">
        <f>AB43+AB44</f>
        <v/>
      </c>
      <c r="AC45" s="26">
        <f>AC43+AC44</f>
        <v/>
      </c>
      <c r="AD45" s="26">
        <f>AD43+AD44</f>
        <v/>
      </c>
      <c r="AE45" s="26">
        <f>AE43+AE44</f>
        <v/>
      </c>
      <c r="AF45" s="26">
        <f>AF43+AF44</f>
        <v/>
      </c>
      <c r="AG45" s="26">
        <f>AG43+AG44</f>
        <v/>
      </c>
      <c r="AH45" s="26">
        <f>AH43+AH44</f>
        <v/>
      </c>
      <c r="AI45" s="26">
        <f>AI43+AI44</f>
        <v/>
      </c>
      <c r="AJ45" s="26">
        <f>AJ43+AJ44</f>
        <v/>
      </c>
      <c r="AK45" s="26">
        <f>AK43+AK44</f>
        <v/>
      </c>
      <c r="AL45" s="26">
        <f>AL43+AL44</f>
        <v/>
      </c>
      <c r="AM45" s="26">
        <f>AM43+AM44</f>
        <v/>
      </c>
      <c r="AN45" s="26">
        <f>AN43+AN44</f>
        <v/>
      </c>
      <c r="AO45" s="26">
        <f>AO43+AO44</f>
        <v/>
      </c>
      <c r="AP45" s="26">
        <f>AP43+AP44</f>
        <v/>
      </c>
      <c r="AQ45" s="26">
        <f>AQ43+AQ44</f>
        <v/>
      </c>
      <c r="AR45" s="26">
        <f>AR43+AR44</f>
        <v/>
      </c>
      <c r="AS45" s="26">
        <f>AS43+AS44</f>
        <v/>
      </c>
      <c r="AT45" s="26">
        <f>AT43+AT44</f>
        <v/>
      </c>
      <c r="AU45" s="26">
        <f>AU43+AU44</f>
        <v/>
      </c>
      <c r="AV45" s="26">
        <f>AV43+AV44</f>
        <v/>
      </c>
      <c r="AW45" s="26">
        <f>AW43+AW44</f>
        <v/>
      </c>
      <c r="AX45" s="26">
        <f>AX43+AX44</f>
        <v/>
      </c>
      <c r="BB45" s="26">
        <f>BB43+BB44</f>
        <v/>
      </c>
      <c r="BD45" s="26">
        <f>BD43+BD44</f>
        <v/>
      </c>
      <c r="BE45" s="26">
        <f>BE43+BE44</f>
        <v/>
      </c>
      <c r="BF45" s="26">
        <f>BF43+BF44</f>
        <v/>
      </c>
      <c r="BG45" s="26">
        <f>BG43+BG44</f>
        <v/>
      </c>
      <c r="BH45" s="26">
        <f>BH43+BH44</f>
        <v/>
      </c>
      <c r="BI45" s="26">
        <f>BI43+BI44</f>
        <v/>
      </c>
      <c r="BJ45" s="26">
        <f>BJ43+BJ44</f>
        <v/>
      </c>
      <c r="BK45" s="26">
        <f>BK43+BK44</f>
        <v/>
      </c>
      <c r="BL45" s="26">
        <f>BL43+BL44</f>
        <v/>
      </c>
      <c r="BM45" s="26">
        <f>BM43+BM44</f>
        <v/>
      </c>
      <c r="BN45" s="26">
        <f>BN43+BN44</f>
        <v/>
      </c>
      <c r="BO45" s="26">
        <f>BO43+BO44</f>
        <v/>
      </c>
      <c r="BP45" s="26">
        <f>BP43+BP44</f>
        <v/>
      </c>
      <c r="BQ45" s="26">
        <f>BQ43+BQ44</f>
        <v/>
      </c>
      <c r="BR45" s="26">
        <f>BR43+BR44</f>
        <v/>
      </c>
      <c r="BS45" s="26">
        <f>BS43+BS44</f>
        <v/>
      </c>
      <c r="BT45" s="26">
        <f>BT43+BT44</f>
        <v/>
      </c>
      <c r="BU45" s="26">
        <f>BU43+BU44</f>
        <v/>
      </c>
      <c r="BV45" s="26">
        <f>BV43+BV44</f>
        <v/>
      </c>
      <c r="BW45" s="26">
        <f>BW43+BW44</f>
        <v/>
      </c>
      <c r="BX45" s="26">
        <f>BX43+BX44</f>
        <v/>
      </c>
      <c r="BY45" s="26">
        <f>BY43+BY44</f>
        <v/>
      </c>
      <c r="BZ45" s="26">
        <f>BZ43+BZ44</f>
        <v/>
      </c>
      <c r="CA45" s="26">
        <f>CA43+CA44</f>
        <v/>
      </c>
      <c r="CB45" s="26">
        <f>CB43+CB44</f>
        <v/>
      </c>
      <c r="CC45" s="26">
        <f>CC43+CC44</f>
        <v/>
      </c>
      <c r="CD45" s="26">
        <f>CD43+CD44</f>
        <v/>
      </c>
      <c r="CE45" s="26">
        <f>CE43+CE44</f>
        <v/>
      </c>
      <c r="CF45" s="26">
        <f>CF43+CF44</f>
        <v/>
      </c>
      <c r="CG45" s="26">
        <f>CG43+CG44</f>
        <v/>
      </c>
      <c r="CH45" s="26">
        <f>CH43+CH44</f>
        <v/>
      </c>
      <c r="CI45" s="26">
        <f>CI43+CI44</f>
        <v/>
      </c>
      <c r="CJ45" s="26">
        <f>CJ43+CJ44</f>
        <v/>
      </c>
      <c r="CK45" s="26">
        <f>CK43+CK44</f>
        <v/>
      </c>
      <c r="CL45" s="26">
        <f>CL43+CL44</f>
        <v/>
      </c>
      <c r="CM45" s="26">
        <f>CM43+CM44</f>
        <v/>
      </c>
      <c r="CN45" s="26">
        <f>CN43+CN44</f>
        <v/>
      </c>
      <c r="CO45" s="28">
        <f>CO43+CO44</f>
        <v/>
      </c>
      <c r="CP45" s="28">
        <f>CP43+CP44</f>
        <v/>
      </c>
      <c r="CQ45" s="28">
        <f>CQ43+CQ44</f>
        <v/>
      </c>
      <c r="CR45" s="28">
        <f>CR43+CR44</f>
        <v/>
      </c>
      <c r="CS45" s="28">
        <f>CS43+CS44</f>
        <v/>
      </c>
    </row>
    <row r="46">
      <c r="B46" s="18" t="inlineStr">
        <is>
          <t>Income tax expense</t>
        </is>
      </c>
      <c r="D46" s="23" t="n">
        <v>22.824</v>
      </c>
      <c r="E46" s="22">
        <f>C46+D46</f>
        <v/>
      </c>
      <c r="F46" s="23" t="n">
        <v>30.214</v>
      </c>
      <c r="H46" s="23" t="n">
        <v>97.502</v>
      </c>
      <c r="I46" s="23" t="n">
        <v>22.666</v>
      </c>
      <c r="J46" s="23" t="n">
        <v>21.613</v>
      </c>
      <c r="K46" s="22">
        <f>I46+J46</f>
        <v/>
      </c>
      <c r="L46" s="23" t="n">
        <v>29.076</v>
      </c>
      <c r="N46" s="23" t="n">
        <v>95.937</v>
      </c>
      <c r="O46" s="23" t="n">
        <v>25.743</v>
      </c>
      <c r="P46" s="23" t="n">
        <v>21.477</v>
      </c>
      <c r="Q46" s="22">
        <f>O46+P46</f>
        <v/>
      </c>
      <c r="R46" s="23" t="n">
        <v>28.769</v>
      </c>
      <c r="S46" s="23" t="n">
        <v>20.858</v>
      </c>
      <c r="T46" s="23" t="n">
        <v>96.84699999999999</v>
      </c>
      <c r="U46" s="23" t="n">
        <v>22.823</v>
      </c>
      <c r="V46" s="23" t="n">
        <v>25.243</v>
      </c>
      <c r="W46" s="22">
        <f>U46+V46</f>
        <v/>
      </c>
      <c r="X46" s="23" t="n">
        <v>20.441</v>
      </c>
      <c r="Y46" s="23" t="n">
        <v>22.841</v>
      </c>
      <c r="Z46" s="23" t="n">
        <v>91.348</v>
      </c>
      <c r="AA46" s="23" t="n">
        <v>29.608</v>
      </c>
      <c r="AB46" s="23" t="n">
        <v>27.911</v>
      </c>
      <c r="AC46" s="22">
        <f>AA46+AB46</f>
        <v/>
      </c>
      <c r="AD46" s="23" t="n">
        <v>30.733</v>
      </c>
      <c r="AE46" s="23" t="n">
        <v>24.034</v>
      </c>
      <c r="AF46" s="23" t="n">
        <v>112.286</v>
      </c>
      <c r="AG46" s="23" t="n">
        <v>29.15</v>
      </c>
      <c r="AH46" s="23" t="n">
        <v>32.548</v>
      </c>
      <c r="AI46" s="22">
        <f>AG46+AH46</f>
        <v/>
      </c>
      <c r="AJ46" s="23" t="n">
        <v>41.944</v>
      </c>
      <c r="AK46" s="23" t="n">
        <v>21.863</v>
      </c>
      <c r="AL46" s="23" t="n">
        <v>125.505</v>
      </c>
      <c r="AM46" s="23" t="n">
        <v>-64.746</v>
      </c>
      <c r="AN46" s="23" t="n">
        <v>34.033</v>
      </c>
      <c r="AO46" s="22">
        <f>AM46+AN46</f>
        <v/>
      </c>
      <c r="AP46" s="23" t="n">
        <v>40.542</v>
      </c>
      <c r="AQ46" s="23" t="n">
        <v>36.01</v>
      </c>
      <c r="AR46" s="23" t="n">
        <v>45.839</v>
      </c>
      <c r="AS46" s="23" t="n">
        <v>36.568</v>
      </c>
      <c r="AT46" s="23" t="n">
        <v>41.137</v>
      </c>
      <c r="AU46" s="22">
        <f>AS46+AT46</f>
        <v/>
      </c>
      <c r="AV46" s="23" t="n">
        <v>43.811</v>
      </c>
      <c r="AW46" s="23" t="n">
        <v>22.988</v>
      </c>
      <c r="AX46" s="23" t="n">
        <v>144.504</v>
      </c>
      <c r="AY46" s="23" t="n">
        <v>34.703</v>
      </c>
      <c r="AZ46" s="23" t="n">
        <v>33.593</v>
      </c>
      <c r="BA46" s="22">
        <f>AY46+AZ46</f>
        <v/>
      </c>
      <c r="BB46" s="23" t="n">
        <v>11.388</v>
      </c>
      <c r="BC46" s="23" t="n">
        <v>33.574</v>
      </c>
      <c r="BD46" s="23" t="n">
        <v>113.258</v>
      </c>
      <c r="BE46" s="23" t="n">
        <v>-16.098</v>
      </c>
      <c r="BF46" s="23" t="n">
        <v>36.367</v>
      </c>
      <c r="BG46" s="22">
        <f>BE46+BF46</f>
        <v/>
      </c>
      <c r="BH46" s="23" t="n">
        <v>44.313</v>
      </c>
      <c r="BI46" s="23" t="n">
        <v>36.35</v>
      </c>
      <c r="BJ46" s="23" t="n">
        <v>100.932</v>
      </c>
      <c r="BK46" s="23" t="n">
        <v>46.53</v>
      </c>
      <c r="BL46" s="23" t="n">
        <v>59.012</v>
      </c>
      <c r="BM46" s="22">
        <f>BK46+BL46</f>
        <v/>
      </c>
      <c r="BN46" s="23" t="n">
        <v>36.739</v>
      </c>
      <c r="BO46" s="23" t="n">
        <v>43.07</v>
      </c>
      <c r="BP46" s="23" t="n">
        <v>185.351</v>
      </c>
      <c r="BQ46" s="23" t="n">
        <v>65.46299999999999</v>
      </c>
      <c r="BR46" s="23" t="n">
        <v>54.643</v>
      </c>
      <c r="BS46" s="22">
        <f>BQ46+BR46</f>
        <v/>
      </c>
      <c r="BT46" s="23" t="n">
        <v>90.985</v>
      </c>
      <c r="BU46" s="23" t="n">
        <v>39.733</v>
      </c>
      <c r="BV46" s="23" t="n">
        <v>250.824</v>
      </c>
      <c r="BW46" s="23" t="n">
        <v>67.255</v>
      </c>
      <c r="BX46" s="23" t="n">
        <v>83.426</v>
      </c>
      <c r="BY46" s="22">
        <f>BW46+BX46</f>
        <v/>
      </c>
      <c r="BZ46" s="23" t="n">
        <v>89.999</v>
      </c>
      <c r="CA46" s="23" t="n">
        <v>75.907</v>
      </c>
      <c r="CB46" s="23" t="n">
        <v>316.587</v>
      </c>
      <c r="CC46" s="23" t="n">
        <v>90.777</v>
      </c>
      <c r="CD46" s="23" t="n">
        <v>85.226</v>
      </c>
      <c r="CE46" s="22">
        <f>CC46+CD46</f>
        <v/>
      </c>
      <c r="CF46" s="23" t="n">
        <v>90.002</v>
      </c>
      <c r="CG46" s="23" t="n">
        <v>86.249</v>
      </c>
      <c r="CH46" s="23" t="n">
        <v>352.254</v>
      </c>
      <c r="CI46" s="23" t="n">
        <v>90.142</v>
      </c>
      <c r="CJ46" s="23" t="n">
        <v>76.51000000000001</v>
      </c>
      <c r="CK46" s="22">
        <f>CI46+CJ46</f>
        <v/>
      </c>
      <c r="CL46" s="23" t="n">
        <v>97.46599999999999</v>
      </c>
      <c r="CM46" s="23" t="n">
        <v>83.09999999999999</v>
      </c>
      <c r="CN46" s="23" t="n">
        <v>347.218</v>
      </c>
      <c r="CO46" s="24">
        <f>CO45*CO47</f>
        <v/>
      </c>
      <c r="CP46" s="24">
        <f>CP45*CP47</f>
        <v/>
      </c>
      <c r="CQ46" s="24">
        <f>CQ45*CQ47</f>
        <v/>
      </c>
      <c r="CR46" s="24">
        <f>CR45*CR47</f>
        <v/>
      </c>
      <c r="CS46" s="24">
        <f>CS45*CS47</f>
        <v/>
      </c>
    </row>
    <row r="47">
      <c r="B47" s="18" t="inlineStr">
        <is>
          <t xml:space="preserve">    Effective tax rate</t>
        </is>
      </c>
      <c r="C47" s="29">
        <f>IFERROR(C46/C45,"")</f>
        <v/>
      </c>
      <c r="D47" s="29">
        <f>IFERROR(D46/D45,"")</f>
        <v/>
      </c>
      <c r="E47" s="29">
        <f>IFERROR(E46/E45,"")</f>
        <v/>
      </c>
      <c r="F47" s="29">
        <f>IFERROR(F46/F45,"")</f>
        <v/>
      </c>
      <c r="G47" s="29">
        <f>IFERROR(G46/G45,"")</f>
        <v/>
      </c>
      <c r="H47" s="29">
        <f>IFERROR(H46/H45,"")</f>
        <v/>
      </c>
      <c r="I47" s="29">
        <f>IFERROR(I46/I45,"")</f>
        <v/>
      </c>
      <c r="J47" s="29">
        <f>IFERROR(J46/J45,"")</f>
        <v/>
      </c>
      <c r="K47" s="29">
        <f>IFERROR(K46/K45,"")</f>
        <v/>
      </c>
      <c r="L47" s="29">
        <f>IFERROR(L46/L45,"")</f>
        <v/>
      </c>
      <c r="M47" s="29">
        <f>IFERROR(M46/M45,"")</f>
        <v/>
      </c>
      <c r="N47" s="29">
        <f>IFERROR(N46/N45,"")</f>
        <v/>
      </c>
      <c r="O47" s="29">
        <f>IFERROR(O46/O45,"")</f>
        <v/>
      </c>
      <c r="P47" s="29">
        <f>IFERROR(P46/P45,"")</f>
        <v/>
      </c>
      <c r="Q47" s="29">
        <f>IFERROR(Q46/Q45,"")</f>
        <v/>
      </c>
      <c r="R47" s="29">
        <f>IFERROR(R46/R45,"")</f>
        <v/>
      </c>
      <c r="S47" s="29">
        <f>IFERROR(S46/S45,"")</f>
        <v/>
      </c>
      <c r="T47" s="29">
        <f>IFERROR(T46/T45,"")</f>
        <v/>
      </c>
      <c r="U47" s="29">
        <f>IFERROR(U46/U45,"")</f>
        <v/>
      </c>
      <c r="V47" s="29">
        <f>IFERROR(V46/V45,"")</f>
        <v/>
      </c>
      <c r="W47" s="29">
        <f>IFERROR(W46/W45,"")</f>
        <v/>
      </c>
      <c r="X47" s="29">
        <f>IFERROR(X46/X45,"")</f>
        <v/>
      </c>
      <c r="Y47" s="29">
        <f>IFERROR(Y46/Y45,"")</f>
        <v/>
      </c>
      <c r="Z47" s="29">
        <f>IFERROR(Z46/Z45,"")</f>
        <v/>
      </c>
      <c r="AA47" s="29">
        <f>IFERROR(AA46/AA45,"")</f>
        <v/>
      </c>
      <c r="AB47" s="29">
        <f>IFERROR(AB46/AB45,"")</f>
        <v/>
      </c>
      <c r="AC47" s="29">
        <f>IFERROR(AC46/AC45,"")</f>
        <v/>
      </c>
      <c r="AD47" s="29">
        <f>IFERROR(AD46/AD45,"")</f>
        <v/>
      </c>
      <c r="AE47" s="29">
        <f>IFERROR(AE46/AE45,"")</f>
        <v/>
      </c>
      <c r="AF47" s="29">
        <f>IFERROR(AF46/AF45,"")</f>
        <v/>
      </c>
      <c r="AG47" s="29">
        <f>IFERROR(AG46/AG45,"")</f>
        <v/>
      </c>
      <c r="AH47" s="29">
        <f>IFERROR(AH46/AH45,"")</f>
        <v/>
      </c>
      <c r="AI47" s="29">
        <f>IFERROR(AI46/AI45,"")</f>
        <v/>
      </c>
      <c r="AJ47" s="29">
        <f>IFERROR(AJ46/AJ45,"")</f>
        <v/>
      </c>
      <c r="AK47" s="29">
        <f>IFERROR(AK46/AK45,"")</f>
        <v/>
      </c>
      <c r="AL47" s="29">
        <f>IFERROR(AL46/AL45,"")</f>
        <v/>
      </c>
      <c r="AM47" s="29">
        <f>IFERROR(AM46/AM45,"")</f>
        <v/>
      </c>
      <c r="AN47" s="29">
        <f>IFERROR(AN46/AN45,"")</f>
        <v/>
      </c>
      <c r="AO47" s="29">
        <f>IFERROR(AO46/AO45,"")</f>
        <v/>
      </c>
      <c r="AP47" s="29">
        <f>IFERROR(AP46/AP45,"")</f>
        <v/>
      </c>
      <c r="AQ47" s="29">
        <f>IFERROR(AQ46/AQ45,"")</f>
        <v/>
      </c>
      <c r="AR47" s="29">
        <f>IFERROR(AR46/AR45,"")</f>
        <v/>
      </c>
      <c r="AS47" s="29">
        <f>IFERROR(AS46/AS45,"")</f>
        <v/>
      </c>
      <c r="AT47" s="29">
        <f>IFERROR(AT46/AT45,"")</f>
        <v/>
      </c>
      <c r="AU47" s="29">
        <f>IFERROR(AU46/AU45,"")</f>
        <v/>
      </c>
      <c r="AV47" s="29">
        <f>IFERROR(AV46/AV45,"")</f>
        <v/>
      </c>
      <c r="AW47" s="29">
        <f>IFERROR(AW46/AW45,"")</f>
        <v/>
      </c>
      <c r="AX47" s="29">
        <f>IFERROR(AX46/AX45,"")</f>
        <v/>
      </c>
      <c r="AY47" s="29">
        <f>IFERROR(AY46/AY45,"")</f>
        <v/>
      </c>
      <c r="AZ47" s="29">
        <f>IFERROR(AZ46/AZ45,"")</f>
        <v/>
      </c>
      <c r="BA47" s="29">
        <f>IFERROR(BA46/BA45,"")</f>
        <v/>
      </c>
      <c r="BB47" s="29">
        <f>IFERROR(BB46/BB45,"")</f>
        <v/>
      </c>
      <c r="BC47" s="29">
        <f>IFERROR(BC46/BC45,"")</f>
        <v/>
      </c>
      <c r="BD47" s="29">
        <f>IFERROR(BD46/BD45,"")</f>
        <v/>
      </c>
      <c r="BE47" s="29">
        <f>IFERROR(BE46/BE45,"")</f>
        <v/>
      </c>
      <c r="BF47" s="29">
        <f>IFERROR(BF46/BF45,"")</f>
        <v/>
      </c>
      <c r="BG47" s="29">
        <f>IFERROR(BG46/BG45,"")</f>
        <v/>
      </c>
      <c r="BH47" s="29">
        <f>IFERROR(BH46/BH45,"")</f>
        <v/>
      </c>
      <c r="BI47" s="29">
        <f>IFERROR(BI46/BI45,"")</f>
        <v/>
      </c>
      <c r="BJ47" s="29">
        <f>IFERROR(BJ46/BJ45,"")</f>
        <v/>
      </c>
      <c r="BK47" s="29">
        <f>IFERROR(BK46/BK45,"")</f>
        <v/>
      </c>
      <c r="BL47" s="29">
        <f>IFERROR(BL46/BL45,"")</f>
        <v/>
      </c>
      <c r="BM47" s="29">
        <f>IFERROR(BM46/BM45,"")</f>
        <v/>
      </c>
      <c r="BN47" s="29">
        <f>IFERROR(BN46/BN45,"")</f>
        <v/>
      </c>
      <c r="BO47" s="29">
        <f>IFERROR(BO46/BO45,"")</f>
        <v/>
      </c>
      <c r="BP47" s="29">
        <f>IFERROR(BP46/BP45,"")</f>
        <v/>
      </c>
      <c r="BQ47" s="29">
        <f>IFERROR(BQ46/BQ45,"")</f>
        <v/>
      </c>
      <c r="BR47" s="29">
        <f>IFERROR(BR46/BR45,"")</f>
        <v/>
      </c>
      <c r="BS47" s="29">
        <f>IFERROR(BS46/BS45,"")</f>
        <v/>
      </c>
      <c r="BT47" s="29">
        <f>IFERROR(BT46/BT45,"")</f>
        <v/>
      </c>
      <c r="BU47" s="29">
        <f>IFERROR(BU46/BU45,"")</f>
        <v/>
      </c>
      <c r="BV47" s="29">
        <f>IFERROR(BV46/BV45,"")</f>
        <v/>
      </c>
      <c r="BW47" s="29">
        <f>IFERROR(BW46/BW45,"")</f>
        <v/>
      </c>
      <c r="BX47" s="29">
        <f>IFERROR(BX46/BX45,"")</f>
        <v/>
      </c>
      <c r="BY47" s="29">
        <f>IFERROR(BY46/BY45,"")</f>
        <v/>
      </c>
      <c r="BZ47" s="29">
        <f>IFERROR(BZ46/BZ45,"")</f>
        <v/>
      </c>
      <c r="CA47" s="29">
        <f>IFERROR(CA46/CA45,"")</f>
        <v/>
      </c>
      <c r="CB47" s="29">
        <f>IFERROR(CB46/CB45,"")</f>
        <v/>
      </c>
      <c r="CC47" s="29">
        <f>IFERROR(CC46/CC45,"")</f>
        <v/>
      </c>
      <c r="CD47" s="29">
        <f>IFERROR(CD46/CD45,"")</f>
        <v/>
      </c>
      <c r="CE47" s="29">
        <f>IFERROR(CE46/CE45,"")</f>
        <v/>
      </c>
      <c r="CF47" s="29">
        <f>IFERROR(CF46/CF45,"")</f>
        <v/>
      </c>
      <c r="CG47" s="29">
        <f>IFERROR(CG46/CG45,"")</f>
        <v/>
      </c>
      <c r="CH47" s="29">
        <f>IFERROR(CH46/CH45,"")</f>
        <v/>
      </c>
      <c r="CI47" s="29">
        <f>IFERROR(CI46/CI45,"")</f>
        <v/>
      </c>
      <c r="CJ47" s="29">
        <f>IFERROR(CJ46/CJ45,"")</f>
        <v/>
      </c>
      <c r="CK47" s="29">
        <f>IFERROR(CK46/CK45,"")</f>
        <v/>
      </c>
      <c r="CL47" s="29">
        <f>IFERROR(CL46/CL45,"")</f>
        <v/>
      </c>
      <c r="CM47" s="29">
        <f>IFERROR(CM46/CM45,"")</f>
        <v/>
      </c>
      <c r="CN47" s="29">
        <f>IFERROR(CN46/CN45,"")</f>
        <v/>
      </c>
      <c r="CO47" s="30">
        <f>CHOOSE(MATCH($CU$2,{"Bull","Base","Bear"},0),$DA$12,$DB$12,$DC$12)</f>
        <v/>
      </c>
      <c r="CP47" s="30">
        <f>CHOOSE(MATCH($CU$2,{"Bull","Base","Bear"},0),$DA$12,$DB$12,$DC$12)</f>
        <v/>
      </c>
      <c r="CQ47" s="30">
        <f>CHOOSE(MATCH($CU$2,{"Bull","Base","Bear"},0),$DA$12,$DB$12,$DC$12)</f>
        <v/>
      </c>
      <c r="CR47" s="30">
        <f>CHOOSE(MATCH($CU$2,{"Bull","Base","Bear"},0),$DA$12,$DB$12,$DC$12)</f>
        <v/>
      </c>
      <c r="CS47" s="30">
        <f>CHOOSE(MATCH($CU$2,{"Bull","Base","Bear"},0),$DA$12,$DB$12,$DC$12)</f>
        <v/>
      </c>
    </row>
    <row r="48">
      <c r="B48" s="6" t="inlineStr">
        <is>
          <t>Net income</t>
        </is>
      </c>
      <c r="D48" s="26">
        <f>D45-D46</f>
        <v/>
      </c>
      <c r="E48" s="26">
        <f>E45-E46</f>
        <v/>
      </c>
      <c r="F48" s="26">
        <f>F45-F46</f>
        <v/>
      </c>
      <c r="H48" s="26">
        <f>H45-H46</f>
        <v/>
      </c>
      <c r="I48" s="26">
        <f>I45-I46</f>
        <v/>
      </c>
      <c r="J48" s="26">
        <f>J45-J46</f>
        <v/>
      </c>
      <c r="K48" s="26">
        <f>K45-K46</f>
        <v/>
      </c>
      <c r="L48" s="26">
        <f>L45-L46</f>
        <v/>
      </c>
      <c r="N48" s="26">
        <f>N45-N46</f>
        <v/>
      </c>
      <c r="O48" s="26">
        <f>O45-O46</f>
        <v/>
      </c>
      <c r="P48" s="26">
        <f>P45-P46</f>
        <v/>
      </c>
      <c r="Q48" s="26">
        <f>Q45-Q46</f>
        <v/>
      </c>
      <c r="R48" s="26">
        <f>R45-R46</f>
        <v/>
      </c>
      <c r="S48" s="26">
        <f>S45-S46</f>
        <v/>
      </c>
      <c r="T48" s="26">
        <f>T45-T46</f>
        <v/>
      </c>
      <c r="U48" s="26">
        <f>U45-U46</f>
        <v/>
      </c>
      <c r="V48" s="26">
        <f>V45-V46</f>
        <v/>
      </c>
      <c r="W48" s="26">
        <f>W45-W46</f>
        <v/>
      </c>
      <c r="X48" s="26">
        <f>X45-X46</f>
        <v/>
      </c>
      <c r="Y48" s="26">
        <f>Y45-Y46</f>
        <v/>
      </c>
      <c r="Z48" s="26">
        <f>Z45-Z46</f>
        <v/>
      </c>
      <c r="AA48" s="26">
        <f>AA45-AA46</f>
        <v/>
      </c>
      <c r="AB48" s="26">
        <f>AB45-AB46</f>
        <v/>
      </c>
      <c r="AC48" s="26">
        <f>AC45-AC46</f>
        <v/>
      </c>
      <c r="AD48" s="26">
        <f>AD45-AD46</f>
        <v/>
      </c>
      <c r="AE48" s="26">
        <f>AE45-AE46</f>
        <v/>
      </c>
      <c r="AF48" s="26">
        <f>AF45-AF46</f>
        <v/>
      </c>
      <c r="AG48" s="26">
        <f>AG45-AG46</f>
        <v/>
      </c>
      <c r="AH48" s="26">
        <f>AH45-AH46</f>
        <v/>
      </c>
      <c r="AI48" s="26">
        <f>AI45-AI46</f>
        <v/>
      </c>
      <c r="AJ48" s="26">
        <f>AJ45-AJ46</f>
        <v/>
      </c>
      <c r="AK48" s="26">
        <f>AK45-AK46</f>
        <v/>
      </c>
      <c r="AL48" s="26">
        <f>AL45-AL46</f>
        <v/>
      </c>
      <c r="AM48" s="26">
        <f>AM45-AM46</f>
        <v/>
      </c>
      <c r="AN48" s="26">
        <f>AN45-AN46</f>
        <v/>
      </c>
      <c r="AO48" s="26">
        <f>AO45-AO46</f>
        <v/>
      </c>
      <c r="AP48" s="26">
        <f>AP45-AP46</f>
        <v/>
      </c>
      <c r="AQ48" s="26">
        <f>AQ45-AQ46</f>
        <v/>
      </c>
      <c r="AR48" s="26">
        <f>AR45-AR46</f>
        <v/>
      </c>
      <c r="AS48" s="26">
        <f>AS45-AS46</f>
        <v/>
      </c>
      <c r="AT48" s="26">
        <f>AT45-AT46</f>
        <v/>
      </c>
      <c r="AU48" s="26">
        <f>AU45-AU46</f>
        <v/>
      </c>
      <c r="AV48" s="26">
        <f>AV45-AV46</f>
        <v/>
      </c>
      <c r="AW48" s="26">
        <f>AW45-AW46</f>
        <v/>
      </c>
      <c r="AX48" s="26">
        <f>AX45-AX46</f>
        <v/>
      </c>
      <c r="BB48" s="26">
        <f>BB45-BB46</f>
        <v/>
      </c>
      <c r="BD48" s="26">
        <f>BD45-BD46</f>
        <v/>
      </c>
      <c r="BE48" s="26">
        <f>BE45-BE46</f>
        <v/>
      </c>
      <c r="BF48" s="26">
        <f>BF45-BF46</f>
        <v/>
      </c>
      <c r="BG48" s="26">
        <f>BG45-BG46</f>
        <v/>
      </c>
      <c r="BH48" s="26">
        <f>BH45-BH46</f>
        <v/>
      </c>
      <c r="BI48" s="26">
        <f>BI45-BI46</f>
        <v/>
      </c>
      <c r="BJ48" s="26">
        <f>BJ45-BJ46</f>
        <v/>
      </c>
      <c r="BK48" s="26">
        <f>BK45-BK46</f>
        <v/>
      </c>
      <c r="BL48" s="26">
        <f>BL45-BL46</f>
        <v/>
      </c>
      <c r="BM48" s="26">
        <f>BM45-BM46</f>
        <v/>
      </c>
      <c r="BN48" s="26">
        <f>BN45-BN46</f>
        <v/>
      </c>
      <c r="BO48" s="26">
        <f>BO45-BO46</f>
        <v/>
      </c>
      <c r="BP48" s="26">
        <f>BP45-BP46</f>
        <v/>
      </c>
      <c r="BQ48" s="26">
        <f>BQ45-BQ46</f>
        <v/>
      </c>
      <c r="BR48" s="26">
        <f>BR45-BR46</f>
        <v/>
      </c>
      <c r="BS48" s="26">
        <f>BS45-BS46</f>
        <v/>
      </c>
      <c r="BT48" s="26">
        <f>BT45-BT46</f>
        <v/>
      </c>
      <c r="BU48" s="26">
        <f>BU45-BU46</f>
        <v/>
      </c>
      <c r="BV48" s="26">
        <f>BV45-BV46</f>
        <v/>
      </c>
      <c r="BW48" s="26">
        <f>BW45-BW46</f>
        <v/>
      </c>
      <c r="BX48" s="26">
        <f>BX45-BX46</f>
        <v/>
      </c>
      <c r="BY48" s="26">
        <f>BY45-BY46</f>
        <v/>
      </c>
      <c r="BZ48" s="26">
        <f>BZ45-BZ46</f>
        <v/>
      </c>
      <c r="CA48" s="26">
        <f>CA45-CA46</f>
        <v/>
      </c>
      <c r="CB48" s="26">
        <f>CB45-CB46</f>
        <v/>
      </c>
      <c r="CC48" s="26">
        <f>CC45-CC46</f>
        <v/>
      </c>
      <c r="CD48" s="26">
        <f>CD45-CD46</f>
        <v/>
      </c>
      <c r="CE48" s="26">
        <f>CE45-CE46</f>
        <v/>
      </c>
      <c r="CF48" s="26">
        <f>CF45-CF46</f>
        <v/>
      </c>
      <c r="CG48" s="26">
        <f>CG45-CG46</f>
        <v/>
      </c>
      <c r="CH48" s="26">
        <f>CH45-CH46</f>
        <v/>
      </c>
      <c r="CI48" s="26">
        <f>CI45-CI46</f>
        <v/>
      </c>
      <c r="CJ48" s="26">
        <f>CJ45-CJ46</f>
        <v/>
      </c>
      <c r="CK48" s="26">
        <f>CK45-CK46</f>
        <v/>
      </c>
      <c r="CL48" s="26">
        <f>CL45-CL46</f>
        <v/>
      </c>
      <c r="CM48" s="26">
        <f>CM45-CM46</f>
        <v/>
      </c>
      <c r="CN48" s="26">
        <f>CN45-CN46</f>
        <v/>
      </c>
      <c r="CO48" s="28">
        <f>CO45-CO46</f>
        <v/>
      </c>
      <c r="CP48" s="28">
        <f>CP45-CP46</f>
        <v/>
      </c>
      <c r="CQ48" s="28">
        <f>CQ45-CQ46</f>
        <v/>
      </c>
      <c r="CR48" s="28">
        <f>CR45-CR46</f>
        <v/>
      </c>
      <c r="CS48" s="28">
        <f>CS45-CS46</f>
        <v/>
      </c>
      <c r="CU48" s="25">
        <f>IFERROR((CS48/CN48)^(1/5)-1,"n/m")</f>
        <v/>
      </c>
      <c r="CV48" s="25">
        <f>IFERROR((CN48/BJ48)^(1/5)-1,"n/m")</f>
        <v/>
      </c>
      <c r="CW48" s="25">
        <f>IFERROR((CN48/H48)^(1/14)-1,"n/m")</f>
        <v/>
      </c>
    </row>
    <row r="49">
      <c r="B49" s="18" t="inlineStr">
        <is>
          <t>Weighted-avg shares — diluted (m)</t>
        </is>
      </c>
      <c r="D49" s="23" t="n">
        <v>81.955</v>
      </c>
      <c r="F49" s="23" t="n">
        <v>142.065</v>
      </c>
      <c r="H49" s="23" t="n">
        <v>153.352</v>
      </c>
      <c r="I49" s="23" t="n">
        <v>133.802</v>
      </c>
      <c r="J49" s="23" t="n">
        <v>131.59</v>
      </c>
      <c r="L49" s="23" t="n">
        <v>130.451</v>
      </c>
      <c r="N49" s="23" t="n">
        <v>0.131428</v>
      </c>
      <c r="O49" s="23" t="n">
        <v>128.473</v>
      </c>
      <c r="P49" s="23" t="n">
        <v>129.52</v>
      </c>
      <c r="R49" s="23" t="n">
        <v>0.13053</v>
      </c>
      <c r="S49" s="23" t="n">
        <v>-128.34253</v>
      </c>
      <c r="T49" s="23" t="n">
        <v>129.781</v>
      </c>
      <c r="U49" s="23" t="n">
        <v>0.130706</v>
      </c>
      <c r="V49" s="23" t="n">
        <v>131.101</v>
      </c>
      <c r="X49" s="23" t="n">
        <v>131.486</v>
      </c>
      <c r="Y49" s="23" t="n">
        <v>-131.487706</v>
      </c>
      <c r="Z49" s="23" t="n">
        <v>131.23</v>
      </c>
      <c r="AA49" s="23" t="n">
        <v>131.517</v>
      </c>
      <c r="AB49" s="23" t="n">
        <v>131.872</v>
      </c>
      <c r="AD49" s="23" t="n">
        <v>132.124</v>
      </c>
      <c r="AE49" s="23" t="n">
        <v>-132.662</v>
      </c>
      <c r="AF49" s="23" t="n">
        <v>262.851</v>
      </c>
      <c r="AG49" s="23" t="n">
        <v>127.144</v>
      </c>
      <c r="AH49" s="23" t="n">
        <v>124.612</v>
      </c>
      <c r="AJ49" s="23" t="n">
        <v>236.412</v>
      </c>
      <c r="AK49" s="23" t="n">
        <v>-243.873</v>
      </c>
      <c r="AL49" s="23" t="n">
        <v>244.295</v>
      </c>
      <c r="AM49" s="23" t="n">
        <v>237.758</v>
      </c>
      <c r="AN49" s="23" t="n">
        <v>235.588</v>
      </c>
      <c r="AP49" s="23" t="n">
        <v>237.135</v>
      </c>
      <c r="AQ49" s="23" t="n">
        <v>-473.462</v>
      </c>
      <c r="AR49" s="23" t="n">
        <v>237.019</v>
      </c>
      <c r="AS49" s="23" t="n">
        <v>238.791</v>
      </c>
      <c r="AT49" s="23" t="n">
        <v>241.36</v>
      </c>
      <c r="AV49" s="23" t="n">
        <v>242.96</v>
      </c>
      <c r="AW49" s="23" t="n">
        <v>-481.234</v>
      </c>
      <c r="AX49" s="23" t="n">
        <v>241.877</v>
      </c>
      <c r="AY49" s="23" t="n">
        <v>244.826</v>
      </c>
      <c r="AZ49" s="23" t="n">
        <v>240.66</v>
      </c>
      <c r="BB49" s="23" t="n">
        <v>237.892</v>
      </c>
      <c r="BC49" s="23" t="n">
        <v>-482.925</v>
      </c>
      <c r="BD49" s="23" t="n">
        <v>240.453</v>
      </c>
      <c r="BE49" s="23" t="n">
        <v>238.662</v>
      </c>
      <c r="BF49" s="23" t="n">
        <v>238.47</v>
      </c>
      <c r="BH49" s="23" t="n">
        <v>238.591</v>
      </c>
      <c r="BI49" s="23" t="n">
        <v>-477.067</v>
      </c>
      <c r="BJ49" s="23" t="n">
        <v>238.656</v>
      </c>
      <c r="BK49" s="23" t="n">
        <v>239.968</v>
      </c>
      <c r="BL49" s="23" t="n">
        <v>240.28</v>
      </c>
      <c r="BN49" s="23" t="n">
        <v>240.208</v>
      </c>
      <c r="BO49" s="23" t="n">
        <v>240.704</v>
      </c>
      <c r="BP49" s="23" t="n">
        <v>961.16</v>
      </c>
      <c r="BQ49" s="23" t="n">
        <v>482.442</v>
      </c>
      <c r="BR49" s="23" t="n">
        <v>482.374</v>
      </c>
      <c r="BT49" s="23" t="n">
        <v>481.448</v>
      </c>
      <c r="BU49" s="23" t="n">
        <v>-481.66</v>
      </c>
      <c r="BV49" s="23" t="n">
        <v>964.604</v>
      </c>
      <c r="BW49" s="23" t="n">
        <v>964.336</v>
      </c>
      <c r="BX49" s="23" t="n">
        <v>965.072</v>
      </c>
      <c r="BZ49" s="23" t="n">
        <v>967.38</v>
      </c>
      <c r="CA49" s="23" t="n">
        <v>-1930.141</v>
      </c>
      <c r="CB49" s="23" t="n">
        <v>966.647</v>
      </c>
      <c r="CC49" s="23" t="n">
        <v>971.682</v>
      </c>
      <c r="CD49" s="23" t="n">
        <v>974.5890000000001</v>
      </c>
      <c r="CF49" s="23" t="n">
        <v>976.4450000000001</v>
      </c>
      <c r="CG49" s="23" t="n">
        <v>-1947.918</v>
      </c>
      <c r="CH49" s="23" t="n">
        <v>974.798</v>
      </c>
      <c r="CI49" s="23" t="n">
        <v>976.506</v>
      </c>
      <c r="CJ49" s="23" t="n">
        <v>977.91</v>
      </c>
      <c r="CL49" s="23" t="n">
        <v>978.0890000000001</v>
      </c>
      <c r="CM49" s="23" t="n">
        <v>-1954.942</v>
      </c>
      <c r="CN49" s="23" t="n">
        <v>977.563</v>
      </c>
      <c r="CO49" s="24">
        <f>CN49*(1-CHOOSE(MATCH($CU$2,{"Bull","Base","Bear"},0),$DA$17,$DB$17,$DC$17))</f>
        <v/>
      </c>
      <c r="CP49" s="24">
        <f>CO49*(1-CHOOSE(MATCH($CU$2,{"Bull","Base","Bear"},0),$DA$17,$DB$17,$DC$17))</f>
        <v/>
      </c>
      <c r="CQ49" s="24">
        <f>CP49*(1-CHOOSE(MATCH($CU$2,{"Bull","Base","Bear"},0),$DA$17,$DB$17,$DC$17))</f>
        <v/>
      </c>
      <c r="CR49" s="24">
        <f>CQ49*(1-CHOOSE(MATCH($CU$2,{"Bull","Base","Bear"},0),$DA$17,$DB$17,$DC$17))</f>
        <v/>
      </c>
      <c r="CS49" s="24">
        <f>CR49*(1-CHOOSE(MATCH($CU$2,{"Bull","Base","Bear"},0),$DA$17,$DB$17,$DC$17))</f>
        <v/>
      </c>
    </row>
    <row r="50">
      <c r="B50" s="18" t="inlineStr">
        <is>
          <t>Weighted-avg shares — basic (m)</t>
        </is>
      </c>
      <c r="D50" s="23" t="n">
        <v>81.23999999999999</v>
      </c>
      <c r="F50" s="23" t="n">
        <v>139.613</v>
      </c>
      <c r="H50" s="23" t="n">
        <v>151.298</v>
      </c>
      <c r="I50" s="23" t="n">
        <v>131.432</v>
      </c>
      <c r="J50" s="23" t="n">
        <v>128.306</v>
      </c>
      <c r="L50" s="23" t="n">
        <v>126.596</v>
      </c>
      <c r="N50" s="23" t="n">
        <v>0.12812</v>
      </c>
      <c r="O50" s="23" t="n">
        <v>124.302</v>
      </c>
      <c r="P50" s="23" t="n">
        <v>124.709</v>
      </c>
      <c r="R50" s="23" t="n">
        <v>0.12527</v>
      </c>
      <c r="S50" s="23" t="n">
        <v>-124.22427</v>
      </c>
      <c r="T50" s="23" t="n">
        <v>124.912</v>
      </c>
      <c r="U50" s="23" t="n">
        <v>0.12546</v>
      </c>
      <c r="V50" s="23" t="n">
        <v>125.564</v>
      </c>
      <c r="X50" s="23" t="n">
        <v>125.794</v>
      </c>
      <c r="Y50" s="23" t="n">
        <v>-125.79046</v>
      </c>
      <c r="Z50" s="23" t="n">
        <v>125.693</v>
      </c>
      <c r="AA50" s="23" t="n">
        <v>126.217</v>
      </c>
      <c r="AB50" s="23" t="n">
        <v>126.3</v>
      </c>
      <c r="AD50" s="23" t="n">
        <v>126.415</v>
      </c>
      <c r="AE50" s="23" t="n">
        <v>-127.103</v>
      </c>
      <c r="AF50" s="23" t="n">
        <v>251.829</v>
      </c>
      <c r="AG50" s="23" t="n">
        <v>120.155</v>
      </c>
      <c r="AH50" s="23" t="n">
        <v>117.306</v>
      </c>
      <c r="AJ50" s="23" t="n">
        <v>221.088</v>
      </c>
      <c r="AK50" s="23" t="n">
        <v>-229.703</v>
      </c>
      <c r="AL50" s="23" t="n">
        <v>228.846</v>
      </c>
      <c r="AM50" s="23" t="n">
        <v>225.436</v>
      </c>
      <c r="AN50" s="23" t="n">
        <v>229.142</v>
      </c>
      <c r="AP50" s="23" t="n">
        <v>229.92</v>
      </c>
      <c r="AQ50" s="23" t="n">
        <v>-455.812</v>
      </c>
      <c r="AR50" s="23" t="n">
        <v>228.686</v>
      </c>
      <c r="AS50" s="23" t="n">
        <v>230.694</v>
      </c>
      <c r="AT50" s="23" t="n">
        <v>231.478</v>
      </c>
      <c r="AV50" s="23" t="n">
        <v>232.01</v>
      </c>
      <c r="AW50" s="23" t="n">
        <v>-462.389</v>
      </c>
      <c r="AX50" s="23" t="n">
        <v>231.793</v>
      </c>
      <c r="AY50" s="23" t="n">
        <v>233.888</v>
      </c>
      <c r="AZ50" s="23" t="n">
        <v>230.798</v>
      </c>
      <c r="BB50" s="23" t="n">
        <v>227.984</v>
      </c>
      <c r="BC50" s="23" t="n">
        <v>-462.181</v>
      </c>
      <c r="BD50" s="23" t="n">
        <v>230.489</v>
      </c>
      <c r="BE50" s="23" t="n">
        <v>231.169</v>
      </c>
      <c r="BF50" s="23" t="n">
        <v>232.671</v>
      </c>
      <c r="BH50" s="23" t="n">
        <v>234.133</v>
      </c>
      <c r="BI50" s="23" t="n">
        <v>-464.771</v>
      </c>
      <c r="BJ50" s="23" t="n">
        <v>233.202</v>
      </c>
      <c r="BK50" s="23" t="n">
        <v>235.791</v>
      </c>
      <c r="BL50" s="23" t="n">
        <v>236.152</v>
      </c>
      <c r="BN50" s="23" t="n">
        <v>236.396</v>
      </c>
      <c r="BO50" s="23" t="n">
        <v>236.669</v>
      </c>
      <c r="BP50" s="23" t="n">
        <v>945.008</v>
      </c>
      <c r="BQ50" s="23" t="n">
        <v>474.136</v>
      </c>
      <c r="BR50" s="23" t="n">
        <v>474.372</v>
      </c>
      <c r="BT50" s="23" t="n">
        <v>475.01</v>
      </c>
      <c r="BU50" s="23" t="n">
        <v>-473.842</v>
      </c>
      <c r="BV50" s="23" t="n">
        <v>949.676</v>
      </c>
      <c r="BW50" s="23" t="n">
        <v>952.198</v>
      </c>
      <c r="BX50" s="23" t="n">
        <v>952.752</v>
      </c>
      <c r="BZ50" s="23" t="n">
        <v>953.574</v>
      </c>
      <c r="CA50" s="23" t="n">
        <v>-1904.95</v>
      </c>
      <c r="CB50" s="23" t="n">
        <v>953.574</v>
      </c>
      <c r="CC50" s="23" t="n">
        <v>958.127</v>
      </c>
      <c r="CD50" s="23" t="n">
        <v>960.525</v>
      </c>
      <c r="CF50" s="23" t="n">
        <v>961.813</v>
      </c>
      <c r="CG50" s="23" t="n">
        <v>-1919.726</v>
      </c>
      <c r="CH50" s="23" t="n">
        <v>960.739</v>
      </c>
      <c r="CI50" s="23" t="n">
        <v>963.176</v>
      </c>
      <c r="CJ50" s="23" t="n">
        <v>964.746</v>
      </c>
      <c r="CL50" s="23" t="n">
        <v>966.234</v>
      </c>
      <c r="CM50" s="23" t="n">
        <v>-1928.85</v>
      </c>
      <c r="CN50" s="23" t="n">
        <v>965.306</v>
      </c>
      <c r="CO50" s="24">
        <f>CO49</f>
        <v/>
      </c>
      <c r="CP50" s="24">
        <f>CP49</f>
        <v/>
      </c>
      <c r="CQ50" s="24">
        <f>CQ49</f>
        <v/>
      </c>
      <c r="CR50" s="24">
        <f>CR49</f>
        <v/>
      </c>
      <c r="CS50" s="24">
        <f>CS49</f>
        <v/>
      </c>
    </row>
    <row r="51">
      <c r="B51" s="18" t="inlineStr">
        <is>
          <t>EPS — basic ($)</t>
        </is>
      </c>
      <c r="C51" s="35">
        <f>IFERROR(C48/C50,"")</f>
        <v/>
      </c>
      <c r="D51" s="35">
        <f>IFERROR(D48/D50,"")</f>
        <v/>
      </c>
      <c r="E51" s="35">
        <f>IFERROR(E48/E50,"")</f>
        <v/>
      </c>
      <c r="F51" s="35">
        <f>IFERROR(F48/F50,"")</f>
        <v/>
      </c>
      <c r="G51" s="35">
        <f>IFERROR(G48/G50,"")</f>
        <v/>
      </c>
      <c r="H51" s="35">
        <f>IFERROR(H48/H50,"")</f>
        <v/>
      </c>
      <c r="I51" s="35">
        <f>IFERROR(I48/I50,"")</f>
        <v/>
      </c>
      <c r="J51" s="35">
        <f>IFERROR(J48/J50,"")</f>
        <v/>
      </c>
      <c r="K51" s="35">
        <f>IFERROR(K48/K50,"")</f>
        <v/>
      </c>
      <c r="L51" s="35">
        <f>IFERROR(L48/L50,"")</f>
        <v/>
      </c>
      <c r="M51" s="35">
        <f>IFERROR(M48/M50,"")</f>
        <v/>
      </c>
      <c r="N51" s="35">
        <f>IFERROR(N48/N50,"")</f>
        <v/>
      </c>
      <c r="O51" s="35">
        <f>IFERROR(O48/O50,"")</f>
        <v/>
      </c>
      <c r="P51" s="35">
        <f>IFERROR(P48/P50,"")</f>
        <v/>
      </c>
      <c r="Q51" s="35">
        <f>IFERROR(Q48/Q50,"")</f>
        <v/>
      </c>
      <c r="R51" s="35">
        <f>IFERROR(R48/R50,"")</f>
        <v/>
      </c>
      <c r="S51" s="35">
        <f>IFERROR(S48/S50,"")</f>
        <v/>
      </c>
      <c r="T51" s="35">
        <f>IFERROR(T48/T50,"")</f>
        <v/>
      </c>
      <c r="U51" s="35">
        <f>IFERROR(U48/U50,"")</f>
        <v/>
      </c>
      <c r="V51" s="35">
        <f>IFERROR(V48/V50,"")</f>
        <v/>
      </c>
      <c r="W51" s="35">
        <f>IFERROR(W48/W50,"")</f>
        <v/>
      </c>
      <c r="X51" s="35">
        <f>IFERROR(X48/X50,"")</f>
        <v/>
      </c>
      <c r="Y51" s="35">
        <f>IFERROR(Y48/Y50,"")</f>
        <v/>
      </c>
      <c r="Z51" s="35">
        <f>IFERROR(Z48/Z50,"")</f>
        <v/>
      </c>
      <c r="AA51" s="35">
        <f>IFERROR(AA48/AA50,"")</f>
        <v/>
      </c>
      <c r="AB51" s="35">
        <f>IFERROR(AB48/AB50,"")</f>
        <v/>
      </c>
      <c r="AC51" s="35">
        <f>IFERROR(AC48/AC50,"")</f>
        <v/>
      </c>
      <c r="AD51" s="35">
        <f>IFERROR(AD48/AD50,"")</f>
        <v/>
      </c>
      <c r="AE51" s="35">
        <f>IFERROR(AE48/AE50,"")</f>
        <v/>
      </c>
      <c r="AF51" s="35">
        <f>IFERROR(AF48/AF50,"")</f>
        <v/>
      </c>
      <c r="AG51" s="35">
        <f>IFERROR(AG48/AG50,"")</f>
        <v/>
      </c>
      <c r="AH51" s="35">
        <f>IFERROR(AH48/AH50,"")</f>
        <v/>
      </c>
      <c r="AI51" s="35">
        <f>IFERROR(AI48/AI50,"")</f>
        <v/>
      </c>
      <c r="AJ51" s="35">
        <f>IFERROR(AJ48/AJ50,"")</f>
        <v/>
      </c>
      <c r="AK51" s="35">
        <f>IFERROR(AK48/AK50,"")</f>
        <v/>
      </c>
      <c r="AL51" s="35">
        <f>IFERROR(AL48/AL50,"")</f>
        <v/>
      </c>
      <c r="AM51" s="35">
        <f>IFERROR(AM48/AM50,"")</f>
        <v/>
      </c>
      <c r="AN51" s="35">
        <f>IFERROR(AN48/AN50,"")</f>
        <v/>
      </c>
      <c r="AO51" s="35">
        <f>IFERROR(AO48/AO50,"")</f>
        <v/>
      </c>
      <c r="AP51" s="35">
        <f>IFERROR(AP48/AP50,"")</f>
        <v/>
      </c>
      <c r="AQ51" s="35">
        <f>IFERROR(AQ48/AQ50,"")</f>
        <v/>
      </c>
      <c r="AR51" s="35">
        <f>IFERROR(AR48/AR50,"")</f>
        <v/>
      </c>
      <c r="AS51" s="35">
        <f>IFERROR(AS48/AS50,"")</f>
        <v/>
      </c>
      <c r="AT51" s="35">
        <f>IFERROR(AT48/AT50,"")</f>
        <v/>
      </c>
      <c r="AU51" s="35">
        <f>IFERROR(AU48/AU50,"")</f>
        <v/>
      </c>
      <c r="AV51" s="35">
        <f>IFERROR(AV48/AV50,"")</f>
        <v/>
      </c>
      <c r="AW51" s="35">
        <f>IFERROR(AW48/AW50,"")</f>
        <v/>
      </c>
      <c r="AX51" s="35">
        <f>IFERROR(AX48/AX50,"")</f>
        <v/>
      </c>
      <c r="AY51" s="35">
        <f>IFERROR(AY48/AY50,"")</f>
        <v/>
      </c>
      <c r="AZ51" s="35">
        <f>IFERROR(AZ48/AZ50,"")</f>
        <v/>
      </c>
      <c r="BA51" s="35">
        <f>IFERROR(BA48/BA50,"")</f>
        <v/>
      </c>
      <c r="BB51" s="35">
        <f>IFERROR(BB48/BB50,"")</f>
        <v/>
      </c>
      <c r="BC51" s="35">
        <f>IFERROR(BC48/BC50,"")</f>
        <v/>
      </c>
      <c r="BD51" s="35">
        <f>IFERROR(BD48/BD50,"")</f>
        <v/>
      </c>
      <c r="BE51" s="35">
        <f>IFERROR(BE48/BE50,"")</f>
        <v/>
      </c>
      <c r="BF51" s="35">
        <f>IFERROR(BF48/BF50,"")</f>
        <v/>
      </c>
      <c r="BG51" s="35">
        <f>IFERROR(BG48/BG50,"")</f>
        <v/>
      </c>
      <c r="BH51" s="35">
        <f>IFERROR(BH48/BH50,"")</f>
        <v/>
      </c>
      <c r="BI51" s="35">
        <f>IFERROR(BI48/BI50,"")</f>
        <v/>
      </c>
      <c r="BJ51" s="35">
        <f>IFERROR(BJ48/BJ50,"")</f>
        <v/>
      </c>
      <c r="BK51" s="35">
        <f>IFERROR(BK48/BK50,"")</f>
        <v/>
      </c>
      <c r="BL51" s="35">
        <f>IFERROR(BL48/BL50,"")</f>
        <v/>
      </c>
      <c r="BM51" s="35">
        <f>IFERROR(BM48/BM50,"")</f>
        <v/>
      </c>
      <c r="BN51" s="35">
        <f>IFERROR(BN48/BN50,"")</f>
        <v/>
      </c>
      <c r="BO51" s="35">
        <f>IFERROR(BO48/BO50,"")</f>
        <v/>
      </c>
      <c r="BP51" s="35">
        <f>IFERROR(BP48/BP50,"")</f>
        <v/>
      </c>
      <c r="BQ51" s="35">
        <f>IFERROR(BQ48/BQ50,"")</f>
        <v/>
      </c>
      <c r="BR51" s="35">
        <f>IFERROR(BR48/BR50,"")</f>
        <v/>
      </c>
      <c r="BS51" s="35">
        <f>IFERROR(BS48/BS50,"")</f>
        <v/>
      </c>
      <c r="BT51" s="35">
        <f>IFERROR(BT48/BT50,"")</f>
        <v/>
      </c>
      <c r="BU51" s="35">
        <f>IFERROR(BU48/BU50,"")</f>
        <v/>
      </c>
      <c r="BV51" s="35">
        <f>IFERROR(BV48/BV50,"")</f>
        <v/>
      </c>
      <c r="BW51" s="35">
        <f>IFERROR(BW48/BW50,"")</f>
        <v/>
      </c>
      <c r="BX51" s="35">
        <f>IFERROR(BX48/BX50,"")</f>
        <v/>
      </c>
      <c r="BY51" s="35">
        <f>IFERROR(BY48/BY50,"")</f>
        <v/>
      </c>
      <c r="BZ51" s="35">
        <f>IFERROR(BZ48/BZ50,"")</f>
        <v/>
      </c>
      <c r="CA51" s="35">
        <f>IFERROR(CA48/CA50,"")</f>
        <v/>
      </c>
      <c r="CB51" s="35">
        <f>IFERROR(CB48/CB50,"")</f>
        <v/>
      </c>
      <c r="CC51" s="35">
        <f>IFERROR(CC48/CC50,"")</f>
        <v/>
      </c>
      <c r="CD51" s="35">
        <f>IFERROR(CD48/CD50,"")</f>
        <v/>
      </c>
      <c r="CE51" s="35">
        <f>IFERROR(CE48/CE50,"")</f>
        <v/>
      </c>
      <c r="CF51" s="35">
        <f>IFERROR(CF48/CF50,"")</f>
        <v/>
      </c>
      <c r="CG51" s="35">
        <f>IFERROR(CG48/CG50,"")</f>
        <v/>
      </c>
      <c r="CH51" s="35">
        <f>IFERROR(CH48/CH50,"")</f>
        <v/>
      </c>
      <c r="CI51" s="35">
        <f>IFERROR(CI48/CI50,"")</f>
        <v/>
      </c>
      <c r="CJ51" s="35">
        <f>IFERROR(CJ48/CJ50,"")</f>
        <v/>
      </c>
      <c r="CK51" s="35">
        <f>IFERROR(CK48/CK50,"")</f>
        <v/>
      </c>
      <c r="CL51" s="35">
        <f>IFERROR(CL48/CL50,"")</f>
        <v/>
      </c>
      <c r="CM51" s="35">
        <f>IFERROR(CM48/CM50,"")</f>
        <v/>
      </c>
      <c r="CN51" s="35">
        <f>IFERROR(CN48/CN50,"")</f>
        <v/>
      </c>
      <c r="CO51" s="36">
        <f>IFERROR(CO48/CO50,"")</f>
        <v/>
      </c>
      <c r="CP51" s="36">
        <f>IFERROR(CP48/CP50,"")</f>
        <v/>
      </c>
      <c r="CQ51" s="36">
        <f>IFERROR(CQ48/CQ50,"")</f>
        <v/>
      </c>
      <c r="CR51" s="36">
        <f>IFERROR(CR48/CR50,"")</f>
        <v/>
      </c>
      <c r="CS51" s="36">
        <f>IFERROR(CS48/CS50,"")</f>
        <v/>
      </c>
    </row>
    <row r="52">
      <c r="B52" s="6" t="inlineStr">
        <is>
          <t>EPS — diluted ($)</t>
        </is>
      </c>
      <c r="C52" s="37">
        <f>IFERROR(C48/C49,"")</f>
        <v/>
      </c>
      <c r="D52" s="37">
        <f>IFERROR(D48/D49,"")</f>
        <v/>
      </c>
      <c r="E52" s="37">
        <f>IFERROR(E48/E49,"")</f>
        <v/>
      </c>
      <c r="F52" s="37">
        <f>IFERROR(F48/F49,"")</f>
        <v/>
      </c>
      <c r="G52" s="37">
        <f>IFERROR(G48/G49,"")</f>
        <v/>
      </c>
      <c r="H52" s="37">
        <f>IFERROR(H48/H49,"")</f>
        <v/>
      </c>
      <c r="I52" s="37">
        <f>IFERROR(I48/I49,"")</f>
        <v/>
      </c>
      <c r="J52" s="37">
        <f>IFERROR(J48/J49,"")</f>
        <v/>
      </c>
      <c r="K52" s="37">
        <f>IFERROR(K48/K49,"")</f>
        <v/>
      </c>
      <c r="L52" s="37">
        <f>IFERROR(L48/L49,"")</f>
        <v/>
      </c>
      <c r="M52" s="37">
        <f>IFERROR(M48/M49,"")</f>
        <v/>
      </c>
      <c r="N52" s="37">
        <f>IFERROR(N48/N49,"")</f>
        <v/>
      </c>
      <c r="O52" s="37">
        <f>IFERROR(O48/O49,"")</f>
        <v/>
      </c>
      <c r="P52" s="37">
        <f>IFERROR(P48/P49,"")</f>
        <v/>
      </c>
      <c r="Q52" s="37">
        <f>IFERROR(Q48/Q49,"")</f>
        <v/>
      </c>
      <c r="R52" s="37">
        <f>IFERROR(R48/R49,"")</f>
        <v/>
      </c>
      <c r="S52" s="37">
        <f>IFERROR(S48/S49,"")</f>
        <v/>
      </c>
      <c r="T52" s="37">
        <f>IFERROR(T48/T49,"")</f>
        <v/>
      </c>
      <c r="U52" s="37">
        <f>IFERROR(U48/U49,"")</f>
        <v/>
      </c>
      <c r="V52" s="37">
        <f>IFERROR(V48/V49,"")</f>
        <v/>
      </c>
      <c r="W52" s="37">
        <f>IFERROR(W48/W49,"")</f>
        <v/>
      </c>
      <c r="X52" s="37">
        <f>IFERROR(X48/X49,"")</f>
        <v/>
      </c>
      <c r="Y52" s="37">
        <f>IFERROR(Y48/Y49,"")</f>
        <v/>
      </c>
      <c r="Z52" s="37">
        <f>IFERROR(Z48/Z49,"")</f>
        <v/>
      </c>
      <c r="AA52" s="37">
        <f>IFERROR(AA48/AA49,"")</f>
        <v/>
      </c>
      <c r="AB52" s="37">
        <f>IFERROR(AB48/AB49,"")</f>
        <v/>
      </c>
      <c r="AC52" s="37">
        <f>IFERROR(AC48/AC49,"")</f>
        <v/>
      </c>
      <c r="AD52" s="37">
        <f>IFERROR(AD48/AD49,"")</f>
        <v/>
      </c>
      <c r="AE52" s="37">
        <f>IFERROR(AE48/AE49,"")</f>
        <v/>
      </c>
      <c r="AF52" s="37">
        <f>IFERROR(AF48/AF49,"")</f>
        <v/>
      </c>
      <c r="AG52" s="37">
        <f>IFERROR(AG48/AG49,"")</f>
        <v/>
      </c>
      <c r="AH52" s="37">
        <f>IFERROR(AH48/AH49,"")</f>
        <v/>
      </c>
      <c r="AI52" s="37">
        <f>IFERROR(AI48/AI49,"")</f>
        <v/>
      </c>
      <c r="AJ52" s="37">
        <f>IFERROR(AJ48/AJ49,"")</f>
        <v/>
      </c>
      <c r="AK52" s="37">
        <f>IFERROR(AK48/AK49,"")</f>
        <v/>
      </c>
      <c r="AL52" s="37">
        <f>IFERROR(AL48/AL49,"")</f>
        <v/>
      </c>
      <c r="AM52" s="37">
        <f>IFERROR(AM48/AM49,"")</f>
        <v/>
      </c>
      <c r="AN52" s="37">
        <f>IFERROR(AN48/AN49,"")</f>
        <v/>
      </c>
      <c r="AO52" s="37">
        <f>IFERROR(AO48/AO49,"")</f>
        <v/>
      </c>
      <c r="AP52" s="37">
        <f>IFERROR(AP48/AP49,"")</f>
        <v/>
      </c>
      <c r="AQ52" s="37">
        <f>IFERROR(AQ48/AQ49,"")</f>
        <v/>
      </c>
      <c r="AR52" s="37">
        <f>IFERROR(AR48/AR49,"")</f>
        <v/>
      </c>
      <c r="AS52" s="37">
        <f>IFERROR(AS48/AS49,"")</f>
        <v/>
      </c>
      <c r="AT52" s="37">
        <f>IFERROR(AT48/AT49,"")</f>
        <v/>
      </c>
      <c r="AU52" s="37">
        <f>IFERROR(AU48/AU49,"")</f>
        <v/>
      </c>
      <c r="AV52" s="37">
        <f>IFERROR(AV48/AV49,"")</f>
        <v/>
      </c>
      <c r="AW52" s="37">
        <f>IFERROR(AW48/AW49,"")</f>
        <v/>
      </c>
      <c r="AX52" s="37">
        <f>IFERROR(AX48/AX49,"")</f>
        <v/>
      </c>
      <c r="AY52" s="37">
        <f>IFERROR(AY48/AY49,"")</f>
        <v/>
      </c>
      <c r="AZ52" s="37">
        <f>IFERROR(AZ48/AZ49,"")</f>
        <v/>
      </c>
      <c r="BA52" s="37">
        <f>IFERROR(BA48/BA49,"")</f>
        <v/>
      </c>
      <c r="BB52" s="37">
        <f>IFERROR(BB48/BB49,"")</f>
        <v/>
      </c>
      <c r="BC52" s="37">
        <f>IFERROR(BC48/BC49,"")</f>
        <v/>
      </c>
      <c r="BD52" s="37">
        <f>IFERROR(BD48/BD49,"")</f>
        <v/>
      </c>
      <c r="BE52" s="37">
        <f>IFERROR(BE48/BE49,"")</f>
        <v/>
      </c>
      <c r="BF52" s="37">
        <f>IFERROR(BF48/BF49,"")</f>
        <v/>
      </c>
      <c r="BG52" s="37">
        <f>IFERROR(BG48/BG49,"")</f>
        <v/>
      </c>
      <c r="BH52" s="37">
        <f>IFERROR(BH48/BH49,"")</f>
        <v/>
      </c>
      <c r="BI52" s="37">
        <f>IFERROR(BI48/BI49,"")</f>
        <v/>
      </c>
      <c r="BJ52" s="37">
        <f>IFERROR(BJ48/BJ49,"")</f>
        <v/>
      </c>
      <c r="BK52" s="37">
        <f>IFERROR(BK48/BK49,"")</f>
        <v/>
      </c>
      <c r="BL52" s="37">
        <f>IFERROR(BL48/BL49,"")</f>
        <v/>
      </c>
      <c r="BM52" s="37">
        <f>IFERROR(BM48/BM49,"")</f>
        <v/>
      </c>
      <c r="BN52" s="37">
        <f>IFERROR(BN48/BN49,"")</f>
        <v/>
      </c>
      <c r="BO52" s="37">
        <f>IFERROR(BO48/BO49,"")</f>
        <v/>
      </c>
      <c r="BP52" s="37">
        <f>IFERROR(BP48/BP49,"")</f>
        <v/>
      </c>
      <c r="BQ52" s="37">
        <f>IFERROR(BQ48/BQ49,"")</f>
        <v/>
      </c>
      <c r="BR52" s="37">
        <f>IFERROR(BR48/BR49,"")</f>
        <v/>
      </c>
      <c r="BS52" s="37">
        <f>IFERROR(BS48/BS49,"")</f>
        <v/>
      </c>
      <c r="BT52" s="37">
        <f>IFERROR(BT48/BT49,"")</f>
        <v/>
      </c>
      <c r="BU52" s="37">
        <f>IFERROR(BU48/BU49,"")</f>
        <v/>
      </c>
      <c r="BV52" s="37">
        <f>IFERROR(BV48/BV49,"")</f>
        <v/>
      </c>
      <c r="BW52" s="37">
        <f>IFERROR(BW48/BW49,"")</f>
        <v/>
      </c>
      <c r="BX52" s="37">
        <f>IFERROR(BX48/BX49,"")</f>
        <v/>
      </c>
      <c r="BY52" s="37">
        <f>IFERROR(BY48/BY49,"")</f>
        <v/>
      </c>
      <c r="BZ52" s="37">
        <f>IFERROR(BZ48/BZ49,"")</f>
        <v/>
      </c>
      <c r="CA52" s="37">
        <f>IFERROR(CA48/CA49,"")</f>
        <v/>
      </c>
      <c r="CB52" s="37">
        <f>IFERROR(CB48/CB49,"")</f>
        <v/>
      </c>
      <c r="CC52" s="37">
        <f>IFERROR(CC48/CC49,"")</f>
        <v/>
      </c>
      <c r="CD52" s="37">
        <f>IFERROR(CD48/CD49,"")</f>
        <v/>
      </c>
      <c r="CE52" s="37">
        <f>IFERROR(CE48/CE49,"")</f>
        <v/>
      </c>
      <c r="CF52" s="37">
        <f>IFERROR(CF48/CF49,"")</f>
        <v/>
      </c>
      <c r="CG52" s="37">
        <f>IFERROR(CG48/CG49,"")</f>
        <v/>
      </c>
      <c r="CH52" s="37">
        <f>IFERROR(CH48/CH49,"")</f>
        <v/>
      </c>
      <c r="CI52" s="37">
        <f>IFERROR(CI48/CI49,"")</f>
        <v/>
      </c>
      <c r="CJ52" s="37">
        <f>IFERROR(CJ48/CJ49,"")</f>
        <v/>
      </c>
      <c r="CK52" s="37">
        <f>IFERROR(CK48/CK49,"")</f>
        <v/>
      </c>
      <c r="CL52" s="37">
        <f>IFERROR(CL48/CL49,"")</f>
        <v/>
      </c>
      <c r="CM52" s="37">
        <f>IFERROR(CM48/CM49,"")</f>
        <v/>
      </c>
      <c r="CN52" s="37">
        <f>IFERROR(CN48/CN49,"")</f>
        <v/>
      </c>
      <c r="CO52" s="38">
        <f>IFERROR(CO48/CO49,"")</f>
        <v/>
      </c>
      <c r="CP52" s="38">
        <f>IFERROR(CP48/CP49,"")</f>
        <v/>
      </c>
      <c r="CQ52" s="38">
        <f>IFERROR(CQ48/CQ49,"")</f>
        <v/>
      </c>
      <c r="CR52" s="38">
        <f>IFERROR(CR48/CR49,"")</f>
        <v/>
      </c>
      <c r="CS52" s="38">
        <f>IFERROR(CS48/CS49,"")</f>
        <v/>
      </c>
      <c r="CU52" s="25">
        <f>IFERROR((CS52/CN52)^(1/5)-1,"n/m")</f>
        <v/>
      </c>
      <c r="CV52" s="25">
        <f>IFERROR((CN52/BJ52)^(1/5)-1,"n/m")</f>
        <v/>
      </c>
      <c r="CW52" s="25">
        <f>IFERROR((CN52/H52)^(1/14)-1,"n/m")</f>
        <v/>
      </c>
    </row>
    <row r="53">
      <c r="B53" s="11" t="inlineStr">
        <is>
          <t xml:space="preserve">  Note: EPS and share counts are as-reported each period and are NOT retroactively adjusted for Copart's stock splits, so they are not comparable across split dates.</t>
        </is>
      </c>
    </row>
    <row r="55">
      <c r="B55" s="5" t="inlineStr">
        <is>
          <t>GROWTH &amp; MARGINS</t>
        </is>
      </c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2" t="n"/>
      <c r="M55" s="12" t="n"/>
      <c r="N55" s="12" t="n"/>
      <c r="O55" s="12" t="n"/>
      <c r="P55" s="12" t="n"/>
      <c r="Q55" s="12" t="n"/>
      <c r="R55" s="12" t="n"/>
      <c r="S55" s="12" t="n"/>
      <c r="T55" s="12" t="n"/>
      <c r="U55" s="12" t="n"/>
      <c r="V55" s="12" t="n"/>
      <c r="W55" s="12" t="n"/>
      <c r="X55" s="12" t="n"/>
      <c r="Y55" s="12" t="n"/>
      <c r="Z55" s="12" t="n"/>
      <c r="AA55" s="12" t="n"/>
      <c r="AB55" s="12" t="n"/>
      <c r="AC55" s="12" t="n"/>
      <c r="AD55" s="12" t="n"/>
      <c r="AE55" s="12" t="n"/>
      <c r="AF55" s="12" t="n"/>
      <c r="AG55" s="12" t="n"/>
      <c r="AH55" s="12" t="n"/>
      <c r="AI55" s="12" t="n"/>
      <c r="AJ55" s="12" t="n"/>
      <c r="AK55" s="12" t="n"/>
      <c r="AL55" s="12" t="n"/>
      <c r="AM55" s="12" t="n"/>
      <c r="AN55" s="12" t="n"/>
      <c r="AO55" s="12" t="n"/>
      <c r="AP55" s="12" t="n"/>
      <c r="AQ55" s="12" t="n"/>
      <c r="AR55" s="12" t="n"/>
      <c r="AS55" s="12" t="n"/>
      <c r="AT55" s="12" t="n"/>
      <c r="AU55" s="12" t="n"/>
      <c r="AV55" s="12" t="n"/>
      <c r="AW55" s="12" t="n"/>
      <c r="AX55" s="12" t="n"/>
      <c r="AY55" s="12" t="n"/>
      <c r="AZ55" s="12" t="n"/>
      <c r="BA55" s="12" t="n"/>
      <c r="BB55" s="12" t="n"/>
      <c r="BC55" s="12" t="n"/>
      <c r="BD55" s="12" t="n"/>
      <c r="BE55" s="12" t="n"/>
      <c r="BF55" s="12" t="n"/>
      <c r="BG55" s="12" t="n"/>
      <c r="BH55" s="12" t="n"/>
      <c r="BI55" s="12" t="n"/>
      <c r="BJ55" s="12" t="n"/>
      <c r="BK55" s="12" t="n"/>
      <c r="BL55" s="12" t="n"/>
      <c r="BM55" s="12" t="n"/>
      <c r="BN55" s="12" t="n"/>
      <c r="BO55" s="12" t="n"/>
      <c r="BP55" s="12" t="n"/>
      <c r="BQ55" s="12" t="n"/>
      <c r="BR55" s="12" t="n"/>
      <c r="BS55" s="12" t="n"/>
      <c r="BT55" s="12" t="n"/>
      <c r="BU55" s="12" t="n"/>
      <c r="BV55" s="12" t="n"/>
      <c r="BW55" s="12" t="n"/>
      <c r="BX55" s="12" t="n"/>
      <c r="BY55" s="12" t="n"/>
      <c r="BZ55" s="12" t="n"/>
      <c r="CA55" s="12" t="n"/>
      <c r="CB55" s="12" t="n"/>
      <c r="CC55" s="12" t="n"/>
      <c r="CD55" s="12" t="n"/>
      <c r="CE55" s="12" t="n"/>
      <c r="CF55" s="12" t="n"/>
      <c r="CG55" s="12" t="n"/>
      <c r="CH55" s="12" t="n"/>
      <c r="CI55" s="12" t="n"/>
      <c r="CJ55" s="12" t="n"/>
      <c r="CK55" s="12" t="n"/>
      <c r="CL55" s="12" t="n"/>
      <c r="CM55" s="12" t="n"/>
      <c r="CN55" s="12" t="n"/>
      <c r="CO55" s="12" t="n"/>
      <c r="CP55" s="12" t="n"/>
      <c r="CQ55" s="12" t="n"/>
      <c r="CR55" s="12" t="n"/>
      <c r="CS55" s="12" t="n"/>
      <c r="CT55" s="12" t="n"/>
      <c r="CU55" s="12" t="n"/>
      <c r="CV55" s="12" t="n"/>
      <c r="CW55" s="12" t="n"/>
    </row>
    <row r="56">
      <c r="B56" s="31" t="inlineStr">
        <is>
          <t xml:space="preserve">  Revenue y/y %</t>
        </is>
      </c>
      <c r="N56" s="29">
        <f>IFERROR(N38/H38-1,"")</f>
        <v/>
      </c>
      <c r="T56" s="29">
        <f>IFERROR(T38/N38-1,"")</f>
        <v/>
      </c>
      <c r="Z56" s="29">
        <f>IFERROR(Z38/T38-1,"")</f>
        <v/>
      </c>
      <c r="AF56" s="29">
        <f>IFERROR(AF38/Z38-1,"")</f>
        <v/>
      </c>
      <c r="AL56" s="29">
        <f>IFERROR(AL38/AF38-1,"")</f>
        <v/>
      </c>
      <c r="AR56" s="29">
        <f>IFERROR(AR38/AL38-1,"")</f>
        <v/>
      </c>
      <c r="AX56" s="29">
        <f>IFERROR(AX38/AR38-1,"")</f>
        <v/>
      </c>
      <c r="BD56" s="29">
        <f>IFERROR(BD38/AX38-1,"")</f>
        <v/>
      </c>
      <c r="BJ56" s="29">
        <f>IFERROR(BJ38/BD38-1,"")</f>
        <v/>
      </c>
      <c r="BP56" s="29">
        <f>IFERROR(BP38/BJ38-1,"")</f>
        <v/>
      </c>
      <c r="BV56" s="29">
        <f>IFERROR(BV38/BP38-1,"")</f>
        <v/>
      </c>
      <c r="CB56" s="29">
        <f>IFERROR(CB38/BV38-1,"")</f>
        <v/>
      </c>
      <c r="CH56" s="29">
        <f>IFERROR(CH38/CB38-1,"")</f>
        <v/>
      </c>
      <c r="CN56" s="29">
        <f>IFERROR(CN38/CH38-1,"")</f>
        <v/>
      </c>
      <c r="CO56" s="30">
        <f>IFERROR(CO38/CN38-1,"")</f>
        <v/>
      </c>
      <c r="CP56" s="30">
        <f>IFERROR(CP38/CO38-1,"")</f>
        <v/>
      </c>
      <c r="CQ56" s="30">
        <f>IFERROR(CQ38/CP38-1,"")</f>
        <v/>
      </c>
      <c r="CR56" s="30">
        <f>IFERROR(CR38/CQ38-1,"")</f>
        <v/>
      </c>
      <c r="CS56" s="30">
        <f>IFERROR(CS38/CR38-1,"")</f>
        <v/>
      </c>
    </row>
    <row r="57">
      <c r="B57" s="31" t="inlineStr">
        <is>
          <t xml:space="preserve">  Operating income y/y %</t>
        </is>
      </c>
      <c r="N57" s="29">
        <f>IFERROR(N43/H43-1,"")</f>
        <v/>
      </c>
      <c r="T57" s="29">
        <f>IFERROR(T43/N43-1,"")</f>
        <v/>
      </c>
      <c r="Z57" s="29">
        <f>IFERROR(Z43/T43-1,"")</f>
        <v/>
      </c>
      <c r="AF57" s="29">
        <f>IFERROR(AF43/Z43-1,"")</f>
        <v/>
      </c>
      <c r="AL57" s="29">
        <f>IFERROR(AL43/AF43-1,"")</f>
        <v/>
      </c>
      <c r="AR57" s="29">
        <f>IFERROR(AR43/AL43-1,"")</f>
        <v/>
      </c>
      <c r="AX57" s="29">
        <f>IFERROR(AX43/AR43-1,"")</f>
        <v/>
      </c>
      <c r="BD57" s="29">
        <f>IFERROR(BD43/AX43-1,"")</f>
        <v/>
      </c>
      <c r="BJ57" s="29">
        <f>IFERROR(BJ43/BD43-1,"")</f>
        <v/>
      </c>
      <c r="BP57" s="29">
        <f>IFERROR(BP43/BJ43-1,"")</f>
        <v/>
      </c>
      <c r="BV57" s="29">
        <f>IFERROR(BV43/BP43-1,"")</f>
        <v/>
      </c>
      <c r="CB57" s="29">
        <f>IFERROR(CB43/BV43-1,"")</f>
        <v/>
      </c>
      <c r="CH57" s="29">
        <f>IFERROR(CH43/CB43-1,"")</f>
        <v/>
      </c>
      <c r="CN57" s="29">
        <f>IFERROR(CN43/CH43-1,"")</f>
        <v/>
      </c>
      <c r="CO57" s="30">
        <f>IFERROR(CO43/CN43-1,"")</f>
        <v/>
      </c>
      <c r="CP57" s="30">
        <f>IFERROR(CP43/CO43-1,"")</f>
        <v/>
      </c>
      <c r="CQ57" s="30">
        <f>IFERROR(CQ43/CP43-1,"")</f>
        <v/>
      </c>
      <c r="CR57" s="30">
        <f>IFERROR(CR43/CQ43-1,"")</f>
        <v/>
      </c>
      <c r="CS57" s="30">
        <f>IFERROR(CS43/CR43-1,"")</f>
        <v/>
      </c>
    </row>
    <row r="58">
      <c r="B58" s="31" t="inlineStr">
        <is>
          <t xml:space="preserve">  EPS (diluted) y/y %</t>
        </is>
      </c>
      <c r="N58" s="29">
        <f>IFERROR(N52/H52-1,"")</f>
        <v/>
      </c>
      <c r="T58" s="29">
        <f>IFERROR(T52/N52-1,"")</f>
        <v/>
      </c>
      <c r="Z58" s="29">
        <f>IFERROR(Z52/T52-1,"")</f>
        <v/>
      </c>
      <c r="AF58" s="29">
        <f>IFERROR(AF52/Z52-1,"")</f>
        <v/>
      </c>
      <c r="AL58" s="29">
        <f>IFERROR(AL52/AF52-1,"")</f>
        <v/>
      </c>
      <c r="AR58" s="29">
        <f>IFERROR(AR52/AL52-1,"")</f>
        <v/>
      </c>
      <c r="AX58" s="29">
        <f>IFERROR(AX52/AR52-1,"")</f>
        <v/>
      </c>
      <c r="BD58" s="29">
        <f>IFERROR(BD52/AX52-1,"")</f>
        <v/>
      </c>
      <c r="BJ58" s="29">
        <f>IFERROR(BJ52/BD52-1,"")</f>
        <v/>
      </c>
      <c r="BP58" s="29">
        <f>IFERROR(BP52/BJ52-1,"")</f>
        <v/>
      </c>
      <c r="BV58" s="29">
        <f>IFERROR(BV52/BP52-1,"")</f>
        <v/>
      </c>
      <c r="CB58" s="29">
        <f>IFERROR(CB52/BV52-1,"")</f>
        <v/>
      </c>
      <c r="CH58" s="29">
        <f>IFERROR(CH52/CB52-1,"")</f>
        <v/>
      </c>
      <c r="CN58" s="29">
        <f>IFERROR(CN52/CH52-1,"")</f>
        <v/>
      </c>
      <c r="CO58" s="30">
        <f>IFERROR(CO52/CN52-1,"")</f>
        <v/>
      </c>
      <c r="CP58" s="30">
        <f>IFERROR(CP52/CO52-1,"")</f>
        <v/>
      </c>
      <c r="CQ58" s="30">
        <f>IFERROR(CQ52/CP52-1,"")</f>
        <v/>
      </c>
      <c r="CR58" s="30">
        <f>IFERROR(CR52/CQ52-1,"")</f>
        <v/>
      </c>
      <c r="CS58" s="30">
        <f>IFERROR(CS52/CR52-1,"")</f>
        <v/>
      </c>
    </row>
    <row r="59">
      <c r="B59" s="31" t="inlineStr">
        <is>
          <t xml:space="preserve">  Gross margin %</t>
        </is>
      </c>
      <c r="C59" s="29">
        <f>IFERROR(C41/C38,"")</f>
        <v/>
      </c>
      <c r="D59" s="29">
        <f>IFERROR(D41/D38,"")</f>
        <v/>
      </c>
      <c r="E59" s="29">
        <f>IFERROR(E41/E38,"")</f>
        <v/>
      </c>
      <c r="F59" s="29">
        <f>IFERROR(F41/F38,"")</f>
        <v/>
      </c>
      <c r="G59" s="29">
        <f>IFERROR(G41/G38,"")</f>
        <v/>
      </c>
      <c r="H59" s="29">
        <f>IFERROR(H41/H38,"")</f>
        <v/>
      </c>
      <c r="I59" s="29">
        <f>IFERROR(I41/I38,"")</f>
        <v/>
      </c>
      <c r="J59" s="29">
        <f>IFERROR(J41/J38,"")</f>
        <v/>
      </c>
      <c r="K59" s="29">
        <f>IFERROR(K41/K38,"")</f>
        <v/>
      </c>
      <c r="L59" s="29">
        <f>IFERROR(L41/L38,"")</f>
        <v/>
      </c>
      <c r="M59" s="29">
        <f>IFERROR(M41/M38,"")</f>
        <v/>
      </c>
      <c r="N59" s="29">
        <f>IFERROR(N41/N38,"")</f>
        <v/>
      </c>
      <c r="O59" s="29">
        <f>IFERROR(O41/O38,"")</f>
        <v/>
      </c>
      <c r="P59" s="29">
        <f>IFERROR(P41/P38,"")</f>
        <v/>
      </c>
      <c r="Q59" s="29">
        <f>IFERROR(Q41/Q38,"")</f>
        <v/>
      </c>
      <c r="R59" s="29">
        <f>IFERROR(R41/R38,"")</f>
        <v/>
      </c>
      <c r="S59" s="29">
        <f>IFERROR(S41/S38,"")</f>
        <v/>
      </c>
      <c r="T59" s="29">
        <f>IFERROR(T41/T38,"")</f>
        <v/>
      </c>
      <c r="U59" s="29">
        <f>IFERROR(U41/U38,"")</f>
        <v/>
      </c>
      <c r="V59" s="29">
        <f>IFERROR(V41/V38,"")</f>
        <v/>
      </c>
      <c r="W59" s="29">
        <f>IFERROR(W41/W38,"")</f>
        <v/>
      </c>
      <c r="X59" s="29">
        <f>IFERROR(X41/X38,"")</f>
        <v/>
      </c>
      <c r="Y59" s="29">
        <f>IFERROR(Y41/Y38,"")</f>
        <v/>
      </c>
      <c r="Z59" s="29">
        <f>IFERROR(Z41/Z38,"")</f>
        <v/>
      </c>
      <c r="AA59" s="29">
        <f>IFERROR(AA41/AA38,"")</f>
        <v/>
      </c>
      <c r="AB59" s="29">
        <f>IFERROR(AB41/AB38,"")</f>
        <v/>
      </c>
      <c r="AC59" s="29">
        <f>IFERROR(AC41/AC38,"")</f>
        <v/>
      </c>
      <c r="AD59" s="29">
        <f>IFERROR(AD41/AD38,"")</f>
        <v/>
      </c>
      <c r="AE59" s="29">
        <f>IFERROR(AE41/AE38,"")</f>
        <v/>
      </c>
      <c r="AF59" s="29">
        <f>IFERROR(AF41/AF38,"")</f>
        <v/>
      </c>
      <c r="AG59" s="29">
        <f>IFERROR(AG41/AG38,"")</f>
        <v/>
      </c>
      <c r="AH59" s="29">
        <f>IFERROR(AH41/AH38,"")</f>
        <v/>
      </c>
      <c r="AI59" s="29">
        <f>IFERROR(AI41/AI38,"")</f>
        <v/>
      </c>
      <c r="AJ59" s="29">
        <f>IFERROR(AJ41/AJ38,"")</f>
        <v/>
      </c>
      <c r="AK59" s="29">
        <f>IFERROR(AK41/AK38,"")</f>
        <v/>
      </c>
      <c r="AL59" s="29">
        <f>IFERROR(AL41/AL38,"")</f>
        <v/>
      </c>
      <c r="AM59" s="29">
        <f>IFERROR(AM41/AM38,"")</f>
        <v/>
      </c>
      <c r="AN59" s="29">
        <f>IFERROR(AN41/AN38,"")</f>
        <v/>
      </c>
      <c r="AO59" s="29">
        <f>IFERROR(AO41/AO38,"")</f>
        <v/>
      </c>
      <c r="AP59" s="29">
        <f>IFERROR(AP41/AP38,"")</f>
        <v/>
      </c>
      <c r="AQ59" s="29">
        <f>IFERROR(AQ41/AQ38,"")</f>
        <v/>
      </c>
      <c r="AR59" s="29">
        <f>IFERROR(AR41/AR38,"")</f>
        <v/>
      </c>
      <c r="AS59" s="29">
        <f>IFERROR(AS41/AS38,"")</f>
        <v/>
      </c>
      <c r="AT59" s="29">
        <f>IFERROR(AT41/AT38,"")</f>
        <v/>
      </c>
      <c r="AU59" s="29">
        <f>IFERROR(AU41/AU38,"")</f>
        <v/>
      </c>
      <c r="AV59" s="29">
        <f>IFERROR(AV41/AV38,"")</f>
        <v/>
      </c>
      <c r="AW59" s="29">
        <f>IFERROR(AW41/AW38,"")</f>
        <v/>
      </c>
      <c r="AX59" s="29">
        <f>IFERROR(AX41/AX38,"")</f>
        <v/>
      </c>
      <c r="AY59" s="29">
        <f>IFERROR(AY41/AY38,"")</f>
        <v/>
      </c>
      <c r="AZ59" s="29">
        <f>IFERROR(AZ41/AZ38,"")</f>
        <v/>
      </c>
      <c r="BA59" s="29">
        <f>IFERROR(BA41/BA38,"")</f>
        <v/>
      </c>
      <c r="BB59" s="29">
        <f>IFERROR(BB41/BB38,"")</f>
        <v/>
      </c>
      <c r="BC59" s="29">
        <f>IFERROR(BC41/BC38,"")</f>
        <v/>
      </c>
      <c r="BD59" s="29">
        <f>IFERROR(BD41/BD38,"")</f>
        <v/>
      </c>
      <c r="BE59" s="29">
        <f>IFERROR(BE41/BE38,"")</f>
        <v/>
      </c>
      <c r="BF59" s="29">
        <f>IFERROR(BF41/BF38,"")</f>
        <v/>
      </c>
      <c r="BG59" s="29">
        <f>IFERROR(BG41/BG38,"")</f>
        <v/>
      </c>
      <c r="BH59" s="29">
        <f>IFERROR(BH41/BH38,"")</f>
        <v/>
      </c>
      <c r="BI59" s="29">
        <f>IFERROR(BI41/BI38,"")</f>
        <v/>
      </c>
      <c r="BJ59" s="29">
        <f>IFERROR(BJ41/BJ38,"")</f>
        <v/>
      </c>
      <c r="BK59" s="29">
        <f>IFERROR(BK41/BK38,"")</f>
        <v/>
      </c>
      <c r="BL59" s="29">
        <f>IFERROR(BL41/BL38,"")</f>
        <v/>
      </c>
      <c r="BM59" s="29">
        <f>IFERROR(BM41/BM38,"")</f>
        <v/>
      </c>
      <c r="BN59" s="29">
        <f>IFERROR(BN41/BN38,"")</f>
        <v/>
      </c>
      <c r="BO59" s="29">
        <f>IFERROR(BO41/BO38,"")</f>
        <v/>
      </c>
      <c r="BP59" s="29">
        <f>IFERROR(BP41/BP38,"")</f>
        <v/>
      </c>
      <c r="BQ59" s="29">
        <f>IFERROR(BQ41/BQ38,"")</f>
        <v/>
      </c>
      <c r="BR59" s="29">
        <f>IFERROR(BR41/BR38,"")</f>
        <v/>
      </c>
      <c r="BS59" s="29">
        <f>IFERROR(BS41/BS38,"")</f>
        <v/>
      </c>
      <c r="BT59" s="29">
        <f>IFERROR(BT41/BT38,"")</f>
        <v/>
      </c>
      <c r="BU59" s="29">
        <f>IFERROR(BU41/BU38,"")</f>
        <v/>
      </c>
      <c r="BV59" s="29">
        <f>IFERROR(BV41/BV38,"")</f>
        <v/>
      </c>
      <c r="BW59" s="29">
        <f>IFERROR(BW41/BW38,"")</f>
        <v/>
      </c>
      <c r="BX59" s="29">
        <f>IFERROR(BX41/BX38,"")</f>
        <v/>
      </c>
      <c r="BY59" s="29">
        <f>IFERROR(BY41/BY38,"")</f>
        <v/>
      </c>
      <c r="BZ59" s="29">
        <f>IFERROR(BZ41/BZ38,"")</f>
        <v/>
      </c>
      <c r="CA59" s="29">
        <f>IFERROR(CA41/CA38,"")</f>
        <v/>
      </c>
      <c r="CB59" s="29">
        <f>IFERROR(CB41/CB38,"")</f>
        <v/>
      </c>
      <c r="CC59" s="29">
        <f>IFERROR(CC41/CC38,"")</f>
        <v/>
      </c>
      <c r="CD59" s="29">
        <f>IFERROR(CD41/CD38,"")</f>
        <v/>
      </c>
      <c r="CE59" s="29">
        <f>IFERROR(CE41/CE38,"")</f>
        <v/>
      </c>
      <c r="CF59" s="29">
        <f>IFERROR(CF41/CF38,"")</f>
        <v/>
      </c>
      <c r="CG59" s="29">
        <f>IFERROR(CG41/CG38,"")</f>
        <v/>
      </c>
      <c r="CH59" s="29">
        <f>IFERROR(CH41/CH38,"")</f>
        <v/>
      </c>
      <c r="CI59" s="29">
        <f>IFERROR(CI41/CI38,"")</f>
        <v/>
      </c>
      <c r="CJ59" s="29">
        <f>IFERROR(CJ41/CJ38,"")</f>
        <v/>
      </c>
      <c r="CK59" s="29">
        <f>IFERROR(CK41/CK38,"")</f>
        <v/>
      </c>
      <c r="CL59" s="29">
        <f>IFERROR(CL41/CL38,"")</f>
        <v/>
      </c>
      <c r="CM59" s="29">
        <f>IFERROR(CM41/CM38,"")</f>
        <v/>
      </c>
      <c r="CN59" s="29">
        <f>IFERROR(CN41/CN38,"")</f>
        <v/>
      </c>
      <c r="CO59" s="30">
        <f>IFERROR(CO41/CO38,"")</f>
        <v/>
      </c>
      <c r="CP59" s="30">
        <f>IFERROR(CP41/CP38,"")</f>
        <v/>
      </c>
      <c r="CQ59" s="30">
        <f>IFERROR(CQ41/CQ38,"")</f>
        <v/>
      </c>
      <c r="CR59" s="30">
        <f>IFERROR(CR41/CR38,"")</f>
        <v/>
      </c>
      <c r="CS59" s="30">
        <f>IFERROR(CS41/CS38,"")</f>
        <v/>
      </c>
      <c r="CU59" s="25">
        <f>IFERROR(AVERAGE(CO59,CP59,CQ59,CR59,CS59),"n/m")</f>
        <v/>
      </c>
      <c r="CV59" s="25">
        <f>IFERROR(AVERAGE(BP59,BV59,CB59,CH59,CN59),"n/m")</f>
        <v/>
      </c>
      <c r="CW59" s="25">
        <f>IFERROR(AVERAGE(H59,N59,T59,Z59,AF59,AL59,AR59,AX59,BD59,BJ59,BP59,BV59,CB59,CH59,CN59),"n/m")</f>
        <v/>
      </c>
    </row>
    <row r="60">
      <c r="B60" s="31" t="inlineStr">
        <is>
          <t xml:space="preserve">  Operating margin %</t>
        </is>
      </c>
      <c r="C60" s="29">
        <f>IFERROR(C43/C38,"")</f>
        <v/>
      </c>
      <c r="D60" s="29">
        <f>IFERROR(D43/D38,"")</f>
        <v/>
      </c>
      <c r="E60" s="29">
        <f>IFERROR(E43/E38,"")</f>
        <v/>
      </c>
      <c r="F60" s="29">
        <f>IFERROR(F43/F38,"")</f>
        <v/>
      </c>
      <c r="G60" s="29">
        <f>IFERROR(G43/G38,"")</f>
        <v/>
      </c>
      <c r="H60" s="29">
        <f>IFERROR(H43/H38,"")</f>
        <v/>
      </c>
      <c r="I60" s="29">
        <f>IFERROR(I43/I38,"")</f>
        <v/>
      </c>
      <c r="J60" s="29">
        <f>IFERROR(J43/J38,"")</f>
        <v/>
      </c>
      <c r="K60" s="29">
        <f>IFERROR(K43/K38,"")</f>
        <v/>
      </c>
      <c r="L60" s="29">
        <f>IFERROR(L43/L38,"")</f>
        <v/>
      </c>
      <c r="M60" s="29">
        <f>IFERROR(M43/M38,"")</f>
        <v/>
      </c>
      <c r="N60" s="29">
        <f>IFERROR(N43/N38,"")</f>
        <v/>
      </c>
      <c r="O60" s="29">
        <f>IFERROR(O43/O38,"")</f>
        <v/>
      </c>
      <c r="P60" s="29">
        <f>IFERROR(P43/P38,"")</f>
        <v/>
      </c>
      <c r="Q60" s="29">
        <f>IFERROR(Q43/Q38,"")</f>
        <v/>
      </c>
      <c r="R60" s="29">
        <f>IFERROR(R43/R38,"")</f>
        <v/>
      </c>
      <c r="S60" s="29">
        <f>IFERROR(S43/S38,"")</f>
        <v/>
      </c>
      <c r="T60" s="29">
        <f>IFERROR(T43/T38,"")</f>
        <v/>
      </c>
      <c r="U60" s="29">
        <f>IFERROR(U43/U38,"")</f>
        <v/>
      </c>
      <c r="V60" s="29">
        <f>IFERROR(V43/V38,"")</f>
        <v/>
      </c>
      <c r="W60" s="29">
        <f>IFERROR(W43/W38,"")</f>
        <v/>
      </c>
      <c r="X60" s="29">
        <f>IFERROR(X43/X38,"")</f>
        <v/>
      </c>
      <c r="Y60" s="29">
        <f>IFERROR(Y43/Y38,"")</f>
        <v/>
      </c>
      <c r="Z60" s="29">
        <f>IFERROR(Z43/Z38,"")</f>
        <v/>
      </c>
      <c r="AA60" s="29">
        <f>IFERROR(AA43/AA38,"")</f>
        <v/>
      </c>
      <c r="AB60" s="29">
        <f>IFERROR(AB43/AB38,"")</f>
        <v/>
      </c>
      <c r="AC60" s="29">
        <f>IFERROR(AC43/AC38,"")</f>
        <v/>
      </c>
      <c r="AD60" s="29">
        <f>IFERROR(AD43/AD38,"")</f>
        <v/>
      </c>
      <c r="AE60" s="29">
        <f>IFERROR(AE43/AE38,"")</f>
        <v/>
      </c>
      <c r="AF60" s="29">
        <f>IFERROR(AF43/AF38,"")</f>
        <v/>
      </c>
      <c r="AG60" s="29">
        <f>IFERROR(AG43/AG38,"")</f>
        <v/>
      </c>
      <c r="AH60" s="29">
        <f>IFERROR(AH43/AH38,"")</f>
        <v/>
      </c>
      <c r="AI60" s="29">
        <f>IFERROR(AI43/AI38,"")</f>
        <v/>
      </c>
      <c r="AJ60" s="29">
        <f>IFERROR(AJ43/AJ38,"")</f>
        <v/>
      </c>
      <c r="AK60" s="29">
        <f>IFERROR(AK43/AK38,"")</f>
        <v/>
      </c>
      <c r="AL60" s="29">
        <f>IFERROR(AL43/AL38,"")</f>
        <v/>
      </c>
      <c r="AM60" s="29">
        <f>IFERROR(AM43/AM38,"")</f>
        <v/>
      </c>
      <c r="AN60" s="29">
        <f>IFERROR(AN43/AN38,"")</f>
        <v/>
      </c>
      <c r="AO60" s="29">
        <f>IFERROR(AO43/AO38,"")</f>
        <v/>
      </c>
      <c r="AP60" s="29">
        <f>IFERROR(AP43/AP38,"")</f>
        <v/>
      </c>
      <c r="AQ60" s="29">
        <f>IFERROR(AQ43/AQ38,"")</f>
        <v/>
      </c>
      <c r="AR60" s="29">
        <f>IFERROR(AR43/AR38,"")</f>
        <v/>
      </c>
      <c r="AS60" s="29">
        <f>IFERROR(AS43/AS38,"")</f>
        <v/>
      </c>
      <c r="AT60" s="29">
        <f>IFERROR(AT43/AT38,"")</f>
        <v/>
      </c>
      <c r="AU60" s="29">
        <f>IFERROR(AU43/AU38,"")</f>
        <v/>
      </c>
      <c r="AV60" s="29">
        <f>IFERROR(AV43/AV38,"")</f>
        <v/>
      </c>
      <c r="AW60" s="29">
        <f>IFERROR(AW43/AW38,"")</f>
        <v/>
      </c>
      <c r="AX60" s="29">
        <f>IFERROR(AX43/AX38,"")</f>
        <v/>
      </c>
      <c r="AY60" s="29">
        <f>IFERROR(AY43/AY38,"")</f>
        <v/>
      </c>
      <c r="AZ60" s="29">
        <f>IFERROR(AZ43/AZ38,"")</f>
        <v/>
      </c>
      <c r="BA60" s="29">
        <f>IFERROR(BA43/BA38,"")</f>
        <v/>
      </c>
      <c r="BB60" s="29">
        <f>IFERROR(BB43/BB38,"")</f>
        <v/>
      </c>
      <c r="BC60" s="29">
        <f>IFERROR(BC43/BC38,"")</f>
        <v/>
      </c>
      <c r="BD60" s="29">
        <f>IFERROR(BD43/BD38,"")</f>
        <v/>
      </c>
      <c r="BE60" s="29">
        <f>IFERROR(BE43/BE38,"")</f>
        <v/>
      </c>
      <c r="BF60" s="29">
        <f>IFERROR(BF43/BF38,"")</f>
        <v/>
      </c>
      <c r="BG60" s="29">
        <f>IFERROR(BG43/BG38,"")</f>
        <v/>
      </c>
      <c r="BH60" s="29">
        <f>IFERROR(BH43/BH38,"")</f>
        <v/>
      </c>
      <c r="BI60" s="29">
        <f>IFERROR(BI43/BI38,"")</f>
        <v/>
      </c>
      <c r="BJ60" s="29">
        <f>IFERROR(BJ43/BJ38,"")</f>
        <v/>
      </c>
      <c r="BK60" s="29">
        <f>IFERROR(BK43/BK38,"")</f>
        <v/>
      </c>
      <c r="BL60" s="29">
        <f>IFERROR(BL43/BL38,"")</f>
        <v/>
      </c>
      <c r="BM60" s="29">
        <f>IFERROR(BM43/BM38,"")</f>
        <v/>
      </c>
      <c r="BN60" s="29">
        <f>IFERROR(BN43/BN38,"")</f>
        <v/>
      </c>
      <c r="BO60" s="29">
        <f>IFERROR(BO43/BO38,"")</f>
        <v/>
      </c>
      <c r="BP60" s="29">
        <f>IFERROR(BP43/BP38,"")</f>
        <v/>
      </c>
      <c r="BQ60" s="29">
        <f>IFERROR(BQ43/BQ38,"")</f>
        <v/>
      </c>
      <c r="BR60" s="29">
        <f>IFERROR(BR43/BR38,"")</f>
        <v/>
      </c>
      <c r="BS60" s="29">
        <f>IFERROR(BS43/BS38,"")</f>
        <v/>
      </c>
      <c r="BT60" s="29">
        <f>IFERROR(BT43/BT38,"")</f>
        <v/>
      </c>
      <c r="BU60" s="29">
        <f>IFERROR(BU43/BU38,"")</f>
        <v/>
      </c>
      <c r="BV60" s="29">
        <f>IFERROR(BV43/BV38,"")</f>
        <v/>
      </c>
      <c r="BW60" s="29">
        <f>IFERROR(BW43/BW38,"")</f>
        <v/>
      </c>
      <c r="BX60" s="29">
        <f>IFERROR(BX43/BX38,"")</f>
        <v/>
      </c>
      <c r="BY60" s="29">
        <f>IFERROR(BY43/BY38,"")</f>
        <v/>
      </c>
      <c r="BZ60" s="29">
        <f>IFERROR(BZ43/BZ38,"")</f>
        <v/>
      </c>
      <c r="CA60" s="29">
        <f>IFERROR(CA43/CA38,"")</f>
        <v/>
      </c>
      <c r="CB60" s="29">
        <f>IFERROR(CB43/CB38,"")</f>
        <v/>
      </c>
      <c r="CC60" s="29">
        <f>IFERROR(CC43/CC38,"")</f>
        <v/>
      </c>
      <c r="CD60" s="29">
        <f>IFERROR(CD43/CD38,"")</f>
        <v/>
      </c>
      <c r="CE60" s="29">
        <f>IFERROR(CE43/CE38,"")</f>
        <v/>
      </c>
      <c r="CF60" s="29">
        <f>IFERROR(CF43/CF38,"")</f>
        <v/>
      </c>
      <c r="CG60" s="29">
        <f>IFERROR(CG43/CG38,"")</f>
        <v/>
      </c>
      <c r="CH60" s="29">
        <f>IFERROR(CH43/CH38,"")</f>
        <v/>
      </c>
      <c r="CI60" s="29">
        <f>IFERROR(CI43/CI38,"")</f>
        <v/>
      </c>
      <c r="CJ60" s="29">
        <f>IFERROR(CJ43/CJ38,"")</f>
        <v/>
      </c>
      <c r="CK60" s="29">
        <f>IFERROR(CK43/CK38,"")</f>
        <v/>
      </c>
      <c r="CL60" s="29">
        <f>IFERROR(CL43/CL38,"")</f>
        <v/>
      </c>
      <c r="CM60" s="29">
        <f>IFERROR(CM43/CM38,"")</f>
        <v/>
      </c>
      <c r="CN60" s="29">
        <f>IFERROR(CN43/CN38,"")</f>
        <v/>
      </c>
      <c r="CO60" s="30">
        <f>IFERROR(CO43/CO38,"")</f>
        <v/>
      </c>
      <c r="CP60" s="30">
        <f>IFERROR(CP43/CP38,"")</f>
        <v/>
      </c>
      <c r="CQ60" s="30">
        <f>IFERROR(CQ43/CQ38,"")</f>
        <v/>
      </c>
      <c r="CR60" s="30">
        <f>IFERROR(CR43/CR38,"")</f>
        <v/>
      </c>
      <c r="CS60" s="30">
        <f>IFERROR(CS43/CS38,"")</f>
        <v/>
      </c>
      <c r="CU60" s="25">
        <f>IFERROR(AVERAGE(CO60,CP60,CQ60,CR60,CS60),"n/m")</f>
        <v/>
      </c>
      <c r="CV60" s="25">
        <f>IFERROR(AVERAGE(BP60,BV60,CB60,CH60,CN60),"n/m")</f>
        <v/>
      </c>
      <c r="CW60" s="25">
        <f>IFERROR(AVERAGE(H60,N60,T60,Z60,AF60,AL60,AR60,AX60,BD60,BJ60,BP60,BV60,CB60,CH60,CN60),"n/m")</f>
        <v/>
      </c>
    </row>
    <row r="61">
      <c r="B61" s="31" t="inlineStr">
        <is>
          <t xml:space="preserve">  Net margin %</t>
        </is>
      </c>
      <c r="C61" s="29">
        <f>IFERROR(C48/C38,"")</f>
        <v/>
      </c>
      <c r="D61" s="29">
        <f>IFERROR(D48/D38,"")</f>
        <v/>
      </c>
      <c r="E61" s="29">
        <f>IFERROR(E48/E38,"")</f>
        <v/>
      </c>
      <c r="F61" s="29">
        <f>IFERROR(F48/F38,"")</f>
        <v/>
      </c>
      <c r="G61" s="29">
        <f>IFERROR(G48/G38,"")</f>
        <v/>
      </c>
      <c r="H61" s="29">
        <f>IFERROR(H48/H38,"")</f>
        <v/>
      </c>
      <c r="I61" s="29">
        <f>IFERROR(I48/I38,"")</f>
        <v/>
      </c>
      <c r="J61" s="29">
        <f>IFERROR(J48/J38,"")</f>
        <v/>
      </c>
      <c r="K61" s="29">
        <f>IFERROR(K48/K38,"")</f>
        <v/>
      </c>
      <c r="L61" s="29">
        <f>IFERROR(L48/L38,"")</f>
        <v/>
      </c>
      <c r="M61" s="29">
        <f>IFERROR(M48/M38,"")</f>
        <v/>
      </c>
      <c r="N61" s="29">
        <f>IFERROR(N48/N38,"")</f>
        <v/>
      </c>
      <c r="O61" s="29">
        <f>IFERROR(O48/O38,"")</f>
        <v/>
      </c>
      <c r="P61" s="29">
        <f>IFERROR(P48/P38,"")</f>
        <v/>
      </c>
      <c r="Q61" s="29">
        <f>IFERROR(Q48/Q38,"")</f>
        <v/>
      </c>
      <c r="R61" s="29">
        <f>IFERROR(R48/R38,"")</f>
        <v/>
      </c>
      <c r="S61" s="29">
        <f>IFERROR(S48/S38,"")</f>
        <v/>
      </c>
      <c r="T61" s="29">
        <f>IFERROR(T48/T38,"")</f>
        <v/>
      </c>
      <c r="U61" s="29">
        <f>IFERROR(U48/U38,"")</f>
        <v/>
      </c>
      <c r="V61" s="29">
        <f>IFERROR(V48/V38,"")</f>
        <v/>
      </c>
      <c r="W61" s="29">
        <f>IFERROR(W48/W38,"")</f>
        <v/>
      </c>
      <c r="X61" s="29">
        <f>IFERROR(X48/X38,"")</f>
        <v/>
      </c>
      <c r="Y61" s="29">
        <f>IFERROR(Y48/Y38,"")</f>
        <v/>
      </c>
      <c r="Z61" s="29">
        <f>IFERROR(Z48/Z38,"")</f>
        <v/>
      </c>
      <c r="AA61" s="29">
        <f>IFERROR(AA48/AA38,"")</f>
        <v/>
      </c>
      <c r="AB61" s="29">
        <f>IFERROR(AB48/AB38,"")</f>
        <v/>
      </c>
      <c r="AC61" s="29">
        <f>IFERROR(AC48/AC38,"")</f>
        <v/>
      </c>
      <c r="AD61" s="29">
        <f>IFERROR(AD48/AD38,"")</f>
        <v/>
      </c>
      <c r="AE61" s="29">
        <f>IFERROR(AE48/AE38,"")</f>
        <v/>
      </c>
      <c r="AF61" s="29">
        <f>IFERROR(AF48/AF38,"")</f>
        <v/>
      </c>
      <c r="AG61" s="29">
        <f>IFERROR(AG48/AG38,"")</f>
        <v/>
      </c>
      <c r="AH61" s="29">
        <f>IFERROR(AH48/AH38,"")</f>
        <v/>
      </c>
      <c r="AI61" s="29">
        <f>IFERROR(AI48/AI38,"")</f>
        <v/>
      </c>
      <c r="AJ61" s="29">
        <f>IFERROR(AJ48/AJ38,"")</f>
        <v/>
      </c>
      <c r="AK61" s="29">
        <f>IFERROR(AK48/AK38,"")</f>
        <v/>
      </c>
      <c r="AL61" s="29">
        <f>IFERROR(AL48/AL38,"")</f>
        <v/>
      </c>
      <c r="AM61" s="29">
        <f>IFERROR(AM48/AM38,"")</f>
        <v/>
      </c>
      <c r="AN61" s="29">
        <f>IFERROR(AN48/AN38,"")</f>
        <v/>
      </c>
      <c r="AO61" s="29">
        <f>IFERROR(AO48/AO38,"")</f>
        <v/>
      </c>
      <c r="AP61" s="29">
        <f>IFERROR(AP48/AP38,"")</f>
        <v/>
      </c>
      <c r="AQ61" s="29">
        <f>IFERROR(AQ48/AQ38,"")</f>
        <v/>
      </c>
      <c r="AR61" s="29">
        <f>IFERROR(AR48/AR38,"")</f>
        <v/>
      </c>
      <c r="AS61" s="29">
        <f>IFERROR(AS48/AS38,"")</f>
        <v/>
      </c>
      <c r="AT61" s="29">
        <f>IFERROR(AT48/AT38,"")</f>
        <v/>
      </c>
      <c r="AU61" s="29">
        <f>IFERROR(AU48/AU38,"")</f>
        <v/>
      </c>
      <c r="AV61" s="29">
        <f>IFERROR(AV48/AV38,"")</f>
        <v/>
      </c>
      <c r="AW61" s="29">
        <f>IFERROR(AW48/AW38,"")</f>
        <v/>
      </c>
      <c r="AX61" s="29">
        <f>IFERROR(AX48/AX38,"")</f>
        <v/>
      </c>
      <c r="AY61" s="29">
        <f>IFERROR(AY48/AY38,"")</f>
        <v/>
      </c>
      <c r="AZ61" s="29">
        <f>IFERROR(AZ48/AZ38,"")</f>
        <v/>
      </c>
      <c r="BA61" s="29">
        <f>IFERROR(BA48/BA38,"")</f>
        <v/>
      </c>
      <c r="BB61" s="29">
        <f>IFERROR(BB48/BB38,"")</f>
        <v/>
      </c>
      <c r="BC61" s="29">
        <f>IFERROR(BC48/BC38,"")</f>
        <v/>
      </c>
      <c r="BD61" s="29">
        <f>IFERROR(BD48/BD38,"")</f>
        <v/>
      </c>
      <c r="BE61" s="29">
        <f>IFERROR(BE48/BE38,"")</f>
        <v/>
      </c>
      <c r="BF61" s="29">
        <f>IFERROR(BF48/BF38,"")</f>
        <v/>
      </c>
      <c r="BG61" s="29">
        <f>IFERROR(BG48/BG38,"")</f>
        <v/>
      </c>
      <c r="BH61" s="29">
        <f>IFERROR(BH48/BH38,"")</f>
        <v/>
      </c>
      <c r="BI61" s="29">
        <f>IFERROR(BI48/BI38,"")</f>
        <v/>
      </c>
      <c r="BJ61" s="29">
        <f>IFERROR(BJ48/BJ38,"")</f>
        <v/>
      </c>
      <c r="BK61" s="29">
        <f>IFERROR(BK48/BK38,"")</f>
        <v/>
      </c>
      <c r="BL61" s="29">
        <f>IFERROR(BL48/BL38,"")</f>
        <v/>
      </c>
      <c r="BM61" s="29">
        <f>IFERROR(BM48/BM38,"")</f>
        <v/>
      </c>
      <c r="BN61" s="29">
        <f>IFERROR(BN48/BN38,"")</f>
        <v/>
      </c>
      <c r="BO61" s="29">
        <f>IFERROR(BO48/BO38,"")</f>
        <v/>
      </c>
      <c r="BP61" s="29">
        <f>IFERROR(BP48/BP38,"")</f>
        <v/>
      </c>
      <c r="BQ61" s="29">
        <f>IFERROR(BQ48/BQ38,"")</f>
        <v/>
      </c>
      <c r="BR61" s="29">
        <f>IFERROR(BR48/BR38,"")</f>
        <v/>
      </c>
      <c r="BS61" s="29">
        <f>IFERROR(BS48/BS38,"")</f>
        <v/>
      </c>
      <c r="BT61" s="29">
        <f>IFERROR(BT48/BT38,"")</f>
        <v/>
      </c>
      <c r="BU61" s="29">
        <f>IFERROR(BU48/BU38,"")</f>
        <v/>
      </c>
      <c r="BV61" s="29">
        <f>IFERROR(BV48/BV38,"")</f>
        <v/>
      </c>
      <c r="BW61" s="29">
        <f>IFERROR(BW48/BW38,"")</f>
        <v/>
      </c>
      <c r="BX61" s="29">
        <f>IFERROR(BX48/BX38,"")</f>
        <v/>
      </c>
      <c r="BY61" s="29">
        <f>IFERROR(BY48/BY38,"")</f>
        <v/>
      </c>
      <c r="BZ61" s="29">
        <f>IFERROR(BZ48/BZ38,"")</f>
        <v/>
      </c>
      <c r="CA61" s="29">
        <f>IFERROR(CA48/CA38,"")</f>
        <v/>
      </c>
      <c r="CB61" s="29">
        <f>IFERROR(CB48/CB38,"")</f>
        <v/>
      </c>
      <c r="CC61" s="29">
        <f>IFERROR(CC48/CC38,"")</f>
        <v/>
      </c>
      <c r="CD61" s="29">
        <f>IFERROR(CD48/CD38,"")</f>
        <v/>
      </c>
      <c r="CE61" s="29">
        <f>IFERROR(CE48/CE38,"")</f>
        <v/>
      </c>
      <c r="CF61" s="29">
        <f>IFERROR(CF48/CF38,"")</f>
        <v/>
      </c>
      <c r="CG61" s="29">
        <f>IFERROR(CG48/CG38,"")</f>
        <v/>
      </c>
      <c r="CH61" s="29">
        <f>IFERROR(CH48/CH38,"")</f>
        <v/>
      </c>
      <c r="CI61" s="29">
        <f>IFERROR(CI48/CI38,"")</f>
        <v/>
      </c>
      <c r="CJ61" s="29">
        <f>IFERROR(CJ48/CJ38,"")</f>
        <v/>
      </c>
      <c r="CK61" s="29">
        <f>IFERROR(CK48/CK38,"")</f>
        <v/>
      </c>
      <c r="CL61" s="29">
        <f>IFERROR(CL48/CL38,"")</f>
        <v/>
      </c>
      <c r="CM61" s="29">
        <f>IFERROR(CM48/CM38,"")</f>
        <v/>
      </c>
      <c r="CN61" s="29">
        <f>IFERROR(CN48/CN38,"")</f>
        <v/>
      </c>
      <c r="CO61" s="30">
        <f>IFERROR(CO48/CO38,"")</f>
        <v/>
      </c>
      <c r="CP61" s="30">
        <f>IFERROR(CP48/CP38,"")</f>
        <v/>
      </c>
      <c r="CQ61" s="30">
        <f>IFERROR(CQ48/CQ38,"")</f>
        <v/>
      </c>
      <c r="CR61" s="30">
        <f>IFERROR(CR48/CR38,"")</f>
        <v/>
      </c>
      <c r="CS61" s="30">
        <f>IFERROR(CS48/CS38,"")</f>
        <v/>
      </c>
      <c r="CU61" s="25">
        <f>IFERROR(AVERAGE(CO61,CP61,CQ61,CR61,CS61),"n/m")</f>
        <v/>
      </c>
      <c r="CV61" s="25">
        <f>IFERROR(AVERAGE(BP61,BV61,CB61,CH61,CN61),"n/m")</f>
        <v/>
      </c>
      <c r="CW61" s="25">
        <f>IFERROR(AVERAGE(H61,N61,T61,Z61,AF61,AL61,AR61,AX61,BD61,BJ61,BP61,BV61,CB61,CH61,CN61),"n/m")</f>
        <v/>
      </c>
    </row>
    <row r="63">
      <c r="B63" s="5" t="inlineStr">
        <is>
          <t>CONSOLIDATED CASH FLOW  (fiscal-year basis)</t>
        </is>
      </c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  <c r="L63" s="12" t="n"/>
      <c r="M63" s="12" t="n"/>
      <c r="N63" s="12" t="n"/>
      <c r="O63" s="12" t="n"/>
      <c r="P63" s="12" t="n"/>
      <c r="Q63" s="12" t="n"/>
      <c r="R63" s="12" t="n"/>
      <c r="S63" s="12" t="n"/>
      <c r="T63" s="12" t="n"/>
      <c r="U63" s="12" t="n"/>
      <c r="V63" s="12" t="n"/>
      <c r="W63" s="12" t="n"/>
      <c r="X63" s="12" t="n"/>
      <c r="Y63" s="12" t="n"/>
      <c r="Z63" s="12" t="n"/>
      <c r="AA63" s="12" t="n"/>
      <c r="AB63" s="12" t="n"/>
      <c r="AC63" s="12" t="n"/>
      <c r="AD63" s="12" t="n"/>
      <c r="AE63" s="12" t="n"/>
      <c r="AF63" s="12" t="n"/>
      <c r="AG63" s="12" t="n"/>
      <c r="AH63" s="12" t="n"/>
      <c r="AI63" s="12" t="n"/>
      <c r="AJ63" s="12" t="n"/>
      <c r="AK63" s="12" t="n"/>
      <c r="AL63" s="12" t="n"/>
      <c r="AM63" s="12" t="n"/>
      <c r="AN63" s="12" t="n"/>
      <c r="AO63" s="12" t="n"/>
      <c r="AP63" s="12" t="n"/>
      <c r="AQ63" s="12" t="n"/>
      <c r="AR63" s="12" t="n"/>
      <c r="AS63" s="12" t="n"/>
      <c r="AT63" s="12" t="n"/>
      <c r="AU63" s="12" t="n"/>
      <c r="AV63" s="12" t="n"/>
      <c r="AW63" s="12" t="n"/>
      <c r="AX63" s="12" t="n"/>
      <c r="AY63" s="12" t="n"/>
      <c r="AZ63" s="12" t="n"/>
      <c r="BA63" s="12" t="n"/>
      <c r="BB63" s="12" t="n"/>
      <c r="BC63" s="12" t="n"/>
      <c r="BD63" s="12" t="n"/>
      <c r="BE63" s="12" t="n"/>
      <c r="BF63" s="12" t="n"/>
      <c r="BG63" s="12" t="n"/>
      <c r="BH63" s="12" t="n"/>
      <c r="BI63" s="12" t="n"/>
      <c r="BJ63" s="12" t="n"/>
      <c r="BK63" s="12" t="n"/>
      <c r="BL63" s="12" t="n"/>
      <c r="BM63" s="12" t="n"/>
      <c r="BN63" s="12" t="n"/>
      <c r="BO63" s="12" t="n"/>
      <c r="BP63" s="12" t="n"/>
      <c r="BQ63" s="12" t="n"/>
      <c r="BR63" s="12" t="n"/>
      <c r="BS63" s="12" t="n"/>
      <c r="BT63" s="12" t="n"/>
      <c r="BU63" s="12" t="n"/>
      <c r="BV63" s="12" t="n"/>
      <c r="BW63" s="12" t="n"/>
      <c r="BX63" s="12" t="n"/>
      <c r="BY63" s="12" t="n"/>
      <c r="BZ63" s="12" t="n"/>
      <c r="CA63" s="12" t="n"/>
      <c r="CB63" s="12" t="n"/>
      <c r="CC63" s="12" t="n"/>
      <c r="CD63" s="12" t="n"/>
      <c r="CE63" s="12" t="n"/>
      <c r="CF63" s="12" t="n"/>
      <c r="CG63" s="12" t="n"/>
      <c r="CH63" s="12" t="n"/>
      <c r="CI63" s="12" t="n"/>
      <c r="CJ63" s="12" t="n"/>
      <c r="CK63" s="12" t="n"/>
      <c r="CL63" s="12" t="n"/>
      <c r="CM63" s="12" t="n"/>
      <c r="CN63" s="12" t="n"/>
      <c r="CO63" s="12" t="n"/>
      <c r="CP63" s="12" t="n"/>
      <c r="CQ63" s="12" t="n"/>
      <c r="CR63" s="12" t="n"/>
      <c r="CS63" s="12" t="n"/>
      <c r="CT63" s="12" t="n"/>
      <c r="CU63" s="12" t="n"/>
      <c r="CV63" s="12" t="n"/>
      <c r="CW63" s="12" t="n"/>
    </row>
    <row r="64">
      <c r="B64" s="11" t="inlineStr">
        <is>
          <t xml:space="preserve">  Interim cash-flow statements are filed year-to-date; only fiscal-year figures are shown below.</t>
        </is>
      </c>
    </row>
    <row r="65">
      <c r="B65" s="6" t="inlineStr">
        <is>
          <t>Cash from operations</t>
        </is>
      </c>
      <c r="H65" s="27" t="n">
        <v>242.932</v>
      </c>
      <c r="AR65" s="27" t="n">
        <v>492.058</v>
      </c>
      <c r="AX65" s="27" t="n">
        <v>535.069</v>
      </c>
      <c r="BD65" s="27" t="n">
        <v>646.646</v>
      </c>
      <c r="BJ65" s="27" t="n">
        <v>917.885</v>
      </c>
      <c r="BP65" s="27" t="n">
        <v>990.891</v>
      </c>
      <c r="BV65" s="27" t="n">
        <v>1176.683</v>
      </c>
      <c r="CB65" s="27" t="n">
        <v>1364.21</v>
      </c>
      <c r="CH65" s="27" t="n">
        <v>1472.564</v>
      </c>
      <c r="CN65" s="27" t="n">
        <v>1799.75</v>
      </c>
      <c r="CO65" s="28">
        <f>CO48+CO66+CO67-CO68</f>
        <v/>
      </c>
      <c r="CP65" s="28">
        <f>CP48+CP66+CP67-CP68</f>
        <v/>
      </c>
      <c r="CQ65" s="28">
        <f>CQ48+CQ66+CQ67-CQ68</f>
        <v/>
      </c>
      <c r="CR65" s="28">
        <f>CR48+CR66+CR67-CR68</f>
        <v/>
      </c>
      <c r="CS65" s="28">
        <f>CS48+CS66+CS67-CS68</f>
        <v/>
      </c>
    </row>
    <row r="66">
      <c r="B66" s="18" t="inlineStr">
        <is>
          <t xml:space="preserve">    Depreciation &amp; amortisation</t>
        </is>
      </c>
      <c r="H66" s="23" t="n">
        <v>45.694</v>
      </c>
      <c r="N66" s="23" t="n">
        <v>48.167</v>
      </c>
      <c r="T66" s="23" t="n">
        <v>56.728</v>
      </c>
      <c r="Z66" s="23" t="n">
        <v>53.726</v>
      </c>
      <c r="AF66" s="23" t="n">
        <v>46.573</v>
      </c>
      <c r="AL66" s="23" t="n">
        <v>48.575</v>
      </c>
      <c r="AR66" s="23" t="n">
        <v>57</v>
      </c>
      <c r="AX66" s="23" t="n">
        <v>78.598</v>
      </c>
      <c r="BD66" s="23" t="n">
        <v>84.895</v>
      </c>
      <c r="BJ66" s="23" t="n">
        <v>101.39</v>
      </c>
      <c r="BP66" s="23" t="n">
        <v>121.971</v>
      </c>
      <c r="BV66" s="23" t="n">
        <v>137.985</v>
      </c>
      <c r="CB66" s="23" t="n">
        <v>159.478</v>
      </c>
      <c r="CH66" s="23" t="n">
        <v>189.761</v>
      </c>
      <c r="CN66" s="23" t="n">
        <v>215.849</v>
      </c>
      <c r="CO66" s="24">
        <f>CO38*CHOOSE(MATCH($CU$2,{"Bull","Base","Bear"},0),$DA$13,$DB$13,$DC$13)</f>
        <v/>
      </c>
      <c r="CP66" s="24">
        <f>CP38*CHOOSE(MATCH($CU$2,{"Bull","Base","Bear"},0),$DA$13,$DB$13,$DC$13)</f>
        <v/>
      </c>
      <c r="CQ66" s="24">
        <f>CQ38*CHOOSE(MATCH($CU$2,{"Bull","Base","Bear"},0),$DA$13,$DB$13,$DC$13)</f>
        <v/>
      </c>
      <c r="CR66" s="24">
        <f>CR38*CHOOSE(MATCH($CU$2,{"Bull","Base","Bear"},0),$DA$13,$DB$13,$DC$13)</f>
        <v/>
      </c>
      <c r="CS66" s="24">
        <f>CS38*CHOOSE(MATCH($CU$2,{"Bull","Base","Bear"},0),$DA$13,$DB$13,$DC$13)</f>
        <v/>
      </c>
    </row>
    <row r="67">
      <c r="B67" s="18" t="inlineStr">
        <is>
          <t xml:space="preserve">    Stock-based compensation</t>
        </is>
      </c>
      <c r="H67" s="23" t="n">
        <v>19.007</v>
      </c>
      <c r="N67" s="23" t="n">
        <v>21.791</v>
      </c>
      <c r="T67" s="23" t="n">
        <v>19.557</v>
      </c>
      <c r="Z67" s="23" t="n">
        <v>22.099</v>
      </c>
      <c r="AF67" s="23" t="n">
        <v>18.154</v>
      </c>
      <c r="AL67" s="23" t="n">
        <v>20.864</v>
      </c>
      <c r="AR67" s="23" t="n">
        <v>20.84</v>
      </c>
      <c r="AX67" s="23" t="n">
        <v>23.221</v>
      </c>
      <c r="BD67" s="23" t="n">
        <v>23.445</v>
      </c>
      <c r="BJ67" s="23" t="n">
        <v>23.322</v>
      </c>
      <c r="BP67" s="23" t="n">
        <v>40.922</v>
      </c>
      <c r="BV67" s="23" t="n">
        <v>38.965</v>
      </c>
      <c r="CB67" s="23" t="n">
        <v>39.673</v>
      </c>
      <c r="CH67" s="23" t="n">
        <v>35.234</v>
      </c>
      <c r="CN67" s="23" t="n">
        <v>38.004</v>
      </c>
      <c r="CO67" s="24">
        <f>CO38*CHOOSE(MATCH($CU$2,{"Bull","Base","Bear"},0),$DA$14,$DB$14,$DC$14)</f>
        <v/>
      </c>
      <c r="CP67" s="24">
        <f>CP38*CHOOSE(MATCH($CU$2,{"Bull","Base","Bear"},0),$DA$14,$DB$14,$DC$14)</f>
        <v/>
      </c>
      <c r="CQ67" s="24">
        <f>CQ38*CHOOSE(MATCH($CU$2,{"Bull","Base","Bear"},0),$DA$14,$DB$14,$DC$14)</f>
        <v/>
      </c>
      <c r="CR67" s="24">
        <f>CR38*CHOOSE(MATCH($CU$2,{"Bull","Base","Bear"},0),$DA$14,$DB$14,$DC$14)</f>
        <v/>
      </c>
      <c r="CS67" s="24">
        <f>CS38*CHOOSE(MATCH($CU$2,{"Bull","Base","Bear"},0),$DA$14,$DB$14,$DC$14)</f>
        <v/>
      </c>
    </row>
    <row r="68">
      <c r="B68" s="31" t="inlineStr">
        <is>
          <t xml:space="preserve">    Change in net working capital (est.)</t>
        </is>
      </c>
      <c r="CO68" s="24">
        <f>(CO38-CN38)*CHOOSE(MATCH($CU$2,{"Bull","Base","Bear"},0),$DA$15,$DB$15,$DC$15)</f>
        <v/>
      </c>
      <c r="CP68" s="24">
        <f>(CP38-CO38)*CHOOSE(MATCH($CU$2,{"Bull","Base","Bear"},0),$DA$15,$DB$15,$DC$15)</f>
        <v/>
      </c>
      <c r="CQ68" s="24">
        <f>(CQ38-CP38)*CHOOSE(MATCH($CU$2,{"Bull","Base","Bear"},0),$DA$15,$DB$15,$DC$15)</f>
        <v/>
      </c>
      <c r="CR68" s="24">
        <f>(CR38-CQ38)*CHOOSE(MATCH($CU$2,{"Bull","Base","Bear"},0),$DA$15,$DB$15,$DC$15)</f>
        <v/>
      </c>
      <c r="CS68" s="24">
        <f>(CS38-CR38)*CHOOSE(MATCH($CU$2,{"Bull","Base","Bear"},0),$DA$15,$DB$15,$DC$15)</f>
        <v/>
      </c>
    </row>
    <row r="69">
      <c r="B69" s="18" t="inlineStr">
        <is>
          <t xml:space="preserve">  Capital expenditures</t>
        </is>
      </c>
      <c r="H69" s="23" t="n">
        <v>70.17</v>
      </c>
      <c r="N69" s="23" t="n">
        <v>54.832</v>
      </c>
      <c r="T69" s="23" t="n">
        <v>130.265</v>
      </c>
      <c r="Z69" s="23" t="n">
        <v>95.81</v>
      </c>
      <c r="AF69" s="23" t="n">
        <v>79.15300000000001</v>
      </c>
      <c r="AL69" s="23" t="n">
        <v>173.917</v>
      </c>
      <c r="AR69" s="23" t="n">
        <v>332.99</v>
      </c>
      <c r="AX69" s="23" t="n">
        <v>296.697</v>
      </c>
      <c r="BD69" s="23" t="n">
        <v>374.628</v>
      </c>
      <c r="BJ69" s="23" t="n">
        <v>603.674</v>
      </c>
      <c r="BP69" s="23" t="n">
        <v>467.996</v>
      </c>
      <c r="BV69" s="23" t="n">
        <v>444.052</v>
      </c>
      <c r="CB69" s="23" t="n">
        <v>516.636</v>
      </c>
      <c r="CH69" s="23" t="n">
        <v>605.403</v>
      </c>
      <c r="CN69" s="23" t="n">
        <v>570.213</v>
      </c>
      <c r="CO69" s="24">
        <f>-CO38*CHOOSE(MATCH($CU$2,{"Bull","Base","Bear"},0),$DA$16,$DB$16,$DC$16)</f>
        <v/>
      </c>
      <c r="CP69" s="24">
        <f>-CP38*CHOOSE(MATCH($CU$2,{"Bull","Base","Bear"},0),$DA$16,$DB$16,$DC$16)</f>
        <v/>
      </c>
      <c r="CQ69" s="24">
        <f>-CQ38*CHOOSE(MATCH($CU$2,{"Bull","Base","Bear"},0),$DA$16,$DB$16,$DC$16)</f>
        <v/>
      </c>
      <c r="CR69" s="24">
        <f>-CR38*CHOOSE(MATCH($CU$2,{"Bull","Base","Bear"},0),$DA$16,$DB$16,$DC$16)</f>
        <v/>
      </c>
      <c r="CS69" s="24">
        <f>-CS38*CHOOSE(MATCH($CU$2,{"Bull","Base","Bear"},0),$DA$16,$DB$16,$DC$16)</f>
        <v/>
      </c>
    </row>
    <row r="70">
      <c r="B70" s="6" t="inlineStr">
        <is>
          <t>Cash from investing</t>
        </is>
      </c>
      <c r="H70" s="27" t="n">
        <v>-84.48</v>
      </c>
      <c r="AR70" s="27" t="n">
        <v>-335.791</v>
      </c>
      <c r="AX70" s="27" t="n">
        <v>-288.476</v>
      </c>
      <c r="BD70" s="27" t="n">
        <v>-356.267</v>
      </c>
      <c r="BJ70" s="27" t="n">
        <v>-601.208</v>
      </c>
      <c r="BP70" s="27" t="n">
        <v>-465.466</v>
      </c>
      <c r="BV70" s="27" t="n">
        <v>-442.31</v>
      </c>
      <c r="CB70" s="27" t="n">
        <v>-1892.049</v>
      </c>
      <c r="CH70" s="27" t="n">
        <v>-940.079</v>
      </c>
      <c r="CN70" s="27" t="n">
        <v>-587.448</v>
      </c>
    </row>
    <row r="71">
      <c r="B71" s="6" t="inlineStr">
        <is>
          <t>Cash from financing</t>
        </is>
      </c>
      <c r="H71" s="27" t="n">
        <v>-354.075</v>
      </c>
      <c r="AR71" s="27" t="n">
        <v>-106.975</v>
      </c>
      <c r="AX71" s="27" t="n">
        <v>-182.038</v>
      </c>
      <c r="BD71" s="27" t="n">
        <v>-370.304</v>
      </c>
      <c r="BJ71" s="27" t="n">
        <v>-27.414</v>
      </c>
      <c r="BP71" s="27" t="n">
        <v>40.922</v>
      </c>
      <c r="BV71" s="27" t="n">
        <v>-382.693</v>
      </c>
      <c r="CB71" s="27" t="n">
        <v>66.61499999999999</v>
      </c>
      <c r="CH71" s="27" t="n">
        <v>19.273</v>
      </c>
      <c r="CN71" s="27" t="n">
        <v>52.107</v>
      </c>
    </row>
    <row r="72">
      <c r="B72" s="6" t="inlineStr">
        <is>
          <t>Free cash flow (CFO − CapEx)</t>
        </is>
      </c>
      <c r="H72" s="26">
        <f>H65-H69</f>
        <v/>
      </c>
      <c r="AR72" s="26">
        <f>AR65-AR69</f>
        <v/>
      </c>
      <c r="AX72" s="26">
        <f>AX65-AX69</f>
        <v/>
      </c>
      <c r="BD72" s="26">
        <f>BD65-BD69</f>
        <v/>
      </c>
      <c r="BJ72" s="26">
        <f>BJ65-BJ69</f>
        <v/>
      </c>
      <c r="BP72" s="26">
        <f>BP65-BP69</f>
        <v/>
      </c>
      <c r="BV72" s="26">
        <f>BV65-BV69</f>
        <v/>
      </c>
      <c r="CB72" s="26">
        <f>CB65-CB69</f>
        <v/>
      </c>
      <c r="CH72" s="26">
        <f>CH65-CH69</f>
        <v/>
      </c>
      <c r="CN72" s="26">
        <f>CN65-CN69</f>
        <v/>
      </c>
      <c r="CO72" s="28">
        <f>CO65+CO69</f>
        <v/>
      </c>
      <c r="CP72" s="28">
        <f>CP65+CP69</f>
        <v/>
      </c>
      <c r="CQ72" s="28">
        <f>CQ65+CQ69</f>
        <v/>
      </c>
      <c r="CR72" s="28">
        <f>CR65+CR69</f>
        <v/>
      </c>
      <c r="CS72" s="28">
        <f>CS65+CS69</f>
        <v/>
      </c>
      <c r="CU72" s="25">
        <f>IFERROR((CS72/CN72)^(1/5)-1,"n/m")</f>
        <v/>
      </c>
      <c r="CV72" s="25">
        <f>IFERROR((CN72/BJ72)^(1/5)-1,"n/m")</f>
        <v/>
      </c>
      <c r="CW72" s="25">
        <f>IFERROR((CN72/H72)^(1/14)-1,"n/m")</f>
        <v/>
      </c>
    </row>
    <row r="73">
      <c r="B73" s="31" t="inlineStr">
        <is>
          <t xml:space="preserve">    FCF margin %</t>
        </is>
      </c>
      <c r="C73" s="29">
        <f>IFERROR(C72/C38,"")</f>
        <v/>
      </c>
      <c r="D73" s="29">
        <f>IFERROR(D72/D38,"")</f>
        <v/>
      </c>
      <c r="E73" s="29">
        <f>IFERROR(E72/E38,"")</f>
        <v/>
      </c>
      <c r="F73" s="29">
        <f>IFERROR(F72/F38,"")</f>
        <v/>
      </c>
      <c r="G73" s="29">
        <f>IFERROR(G72/G38,"")</f>
        <v/>
      </c>
      <c r="H73" s="29">
        <f>IFERROR(H72/H38,"")</f>
        <v/>
      </c>
      <c r="I73" s="29">
        <f>IFERROR(I72/I38,"")</f>
        <v/>
      </c>
      <c r="J73" s="29">
        <f>IFERROR(J72/J38,"")</f>
        <v/>
      </c>
      <c r="K73" s="29">
        <f>IFERROR(K72/K38,"")</f>
        <v/>
      </c>
      <c r="L73" s="29">
        <f>IFERROR(L72/L38,"")</f>
        <v/>
      </c>
      <c r="M73" s="29">
        <f>IFERROR(M72/M38,"")</f>
        <v/>
      </c>
      <c r="N73" s="29">
        <f>IFERROR(N72/N38,"")</f>
        <v/>
      </c>
      <c r="O73" s="29">
        <f>IFERROR(O72/O38,"")</f>
        <v/>
      </c>
      <c r="P73" s="29">
        <f>IFERROR(P72/P38,"")</f>
        <v/>
      </c>
      <c r="Q73" s="29">
        <f>IFERROR(Q72/Q38,"")</f>
        <v/>
      </c>
      <c r="R73" s="29">
        <f>IFERROR(R72/R38,"")</f>
        <v/>
      </c>
      <c r="S73" s="29">
        <f>IFERROR(S72/S38,"")</f>
        <v/>
      </c>
      <c r="T73" s="29">
        <f>IFERROR(T72/T38,"")</f>
        <v/>
      </c>
      <c r="U73" s="29">
        <f>IFERROR(U72/U38,"")</f>
        <v/>
      </c>
      <c r="V73" s="29">
        <f>IFERROR(V72/V38,"")</f>
        <v/>
      </c>
      <c r="W73" s="29">
        <f>IFERROR(W72/W38,"")</f>
        <v/>
      </c>
      <c r="X73" s="29">
        <f>IFERROR(X72/X38,"")</f>
        <v/>
      </c>
      <c r="Y73" s="29">
        <f>IFERROR(Y72/Y38,"")</f>
        <v/>
      </c>
      <c r="Z73" s="29">
        <f>IFERROR(Z72/Z38,"")</f>
        <v/>
      </c>
      <c r="AA73" s="29">
        <f>IFERROR(AA72/AA38,"")</f>
        <v/>
      </c>
      <c r="AB73" s="29">
        <f>IFERROR(AB72/AB38,"")</f>
        <v/>
      </c>
      <c r="AC73" s="29">
        <f>IFERROR(AC72/AC38,"")</f>
        <v/>
      </c>
      <c r="AD73" s="29">
        <f>IFERROR(AD72/AD38,"")</f>
        <v/>
      </c>
      <c r="AE73" s="29">
        <f>IFERROR(AE72/AE38,"")</f>
        <v/>
      </c>
      <c r="AF73" s="29">
        <f>IFERROR(AF72/AF38,"")</f>
        <v/>
      </c>
      <c r="AG73" s="29">
        <f>IFERROR(AG72/AG38,"")</f>
        <v/>
      </c>
      <c r="AH73" s="29">
        <f>IFERROR(AH72/AH38,"")</f>
        <v/>
      </c>
      <c r="AI73" s="29">
        <f>IFERROR(AI72/AI38,"")</f>
        <v/>
      </c>
      <c r="AJ73" s="29">
        <f>IFERROR(AJ72/AJ38,"")</f>
        <v/>
      </c>
      <c r="AK73" s="29">
        <f>IFERROR(AK72/AK38,"")</f>
        <v/>
      </c>
      <c r="AL73" s="29">
        <f>IFERROR(AL72/AL38,"")</f>
        <v/>
      </c>
      <c r="AM73" s="29">
        <f>IFERROR(AM72/AM38,"")</f>
        <v/>
      </c>
      <c r="AN73" s="29">
        <f>IFERROR(AN72/AN38,"")</f>
        <v/>
      </c>
      <c r="AO73" s="29">
        <f>IFERROR(AO72/AO38,"")</f>
        <v/>
      </c>
      <c r="AP73" s="29">
        <f>IFERROR(AP72/AP38,"")</f>
        <v/>
      </c>
      <c r="AQ73" s="29">
        <f>IFERROR(AQ72/AQ38,"")</f>
        <v/>
      </c>
      <c r="AR73" s="29">
        <f>IFERROR(AR72/AR38,"")</f>
        <v/>
      </c>
      <c r="AS73" s="29">
        <f>IFERROR(AS72/AS38,"")</f>
        <v/>
      </c>
      <c r="AT73" s="29">
        <f>IFERROR(AT72/AT38,"")</f>
        <v/>
      </c>
      <c r="AU73" s="29">
        <f>IFERROR(AU72/AU38,"")</f>
        <v/>
      </c>
      <c r="AV73" s="29">
        <f>IFERROR(AV72/AV38,"")</f>
        <v/>
      </c>
      <c r="AW73" s="29">
        <f>IFERROR(AW72/AW38,"")</f>
        <v/>
      </c>
      <c r="AX73" s="29">
        <f>IFERROR(AX72/AX38,"")</f>
        <v/>
      </c>
      <c r="AY73" s="29">
        <f>IFERROR(AY72/AY38,"")</f>
        <v/>
      </c>
      <c r="AZ73" s="29">
        <f>IFERROR(AZ72/AZ38,"")</f>
        <v/>
      </c>
      <c r="BA73" s="29">
        <f>IFERROR(BA72/BA38,"")</f>
        <v/>
      </c>
      <c r="BB73" s="29">
        <f>IFERROR(BB72/BB38,"")</f>
        <v/>
      </c>
      <c r="BC73" s="29">
        <f>IFERROR(BC72/BC38,"")</f>
        <v/>
      </c>
      <c r="BD73" s="29">
        <f>IFERROR(BD72/BD38,"")</f>
        <v/>
      </c>
      <c r="BE73" s="29">
        <f>IFERROR(BE72/BE38,"")</f>
        <v/>
      </c>
      <c r="BF73" s="29">
        <f>IFERROR(BF72/BF38,"")</f>
        <v/>
      </c>
      <c r="BG73" s="29">
        <f>IFERROR(BG72/BG38,"")</f>
        <v/>
      </c>
      <c r="BH73" s="29">
        <f>IFERROR(BH72/BH38,"")</f>
        <v/>
      </c>
      <c r="BI73" s="29">
        <f>IFERROR(BI72/BI38,"")</f>
        <v/>
      </c>
      <c r="BJ73" s="29">
        <f>IFERROR(BJ72/BJ38,"")</f>
        <v/>
      </c>
      <c r="BK73" s="29">
        <f>IFERROR(BK72/BK38,"")</f>
        <v/>
      </c>
      <c r="BL73" s="29">
        <f>IFERROR(BL72/BL38,"")</f>
        <v/>
      </c>
      <c r="BM73" s="29">
        <f>IFERROR(BM72/BM38,"")</f>
        <v/>
      </c>
      <c r="BN73" s="29">
        <f>IFERROR(BN72/BN38,"")</f>
        <v/>
      </c>
      <c r="BO73" s="29">
        <f>IFERROR(BO72/BO38,"")</f>
        <v/>
      </c>
      <c r="BP73" s="29">
        <f>IFERROR(BP72/BP38,"")</f>
        <v/>
      </c>
      <c r="BQ73" s="29">
        <f>IFERROR(BQ72/BQ38,"")</f>
        <v/>
      </c>
      <c r="BR73" s="29">
        <f>IFERROR(BR72/BR38,"")</f>
        <v/>
      </c>
      <c r="BS73" s="29">
        <f>IFERROR(BS72/BS38,"")</f>
        <v/>
      </c>
      <c r="BT73" s="29">
        <f>IFERROR(BT72/BT38,"")</f>
        <v/>
      </c>
      <c r="BU73" s="29">
        <f>IFERROR(BU72/BU38,"")</f>
        <v/>
      </c>
      <c r="BV73" s="29">
        <f>IFERROR(BV72/BV38,"")</f>
        <v/>
      </c>
      <c r="BW73" s="29">
        <f>IFERROR(BW72/BW38,"")</f>
        <v/>
      </c>
      <c r="BX73" s="29">
        <f>IFERROR(BX72/BX38,"")</f>
        <v/>
      </c>
      <c r="BY73" s="29">
        <f>IFERROR(BY72/BY38,"")</f>
        <v/>
      </c>
      <c r="BZ73" s="29">
        <f>IFERROR(BZ72/BZ38,"")</f>
        <v/>
      </c>
      <c r="CA73" s="29">
        <f>IFERROR(CA72/CA38,"")</f>
        <v/>
      </c>
      <c r="CB73" s="29">
        <f>IFERROR(CB72/CB38,"")</f>
        <v/>
      </c>
      <c r="CC73" s="29">
        <f>IFERROR(CC72/CC38,"")</f>
        <v/>
      </c>
      <c r="CD73" s="29">
        <f>IFERROR(CD72/CD38,"")</f>
        <v/>
      </c>
      <c r="CE73" s="29">
        <f>IFERROR(CE72/CE38,"")</f>
        <v/>
      </c>
      <c r="CF73" s="29">
        <f>IFERROR(CF72/CF38,"")</f>
        <v/>
      </c>
      <c r="CG73" s="29">
        <f>IFERROR(CG72/CG38,"")</f>
        <v/>
      </c>
      <c r="CH73" s="29">
        <f>IFERROR(CH72/CH38,"")</f>
        <v/>
      </c>
      <c r="CI73" s="29">
        <f>IFERROR(CI72/CI38,"")</f>
        <v/>
      </c>
      <c r="CJ73" s="29">
        <f>IFERROR(CJ72/CJ38,"")</f>
        <v/>
      </c>
      <c r="CK73" s="29">
        <f>IFERROR(CK72/CK38,"")</f>
        <v/>
      </c>
      <c r="CL73" s="29">
        <f>IFERROR(CL72/CL38,"")</f>
        <v/>
      </c>
      <c r="CM73" s="29">
        <f>IFERROR(CM72/CM38,"")</f>
        <v/>
      </c>
      <c r="CN73" s="29">
        <f>IFERROR(CN72/CN38,"")</f>
        <v/>
      </c>
      <c r="CO73" s="30">
        <f>IFERROR(CO72/CO38,"")</f>
        <v/>
      </c>
      <c r="CP73" s="30">
        <f>IFERROR(CP72/CP38,"")</f>
        <v/>
      </c>
      <c r="CQ73" s="30">
        <f>IFERROR(CQ72/CQ38,"")</f>
        <v/>
      </c>
      <c r="CR73" s="30">
        <f>IFERROR(CR72/CR38,"")</f>
        <v/>
      </c>
      <c r="CS73" s="30">
        <f>IFERROR(CS72/CS38,"")</f>
        <v/>
      </c>
      <c r="CU73" s="25">
        <f>IFERROR(AVERAGE(CO73,CP73,CQ73,CR73,CS73),"n/m")</f>
        <v/>
      </c>
      <c r="CV73" s="25">
        <f>IFERROR(AVERAGE(BP73,BV73,CB73,CH73,CN73),"n/m")</f>
        <v/>
      </c>
      <c r="CW73" s="25">
        <f>IFERROR(AVERAGE(H73,N73,T73,Z73,AF73,AL73,AR73,AX73,BD73,BJ73,BP73,BV73,CB73,CH73,CN73),"n/m")</f>
        <v/>
      </c>
    </row>
    <row r="74">
      <c r="B74" s="18" t="inlineStr">
        <is>
          <t xml:space="preserve">    CapEx % of revenue</t>
        </is>
      </c>
      <c r="C74" s="29">
        <f>IFERROR(ABS(C69)/C38,"")</f>
        <v/>
      </c>
      <c r="D74" s="29">
        <f>IFERROR(ABS(D69)/D38,"")</f>
        <v/>
      </c>
      <c r="E74" s="29">
        <f>IFERROR(ABS(E69)/E38,"")</f>
        <v/>
      </c>
      <c r="F74" s="29">
        <f>IFERROR(ABS(F69)/F38,"")</f>
        <v/>
      </c>
      <c r="G74" s="29">
        <f>IFERROR(ABS(G69)/G38,"")</f>
        <v/>
      </c>
      <c r="H74" s="29">
        <f>IFERROR(ABS(H69)/H38,"")</f>
        <v/>
      </c>
      <c r="I74" s="29">
        <f>IFERROR(ABS(I69)/I38,"")</f>
        <v/>
      </c>
      <c r="J74" s="29">
        <f>IFERROR(ABS(J69)/J38,"")</f>
        <v/>
      </c>
      <c r="K74" s="29">
        <f>IFERROR(ABS(K69)/K38,"")</f>
        <v/>
      </c>
      <c r="L74" s="29">
        <f>IFERROR(ABS(L69)/L38,"")</f>
        <v/>
      </c>
      <c r="M74" s="29">
        <f>IFERROR(ABS(M69)/M38,"")</f>
        <v/>
      </c>
      <c r="N74" s="29">
        <f>IFERROR(ABS(N69)/N38,"")</f>
        <v/>
      </c>
      <c r="O74" s="29">
        <f>IFERROR(ABS(O69)/O38,"")</f>
        <v/>
      </c>
      <c r="P74" s="29">
        <f>IFERROR(ABS(P69)/P38,"")</f>
        <v/>
      </c>
      <c r="Q74" s="29">
        <f>IFERROR(ABS(Q69)/Q38,"")</f>
        <v/>
      </c>
      <c r="R74" s="29">
        <f>IFERROR(ABS(R69)/R38,"")</f>
        <v/>
      </c>
      <c r="S74" s="29">
        <f>IFERROR(ABS(S69)/S38,"")</f>
        <v/>
      </c>
      <c r="T74" s="29">
        <f>IFERROR(ABS(T69)/T38,"")</f>
        <v/>
      </c>
      <c r="U74" s="29">
        <f>IFERROR(ABS(U69)/U38,"")</f>
        <v/>
      </c>
      <c r="V74" s="29">
        <f>IFERROR(ABS(V69)/V38,"")</f>
        <v/>
      </c>
      <c r="W74" s="29">
        <f>IFERROR(ABS(W69)/W38,"")</f>
        <v/>
      </c>
      <c r="X74" s="29">
        <f>IFERROR(ABS(X69)/X38,"")</f>
        <v/>
      </c>
      <c r="Y74" s="29">
        <f>IFERROR(ABS(Y69)/Y38,"")</f>
        <v/>
      </c>
      <c r="Z74" s="29">
        <f>IFERROR(ABS(Z69)/Z38,"")</f>
        <v/>
      </c>
      <c r="AA74" s="29">
        <f>IFERROR(ABS(AA69)/AA38,"")</f>
        <v/>
      </c>
      <c r="AB74" s="29">
        <f>IFERROR(ABS(AB69)/AB38,"")</f>
        <v/>
      </c>
      <c r="AC74" s="29">
        <f>IFERROR(ABS(AC69)/AC38,"")</f>
        <v/>
      </c>
      <c r="AD74" s="29">
        <f>IFERROR(ABS(AD69)/AD38,"")</f>
        <v/>
      </c>
      <c r="AE74" s="29">
        <f>IFERROR(ABS(AE69)/AE38,"")</f>
        <v/>
      </c>
      <c r="AF74" s="29">
        <f>IFERROR(ABS(AF69)/AF38,"")</f>
        <v/>
      </c>
      <c r="AG74" s="29">
        <f>IFERROR(ABS(AG69)/AG38,"")</f>
        <v/>
      </c>
      <c r="AH74" s="29">
        <f>IFERROR(ABS(AH69)/AH38,"")</f>
        <v/>
      </c>
      <c r="AI74" s="29">
        <f>IFERROR(ABS(AI69)/AI38,"")</f>
        <v/>
      </c>
      <c r="AJ74" s="29">
        <f>IFERROR(ABS(AJ69)/AJ38,"")</f>
        <v/>
      </c>
      <c r="AK74" s="29">
        <f>IFERROR(ABS(AK69)/AK38,"")</f>
        <v/>
      </c>
      <c r="AL74" s="29">
        <f>IFERROR(ABS(AL69)/AL38,"")</f>
        <v/>
      </c>
      <c r="AM74" s="29">
        <f>IFERROR(ABS(AM69)/AM38,"")</f>
        <v/>
      </c>
      <c r="AN74" s="29">
        <f>IFERROR(ABS(AN69)/AN38,"")</f>
        <v/>
      </c>
      <c r="AO74" s="29">
        <f>IFERROR(ABS(AO69)/AO38,"")</f>
        <v/>
      </c>
      <c r="AP74" s="29">
        <f>IFERROR(ABS(AP69)/AP38,"")</f>
        <v/>
      </c>
      <c r="AQ74" s="29">
        <f>IFERROR(ABS(AQ69)/AQ38,"")</f>
        <v/>
      </c>
      <c r="AR74" s="29">
        <f>IFERROR(ABS(AR69)/AR38,"")</f>
        <v/>
      </c>
      <c r="AS74" s="29">
        <f>IFERROR(ABS(AS69)/AS38,"")</f>
        <v/>
      </c>
      <c r="AT74" s="29">
        <f>IFERROR(ABS(AT69)/AT38,"")</f>
        <v/>
      </c>
      <c r="AU74" s="29">
        <f>IFERROR(ABS(AU69)/AU38,"")</f>
        <v/>
      </c>
      <c r="AV74" s="29">
        <f>IFERROR(ABS(AV69)/AV38,"")</f>
        <v/>
      </c>
      <c r="AW74" s="29">
        <f>IFERROR(ABS(AW69)/AW38,"")</f>
        <v/>
      </c>
      <c r="AX74" s="29">
        <f>IFERROR(ABS(AX69)/AX38,"")</f>
        <v/>
      </c>
      <c r="AY74" s="29">
        <f>IFERROR(ABS(AY69)/AY38,"")</f>
        <v/>
      </c>
      <c r="AZ74" s="29">
        <f>IFERROR(ABS(AZ69)/AZ38,"")</f>
        <v/>
      </c>
      <c r="BA74" s="29">
        <f>IFERROR(ABS(BA69)/BA38,"")</f>
        <v/>
      </c>
      <c r="BB74" s="29">
        <f>IFERROR(ABS(BB69)/BB38,"")</f>
        <v/>
      </c>
      <c r="BC74" s="29">
        <f>IFERROR(ABS(BC69)/BC38,"")</f>
        <v/>
      </c>
      <c r="BD74" s="29">
        <f>IFERROR(ABS(BD69)/BD38,"")</f>
        <v/>
      </c>
      <c r="BE74" s="29">
        <f>IFERROR(ABS(BE69)/BE38,"")</f>
        <v/>
      </c>
      <c r="BF74" s="29">
        <f>IFERROR(ABS(BF69)/BF38,"")</f>
        <v/>
      </c>
      <c r="BG74" s="29">
        <f>IFERROR(ABS(BG69)/BG38,"")</f>
        <v/>
      </c>
      <c r="BH74" s="29">
        <f>IFERROR(ABS(BH69)/BH38,"")</f>
        <v/>
      </c>
      <c r="BI74" s="29">
        <f>IFERROR(ABS(BI69)/BI38,"")</f>
        <v/>
      </c>
      <c r="BJ74" s="29">
        <f>IFERROR(ABS(BJ69)/BJ38,"")</f>
        <v/>
      </c>
      <c r="BK74" s="29">
        <f>IFERROR(ABS(BK69)/BK38,"")</f>
        <v/>
      </c>
      <c r="BL74" s="29">
        <f>IFERROR(ABS(BL69)/BL38,"")</f>
        <v/>
      </c>
      <c r="BM74" s="29">
        <f>IFERROR(ABS(BM69)/BM38,"")</f>
        <v/>
      </c>
      <c r="BN74" s="29">
        <f>IFERROR(ABS(BN69)/BN38,"")</f>
        <v/>
      </c>
      <c r="BO74" s="29">
        <f>IFERROR(ABS(BO69)/BO38,"")</f>
        <v/>
      </c>
      <c r="BP74" s="29">
        <f>IFERROR(ABS(BP69)/BP38,"")</f>
        <v/>
      </c>
      <c r="BQ74" s="29">
        <f>IFERROR(ABS(BQ69)/BQ38,"")</f>
        <v/>
      </c>
      <c r="BR74" s="29">
        <f>IFERROR(ABS(BR69)/BR38,"")</f>
        <v/>
      </c>
      <c r="BS74" s="29">
        <f>IFERROR(ABS(BS69)/BS38,"")</f>
        <v/>
      </c>
      <c r="BT74" s="29">
        <f>IFERROR(ABS(BT69)/BT38,"")</f>
        <v/>
      </c>
      <c r="BU74" s="29">
        <f>IFERROR(ABS(BU69)/BU38,"")</f>
        <v/>
      </c>
      <c r="BV74" s="29">
        <f>IFERROR(ABS(BV69)/BV38,"")</f>
        <v/>
      </c>
      <c r="BW74" s="29">
        <f>IFERROR(ABS(BW69)/BW38,"")</f>
        <v/>
      </c>
      <c r="BX74" s="29">
        <f>IFERROR(ABS(BX69)/BX38,"")</f>
        <v/>
      </c>
      <c r="BY74" s="29">
        <f>IFERROR(ABS(BY69)/BY38,"")</f>
        <v/>
      </c>
      <c r="BZ74" s="29">
        <f>IFERROR(ABS(BZ69)/BZ38,"")</f>
        <v/>
      </c>
      <c r="CA74" s="29">
        <f>IFERROR(ABS(CA69)/CA38,"")</f>
        <v/>
      </c>
      <c r="CB74" s="29">
        <f>IFERROR(ABS(CB69)/CB38,"")</f>
        <v/>
      </c>
      <c r="CC74" s="29">
        <f>IFERROR(ABS(CC69)/CC38,"")</f>
        <v/>
      </c>
      <c r="CD74" s="29">
        <f>IFERROR(ABS(CD69)/CD38,"")</f>
        <v/>
      </c>
      <c r="CE74" s="29">
        <f>IFERROR(ABS(CE69)/CE38,"")</f>
        <v/>
      </c>
      <c r="CF74" s="29">
        <f>IFERROR(ABS(CF69)/CF38,"")</f>
        <v/>
      </c>
      <c r="CG74" s="29">
        <f>IFERROR(ABS(CG69)/CG38,"")</f>
        <v/>
      </c>
      <c r="CH74" s="29">
        <f>IFERROR(ABS(CH69)/CH38,"")</f>
        <v/>
      </c>
      <c r="CI74" s="29">
        <f>IFERROR(ABS(CI69)/CI38,"")</f>
        <v/>
      </c>
      <c r="CJ74" s="29">
        <f>IFERROR(ABS(CJ69)/CJ38,"")</f>
        <v/>
      </c>
      <c r="CK74" s="29">
        <f>IFERROR(ABS(CK69)/CK38,"")</f>
        <v/>
      </c>
      <c r="CL74" s="29">
        <f>IFERROR(ABS(CL69)/CL38,"")</f>
        <v/>
      </c>
      <c r="CM74" s="29">
        <f>IFERROR(ABS(CM69)/CM38,"")</f>
        <v/>
      </c>
      <c r="CN74" s="29">
        <f>IFERROR(ABS(CN69)/CN38,"")</f>
        <v/>
      </c>
      <c r="CO74" s="30">
        <f>IFERROR(ABS(CO69)/CO38,"")</f>
        <v/>
      </c>
      <c r="CP74" s="30">
        <f>IFERROR(ABS(CP69)/CP38,"")</f>
        <v/>
      </c>
      <c r="CQ74" s="30">
        <f>IFERROR(ABS(CQ69)/CQ38,"")</f>
        <v/>
      </c>
      <c r="CR74" s="30">
        <f>IFERROR(ABS(CR69)/CR38,"")</f>
        <v/>
      </c>
      <c r="CS74" s="30">
        <f>IFERROR(ABS(CS69)/CS38,"")</f>
        <v/>
      </c>
    </row>
    <row r="76">
      <c r="B76" s="5" t="inlineStr">
        <is>
          <t>CONSOLIDATED BALANCE SHEET  (period end)</t>
        </is>
      </c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  <c r="L76" s="12" t="n"/>
      <c r="M76" s="12" t="n"/>
      <c r="N76" s="12" t="n"/>
      <c r="O76" s="12" t="n"/>
      <c r="P76" s="12" t="n"/>
      <c r="Q76" s="12" t="n"/>
      <c r="R76" s="12" t="n"/>
      <c r="S76" s="12" t="n"/>
      <c r="T76" s="12" t="n"/>
      <c r="U76" s="12" t="n"/>
      <c r="V76" s="12" t="n"/>
      <c r="W76" s="12" t="n"/>
      <c r="X76" s="12" t="n"/>
      <c r="Y76" s="12" t="n"/>
      <c r="Z76" s="12" t="n"/>
      <c r="AA76" s="12" t="n"/>
      <c r="AB76" s="12" t="n"/>
      <c r="AC76" s="12" t="n"/>
      <c r="AD76" s="12" t="n"/>
      <c r="AE76" s="12" t="n"/>
      <c r="AF76" s="12" t="n"/>
      <c r="AG76" s="12" t="n"/>
      <c r="AH76" s="12" t="n"/>
      <c r="AI76" s="12" t="n"/>
      <c r="AJ76" s="12" t="n"/>
      <c r="AK76" s="12" t="n"/>
      <c r="AL76" s="12" t="n"/>
      <c r="AM76" s="12" t="n"/>
      <c r="AN76" s="12" t="n"/>
      <c r="AO76" s="12" t="n"/>
      <c r="AP76" s="12" t="n"/>
      <c r="AQ76" s="12" t="n"/>
      <c r="AR76" s="12" t="n"/>
      <c r="AS76" s="12" t="n"/>
      <c r="AT76" s="12" t="n"/>
      <c r="AU76" s="12" t="n"/>
      <c r="AV76" s="12" t="n"/>
      <c r="AW76" s="12" t="n"/>
      <c r="AX76" s="12" t="n"/>
      <c r="AY76" s="12" t="n"/>
      <c r="AZ76" s="12" t="n"/>
      <c r="BA76" s="12" t="n"/>
      <c r="BB76" s="12" t="n"/>
      <c r="BC76" s="12" t="n"/>
      <c r="BD76" s="12" t="n"/>
      <c r="BE76" s="12" t="n"/>
      <c r="BF76" s="12" t="n"/>
      <c r="BG76" s="12" t="n"/>
      <c r="BH76" s="12" t="n"/>
      <c r="BI76" s="12" t="n"/>
      <c r="BJ76" s="12" t="n"/>
      <c r="BK76" s="12" t="n"/>
      <c r="BL76" s="12" t="n"/>
      <c r="BM76" s="12" t="n"/>
      <c r="BN76" s="12" t="n"/>
      <c r="BO76" s="12" t="n"/>
      <c r="BP76" s="12" t="n"/>
      <c r="BQ76" s="12" t="n"/>
      <c r="BR76" s="12" t="n"/>
      <c r="BS76" s="12" t="n"/>
      <c r="BT76" s="12" t="n"/>
      <c r="BU76" s="12" t="n"/>
      <c r="BV76" s="12" t="n"/>
      <c r="BW76" s="12" t="n"/>
      <c r="BX76" s="12" t="n"/>
      <c r="BY76" s="12" t="n"/>
      <c r="BZ76" s="12" t="n"/>
      <c r="CA76" s="12" t="n"/>
      <c r="CB76" s="12" t="n"/>
      <c r="CC76" s="12" t="n"/>
      <c r="CD76" s="12" t="n"/>
      <c r="CE76" s="12" t="n"/>
      <c r="CF76" s="12" t="n"/>
      <c r="CG76" s="12" t="n"/>
      <c r="CH76" s="12" t="n"/>
      <c r="CI76" s="12" t="n"/>
      <c r="CJ76" s="12" t="n"/>
      <c r="CK76" s="12" t="n"/>
      <c r="CL76" s="12" t="n"/>
      <c r="CM76" s="12" t="n"/>
      <c r="CN76" s="12" t="n"/>
      <c r="CO76" s="12" t="n"/>
      <c r="CP76" s="12" t="n"/>
      <c r="CQ76" s="12" t="n"/>
      <c r="CR76" s="12" t="n"/>
      <c r="CS76" s="12" t="n"/>
      <c r="CT76" s="12" t="n"/>
      <c r="CU76" s="12" t="n"/>
      <c r="CV76" s="12" t="n"/>
      <c r="CW76" s="12" t="n"/>
    </row>
    <row r="77">
      <c r="B77" s="18" t="inlineStr">
        <is>
          <t xml:space="preserve">  Cash &amp; cash equivalents</t>
        </is>
      </c>
      <c r="D77" s="23" t="n">
        <v>203.954</v>
      </c>
      <c r="E77" s="23" t="n">
        <v>203.954</v>
      </c>
      <c r="F77" s="23" t="n">
        <v>192.148</v>
      </c>
      <c r="G77" s="23" t="n">
        <v>74.009</v>
      </c>
      <c r="H77" s="23" t="n">
        <v>74.009</v>
      </c>
      <c r="I77" s="23" t="n">
        <v>212.677</v>
      </c>
      <c r="J77" s="23" t="n">
        <v>127.64</v>
      </c>
      <c r="K77" s="23" t="n">
        <v>127.64</v>
      </c>
      <c r="L77" s="23" t="n">
        <v>207.134</v>
      </c>
      <c r="N77" s="23" t="n">
        <v>140.112</v>
      </c>
      <c r="O77" s="23" t="n">
        <v>131.43</v>
      </c>
      <c r="P77" s="23" t="n">
        <v>49.51</v>
      </c>
      <c r="Q77" s="23" t="n">
        <v>49.51</v>
      </c>
      <c r="R77" s="23" t="n">
        <v>139.331</v>
      </c>
      <c r="S77" s="23" t="n">
        <v>63.631</v>
      </c>
      <c r="T77" s="23" t="n">
        <v>63.631</v>
      </c>
      <c r="U77" s="23" t="n">
        <v>77.05200000000001</v>
      </c>
      <c r="V77" s="23" t="n">
        <v>46.199</v>
      </c>
      <c r="W77" s="23" t="n">
        <v>46.199</v>
      </c>
      <c r="X77" s="23" t="n">
        <v>132.832</v>
      </c>
      <c r="Y77" s="23" t="n">
        <v>158.668</v>
      </c>
      <c r="Z77" s="23" t="n">
        <v>158.668</v>
      </c>
      <c r="AA77" s="23" t="n">
        <v>198.484</v>
      </c>
      <c r="AB77" s="23" t="n">
        <v>590.366</v>
      </c>
      <c r="AC77" s="23" t="n">
        <v>590.366</v>
      </c>
      <c r="AD77" s="23" t="n">
        <v>678.742</v>
      </c>
      <c r="AE77" s="23" t="n">
        <v>456.012</v>
      </c>
      <c r="AF77" s="23" t="n">
        <v>456.012</v>
      </c>
      <c r="AG77" s="23" t="n">
        <v>472.916</v>
      </c>
      <c r="AH77" s="23" t="n">
        <v>141.416</v>
      </c>
      <c r="AI77" s="23" t="n">
        <v>141.416</v>
      </c>
      <c r="AJ77" s="23" t="n">
        <v>137.653</v>
      </c>
      <c r="AK77" s="23" t="n">
        <v>155.849</v>
      </c>
      <c r="AL77" s="23" t="n">
        <v>155.849</v>
      </c>
      <c r="AM77" s="23" t="n">
        <v>168.421</v>
      </c>
      <c r="AN77" s="23" t="n">
        <v>174.952</v>
      </c>
      <c r="AO77" s="23" t="n">
        <v>174.952</v>
      </c>
      <c r="AP77" s="23" t="n">
        <v>189.621</v>
      </c>
      <c r="AQ77" s="23" t="n">
        <v>210.1</v>
      </c>
      <c r="AR77" s="23" t="n">
        <v>210.1</v>
      </c>
      <c r="AS77" s="23" t="n">
        <v>224.246</v>
      </c>
      <c r="AT77" s="23" t="n">
        <v>204.275</v>
      </c>
      <c r="AU77" s="23" t="n">
        <v>204.275</v>
      </c>
      <c r="AV77" s="23" t="n">
        <v>204.275</v>
      </c>
      <c r="AW77" s="23" t="n">
        <v>274.52</v>
      </c>
      <c r="AX77" s="23" t="n">
        <v>274.52</v>
      </c>
      <c r="AY77" s="23" t="n">
        <v>320.309</v>
      </c>
      <c r="AZ77" s="23" t="n">
        <v>108.174</v>
      </c>
      <c r="BA77" s="23" t="n">
        <v>108.174</v>
      </c>
      <c r="BB77" s="23" t="n">
        <v>102.826</v>
      </c>
      <c r="BC77" s="23" t="n">
        <v>186.319</v>
      </c>
      <c r="BD77" s="23" t="n">
        <v>186.319</v>
      </c>
      <c r="BE77" s="23" t="n">
        <v>181.102</v>
      </c>
      <c r="BF77" s="23" t="n">
        <v>93.511</v>
      </c>
      <c r="BG77" s="23" t="n">
        <v>93.511</v>
      </c>
      <c r="BH77" s="23" t="n">
        <v>306.387</v>
      </c>
      <c r="BI77" s="23" t="n">
        <v>477.718</v>
      </c>
      <c r="BJ77" s="23" t="n">
        <v>477.718</v>
      </c>
      <c r="BK77" s="23" t="n">
        <v>605.732</v>
      </c>
      <c r="BL77" s="23" t="n">
        <v>616.403</v>
      </c>
      <c r="BM77" s="23" t="n">
        <v>616.403</v>
      </c>
      <c r="BN77" s="23" t="n">
        <v>911.89</v>
      </c>
      <c r="BO77" s="23" t="n">
        <v>1048.26</v>
      </c>
      <c r="BP77" s="23" t="n">
        <v>1048.26</v>
      </c>
      <c r="BQ77" s="23" t="n">
        <v>1298.373</v>
      </c>
      <c r="BR77" s="23" t="n">
        <v>971.651</v>
      </c>
      <c r="BS77" s="23" t="n">
        <v>971.651</v>
      </c>
      <c r="BT77" s="23" t="n">
        <v>1454.818</v>
      </c>
      <c r="BU77" s="23" t="n">
        <v>1384.236</v>
      </c>
      <c r="BV77" s="23" t="n">
        <v>1384.236</v>
      </c>
      <c r="BW77" s="23" t="n">
        <v>1539.391</v>
      </c>
      <c r="BX77" s="23" t="n">
        <v>1660.952</v>
      </c>
      <c r="BY77" s="23" t="n">
        <v>1660.952</v>
      </c>
      <c r="BZ77" s="23" t="n">
        <v>2114.183</v>
      </c>
      <c r="CA77" s="23" t="n">
        <v>957.395</v>
      </c>
      <c r="CB77" s="23" t="n">
        <v>957.395</v>
      </c>
      <c r="CC77" s="23" t="n">
        <v>2581.567</v>
      </c>
      <c r="CD77" s="23" t="n">
        <v>1256.948</v>
      </c>
      <c r="CE77" s="23" t="n">
        <v>1256.948</v>
      </c>
      <c r="CF77" s="23" t="n">
        <v>1089.995</v>
      </c>
      <c r="CG77" s="23" t="n">
        <v>1514.111</v>
      </c>
      <c r="CH77" s="23" t="n">
        <v>1514.111</v>
      </c>
      <c r="CI77" s="23" t="n">
        <v>3698.118</v>
      </c>
      <c r="CJ77" s="23" t="n">
        <v>3338.909</v>
      </c>
      <c r="CK77" s="23" t="n">
        <v>3338.909</v>
      </c>
      <c r="CL77" s="23" t="n">
        <v>2366.499</v>
      </c>
      <c r="CM77" s="23" t="n">
        <v>2780.531</v>
      </c>
      <c r="CN77" s="23" t="n">
        <v>2780.531</v>
      </c>
    </row>
    <row r="78">
      <c r="B78" s="18" t="inlineStr">
        <is>
          <t xml:space="preserve">  Total current assets</t>
        </is>
      </c>
      <c r="D78" s="23" t="n">
        <v>392.353</v>
      </c>
      <c r="E78" s="23" t="n">
        <v>392.353</v>
      </c>
      <c r="F78" s="23" t="n">
        <v>353.366</v>
      </c>
      <c r="G78" s="23" t="n">
        <v>241.868</v>
      </c>
      <c r="H78" s="23" t="n">
        <v>241.868</v>
      </c>
      <c r="I78" s="23" t="n">
        <v>384.271</v>
      </c>
      <c r="J78" s="23" t="n">
        <v>328.212</v>
      </c>
      <c r="K78" s="23" t="n">
        <v>328.212</v>
      </c>
      <c r="L78" s="23" t="n">
        <v>383.375</v>
      </c>
      <c r="N78" s="23" t="n">
        <v>321.227</v>
      </c>
      <c r="O78" s="23" t="n">
        <v>327.069</v>
      </c>
      <c r="P78" s="23" t="n">
        <v>311.905</v>
      </c>
      <c r="Q78" s="23" t="n">
        <v>311.905</v>
      </c>
      <c r="R78" s="23" t="n">
        <v>353.162</v>
      </c>
      <c r="S78" s="23" t="n">
        <v>306.452</v>
      </c>
      <c r="T78" s="23" t="n">
        <v>306.452</v>
      </c>
      <c r="U78" s="23" t="n">
        <v>320.955</v>
      </c>
      <c r="V78" s="23" t="n">
        <v>332.929</v>
      </c>
      <c r="W78" s="23" t="n">
        <v>332.929</v>
      </c>
      <c r="X78" s="23" t="n">
        <v>385.754</v>
      </c>
      <c r="Y78" s="23" t="n">
        <v>412.291</v>
      </c>
      <c r="Z78" s="23" t="n">
        <v>412.291</v>
      </c>
      <c r="AA78" s="23" t="n">
        <v>457.766</v>
      </c>
      <c r="AB78" s="23" t="n">
        <v>888.425</v>
      </c>
      <c r="AC78" s="23" t="n">
        <v>888.425</v>
      </c>
      <c r="AD78" s="23" t="n">
        <v>954.4589999999999</v>
      </c>
      <c r="AE78" s="23" t="n">
        <v>734.582</v>
      </c>
      <c r="AF78" s="23" t="n">
        <v>734.582</v>
      </c>
      <c r="AG78" s="23" t="n">
        <v>785.6559999999999</v>
      </c>
      <c r="AH78" s="23" t="n">
        <v>506.858</v>
      </c>
      <c r="AI78" s="23" t="n">
        <v>506.858</v>
      </c>
      <c r="AJ78" s="23" t="n">
        <v>464.505</v>
      </c>
      <c r="AK78" s="23" t="n">
        <v>499.306</v>
      </c>
      <c r="AL78" s="23" t="n">
        <v>499.306</v>
      </c>
      <c r="AM78" s="23" t="n">
        <v>630.711</v>
      </c>
      <c r="AN78" s="23" t="n">
        <v>659.252</v>
      </c>
      <c r="AO78" s="23" t="n">
        <v>659.252</v>
      </c>
      <c r="AP78" s="23" t="n">
        <v>593.609</v>
      </c>
      <c r="AQ78" s="23" t="n">
        <v>587.261</v>
      </c>
      <c r="AR78" s="23" t="n">
        <v>587.261</v>
      </c>
      <c r="AS78" s="23" t="n">
        <v>654.371</v>
      </c>
      <c r="AT78" s="23" t="n">
        <v>666.476</v>
      </c>
      <c r="AU78" s="23" t="n">
        <v>666.476</v>
      </c>
      <c r="AV78" s="23" t="n">
        <v>630.902</v>
      </c>
      <c r="AW78" s="23" t="n">
        <v>709.116</v>
      </c>
      <c r="AX78" s="23" t="n">
        <v>709.116</v>
      </c>
      <c r="AY78" s="23" t="n">
        <v>763.222</v>
      </c>
      <c r="AZ78" s="23" t="n">
        <v>628.466</v>
      </c>
      <c r="BA78" s="23" t="n">
        <v>628.466</v>
      </c>
      <c r="BB78" s="23" t="n">
        <v>613.585</v>
      </c>
      <c r="BC78" s="23" t="n">
        <v>687.167</v>
      </c>
      <c r="BD78" s="23" t="n">
        <v>687.167</v>
      </c>
      <c r="BE78" s="23" t="n">
        <v>744.076</v>
      </c>
      <c r="BF78" s="23" t="n">
        <v>731.963</v>
      </c>
      <c r="BG78" s="23" t="n">
        <v>731.963</v>
      </c>
      <c r="BH78" s="23" t="n">
        <v>794.152</v>
      </c>
      <c r="BI78" s="23" t="n">
        <v>963.759</v>
      </c>
      <c r="BJ78" s="23" t="n">
        <v>963.759</v>
      </c>
      <c r="BK78" s="23" t="n">
        <v>1138.176</v>
      </c>
      <c r="BL78" s="23" t="n">
        <v>1225.467</v>
      </c>
      <c r="BM78" s="23" t="n">
        <v>1225.467</v>
      </c>
      <c r="BN78" s="23" t="n">
        <v>1499.371</v>
      </c>
      <c r="BO78" s="23" t="n">
        <v>1702.611</v>
      </c>
      <c r="BP78" s="23" t="n">
        <v>1702.611</v>
      </c>
      <c r="BQ78" s="23" t="n">
        <v>2039.78</v>
      </c>
      <c r="BR78" s="23" t="n">
        <v>2189.373</v>
      </c>
      <c r="BS78" s="23" t="n">
        <v>2189.373</v>
      </c>
      <c r="BT78" s="23" t="n">
        <v>2457.426</v>
      </c>
      <c r="BU78" s="23" t="n">
        <v>2202.455</v>
      </c>
      <c r="BV78" s="23" t="n">
        <v>2202.455</v>
      </c>
      <c r="BW78" s="23" t="n">
        <v>2364.605</v>
      </c>
      <c r="BX78" s="23" t="n">
        <v>2638.781</v>
      </c>
      <c r="BY78" s="23" t="n">
        <v>2638.781</v>
      </c>
      <c r="BZ78" s="23" t="n">
        <v>3001.03</v>
      </c>
      <c r="CA78" s="23" t="n">
        <v>3262.604</v>
      </c>
      <c r="CB78" s="23" t="n">
        <v>3262.604</v>
      </c>
      <c r="CC78" s="23" t="n">
        <v>3584.89</v>
      </c>
      <c r="CD78" s="23" t="n">
        <v>3748.486</v>
      </c>
      <c r="CE78" s="23" t="n">
        <v>3748.486</v>
      </c>
      <c r="CF78" s="23" t="n">
        <v>4149.129</v>
      </c>
      <c r="CG78" s="23" t="n">
        <v>4418.184</v>
      </c>
      <c r="CH78" s="23" t="n">
        <v>4418.184</v>
      </c>
      <c r="CI78" s="23" t="n">
        <v>4733.117</v>
      </c>
      <c r="CJ78" s="23" t="n">
        <v>4966.783</v>
      </c>
      <c r="CK78" s="23" t="n">
        <v>4966.783</v>
      </c>
      <c r="CL78" s="23" t="n">
        <v>5359.154</v>
      </c>
      <c r="CM78" s="23" t="n">
        <v>5754.628</v>
      </c>
      <c r="CN78" s="23" t="n">
        <v>5754.628</v>
      </c>
    </row>
    <row r="79">
      <c r="B79" s="18" t="inlineStr">
        <is>
          <t xml:space="preserve">  Property &amp; equipment, net</t>
        </is>
      </c>
      <c r="D79" s="23" t="n">
        <v>575.686</v>
      </c>
      <c r="E79" s="23" t="n">
        <v>575.686</v>
      </c>
      <c r="F79" s="23" t="n">
        <v>598.968</v>
      </c>
      <c r="G79" s="23" t="n">
        <v>600.388</v>
      </c>
      <c r="H79" s="23" t="n">
        <v>600.388</v>
      </c>
      <c r="I79" s="23" t="n">
        <v>594.851</v>
      </c>
      <c r="J79" s="23" t="n">
        <v>568.816</v>
      </c>
      <c r="K79" s="23" t="n">
        <v>568.816</v>
      </c>
      <c r="L79" s="23" t="n">
        <v>574.732</v>
      </c>
      <c r="N79" s="23" t="n">
        <v>587.163</v>
      </c>
      <c r="O79" s="23" t="n">
        <v>625.043</v>
      </c>
      <c r="P79" s="23" t="n">
        <v>657.424</v>
      </c>
      <c r="Q79" s="23" t="n">
        <v>657.424</v>
      </c>
      <c r="R79" s="23" t="n">
        <v>676.698</v>
      </c>
      <c r="S79" s="23" t="n">
        <v>677.5170000000001</v>
      </c>
      <c r="T79" s="23" t="n">
        <v>677.5170000000001</v>
      </c>
      <c r="U79" s="23" t="n">
        <v>692.398</v>
      </c>
      <c r="V79" s="23" t="n">
        <v>707.379</v>
      </c>
      <c r="W79" s="23" t="n">
        <v>707.379</v>
      </c>
      <c r="X79" s="23" t="n">
        <v>685.564</v>
      </c>
      <c r="Y79" s="23" t="n">
        <v>692.383</v>
      </c>
      <c r="Z79" s="23" t="n">
        <v>692.383</v>
      </c>
      <c r="AA79" s="23" t="n">
        <v>691.981</v>
      </c>
      <c r="AB79" s="23" t="n">
        <v>688.244</v>
      </c>
      <c r="AC79" s="23" t="n">
        <v>688.244</v>
      </c>
      <c r="AD79" s="23" t="n">
        <v>683.956</v>
      </c>
      <c r="AE79" s="23" t="n">
        <v>700.402</v>
      </c>
      <c r="AF79" s="23" t="n">
        <v>700.402</v>
      </c>
      <c r="AG79" s="23" t="n">
        <v>705.59</v>
      </c>
      <c r="AH79" s="23" t="n">
        <v>744.224</v>
      </c>
      <c r="AI79" s="23" t="n">
        <v>744.224</v>
      </c>
      <c r="AJ79" s="23" t="n">
        <v>806.973</v>
      </c>
      <c r="AK79" s="23" t="n">
        <v>816.7910000000001</v>
      </c>
      <c r="AL79" s="23" t="n">
        <v>816.7910000000001</v>
      </c>
      <c r="AM79" s="23" t="n">
        <v>840.587</v>
      </c>
      <c r="AN79" s="23" t="n">
        <v>882.256</v>
      </c>
      <c r="AO79" s="23" t="n">
        <v>882.256</v>
      </c>
      <c r="AP79" s="23" t="n">
        <v>913.303</v>
      </c>
      <c r="AQ79" s="23" t="n">
        <v>944.056</v>
      </c>
      <c r="AR79" s="23" t="n">
        <v>944.056</v>
      </c>
      <c r="AS79" s="23" t="n">
        <v>959.716</v>
      </c>
      <c r="AT79" s="23" t="n">
        <v>1024.564</v>
      </c>
      <c r="AU79" s="23" t="n">
        <v>1024.564</v>
      </c>
      <c r="AV79" s="23" t="n">
        <v>1087.91</v>
      </c>
      <c r="AW79" s="23" t="n">
        <v>1163.425</v>
      </c>
      <c r="AX79" s="23" t="n">
        <v>1163.425</v>
      </c>
      <c r="AY79" s="23" t="n">
        <v>1188.088</v>
      </c>
      <c r="AZ79" s="23" t="n">
        <v>1237.117</v>
      </c>
      <c r="BA79" s="23" t="n">
        <v>1237.117</v>
      </c>
      <c r="BB79" s="23" t="n">
        <v>1340.692</v>
      </c>
      <c r="BC79" s="23" t="n">
        <v>1427.726</v>
      </c>
      <c r="BD79" s="23" t="n">
        <v>1427.726</v>
      </c>
      <c r="BE79" s="23" t="n">
        <v>1545.714</v>
      </c>
      <c r="BF79" s="23" t="n">
        <v>1789.326</v>
      </c>
      <c r="BG79" s="23" t="n">
        <v>1789.326</v>
      </c>
      <c r="BH79" s="23" t="n">
        <v>1838.297</v>
      </c>
      <c r="BI79" s="23" t="n">
        <v>1941.719</v>
      </c>
      <c r="BJ79" s="23" t="n">
        <v>1941.719</v>
      </c>
      <c r="BK79" s="23" t="n">
        <v>2072.059</v>
      </c>
      <c r="BL79" s="23" t="n">
        <v>2175.346</v>
      </c>
      <c r="BM79" s="23" t="n">
        <v>2175.346</v>
      </c>
      <c r="BN79" s="23" t="n">
        <v>2227.531</v>
      </c>
      <c r="BO79" s="23" t="n">
        <v>2296.624</v>
      </c>
      <c r="BP79" s="23" t="n">
        <v>2296.624</v>
      </c>
      <c r="BQ79" s="23" t="n">
        <v>2318.701</v>
      </c>
      <c r="BR79" s="23" t="n">
        <v>2376.013</v>
      </c>
      <c r="BS79" s="23" t="n">
        <v>2376.013</v>
      </c>
      <c r="BT79" s="23" t="n">
        <v>2402.809</v>
      </c>
      <c r="BU79" s="23" t="n">
        <v>2485.764</v>
      </c>
      <c r="BV79" s="23" t="n">
        <v>2485.764</v>
      </c>
      <c r="BW79" s="23" t="n">
        <v>2582.481</v>
      </c>
      <c r="BX79" s="23" t="n">
        <v>2656.273</v>
      </c>
      <c r="BY79" s="23" t="n">
        <v>2656.273</v>
      </c>
      <c r="BZ79" s="23" t="n">
        <v>2710.933</v>
      </c>
      <c r="CA79" s="23" t="n">
        <v>2844.339</v>
      </c>
      <c r="CB79" s="23" t="n">
        <v>2844.339</v>
      </c>
      <c r="CC79" s="23" t="n">
        <v>2943.537</v>
      </c>
      <c r="CD79" s="23" t="n">
        <v>3042.711</v>
      </c>
      <c r="CE79" s="23" t="n">
        <v>3042.711</v>
      </c>
      <c r="CF79" s="23" t="n">
        <v>3073.09</v>
      </c>
      <c r="CG79" s="23" t="n">
        <v>3175.838</v>
      </c>
      <c r="CH79" s="23" t="n">
        <v>3175.838</v>
      </c>
      <c r="CI79" s="23" t="n">
        <v>3363.155</v>
      </c>
      <c r="CJ79" s="23" t="n">
        <v>3462.768</v>
      </c>
      <c r="CK79" s="23" t="n">
        <v>3462.768</v>
      </c>
      <c r="CL79" s="23" t="n">
        <v>3569.267</v>
      </c>
      <c r="CM79" s="23" t="n">
        <v>3598.093</v>
      </c>
      <c r="CN79" s="23" t="n">
        <v>3598.093</v>
      </c>
    </row>
    <row r="80">
      <c r="B80" s="18" t="inlineStr">
        <is>
          <t xml:space="preserve">  Goodwill</t>
        </is>
      </c>
      <c r="D80" s="23" t="n">
        <v>177.882</v>
      </c>
      <c r="E80" s="23" t="n">
        <v>177.882</v>
      </c>
      <c r="F80" s="23" t="n">
        <v>200.611</v>
      </c>
      <c r="G80" s="23" t="n">
        <v>198.62</v>
      </c>
      <c r="H80" s="23" t="n">
        <v>198.62</v>
      </c>
      <c r="I80" s="23" t="n">
        <v>197.129</v>
      </c>
      <c r="J80" s="23" t="n">
        <v>194.954</v>
      </c>
      <c r="K80" s="23" t="n">
        <v>194.954</v>
      </c>
      <c r="L80" s="23" t="n">
        <v>197.808</v>
      </c>
      <c r="N80" s="23" t="n">
        <v>196.438</v>
      </c>
      <c r="O80" s="23" t="n">
        <v>198.558</v>
      </c>
      <c r="P80" s="23" t="n">
        <v>210.188</v>
      </c>
      <c r="Q80" s="23" t="n">
        <v>210.188</v>
      </c>
      <c r="R80" s="23" t="n">
        <v>208.58</v>
      </c>
      <c r="S80" s="23" t="n">
        <v>267.463</v>
      </c>
      <c r="T80" s="23" t="n">
        <v>267.463</v>
      </c>
      <c r="U80" s="23" t="n">
        <v>281.447</v>
      </c>
      <c r="V80" s="23" t="n">
        <v>291.227</v>
      </c>
      <c r="W80" s="23" t="n">
        <v>291.227</v>
      </c>
      <c r="X80" s="23" t="n">
        <v>288.402</v>
      </c>
      <c r="Y80" s="23" t="n">
        <v>283.78</v>
      </c>
      <c r="Z80" s="23" t="n">
        <v>283.78</v>
      </c>
      <c r="AA80" s="23" t="n">
        <v>276.889</v>
      </c>
      <c r="AB80" s="23" t="n">
        <v>270.492</v>
      </c>
      <c r="AC80" s="23" t="n">
        <v>270.492</v>
      </c>
      <c r="AD80" s="23" t="n">
        <v>271.484</v>
      </c>
      <c r="AE80" s="23" t="n">
        <v>271.85</v>
      </c>
      <c r="AF80" s="23" t="n">
        <v>271.85</v>
      </c>
      <c r="AG80" s="23" t="n">
        <v>270.62</v>
      </c>
      <c r="AH80" s="23" t="n">
        <v>264.128</v>
      </c>
      <c r="AI80" s="23" t="n">
        <v>264.128</v>
      </c>
      <c r="AJ80" s="23" t="n">
        <v>267.367</v>
      </c>
      <c r="AK80" s="23" t="n">
        <v>260.198</v>
      </c>
      <c r="AL80" s="23" t="n">
        <v>260.198</v>
      </c>
      <c r="AM80" s="23" t="n">
        <v>255.093</v>
      </c>
      <c r="AN80" s="23" t="n">
        <v>256.867</v>
      </c>
      <c r="AO80" s="23" t="n">
        <v>256.867</v>
      </c>
      <c r="AP80" s="23" t="n">
        <v>258.634</v>
      </c>
      <c r="AQ80" s="23" t="n">
        <v>340.243</v>
      </c>
      <c r="AR80" s="23" t="n">
        <v>340.243</v>
      </c>
      <c r="AS80" s="23" t="n">
        <v>339.024</v>
      </c>
      <c r="AT80" s="23" t="n">
        <v>344.499</v>
      </c>
      <c r="AU80" s="23" t="n">
        <v>344.499</v>
      </c>
      <c r="AV80" s="23" t="n">
        <v>342.459</v>
      </c>
      <c r="AW80" s="23" t="n">
        <v>337.235</v>
      </c>
      <c r="AX80" s="23" t="n">
        <v>337.235</v>
      </c>
      <c r="AY80" s="23" t="n">
        <v>335.12</v>
      </c>
      <c r="AZ80" s="23" t="n">
        <v>338.045</v>
      </c>
      <c r="BA80" s="23" t="n">
        <v>338.045</v>
      </c>
      <c r="BB80" s="23" t="n">
        <v>337.725</v>
      </c>
      <c r="BC80" s="23" t="n">
        <v>333.321</v>
      </c>
      <c r="BD80" s="23" t="n">
        <v>333.321</v>
      </c>
      <c r="BE80" s="23" t="n">
        <v>337.179</v>
      </c>
      <c r="BF80" s="23" t="n">
        <v>338.262</v>
      </c>
      <c r="BG80" s="23" t="n">
        <v>338.262</v>
      </c>
      <c r="BH80" s="23" t="n">
        <v>338.039</v>
      </c>
      <c r="BI80" s="23" t="n">
        <v>343.622</v>
      </c>
      <c r="BJ80" s="23" t="n">
        <v>343.622</v>
      </c>
      <c r="BK80" s="23" t="n">
        <v>342.576</v>
      </c>
      <c r="BL80" s="23" t="n">
        <v>346.966</v>
      </c>
      <c r="BM80" s="23" t="n">
        <v>346.966</v>
      </c>
      <c r="BN80" s="23" t="n">
        <v>347.515</v>
      </c>
      <c r="BO80" s="23" t="n">
        <v>355.717</v>
      </c>
      <c r="BP80" s="23" t="n">
        <v>355.717</v>
      </c>
      <c r="BQ80" s="23" t="n">
        <v>354.062</v>
      </c>
      <c r="BR80" s="23" t="n">
        <v>352.908</v>
      </c>
      <c r="BS80" s="23" t="n">
        <v>352.908</v>
      </c>
      <c r="BT80" s="23" t="n">
        <v>348</v>
      </c>
      <c r="BU80" s="23" t="n">
        <v>401.954</v>
      </c>
      <c r="BV80" s="23" t="n">
        <v>401.954</v>
      </c>
      <c r="BW80" s="23" t="n">
        <v>394.844</v>
      </c>
      <c r="BX80" s="23" t="n">
        <v>404.046</v>
      </c>
      <c r="BY80" s="23" t="n">
        <v>404.046</v>
      </c>
      <c r="BZ80" s="23" t="n">
        <v>406.64</v>
      </c>
      <c r="CA80" s="23" t="n">
        <v>394.289</v>
      </c>
      <c r="CB80" s="23" t="n">
        <v>394.289</v>
      </c>
      <c r="CC80" s="23" t="n">
        <v>500.926</v>
      </c>
      <c r="CD80" s="23" t="n">
        <v>510.563</v>
      </c>
      <c r="CE80" s="23" t="n">
        <v>510.563</v>
      </c>
      <c r="CF80" s="23" t="n">
        <v>511.372</v>
      </c>
      <c r="CG80" s="23" t="n">
        <v>513.909</v>
      </c>
      <c r="CH80" s="23" t="n">
        <v>513.909</v>
      </c>
      <c r="CI80" s="23" t="n">
        <v>514.4829999999999</v>
      </c>
      <c r="CJ80" s="23" t="n">
        <v>509.67</v>
      </c>
      <c r="CK80" s="23" t="n">
        <v>509.67</v>
      </c>
      <c r="CL80" s="23" t="n">
        <v>518.6</v>
      </c>
      <c r="CM80" s="23" t="n">
        <v>517.779</v>
      </c>
      <c r="CN80" s="23" t="n">
        <v>517.779</v>
      </c>
    </row>
    <row r="81">
      <c r="B81" s="6" t="inlineStr">
        <is>
          <t>Total assets</t>
        </is>
      </c>
      <c r="D81" s="27" t="n">
        <v>1188.411</v>
      </c>
      <c r="E81" s="27" t="n">
        <v>1188.411</v>
      </c>
      <c r="F81" s="27" t="n">
        <v>1191.312</v>
      </c>
      <c r="G81" s="27" t="n">
        <v>1084.436</v>
      </c>
      <c r="H81" s="27" t="n">
        <v>1084.436</v>
      </c>
      <c r="I81" s="27" t="n">
        <v>1225.884</v>
      </c>
      <c r="J81" s="27" t="n">
        <v>1139.658</v>
      </c>
      <c r="K81" s="27" t="n">
        <v>1139.658</v>
      </c>
      <c r="L81" s="27" t="n">
        <v>1204.763</v>
      </c>
      <c r="N81" s="27" t="n">
        <v>1154</v>
      </c>
      <c r="O81" s="27" t="n">
        <v>1214.526</v>
      </c>
      <c r="P81" s="27" t="n">
        <v>1253.946</v>
      </c>
      <c r="Q81" s="27" t="n">
        <v>1253.946</v>
      </c>
      <c r="R81" s="27" t="n">
        <v>1298.682</v>
      </c>
      <c r="S81" s="27" t="n">
        <v>1334.481</v>
      </c>
      <c r="T81" s="27" t="n">
        <v>1334.481</v>
      </c>
      <c r="U81" s="27" t="n">
        <v>1397.388</v>
      </c>
      <c r="V81" s="27" t="n">
        <v>1438.493</v>
      </c>
      <c r="W81" s="27" t="n">
        <v>1438.493</v>
      </c>
      <c r="X81" s="27" t="n">
        <v>1476.672</v>
      </c>
      <c r="Y81" s="27" t="n">
        <v>1506.121</v>
      </c>
      <c r="Z81" s="27" t="n">
        <v>1506.121</v>
      </c>
      <c r="AA81" s="27" t="n">
        <v>1536.586</v>
      </c>
      <c r="AB81" s="27" t="n">
        <v>1952.071</v>
      </c>
      <c r="AC81" s="27" t="n">
        <v>1952.071</v>
      </c>
      <c r="AD81" s="27" t="n">
        <v>2002.977</v>
      </c>
      <c r="AE81" s="27" t="n">
        <v>1798.66</v>
      </c>
      <c r="AF81" s="27" t="n">
        <v>1798.66</v>
      </c>
      <c r="AG81" s="27" t="n">
        <v>1855.764</v>
      </c>
      <c r="AH81" s="27" t="n">
        <v>1604.364</v>
      </c>
      <c r="AI81" s="27" t="n">
        <v>1604.364</v>
      </c>
      <c r="AJ81" s="27" t="n">
        <v>1624.135</v>
      </c>
      <c r="AK81" s="27" t="n">
        <v>1649.82</v>
      </c>
      <c r="AL81" s="27" t="n">
        <v>1649.82</v>
      </c>
      <c r="AM81" s="27" t="n">
        <v>1770.396</v>
      </c>
      <c r="AN81" s="27" t="n">
        <v>1841.241</v>
      </c>
      <c r="AO81" s="27" t="n">
        <v>1841.241</v>
      </c>
      <c r="AP81" s="27" t="n">
        <v>1811.686</v>
      </c>
      <c r="AQ81" s="27" t="n">
        <v>1982.501</v>
      </c>
      <c r="AR81" s="27" t="n">
        <v>1982.501</v>
      </c>
      <c r="AS81" s="27" t="n">
        <v>2062.67</v>
      </c>
      <c r="AT81" s="27" t="n">
        <v>2143.541</v>
      </c>
      <c r="AU81" s="27" t="n">
        <v>2143.541</v>
      </c>
      <c r="AV81" s="27" t="n">
        <v>2165.193</v>
      </c>
      <c r="AW81" s="27" t="n">
        <v>2307.698</v>
      </c>
      <c r="AX81" s="27" t="n">
        <v>2307.698</v>
      </c>
      <c r="AY81" s="27" t="n">
        <v>2381.788</v>
      </c>
      <c r="AZ81" s="27" t="n">
        <v>2296.905</v>
      </c>
      <c r="BA81" s="27" t="n">
        <v>2296.905</v>
      </c>
      <c r="BB81" s="27" t="n">
        <v>2391.763</v>
      </c>
      <c r="BC81" s="27" t="n">
        <v>2547.617</v>
      </c>
      <c r="BD81" s="27" t="n">
        <v>2547.617</v>
      </c>
      <c r="BE81" s="27" t="n">
        <v>2855.939</v>
      </c>
      <c r="BF81" s="27" t="n">
        <v>3048.605</v>
      </c>
      <c r="BG81" s="27" t="n">
        <v>3048.605</v>
      </c>
      <c r="BH81" s="27" t="n">
        <v>3161.583</v>
      </c>
      <c r="BI81" s="27" t="n">
        <v>3455.261</v>
      </c>
      <c r="BJ81" s="27" t="n">
        <v>3455.261</v>
      </c>
      <c r="BK81" s="27" t="n">
        <v>3741.188</v>
      </c>
      <c r="BL81" s="27" t="n">
        <v>3934.438</v>
      </c>
      <c r="BM81" s="27" t="n">
        <v>3934.438</v>
      </c>
      <c r="BN81" s="27" t="n">
        <v>4281.946</v>
      </c>
      <c r="BO81" s="27" t="n">
        <v>4562.143</v>
      </c>
      <c r="BP81" s="27" t="n">
        <v>4562.143</v>
      </c>
      <c r="BQ81" s="27" t="n">
        <v>4918.852</v>
      </c>
      <c r="BR81" s="27" t="n">
        <v>5136.956</v>
      </c>
      <c r="BS81" s="27" t="n">
        <v>5136.956</v>
      </c>
      <c r="BT81" s="27" t="n">
        <v>5443.874</v>
      </c>
      <c r="BU81" s="27" t="n">
        <v>5308.864</v>
      </c>
      <c r="BV81" s="27" t="n">
        <v>5308.864</v>
      </c>
      <c r="BW81" s="27" t="n">
        <v>5593.677</v>
      </c>
      <c r="BX81" s="27" t="n">
        <v>5932.408</v>
      </c>
      <c r="BY81" s="27" t="n">
        <v>5932.408</v>
      </c>
      <c r="BZ81" s="27" t="n">
        <v>6349.805</v>
      </c>
      <c r="CA81" s="27" t="n">
        <v>6737.879</v>
      </c>
      <c r="CB81" s="27" t="n">
        <v>6737.879</v>
      </c>
      <c r="CC81" s="27" t="n">
        <v>7333.786</v>
      </c>
      <c r="CD81" s="27" t="n">
        <v>7598.52</v>
      </c>
      <c r="CE81" s="27" t="n">
        <v>7598.52</v>
      </c>
      <c r="CF81" s="27" t="n">
        <v>8010.632</v>
      </c>
      <c r="CG81" s="27" t="n">
        <v>8427.763999999999</v>
      </c>
      <c r="CH81" s="27" t="n">
        <v>8427.763999999999</v>
      </c>
      <c r="CI81" s="27" t="n">
        <v>8869.486999999999</v>
      </c>
      <c r="CJ81" s="27" t="n">
        <v>9187.347</v>
      </c>
      <c r="CK81" s="27" t="n">
        <v>9187.347</v>
      </c>
      <c r="CL81" s="27" t="n">
        <v>9672.222</v>
      </c>
      <c r="CM81" s="27" t="n">
        <v>10090.902</v>
      </c>
      <c r="CN81" s="27" t="n">
        <v>10090.902</v>
      </c>
    </row>
    <row r="82">
      <c r="B82" s="18" t="inlineStr">
        <is>
          <t xml:space="preserve">  Total current liabilities</t>
        </is>
      </c>
      <c r="D82" s="23" t="n">
        <v>160.893</v>
      </c>
      <c r="E82" s="23" t="n">
        <v>160.893</v>
      </c>
      <c r="F82" s="23" t="n">
        <v>171.406</v>
      </c>
      <c r="G82" s="23" t="n">
        <v>166.626</v>
      </c>
      <c r="H82" s="23" t="n">
        <v>166.626</v>
      </c>
      <c r="I82" s="23" t="n">
        <v>208.635</v>
      </c>
      <c r="J82" s="23" t="n">
        <v>186.182</v>
      </c>
      <c r="K82" s="23" t="n">
        <v>186.182</v>
      </c>
      <c r="L82" s="23" t="n">
        <v>198.771</v>
      </c>
      <c r="N82" s="23" t="n">
        <v>186.319</v>
      </c>
      <c r="O82" s="23" t="n">
        <v>217.215</v>
      </c>
      <c r="P82" s="23" t="n">
        <v>212.811</v>
      </c>
      <c r="Q82" s="23" t="n">
        <v>212.811</v>
      </c>
      <c r="R82" s="23" t="n">
        <v>218.377</v>
      </c>
      <c r="S82" s="23" t="n">
        <v>238.559</v>
      </c>
      <c r="T82" s="23" t="n">
        <v>238.559</v>
      </c>
      <c r="U82" s="23" t="n">
        <v>257.907</v>
      </c>
      <c r="V82" s="23" t="n">
        <v>259.651</v>
      </c>
      <c r="W82" s="23" t="n">
        <v>259.651</v>
      </c>
      <c r="X82" s="23" t="n">
        <v>256.742</v>
      </c>
      <c r="Y82" s="23" t="n">
        <v>244.284</v>
      </c>
      <c r="Z82" s="23" t="n">
        <v>244.284</v>
      </c>
      <c r="AA82" s="23" t="n">
        <v>259.691</v>
      </c>
      <c r="AB82" s="23" t="n">
        <v>234.724</v>
      </c>
      <c r="AC82" s="23" t="n">
        <v>234.724</v>
      </c>
      <c r="AD82" s="23" t="n">
        <v>229.448</v>
      </c>
      <c r="AE82" s="23" t="n">
        <v>213.126</v>
      </c>
      <c r="AF82" s="23" t="n">
        <v>213.126</v>
      </c>
      <c r="AG82" s="23" t="n">
        <v>223.926</v>
      </c>
      <c r="AH82" s="23" t="n">
        <v>265.117</v>
      </c>
      <c r="AI82" s="23" t="n">
        <v>265.117</v>
      </c>
      <c r="AJ82" s="23" t="n">
        <v>203.581</v>
      </c>
      <c r="AK82" s="23" t="n">
        <v>278.783</v>
      </c>
      <c r="AL82" s="23" t="n">
        <v>278.783</v>
      </c>
      <c r="AM82" s="23" t="n">
        <v>357.678</v>
      </c>
      <c r="AN82" s="23" t="n">
        <v>345.947</v>
      </c>
      <c r="AO82" s="23" t="n">
        <v>345.947</v>
      </c>
      <c r="AP82" s="23" t="n">
        <v>221.488</v>
      </c>
      <c r="AQ82" s="23" t="n">
        <v>302.153</v>
      </c>
      <c r="AR82" s="23" t="n">
        <v>302.153</v>
      </c>
      <c r="AS82" s="23" t="n">
        <v>289.169</v>
      </c>
      <c r="AT82" s="23" t="n">
        <v>375.048</v>
      </c>
      <c r="AU82" s="23" t="n">
        <v>375.048</v>
      </c>
      <c r="AV82" s="23" t="n">
        <v>270.578</v>
      </c>
      <c r="AW82" s="23" t="n">
        <v>277.256</v>
      </c>
      <c r="AX82" s="23" t="n">
        <v>277.256</v>
      </c>
      <c r="AY82" s="23" t="n">
        <v>254.808</v>
      </c>
      <c r="AZ82" s="23" t="n">
        <v>372.033</v>
      </c>
      <c r="BA82" s="23" t="n">
        <v>372.033</v>
      </c>
      <c r="BB82" s="23" t="n">
        <v>296.906</v>
      </c>
      <c r="BC82" s="23" t="n">
        <v>282.004</v>
      </c>
      <c r="BD82" s="23" t="n">
        <v>282.004</v>
      </c>
      <c r="BE82" s="23" t="n">
        <v>323.318</v>
      </c>
      <c r="BF82" s="23" t="n">
        <v>342.837</v>
      </c>
      <c r="BG82" s="23" t="n">
        <v>342.837</v>
      </c>
      <c r="BH82" s="23" t="n">
        <v>286.568</v>
      </c>
      <c r="BI82" s="23" t="n">
        <v>356.044</v>
      </c>
      <c r="BJ82" s="23" t="n">
        <v>356.044</v>
      </c>
      <c r="BK82" s="23" t="n">
        <v>407.536</v>
      </c>
      <c r="BL82" s="23" t="n">
        <v>371.015</v>
      </c>
      <c r="BM82" s="23" t="n">
        <v>371.015</v>
      </c>
      <c r="BN82" s="23" t="n">
        <v>413.045</v>
      </c>
      <c r="BO82" s="23" t="n">
        <v>421.031</v>
      </c>
      <c r="BP82" s="23" t="n">
        <v>421.031</v>
      </c>
      <c r="BQ82" s="23" t="n">
        <v>491.911</v>
      </c>
      <c r="BR82" s="23" t="n">
        <v>417.86</v>
      </c>
      <c r="BS82" s="23" t="n">
        <v>417.86</v>
      </c>
      <c r="BT82" s="23" t="n">
        <v>449.095</v>
      </c>
      <c r="BU82" s="23" t="n">
        <v>440.889</v>
      </c>
      <c r="BV82" s="23" t="n">
        <v>440.889</v>
      </c>
      <c r="BW82" s="23" t="n">
        <v>504.477</v>
      </c>
      <c r="BX82" s="23" t="n">
        <v>487.623</v>
      </c>
      <c r="BY82" s="23" t="n">
        <v>487.623</v>
      </c>
      <c r="BZ82" s="23" t="n">
        <v>506.564</v>
      </c>
      <c r="CA82" s="23" t="n">
        <v>492.769</v>
      </c>
      <c r="CB82" s="23" t="n">
        <v>492.769</v>
      </c>
      <c r="CC82" s="23" t="n">
        <v>624.417</v>
      </c>
      <c r="CD82" s="23" t="n">
        <v>526.023</v>
      </c>
      <c r="CE82" s="23" t="n">
        <v>526.023</v>
      </c>
      <c r="CF82" s="23" t="n">
        <v>563.419</v>
      </c>
      <c r="CG82" s="23" t="n">
        <v>628.567</v>
      </c>
      <c r="CH82" s="23" t="n">
        <v>628.567</v>
      </c>
      <c r="CI82" s="23" t="n">
        <v>714.855</v>
      </c>
      <c r="CJ82" s="23" t="n">
        <v>629.6369999999999</v>
      </c>
      <c r="CK82" s="23" t="n">
        <v>629.6369999999999</v>
      </c>
      <c r="CL82" s="23" t="n">
        <v>657.1319999999999</v>
      </c>
      <c r="CM82" s="23" t="n">
        <v>683.2809999999999</v>
      </c>
      <c r="CN82" s="23" t="n">
        <v>683.2809999999999</v>
      </c>
    </row>
    <row r="83">
      <c r="B83" s="18" t="inlineStr">
        <is>
          <t xml:space="preserve">  Long-term debt</t>
        </is>
      </c>
      <c r="D83" s="23" t="n">
        <v>350.474</v>
      </c>
      <c r="E83" s="23" t="n">
        <v>350.474</v>
      </c>
      <c r="F83" s="23" t="n">
        <v>337.952</v>
      </c>
      <c r="G83" s="23" t="n">
        <v>325.386</v>
      </c>
      <c r="H83" s="23" t="n">
        <v>325.386</v>
      </c>
      <c r="I83" s="23" t="n">
        <v>425.337</v>
      </c>
      <c r="J83" s="23" t="n">
        <v>406.536</v>
      </c>
      <c r="K83" s="23" t="n">
        <v>406.536</v>
      </c>
      <c r="L83" s="23" t="n">
        <v>387.752</v>
      </c>
      <c r="N83" s="23" t="n">
        <v>368.95</v>
      </c>
      <c r="O83" s="23" t="n">
        <v>350.159</v>
      </c>
      <c r="P83" s="23" t="n">
        <v>333.068</v>
      </c>
      <c r="Q83" s="23" t="n">
        <v>333.068</v>
      </c>
      <c r="R83" s="23" t="n">
        <v>314.23</v>
      </c>
      <c r="S83" s="23" t="n">
        <v>296.41</v>
      </c>
      <c r="T83" s="23" t="n">
        <v>296.41</v>
      </c>
      <c r="U83" s="23" t="n">
        <v>280.121</v>
      </c>
      <c r="V83" s="23" t="n">
        <v>261.182</v>
      </c>
      <c r="W83" s="23" t="n">
        <v>261.182</v>
      </c>
      <c r="X83" s="23" t="n">
        <v>242.106</v>
      </c>
      <c r="Y83" s="23" t="n">
        <v>223.227</v>
      </c>
      <c r="Z83" s="23" t="n">
        <v>223.227</v>
      </c>
      <c r="AA83" s="23" t="n">
        <v>203.868</v>
      </c>
      <c r="AB83" s="23" t="n">
        <v>608.236</v>
      </c>
      <c r="AC83" s="23" t="n">
        <v>608.236</v>
      </c>
      <c r="AD83" s="23" t="n">
        <v>599.951</v>
      </c>
      <c r="AE83" s="23" t="n">
        <v>590.843</v>
      </c>
      <c r="AF83" s="23" t="n">
        <v>590.843</v>
      </c>
      <c r="AG83" s="23" t="n">
        <v>584.302</v>
      </c>
      <c r="AH83" s="23" t="n">
        <v>576.501</v>
      </c>
      <c r="AI83" s="23" t="n">
        <v>576.501</v>
      </c>
      <c r="AJ83" s="23" t="n">
        <v>670.5069999999999</v>
      </c>
      <c r="AK83" s="23" t="n">
        <v>564.341</v>
      </c>
      <c r="AL83" s="23" t="n">
        <v>564.341</v>
      </c>
      <c r="AM83" s="23" t="n">
        <v>573.03</v>
      </c>
      <c r="AN83" s="23" t="n">
        <v>565.926</v>
      </c>
      <c r="AO83" s="23" t="n">
        <v>565.926</v>
      </c>
      <c r="AP83" s="23" t="n">
        <v>550.755</v>
      </c>
      <c r="AQ83" s="23" t="n">
        <v>550.883</v>
      </c>
      <c r="AR83" s="23" t="n">
        <v>550.883</v>
      </c>
      <c r="AS83" s="23" t="n">
        <v>550.704</v>
      </c>
      <c r="AT83" s="23" t="n">
        <v>400.646</v>
      </c>
      <c r="AU83" s="23" t="n">
        <v>400.646</v>
      </c>
      <c r="AV83" s="23" t="n">
        <v>398.914</v>
      </c>
      <c r="AW83" s="23" t="n">
        <v>398.747</v>
      </c>
      <c r="AX83" s="23" t="n">
        <v>398.747</v>
      </c>
      <c r="AY83" s="23" t="n">
        <v>398.642</v>
      </c>
      <c r="AZ83" s="23" t="n">
        <v>398.74</v>
      </c>
      <c r="BA83" s="23" t="n">
        <v>398.74</v>
      </c>
      <c r="BB83" s="23" t="n">
        <v>398.835</v>
      </c>
      <c r="BC83" s="23" t="n">
        <v>400.091</v>
      </c>
      <c r="BD83" s="23" t="n">
        <v>400.091</v>
      </c>
      <c r="BE83" s="23" t="n">
        <v>399.979</v>
      </c>
      <c r="BF83" s="23" t="n">
        <v>399.846</v>
      </c>
      <c r="BG83" s="23" t="n">
        <v>399.846</v>
      </c>
      <c r="BH83" s="23" t="n">
        <v>403.653</v>
      </c>
      <c r="BI83" s="23" t="n">
        <v>396.9</v>
      </c>
      <c r="BJ83" s="23" t="n">
        <v>396.9</v>
      </c>
      <c r="BK83" s="23" t="n">
        <v>411.845</v>
      </c>
      <c r="BL83" s="23" t="n">
        <v>402.703</v>
      </c>
      <c r="BM83" s="23" t="n">
        <v>402.703</v>
      </c>
      <c r="BN83" s="23" t="n">
        <v>397.633</v>
      </c>
      <c r="BO83" s="23" t="n">
        <v>397.636</v>
      </c>
      <c r="BP83" s="23" t="n">
        <v>397.636</v>
      </c>
      <c r="BQ83" s="23" t="n">
        <v>408.94</v>
      </c>
      <c r="BR83" s="23" t="n">
        <v>403.829</v>
      </c>
      <c r="BS83" s="23" t="n">
        <v>403.829</v>
      </c>
      <c r="BT83" s="23" t="n">
        <v>402.733</v>
      </c>
      <c r="BU83" s="23" t="n">
        <v>1.996</v>
      </c>
      <c r="BV83" s="23" t="n">
        <v>1.996</v>
      </c>
      <c r="BW83" s="23" t="n">
        <v>1.969</v>
      </c>
      <c r="BX83" s="23" t="n">
        <v>1.946</v>
      </c>
      <c r="BY83" s="23" t="n">
        <v>1.946</v>
      </c>
      <c r="BZ83" s="23" t="n">
        <v>22.368</v>
      </c>
      <c r="CA83" s="23" t="n">
        <v>10.903</v>
      </c>
      <c r="CB83" s="23" t="n">
        <v>10.903</v>
      </c>
      <c r="CC83" s="23" t="n">
        <v>9.462</v>
      </c>
      <c r="CD83" s="23" t="n">
        <v>0.453</v>
      </c>
      <c r="CE83" s="23" t="n">
        <v>0.453</v>
      </c>
      <c r="CF83" s="23" t="n">
        <v>0.427</v>
      </c>
      <c r="CG83" s="23" t="n">
        <v>0</v>
      </c>
      <c r="CH83" s="23" t="n">
        <v>0</v>
      </c>
    </row>
    <row r="84">
      <c r="B84" s="6" t="inlineStr">
        <is>
          <t>Total liabilities</t>
        </is>
      </c>
      <c r="D84" s="27" t="n">
        <v>547.077</v>
      </c>
      <c r="E84" s="27" t="n">
        <v>547.077</v>
      </c>
      <c r="F84" s="27" t="n">
        <v>544.97</v>
      </c>
      <c r="G84" s="27" t="n">
        <v>529.264</v>
      </c>
      <c r="H84" s="27" t="n">
        <v>529.264</v>
      </c>
      <c r="I84" s="27" t="n">
        <v>671.039</v>
      </c>
      <c r="J84" s="27" t="n">
        <v>632.2859999999999</v>
      </c>
      <c r="K84" s="27" t="n">
        <v>632.2859999999999</v>
      </c>
      <c r="L84" s="27" t="n">
        <v>626.0309999999999</v>
      </c>
      <c r="N84" s="27" t="n">
        <v>592.883</v>
      </c>
      <c r="O84" s="27" t="n">
        <v>605.655</v>
      </c>
      <c r="P84" s="27" t="n">
        <v>586.443</v>
      </c>
      <c r="Q84" s="27" t="n">
        <v>586.443</v>
      </c>
      <c r="R84" s="27" t="n">
        <v>574.288</v>
      </c>
      <c r="S84" s="27" t="n">
        <v>572.08</v>
      </c>
      <c r="T84" s="27" t="n">
        <v>572.08</v>
      </c>
      <c r="U84" s="27" t="n">
        <v>574.741</v>
      </c>
      <c r="V84" s="27" t="n">
        <v>557.769</v>
      </c>
      <c r="W84" s="27" t="n">
        <v>557.769</v>
      </c>
      <c r="X84" s="27" t="n">
        <v>536.9109999999999</v>
      </c>
      <c r="Y84" s="27" t="n">
        <v>503.305</v>
      </c>
      <c r="Z84" s="27" t="n">
        <v>503.305</v>
      </c>
      <c r="AA84" s="27" t="n">
        <v>499.155</v>
      </c>
      <c r="AB84" s="27" t="n">
        <v>878.8339999999999</v>
      </c>
      <c r="AC84" s="27" t="n">
        <v>878.8339999999999</v>
      </c>
      <c r="AD84" s="27" t="n">
        <v>867.009</v>
      </c>
      <c r="AE84" s="27" t="n">
        <v>834.196</v>
      </c>
      <c r="AF84" s="27" t="n">
        <v>834.196</v>
      </c>
      <c r="AG84" s="27" t="n">
        <v>839.2190000000001</v>
      </c>
      <c r="AH84" s="27" t="n">
        <v>872.9640000000001</v>
      </c>
      <c r="AI84" s="27" t="n">
        <v>872.9640000000001</v>
      </c>
      <c r="AJ84" s="27" t="n">
        <v>907.6079999999999</v>
      </c>
      <c r="AK84" s="27" t="n">
        <v>875.364</v>
      </c>
      <c r="AL84" s="27" t="n">
        <v>875.364</v>
      </c>
      <c r="AM84" s="27" t="n">
        <v>962.989</v>
      </c>
      <c r="AN84" s="27" t="n">
        <v>945.538</v>
      </c>
      <c r="AO84" s="27" t="n">
        <v>945.538</v>
      </c>
      <c r="AP84" s="27" t="n">
        <v>805.357</v>
      </c>
      <c r="AQ84" s="27" t="n">
        <v>883.901</v>
      </c>
      <c r="AR84" s="27" t="n">
        <v>883.901</v>
      </c>
      <c r="AS84" s="27" t="n">
        <v>873.761</v>
      </c>
      <c r="AT84" s="27" t="n">
        <v>811.75</v>
      </c>
      <c r="AU84" s="27" t="n">
        <v>811.75</v>
      </c>
      <c r="AV84" s="27" t="n">
        <v>704.381</v>
      </c>
      <c r="AW84" s="27" t="n">
        <v>726.599</v>
      </c>
      <c r="AX84" s="27" t="n">
        <v>726.599</v>
      </c>
      <c r="AY84" s="27" t="n">
        <v>710.028</v>
      </c>
      <c r="AZ84" s="27" t="n">
        <v>836.952</v>
      </c>
      <c r="BA84" s="27" t="n">
        <v>836.952</v>
      </c>
      <c r="BB84" s="27" t="n">
        <v>772.9109999999999</v>
      </c>
      <c r="BC84" s="27" t="n">
        <v>769.236</v>
      </c>
      <c r="BD84" s="27" t="n">
        <v>769.236</v>
      </c>
      <c r="BE84" s="27" t="n">
        <v>929.34</v>
      </c>
      <c r="BF84" s="27" t="n">
        <v>923.876</v>
      </c>
      <c r="BG84" s="27" t="n">
        <v>923.876</v>
      </c>
      <c r="BH84" s="27" t="n">
        <v>880.572</v>
      </c>
      <c r="BI84" s="27" t="n">
        <v>965.745</v>
      </c>
      <c r="BJ84" s="27" t="n">
        <v>965.745</v>
      </c>
      <c r="BK84" s="27" t="n">
        <v>1030.355</v>
      </c>
      <c r="BL84" s="27" t="n">
        <v>991.846</v>
      </c>
      <c r="BM84" s="27" t="n">
        <v>991.846</v>
      </c>
      <c r="BN84" s="27" t="n">
        <v>1032.569</v>
      </c>
      <c r="BO84" s="27" t="n">
        <v>1032.942</v>
      </c>
      <c r="BP84" s="27" t="n">
        <v>1032.942</v>
      </c>
      <c r="BQ84" s="27" t="n">
        <v>1125.031</v>
      </c>
      <c r="BR84" s="27" t="n">
        <v>1047.1</v>
      </c>
      <c r="BS84" s="27" t="n">
        <v>1047.1</v>
      </c>
      <c r="BT84" s="27" t="n">
        <v>1090.82</v>
      </c>
      <c r="BU84" s="27" t="n">
        <v>683.265</v>
      </c>
      <c r="BV84" s="27" t="n">
        <v>683.265</v>
      </c>
      <c r="BW84" s="27" t="n">
        <v>740.843</v>
      </c>
      <c r="BX84" s="27" t="n">
        <v>718.756</v>
      </c>
      <c r="BY84" s="27" t="n">
        <v>718.756</v>
      </c>
      <c r="BZ84" s="27" t="n">
        <v>757.383</v>
      </c>
      <c r="CA84" s="27" t="n">
        <v>750.439</v>
      </c>
      <c r="CB84" s="27" t="n">
        <v>750.439</v>
      </c>
      <c r="CC84" s="27" t="n">
        <v>897.147</v>
      </c>
      <c r="CD84" s="27" t="n">
        <v>785.806</v>
      </c>
      <c r="CE84" s="27" t="n">
        <v>785.806</v>
      </c>
      <c r="CF84" s="27" t="n">
        <v>814.446</v>
      </c>
      <c r="CG84" s="27" t="n">
        <v>879.2089999999999</v>
      </c>
      <c r="CH84" s="27" t="n">
        <v>879.2089999999999</v>
      </c>
      <c r="CI84" s="27" t="n">
        <v>949.5410000000001</v>
      </c>
      <c r="CJ84" s="27" t="n">
        <v>863.3150000000001</v>
      </c>
      <c r="CK84" s="27" t="n">
        <v>863.3150000000001</v>
      </c>
      <c r="CL84" s="27" t="n">
        <v>869.525</v>
      </c>
      <c r="CM84" s="27" t="n">
        <v>883.4109999999999</v>
      </c>
      <c r="CN84" s="27" t="n">
        <v>883.4109999999999</v>
      </c>
    </row>
    <row r="85">
      <c r="B85" s="6" t="inlineStr">
        <is>
          <t>Total stockholders' equity</t>
        </is>
      </c>
      <c r="D85" s="27" t="n">
        <v>641.3339999999999</v>
      </c>
      <c r="E85" s="27" t="n">
        <v>641.3339999999999</v>
      </c>
      <c r="F85" s="27" t="n">
        <v>646.342</v>
      </c>
      <c r="G85" s="27" t="n">
        <v>555.172</v>
      </c>
      <c r="H85" s="27" t="n">
        <v>555.172</v>
      </c>
      <c r="I85" s="27" t="n">
        <v>554.845</v>
      </c>
      <c r="J85" s="27" t="n">
        <v>507.372</v>
      </c>
      <c r="K85" s="27" t="n">
        <v>507.372</v>
      </c>
      <c r="L85" s="27" t="n">
        <v>578.732</v>
      </c>
      <c r="N85" s="27" t="n">
        <v>561.117</v>
      </c>
      <c r="O85" s="27" t="n">
        <v>608.871</v>
      </c>
      <c r="P85" s="27" t="n">
        <v>667.503</v>
      </c>
      <c r="Q85" s="27" t="n">
        <v>667.503</v>
      </c>
      <c r="R85" s="27" t="n">
        <v>724.394</v>
      </c>
      <c r="S85" s="27" t="n">
        <v>762.401</v>
      </c>
      <c r="T85" s="27" t="n">
        <v>762.401</v>
      </c>
      <c r="U85" s="27" t="n">
        <v>822.647</v>
      </c>
      <c r="V85" s="27" t="n">
        <v>880.724</v>
      </c>
      <c r="W85" s="27" t="n">
        <v>880.724</v>
      </c>
      <c r="X85" s="27" t="n">
        <v>939.761</v>
      </c>
      <c r="Y85" s="27" t="n">
        <v>1003.499</v>
      </c>
      <c r="Z85" s="27" t="n">
        <v>1003.499</v>
      </c>
      <c r="AA85" s="27" t="n">
        <v>1037.431</v>
      </c>
      <c r="AB85" s="27" t="n">
        <v>1073.237</v>
      </c>
      <c r="AC85" s="27" t="n">
        <v>1073.237</v>
      </c>
      <c r="AD85" s="27" t="n">
        <v>1135.968</v>
      </c>
      <c r="AE85" s="27" t="n">
        <v>964.4640000000001</v>
      </c>
      <c r="AF85" s="27" t="n">
        <v>964.4640000000001</v>
      </c>
      <c r="AG85" s="27" t="n">
        <v>1016.545</v>
      </c>
      <c r="AH85" s="27" t="n">
        <v>731.4</v>
      </c>
      <c r="AI85" s="27" t="n">
        <v>731.4</v>
      </c>
      <c r="AJ85" s="27" t="n">
        <v>716.527</v>
      </c>
      <c r="AK85" s="27" t="n">
        <v>774.456</v>
      </c>
      <c r="AL85" s="27" t="n">
        <v>774.456</v>
      </c>
      <c r="AM85" s="27" t="n">
        <v>807.407</v>
      </c>
      <c r="AN85" s="27" t="n">
        <v>895.703</v>
      </c>
      <c r="AO85" s="27" t="n">
        <v>895.703</v>
      </c>
      <c r="AP85" s="27" t="n">
        <v>1006.329</v>
      </c>
      <c r="AQ85" s="27" t="n">
        <v>1098.6</v>
      </c>
      <c r="AR85" s="27" t="n">
        <v>1098.6</v>
      </c>
      <c r="AS85" s="27" t="n">
        <v>1188.909</v>
      </c>
      <c r="AT85" s="27" t="n">
        <v>1331.791</v>
      </c>
      <c r="AU85" s="27" t="n">
        <v>1331.791</v>
      </c>
      <c r="AV85" s="27" t="n">
        <v>1460.812</v>
      </c>
      <c r="AW85" s="27" t="n">
        <v>1581.099</v>
      </c>
      <c r="AX85" s="27" t="n">
        <v>1581.099</v>
      </c>
      <c r="AY85" s="27" t="n">
        <v>1671.758</v>
      </c>
      <c r="AZ85" s="27" t="n">
        <v>1459.953</v>
      </c>
      <c r="BA85" s="27" t="n">
        <v>1459.953</v>
      </c>
      <c r="BB85" s="27" t="n">
        <v>1618.852</v>
      </c>
      <c r="BC85" s="27" t="n">
        <v>1778.381</v>
      </c>
      <c r="BD85" s="27" t="n">
        <v>1778.381</v>
      </c>
      <c r="BE85" s="27" t="n">
        <v>1926.599</v>
      </c>
      <c r="BF85" s="27" t="n">
        <v>2124.729</v>
      </c>
      <c r="BG85" s="27" t="n">
        <v>2124.729</v>
      </c>
      <c r="BH85" s="27" t="n">
        <v>2281.011</v>
      </c>
      <c r="BI85" s="27" t="n">
        <v>2489.516</v>
      </c>
      <c r="BJ85" s="27" t="n">
        <v>2489.516</v>
      </c>
      <c r="BK85" s="27" t="n">
        <v>2710.833</v>
      </c>
      <c r="BL85" s="27" t="n">
        <v>2942.592</v>
      </c>
      <c r="BM85" s="27" t="n">
        <v>2942.592</v>
      </c>
      <c r="BN85" s="27" t="n">
        <v>3249.377</v>
      </c>
      <c r="BO85" s="27" t="n">
        <v>3529.201</v>
      </c>
      <c r="BP85" s="27" t="n">
        <v>3529.201</v>
      </c>
      <c r="BQ85" s="27" t="n">
        <v>3793.821</v>
      </c>
      <c r="BR85" s="27" t="n">
        <v>4089.856</v>
      </c>
      <c r="BS85" s="27" t="n">
        <v>4089.856</v>
      </c>
      <c r="BT85" s="27" t="n">
        <v>4353.054</v>
      </c>
      <c r="BU85" s="27" t="n">
        <v>4625.599</v>
      </c>
      <c r="BV85" s="27" t="n">
        <v>4625.599</v>
      </c>
      <c r="BW85" s="27" t="n">
        <v>4852.834</v>
      </c>
      <c r="BX85" s="27" t="n">
        <v>5213.652</v>
      </c>
      <c r="BY85" s="27" t="n">
        <v>5213.652</v>
      </c>
      <c r="BZ85" s="27" t="n">
        <v>5592.422</v>
      </c>
      <c r="CA85" s="27" t="n">
        <v>5987.44</v>
      </c>
      <c r="CB85" s="27" t="n">
        <v>5987.44</v>
      </c>
      <c r="CC85" s="27" t="n">
        <v>6411.417</v>
      </c>
      <c r="CD85" s="27" t="n">
        <v>6787.6</v>
      </c>
      <c r="CE85" s="27" t="n">
        <v>6787.6</v>
      </c>
      <c r="CF85" s="27" t="n">
        <v>7171.253</v>
      </c>
      <c r="CG85" s="27" t="n">
        <v>7524.011</v>
      </c>
      <c r="CH85" s="27" t="n">
        <v>7524.011</v>
      </c>
      <c r="CI85" s="27" t="n">
        <v>7896.312</v>
      </c>
      <c r="CJ85" s="27" t="n">
        <v>8301.257</v>
      </c>
      <c r="CK85" s="27" t="n">
        <v>8301.257</v>
      </c>
      <c r="CL85" s="27" t="n">
        <v>8781.192999999999</v>
      </c>
      <c r="CM85" s="27" t="n">
        <v>9187.032999999999</v>
      </c>
      <c r="CN85" s="27" t="n">
        <v>9187.032999999999</v>
      </c>
      <c r="CO85" s="28">
        <f>CN85+CO48</f>
        <v/>
      </c>
      <c r="CP85" s="28">
        <f>CO85+CP48</f>
        <v/>
      </c>
      <c r="CQ85" s="28">
        <f>CP85+CQ48</f>
        <v/>
      </c>
      <c r="CR85" s="28">
        <f>CQ85+CR48</f>
        <v/>
      </c>
      <c r="CS85" s="28">
        <f>CR85+CS48</f>
        <v/>
      </c>
    </row>
    <row r="86">
      <c r="B86" s="18" t="inlineStr">
        <is>
          <t xml:space="preserve">    Current ratio (x)</t>
        </is>
      </c>
      <c r="C86" s="39">
        <f>IFERROR(C78/C82,"")</f>
        <v/>
      </c>
      <c r="D86" s="39">
        <f>IFERROR(D78/D82,"")</f>
        <v/>
      </c>
      <c r="E86" s="39">
        <f>IFERROR(E78/E82,"")</f>
        <v/>
      </c>
      <c r="F86" s="39">
        <f>IFERROR(F78/F82,"")</f>
        <v/>
      </c>
      <c r="G86" s="39">
        <f>IFERROR(G78/G82,"")</f>
        <v/>
      </c>
      <c r="H86" s="39">
        <f>IFERROR(H78/H82,"")</f>
        <v/>
      </c>
      <c r="I86" s="39">
        <f>IFERROR(I78/I82,"")</f>
        <v/>
      </c>
      <c r="J86" s="39">
        <f>IFERROR(J78/J82,"")</f>
        <v/>
      </c>
      <c r="K86" s="39">
        <f>IFERROR(K78/K82,"")</f>
        <v/>
      </c>
      <c r="L86" s="39">
        <f>IFERROR(L78/L82,"")</f>
        <v/>
      </c>
      <c r="M86" s="39">
        <f>IFERROR(M78/M82,"")</f>
        <v/>
      </c>
      <c r="N86" s="39">
        <f>IFERROR(N78/N82,"")</f>
        <v/>
      </c>
      <c r="O86" s="39">
        <f>IFERROR(O78/O82,"")</f>
        <v/>
      </c>
      <c r="P86" s="39">
        <f>IFERROR(P78/P82,"")</f>
        <v/>
      </c>
      <c r="Q86" s="39">
        <f>IFERROR(Q78/Q82,"")</f>
        <v/>
      </c>
      <c r="R86" s="39">
        <f>IFERROR(R78/R82,"")</f>
        <v/>
      </c>
      <c r="S86" s="39">
        <f>IFERROR(S78/S82,"")</f>
        <v/>
      </c>
      <c r="T86" s="39">
        <f>IFERROR(T78/T82,"")</f>
        <v/>
      </c>
      <c r="U86" s="39">
        <f>IFERROR(U78/U82,"")</f>
        <v/>
      </c>
      <c r="V86" s="39">
        <f>IFERROR(V78/V82,"")</f>
        <v/>
      </c>
      <c r="W86" s="39">
        <f>IFERROR(W78/W82,"")</f>
        <v/>
      </c>
      <c r="X86" s="39">
        <f>IFERROR(X78/X82,"")</f>
        <v/>
      </c>
      <c r="Y86" s="39">
        <f>IFERROR(Y78/Y82,"")</f>
        <v/>
      </c>
      <c r="Z86" s="39">
        <f>IFERROR(Z78/Z82,"")</f>
        <v/>
      </c>
      <c r="AA86" s="39">
        <f>IFERROR(AA78/AA82,"")</f>
        <v/>
      </c>
      <c r="AB86" s="39">
        <f>IFERROR(AB78/AB82,"")</f>
        <v/>
      </c>
      <c r="AC86" s="39">
        <f>IFERROR(AC78/AC82,"")</f>
        <v/>
      </c>
      <c r="AD86" s="39">
        <f>IFERROR(AD78/AD82,"")</f>
        <v/>
      </c>
      <c r="AE86" s="39">
        <f>IFERROR(AE78/AE82,"")</f>
        <v/>
      </c>
      <c r="AF86" s="39">
        <f>IFERROR(AF78/AF82,"")</f>
        <v/>
      </c>
      <c r="AG86" s="39">
        <f>IFERROR(AG78/AG82,"")</f>
        <v/>
      </c>
      <c r="AH86" s="39">
        <f>IFERROR(AH78/AH82,"")</f>
        <v/>
      </c>
      <c r="AI86" s="39">
        <f>IFERROR(AI78/AI82,"")</f>
        <v/>
      </c>
      <c r="AJ86" s="39">
        <f>IFERROR(AJ78/AJ82,"")</f>
        <v/>
      </c>
      <c r="AK86" s="39">
        <f>IFERROR(AK78/AK82,"")</f>
        <v/>
      </c>
      <c r="AL86" s="39">
        <f>IFERROR(AL78/AL82,"")</f>
        <v/>
      </c>
      <c r="AM86" s="39">
        <f>IFERROR(AM78/AM82,"")</f>
        <v/>
      </c>
      <c r="AN86" s="39">
        <f>IFERROR(AN78/AN82,"")</f>
        <v/>
      </c>
      <c r="AO86" s="39">
        <f>IFERROR(AO78/AO82,"")</f>
        <v/>
      </c>
      <c r="AP86" s="39">
        <f>IFERROR(AP78/AP82,"")</f>
        <v/>
      </c>
      <c r="AQ86" s="39">
        <f>IFERROR(AQ78/AQ82,"")</f>
        <v/>
      </c>
      <c r="AR86" s="39">
        <f>IFERROR(AR78/AR82,"")</f>
        <v/>
      </c>
      <c r="AS86" s="39">
        <f>IFERROR(AS78/AS82,"")</f>
        <v/>
      </c>
      <c r="AT86" s="39">
        <f>IFERROR(AT78/AT82,"")</f>
        <v/>
      </c>
      <c r="AU86" s="39">
        <f>IFERROR(AU78/AU82,"")</f>
        <v/>
      </c>
      <c r="AV86" s="39">
        <f>IFERROR(AV78/AV82,"")</f>
        <v/>
      </c>
      <c r="AW86" s="39">
        <f>IFERROR(AW78/AW82,"")</f>
        <v/>
      </c>
      <c r="AX86" s="39">
        <f>IFERROR(AX78/AX82,"")</f>
        <v/>
      </c>
      <c r="AY86" s="39">
        <f>IFERROR(AY78/AY82,"")</f>
        <v/>
      </c>
      <c r="AZ86" s="39">
        <f>IFERROR(AZ78/AZ82,"")</f>
        <v/>
      </c>
      <c r="BA86" s="39">
        <f>IFERROR(BA78/BA82,"")</f>
        <v/>
      </c>
      <c r="BB86" s="39">
        <f>IFERROR(BB78/BB82,"")</f>
        <v/>
      </c>
      <c r="BC86" s="39">
        <f>IFERROR(BC78/BC82,"")</f>
        <v/>
      </c>
      <c r="BD86" s="39">
        <f>IFERROR(BD78/BD82,"")</f>
        <v/>
      </c>
      <c r="BE86" s="39">
        <f>IFERROR(BE78/BE82,"")</f>
        <v/>
      </c>
      <c r="BF86" s="39">
        <f>IFERROR(BF78/BF82,"")</f>
        <v/>
      </c>
      <c r="BG86" s="39">
        <f>IFERROR(BG78/BG82,"")</f>
        <v/>
      </c>
      <c r="BH86" s="39">
        <f>IFERROR(BH78/BH82,"")</f>
        <v/>
      </c>
      <c r="BI86" s="39">
        <f>IFERROR(BI78/BI82,"")</f>
        <v/>
      </c>
      <c r="BJ86" s="39">
        <f>IFERROR(BJ78/BJ82,"")</f>
        <v/>
      </c>
      <c r="BK86" s="39">
        <f>IFERROR(BK78/BK82,"")</f>
        <v/>
      </c>
      <c r="BL86" s="39">
        <f>IFERROR(BL78/BL82,"")</f>
        <v/>
      </c>
      <c r="BM86" s="39">
        <f>IFERROR(BM78/BM82,"")</f>
        <v/>
      </c>
      <c r="BN86" s="39">
        <f>IFERROR(BN78/BN82,"")</f>
        <v/>
      </c>
      <c r="BO86" s="39">
        <f>IFERROR(BO78/BO82,"")</f>
        <v/>
      </c>
      <c r="BP86" s="39">
        <f>IFERROR(BP78/BP82,"")</f>
        <v/>
      </c>
      <c r="BQ86" s="39">
        <f>IFERROR(BQ78/BQ82,"")</f>
        <v/>
      </c>
      <c r="BR86" s="39">
        <f>IFERROR(BR78/BR82,"")</f>
        <v/>
      </c>
      <c r="BS86" s="39">
        <f>IFERROR(BS78/BS82,"")</f>
        <v/>
      </c>
      <c r="BT86" s="39">
        <f>IFERROR(BT78/BT82,"")</f>
        <v/>
      </c>
      <c r="BU86" s="39">
        <f>IFERROR(BU78/BU82,"")</f>
        <v/>
      </c>
      <c r="BV86" s="39">
        <f>IFERROR(BV78/BV82,"")</f>
        <v/>
      </c>
      <c r="BW86" s="39">
        <f>IFERROR(BW78/BW82,"")</f>
        <v/>
      </c>
      <c r="BX86" s="39">
        <f>IFERROR(BX78/BX82,"")</f>
        <v/>
      </c>
      <c r="BY86" s="39">
        <f>IFERROR(BY78/BY82,"")</f>
        <v/>
      </c>
      <c r="BZ86" s="39">
        <f>IFERROR(BZ78/BZ82,"")</f>
        <v/>
      </c>
      <c r="CA86" s="39">
        <f>IFERROR(CA78/CA82,"")</f>
        <v/>
      </c>
      <c r="CB86" s="39">
        <f>IFERROR(CB78/CB82,"")</f>
        <v/>
      </c>
      <c r="CC86" s="39">
        <f>IFERROR(CC78/CC82,"")</f>
        <v/>
      </c>
      <c r="CD86" s="39">
        <f>IFERROR(CD78/CD82,"")</f>
        <v/>
      </c>
      <c r="CE86" s="39">
        <f>IFERROR(CE78/CE82,"")</f>
        <v/>
      </c>
      <c r="CF86" s="39">
        <f>IFERROR(CF78/CF82,"")</f>
        <v/>
      </c>
      <c r="CG86" s="39">
        <f>IFERROR(CG78/CG82,"")</f>
        <v/>
      </c>
      <c r="CH86" s="39">
        <f>IFERROR(CH78/CH82,"")</f>
        <v/>
      </c>
      <c r="CI86" s="39">
        <f>IFERROR(CI78/CI82,"")</f>
        <v/>
      </c>
      <c r="CJ86" s="39">
        <f>IFERROR(CJ78/CJ82,"")</f>
        <v/>
      </c>
      <c r="CK86" s="39">
        <f>IFERROR(CK78/CK82,"")</f>
        <v/>
      </c>
      <c r="CL86" s="39">
        <f>IFERROR(CL78/CL82,"")</f>
        <v/>
      </c>
      <c r="CM86" s="39">
        <f>IFERROR(CM78/CM82,"")</f>
        <v/>
      </c>
      <c r="CN86" s="39">
        <f>IFERROR(CN78/CN82,"")</f>
        <v/>
      </c>
    </row>
    <row r="88">
      <c r="B88" s="5" t="inlineStr">
        <is>
          <t>RATIO ANALYSIS</t>
        </is>
      </c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  <c r="L88" s="12" t="n"/>
      <c r="M88" s="12" t="n"/>
      <c r="N88" s="12" t="n"/>
      <c r="O88" s="12" t="n"/>
      <c r="P88" s="12" t="n"/>
      <c r="Q88" s="12" t="n"/>
      <c r="R88" s="12" t="n"/>
      <c r="S88" s="12" t="n"/>
      <c r="T88" s="12" t="n"/>
      <c r="U88" s="12" t="n"/>
      <c r="V88" s="12" t="n"/>
      <c r="W88" s="12" t="n"/>
      <c r="X88" s="12" t="n"/>
      <c r="Y88" s="12" t="n"/>
      <c r="Z88" s="12" t="n"/>
      <c r="AA88" s="12" t="n"/>
      <c r="AB88" s="12" t="n"/>
      <c r="AC88" s="12" t="n"/>
      <c r="AD88" s="12" t="n"/>
      <c r="AE88" s="12" t="n"/>
      <c r="AF88" s="12" t="n"/>
      <c r="AG88" s="12" t="n"/>
      <c r="AH88" s="12" t="n"/>
      <c r="AI88" s="12" t="n"/>
      <c r="AJ88" s="12" t="n"/>
      <c r="AK88" s="12" t="n"/>
      <c r="AL88" s="12" t="n"/>
      <c r="AM88" s="12" t="n"/>
      <c r="AN88" s="12" t="n"/>
      <c r="AO88" s="12" t="n"/>
      <c r="AP88" s="12" t="n"/>
      <c r="AQ88" s="12" t="n"/>
      <c r="AR88" s="12" t="n"/>
      <c r="AS88" s="12" t="n"/>
      <c r="AT88" s="12" t="n"/>
      <c r="AU88" s="12" t="n"/>
      <c r="AV88" s="12" t="n"/>
      <c r="AW88" s="12" t="n"/>
      <c r="AX88" s="12" t="n"/>
      <c r="AY88" s="12" t="n"/>
      <c r="AZ88" s="12" t="n"/>
      <c r="BA88" s="12" t="n"/>
      <c r="BB88" s="12" t="n"/>
      <c r="BC88" s="12" t="n"/>
      <c r="BD88" s="12" t="n"/>
      <c r="BE88" s="12" t="n"/>
      <c r="BF88" s="12" t="n"/>
      <c r="BG88" s="12" t="n"/>
      <c r="BH88" s="12" t="n"/>
      <c r="BI88" s="12" t="n"/>
      <c r="BJ88" s="12" t="n"/>
      <c r="BK88" s="12" t="n"/>
      <c r="BL88" s="12" t="n"/>
      <c r="BM88" s="12" t="n"/>
      <c r="BN88" s="12" t="n"/>
      <c r="BO88" s="12" t="n"/>
      <c r="BP88" s="12" t="n"/>
      <c r="BQ88" s="12" t="n"/>
      <c r="BR88" s="12" t="n"/>
      <c r="BS88" s="12" t="n"/>
      <c r="BT88" s="12" t="n"/>
      <c r="BU88" s="12" t="n"/>
      <c r="BV88" s="12" t="n"/>
      <c r="BW88" s="12" t="n"/>
      <c r="BX88" s="12" t="n"/>
      <c r="BY88" s="12" t="n"/>
      <c r="BZ88" s="12" t="n"/>
      <c r="CA88" s="12" t="n"/>
      <c r="CB88" s="12" t="n"/>
      <c r="CC88" s="12" t="n"/>
      <c r="CD88" s="12" t="n"/>
      <c r="CE88" s="12" t="n"/>
      <c r="CF88" s="12" t="n"/>
      <c r="CG88" s="12" t="n"/>
      <c r="CH88" s="12" t="n"/>
      <c r="CI88" s="12" t="n"/>
      <c r="CJ88" s="12" t="n"/>
      <c r="CK88" s="12" t="n"/>
      <c r="CL88" s="12" t="n"/>
      <c r="CM88" s="12" t="n"/>
      <c r="CN88" s="12" t="n"/>
      <c r="CO88" s="12" t="n"/>
      <c r="CP88" s="12" t="n"/>
      <c r="CQ88" s="12" t="n"/>
      <c r="CR88" s="12" t="n"/>
      <c r="CS88" s="12" t="n"/>
      <c r="CT88" s="12" t="n"/>
      <c r="CU88" s="12" t="n"/>
      <c r="CV88" s="12" t="n"/>
      <c r="CW88" s="12" t="n"/>
    </row>
    <row r="89">
      <c r="B89" s="6" t="inlineStr">
        <is>
          <t>EBITDA (Operating income + D&amp;A)</t>
        </is>
      </c>
      <c r="C89" s="26">
        <f>IFERROR(C43+C66,"")</f>
        <v/>
      </c>
      <c r="D89" s="26">
        <f>IFERROR(D43+D66,"")</f>
        <v/>
      </c>
      <c r="E89" s="26">
        <f>IFERROR(E43+E66,"")</f>
        <v/>
      </c>
      <c r="F89" s="26">
        <f>IFERROR(F43+F66,"")</f>
        <v/>
      </c>
      <c r="G89" s="26">
        <f>IFERROR(G43+G66,"")</f>
        <v/>
      </c>
      <c r="H89" s="26">
        <f>IFERROR(H43+H66,"")</f>
        <v/>
      </c>
      <c r="I89" s="26">
        <f>IFERROR(I43+I66,"")</f>
        <v/>
      </c>
      <c r="J89" s="26">
        <f>IFERROR(J43+J66,"")</f>
        <v/>
      </c>
      <c r="K89" s="26">
        <f>IFERROR(K43+K66,"")</f>
        <v/>
      </c>
      <c r="L89" s="26">
        <f>IFERROR(L43+L66,"")</f>
        <v/>
      </c>
      <c r="M89" s="26">
        <f>IFERROR(M43+M66,"")</f>
        <v/>
      </c>
      <c r="N89" s="26">
        <f>IFERROR(N43+N66,"")</f>
        <v/>
      </c>
      <c r="O89" s="26">
        <f>IFERROR(O43+O66,"")</f>
        <v/>
      </c>
      <c r="P89" s="26">
        <f>IFERROR(P43+P66,"")</f>
        <v/>
      </c>
      <c r="Q89" s="26">
        <f>IFERROR(Q43+Q66,"")</f>
        <v/>
      </c>
      <c r="R89" s="26">
        <f>IFERROR(R43+R66,"")</f>
        <v/>
      </c>
      <c r="S89" s="26">
        <f>IFERROR(S43+S66,"")</f>
        <v/>
      </c>
      <c r="T89" s="26">
        <f>IFERROR(T43+T66,"")</f>
        <v/>
      </c>
      <c r="U89" s="26">
        <f>IFERROR(U43+U66,"")</f>
        <v/>
      </c>
      <c r="V89" s="26">
        <f>IFERROR(V43+V66,"")</f>
        <v/>
      </c>
      <c r="W89" s="26">
        <f>IFERROR(W43+W66,"")</f>
        <v/>
      </c>
      <c r="X89" s="26">
        <f>IFERROR(X43+X66,"")</f>
        <v/>
      </c>
      <c r="Y89" s="26">
        <f>IFERROR(Y43+Y66,"")</f>
        <v/>
      </c>
      <c r="Z89" s="26">
        <f>IFERROR(Z43+Z66,"")</f>
        <v/>
      </c>
      <c r="AA89" s="26">
        <f>IFERROR(AA43+AA66,"")</f>
        <v/>
      </c>
      <c r="AB89" s="26">
        <f>IFERROR(AB43+AB66,"")</f>
        <v/>
      </c>
      <c r="AC89" s="26">
        <f>IFERROR(AC43+AC66,"")</f>
        <v/>
      </c>
      <c r="AD89" s="26">
        <f>IFERROR(AD43+AD66,"")</f>
        <v/>
      </c>
      <c r="AE89" s="26">
        <f>IFERROR(AE43+AE66,"")</f>
        <v/>
      </c>
      <c r="AF89" s="26">
        <f>IFERROR(AF43+AF66,"")</f>
        <v/>
      </c>
      <c r="AG89" s="26">
        <f>IFERROR(AG43+AG66,"")</f>
        <v/>
      </c>
      <c r="AH89" s="26">
        <f>IFERROR(AH43+AH66,"")</f>
        <v/>
      </c>
      <c r="AI89" s="26">
        <f>IFERROR(AI43+AI66,"")</f>
        <v/>
      </c>
      <c r="AJ89" s="26">
        <f>IFERROR(AJ43+AJ66,"")</f>
        <v/>
      </c>
      <c r="AK89" s="26">
        <f>IFERROR(AK43+AK66,"")</f>
        <v/>
      </c>
      <c r="AL89" s="26">
        <f>IFERROR(AL43+AL66,"")</f>
        <v/>
      </c>
      <c r="AM89" s="26">
        <f>IFERROR(AM43+AM66,"")</f>
        <v/>
      </c>
      <c r="AN89" s="26">
        <f>IFERROR(AN43+AN66,"")</f>
        <v/>
      </c>
      <c r="AO89" s="26">
        <f>IFERROR(AO43+AO66,"")</f>
        <v/>
      </c>
      <c r="AP89" s="26">
        <f>IFERROR(AP43+AP66,"")</f>
        <v/>
      </c>
      <c r="AQ89" s="26">
        <f>IFERROR(AQ43+AQ66,"")</f>
        <v/>
      </c>
      <c r="AR89" s="26">
        <f>IFERROR(AR43+AR66,"")</f>
        <v/>
      </c>
      <c r="AS89" s="26">
        <f>IFERROR(AS43+AS66,"")</f>
        <v/>
      </c>
      <c r="AT89" s="26">
        <f>IFERROR(AT43+AT66,"")</f>
        <v/>
      </c>
      <c r="AU89" s="26">
        <f>IFERROR(AU43+AU66,"")</f>
        <v/>
      </c>
      <c r="AV89" s="26">
        <f>IFERROR(AV43+AV66,"")</f>
        <v/>
      </c>
      <c r="AW89" s="26">
        <f>IFERROR(AW43+AW66,"")</f>
        <v/>
      </c>
      <c r="AX89" s="26">
        <f>IFERROR(AX43+AX66,"")</f>
        <v/>
      </c>
      <c r="AY89" s="26">
        <f>IFERROR(AY43+AY66,"")</f>
        <v/>
      </c>
      <c r="AZ89" s="26">
        <f>IFERROR(AZ43+AZ66,"")</f>
        <v/>
      </c>
      <c r="BA89" s="26">
        <f>IFERROR(BA43+BA66,"")</f>
        <v/>
      </c>
      <c r="BB89" s="26">
        <f>IFERROR(BB43+BB66,"")</f>
        <v/>
      </c>
      <c r="BC89" s="26">
        <f>IFERROR(BC43+BC66,"")</f>
        <v/>
      </c>
      <c r="BD89" s="26">
        <f>IFERROR(BD43+BD66,"")</f>
        <v/>
      </c>
      <c r="BE89" s="26">
        <f>IFERROR(BE43+BE66,"")</f>
        <v/>
      </c>
      <c r="BF89" s="26">
        <f>IFERROR(BF43+BF66,"")</f>
        <v/>
      </c>
      <c r="BG89" s="26">
        <f>IFERROR(BG43+BG66,"")</f>
        <v/>
      </c>
      <c r="BH89" s="26">
        <f>IFERROR(BH43+BH66,"")</f>
        <v/>
      </c>
      <c r="BI89" s="26">
        <f>IFERROR(BI43+BI66,"")</f>
        <v/>
      </c>
      <c r="BJ89" s="26">
        <f>IFERROR(BJ43+BJ66,"")</f>
        <v/>
      </c>
      <c r="BK89" s="26">
        <f>IFERROR(BK43+BK66,"")</f>
        <v/>
      </c>
      <c r="BL89" s="26">
        <f>IFERROR(BL43+BL66,"")</f>
        <v/>
      </c>
      <c r="BM89" s="26">
        <f>IFERROR(BM43+BM66,"")</f>
        <v/>
      </c>
      <c r="BN89" s="26">
        <f>IFERROR(BN43+BN66,"")</f>
        <v/>
      </c>
      <c r="BO89" s="26">
        <f>IFERROR(BO43+BO66,"")</f>
        <v/>
      </c>
      <c r="BP89" s="26">
        <f>IFERROR(BP43+BP66,"")</f>
        <v/>
      </c>
      <c r="BQ89" s="26">
        <f>IFERROR(BQ43+BQ66,"")</f>
        <v/>
      </c>
      <c r="BR89" s="26">
        <f>IFERROR(BR43+BR66,"")</f>
        <v/>
      </c>
      <c r="BS89" s="26">
        <f>IFERROR(BS43+BS66,"")</f>
        <v/>
      </c>
      <c r="BT89" s="26">
        <f>IFERROR(BT43+BT66,"")</f>
        <v/>
      </c>
      <c r="BU89" s="26">
        <f>IFERROR(BU43+BU66,"")</f>
        <v/>
      </c>
      <c r="BV89" s="26">
        <f>IFERROR(BV43+BV66,"")</f>
        <v/>
      </c>
      <c r="BW89" s="26">
        <f>IFERROR(BW43+BW66,"")</f>
        <v/>
      </c>
      <c r="BX89" s="26">
        <f>IFERROR(BX43+BX66,"")</f>
        <v/>
      </c>
      <c r="BY89" s="26">
        <f>IFERROR(BY43+BY66,"")</f>
        <v/>
      </c>
      <c r="BZ89" s="26">
        <f>IFERROR(BZ43+BZ66,"")</f>
        <v/>
      </c>
      <c r="CA89" s="26">
        <f>IFERROR(CA43+CA66,"")</f>
        <v/>
      </c>
      <c r="CB89" s="26">
        <f>IFERROR(CB43+CB66,"")</f>
        <v/>
      </c>
      <c r="CC89" s="26">
        <f>IFERROR(CC43+CC66,"")</f>
        <v/>
      </c>
      <c r="CD89" s="26">
        <f>IFERROR(CD43+CD66,"")</f>
        <v/>
      </c>
      <c r="CE89" s="26">
        <f>IFERROR(CE43+CE66,"")</f>
        <v/>
      </c>
      <c r="CF89" s="26">
        <f>IFERROR(CF43+CF66,"")</f>
        <v/>
      </c>
      <c r="CG89" s="26">
        <f>IFERROR(CG43+CG66,"")</f>
        <v/>
      </c>
      <c r="CH89" s="26">
        <f>IFERROR(CH43+CH66,"")</f>
        <v/>
      </c>
      <c r="CI89" s="26">
        <f>IFERROR(CI43+CI66,"")</f>
        <v/>
      </c>
      <c r="CJ89" s="26">
        <f>IFERROR(CJ43+CJ66,"")</f>
        <v/>
      </c>
      <c r="CK89" s="26">
        <f>IFERROR(CK43+CK66,"")</f>
        <v/>
      </c>
      <c r="CL89" s="26">
        <f>IFERROR(CL43+CL66,"")</f>
        <v/>
      </c>
      <c r="CM89" s="26">
        <f>IFERROR(CM43+CM66,"")</f>
        <v/>
      </c>
      <c r="CN89" s="26">
        <f>IFERROR(CN43+CN66,"")</f>
        <v/>
      </c>
      <c r="CO89" s="28">
        <f>CO43+CO66</f>
        <v/>
      </c>
      <c r="CP89" s="28">
        <f>CP43+CP66</f>
        <v/>
      </c>
      <c r="CQ89" s="28">
        <f>CQ43+CQ66</f>
        <v/>
      </c>
      <c r="CR89" s="28">
        <f>CR43+CR66</f>
        <v/>
      </c>
      <c r="CS89" s="28">
        <f>CS43+CS66</f>
        <v/>
      </c>
    </row>
    <row r="90">
      <c r="B90" s="18" t="inlineStr">
        <is>
          <t xml:space="preserve">  Return on assets (ROA)</t>
        </is>
      </c>
      <c r="C90" s="29">
        <f>IFERROR(C48/C81,"")</f>
        <v/>
      </c>
      <c r="D90" s="29">
        <f>IFERROR(D48/D81,"")</f>
        <v/>
      </c>
      <c r="E90" s="29">
        <f>IFERROR(E48/E81,"")</f>
        <v/>
      </c>
      <c r="F90" s="29">
        <f>IFERROR(F48/F81,"")</f>
        <v/>
      </c>
      <c r="G90" s="29">
        <f>IFERROR(G48/G81,"")</f>
        <v/>
      </c>
      <c r="H90" s="29">
        <f>IFERROR(H48/H81,"")</f>
        <v/>
      </c>
      <c r="I90" s="29">
        <f>IFERROR(I48/I81,"")</f>
        <v/>
      </c>
      <c r="J90" s="29">
        <f>IFERROR(J48/J81,"")</f>
        <v/>
      </c>
      <c r="K90" s="29">
        <f>IFERROR(K48/K81,"")</f>
        <v/>
      </c>
      <c r="L90" s="29">
        <f>IFERROR(L48/L81,"")</f>
        <v/>
      </c>
      <c r="M90" s="29">
        <f>IFERROR(M48/M81,"")</f>
        <v/>
      </c>
      <c r="N90" s="29">
        <f>IFERROR(N48/N81,"")</f>
        <v/>
      </c>
      <c r="O90" s="29">
        <f>IFERROR(O48/O81,"")</f>
        <v/>
      </c>
      <c r="P90" s="29">
        <f>IFERROR(P48/P81,"")</f>
        <v/>
      </c>
      <c r="Q90" s="29">
        <f>IFERROR(Q48/Q81,"")</f>
        <v/>
      </c>
      <c r="R90" s="29">
        <f>IFERROR(R48/R81,"")</f>
        <v/>
      </c>
      <c r="S90" s="29">
        <f>IFERROR(S48/S81,"")</f>
        <v/>
      </c>
      <c r="T90" s="29">
        <f>IFERROR(T48/T81,"")</f>
        <v/>
      </c>
      <c r="U90" s="29">
        <f>IFERROR(U48/U81,"")</f>
        <v/>
      </c>
      <c r="V90" s="29">
        <f>IFERROR(V48/V81,"")</f>
        <v/>
      </c>
      <c r="W90" s="29">
        <f>IFERROR(W48/W81,"")</f>
        <v/>
      </c>
      <c r="X90" s="29">
        <f>IFERROR(X48/X81,"")</f>
        <v/>
      </c>
      <c r="Y90" s="29">
        <f>IFERROR(Y48/Y81,"")</f>
        <v/>
      </c>
      <c r="Z90" s="29">
        <f>IFERROR(Z48/Z81,"")</f>
        <v/>
      </c>
      <c r="AA90" s="29">
        <f>IFERROR(AA48/AA81,"")</f>
        <v/>
      </c>
      <c r="AB90" s="29">
        <f>IFERROR(AB48/AB81,"")</f>
        <v/>
      </c>
      <c r="AC90" s="29">
        <f>IFERROR(AC48/AC81,"")</f>
        <v/>
      </c>
      <c r="AD90" s="29">
        <f>IFERROR(AD48/AD81,"")</f>
        <v/>
      </c>
      <c r="AE90" s="29">
        <f>IFERROR(AE48/AE81,"")</f>
        <v/>
      </c>
      <c r="AF90" s="29">
        <f>IFERROR(AF48/AF81,"")</f>
        <v/>
      </c>
      <c r="AG90" s="29">
        <f>IFERROR(AG48/AG81,"")</f>
        <v/>
      </c>
      <c r="AH90" s="29">
        <f>IFERROR(AH48/AH81,"")</f>
        <v/>
      </c>
      <c r="AI90" s="29">
        <f>IFERROR(AI48/AI81,"")</f>
        <v/>
      </c>
      <c r="AJ90" s="29">
        <f>IFERROR(AJ48/AJ81,"")</f>
        <v/>
      </c>
      <c r="AK90" s="29">
        <f>IFERROR(AK48/AK81,"")</f>
        <v/>
      </c>
      <c r="AL90" s="29">
        <f>IFERROR(AL48/AL81,"")</f>
        <v/>
      </c>
      <c r="AM90" s="29">
        <f>IFERROR(AM48/AM81,"")</f>
        <v/>
      </c>
      <c r="AN90" s="29">
        <f>IFERROR(AN48/AN81,"")</f>
        <v/>
      </c>
      <c r="AO90" s="29">
        <f>IFERROR(AO48/AO81,"")</f>
        <v/>
      </c>
      <c r="AP90" s="29">
        <f>IFERROR(AP48/AP81,"")</f>
        <v/>
      </c>
      <c r="AQ90" s="29">
        <f>IFERROR(AQ48/AQ81,"")</f>
        <v/>
      </c>
      <c r="AR90" s="29">
        <f>IFERROR(AR48/AR81,"")</f>
        <v/>
      </c>
      <c r="AS90" s="29">
        <f>IFERROR(AS48/AS81,"")</f>
        <v/>
      </c>
      <c r="AT90" s="29">
        <f>IFERROR(AT48/AT81,"")</f>
        <v/>
      </c>
      <c r="AU90" s="29">
        <f>IFERROR(AU48/AU81,"")</f>
        <v/>
      </c>
      <c r="AV90" s="29">
        <f>IFERROR(AV48/AV81,"")</f>
        <v/>
      </c>
      <c r="AW90" s="29">
        <f>IFERROR(AW48/AW81,"")</f>
        <v/>
      </c>
      <c r="AX90" s="29">
        <f>IFERROR(AX48/AX81,"")</f>
        <v/>
      </c>
      <c r="AY90" s="29">
        <f>IFERROR(AY48/AY81,"")</f>
        <v/>
      </c>
      <c r="AZ90" s="29">
        <f>IFERROR(AZ48/AZ81,"")</f>
        <v/>
      </c>
      <c r="BA90" s="29">
        <f>IFERROR(BA48/BA81,"")</f>
        <v/>
      </c>
      <c r="BB90" s="29">
        <f>IFERROR(BB48/BB81,"")</f>
        <v/>
      </c>
      <c r="BC90" s="29">
        <f>IFERROR(BC48/BC81,"")</f>
        <v/>
      </c>
      <c r="BD90" s="29">
        <f>IFERROR(BD48/BD81,"")</f>
        <v/>
      </c>
      <c r="BE90" s="29">
        <f>IFERROR(BE48/BE81,"")</f>
        <v/>
      </c>
      <c r="BF90" s="29">
        <f>IFERROR(BF48/BF81,"")</f>
        <v/>
      </c>
      <c r="BG90" s="29">
        <f>IFERROR(BG48/BG81,"")</f>
        <v/>
      </c>
      <c r="BH90" s="29">
        <f>IFERROR(BH48/BH81,"")</f>
        <v/>
      </c>
      <c r="BI90" s="29">
        <f>IFERROR(BI48/BI81,"")</f>
        <v/>
      </c>
      <c r="BJ90" s="29">
        <f>IFERROR(BJ48/BJ81,"")</f>
        <v/>
      </c>
      <c r="BK90" s="29">
        <f>IFERROR(BK48/BK81,"")</f>
        <v/>
      </c>
      <c r="BL90" s="29">
        <f>IFERROR(BL48/BL81,"")</f>
        <v/>
      </c>
      <c r="BM90" s="29">
        <f>IFERROR(BM48/BM81,"")</f>
        <v/>
      </c>
      <c r="BN90" s="29">
        <f>IFERROR(BN48/BN81,"")</f>
        <v/>
      </c>
      <c r="BO90" s="29">
        <f>IFERROR(BO48/BO81,"")</f>
        <v/>
      </c>
      <c r="BP90" s="29">
        <f>IFERROR(BP48/BP81,"")</f>
        <v/>
      </c>
      <c r="BQ90" s="29">
        <f>IFERROR(BQ48/BQ81,"")</f>
        <v/>
      </c>
      <c r="BR90" s="29">
        <f>IFERROR(BR48/BR81,"")</f>
        <v/>
      </c>
      <c r="BS90" s="29">
        <f>IFERROR(BS48/BS81,"")</f>
        <v/>
      </c>
      <c r="BT90" s="29">
        <f>IFERROR(BT48/BT81,"")</f>
        <v/>
      </c>
      <c r="BU90" s="29">
        <f>IFERROR(BU48/BU81,"")</f>
        <v/>
      </c>
      <c r="BV90" s="29">
        <f>IFERROR(BV48/BV81,"")</f>
        <v/>
      </c>
      <c r="BW90" s="29">
        <f>IFERROR(BW48/BW81,"")</f>
        <v/>
      </c>
      <c r="BX90" s="29">
        <f>IFERROR(BX48/BX81,"")</f>
        <v/>
      </c>
      <c r="BY90" s="29">
        <f>IFERROR(BY48/BY81,"")</f>
        <v/>
      </c>
      <c r="BZ90" s="29">
        <f>IFERROR(BZ48/BZ81,"")</f>
        <v/>
      </c>
      <c r="CA90" s="29">
        <f>IFERROR(CA48/CA81,"")</f>
        <v/>
      </c>
      <c r="CB90" s="29">
        <f>IFERROR(CB48/CB81,"")</f>
        <v/>
      </c>
      <c r="CC90" s="29">
        <f>IFERROR(CC48/CC81,"")</f>
        <v/>
      </c>
      <c r="CD90" s="29">
        <f>IFERROR(CD48/CD81,"")</f>
        <v/>
      </c>
      <c r="CE90" s="29">
        <f>IFERROR(CE48/CE81,"")</f>
        <v/>
      </c>
      <c r="CF90" s="29">
        <f>IFERROR(CF48/CF81,"")</f>
        <v/>
      </c>
      <c r="CG90" s="29">
        <f>IFERROR(CG48/CG81,"")</f>
        <v/>
      </c>
      <c r="CH90" s="29">
        <f>IFERROR(CH48/CH81,"")</f>
        <v/>
      </c>
      <c r="CI90" s="29">
        <f>IFERROR(CI48/CI81,"")</f>
        <v/>
      </c>
      <c r="CJ90" s="29">
        <f>IFERROR(CJ48/CJ81,"")</f>
        <v/>
      </c>
      <c r="CK90" s="29">
        <f>IFERROR(CK48/CK81,"")</f>
        <v/>
      </c>
      <c r="CL90" s="29">
        <f>IFERROR(CL48/CL81,"")</f>
        <v/>
      </c>
      <c r="CM90" s="29">
        <f>IFERROR(CM48/CM81,"")</f>
        <v/>
      </c>
      <c r="CN90" s="29">
        <f>IFERROR(CN48/CN81,"")</f>
        <v/>
      </c>
    </row>
    <row r="91">
      <c r="B91" s="18" t="inlineStr">
        <is>
          <t xml:space="preserve">  Return on equity (ROE)</t>
        </is>
      </c>
      <c r="C91" s="29">
        <f>IFERROR(C48/C85,"")</f>
        <v/>
      </c>
      <c r="D91" s="29">
        <f>IFERROR(D48/D85,"")</f>
        <v/>
      </c>
      <c r="E91" s="29">
        <f>IFERROR(E48/E85,"")</f>
        <v/>
      </c>
      <c r="F91" s="29">
        <f>IFERROR(F48/F85,"")</f>
        <v/>
      </c>
      <c r="G91" s="29">
        <f>IFERROR(G48/G85,"")</f>
        <v/>
      </c>
      <c r="H91" s="29">
        <f>IFERROR(H48/H85,"")</f>
        <v/>
      </c>
      <c r="I91" s="29">
        <f>IFERROR(I48/I85,"")</f>
        <v/>
      </c>
      <c r="J91" s="29">
        <f>IFERROR(J48/J85,"")</f>
        <v/>
      </c>
      <c r="K91" s="29">
        <f>IFERROR(K48/K85,"")</f>
        <v/>
      </c>
      <c r="L91" s="29">
        <f>IFERROR(L48/L85,"")</f>
        <v/>
      </c>
      <c r="M91" s="29">
        <f>IFERROR(M48/M85,"")</f>
        <v/>
      </c>
      <c r="N91" s="29">
        <f>IFERROR(N48/N85,"")</f>
        <v/>
      </c>
      <c r="O91" s="29">
        <f>IFERROR(O48/O85,"")</f>
        <v/>
      </c>
      <c r="P91" s="29">
        <f>IFERROR(P48/P85,"")</f>
        <v/>
      </c>
      <c r="Q91" s="29">
        <f>IFERROR(Q48/Q85,"")</f>
        <v/>
      </c>
      <c r="R91" s="29">
        <f>IFERROR(R48/R85,"")</f>
        <v/>
      </c>
      <c r="S91" s="29">
        <f>IFERROR(S48/S85,"")</f>
        <v/>
      </c>
      <c r="T91" s="29">
        <f>IFERROR(T48/T85,"")</f>
        <v/>
      </c>
      <c r="U91" s="29">
        <f>IFERROR(U48/U85,"")</f>
        <v/>
      </c>
      <c r="V91" s="29">
        <f>IFERROR(V48/V85,"")</f>
        <v/>
      </c>
      <c r="W91" s="29">
        <f>IFERROR(W48/W85,"")</f>
        <v/>
      </c>
      <c r="X91" s="29">
        <f>IFERROR(X48/X85,"")</f>
        <v/>
      </c>
      <c r="Y91" s="29">
        <f>IFERROR(Y48/Y85,"")</f>
        <v/>
      </c>
      <c r="Z91" s="29">
        <f>IFERROR(Z48/Z85,"")</f>
        <v/>
      </c>
      <c r="AA91" s="29">
        <f>IFERROR(AA48/AA85,"")</f>
        <v/>
      </c>
      <c r="AB91" s="29">
        <f>IFERROR(AB48/AB85,"")</f>
        <v/>
      </c>
      <c r="AC91" s="29">
        <f>IFERROR(AC48/AC85,"")</f>
        <v/>
      </c>
      <c r="AD91" s="29">
        <f>IFERROR(AD48/AD85,"")</f>
        <v/>
      </c>
      <c r="AE91" s="29">
        <f>IFERROR(AE48/AE85,"")</f>
        <v/>
      </c>
      <c r="AF91" s="29">
        <f>IFERROR(AF48/AF85,"")</f>
        <v/>
      </c>
      <c r="AG91" s="29">
        <f>IFERROR(AG48/AG85,"")</f>
        <v/>
      </c>
      <c r="AH91" s="29">
        <f>IFERROR(AH48/AH85,"")</f>
        <v/>
      </c>
      <c r="AI91" s="29">
        <f>IFERROR(AI48/AI85,"")</f>
        <v/>
      </c>
      <c r="AJ91" s="29">
        <f>IFERROR(AJ48/AJ85,"")</f>
        <v/>
      </c>
      <c r="AK91" s="29">
        <f>IFERROR(AK48/AK85,"")</f>
        <v/>
      </c>
      <c r="AL91" s="29">
        <f>IFERROR(AL48/AL85,"")</f>
        <v/>
      </c>
      <c r="AM91" s="29">
        <f>IFERROR(AM48/AM85,"")</f>
        <v/>
      </c>
      <c r="AN91" s="29">
        <f>IFERROR(AN48/AN85,"")</f>
        <v/>
      </c>
      <c r="AO91" s="29">
        <f>IFERROR(AO48/AO85,"")</f>
        <v/>
      </c>
      <c r="AP91" s="29">
        <f>IFERROR(AP48/AP85,"")</f>
        <v/>
      </c>
      <c r="AQ91" s="29">
        <f>IFERROR(AQ48/AQ85,"")</f>
        <v/>
      </c>
      <c r="AR91" s="29">
        <f>IFERROR(AR48/AR85,"")</f>
        <v/>
      </c>
      <c r="AS91" s="29">
        <f>IFERROR(AS48/AS85,"")</f>
        <v/>
      </c>
      <c r="AT91" s="29">
        <f>IFERROR(AT48/AT85,"")</f>
        <v/>
      </c>
      <c r="AU91" s="29">
        <f>IFERROR(AU48/AU85,"")</f>
        <v/>
      </c>
      <c r="AV91" s="29">
        <f>IFERROR(AV48/AV85,"")</f>
        <v/>
      </c>
      <c r="AW91" s="29">
        <f>IFERROR(AW48/AW85,"")</f>
        <v/>
      </c>
      <c r="AX91" s="29">
        <f>IFERROR(AX48/AX85,"")</f>
        <v/>
      </c>
      <c r="AY91" s="29">
        <f>IFERROR(AY48/AY85,"")</f>
        <v/>
      </c>
      <c r="AZ91" s="29">
        <f>IFERROR(AZ48/AZ85,"")</f>
        <v/>
      </c>
      <c r="BA91" s="29">
        <f>IFERROR(BA48/BA85,"")</f>
        <v/>
      </c>
      <c r="BB91" s="29">
        <f>IFERROR(BB48/BB85,"")</f>
        <v/>
      </c>
      <c r="BC91" s="29">
        <f>IFERROR(BC48/BC85,"")</f>
        <v/>
      </c>
      <c r="BD91" s="29">
        <f>IFERROR(BD48/BD85,"")</f>
        <v/>
      </c>
      <c r="BE91" s="29">
        <f>IFERROR(BE48/BE85,"")</f>
        <v/>
      </c>
      <c r="BF91" s="29">
        <f>IFERROR(BF48/BF85,"")</f>
        <v/>
      </c>
      <c r="BG91" s="29">
        <f>IFERROR(BG48/BG85,"")</f>
        <v/>
      </c>
      <c r="BH91" s="29">
        <f>IFERROR(BH48/BH85,"")</f>
        <v/>
      </c>
      <c r="BI91" s="29">
        <f>IFERROR(BI48/BI85,"")</f>
        <v/>
      </c>
      <c r="BJ91" s="29">
        <f>IFERROR(BJ48/BJ85,"")</f>
        <v/>
      </c>
      <c r="BK91" s="29">
        <f>IFERROR(BK48/BK85,"")</f>
        <v/>
      </c>
      <c r="BL91" s="29">
        <f>IFERROR(BL48/BL85,"")</f>
        <v/>
      </c>
      <c r="BM91" s="29">
        <f>IFERROR(BM48/BM85,"")</f>
        <v/>
      </c>
      <c r="BN91" s="29">
        <f>IFERROR(BN48/BN85,"")</f>
        <v/>
      </c>
      <c r="BO91" s="29">
        <f>IFERROR(BO48/BO85,"")</f>
        <v/>
      </c>
      <c r="BP91" s="29">
        <f>IFERROR(BP48/BP85,"")</f>
        <v/>
      </c>
      <c r="BQ91" s="29">
        <f>IFERROR(BQ48/BQ85,"")</f>
        <v/>
      </c>
      <c r="BR91" s="29">
        <f>IFERROR(BR48/BR85,"")</f>
        <v/>
      </c>
      <c r="BS91" s="29">
        <f>IFERROR(BS48/BS85,"")</f>
        <v/>
      </c>
      <c r="BT91" s="29">
        <f>IFERROR(BT48/BT85,"")</f>
        <v/>
      </c>
      <c r="BU91" s="29">
        <f>IFERROR(BU48/BU85,"")</f>
        <v/>
      </c>
      <c r="BV91" s="29">
        <f>IFERROR(BV48/BV85,"")</f>
        <v/>
      </c>
      <c r="BW91" s="29">
        <f>IFERROR(BW48/BW85,"")</f>
        <v/>
      </c>
      <c r="BX91" s="29">
        <f>IFERROR(BX48/BX85,"")</f>
        <v/>
      </c>
      <c r="BY91" s="29">
        <f>IFERROR(BY48/BY85,"")</f>
        <v/>
      </c>
      <c r="BZ91" s="29">
        <f>IFERROR(BZ48/BZ85,"")</f>
        <v/>
      </c>
      <c r="CA91" s="29">
        <f>IFERROR(CA48/CA85,"")</f>
        <v/>
      </c>
      <c r="CB91" s="29">
        <f>IFERROR(CB48/CB85,"")</f>
        <v/>
      </c>
      <c r="CC91" s="29">
        <f>IFERROR(CC48/CC85,"")</f>
        <v/>
      </c>
      <c r="CD91" s="29">
        <f>IFERROR(CD48/CD85,"")</f>
        <v/>
      </c>
      <c r="CE91" s="29">
        <f>IFERROR(CE48/CE85,"")</f>
        <v/>
      </c>
      <c r="CF91" s="29">
        <f>IFERROR(CF48/CF85,"")</f>
        <v/>
      </c>
      <c r="CG91" s="29">
        <f>IFERROR(CG48/CG85,"")</f>
        <v/>
      </c>
      <c r="CH91" s="29">
        <f>IFERROR(CH48/CH85,"")</f>
        <v/>
      </c>
      <c r="CI91" s="29">
        <f>IFERROR(CI48/CI85,"")</f>
        <v/>
      </c>
      <c r="CJ91" s="29">
        <f>IFERROR(CJ48/CJ85,"")</f>
        <v/>
      </c>
      <c r="CK91" s="29">
        <f>IFERROR(CK48/CK85,"")</f>
        <v/>
      </c>
      <c r="CL91" s="29">
        <f>IFERROR(CL48/CL85,"")</f>
        <v/>
      </c>
      <c r="CM91" s="29">
        <f>IFERROR(CM48/CM85,"")</f>
        <v/>
      </c>
      <c r="CN91" s="29">
        <f>IFERROR(CN48/CN85,"")</f>
        <v/>
      </c>
      <c r="CO91" s="30">
        <f>IFERROR(CO48/CO85,"")</f>
        <v/>
      </c>
      <c r="CP91" s="30">
        <f>IFERROR(CP48/CP85,"")</f>
        <v/>
      </c>
      <c r="CQ91" s="30">
        <f>IFERROR(CQ48/CQ85,"")</f>
        <v/>
      </c>
      <c r="CR91" s="30">
        <f>IFERROR(CR48/CR85,"")</f>
        <v/>
      </c>
      <c r="CS91" s="30">
        <f>IFERROR(CS48/CS85,"")</f>
        <v/>
      </c>
    </row>
    <row r="92">
      <c r="B92" s="18" t="inlineStr">
        <is>
          <t xml:space="preserve">  NOPAT = EBIT × (1 − tax)</t>
        </is>
      </c>
      <c r="C92" s="22">
        <f>IFERROR(C43*(1-C47),"")</f>
        <v/>
      </c>
      <c r="D92" s="22">
        <f>IFERROR(D43*(1-D47),"")</f>
        <v/>
      </c>
      <c r="E92" s="22">
        <f>IFERROR(E43*(1-E47),"")</f>
        <v/>
      </c>
      <c r="F92" s="22">
        <f>IFERROR(F43*(1-F47),"")</f>
        <v/>
      </c>
      <c r="G92" s="22">
        <f>IFERROR(G43*(1-G47),"")</f>
        <v/>
      </c>
      <c r="H92" s="22">
        <f>IFERROR(H43*(1-H47),"")</f>
        <v/>
      </c>
      <c r="I92" s="22">
        <f>IFERROR(I43*(1-I47),"")</f>
        <v/>
      </c>
      <c r="J92" s="22">
        <f>IFERROR(J43*(1-J47),"")</f>
        <v/>
      </c>
      <c r="K92" s="22">
        <f>IFERROR(K43*(1-K47),"")</f>
        <v/>
      </c>
      <c r="L92" s="22">
        <f>IFERROR(L43*(1-L47),"")</f>
        <v/>
      </c>
      <c r="M92" s="22">
        <f>IFERROR(M43*(1-M47),"")</f>
        <v/>
      </c>
      <c r="N92" s="22">
        <f>IFERROR(N43*(1-N47),"")</f>
        <v/>
      </c>
      <c r="O92" s="22">
        <f>IFERROR(O43*(1-O47),"")</f>
        <v/>
      </c>
      <c r="P92" s="22">
        <f>IFERROR(P43*(1-P47),"")</f>
        <v/>
      </c>
      <c r="Q92" s="22">
        <f>IFERROR(Q43*(1-Q47),"")</f>
        <v/>
      </c>
      <c r="R92" s="22">
        <f>IFERROR(R43*(1-R47),"")</f>
        <v/>
      </c>
      <c r="S92" s="22">
        <f>IFERROR(S43*(1-S47),"")</f>
        <v/>
      </c>
      <c r="T92" s="22">
        <f>IFERROR(T43*(1-T47),"")</f>
        <v/>
      </c>
      <c r="U92" s="22">
        <f>IFERROR(U43*(1-U47),"")</f>
        <v/>
      </c>
      <c r="V92" s="22">
        <f>IFERROR(V43*(1-V47),"")</f>
        <v/>
      </c>
      <c r="W92" s="22">
        <f>IFERROR(W43*(1-W47),"")</f>
        <v/>
      </c>
      <c r="X92" s="22">
        <f>IFERROR(X43*(1-X47),"")</f>
        <v/>
      </c>
      <c r="Y92" s="22">
        <f>IFERROR(Y43*(1-Y47),"")</f>
        <v/>
      </c>
      <c r="Z92" s="22">
        <f>IFERROR(Z43*(1-Z47),"")</f>
        <v/>
      </c>
      <c r="AA92" s="22">
        <f>IFERROR(AA43*(1-AA47),"")</f>
        <v/>
      </c>
      <c r="AB92" s="22">
        <f>IFERROR(AB43*(1-AB47),"")</f>
        <v/>
      </c>
      <c r="AC92" s="22">
        <f>IFERROR(AC43*(1-AC47),"")</f>
        <v/>
      </c>
      <c r="AD92" s="22">
        <f>IFERROR(AD43*(1-AD47),"")</f>
        <v/>
      </c>
      <c r="AE92" s="22">
        <f>IFERROR(AE43*(1-AE47),"")</f>
        <v/>
      </c>
      <c r="AF92" s="22">
        <f>IFERROR(AF43*(1-AF47),"")</f>
        <v/>
      </c>
      <c r="AG92" s="22">
        <f>IFERROR(AG43*(1-AG47),"")</f>
        <v/>
      </c>
      <c r="AH92" s="22">
        <f>IFERROR(AH43*(1-AH47),"")</f>
        <v/>
      </c>
      <c r="AI92" s="22">
        <f>IFERROR(AI43*(1-AI47),"")</f>
        <v/>
      </c>
      <c r="AJ92" s="22">
        <f>IFERROR(AJ43*(1-AJ47),"")</f>
        <v/>
      </c>
      <c r="AK92" s="22">
        <f>IFERROR(AK43*(1-AK47),"")</f>
        <v/>
      </c>
      <c r="AL92" s="22">
        <f>IFERROR(AL43*(1-AL47),"")</f>
        <v/>
      </c>
      <c r="AM92" s="22">
        <f>IFERROR(AM43*(1-AM47),"")</f>
        <v/>
      </c>
      <c r="AN92" s="22">
        <f>IFERROR(AN43*(1-AN47),"")</f>
        <v/>
      </c>
      <c r="AO92" s="22">
        <f>IFERROR(AO43*(1-AO47),"")</f>
        <v/>
      </c>
      <c r="AP92" s="22">
        <f>IFERROR(AP43*(1-AP47),"")</f>
        <v/>
      </c>
      <c r="AQ92" s="22">
        <f>IFERROR(AQ43*(1-AQ47),"")</f>
        <v/>
      </c>
      <c r="AR92" s="22">
        <f>IFERROR(AR43*(1-AR47),"")</f>
        <v/>
      </c>
      <c r="AS92" s="22">
        <f>IFERROR(AS43*(1-AS47),"")</f>
        <v/>
      </c>
      <c r="AT92" s="22">
        <f>IFERROR(AT43*(1-AT47),"")</f>
        <v/>
      </c>
      <c r="AU92" s="22">
        <f>IFERROR(AU43*(1-AU47),"")</f>
        <v/>
      </c>
      <c r="AV92" s="22">
        <f>IFERROR(AV43*(1-AV47),"")</f>
        <v/>
      </c>
      <c r="AW92" s="22">
        <f>IFERROR(AW43*(1-AW47),"")</f>
        <v/>
      </c>
      <c r="AX92" s="22">
        <f>IFERROR(AX43*(1-AX47),"")</f>
        <v/>
      </c>
      <c r="AY92" s="22">
        <f>IFERROR(AY43*(1-AY47),"")</f>
        <v/>
      </c>
      <c r="AZ92" s="22">
        <f>IFERROR(AZ43*(1-AZ47),"")</f>
        <v/>
      </c>
      <c r="BA92" s="22">
        <f>IFERROR(BA43*(1-BA47),"")</f>
        <v/>
      </c>
      <c r="BB92" s="22">
        <f>IFERROR(BB43*(1-BB47),"")</f>
        <v/>
      </c>
      <c r="BC92" s="22">
        <f>IFERROR(BC43*(1-BC47),"")</f>
        <v/>
      </c>
      <c r="BD92" s="22">
        <f>IFERROR(BD43*(1-BD47),"")</f>
        <v/>
      </c>
      <c r="BE92" s="22">
        <f>IFERROR(BE43*(1-BE47),"")</f>
        <v/>
      </c>
      <c r="BF92" s="22">
        <f>IFERROR(BF43*(1-BF47),"")</f>
        <v/>
      </c>
      <c r="BG92" s="22">
        <f>IFERROR(BG43*(1-BG47),"")</f>
        <v/>
      </c>
      <c r="BH92" s="22">
        <f>IFERROR(BH43*(1-BH47),"")</f>
        <v/>
      </c>
      <c r="BI92" s="22">
        <f>IFERROR(BI43*(1-BI47),"")</f>
        <v/>
      </c>
      <c r="BJ92" s="22">
        <f>IFERROR(BJ43*(1-BJ47),"")</f>
        <v/>
      </c>
      <c r="BK92" s="22">
        <f>IFERROR(BK43*(1-BK47),"")</f>
        <v/>
      </c>
      <c r="BL92" s="22">
        <f>IFERROR(BL43*(1-BL47),"")</f>
        <v/>
      </c>
      <c r="BM92" s="22">
        <f>IFERROR(BM43*(1-BM47),"")</f>
        <v/>
      </c>
      <c r="BN92" s="22">
        <f>IFERROR(BN43*(1-BN47),"")</f>
        <v/>
      </c>
      <c r="BO92" s="22">
        <f>IFERROR(BO43*(1-BO47),"")</f>
        <v/>
      </c>
      <c r="BP92" s="22">
        <f>IFERROR(BP43*(1-BP47),"")</f>
        <v/>
      </c>
      <c r="BQ92" s="22">
        <f>IFERROR(BQ43*(1-BQ47),"")</f>
        <v/>
      </c>
      <c r="BR92" s="22">
        <f>IFERROR(BR43*(1-BR47),"")</f>
        <v/>
      </c>
      <c r="BS92" s="22">
        <f>IFERROR(BS43*(1-BS47),"")</f>
        <v/>
      </c>
      <c r="BT92" s="22">
        <f>IFERROR(BT43*(1-BT47),"")</f>
        <v/>
      </c>
      <c r="BU92" s="22">
        <f>IFERROR(BU43*(1-BU47),"")</f>
        <v/>
      </c>
      <c r="BV92" s="22">
        <f>IFERROR(BV43*(1-BV47),"")</f>
        <v/>
      </c>
      <c r="BW92" s="22">
        <f>IFERROR(BW43*(1-BW47),"")</f>
        <v/>
      </c>
      <c r="BX92" s="22">
        <f>IFERROR(BX43*(1-BX47),"")</f>
        <v/>
      </c>
      <c r="BY92" s="22">
        <f>IFERROR(BY43*(1-BY47),"")</f>
        <v/>
      </c>
      <c r="BZ92" s="22">
        <f>IFERROR(BZ43*(1-BZ47),"")</f>
        <v/>
      </c>
      <c r="CA92" s="22">
        <f>IFERROR(CA43*(1-CA47),"")</f>
        <v/>
      </c>
      <c r="CB92" s="22">
        <f>IFERROR(CB43*(1-CB47),"")</f>
        <v/>
      </c>
      <c r="CC92" s="22">
        <f>IFERROR(CC43*(1-CC47),"")</f>
        <v/>
      </c>
      <c r="CD92" s="22">
        <f>IFERROR(CD43*(1-CD47),"")</f>
        <v/>
      </c>
      <c r="CE92" s="22">
        <f>IFERROR(CE43*(1-CE47),"")</f>
        <v/>
      </c>
      <c r="CF92" s="22">
        <f>IFERROR(CF43*(1-CF47),"")</f>
        <v/>
      </c>
      <c r="CG92" s="22">
        <f>IFERROR(CG43*(1-CG47),"")</f>
        <v/>
      </c>
      <c r="CH92" s="22">
        <f>IFERROR(CH43*(1-CH47),"")</f>
        <v/>
      </c>
      <c r="CI92" s="22">
        <f>IFERROR(CI43*(1-CI47),"")</f>
        <v/>
      </c>
      <c r="CJ92" s="22">
        <f>IFERROR(CJ43*(1-CJ47),"")</f>
        <v/>
      </c>
      <c r="CK92" s="22">
        <f>IFERROR(CK43*(1-CK47),"")</f>
        <v/>
      </c>
      <c r="CL92" s="22">
        <f>IFERROR(CL43*(1-CL47),"")</f>
        <v/>
      </c>
      <c r="CM92" s="22">
        <f>IFERROR(CM43*(1-CM47),"")</f>
        <v/>
      </c>
      <c r="CN92" s="22">
        <f>IFERROR(CN43*(1-CN47),"")</f>
        <v/>
      </c>
      <c r="CO92" s="24">
        <f>CO43*(1-CO47)</f>
        <v/>
      </c>
      <c r="CP92" s="24">
        <f>CP43*(1-CP47)</f>
        <v/>
      </c>
      <c r="CQ92" s="24">
        <f>CQ43*(1-CQ47)</f>
        <v/>
      </c>
      <c r="CR92" s="24">
        <f>CR43*(1-CR47)</f>
        <v/>
      </c>
      <c r="CS92" s="24">
        <f>CS43*(1-CS47)</f>
        <v/>
      </c>
    </row>
    <row r="93">
      <c r="B93" s="18" t="inlineStr">
        <is>
          <t xml:space="preserve">  ROIC = NOPAT / (Equity + Debt − Cash)</t>
        </is>
      </c>
      <c r="C93" s="29">
        <f>IFERROR(C92/(C85+C83-C77),"")</f>
        <v/>
      </c>
      <c r="D93" s="29">
        <f>IFERROR(D92/(D85+D83-D77),"")</f>
        <v/>
      </c>
      <c r="E93" s="29">
        <f>IFERROR(E92/(E85+E83-E77),"")</f>
        <v/>
      </c>
      <c r="F93" s="29">
        <f>IFERROR(F92/(F85+F83-F77),"")</f>
        <v/>
      </c>
      <c r="G93" s="29">
        <f>IFERROR(G92/(G85+G83-G77),"")</f>
        <v/>
      </c>
      <c r="H93" s="29">
        <f>IFERROR(H92/(H85+H83-H77),"")</f>
        <v/>
      </c>
      <c r="I93" s="29">
        <f>IFERROR(I92/(I85+I83-I77),"")</f>
        <v/>
      </c>
      <c r="J93" s="29">
        <f>IFERROR(J92/(J85+J83-J77),"")</f>
        <v/>
      </c>
      <c r="K93" s="29">
        <f>IFERROR(K92/(K85+K83-K77),"")</f>
        <v/>
      </c>
      <c r="L93" s="29">
        <f>IFERROR(L92/(L85+L83-L77),"")</f>
        <v/>
      </c>
      <c r="M93" s="29">
        <f>IFERROR(M92/(M85+M83-M77),"")</f>
        <v/>
      </c>
      <c r="N93" s="29">
        <f>IFERROR(N92/(N85+N83-N77),"")</f>
        <v/>
      </c>
      <c r="O93" s="29">
        <f>IFERROR(O92/(O85+O83-O77),"")</f>
        <v/>
      </c>
      <c r="P93" s="29">
        <f>IFERROR(P92/(P85+P83-P77),"")</f>
        <v/>
      </c>
      <c r="Q93" s="29">
        <f>IFERROR(Q92/(Q85+Q83-Q77),"")</f>
        <v/>
      </c>
      <c r="R93" s="29">
        <f>IFERROR(R92/(R85+R83-R77),"")</f>
        <v/>
      </c>
      <c r="S93" s="29">
        <f>IFERROR(S92/(S85+S83-S77),"")</f>
        <v/>
      </c>
      <c r="T93" s="29">
        <f>IFERROR(T92/(T85+T83-T77),"")</f>
        <v/>
      </c>
      <c r="U93" s="29">
        <f>IFERROR(U92/(U85+U83-U77),"")</f>
        <v/>
      </c>
      <c r="V93" s="29">
        <f>IFERROR(V92/(V85+V83-V77),"")</f>
        <v/>
      </c>
      <c r="W93" s="29">
        <f>IFERROR(W92/(W85+W83-W77),"")</f>
        <v/>
      </c>
      <c r="X93" s="29">
        <f>IFERROR(X92/(X85+X83-X77),"")</f>
        <v/>
      </c>
      <c r="Y93" s="29">
        <f>IFERROR(Y92/(Y85+Y83-Y77),"")</f>
        <v/>
      </c>
      <c r="Z93" s="29">
        <f>IFERROR(Z92/(Z85+Z83-Z77),"")</f>
        <v/>
      </c>
      <c r="AA93" s="29">
        <f>IFERROR(AA92/(AA85+AA83-AA77),"")</f>
        <v/>
      </c>
      <c r="AB93" s="29">
        <f>IFERROR(AB92/(AB85+AB83-AB77),"")</f>
        <v/>
      </c>
      <c r="AC93" s="29">
        <f>IFERROR(AC92/(AC85+AC83-AC77),"")</f>
        <v/>
      </c>
      <c r="AD93" s="29">
        <f>IFERROR(AD92/(AD85+AD83-AD77),"")</f>
        <v/>
      </c>
      <c r="AE93" s="29">
        <f>IFERROR(AE92/(AE85+AE83-AE77),"")</f>
        <v/>
      </c>
      <c r="AF93" s="29">
        <f>IFERROR(AF92/(AF85+AF83-AF77),"")</f>
        <v/>
      </c>
      <c r="AG93" s="29">
        <f>IFERROR(AG92/(AG85+AG83-AG77),"")</f>
        <v/>
      </c>
      <c r="AH93" s="29">
        <f>IFERROR(AH92/(AH85+AH83-AH77),"")</f>
        <v/>
      </c>
      <c r="AI93" s="29">
        <f>IFERROR(AI92/(AI85+AI83-AI77),"")</f>
        <v/>
      </c>
      <c r="AJ93" s="29">
        <f>IFERROR(AJ92/(AJ85+AJ83-AJ77),"")</f>
        <v/>
      </c>
      <c r="AK93" s="29">
        <f>IFERROR(AK92/(AK85+AK83-AK77),"")</f>
        <v/>
      </c>
      <c r="AL93" s="29">
        <f>IFERROR(AL92/(AL85+AL83-AL77),"")</f>
        <v/>
      </c>
      <c r="AM93" s="29">
        <f>IFERROR(AM92/(AM85+AM83-AM77),"")</f>
        <v/>
      </c>
      <c r="AN93" s="29">
        <f>IFERROR(AN92/(AN85+AN83-AN77),"")</f>
        <v/>
      </c>
      <c r="AO93" s="29">
        <f>IFERROR(AO92/(AO85+AO83-AO77),"")</f>
        <v/>
      </c>
      <c r="AP93" s="29">
        <f>IFERROR(AP92/(AP85+AP83-AP77),"")</f>
        <v/>
      </c>
      <c r="AQ93" s="29">
        <f>IFERROR(AQ92/(AQ85+AQ83-AQ77),"")</f>
        <v/>
      </c>
      <c r="AR93" s="29">
        <f>IFERROR(AR92/(AR85+AR83-AR77),"")</f>
        <v/>
      </c>
      <c r="AS93" s="29">
        <f>IFERROR(AS92/(AS85+AS83-AS77),"")</f>
        <v/>
      </c>
      <c r="AT93" s="29">
        <f>IFERROR(AT92/(AT85+AT83-AT77),"")</f>
        <v/>
      </c>
      <c r="AU93" s="29">
        <f>IFERROR(AU92/(AU85+AU83-AU77),"")</f>
        <v/>
      </c>
      <c r="AV93" s="29">
        <f>IFERROR(AV92/(AV85+AV83-AV77),"")</f>
        <v/>
      </c>
      <c r="AW93" s="29">
        <f>IFERROR(AW92/(AW85+AW83-AW77),"")</f>
        <v/>
      </c>
      <c r="AX93" s="29">
        <f>IFERROR(AX92/(AX85+AX83-AX77),"")</f>
        <v/>
      </c>
      <c r="AY93" s="29">
        <f>IFERROR(AY92/(AY85+AY83-AY77),"")</f>
        <v/>
      </c>
      <c r="AZ93" s="29">
        <f>IFERROR(AZ92/(AZ85+AZ83-AZ77),"")</f>
        <v/>
      </c>
      <c r="BA93" s="29">
        <f>IFERROR(BA92/(BA85+BA83-BA77),"")</f>
        <v/>
      </c>
      <c r="BB93" s="29">
        <f>IFERROR(BB92/(BB85+BB83-BB77),"")</f>
        <v/>
      </c>
      <c r="BC93" s="29">
        <f>IFERROR(BC92/(BC85+BC83-BC77),"")</f>
        <v/>
      </c>
      <c r="BD93" s="29">
        <f>IFERROR(BD92/(BD85+BD83-BD77),"")</f>
        <v/>
      </c>
      <c r="BE93" s="29">
        <f>IFERROR(BE92/(BE85+BE83-BE77),"")</f>
        <v/>
      </c>
      <c r="BF93" s="29">
        <f>IFERROR(BF92/(BF85+BF83-BF77),"")</f>
        <v/>
      </c>
      <c r="BG93" s="29">
        <f>IFERROR(BG92/(BG85+BG83-BG77),"")</f>
        <v/>
      </c>
      <c r="BH93" s="29">
        <f>IFERROR(BH92/(BH85+BH83-BH77),"")</f>
        <v/>
      </c>
      <c r="BI93" s="29">
        <f>IFERROR(BI92/(BI85+BI83-BI77),"")</f>
        <v/>
      </c>
      <c r="BJ93" s="29">
        <f>IFERROR(BJ92/(BJ85+BJ83-BJ77),"")</f>
        <v/>
      </c>
      <c r="BK93" s="29">
        <f>IFERROR(BK92/(BK85+BK83-BK77),"")</f>
        <v/>
      </c>
      <c r="BL93" s="29">
        <f>IFERROR(BL92/(BL85+BL83-BL77),"")</f>
        <v/>
      </c>
      <c r="BM93" s="29">
        <f>IFERROR(BM92/(BM85+BM83-BM77),"")</f>
        <v/>
      </c>
      <c r="BN93" s="29">
        <f>IFERROR(BN92/(BN85+BN83-BN77),"")</f>
        <v/>
      </c>
      <c r="BO93" s="29">
        <f>IFERROR(BO92/(BO85+BO83-BO77),"")</f>
        <v/>
      </c>
      <c r="BP93" s="29">
        <f>IFERROR(BP92/(BP85+BP83-BP77),"")</f>
        <v/>
      </c>
      <c r="BQ93" s="29">
        <f>IFERROR(BQ92/(BQ85+BQ83-BQ77),"")</f>
        <v/>
      </c>
      <c r="BR93" s="29">
        <f>IFERROR(BR92/(BR85+BR83-BR77),"")</f>
        <v/>
      </c>
      <c r="BS93" s="29">
        <f>IFERROR(BS92/(BS85+BS83-BS77),"")</f>
        <v/>
      </c>
      <c r="BT93" s="29">
        <f>IFERROR(BT92/(BT85+BT83-BT77),"")</f>
        <v/>
      </c>
      <c r="BU93" s="29">
        <f>IFERROR(BU92/(BU85+BU83-BU77),"")</f>
        <v/>
      </c>
      <c r="BV93" s="29">
        <f>IFERROR(BV92/(BV85+BV83-BV77),"")</f>
        <v/>
      </c>
      <c r="BW93" s="29">
        <f>IFERROR(BW92/(BW85+BW83-BW77),"")</f>
        <v/>
      </c>
      <c r="BX93" s="29">
        <f>IFERROR(BX92/(BX85+BX83-BX77),"")</f>
        <v/>
      </c>
      <c r="BY93" s="29">
        <f>IFERROR(BY92/(BY85+BY83-BY77),"")</f>
        <v/>
      </c>
      <c r="BZ93" s="29">
        <f>IFERROR(BZ92/(BZ85+BZ83-BZ77),"")</f>
        <v/>
      </c>
      <c r="CA93" s="29">
        <f>IFERROR(CA92/(CA85+CA83-CA77),"")</f>
        <v/>
      </c>
      <c r="CB93" s="29">
        <f>IFERROR(CB92/(CB85+CB83-CB77),"")</f>
        <v/>
      </c>
      <c r="CC93" s="29">
        <f>IFERROR(CC92/(CC85+CC83-CC77),"")</f>
        <v/>
      </c>
      <c r="CD93" s="29">
        <f>IFERROR(CD92/(CD85+CD83-CD77),"")</f>
        <v/>
      </c>
      <c r="CE93" s="29">
        <f>IFERROR(CE92/(CE85+CE83-CE77),"")</f>
        <v/>
      </c>
      <c r="CF93" s="29">
        <f>IFERROR(CF92/(CF85+CF83-CF77),"")</f>
        <v/>
      </c>
      <c r="CG93" s="29">
        <f>IFERROR(CG92/(CG85+CG83-CG77),"")</f>
        <v/>
      </c>
      <c r="CH93" s="29">
        <f>IFERROR(CH92/(CH85+CH83-CH77),"")</f>
        <v/>
      </c>
      <c r="CI93" s="29">
        <f>IFERROR(CI92/(CI85+CI83-CI77),"")</f>
        <v/>
      </c>
      <c r="CJ93" s="29">
        <f>IFERROR(CJ92/(CJ85+CJ83-CJ77),"")</f>
        <v/>
      </c>
      <c r="CK93" s="29">
        <f>IFERROR(CK92/(CK85+CK83-CK77),"")</f>
        <v/>
      </c>
      <c r="CL93" s="29">
        <f>IFERROR(CL92/(CL85+CL83-CL77),"")</f>
        <v/>
      </c>
      <c r="CM93" s="29">
        <f>IFERROR(CM92/(CM85+CM83-CM77),"")</f>
        <v/>
      </c>
      <c r="CN93" s="29">
        <f>IFERROR(CN92/(CN85+CN83-CN77),"")</f>
        <v/>
      </c>
    </row>
    <row r="94">
      <c r="B94" s="18" t="inlineStr">
        <is>
          <t xml:space="preserve">  Net debt (Debt − Cash)</t>
        </is>
      </c>
      <c r="C94" s="22">
        <f>IFERROR(C83-C77,"")</f>
        <v/>
      </c>
      <c r="D94" s="22">
        <f>IFERROR(D83-D77,"")</f>
        <v/>
      </c>
      <c r="E94" s="22">
        <f>IFERROR(E83-E77,"")</f>
        <v/>
      </c>
      <c r="F94" s="22">
        <f>IFERROR(F83-F77,"")</f>
        <v/>
      </c>
      <c r="G94" s="22">
        <f>IFERROR(G83-G77,"")</f>
        <v/>
      </c>
      <c r="H94" s="22">
        <f>IFERROR(H83-H77,"")</f>
        <v/>
      </c>
      <c r="I94" s="22">
        <f>IFERROR(I83-I77,"")</f>
        <v/>
      </c>
      <c r="J94" s="22">
        <f>IFERROR(J83-J77,"")</f>
        <v/>
      </c>
      <c r="K94" s="22">
        <f>IFERROR(K83-K77,"")</f>
        <v/>
      </c>
      <c r="L94" s="22">
        <f>IFERROR(L83-L77,"")</f>
        <v/>
      </c>
      <c r="M94" s="22">
        <f>IFERROR(M83-M77,"")</f>
        <v/>
      </c>
      <c r="N94" s="22">
        <f>IFERROR(N83-N77,"")</f>
        <v/>
      </c>
      <c r="O94" s="22">
        <f>IFERROR(O83-O77,"")</f>
        <v/>
      </c>
      <c r="P94" s="22">
        <f>IFERROR(P83-P77,"")</f>
        <v/>
      </c>
      <c r="Q94" s="22">
        <f>IFERROR(Q83-Q77,"")</f>
        <v/>
      </c>
      <c r="R94" s="22">
        <f>IFERROR(R83-R77,"")</f>
        <v/>
      </c>
      <c r="S94" s="22">
        <f>IFERROR(S83-S77,"")</f>
        <v/>
      </c>
      <c r="T94" s="22">
        <f>IFERROR(T83-T77,"")</f>
        <v/>
      </c>
      <c r="U94" s="22">
        <f>IFERROR(U83-U77,"")</f>
        <v/>
      </c>
      <c r="V94" s="22">
        <f>IFERROR(V83-V77,"")</f>
        <v/>
      </c>
      <c r="W94" s="22">
        <f>IFERROR(W83-W77,"")</f>
        <v/>
      </c>
      <c r="X94" s="22">
        <f>IFERROR(X83-X77,"")</f>
        <v/>
      </c>
      <c r="Y94" s="22">
        <f>IFERROR(Y83-Y77,"")</f>
        <v/>
      </c>
      <c r="Z94" s="22">
        <f>IFERROR(Z83-Z77,"")</f>
        <v/>
      </c>
      <c r="AA94" s="22">
        <f>IFERROR(AA83-AA77,"")</f>
        <v/>
      </c>
      <c r="AB94" s="22">
        <f>IFERROR(AB83-AB77,"")</f>
        <v/>
      </c>
      <c r="AC94" s="22">
        <f>IFERROR(AC83-AC77,"")</f>
        <v/>
      </c>
      <c r="AD94" s="22">
        <f>IFERROR(AD83-AD77,"")</f>
        <v/>
      </c>
      <c r="AE94" s="22">
        <f>IFERROR(AE83-AE77,"")</f>
        <v/>
      </c>
      <c r="AF94" s="22">
        <f>IFERROR(AF83-AF77,"")</f>
        <v/>
      </c>
      <c r="AG94" s="22">
        <f>IFERROR(AG83-AG77,"")</f>
        <v/>
      </c>
      <c r="AH94" s="22">
        <f>IFERROR(AH83-AH77,"")</f>
        <v/>
      </c>
      <c r="AI94" s="22">
        <f>IFERROR(AI83-AI77,"")</f>
        <v/>
      </c>
      <c r="AJ94" s="22">
        <f>IFERROR(AJ83-AJ77,"")</f>
        <v/>
      </c>
      <c r="AK94" s="22">
        <f>IFERROR(AK83-AK77,"")</f>
        <v/>
      </c>
      <c r="AL94" s="22">
        <f>IFERROR(AL83-AL77,"")</f>
        <v/>
      </c>
      <c r="AM94" s="22">
        <f>IFERROR(AM83-AM77,"")</f>
        <v/>
      </c>
      <c r="AN94" s="22">
        <f>IFERROR(AN83-AN77,"")</f>
        <v/>
      </c>
      <c r="AO94" s="22">
        <f>IFERROR(AO83-AO77,"")</f>
        <v/>
      </c>
      <c r="AP94" s="22">
        <f>IFERROR(AP83-AP77,"")</f>
        <v/>
      </c>
      <c r="AQ94" s="22">
        <f>IFERROR(AQ83-AQ77,"")</f>
        <v/>
      </c>
      <c r="AR94" s="22">
        <f>IFERROR(AR83-AR77,"")</f>
        <v/>
      </c>
      <c r="AS94" s="22">
        <f>IFERROR(AS83-AS77,"")</f>
        <v/>
      </c>
      <c r="AT94" s="22">
        <f>IFERROR(AT83-AT77,"")</f>
        <v/>
      </c>
      <c r="AU94" s="22">
        <f>IFERROR(AU83-AU77,"")</f>
        <v/>
      </c>
      <c r="AV94" s="22">
        <f>IFERROR(AV83-AV77,"")</f>
        <v/>
      </c>
      <c r="AW94" s="22">
        <f>IFERROR(AW83-AW77,"")</f>
        <v/>
      </c>
      <c r="AX94" s="22">
        <f>IFERROR(AX83-AX77,"")</f>
        <v/>
      </c>
      <c r="AY94" s="22">
        <f>IFERROR(AY83-AY77,"")</f>
        <v/>
      </c>
      <c r="AZ94" s="22">
        <f>IFERROR(AZ83-AZ77,"")</f>
        <v/>
      </c>
      <c r="BA94" s="22">
        <f>IFERROR(BA83-BA77,"")</f>
        <v/>
      </c>
      <c r="BB94" s="22">
        <f>IFERROR(BB83-BB77,"")</f>
        <v/>
      </c>
      <c r="BC94" s="22">
        <f>IFERROR(BC83-BC77,"")</f>
        <v/>
      </c>
      <c r="BD94" s="22">
        <f>IFERROR(BD83-BD77,"")</f>
        <v/>
      </c>
      <c r="BE94" s="22">
        <f>IFERROR(BE83-BE77,"")</f>
        <v/>
      </c>
      <c r="BF94" s="22">
        <f>IFERROR(BF83-BF77,"")</f>
        <v/>
      </c>
      <c r="BG94" s="22">
        <f>IFERROR(BG83-BG77,"")</f>
        <v/>
      </c>
      <c r="BH94" s="22">
        <f>IFERROR(BH83-BH77,"")</f>
        <v/>
      </c>
      <c r="BI94" s="22">
        <f>IFERROR(BI83-BI77,"")</f>
        <v/>
      </c>
      <c r="BJ94" s="22">
        <f>IFERROR(BJ83-BJ77,"")</f>
        <v/>
      </c>
      <c r="BK94" s="22">
        <f>IFERROR(BK83-BK77,"")</f>
        <v/>
      </c>
      <c r="BL94" s="22">
        <f>IFERROR(BL83-BL77,"")</f>
        <v/>
      </c>
      <c r="BM94" s="22">
        <f>IFERROR(BM83-BM77,"")</f>
        <v/>
      </c>
      <c r="BN94" s="22">
        <f>IFERROR(BN83-BN77,"")</f>
        <v/>
      </c>
      <c r="BO94" s="22">
        <f>IFERROR(BO83-BO77,"")</f>
        <v/>
      </c>
      <c r="BP94" s="22">
        <f>IFERROR(BP83-BP77,"")</f>
        <v/>
      </c>
      <c r="BQ94" s="22">
        <f>IFERROR(BQ83-BQ77,"")</f>
        <v/>
      </c>
      <c r="BR94" s="22">
        <f>IFERROR(BR83-BR77,"")</f>
        <v/>
      </c>
      <c r="BS94" s="22">
        <f>IFERROR(BS83-BS77,"")</f>
        <v/>
      </c>
      <c r="BT94" s="22">
        <f>IFERROR(BT83-BT77,"")</f>
        <v/>
      </c>
      <c r="BU94" s="22">
        <f>IFERROR(BU83-BU77,"")</f>
        <v/>
      </c>
      <c r="BV94" s="22">
        <f>IFERROR(BV83-BV77,"")</f>
        <v/>
      </c>
      <c r="BW94" s="22">
        <f>IFERROR(BW83-BW77,"")</f>
        <v/>
      </c>
      <c r="BX94" s="22">
        <f>IFERROR(BX83-BX77,"")</f>
        <v/>
      </c>
      <c r="BY94" s="22">
        <f>IFERROR(BY83-BY77,"")</f>
        <v/>
      </c>
      <c r="BZ94" s="22">
        <f>IFERROR(BZ83-BZ77,"")</f>
        <v/>
      </c>
      <c r="CA94" s="22">
        <f>IFERROR(CA83-CA77,"")</f>
        <v/>
      </c>
      <c r="CB94" s="22">
        <f>IFERROR(CB83-CB77,"")</f>
        <v/>
      </c>
      <c r="CC94" s="22">
        <f>IFERROR(CC83-CC77,"")</f>
        <v/>
      </c>
      <c r="CD94" s="22">
        <f>IFERROR(CD83-CD77,"")</f>
        <v/>
      </c>
      <c r="CE94" s="22">
        <f>IFERROR(CE83-CE77,"")</f>
        <v/>
      </c>
      <c r="CF94" s="22">
        <f>IFERROR(CF83-CF77,"")</f>
        <v/>
      </c>
      <c r="CG94" s="22">
        <f>IFERROR(CG83-CG77,"")</f>
        <v/>
      </c>
      <c r="CH94" s="22">
        <f>IFERROR(CH83-CH77,"")</f>
        <v/>
      </c>
      <c r="CI94" s="22">
        <f>IFERROR(CI83-CI77,"")</f>
        <v/>
      </c>
      <c r="CJ94" s="22">
        <f>IFERROR(CJ83-CJ77,"")</f>
        <v/>
      </c>
      <c r="CK94" s="22">
        <f>IFERROR(CK83-CK77,"")</f>
        <v/>
      </c>
      <c r="CL94" s="22">
        <f>IFERROR(CL83-CL77,"")</f>
        <v/>
      </c>
      <c r="CM94" s="22">
        <f>IFERROR(CM83-CM77,"")</f>
        <v/>
      </c>
      <c r="CN94" s="22">
        <f>IFERROR(CN83-CN77,"")</f>
        <v/>
      </c>
    </row>
    <row r="95">
      <c r="B95" s="18" t="inlineStr">
        <is>
          <t xml:space="preserve">  Net debt / EBITDA (x)</t>
        </is>
      </c>
      <c r="C95" s="39">
        <f>IFERROR(C94/C89,"")</f>
        <v/>
      </c>
      <c r="D95" s="39">
        <f>IFERROR(D94/D89,"")</f>
        <v/>
      </c>
      <c r="E95" s="39">
        <f>IFERROR(E94/E89,"")</f>
        <v/>
      </c>
      <c r="F95" s="39">
        <f>IFERROR(F94/F89,"")</f>
        <v/>
      </c>
      <c r="G95" s="39">
        <f>IFERROR(G94/G89,"")</f>
        <v/>
      </c>
      <c r="H95" s="39">
        <f>IFERROR(H94/H89,"")</f>
        <v/>
      </c>
      <c r="I95" s="39">
        <f>IFERROR(I94/I89,"")</f>
        <v/>
      </c>
      <c r="J95" s="39">
        <f>IFERROR(J94/J89,"")</f>
        <v/>
      </c>
      <c r="K95" s="39">
        <f>IFERROR(K94/K89,"")</f>
        <v/>
      </c>
      <c r="L95" s="39">
        <f>IFERROR(L94/L89,"")</f>
        <v/>
      </c>
      <c r="M95" s="39">
        <f>IFERROR(M94/M89,"")</f>
        <v/>
      </c>
      <c r="N95" s="39">
        <f>IFERROR(N94/N89,"")</f>
        <v/>
      </c>
      <c r="O95" s="39">
        <f>IFERROR(O94/O89,"")</f>
        <v/>
      </c>
      <c r="P95" s="39">
        <f>IFERROR(P94/P89,"")</f>
        <v/>
      </c>
      <c r="Q95" s="39">
        <f>IFERROR(Q94/Q89,"")</f>
        <v/>
      </c>
      <c r="R95" s="39">
        <f>IFERROR(R94/R89,"")</f>
        <v/>
      </c>
      <c r="S95" s="39">
        <f>IFERROR(S94/S89,"")</f>
        <v/>
      </c>
      <c r="T95" s="39">
        <f>IFERROR(T94/T89,"")</f>
        <v/>
      </c>
      <c r="U95" s="39">
        <f>IFERROR(U94/U89,"")</f>
        <v/>
      </c>
      <c r="V95" s="39">
        <f>IFERROR(V94/V89,"")</f>
        <v/>
      </c>
      <c r="W95" s="39">
        <f>IFERROR(W94/W89,"")</f>
        <v/>
      </c>
      <c r="X95" s="39">
        <f>IFERROR(X94/X89,"")</f>
        <v/>
      </c>
      <c r="Y95" s="39">
        <f>IFERROR(Y94/Y89,"")</f>
        <v/>
      </c>
      <c r="Z95" s="39">
        <f>IFERROR(Z94/Z89,"")</f>
        <v/>
      </c>
      <c r="AA95" s="39">
        <f>IFERROR(AA94/AA89,"")</f>
        <v/>
      </c>
      <c r="AB95" s="39">
        <f>IFERROR(AB94/AB89,"")</f>
        <v/>
      </c>
      <c r="AC95" s="39">
        <f>IFERROR(AC94/AC89,"")</f>
        <v/>
      </c>
      <c r="AD95" s="39">
        <f>IFERROR(AD94/AD89,"")</f>
        <v/>
      </c>
      <c r="AE95" s="39">
        <f>IFERROR(AE94/AE89,"")</f>
        <v/>
      </c>
      <c r="AF95" s="39">
        <f>IFERROR(AF94/AF89,"")</f>
        <v/>
      </c>
      <c r="AG95" s="39">
        <f>IFERROR(AG94/AG89,"")</f>
        <v/>
      </c>
      <c r="AH95" s="39">
        <f>IFERROR(AH94/AH89,"")</f>
        <v/>
      </c>
      <c r="AI95" s="39">
        <f>IFERROR(AI94/AI89,"")</f>
        <v/>
      </c>
      <c r="AJ95" s="39">
        <f>IFERROR(AJ94/AJ89,"")</f>
        <v/>
      </c>
      <c r="AK95" s="39">
        <f>IFERROR(AK94/AK89,"")</f>
        <v/>
      </c>
      <c r="AL95" s="39">
        <f>IFERROR(AL94/AL89,"")</f>
        <v/>
      </c>
      <c r="AM95" s="39">
        <f>IFERROR(AM94/AM89,"")</f>
        <v/>
      </c>
      <c r="AN95" s="39">
        <f>IFERROR(AN94/AN89,"")</f>
        <v/>
      </c>
      <c r="AO95" s="39">
        <f>IFERROR(AO94/AO89,"")</f>
        <v/>
      </c>
      <c r="AP95" s="39">
        <f>IFERROR(AP94/AP89,"")</f>
        <v/>
      </c>
      <c r="AQ95" s="39">
        <f>IFERROR(AQ94/AQ89,"")</f>
        <v/>
      </c>
      <c r="AR95" s="39">
        <f>IFERROR(AR94/AR89,"")</f>
        <v/>
      </c>
      <c r="AS95" s="39">
        <f>IFERROR(AS94/AS89,"")</f>
        <v/>
      </c>
      <c r="AT95" s="39">
        <f>IFERROR(AT94/AT89,"")</f>
        <v/>
      </c>
      <c r="AU95" s="39">
        <f>IFERROR(AU94/AU89,"")</f>
        <v/>
      </c>
      <c r="AV95" s="39">
        <f>IFERROR(AV94/AV89,"")</f>
        <v/>
      </c>
      <c r="AW95" s="39">
        <f>IFERROR(AW94/AW89,"")</f>
        <v/>
      </c>
      <c r="AX95" s="39">
        <f>IFERROR(AX94/AX89,"")</f>
        <v/>
      </c>
      <c r="AY95" s="39">
        <f>IFERROR(AY94/AY89,"")</f>
        <v/>
      </c>
      <c r="AZ95" s="39">
        <f>IFERROR(AZ94/AZ89,"")</f>
        <v/>
      </c>
      <c r="BA95" s="39">
        <f>IFERROR(BA94/BA89,"")</f>
        <v/>
      </c>
      <c r="BB95" s="39">
        <f>IFERROR(BB94/BB89,"")</f>
        <v/>
      </c>
      <c r="BC95" s="39">
        <f>IFERROR(BC94/BC89,"")</f>
        <v/>
      </c>
      <c r="BD95" s="39">
        <f>IFERROR(BD94/BD89,"")</f>
        <v/>
      </c>
      <c r="BE95" s="39">
        <f>IFERROR(BE94/BE89,"")</f>
        <v/>
      </c>
      <c r="BF95" s="39">
        <f>IFERROR(BF94/BF89,"")</f>
        <v/>
      </c>
      <c r="BG95" s="39">
        <f>IFERROR(BG94/BG89,"")</f>
        <v/>
      </c>
      <c r="BH95" s="39">
        <f>IFERROR(BH94/BH89,"")</f>
        <v/>
      </c>
      <c r="BI95" s="39">
        <f>IFERROR(BI94/BI89,"")</f>
        <v/>
      </c>
      <c r="BJ95" s="39">
        <f>IFERROR(BJ94/BJ89,"")</f>
        <v/>
      </c>
      <c r="BK95" s="39">
        <f>IFERROR(BK94/BK89,"")</f>
        <v/>
      </c>
      <c r="BL95" s="39">
        <f>IFERROR(BL94/BL89,"")</f>
        <v/>
      </c>
      <c r="BM95" s="39">
        <f>IFERROR(BM94/BM89,"")</f>
        <v/>
      </c>
      <c r="BN95" s="39">
        <f>IFERROR(BN94/BN89,"")</f>
        <v/>
      </c>
      <c r="BO95" s="39">
        <f>IFERROR(BO94/BO89,"")</f>
        <v/>
      </c>
      <c r="BP95" s="39">
        <f>IFERROR(BP94/BP89,"")</f>
        <v/>
      </c>
      <c r="BQ95" s="39">
        <f>IFERROR(BQ94/BQ89,"")</f>
        <v/>
      </c>
      <c r="BR95" s="39">
        <f>IFERROR(BR94/BR89,"")</f>
        <v/>
      </c>
      <c r="BS95" s="39">
        <f>IFERROR(BS94/BS89,"")</f>
        <v/>
      </c>
      <c r="BT95" s="39">
        <f>IFERROR(BT94/BT89,"")</f>
        <v/>
      </c>
      <c r="BU95" s="39">
        <f>IFERROR(BU94/BU89,"")</f>
        <v/>
      </c>
      <c r="BV95" s="39">
        <f>IFERROR(BV94/BV89,"")</f>
        <v/>
      </c>
      <c r="BW95" s="39">
        <f>IFERROR(BW94/BW89,"")</f>
        <v/>
      </c>
      <c r="BX95" s="39">
        <f>IFERROR(BX94/BX89,"")</f>
        <v/>
      </c>
      <c r="BY95" s="39">
        <f>IFERROR(BY94/BY89,"")</f>
        <v/>
      </c>
      <c r="BZ95" s="39">
        <f>IFERROR(BZ94/BZ89,"")</f>
        <v/>
      </c>
      <c r="CA95" s="39">
        <f>IFERROR(CA94/CA89,"")</f>
        <v/>
      </c>
      <c r="CB95" s="39">
        <f>IFERROR(CB94/CB89,"")</f>
        <v/>
      </c>
      <c r="CC95" s="39">
        <f>IFERROR(CC94/CC89,"")</f>
        <v/>
      </c>
      <c r="CD95" s="39">
        <f>IFERROR(CD94/CD89,"")</f>
        <v/>
      </c>
      <c r="CE95" s="39">
        <f>IFERROR(CE94/CE89,"")</f>
        <v/>
      </c>
      <c r="CF95" s="39">
        <f>IFERROR(CF94/CF89,"")</f>
        <v/>
      </c>
      <c r="CG95" s="39">
        <f>IFERROR(CG94/CG89,"")</f>
        <v/>
      </c>
      <c r="CH95" s="39">
        <f>IFERROR(CH94/CH89,"")</f>
        <v/>
      </c>
      <c r="CI95" s="39">
        <f>IFERROR(CI94/CI89,"")</f>
        <v/>
      </c>
      <c r="CJ95" s="39">
        <f>IFERROR(CJ94/CJ89,"")</f>
        <v/>
      </c>
      <c r="CK95" s="39">
        <f>IFERROR(CK94/CK89,"")</f>
        <v/>
      </c>
      <c r="CL95" s="39">
        <f>IFERROR(CL94/CL89,"")</f>
        <v/>
      </c>
      <c r="CM95" s="39">
        <f>IFERROR(CM94/CM89,"")</f>
        <v/>
      </c>
      <c r="CN95" s="39">
        <f>IFERROR(CN94/CN89,"")</f>
        <v/>
      </c>
    </row>
    <row r="97">
      <c r="B97" s="5" t="inlineStr">
        <is>
          <t>VALUATION  (share price is a manual input — not from SEC filings)</t>
        </is>
      </c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  <c r="L97" s="12" t="n"/>
      <c r="M97" s="12" t="n"/>
      <c r="N97" s="12" t="n"/>
      <c r="O97" s="12" t="n"/>
      <c r="P97" s="12" t="n"/>
      <c r="Q97" s="12" t="n"/>
      <c r="R97" s="12" t="n"/>
      <c r="S97" s="12" t="n"/>
      <c r="T97" s="12" t="n"/>
      <c r="U97" s="12" t="n"/>
      <c r="V97" s="12" t="n"/>
      <c r="W97" s="12" t="n"/>
      <c r="X97" s="12" t="n"/>
      <c r="Y97" s="12" t="n"/>
      <c r="Z97" s="12" t="n"/>
      <c r="AA97" s="12" t="n"/>
      <c r="AB97" s="12" t="n"/>
      <c r="AC97" s="12" t="n"/>
      <c r="AD97" s="12" t="n"/>
      <c r="AE97" s="12" t="n"/>
      <c r="AF97" s="12" t="n"/>
      <c r="AG97" s="12" t="n"/>
      <c r="AH97" s="12" t="n"/>
      <c r="AI97" s="12" t="n"/>
      <c r="AJ97" s="12" t="n"/>
      <c r="AK97" s="12" t="n"/>
      <c r="AL97" s="12" t="n"/>
      <c r="AM97" s="12" t="n"/>
      <c r="AN97" s="12" t="n"/>
      <c r="AO97" s="12" t="n"/>
      <c r="AP97" s="12" t="n"/>
      <c r="AQ97" s="12" t="n"/>
      <c r="AR97" s="12" t="n"/>
      <c r="AS97" s="12" t="n"/>
      <c r="AT97" s="12" t="n"/>
      <c r="AU97" s="12" t="n"/>
      <c r="AV97" s="12" t="n"/>
      <c r="AW97" s="12" t="n"/>
      <c r="AX97" s="12" t="n"/>
      <c r="AY97" s="12" t="n"/>
      <c r="AZ97" s="12" t="n"/>
      <c r="BA97" s="12" t="n"/>
      <c r="BB97" s="12" t="n"/>
      <c r="BC97" s="12" t="n"/>
      <c r="BD97" s="12" t="n"/>
      <c r="BE97" s="12" t="n"/>
      <c r="BF97" s="12" t="n"/>
      <c r="BG97" s="12" t="n"/>
      <c r="BH97" s="12" t="n"/>
      <c r="BI97" s="12" t="n"/>
      <c r="BJ97" s="12" t="n"/>
      <c r="BK97" s="12" t="n"/>
      <c r="BL97" s="12" t="n"/>
      <c r="BM97" s="12" t="n"/>
      <c r="BN97" s="12" t="n"/>
      <c r="BO97" s="12" t="n"/>
      <c r="BP97" s="12" t="n"/>
      <c r="BQ97" s="12" t="n"/>
      <c r="BR97" s="12" t="n"/>
      <c r="BS97" s="12" t="n"/>
      <c r="BT97" s="12" t="n"/>
      <c r="BU97" s="12" t="n"/>
      <c r="BV97" s="12" t="n"/>
      <c r="BW97" s="12" t="n"/>
      <c r="BX97" s="12" t="n"/>
      <c r="BY97" s="12" t="n"/>
      <c r="BZ97" s="12" t="n"/>
      <c r="CA97" s="12" t="n"/>
      <c r="CB97" s="12" t="n"/>
      <c r="CC97" s="12" t="n"/>
      <c r="CD97" s="12" t="n"/>
      <c r="CE97" s="12" t="n"/>
      <c r="CF97" s="12" t="n"/>
      <c r="CG97" s="12" t="n"/>
      <c r="CH97" s="12" t="n"/>
      <c r="CI97" s="12" t="n"/>
      <c r="CJ97" s="12" t="n"/>
      <c r="CK97" s="12" t="n"/>
      <c r="CL97" s="12" t="n"/>
      <c r="CM97" s="12" t="n"/>
      <c r="CN97" s="12" t="n"/>
      <c r="CO97" s="12" t="n"/>
      <c r="CP97" s="12" t="n"/>
      <c r="CQ97" s="12" t="n"/>
      <c r="CR97" s="12" t="n"/>
      <c r="CS97" s="12" t="n"/>
      <c r="CT97" s="12" t="n"/>
      <c r="CU97" s="12" t="n"/>
      <c r="CV97" s="12" t="n"/>
      <c r="CW97" s="12" t="n"/>
    </row>
    <row r="98">
      <c r="B98" s="18" t="inlineStr">
        <is>
          <t>Avg. share price ($) — manual input</t>
        </is>
      </c>
      <c r="H98" s="40" t="n"/>
      <c r="N98" s="40" t="n"/>
      <c r="T98" s="40" t="n"/>
      <c r="Z98" s="40" t="n"/>
      <c r="AF98" s="40" t="n"/>
      <c r="AL98" s="40" t="n"/>
      <c r="AR98" s="40" t="n"/>
      <c r="AX98" s="40" t="n"/>
      <c r="BD98" s="40" t="n"/>
      <c r="BJ98" s="40" t="n"/>
      <c r="BP98" s="40" t="n"/>
      <c r="BV98" s="40" t="n"/>
      <c r="CB98" s="40" t="n"/>
      <c r="CH98" s="40" t="n"/>
      <c r="CN98" s="40" t="n"/>
      <c r="CO98" s="41" t="n"/>
      <c r="CP98" s="41" t="n"/>
      <c r="CQ98" s="41" t="n"/>
      <c r="CR98" s="41" t="n"/>
      <c r="CS98" s="41" t="n"/>
    </row>
    <row r="99">
      <c r="B99" s="18" t="inlineStr">
        <is>
          <t xml:space="preserve">  Market capitalisation</t>
        </is>
      </c>
      <c r="H99" s="22">
        <f>IFERROR(H98*H49,"")</f>
        <v/>
      </c>
      <c r="N99" s="22">
        <f>IFERROR(N98*N49,"")</f>
        <v/>
      </c>
      <c r="T99" s="22">
        <f>IFERROR(T98*T49,"")</f>
        <v/>
      </c>
      <c r="Z99" s="22">
        <f>IFERROR(Z98*Z49,"")</f>
        <v/>
      </c>
      <c r="AF99" s="22">
        <f>IFERROR(AF98*AF49,"")</f>
        <v/>
      </c>
      <c r="AL99" s="22">
        <f>IFERROR(AL98*AL49,"")</f>
        <v/>
      </c>
      <c r="AR99" s="22">
        <f>IFERROR(AR98*AR49,"")</f>
        <v/>
      </c>
      <c r="AX99" s="22">
        <f>IFERROR(AX98*AX49,"")</f>
        <v/>
      </c>
      <c r="BD99" s="22">
        <f>IFERROR(BD98*BD49,"")</f>
        <v/>
      </c>
      <c r="BJ99" s="22">
        <f>IFERROR(BJ98*BJ49,"")</f>
        <v/>
      </c>
      <c r="BP99" s="22">
        <f>IFERROR(BP98*BP49,"")</f>
        <v/>
      </c>
      <c r="BV99" s="22">
        <f>IFERROR(BV98*BV49,"")</f>
        <v/>
      </c>
      <c r="CB99" s="22">
        <f>IFERROR(CB98*CB49,"")</f>
        <v/>
      </c>
      <c r="CH99" s="22">
        <f>IFERROR(CH98*CH49,"")</f>
        <v/>
      </c>
      <c r="CN99" s="22">
        <f>IFERROR(CN98*CN49,"")</f>
        <v/>
      </c>
      <c r="CO99" s="24">
        <f>IFERROR(CO98*CO49,"")</f>
        <v/>
      </c>
      <c r="CP99" s="24">
        <f>IFERROR(CP98*CP49,"")</f>
        <v/>
      </c>
      <c r="CQ99" s="24">
        <f>IFERROR(CQ98*CQ49,"")</f>
        <v/>
      </c>
      <c r="CR99" s="24">
        <f>IFERROR(CR98*CR49,"")</f>
        <v/>
      </c>
      <c r="CS99" s="24">
        <f>IFERROR(CS98*CS49,"")</f>
        <v/>
      </c>
    </row>
    <row r="100">
      <c r="B100" s="18" t="inlineStr">
        <is>
          <t xml:space="preserve">  Enterprise value (Mkt cap + Net debt)</t>
        </is>
      </c>
      <c r="H100" s="22">
        <f>IFERROR(H99+H94,"")</f>
        <v/>
      </c>
      <c r="N100" s="22">
        <f>IFERROR(N99+N94,"")</f>
        <v/>
      </c>
      <c r="T100" s="22">
        <f>IFERROR(T99+T94,"")</f>
        <v/>
      </c>
      <c r="Z100" s="22">
        <f>IFERROR(Z99+Z94,"")</f>
        <v/>
      </c>
      <c r="AF100" s="22">
        <f>IFERROR(AF99+AF94,"")</f>
        <v/>
      </c>
      <c r="AL100" s="22">
        <f>IFERROR(AL99+AL94,"")</f>
        <v/>
      </c>
      <c r="AR100" s="22">
        <f>IFERROR(AR99+AR94,"")</f>
        <v/>
      </c>
      <c r="AX100" s="22">
        <f>IFERROR(AX99+AX94,"")</f>
        <v/>
      </c>
      <c r="BD100" s="22">
        <f>IFERROR(BD99+BD94,"")</f>
        <v/>
      </c>
      <c r="BJ100" s="22">
        <f>IFERROR(BJ99+BJ94,"")</f>
        <v/>
      </c>
      <c r="BP100" s="22">
        <f>IFERROR(BP99+BP94,"")</f>
        <v/>
      </c>
      <c r="BV100" s="22">
        <f>IFERROR(BV99+BV94,"")</f>
        <v/>
      </c>
      <c r="CB100" s="22">
        <f>IFERROR(CB99+CB94,"")</f>
        <v/>
      </c>
      <c r="CH100" s="22">
        <f>IFERROR(CH99+CH94,"")</f>
        <v/>
      </c>
      <c r="CN100" s="22">
        <f>IFERROR(CN99+CN94,"")</f>
        <v/>
      </c>
    </row>
    <row r="101">
      <c r="B101" s="18" t="inlineStr">
        <is>
          <t xml:space="preserve">    EV / EBITDA (x)</t>
        </is>
      </c>
      <c r="H101" s="39">
        <f>IFERROR(H100/H89,"")</f>
        <v/>
      </c>
      <c r="N101" s="39">
        <f>IFERROR(N100/N89,"")</f>
        <v/>
      </c>
      <c r="T101" s="39">
        <f>IFERROR(T100/T89,"")</f>
        <v/>
      </c>
      <c r="Z101" s="39">
        <f>IFERROR(Z100/Z89,"")</f>
        <v/>
      </c>
      <c r="AF101" s="39">
        <f>IFERROR(AF100/AF89,"")</f>
        <v/>
      </c>
      <c r="AL101" s="39">
        <f>IFERROR(AL100/AL89,"")</f>
        <v/>
      </c>
      <c r="AR101" s="39">
        <f>IFERROR(AR100/AR89,"")</f>
        <v/>
      </c>
      <c r="AX101" s="39">
        <f>IFERROR(AX100/AX89,"")</f>
        <v/>
      </c>
      <c r="BD101" s="39">
        <f>IFERROR(BD100/BD89,"")</f>
        <v/>
      </c>
      <c r="BJ101" s="39">
        <f>IFERROR(BJ100/BJ89,"")</f>
        <v/>
      </c>
      <c r="BP101" s="39">
        <f>IFERROR(BP100/BP89,"")</f>
        <v/>
      </c>
      <c r="BV101" s="39">
        <f>IFERROR(BV100/BV89,"")</f>
        <v/>
      </c>
      <c r="CB101" s="39">
        <f>IFERROR(CB100/CB89,"")</f>
        <v/>
      </c>
      <c r="CH101" s="39">
        <f>IFERROR(CH100/CH89,"")</f>
        <v/>
      </c>
      <c r="CN101" s="39">
        <f>IFERROR(CN100/CN89,"")</f>
        <v/>
      </c>
    </row>
    <row r="102">
      <c r="B102" s="18" t="inlineStr">
        <is>
          <t xml:space="preserve">    P / E (x)</t>
        </is>
      </c>
      <c r="H102" s="39">
        <f>IFERROR(H98/H52,"")</f>
        <v/>
      </c>
      <c r="N102" s="39">
        <f>IFERROR(N98/N52,"")</f>
        <v/>
      </c>
      <c r="T102" s="39">
        <f>IFERROR(T98/T52,"")</f>
        <v/>
      </c>
      <c r="Z102" s="39">
        <f>IFERROR(Z98/Z52,"")</f>
        <v/>
      </c>
      <c r="AF102" s="39">
        <f>IFERROR(AF98/AF52,"")</f>
        <v/>
      </c>
      <c r="AL102" s="39">
        <f>IFERROR(AL98/AL52,"")</f>
        <v/>
      </c>
      <c r="AR102" s="39">
        <f>IFERROR(AR98/AR52,"")</f>
        <v/>
      </c>
      <c r="AX102" s="39">
        <f>IFERROR(AX98/AX52,"")</f>
        <v/>
      </c>
      <c r="BD102" s="39">
        <f>IFERROR(BD98/BD52,"")</f>
        <v/>
      </c>
      <c r="BJ102" s="39">
        <f>IFERROR(BJ98/BJ52,"")</f>
        <v/>
      </c>
      <c r="BP102" s="39">
        <f>IFERROR(BP98/BP52,"")</f>
        <v/>
      </c>
      <c r="BV102" s="39">
        <f>IFERROR(BV98/BV52,"")</f>
        <v/>
      </c>
      <c r="CB102" s="39">
        <f>IFERROR(CB98/CB52,"")</f>
        <v/>
      </c>
      <c r="CH102" s="39">
        <f>IFERROR(CH98/CH52,"")</f>
        <v/>
      </c>
      <c r="CN102" s="39">
        <f>IFERROR(CN98/CN52,"")</f>
        <v/>
      </c>
      <c r="CO102" s="42">
        <f>IFERROR(CO98/CO52,"")</f>
        <v/>
      </c>
      <c r="CP102" s="42">
        <f>IFERROR(CP98/CP52,"")</f>
        <v/>
      </c>
      <c r="CQ102" s="42">
        <f>IFERROR(CQ98/CQ52,"")</f>
        <v/>
      </c>
      <c r="CR102" s="42">
        <f>IFERROR(CR98/CR52,"")</f>
        <v/>
      </c>
      <c r="CS102" s="42">
        <f>IFERROR(CS98/CS52,"")</f>
        <v/>
      </c>
    </row>
    <row r="103">
      <c r="B103" s="18" t="inlineStr">
        <is>
          <t xml:space="preserve">    FCF yield %</t>
        </is>
      </c>
      <c r="H103" s="29">
        <f>IFERROR(H72/H99,"")</f>
        <v/>
      </c>
      <c r="N103" s="29">
        <f>IFERROR(N72/N99,"")</f>
        <v/>
      </c>
      <c r="T103" s="29">
        <f>IFERROR(T72/T99,"")</f>
        <v/>
      </c>
      <c r="Z103" s="29">
        <f>IFERROR(Z72/Z99,"")</f>
        <v/>
      </c>
      <c r="AF103" s="29">
        <f>IFERROR(AF72/AF99,"")</f>
        <v/>
      </c>
      <c r="AL103" s="29">
        <f>IFERROR(AL72/AL99,"")</f>
        <v/>
      </c>
      <c r="AR103" s="29">
        <f>IFERROR(AR72/AR99,"")</f>
        <v/>
      </c>
      <c r="AX103" s="29">
        <f>IFERROR(AX72/AX99,"")</f>
        <v/>
      </c>
      <c r="BD103" s="29">
        <f>IFERROR(BD72/BD99,"")</f>
        <v/>
      </c>
      <c r="BJ103" s="29">
        <f>IFERROR(BJ72/BJ99,"")</f>
        <v/>
      </c>
      <c r="BP103" s="29">
        <f>IFERROR(BP72/BP99,"")</f>
        <v/>
      </c>
      <c r="BV103" s="29">
        <f>IFERROR(BV72/BV99,"")</f>
        <v/>
      </c>
      <c r="CB103" s="29">
        <f>IFERROR(CB72/CB99,"")</f>
        <v/>
      </c>
      <c r="CH103" s="29">
        <f>IFERROR(CH72/CH99,"")</f>
        <v/>
      </c>
      <c r="CN103" s="29">
        <f>IFERROR(CN72/CN99,"")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H12"/>
  <sheetViews>
    <sheetView showGridLines="0" workbookViewId="0">
      <selection activeCell="A1" sqref="A1"/>
    </sheetView>
  </sheetViews>
  <sheetFormatPr baseColWidth="8" defaultRowHeight="15"/>
  <cols>
    <col width="34" customWidth="1" min="2" max="2"/>
  </cols>
  <sheetData>
    <row r="2">
      <c r="B2" s="8" t="inlineStr">
        <is>
          <t>COPART — Bull / Base / Bear P&amp;L Summary</t>
        </is>
      </c>
    </row>
    <row r="3">
      <c r="B3" s="11" t="inlineStr">
        <is>
          <t>Linked to Model — toggle scenario via the Model tab.</t>
        </is>
      </c>
    </row>
    <row r="5">
      <c r="C5" s="17" t="inlineStr">
        <is>
          <t>FY2025A</t>
        </is>
      </c>
      <c r="D5" s="17" t="inlineStr">
        <is>
          <t>FY2026E</t>
        </is>
      </c>
      <c r="E5" s="17" t="inlineStr">
        <is>
          <t>FY2027E</t>
        </is>
      </c>
      <c r="F5" s="17" t="inlineStr">
        <is>
          <t>FY2028E</t>
        </is>
      </c>
      <c r="G5" s="17" t="inlineStr">
        <is>
          <t>FY2029E</t>
        </is>
      </c>
      <c r="H5" s="17" t="inlineStr">
        <is>
          <t>FY2030E</t>
        </is>
      </c>
    </row>
    <row r="6">
      <c r="B6" s="18" t="inlineStr">
        <is>
          <t>Revenue</t>
        </is>
      </c>
      <c r="C6" s="43">
        <f>Model!CN38</f>
        <v/>
      </c>
      <c r="D6" s="43">
        <f>Model!CO38</f>
        <v/>
      </c>
      <c r="E6" s="43">
        <f>Model!CP38</f>
        <v/>
      </c>
      <c r="F6" s="43">
        <f>Model!CQ38</f>
        <v/>
      </c>
      <c r="G6" s="43">
        <f>Model!CR38</f>
        <v/>
      </c>
      <c r="H6" s="43">
        <f>Model!CS38</f>
        <v/>
      </c>
    </row>
    <row r="7">
      <c r="B7" s="18" t="inlineStr">
        <is>
          <t>Operating income</t>
        </is>
      </c>
      <c r="C7" s="43">
        <f>Model!CN43</f>
        <v/>
      </c>
      <c r="D7" s="43">
        <f>Model!CO43</f>
        <v/>
      </c>
      <c r="E7" s="43">
        <f>Model!CP43</f>
        <v/>
      </c>
      <c r="F7" s="43">
        <f>Model!CQ43</f>
        <v/>
      </c>
      <c r="G7" s="43">
        <f>Model!CR43</f>
        <v/>
      </c>
      <c r="H7" s="43">
        <f>Model!CS43</f>
        <v/>
      </c>
    </row>
    <row r="8">
      <c r="B8" s="18" t="inlineStr">
        <is>
          <t>Net income</t>
        </is>
      </c>
      <c r="C8" s="43">
        <f>Model!CN48</f>
        <v/>
      </c>
      <c r="D8" s="43">
        <f>Model!CO48</f>
        <v/>
      </c>
      <c r="E8" s="43">
        <f>Model!CP48</f>
        <v/>
      </c>
      <c r="F8" s="43">
        <f>Model!CQ48</f>
        <v/>
      </c>
      <c r="G8" s="43">
        <f>Model!CR48</f>
        <v/>
      </c>
      <c r="H8" s="43">
        <f>Model!CS48</f>
        <v/>
      </c>
    </row>
    <row r="9">
      <c r="B9" s="18" t="inlineStr">
        <is>
          <t>EPS — diluted ($)</t>
        </is>
      </c>
      <c r="C9" s="44">
        <f>Model!CN52</f>
        <v/>
      </c>
      <c r="D9" s="44">
        <f>Model!CO52</f>
        <v/>
      </c>
      <c r="E9" s="44">
        <f>Model!CP52</f>
        <v/>
      </c>
      <c r="F9" s="44">
        <f>Model!CQ52</f>
        <v/>
      </c>
      <c r="G9" s="44">
        <f>Model!CR52</f>
        <v/>
      </c>
      <c r="H9" s="44">
        <f>Model!CS52</f>
        <v/>
      </c>
    </row>
    <row r="10">
      <c r="B10" s="18" t="inlineStr">
        <is>
          <t>Free cash flow</t>
        </is>
      </c>
      <c r="C10" s="43">
        <f>Model!CN72</f>
        <v/>
      </c>
      <c r="D10" s="43">
        <f>Model!CO72</f>
        <v/>
      </c>
      <c r="E10" s="43">
        <f>Model!CP72</f>
        <v/>
      </c>
      <c r="F10" s="43">
        <f>Model!CQ72</f>
        <v/>
      </c>
      <c r="G10" s="43">
        <f>Model!CR72</f>
        <v/>
      </c>
      <c r="H10" s="43">
        <f>Model!CS72</f>
        <v/>
      </c>
    </row>
    <row r="12">
      <c r="B12" s="6" t="inlineStr">
        <is>
          <t>Active scenario:</t>
        </is>
      </c>
      <c r="C12" s="45">
        <f>Model!$CU$2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G19"/>
  <sheetViews>
    <sheetView showGridLines="0" workbookViewId="0">
      <selection activeCell="A1" sqref="A1"/>
    </sheetView>
  </sheetViews>
  <sheetFormatPr baseColWidth="8" defaultRowHeight="15"/>
  <cols>
    <col width="36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</cols>
  <sheetData>
    <row r="2">
      <c r="B2" s="8" t="inlineStr">
        <is>
          <t>COPART — Unlevered DCF (off model forecast FCF)</t>
        </is>
      </c>
    </row>
    <row r="3">
      <c r="B3" s="11" t="inlineStr">
        <is>
          <t>Free cash flow linked from the Model forecast columns. Assumptions in blue are editable.</t>
        </is>
      </c>
    </row>
    <row r="5">
      <c r="B5" s="6" t="inlineStr">
        <is>
          <t>WACC</t>
        </is>
      </c>
      <c r="C5" s="19" t="n">
        <v>0.09</v>
      </c>
    </row>
    <row r="6">
      <c r="B6" s="6" t="inlineStr">
        <is>
          <t>Terminal growth (g)</t>
        </is>
      </c>
      <c r="C6" s="19" t="n">
        <v>0.03</v>
      </c>
    </row>
    <row r="8">
      <c r="C8" s="17" t="inlineStr">
        <is>
          <t>FY2026E</t>
        </is>
      </c>
      <c r="D8" s="17" t="inlineStr">
        <is>
          <t>FY2027E</t>
        </is>
      </c>
      <c r="E8" s="17" t="inlineStr">
        <is>
          <t>FY2028E</t>
        </is>
      </c>
      <c r="F8" s="17" t="inlineStr">
        <is>
          <t>FY2029E</t>
        </is>
      </c>
      <c r="G8" s="17" t="inlineStr">
        <is>
          <t>FY2030E</t>
        </is>
      </c>
    </row>
    <row r="9">
      <c r="B9" s="18" t="inlineStr">
        <is>
          <t>Free cash flow (US$m)</t>
        </is>
      </c>
      <c r="C9" s="43">
        <f>Model!CO72</f>
        <v/>
      </c>
      <c r="D9" s="43">
        <f>Model!CP72</f>
        <v/>
      </c>
      <c r="E9" s="43">
        <f>Model!CQ72</f>
        <v/>
      </c>
      <c r="F9" s="43">
        <f>Model!CR72</f>
        <v/>
      </c>
      <c r="G9" s="43">
        <f>Model!CS72</f>
        <v/>
      </c>
    </row>
    <row r="10">
      <c r="B10" s="18" t="inlineStr">
        <is>
          <t>Discount factor</t>
        </is>
      </c>
      <c r="C10" s="46">
        <f>1/(1+$C$5)^1</f>
        <v/>
      </c>
      <c r="D10" s="46">
        <f>1/(1+$C$5)^2</f>
        <v/>
      </c>
      <c r="E10" s="46">
        <f>1/(1+$C$5)^3</f>
        <v/>
      </c>
      <c r="F10" s="46">
        <f>1/(1+$C$5)^4</f>
        <v/>
      </c>
      <c r="G10" s="46">
        <f>1/(1+$C$5)^5</f>
        <v/>
      </c>
    </row>
    <row r="11">
      <c r="B11" s="18" t="inlineStr">
        <is>
          <t>PV of FCF</t>
        </is>
      </c>
      <c r="C11" s="43">
        <f>C9*C10</f>
        <v/>
      </c>
      <c r="D11" s="43">
        <f>D9*D10</f>
        <v/>
      </c>
      <c r="E11" s="43">
        <f>E9*E10</f>
        <v/>
      </c>
      <c r="F11" s="43">
        <f>F9*F10</f>
        <v/>
      </c>
      <c r="G11" s="43">
        <f>G9*G10</f>
        <v/>
      </c>
    </row>
    <row r="13">
      <c r="B13" s="6" t="inlineStr">
        <is>
          <t>Terminal value (Gordon)</t>
        </is>
      </c>
      <c r="C13" s="43">
        <f>G9*(1+$C$6)/($C$5-$C$6)</f>
        <v/>
      </c>
    </row>
    <row r="14">
      <c r="B14" s="18" t="inlineStr">
        <is>
          <t>PV of terminal value</t>
        </is>
      </c>
      <c r="C14" s="43">
        <f>C13*G10</f>
        <v/>
      </c>
    </row>
    <row r="15">
      <c r="B15" s="6" t="inlineStr">
        <is>
          <t>Enterprise value</t>
        </is>
      </c>
      <c r="C15" s="47">
        <f>SUM(C11:G11)+C14</f>
        <v/>
      </c>
    </row>
    <row r="16">
      <c r="B16" s="18" t="inlineStr">
        <is>
          <t>− Net debt (FY latest, Model)</t>
        </is>
      </c>
      <c r="C16" s="43">
        <f>Model!CN94</f>
        <v/>
      </c>
    </row>
    <row r="17">
      <c r="B17" s="6" t="inlineStr">
        <is>
          <t>Equity value</t>
        </is>
      </c>
      <c r="C17" s="47">
        <f>C15-C16</f>
        <v/>
      </c>
    </row>
    <row r="18">
      <c r="B18" s="18" t="inlineStr">
        <is>
          <t>÷ Diluted shares (m, FY latest)</t>
        </is>
      </c>
      <c r="C18" s="43">
        <f>Model!CN49</f>
        <v/>
      </c>
    </row>
    <row r="19">
      <c r="B19" s="6" t="inlineStr">
        <is>
          <t>Implied value per share ($)</t>
        </is>
      </c>
      <c r="C19" s="48">
        <f>C17/C18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2026-07-01T00:54:47Z</dcterms:created>
  <dcterms:modified xmlns:dcterms="http://purl.org/dc/terms/" xmlns:xsi="http://www.w3.org/2001/XMLSchema-instance" xsi:type="dcterms:W3CDTF">2026-07-01T00:54:47Z</dcterms:modified>
</cp:coreProperties>
</file>