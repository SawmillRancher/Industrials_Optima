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Bull-Base-Bear" sheetId="3" state="visible" r:id="rId3"/>
    <sheet xmlns:r="http://schemas.openxmlformats.org/officeDocument/2006/relationships" name="DC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;(0.0%);&quot;-&quot;"/>
    <numFmt numFmtId="165" formatCode="#,##0;(#,##0);&quot;-&quot;"/>
    <numFmt numFmtId="166" formatCode="0.00;(0.00);&quot;-&quot;"/>
    <numFmt numFmtId="167" formatCode="0.00x"/>
    <numFmt numFmtId="168" formatCode="#,##0.0;(#,##0.0);&quot;-&quot;"/>
    <numFmt numFmtId="169" formatCode="0.000"/>
  </numFmts>
  <fonts count="13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0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b val="1"/>
      <color rgb="000000FF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color rgb="00404040"/>
      <sz val="10"/>
    </font>
    <font>
      <name val="Calibri"/>
      <b val="1"/>
      <color rgb="001F3864"/>
      <sz val="22"/>
    </font>
    <font>
      <color rgb="00595959"/>
      <sz val="12"/>
    </font>
  </fonts>
  <fills count="8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F3E46"/>
      </patternFill>
    </fill>
    <fill>
      <patternFill patternType="solid">
        <fgColor rgb="00FFFDE7"/>
      </patternFill>
    </fill>
    <fill>
      <patternFill patternType="solid">
        <fgColor rgb="0084A98C"/>
      </patternFill>
    </fill>
    <fill>
      <patternFill patternType="solid">
        <fgColor rgb="0052796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top style="thin">
        <color rgb="00808080"/>
      </top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4" fillId="7" borderId="0" pivotButton="0" quotePrefix="0" xfId="0"/>
    <xf numFmtId="0" fontId="8" fillId="0" borderId="0" applyAlignment="1" pivotButton="0" quotePrefix="0" xfId="0">
      <alignment horizontal="left" vertical="top" wrapText="1"/>
    </xf>
    <xf numFmtId="0" fontId="6" fillId="3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1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6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0" borderId="0" pivotButton="0" quotePrefix="0" xfId="0"/>
    <xf numFmtId="164" fontId="9" fillId="0" borderId="0" pivotButton="0" quotePrefix="0" xfId="0"/>
    <xf numFmtId="0" fontId="7" fillId="6" borderId="0" pivotButton="0" quotePrefix="0" xfId="0"/>
    <xf numFmtId="0" fontId="0" fillId="6" borderId="0" pivotButton="0" quotePrefix="0" xfId="0"/>
    <xf numFmtId="165" fontId="9" fillId="0" borderId="0" applyAlignment="1" pivotButton="0" quotePrefix="0" xfId="0">
      <alignment horizontal="right"/>
    </xf>
    <xf numFmtId="165" fontId="8" fillId="4" borderId="0" applyAlignment="1" pivotButton="0" quotePrefix="0" xfId="0">
      <alignment horizontal="right"/>
    </xf>
    <xf numFmtId="164" fontId="8" fillId="0" borderId="0" pivotButton="0" quotePrefix="0" xfId="0"/>
    <xf numFmtId="165" fontId="5" fillId="0" borderId="0" applyAlignment="1" pivotButton="0" quotePrefix="0" xfId="0">
      <alignment horizontal="right"/>
    </xf>
    <xf numFmtId="165" fontId="4" fillId="4" borderId="0" applyAlignment="1" pivotButton="0" quotePrefix="0" xfId="0">
      <alignment horizontal="right"/>
    </xf>
    <xf numFmtId="164" fontId="8" fillId="0" borderId="0" applyAlignment="1" pivotButton="0" quotePrefix="0" xfId="0">
      <alignment horizontal="right"/>
    </xf>
    <xf numFmtId="164" fontId="8" fillId="4" borderId="0" applyAlignment="1" pivotButton="0" quotePrefix="0" xfId="0">
      <alignment horizontal="right"/>
    </xf>
    <xf numFmtId="0" fontId="10" fillId="0" borderId="0" pivotButton="0" quotePrefix="0" xfId="0"/>
    <xf numFmtId="0" fontId="4" fillId="0" borderId="1" pivotButton="0" quotePrefix="0" xfId="0"/>
    <xf numFmtId="165" fontId="4" fillId="0" borderId="1" applyAlignment="1" pivotButton="0" quotePrefix="0" xfId="0">
      <alignment horizontal="right"/>
    </xf>
    <xf numFmtId="165" fontId="4" fillId="4" borderId="1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6" fontId="8" fillId="0" borderId="0" applyAlignment="1" pivotButton="0" quotePrefix="0" xfId="0">
      <alignment horizontal="right"/>
    </xf>
    <xf numFmtId="166" fontId="8" fillId="4" borderId="0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166" fontId="4" fillId="4" borderId="0" applyAlignment="1" pivotButton="0" quotePrefix="0" xfId="0">
      <alignment horizontal="right"/>
    </xf>
    <xf numFmtId="167" fontId="8" fillId="0" borderId="0" applyAlignment="1" pivotButton="0" quotePrefix="0" xfId="0">
      <alignment horizontal="right"/>
    </xf>
    <xf numFmtId="168" fontId="8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  <xf numFmtId="166" fontId="9" fillId="4" borderId="0" applyAlignment="1" pivotButton="0" quotePrefix="0" xfId="0">
      <alignment horizontal="right"/>
    </xf>
    <xf numFmtId="167" fontId="8" fillId="4" borderId="0" applyAlignment="1" pivotButton="0" quotePrefix="0" xfId="0">
      <alignment horizontal="right"/>
    </xf>
    <xf numFmtId="165" fontId="8" fillId="0" borderId="0" pivotButton="0" quotePrefix="0" xfId="0"/>
    <xf numFmtId="166" fontId="8" fillId="0" borderId="0" pivotButton="0" quotePrefix="0" xfId="0"/>
    <xf numFmtId="0" fontId="5" fillId="0" borderId="0" pivotButton="0" quotePrefix="0" xfId="0"/>
    <xf numFmtId="169" fontId="8" fillId="0" borderId="0" pivotButton="0" quotePrefix="0" xfId="0"/>
    <xf numFmtId="165" fontId="4" fillId="0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66" customWidth="1" min="3" max="3"/>
  </cols>
  <sheetData>
    <row r="2">
      <c r="B2" s="1" t="inlineStr">
        <is>
          <t>COPART, INC.</t>
        </is>
      </c>
    </row>
    <row r="3">
      <c r="B3" s="2" t="inlineStr">
        <is>
          <t>SEC-Filings 3-Statement Financial Model — 15-Year History + 5-Year Forecast</t>
        </is>
      </c>
    </row>
    <row r="5">
      <c r="B5" s="3" t="inlineStr">
        <is>
          <t>Ticker / Exchange</t>
        </is>
      </c>
      <c r="C5" s="4" t="inlineStr">
        <is>
          <t>CPRT · Nasdaq</t>
        </is>
      </c>
    </row>
    <row r="6">
      <c r="B6" s="3" t="inlineStr">
        <is>
          <t>SEC CIK</t>
        </is>
      </c>
      <c r="C6" s="4" t="inlineStr">
        <is>
          <t>0000900075</t>
        </is>
      </c>
    </row>
    <row r="7">
      <c r="B7" s="3" t="inlineStr">
        <is>
          <t>Fiscal year end</t>
        </is>
      </c>
      <c r="C7" s="4" t="inlineStr">
        <is>
          <t>July 31</t>
        </is>
      </c>
    </row>
    <row r="8">
      <c r="B8" s="3" t="inlineStr">
        <is>
          <t>Currency / units</t>
        </is>
      </c>
      <c r="C8" s="4" t="inlineStr">
        <is>
          <t>US$ millions (except per-share and share counts)</t>
        </is>
      </c>
    </row>
    <row r="9">
      <c r="B9" s="3" t="inlineStr">
        <is>
          <t>Data source</t>
        </is>
      </c>
      <c r="C9" s="4" t="inlineStr">
        <is>
          <t>SEC EDGAR — Forms 10-K &amp; 10-Q, XBRL (data.sec.gov). No non-SEC inputs except the manual valuation share price.</t>
        </is>
      </c>
    </row>
    <row r="10">
      <c r="B10" s="3" t="inlineStr">
        <is>
          <t>Reported segments</t>
        </is>
      </c>
      <c r="C10" s="4" t="inlineStr">
        <is>
          <t>United States · International</t>
        </is>
      </c>
    </row>
    <row r="11">
      <c r="B11" s="3" t="inlineStr">
        <is>
          <t>Historical coverage</t>
        </is>
      </c>
      <c r="C11" s="4" t="inlineStr">
        <is>
          <t>FY2011–FY2025 (fiscal-year ends + Q1–Q4)</t>
        </is>
      </c>
    </row>
    <row r="12">
      <c r="B12" s="3" t="inlineStr">
        <is>
          <t>Forecast</t>
        </is>
      </c>
      <c r="C12" s="4" t="inlineStr">
        <is>
          <t>FY2026E–FY2030E (driver-based, scenario toggle)</t>
        </is>
      </c>
    </row>
    <row r="14">
      <c r="B14" s="5" t="inlineStr">
        <is>
          <t>Worksheets</t>
        </is>
      </c>
      <c r="C14" s="5" t="n"/>
    </row>
    <row r="15">
      <c r="B15" s="6" t="inlineStr">
        <is>
          <t>Model</t>
        </is>
      </c>
      <c r="C15" s="4" t="inlineStr">
        <is>
          <t>Full model — segment P&amp;L, income statement, cash flow, balance sheet, ratios, non-GAAP reconciliation (8-K), valuation; historicals (formulas) + FY26E–30E estimates.</t>
        </is>
      </c>
    </row>
    <row r="16">
      <c r="B16" s="6" t="inlineStr">
        <is>
          <t>Bull / Base / Bear</t>
        </is>
      </c>
      <c r="C16" s="4" t="inlineStr">
        <is>
          <t>Scenario P&amp;L summary linked to the Model scenario toggle.</t>
        </is>
      </c>
    </row>
    <row r="17">
      <c r="B17" s="6" t="inlineStr">
        <is>
          <t>DCF</t>
        </is>
      </c>
      <c r="C17" s="4" t="inlineStr">
        <is>
          <t>Unlevered DCF built off the model's forecast free cash flow.</t>
        </is>
      </c>
    </row>
    <row r="19">
      <c r="B19" s="7" t="inlineStr">
        <is>
          <t>Colour key: blue = as-reported figure taken directly from Copart's SEC filings; black = live Excel formula; pale-yellow columns = forecast years driven by the Assumptions / scenario table on the Model tab. Segment operating income is reported by Copart from ~FY2016 (two reportable segments); earlier years reflect geographic revenue disclosure as filed. For research/education only — not investment advice.</t>
        </is>
      </c>
    </row>
    <row r="20"/>
    <row r="21"/>
    <row r="22"/>
    <row r="23"/>
  </sheetData>
  <mergeCells count="1">
    <mergeCell ref="B19:C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N12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0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9.5" customWidth="1" min="36" max="36"/>
    <col width="9.5" customWidth="1" min="37" max="37"/>
    <col width="9.5" customWidth="1" min="38" max="38"/>
    <col width="9.5" customWidth="1" min="39" max="39"/>
    <col width="9.5" customWidth="1" min="40" max="40"/>
    <col width="9.5" customWidth="1" min="41" max="41"/>
    <col width="9.5" customWidth="1" min="42" max="42"/>
    <col width="9.5" customWidth="1" min="43" max="43"/>
    <col width="9.5" customWidth="1" min="44" max="44"/>
    <col width="9.5" customWidth="1" min="45" max="45"/>
    <col width="9.5" customWidth="1" min="46" max="46"/>
    <col width="9.5" customWidth="1" min="47" max="47"/>
    <col width="9.5" customWidth="1" min="48" max="48"/>
    <col width="9.5" customWidth="1" min="49" max="49"/>
    <col width="9.5" customWidth="1" min="50" max="50"/>
    <col width="9.5" customWidth="1" min="51" max="51"/>
    <col width="9.5" customWidth="1" min="52" max="52"/>
    <col width="9.5" customWidth="1" min="53" max="53"/>
    <col width="9.5" customWidth="1" min="54" max="54"/>
    <col width="9.5" customWidth="1" min="55" max="55"/>
    <col width="9.5" customWidth="1" min="56" max="56"/>
    <col width="9.5" customWidth="1" min="57" max="57"/>
    <col width="9.5" customWidth="1" min="58" max="58"/>
    <col width="9.5" customWidth="1" min="59" max="59"/>
    <col width="9.5" customWidth="1" min="60" max="60"/>
    <col width="9.5" customWidth="1" min="61" max="61"/>
    <col width="9.5" customWidth="1" min="62" max="62"/>
    <col width="9.5" customWidth="1" min="63" max="63"/>
    <col width="9.5" customWidth="1" min="64" max="64"/>
    <col width="9.5" customWidth="1" min="65" max="65"/>
    <col width="9.5" customWidth="1" min="66" max="66"/>
    <col width="9.5" customWidth="1" min="67" max="67"/>
    <col width="9.5" customWidth="1" min="68" max="68"/>
    <col width="9.5" customWidth="1" min="69" max="69"/>
    <col width="9.5" customWidth="1" min="70" max="70"/>
    <col width="9.5" customWidth="1" min="71" max="71"/>
    <col width="9.5" customWidth="1" min="72" max="72"/>
    <col width="9.5" customWidth="1" min="73" max="73"/>
    <col width="9.5" customWidth="1" min="74" max="74"/>
    <col width="9.5" customWidth="1" min="75" max="75"/>
    <col width="9.5" customWidth="1" min="76" max="76"/>
    <col width="9.5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26" customWidth="1" min="83" max="83"/>
    <col width="12" customWidth="1" min="84" max="84"/>
    <col width="12" customWidth="1" min="85" max="85"/>
    <col width="12" customWidth="1" min="86" max="86"/>
    <col width="30" customWidth="1" min="89" max="89"/>
    <col width="8" customWidth="1" min="90" max="90"/>
    <col width="8" customWidth="1" min="91" max="91"/>
    <col width="8" customWidth="1" min="92" max="92"/>
  </cols>
  <sheetData>
    <row r="2">
      <c r="B2" s="8" t="inlineStr">
        <is>
          <t>COPART, INC. (CPRT) — SEC-Filings 3-Statement Model</t>
        </is>
      </c>
      <c r="CE2" s="6" t="inlineStr">
        <is>
          <t>Scenario:</t>
        </is>
      </c>
      <c r="CF2" s="9" t="inlineStr">
        <is>
          <t>Base</t>
        </is>
      </c>
    </row>
    <row r="3">
      <c r="B3" s="10" t="inlineStr">
        <is>
          <t>US GAAP as reported · US$ millions · FYE July 31 · Source: SEC EDGAR Forms 10-K &amp; 10-Q (data.sec.gov XBRL), CIK 0000900075</t>
        </is>
      </c>
    </row>
    <row r="4">
      <c r="B4" s="11" t="inlineStr">
        <is>
          <t>Blue = as-reported input from SEC filings · Black = formula · Yellow columns = forecast (driven by Assumptions / scenario toggle).</t>
        </is>
      </c>
    </row>
    <row r="5">
      <c r="CK5" s="5" t="inlineStr">
        <is>
          <t>SCENARIO / ASSUMPTIONS TABLE</t>
        </is>
      </c>
      <c r="CL5" s="12" t="n"/>
      <c r="CM5" s="12" t="n"/>
      <c r="CN5" s="12" t="n"/>
    </row>
    <row r="6">
      <c r="B6" s="13" t="inlineStr">
        <is>
          <t>(US$ in millions)</t>
        </is>
      </c>
      <c r="C6" s="14" t="inlineStr">
        <is>
          <t>Q1 11</t>
        </is>
      </c>
      <c r="D6" s="14" t="inlineStr">
        <is>
          <t>Q2 11</t>
        </is>
      </c>
      <c r="E6" s="14" t="inlineStr">
        <is>
          <t>Q3 11</t>
        </is>
      </c>
      <c r="F6" s="14" t="inlineStr">
        <is>
          <t>Q4 11</t>
        </is>
      </c>
      <c r="G6" s="14" t="inlineStr">
        <is>
          <t>FY2011</t>
        </is>
      </c>
      <c r="H6" s="14" t="inlineStr">
        <is>
          <t>Q1 12</t>
        </is>
      </c>
      <c r="I6" s="14" t="inlineStr">
        <is>
          <t>Q2 12</t>
        </is>
      </c>
      <c r="J6" s="14" t="inlineStr">
        <is>
          <t>Q3 12</t>
        </is>
      </c>
      <c r="K6" s="14" t="inlineStr">
        <is>
          <t>Q4 12</t>
        </is>
      </c>
      <c r="L6" s="14" t="inlineStr">
        <is>
          <t>FY2012</t>
        </is>
      </c>
      <c r="M6" s="14" t="inlineStr">
        <is>
          <t>Q1 13</t>
        </is>
      </c>
      <c r="N6" s="14" t="inlineStr">
        <is>
          <t>Q2 13</t>
        </is>
      </c>
      <c r="O6" s="14" t="inlineStr">
        <is>
          <t>Q3 13</t>
        </is>
      </c>
      <c r="P6" s="14" t="inlineStr">
        <is>
          <t>Q4 13</t>
        </is>
      </c>
      <c r="Q6" s="14" t="inlineStr">
        <is>
          <t>FY2013</t>
        </is>
      </c>
      <c r="R6" s="14" t="inlineStr">
        <is>
          <t>Q1 14</t>
        </is>
      </c>
      <c r="S6" s="14" t="inlineStr">
        <is>
          <t>Q2 14</t>
        </is>
      </c>
      <c r="T6" s="14" t="inlineStr">
        <is>
          <t>Q3 14</t>
        </is>
      </c>
      <c r="U6" s="14" t="inlineStr">
        <is>
          <t>Q4 14</t>
        </is>
      </c>
      <c r="V6" s="14" t="inlineStr">
        <is>
          <t>FY2014</t>
        </is>
      </c>
      <c r="W6" s="14" t="inlineStr">
        <is>
          <t>Q1 15</t>
        </is>
      </c>
      <c r="X6" s="14" t="inlineStr">
        <is>
          <t>Q2 15</t>
        </is>
      </c>
      <c r="Y6" s="14" t="inlineStr">
        <is>
          <t>Q3 15</t>
        </is>
      </c>
      <c r="Z6" s="14" t="inlineStr">
        <is>
          <t>Q4 15</t>
        </is>
      </c>
      <c r="AA6" s="14" t="inlineStr">
        <is>
          <t>FY2015</t>
        </is>
      </c>
      <c r="AB6" s="14" t="inlineStr">
        <is>
          <t>Q1 16</t>
        </is>
      </c>
      <c r="AC6" s="14" t="inlineStr">
        <is>
          <t>Q2 16</t>
        </is>
      </c>
      <c r="AD6" s="14" t="inlineStr">
        <is>
          <t>Q3 16</t>
        </is>
      </c>
      <c r="AE6" s="14" t="inlineStr">
        <is>
          <t>Q4 16</t>
        </is>
      </c>
      <c r="AF6" s="14" t="inlineStr">
        <is>
          <t>FY2016</t>
        </is>
      </c>
      <c r="AG6" s="14" t="inlineStr">
        <is>
          <t>Q1 17</t>
        </is>
      </c>
      <c r="AH6" s="14" t="inlineStr">
        <is>
          <t>Q2 17</t>
        </is>
      </c>
      <c r="AI6" s="14" t="inlineStr">
        <is>
          <t>Q3 17</t>
        </is>
      </c>
      <c r="AJ6" s="14" t="inlineStr">
        <is>
          <t>Q4 17</t>
        </is>
      </c>
      <c r="AK6" s="14" t="inlineStr">
        <is>
          <t>FY2017</t>
        </is>
      </c>
      <c r="AL6" s="14" t="inlineStr">
        <is>
          <t>Q1 18</t>
        </is>
      </c>
      <c r="AM6" s="14" t="inlineStr">
        <is>
          <t>Q2 18</t>
        </is>
      </c>
      <c r="AN6" s="14" t="inlineStr">
        <is>
          <t>Q3 18</t>
        </is>
      </c>
      <c r="AO6" s="14" t="inlineStr">
        <is>
          <t>Q4 18</t>
        </is>
      </c>
      <c r="AP6" s="14" t="inlineStr">
        <is>
          <t>FY2018</t>
        </is>
      </c>
      <c r="AQ6" s="14" t="inlineStr">
        <is>
          <t>Q1 19</t>
        </is>
      </c>
      <c r="AR6" s="14" t="inlineStr">
        <is>
          <t>Q2 19</t>
        </is>
      </c>
      <c r="AS6" s="14" t="inlineStr">
        <is>
          <t>Q3 19</t>
        </is>
      </c>
      <c r="AT6" s="14" t="inlineStr">
        <is>
          <t>Q4 19</t>
        </is>
      </c>
      <c r="AU6" s="14" t="inlineStr">
        <is>
          <t>FY2019</t>
        </is>
      </c>
      <c r="AV6" s="14" t="inlineStr">
        <is>
          <t>Q1 20</t>
        </is>
      </c>
      <c r="AW6" s="14" t="inlineStr">
        <is>
          <t>Q2 20</t>
        </is>
      </c>
      <c r="AX6" s="14" t="inlineStr">
        <is>
          <t>Q3 20</t>
        </is>
      </c>
      <c r="AY6" s="14" t="inlineStr">
        <is>
          <t>Q4 20</t>
        </is>
      </c>
      <c r="AZ6" s="14" t="inlineStr">
        <is>
          <t>FY2020</t>
        </is>
      </c>
      <c r="BA6" s="14" t="inlineStr">
        <is>
          <t>Q1 21</t>
        </is>
      </c>
      <c r="BB6" s="14" t="inlineStr">
        <is>
          <t>Q2 21</t>
        </is>
      </c>
      <c r="BC6" s="14" t="inlineStr">
        <is>
          <t>Q3 21</t>
        </is>
      </c>
      <c r="BD6" s="14" t="inlineStr">
        <is>
          <t>Q4 21</t>
        </is>
      </c>
      <c r="BE6" s="14" t="inlineStr">
        <is>
          <t>FY2021</t>
        </is>
      </c>
      <c r="BF6" s="14" t="inlineStr">
        <is>
          <t>Q1 22</t>
        </is>
      </c>
      <c r="BG6" s="14" t="inlineStr">
        <is>
          <t>Q2 22</t>
        </is>
      </c>
      <c r="BH6" s="14" t="inlineStr">
        <is>
          <t>Q3 22</t>
        </is>
      </c>
      <c r="BI6" s="14" t="inlineStr">
        <is>
          <t>Q4 22</t>
        </is>
      </c>
      <c r="BJ6" s="14" t="inlineStr">
        <is>
          <t>FY2022</t>
        </is>
      </c>
      <c r="BK6" s="14" t="inlineStr">
        <is>
          <t>Q1 23</t>
        </is>
      </c>
      <c r="BL6" s="14" t="inlineStr">
        <is>
          <t>Q2 23</t>
        </is>
      </c>
      <c r="BM6" s="14" t="inlineStr">
        <is>
          <t>Q3 23</t>
        </is>
      </c>
      <c r="BN6" s="14" t="inlineStr">
        <is>
          <t>Q4 23</t>
        </is>
      </c>
      <c r="BO6" s="14" t="inlineStr">
        <is>
          <t>FY2023</t>
        </is>
      </c>
      <c r="BP6" s="14" t="inlineStr">
        <is>
          <t>Q1 24</t>
        </is>
      </c>
      <c r="BQ6" s="14" t="inlineStr">
        <is>
          <t>Q2 24</t>
        </is>
      </c>
      <c r="BR6" s="14" t="inlineStr">
        <is>
          <t>Q3 24</t>
        </is>
      </c>
      <c r="BS6" s="14" t="inlineStr">
        <is>
          <t>Q4 24</t>
        </is>
      </c>
      <c r="BT6" s="14" t="inlineStr">
        <is>
          <t>FY2024</t>
        </is>
      </c>
      <c r="BU6" s="14" t="inlineStr">
        <is>
          <t>Q1 25</t>
        </is>
      </c>
      <c r="BV6" s="14" t="inlineStr">
        <is>
          <t>Q2 25</t>
        </is>
      </c>
      <c r="BW6" s="14" t="inlineStr">
        <is>
          <t>Q3 25</t>
        </is>
      </c>
      <c r="BX6" s="14" t="inlineStr">
        <is>
          <t>Q4 25</t>
        </is>
      </c>
      <c r="BY6" s="14" t="inlineStr">
        <is>
          <t>FY2025</t>
        </is>
      </c>
      <c r="BZ6" s="15" t="inlineStr">
        <is>
          <t>FY2026E</t>
        </is>
      </c>
      <c r="CA6" s="15" t="inlineStr">
        <is>
          <t>FY2027E</t>
        </is>
      </c>
      <c r="CB6" s="15" t="inlineStr">
        <is>
          <t>FY2028E</t>
        </is>
      </c>
      <c r="CC6" s="15" t="inlineStr">
        <is>
          <t>FY2029E</t>
        </is>
      </c>
      <c r="CD6" s="15" t="inlineStr">
        <is>
          <t>FY2030E</t>
        </is>
      </c>
      <c r="CE6" s="16" t="inlineStr">
        <is>
          <t>Modelling Notes</t>
        </is>
      </c>
      <c r="CF6" s="16" t="inlineStr">
        <is>
          <t>5Y CAGR (fwd)</t>
        </is>
      </c>
      <c r="CG6" s="16" t="inlineStr">
        <is>
          <t>5Y CAGR (hist)</t>
        </is>
      </c>
      <c r="CH6" s="16" t="inlineStr">
        <is>
          <t>10Y CAGR</t>
        </is>
      </c>
      <c r="CK6" s="17" t="inlineStr">
        <is>
          <t>Driver</t>
        </is>
      </c>
      <c r="CL6" s="17" t="inlineStr">
        <is>
          <t>Bull</t>
        </is>
      </c>
      <c r="CM6" s="17" t="inlineStr">
        <is>
          <t>Base</t>
        </is>
      </c>
      <c r="CN6" s="17" t="inlineStr">
        <is>
          <t>Bear</t>
        </is>
      </c>
    </row>
    <row r="7">
      <c r="CK7" s="18" t="inlineStr">
        <is>
          <t>Revenue growth — US</t>
        </is>
      </c>
      <c r="CL7" s="19" t="n">
        <v>0.14</v>
      </c>
      <c r="CM7" s="19" t="n">
        <v>0.1</v>
      </c>
      <c r="CN7" s="19" t="n">
        <v>0.04</v>
      </c>
    </row>
    <row r="8">
      <c r="B8" s="5" t="inlineStr">
        <is>
          <t>SEGMENT P&amp;L — BY REPORTABLE SEGMENT (US &amp; INTERNATIONAL)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2" t="n"/>
      <c r="AU8" s="12" t="n"/>
      <c r="AV8" s="12" t="n"/>
      <c r="AW8" s="12" t="n"/>
      <c r="AX8" s="12" t="n"/>
      <c r="AY8" s="12" t="n"/>
      <c r="AZ8" s="12" t="n"/>
      <c r="BA8" s="12" t="n"/>
      <c r="BB8" s="12" t="n"/>
      <c r="BC8" s="12" t="n"/>
      <c r="BD8" s="12" t="n"/>
      <c r="BE8" s="12" t="n"/>
      <c r="BF8" s="12" t="n"/>
      <c r="BG8" s="12" t="n"/>
      <c r="BH8" s="12" t="n"/>
      <c r="BI8" s="12" t="n"/>
      <c r="BJ8" s="12" t="n"/>
      <c r="BK8" s="12" t="n"/>
      <c r="BL8" s="12" t="n"/>
      <c r="BM8" s="12" t="n"/>
      <c r="BN8" s="12" t="n"/>
      <c r="BO8" s="12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n"/>
      <c r="BZ8" s="12" t="n"/>
      <c r="CA8" s="12" t="n"/>
      <c r="CB8" s="12" t="n"/>
      <c r="CC8" s="12" t="n"/>
      <c r="CD8" s="12" t="n"/>
      <c r="CE8" s="12" t="n"/>
      <c r="CF8" s="12" t="n"/>
      <c r="CG8" s="12" t="n"/>
      <c r="CH8" s="12" t="n"/>
      <c r="CK8" s="18" t="inlineStr">
        <is>
          <t>Revenue growth — International</t>
        </is>
      </c>
      <c r="CL8" s="19" t="n">
        <v>0.16</v>
      </c>
      <c r="CM8" s="19" t="n">
        <v>0.11</v>
      </c>
      <c r="CN8" s="19" t="n">
        <v>0.04</v>
      </c>
    </row>
    <row r="9">
      <c r="B9" s="20" t="inlineStr">
        <is>
          <t>United States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21" t="n"/>
      <c r="BL9" s="21" t="n"/>
      <c r="BM9" s="21" t="n"/>
      <c r="BN9" s="21" t="n"/>
      <c r="BO9" s="21" t="n"/>
      <c r="BP9" s="21" t="n"/>
      <c r="BQ9" s="21" t="n"/>
      <c r="BR9" s="21" t="n"/>
      <c r="BS9" s="21" t="n"/>
      <c r="BT9" s="21" t="n"/>
      <c r="BU9" s="21" t="n"/>
      <c r="BV9" s="21" t="n"/>
      <c r="BW9" s="21" t="n"/>
      <c r="BX9" s="21" t="n"/>
      <c r="BY9" s="21" t="n"/>
      <c r="BZ9" s="21" t="n"/>
      <c r="CA9" s="21" t="n"/>
      <c r="CB9" s="21" t="n"/>
      <c r="CC9" s="21" t="n"/>
      <c r="CD9" s="21" t="n"/>
      <c r="CE9" s="21" t="n"/>
      <c r="CF9" s="21" t="n"/>
      <c r="CG9" s="21" t="n"/>
      <c r="CH9" s="21" t="n"/>
      <c r="CK9" s="18" t="inlineStr">
        <is>
          <t>Operating margin — US</t>
        </is>
      </c>
      <c r="CL9" s="19" t="n">
        <v>0.4</v>
      </c>
      <c r="CM9" s="19" t="n">
        <v>0.385</v>
      </c>
      <c r="CN9" s="19" t="n">
        <v>0.35</v>
      </c>
    </row>
    <row r="10">
      <c r="B10" s="18" t="inlineStr">
        <is>
          <t xml:space="preserve">  Revenue</t>
        </is>
      </c>
      <c r="L10" s="22" t="n">
        <v>724.869</v>
      </c>
      <c r="Q10" s="22" t="n">
        <v>826.03</v>
      </c>
      <c r="V10" s="22" t="n">
        <v>904</v>
      </c>
      <c r="AA10" s="22" t="n">
        <v>914.443</v>
      </c>
      <c r="AF10" s="22" t="n">
        <v>1016.036</v>
      </c>
      <c r="AG10" s="22" t="n">
        <v>285.062</v>
      </c>
      <c r="AH10" s="22" t="n">
        <v>286.911</v>
      </c>
      <c r="AI10" s="22" t="n">
        <v>307.12</v>
      </c>
      <c r="AJ10" s="22" t="n">
        <v>314.095</v>
      </c>
      <c r="AK10" s="22" t="n">
        <v>1193.188</v>
      </c>
      <c r="AL10" s="22" t="n">
        <v>351.105</v>
      </c>
      <c r="AM10" s="22" t="n">
        <v>385.135</v>
      </c>
      <c r="AN10" s="22" t="n">
        <v>385.281</v>
      </c>
      <c r="AO10" s="22" t="n">
        <v>369.501</v>
      </c>
      <c r="AP10" s="22" t="n">
        <v>1491.022</v>
      </c>
      <c r="AQ10" s="22" t="n">
        <v>371.209</v>
      </c>
      <c r="AR10" s="22" t="n">
        <v>390.072</v>
      </c>
      <c r="AS10" s="22" t="n">
        <v>448.199</v>
      </c>
      <c r="AT10" s="22" t="n">
        <v>447.089</v>
      </c>
      <c r="AU10" s="22" t="n">
        <v>1656.569</v>
      </c>
      <c r="AV10" s="22" t="n">
        <v>464.164</v>
      </c>
      <c r="AW10" s="22" t="n">
        <v>482.737</v>
      </c>
      <c r="AX10" s="22" t="n">
        <v>467.198</v>
      </c>
      <c r="AY10" s="22" t="n">
        <v>446.587</v>
      </c>
      <c r="AZ10" s="22" t="n">
        <v>1860.686</v>
      </c>
      <c r="BA10" s="22" t="n">
        <v>497.255</v>
      </c>
      <c r="BB10" s="22" t="n">
        <v>517.923</v>
      </c>
      <c r="BC10" s="22" t="n">
        <v>621.953</v>
      </c>
      <c r="BD10" s="22" t="n">
        <v>634.941</v>
      </c>
      <c r="BE10" s="22" t="n">
        <v>2272.072</v>
      </c>
      <c r="BF10" s="22" t="n">
        <v>678.461</v>
      </c>
      <c r="BG10" s="22" t="n">
        <v>727.386</v>
      </c>
      <c r="BH10" s="22" t="n">
        <v>790.25</v>
      </c>
      <c r="BI10" s="22" t="n">
        <v>749.053</v>
      </c>
      <c r="BJ10" s="22" t="n">
        <v>2945.15</v>
      </c>
      <c r="BK10" s="22" t="n">
        <v>748.849</v>
      </c>
      <c r="BL10" s="22" t="n">
        <v>787.929</v>
      </c>
      <c r="BM10" s="22" t="n">
        <v>833.758</v>
      </c>
      <c r="BN10" s="22" t="n">
        <v>819.112</v>
      </c>
      <c r="BO10" s="22" t="n">
        <v>3189.648</v>
      </c>
      <c r="BP10" s="22" t="n">
        <v>840.9059999999999</v>
      </c>
      <c r="BQ10" s="22" t="n">
        <v>830.726</v>
      </c>
      <c r="BR10" s="22" t="n">
        <v>918.9160000000001</v>
      </c>
      <c r="BS10" s="22" t="n">
        <v>874.187</v>
      </c>
      <c r="BT10" s="22" t="n">
        <v>3464.735</v>
      </c>
      <c r="BU10" s="22" t="n">
        <v>947.539</v>
      </c>
      <c r="BV10" s="22" t="n">
        <v>974.845</v>
      </c>
      <c r="BW10" s="22" t="n">
        <v>1006.457</v>
      </c>
      <c r="BX10" s="22" t="n">
        <v>926.263</v>
      </c>
      <c r="BY10" s="22" t="n">
        <v>3855.104</v>
      </c>
      <c r="BZ10" s="23">
        <f>BY10*(1+CHOOSE(MATCH($CF$2,{"Bull","Base","Bear"},0),$CL$7,$CM$7,$CN$7))</f>
        <v/>
      </c>
      <c r="CA10" s="23">
        <f>BZ10*(1+CHOOSE(MATCH($CF$2,{"Bull","Base","Bear"},0),$CL$7,$CM$7,$CN$7))</f>
        <v/>
      </c>
      <c r="CB10" s="23">
        <f>CA10*(1+CHOOSE(MATCH($CF$2,{"Bull","Base","Bear"},0),$CL$7,$CM$7,$CN$7))</f>
        <v/>
      </c>
      <c r="CC10" s="23">
        <f>CB10*(1+CHOOSE(MATCH($CF$2,{"Bull","Base","Bear"},0),$CL$7,$CM$7,$CN$7))</f>
        <v/>
      </c>
      <c r="CD10" s="23">
        <f>CC10*(1+CHOOSE(MATCH($CF$2,{"Bull","Base","Bear"},0),$CL$7,$CM$7,$CN$7))</f>
        <v/>
      </c>
      <c r="CF10" s="24">
        <f>IFERROR((CD10/BY10)^(1/5)-1,"n/m")</f>
        <v/>
      </c>
      <c r="CG10" s="24">
        <f>IFERROR((BY10/AZ10)^(1/5)-1,"n/m")</f>
        <v/>
      </c>
      <c r="CH10" s="24">
        <f>IFERROR((BY10/G10)^(1/14)-1,"n/m")</f>
        <v/>
      </c>
      <c r="CK10" s="18" t="inlineStr">
        <is>
          <t>Operating margin — International</t>
        </is>
      </c>
      <c r="CL10" s="19" t="n">
        <v>0.3</v>
      </c>
      <c r="CM10" s="19" t="n">
        <v>0.27</v>
      </c>
      <c r="CN10" s="19" t="n">
        <v>0.22</v>
      </c>
    </row>
    <row r="11">
      <c r="B11" s="6" t="inlineStr">
        <is>
          <t xml:space="preserve">  Operating income</t>
        </is>
      </c>
      <c r="AF11" s="25" t="n">
        <v>347.709</v>
      </c>
      <c r="AG11" s="25" t="n">
        <v>88.982</v>
      </c>
      <c r="AH11" s="25" t="n">
        <v>93.592</v>
      </c>
      <c r="AI11" s="25" t="n">
        <v>119.117</v>
      </c>
      <c r="AJ11" s="25" t="n">
        <v>94.669</v>
      </c>
      <c r="AK11" s="25" t="n">
        <v>396.36</v>
      </c>
      <c r="AL11" s="25" t="n">
        <v>106.019</v>
      </c>
      <c r="AM11" s="25" t="n">
        <v>133.01</v>
      </c>
      <c r="AN11" s="25" t="n">
        <v>150.888</v>
      </c>
      <c r="AO11" s="25" t="n">
        <v>124.97</v>
      </c>
      <c r="AP11" s="25" t="n">
        <v>514.8869999999999</v>
      </c>
      <c r="AQ11" s="25" t="n">
        <v>130.292</v>
      </c>
      <c r="AR11" s="25" t="n">
        <v>145.402</v>
      </c>
      <c r="AS11" s="25" t="n">
        <v>188.258</v>
      </c>
      <c r="AT11" s="25" t="n">
        <v>176.842</v>
      </c>
      <c r="AU11" s="25" t="n">
        <v>640.794</v>
      </c>
      <c r="AV11" s="25" t="n">
        <v>189.05</v>
      </c>
      <c r="AW11" s="25" t="n">
        <v>190.085</v>
      </c>
      <c r="AX11" s="25" t="n">
        <v>180.687</v>
      </c>
      <c r="AY11" s="25" t="n">
        <v>188.955</v>
      </c>
      <c r="AZ11" s="25" t="n">
        <v>748.777</v>
      </c>
      <c r="BA11" s="25" t="n">
        <v>223.239</v>
      </c>
      <c r="BB11" s="25" t="n">
        <v>229.452</v>
      </c>
      <c r="BC11" s="25" t="n">
        <v>296.726</v>
      </c>
      <c r="BD11" s="25" t="n">
        <v>274.138</v>
      </c>
      <c r="BE11" s="25" t="n">
        <v>1023.555</v>
      </c>
      <c r="BF11" s="25" t="n">
        <v>294.949</v>
      </c>
      <c r="BG11" s="25" t="n">
        <v>312.646</v>
      </c>
      <c r="BH11" s="25" t="n">
        <v>340.437</v>
      </c>
      <c r="BI11" s="25" t="n">
        <v>299.537</v>
      </c>
      <c r="BJ11" s="25" t="n">
        <v>1247.569</v>
      </c>
      <c r="BK11" s="25" t="n">
        <v>282.628</v>
      </c>
      <c r="BL11" s="25" t="n">
        <v>336.164</v>
      </c>
      <c r="BM11" s="25" t="n">
        <v>384.791</v>
      </c>
      <c r="BN11" s="25" t="n">
        <v>364.514</v>
      </c>
      <c r="BO11" s="25" t="n">
        <v>1368.097</v>
      </c>
      <c r="BP11" s="25" t="n">
        <v>362.291</v>
      </c>
      <c r="BQ11" s="25" t="n">
        <v>347.338</v>
      </c>
      <c r="BR11" s="25" t="n">
        <v>392.931</v>
      </c>
      <c r="BS11" s="25" t="n">
        <v>325.474</v>
      </c>
      <c r="BT11" s="25" t="n">
        <v>1428.034</v>
      </c>
      <c r="BU11" s="25" t="n">
        <v>355.059</v>
      </c>
      <c r="BV11" s="25" t="n">
        <v>375.893</v>
      </c>
      <c r="BW11" s="25" t="n">
        <v>392.465</v>
      </c>
      <c r="BX11" s="25" t="n">
        <v>357.469</v>
      </c>
      <c r="BY11" s="25" t="n">
        <v>1480.886</v>
      </c>
      <c r="BZ11" s="26">
        <f>BZ10*CHOOSE(MATCH($CF$2,{"Bull","Base","Bear"},0),$CL$9,$CM$9,$CN$9)</f>
        <v/>
      </c>
      <c r="CA11" s="26">
        <f>CA10*CHOOSE(MATCH($CF$2,{"Bull","Base","Bear"},0),$CL$9,$CM$9,$CN$9)</f>
        <v/>
      </c>
      <c r="CB11" s="26">
        <f>CB10*CHOOSE(MATCH($CF$2,{"Bull","Base","Bear"},0),$CL$9,$CM$9,$CN$9)</f>
        <v/>
      </c>
      <c r="CC11" s="26">
        <f>CC10*CHOOSE(MATCH($CF$2,{"Bull","Base","Bear"},0),$CL$9,$CM$9,$CN$9)</f>
        <v/>
      </c>
      <c r="CD11" s="26">
        <f>CD10*CHOOSE(MATCH($CF$2,{"Bull","Base","Bear"},0),$CL$9,$CM$9,$CN$9)</f>
        <v/>
      </c>
      <c r="CF11" s="24">
        <f>IFERROR((CD11/BY11)^(1/5)-1,"n/m")</f>
        <v/>
      </c>
      <c r="CG11" s="24">
        <f>IFERROR((BY11/AZ11)^(1/5)-1,"n/m")</f>
        <v/>
      </c>
      <c r="CH11" s="24">
        <f>IFERROR((BY11/G11)^(1/14)-1,"n/m")</f>
        <v/>
      </c>
      <c r="CK11" s="18" t="inlineStr">
        <is>
          <t>Other income % of revenue</t>
        </is>
      </c>
      <c r="CL11" s="19" t="n">
        <v>0.02</v>
      </c>
      <c r="CM11" s="19" t="n">
        <v>0.015</v>
      </c>
      <c r="CN11" s="19" t="n">
        <v>0.01</v>
      </c>
    </row>
    <row r="12">
      <c r="B12" s="18" t="inlineStr">
        <is>
          <t xml:space="preserve">  Operating margin %</t>
        </is>
      </c>
      <c r="C12" s="27">
        <f>IFERROR(C11/C10,"")</f>
        <v/>
      </c>
      <c r="D12" s="27">
        <f>IFERROR(D11/D10,"")</f>
        <v/>
      </c>
      <c r="E12" s="27">
        <f>IFERROR(E11/E10,"")</f>
        <v/>
      </c>
      <c r="F12" s="27">
        <f>IFERROR(F11/F10,"")</f>
        <v/>
      </c>
      <c r="G12" s="27">
        <f>IFERROR(G11/G10,"")</f>
        <v/>
      </c>
      <c r="H12" s="27">
        <f>IFERROR(H11/H10,"")</f>
        <v/>
      </c>
      <c r="I12" s="27">
        <f>IFERROR(I11/I10,"")</f>
        <v/>
      </c>
      <c r="J12" s="27">
        <f>IFERROR(J11/J10,"")</f>
        <v/>
      </c>
      <c r="K12" s="27">
        <f>IFERROR(K11/K10,"")</f>
        <v/>
      </c>
      <c r="L12" s="27">
        <f>IFERROR(L11/L10,"")</f>
        <v/>
      </c>
      <c r="M12" s="27">
        <f>IFERROR(M11/M10,"")</f>
        <v/>
      </c>
      <c r="N12" s="27">
        <f>IFERROR(N11/N10,"")</f>
        <v/>
      </c>
      <c r="O12" s="27">
        <f>IFERROR(O11/O10,"")</f>
        <v/>
      </c>
      <c r="P12" s="27">
        <f>IFERROR(P11/P10,"")</f>
        <v/>
      </c>
      <c r="Q12" s="27">
        <f>IFERROR(Q11/Q10,"")</f>
        <v/>
      </c>
      <c r="R12" s="27">
        <f>IFERROR(R11/R10,"")</f>
        <v/>
      </c>
      <c r="S12" s="27">
        <f>IFERROR(S11/S10,"")</f>
        <v/>
      </c>
      <c r="T12" s="27">
        <f>IFERROR(T11/T10,"")</f>
        <v/>
      </c>
      <c r="U12" s="27">
        <f>IFERROR(U11/U10,"")</f>
        <v/>
      </c>
      <c r="V12" s="27">
        <f>IFERROR(V11/V10,"")</f>
        <v/>
      </c>
      <c r="W12" s="27">
        <f>IFERROR(W11/W10,"")</f>
        <v/>
      </c>
      <c r="X12" s="27">
        <f>IFERROR(X11/X10,"")</f>
        <v/>
      </c>
      <c r="Y12" s="27">
        <f>IFERROR(Y11/Y10,"")</f>
        <v/>
      </c>
      <c r="Z12" s="27">
        <f>IFERROR(Z11/Z10,"")</f>
        <v/>
      </c>
      <c r="AA12" s="27">
        <f>IFERROR(AA11/AA10,"")</f>
        <v/>
      </c>
      <c r="AB12" s="27">
        <f>IFERROR(AB11/AB10,"")</f>
        <v/>
      </c>
      <c r="AC12" s="27">
        <f>IFERROR(AC11/AC10,"")</f>
        <v/>
      </c>
      <c r="AD12" s="27">
        <f>IFERROR(AD11/AD10,"")</f>
        <v/>
      </c>
      <c r="AE12" s="27">
        <f>IFERROR(AE11/AE10,"")</f>
        <v/>
      </c>
      <c r="AF12" s="27">
        <f>IFERROR(AF11/AF10,"")</f>
        <v/>
      </c>
      <c r="AG12" s="27">
        <f>IFERROR(AG11/AG10,"")</f>
        <v/>
      </c>
      <c r="AH12" s="27">
        <f>IFERROR(AH11/AH10,"")</f>
        <v/>
      </c>
      <c r="AI12" s="27">
        <f>IFERROR(AI11/AI10,"")</f>
        <v/>
      </c>
      <c r="AJ12" s="27">
        <f>IFERROR(AJ11/AJ10,"")</f>
        <v/>
      </c>
      <c r="AK12" s="27">
        <f>IFERROR(AK11/AK10,"")</f>
        <v/>
      </c>
      <c r="AL12" s="27">
        <f>IFERROR(AL11/AL10,"")</f>
        <v/>
      </c>
      <c r="AM12" s="27">
        <f>IFERROR(AM11/AM10,"")</f>
        <v/>
      </c>
      <c r="AN12" s="27">
        <f>IFERROR(AN11/AN10,"")</f>
        <v/>
      </c>
      <c r="AO12" s="27">
        <f>IFERROR(AO11/AO10,"")</f>
        <v/>
      </c>
      <c r="AP12" s="27">
        <f>IFERROR(AP11/AP10,"")</f>
        <v/>
      </c>
      <c r="AQ12" s="27">
        <f>IFERROR(AQ11/AQ10,"")</f>
        <v/>
      </c>
      <c r="AR12" s="27">
        <f>IFERROR(AR11/AR10,"")</f>
        <v/>
      </c>
      <c r="AS12" s="27">
        <f>IFERROR(AS11/AS10,"")</f>
        <v/>
      </c>
      <c r="AT12" s="27">
        <f>IFERROR(AT11/AT10,"")</f>
        <v/>
      </c>
      <c r="AU12" s="27">
        <f>IFERROR(AU11/AU10,"")</f>
        <v/>
      </c>
      <c r="AV12" s="27">
        <f>IFERROR(AV11/AV10,"")</f>
        <v/>
      </c>
      <c r="AW12" s="27">
        <f>IFERROR(AW11/AW10,"")</f>
        <v/>
      </c>
      <c r="AX12" s="27">
        <f>IFERROR(AX11/AX10,"")</f>
        <v/>
      </c>
      <c r="AY12" s="27">
        <f>IFERROR(AY11/AY10,"")</f>
        <v/>
      </c>
      <c r="AZ12" s="27">
        <f>IFERROR(AZ11/AZ10,"")</f>
        <v/>
      </c>
      <c r="BA12" s="27">
        <f>IFERROR(BA11/BA10,"")</f>
        <v/>
      </c>
      <c r="BB12" s="27">
        <f>IFERROR(BB11/BB10,"")</f>
        <v/>
      </c>
      <c r="BC12" s="27">
        <f>IFERROR(BC11/BC10,"")</f>
        <v/>
      </c>
      <c r="BD12" s="27">
        <f>IFERROR(BD11/BD10,"")</f>
        <v/>
      </c>
      <c r="BE12" s="27">
        <f>IFERROR(BE11/BE10,"")</f>
        <v/>
      </c>
      <c r="BF12" s="27">
        <f>IFERROR(BF11/BF10,"")</f>
        <v/>
      </c>
      <c r="BG12" s="27">
        <f>IFERROR(BG11/BG10,"")</f>
        <v/>
      </c>
      <c r="BH12" s="27">
        <f>IFERROR(BH11/BH10,"")</f>
        <v/>
      </c>
      <c r="BI12" s="27">
        <f>IFERROR(BI11/BI10,"")</f>
        <v/>
      </c>
      <c r="BJ12" s="27">
        <f>IFERROR(BJ11/BJ10,"")</f>
        <v/>
      </c>
      <c r="BK12" s="27">
        <f>IFERROR(BK11/BK10,"")</f>
        <v/>
      </c>
      <c r="BL12" s="27">
        <f>IFERROR(BL11/BL10,"")</f>
        <v/>
      </c>
      <c r="BM12" s="27">
        <f>IFERROR(BM11/BM10,"")</f>
        <v/>
      </c>
      <c r="BN12" s="27">
        <f>IFERROR(BN11/BN10,"")</f>
        <v/>
      </c>
      <c r="BO12" s="27">
        <f>IFERROR(BO11/BO10,"")</f>
        <v/>
      </c>
      <c r="BP12" s="27">
        <f>IFERROR(BP11/BP10,"")</f>
        <v/>
      </c>
      <c r="BQ12" s="27">
        <f>IFERROR(BQ11/BQ10,"")</f>
        <v/>
      </c>
      <c r="BR12" s="27">
        <f>IFERROR(BR11/BR10,"")</f>
        <v/>
      </c>
      <c r="BS12" s="27">
        <f>IFERROR(BS11/BS10,"")</f>
        <v/>
      </c>
      <c r="BT12" s="27">
        <f>IFERROR(BT11/BT10,"")</f>
        <v/>
      </c>
      <c r="BU12" s="27">
        <f>IFERROR(BU11/BU10,"")</f>
        <v/>
      </c>
      <c r="BV12" s="27">
        <f>IFERROR(BV11/BV10,"")</f>
        <v/>
      </c>
      <c r="BW12" s="27">
        <f>IFERROR(BW11/BW10,"")</f>
        <v/>
      </c>
      <c r="BX12" s="27">
        <f>IFERROR(BX11/BX10,"")</f>
        <v/>
      </c>
      <c r="BY12" s="27">
        <f>IFERROR(BY11/BY10,"")</f>
        <v/>
      </c>
      <c r="BZ12" s="28">
        <f>IFERROR(BZ11/BZ10,"")</f>
        <v/>
      </c>
      <c r="CA12" s="28">
        <f>IFERROR(CA11/CA10,"")</f>
        <v/>
      </c>
      <c r="CB12" s="28">
        <f>IFERROR(CB11/CB10,"")</f>
        <v/>
      </c>
      <c r="CC12" s="28">
        <f>IFERROR(CC11/CC10,"")</f>
        <v/>
      </c>
      <c r="CD12" s="28">
        <f>IFERROR(CD11/CD10,"")</f>
        <v/>
      </c>
      <c r="CK12" s="18" t="inlineStr">
        <is>
          <t>Effective tax rate</t>
        </is>
      </c>
      <c r="CL12" s="19" t="n">
        <v>0.22</v>
      </c>
      <c r="CM12" s="19" t="n">
        <v>0.23</v>
      </c>
      <c r="CN12" s="19" t="n">
        <v>0.25</v>
      </c>
    </row>
    <row r="13">
      <c r="B13" s="29" t="inlineStr">
        <is>
          <t xml:space="preserve">  Revenue y/y %</t>
        </is>
      </c>
      <c r="L13" s="27">
        <f>IFERROR(L10/G10-1,"")</f>
        <v/>
      </c>
      <c r="Q13" s="27">
        <f>IFERROR(Q10/L10-1,"")</f>
        <v/>
      </c>
      <c r="V13" s="27">
        <f>IFERROR(V10/Q10-1,"")</f>
        <v/>
      </c>
      <c r="AA13" s="27">
        <f>IFERROR(AA10/V10-1,"")</f>
        <v/>
      </c>
      <c r="AF13" s="27">
        <f>IFERROR(AF10/AA10-1,"")</f>
        <v/>
      </c>
      <c r="AK13" s="27">
        <f>IFERROR(AK10/AF10-1,"")</f>
        <v/>
      </c>
      <c r="AP13" s="27">
        <f>IFERROR(AP10/AK10-1,"")</f>
        <v/>
      </c>
      <c r="AU13" s="27">
        <f>IFERROR(AU10/AP10-1,"")</f>
        <v/>
      </c>
      <c r="AZ13" s="27">
        <f>IFERROR(AZ10/AU10-1,"")</f>
        <v/>
      </c>
      <c r="BE13" s="27">
        <f>IFERROR(BE10/AZ10-1,"")</f>
        <v/>
      </c>
      <c r="BJ13" s="27">
        <f>IFERROR(BJ10/BE10-1,"")</f>
        <v/>
      </c>
      <c r="BO13" s="27">
        <f>IFERROR(BO10/BJ10-1,"")</f>
        <v/>
      </c>
      <c r="BT13" s="27">
        <f>IFERROR(BT10/BO10-1,"")</f>
        <v/>
      </c>
      <c r="BY13" s="27">
        <f>IFERROR(BY10/BT10-1,"")</f>
        <v/>
      </c>
      <c r="BZ13" s="28">
        <f>IFERROR(BZ10/BY10-1,"")</f>
        <v/>
      </c>
      <c r="CA13" s="28">
        <f>IFERROR(CA10/BZ10-1,"")</f>
        <v/>
      </c>
      <c r="CB13" s="28">
        <f>IFERROR(CB10/CA10-1,"")</f>
        <v/>
      </c>
      <c r="CC13" s="28">
        <f>IFERROR(CC10/CB10-1,"")</f>
        <v/>
      </c>
      <c r="CD13" s="28">
        <f>IFERROR(CD10/CC10-1,"")</f>
        <v/>
      </c>
      <c r="CK13" s="18" t="inlineStr">
        <is>
          <t>D&amp;A % of revenue</t>
        </is>
      </c>
      <c r="CL13" s="19" t="n">
        <v>0.045</v>
      </c>
      <c r="CM13" s="19" t="n">
        <v>0.05</v>
      </c>
      <c r="CN13" s="19" t="n">
        <v>0.055</v>
      </c>
    </row>
    <row r="14">
      <c r="B14" s="18" t="inlineStr">
        <is>
          <t xml:space="preserve">  Depreciation &amp; amortisation</t>
        </is>
      </c>
      <c r="AF14" s="22" t="n">
        <v>39.083</v>
      </c>
      <c r="AG14" s="22" t="n">
        <v>12.386</v>
      </c>
      <c r="AH14" s="22" t="n">
        <v>12.667</v>
      </c>
      <c r="AI14" s="22" t="n">
        <v>10.904</v>
      </c>
      <c r="AJ14" s="22" t="n">
        <v>11.55</v>
      </c>
      <c r="AK14" s="22" t="n">
        <v>47.507</v>
      </c>
      <c r="AL14" s="22" t="n">
        <v>13.529</v>
      </c>
      <c r="AM14" s="22" t="n">
        <v>14.054</v>
      </c>
      <c r="AN14" s="22" t="n">
        <v>14.189</v>
      </c>
      <c r="AO14" s="22" t="n">
        <v>26.007</v>
      </c>
      <c r="AP14" s="22" t="n">
        <v>67.779</v>
      </c>
      <c r="AQ14" s="22" t="n">
        <v>19.392</v>
      </c>
      <c r="AR14" s="22" t="n">
        <v>17.877</v>
      </c>
      <c r="AS14" s="22" t="n">
        <v>18.636</v>
      </c>
      <c r="AT14" s="22" t="n">
        <v>19.23</v>
      </c>
      <c r="AU14" s="22" t="n">
        <v>75.13500000000001</v>
      </c>
      <c r="AV14" s="22" t="n">
        <v>20.567</v>
      </c>
      <c r="AW14" s="22" t="n">
        <v>21.698</v>
      </c>
      <c r="AX14" s="22" t="n">
        <v>23.703</v>
      </c>
      <c r="AY14" s="22" t="n">
        <v>24.667</v>
      </c>
      <c r="AZ14" s="22" t="n">
        <v>90.63500000000001</v>
      </c>
      <c r="BA14" s="22" t="n">
        <v>26.105</v>
      </c>
      <c r="BB14" s="22" t="n">
        <v>27.745</v>
      </c>
      <c r="BC14" s="22" t="n">
        <v>28.161</v>
      </c>
      <c r="BD14" s="22" t="n">
        <v>25.754</v>
      </c>
      <c r="BE14" s="22" t="n">
        <v>107.765</v>
      </c>
      <c r="BF14" s="22" t="n">
        <v>27.725</v>
      </c>
      <c r="BG14" s="22" t="n">
        <v>29.316</v>
      </c>
      <c r="BH14" s="22" t="n">
        <v>31.609</v>
      </c>
      <c r="BI14" s="22" t="n">
        <v>31.985</v>
      </c>
      <c r="BJ14" s="22" t="n">
        <v>120.635</v>
      </c>
      <c r="BK14" s="22" t="n">
        <v>34.935</v>
      </c>
      <c r="BL14" s="22" t="n">
        <v>34.121</v>
      </c>
      <c r="BM14" s="22" t="n">
        <v>32.918</v>
      </c>
      <c r="BN14" s="22" t="n">
        <v>33.83</v>
      </c>
      <c r="BO14" s="22" t="n">
        <v>135.804</v>
      </c>
      <c r="BP14" s="22" t="n">
        <v>36.936</v>
      </c>
      <c r="BQ14" s="22" t="n">
        <v>38.344</v>
      </c>
      <c r="BR14" s="22" t="n">
        <v>43.477</v>
      </c>
      <c r="BS14" s="22" t="n">
        <v>42.928</v>
      </c>
      <c r="BT14" s="22" t="n">
        <v>161.685</v>
      </c>
      <c r="BU14" s="22" t="n">
        <v>45.915</v>
      </c>
      <c r="BV14" s="22" t="n">
        <v>46.455</v>
      </c>
      <c r="BW14" s="22" t="n">
        <v>46.461</v>
      </c>
      <c r="BX14" s="22" t="n">
        <v>45.195</v>
      </c>
      <c r="BY14" s="22" t="n">
        <v>184.026</v>
      </c>
      <c r="CK14" s="18" t="inlineStr">
        <is>
          <t>Stock-based comp % of revenue</t>
        </is>
      </c>
      <c r="CL14" s="19" t="n">
        <v>0.006</v>
      </c>
      <c r="CM14" s="19" t="n">
        <v>0.007</v>
      </c>
      <c r="CN14" s="19" t="n">
        <v>0.008</v>
      </c>
    </row>
    <row r="15">
      <c r="B15" s="18" t="inlineStr">
        <is>
          <t xml:space="preserve">  Capital expenditures</t>
        </is>
      </c>
      <c r="AF15" s="22" t="n">
        <v>153.451</v>
      </c>
      <c r="AG15" s="22" t="n">
        <v>36.521</v>
      </c>
      <c r="AH15" s="22" t="n">
        <v>51.541</v>
      </c>
      <c r="AI15" s="22" t="n">
        <v>40.872</v>
      </c>
      <c r="AJ15" s="22" t="n">
        <v>188.712</v>
      </c>
      <c r="AK15" s="22" t="n">
        <v>317.646</v>
      </c>
      <c r="AL15" s="22" t="n">
        <v>38.905</v>
      </c>
      <c r="AM15" s="22" t="n">
        <v>56.804</v>
      </c>
      <c r="AN15" s="22" t="n">
        <v>57.028</v>
      </c>
      <c r="AO15" s="22" t="n">
        <v>103.131</v>
      </c>
      <c r="AP15" s="22" t="n">
        <v>255.868</v>
      </c>
      <c r="AQ15" s="22" t="n">
        <v>35.253</v>
      </c>
      <c r="AR15" s="22" t="n">
        <v>66.901</v>
      </c>
      <c r="AS15" s="22" t="n">
        <v>107.569</v>
      </c>
      <c r="AT15" s="22" t="n">
        <v>101.749</v>
      </c>
      <c r="AU15" s="22" t="n">
        <v>311.472</v>
      </c>
      <c r="AV15" s="22" t="n">
        <v>113.266</v>
      </c>
      <c r="AW15" s="22" t="n">
        <v>261.157</v>
      </c>
      <c r="AX15" s="22" t="n">
        <v>86.423</v>
      </c>
      <c r="AY15" s="22" t="n">
        <v>107.626</v>
      </c>
      <c r="AZ15" s="22" t="n">
        <v>568.472</v>
      </c>
      <c r="BA15" s="22" t="n">
        <v>122.459</v>
      </c>
      <c r="BB15" s="22" t="n">
        <v>121.595</v>
      </c>
      <c r="BC15" s="22" t="n">
        <v>59.006</v>
      </c>
      <c r="BD15" s="22" t="n">
        <v>87.646</v>
      </c>
      <c r="BE15" s="22" t="n">
        <v>390.706</v>
      </c>
      <c r="BF15" s="22" t="n">
        <v>54.272</v>
      </c>
      <c r="BG15" s="22" t="n">
        <v>86.788</v>
      </c>
      <c r="BH15" s="22" t="n">
        <v>64.39700000000001</v>
      </c>
      <c r="BI15" s="22" t="n">
        <v>92.175</v>
      </c>
      <c r="BJ15" s="22" t="n">
        <v>297.632</v>
      </c>
      <c r="BK15" s="22" t="n">
        <v>136.283</v>
      </c>
      <c r="BL15" s="22" t="n">
        <v>89.428</v>
      </c>
      <c r="BM15" s="22" t="n">
        <v>79.633</v>
      </c>
      <c r="BN15" s="22" t="n">
        <v>67.846</v>
      </c>
      <c r="BO15" s="22" t="n">
        <v>373.19</v>
      </c>
      <c r="BP15" s="22" t="n">
        <v>216.131</v>
      </c>
      <c r="BQ15" s="22" t="n">
        <v>83.861</v>
      </c>
      <c r="BR15" s="22" t="n">
        <v>72.18600000000001</v>
      </c>
      <c r="BS15" s="22" t="n">
        <v>119.319</v>
      </c>
      <c r="BT15" s="22" t="n">
        <v>491.497</v>
      </c>
      <c r="BU15" s="22" t="n">
        <v>211.917</v>
      </c>
      <c r="BV15" s="22" t="n">
        <v>153.212</v>
      </c>
      <c r="BW15" s="22" t="n">
        <v>62.906</v>
      </c>
      <c r="BX15" s="22" t="n">
        <v>62.93</v>
      </c>
      <c r="BY15" s="22" t="n">
        <v>490.965</v>
      </c>
      <c r="CK15" s="18" t="inlineStr">
        <is>
          <t>ΔNWC % of Δrevenue</t>
        </is>
      </c>
      <c r="CL15" s="19" t="n">
        <v>0.05</v>
      </c>
      <c r="CM15" s="19" t="n">
        <v>0.08</v>
      </c>
      <c r="CN15" s="19" t="n">
        <v>0.1</v>
      </c>
    </row>
    <row r="16">
      <c r="B16" s="18" t="inlineStr">
        <is>
          <t xml:space="preserve">  Total assets</t>
        </is>
      </c>
      <c r="AE16" s="22" t="n">
        <v>1249.755</v>
      </c>
      <c r="AF16" s="22" t="n">
        <v>1249.755</v>
      </c>
      <c r="AG16" s="22" t="n">
        <v>1375.198</v>
      </c>
      <c r="AH16" s="22" t="n">
        <v>1422.145</v>
      </c>
      <c r="AI16" s="22" t="n">
        <v>1372.425</v>
      </c>
      <c r="AJ16" s="22" t="n">
        <v>1514.018</v>
      </c>
      <c r="AK16" s="22" t="n">
        <v>1514.018</v>
      </c>
      <c r="AL16" s="22" t="n">
        <v>1577.659</v>
      </c>
      <c r="AM16" s="22" t="n">
        <v>1659.901</v>
      </c>
      <c r="AN16" s="22" t="n">
        <v>1702.637</v>
      </c>
      <c r="AO16" s="22" t="n">
        <v>1856.058</v>
      </c>
      <c r="AP16" s="22" t="n">
        <v>1856.058</v>
      </c>
      <c r="AQ16" s="22" t="n">
        <v>1934.693</v>
      </c>
      <c r="AR16" s="22" t="n">
        <v>1848.216</v>
      </c>
      <c r="AS16" s="22" t="n">
        <v>1935.621</v>
      </c>
      <c r="AT16" s="22" t="n">
        <v>2094.592</v>
      </c>
      <c r="AU16" s="22" t="n">
        <v>2094.592</v>
      </c>
      <c r="AV16" s="22" t="n">
        <v>2322.493</v>
      </c>
      <c r="AW16" s="22" t="n">
        <v>2526.943</v>
      </c>
      <c r="AX16" s="22" t="n">
        <v>2666.911</v>
      </c>
      <c r="AY16" s="22" t="n">
        <v>2901.158</v>
      </c>
      <c r="AZ16" s="22" t="n">
        <v>2901.158</v>
      </c>
      <c r="BA16" s="22" t="n">
        <v>3161.943</v>
      </c>
      <c r="BB16" s="22" t="n">
        <v>3287.453</v>
      </c>
      <c r="BC16" s="22" t="n">
        <v>3604.803</v>
      </c>
      <c r="BD16" s="22" t="n">
        <v>3900.712</v>
      </c>
      <c r="BE16" s="22" t="n">
        <v>3900.712</v>
      </c>
      <c r="BF16" s="22" t="n">
        <v>4223.448</v>
      </c>
      <c r="BG16" s="22" t="n">
        <v>4447.523</v>
      </c>
      <c r="BH16" s="22" t="n">
        <v>4751.379</v>
      </c>
      <c r="BI16" s="22" t="n">
        <v>4615.788</v>
      </c>
      <c r="BJ16" s="22" t="n">
        <v>4615.788</v>
      </c>
      <c r="BK16" s="22" t="n">
        <v>4870.941</v>
      </c>
      <c r="BL16" s="22" t="n">
        <v>5136.744</v>
      </c>
      <c r="BM16" s="22" t="n">
        <v>5510.093</v>
      </c>
      <c r="BN16" s="22" t="n">
        <v>5825.064</v>
      </c>
      <c r="BO16" s="22" t="n">
        <v>5825.064</v>
      </c>
      <c r="BP16" s="22" t="n">
        <v>6410.493</v>
      </c>
      <c r="BQ16" s="22" t="n">
        <v>6626.492</v>
      </c>
      <c r="BR16" s="22" t="n">
        <v>7034.96</v>
      </c>
      <c r="BS16" s="22" t="n">
        <v>7386.103</v>
      </c>
      <c r="BT16" s="22" t="n">
        <v>7386.103</v>
      </c>
      <c r="BU16" s="22" t="n">
        <v>7756.673</v>
      </c>
      <c r="BV16" s="22" t="n">
        <v>8047.72</v>
      </c>
      <c r="BW16" s="22" t="n">
        <v>8413.365</v>
      </c>
      <c r="BX16" s="22" t="n">
        <v>8834.063</v>
      </c>
      <c r="BY16" s="22" t="n">
        <v>8834.063</v>
      </c>
      <c r="CK16" s="18" t="inlineStr">
        <is>
          <t>CapEx % of revenue</t>
        </is>
      </c>
      <c r="CL16" s="19" t="n">
        <v>0.1</v>
      </c>
      <c r="CM16" s="19" t="n">
        <v>0.12</v>
      </c>
      <c r="CN16" s="19" t="n">
        <v>0.14</v>
      </c>
    </row>
    <row r="17">
      <c r="B17" s="18" t="inlineStr">
        <is>
          <t xml:space="preserve">  Goodwill</t>
        </is>
      </c>
      <c r="AE17" s="22" t="n">
        <v>179.906</v>
      </c>
      <c r="AF17" s="22" t="n">
        <v>179.906</v>
      </c>
      <c r="AG17" s="22" t="n">
        <v>179.906</v>
      </c>
      <c r="AH17" s="22" t="n">
        <v>179.906</v>
      </c>
      <c r="AI17" s="22" t="n">
        <v>180.063</v>
      </c>
      <c r="AJ17" s="22" t="n">
        <v>259.162</v>
      </c>
      <c r="AK17" s="22" t="n">
        <v>259.162</v>
      </c>
      <c r="AL17" s="22" t="n">
        <v>257.896</v>
      </c>
      <c r="AM17" s="22" t="n">
        <v>257.896</v>
      </c>
      <c r="AN17" s="22" t="n">
        <v>257.896</v>
      </c>
      <c r="AO17" s="22" t="n">
        <v>256.434</v>
      </c>
      <c r="AP17" s="22" t="n">
        <v>256.434</v>
      </c>
      <c r="AQ17" s="22" t="n">
        <v>256.434</v>
      </c>
      <c r="AR17" s="22" t="n">
        <v>256.434</v>
      </c>
      <c r="AS17" s="22" t="n">
        <v>256.997</v>
      </c>
      <c r="AT17" s="22" t="n">
        <v>256.998</v>
      </c>
      <c r="AU17" s="22" t="n">
        <v>256.998</v>
      </c>
      <c r="AV17" s="22" t="n">
        <v>256.998</v>
      </c>
      <c r="AW17" s="22" t="n">
        <v>256.998</v>
      </c>
      <c r="AX17" s="22" t="n">
        <v>260.67</v>
      </c>
      <c r="AY17" s="22" t="n">
        <v>262.423</v>
      </c>
      <c r="AZ17" s="22" t="n">
        <v>262.423</v>
      </c>
      <c r="BA17" s="22" t="n">
        <v>262.423</v>
      </c>
      <c r="BB17" s="22" t="n">
        <v>262.423</v>
      </c>
      <c r="BC17" s="22" t="n">
        <v>262.423</v>
      </c>
      <c r="BD17" s="22" t="n">
        <v>270.305</v>
      </c>
      <c r="BE17" s="22" t="n">
        <v>270.305</v>
      </c>
      <c r="BF17" s="22" t="n">
        <v>270.269</v>
      </c>
      <c r="BG17" s="22" t="n">
        <v>270.357</v>
      </c>
      <c r="BH17" s="22" t="n">
        <v>270.358</v>
      </c>
      <c r="BI17" s="22" t="n">
        <v>270.269</v>
      </c>
      <c r="BJ17" s="22" t="n">
        <v>270.269</v>
      </c>
      <c r="BK17" s="22" t="n">
        <v>270.269</v>
      </c>
      <c r="BL17" s="22" t="n">
        <v>270.269</v>
      </c>
      <c r="BM17" s="22" t="n">
        <v>270.269</v>
      </c>
      <c r="BN17" s="22" t="n">
        <v>270.269</v>
      </c>
      <c r="BO17" s="22" t="n">
        <v>270.269</v>
      </c>
      <c r="BP17" s="22" t="n">
        <v>383.329</v>
      </c>
      <c r="BQ17" s="22" t="n">
        <v>388.207</v>
      </c>
      <c r="BR17" s="22" t="n">
        <v>390.903</v>
      </c>
      <c r="BS17" s="22" t="n">
        <v>390.421</v>
      </c>
      <c r="BT17" s="22" t="n">
        <v>390.421</v>
      </c>
      <c r="BU17" s="22" t="n">
        <v>390.422</v>
      </c>
      <c r="BV17" s="22" t="n">
        <v>390.421</v>
      </c>
      <c r="BW17" s="22" t="n">
        <v>390.421</v>
      </c>
      <c r="BX17" s="22" t="n">
        <v>390.422</v>
      </c>
      <c r="BY17" s="22" t="n">
        <v>390.422</v>
      </c>
      <c r="CK17" s="18" t="inlineStr">
        <is>
          <t>Buyback (% shares retired / yr)</t>
        </is>
      </c>
      <c r="CL17" s="19" t="n">
        <v>0.01</v>
      </c>
      <c r="CM17" s="19" t="n">
        <v>0.005</v>
      </c>
      <c r="CN17" s="19" t="n">
        <v>0</v>
      </c>
    </row>
    <row r="19">
      <c r="B19" s="20" t="inlineStr">
        <is>
          <t>International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1" t="n"/>
      <c r="BL19" s="21" t="n"/>
      <c r="BM19" s="21" t="n"/>
      <c r="BN19" s="21" t="n"/>
      <c r="BO19" s="21" t="n"/>
      <c r="BP19" s="21" t="n"/>
      <c r="BQ19" s="21" t="n"/>
      <c r="BR19" s="21" t="n"/>
      <c r="BS19" s="21" t="n"/>
      <c r="BT19" s="21" t="n"/>
      <c r="BU19" s="21" t="n"/>
      <c r="BV19" s="21" t="n"/>
      <c r="BW19" s="21" t="n"/>
      <c r="BX19" s="21" t="n"/>
      <c r="BY19" s="21" t="n"/>
      <c r="BZ19" s="21" t="n"/>
      <c r="CA19" s="21" t="n"/>
      <c r="CB19" s="21" t="n"/>
      <c r="CC19" s="21" t="n"/>
      <c r="CD19" s="21" t="n"/>
      <c r="CE19" s="21" t="n"/>
      <c r="CF19" s="21" t="n"/>
      <c r="CG19" s="21" t="n"/>
      <c r="CH19" s="21" t="n"/>
    </row>
    <row r="20">
      <c r="B20" s="18" t="inlineStr">
        <is>
          <t xml:space="preserve">  Revenue</t>
        </is>
      </c>
      <c r="Q20" s="22" t="n">
        <v>228.945</v>
      </c>
      <c r="V20" s="22" t="n">
        <v>269.915</v>
      </c>
      <c r="AA20" s="22" t="n">
        <v>243.199</v>
      </c>
      <c r="AF20" s="22" t="n">
        <v>252.413</v>
      </c>
      <c r="AG20" s="22" t="n">
        <v>60.929</v>
      </c>
      <c r="AH20" s="22" t="n">
        <v>62.621</v>
      </c>
      <c r="AI20" s="22" t="n">
        <v>66.742</v>
      </c>
      <c r="AJ20" s="22" t="n">
        <v>64.501</v>
      </c>
      <c r="AK20" s="22" t="n">
        <v>254.793</v>
      </c>
      <c r="AL20" s="22" t="n">
        <v>68.063</v>
      </c>
      <c r="AM20" s="22" t="n">
        <v>73.971</v>
      </c>
      <c r="AN20" s="22" t="n">
        <v>92.917</v>
      </c>
      <c r="AO20" s="22" t="n">
        <v>79.72199999999999</v>
      </c>
      <c r="AP20" s="22" t="n">
        <v>314.673</v>
      </c>
      <c r="AQ20" s="22" t="n">
        <v>90.15900000000001</v>
      </c>
      <c r="AR20" s="22" t="n">
        <v>94.82599999999999</v>
      </c>
      <c r="AS20" s="22" t="n">
        <v>104.917</v>
      </c>
      <c r="AT20" s="22" t="n">
        <v>95.486</v>
      </c>
      <c r="AU20" s="22" t="n">
        <v>385.388</v>
      </c>
      <c r="AV20" s="22" t="n">
        <v>90.26000000000001</v>
      </c>
      <c r="AW20" s="22" t="n">
        <v>92.40300000000001</v>
      </c>
      <c r="AX20" s="22" t="n">
        <v>83.16200000000001</v>
      </c>
      <c r="AY20" s="22" t="n">
        <v>79.072</v>
      </c>
      <c r="AZ20" s="22" t="n">
        <v>344.897</v>
      </c>
      <c r="BA20" s="22" t="n">
        <v>95.685</v>
      </c>
      <c r="BB20" s="22" t="n">
        <v>99.108</v>
      </c>
      <c r="BC20" s="22" t="n">
        <v>111.957</v>
      </c>
      <c r="BD20" s="22" t="n">
        <v>113.689</v>
      </c>
      <c r="BE20" s="22" t="n">
        <v>420.439</v>
      </c>
      <c r="BF20" s="22" t="n">
        <v>131.671</v>
      </c>
      <c r="BG20" s="22" t="n">
        <v>140.074</v>
      </c>
      <c r="BH20" s="22" t="n">
        <v>149.691</v>
      </c>
      <c r="BI20" s="22" t="n">
        <v>134.335</v>
      </c>
      <c r="BJ20" s="22" t="n">
        <v>555.771</v>
      </c>
      <c r="BK20" s="22" t="n">
        <v>144.523</v>
      </c>
      <c r="BL20" s="22" t="n">
        <v>168.795</v>
      </c>
      <c r="BM20" s="22" t="n">
        <v>188.073</v>
      </c>
      <c r="BN20" s="22" t="n">
        <v>178.479</v>
      </c>
      <c r="BO20" s="22" t="n">
        <v>679.87</v>
      </c>
      <c r="BP20" s="22" t="n">
        <v>179.51</v>
      </c>
      <c r="BQ20" s="22" t="n">
        <v>189.423</v>
      </c>
      <c r="BR20" s="22" t="n">
        <v>208.343</v>
      </c>
      <c r="BS20" s="22" t="n">
        <v>194.812</v>
      </c>
      <c r="BT20" s="22" t="n">
        <v>772.088</v>
      </c>
      <c r="BU20" s="22" t="n">
        <v>199.29</v>
      </c>
      <c r="BV20" s="22" t="n">
        <v>188.471</v>
      </c>
      <c r="BW20" s="22" t="n">
        <v>205.259</v>
      </c>
      <c r="BX20" s="22" t="n">
        <v>198.834</v>
      </c>
      <c r="BY20" s="22" t="n">
        <v>791.854</v>
      </c>
      <c r="BZ20" s="23">
        <f>BY20*(1+CHOOSE(MATCH($CF$2,{"Bull","Base","Bear"},0),$CL$8,$CM$8,$CN$8))</f>
        <v/>
      </c>
      <c r="CA20" s="23">
        <f>BZ20*(1+CHOOSE(MATCH($CF$2,{"Bull","Base","Bear"},0),$CL$8,$CM$8,$CN$8))</f>
        <v/>
      </c>
      <c r="CB20" s="23">
        <f>CA20*(1+CHOOSE(MATCH($CF$2,{"Bull","Base","Bear"},0),$CL$8,$CM$8,$CN$8))</f>
        <v/>
      </c>
      <c r="CC20" s="23">
        <f>CB20*(1+CHOOSE(MATCH($CF$2,{"Bull","Base","Bear"},0),$CL$8,$CM$8,$CN$8))</f>
        <v/>
      </c>
      <c r="CD20" s="23">
        <f>CC20*(1+CHOOSE(MATCH($CF$2,{"Bull","Base","Bear"},0),$CL$8,$CM$8,$CN$8))</f>
        <v/>
      </c>
      <c r="CF20" s="24">
        <f>IFERROR((CD20/BY20)^(1/5)-1,"n/m")</f>
        <v/>
      </c>
      <c r="CG20" s="24">
        <f>IFERROR((BY20/AZ20)^(1/5)-1,"n/m")</f>
        <v/>
      </c>
      <c r="CH20" s="24">
        <f>IFERROR((BY20/G20)^(1/14)-1,"n/m")</f>
        <v/>
      </c>
    </row>
    <row r="21">
      <c r="B21" s="6" t="inlineStr">
        <is>
          <t xml:space="preserve">  Operating income</t>
        </is>
      </c>
      <c r="AF21" s="25" t="n">
        <v>58.761</v>
      </c>
      <c r="AG21" s="25" t="n">
        <v>15.842</v>
      </c>
      <c r="AH21" s="25" t="n">
        <v>15.288</v>
      </c>
      <c r="AI21" s="25" t="n">
        <v>17.671</v>
      </c>
      <c r="AJ21" s="25" t="n">
        <v>16.138</v>
      </c>
      <c r="AK21" s="25" t="n">
        <v>64.93899999999999</v>
      </c>
      <c r="AL21" s="25" t="n">
        <v>17.923</v>
      </c>
      <c r="AM21" s="25" t="n">
        <v>17.937</v>
      </c>
      <c r="AN21" s="25" t="n">
        <v>23.731</v>
      </c>
      <c r="AO21" s="25" t="n">
        <v>9.867000000000001</v>
      </c>
      <c r="AP21" s="25" t="n">
        <v>69.458</v>
      </c>
      <c r="AQ21" s="25" t="n">
        <v>21.148</v>
      </c>
      <c r="AR21" s="25" t="n">
        <v>19.337</v>
      </c>
      <c r="AS21" s="25" t="n">
        <v>19.236</v>
      </c>
      <c r="AT21" s="25" t="n">
        <v>15.96</v>
      </c>
      <c r="AU21" s="25" t="n">
        <v>75.681</v>
      </c>
      <c r="AV21" s="25" t="n">
        <v>16.341</v>
      </c>
      <c r="AW21" s="25" t="n">
        <v>19.807</v>
      </c>
      <c r="AX21" s="25" t="n">
        <v>14.414</v>
      </c>
      <c r="AY21" s="25" t="n">
        <v>16.76</v>
      </c>
      <c r="AZ21" s="25" t="n">
        <v>67.322</v>
      </c>
      <c r="BA21" s="25" t="n">
        <v>25.355</v>
      </c>
      <c r="BB21" s="25" t="n">
        <v>28.769</v>
      </c>
      <c r="BC21" s="25" t="n">
        <v>31.385</v>
      </c>
      <c r="BD21" s="25" t="n">
        <v>27.362</v>
      </c>
      <c r="BE21" s="25" t="n">
        <v>112.871</v>
      </c>
      <c r="BF21" s="25" t="n">
        <v>35.172</v>
      </c>
      <c r="BG21" s="25" t="n">
        <v>34.682</v>
      </c>
      <c r="BH21" s="25" t="n">
        <v>32.318</v>
      </c>
      <c r="BI21" s="25" t="n">
        <v>25.256</v>
      </c>
      <c r="BJ21" s="25" t="n">
        <v>127.428</v>
      </c>
      <c r="BK21" s="25" t="n">
        <v>28.875</v>
      </c>
      <c r="BL21" s="25" t="n">
        <v>29.361</v>
      </c>
      <c r="BM21" s="25" t="n">
        <v>34.133</v>
      </c>
      <c r="BN21" s="25" t="n">
        <v>26.103</v>
      </c>
      <c r="BO21" s="25" t="n">
        <v>118.472</v>
      </c>
      <c r="BP21" s="25" t="n">
        <v>33.085</v>
      </c>
      <c r="BQ21" s="25" t="n">
        <v>32.562</v>
      </c>
      <c r="BR21" s="25" t="n">
        <v>44.272</v>
      </c>
      <c r="BS21" s="25" t="n">
        <v>34.07</v>
      </c>
      <c r="BT21" s="25" t="n">
        <v>143.989</v>
      </c>
      <c r="BU21" s="25" t="n">
        <v>51.308</v>
      </c>
      <c r="BV21" s="25" t="n">
        <v>50.318</v>
      </c>
      <c r="BW21" s="25" t="n">
        <v>59.08</v>
      </c>
      <c r="BX21" s="25" t="n">
        <v>55.122</v>
      </c>
      <c r="BY21" s="25" t="n">
        <v>215.828</v>
      </c>
      <c r="BZ21" s="26">
        <f>BZ20*CHOOSE(MATCH($CF$2,{"Bull","Base","Bear"},0),$CL$10,$CM$10,$CN$10)</f>
        <v/>
      </c>
      <c r="CA21" s="26">
        <f>CA20*CHOOSE(MATCH($CF$2,{"Bull","Base","Bear"},0),$CL$10,$CM$10,$CN$10)</f>
        <v/>
      </c>
      <c r="CB21" s="26">
        <f>CB20*CHOOSE(MATCH($CF$2,{"Bull","Base","Bear"},0),$CL$10,$CM$10,$CN$10)</f>
        <v/>
      </c>
      <c r="CC21" s="26">
        <f>CC20*CHOOSE(MATCH($CF$2,{"Bull","Base","Bear"},0),$CL$10,$CM$10,$CN$10)</f>
        <v/>
      </c>
      <c r="CD21" s="26">
        <f>CD20*CHOOSE(MATCH($CF$2,{"Bull","Base","Bear"},0),$CL$10,$CM$10,$CN$10)</f>
        <v/>
      </c>
      <c r="CF21" s="24">
        <f>IFERROR((CD21/BY21)^(1/5)-1,"n/m")</f>
        <v/>
      </c>
      <c r="CG21" s="24">
        <f>IFERROR((BY21/AZ21)^(1/5)-1,"n/m")</f>
        <v/>
      </c>
      <c r="CH21" s="24">
        <f>IFERROR((BY21/G21)^(1/14)-1,"n/m")</f>
        <v/>
      </c>
    </row>
    <row r="22">
      <c r="B22" s="18" t="inlineStr">
        <is>
          <t xml:space="preserve">  Operating margin %</t>
        </is>
      </c>
      <c r="C22" s="27">
        <f>IFERROR(C21/C20,"")</f>
        <v/>
      </c>
      <c r="D22" s="27">
        <f>IFERROR(D21/D20,"")</f>
        <v/>
      </c>
      <c r="E22" s="27">
        <f>IFERROR(E21/E20,"")</f>
        <v/>
      </c>
      <c r="F22" s="27">
        <f>IFERROR(F21/F20,"")</f>
        <v/>
      </c>
      <c r="G22" s="27">
        <f>IFERROR(G21/G20,"")</f>
        <v/>
      </c>
      <c r="H22" s="27">
        <f>IFERROR(H21/H20,"")</f>
        <v/>
      </c>
      <c r="I22" s="27">
        <f>IFERROR(I21/I20,"")</f>
        <v/>
      </c>
      <c r="J22" s="27">
        <f>IFERROR(J21/J20,"")</f>
        <v/>
      </c>
      <c r="K22" s="27">
        <f>IFERROR(K21/K20,"")</f>
        <v/>
      </c>
      <c r="L22" s="27">
        <f>IFERROR(L21/L20,"")</f>
        <v/>
      </c>
      <c r="M22" s="27">
        <f>IFERROR(M21/M20,"")</f>
        <v/>
      </c>
      <c r="N22" s="27">
        <f>IFERROR(N21/N20,"")</f>
        <v/>
      </c>
      <c r="O22" s="27">
        <f>IFERROR(O21/O20,"")</f>
        <v/>
      </c>
      <c r="P22" s="27">
        <f>IFERROR(P21/P20,"")</f>
        <v/>
      </c>
      <c r="Q22" s="27">
        <f>IFERROR(Q21/Q20,"")</f>
        <v/>
      </c>
      <c r="R22" s="27">
        <f>IFERROR(R21/R20,"")</f>
        <v/>
      </c>
      <c r="S22" s="27">
        <f>IFERROR(S21/S20,"")</f>
        <v/>
      </c>
      <c r="T22" s="27">
        <f>IFERROR(T21/T20,"")</f>
        <v/>
      </c>
      <c r="U22" s="27">
        <f>IFERROR(U21/U20,"")</f>
        <v/>
      </c>
      <c r="V22" s="27">
        <f>IFERROR(V21/V20,"")</f>
        <v/>
      </c>
      <c r="W22" s="27">
        <f>IFERROR(W21/W20,"")</f>
        <v/>
      </c>
      <c r="X22" s="27">
        <f>IFERROR(X21/X20,"")</f>
        <v/>
      </c>
      <c r="Y22" s="27">
        <f>IFERROR(Y21/Y20,"")</f>
        <v/>
      </c>
      <c r="Z22" s="27">
        <f>IFERROR(Z21/Z20,"")</f>
        <v/>
      </c>
      <c r="AA22" s="27">
        <f>IFERROR(AA21/AA20,"")</f>
        <v/>
      </c>
      <c r="AB22" s="27">
        <f>IFERROR(AB21/AB20,"")</f>
        <v/>
      </c>
      <c r="AC22" s="27">
        <f>IFERROR(AC21/AC20,"")</f>
        <v/>
      </c>
      <c r="AD22" s="27">
        <f>IFERROR(AD21/AD20,"")</f>
        <v/>
      </c>
      <c r="AE22" s="27">
        <f>IFERROR(AE21/AE20,"")</f>
        <v/>
      </c>
      <c r="AF22" s="27">
        <f>IFERROR(AF21/AF20,"")</f>
        <v/>
      </c>
      <c r="AG22" s="27">
        <f>IFERROR(AG21/AG20,"")</f>
        <v/>
      </c>
      <c r="AH22" s="27">
        <f>IFERROR(AH21/AH20,"")</f>
        <v/>
      </c>
      <c r="AI22" s="27">
        <f>IFERROR(AI21/AI20,"")</f>
        <v/>
      </c>
      <c r="AJ22" s="27">
        <f>IFERROR(AJ21/AJ20,"")</f>
        <v/>
      </c>
      <c r="AK22" s="27">
        <f>IFERROR(AK21/AK20,"")</f>
        <v/>
      </c>
      <c r="AL22" s="27">
        <f>IFERROR(AL21/AL20,"")</f>
        <v/>
      </c>
      <c r="AM22" s="27">
        <f>IFERROR(AM21/AM20,"")</f>
        <v/>
      </c>
      <c r="AN22" s="27">
        <f>IFERROR(AN21/AN20,"")</f>
        <v/>
      </c>
      <c r="AO22" s="27">
        <f>IFERROR(AO21/AO20,"")</f>
        <v/>
      </c>
      <c r="AP22" s="27">
        <f>IFERROR(AP21/AP20,"")</f>
        <v/>
      </c>
      <c r="AQ22" s="27">
        <f>IFERROR(AQ21/AQ20,"")</f>
        <v/>
      </c>
      <c r="AR22" s="27">
        <f>IFERROR(AR21/AR20,"")</f>
        <v/>
      </c>
      <c r="AS22" s="27">
        <f>IFERROR(AS21/AS20,"")</f>
        <v/>
      </c>
      <c r="AT22" s="27">
        <f>IFERROR(AT21/AT20,"")</f>
        <v/>
      </c>
      <c r="AU22" s="27">
        <f>IFERROR(AU21/AU20,"")</f>
        <v/>
      </c>
      <c r="AV22" s="27">
        <f>IFERROR(AV21/AV20,"")</f>
        <v/>
      </c>
      <c r="AW22" s="27">
        <f>IFERROR(AW21/AW20,"")</f>
        <v/>
      </c>
      <c r="AX22" s="27">
        <f>IFERROR(AX21/AX20,"")</f>
        <v/>
      </c>
      <c r="AY22" s="27">
        <f>IFERROR(AY21/AY20,"")</f>
        <v/>
      </c>
      <c r="AZ22" s="27">
        <f>IFERROR(AZ21/AZ20,"")</f>
        <v/>
      </c>
      <c r="BA22" s="27">
        <f>IFERROR(BA21/BA20,"")</f>
        <v/>
      </c>
      <c r="BB22" s="27">
        <f>IFERROR(BB21/BB20,"")</f>
        <v/>
      </c>
      <c r="BC22" s="27">
        <f>IFERROR(BC21/BC20,"")</f>
        <v/>
      </c>
      <c r="BD22" s="27">
        <f>IFERROR(BD21/BD20,"")</f>
        <v/>
      </c>
      <c r="BE22" s="27">
        <f>IFERROR(BE21/BE20,"")</f>
        <v/>
      </c>
      <c r="BF22" s="27">
        <f>IFERROR(BF21/BF20,"")</f>
        <v/>
      </c>
      <c r="BG22" s="27">
        <f>IFERROR(BG21/BG20,"")</f>
        <v/>
      </c>
      <c r="BH22" s="27">
        <f>IFERROR(BH21/BH20,"")</f>
        <v/>
      </c>
      <c r="BI22" s="27">
        <f>IFERROR(BI21/BI20,"")</f>
        <v/>
      </c>
      <c r="BJ22" s="27">
        <f>IFERROR(BJ21/BJ20,"")</f>
        <v/>
      </c>
      <c r="BK22" s="27">
        <f>IFERROR(BK21/BK20,"")</f>
        <v/>
      </c>
      <c r="BL22" s="27">
        <f>IFERROR(BL21/BL20,"")</f>
        <v/>
      </c>
      <c r="BM22" s="27">
        <f>IFERROR(BM21/BM20,"")</f>
        <v/>
      </c>
      <c r="BN22" s="27">
        <f>IFERROR(BN21/BN20,"")</f>
        <v/>
      </c>
      <c r="BO22" s="27">
        <f>IFERROR(BO21/BO20,"")</f>
        <v/>
      </c>
      <c r="BP22" s="27">
        <f>IFERROR(BP21/BP20,"")</f>
        <v/>
      </c>
      <c r="BQ22" s="27">
        <f>IFERROR(BQ21/BQ20,"")</f>
        <v/>
      </c>
      <c r="BR22" s="27">
        <f>IFERROR(BR21/BR20,"")</f>
        <v/>
      </c>
      <c r="BS22" s="27">
        <f>IFERROR(BS21/BS20,"")</f>
        <v/>
      </c>
      <c r="BT22" s="27">
        <f>IFERROR(BT21/BT20,"")</f>
        <v/>
      </c>
      <c r="BU22" s="27">
        <f>IFERROR(BU21/BU20,"")</f>
        <v/>
      </c>
      <c r="BV22" s="27">
        <f>IFERROR(BV21/BV20,"")</f>
        <v/>
      </c>
      <c r="BW22" s="27">
        <f>IFERROR(BW21/BW20,"")</f>
        <v/>
      </c>
      <c r="BX22" s="27">
        <f>IFERROR(BX21/BX20,"")</f>
        <v/>
      </c>
      <c r="BY22" s="27">
        <f>IFERROR(BY21/BY20,"")</f>
        <v/>
      </c>
      <c r="BZ22" s="28">
        <f>IFERROR(BZ21/BZ20,"")</f>
        <v/>
      </c>
      <c r="CA22" s="28">
        <f>IFERROR(CA21/CA20,"")</f>
        <v/>
      </c>
      <c r="CB22" s="28">
        <f>IFERROR(CB21/CB20,"")</f>
        <v/>
      </c>
      <c r="CC22" s="28">
        <f>IFERROR(CC21/CC20,"")</f>
        <v/>
      </c>
      <c r="CD22" s="28">
        <f>IFERROR(CD21/CD20,"")</f>
        <v/>
      </c>
    </row>
    <row r="23">
      <c r="B23" s="29" t="inlineStr">
        <is>
          <t xml:space="preserve">  Revenue y/y %</t>
        </is>
      </c>
      <c r="L23" s="27">
        <f>IFERROR(L20/G20-1,"")</f>
        <v/>
      </c>
      <c r="Q23" s="27">
        <f>IFERROR(Q20/L20-1,"")</f>
        <v/>
      </c>
      <c r="V23" s="27">
        <f>IFERROR(V20/Q20-1,"")</f>
        <v/>
      </c>
      <c r="AA23" s="27">
        <f>IFERROR(AA20/V20-1,"")</f>
        <v/>
      </c>
      <c r="AF23" s="27">
        <f>IFERROR(AF20/AA20-1,"")</f>
        <v/>
      </c>
      <c r="AK23" s="27">
        <f>IFERROR(AK20/AF20-1,"")</f>
        <v/>
      </c>
      <c r="AP23" s="27">
        <f>IFERROR(AP20/AK20-1,"")</f>
        <v/>
      </c>
      <c r="AU23" s="27">
        <f>IFERROR(AU20/AP20-1,"")</f>
        <v/>
      </c>
      <c r="AZ23" s="27">
        <f>IFERROR(AZ20/AU20-1,"")</f>
        <v/>
      </c>
      <c r="BE23" s="27">
        <f>IFERROR(BE20/AZ20-1,"")</f>
        <v/>
      </c>
      <c r="BJ23" s="27">
        <f>IFERROR(BJ20/BE20-1,"")</f>
        <v/>
      </c>
      <c r="BO23" s="27">
        <f>IFERROR(BO20/BJ20-1,"")</f>
        <v/>
      </c>
      <c r="BT23" s="27">
        <f>IFERROR(BT20/BO20-1,"")</f>
        <v/>
      </c>
      <c r="BY23" s="27">
        <f>IFERROR(BY20/BT20-1,"")</f>
        <v/>
      </c>
      <c r="BZ23" s="28">
        <f>IFERROR(BZ20/BY20-1,"")</f>
        <v/>
      </c>
      <c r="CA23" s="28">
        <f>IFERROR(CA20/BZ20-1,"")</f>
        <v/>
      </c>
      <c r="CB23" s="28">
        <f>IFERROR(CB20/CA20-1,"")</f>
        <v/>
      </c>
      <c r="CC23" s="28">
        <f>IFERROR(CC20/CB20-1,"")</f>
        <v/>
      </c>
      <c r="CD23" s="28">
        <f>IFERROR(CD20/CC20-1,"")</f>
        <v/>
      </c>
    </row>
    <row r="24">
      <c r="B24" s="18" t="inlineStr">
        <is>
          <t xml:space="preserve">  Depreciation &amp; amortisation</t>
        </is>
      </c>
      <c r="AF24" s="22" t="n">
        <v>9.492000000000001</v>
      </c>
      <c r="AG24" s="22" t="n">
        <v>2.323</v>
      </c>
      <c r="AH24" s="22" t="n">
        <v>2.548</v>
      </c>
      <c r="AI24" s="22" t="n">
        <v>2.304</v>
      </c>
      <c r="AJ24" s="22" t="n">
        <v>2.318</v>
      </c>
      <c r="AK24" s="22" t="n">
        <v>9.493</v>
      </c>
      <c r="AL24" s="22" t="n">
        <v>2.373</v>
      </c>
      <c r="AM24" s="22" t="n">
        <v>3.817</v>
      </c>
      <c r="AN24" s="22" t="n">
        <v>2.384</v>
      </c>
      <c r="AO24" s="22" t="n">
        <v>2.245</v>
      </c>
      <c r="AP24" s="22" t="n">
        <v>10.819</v>
      </c>
      <c r="AQ24" s="22" t="n">
        <v>2.477</v>
      </c>
      <c r="AR24" s="22" t="n">
        <v>2.522</v>
      </c>
      <c r="AS24" s="22" t="n">
        <v>2.476</v>
      </c>
      <c r="AT24" s="22" t="n">
        <v>2.285</v>
      </c>
      <c r="AU24" s="22" t="n">
        <v>9.76</v>
      </c>
      <c r="AV24" s="22" t="n">
        <v>2.447</v>
      </c>
      <c r="AW24" s="22" t="n">
        <v>2.584</v>
      </c>
      <c r="AX24" s="22" t="n">
        <v>3.012</v>
      </c>
      <c r="AY24" s="22" t="n">
        <v>2.712</v>
      </c>
      <c r="AZ24" s="22" t="n">
        <v>10.755</v>
      </c>
      <c r="BA24" s="22" t="n">
        <v>2.844</v>
      </c>
      <c r="BB24" s="22" t="n">
        <v>3.647</v>
      </c>
      <c r="BC24" s="22" t="n">
        <v>3.805</v>
      </c>
      <c r="BD24" s="22" t="n">
        <v>3.91</v>
      </c>
      <c r="BE24" s="22" t="n">
        <v>14.206</v>
      </c>
      <c r="BF24" s="22" t="n">
        <v>4.035</v>
      </c>
      <c r="BG24" s="22" t="n">
        <v>3.987</v>
      </c>
      <c r="BH24" s="22" t="n">
        <v>4.97</v>
      </c>
      <c r="BI24" s="22" t="n">
        <v>4.358</v>
      </c>
      <c r="BJ24" s="22" t="n">
        <v>17.35</v>
      </c>
      <c r="BK24" s="22" t="n">
        <v>4.123</v>
      </c>
      <c r="BL24" s="22" t="n">
        <v>4.293</v>
      </c>
      <c r="BM24" s="22" t="n">
        <v>4.453</v>
      </c>
      <c r="BN24" s="22" t="n">
        <v>10.805</v>
      </c>
      <c r="BO24" s="22" t="n">
        <v>23.674</v>
      </c>
      <c r="BP24" s="22" t="n">
        <v>6.228</v>
      </c>
      <c r="BQ24" s="22" t="n">
        <v>6.918</v>
      </c>
      <c r="BR24" s="22" t="n">
        <v>7.256</v>
      </c>
      <c r="BS24" s="22" t="n">
        <v>7.674</v>
      </c>
      <c r="BT24" s="22" t="n">
        <v>28.076</v>
      </c>
      <c r="BU24" s="22" t="n">
        <v>7.712</v>
      </c>
      <c r="BV24" s="22" t="n">
        <v>7.744</v>
      </c>
      <c r="BW24" s="22" t="n">
        <v>7.955</v>
      </c>
      <c r="BX24" s="22" t="n">
        <v>8.412000000000001</v>
      </c>
      <c r="BY24" s="22" t="n">
        <v>31.823</v>
      </c>
    </row>
    <row r="25">
      <c r="B25" s="18" t="inlineStr">
        <is>
          <t xml:space="preserve">  Capital expenditures</t>
        </is>
      </c>
      <c r="AF25" s="22" t="n">
        <v>20.466</v>
      </c>
      <c r="AG25" s="22" t="n">
        <v>1.688</v>
      </c>
      <c r="AH25" s="22" t="n">
        <v>2.662</v>
      </c>
      <c r="AI25" s="22" t="n">
        <v>1.426</v>
      </c>
      <c r="AJ25" s="22" t="n">
        <v>9.568</v>
      </c>
      <c r="AK25" s="22" t="n">
        <v>15.344</v>
      </c>
      <c r="AL25" s="22" t="n">
        <v>2.456</v>
      </c>
      <c r="AM25" s="22" t="n">
        <v>12.617</v>
      </c>
      <c r="AN25" s="22" t="n">
        <v>20.672</v>
      </c>
      <c r="AO25" s="22" t="n">
        <v>5.084</v>
      </c>
      <c r="AP25" s="22" t="n">
        <v>40.829</v>
      </c>
      <c r="AQ25" s="22" t="n">
        <v>27.083</v>
      </c>
      <c r="AR25" s="22" t="n">
        <v>7.49</v>
      </c>
      <c r="AS25" s="22" t="n">
        <v>15.785</v>
      </c>
      <c r="AT25" s="22" t="n">
        <v>12.798</v>
      </c>
      <c r="AU25" s="22" t="n">
        <v>63.156</v>
      </c>
      <c r="AV25" s="22" t="n">
        <v>18.527</v>
      </c>
      <c r="AW25" s="22" t="n">
        <v>7.402</v>
      </c>
      <c r="AX25" s="22" t="n">
        <v>4.223</v>
      </c>
      <c r="AY25" s="22" t="n">
        <v>5.05</v>
      </c>
      <c r="AZ25" s="22" t="n">
        <v>35.202</v>
      </c>
      <c r="BA25" s="22" t="n">
        <v>24.634</v>
      </c>
      <c r="BB25" s="22" t="n">
        <v>14.526</v>
      </c>
      <c r="BC25" s="22" t="n">
        <v>22.175</v>
      </c>
      <c r="BD25" s="22" t="n">
        <v>15.955</v>
      </c>
      <c r="BE25" s="22" t="n">
        <v>77.29000000000001</v>
      </c>
      <c r="BF25" s="22" t="n">
        <v>10.424</v>
      </c>
      <c r="BG25" s="22" t="n">
        <v>5.185</v>
      </c>
      <c r="BH25" s="22" t="n">
        <v>14.237</v>
      </c>
      <c r="BI25" s="22" t="n">
        <v>116.574</v>
      </c>
      <c r="BJ25" s="22" t="n">
        <v>146.42</v>
      </c>
      <c r="BK25" s="22" t="n">
        <v>16.372</v>
      </c>
      <c r="BL25" s="22" t="n">
        <v>14.636</v>
      </c>
      <c r="BM25" s="22" t="n">
        <v>10.172</v>
      </c>
      <c r="BN25" s="22" t="n">
        <v>102.266</v>
      </c>
      <c r="BO25" s="22" t="n">
        <v>143.446</v>
      </c>
      <c r="BP25" s="22" t="n">
        <v>40.542</v>
      </c>
      <c r="BQ25" s="22" t="n">
        <v>39.168</v>
      </c>
      <c r="BR25" s="22" t="n">
        <v>15.629</v>
      </c>
      <c r="BS25" s="22" t="n">
        <v>18.567</v>
      </c>
      <c r="BT25" s="22" t="n">
        <v>113.906</v>
      </c>
      <c r="BU25" s="22" t="n">
        <v>26.098</v>
      </c>
      <c r="BV25" s="22" t="n">
        <v>20.868</v>
      </c>
      <c r="BW25" s="22" t="n">
        <v>7.561</v>
      </c>
      <c r="BX25" s="22" t="n">
        <v>24.721</v>
      </c>
      <c r="BY25" s="22" t="n">
        <v>79.248</v>
      </c>
    </row>
    <row r="26">
      <c r="B26" s="18" t="inlineStr">
        <is>
          <t xml:space="preserve">  Total assets</t>
        </is>
      </c>
      <c r="AE26" s="22" t="n">
        <v>400.065</v>
      </c>
      <c r="AF26" s="22" t="n">
        <v>400.065</v>
      </c>
      <c r="AG26" s="22" t="n">
        <v>395.198</v>
      </c>
      <c r="AH26" s="22" t="n">
        <v>419.096</v>
      </c>
      <c r="AI26" s="22" t="n">
        <v>439.261</v>
      </c>
      <c r="AJ26" s="22" t="n">
        <v>468.483</v>
      </c>
      <c r="AK26" s="22" t="n">
        <v>468.483</v>
      </c>
      <c r="AL26" s="22" t="n">
        <v>485.011</v>
      </c>
      <c r="AM26" s="22" t="n">
        <v>483.64</v>
      </c>
      <c r="AN26" s="22" t="n">
        <v>462.556</v>
      </c>
      <c r="AO26" s="22" t="n">
        <v>451.64</v>
      </c>
      <c r="AP26" s="22" t="n">
        <v>451.64</v>
      </c>
      <c r="AQ26" s="22" t="n">
        <v>447.095</v>
      </c>
      <c r="AR26" s="22" t="n">
        <v>448.689</v>
      </c>
      <c r="AS26" s="22" t="n">
        <v>456.142</v>
      </c>
      <c r="AT26" s="22" t="n">
        <v>453.025</v>
      </c>
      <c r="AU26" s="22" t="n">
        <v>453.025</v>
      </c>
      <c r="AV26" s="22" t="n">
        <v>533.446</v>
      </c>
      <c r="AW26" s="22" t="n">
        <v>521.662</v>
      </c>
      <c r="AX26" s="22" t="n">
        <v>494.672</v>
      </c>
      <c r="AY26" s="22" t="n">
        <v>554.103</v>
      </c>
      <c r="AZ26" s="22" t="n">
        <v>554.103</v>
      </c>
      <c r="BA26" s="22" t="n">
        <v>579.245</v>
      </c>
      <c r="BB26" s="22" t="n">
        <v>646.985</v>
      </c>
      <c r="BC26" s="22" t="n">
        <v>677.143</v>
      </c>
      <c r="BD26" s="22" t="n">
        <v>661.431</v>
      </c>
      <c r="BE26" s="22" t="n">
        <v>661.431</v>
      </c>
      <c r="BF26" s="22" t="n">
        <v>695.404</v>
      </c>
      <c r="BG26" s="22" t="n">
        <v>689.433</v>
      </c>
      <c r="BH26" s="22" t="n">
        <v>692.495</v>
      </c>
      <c r="BI26" s="22" t="n">
        <v>693.076</v>
      </c>
      <c r="BJ26" s="22" t="n">
        <v>693.076</v>
      </c>
      <c r="BK26" s="22" t="n">
        <v>722.736</v>
      </c>
      <c r="BL26" s="22" t="n">
        <v>795.664</v>
      </c>
      <c r="BM26" s="22" t="n">
        <v>839.712</v>
      </c>
      <c r="BN26" s="22" t="n">
        <v>912.8150000000001</v>
      </c>
      <c r="BO26" s="22" t="n">
        <v>912.8150000000001</v>
      </c>
      <c r="BP26" s="22" t="n">
        <v>923.293</v>
      </c>
      <c r="BQ26" s="22" t="n">
        <v>972.028</v>
      </c>
      <c r="BR26" s="22" t="n">
        <v>975.672</v>
      </c>
      <c r="BS26" s="22" t="n">
        <v>1041.661</v>
      </c>
      <c r="BT26" s="22" t="n">
        <v>1041.661</v>
      </c>
      <c r="BU26" s="22" t="n">
        <v>1112.814</v>
      </c>
      <c r="BV26" s="22" t="n">
        <v>1139.627</v>
      </c>
      <c r="BW26" s="22" t="n">
        <v>1258.857</v>
      </c>
      <c r="BX26" s="22" t="n">
        <v>1256.839</v>
      </c>
      <c r="BY26" s="22" t="n">
        <v>1256.839</v>
      </c>
    </row>
    <row r="27">
      <c r="B27" s="18" t="inlineStr">
        <is>
          <t xml:space="preserve">  Goodwill</t>
        </is>
      </c>
      <c r="AE27" s="22" t="n">
        <v>80.292</v>
      </c>
      <c r="AF27" s="22" t="n">
        <v>80.292</v>
      </c>
      <c r="AG27" s="22" t="n">
        <v>75.187</v>
      </c>
      <c r="AH27" s="22" t="n">
        <v>76.961</v>
      </c>
      <c r="AI27" s="22" t="n">
        <v>78.571</v>
      </c>
      <c r="AJ27" s="22" t="n">
        <v>81.081</v>
      </c>
      <c r="AK27" s="22" t="n">
        <v>81.081</v>
      </c>
      <c r="AL27" s="22" t="n">
        <v>81.128</v>
      </c>
      <c r="AM27" s="22" t="n">
        <v>86.60299999999999</v>
      </c>
      <c r="AN27" s="22" t="n">
        <v>84.563</v>
      </c>
      <c r="AO27" s="22" t="n">
        <v>80.801</v>
      </c>
      <c r="AP27" s="22" t="n">
        <v>80.801</v>
      </c>
      <c r="AQ27" s="22" t="n">
        <v>78.68600000000001</v>
      </c>
      <c r="AR27" s="22" t="n">
        <v>81.611</v>
      </c>
      <c r="AS27" s="22" t="n">
        <v>80.72799999999999</v>
      </c>
      <c r="AT27" s="22" t="n">
        <v>76.32299999999999</v>
      </c>
      <c r="AU27" s="22" t="n">
        <v>76.32299999999999</v>
      </c>
      <c r="AV27" s="22" t="n">
        <v>80.181</v>
      </c>
      <c r="AW27" s="22" t="n">
        <v>81.264</v>
      </c>
      <c r="AX27" s="22" t="n">
        <v>77.369</v>
      </c>
      <c r="AY27" s="22" t="n">
        <v>81.199</v>
      </c>
      <c r="AZ27" s="22" t="n">
        <v>81.199</v>
      </c>
      <c r="BA27" s="22" t="n">
        <v>80.15300000000001</v>
      </c>
      <c r="BB27" s="22" t="n">
        <v>84.54300000000001</v>
      </c>
      <c r="BC27" s="22" t="n">
        <v>85.092</v>
      </c>
      <c r="BD27" s="22" t="n">
        <v>85.41200000000001</v>
      </c>
      <c r="BE27" s="22" t="n">
        <v>85.41200000000001</v>
      </c>
      <c r="BF27" s="22" t="n">
        <v>83.79300000000001</v>
      </c>
      <c r="BG27" s="22" t="n">
        <v>82.551</v>
      </c>
      <c r="BH27" s="22" t="n">
        <v>77.642</v>
      </c>
      <c r="BI27" s="22" t="n">
        <v>131.685</v>
      </c>
      <c r="BJ27" s="22" t="n">
        <v>131.685</v>
      </c>
      <c r="BK27" s="22" t="n">
        <v>124.575</v>
      </c>
      <c r="BL27" s="22" t="n">
        <v>133.777</v>
      </c>
      <c r="BM27" s="22" t="n">
        <v>136.371</v>
      </c>
      <c r="BN27" s="22" t="n">
        <v>124.02</v>
      </c>
      <c r="BO27" s="22" t="n">
        <v>124.02</v>
      </c>
      <c r="BP27" s="22" t="n">
        <v>117.597</v>
      </c>
      <c r="BQ27" s="22" t="n">
        <v>122.356</v>
      </c>
      <c r="BR27" s="22" t="n">
        <v>120.469</v>
      </c>
      <c r="BS27" s="22" t="n">
        <v>123.488</v>
      </c>
      <c r="BT27" s="22" t="n">
        <v>123.488</v>
      </c>
      <c r="BU27" s="22" t="n">
        <v>124.061</v>
      </c>
      <c r="BV27" s="22" t="n">
        <v>119.249</v>
      </c>
      <c r="BW27" s="22" t="n">
        <v>128.179</v>
      </c>
      <c r="BX27" s="22" t="n">
        <v>127.357</v>
      </c>
      <c r="BY27" s="22" t="n">
        <v>127.357</v>
      </c>
    </row>
    <row r="29">
      <c r="B29" s="20" t="inlineStr">
        <is>
          <t>Group total (consolidated segments)</t>
        </is>
      </c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  <c r="AR29" s="21" t="n"/>
      <c r="AS29" s="21" t="n"/>
      <c r="AT29" s="21" t="n"/>
      <c r="AU29" s="21" t="n"/>
      <c r="AV29" s="21" t="n"/>
      <c r="AW29" s="21" t="n"/>
      <c r="AX29" s="21" t="n"/>
      <c r="AY29" s="21" t="n"/>
      <c r="AZ29" s="21" t="n"/>
      <c r="BA29" s="21" t="n"/>
      <c r="BB29" s="21" t="n"/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1" t="n"/>
      <c r="BL29" s="21" t="n"/>
      <c r="BM29" s="21" t="n"/>
      <c r="BN29" s="21" t="n"/>
      <c r="BO29" s="21" t="n"/>
      <c r="BP29" s="21" t="n"/>
      <c r="BQ29" s="21" t="n"/>
      <c r="BR29" s="21" t="n"/>
      <c r="BS29" s="21" t="n"/>
      <c r="BT29" s="21" t="n"/>
      <c r="BU29" s="21" t="n"/>
      <c r="BV29" s="21" t="n"/>
      <c r="BW29" s="21" t="n"/>
      <c r="BX29" s="21" t="n"/>
      <c r="BY29" s="21" t="n"/>
      <c r="BZ29" s="21" t="n"/>
      <c r="CA29" s="21" t="n"/>
      <c r="CB29" s="21" t="n"/>
      <c r="CC29" s="21" t="n"/>
      <c r="CD29" s="21" t="n"/>
      <c r="CE29" s="21" t="n"/>
      <c r="CF29" s="21" t="n"/>
      <c r="CG29" s="21" t="n"/>
      <c r="CH29" s="21" t="n"/>
    </row>
    <row r="30">
      <c r="B30" s="30" t="inlineStr">
        <is>
          <t xml:space="preserve">  Revenue</t>
        </is>
      </c>
      <c r="C30" s="31">
        <f>C10+C20</f>
        <v/>
      </c>
      <c r="D30" s="31">
        <f>D10+D20</f>
        <v/>
      </c>
      <c r="E30" s="31">
        <f>E10+E20</f>
        <v/>
      </c>
      <c r="F30" s="31">
        <f>F10+F20</f>
        <v/>
      </c>
      <c r="G30" s="31">
        <f>G10+G20</f>
        <v/>
      </c>
      <c r="H30" s="31">
        <f>H10+H20</f>
        <v/>
      </c>
      <c r="I30" s="31">
        <f>I10+I20</f>
        <v/>
      </c>
      <c r="J30" s="31">
        <f>J10+J20</f>
        <v/>
      </c>
      <c r="K30" s="31">
        <f>K10+K20</f>
        <v/>
      </c>
      <c r="L30" s="31">
        <f>L10+L20</f>
        <v/>
      </c>
      <c r="M30" s="31">
        <f>M10+M20</f>
        <v/>
      </c>
      <c r="N30" s="31">
        <f>N10+N20</f>
        <v/>
      </c>
      <c r="O30" s="31">
        <f>O10+O20</f>
        <v/>
      </c>
      <c r="P30" s="31">
        <f>P10+P20</f>
        <v/>
      </c>
      <c r="Q30" s="31">
        <f>Q10+Q20</f>
        <v/>
      </c>
      <c r="R30" s="31">
        <f>R10+R20</f>
        <v/>
      </c>
      <c r="S30" s="31">
        <f>S10+S20</f>
        <v/>
      </c>
      <c r="T30" s="31">
        <f>T10+T20</f>
        <v/>
      </c>
      <c r="U30" s="31">
        <f>U10+U20</f>
        <v/>
      </c>
      <c r="V30" s="31">
        <f>V10+V20</f>
        <v/>
      </c>
      <c r="W30" s="31">
        <f>W10+W20</f>
        <v/>
      </c>
      <c r="X30" s="31">
        <f>X10+X20</f>
        <v/>
      </c>
      <c r="Y30" s="31">
        <f>Y10+Y20</f>
        <v/>
      </c>
      <c r="Z30" s="31">
        <f>Z10+Z20</f>
        <v/>
      </c>
      <c r="AA30" s="31">
        <f>AA10+AA20</f>
        <v/>
      </c>
      <c r="AB30" s="31">
        <f>AB10+AB20</f>
        <v/>
      </c>
      <c r="AC30" s="31">
        <f>AC10+AC20</f>
        <v/>
      </c>
      <c r="AD30" s="31">
        <f>AD10+AD20</f>
        <v/>
      </c>
      <c r="AE30" s="31">
        <f>AE10+AE20</f>
        <v/>
      </c>
      <c r="AF30" s="31">
        <f>AF10+AF20</f>
        <v/>
      </c>
      <c r="AG30" s="31">
        <f>AG10+AG20</f>
        <v/>
      </c>
      <c r="AH30" s="31">
        <f>AH10+AH20</f>
        <v/>
      </c>
      <c r="AI30" s="31">
        <f>AI10+AI20</f>
        <v/>
      </c>
      <c r="AJ30" s="31">
        <f>AJ10+AJ20</f>
        <v/>
      </c>
      <c r="AK30" s="31">
        <f>AK10+AK20</f>
        <v/>
      </c>
      <c r="AL30" s="31">
        <f>AL10+AL20</f>
        <v/>
      </c>
      <c r="AM30" s="31">
        <f>AM10+AM20</f>
        <v/>
      </c>
      <c r="AN30" s="31">
        <f>AN10+AN20</f>
        <v/>
      </c>
      <c r="AO30" s="31">
        <f>AO10+AO20</f>
        <v/>
      </c>
      <c r="AP30" s="31">
        <f>AP10+AP20</f>
        <v/>
      </c>
      <c r="AQ30" s="31">
        <f>AQ10+AQ20</f>
        <v/>
      </c>
      <c r="AR30" s="31">
        <f>AR10+AR20</f>
        <v/>
      </c>
      <c r="AS30" s="31">
        <f>AS10+AS20</f>
        <v/>
      </c>
      <c r="AT30" s="31">
        <f>AT10+AT20</f>
        <v/>
      </c>
      <c r="AU30" s="31">
        <f>AU10+AU20</f>
        <v/>
      </c>
      <c r="AV30" s="31">
        <f>AV10+AV20</f>
        <v/>
      </c>
      <c r="AW30" s="31">
        <f>AW10+AW20</f>
        <v/>
      </c>
      <c r="AX30" s="31">
        <f>AX10+AX20</f>
        <v/>
      </c>
      <c r="AY30" s="31">
        <f>AY10+AY20</f>
        <v/>
      </c>
      <c r="AZ30" s="31">
        <f>AZ10+AZ20</f>
        <v/>
      </c>
      <c r="BA30" s="31">
        <f>BA10+BA20</f>
        <v/>
      </c>
      <c r="BB30" s="31">
        <f>BB10+BB20</f>
        <v/>
      </c>
      <c r="BC30" s="31">
        <f>BC10+BC20</f>
        <v/>
      </c>
      <c r="BD30" s="31">
        <f>BD10+BD20</f>
        <v/>
      </c>
      <c r="BE30" s="31">
        <f>BE10+BE20</f>
        <v/>
      </c>
      <c r="BF30" s="31">
        <f>BF10+BF20</f>
        <v/>
      </c>
      <c r="BG30" s="31">
        <f>BG10+BG20</f>
        <v/>
      </c>
      <c r="BH30" s="31">
        <f>BH10+BH20</f>
        <v/>
      </c>
      <c r="BI30" s="31">
        <f>BI10+BI20</f>
        <v/>
      </c>
      <c r="BJ30" s="31">
        <f>BJ10+BJ20</f>
        <v/>
      </c>
      <c r="BK30" s="31">
        <f>BK10+BK20</f>
        <v/>
      </c>
      <c r="BL30" s="31">
        <f>BL10+BL20</f>
        <v/>
      </c>
      <c r="BM30" s="31">
        <f>BM10+BM20</f>
        <v/>
      </c>
      <c r="BN30" s="31">
        <f>BN10+BN20</f>
        <v/>
      </c>
      <c r="BO30" s="31">
        <f>BO10+BO20</f>
        <v/>
      </c>
      <c r="BP30" s="31">
        <f>BP10+BP20</f>
        <v/>
      </c>
      <c r="BQ30" s="31">
        <f>BQ10+BQ20</f>
        <v/>
      </c>
      <c r="BR30" s="31">
        <f>BR10+BR20</f>
        <v/>
      </c>
      <c r="BS30" s="31">
        <f>BS10+BS20</f>
        <v/>
      </c>
      <c r="BT30" s="31">
        <f>BT10+BT20</f>
        <v/>
      </c>
      <c r="BU30" s="31">
        <f>BU10+BU20</f>
        <v/>
      </c>
      <c r="BV30" s="31">
        <f>BV10+BV20</f>
        <v/>
      </c>
      <c r="BW30" s="31">
        <f>BW10+BW20</f>
        <v/>
      </c>
      <c r="BX30" s="31">
        <f>BX10+BX20</f>
        <v/>
      </c>
      <c r="BY30" s="31">
        <f>BY10+BY20</f>
        <v/>
      </c>
      <c r="BZ30" s="32">
        <f>BZ10+BZ20</f>
        <v/>
      </c>
      <c r="CA30" s="32">
        <f>CA10+CA20</f>
        <v/>
      </c>
      <c r="CB30" s="32">
        <f>CB10+CB20</f>
        <v/>
      </c>
      <c r="CC30" s="32">
        <f>CC10+CC20</f>
        <v/>
      </c>
      <c r="CD30" s="32">
        <f>CD10+CD20</f>
        <v/>
      </c>
      <c r="CF30" s="24">
        <f>IFERROR((CD30/BY30)^(1/5)-1,"n/m")</f>
        <v/>
      </c>
      <c r="CG30" s="24">
        <f>IFERROR((BY30/AZ30)^(1/5)-1,"n/m")</f>
        <v/>
      </c>
      <c r="CH30" s="24">
        <f>IFERROR((BY30/G30)^(1/14)-1,"n/m")</f>
        <v/>
      </c>
    </row>
    <row r="31">
      <c r="B31" s="30" t="inlineStr">
        <is>
          <t xml:space="preserve">  Operating income</t>
        </is>
      </c>
      <c r="C31" s="31">
        <f>C11+C21</f>
        <v/>
      </c>
      <c r="D31" s="31">
        <f>D11+D21</f>
        <v/>
      </c>
      <c r="E31" s="31">
        <f>E11+E21</f>
        <v/>
      </c>
      <c r="F31" s="31">
        <f>F11+F21</f>
        <v/>
      </c>
      <c r="G31" s="31">
        <f>G11+G21</f>
        <v/>
      </c>
      <c r="H31" s="31">
        <f>H11+H21</f>
        <v/>
      </c>
      <c r="I31" s="31">
        <f>I11+I21</f>
        <v/>
      </c>
      <c r="J31" s="31">
        <f>J11+J21</f>
        <v/>
      </c>
      <c r="K31" s="31">
        <f>K11+K21</f>
        <v/>
      </c>
      <c r="L31" s="31">
        <f>L11+L21</f>
        <v/>
      </c>
      <c r="M31" s="31">
        <f>M11+M21</f>
        <v/>
      </c>
      <c r="N31" s="31">
        <f>N11+N21</f>
        <v/>
      </c>
      <c r="O31" s="31">
        <f>O11+O21</f>
        <v/>
      </c>
      <c r="P31" s="31">
        <f>P11+P21</f>
        <v/>
      </c>
      <c r="Q31" s="31">
        <f>Q11+Q21</f>
        <v/>
      </c>
      <c r="R31" s="31">
        <f>R11+R21</f>
        <v/>
      </c>
      <c r="S31" s="31">
        <f>S11+S21</f>
        <v/>
      </c>
      <c r="T31" s="31">
        <f>T11+T21</f>
        <v/>
      </c>
      <c r="U31" s="31">
        <f>U11+U21</f>
        <v/>
      </c>
      <c r="V31" s="31">
        <f>V11+V21</f>
        <v/>
      </c>
      <c r="W31" s="31">
        <f>W11+W21</f>
        <v/>
      </c>
      <c r="X31" s="31">
        <f>X11+X21</f>
        <v/>
      </c>
      <c r="Y31" s="31">
        <f>Y11+Y21</f>
        <v/>
      </c>
      <c r="Z31" s="31">
        <f>Z11+Z21</f>
        <v/>
      </c>
      <c r="AA31" s="31">
        <f>AA11+AA21</f>
        <v/>
      </c>
      <c r="AB31" s="31">
        <f>AB11+AB21</f>
        <v/>
      </c>
      <c r="AC31" s="31">
        <f>AC11+AC21</f>
        <v/>
      </c>
      <c r="AD31" s="31">
        <f>AD11+AD21</f>
        <v/>
      </c>
      <c r="AE31" s="31">
        <f>AE11+AE21</f>
        <v/>
      </c>
      <c r="AF31" s="31">
        <f>AF11+AF21</f>
        <v/>
      </c>
      <c r="AG31" s="31">
        <f>AG11+AG21</f>
        <v/>
      </c>
      <c r="AH31" s="31">
        <f>AH11+AH21</f>
        <v/>
      </c>
      <c r="AI31" s="31">
        <f>AI11+AI21</f>
        <v/>
      </c>
      <c r="AJ31" s="31">
        <f>AJ11+AJ21</f>
        <v/>
      </c>
      <c r="AK31" s="31">
        <f>AK11+AK21</f>
        <v/>
      </c>
      <c r="AL31" s="31">
        <f>AL11+AL21</f>
        <v/>
      </c>
      <c r="AM31" s="31">
        <f>AM11+AM21</f>
        <v/>
      </c>
      <c r="AN31" s="31">
        <f>AN11+AN21</f>
        <v/>
      </c>
      <c r="AO31" s="31">
        <f>AO11+AO21</f>
        <v/>
      </c>
      <c r="AP31" s="31">
        <f>AP11+AP21</f>
        <v/>
      </c>
      <c r="AQ31" s="31">
        <f>AQ11+AQ21</f>
        <v/>
      </c>
      <c r="AR31" s="31">
        <f>AR11+AR21</f>
        <v/>
      </c>
      <c r="AS31" s="31">
        <f>AS11+AS21</f>
        <v/>
      </c>
      <c r="AT31" s="31">
        <f>AT11+AT21</f>
        <v/>
      </c>
      <c r="AU31" s="31">
        <f>AU11+AU21</f>
        <v/>
      </c>
      <c r="AV31" s="31">
        <f>AV11+AV21</f>
        <v/>
      </c>
      <c r="AW31" s="31">
        <f>AW11+AW21</f>
        <v/>
      </c>
      <c r="AX31" s="31">
        <f>AX11+AX21</f>
        <v/>
      </c>
      <c r="AY31" s="31">
        <f>AY11+AY21</f>
        <v/>
      </c>
      <c r="AZ31" s="31">
        <f>AZ11+AZ21</f>
        <v/>
      </c>
      <c r="BA31" s="31">
        <f>BA11+BA21</f>
        <v/>
      </c>
      <c r="BB31" s="31">
        <f>BB11+BB21</f>
        <v/>
      </c>
      <c r="BC31" s="31">
        <f>BC11+BC21</f>
        <v/>
      </c>
      <c r="BD31" s="31">
        <f>BD11+BD21</f>
        <v/>
      </c>
      <c r="BE31" s="31">
        <f>BE11+BE21</f>
        <v/>
      </c>
      <c r="BF31" s="31">
        <f>BF11+BF21</f>
        <v/>
      </c>
      <c r="BG31" s="31">
        <f>BG11+BG21</f>
        <v/>
      </c>
      <c r="BH31" s="31">
        <f>BH11+BH21</f>
        <v/>
      </c>
      <c r="BI31" s="31">
        <f>BI11+BI21</f>
        <v/>
      </c>
      <c r="BJ31" s="31">
        <f>BJ11+BJ21</f>
        <v/>
      </c>
      <c r="BK31" s="31">
        <f>BK11+BK21</f>
        <v/>
      </c>
      <c r="BL31" s="31">
        <f>BL11+BL21</f>
        <v/>
      </c>
      <c r="BM31" s="31">
        <f>BM11+BM21</f>
        <v/>
      </c>
      <c r="BN31" s="31">
        <f>BN11+BN21</f>
        <v/>
      </c>
      <c r="BO31" s="31">
        <f>BO11+BO21</f>
        <v/>
      </c>
      <c r="BP31" s="31">
        <f>BP11+BP21</f>
        <v/>
      </c>
      <c r="BQ31" s="31">
        <f>BQ11+BQ21</f>
        <v/>
      </c>
      <c r="BR31" s="31">
        <f>BR11+BR21</f>
        <v/>
      </c>
      <c r="BS31" s="31">
        <f>BS11+BS21</f>
        <v/>
      </c>
      <c r="BT31" s="31">
        <f>BT11+BT21</f>
        <v/>
      </c>
      <c r="BU31" s="31">
        <f>BU11+BU21</f>
        <v/>
      </c>
      <c r="BV31" s="31">
        <f>BV11+BV21</f>
        <v/>
      </c>
      <c r="BW31" s="31">
        <f>BW11+BW21</f>
        <v/>
      </c>
      <c r="BX31" s="31">
        <f>BX11+BX21</f>
        <v/>
      </c>
      <c r="BY31" s="31">
        <f>BY11+BY21</f>
        <v/>
      </c>
      <c r="BZ31" s="32">
        <f>BZ11+BZ21</f>
        <v/>
      </c>
      <c r="CA31" s="32">
        <f>CA11+CA21</f>
        <v/>
      </c>
      <c r="CB31" s="32">
        <f>CB11+CB21</f>
        <v/>
      </c>
      <c r="CC31" s="32">
        <f>CC11+CC21</f>
        <v/>
      </c>
      <c r="CD31" s="32">
        <f>CD11+CD21</f>
        <v/>
      </c>
      <c r="CF31" s="24">
        <f>IFERROR((CD31/BY31)^(1/5)-1,"n/m")</f>
        <v/>
      </c>
      <c r="CG31" s="24">
        <f>IFERROR((BY31/AZ31)^(1/5)-1,"n/m")</f>
        <v/>
      </c>
      <c r="CH31" s="24">
        <f>IFERROR((BY31/G31)^(1/14)-1,"n/m")</f>
        <v/>
      </c>
    </row>
    <row r="32">
      <c r="B32" s="18" t="inlineStr">
        <is>
          <t xml:space="preserve">  Operating margin %</t>
        </is>
      </c>
      <c r="C32" s="27">
        <f>IFERROR(C31/C30,"")</f>
        <v/>
      </c>
      <c r="D32" s="27">
        <f>IFERROR(D31/D30,"")</f>
        <v/>
      </c>
      <c r="E32" s="27">
        <f>IFERROR(E31/E30,"")</f>
        <v/>
      </c>
      <c r="F32" s="27">
        <f>IFERROR(F31/F30,"")</f>
        <v/>
      </c>
      <c r="G32" s="27">
        <f>IFERROR(G31/G30,"")</f>
        <v/>
      </c>
      <c r="H32" s="27">
        <f>IFERROR(H31/H30,"")</f>
        <v/>
      </c>
      <c r="I32" s="27">
        <f>IFERROR(I31/I30,"")</f>
        <v/>
      </c>
      <c r="J32" s="27">
        <f>IFERROR(J31/J30,"")</f>
        <v/>
      </c>
      <c r="K32" s="27">
        <f>IFERROR(K31/K30,"")</f>
        <v/>
      </c>
      <c r="L32" s="27">
        <f>IFERROR(L31/L30,"")</f>
        <v/>
      </c>
      <c r="M32" s="27">
        <f>IFERROR(M31/M30,"")</f>
        <v/>
      </c>
      <c r="N32" s="27">
        <f>IFERROR(N31/N30,"")</f>
        <v/>
      </c>
      <c r="O32" s="27">
        <f>IFERROR(O31/O30,"")</f>
        <v/>
      </c>
      <c r="P32" s="27">
        <f>IFERROR(P31/P30,"")</f>
        <v/>
      </c>
      <c r="Q32" s="27">
        <f>IFERROR(Q31/Q30,"")</f>
        <v/>
      </c>
      <c r="R32" s="27">
        <f>IFERROR(R31/R30,"")</f>
        <v/>
      </c>
      <c r="S32" s="27">
        <f>IFERROR(S31/S30,"")</f>
        <v/>
      </c>
      <c r="T32" s="27">
        <f>IFERROR(T31/T30,"")</f>
        <v/>
      </c>
      <c r="U32" s="27">
        <f>IFERROR(U31/U30,"")</f>
        <v/>
      </c>
      <c r="V32" s="27">
        <f>IFERROR(V31/V30,"")</f>
        <v/>
      </c>
      <c r="W32" s="27">
        <f>IFERROR(W31/W30,"")</f>
        <v/>
      </c>
      <c r="X32" s="27">
        <f>IFERROR(X31/X30,"")</f>
        <v/>
      </c>
      <c r="Y32" s="27">
        <f>IFERROR(Y31/Y30,"")</f>
        <v/>
      </c>
      <c r="Z32" s="27">
        <f>IFERROR(Z31/Z30,"")</f>
        <v/>
      </c>
      <c r="AA32" s="27">
        <f>IFERROR(AA31/AA30,"")</f>
        <v/>
      </c>
      <c r="AB32" s="27">
        <f>IFERROR(AB31/AB30,"")</f>
        <v/>
      </c>
      <c r="AC32" s="27">
        <f>IFERROR(AC31/AC30,"")</f>
        <v/>
      </c>
      <c r="AD32" s="27">
        <f>IFERROR(AD31/AD30,"")</f>
        <v/>
      </c>
      <c r="AE32" s="27">
        <f>IFERROR(AE31/AE30,"")</f>
        <v/>
      </c>
      <c r="AF32" s="27">
        <f>IFERROR(AF31/AF30,"")</f>
        <v/>
      </c>
      <c r="AG32" s="27">
        <f>IFERROR(AG31/AG30,"")</f>
        <v/>
      </c>
      <c r="AH32" s="27">
        <f>IFERROR(AH31/AH30,"")</f>
        <v/>
      </c>
      <c r="AI32" s="27">
        <f>IFERROR(AI31/AI30,"")</f>
        <v/>
      </c>
      <c r="AJ32" s="27">
        <f>IFERROR(AJ31/AJ30,"")</f>
        <v/>
      </c>
      <c r="AK32" s="27">
        <f>IFERROR(AK31/AK30,"")</f>
        <v/>
      </c>
      <c r="AL32" s="27">
        <f>IFERROR(AL31/AL30,"")</f>
        <v/>
      </c>
      <c r="AM32" s="27">
        <f>IFERROR(AM31/AM30,"")</f>
        <v/>
      </c>
      <c r="AN32" s="27">
        <f>IFERROR(AN31/AN30,"")</f>
        <v/>
      </c>
      <c r="AO32" s="27">
        <f>IFERROR(AO31/AO30,"")</f>
        <v/>
      </c>
      <c r="AP32" s="27">
        <f>IFERROR(AP31/AP30,"")</f>
        <v/>
      </c>
      <c r="AQ32" s="27">
        <f>IFERROR(AQ31/AQ30,"")</f>
        <v/>
      </c>
      <c r="AR32" s="27">
        <f>IFERROR(AR31/AR30,"")</f>
        <v/>
      </c>
      <c r="AS32" s="27">
        <f>IFERROR(AS31/AS30,"")</f>
        <v/>
      </c>
      <c r="AT32" s="27">
        <f>IFERROR(AT31/AT30,"")</f>
        <v/>
      </c>
      <c r="AU32" s="27">
        <f>IFERROR(AU31/AU30,"")</f>
        <v/>
      </c>
      <c r="AV32" s="27">
        <f>IFERROR(AV31/AV30,"")</f>
        <v/>
      </c>
      <c r="AW32" s="27">
        <f>IFERROR(AW31/AW30,"")</f>
        <v/>
      </c>
      <c r="AX32" s="27">
        <f>IFERROR(AX31/AX30,"")</f>
        <v/>
      </c>
      <c r="AY32" s="27">
        <f>IFERROR(AY31/AY30,"")</f>
        <v/>
      </c>
      <c r="AZ32" s="27">
        <f>IFERROR(AZ31/AZ30,"")</f>
        <v/>
      </c>
      <c r="BA32" s="27">
        <f>IFERROR(BA31/BA30,"")</f>
        <v/>
      </c>
      <c r="BB32" s="27">
        <f>IFERROR(BB31/BB30,"")</f>
        <v/>
      </c>
      <c r="BC32" s="27">
        <f>IFERROR(BC31/BC30,"")</f>
        <v/>
      </c>
      <c r="BD32" s="27">
        <f>IFERROR(BD31/BD30,"")</f>
        <v/>
      </c>
      <c r="BE32" s="27">
        <f>IFERROR(BE31/BE30,"")</f>
        <v/>
      </c>
      <c r="BF32" s="27">
        <f>IFERROR(BF31/BF30,"")</f>
        <v/>
      </c>
      <c r="BG32" s="27">
        <f>IFERROR(BG31/BG30,"")</f>
        <v/>
      </c>
      <c r="BH32" s="27">
        <f>IFERROR(BH31/BH30,"")</f>
        <v/>
      </c>
      <c r="BI32" s="27">
        <f>IFERROR(BI31/BI30,"")</f>
        <v/>
      </c>
      <c r="BJ32" s="27">
        <f>IFERROR(BJ31/BJ30,"")</f>
        <v/>
      </c>
      <c r="BK32" s="27">
        <f>IFERROR(BK31/BK30,"")</f>
        <v/>
      </c>
      <c r="BL32" s="27">
        <f>IFERROR(BL31/BL30,"")</f>
        <v/>
      </c>
      <c r="BM32" s="27">
        <f>IFERROR(BM31/BM30,"")</f>
        <v/>
      </c>
      <c r="BN32" s="27">
        <f>IFERROR(BN31/BN30,"")</f>
        <v/>
      </c>
      <c r="BO32" s="27">
        <f>IFERROR(BO31/BO30,"")</f>
        <v/>
      </c>
      <c r="BP32" s="27">
        <f>IFERROR(BP31/BP30,"")</f>
        <v/>
      </c>
      <c r="BQ32" s="27">
        <f>IFERROR(BQ31/BQ30,"")</f>
        <v/>
      </c>
      <c r="BR32" s="27">
        <f>IFERROR(BR31/BR30,"")</f>
        <v/>
      </c>
      <c r="BS32" s="27">
        <f>IFERROR(BS31/BS30,"")</f>
        <v/>
      </c>
      <c r="BT32" s="27">
        <f>IFERROR(BT31/BT30,"")</f>
        <v/>
      </c>
      <c r="BU32" s="27">
        <f>IFERROR(BU31/BU30,"")</f>
        <v/>
      </c>
      <c r="BV32" s="27">
        <f>IFERROR(BV31/BV30,"")</f>
        <v/>
      </c>
      <c r="BW32" s="27">
        <f>IFERROR(BW31/BW30,"")</f>
        <v/>
      </c>
      <c r="BX32" s="27">
        <f>IFERROR(BX31/BX30,"")</f>
        <v/>
      </c>
      <c r="BY32" s="27">
        <f>IFERROR(BY31/BY30,"")</f>
        <v/>
      </c>
      <c r="BZ32" s="28">
        <f>IFERROR(BZ31/BZ30,"")</f>
        <v/>
      </c>
      <c r="CA32" s="28">
        <f>IFERROR(CA31/CA30,"")</f>
        <v/>
      </c>
      <c r="CB32" s="28">
        <f>IFERROR(CB31/CB30,"")</f>
        <v/>
      </c>
      <c r="CC32" s="28">
        <f>IFERROR(CC31/CC30,"")</f>
        <v/>
      </c>
      <c r="CD32" s="28">
        <f>IFERROR(CD31/CD30,"")</f>
        <v/>
      </c>
    </row>
    <row r="33">
      <c r="B33" s="20" t="inlineStr">
        <is>
          <t>Revenue mix %</t>
        </is>
      </c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  <c r="AR33" s="21" t="n"/>
      <c r="AS33" s="21" t="n"/>
      <c r="AT33" s="21" t="n"/>
      <c r="AU33" s="21" t="n"/>
      <c r="AV33" s="21" t="n"/>
      <c r="AW33" s="21" t="n"/>
      <c r="AX33" s="21" t="n"/>
      <c r="AY33" s="21" t="n"/>
      <c r="AZ33" s="21" t="n"/>
      <c r="BA33" s="21" t="n"/>
      <c r="BB33" s="21" t="n"/>
      <c r="BC33" s="21" t="n"/>
      <c r="BD33" s="21" t="n"/>
      <c r="BE33" s="21" t="n"/>
      <c r="BF33" s="21" t="n"/>
      <c r="BG33" s="21" t="n"/>
      <c r="BH33" s="21" t="n"/>
      <c r="BI33" s="21" t="n"/>
      <c r="BJ33" s="21" t="n"/>
      <c r="BK33" s="21" t="n"/>
      <c r="BL33" s="21" t="n"/>
      <c r="BM33" s="21" t="n"/>
      <c r="BN33" s="21" t="n"/>
      <c r="BO33" s="21" t="n"/>
      <c r="BP33" s="21" t="n"/>
      <c r="BQ33" s="21" t="n"/>
      <c r="BR33" s="21" t="n"/>
      <c r="BS33" s="21" t="n"/>
      <c r="BT33" s="21" t="n"/>
      <c r="BU33" s="21" t="n"/>
      <c r="BV33" s="21" t="n"/>
      <c r="BW33" s="21" t="n"/>
      <c r="BX33" s="21" t="n"/>
      <c r="BY33" s="21" t="n"/>
      <c r="BZ33" s="21" t="n"/>
      <c r="CA33" s="21" t="n"/>
      <c r="CB33" s="21" t="n"/>
      <c r="CC33" s="21" t="n"/>
      <c r="CD33" s="21" t="n"/>
      <c r="CE33" s="21" t="n"/>
      <c r="CF33" s="21" t="n"/>
      <c r="CG33" s="21" t="n"/>
      <c r="CH33" s="21" t="n"/>
    </row>
    <row r="34">
      <c r="B34" s="18" t="inlineStr">
        <is>
          <t xml:space="preserve">  United States</t>
        </is>
      </c>
      <c r="C34" s="27">
        <f>IFERROR(C10/C30,"")</f>
        <v/>
      </c>
      <c r="D34" s="27">
        <f>IFERROR(D10/D30,"")</f>
        <v/>
      </c>
      <c r="E34" s="27">
        <f>IFERROR(E10/E30,"")</f>
        <v/>
      </c>
      <c r="F34" s="27">
        <f>IFERROR(F10/F30,"")</f>
        <v/>
      </c>
      <c r="G34" s="27">
        <f>IFERROR(G10/G30,"")</f>
        <v/>
      </c>
      <c r="H34" s="27">
        <f>IFERROR(H10/H30,"")</f>
        <v/>
      </c>
      <c r="I34" s="27">
        <f>IFERROR(I10/I30,"")</f>
        <v/>
      </c>
      <c r="J34" s="27">
        <f>IFERROR(J10/J30,"")</f>
        <v/>
      </c>
      <c r="K34" s="27">
        <f>IFERROR(K10/K30,"")</f>
        <v/>
      </c>
      <c r="L34" s="27">
        <f>IFERROR(L10/L30,"")</f>
        <v/>
      </c>
      <c r="M34" s="27">
        <f>IFERROR(M10/M30,"")</f>
        <v/>
      </c>
      <c r="N34" s="27">
        <f>IFERROR(N10/N30,"")</f>
        <v/>
      </c>
      <c r="O34" s="27">
        <f>IFERROR(O10/O30,"")</f>
        <v/>
      </c>
      <c r="P34" s="27">
        <f>IFERROR(P10/P30,"")</f>
        <v/>
      </c>
      <c r="Q34" s="27">
        <f>IFERROR(Q10/Q30,"")</f>
        <v/>
      </c>
      <c r="R34" s="27">
        <f>IFERROR(R10/R30,"")</f>
        <v/>
      </c>
      <c r="S34" s="27">
        <f>IFERROR(S10/S30,"")</f>
        <v/>
      </c>
      <c r="T34" s="27">
        <f>IFERROR(T10/T30,"")</f>
        <v/>
      </c>
      <c r="U34" s="27">
        <f>IFERROR(U10/U30,"")</f>
        <v/>
      </c>
      <c r="V34" s="27">
        <f>IFERROR(V10/V30,"")</f>
        <v/>
      </c>
      <c r="W34" s="27">
        <f>IFERROR(W10/W30,"")</f>
        <v/>
      </c>
      <c r="X34" s="27">
        <f>IFERROR(X10/X30,"")</f>
        <v/>
      </c>
      <c r="Y34" s="27">
        <f>IFERROR(Y10/Y30,"")</f>
        <v/>
      </c>
      <c r="Z34" s="27">
        <f>IFERROR(Z10/Z30,"")</f>
        <v/>
      </c>
      <c r="AA34" s="27">
        <f>IFERROR(AA10/AA30,"")</f>
        <v/>
      </c>
      <c r="AB34" s="27">
        <f>IFERROR(AB10/AB30,"")</f>
        <v/>
      </c>
      <c r="AC34" s="27">
        <f>IFERROR(AC10/AC30,"")</f>
        <v/>
      </c>
      <c r="AD34" s="27">
        <f>IFERROR(AD10/AD30,"")</f>
        <v/>
      </c>
      <c r="AE34" s="27">
        <f>IFERROR(AE10/AE30,"")</f>
        <v/>
      </c>
      <c r="AF34" s="27">
        <f>IFERROR(AF10/AF30,"")</f>
        <v/>
      </c>
      <c r="AG34" s="27">
        <f>IFERROR(AG10/AG30,"")</f>
        <v/>
      </c>
      <c r="AH34" s="27">
        <f>IFERROR(AH10/AH30,"")</f>
        <v/>
      </c>
      <c r="AI34" s="27">
        <f>IFERROR(AI10/AI30,"")</f>
        <v/>
      </c>
      <c r="AJ34" s="27">
        <f>IFERROR(AJ10/AJ30,"")</f>
        <v/>
      </c>
      <c r="AK34" s="27">
        <f>IFERROR(AK10/AK30,"")</f>
        <v/>
      </c>
      <c r="AL34" s="27">
        <f>IFERROR(AL10/AL30,"")</f>
        <v/>
      </c>
      <c r="AM34" s="27">
        <f>IFERROR(AM10/AM30,"")</f>
        <v/>
      </c>
      <c r="AN34" s="27">
        <f>IFERROR(AN10/AN30,"")</f>
        <v/>
      </c>
      <c r="AO34" s="27">
        <f>IFERROR(AO10/AO30,"")</f>
        <v/>
      </c>
      <c r="AP34" s="27">
        <f>IFERROR(AP10/AP30,"")</f>
        <v/>
      </c>
      <c r="AQ34" s="27">
        <f>IFERROR(AQ10/AQ30,"")</f>
        <v/>
      </c>
      <c r="AR34" s="27">
        <f>IFERROR(AR10/AR30,"")</f>
        <v/>
      </c>
      <c r="AS34" s="27">
        <f>IFERROR(AS10/AS30,"")</f>
        <v/>
      </c>
      <c r="AT34" s="27">
        <f>IFERROR(AT10/AT30,"")</f>
        <v/>
      </c>
      <c r="AU34" s="27">
        <f>IFERROR(AU10/AU30,"")</f>
        <v/>
      </c>
      <c r="AV34" s="27">
        <f>IFERROR(AV10/AV30,"")</f>
        <v/>
      </c>
      <c r="AW34" s="27">
        <f>IFERROR(AW10/AW30,"")</f>
        <v/>
      </c>
      <c r="AX34" s="27">
        <f>IFERROR(AX10/AX30,"")</f>
        <v/>
      </c>
      <c r="AY34" s="27">
        <f>IFERROR(AY10/AY30,"")</f>
        <v/>
      </c>
      <c r="AZ34" s="27">
        <f>IFERROR(AZ10/AZ30,"")</f>
        <v/>
      </c>
      <c r="BA34" s="27">
        <f>IFERROR(BA10/BA30,"")</f>
        <v/>
      </c>
      <c r="BB34" s="27">
        <f>IFERROR(BB10/BB30,"")</f>
        <v/>
      </c>
      <c r="BC34" s="27">
        <f>IFERROR(BC10/BC30,"")</f>
        <v/>
      </c>
      <c r="BD34" s="27">
        <f>IFERROR(BD10/BD30,"")</f>
        <v/>
      </c>
      <c r="BE34" s="27">
        <f>IFERROR(BE10/BE30,"")</f>
        <v/>
      </c>
      <c r="BF34" s="27">
        <f>IFERROR(BF10/BF30,"")</f>
        <v/>
      </c>
      <c r="BG34" s="27">
        <f>IFERROR(BG10/BG30,"")</f>
        <v/>
      </c>
      <c r="BH34" s="27">
        <f>IFERROR(BH10/BH30,"")</f>
        <v/>
      </c>
      <c r="BI34" s="27">
        <f>IFERROR(BI10/BI30,"")</f>
        <v/>
      </c>
      <c r="BJ34" s="27">
        <f>IFERROR(BJ10/BJ30,"")</f>
        <v/>
      </c>
      <c r="BK34" s="27">
        <f>IFERROR(BK10/BK30,"")</f>
        <v/>
      </c>
      <c r="BL34" s="27">
        <f>IFERROR(BL10/BL30,"")</f>
        <v/>
      </c>
      <c r="BM34" s="27">
        <f>IFERROR(BM10/BM30,"")</f>
        <v/>
      </c>
      <c r="BN34" s="27">
        <f>IFERROR(BN10/BN30,"")</f>
        <v/>
      </c>
      <c r="BO34" s="27">
        <f>IFERROR(BO10/BO30,"")</f>
        <v/>
      </c>
      <c r="BP34" s="27">
        <f>IFERROR(BP10/BP30,"")</f>
        <v/>
      </c>
      <c r="BQ34" s="27">
        <f>IFERROR(BQ10/BQ30,"")</f>
        <v/>
      </c>
      <c r="BR34" s="27">
        <f>IFERROR(BR10/BR30,"")</f>
        <v/>
      </c>
      <c r="BS34" s="27">
        <f>IFERROR(BS10/BS30,"")</f>
        <v/>
      </c>
      <c r="BT34" s="27">
        <f>IFERROR(BT10/BT30,"")</f>
        <v/>
      </c>
      <c r="BU34" s="27">
        <f>IFERROR(BU10/BU30,"")</f>
        <v/>
      </c>
      <c r="BV34" s="27">
        <f>IFERROR(BV10/BV30,"")</f>
        <v/>
      </c>
      <c r="BW34" s="27">
        <f>IFERROR(BW10/BW30,"")</f>
        <v/>
      </c>
      <c r="BX34" s="27">
        <f>IFERROR(BX10/BX30,"")</f>
        <v/>
      </c>
      <c r="BY34" s="27">
        <f>IFERROR(BY10/BY30,"")</f>
        <v/>
      </c>
      <c r="BZ34" s="28">
        <f>IFERROR(BZ10/BZ30,"")</f>
        <v/>
      </c>
      <c r="CA34" s="28">
        <f>IFERROR(CA10/CA30,"")</f>
        <v/>
      </c>
      <c r="CB34" s="28">
        <f>IFERROR(CB10/CB30,"")</f>
        <v/>
      </c>
      <c r="CC34" s="28">
        <f>IFERROR(CC10/CC30,"")</f>
        <v/>
      </c>
      <c r="CD34" s="28">
        <f>IFERROR(CD10/CD30,"")</f>
        <v/>
      </c>
    </row>
    <row r="35">
      <c r="B35" s="18" t="inlineStr">
        <is>
          <t xml:space="preserve">  International</t>
        </is>
      </c>
      <c r="C35" s="27">
        <f>IFERROR(C20/C30,"")</f>
        <v/>
      </c>
      <c r="D35" s="27">
        <f>IFERROR(D20/D30,"")</f>
        <v/>
      </c>
      <c r="E35" s="27">
        <f>IFERROR(E20/E30,"")</f>
        <v/>
      </c>
      <c r="F35" s="27">
        <f>IFERROR(F20/F30,"")</f>
        <v/>
      </c>
      <c r="G35" s="27">
        <f>IFERROR(G20/G30,"")</f>
        <v/>
      </c>
      <c r="H35" s="27">
        <f>IFERROR(H20/H30,"")</f>
        <v/>
      </c>
      <c r="I35" s="27">
        <f>IFERROR(I20/I30,"")</f>
        <v/>
      </c>
      <c r="J35" s="27">
        <f>IFERROR(J20/J30,"")</f>
        <v/>
      </c>
      <c r="K35" s="27">
        <f>IFERROR(K20/K30,"")</f>
        <v/>
      </c>
      <c r="L35" s="27">
        <f>IFERROR(L20/L30,"")</f>
        <v/>
      </c>
      <c r="M35" s="27">
        <f>IFERROR(M20/M30,"")</f>
        <v/>
      </c>
      <c r="N35" s="27">
        <f>IFERROR(N20/N30,"")</f>
        <v/>
      </c>
      <c r="O35" s="27">
        <f>IFERROR(O20/O30,"")</f>
        <v/>
      </c>
      <c r="P35" s="27">
        <f>IFERROR(P20/P30,"")</f>
        <v/>
      </c>
      <c r="Q35" s="27">
        <f>IFERROR(Q20/Q30,"")</f>
        <v/>
      </c>
      <c r="R35" s="27">
        <f>IFERROR(R20/R30,"")</f>
        <v/>
      </c>
      <c r="S35" s="27">
        <f>IFERROR(S20/S30,"")</f>
        <v/>
      </c>
      <c r="T35" s="27">
        <f>IFERROR(T20/T30,"")</f>
        <v/>
      </c>
      <c r="U35" s="27">
        <f>IFERROR(U20/U30,"")</f>
        <v/>
      </c>
      <c r="V35" s="27">
        <f>IFERROR(V20/V30,"")</f>
        <v/>
      </c>
      <c r="W35" s="27">
        <f>IFERROR(W20/W30,"")</f>
        <v/>
      </c>
      <c r="X35" s="27">
        <f>IFERROR(X20/X30,"")</f>
        <v/>
      </c>
      <c r="Y35" s="27">
        <f>IFERROR(Y20/Y30,"")</f>
        <v/>
      </c>
      <c r="Z35" s="27">
        <f>IFERROR(Z20/Z30,"")</f>
        <v/>
      </c>
      <c r="AA35" s="27">
        <f>IFERROR(AA20/AA30,"")</f>
        <v/>
      </c>
      <c r="AB35" s="27">
        <f>IFERROR(AB20/AB30,"")</f>
        <v/>
      </c>
      <c r="AC35" s="27">
        <f>IFERROR(AC20/AC30,"")</f>
        <v/>
      </c>
      <c r="AD35" s="27">
        <f>IFERROR(AD20/AD30,"")</f>
        <v/>
      </c>
      <c r="AE35" s="27">
        <f>IFERROR(AE20/AE30,"")</f>
        <v/>
      </c>
      <c r="AF35" s="27">
        <f>IFERROR(AF20/AF30,"")</f>
        <v/>
      </c>
      <c r="AG35" s="27">
        <f>IFERROR(AG20/AG30,"")</f>
        <v/>
      </c>
      <c r="AH35" s="27">
        <f>IFERROR(AH20/AH30,"")</f>
        <v/>
      </c>
      <c r="AI35" s="27">
        <f>IFERROR(AI20/AI30,"")</f>
        <v/>
      </c>
      <c r="AJ35" s="27">
        <f>IFERROR(AJ20/AJ30,"")</f>
        <v/>
      </c>
      <c r="AK35" s="27">
        <f>IFERROR(AK20/AK30,"")</f>
        <v/>
      </c>
      <c r="AL35" s="27">
        <f>IFERROR(AL20/AL30,"")</f>
        <v/>
      </c>
      <c r="AM35" s="27">
        <f>IFERROR(AM20/AM30,"")</f>
        <v/>
      </c>
      <c r="AN35" s="27">
        <f>IFERROR(AN20/AN30,"")</f>
        <v/>
      </c>
      <c r="AO35" s="27">
        <f>IFERROR(AO20/AO30,"")</f>
        <v/>
      </c>
      <c r="AP35" s="27">
        <f>IFERROR(AP20/AP30,"")</f>
        <v/>
      </c>
      <c r="AQ35" s="27">
        <f>IFERROR(AQ20/AQ30,"")</f>
        <v/>
      </c>
      <c r="AR35" s="27">
        <f>IFERROR(AR20/AR30,"")</f>
        <v/>
      </c>
      <c r="AS35" s="27">
        <f>IFERROR(AS20/AS30,"")</f>
        <v/>
      </c>
      <c r="AT35" s="27">
        <f>IFERROR(AT20/AT30,"")</f>
        <v/>
      </c>
      <c r="AU35" s="27">
        <f>IFERROR(AU20/AU30,"")</f>
        <v/>
      </c>
      <c r="AV35" s="27">
        <f>IFERROR(AV20/AV30,"")</f>
        <v/>
      </c>
      <c r="AW35" s="27">
        <f>IFERROR(AW20/AW30,"")</f>
        <v/>
      </c>
      <c r="AX35" s="27">
        <f>IFERROR(AX20/AX30,"")</f>
        <v/>
      </c>
      <c r="AY35" s="27">
        <f>IFERROR(AY20/AY30,"")</f>
        <v/>
      </c>
      <c r="AZ35" s="27">
        <f>IFERROR(AZ20/AZ30,"")</f>
        <v/>
      </c>
      <c r="BA35" s="27">
        <f>IFERROR(BA20/BA30,"")</f>
        <v/>
      </c>
      <c r="BB35" s="27">
        <f>IFERROR(BB20/BB30,"")</f>
        <v/>
      </c>
      <c r="BC35" s="27">
        <f>IFERROR(BC20/BC30,"")</f>
        <v/>
      </c>
      <c r="BD35" s="27">
        <f>IFERROR(BD20/BD30,"")</f>
        <v/>
      </c>
      <c r="BE35" s="27">
        <f>IFERROR(BE20/BE30,"")</f>
        <v/>
      </c>
      <c r="BF35" s="27">
        <f>IFERROR(BF20/BF30,"")</f>
        <v/>
      </c>
      <c r="BG35" s="27">
        <f>IFERROR(BG20/BG30,"")</f>
        <v/>
      </c>
      <c r="BH35" s="27">
        <f>IFERROR(BH20/BH30,"")</f>
        <v/>
      </c>
      <c r="BI35" s="27">
        <f>IFERROR(BI20/BI30,"")</f>
        <v/>
      </c>
      <c r="BJ35" s="27">
        <f>IFERROR(BJ20/BJ30,"")</f>
        <v/>
      </c>
      <c r="BK35" s="27">
        <f>IFERROR(BK20/BK30,"")</f>
        <v/>
      </c>
      <c r="BL35" s="27">
        <f>IFERROR(BL20/BL30,"")</f>
        <v/>
      </c>
      <c r="BM35" s="27">
        <f>IFERROR(BM20/BM30,"")</f>
        <v/>
      </c>
      <c r="BN35" s="27">
        <f>IFERROR(BN20/BN30,"")</f>
        <v/>
      </c>
      <c r="BO35" s="27">
        <f>IFERROR(BO20/BO30,"")</f>
        <v/>
      </c>
      <c r="BP35" s="27">
        <f>IFERROR(BP20/BP30,"")</f>
        <v/>
      </c>
      <c r="BQ35" s="27">
        <f>IFERROR(BQ20/BQ30,"")</f>
        <v/>
      </c>
      <c r="BR35" s="27">
        <f>IFERROR(BR20/BR30,"")</f>
        <v/>
      </c>
      <c r="BS35" s="27">
        <f>IFERROR(BS20/BS30,"")</f>
        <v/>
      </c>
      <c r="BT35" s="27">
        <f>IFERROR(BT20/BT30,"")</f>
        <v/>
      </c>
      <c r="BU35" s="27">
        <f>IFERROR(BU20/BU30,"")</f>
        <v/>
      </c>
      <c r="BV35" s="27">
        <f>IFERROR(BV20/BV30,"")</f>
        <v/>
      </c>
      <c r="BW35" s="27">
        <f>IFERROR(BW20/BW30,"")</f>
        <v/>
      </c>
      <c r="BX35" s="27">
        <f>IFERROR(BX20/BX30,"")</f>
        <v/>
      </c>
      <c r="BY35" s="27">
        <f>IFERROR(BY20/BY30,"")</f>
        <v/>
      </c>
      <c r="BZ35" s="28">
        <f>IFERROR(BZ20/BZ30,"")</f>
        <v/>
      </c>
      <c r="CA35" s="28">
        <f>IFERROR(CA20/CA30,"")</f>
        <v/>
      </c>
      <c r="CB35" s="28">
        <f>IFERROR(CB20/CB30,"")</f>
        <v/>
      </c>
      <c r="CC35" s="28">
        <f>IFERROR(CC20/CC30,"")</f>
        <v/>
      </c>
      <c r="CD35" s="28">
        <f>IFERROR(CD20/CD30,"")</f>
        <v/>
      </c>
    </row>
    <row r="37">
      <c r="B37" s="5" t="inlineStr">
        <is>
          <t>CONSOLIDATED INCOME STATEMENT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  <c r="BP37" s="12" t="n"/>
      <c r="BQ37" s="12" t="n"/>
      <c r="BR37" s="12" t="n"/>
      <c r="BS37" s="12" t="n"/>
      <c r="BT37" s="12" t="n"/>
      <c r="BU37" s="12" t="n"/>
      <c r="BV37" s="12" t="n"/>
      <c r="BW37" s="12" t="n"/>
      <c r="BX37" s="12" t="n"/>
      <c r="BY37" s="12" t="n"/>
      <c r="BZ37" s="12" t="n"/>
      <c r="CA37" s="12" t="n"/>
      <c r="CB37" s="12" t="n"/>
      <c r="CC37" s="12" t="n"/>
      <c r="CD37" s="12" t="n"/>
      <c r="CE37" s="12" t="n"/>
      <c r="CF37" s="12" t="n"/>
      <c r="CG37" s="12" t="n"/>
      <c r="CH37" s="12" t="n"/>
    </row>
    <row r="38">
      <c r="B38" s="6" t="inlineStr">
        <is>
          <t>Total revenues (service + vehicle sales)</t>
        </is>
      </c>
      <c r="C38" s="25" t="n">
        <v>212.667</v>
      </c>
      <c r="D38" s="25" t="n">
        <v>207.38</v>
      </c>
      <c r="E38" s="25" t="n">
        <v>236.755</v>
      </c>
      <c r="F38" s="25" t="n">
        <v>215.443</v>
      </c>
      <c r="G38" s="25" t="n">
        <v>872.246</v>
      </c>
      <c r="H38" s="25" t="n">
        <v>225.626</v>
      </c>
      <c r="I38" s="25" t="n">
        <v>227.904</v>
      </c>
      <c r="J38" s="25" t="n">
        <v>244.105</v>
      </c>
      <c r="K38" s="25" t="n">
        <v>226.556</v>
      </c>
      <c r="L38" s="25" t="n">
        <v>924.191</v>
      </c>
      <c r="M38" s="25" t="n">
        <v>238.866</v>
      </c>
      <c r="N38" s="25" t="n">
        <v>266.185</v>
      </c>
      <c r="O38" s="25" t="n">
        <v>277.638</v>
      </c>
      <c r="P38" s="25" t="n">
        <v>263.697</v>
      </c>
      <c r="Q38" s="25" t="n">
        <v>1046.386</v>
      </c>
      <c r="R38" s="25" t="n">
        <v>279.883</v>
      </c>
      <c r="S38" s="25" t="n">
        <v>286.434</v>
      </c>
      <c r="T38" s="25" t="n">
        <v>309.722</v>
      </c>
      <c r="U38" s="25" t="n">
        <v>287.45</v>
      </c>
      <c r="V38" s="25" t="n">
        <v>1163.489</v>
      </c>
      <c r="W38" s="25" t="n">
        <v>290.386</v>
      </c>
      <c r="X38" s="25" t="n">
        <v>276.258</v>
      </c>
      <c r="Y38" s="25" t="n">
        <v>297.142</v>
      </c>
      <c r="Z38" s="25" t="n">
        <v>282.293</v>
      </c>
      <c r="AA38" s="25" t="n">
        <v>1146.079</v>
      </c>
      <c r="AB38" s="25" t="n">
        <v>288.838</v>
      </c>
      <c r="AC38" s="25" t="n">
        <v>299.706</v>
      </c>
      <c r="AD38" s="25" t="n">
        <v>347.246</v>
      </c>
      <c r="AE38" s="25" t="n">
        <v>332.659</v>
      </c>
      <c r="AF38" s="25" t="n">
        <v>1268.449</v>
      </c>
      <c r="AG38" s="25" t="n">
        <v>345.991</v>
      </c>
      <c r="AH38" s="25" t="n">
        <v>349.532</v>
      </c>
      <c r="AI38" s="25" t="n">
        <v>373.862</v>
      </c>
      <c r="AJ38" s="25" t="n">
        <v>378.596</v>
      </c>
      <c r="AK38" s="25" t="n">
        <v>1447.981</v>
      </c>
      <c r="AL38" s="25" t="n">
        <v>419.168</v>
      </c>
      <c r="AM38" s="25" t="n">
        <v>459.106</v>
      </c>
      <c r="AN38" s="25" t="n">
        <v>478.198</v>
      </c>
      <c r="AO38" s="25" t="n">
        <v>449.223</v>
      </c>
      <c r="AP38" s="25" t="n">
        <v>1805.695</v>
      </c>
      <c r="AQ38" s="25" t="n">
        <v>461.368</v>
      </c>
      <c r="AR38" s="25" t="n">
        <v>484.898</v>
      </c>
      <c r="AS38" s="25" t="n">
        <v>553.116</v>
      </c>
      <c r="AT38" s="25" t="n">
        <v>542.575</v>
      </c>
      <c r="AU38" s="25" t="n">
        <v>2041.957</v>
      </c>
      <c r="AV38" s="25" t="n">
        <v>554.424</v>
      </c>
      <c r="AW38" s="25" t="n">
        <v>575.14</v>
      </c>
      <c r="AX38" s="25" t="n">
        <v>550.36</v>
      </c>
      <c r="AY38" s="25" t="n">
        <v>525.659</v>
      </c>
      <c r="AZ38" s="25" t="n">
        <v>2205.583</v>
      </c>
      <c r="BA38" s="25" t="n">
        <v>592.9400000000001</v>
      </c>
      <c r="BB38" s="25" t="n">
        <v>617.0309999999999</v>
      </c>
      <c r="BC38" s="25" t="n">
        <v>733.91</v>
      </c>
      <c r="BD38" s="25" t="n">
        <v>748.63</v>
      </c>
      <c r="BE38" s="25" t="n">
        <v>2692.511</v>
      </c>
      <c r="BF38" s="25" t="n">
        <v>810.1319999999999</v>
      </c>
      <c r="BG38" s="25" t="n">
        <v>867.46</v>
      </c>
      <c r="BH38" s="25" t="n">
        <v>939.941</v>
      </c>
      <c r="BI38" s="25" t="n">
        <v>883.388</v>
      </c>
      <c r="BJ38" s="25" t="n">
        <v>3500.921</v>
      </c>
      <c r="BK38" s="25" t="n">
        <v>893.372</v>
      </c>
      <c r="BL38" s="25" t="n">
        <v>956.724</v>
      </c>
      <c r="BM38" s="25" t="n">
        <v>1021.831</v>
      </c>
      <c r="BN38" s="25" t="n">
        <v>997.591</v>
      </c>
      <c r="BO38" s="25" t="n">
        <v>3869.518</v>
      </c>
      <c r="BP38" s="25" t="n">
        <v>1020.416</v>
      </c>
      <c r="BQ38" s="25" t="n">
        <v>1020.149</v>
      </c>
      <c r="BR38" s="25" t="n">
        <v>1127.259</v>
      </c>
      <c r="BS38" s="25" t="n">
        <v>1068.999</v>
      </c>
      <c r="BT38" s="25" t="n">
        <v>4236.823</v>
      </c>
      <c r="BU38" s="25" t="n">
        <v>1146.829</v>
      </c>
      <c r="BV38" s="25" t="n">
        <v>1163.316</v>
      </c>
      <c r="BW38" s="25" t="n">
        <v>1211.716</v>
      </c>
      <c r="BX38" s="25" t="n">
        <v>1125.097</v>
      </c>
      <c r="BY38" s="25" t="n">
        <v>4646.958</v>
      </c>
      <c r="BZ38" s="26">
        <f>BZ30</f>
        <v/>
      </c>
      <c r="CA38" s="26">
        <f>CA30</f>
        <v/>
      </c>
      <c r="CB38" s="26">
        <f>CB30</f>
        <v/>
      </c>
      <c r="CC38" s="26">
        <f>CC30</f>
        <v/>
      </c>
      <c r="CD38" s="26">
        <f>CD30</f>
        <v/>
      </c>
      <c r="CF38" s="24">
        <f>IFERROR((CD38/BY38)^(1/5)-1,"n/m")</f>
        <v/>
      </c>
      <c r="CG38" s="24">
        <f>IFERROR((BY38/AZ38)^(1/5)-1,"n/m")</f>
        <v/>
      </c>
      <c r="CH38" s="24">
        <f>IFERROR((BY38/G38)^(1/14)-1,"n/m")</f>
        <v/>
      </c>
    </row>
    <row r="39">
      <c r="B39" s="18" t="inlineStr">
        <is>
          <t>Yard operations expense</t>
        </is>
      </c>
      <c r="D39" s="22" t="n">
        <v>94.473</v>
      </c>
      <c r="E39" s="22" t="n">
        <v>92.996</v>
      </c>
      <c r="G39" s="22" t="n">
        <v>374.149</v>
      </c>
      <c r="H39" s="22" t="n">
        <v>96.20699999999999</v>
      </c>
      <c r="I39" s="22" t="n">
        <v>94.60299999999999</v>
      </c>
      <c r="J39" s="22" t="n">
        <v>92.578</v>
      </c>
      <c r="L39" s="22" t="n">
        <v>377.604</v>
      </c>
      <c r="M39" s="22" t="n">
        <v>97.119</v>
      </c>
      <c r="N39" s="22" t="n">
        <v>127.164</v>
      </c>
      <c r="O39" s="22" t="n">
        <v>116.41</v>
      </c>
      <c r="P39" s="22" t="n">
        <v>117.535</v>
      </c>
      <c r="Q39" s="22" t="n">
        <v>458.228</v>
      </c>
      <c r="R39" s="22" t="n">
        <v>125.956</v>
      </c>
      <c r="S39" s="22" t="n">
        <v>131.246</v>
      </c>
      <c r="T39" s="22" t="n">
        <v>131.207</v>
      </c>
      <c r="U39" s="22" t="n">
        <v>132.014</v>
      </c>
      <c r="V39" s="22" t="n">
        <v>520.423</v>
      </c>
      <c r="W39" s="22" t="n">
        <v>131.005</v>
      </c>
      <c r="X39" s="22" t="n">
        <v>129.273</v>
      </c>
      <c r="Y39" s="22" t="n">
        <v>135.222</v>
      </c>
      <c r="Z39" s="22" t="n">
        <v>130.791</v>
      </c>
      <c r="AA39" s="22" t="n">
        <v>526.2910000000001</v>
      </c>
      <c r="AB39" s="22" t="n">
        <v>135.909</v>
      </c>
      <c r="AC39" s="22" t="n">
        <v>140.965</v>
      </c>
      <c r="AD39" s="22" t="n">
        <v>151.855</v>
      </c>
      <c r="AE39" s="22" t="n">
        <v>154.175</v>
      </c>
      <c r="AF39" s="22" t="n">
        <v>582.904</v>
      </c>
      <c r="AG39" s="22" t="n">
        <v>167.611</v>
      </c>
      <c r="AH39" s="22" t="n">
        <v>169.081</v>
      </c>
      <c r="AI39" s="22" t="n">
        <v>166.572</v>
      </c>
      <c r="AJ39" s="22" t="n">
        <v>175.137</v>
      </c>
      <c r="AK39" s="22" t="n">
        <v>678.401</v>
      </c>
      <c r="AL39" s="22" t="n">
        <v>217.607</v>
      </c>
      <c r="AM39" s="22" t="n">
        <v>217.184</v>
      </c>
      <c r="AN39" s="22" t="n">
        <v>201.592</v>
      </c>
      <c r="AO39" s="22" t="n">
        <v>210.485</v>
      </c>
      <c r="AP39" s="22" t="n">
        <v>846.8680000000001</v>
      </c>
      <c r="AQ39" s="22" t="n">
        <v>207.694</v>
      </c>
      <c r="AR39" s="22" t="n">
        <v>215.46</v>
      </c>
      <c r="AS39" s="22" t="n">
        <v>230.553</v>
      </c>
      <c r="AT39" s="22" t="n">
        <v>234.404</v>
      </c>
      <c r="AU39" s="22" t="n">
        <v>888.111</v>
      </c>
      <c r="AV39" s="22" t="n">
        <v>240.791</v>
      </c>
      <c r="AW39" s="22" t="n">
        <v>257.351</v>
      </c>
      <c r="AX39" s="22" t="n">
        <v>253.76</v>
      </c>
      <c r="AY39" s="22" t="n">
        <v>220.585</v>
      </c>
      <c r="AZ39" s="22" t="n">
        <v>972.487</v>
      </c>
      <c r="BA39" s="22" t="n">
        <v>231.811</v>
      </c>
      <c r="BB39" s="22" t="n">
        <v>235.904</v>
      </c>
      <c r="BC39" s="22" t="n">
        <v>258.071</v>
      </c>
      <c r="BD39" s="22" t="n">
        <v>277.506</v>
      </c>
      <c r="BE39" s="22" t="n">
        <v>1003.292</v>
      </c>
      <c r="BF39" s="22" t="n">
        <v>298.694</v>
      </c>
      <c r="BG39" s="22" t="n">
        <v>323.814</v>
      </c>
      <c r="BH39" s="22" t="n">
        <v>346.428</v>
      </c>
      <c r="BI39" s="22" t="n">
        <v>340.561</v>
      </c>
      <c r="BJ39" s="22" t="n">
        <v>1309.497</v>
      </c>
      <c r="BK39" s="22" t="n">
        <v>372.777</v>
      </c>
      <c r="BL39" s="22" t="n">
        <v>375.497</v>
      </c>
      <c r="BM39" s="22" t="n">
        <v>378.958</v>
      </c>
      <c r="BN39" s="22" t="n">
        <v>390.797</v>
      </c>
      <c r="BO39" s="22" t="n">
        <v>1518.029</v>
      </c>
      <c r="BP39" s="22" t="n">
        <v>408.501</v>
      </c>
      <c r="BQ39" s="22" t="n">
        <v>409.178</v>
      </c>
      <c r="BR39" s="22" t="n">
        <v>438.873</v>
      </c>
      <c r="BS39" s="22" t="n">
        <v>453.532</v>
      </c>
      <c r="BT39" s="22" t="n">
        <v>1710.084</v>
      </c>
      <c r="BU39" s="22" t="n">
        <v>496.546</v>
      </c>
      <c r="BV39" s="22" t="n">
        <v>490.056</v>
      </c>
      <c r="BW39" s="22" t="n">
        <v>489.735</v>
      </c>
      <c r="BX39" s="22" t="n">
        <v>467.981</v>
      </c>
      <c r="BY39" s="22" t="n">
        <v>1944.318</v>
      </c>
    </row>
    <row r="40">
      <c r="B40" s="18" t="inlineStr">
        <is>
          <t>Cost of vehicle sales</t>
        </is>
      </c>
      <c r="D40" s="22" t="n">
        <v>27.002</v>
      </c>
      <c r="E40" s="22" t="n">
        <v>34.852</v>
      </c>
      <c r="G40" s="22" t="n">
        <v>125.202</v>
      </c>
      <c r="H40" s="22" t="n">
        <v>34.194</v>
      </c>
      <c r="I40" s="22" t="n">
        <v>33.605</v>
      </c>
      <c r="J40" s="22" t="n">
        <v>36.258</v>
      </c>
      <c r="L40" s="22" t="n">
        <v>136.971</v>
      </c>
      <c r="M40" s="22" t="n">
        <v>36.311</v>
      </c>
      <c r="N40" s="22" t="n">
        <v>42.204</v>
      </c>
      <c r="O40" s="22" t="n">
        <v>45.631</v>
      </c>
      <c r="P40" s="22" t="n">
        <v>43.09</v>
      </c>
      <c r="Q40" s="22" t="n">
        <v>167.236</v>
      </c>
      <c r="R40" s="22" t="n">
        <v>46.091</v>
      </c>
      <c r="S40" s="22" t="n">
        <v>43.642</v>
      </c>
      <c r="T40" s="22" t="n">
        <v>46.263</v>
      </c>
      <c r="U40" s="22" t="n">
        <v>38.497</v>
      </c>
      <c r="V40" s="22" t="n">
        <v>174.493</v>
      </c>
      <c r="W40" s="22" t="n">
        <v>37.073</v>
      </c>
      <c r="X40" s="22" t="n">
        <v>32.118</v>
      </c>
      <c r="Y40" s="22" t="n">
        <v>34.503</v>
      </c>
      <c r="Z40" s="22" t="n">
        <v>32.718</v>
      </c>
      <c r="AA40" s="22" t="n">
        <v>136.412</v>
      </c>
      <c r="AB40" s="22" t="n">
        <v>32.068</v>
      </c>
      <c r="AC40" s="22" t="n">
        <v>34.127</v>
      </c>
      <c r="AD40" s="22" t="n">
        <v>37.744</v>
      </c>
      <c r="AE40" s="22" t="n">
        <v>37.02</v>
      </c>
      <c r="AF40" s="22" t="n">
        <v>140.959</v>
      </c>
      <c r="AG40" s="22" t="n">
        <v>33.087</v>
      </c>
      <c r="AH40" s="22" t="n">
        <v>33.686</v>
      </c>
      <c r="AI40" s="22" t="n">
        <v>34.785</v>
      </c>
      <c r="AJ40" s="22" t="n">
        <v>35.994</v>
      </c>
      <c r="AK40" s="22" t="n">
        <v>137.552</v>
      </c>
      <c r="AL40" s="22" t="n">
        <v>38.297</v>
      </c>
      <c r="AM40" s="22" t="n">
        <v>50.313</v>
      </c>
      <c r="AN40" s="22" t="n">
        <v>57.538</v>
      </c>
      <c r="AO40" s="22" t="n">
        <v>50.313</v>
      </c>
      <c r="AP40" s="22" t="n">
        <v>196.461</v>
      </c>
      <c r="AS40" s="22" t="n">
        <v>70.98399999999999</v>
      </c>
      <c r="AU40" s="22" t="n">
        <v>255.504</v>
      </c>
      <c r="AV40" s="22" t="n">
        <v>58.764</v>
      </c>
      <c r="AW40" s="22" t="n">
        <v>57.9</v>
      </c>
      <c r="AX40" s="22" t="n">
        <v>53.987</v>
      </c>
      <c r="AY40" s="22" t="n">
        <v>54.643</v>
      </c>
      <c r="AZ40" s="22" t="n">
        <v>225.294</v>
      </c>
      <c r="BA40" s="22" t="n">
        <v>64.36</v>
      </c>
      <c r="BB40" s="22" t="n">
        <v>73.629</v>
      </c>
      <c r="BC40" s="22" t="n">
        <v>94.498</v>
      </c>
      <c r="BD40" s="22" t="n">
        <v>113.641</v>
      </c>
      <c r="BE40" s="22" t="n">
        <v>346.128</v>
      </c>
      <c r="BF40" s="22" t="n">
        <v>126.408</v>
      </c>
      <c r="BG40" s="22" t="n">
        <v>140.304</v>
      </c>
      <c r="BH40" s="22" t="n">
        <v>157.236</v>
      </c>
      <c r="BI40" s="22" t="n">
        <v>161.255</v>
      </c>
      <c r="BJ40" s="22" t="n">
        <v>585.203</v>
      </c>
      <c r="BK40" s="22" t="n">
        <v>151.112</v>
      </c>
      <c r="BL40" s="22" t="n">
        <v>154.727</v>
      </c>
      <c r="BM40" s="22" t="n">
        <v>159.443</v>
      </c>
      <c r="BN40" s="22" t="n">
        <v>149.216</v>
      </c>
      <c r="BO40" s="22" t="n">
        <v>614.498</v>
      </c>
      <c r="BP40" s="22" t="n">
        <v>147.896</v>
      </c>
      <c r="BQ40" s="22" t="n">
        <v>146.819</v>
      </c>
      <c r="BR40" s="22" t="n">
        <v>162.881</v>
      </c>
      <c r="BS40" s="22" t="n">
        <v>161.891</v>
      </c>
      <c r="BT40" s="22" t="n">
        <v>619.487</v>
      </c>
      <c r="BU40" s="22" t="n">
        <v>138.178</v>
      </c>
      <c r="BV40" s="22" t="n">
        <v>147.707</v>
      </c>
      <c r="BW40" s="22" t="n">
        <v>169.714</v>
      </c>
      <c r="BX40" s="22" t="n">
        <v>147.398</v>
      </c>
      <c r="BY40" s="22" t="n">
        <v>602.997</v>
      </c>
    </row>
    <row r="41">
      <c r="B41" s="6" t="inlineStr">
        <is>
          <t>Gross profit</t>
        </is>
      </c>
      <c r="D41" s="33">
        <f>D38-D39-D40</f>
        <v/>
      </c>
      <c r="E41" s="33">
        <f>E38-E39-E40</f>
        <v/>
      </c>
      <c r="G41" s="33">
        <f>G38-G39-G40</f>
        <v/>
      </c>
      <c r="H41" s="33">
        <f>H38-H39-H40</f>
        <v/>
      </c>
      <c r="I41" s="33">
        <f>I38-I39-I40</f>
        <v/>
      </c>
      <c r="J41" s="33">
        <f>J38-J39-J40</f>
        <v/>
      </c>
      <c r="L41" s="33">
        <f>L38-L39-L40</f>
        <v/>
      </c>
      <c r="M41" s="33">
        <f>M38-M39-M40</f>
        <v/>
      </c>
      <c r="N41" s="33">
        <f>N38-N39-N40</f>
        <v/>
      </c>
      <c r="O41" s="33">
        <f>O38-O39-O40</f>
        <v/>
      </c>
      <c r="P41" s="33">
        <f>P38-P39-P40</f>
        <v/>
      </c>
      <c r="Q41" s="33">
        <f>Q38-Q39-Q40</f>
        <v/>
      </c>
      <c r="R41" s="33">
        <f>R38-R39-R40</f>
        <v/>
      </c>
      <c r="S41" s="33">
        <f>S38-S39-S40</f>
        <v/>
      </c>
      <c r="T41" s="33">
        <f>T38-T39-T40</f>
        <v/>
      </c>
      <c r="U41" s="33">
        <f>U38-U39-U40</f>
        <v/>
      </c>
      <c r="V41" s="33">
        <f>V38-V39-V40</f>
        <v/>
      </c>
      <c r="W41" s="33">
        <f>W38-W39-W40</f>
        <v/>
      </c>
      <c r="X41" s="33">
        <f>X38-X39-X40</f>
        <v/>
      </c>
      <c r="Y41" s="33">
        <f>Y38-Y39-Y40</f>
        <v/>
      </c>
      <c r="Z41" s="33">
        <f>Z38-Z39-Z40</f>
        <v/>
      </c>
      <c r="AA41" s="33">
        <f>AA38-AA39-AA40</f>
        <v/>
      </c>
      <c r="AB41" s="33">
        <f>AB38-AB39-AB40</f>
        <v/>
      </c>
      <c r="AC41" s="33">
        <f>AC38-AC39-AC40</f>
        <v/>
      </c>
      <c r="AD41" s="33">
        <f>AD38-AD39-AD40</f>
        <v/>
      </c>
      <c r="AE41" s="33">
        <f>AE38-AE39-AE40</f>
        <v/>
      </c>
      <c r="AF41" s="33">
        <f>AF38-AF39-AF40</f>
        <v/>
      </c>
      <c r="AG41" s="33">
        <f>AG38-AG39-AG40</f>
        <v/>
      </c>
      <c r="AH41" s="33">
        <f>AH38-AH39-AH40</f>
        <v/>
      </c>
      <c r="AI41" s="33">
        <f>AI38-AI39-AI40</f>
        <v/>
      </c>
      <c r="AJ41" s="33">
        <f>AJ38-AJ39-AJ40</f>
        <v/>
      </c>
      <c r="AK41" s="33">
        <f>AK38-AK39-AK40</f>
        <v/>
      </c>
      <c r="AL41" s="33">
        <f>AL38-AL39-AL40</f>
        <v/>
      </c>
      <c r="AM41" s="33">
        <f>AM38-AM39-AM40</f>
        <v/>
      </c>
      <c r="AN41" s="33">
        <f>AN38-AN39-AN40</f>
        <v/>
      </c>
      <c r="AO41" s="33">
        <f>AO38-AO39-AO40</f>
        <v/>
      </c>
      <c r="AP41" s="33">
        <f>AP38-AP39-AP40</f>
        <v/>
      </c>
      <c r="AS41" s="33">
        <f>AS38-AS39-AS40</f>
        <v/>
      </c>
      <c r="AU41" s="33">
        <f>AU38-AU39-AU40</f>
        <v/>
      </c>
      <c r="AV41" s="33">
        <f>AV38-AV39-AV40</f>
        <v/>
      </c>
      <c r="AW41" s="33">
        <f>AW38-AW39-AW40</f>
        <v/>
      </c>
      <c r="AX41" s="33">
        <f>AX38-AX39-AX40</f>
        <v/>
      </c>
      <c r="AY41" s="33">
        <f>AY38-AY39-AY40</f>
        <v/>
      </c>
      <c r="AZ41" s="33">
        <f>AZ38-AZ39-AZ40</f>
        <v/>
      </c>
      <c r="BA41" s="33">
        <f>BA38-BA39-BA40</f>
        <v/>
      </c>
      <c r="BB41" s="33">
        <f>BB38-BB39-BB40</f>
        <v/>
      </c>
      <c r="BC41" s="33">
        <f>BC38-BC39-BC40</f>
        <v/>
      </c>
      <c r="BD41" s="33">
        <f>BD38-BD39-BD40</f>
        <v/>
      </c>
      <c r="BE41" s="33">
        <f>BE38-BE39-BE40</f>
        <v/>
      </c>
      <c r="BF41" s="33">
        <f>BF38-BF39-BF40</f>
        <v/>
      </c>
      <c r="BG41" s="33">
        <f>BG38-BG39-BG40</f>
        <v/>
      </c>
      <c r="BH41" s="33">
        <f>BH38-BH39-BH40</f>
        <v/>
      </c>
      <c r="BI41" s="33">
        <f>BI38-BI39-BI40</f>
        <v/>
      </c>
      <c r="BJ41" s="33">
        <f>BJ38-BJ39-BJ40</f>
        <v/>
      </c>
      <c r="BK41" s="33">
        <f>BK38-BK39-BK40</f>
        <v/>
      </c>
      <c r="BL41" s="33">
        <f>BL38-BL39-BL40</f>
        <v/>
      </c>
      <c r="BM41" s="33">
        <f>BM38-BM39-BM40</f>
        <v/>
      </c>
      <c r="BN41" s="33">
        <f>BN38-BN39-BN40</f>
        <v/>
      </c>
      <c r="BO41" s="33">
        <f>BO38-BO39-BO40</f>
        <v/>
      </c>
      <c r="BP41" s="33">
        <f>BP38-BP39-BP40</f>
        <v/>
      </c>
      <c r="BQ41" s="33">
        <f>BQ38-BQ39-BQ40</f>
        <v/>
      </c>
      <c r="BR41" s="33">
        <f>BR38-BR39-BR40</f>
        <v/>
      </c>
      <c r="BS41" s="33">
        <f>BS38-BS39-BS40</f>
        <v/>
      </c>
      <c r="BT41" s="33">
        <f>BT38-BT39-BT40</f>
        <v/>
      </c>
      <c r="BU41" s="33">
        <f>BU38-BU39-BU40</f>
        <v/>
      </c>
      <c r="BV41" s="33">
        <f>BV38-BV39-BV40</f>
        <v/>
      </c>
      <c r="BW41" s="33">
        <f>BW38-BW39-BW40</f>
        <v/>
      </c>
      <c r="BX41" s="33">
        <f>BX38-BX39-BX40</f>
        <v/>
      </c>
      <c r="BY41" s="33">
        <f>BY38-BY39-BY40</f>
        <v/>
      </c>
    </row>
    <row r="42">
      <c r="B42" s="18" t="inlineStr">
        <is>
          <t>General &amp; administrative</t>
        </is>
      </c>
      <c r="D42" s="22" t="n">
        <v>25.71</v>
      </c>
      <c r="E42" s="22" t="n">
        <v>26.863</v>
      </c>
      <c r="G42" s="22" t="n">
        <v>107.605</v>
      </c>
      <c r="H42" s="22" t="n">
        <v>29.849</v>
      </c>
      <c r="I42" s="22" t="n">
        <v>27.386</v>
      </c>
      <c r="J42" s="22" t="n">
        <v>27.325</v>
      </c>
      <c r="L42" s="22" t="n">
        <v>114.492</v>
      </c>
      <c r="M42" s="22" t="n">
        <v>31.079</v>
      </c>
      <c r="N42" s="22" t="n">
        <v>34.047</v>
      </c>
      <c r="O42" s="22" t="n">
        <v>32.784</v>
      </c>
      <c r="P42" s="22" t="n">
        <v>40.02</v>
      </c>
      <c r="Q42" s="22" t="n">
        <v>137.93</v>
      </c>
      <c r="R42" s="22" t="n">
        <v>42.877</v>
      </c>
      <c r="S42" s="22" t="n">
        <v>40.062</v>
      </c>
      <c r="T42" s="22" t="n">
        <v>40.515</v>
      </c>
      <c r="U42" s="22" t="n">
        <v>41.081</v>
      </c>
      <c r="V42" s="22" t="n">
        <v>164.535</v>
      </c>
      <c r="W42" s="22" t="n">
        <v>39.907</v>
      </c>
      <c r="X42" s="22" t="n">
        <v>34.399</v>
      </c>
      <c r="Y42" s="22" t="n">
        <v>32.65</v>
      </c>
      <c r="Z42" s="22" t="n">
        <v>32.019</v>
      </c>
      <c r="AA42" s="22" t="n">
        <v>138.975</v>
      </c>
      <c r="AB42" s="22" t="n">
        <v>34.615</v>
      </c>
      <c r="AC42" s="22" t="n">
        <v>32.529</v>
      </c>
      <c r="AD42" s="22" t="n">
        <v>35.699</v>
      </c>
      <c r="AE42" s="22" t="n">
        <v>35.273</v>
      </c>
      <c r="AF42" s="22" t="n">
        <v>138.116</v>
      </c>
      <c r="AG42" s="22" t="n">
        <v>40.469</v>
      </c>
      <c r="AH42" s="22" t="n">
        <v>37.885</v>
      </c>
      <c r="AI42" s="22" t="n">
        <v>35.717</v>
      </c>
      <c r="AJ42" s="22" t="n">
        <v>37.293</v>
      </c>
      <c r="AK42" s="22" t="n">
        <v>151.364</v>
      </c>
      <c r="AL42" s="22" t="n">
        <v>39.322</v>
      </c>
      <c r="AM42" s="22" t="n">
        <v>40.662</v>
      </c>
      <c r="AN42" s="22" t="n">
        <v>44.449</v>
      </c>
      <c r="AO42" s="22" t="n">
        <v>52.457</v>
      </c>
      <c r="AP42" s="22" t="n">
        <v>176.89</v>
      </c>
      <c r="AQ42" s="22" t="n">
        <v>44.478</v>
      </c>
      <c r="AR42" s="22" t="n">
        <v>43.487</v>
      </c>
      <c r="AS42" s="22" t="n">
        <v>44.085</v>
      </c>
      <c r="AT42" s="22" t="n">
        <v>49.817</v>
      </c>
      <c r="AU42" s="22" t="n">
        <v>181.867</v>
      </c>
      <c r="AV42" s="22" t="n">
        <v>49.478</v>
      </c>
      <c r="AW42" s="22" t="n">
        <v>49.997</v>
      </c>
      <c r="AX42" s="22" t="n">
        <v>47.512</v>
      </c>
      <c r="AY42" s="22" t="n">
        <v>44.716</v>
      </c>
      <c r="AZ42" s="22" t="n">
        <v>191.703</v>
      </c>
      <c r="BA42" s="22" t="n">
        <v>48.175</v>
      </c>
      <c r="BB42" s="22" t="n">
        <v>49.277</v>
      </c>
      <c r="BC42" s="22" t="n">
        <v>53.23</v>
      </c>
      <c r="BD42" s="22" t="n">
        <v>55.983</v>
      </c>
      <c r="BE42" s="22" t="n">
        <v>206.665</v>
      </c>
      <c r="BF42" s="22" t="n">
        <v>54.909</v>
      </c>
      <c r="BG42" s="22" t="n">
        <v>56.014</v>
      </c>
      <c r="BH42" s="22" t="n">
        <v>63.522</v>
      </c>
      <c r="BI42" s="22" t="n">
        <v>56.779</v>
      </c>
      <c r="BJ42" s="22" t="n">
        <v>231.224</v>
      </c>
      <c r="BK42" s="22" t="n">
        <v>57.98</v>
      </c>
      <c r="BL42" s="22" t="n">
        <v>60.975</v>
      </c>
      <c r="BM42" s="22" t="n">
        <v>64.506</v>
      </c>
      <c r="BN42" s="22" t="n">
        <v>66.961</v>
      </c>
      <c r="BO42" s="22" t="n">
        <v>250.422</v>
      </c>
      <c r="BP42" s="22" t="n">
        <v>68.643</v>
      </c>
      <c r="BQ42" s="22" t="n">
        <v>84.252</v>
      </c>
      <c r="BR42" s="22" t="n">
        <v>88.30200000000001</v>
      </c>
      <c r="BS42" s="22" t="n">
        <v>94.032</v>
      </c>
      <c r="BT42" s="22" t="n">
        <v>335.229</v>
      </c>
      <c r="BU42" s="22" t="n">
        <v>105.738</v>
      </c>
      <c r="BV42" s="22" t="n">
        <v>99.342</v>
      </c>
      <c r="BW42" s="22" t="n">
        <v>100.722</v>
      </c>
      <c r="BX42" s="22" t="n">
        <v>97.127</v>
      </c>
      <c r="BY42" s="22" t="n">
        <v>402.929</v>
      </c>
    </row>
    <row r="43">
      <c r="B43" s="6" t="inlineStr">
        <is>
          <t>Operating income</t>
        </is>
      </c>
      <c r="D43" s="33">
        <f>D41-D42</f>
        <v/>
      </c>
      <c r="E43" s="33">
        <f>E41-E42</f>
        <v/>
      </c>
      <c r="G43" s="33">
        <f>G41-G42</f>
        <v/>
      </c>
      <c r="H43" s="33">
        <f>H41-H42</f>
        <v/>
      </c>
      <c r="I43" s="33">
        <f>I41-I42</f>
        <v/>
      </c>
      <c r="J43" s="33">
        <f>J41-J42</f>
        <v/>
      </c>
      <c r="L43" s="33">
        <f>L41-L42</f>
        <v/>
      </c>
      <c r="M43" s="33">
        <f>M41-M42</f>
        <v/>
      </c>
      <c r="N43" s="33">
        <f>N41-N42</f>
        <v/>
      </c>
      <c r="O43" s="33">
        <f>O41-O42</f>
        <v/>
      </c>
      <c r="P43" s="33">
        <f>P41-P42</f>
        <v/>
      </c>
      <c r="Q43" s="33">
        <f>Q41-Q42</f>
        <v/>
      </c>
      <c r="R43" s="33">
        <f>R41-R42</f>
        <v/>
      </c>
      <c r="S43" s="33">
        <f>S41-S42</f>
        <v/>
      </c>
      <c r="T43" s="33">
        <f>T41-T42</f>
        <v/>
      </c>
      <c r="U43" s="33">
        <f>U41-U42</f>
        <v/>
      </c>
      <c r="V43" s="33">
        <f>V41-V42</f>
        <v/>
      </c>
      <c r="W43" s="33">
        <f>W41-W42</f>
        <v/>
      </c>
      <c r="X43" s="33">
        <f>X41-X42</f>
        <v/>
      </c>
      <c r="Y43" s="33">
        <f>Y41-Y42</f>
        <v/>
      </c>
      <c r="Z43" s="33">
        <f>Z41-Z42</f>
        <v/>
      </c>
      <c r="AA43" s="33">
        <f>AA41-AA42</f>
        <v/>
      </c>
      <c r="AB43" s="33">
        <f>AB41-AB42</f>
        <v/>
      </c>
      <c r="AC43" s="33">
        <f>AC41-AC42</f>
        <v/>
      </c>
      <c r="AD43" s="33">
        <f>AD41-AD42</f>
        <v/>
      </c>
      <c r="AE43" s="33">
        <f>AE41-AE42</f>
        <v/>
      </c>
      <c r="AF43" s="33">
        <f>AF41-AF42</f>
        <v/>
      </c>
      <c r="AG43" s="33">
        <f>AG41-AG42</f>
        <v/>
      </c>
      <c r="AH43" s="33">
        <f>AH41-AH42</f>
        <v/>
      </c>
      <c r="AI43" s="33">
        <f>AI41-AI42</f>
        <v/>
      </c>
      <c r="AJ43" s="33">
        <f>AJ41-AJ42</f>
        <v/>
      </c>
      <c r="AK43" s="33">
        <f>AK41-AK42</f>
        <v/>
      </c>
      <c r="AL43" s="33">
        <f>AL41-AL42</f>
        <v/>
      </c>
      <c r="AM43" s="33">
        <f>AM41-AM42</f>
        <v/>
      </c>
      <c r="AN43" s="33">
        <f>AN41-AN42</f>
        <v/>
      </c>
      <c r="AO43" s="33">
        <f>AO41-AO42</f>
        <v/>
      </c>
      <c r="AP43" s="33">
        <f>AP41-AP42</f>
        <v/>
      </c>
      <c r="AS43" s="33">
        <f>AS41-AS42</f>
        <v/>
      </c>
      <c r="AU43" s="33">
        <f>AU41-AU42</f>
        <v/>
      </c>
      <c r="AV43" s="33">
        <f>AV41-AV42</f>
        <v/>
      </c>
      <c r="AW43" s="33">
        <f>AW41-AW42</f>
        <v/>
      </c>
      <c r="AX43" s="33">
        <f>AX41-AX42</f>
        <v/>
      </c>
      <c r="AY43" s="33">
        <f>AY41-AY42</f>
        <v/>
      </c>
      <c r="AZ43" s="33">
        <f>AZ41-AZ42</f>
        <v/>
      </c>
      <c r="BA43" s="33">
        <f>BA41-BA42</f>
        <v/>
      </c>
      <c r="BB43" s="33">
        <f>BB41-BB42</f>
        <v/>
      </c>
      <c r="BC43" s="33">
        <f>BC41-BC42</f>
        <v/>
      </c>
      <c r="BD43" s="33">
        <f>BD41-BD42</f>
        <v/>
      </c>
      <c r="BE43" s="33">
        <f>BE41-BE42</f>
        <v/>
      </c>
      <c r="BF43" s="33">
        <f>BF41-BF42</f>
        <v/>
      </c>
      <c r="BG43" s="33">
        <f>BG41-BG42</f>
        <v/>
      </c>
      <c r="BH43" s="33">
        <f>BH41-BH42</f>
        <v/>
      </c>
      <c r="BI43" s="33">
        <f>BI41-BI42</f>
        <v/>
      </c>
      <c r="BJ43" s="33">
        <f>BJ41-BJ42</f>
        <v/>
      </c>
      <c r="BK43" s="33">
        <f>BK41-BK42</f>
        <v/>
      </c>
      <c r="BL43" s="33">
        <f>BL41-BL42</f>
        <v/>
      </c>
      <c r="BM43" s="33">
        <f>BM41-BM42</f>
        <v/>
      </c>
      <c r="BN43" s="33">
        <f>BN41-BN42</f>
        <v/>
      </c>
      <c r="BO43" s="33">
        <f>BO41-BO42</f>
        <v/>
      </c>
      <c r="BP43" s="33">
        <f>BP41-BP42</f>
        <v/>
      </c>
      <c r="BQ43" s="33">
        <f>BQ41-BQ42</f>
        <v/>
      </c>
      <c r="BR43" s="33">
        <f>BR41-BR42</f>
        <v/>
      </c>
      <c r="BS43" s="33">
        <f>BS41-BS42</f>
        <v/>
      </c>
      <c r="BT43" s="33">
        <f>BT41-BT42</f>
        <v/>
      </c>
      <c r="BU43" s="33">
        <f>BU41-BU42</f>
        <v/>
      </c>
      <c r="BV43" s="33">
        <f>BV41-BV42</f>
        <v/>
      </c>
      <c r="BW43" s="33">
        <f>BW41-BW42</f>
        <v/>
      </c>
      <c r="BX43" s="33">
        <f>BX41-BX42</f>
        <v/>
      </c>
      <c r="BY43" s="33">
        <f>BY41-BY42</f>
        <v/>
      </c>
      <c r="BZ43" s="26">
        <f>BZ31</f>
        <v/>
      </c>
      <c r="CA43" s="26">
        <f>CA31</f>
        <v/>
      </c>
      <c r="CB43" s="26">
        <f>CB31</f>
        <v/>
      </c>
      <c r="CC43" s="26">
        <f>CC31</f>
        <v/>
      </c>
      <c r="CD43" s="26">
        <f>CD31</f>
        <v/>
      </c>
      <c r="CF43" s="24">
        <f>IFERROR((CD43/BY43)^(1/5)-1,"n/m")</f>
        <v/>
      </c>
      <c r="CG43" s="24">
        <f>IFERROR((BY43/AZ43)^(1/5)-1,"n/m")</f>
        <v/>
      </c>
      <c r="CH43" s="24">
        <f>IFERROR((BY43/G43)^(1/14)-1,"n/m")</f>
        <v/>
      </c>
    </row>
    <row r="44">
      <c r="B44" s="18" t="inlineStr">
        <is>
          <t>Interest &amp; other income / (expense), net</t>
        </is>
      </c>
      <c r="C44" s="22" t="n">
        <v>0.569</v>
      </c>
      <c r="D44" s="22" t="n">
        <v>0.522</v>
      </c>
      <c r="E44" s="22" t="n">
        <v>-1.694</v>
      </c>
      <c r="F44" s="22" t="n">
        <v>-0.8110000000000001</v>
      </c>
      <c r="G44" s="22" t="n">
        <v>-1.413</v>
      </c>
      <c r="H44" s="22" t="n">
        <v>-1.561</v>
      </c>
      <c r="I44" s="22" t="n">
        <v>-1.323</v>
      </c>
      <c r="J44" s="22" t="n">
        <v>-3.397</v>
      </c>
      <c r="L44" s="22" t="n">
        <v>-8.297000000000001</v>
      </c>
      <c r="M44" s="22" t="n">
        <v>-2.769</v>
      </c>
      <c r="N44" s="22" t="n">
        <v>-1.653</v>
      </c>
      <c r="O44" s="22" t="n">
        <v>-0.8080000000000001</v>
      </c>
      <c r="P44" s="22" t="n">
        <v>-0.89</v>
      </c>
      <c r="Q44" s="22" t="n">
        <v>-6.12</v>
      </c>
      <c r="R44" s="22" t="n">
        <v>-0.714</v>
      </c>
      <c r="S44" s="22" t="n">
        <v>-0.896</v>
      </c>
      <c r="T44" s="22" t="n">
        <v>-1.315</v>
      </c>
      <c r="U44" s="22" t="n">
        <v>-1.974</v>
      </c>
      <c r="V44" s="22" t="n">
        <v>-4.899</v>
      </c>
      <c r="W44" s="22" t="n">
        <v>-0.178</v>
      </c>
      <c r="X44" s="22" t="n">
        <v>-0.364</v>
      </c>
      <c r="Y44" s="22" t="n">
        <v>-6.471</v>
      </c>
      <c r="Z44" s="22" t="n">
        <v>-5.319</v>
      </c>
      <c r="AA44" s="22" t="n">
        <v>-12.332</v>
      </c>
      <c r="AB44" s="22" t="n">
        <v>-4.486</v>
      </c>
      <c r="AC44" s="22" t="n">
        <v>-0.533</v>
      </c>
      <c r="AD44" s="22" t="n">
        <v>-5.38</v>
      </c>
      <c r="AE44" s="22" t="n">
        <v>-0.206</v>
      </c>
      <c r="AF44" s="22" t="n">
        <v>-10.605</v>
      </c>
      <c r="AG44" s="22" t="n">
        <v>-2.29</v>
      </c>
      <c r="AH44" s="22" t="n">
        <v>-8.781000000000001</v>
      </c>
      <c r="AI44" s="22" t="n">
        <v>-5.7</v>
      </c>
      <c r="AJ44" s="22" t="n">
        <v>-4.428</v>
      </c>
      <c r="AK44" s="22" t="n">
        <v>-21.199</v>
      </c>
      <c r="AL44" s="22" t="n">
        <v>-9.814</v>
      </c>
      <c r="AM44" s="22" t="n">
        <v>-6.509</v>
      </c>
      <c r="AN44" s="22" t="n">
        <v>-3.403</v>
      </c>
      <c r="AO44" s="22" t="n">
        <v>-2.108</v>
      </c>
      <c r="AP44" s="22" t="n">
        <v>-21.834</v>
      </c>
      <c r="AQ44" s="22" t="n">
        <v>-2.654</v>
      </c>
      <c r="AR44" s="22" t="n">
        <v>0.227</v>
      </c>
      <c r="AS44" s="22" t="n">
        <v>-3.365</v>
      </c>
      <c r="AT44" s="22" t="n">
        <v>-5.732</v>
      </c>
      <c r="AU44" s="22" t="n">
        <v>-11.524</v>
      </c>
      <c r="AV44" s="22" t="n">
        <v>-3.309</v>
      </c>
      <c r="AW44" s="22" t="n">
        <v>-4.818</v>
      </c>
      <c r="AX44" s="22" t="n">
        <v>-3.301</v>
      </c>
      <c r="AY44" s="22" t="n">
        <v>-3.832</v>
      </c>
      <c r="AZ44" s="22" t="n">
        <v>-15.26</v>
      </c>
      <c r="BA44" s="22" t="n">
        <v>-1.779</v>
      </c>
      <c r="BB44" s="22" t="n">
        <v>-5.769</v>
      </c>
      <c r="BC44" s="22" t="n">
        <v>-4.576</v>
      </c>
      <c r="BD44" s="22" t="n">
        <v>-2.456</v>
      </c>
      <c r="BE44" s="22" t="n">
        <v>-14.58</v>
      </c>
      <c r="BF44" s="22" t="n">
        <v>-4.295</v>
      </c>
      <c r="BG44" s="22" t="n">
        <v>-5.273</v>
      </c>
      <c r="BH44" s="22" t="n">
        <v>-3.15</v>
      </c>
      <c r="BI44" s="22" t="n">
        <v>-21.325</v>
      </c>
      <c r="BJ44" s="22" t="n">
        <v>-34.043</v>
      </c>
      <c r="BK44" s="22" t="n">
        <v>1.6</v>
      </c>
      <c r="BL44" s="22" t="n">
        <v>11.578</v>
      </c>
      <c r="BM44" s="22" t="n">
        <v>21.506</v>
      </c>
      <c r="BN44" s="22" t="n">
        <v>33.075</v>
      </c>
      <c r="BO44" s="22" t="n">
        <v>67.759</v>
      </c>
      <c r="BP44" s="22" t="n">
        <v>27.933</v>
      </c>
      <c r="BQ44" s="22" t="n">
        <v>30.853</v>
      </c>
      <c r="BR44" s="22" t="n">
        <v>34.909</v>
      </c>
      <c r="BS44" s="22" t="n">
        <v>48.883</v>
      </c>
      <c r="BT44" s="22" t="n">
        <v>142.578</v>
      </c>
      <c r="BU44" s="22" t="n">
        <v>44.951</v>
      </c>
      <c r="BV44" s="22" t="n">
        <v>36.84</v>
      </c>
      <c r="BW44" s="22" t="n">
        <v>51.259</v>
      </c>
      <c r="BX44" s="22" t="n">
        <v>65.81699999999999</v>
      </c>
      <c r="BY44" s="22" t="n">
        <v>198.867</v>
      </c>
      <c r="BZ44" s="23">
        <f>BZ38*CHOOSE(MATCH($CF$2,{"Bull","Base","Bear"},0),$CL$11,$CM$11,$CN$11)</f>
        <v/>
      </c>
      <c r="CA44" s="23">
        <f>CA38*CHOOSE(MATCH($CF$2,{"Bull","Base","Bear"},0),$CL$11,$CM$11,$CN$11)</f>
        <v/>
      </c>
      <c r="CB44" s="23">
        <f>CB38*CHOOSE(MATCH($CF$2,{"Bull","Base","Bear"},0),$CL$11,$CM$11,$CN$11)</f>
        <v/>
      </c>
      <c r="CC44" s="23">
        <f>CC38*CHOOSE(MATCH($CF$2,{"Bull","Base","Bear"},0),$CL$11,$CM$11,$CN$11)</f>
        <v/>
      </c>
      <c r="CD44" s="23">
        <f>CD38*CHOOSE(MATCH($CF$2,{"Bull","Base","Bear"},0),$CL$11,$CM$11,$CN$11)</f>
        <v/>
      </c>
    </row>
    <row r="45">
      <c r="B45" s="6" t="inlineStr">
        <is>
          <t>Income before income taxes</t>
        </is>
      </c>
      <c r="D45" s="33">
        <f>D43+D44</f>
        <v/>
      </c>
      <c r="E45" s="33">
        <f>E43+E44</f>
        <v/>
      </c>
      <c r="G45" s="33">
        <f>G43+G44</f>
        <v/>
      </c>
      <c r="H45" s="33">
        <f>H43+H44</f>
        <v/>
      </c>
      <c r="I45" s="33">
        <f>I43+I44</f>
        <v/>
      </c>
      <c r="J45" s="33">
        <f>J43+J44</f>
        <v/>
      </c>
      <c r="L45" s="33">
        <f>L43+L44</f>
        <v/>
      </c>
      <c r="M45" s="33">
        <f>M43+M44</f>
        <v/>
      </c>
      <c r="N45" s="33">
        <f>N43+N44</f>
        <v/>
      </c>
      <c r="O45" s="33">
        <f>O43+O44</f>
        <v/>
      </c>
      <c r="P45" s="33">
        <f>P43+P44</f>
        <v/>
      </c>
      <c r="Q45" s="33">
        <f>Q43+Q44</f>
        <v/>
      </c>
      <c r="R45" s="33">
        <f>R43+R44</f>
        <v/>
      </c>
      <c r="S45" s="33">
        <f>S43+S44</f>
        <v/>
      </c>
      <c r="T45" s="33">
        <f>T43+T44</f>
        <v/>
      </c>
      <c r="U45" s="33">
        <f>U43+U44</f>
        <v/>
      </c>
      <c r="V45" s="33">
        <f>V43+V44</f>
        <v/>
      </c>
      <c r="W45" s="33">
        <f>W43+W44</f>
        <v/>
      </c>
      <c r="X45" s="33">
        <f>X43+X44</f>
        <v/>
      </c>
      <c r="Y45" s="33">
        <f>Y43+Y44</f>
        <v/>
      </c>
      <c r="Z45" s="33">
        <f>Z43+Z44</f>
        <v/>
      </c>
      <c r="AA45" s="33">
        <f>AA43+AA44</f>
        <v/>
      </c>
      <c r="AB45" s="33">
        <f>AB43+AB44</f>
        <v/>
      </c>
      <c r="AC45" s="33">
        <f>AC43+AC44</f>
        <v/>
      </c>
      <c r="AD45" s="33">
        <f>AD43+AD44</f>
        <v/>
      </c>
      <c r="AE45" s="33">
        <f>AE43+AE44</f>
        <v/>
      </c>
      <c r="AF45" s="33">
        <f>AF43+AF44</f>
        <v/>
      </c>
      <c r="AG45" s="33">
        <f>AG43+AG44</f>
        <v/>
      </c>
      <c r="AH45" s="33">
        <f>AH43+AH44</f>
        <v/>
      </c>
      <c r="AI45" s="33">
        <f>AI43+AI44</f>
        <v/>
      </c>
      <c r="AJ45" s="33">
        <f>AJ43+AJ44</f>
        <v/>
      </c>
      <c r="AK45" s="33">
        <f>AK43+AK44</f>
        <v/>
      </c>
      <c r="AL45" s="33">
        <f>AL43+AL44</f>
        <v/>
      </c>
      <c r="AM45" s="33">
        <f>AM43+AM44</f>
        <v/>
      </c>
      <c r="AN45" s="33">
        <f>AN43+AN44</f>
        <v/>
      </c>
      <c r="AO45" s="33">
        <f>AO43+AO44</f>
        <v/>
      </c>
      <c r="AP45" s="33">
        <f>AP43+AP44</f>
        <v/>
      </c>
      <c r="AS45" s="33">
        <f>AS43+AS44</f>
        <v/>
      </c>
      <c r="AU45" s="33">
        <f>AU43+AU44</f>
        <v/>
      </c>
      <c r="AV45" s="33">
        <f>AV43+AV44</f>
        <v/>
      </c>
      <c r="AW45" s="33">
        <f>AW43+AW44</f>
        <v/>
      </c>
      <c r="AX45" s="33">
        <f>AX43+AX44</f>
        <v/>
      </c>
      <c r="AY45" s="33">
        <f>AY43+AY44</f>
        <v/>
      </c>
      <c r="AZ45" s="33">
        <f>AZ43+AZ44</f>
        <v/>
      </c>
      <c r="BA45" s="33">
        <f>BA43+BA44</f>
        <v/>
      </c>
      <c r="BB45" s="33">
        <f>BB43+BB44</f>
        <v/>
      </c>
      <c r="BC45" s="33">
        <f>BC43+BC44</f>
        <v/>
      </c>
      <c r="BD45" s="33">
        <f>BD43+BD44</f>
        <v/>
      </c>
      <c r="BE45" s="33">
        <f>BE43+BE44</f>
        <v/>
      </c>
      <c r="BF45" s="33">
        <f>BF43+BF44</f>
        <v/>
      </c>
      <c r="BG45" s="33">
        <f>BG43+BG44</f>
        <v/>
      </c>
      <c r="BH45" s="33">
        <f>BH43+BH44</f>
        <v/>
      </c>
      <c r="BI45" s="33">
        <f>BI43+BI44</f>
        <v/>
      </c>
      <c r="BJ45" s="33">
        <f>BJ43+BJ44</f>
        <v/>
      </c>
      <c r="BK45" s="33">
        <f>BK43+BK44</f>
        <v/>
      </c>
      <c r="BL45" s="33">
        <f>BL43+BL44</f>
        <v/>
      </c>
      <c r="BM45" s="33">
        <f>BM43+BM44</f>
        <v/>
      </c>
      <c r="BN45" s="33">
        <f>BN43+BN44</f>
        <v/>
      </c>
      <c r="BO45" s="33">
        <f>BO43+BO44</f>
        <v/>
      </c>
      <c r="BP45" s="33">
        <f>BP43+BP44</f>
        <v/>
      </c>
      <c r="BQ45" s="33">
        <f>BQ43+BQ44</f>
        <v/>
      </c>
      <c r="BR45" s="33">
        <f>BR43+BR44</f>
        <v/>
      </c>
      <c r="BS45" s="33">
        <f>BS43+BS44</f>
        <v/>
      </c>
      <c r="BT45" s="33">
        <f>BT43+BT44</f>
        <v/>
      </c>
      <c r="BU45" s="33">
        <f>BU43+BU44</f>
        <v/>
      </c>
      <c r="BV45" s="33">
        <f>BV43+BV44</f>
        <v/>
      </c>
      <c r="BW45" s="33">
        <f>BW43+BW44</f>
        <v/>
      </c>
      <c r="BX45" s="33">
        <f>BX43+BX44</f>
        <v/>
      </c>
      <c r="BY45" s="33">
        <f>BY43+BY44</f>
        <v/>
      </c>
      <c r="BZ45" s="26">
        <f>BZ43+BZ44</f>
        <v/>
      </c>
      <c r="CA45" s="26">
        <f>CA43+CA44</f>
        <v/>
      </c>
      <c r="CB45" s="26">
        <f>CB43+CB44</f>
        <v/>
      </c>
      <c r="CC45" s="26">
        <f>CC43+CC44</f>
        <v/>
      </c>
      <c r="CD45" s="26">
        <f>CD43+CD44</f>
        <v/>
      </c>
    </row>
    <row r="46">
      <c r="B46" s="18" t="inlineStr">
        <is>
          <t>Income tax expense</t>
        </is>
      </c>
      <c r="D46" s="22" t="n">
        <v>22.824</v>
      </c>
      <c r="E46" s="22" t="n">
        <v>30.214</v>
      </c>
      <c r="G46" s="22" t="n">
        <v>97.502</v>
      </c>
      <c r="H46" s="22" t="n">
        <v>22.666</v>
      </c>
      <c r="I46" s="22" t="n">
        <v>21.613</v>
      </c>
      <c r="J46" s="22" t="n">
        <v>29.076</v>
      </c>
      <c r="L46" s="22" t="n">
        <v>95.937</v>
      </c>
      <c r="M46" s="22" t="n">
        <v>25.743</v>
      </c>
      <c r="N46" s="22" t="n">
        <v>21.477</v>
      </c>
      <c r="O46" s="22" t="n">
        <v>28.769</v>
      </c>
      <c r="P46" s="22" t="n">
        <v>20.858</v>
      </c>
      <c r="Q46" s="22" t="n">
        <v>96.84699999999999</v>
      </c>
      <c r="R46" s="22" t="n">
        <v>22.823</v>
      </c>
      <c r="S46" s="22" t="n">
        <v>25.243</v>
      </c>
      <c r="T46" s="22" t="n">
        <v>20.441</v>
      </c>
      <c r="U46" s="22" t="n">
        <v>22.841</v>
      </c>
      <c r="V46" s="22" t="n">
        <v>91.348</v>
      </c>
      <c r="W46" s="22" t="n">
        <v>29.608</v>
      </c>
      <c r="X46" s="22" t="n">
        <v>27.911</v>
      </c>
      <c r="Y46" s="22" t="n">
        <v>30.733</v>
      </c>
      <c r="Z46" s="22" t="n">
        <v>24.034</v>
      </c>
      <c r="AA46" s="22" t="n">
        <v>112.286</v>
      </c>
      <c r="AB46" s="22" t="n">
        <v>29.15</v>
      </c>
      <c r="AC46" s="22" t="n">
        <v>32.548</v>
      </c>
      <c r="AD46" s="22" t="n">
        <v>41.944</v>
      </c>
      <c r="AE46" s="22" t="n">
        <v>21.863</v>
      </c>
      <c r="AF46" s="22" t="n">
        <v>125.505</v>
      </c>
      <c r="AG46" s="22" t="n">
        <v>-64.746</v>
      </c>
      <c r="AH46" s="22" t="n">
        <v>34.033</v>
      </c>
      <c r="AI46" s="22" t="n">
        <v>40.542</v>
      </c>
      <c r="AJ46" s="22" t="n">
        <v>36.01</v>
      </c>
      <c r="AK46" s="22" t="n">
        <v>45.839</v>
      </c>
      <c r="AL46" s="22" t="n">
        <v>36.568</v>
      </c>
      <c r="AM46" s="22" t="n">
        <v>41.137</v>
      </c>
      <c r="AN46" s="22" t="n">
        <v>43.811</v>
      </c>
      <c r="AO46" s="22" t="n">
        <v>22.988</v>
      </c>
      <c r="AP46" s="22" t="n">
        <v>144.504</v>
      </c>
      <c r="AQ46" s="22" t="n">
        <v>34.703</v>
      </c>
      <c r="AR46" s="22" t="n">
        <v>33.593</v>
      </c>
      <c r="AS46" s="22" t="n">
        <v>11.388</v>
      </c>
      <c r="AT46" s="22" t="n">
        <v>33.574</v>
      </c>
      <c r="AU46" s="22" t="n">
        <v>113.258</v>
      </c>
      <c r="AV46" s="22" t="n">
        <v>-16.098</v>
      </c>
      <c r="AW46" s="22" t="n">
        <v>36.367</v>
      </c>
      <c r="AX46" s="22" t="n">
        <v>44.313</v>
      </c>
      <c r="AY46" s="22" t="n">
        <v>36.35</v>
      </c>
      <c r="AZ46" s="22" t="n">
        <v>100.932</v>
      </c>
      <c r="BA46" s="22" t="n">
        <v>46.53</v>
      </c>
      <c r="BB46" s="22" t="n">
        <v>59.012</v>
      </c>
      <c r="BC46" s="22" t="n">
        <v>36.739</v>
      </c>
      <c r="BD46" s="22" t="n">
        <v>43.07</v>
      </c>
      <c r="BE46" s="22" t="n">
        <v>185.351</v>
      </c>
      <c r="BF46" s="22" t="n">
        <v>65.46299999999999</v>
      </c>
      <c r="BG46" s="22" t="n">
        <v>54.643</v>
      </c>
      <c r="BH46" s="22" t="n">
        <v>90.985</v>
      </c>
      <c r="BI46" s="22" t="n">
        <v>39.733</v>
      </c>
      <c r="BJ46" s="22" t="n">
        <v>250.824</v>
      </c>
      <c r="BK46" s="22" t="n">
        <v>67.255</v>
      </c>
      <c r="BL46" s="22" t="n">
        <v>83.426</v>
      </c>
      <c r="BM46" s="22" t="n">
        <v>89.999</v>
      </c>
      <c r="BN46" s="22" t="n">
        <v>75.907</v>
      </c>
      <c r="BO46" s="22" t="n">
        <v>316.587</v>
      </c>
      <c r="BP46" s="22" t="n">
        <v>90.777</v>
      </c>
      <c r="BQ46" s="22" t="n">
        <v>85.226</v>
      </c>
      <c r="BR46" s="22" t="n">
        <v>90.002</v>
      </c>
      <c r="BS46" s="22" t="n">
        <v>86.249</v>
      </c>
      <c r="BT46" s="22" t="n">
        <v>352.254</v>
      </c>
      <c r="BU46" s="22" t="n">
        <v>90.142</v>
      </c>
      <c r="BV46" s="22" t="n">
        <v>76.51000000000001</v>
      </c>
      <c r="BW46" s="22" t="n">
        <v>97.46599999999999</v>
      </c>
      <c r="BX46" s="22" t="n">
        <v>83.09999999999999</v>
      </c>
      <c r="BY46" s="22" t="n">
        <v>347.218</v>
      </c>
      <c r="BZ46" s="23">
        <f>BZ45*BZ47</f>
        <v/>
      </c>
      <c r="CA46" s="23">
        <f>CA45*CA47</f>
        <v/>
      </c>
      <c r="CB46" s="23">
        <f>CB45*CB47</f>
        <v/>
      </c>
      <c r="CC46" s="23">
        <f>CC45*CC47</f>
        <v/>
      </c>
      <c r="CD46" s="23">
        <f>CD45*CD47</f>
        <v/>
      </c>
    </row>
    <row r="47">
      <c r="B47" s="18" t="inlineStr">
        <is>
          <t xml:space="preserve">    Effective tax rate</t>
        </is>
      </c>
      <c r="C47" s="27">
        <f>IFERROR(C46/C45,"")</f>
        <v/>
      </c>
      <c r="D47" s="27">
        <f>IFERROR(D46/D45,"")</f>
        <v/>
      </c>
      <c r="E47" s="27">
        <f>IFERROR(E46/E45,"")</f>
        <v/>
      </c>
      <c r="F47" s="27">
        <f>IFERROR(F46/F45,"")</f>
        <v/>
      </c>
      <c r="G47" s="27">
        <f>IFERROR(G46/G45,"")</f>
        <v/>
      </c>
      <c r="H47" s="27">
        <f>IFERROR(H46/H45,"")</f>
        <v/>
      </c>
      <c r="I47" s="27">
        <f>IFERROR(I46/I45,"")</f>
        <v/>
      </c>
      <c r="J47" s="27">
        <f>IFERROR(J46/J45,"")</f>
        <v/>
      </c>
      <c r="K47" s="27">
        <f>IFERROR(K46/K45,"")</f>
        <v/>
      </c>
      <c r="L47" s="27">
        <f>IFERROR(L46/L45,"")</f>
        <v/>
      </c>
      <c r="M47" s="27">
        <f>IFERROR(M46/M45,"")</f>
        <v/>
      </c>
      <c r="N47" s="27">
        <f>IFERROR(N46/N45,"")</f>
        <v/>
      </c>
      <c r="O47" s="27">
        <f>IFERROR(O46/O45,"")</f>
        <v/>
      </c>
      <c r="P47" s="27">
        <f>IFERROR(P46/P45,"")</f>
        <v/>
      </c>
      <c r="Q47" s="27">
        <f>IFERROR(Q46/Q45,"")</f>
        <v/>
      </c>
      <c r="R47" s="27">
        <f>IFERROR(R46/R45,"")</f>
        <v/>
      </c>
      <c r="S47" s="27">
        <f>IFERROR(S46/S45,"")</f>
        <v/>
      </c>
      <c r="T47" s="27">
        <f>IFERROR(T46/T45,"")</f>
        <v/>
      </c>
      <c r="U47" s="27">
        <f>IFERROR(U46/U45,"")</f>
        <v/>
      </c>
      <c r="V47" s="27">
        <f>IFERROR(V46/V45,"")</f>
        <v/>
      </c>
      <c r="W47" s="27">
        <f>IFERROR(W46/W45,"")</f>
        <v/>
      </c>
      <c r="X47" s="27">
        <f>IFERROR(X46/X45,"")</f>
        <v/>
      </c>
      <c r="Y47" s="27">
        <f>IFERROR(Y46/Y45,"")</f>
        <v/>
      </c>
      <c r="Z47" s="27">
        <f>IFERROR(Z46/Z45,"")</f>
        <v/>
      </c>
      <c r="AA47" s="27">
        <f>IFERROR(AA46/AA45,"")</f>
        <v/>
      </c>
      <c r="AB47" s="27">
        <f>IFERROR(AB46/AB45,"")</f>
        <v/>
      </c>
      <c r="AC47" s="27">
        <f>IFERROR(AC46/AC45,"")</f>
        <v/>
      </c>
      <c r="AD47" s="27">
        <f>IFERROR(AD46/AD45,"")</f>
        <v/>
      </c>
      <c r="AE47" s="27">
        <f>IFERROR(AE46/AE45,"")</f>
        <v/>
      </c>
      <c r="AF47" s="27">
        <f>IFERROR(AF46/AF45,"")</f>
        <v/>
      </c>
      <c r="AG47" s="27">
        <f>IFERROR(AG46/AG45,"")</f>
        <v/>
      </c>
      <c r="AH47" s="27">
        <f>IFERROR(AH46/AH45,"")</f>
        <v/>
      </c>
      <c r="AI47" s="27">
        <f>IFERROR(AI46/AI45,"")</f>
        <v/>
      </c>
      <c r="AJ47" s="27">
        <f>IFERROR(AJ46/AJ45,"")</f>
        <v/>
      </c>
      <c r="AK47" s="27">
        <f>IFERROR(AK46/AK45,"")</f>
        <v/>
      </c>
      <c r="AL47" s="27">
        <f>IFERROR(AL46/AL45,"")</f>
        <v/>
      </c>
      <c r="AM47" s="27">
        <f>IFERROR(AM46/AM45,"")</f>
        <v/>
      </c>
      <c r="AN47" s="27">
        <f>IFERROR(AN46/AN45,"")</f>
        <v/>
      </c>
      <c r="AO47" s="27">
        <f>IFERROR(AO46/AO45,"")</f>
        <v/>
      </c>
      <c r="AP47" s="27">
        <f>IFERROR(AP46/AP45,"")</f>
        <v/>
      </c>
      <c r="AQ47" s="27">
        <f>IFERROR(AQ46/AQ45,"")</f>
        <v/>
      </c>
      <c r="AR47" s="27">
        <f>IFERROR(AR46/AR45,"")</f>
        <v/>
      </c>
      <c r="AS47" s="27">
        <f>IFERROR(AS46/AS45,"")</f>
        <v/>
      </c>
      <c r="AT47" s="27">
        <f>IFERROR(AT46/AT45,"")</f>
        <v/>
      </c>
      <c r="AU47" s="27">
        <f>IFERROR(AU46/AU45,"")</f>
        <v/>
      </c>
      <c r="AV47" s="27">
        <f>IFERROR(AV46/AV45,"")</f>
        <v/>
      </c>
      <c r="AW47" s="27">
        <f>IFERROR(AW46/AW45,"")</f>
        <v/>
      </c>
      <c r="AX47" s="27">
        <f>IFERROR(AX46/AX45,"")</f>
        <v/>
      </c>
      <c r="AY47" s="27">
        <f>IFERROR(AY46/AY45,"")</f>
        <v/>
      </c>
      <c r="AZ47" s="27">
        <f>IFERROR(AZ46/AZ45,"")</f>
        <v/>
      </c>
      <c r="BA47" s="27">
        <f>IFERROR(BA46/BA45,"")</f>
        <v/>
      </c>
      <c r="BB47" s="27">
        <f>IFERROR(BB46/BB45,"")</f>
        <v/>
      </c>
      <c r="BC47" s="27">
        <f>IFERROR(BC46/BC45,"")</f>
        <v/>
      </c>
      <c r="BD47" s="27">
        <f>IFERROR(BD46/BD45,"")</f>
        <v/>
      </c>
      <c r="BE47" s="27">
        <f>IFERROR(BE46/BE45,"")</f>
        <v/>
      </c>
      <c r="BF47" s="27">
        <f>IFERROR(BF46/BF45,"")</f>
        <v/>
      </c>
      <c r="BG47" s="27">
        <f>IFERROR(BG46/BG45,"")</f>
        <v/>
      </c>
      <c r="BH47" s="27">
        <f>IFERROR(BH46/BH45,"")</f>
        <v/>
      </c>
      <c r="BI47" s="27">
        <f>IFERROR(BI46/BI45,"")</f>
        <v/>
      </c>
      <c r="BJ47" s="27">
        <f>IFERROR(BJ46/BJ45,"")</f>
        <v/>
      </c>
      <c r="BK47" s="27">
        <f>IFERROR(BK46/BK45,"")</f>
        <v/>
      </c>
      <c r="BL47" s="27">
        <f>IFERROR(BL46/BL45,"")</f>
        <v/>
      </c>
      <c r="BM47" s="27">
        <f>IFERROR(BM46/BM45,"")</f>
        <v/>
      </c>
      <c r="BN47" s="27">
        <f>IFERROR(BN46/BN45,"")</f>
        <v/>
      </c>
      <c r="BO47" s="27">
        <f>IFERROR(BO46/BO45,"")</f>
        <v/>
      </c>
      <c r="BP47" s="27">
        <f>IFERROR(BP46/BP45,"")</f>
        <v/>
      </c>
      <c r="BQ47" s="27">
        <f>IFERROR(BQ46/BQ45,"")</f>
        <v/>
      </c>
      <c r="BR47" s="27">
        <f>IFERROR(BR46/BR45,"")</f>
        <v/>
      </c>
      <c r="BS47" s="27">
        <f>IFERROR(BS46/BS45,"")</f>
        <v/>
      </c>
      <c r="BT47" s="27">
        <f>IFERROR(BT46/BT45,"")</f>
        <v/>
      </c>
      <c r="BU47" s="27">
        <f>IFERROR(BU46/BU45,"")</f>
        <v/>
      </c>
      <c r="BV47" s="27">
        <f>IFERROR(BV46/BV45,"")</f>
        <v/>
      </c>
      <c r="BW47" s="27">
        <f>IFERROR(BW46/BW45,"")</f>
        <v/>
      </c>
      <c r="BX47" s="27">
        <f>IFERROR(BX46/BX45,"")</f>
        <v/>
      </c>
      <c r="BY47" s="27">
        <f>IFERROR(BY46/BY45,"")</f>
        <v/>
      </c>
      <c r="BZ47" s="28">
        <f>CHOOSE(MATCH($CF$2,{"Bull","Base","Bear"},0),$CL$12,$CM$12,$CN$12)</f>
        <v/>
      </c>
      <c r="CA47" s="28">
        <f>CHOOSE(MATCH($CF$2,{"Bull","Base","Bear"},0),$CL$12,$CM$12,$CN$12)</f>
        <v/>
      </c>
      <c r="CB47" s="28">
        <f>CHOOSE(MATCH($CF$2,{"Bull","Base","Bear"},0),$CL$12,$CM$12,$CN$12)</f>
        <v/>
      </c>
      <c r="CC47" s="28">
        <f>CHOOSE(MATCH($CF$2,{"Bull","Base","Bear"},0),$CL$12,$CM$12,$CN$12)</f>
        <v/>
      </c>
      <c r="CD47" s="28">
        <f>CHOOSE(MATCH($CF$2,{"Bull","Base","Bear"},0),$CL$12,$CM$12,$CN$12)</f>
        <v/>
      </c>
    </row>
    <row r="48">
      <c r="B48" s="6" t="inlineStr">
        <is>
          <t>Net income (incl. noncontrolling interests)</t>
        </is>
      </c>
      <c r="D48" s="33">
        <f>D45-D46</f>
        <v/>
      </c>
      <c r="E48" s="33">
        <f>E45-E46</f>
        <v/>
      </c>
      <c r="G48" s="33">
        <f>G45-G46</f>
        <v/>
      </c>
      <c r="H48" s="33">
        <f>H45-H46</f>
        <v/>
      </c>
      <c r="I48" s="33">
        <f>I45-I46</f>
        <v/>
      </c>
      <c r="J48" s="33">
        <f>J45-J46</f>
        <v/>
      </c>
      <c r="L48" s="33">
        <f>L45-L46</f>
        <v/>
      </c>
      <c r="M48" s="33">
        <f>M45-M46</f>
        <v/>
      </c>
      <c r="N48" s="33">
        <f>N45-N46</f>
        <v/>
      </c>
      <c r="O48" s="33">
        <f>O45-O46</f>
        <v/>
      </c>
      <c r="P48" s="33">
        <f>P45-P46</f>
        <v/>
      </c>
      <c r="Q48" s="33">
        <f>Q45-Q46</f>
        <v/>
      </c>
      <c r="R48" s="33">
        <f>R45-R46</f>
        <v/>
      </c>
      <c r="S48" s="33">
        <f>S45-S46</f>
        <v/>
      </c>
      <c r="T48" s="33">
        <f>T45-T46</f>
        <v/>
      </c>
      <c r="U48" s="33">
        <f>U45-U46</f>
        <v/>
      </c>
      <c r="V48" s="33">
        <f>V45-V46</f>
        <v/>
      </c>
      <c r="W48" s="33">
        <f>W45-W46</f>
        <v/>
      </c>
      <c r="X48" s="33">
        <f>X45-X46</f>
        <v/>
      </c>
      <c r="Y48" s="33">
        <f>Y45-Y46</f>
        <v/>
      </c>
      <c r="Z48" s="33">
        <f>Z45-Z46</f>
        <v/>
      </c>
      <c r="AA48" s="33">
        <f>AA45-AA46</f>
        <v/>
      </c>
      <c r="AB48" s="33">
        <f>AB45-AB46</f>
        <v/>
      </c>
      <c r="AC48" s="33">
        <f>AC45-AC46</f>
        <v/>
      </c>
      <c r="AD48" s="33">
        <f>AD45-AD46</f>
        <v/>
      </c>
      <c r="AE48" s="33">
        <f>AE45-AE46</f>
        <v/>
      </c>
      <c r="AF48" s="33">
        <f>AF45-AF46</f>
        <v/>
      </c>
      <c r="AG48" s="33">
        <f>AG45-AG46</f>
        <v/>
      </c>
      <c r="AH48" s="33">
        <f>AH45-AH46</f>
        <v/>
      </c>
      <c r="AI48" s="33">
        <f>AI45-AI46</f>
        <v/>
      </c>
      <c r="AJ48" s="33">
        <f>AJ45-AJ46</f>
        <v/>
      </c>
      <c r="AK48" s="33">
        <f>AK45-AK46</f>
        <v/>
      </c>
      <c r="AL48" s="33">
        <f>AL45-AL46</f>
        <v/>
      </c>
      <c r="AM48" s="33">
        <f>AM45-AM46</f>
        <v/>
      </c>
      <c r="AN48" s="33">
        <f>AN45-AN46</f>
        <v/>
      </c>
      <c r="AO48" s="33">
        <f>AO45-AO46</f>
        <v/>
      </c>
      <c r="AP48" s="33">
        <f>AP45-AP46</f>
        <v/>
      </c>
      <c r="AS48" s="33">
        <f>AS45-AS46</f>
        <v/>
      </c>
      <c r="AU48" s="33">
        <f>AU45-AU46</f>
        <v/>
      </c>
      <c r="AV48" s="33">
        <f>AV45-AV46</f>
        <v/>
      </c>
      <c r="AW48" s="33">
        <f>AW45-AW46</f>
        <v/>
      </c>
      <c r="AX48" s="33">
        <f>AX45-AX46</f>
        <v/>
      </c>
      <c r="AY48" s="33">
        <f>AY45-AY46</f>
        <v/>
      </c>
      <c r="AZ48" s="33">
        <f>AZ45-AZ46</f>
        <v/>
      </c>
      <c r="BA48" s="33">
        <f>BA45-BA46</f>
        <v/>
      </c>
      <c r="BB48" s="33">
        <f>BB45-BB46</f>
        <v/>
      </c>
      <c r="BC48" s="33">
        <f>BC45-BC46</f>
        <v/>
      </c>
      <c r="BD48" s="33">
        <f>BD45-BD46</f>
        <v/>
      </c>
      <c r="BE48" s="33">
        <f>BE45-BE46</f>
        <v/>
      </c>
      <c r="BF48" s="33">
        <f>BF45-BF46</f>
        <v/>
      </c>
      <c r="BG48" s="33">
        <f>BG45-BG46</f>
        <v/>
      </c>
      <c r="BH48" s="33">
        <f>BH45-BH46</f>
        <v/>
      </c>
      <c r="BI48" s="33">
        <f>BI45-BI46</f>
        <v/>
      </c>
      <c r="BJ48" s="33">
        <f>BJ45-BJ46</f>
        <v/>
      </c>
      <c r="BK48" s="33">
        <f>BK45-BK46</f>
        <v/>
      </c>
      <c r="BL48" s="33">
        <f>BL45-BL46</f>
        <v/>
      </c>
      <c r="BM48" s="33">
        <f>BM45-BM46</f>
        <v/>
      </c>
      <c r="BN48" s="33">
        <f>BN45-BN46</f>
        <v/>
      </c>
      <c r="BO48" s="33">
        <f>BO45-BO46</f>
        <v/>
      </c>
      <c r="BP48" s="33">
        <f>BP45-BP46</f>
        <v/>
      </c>
      <c r="BQ48" s="33">
        <f>BQ45-BQ46</f>
        <v/>
      </c>
      <c r="BR48" s="33">
        <f>BR45-BR46</f>
        <v/>
      </c>
      <c r="BS48" s="33">
        <f>BS45-BS46</f>
        <v/>
      </c>
      <c r="BT48" s="33">
        <f>BT45-BT46</f>
        <v/>
      </c>
      <c r="BU48" s="33">
        <f>BU45-BU46</f>
        <v/>
      </c>
      <c r="BV48" s="33">
        <f>BV45-BV46</f>
        <v/>
      </c>
      <c r="BW48" s="33">
        <f>BW45-BW46</f>
        <v/>
      </c>
      <c r="BX48" s="33">
        <f>BX45-BX46</f>
        <v/>
      </c>
      <c r="BY48" s="33">
        <f>BY45-BY46</f>
        <v/>
      </c>
      <c r="BZ48" s="26">
        <f>BZ45-BZ46</f>
        <v/>
      </c>
      <c r="CA48" s="26">
        <f>CA45-CA46</f>
        <v/>
      </c>
      <c r="CB48" s="26">
        <f>CB45-CB46</f>
        <v/>
      </c>
      <c r="CC48" s="26">
        <f>CC45-CC46</f>
        <v/>
      </c>
      <c r="CD48" s="26">
        <f>CD45-CD46</f>
        <v/>
      </c>
    </row>
    <row r="49">
      <c r="B49" s="6" t="inlineStr">
        <is>
          <t>Net income attributable to Copart, Inc.</t>
        </is>
      </c>
      <c r="C49" s="25" t="n">
        <v>37.823</v>
      </c>
      <c r="D49" s="25" t="n">
        <v>37.893</v>
      </c>
      <c r="E49" s="25" t="n">
        <v>50.136</v>
      </c>
      <c r="F49" s="25" t="n">
        <v>40.521</v>
      </c>
      <c r="G49" s="25" t="n">
        <v>166.375</v>
      </c>
      <c r="H49" s="25" t="n">
        <v>41.149</v>
      </c>
      <c r="I49" s="25" t="n">
        <v>40.603</v>
      </c>
      <c r="J49" s="25" t="n">
        <v>55.471</v>
      </c>
      <c r="L49" s="25" t="n">
        <v>182.119</v>
      </c>
      <c r="M49" s="25" t="n">
        <v>45.845</v>
      </c>
      <c r="N49" s="25" t="n">
        <v>39.64</v>
      </c>
      <c r="O49" s="25" t="n">
        <v>53.236</v>
      </c>
      <c r="P49" s="25" t="n">
        <v>41.304</v>
      </c>
      <c r="Q49" s="25" t="n">
        <v>180.025</v>
      </c>
      <c r="R49" s="25" t="n">
        <v>41.422</v>
      </c>
      <c r="S49" s="25" t="n">
        <v>45.345</v>
      </c>
      <c r="T49" s="25" t="n">
        <v>40.877</v>
      </c>
      <c r="U49" s="25" t="n">
        <v>51.043</v>
      </c>
      <c r="V49" s="25" t="n">
        <v>178.687</v>
      </c>
      <c r="W49" s="25" t="n">
        <v>52.615</v>
      </c>
      <c r="X49" s="25" t="n">
        <v>52.193</v>
      </c>
      <c r="Y49" s="25" t="n">
        <v>57.563</v>
      </c>
      <c r="Z49" s="25" t="n">
        <v>57.412</v>
      </c>
      <c r="AA49" s="25" t="n">
        <v>219.783</v>
      </c>
      <c r="AB49" s="25" t="n">
        <v>52.61</v>
      </c>
      <c r="AC49" s="25" t="n">
        <v>59.007</v>
      </c>
      <c r="AD49" s="25" t="n">
        <v>74.623</v>
      </c>
      <c r="AE49" s="25" t="n">
        <v>84.12</v>
      </c>
      <c r="AF49" s="25" t="n">
        <v>270.36</v>
      </c>
      <c r="AG49" s="25" t="n">
        <v>167.28</v>
      </c>
      <c r="AH49" s="25" t="n">
        <v>66.066</v>
      </c>
      <c r="AI49" s="25" t="n">
        <v>90.54600000000001</v>
      </c>
      <c r="AJ49" s="25" t="n">
        <v>70.33499999999999</v>
      </c>
      <c r="AK49" s="25" t="n">
        <v>394.227</v>
      </c>
      <c r="AL49" s="25" t="n">
        <v>77.515</v>
      </c>
      <c r="AM49" s="25" t="n">
        <v>103.256</v>
      </c>
      <c r="AN49" s="25" t="n">
        <v>127.348</v>
      </c>
      <c r="AO49" s="25" t="n">
        <v>109.748</v>
      </c>
      <c r="AP49" s="25" t="n">
        <v>417.867</v>
      </c>
      <c r="AQ49" s="25" t="n">
        <v>114.083</v>
      </c>
      <c r="AR49" s="25" t="n">
        <v>131.373</v>
      </c>
      <c r="AS49" s="25" t="n">
        <v>192.741</v>
      </c>
      <c r="AT49" s="25" t="n">
        <v>153.496</v>
      </c>
      <c r="AU49" s="25" t="n">
        <v>591.693</v>
      </c>
      <c r="AV49" s="25" t="n">
        <v>218.18</v>
      </c>
      <c r="AW49" s="25" t="n">
        <v>168.707</v>
      </c>
      <c r="AX49" s="25" t="n">
        <v>147.487</v>
      </c>
      <c r="AY49" s="25" t="n">
        <v>165.533</v>
      </c>
      <c r="AZ49" s="25" t="n">
        <v>699.907</v>
      </c>
      <c r="BA49" s="25" t="n">
        <v>200.285</v>
      </c>
      <c r="BB49" s="25" t="n">
        <v>193.44</v>
      </c>
      <c r="BC49" s="25" t="n">
        <v>286.796</v>
      </c>
      <c r="BD49" s="25" t="n">
        <v>255.974</v>
      </c>
      <c r="BE49" s="25" t="n">
        <v>936.495</v>
      </c>
      <c r="BF49" s="25" t="n">
        <v>260.363</v>
      </c>
      <c r="BG49" s="25" t="n">
        <v>287.412</v>
      </c>
      <c r="BH49" s="25" t="n">
        <v>278.62</v>
      </c>
      <c r="BI49" s="25" t="n">
        <v>263.735</v>
      </c>
      <c r="BJ49" s="25" t="n">
        <v>1090.13</v>
      </c>
      <c r="BK49" s="25" t="n">
        <v>245.848</v>
      </c>
      <c r="BL49" s="25" t="n">
        <v>293.677</v>
      </c>
      <c r="BM49" s="25" t="n">
        <v>350.431</v>
      </c>
      <c r="BN49" s="25" t="n">
        <v>347.785</v>
      </c>
      <c r="BO49" s="25" t="n">
        <v>1237.741</v>
      </c>
      <c r="BP49" s="25" t="n">
        <v>332.527</v>
      </c>
      <c r="BQ49" s="25" t="n">
        <v>325.635</v>
      </c>
      <c r="BR49" s="25" t="n">
        <v>382.291</v>
      </c>
      <c r="BS49" s="25" t="n">
        <v>322.567</v>
      </c>
      <c r="BT49" s="25" t="n">
        <v>1363.02</v>
      </c>
      <c r="BU49" s="25" t="n">
        <v>362.086</v>
      </c>
      <c r="BV49" s="25" t="n">
        <v>387.4</v>
      </c>
      <c r="BW49" s="25" t="n">
        <v>406.609</v>
      </c>
      <c r="BX49" s="25" t="n">
        <v>396.354</v>
      </c>
      <c r="BY49" s="25" t="n">
        <v>1552.449</v>
      </c>
      <c r="BZ49" s="26">
        <f>BZ48</f>
        <v/>
      </c>
      <c r="CA49" s="26">
        <f>CA48</f>
        <v/>
      </c>
      <c r="CB49" s="26">
        <f>CB48</f>
        <v/>
      </c>
      <c r="CC49" s="26">
        <f>CC48</f>
        <v/>
      </c>
      <c r="CD49" s="26">
        <f>CD48</f>
        <v/>
      </c>
      <c r="CF49" s="24">
        <f>IFERROR((CD49/BY49)^(1/5)-1,"n/m")</f>
        <v/>
      </c>
      <c r="CG49" s="24">
        <f>IFERROR((BY49/AZ49)^(1/5)-1,"n/m")</f>
        <v/>
      </c>
      <c r="CH49" s="24">
        <f>IFERROR((BY49/G49)^(1/14)-1,"n/m")</f>
        <v/>
      </c>
    </row>
    <row r="50">
      <c r="B50" s="18" t="inlineStr">
        <is>
          <t xml:space="preserve">    Memo: net income attributable to noncontrolling interests</t>
        </is>
      </c>
      <c r="C50" s="34">
        <f>IFERROR(C48-C49,"")</f>
        <v/>
      </c>
      <c r="D50" s="34">
        <f>IFERROR(D48-D49,"")</f>
        <v/>
      </c>
      <c r="E50" s="34">
        <f>IFERROR(E48-E49,"")</f>
        <v/>
      </c>
      <c r="F50" s="34">
        <f>IFERROR(F48-F49,"")</f>
        <v/>
      </c>
      <c r="G50" s="34">
        <f>IFERROR(G48-G49,"")</f>
        <v/>
      </c>
      <c r="H50" s="34">
        <f>IFERROR(H48-H49,"")</f>
        <v/>
      </c>
      <c r="I50" s="34">
        <f>IFERROR(I48-I49,"")</f>
        <v/>
      </c>
      <c r="J50" s="34">
        <f>IFERROR(J48-J49,"")</f>
        <v/>
      </c>
      <c r="K50" s="34">
        <f>IFERROR(K48-K49,"")</f>
        <v/>
      </c>
      <c r="L50" s="34">
        <f>IFERROR(L48-L49,"")</f>
        <v/>
      </c>
      <c r="M50" s="34">
        <f>IFERROR(M48-M49,"")</f>
        <v/>
      </c>
      <c r="N50" s="34">
        <f>IFERROR(N48-N49,"")</f>
        <v/>
      </c>
      <c r="O50" s="34">
        <f>IFERROR(O48-O49,"")</f>
        <v/>
      </c>
      <c r="P50" s="34">
        <f>IFERROR(P48-P49,"")</f>
        <v/>
      </c>
      <c r="Q50" s="34">
        <f>IFERROR(Q48-Q49,"")</f>
        <v/>
      </c>
      <c r="R50" s="34">
        <f>IFERROR(R48-R49,"")</f>
        <v/>
      </c>
      <c r="S50" s="34">
        <f>IFERROR(S48-S49,"")</f>
        <v/>
      </c>
      <c r="T50" s="34">
        <f>IFERROR(T48-T49,"")</f>
        <v/>
      </c>
      <c r="U50" s="34">
        <f>IFERROR(U48-U49,"")</f>
        <v/>
      </c>
      <c r="V50" s="34">
        <f>IFERROR(V48-V49,"")</f>
        <v/>
      </c>
      <c r="W50" s="34">
        <f>IFERROR(W48-W49,"")</f>
        <v/>
      </c>
      <c r="X50" s="34">
        <f>IFERROR(X48-X49,"")</f>
        <v/>
      </c>
      <c r="Y50" s="34">
        <f>IFERROR(Y48-Y49,"")</f>
        <v/>
      </c>
      <c r="Z50" s="34">
        <f>IFERROR(Z48-Z49,"")</f>
        <v/>
      </c>
      <c r="AA50" s="34">
        <f>IFERROR(AA48-AA49,"")</f>
        <v/>
      </c>
      <c r="AB50" s="34">
        <f>IFERROR(AB48-AB49,"")</f>
        <v/>
      </c>
      <c r="AC50" s="34">
        <f>IFERROR(AC48-AC49,"")</f>
        <v/>
      </c>
      <c r="AD50" s="34">
        <f>IFERROR(AD48-AD49,"")</f>
        <v/>
      </c>
      <c r="AE50" s="34">
        <f>IFERROR(AE48-AE49,"")</f>
        <v/>
      </c>
      <c r="AF50" s="34">
        <f>IFERROR(AF48-AF49,"")</f>
        <v/>
      </c>
      <c r="AG50" s="34">
        <f>IFERROR(AG48-AG49,"")</f>
        <v/>
      </c>
      <c r="AH50" s="34">
        <f>IFERROR(AH48-AH49,"")</f>
        <v/>
      </c>
      <c r="AI50" s="34">
        <f>IFERROR(AI48-AI49,"")</f>
        <v/>
      </c>
      <c r="AJ50" s="34">
        <f>IFERROR(AJ48-AJ49,"")</f>
        <v/>
      </c>
      <c r="AK50" s="34">
        <f>IFERROR(AK48-AK49,"")</f>
        <v/>
      </c>
      <c r="AL50" s="34">
        <f>IFERROR(AL48-AL49,"")</f>
        <v/>
      </c>
      <c r="AM50" s="34">
        <f>IFERROR(AM48-AM49,"")</f>
        <v/>
      </c>
      <c r="AN50" s="34">
        <f>IFERROR(AN48-AN49,"")</f>
        <v/>
      </c>
      <c r="AO50" s="34">
        <f>IFERROR(AO48-AO49,"")</f>
        <v/>
      </c>
      <c r="AP50" s="34">
        <f>IFERROR(AP48-AP49,"")</f>
        <v/>
      </c>
      <c r="AQ50" s="34">
        <f>IFERROR(AQ48-AQ49,"")</f>
        <v/>
      </c>
      <c r="AR50" s="34">
        <f>IFERROR(AR48-AR49,"")</f>
        <v/>
      </c>
      <c r="AS50" s="34">
        <f>IFERROR(AS48-AS49,"")</f>
        <v/>
      </c>
      <c r="AT50" s="34">
        <f>IFERROR(AT48-AT49,"")</f>
        <v/>
      </c>
      <c r="AU50" s="34">
        <f>IFERROR(AU48-AU49,"")</f>
        <v/>
      </c>
      <c r="AV50" s="34">
        <f>IFERROR(AV48-AV49,"")</f>
        <v/>
      </c>
      <c r="AW50" s="34">
        <f>IFERROR(AW48-AW49,"")</f>
        <v/>
      </c>
      <c r="AX50" s="34">
        <f>IFERROR(AX48-AX49,"")</f>
        <v/>
      </c>
      <c r="AY50" s="34">
        <f>IFERROR(AY48-AY49,"")</f>
        <v/>
      </c>
      <c r="AZ50" s="34">
        <f>IFERROR(AZ48-AZ49,"")</f>
        <v/>
      </c>
      <c r="BA50" s="34">
        <f>IFERROR(BA48-BA49,"")</f>
        <v/>
      </c>
      <c r="BB50" s="34">
        <f>IFERROR(BB48-BB49,"")</f>
        <v/>
      </c>
      <c r="BC50" s="34">
        <f>IFERROR(BC48-BC49,"")</f>
        <v/>
      </c>
      <c r="BD50" s="34">
        <f>IFERROR(BD48-BD49,"")</f>
        <v/>
      </c>
      <c r="BE50" s="34">
        <f>IFERROR(BE48-BE49,"")</f>
        <v/>
      </c>
      <c r="BF50" s="34">
        <f>IFERROR(BF48-BF49,"")</f>
        <v/>
      </c>
      <c r="BG50" s="34">
        <f>IFERROR(BG48-BG49,"")</f>
        <v/>
      </c>
      <c r="BH50" s="34">
        <f>IFERROR(BH48-BH49,"")</f>
        <v/>
      </c>
      <c r="BI50" s="34">
        <f>IFERROR(BI48-BI49,"")</f>
        <v/>
      </c>
      <c r="BJ50" s="34">
        <f>IFERROR(BJ48-BJ49,"")</f>
        <v/>
      </c>
      <c r="BK50" s="34">
        <f>IFERROR(BK48-BK49,"")</f>
        <v/>
      </c>
      <c r="BL50" s="34">
        <f>IFERROR(BL48-BL49,"")</f>
        <v/>
      </c>
      <c r="BM50" s="34">
        <f>IFERROR(BM48-BM49,"")</f>
        <v/>
      </c>
      <c r="BN50" s="34">
        <f>IFERROR(BN48-BN49,"")</f>
        <v/>
      </c>
      <c r="BO50" s="34">
        <f>IFERROR(BO48-BO49,"")</f>
        <v/>
      </c>
      <c r="BP50" s="34">
        <f>IFERROR(BP48-BP49,"")</f>
        <v/>
      </c>
      <c r="BQ50" s="34">
        <f>IFERROR(BQ48-BQ49,"")</f>
        <v/>
      </c>
      <c r="BR50" s="34">
        <f>IFERROR(BR48-BR49,"")</f>
        <v/>
      </c>
      <c r="BS50" s="34">
        <f>IFERROR(BS48-BS49,"")</f>
        <v/>
      </c>
      <c r="BT50" s="34">
        <f>IFERROR(BT48-BT49,"")</f>
        <v/>
      </c>
      <c r="BU50" s="34">
        <f>IFERROR(BU48-BU49,"")</f>
        <v/>
      </c>
      <c r="BV50" s="34">
        <f>IFERROR(BV48-BV49,"")</f>
        <v/>
      </c>
      <c r="BW50" s="34">
        <f>IFERROR(BW48-BW49,"")</f>
        <v/>
      </c>
      <c r="BX50" s="34">
        <f>IFERROR(BX48-BX49,"")</f>
        <v/>
      </c>
      <c r="BY50" s="34">
        <f>IFERROR(BY48-BY49,"")</f>
        <v/>
      </c>
    </row>
    <row r="51">
      <c r="B51" s="18" t="inlineStr">
        <is>
          <t>Weighted-avg shares — diluted (m)</t>
        </is>
      </c>
      <c r="D51" s="22" t="n">
        <v>81.955</v>
      </c>
      <c r="E51" s="22" t="n">
        <v>142.065</v>
      </c>
      <c r="G51" s="22" t="n">
        <v>153.352</v>
      </c>
      <c r="H51" s="22" t="n">
        <v>133.802</v>
      </c>
      <c r="I51" s="22" t="n">
        <v>131.59</v>
      </c>
      <c r="J51" s="22" t="n">
        <v>130.451</v>
      </c>
      <c r="L51" s="22" t="n">
        <v>0.131428</v>
      </c>
      <c r="M51" s="22" t="n">
        <v>128.473</v>
      </c>
      <c r="N51" s="22" t="n">
        <v>129.52</v>
      </c>
      <c r="O51" s="22" t="n">
        <v>0.13053</v>
      </c>
      <c r="P51" s="22" t="n">
        <v>-128.34253</v>
      </c>
      <c r="Q51" s="22" t="n">
        <v>129.781</v>
      </c>
      <c r="R51" s="22" t="n">
        <v>0.130706</v>
      </c>
      <c r="S51" s="22" t="n">
        <v>131.101</v>
      </c>
      <c r="T51" s="22" t="n">
        <v>131.486</v>
      </c>
      <c r="U51" s="22" t="n">
        <v>-131.487706</v>
      </c>
      <c r="V51" s="22" t="n">
        <v>131.23</v>
      </c>
      <c r="W51" s="22" t="n">
        <v>131.517</v>
      </c>
      <c r="X51" s="22" t="n">
        <v>131.872</v>
      </c>
      <c r="Y51" s="22" t="n">
        <v>132.124</v>
      </c>
      <c r="Z51" s="22" t="n">
        <v>-132.662</v>
      </c>
      <c r="AA51" s="22" t="n">
        <v>262.851</v>
      </c>
      <c r="AB51" s="22" t="n">
        <v>127.144</v>
      </c>
      <c r="AC51" s="22" t="n">
        <v>124.612</v>
      </c>
      <c r="AD51" s="22" t="n">
        <v>236.412</v>
      </c>
      <c r="AE51" s="22" t="n">
        <v>-243.873</v>
      </c>
      <c r="AF51" s="22" t="n">
        <v>244.295</v>
      </c>
      <c r="AG51" s="22" t="n">
        <v>237.758</v>
      </c>
      <c r="AH51" s="22" t="n">
        <v>235.588</v>
      </c>
      <c r="AI51" s="22" t="n">
        <v>237.135</v>
      </c>
      <c r="AJ51" s="22" t="n">
        <v>-473.462</v>
      </c>
      <c r="AK51" s="22" t="n">
        <v>237.019</v>
      </c>
      <c r="AL51" s="22" t="n">
        <v>238.791</v>
      </c>
      <c r="AM51" s="22" t="n">
        <v>241.36</v>
      </c>
      <c r="AN51" s="22" t="n">
        <v>242.96</v>
      </c>
      <c r="AO51" s="22" t="n">
        <v>-481.234</v>
      </c>
      <c r="AP51" s="22" t="n">
        <v>241.877</v>
      </c>
      <c r="AQ51" s="22" t="n">
        <v>244.826</v>
      </c>
      <c r="AR51" s="22" t="n">
        <v>240.66</v>
      </c>
      <c r="AS51" s="22" t="n">
        <v>237.892</v>
      </c>
      <c r="AT51" s="22" t="n">
        <v>-482.925</v>
      </c>
      <c r="AU51" s="22" t="n">
        <v>240.453</v>
      </c>
      <c r="AV51" s="22" t="n">
        <v>238.662</v>
      </c>
      <c r="AW51" s="22" t="n">
        <v>238.47</v>
      </c>
      <c r="AX51" s="22" t="n">
        <v>238.591</v>
      </c>
      <c r="AY51" s="22" t="n">
        <v>-477.067</v>
      </c>
      <c r="AZ51" s="22" t="n">
        <v>238.656</v>
      </c>
      <c r="BA51" s="22" t="n">
        <v>239.968</v>
      </c>
      <c r="BB51" s="22" t="n">
        <v>240.28</v>
      </c>
      <c r="BC51" s="22" t="n">
        <v>240.208</v>
      </c>
      <c r="BD51" s="22" t="n">
        <v>240.704</v>
      </c>
      <c r="BE51" s="22" t="n">
        <v>961.16</v>
      </c>
      <c r="BF51" s="22" t="n">
        <v>482.442</v>
      </c>
      <c r="BG51" s="22" t="n">
        <v>482.374</v>
      </c>
      <c r="BH51" s="22" t="n">
        <v>481.448</v>
      </c>
      <c r="BI51" s="22" t="n">
        <v>-481.66</v>
      </c>
      <c r="BJ51" s="22" t="n">
        <v>964.604</v>
      </c>
      <c r="BK51" s="22" t="n">
        <v>964.336</v>
      </c>
      <c r="BL51" s="22" t="n">
        <v>965.072</v>
      </c>
      <c r="BM51" s="22" t="n">
        <v>967.38</v>
      </c>
      <c r="BN51" s="22" t="n">
        <v>-1930.141</v>
      </c>
      <c r="BO51" s="22" t="n">
        <v>966.647</v>
      </c>
      <c r="BP51" s="22" t="n">
        <v>971.682</v>
      </c>
      <c r="BQ51" s="22" t="n">
        <v>974.5890000000001</v>
      </c>
      <c r="BR51" s="22" t="n">
        <v>976.4450000000001</v>
      </c>
      <c r="BS51" s="22" t="n">
        <v>-1947.918</v>
      </c>
      <c r="BT51" s="22" t="n">
        <v>974.798</v>
      </c>
      <c r="BU51" s="22" t="n">
        <v>976.506</v>
      </c>
      <c r="BV51" s="22" t="n">
        <v>977.91</v>
      </c>
      <c r="BW51" s="22" t="n">
        <v>978.0890000000001</v>
      </c>
      <c r="BX51" s="22" t="n">
        <v>-1954.942</v>
      </c>
      <c r="BY51" s="22" t="n">
        <v>977.563</v>
      </c>
      <c r="BZ51" s="23">
        <f>BY51*(1-CHOOSE(MATCH($CF$2,{"Bull","Base","Bear"},0),$CL$17,$CM$17,$CN$17))</f>
        <v/>
      </c>
      <c r="CA51" s="23">
        <f>BZ51*(1-CHOOSE(MATCH($CF$2,{"Bull","Base","Bear"},0),$CL$17,$CM$17,$CN$17))</f>
        <v/>
      </c>
      <c r="CB51" s="23">
        <f>CA51*(1-CHOOSE(MATCH($CF$2,{"Bull","Base","Bear"},0),$CL$17,$CM$17,$CN$17))</f>
        <v/>
      </c>
      <c r="CC51" s="23">
        <f>CB51*(1-CHOOSE(MATCH($CF$2,{"Bull","Base","Bear"},0),$CL$17,$CM$17,$CN$17))</f>
        <v/>
      </c>
      <c r="CD51" s="23">
        <f>CC51*(1-CHOOSE(MATCH($CF$2,{"Bull","Base","Bear"},0),$CL$17,$CM$17,$CN$17))</f>
        <v/>
      </c>
    </row>
    <row r="52">
      <c r="B52" s="18" t="inlineStr">
        <is>
          <t>Weighted-avg shares — basic (m)</t>
        </is>
      </c>
      <c r="D52" s="22" t="n">
        <v>81.23999999999999</v>
      </c>
      <c r="E52" s="22" t="n">
        <v>139.613</v>
      </c>
      <c r="G52" s="22" t="n">
        <v>151.298</v>
      </c>
      <c r="H52" s="22" t="n">
        <v>131.432</v>
      </c>
      <c r="I52" s="22" t="n">
        <v>128.306</v>
      </c>
      <c r="J52" s="22" t="n">
        <v>126.596</v>
      </c>
      <c r="L52" s="22" t="n">
        <v>0.12812</v>
      </c>
      <c r="M52" s="22" t="n">
        <v>124.302</v>
      </c>
      <c r="N52" s="22" t="n">
        <v>124.709</v>
      </c>
      <c r="O52" s="22" t="n">
        <v>0.12527</v>
      </c>
      <c r="P52" s="22" t="n">
        <v>-124.22427</v>
      </c>
      <c r="Q52" s="22" t="n">
        <v>124.912</v>
      </c>
      <c r="R52" s="22" t="n">
        <v>0.12546</v>
      </c>
      <c r="S52" s="22" t="n">
        <v>125.564</v>
      </c>
      <c r="T52" s="22" t="n">
        <v>125.794</v>
      </c>
      <c r="U52" s="22" t="n">
        <v>-125.79046</v>
      </c>
      <c r="V52" s="22" t="n">
        <v>125.693</v>
      </c>
      <c r="W52" s="22" t="n">
        <v>126.217</v>
      </c>
      <c r="X52" s="22" t="n">
        <v>126.3</v>
      </c>
      <c r="Y52" s="22" t="n">
        <v>126.415</v>
      </c>
      <c r="Z52" s="22" t="n">
        <v>-127.103</v>
      </c>
      <c r="AA52" s="22" t="n">
        <v>251.829</v>
      </c>
      <c r="AB52" s="22" t="n">
        <v>120.155</v>
      </c>
      <c r="AC52" s="22" t="n">
        <v>117.306</v>
      </c>
      <c r="AD52" s="22" t="n">
        <v>221.088</v>
      </c>
      <c r="AE52" s="22" t="n">
        <v>-229.703</v>
      </c>
      <c r="AF52" s="22" t="n">
        <v>228.846</v>
      </c>
      <c r="AG52" s="22" t="n">
        <v>225.436</v>
      </c>
      <c r="AH52" s="22" t="n">
        <v>229.142</v>
      </c>
      <c r="AI52" s="22" t="n">
        <v>229.92</v>
      </c>
      <c r="AJ52" s="22" t="n">
        <v>-455.812</v>
      </c>
      <c r="AK52" s="22" t="n">
        <v>228.686</v>
      </c>
      <c r="AL52" s="22" t="n">
        <v>230.694</v>
      </c>
      <c r="AM52" s="22" t="n">
        <v>231.478</v>
      </c>
      <c r="AN52" s="22" t="n">
        <v>232.01</v>
      </c>
      <c r="AO52" s="22" t="n">
        <v>-462.389</v>
      </c>
      <c r="AP52" s="22" t="n">
        <v>231.793</v>
      </c>
      <c r="AQ52" s="22" t="n">
        <v>233.888</v>
      </c>
      <c r="AR52" s="22" t="n">
        <v>230.798</v>
      </c>
      <c r="AS52" s="22" t="n">
        <v>227.984</v>
      </c>
      <c r="AT52" s="22" t="n">
        <v>-462.181</v>
      </c>
      <c r="AU52" s="22" t="n">
        <v>230.489</v>
      </c>
      <c r="AV52" s="22" t="n">
        <v>231.169</v>
      </c>
      <c r="AW52" s="22" t="n">
        <v>232.671</v>
      </c>
      <c r="AX52" s="22" t="n">
        <v>234.133</v>
      </c>
      <c r="AY52" s="22" t="n">
        <v>-464.771</v>
      </c>
      <c r="AZ52" s="22" t="n">
        <v>233.202</v>
      </c>
      <c r="BA52" s="22" t="n">
        <v>235.791</v>
      </c>
      <c r="BB52" s="22" t="n">
        <v>236.152</v>
      </c>
      <c r="BC52" s="22" t="n">
        <v>236.396</v>
      </c>
      <c r="BD52" s="22" t="n">
        <v>236.669</v>
      </c>
      <c r="BE52" s="22" t="n">
        <v>945.008</v>
      </c>
      <c r="BF52" s="22" t="n">
        <v>474.136</v>
      </c>
      <c r="BG52" s="22" t="n">
        <v>474.372</v>
      </c>
      <c r="BH52" s="22" t="n">
        <v>475.01</v>
      </c>
      <c r="BI52" s="22" t="n">
        <v>-473.842</v>
      </c>
      <c r="BJ52" s="22" t="n">
        <v>949.676</v>
      </c>
      <c r="BK52" s="22" t="n">
        <v>952.198</v>
      </c>
      <c r="BL52" s="22" t="n">
        <v>952.752</v>
      </c>
      <c r="BM52" s="22" t="n">
        <v>953.574</v>
      </c>
      <c r="BN52" s="22" t="n">
        <v>-1904.95</v>
      </c>
      <c r="BO52" s="22" t="n">
        <v>953.574</v>
      </c>
      <c r="BP52" s="22" t="n">
        <v>958.127</v>
      </c>
      <c r="BQ52" s="22" t="n">
        <v>960.525</v>
      </c>
      <c r="BR52" s="22" t="n">
        <v>961.813</v>
      </c>
      <c r="BS52" s="22" t="n">
        <v>-1919.726</v>
      </c>
      <c r="BT52" s="22" t="n">
        <v>960.739</v>
      </c>
      <c r="BU52" s="22" t="n">
        <v>963.176</v>
      </c>
      <c r="BV52" s="22" t="n">
        <v>964.746</v>
      </c>
      <c r="BW52" s="22" t="n">
        <v>966.234</v>
      </c>
      <c r="BX52" s="22" t="n">
        <v>-1928.85</v>
      </c>
      <c r="BY52" s="22" t="n">
        <v>965.306</v>
      </c>
      <c r="BZ52" s="23">
        <f>BZ51</f>
        <v/>
      </c>
      <c r="CA52" s="23">
        <f>CA51</f>
        <v/>
      </c>
      <c r="CB52" s="23">
        <f>CB51</f>
        <v/>
      </c>
      <c r="CC52" s="23">
        <f>CC51</f>
        <v/>
      </c>
      <c r="CD52" s="23">
        <f>CD51</f>
        <v/>
      </c>
    </row>
    <row r="53">
      <c r="B53" s="18" t="inlineStr">
        <is>
          <t>EPS — basic ($)</t>
        </is>
      </c>
      <c r="C53" s="35">
        <f>IFERROR(C49/C52,"")</f>
        <v/>
      </c>
      <c r="D53" s="35">
        <f>IFERROR(D49/D52,"")</f>
        <v/>
      </c>
      <c r="E53" s="35">
        <f>IFERROR(E49/E52,"")</f>
        <v/>
      </c>
      <c r="F53" s="35">
        <f>IFERROR(F49/F52,"")</f>
        <v/>
      </c>
      <c r="G53" s="35">
        <f>IFERROR(G49/G52,"")</f>
        <v/>
      </c>
      <c r="H53" s="35">
        <f>IFERROR(H49/H52,"")</f>
        <v/>
      </c>
      <c r="I53" s="35">
        <f>IFERROR(I49/I52,"")</f>
        <v/>
      </c>
      <c r="J53" s="35">
        <f>IFERROR(J49/J52,"")</f>
        <v/>
      </c>
      <c r="K53" s="35">
        <f>IFERROR(K49/K52,"")</f>
        <v/>
      </c>
      <c r="L53" s="35">
        <f>IFERROR(L49/L52,"")</f>
        <v/>
      </c>
      <c r="M53" s="35">
        <f>IFERROR(M49/M52,"")</f>
        <v/>
      </c>
      <c r="N53" s="35">
        <f>IFERROR(N49/N52,"")</f>
        <v/>
      </c>
      <c r="O53" s="35">
        <f>IFERROR(O49/O52,"")</f>
        <v/>
      </c>
      <c r="P53" s="35">
        <f>IFERROR(P49/P52,"")</f>
        <v/>
      </c>
      <c r="Q53" s="35">
        <f>IFERROR(Q49/Q52,"")</f>
        <v/>
      </c>
      <c r="R53" s="35">
        <f>IFERROR(R49/R52,"")</f>
        <v/>
      </c>
      <c r="S53" s="35">
        <f>IFERROR(S49/S52,"")</f>
        <v/>
      </c>
      <c r="T53" s="35">
        <f>IFERROR(T49/T52,"")</f>
        <v/>
      </c>
      <c r="U53" s="35">
        <f>IFERROR(U49/U52,"")</f>
        <v/>
      </c>
      <c r="V53" s="35">
        <f>IFERROR(V49/V52,"")</f>
        <v/>
      </c>
      <c r="W53" s="35">
        <f>IFERROR(W49/W52,"")</f>
        <v/>
      </c>
      <c r="X53" s="35">
        <f>IFERROR(X49/X52,"")</f>
        <v/>
      </c>
      <c r="Y53" s="35">
        <f>IFERROR(Y49/Y52,"")</f>
        <v/>
      </c>
      <c r="Z53" s="35">
        <f>IFERROR(Z49/Z52,"")</f>
        <v/>
      </c>
      <c r="AA53" s="35">
        <f>IFERROR(AA49/AA52,"")</f>
        <v/>
      </c>
      <c r="AB53" s="35">
        <f>IFERROR(AB49/AB52,"")</f>
        <v/>
      </c>
      <c r="AC53" s="35">
        <f>IFERROR(AC49/AC52,"")</f>
        <v/>
      </c>
      <c r="AD53" s="35">
        <f>IFERROR(AD49/AD52,"")</f>
        <v/>
      </c>
      <c r="AE53" s="35">
        <f>IFERROR(AE49/AE52,"")</f>
        <v/>
      </c>
      <c r="AF53" s="35">
        <f>IFERROR(AF49/AF52,"")</f>
        <v/>
      </c>
      <c r="AG53" s="35">
        <f>IFERROR(AG49/AG52,"")</f>
        <v/>
      </c>
      <c r="AH53" s="35">
        <f>IFERROR(AH49/AH52,"")</f>
        <v/>
      </c>
      <c r="AI53" s="35">
        <f>IFERROR(AI49/AI52,"")</f>
        <v/>
      </c>
      <c r="AJ53" s="35">
        <f>IFERROR(AJ49/AJ52,"")</f>
        <v/>
      </c>
      <c r="AK53" s="35">
        <f>IFERROR(AK49/AK52,"")</f>
        <v/>
      </c>
      <c r="AL53" s="35">
        <f>IFERROR(AL49/AL52,"")</f>
        <v/>
      </c>
      <c r="AM53" s="35">
        <f>IFERROR(AM49/AM52,"")</f>
        <v/>
      </c>
      <c r="AN53" s="35">
        <f>IFERROR(AN49/AN52,"")</f>
        <v/>
      </c>
      <c r="AO53" s="35">
        <f>IFERROR(AO49/AO52,"")</f>
        <v/>
      </c>
      <c r="AP53" s="35">
        <f>IFERROR(AP49/AP52,"")</f>
        <v/>
      </c>
      <c r="AQ53" s="35">
        <f>IFERROR(AQ49/AQ52,"")</f>
        <v/>
      </c>
      <c r="AR53" s="35">
        <f>IFERROR(AR49/AR52,"")</f>
        <v/>
      </c>
      <c r="AS53" s="35">
        <f>IFERROR(AS49/AS52,"")</f>
        <v/>
      </c>
      <c r="AT53" s="35">
        <f>IFERROR(AT49/AT52,"")</f>
        <v/>
      </c>
      <c r="AU53" s="35">
        <f>IFERROR(AU49/AU52,"")</f>
        <v/>
      </c>
      <c r="AV53" s="35">
        <f>IFERROR(AV49/AV52,"")</f>
        <v/>
      </c>
      <c r="AW53" s="35">
        <f>IFERROR(AW49/AW52,"")</f>
        <v/>
      </c>
      <c r="AX53" s="35">
        <f>IFERROR(AX49/AX52,"")</f>
        <v/>
      </c>
      <c r="AY53" s="35">
        <f>IFERROR(AY49/AY52,"")</f>
        <v/>
      </c>
      <c r="AZ53" s="35">
        <f>IFERROR(AZ49/AZ52,"")</f>
        <v/>
      </c>
      <c r="BA53" s="35">
        <f>IFERROR(BA49/BA52,"")</f>
        <v/>
      </c>
      <c r="BB53" s="35">
        <f>IFERROR(BB49/BB52,"")</f>
        <v/>
      </c>
      <c r="BC53" s="35">
        <f>IFERROR(BC49/BC52,"")</f>
        <v/>
      </c>
      <c r="BD53" s="35">
        <f>IFERROR(BD49/BD52,"")</f>
        <v/>
      </c>
      <c r="BE53" s="35">
        <f>IFERROR(BE49/BE52,"")</f>
        <v/>
      </c>
      <c r="BF53" s="35">
        <f>IFERROR(BF49/BF52,"")</f>
        <v/>
      </c>
      <c r="BG53" s="35">
        <f>IFERROR(BG49/BG52,"")</f>
        <v/>
      </c>
      <c r="BH53" s="35">
        <f>IFERROR(BH49/BH52,"")</f>
        <v/>
      </c>
      <c r="BI53" s="35">
        <f>IFERROR(BI49/BI52,"")</f>
        <v/>
      </c>
      <c r="BJ53" s="35">
        <f>IFERROR(BJ49/BJ52,"")</f>
        <v/>
      </c>
      <c r="BK53" s="35">
        <f>IFERROR(BK49/BK52,"")</f>
        <v/>
      </c>
      <c r="BL53" s="35">
        <f>IFERROR(BL49/BL52,"")</f>
        <v/>
      </c>
      <c r="BM53" s="35">
        <f>IFERROR(BM49/BM52,"")</f>
        <v/>
      </c>
      <c r="BN53" s="35">
        <f>IFERROR(BN49/BN52,"")</f>
        <v/>
      </c>
      <c r="BO53" s="35">
        <f>IFERROR(BO49/BO52,"")</f>
        <v/>
      </c>
      <c r="BP53" s="35">
        <f>IFERROR(BP49/BP52,"")</f>
        <v/>
      </c>
      <c r="BQ53" s="35">
        <f>IFERROR(BQ49/BQ52,"")</f>
        <v/>
      </c>
      <c r="BR53" s="35">
        <f>IFERROR(BR49/BR52,"")</f>
        <v/>
      </c>
      <c r="BS53" s="35">
        <f>IFERROR(BS49/BS52,"")</f>
        <v/>
      </c>
      <c r="BT53" s="35">
        <f>IFERROR(BT49/BT52,"")</f>
        <v/>
      </c>
      <c r="BU53" s="35">
        <f>IFERROR(BU49/BU52,"")</f>
        <v/>
      </c>
      <c r="BV53" s="35">
        <f>IFERROR(BV49/BV52,"")</f>
        <v/>
      </c>
      <c r="BW53" s="35">
        <f>IFERROR(BW49/BW52,"")</f>
        <v/>
      </c>
      <c r="BX53" s="35">
        <f>IFERROR(BX49/BX52,"")</f>
        <v/>
      </c>
      <c r="BY53" s="35">
        <f>IFERROR(BY49/BY52,"")</f>
        <v/>
      </c>
      <c r="BZ53" s="36">
        <f>IFERROR(BZ49/BZ52,"")</f>
        <v/>
      </c>
      <c r="CA53" s="36">
        <f>IFERROR(CA49/CA52,"")</f>
        <v/>
      </c>
      <c r="CB53" s="36">
        <f>IFERROR(CB49/CB52,"")</f>
        <v/>
      </c>
      <c r="CC53" s="36">
        <f>IFERROR(CC49/CC52,"")</f>
        <v/>
      </c>
      <c r="CD53" s="36">
        <f>IFERROR(CD49/CD52,"")</f>
        <v/>
      </c>
    </row>
    <row r="54">
      <c r="B54" s="6" t="inlineStr">
        <is>
          <t>EPS — diluted ($)</t>
        </is>
      </c>
      <c r="C54" s="37">
        <f>IFERROR(C49/C51,"")</f>
        <v/>
      </c>
      <c r="D54" s="37">
        <f>IFERROR(D49/D51,"")</f>
        <v/>
      </c>
      <c r="E54" s="37">
        <f>IFERROR(E49/E51,"")</f>
        <v/>
      </c>
      <c r="F54" s="37">
        <f>IFERROR(F49/F51,"")</f>
        <v/>
      </c>
      <c r="G54" s="37">
        <f>IFERROR(G49/G51,"")</f>
        <v/>
      </c>
      <c r="H54" s="37">
        <f>IFERROR(H49/H51,"")</f>
        <v/>
      </c>
      <c r="I54" s="37">
        <f>IFERROR(I49/I51,"")</f>
        <v/>
      </c>
      <c r="J54" s="37">
        <f>IFERROR(J49/J51,"")</f>
        <v/>
      </c>
      <c r="K54" s="37">
        <f>IFERROR(K49/K51,"")</f>
        <v/>
      </c>
      <c r="L54" s="37">
        <f>IFERROR(L49/L51,"")</f>
        <v/>
      </c>
      <c r="M54" s="37">
        <f>IFERROR(M49/M51,"")</f>
        <v/>
      </c>
      <c r="N54" s="37">
        <f>IFERROR(N49/N51,"")</f>
        <v/>
      </c>
      <c r="O54" s="37">
        <f>IFERROR(O49/O51,"")</f>
        <v/>
      </c>
      <c r="P54" s="37">
        <f>IFERROR(P49/P51,"")</f>
        <v/>
      </c>
      <c r="Q54" s="37">
        <f>IFERROR(Q49/Q51,"")</f>
        <v/>
      </c>
      <c r="R54" s="37">
        <f>IFERROR(R49/R51,"")</f>
        <v/>
      </c>
      <c r="S54" s="37">
        <f>IFERROR(S49/S51,"")</f>
        <v/>
      </c>
      <c r="T54" s="37">
        <f>IFERROR(T49/T51,"")</f>
        <v/>
      </c>
      <c r="U54" s="37">
        <f>IFERROR(U49/U51,"")</f>
        <v/>
      </c>
      <c r="V54" s="37">
        <f>IFERROR(V49/V51,"")</f>
        <v/>
      </c>
      <c r="W54" s="37">
        <f>IFERROR(W49/W51,"")</f>
        <v/>
      </c>
      <c r="X54" s="37">
        <f>IFERROR(X49/X51,"")</f>
        <v/>
      </c>
      <c r="Y54" s="37">
        <f>IFERROR(Y49/Y51,"")</f>
        <v/>
      </c>
      <c r="Z54" s="37">
        <f>IFERROR(Z49/Z51,"")</f>
        <v/>
      </c>
      <c r="AA54" s="37">
        <f>IFERROR(AA49/AA51,"")</f>
        <v/>
      </c>
      <c r="AB54" s="37">
        <f>IFERROR(AB49/AB51,"")</f>
        <v/>
      </c>
      <c r="AC54" s="37">
        <f>IFERROR(AC49/AC51,"")</f>
        <v/>
      </c>
      <c r="AD54" s="37">
        <f>IFERROR(AD49/AD51,"")</f>
        <v/>
      </c>
      <c r="AE54" s="37">
        <f>IFERROR(AE49/AE51,"")</f>
        <v/>
      </c>
      <c r="AF54" s="37">
        <f>IFERROR(AF49/AF51,"")</f>
        <v/>
      </c>
      <c r="AG54" s="37">
        <f>IFERROR(AG49/AG51,"")</f>
        <v/>
      </c>
      <c r="AH54" s="37">
        <f>IFERROR(AH49/AH51,"")</f>
        <v/>
      </c>
      <c r="AI54" s="37">
        <f>IFERROR(AI49/AI51,"")</f>
        <v/>
      </c>
      <c r="AJ54" s="37">
        <f>IFERROR(AJ49/AJ51,"")</f>
        <v/>
      </c>
      <c r="AK54" s="37">
        <f>IFERROR(AK49/AK51,"")</f>
        <v/>
      </c>
      <c r="AL54" s="37">
        <f>IFERROR(AL49/AL51,"")</f>
        <v/>
      </c>
      <c r="AM54" s="37">
        <f>IFERROR(AM49/AM51,"")</f>
        <v/>
      </c>
      <c r="AN54" s="37">
        <f>IFERROR(AN49/AN51,"")</f>
        <v/>
      </c>
      <c r="AO54" s="37">
        <f>IFERROR(AO49/AO51,"")</f>
        <v/>
      </c>
      <c r="AP54" s="37">
        <f>IFERROR(AP49/AP51,"")</f>
        <v/>
      </c>
      <c r="AQ54" s="37">
        <f>IFERROR(AQ49/AQ51,"")</f>
        <v/>
      </c>
      <c r="AR54" s="37">
        <f>IFERROR(AR49/AR51,"")</f>
        <v/>
      </c>
      <c r="AS54" s="37">
        <f>IFERROR(AS49/AS51,"")</f>
        <v/>
      </c>
      <c r="AT54" s="37">
        <f>IFERROR(AT49/AT51,"")</f>
        <v/>
      </c>
      <c r="AU54" s="37">
        <f>IFERROR(AU49/AU51,"")</f>
        <v/>
      </c>
      <c r="AV54" s="37">
        <f>IFERROR(AV49/AV51,"")</f>
        <v/>
      </c>
      <c r="AW54" s="37">
        <f>IFERROR(AW49/AW51,"")</f>
        <v/>
      </c>
      <c r="AX54" s="37">
        <f>IFERROR(AX49/AX51,"")</f>
        <v/>
      </c>
      <c r="AY54" s="37">
        <f>IFERROR(AY49/AY51,"")</f>
        <v/>
      </c>
      <c r="AZ54" s="37">
        <f>IFERROR(AZ49/AZ51,"")</f>
        <v/>
      </c>
      <c r="BA54" s="37">
        <f>IFERROR(BA49/BA51,"")</f>
        <v/>
      </c>
      <c r="BB54" s="37">
        <f>IFERROR(BB49/BB51,"")</f>
        <v/>
      </c>
      <c r="BC54" s="37">
        <f>IFERROR(BC49/BC51,"")</f>
        <v/>
      </c>
      <c r="BD54" s="37">
        <f>IFERROR(BD49/BD51,"")</f>
        <v/>
      </c>
      <c r="BE54" s="37">
        <f>IFERROR(BE49/BE51,"")</f>
        <v/>
      </c>
      <c r="BF54" s="37">
        <f>IFERROR(BF49/BF51,"")</f>
        <v/>
      </c>
      <c r="BG54" s="37">
        <f>IFERROR(BG49/BG51,"")</f>
        <v/>
      </c>
      <c r="BH54" s="37">
        <f>IFERROR(BH49/BH51,"")</f>
        <v/>
      </c>
      <c r="BI54" s="37">
        <f>IFERROR(BI49/BI51,"")</f>
        <v/>
      </c>
      <c r="BJ54" s="37">
        <f>IFERROR(BJ49/BJ51,"")</f>
        <v/>
      </c>
      <c r="BK54" s="37">
        <f>IFERROR(BK49/BK51,"")</f>
        <v/>
      </c>
      <c r="BL54" s="37">
        <f>IFERROR(BL49/BL51,"")</f>
        <v/>
      </c>
      <c r="BM54" s="37">
        <f>IFERROR(BM49/BM51,"")</f>
        <v/>
      </c>
      <c r="BN54" s="37">
        <f>IFERROR(BN49/BN51,"")</f>
        <v/>
      </c>
      <c r="BO54" s="37">
        <f>IFERROR(BO49/BO51,"")</f>
        <v/>
      </c>
      <c r="BP54" s="37">
        <f>IFERROR(BP49/BP51,"")</f>
        <v/>
      </c>
      <c r="BQ54" s="37">
        <f>IFERROR(BQ49/BQ51,"")</f>
        <v/>
      </c>
      <c r="BR54" s="37">
        <f>IFERROR(BR49/BR51,"")</f>
        <v/>
      </c>
      <c r="BS54" s="37">
        <f>IFERROR(BS49/BS51,"")</f>
        <v/>
      </c>
      <c r="BT54" s="37">
        <f>IFERROR(BT49/BT51,"")</f>
        <v/>
      </c>
      <c r="BU54" s="37">
        <f>IFERROR(BU49/BU51,"")</f>
        <v/>
      </c>
      <c r="BV54" s="37">
        <f>IFERROR(BV49/BV51,"")</f>
        <v/>
      </c>
      <c r="BW54" s="37">
        <f>IFERROR(BW49/BW51,"")</f>
        <v/>
      </c>
      <c r="BX54" s="37">
        <f>IFERROR(BX49/BX51,"")</f>
        <v/>
      </c>
      <c r="BY54" s="37">
        <f>IFERROR(BY49/BY51,"")</f>
        <v/>
      </c>
      <c r="BZ54" s="38">
        <f>IFERROR(BZ49/BZ51,"")</f>
        <v/>
      </c>
      <c r="CA54" s="38">
        <f>IFERROR(CA49/CA51,"")</f>
        <v/>
      </c>
      <c r="CB54" s="38">
        <f>IFERROR(CB49/CB51,"")</f>
        <v/>
      </c>
      <c r="CC54" s="38">
        <f>IFERROR(CC49/CC51,"")</f>
        <v/>
      </c>
      <c r="CD54" s="38">
        <f>IFERROR(CD49/CD51,"")</f>
        <v/>
      </c>
      <c r="CF54" s="24">
        <f>IFERROR((CD54/BY54)^(1/5)-1,"n/m")</f>
        <v/>
      </c>
      <c r="CG54" s="24">
        <f>IFERROR((BY54/AZ54)^(1/5)-1,"n/m")</f>
        <v/>
      </c>
      <c r="CH54" s="24">
        <f>IFERROR((BY54/G54)^(1/14)-1,"n/m")</f>
        <v/>
      </c>
    </row>
    <row r="55">
      <c r="B55" s="11" t="inlineStr">
        <is>
          <t xml:space="preserve">  Note: EPS and share counts are as-reported each period and are NOT retroactively adjusted for Copart's stock splits, so they are not comparable across split dates.</t>
        </is>
      </c>
    </row>
    <row r="57">
      <c r="B57" s="5" t="inlineStr">
        <is>
          <t>GROWTH &amp; MARGINS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/>
      <c r="AM57" s="12" t="n"/>
      <c r="AN57" s="12" t="n"/>
      <c r="AO57" s="12" t="n"/>
      <c r="AP57" s="12" t="n"/>
      <c r="AQ57" s="12" t="n"/>
      <c r="AR57" s="12" t="n"/>
      <c r="AS57" s="12" t="n"/>
      <c r="AT57" s="12" t="n"/>
      <c r="AU57" s="12" t="n"/>
      <c r="AV57" s="12" t="n"/>
      <c r="AW57" s="12" t="n"/>
      <c r="AX57" s="12" t="n"/>
      <c r="AY57" s="12" t="n"/>
      <c r="AZ57" s="12" t="n"/>
      <c r="BA57" s="12" t="n"/>
      <c r="BB57" s="12" t="n"/>
      <c r="BC57" s="12" t="n"/>
      <c r="BD57" s="12" t="n"/>
      <c r="BE57" s="12" t="n"/>
      <c r="BF57" s="12" t="n"/>
      <c r="BG57" s="12" t="n"/>
      <c r="BH57" s="12" t="n"/>
      <c r="BI57" s="12" t="n"/>
      <c r="BJ57" s="12" t="n"/>
      <c r="BK57" s="12" t="n"/>
      <c r="BL57" s="12" t="n"/>
      <c r="BM57" s="12" t="n"/>
      <c r="BN57" s="12" t="n"/>
      <c r="BO57" s="12" t="n"/>
      <c r="BP57" s="12" t="n"/>
      <c r="BQ57" s="12" t="n"/>
      <c r="BR57" s="12" t="n"/>
      <c r="BS57" s="12" t="n"/>
      <c r="BT57" s="12" t="n"/>
      <c r="BU57" s="12" t="n"/>
      <c r="BV57" s="12" t="n"/>
      <c r="BW57" s="12" t="n"/>
      <c r="BX57" s="12" t="n"/>
      <c r="BY57" s="12" t="n"/>
      <c r="BZ57" s="12" t="n"/>
      <c r="CA57" s="12" t="n"/>
      <c r="CB57" s="12" t="n"/>
      <c r="CC57" s="12" t="n"/>
      <c r="CD57" s="12" t="n"/>
      <c r="CE57" s="12" t="n"/>
      <c r="CF57" s="12" t="n"/>
      <c r="CG57" s="12" t="n"/>
      <c r="CH57" s="12" t="n"/>
    </row>
    <row r="58">
      <c r="B58" s="29" t="inlineStr">
        <is>
          <t xml:space="preserve">  Revenue y/y %</t>
        </is>
      </c>
      <c r="L58" s="27">
        <f>IFERROR(L38/G38-1,"")</f>
        <v/>
      </c>
      <c r="Q58" s="27">
        <f>IFERROR(Q38/L38-1,"")</f>
        <v/>
      </c>
      <c r="V58" s="27">
        <f>IFERROR(V38/Q38-1,"")</f>
        <v/>
      </c>
      <c r="AA58" s="27">
        <f>IFERROR(AA38/V38-1,"")</f>
        <v/>
      </c>
      <c r="AF58" s="27">
        <f>IFERROR(AF38/AA38-1,"")</f>
        <v/>
      </c>
      <c r="AK58" s="27">
        <f>IFERROR(AK38/AF38-1,"")</f>
        <v/>
      </c>
      <c r="AP58" s="27">
        <f>IFERROR(AP38/AK38-1,"")</f>
        <v/>
      </c>
      <c r="AU58" s="27">
        <f>IFERROR(AU38/AP38-1,"")</f>
        <v/>
      </c>
      <c r="AZ58" s="27">
        <f>IFERROR(AZ38/AU38-1,"")</f>
        <v/>
      </c>
      <c r="BE58" s="27">
        <f>IFERROR(BE38/AZ38-1,"")</f>
        <v/>
      </c>
      <c r="BJ58" s="27">
        <f>IFERROR(BJ38/BE38-1,"")</f>
        <v/>
      </c>
      <c r="BO58" s="27">
        <f>IFERROR(BO38/BJ38-1,"")</f>
        <v/>
      </c>
      <c r="BT58" s="27">
        <f>IFERROR(BT38/BO38-1,"")</f>
        <v/>
      </c>
      <c r="BY58" s="27">
        <f>IFERROR(BY38/BT38-1,"")</f>
        <v/>
      </c>
      <c r="BZ58" s="28">
        <f>IFERROR(BZ38/BY38-1,"")</f>
        <v/>
      </c>
      <c r="CA58" s="28">
        <f>IFERROR(CA38/BZ38-1,"")</f>
        <v/>
      </c>
      <c r="CB58" s="28">
        <f>IFERROR(CB38/CA38-1,"")</f>
        <v/>
      </c>
      <c r="CC58" s="28">
        <f>IFERROR(CC38/CB38-1,"")</f>
        <v/>
      </c>
      <c r="CD58" s="28">
        <f>IFERROR(CD38/CC38-1,"")</f>
        <v/>
      </c>
    </row>
    <row r="59">
      <c r="B59" s="29" t="inlineStr">
        <is>
          <t xml:space="preserve">  Operating income y/y %</t>
        </is>
      </c>
      <c r="L59" s="27">
        <f>IFERROR(L43/G43-1,"")</f>
        <v/>
      </c>
      <c r="Q59" s="27">
        <f>IFERROR(Q43/L43-1,"")</f>
        <v/>
      </c>
      <c r="V59" s="27">
        <f>IFERROR(V43/Q43-1,"")</f>
        <v/>
      </c>
      <c r="AA59" s="27">
        <f>IFERROR(AA43/V43-1,"")</f>
        <v/>
      </c>
      <c r="AF59" s="27">
        <f>IFERROR(AF43/AA43-1,"")</f>
        <v/>
      </c>
      <c r="AK59" s="27">
        <f>IFERROR(AK43/AF43-1,"")</f>
        <v/>
      </c>
      <c r="AP59" s="27">
        <f>IFERROR(AP43/AK43-1,"")</f>
        <v/>
      </c>
      <c r="AU59" s="27">
        <f>IFERROR(AU43/AP43-1,"")</f>
        <v/>
      </c>
      <c r="AZ59" s="27">
        <f>IFERROR(AZ43/AU43-1,"")</f>
        <v/>
      </c>
      <c r="BE59" s="27">
        <f>IFERROR(BE43/AZ43-1,"")</f>
        <v/>
      </c>
      <c r="BJ59" s="27">
        <f>IFERROR(BJ43/BE43-1,"")</f>
        <v/>
      </c>
      <c r="BO59" s="27">
        <f>IFERROR(BO43/BJ43-1,"")</f>
        <v/>
      </c>
      <c r="BT59" s="27">
        <f>IFERROR(BT43/BO43-1,"")</f>
        <v/>
      </c>
      <c r="BY59" s="27">
        <f>IFERROR(BY43/BT43-1,"")</f>
        <v/>
      </c>
      <c r="BZ59" s="28">
        <f>IFERROR(BZ43/BY43-1,"")</f>
        <v/>
      </c>
      <c r="CA59" s="28">
        <f>IFERROR(CA43/BZ43-1,"")</f>
        <v/>
      </c>
      <c r="CB59" s="28">
        <f>IFERROR(CB43/CA43-1,"")</f>
        <v/>
      </c>
      <c r="CC59" s="28">
        <f>IFERROR(CC43/CB43-1,"")</f>
        <v/>
      </c>
      <c r="CD59" s="28">
        <f>IFERROR(CD43/CC43-1,"")</f>
        <v/>
      </c>
    </row>
    <row r="60">
      <c r="B60" s="29" t="inlineStr">
        <is>
          <t xml:space="preserve">  EPS (diluted) y/y %</t>
        </is>
      </c>
      <c r="L60" s="27">
        <f>IFERROR(L54/G54-1,"")</f>
        <v/>
      </c>
      <c r="Q60" s="27">
        <f>IFERROR(Q54/L54-1,"")</f>
        <v/>
      </c>
      <c r="V60" s="27">
        <f>IFERROR(V54/Q54-1,"")</f>
        <v/>
      </c>
      <c r="AA60" s="27">
        <f>IFERROR(AA54/V54-1,"")</f>
        <v/>
      </c>
      <c r="AF60" s="27">
        <f>IFERROR(AF54/AA54-1,"")</f>
        <v/>
      </c>
      <c r="AK60" s="27">
        <f>IFERROR(AK54/AF54-1,"")</f>
        <v/>
      </c>
      <c r="AP60" s="27">
        <f>IFERROR(AP54/AK54-1,"")</f>
        <v/>
      </c>
      <c r="AU60" s="27">
        <f>IFERROR(AU54/AP54-1,"")</f>
        <v/>
      </c>
      <c r="AZ60" s="27">
        <f>IFERROR(AZ54/AU54-1,"")</f>
        <v/>
      </c>
      <c r="BE60" s="27">
        <f>IFERROR(BE54/AZ54-1,"")</f>
        <v/>
      </c>
      <c r="BJ60" s="27">
        <f>IFERROR(BJ54/BE54-1,"")</f>
        <v/>
      </c>
      <c r="BO60" s="27">
        <f>IFERROR(BO54/BJ54-1,"")</f>
        <v/>
      </c>
      <c r="BT60" s="27">
        <f>IFERROR(BT54/BO54-1,"")</f>
        <v/>
      </c>
      <c r="BY60" s="27">
        <f>IFERROR(BY54/BT54-1,"")</f>
        <v/>
      </c>
      <c r="BZ60" s="28">
        <f>IFERROR(BZ54/BY54-1,"")</f>
        <v/>
      </c>
      <c r="CA60" s="28">
        <f>IFERROR(CA54/BZ54-1,"")</f>
        <v/>
      </c>
      <c r="CB60" s="28">
        <f>IFERROR(CB54/CA54-1,"")</f>
        <v/>
      </c>
      <c r="CC60" s="28">
        <f>IFERROR(CC54/CB54-1,"")</f>
        <v/>
      </c>
      <c r="CD60" s="28">
        <f>IFERROR(CD54/CC54-1,"")</f>
        <v/>
      </c>
    </row>
    <row r="61">
      <c r="B61" s="29" t="inlineStr">
        <is>
          <t xml:space="preserve">  Gross margin %</t>
        </is>
      </c>
      <c r="C61" s="27">
        <f>IFERROR(C41/C38,"")</f>
        <v/>
      </c>
      <c r="D61" s="27">
        <f>IFERROR(D41/D38,"")</f>
        <v/>
      </c>
      <c r="E61" s="27">
        <f>IFERROR(E41/E38,"")</f>
        <v/>
      </c>
      <c r="F61" s="27">
        <f>IFERROR(F41/F38,"")</f>
        <v/>
      </c>
      <c r="G61" s="27">
        <f>IFERROR(G41/G38,"")</f>
        <v/>
      </c>
      <c r="H61" s="27">
        <f>IFERROR(H41/H38,"")</f>
        <v/>
      </c>
      <c r="I61" s="27">
        <f>IFERROR(I41/I38,"")</f>
        <v/>
      </c>
      <c r="J61" s="27">
        <f>IFERROR(J41/J38,"")</f>
        <v/>
      </c>
      <c r="K61" s="27">
        <f>IFERROR(K41/K38,"")</f>
        <v/>
      </c>
      <c r="L61" s="27">
        <f>IFERROR(L41/L38,"")</f>
        <v/>
      </c>
      <c r="M61" s="27">
        <f>IFERROR(M41/M38,"")</f>
        <v/>
      </c>
      <c r="N61" s="27">
        <f>IFERROR(N41/N38,"")</f>
        <v/>
      </c>
      <c r="O61" s="27">
        <f>IFERROR(O41/O38,"")</f>
        <v/>
      </c>
      <c r="P61" s="27">
        <f>IFERROR(P41/P38,"")</f>
        <v/>
      </c>
      <c r="Q61" s="27">
        <f>IFERROR(Q41/Q38,"")</f>
        <v/>
      </c>
      <c r="R61" s="27">
        <f>IFERROR(R41/R38,"")</f>
        <v/>
      </c>
      <c r="S61" s="27">
        <f>IFERROR(S41/S38,"")</f>
        <v/>
      </c>
      <c r="T61" s="27">
        <f>IFERROR(T41/T38,"")</f>
        <v/>
      </c>
      <c r="U61" s="27">
        <f>IFERROR(U41/U38,"")</f>
        <v/>
      </c>
      <c r="V61" s="27">
        <f>IFERROR(V41/V38,"")</f>
        <v/>
      </c>
      <c r="W61" s="27">
        <f>IFERROR(W41/W38,"")</f>
        <v/>
      </c>
      <c r="X61" s="27">
        <f>IFERROR(X41/X38,"")</f>
        <v/>
      </c>
      <c r="Y61" s="27">
        <f>IFERROR(Y41/Y38,"")</f>
        <v/>
      </c>
      <c r="Z61" s="27">
        <f>IFERROR(Z41/Z38,"")</f>
        <v/>
      </c>
      <c r="AA61" s="27">
        <f>IFERROR(AA41/AA38,"")</f>
        <v/>
      </c>
      <c r="AB61" s="27">
        <f>IFERROR(AB41/AB38,"")</f>
        <v/>
      </c>
      <c r="AC61" s="27">
        <f>IFERROR(AC41/AC38,"")</f>
        <v/>
      </c>
      <c r="AD61" s="27">
        <f>IFERROR(AD41/AD38,"")</f>
        <v/>
      </c>
      <c r="AE61" s="27">
        <f>IFERROR(AE41/AE38,"")</f>
        <v/>
      </c>
      <c r="AF61" s="27">
        <f>IFERROR(AF41/AF38,"")</f>
        <v/>
      </c>
      <c r="AG61" s="27">
        <f>IFERROR(AG41/AG38,"")</f>
        <v/>
      </c>
      <c r="AH61" s="27">
        <f>IFERROR(AH41/AH38,"")</f>
        <v/>
      </c>
      <c r="AI61" s="27">
        <f>IFERROR(AI41/AI38,"")</f>
        <v/>
      </c>
      <c r="AJ61" s="27">
        <f>IFERROR(AJ41/AJ38,"")</f>
        <v/>
      </c>
      <c r="AK61" s="27">
        <f>IFERROR(AK41/AK38,"")</f>
        <v/>
      </c>
      <c r="AL61" s="27">
        <f>IFERROR(AL41/AL38,"")</f>
        <v/>
      </c>
      <c r="AM61" s="27">
        <f>IFERROR(AM41/AM38,"")</f>
        <v/>
      </c>
      <c r="AN61" s="27">
        <f>IFERROR(AN41/AN38,"")</f>
        <v/>
      </c>
      <c r="AO61" s="27">
        <f>IFERROR(AO41/AO38,"")</f>
        <v/>
      </c>
      <c r="AP61" s="27">
        <f>IFERROR(AP41/AP38,"")</f>
        <v/>
      </c>
      <c r="AQ61" s="27">
        <f>IFERROR(AQ41/AQ38,"")</f>
        <v/>
      </c>
      <c r="AR61" s="27">
        <f>IFERROR(AR41/AR38,"")</f>
        <v/>
      </c>
      <c r="AS61" s="27">
        <f>IFERROR(AS41/AS38,"")</f>
        <v/>
      </c>
      <c r="AT61" s="27">
        <f>IFERROR(AT41/AT38,"")</f>
        <v/>
      </c>
      <c r="AU61" s="27">
        <f>IFERROR(AU41/AU38,"")</f>
        <v/>
      </c>
      <c r="AV61" s="27">
        <f>IFERROR(AV41/AV38,"")</f>
        <v/>
      </c>
      <c r="AW61" s="27">
        <f>IFERROR(AW41/AW38,"")</f>
        <v/>
      </c>
      <c r="AX61" s="27">
        <f>IFERROR(AX41/AX38,"")</f>
        <v/>
      </c>
      <c r="AY61" s="27">
        <f>IFERROR(AY41/AY38,"")</f>
        <v/>
      </c>
      <c r="AZ61" s="27">
        <f>IFERROR(AZ41/AZ38,"")</f>
        <v/>
      </c>
      <c r="BA61" s="27">
        <f>IFERROR(BA41/BA38,"")</f>
        <v/>
      </c>
      <c r="BB61" s="27">
        <f>IFERROR(BB41/BB38,"")</f>
        <v/>
      </c>
      <c r="BC61" s="27">
        <f>IFERROR(BC41/BC38,"")</f>
        <v/>
      </c>
      <c r="BD61" s="27">
        <f>IFERROR(BD41/BD38,"")</f>
        <v/>
      </c>
      <c r="BE61" s="27">
        <f>IFERROR(BE41/BE38,"")</f>
        <v/>
      </c>
      <c r="BF61" s="27">
        <f>IFERROR(BF41/BF38,"")</f>
        <v/>
      </c>
      <c r="BG61" s="27">
        <f>IFERROR(BG41/BG38,"")</f>
        <v/>
      </c>
      <c r="BH61" s="27">
        <f>IFERROR(BH41/BH38,"")</f>
        <v/>
      </c>
      <c r="BI61" s="27">
        <f>IFERROR(BI41/BI38,"")</f>
        <v/>
      </c>
      <c r="BJ61" s="27">
        <f>IFERROR(BJ41/BJ38,"")</f>
        <v/>
      </c>
      <c r="BK61" s="27">
        <f>IFERROR(BK41/BK38,"")</f>
        <v/>
      </c>
      <c r="BL61" s="27">
        <f>IFERROR(BL41/BL38,"")</f>
        <v/>
      </c>
      <c r="BM61" s="27">
        <f>IFERROR(BM41/BM38,"")</f>
        <v/>
      </c>
      <c r="BN61" s="27">
        <f>IFERROR(BN41/BN38,"")</f>
        <v/>
      </c>
      <c r="BO61" s="27">
        <f>IFERROR(BO41/BO38,"")</f>
        <v/>
      </c>
      <c r="BP61" s="27">
        <f>IFERROR(BP41/BP38,"")</f>
        <v/>
      </c>
      <c r="BQ61" s="27">
        <f>IFERROR(BQ41/BQ38,"")</f>
        <v/>
      </c>
      <c r="BR61" s="27">
        <f>IFERROR(BR41/BR38,"")</f>
        <v/>
      </c>
      <c r="BS61" s="27">
        <f>IFERROR(BS41/BS38,"")</f>
        <v/>
      </c>
      <c r="BT61" s="27">
        <f>IFERROR(BT41/BT38,"")</f>
        <v/>
      </c>
      <c r="BU61" s="27">
        <f>IFERROR(BU41/BU38,"")</f>
        <v/>
      </c>
      <c r="BV61" s="27">
        <f>IFERROR(BV41/BV38,"")</f>
        <v/>
      </c>
      <c r="BW61" s="27">
        <f>IFERROR(BW41/BW38,"")</f>
        <v/>
      </c>
      <c r="BX61" s="27">
        <f>IFERROR(BX41/BX38,"")</f>
        <v/>
      </c>
      <c r="BY61" s="27">
        <f>IFERROR(BY41/BY38,"")</f>
        <v/>
      </c>
      <c r="BZ61" s="28">
        <f>IFERROR(BZ41/BZ38,"")</f>
        <v/>
      </c>
      <c r="CA61" s="28">
        <f>IFERROR(CA41/CA38,"")</f>
        <v/>
      </c>
      <c r="CB61" s="28">
        <f>IFERROR(CB41/CB38,"")</f>
        <v/>
      </c>
      <c r="CC61" s="28">
        <f>IFERROR(CC41/CC38,"")</f>
        <v/>
      </c>
      <c r="CD61" s="28">
        <f>IFERROR(CD41/CD38,"")</f>
        <v/>
      </c>
      <c r="CF61" s="24">
        <f>IFERROR(AVERAGE(BZ61,CA61,CB61,CC61,CD61),"n/m")</f>
        <v/>
      </c>
      <c r="CG61" s="24">
        <f>IFERROR(AVERAGE(BE61,BJ61,BO61,BT61,BY61),"n/m")</f>
        <v/>
      </c>
      <c r="CH61" s="24">
        <f>IFERROR(AVERAGE(G61,L61,Q61,V61,AA61,AF61,AK61,AP61,AU61,AZ61,BE61,BJ61,BO61,BT61,BY61),"n/m")</f>
        <v/>
      </c>
    </row>
    <row r="62">
      <c r="B62" s="29" t="inlineStr">
        <is>
          <t xml:space="preserve">  Operating margin %</t>
        </is>
      </c>
      <c r="C62" s="27">
        <f>IFERROR(C43/C38,"")</f>
        <v/>
      </c>
      <c r="D62" s="27">
        <f>IFERROR(D43/D38,"")</f>
        <v/>
      </c>
      <c r="E62" s="27">
        <f>IFERROR(E43/E38,"")</f>
        <v/>
      </c>
      <c r="F62" s="27">
        <f>IFERROR(F43/F38,"")</f>
        <v/>
      </c>
      <c r="G62" s="27">
        <f>IFERROR(G43/G38,"")</f>
        <v/>
      </c>
      <c r="H62" s="27">
        <f>IFERROR(H43/H38,"")</f>
        <v/>
      </c>
      <c r="I62" s="27">
        <f>IFERROR(I43/I38,"")</f>
        <v/>
      </c>
      <c r="J62" s="27">
        <f>IFERROR(J43/J38,"")</f>
        <v/>
      </c>
      <c r="K62" s="27">
        <f>IFERROR(K43/K38,"")</f>
        <v/>
      </c>
      <c r="L62" s="27">
        <f>IFERROR(L43/L38,"")</f>
        <v/>
      </c>
      <c r="M62" s="27">
        <f>IFERROR(M43/M38,"")</f>
        <v/>
      </c>
      <c r="N62" s="27">
        <f>IFERROR(N43/N38,"")</f>
        <v/>
      </c>
      <c r="O62" s="27">
        <f>IFERROR(O43/O38,"")</f>
        <v/>
      </c>
      <c r="P62" s="27">
        <f>IFERROR(P43/P38,"")</f>
        <v/>
      </c>
      <c r="Q62" s="27">
        <f>IFERROR(Q43/Q38,"")</f>
        <v/>
      </c>
      <c r="R62" s="27">
        <f>IFERROR(R43/R38,"")</f>
        <v/>
      </c>
      <c r="S62" s="27">
        <f>IFERROR(S43/S38,"")</f>
        <v/>
      </c>
      <c r="T62" s="27">
        <f>IFERROR(T43/T38,"")</f>
        <v/>
      </c>
      <c r="U62" s="27">
        <f>IFERROR(U43/U38,"")</f>
        <v/>
      </c>
      <c r="V62" s="27">
        <f>IFERROR(V43/V38,"")</f>
        <v/>
      </c>
      <c r="W62" s="27">
        <f>IFERROR(W43/W38,"")</f>
        <v/>
      </c>
      <c r="X62" s="27">
        <f>IFERROR(X43/X38,"")</f>
        <v/>
      </c>
      <c r="Y62" s="27">
        <f>IFERROR(Y43/Y38,"")</f>
        <v/>
      </c>
      <c r="Z62" s="27">
        <f>IFERROR(Z43/Z38,"")</f>
        <v/>
      </c>
      <c r="AA62" s="27">
        <f>IFERROR(AA43/AA38,"")</f>
        <v/>
      </c>
      <c r="AB62" s="27">
        <f>IFERROR(AB43/AB38,"")</f>
        <v/>
      </c>
      <c r="AC62" s="27">
        <f>IFERROR(AC43/AC38,"")</f>
        <v/>
      </c>
      <c r="AD62" s="27">
        <f>IFERROR(AD43/AD38,"")</f>
        <v/>
      </c>
      <c r="AE62" s="27">
        <f>IFERROR(AE43/AE38,"")</f>
        <v/>
      </c>
      <c r="AF62" s="27">
        <f>IFERROR(AF43/AF38,"")</f>
        <v/>
      </c>
      <c r="AG62" s="27">
        <f>IFERROR(AG43/AG38,"")</f>
        <v/>
      </c>
      <c r="AH62" s="27">
        <f>IFERROR(AH43/AH38,"")</f>
        <v/>
      </c>
      <c r="AI62" s="27">
        <f>IFERROR(AI43/AI38,"")</f>
        <v/>
      </c>
      <c r="AJ62" s="27">
        <f>IFERROR(AJ43/AJ38,"")</f>
        <v/>
      </c>
      <c r="AK62" s="27">
        <f>IFERROR(AK43/AK38,"")</f>
        <v/>
      </c>
      <c r="AL62" s="27">
        <f>IFERROR(AL43/AL38,"")</f>
        <v/>
      </c>
      <c r="AM62" s="27">
        <f>IFERROR(AM43/AM38,"")</f>
        <v/>
      </c>
      <c r="AN62" s="27">
        <f>IFERROR(AN43/AN38,"")</f>
        <v/>
      </c>
      <c r="AO62" s="27">
        <f>IFERROR(AO43/AO38,"")</f>
        <v/>
      </c>
      <c r="AP62" s="27">
        <f>IFERROR(AP43/AP38,"")</f>
        <v/>
      </c>
      <c r="AQ62" s="27">
        <f>IFERROR(AQ43/AQ38,"")</f>
        <v/>
      </c>
      <c r="AR62" s="27">
        <f>IFERROR(AR43/AR38,"")</f>
        <v/>
      </c>
      <c r="AS62" s="27">
        <f>IFERROR(AS43/AS38,"")</f>
        <v/>
      </c>
      <c r="AT62" s="27">
        <f>IFERROR(AT43/AT38,"")</f>
        <v/>
      </c>
      <c r="AU62" s="27">
        <f>IFERROR(AU43/AU38,"")</f>
        <v/>
      </c>
      <c r="AV62" s="27">
        <f>IFERROR(AV43/AV38,"")</f>
        <v/>
      </c>
      <c r="AW62" s="27">
        <f>IFERROR(AW43/AW38,"")</f>
        <v/>
      </c>
      <c r="AX62" s="27">
        <f>IFERROR(AX43/AX38,"")</f>
        <v/>
      </c>
      <c r="AY62" s="27">
        <f>IFERROR(AY43/AY38,"")</f>
        <v/>
      </c>
      <c r="AZ62" s="27">
        <f>IFERROR(AZ43/AZ38,"")</f>
        <v/>
      </c>
      <c r="BA62" s="27">
        <f>IFERROR(BA43/BA38,"")</f>
        <v/>
      </c>
      <c r="BB62" s="27">
        <f>IFERROR(BB43/BB38,"")</f>
        <v/>
      </c>
      <c r="BC62" s="27">
        <f>IFERROR(BC43/BC38,"")</f>
        <v/>
      </c>
      <c r="BD62" s="27">
        <f>IFERROR(BD43/BD38,"")</f>
        <v/>
      </c>
      <c r="BE62" s="27">
        <f>IFERROR(BE43/BE38,"")</f>
        <v/>
      </c>
      <c r="BF62" s="27">
        <f>IFERROR(BF43/BF38,"")</f>
        <v/>
      </c>
      <c r="BG62" s="27">
        <f>IFERROR(BG43/BG38,"")</f>
        <v/>
      </c>
      <c r="BH62" s="27">
        <f>IFERROR(BH43/BH38,"")</f>
        <v/>
      </c>
      <c r="BI62" s="27">
        <f>IFERROR(BI43/BI38,"")</f>
        <v/>
      </c>
      <c r="BJ62" s="27">
        <f>IFERROR(BJ43/BJ38,"")</f>
        <v/>
      </c>
      <c r="BK62" s="27">
        <f>IFERROR(BK43/BK38,"")</f>
        <v/>
      </c>
      <c r="BL62" s="27">
        <f>IFERROR(BL43/BL38,"")</f>
        <v/>
      </c>
      <c r="BM62" s="27">
        <f>IFERROR(BM43/BM38,"")</f>
        <v/>
      </c>
      <c r="BN62" s="27">
        <f>IFERROR(BN43/BN38,"")</f>
        <v/>
      </c>
      <c r="BO62" s="27">
        <f>IFERROR(BO43/BO38,"")</f>
        <v/>
      </c>
      <c r="BP62" s="27">
        <f>IFERROR(BP43/BP38,"")</f>
        <v/>
      </c>
      <c r="BQ62" s="27">
        <f>IFERROR(BQ43/BQ38,"")</f>
        <v/>
      </c>
      <c r="BR62" s="27">
        <f>IFERROR(BR43/BR38,"")</f>
        <v/>
      </c>
      <c r="BS62" s="27">
        <f>IFERROR(BS43/BS38,"")</f>
        <v/>
      </c>
      <c r="BT62" s="27">
        <f>IFERROR(BT43/BT38,"")</f>
        <v/>
      </c>
      <c r="BU62" s="27">
        <f>IFERROR(BU43/BU38,"")</f>
        <v/>
      </c>
      <c r="BV62" s="27">
        <f>IFERROR(BV43/BV38,"")</f>
        <v/>
      </c>
      <c r="BW62" s="27">
        <f>IFERROR(BW43/BW38,"")</f>
        <v/>
      </c>
      <c r="BX62" s="27">
        <f>IFERROR(BX43/BX38,"")</f>
        <v/>
      </c>
      <c r="BY62" s="27">
        <f>IFERROR(BY43/BY38,"")</f>
        <v/>
      </c>
      <c r="BZ62" s="28">
        <f>IFERROR(BZ43/BZ38,"")</f>
        <v/>
      </c>
      <c r="CA62" s="28">
        <f>IFERROR(CA43/CA38,"")</f>
        <v/>
      </c>
      <c r="CB62" s="28">
        <f>IFERROR(CB43/CB38,"")</f>
        <v/>
      </c>
      <c r="CC62" s="28">
        <f>IFERROR(CC43/CC38,"")</f>
        <v/>
      </c>
      <c r="CD62" s="28">
        <f>IFERROR(CD43/CD38,"")</f>
        <v/>
      </c>
      <c r="CF62" s="24">
        <f>IFERROR(AVERAGE(BZ62,CA62,CB62,CC62,CD62),"n/m")</f>
        <v/>
      </c>
      <c r="CG62" s="24">
        <f>IFERROR(AVERAGE(BE62,BJ62,BO62,BT62,BY62),"n/m")</f>
        <v/>
      </c>
      <c r="CH62" s="24">
        <f>IFERROR(AVERAGE(G62,L62,Q62,V62,AA62,AF62,AK62,AP62,AU62,AZ62,BE62,BJ62,BO62,BT62,BY62),"n/m")</f>
        <v/>
      </c>
    </row>
    <row r="63">
      <c r="B63" s="29" t="inlineStr">
        <is>
          <t xml:space="preserve">  Net margin %</t>
        </is>
      </c>
      <c r="C63" s="27">
        <f>IFERROR(C49/C38,"")</f>
        <v/>
      </c>
      <c r="D63" s="27">
        <f>IFERROR(D49/D38,"")</f>
        <v/>
      </c>
      <c r="E63" s="27">
        <f>IFERROR(E49/E38,"")</f>
        <v/>
      </c>
      <c r="F63" s="27">
        <f>IFERROR(F49/F38,"")</f>
        <v/>
      </c>
      <c r="G63" s="27">
        <f>IFERROR(G49/G38,"")</f>
        <v/>
      </c>
      <c r="H63" s="27">
        <f>IFERROR(H49/H38,"")</f>
        <v/>
      </c>
      <c r="I63" s="27">
        <f>IFERROR(I49/I38,"")</f>
        <v/>
      </c>
      <c r="J63" s="27">
        <f>IFERROR(J49/J38,"")</f>
        <v/>
      </c>
      <c r="K63" s="27">
        <f>IFERROR(K49/K38,"")</f>
        <v/>
      </c>
      <c r="L63" s="27">
        <f>IFERROR(L49/L38,"")</f>
        <v/>
      </c>
      <c r="M63" s="27">
        <f>IFERROR(M49/M38,"")</f>
        <v/>
      </c>
      <c r="N63" s="27">
        <f>IFERROR(N49/N38,"")</f>
        <v/>
      </c>
      <c r="O63" s="27">
        <f>IFERROR(O49/O38,"")</f>
        <v/>
      </c>
      <c r="P63" s="27">
        <f>IFERROR(P49/P38,"")</f>
        <v/>
      </c>
      <c r="Q63" s="27">
        <f>IFERROR(Q49/Q38,"")</f>
        <v/>
      </c>
      <c r="R63" s="27">
        <f>IFERROR(R49/R38,"")</f>
        <v/>
      </c>
      <c r="S63" s="27">
        <f>IFERROR(S49/S38,"")</f>
        <v/>
      </c>
      <c r="T63" s="27">
        <f>IFERROR(T49/T38,"")</f>
        <v/>
      </c>
      <c r="U63" s="27">
        <f>IFERROR(U49/U38,"")</f>
        <v/>
      </c>
      <c r="V63" s="27">
        <f>IFERROR(V49/V38,"")</f>
        <v/>
      </c>
      <c r="W63" s="27">
        <f>IFERROR(W49/W38,"")</f>
        <v/>
      </c>
      <c r="X63" s="27">
        <f>IFERROR(X49/X38,"")</f>
        <v/>
      </c>
      <c r="Y63" s="27">
        <f>IFERROR(Y49/Y38,"")</f>
        <v/>
      </c>
      <c r="Z63" s="27">
        <f>IFERROR(Z49/Z38,"")</f>
        <v/>
      </c>
      <c r="AA63" s="27">
        <f>IFERROR(AA49/AA38,"")</f>
        <v/>
      </c>
      <c r="AB63" s="27">
        <f>IFERROR(AB49/AB38,"")</f>
        <v/>
      </c>
      <c r="AC63" s="27">
        <f>IFERROR(AC49/AC38,"")</f>
        <v/>
      </c>
      <c r="AD63" s="27">
        <f>IFERROR(AD49/AD38,"")</f>
        <v/>
      </c>
      <c r="AE63" s="27">
        <f>IFERROR(AE49/AE38,"")</f>
        <v/>
      </c>
      <c r="AF63" s="27">
        <f>IFERROR(AF49/AF38,"")</f>
        <v/>
      </c>
      <c r="AG63" s="27">
        <f>IFERROR(AG49/AG38,"")</f>
        <v/>
      </c>
      <c r="AH63" s="27">
        <f>IFERROR(AH49/AH38,"")</f>
        <v/>
      </c>
      <c r="AI63" s="27">
        <f>IFERROR(AI49/AI38,"")</f>
        <v/>
      </c>
      <c r="AJ63" s="27">
        <f>IFERROR(AJ49/AJ38,"")</f>
        <v/>
      </c>
      <c r="AK63" s="27">
        <f>IFERROR(AK49/AK38,"")</f>
        <v/>
      </c>
      <c r="AL63" s="27">
        <f>IFERROR(AL49/AL38,"")</f>
        <v/>
      </c>
      <c r="AM63" s="27">
        <f>IFERROR(AM49/AM38,"")</f>
        <v/>
      </c>
      <c r="AN63" s="27">
        <f>IFERROR(AN49/AN38,"")</f>
        <v/>
      </c>
      <c r="AO63" s="27">
        <f>IFERROR(AO49/AO38,"")</f>
        <v/>
      </c>
      <c r="AP63" s="27">
        <f>IFERROR(AP49/AP38,"")</f>
        <v/>
      </c>
      <c r="AQ63" s="27">
        <f>IFERROR(AQ49/AQ38,"")</f>
        <v/>
      </c>
      <c r="AR63" s="27">
        <f>IFERROR(AR49/AR38,"")</f>
        <v/>
      </c>
      <c r="AS63" s="27">
        <f>IFERROR(AS49/AS38,"")</f>
        <v/>
      </c>
      <c r="AT63" s="27">
        <f>IFERROR(AT49/AT38,"")</f>
        <v/>
      </c>
      <c r="AU63" s="27">
        <f>IFERROR(AU49/AU38,"")</f>
        <v/>
      </c>
      <c r="AV63" s="27">
        <f>IFERROR(AV49/AV38,"")</f>
        <v/>
      </c>
      <c r="AW63" s="27">
        <f>IFERROR(AW49/AW38,"")</f>
        <v/>
      </c>
      <c r="AX63" s="27">
        <f>IFERROR(AX49/AX38,"")</f>
        <v/>
      </c>
      <c r="AY63" s="27">
        <f>IFERROR(AY49/AY38,"")</f>
        <v/>
      </c>
      <c r="AZ63" s="27">
        <f>IFERROR(AZ49/AZ38,"")</f>
        <v/>
      </c>
      <c r="BA63" s="27">
        <f>IFERROR(BA49/BA38,"")</f>
        <v/>
      </c>
      <c r="BB63" s="27">
        <f>IFERROR(BB49/BB38,"")</f>
        <v/>
      </c>
      <c r="BC63" s="27">
        <f>IFERROR(BC49/BC38,"")</f>
        <v/>
      </c>
      <c r="BD63" s="27">
        <f>IFERROR(BD49/BD38,"")</f>
        <v/>
      </c>
      <c r="BE63" s="27">
        <f>IFERROR(BE49/BE38,"")</f>
        <v/>
      </c>
      <c r="BF63" s="27">
        <f>IFERROR(BF49/BF38,"")</f>
        <v/>
      </c>
      <c r="BG63" s="27">
        <f>IFERROR(BG49/BG38,"")</f>
        <v/>
      </c>
      <c r="BH63" s="27">
        <f>IFERROR(BH49/BH38,"")</f>
        <v/>
      </c>
      <c r="BI63" s="27">
        <f>IFERROR(BI49/BI38,"")</f>
        <v/>
      </c>
      <c r="BJ63" s="27">
        <f>IFERROR(BJ49/BJ38,"")</f>
        <v/>
      </c>
      <c r="BK63" s="27">
        <f>IFERROR(BK49/BK38,"")</f>
        <v/>
      </c>
      <c r="BL63" s="27">
        <f>IFERROR(BL49/BL38,"")</f>
        <v/>
      </c>
      <c r="BM63" s="27">
        <f>IFERROR(BM49/BM38,"")</f>
        <v/>
      </c>
      <c r="BN63" s="27">
        <f>IFERROR(BN49/BN38,"")</f>
        <v/>
      </c>
      <c r="BO63" s="27">
        <f>IFERROR(BO49/BO38,"")</f>
        <v/>
      </c>
      <c r="BP63" s="27">
        <f>IFERROR(BP49/BP38,"")</f>
        <v/>
      </c>
      <c r="BQ63" s="27">
        <f>IFERROR(BQ49/BQ38,"")</f>
        <v/>
      </c>
      <c r="BR63" s="27">
        <f>IFERROR(BR49/BR38,"")</f>
        <v/>
      </c>
      <c r="BS63" s="27">
        <f>IFERROR(BS49/BS38,"")</f>
        <v/>
      </c>
      <c r="BT63" s="27">
        <f>IFERROR(BT49/BT38,"")</f>
        <v/>
      </c>
      <c r="BU63" s="27">
        <f>IFERROR(BU49/BU38,"")</f>
        <v/>
      </c>
      <c r="BV63" s="27">
        <f>IFERROR(BV49/BV38,"")</f>
        <v/>
      </c>
      <c r="BW63" s="27">
        <f>IFERROR(BW49/BW38,"")</f>
        <v/>
      </c>
      <c r="BX63" s="27">
        <f>IFERROR(BX49/BX38,"")</f>
        <v/>
      </c>
      <c r="BY63" s="27">
        <f>IFERROR(BY49/BY38,"")</f>
        <v/>
      </c>
      <c r="BZ63" s="28">
        <f>IFERROR(BZ49/BZ38,"")</f>
        <v/>
      </c>
      <c r="CA63" s="28">
        <f>IFERROR(CA49/CA38,"")</f>
        <v/>
      </c>
      <c r="CB63" s="28">
        <f>IFERROR(CB49/CB38,"")</f>
        <v/>
      </c>
      <c r="CC63" s="28">
        <f>IFERROR(CC49/CC38,"")</f>
        <v/>
      </c>
      <c r="CD63" s="28">
        <f>IFERROR(CD49/CD38,"")</f>
        <v/>
      </c>
      <c r="CF63" s="24">
        <f>IFERROR(AVERAGE(BZ63,CA63,CB63,CC63,CD63),"n/m")</f>
        <v/>
      </c>
      <c r="CG63" s="24">
        <f>IFERROR(AVERAGE(BE63,BJ63,BO63,BT63,BY63),"n/m")</f>
        <v/>
      </c>
      <c r="CH63" s="24">
        <f>IFERROR(AVERAGE(G63,L63,Q63,V63,AA63,AF63,AK63,AP63,AU63,AZ63,BE63,BJ63,BO63,BT63,BY63),"n/m")</f>
        <v/>
      </c>
    </row>
    <row r="65">
      <c r="B65" s="5" t="inlineStr">
        <is>
          <t>CONSOLIDATED CASH FLOW  (fiscal-year basis)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/>
      <c r="AO65" s="12" t="n"/>
      <c r="AP65" s="12" t="n"/>
      <c r="AQ65" s="12" t="n"/>
      <c r="AR65" s="12" t="n"/>
      <c r="AS65" s="12" t="n"/>
      <c r="AT65" s="12" t="n"/>
      <c r="AU65" s="12" t="n"/>
      <c r="AV65" s="12" t="n"/>
      <c r="AW65" s="12" t="n"/>
      <c r="AX65" s="12" t="n"/>
      <c r="AY65" s="12" t="n"/>
      <c r="AZ65" s="12" t="n"/>
      <c r="BA65" s="12" t="n"/>
      <c r="BB65" s="12" t="n"/>
      <c r="BC65" s="12" t="n"/>
      <c r="BD65" s="12" t="n"/>
      <c r="BE65" s="12" t="n"/>
      <c r="BF65" s="12" t="n"/>
      <c r="BG65" s="12" t="n"/>
      <c r="BH65" s="12" t="n"/>
      <c r="BI65" s="12" t="n"/>
      <c r="BJ65" s="12" t="n"/>
      <c r="BK65" s="12" t="n"/>
      <c r="BL65" s="12" t="n"/>
      <c r="BM65" s="12" t="n"/>
      <c r="BN65" s="12" t="n"/>
      <c r="BO65" s="12" t="n"/>
      <c r="BP65" s="12" t="n"/>
      <c r="BQ65" s="12" t="n"/>
      <c r="BR65" s="12" t="n"/>
      <c r="BS65" s="12" t="n"/>
      <c r="BT65" s="12" t="n"/>
      <c r="BU65" s="12" t="n"/>
      <c r="BV65" s="12" t="n"/>
      <c r="BW65" s="12" t="n"/>
      <c r="BX65" s="12" t="n"/>
      <c r="BY65" s="12" t="n"/>
      <c r="BZ65" s="12" t="n"/>
      <c r="CA65" s="12" t="n"/>
      <c r="CB65" s="12" t="n"/>
      <c r="CC65" s="12" t="n"/>
      <c r="CD65" s="12" t="n"/>
      <c r="CE65" s="12" t="n"/>
      <c r="CF65" s="12" t="n"/>
      <c r="CG65" s="12" t="n"/>
      <c r="CH65" s="12" t="n"/>
    </row>
    <row r="66">
      <c r="B66" s="11" t="inlineStr">
        <is>
          <t xml:space="preserve">  Interim cash-flow statements are filed year-to-date; only fiscal-year figures are shown below.</t>
        </is>
      </c>
    </row>
    <row r="67">
      <c r="B67" s="6" t="inlineStr">
        <is>
          <t>Cash from operations</t>
        </is>
      </c>
      <c r="G67" s="25" t="n">
        <v>242.932</v>
      </c>
      <c r="AK67" s="25" t="n">
        <v>492.058</v>
      </c>
      <c r="AP67" s="25" t="n">
        <v>535.069</v>
      </c>
      <c r="AU67" s="25" t="n">
        <v>646.646</v>
      </c>
      <c r="AZ67" s="25" t="n">
        <v>917.885</v>
      </c>
      <c r="BE67" s="25" t="n">
        <v>990.891</v>
      </c>
      <c r="BJ67" s="25" t="n">
        <v>1176.683</v>
      </c>
      <c r="BO67" s="25" t="n">
        <v>1364.21</v>
      </c>
      <c r="BT67" s="25" t="n">
        <v>1472.564</v>
      </c>
      <c r="BY67" s="25" t="n">
        <v>1799.75</v>
      </c>
      <c r="BZ67" s="26">
        <f>BZ48+BZ68+BZ69-BZ70</f>
        <v/>
      </c>
      <c r="CA67" s="26">
        <f>CA48+CA68+CA69-CA70</f>
        <v/>
      </c>
      <c r="CB67" s="26">
        <f>CB48+CB68+CB69-CB70</f>
        <v/>
      </c>
      <c r="CC67" s="26">
        <f>CC48+CC68+CC69-CC70</f>
        <v/>
      </c>
      <c r="CD67" s="26">
        <f>CD48+CD68+CD69-CD70</f>
        <v/>
      </c>
    </row>
    <row r="68">
      <c r="B68" s="18" t="inlineStr">
        <is>
          <t xml:space="preserve">    Depreciation &amp; amortisation</t>
        </is>
      </c>
      <c r="G68" s="22" t="n">
        <v>45.694</v>
      </c>
      <c r="L68" s="22" t="n">
        <v>48.167</v>
      </c>
      <c r="Q68" s="22" t="n">
        <v>56.728</v>
      </c>
      <c r="V68" s="22" t="n">
        <v>53.726</v>
      </c>
      <c r="AA68" s="22" t="n">
        <v>46.573</v>
      </c>
      <c r="AF68" s="22" t="n">
        <v>48.575</v>
      </c>
      <c r="AK68" s="22" t="n">
        <v>57</v>
      </c>
      <c r="AP68" s="22" t="n">
        <v>78.598</v>
      </c>
      <c r="AU68" s="22" t="n">
        <v>84.895</v>
      </c>
      <c r="AZ68" s="22" t="n">
        <v>101.39</v>
      </c>
      <c r="BE68" s="22" t="n">
        <v>121.971</v>
      </c>
      <c r="BJ68" s="22" t="n">
        <v>137.985</v>
      </c>
      <c r="BO68" s="22" t="n">
        <v>159.478</v>
      </c>
      <c r="BT68" s="22" t="n">
        <v>189.761</v>
      </c>
      <c r="BY68" s="22" t="n">
        <v>215.849</v>
      </c>
      <c r="BZ68" s="23">
        <f>BZ38*CHOOSE(MATCH($CF$2,{"Bull","Base","Bear"},0),$CL$13,$CM$13,$CN$13)</f>
        <v/>
      </c>
      <c r="CA68" s="23">
        <f>CA38*CHOOSE(MATCH($CF$2,{"Bull","Base","Bear"},0),$CL$13,$CM$13,$CN$13)</f>
        <v/>
      </c>
      <c r="CB68" s="23">
        <f>CB38*CHOOSE(MATCH($CF$2,{"Bull","Base","Bear"},0),$CL$13,$CM$13,$CN$13)</f>
        <v/>
      </c>
      <c r="CC68" s="23">
        <f>CC38*CHOOSE(MATCH($CF$2,{"Bull","Base","Bear"},0),$CL$13,$CM$13,$CN$13)</f>
        <v/>
      </c>
      <c r="CD68" s="23">
        <f>CD38*CHOOSE(MATCH($CF$2,{"Bull","Base","Bear"},0),$CL$13,$CM$13,$CN$13)</f>
        <v/>
      </c>
    </row>
    <row r="69">
      <c r="B69" s="18" t="inlineStr">
        <is>
          <t xml:space="preserve">    Stock-based compensation</t>
        </is>
      </c>
      <c r="G69" s="22" t="n">
        <v>19.007</v>
      </c>
      <c r="L69" s="22" t="n">
        <v>21.791</v>
      </c>
      <c r="Q69" s="22" t="n">
        <v>19.557</v>
      </c>
      <c r="V69" s="22" t="n">
        <v>22.099</v>
      </c>
      <c r="AA69" s="22" t="n">
        <v>18.154</v>
      </c>
      <c r="AF69" s="22" t="n">
        <v>20.864</v>
      </c>
      <c r="AK69" s="22" t="n">
        <v>20.84</v>
      </c>
      <c r="AP69" s="22" t="n">
        <v>23.221</v>
      </c>
      <c r="AU69" s="22" t="n">
        <v>23.445</v>
      </c>
      <c r="AZ69" s="22" t="n">
        <v>23.322</v>
      </c>
      <c r="BE69" s="22" t="n">
        <v>40.922</v>
      </c>
      <c r="BJ69" s="22" t="n">
        <v>38.965</v>
      </c>
      <c r="BO69" s="22" t="n">
        <v>39.673</v>
      </c>
      <c r="BT69" s="22" t="n">
        <v>35.234</v>
      </c>
      <c r="BY69" s="22" t="n">
        <v>38.004</v>
      </c>
      <c r="BZ69" s="23">
        <f>BZ38*CHOOSE(MATCH($CF$2,{"Bull","Base","Bear"},0),$CL$14,$CM$14,$CN$14)</f>
        <v/>
      </c>
      <c r="CA69" s="23">
        <f>CA38*CHOOSE(MATCH($CF$2,{"Bull","Base","Bear"},0),$CL$14,$CM$14,$CN$14)</f>
        <v/>
      </c>
      <c r="CB69" s="23">
        <f>CB38*CHOOSE(MATCH($CF$2,{"Bull","Base","Bear"},0),$CL$14,$CM$14,$CN$14)</f>
        <v/>
      </c>
      <c r="CC69" s="23">
        <f>CC38*CHOOSE(MATCH($CF$2,{"Bull","Base","Bear"},0),$CL$14,$CM$14,$CN$14)</f>
        <v/>
      </c>
      <c r="CD69" s="23">
        <f>CD38*CHOOSE(MATCH($CF$2,{"Bull","Base","Bear"},0),$CL$14,$CM$14,$CN$14)</f>
        <v/>
      </c>
    </row>
    <row r="70">
      <c r="B70" s="29" t="inlineStr">
        <is>
          <t xml:space="preserve">    Change in net working capital (est.)</t>
        </is>
      </c>
      <c r="BZ70" s="23">
        <f>(BZ38-BY38)*CHOOSE(MATCH($CF$2,{"Bull","Base","Bear"},0),$CL$15,$CM$15,$CN$15)</f>
        <v/>
      </c>
      <c r="CA70" s="23">
        <f>(CA38-BZ38)*CHOOSE(MATCH($CF$2,{"Bull","Base","Bear"},0),$CL$15,$CM$15,$CN$15)</f>
        <v/>
      </c>
      <c r="CB70" s="23">
        <f>(CB38-CA38)*CHOOSE(MATCH($CF$2,{"Bull","Base","Bear"},0),$CL$15,$CM$15,$CN$15)</f>
        <v/>
      </c>
      <c r="CC70" s="23">
        <f>(CC38-CB38)*CHOOSE(MATCH($CF$2,{"Bull","Base","Bear"},0),$CL$15,$CM$15,$CN$15)</f>
        <v/>
      </c>
      <c r="CD70" s="23">
        <f>(CD38-CC38)*CHOOSE(MATCH($CF$2,{"Bull","Base","Bear"},0),$CL$15,$CM$15,$CN$15)</f>
        <v/>
      </c>
    </row>
    <row r="71">
      <c r="B71" s="18" t="inlineStr">
        <is>
          <t xml:space="preserve">  Capital expenditures</t>
        </is>
      </c>
      <c r="G71" s="22" t="n">
        <v>70.17</v>
      </c>
      <c r="L71" s="22" t="n">
        <v>54.832</v>
      </c>
      <c r="Q71" s="22" t="n">
        <v>130.265</v>
      </c>
      <c r="V71" s="22" t="n">
        <v>95.81</v>
      </c>
      <c r="AA71" s="22" t="n">
        <v>79.15300000000001</v>
      </c>
      <c r="AF71" s="22" t="n">
        <v>173.917</v>
      </c>
      <c r="AK71" s="22" t="n">
        <v>332.99</v>
      </c>
      <c r="AP71" s="22" t="n">
        <v>296.697</v>
      </c>
      <c r="AU71" s="22" t="n">
        <v>374.628</v>
      </c>
      <c r="AZ71" s="22" t="n">
        <v>603.674</v>
      </c>
      <c r="BE71" s="22" t="n">
        <v>467.996</v>
      </c>
      <c r="BJ71" s="22" t="n">
        <v>444.052</v>
      </c>
      <c r="BO71" s="22" t="n">
        <v>516.636</v>
      </c>
      <c r="BT71" s="22" t="n">
        <v>605.403</v>
      </c>
      <c r="BY71" s="22" t="n">
        <v>570.213</v>
      </c>
      <c r="BZ71" s="23">
        <f>-BZ38*CHOOSE(MATCH($CF$2,{"Bull","Base","Bear"},0),$CL$16,$CM$16,$CN$16)</f>
        <v/>
      </c>
      <c r="CA71" s="23">
        <f>-CA38*CHOOSE(MATCH($CF$2,{"Bull","Base","Bear"},0),$CL$16,$CM$16,$CN$16)</f>
        <v/>
      </c>
      <c r="CB71" s="23">
        <f>-CB38*CHOOSE(MATCH($CF$2,{"Bull","Base","Bear"},0),$CL$16,$CM$16,$CN$16)</f>
        <v/>
      </c>
      <c r="CC71" s="23">
        <f>-CC38*CHOOSE(MATCH($CF$2,{"Bull","Base","Bear"},0),$CL$16,$CM$16,$CN$16)</f>
        <v/>
      </c>
      <c r="CD71" s="23">
        <f>-CD38*CHOOSE(MATCH($CF$2,{"Bull","Base","Bear"},0),$CL$16,$CM$16,$CN$16)</f>
        <v/>
      </c>
    </row>
    <row r="72">
      <c r="B72" s="6" t="inlineStr">
        <is>
          <t>Cash from investing</t>
        </is>
      </c>
      <c r="G72" s="25" t="n">
        <v>-84.48</v>
      </c>
      <c r="AK72" s="25" t="n">
        <v>-335.791</v>
      </c>
      <c r="AP72" s="25" t="n">
        <v>-288.476</v>
      </c>
      <c r="AU72" s="25" t="n">
        <v>-356.267</v>
      </c>
      <c r="AZ72" s="25" t="n">
        <v>-601.208</v>
      </c>
      <c r="BE72" s="25" t="n">
        <v>-465.466</v>
      </c>
      <c r="BJ72" s="25" t="n">
        <v>-442.31</v>
      </c>
      <c r="BO72" s="25" t="n">
        <v>-1892.049</v>
      </c>
      <c r="BT72" s="25" t="n">
        <v>-940.079</v>
      </c>
      <c r="BY72" s="25" t="n">
        <v>-587.448</v>
      </c>
    </row>
    <row r="73">
      <c r="B73" s="6" t="inlineStr">
        <is>
          <t>Cash from financing</t>
        </is>
      </c>
      <c r="G73" s="25" t="n">
        <v>-354.075</v>
      </c>
      <c r="AK73" s="25" t="n">
        <v>-106.975</v>
      </c>
      <c r="AP73" s="25" t="n">
        <v>-182.038</v>
      </c>
      <c r="AU73" s="25" t="n">
        <v>-370.304</v>
      </c>
      <c r="AZ73" s="25" t="n">
        <v>-27.414</v>
      </c>
      <c r="BE73" s="25" t="n">
        <v>40.922</v>
      </c>
      <c r="BJ73" s="25" t="n">
        <v>-382.693</v>
      </c>
      <c r="BO73" s="25" t="n">
        <v>66.61499999999999</v>
      </c>
      <c r="BT73" s="25" t="n">
        <v>19.273</v>
      </c>
      <c r="BY73" s="25" t="n">
        <v>52.107</v>
      </c>
    </row>
    <row r="74">
      <c r="B74" s="6" t="inlineStr">
        <is>
          <t>Free cash flow (CFO − CapEx)</t>
        </is>
      </c>
      <c r="G74" s="33">
        <f>G67-G71</f>
        <v/>
      </c>
      <c r="AK74" s="33">
        <f>AK67-AK71</f>
        <v/>
      </c>
      <c r="AP74" s="33">
        <f>AP67-AP71</f>
        <v/>
      </c>
      <c r="AU74" s="33">
        <f>AU67-AU71</f>
        <v/>
      </c>
      <c r="AZ74" s="33">
        <f>AZ67-AZ71</f>
        <v/>
      </c>
      <c r="BE74" s="33">
        <f>BE67-BE71</f>
        <v/>
      </c>
      <c r="BJ74" s="33">
        <f>BJ67-BJ71</f>
        <v/>
      </c>
      <c r="BO74" s="33">
        <f>BO67-BO71</f>
        <v/>
      </c>
      <c r="BT74" s="33">
        <f>BT67-BT71</f>
        <v/>
      </c>
      <c r="BY74" s="33">
        <f>BY67-BY71</f>
        <v/>
      </c>
      <c r="BZ74" s="26">
        <f>BZ67+BZ71</f>
        <v/>
      </c>
      <c r="CA74" s="26">
        <f>CA67+CA71</f>
        <v/>
      </c>
      <c r="CB74" s="26">
        <f>CB67+CB71</f>
        <v/>
      </c>
      <c r="CC74" s="26">
        <f>CC67+CC71</f>
        <v/>
      </c>
      <c r="CD74" s="26">
        <f>CD67+CD71</f>
        <v/>
      </c>
      <c r="CF74" s="24">
        <f>IFERROR((CD74/BY74)^(1/5)-1,"n/m")</f>
        <v/>
      </c>
      <c r="CG74" s="24">
        <f>IFERROR((BY74/AZ74)^(1/5)-1,"n/m")</f>
        <v/>
      </c>
      <c r="CH74" s="24">
        <f>IFERROR((BY74/G74)^(1/14)-1,"n/m")</f>
        <v/>
      </c>
    </row>
    <row r="75">
      <c r="B75" s="29" t="inlineStr">
        <is>
          <t xml:space="preserve">    FCF margin %</t>
        </is>
      </c>
      <c r="C75" s="27">
        <f>IFERROR(C74/C38,"")</f>
        <v/>
      </c>
      <c r="D75" s="27">
        <f>IFERROR(D74/D38,"")</f>
        <v/>
      </c>
      <c r="E75" s="27">
        <f>IFERROR(E74/E38,"")</f>
        <v/>
      </c>
      <c r="F75" s="27">
        <f>IFERROR(F74/F38,"")</f>
        <v/>
      </c>
      <c r="G75" s="27">
        <f>IFERROR(G74/G38,"")</f>
        <v/>
      </c>
      <c r="H75" s="27">
        <f>IFERROR(H74/H38,"")</f>
        <v/>
      </c>
      <c r="I75" s="27">
        <f>IFERROR(I74/I38,"")</f>
        <v/>
      </c>
      <c r="J75" s="27">
        <f>IFERROR(J74/J38,"")</f>
        <v/>
      </c>
      <c r="K75" s="27">
        <f>IFERROR(K74/K38,"")</f>
        <v/>
      </c>
      <c r="L75" s="27">
        <f>IFERROR(L74/L38,"")</f>
        <v/>
      </c>
      <c r="M75" s="27">
        <f>IFERROR(M74/M38,"")</f>
        <v/>
      </c>
      <c r="N75" s="27">
        <f>IFERROR(N74/N38,"")</f>
        <v/>
      </c>
      <c r="O75" s="27">
        <f>IFERROR(O74/O38,"")</f>
        <v/>
      </c>
      <c r="P75" s="27">
        <f>IFERROR(P74/P38,"")</f>
        <v/>
      </c>
      <c r="Q75" s="27">
        <f>IFERROR(Q74/Q38,"")</f>
        <v/>
      </c>
      <c r="R75" s="27">
        <f>IFERROR(R74/R38,"")</f>
        <v/>
      </c>
      <c r="S75" s="27">
        <f>IFERROR(S74/S38,"")</f>
        <v/>
      </c>
      <c r="T75" s="27">
        <f>IFERROR(T74/T38,"")</f>
        <v/>
      </c>
      <c r="U75" s="27">
        <f>IFERROR(U74/U38,"")</f>
        <v/>
      </c>
      <c r="V75" s="27">
        <f>IFERROR(V74/V38,"")</f>
        <v/>
      </c>
      <c r="W75" s="27">
        <f>IFERROR(W74/W38,"")</f>
        <v/>
      </c>
      <c r="X75" s="27">
        <f>IFERROR(X74/X38,"")</f>
        <v/>
      </c>
      <c r="Y75" s="27">
        <f>IFERROR(Y74/Y38,"")</f>
        <v/>
      </c>
      <c r="Z75" s="27">
        <f>IFERROR(Z74/Z38,"")</f>
        <v/>
      </c>
      <c r="AA75" s="27">
        <f>IFERROR(AA74/AA38,"")</f>
        <v/>
      </c>
      <c r="AB75" s="27">
        <f>IFERROR(AB74/AB38,"")</f>
        <v/>
      </c>
      <c r="AC75" s="27">
        <f>IFERROR(AC74/AC38,"")</f>
        <v/>
      </c>
      <c r="AD75" s="27">
        <f>IFERROR(AD74/AD38,"")</f>
        <v/>
      </c>
      <c r="AE75" s="27">
        <f>IFERROR(AE74/AE38,"")</f>
        <v/>
      </c>
      <c r="AF75" s="27">
        <f>IFERROR(AF74/AF38,"")</f>
        <v/>
      </c>
      <c r="AG75" s="27">
        <f>IFERROR(AG74/AG38,"")</f>
        <v/>
      </c>
      <c r="AH75" s="27">
        <f>IFERROR(AH74/AH38,"")</f>
        <v/>
      </c>
      <c r="AI75" s="27">
        <f>IFERROR(AI74/AI38,"")</f>
        <v/>
      </c>
      <c r="AJ75" s="27">
        <f>IFERROR(AJ74/AJ38,"")</f>
        <v/>
      </c>
      <c r="AK75" s="27">
        <f>IFERROR(AK74/AK38,"")</f>
        <v/>
      </c>
      <c r="AL75" s="27">
        <f>IFERROR(AL74/AL38,"")</f>
        <v/>
      </c>
      <c r="AM75" s="27">
        <f>IFERROR(AM74/AM38,"")</f>
        <v/>
      </c>
      <c r="AN75" s="27">
        <f>IFERROR(AN74/AN38,"")</f>
        <v/>
      </c>
      <c r="AO75" s="27">
        <f>IFERROR(AO74/AO38,"")</f>
        <v/>
      </c>
      <c r="AP75" s="27">
        <f>IFERROR(AP74/AP38,"")</f>
        <v/>
      </c>
      <c r="AQ75" s="27">
        <f>IFERROR(AQ74/AQ38,"")</f>
        <v/>
      </c>
      <c r="AR75" s="27">
        <f>IFERROR(AR74/AR38,"")</f>
        <v/>
      </c>
      <c r="AS75" s="27">
        <f>IFERROR(AS74/AS38,"")</f>
        <v/>
      </c>
      <c r="AT75" s="27">
        <f>IFERROR(AT74/AT38,"")</f>
        <v/>
      </c>
      <c r="AU75" s="27">
        <f>IFERROR(AU74/AU38,"")</f>
        <v/>
      </c>
      <c r="AV75" s="27">
        <f>IFERROR(AV74/AV38,"")</f>
        <v/>
      </c>
      <c r="AW75" s="27">
        <f>IFERROR(AW74/AW38,"")</f>
        <v/>
      </c>
      <c r="AX75" s="27">
        <f>IFERROR(AX74/AX38,"")</f>
        <v/>
      </c>
      <c r="AY75" s="27">
        <f>IFERROR(AY74/AY38,"")</f>
        <v/>
      </c>
      <c r="AZ75" s="27">
        <f>IFERROR(AZ74/AZ38,"")</f>
        <v/>
      </c>
      <c r="BA75" s="27">
        <f>IFERROR(BA74/BA38,"")</f>
        <v/>
      </c>
      <c r="BB75" s="27">
        <f>IFERROR(BB74/BB38,"")</f>
        <v/>
      </c>
      <c r="BC75" s="27">
        <f>IFERROR(BC74/BC38,"")</f>
        <v/>
      </c>
      <c r="BD75" s="27">
        <f>IFERROR(BD74/BD38,"")</f>
        <v/>
      </c>
      <c r="BE75" s="27">
        <f>IFERROR(BE74/BE38,"")</f>
        <v/>
      </c>
      <c r="BF75" s="27">
        <f>IFERROR(BF74/BF38,"")</f>
        <v/>
      </c>
      <c r="BG75" s="27">
        <f>IFERROR(BG74/BG38,"")</f>
        <v/>
      </c>
      <c r="BH75" s="27">
        <f>IFERROR(BH74/BH38,"")</f>
        <v/>
      </c>
      <c r="BI75" s="27">
        <f>IFERROR(BI74/BI38,"")</f>
        <v/>
      </c>
      <c r="BJ75" s="27">
        <f>IFERROR(BJ74/BJ38,"")</f>
        <v/>
      </c>
      <c r="BK75" s="27">
        <f>IFERROR(BK74/BK38,"")</f>
        <v/>
      </c>
      <c r="BL75" s="27">
        <f>IFERROR(BL74/BL38,"")</f>
        <v/>
      </c>
      <c r="BM75" s="27">
        <f>IFERROR(BM74/BM38,"")</f>
        <v/>
      </c>
      <c r="BN75" s="27">
        <f>IFERROR(BN74/BN38,"")</f>
        <v/>
      </c>
      <c r="BO75" s="27">
        <f>IFERROR(BO74/BO38,"")</f>
        <v/>
      </c>
      <c r="BP75" s="27">
        <f>IFERROR(BP74/BP38,"")</f>
        <v/>
      </c>
      <c r="BQ75" s="27">
        <f>IFERROR(BQ74/BQ38,"")</f>
        <v/>
      </c>
      <c r="BR75" s="27">
        <f>IFERROR(BR74/BR38,"")</f>
        <v/>
      </c>
      <c r="BS75" s="27">
        <f>IFERROR(BS74/BS38,"")</f>
        <v/>
      </c>
      <c r="BT75" s="27">
        <f>IFERROR(BT74/BT38,"")</f>
        <v/>
      </c>
      <c r="BU75" s="27">
        <f>IFERROR(BU74/BU38,"")</f>
        <v/>
      </c>
      <c r="BV75" s="27">
        <f>IFERROR(BV74/BV38,"")</f>
        <v/>
      </c>
      <c r="BW75" s="27">
        <f>IFERROR(BW74/BW38,"")</f>
        <v/>
      </c>
      <c r="BX75" s="27">
        <f>IFERROR(BX74/BX38,"")</f>
        <v/>
      </c>
      <c r="BY75" s="27">
        <f>IFERROR(BY74/BY38,"")</f>
        <v/>
      </c>
      <c r="BZ75" s="28">
        <f>IFERROR(BZ74/BZ38,"")</f>
        <v/>
      </c>
      <c r="CA75" s="28">
        <f>IFERROR(CA74/CA38,"")</f>
        <v/>
      </c>
      <c r="CB75" s="28">
        <f>IFERROR(CB74/CB38,"")</f>
        <v/>
      </c>
      <c r="CC75" s="28">
        <f>IFERROR(CC74/CC38,"")</f>
        <v/>
      </c>
      <c r="CD75" s="28">
        <f>IFERROR(CD74/CD38,"")</f>
        <v/>
      </c>
      <c r="CF75" s="24">
        <f>IFERROR(AVERAGE(BZ75,CA75,CB75,CC75,CD75),"n/m")</f>
        <v/>
      </c>
      <c r="CG75" s="24">
        <f>IFERROR(AVERAGE(BE75,BJ75,BO75,BT75,BY75),"n/m")</f>
        <v/>
      </c>
      <c r="CH75" s="24">
        <f>IFERROR(AVERAGE(G75,L75,Q75,V75,AA75,AF75,AK75,AP75,AU75,AZ75,BE75,BJ75,BO75,BT75,BY75),"n/m")</f>
        <v/>
      </c>
    </row>
    <row r="76">
      <c r="B76" s="18" t="inlineStr">
        <is>
          <t xml:space="preserve">    CapEx % of revenue</t>
        </is>
      </c>
      <c r="C76" s="27">
        <f>IFERROR(ABS(C71)/C38,"")</f>
        <v/>
      </c>
      <c r="D76" s="27">
        <f>IFERROR(ABS(D71)/D38,"")</f>
        <v/>
      </c>
      <c r="E76" s="27">
        <f>IFERROR(ABS(E71)/E38,"")</f>
        <v/>
      </c>
      <c r="F76" s="27">
        <f>IFERROR(ABS(F71)/F38,"")</f>
        <v/>
      </c>
      <c r="G76" s="27">
        <f>IFERROR(ABS(G71)/G38,"")</f>
        <v/>
      </c>
      <c r="H76" s="27">
        <f>IFERROR(ABS(H71)/H38,"")</f>
        <v/>
      </c>
      <c r="I76" s="27">
        <f>IFERROR(ABS(I71)/I38,"")</f>
        <v/>
      </c>
      <c r="J76" s="27">
        <f>IFERROR(ABS(J71)/J38,"")</f>
        <v/>
      </c>
      <c r="K76" s="27">
        <f>IFERROR(ABS(K71)/K38,"")</f>
        <v/>
      </c>
      <c r="L76" s="27">
        <f>IFERROR(ABS(L71)/L38,"")</f>
        <v/>
      </c>
      <c r="M76" s="27">
        <f>IFERROR(ABS(M71)/M38,"")</f>
        <v/>
      </c>
      <c r="N76" s="27">
        <f>IFERROR(ABS(N71)/N38,"")</f>
        <v/>
      </c>
      <c r="O76" s="27">
        <f>IFERROR(ABS(O71)/O38,"")</f>
        <v/>
      </c>
      <c r="P76" s="27">
        <f>IFERROR(ABS(P71)/P38,"")</f>
        <v/>
      </c>
      <c r="Q76" s="27">
        <f>IFERROR(ABS(Q71)/Q38,"")</f>
        <v/>
      </c>
      <c r="R76" s="27">
        <f>IFERROR(ABS(R71)/R38,"")</f>
        <v/>
      </c>
      <c r="S76" s="27">
        <f>IFERROR(ABS(S71)/S38,"")</f>
        <v/>
      </c>
      <c r="T76" s="27">
        <f>IFERROR(ABS(T71)/T38,"")</f>
        <v/>
      </c>
      <c r="U76" s="27">
        <f>IFERROR(ABS(U71)/U38,"")</f>
        <v/>
      </c>
      <c r="V76" s="27">
        <f>IFERROR(ABS(V71)/V38,"")</f>
        <v/>
      </c>
      <c r="W76" s="27">
        <f>IFERROR(ABS(W71)/W38,"")</f>
        <v/>
      </c>
      <c r="X76" s="27">
        <f>IFERROR(ABS(X71)/X38,"")</f>
        <v/>
      </c>
      <c r="Y76" s="27">
        <f>IFERROR(ABS(Y71)/Y38,"")</f>
        <v/>
      </c>
      <c r="Z76" s="27">
        <f>IFERROR(ABS(Z71)/Z38,"")</f>
        <v/>
      </c>
      <c r="AA76" s="27">
        <f>IFERROR(ABS(AA71)/AA38,"")</f>
        <v/>
      </c>
      <c r="AB76" s="27">
        <f>IFERROR(ABS(AB71)/AB38,"")</f>
        <v/>
      </c>
      <c r="AC76" s="27">
        <f>IFERROR(ABS(AC71)/AC38,"")</f>
        <v/>
      </c>
      <c r="AD76" s="27">
        <f>IFERROR(ABS(AD71)/AD38,"")</f>
        <v/>
      </c>
      <c r="AE76" s="27">
        <f>IFERROR(ABS(AE71)/AE38,"")</f>
        <v/>
      </c>
      <c r="AF76" s="27">
        <f>IFERROR(ABS(AF71)/AF38,"")</f>
        <v/>
      </c>
      <c r="AG76" s="27">
        <f>IFERROR(ABS(AG71)/AG38,"")</f>
        <v/>
      </c>
      <c r="AH76" s="27">
        <f>IFERROR(ABS(AH71)/AH38,"")</f>
        <v/>
      </c>
      <c r="AI76" s="27">
        <f>IFERROR(ABS(AI71)/AI38,"")</f>
        <v/>
      </c>
      <c r="AJ76" s="27">
        <f>IFERROR(ABS(AJ71)/AJ38,"")</f>
        <v/>
      </c>
      <c r="AK76" s="27">
        <f>IFERROR(ABS(AK71)/AK38,"")</f>
        <v/>
      </c>
      <c r="AL76" s="27">
        <f>IFERROR(ABS(AL71)/AL38,"")</f>
        <v/>
      </c>
      <c r="AM76" s="27">
        <f>IFERROR(ABS(AM71)/AM38,"")</f>
        <v/>
      </c>
      <c r="AN76" s="27">
        <f>IFERROR(ABS(AN71)/AN38,"")</f>
        <v/>
      </c>
      <c r="AO76" s="27">
        <f>IFERROR(ABS(AO71)/AO38,"")</f>
        <v/>
      </c>
      <c r="AP76" s="27">
        <f>IFERROR(ABS(AP71)/AP38,"")</f>
        <v/>
      </c>
      <c r="AQ76" s="27">
        <f>IFERROR(ABS(AQ71)/AQ38,"")</f>
        <v/>
      </c>
      <c r="AR76" s="27">
        <f>IFERROR(ABS(AR71)/AR38,"")</f>
        <v/>
      </c>
      <c r="AS76" s="27">
        <f>IFERROR(ABS(AS71)/AS38,"")</f>
        <v/>
      </c>
      <c r="AT76" s="27">
        <f>IFERROR(ABS(AT71)/AT38,"")</f>
        <v/>
      </c>
      <c r="AU76" s="27">
        <f>IFERROR(ABS(AU71)/AU38,"")</f>
        <v/>
      </c>
      <c r="AV76" s="27">
        <f>IFERROR(ABS(AV71)/AV38,"")</f>
        <v/>
      </c>
      <c r="AW76" s="27">
        <f>IFERROR(ABS(AW71)/AW38,"")</f>
        <v/>
      </c>
      <c r="AX76" s="27">
        <f>IFERROR(ABS(AX71)/AX38,"")</f>
        <v/>
      </c>
      <c r="AY76" s="27">
        <f>IFERROR(ABS(AY71)/AY38,"")</f>
        <v/>
      </c>
      <c r="AZ76" s="27">
        <f>IFERROR(ABS(AZ71)/AZ38,"")</f>
        <v/>
      </c>
      <c r="BA76" s="27">
        <f>IFERROR(ABS(BA71)/BA38,"")</f>
        <v/>
      </c>
      <c r="BB76" s="27">
        <f>IFERROR(ABS(BB71)/BB38,"")</f>
        <v/>
      </c>
      <c r="BC76" s="27">
        <f>IFERROR(ABS(BC71)/BC38,"")</f>
        <v/>
      </c>
      <c r="BD76" s="27">
        <f>IFERROR(ABS(BD71)/BD38,"")</f>
        <v/>
      </c>
      <c r="BE76" s="27">
        <f>IFERROR(ABS(BE71)/BE38,"")</f>
        <v/>
      </c>
      <c r="BF76" s="27">
        <f>IFERROR(ABS(BF71)/BF38,"")</f>
        <v/>
      </c>
      <c r="BG76" s="27">
        <f>IFERROR(ABS(BG71)/BG38,"")</f>
        <v/>
      </c>
      <c r="BH76" s="27">
        <f>IFERROR(ABS(BH71)/BH38,"")</f>
        <v/>
      </c>
      <c r="BI76" s="27">
        <f>IFERROR(ABS(BI71)/BI38,"")</f>
        <v/>
      </c>
      <c r="BJ76" s="27">
        <f>IFERROR(ABS(BJ71)/BJ38,"")</f>
        <v/>
      </c>
      <c r="BK76" s="27">
        <f>IFERROR(ABS(BK71)/BK38,"")</f>
        <v/>
      </c>
      <c r="BL76" s="27">
        <f>IFERROR(ABS(BL71)/BL38,"")</f>
        <v/>
      </c>
      <c r="BM76" s="27">
        <f>IFERROR(ABS(BM71)/BM38,"")</f>
        <v/>
      </c>
      <c r="BN76" s="27">
        <f>IFERROR(ABS(BN71)/BN38,"")</f>
        <v/>
      </c>
      <c r="BO76" s="27">
        <f>IFERROR(ABS(BO71)/BO38,"")</f>
        <v/>
      </c>
      <c r="BP76" s="27">
        <f>IFERROR(ABS(BP71)/BP38,"")</f>
        <v/>
      </c>
      <c r="BQ76" s="27">
        <f>IFERROR(ABS(BQ71)/BQ38,"")</f>
        <v/>
      </c>
      <c r="BR76" s="27">
        <f>IFERROR(ABS(BR71)/BR38,"")</f>
        <v/>
      </c>
      <c r="BS76" s="27">
        <f>IFERROR(ABS(BS71)/BS38,"")</f>
        <v/>
      </c>
      <c r="BT76" s="27">
        <f>IFERROR(ABS(BT71)/BT38,"")</f>
        <v/>
      </c>
      <c r="BU76" s="27">
        <f>IFERROR(ABS(BU71)/BU38,"")</f>
        <v/>
      </c>
      <c r="BV76" s="27">
        <f>IFERROR(ABS(BV71)/BV38,"")</f>
        <v/>
      </c>
      <c r="BW76" s="27">
        <f>IFERROR(ABS(BW71)/BW38,"")</f>
        <v/>
      </c>
      <c r="BX76" s="27">
        <f>IFERROR(ABS(BX71)/BX38,"")</f>
        <v/>
      </c>
      <c r="BY76" s="27">
        <f>IFERROR(ABS(BY71)/BY38,"")</f>
        <v/>
      </c>
      <c r="BZ76" s="28">
        <f>IFERROR(ABS(BZ71)/BZ38,"")</f>
        <v/>
      </c>
      <c r="CA76" s="28">
        <f>IFERROR(ABS(CA71)/CA38,"")</f>
        <v/>
      </c>
      <c r="CB76" s="28">
        <f>IFERROR(ABS(CB71)/CB38,"")</f>
        <v/>
      </c>
      <c r="CC76" s="28">
        <f>IFERROR(ABS(CC71)/CC38,"")</f>
        <v/>
      </c>
      <c r="CD76" s="28">
        <f>IFERROR(ABS(CD71)/CD38,"")</f>
        <v/>
      </c>
    </row>
    <row r="78">
      <c r="B78" s="5" t="inlineStr">
        <is>
          <t>CONSOLIDATED BALANCE SHEET  (period end)</t>
        </is>
      </c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  <c r="AL78" s="12" t="n"/>
      <c r="AM78" s="12" t="n"/>
      <c r="AN78" s="12" t="n"/>
      <c r="AO78" s="12" t="n"/>
      <c r="AP78" s="12" t="n"/>
      <c r="AQ78" s="12" t="n"/>
      <c r="AR78" s="12" t="n"/>
      <c r="AS78" s="12" t="n"/>
      <c r="AT78" s="12" t="n"/>
      <c r="AU78" s="12" t="n"/>
      <c r="AV78" s="12" t="n"/>
      <c r="AW78" s="12" t="n"/>
      <c r="AX78" s="12" t="n"/>
      <c r="AY78" s="12" t="n"/>
      <c r="AZ78" s="12" t="n"/>
      <c r="BA78" s="12" t="n"/>
      <c r="BB78" s="12" t="n"/>
      <c r="BC78" s="12" t="n"/>
      <c r="BD78" s="12" t="n"/>
      <c r="BE78" s="12" t="n"/>
      <c r="BF78" s="12" t="n"/>
      <c r="BG78" s="12" t="n"/>
      <c r="BH78" s="12" t="n"/>
      <c r="BI78" s="12" t="n"/>
      <c r="BJ78" s="12" t="n"/>
      <c r="BK78" s="12" t="n"/>
      <c r="BL78" s="12" t="n"/>
      <c r="BM78" s="12" t="n"/>
      <c r="BN78" s="12" t="n"/>
      <c r="BO78" s="12" t="n"/>
      <c r="BP78" s="12" t="n"/>
      <c r="BQ78" s="12" t="n"/>
      <c r="BR78" s="12" t="n"/>
      <c r="BS78" s="12" t="n"/>
      <c r="BT78" s="12" t="n"/>
      <c r="BU78" s="12" t="n"/>
      <c r="BV78" s="12" t="n"/>
      <c r="BW78" s="12" t="n"/>
      <c r="BX78" s="12" t="n"/>
      <c r="BY78" s="12" t="n"/>
      <c r="BZ78" s="12" t="n"/>
      <c r="CA78" s="12" t="n"/>
      <c r="CB78" s="12" t="n"/>
      <c r="CC78" s="12" t="n"/>
      <c r="CD78" s="12" t="n"/>
      <c r="CE78" s="12" t="n"/>
      <c r="CF78" s="12" t="n"/>
      <c r="CG78" s="12" t="n"/>
      <c r="CH78" s="12" t="n"/>
    </row>
    <row r="79">
      <c r="B79" s="18" t="inlineStr">
        <is>
          <t xml:space="preserve">  Cash &amp; cash equivalents</t>
        </is>
      </c>
      <c r="D79" s="22" t="n">
        <v>203.954</v>
      </c>
      <c r="E79" s="22" t="n">
        <v>192.148</v>
      </c>
      <c r="F79" s="22" t="n">
        <v>74.009</v>
      </c>
      <c r="G79" s="22" t="n">
        <v>74.009</v>
      </c>
      <c r="H79" s="22" t="n">
        <v>212.677</v>
      </c>
      <c r="I79" s="22" t="n">
        <v>127.64</v>
      </c>
      <c r="J79" s="22" t="n">
        <v>207.134</v>
      </c>
      <c r="L79" s="22" t="n">
        <v>140.112</v>
      </c>
      <c r="M79" s="22" t="n">
        <v>131.43</v>
      </c>
      <c r="N79" s="22" t="n">
        <v>49.51</v>
      </c>
      <c r="O79" s="22" t="n">
        <v>139.331</v>
      </c>
      <c r="P79" s="22" t="n">
        <v>63.631</v>
      </c>
      <c r="Q79" s="22" t="n">
        <v>63.631</v>
      </c>
      <c r="R79" s="22" t="n">
        <v>77.05200000000001</v>
      </c>
      <c r="S79" s="22" t="n">
        <v>46.199</v>
      </c>
      <c r="T79" s="22" t="n">
        <v>132.832</v>
      </c>
      <c r="U79" s="22" t="n">
        <v>158.668</v>
      </c>
      <c r="V79" s="22" t="n">
        <v>158.668</v>
      </c>
      <c r="W79" s="22" t="n">
        <v>198.484</v>
      </c>
      <c r="X79" s="22" t="n">
        <v>590.366</v>
      </c>
      <c r="Y79" s="22" t="n">
        <v>678.742</v>
      </c>
      <c r="Z79" s="22" t="n">
        <v>456.012</v>
      </c>
      <c r="AA79" s="22" t="n">
        <v>456.012</v>
      </c>
      <c r="AB79" s="22" t="n">
        <v>472.916</v>
      </c>
      <c r="AC79" s="22" t="n">
        <v>141.416</v>
      </c>
      <c r="AD79" s="22" t="n">
        <v>137.653</v>
      </c>
      <c r="AE79" s="22" t="n">
        <v>155.849</v>
      </c>
      <c r="AF79" s="22" t="n">
        <v>155.849</v>
      </c>
      <c r="AG79" s="22" t="n">
        <v>168.421</v>
      </c>
      <c r="AH79" s="22" t="n">
        <v>174.952</v>
      </c>
      <c r="AI79" s="22" t="n">
        <v>189.621</v>
      </c>
      <c r="AJ79" s="22" t="n">
        <v>210.1</v>
      </c>
      <c r="AK79" s="22" t="n">
        <v>210.1</v>
      </c>
      <c r="AL79" s="22" t="n">
        <v>224.246</v>
      </c>
      <c r="AM79" s="22" t="n">
        <v>204.275</v>
      </c>
      <c r="AN79" s="22" t="n">
        <v>204.275</v>
      </c>
      <c r="AO79" s="22" t="n">
        <v>274.52</v>
      </c>
      <c r="AP79" s="22" t="n">
        <v>274.52</v>
      </c>
      <c r="AQ79" s="22" t="n">
        <v>320.309</v>
      </c>
      <c r="AR79" s="22" t="n">
        <v>108.174</v>
      </c>
      <c r="AS79" s="22" t="n">
        <v>102.826</v>
      </c>
      <c r="AT79" s="22" t="n">
        <v>186.319</v>
      </c>
      <c r="AU79" s="22" t="n">
        <v>186.319</v>
      </c>
      <c r="AV79" s="22" t="n">
        <v>181.102</v>
      </c>
      <c r="AW79" s="22" t="n">
        <v>93.511</v>
      </c>
      <c r="AX79" s="22" t="n">
        <v>306.387</v>
      </c>
      <c r="AY79" s="22" t="n">
        <v>477.718</v>
      </c>
      <c r="AZ79" s="22" t="n">
        <v>477.718</v>
      </c>
      <c r="BA79" s="22" t="n">
        <v>605.732</v>
      </c>
      <c r="BB79" s="22" t="n">
        <v>616.403</v>
      </c>
      <c r="BC79" s="22" t="n">
        <v>911.89</v>
      </c>
      <c r="BD79" s="22" t="n">
        <v>1048.26</v>
      </c>
      <c r="BE79" s="22" t="n">
        <v>1048.26</v>
      </c>
      <c r="BF79" s="22" t="n">
        <v>1298.373</v>
      </c>
      <c r="BG79" s="22" t="n">
        <v>971.651</v>
      </c>
      <c r="BH79" s="22" t="n">
        <v>1454.818</v>
      </c>
      <c r="BI79" s="22" t="n">
        <v>1384.236</v>
      </c>
      <c r="BJ79" s="22" t="n">
        <v>1384.236</v>
      </c>
      <c r="BK79" s="22" t="n">
        <v>1539.391</v>
      </c>
      <c r="BL79" s="22" t="n">
        <v>1660.952</v>
      </c>
      <c r="BM79" s="22" t="n">
        <v>2114.183</v>
      </c>
      <c r="BN79" s="22" t="n">
        <v>957.395</v>
      </c>
      <c r="BO79" s="22" t="n">
        <v>957.395</v>
      </c>
      <c r="BP79" s="22" t="n">
        <v>2581.567</v>
      </c>
      <c r="BQ79" s="22" t="n">
        <v>1256.948</v>
      </c>
      <c r="BR79" s="22" t="n">
        <v>1089.995</v>
      </c>
      <c r="BS79" s="22" t="n">
        <v>1514.111</v>
      </c>
      <c r="BT79" s="22" t="n">
        <v>1514.111</v>
      </c>
      <c r="BU79" s="22" t="n">
        <v>3698.118</v>
      </c>
      <c r="BV79" s="22" t="n">
        <v>3338.909</v>
      </c>
      <c r="BW79" s="22" t="n">
        <v>2366.499</v>
      </c>
      <c r="BX79" s="22" t="n">
        <v>2780.531</v>
      </c>
      <c r="BY79" s="22" t="n">
        <v>2780.531</v>
      </c>
    </row>
    <row r="80">
      <c r="B80" s="18" t="inlineStr">
        <is>
          <t xml:space="preserve">  Total current assets</t>
        </is>
      </c>
      <c r="D80" s="22" t="n">
        <v>392.353</v>
      </c>
      <c r="E80" s="22" t="n">
        <v>353.366</v>
      </c>
      <c r="F80" s="22" t="n">
        <v>241.868</v>
      </c>
      <c r="G80" s="22" t="n">
        <v>241.868</v>
      </c>
      <c r="H80" s="22" t="n">
        <v>384.271</v>
      </c>
      <c r="I80" s="22" t="n">
        <v>328.212</v>
      </c>
      <c r="J80" s="22" t="n">
        <v>383.375</v>
      </c>
      <c r="L80" s="22" t="n">
        <v>321.227</v>
      </c>
      <c r="M80" s="22" t="n">
        <v>327.069</v>
      </c>
      <c r="N80" s="22" t="n">
        <v>311.905</v>
      </c>
      <c r="O80" s="22" t="n">
        <v>353.162</v>
      </c>
      <c r="P80" s="22" t="n">
        <v>306.452</v>
      </c>
      <c r="Q80" s="22" t="n">
        <v>306.452</v>
      </c>
      <c r="R80" s="22" t="n">
        <v>320.955</v>
      </c>
      <c r="S80" s="22" t="n">
        <v>332.929</v>
      </c>
      <c r="T80" s="22" t="n">
        <v>385.754</v>
      </c>
      <c r="U80" s="22" t="n">
        <v>412.291</v>
      </c>
      <c r="V80" s="22" t="n">
        <v>412.291</v>
      </c>
      <c r="W80" s="22" t="n">
        <v>457.766</v>
      </c>
      <c r="X80" s="22" t="n">
        <v>888.425</v>
      </c>
      <c r="Y80" s="22" t="n">
        <v>954.4589999999999</v>
      </c>
      <c r="Z80" s="22" t="n">
        <v>734.582</v>
      </c>
      <c r="AA80" s="22" t="n">
        <v>734.582</v>
      </c>
      <c r="AB80" s="22" t="n">
        <v>785.6559999999999</v>
      </c>
      <c r="AC80" s="22" t="n">
        <v>506.858</v>
      </c>
      <c r="AD80" s="22" t="n">
        <v>464.505</v>
      </c>
      <c r="AE80" s="22" t="n">
        <v>499.306</v>
      </c>
      <c r="AF80" s="22" t="n">
        <v>499.306</v>
      </c>
      <c r="AG80" s="22" t="n">
        <v>630.711</v>
      </c>
      <c r="AH80" s="22" t="n">
        <v>659.252</v>
      </c>
      <c r="AI80" s="22" t="n">
        <v>593.609</v>
      </c>
      <c r="AJ80" s="22" t="n">
        <v>587.261</v>
      </c>
      <c r="AK80" s="22" t="n">
        <v>587.261</v>
      </c>
      <c r="AL80" s="22" t="n">
        <v>654.371</v>
      </c>
      <c r="AM80" s="22" t="n">
        <v>666.476</v>
      </c>
      <c r="AN80" s="22" t="n">
        <v>630.902</v>
      </c>
      <c r="AO80" s="22" t="n">
        <v>709.116</v>
      </c>
      <c r="AP80" s="22" t="n">
        <v>709.116</v>
      </c>
      <c r="AQ80" s="22" t="n">
        <v>763.222</v>
      </c>
      <c r="AR80" s="22" t="n">
        <v>628.466</v>
      </c>
      <c r="AS80" s="22" t="n">
        <v>613.585</v>
      </c>
      <c r="AT80" s="22" t="n">
        <v>687.167</v>
      </c>
      <c r="AU80" s="22" t="n">
        <v>687.167</v>
      </c>
      <c r="AV80" s="22" t="n">
        <v>744.076</v>
      </c>
      <c r="AW80" s="22" t="n">
        <v>731.963</v>
      </c>
      <c r="AX80" s="22" t="n">
        <v>794.152</v>
      </c>
      <c r="AY80" s="22" t="n">
        <v>963.759</v>
      </c>
      <c r="AZ80" s="22" t="n">
        <v>963.759</v>
      </c>
      <c r="BA80" s="22" t="n">
        <v>1138.176</v>
      </c>
      <c r="BB80" s="22" t="n">
        <v>1225.467</v>
      </c>
      <c r="BC80" s="22" t="n">
        <v>1499.371</v>
      </c>
      <c r="BD80" s="22" t="n">
        <v>1702.611</v>
      </c>
      <c r="BE80" s="22" t="n">
        <v>1702.611</v>
      </c>
      <c r="BF80" s="22" t="n">
        <v>2039.78</v>
      </c>
      <c r="BG80" s="22" t="n">
        <v>2189.373</v>
      </c>
      <c r="BH80" s="22" t="n">
        <v>2457.426</v>
      </c>
      <c r="BI80" s="22" t="n">
        <v>2202.455</v>
      </c>
      <c r="BJ80" s="22" t="n">
        <v>2202.455</v>
      </c>
      <c r="BK80" s="22" t="n">
        <v>2364.605</v>
      </c>
      <c r="BL80" s="22" t="n">
        <v>2638.781</v>
      </c>
      <c r="BM80" s="22" t="n">
        <v>3001.03</v>
      </c>
      <c r="BN80" s="22" t="n">
        <v>3262.604</v>
      </c>
      <c r="BO80" s="22" t="n">
        <v>3262.604</v>
      </c>
      <c r="BP80" s="22" t="n">
        <v>3584.89</v>
      </c>
      <c r="BQ80" s="22" t="n">
        <v>3748.486</v>
      </c>
      <c r="BR80" s="22" t="n">
        <v>4149.129</v>
      </c>
      <c r="BS80" s="22" t="n">
        <v>4418.184</v>
      </c>
      <c r="BT80" s="22" t="n">
        <v>4418.184</v>
      </c>
      <c r="BU80" s="22" t="n">
        <v>4733.117</v>
      </c>
      <c r="BV80" s="22" t="n">
        <v>4966.783</v>
      </c>
      <c r="BW80" s="22" t="n">
        <v>5359.154</v>
      </c>
      <c r="BX80" s="22" t="n">
        <v>5754.628</v>
      </c>
      <c r="BY80" s="22" t="n">
        <v>5754.628</v>
      </c>
    </row>
    <row r="81">
      <c r="B81" s="18" t="inlineStr">
        <is>
          <t xml:space="preserve">  Property &amp; equipment, net</t>
        </is>
      </c>
      <c r="D81" s="22" t="n">
        <v>575.686</v>
      </c>
      <c r="E81" s="22" t="n">
        <v>598.968</v>
      </c>
      <c r="F81" s="22" t="n">
        <v>600.388</v>
      </c>
      <c r="G81" s="22" t="n">
        <v>600.388</v>
      </c>
      <c r="H81" s="22" t="n">
        <v>594.851</v>
      </c>
      <c r="I81" s="22" t="n">
        <v>568.816</v>
      </c>
      <c r="J81" s="22" t="n">
        <v>574.732</v>
      </c>
      <c r="L81" s="22" t="n">
        <v>587.163</v>
      </c>
      <c r="M81" s="22" t="n">
        <v>625.043</v>
      </c>
      <c r="N81" s="22" t="n">
        <v>657.424</v>
      </c>
      <c r="O81" s="22" t="n">
        <v>676.698</v>
      </c>
      <c r="P81" s="22" t="n">
        <v>677.5170000000001</v>
      </c>
      <c r="Q81" s="22" t="n">
        <v>677.5170000000001</v>
      </c>
      <c r="R81" s="22" t="n">
        <v>692.398</v>
      </c>
      <c r="S81" s="22" t="n">
        <v>707.379</v>
      </c>
      <c r="T81" s="22" t="n">
        <v>685.564</v>
      </c>
      <c r="U81" s="22" t="n">
        <v>692.383</v>
      </c>
      <c r="V81" s="22" t="n">
        <v>692.383</v>
      </c>
      <c r="W81" s="22" t="n">
        <v>691.981</v>
      </c>
      <c r="X81" s="22" t="n">
        <v>688.244</v>
      </c>
      <c r="Y81" s="22" t="n">
        <v>683.956</v>
      </c>
      <c r="Z81" s="22" t="n">
        <v>700.402</v>
      </c>
      <c r="AA81" s="22" t="n">
        <v>700.402</v>
      </c>
      <c r="AB81" s="22" t="n">
        <v>705.59</v>
      </c>
      <c r="AC81" s="22" t="n">
        <v>744.224</v>
      </c>
      <c r="AD81" s="22" t="n">
        <v>806.973</v>
      </c>
      <c r="AE81" s="22" t="n">
        <v>816.7910000000001</v>
      </c>
      <c r="AF81" s="22" t="n">
        <v>816.7910000000001</v>
      </c>
      <c r="AG81" s="22" t="n">
        <v>840.587</v>
      </c>
      <c r="AH81" s="22" t="n">
        <v>882.256</v>
      </c>
      <c r="AI81" s="22" t="n">
        <v>913.303</v>
      </c>
      <c r="AJ81" s="22" t="n">
        <v>944.056</v>
      </c>
      <c r="AK81" s="22" t="n">
        <v>944.056</v>
      </c>
      <c r="AL81" s="22" t="n">
        <v>959.716</v>
      </c>
      <c r="AM81" s="22" t="n">
        <v>1024.564</v>
      </c>
      <c r="AN81" s="22" t="n">
        <v>1087.91</v>
      </c>
      <c r="AO81" s="22" t="n">
        <v>1163.425</v>
      </c>
      <c r="AP81" s="22" t="n">
        <v>1163.425</v>
      </c>
      <c r="AQ81" s="22" t="n">
        <v>1188.088</v>
      </c>
      <c r="AR81" s="22" t="n">
        <v>1237.117</v>
      </c>
      <c r="AS81" s="22" t="n">
        <v>1340.692</v>
      </c>
      <c r="AT81" s="22" t="n">
        <v>1427.726</v>
      </c>
      <c r="AU81" s="22" t="n">
        <v>1427.726</v>
      </c>
      <c r="AV81" s="22" t="n">
        <v>1545.714</v>
      </c>
      <c r="AW81" s="22" t="n">
        <v>1789.326</v>
      </c>
      <c r="AX81" s="22" t="n">
        <v>1838.297</v>
      </c>
      <c r="AY81" s="22" t="n">
        <v>1941.719</v>
      </c>
      <c r="AZ81" s="22" t="n">
        <v>1941.719</v>
      </c>
      <c r="BA81" s="22" t="n">
        <v>2072.059</v>
      </c>
      <c r="BB81" s="22" t="n">
        <v>2175.346</v>
      </c>
      <c r="BC81" s="22" t="n">
        <v>2227.531</v>
      </c>
      <c r="BD81" s="22" t="n">
        <v>2296.624</v>
      </c>
      <c r="BE81" s="22" t="n">
        <v>2296.624</v>
      </c>
      <c r="BF81" s="22" t="n">
        <v>2318.701</v>
      </c>
      <c r="BG81" s="22" t="n">
        <v>2376.013</v>
      </c>
      <c r="BH81" s="22" t="n">
        <v>2402.809</v>
      </c>
      <c r="BI81" s="22" t="n">
        <v>2485.764</v>
      </c>
      <c r="BJ81" s="22" t="n">
        <v>2485.764</v>
      </c>
      <c r="BK81" s="22" t="n">
        <v>2582.481</v>
      </c>
      <c r="BL81" s="22" t="n">
        <v>2656.273</v>
      </c>
      <c r="BM81" s="22" t="n">
        <v>2710.933</v>
      </c>
      <c r="BN81" s="22" t="n">
        <v>2844.339</v>
      </c>
      <c r="BO81" s="22" t="n">
        <v>2844.339</v>
      </c>
      <c r="BP81" s="22" t="n">
        <v>2943.537</v>
      </c>
      <c r="BQ81" s="22" t="n">
        <v>3042.711</v>
      </c>
      <c r="BR81" s="22" t="n">
        <v>3073.09</v>
      </c>
      <c r="BS81" s="22" t="n">
        <v>3175.838</v>
      </c>
      <c r="BT81" s="22" t="n">
        <v>3175.838</v>
      </c>
      <c r="BU81" s="22" t="n">
        <v>3363.155</v>
      </c>
      <c r="BV81" s="22" t="n">
        <v>3462.768</v>
      </c>
      <c r="BW81" s="22" t="n">
        <v>3569.267</v>
      </c>
      <c r="BX81" s="22" t="n">
        <v>3598.093</v>
      </c>
      <c r="BY81" s="22" t="n">
        <v>3598.093</v>
      </c>
    </row>
    <row r="82">
      <c r="B82" s="18" t="inlineStr">
        <is>
          <t xml:space="preserve">  Goodwill</t>
        </is>
      </c>
      <c r="D82" s="22" t="n">
        <v>177.882</v>
      </c>
      <c r="E82" s="22" t="n">
        <v>200.611</v>
      </c>
      <c r="F82" s="22" t="n">
        <v>198.62</v>
      </c>
      <c r="G82" s="22" t="n">
        <v>198.62</v>
      </c>
      <c r="H82" s="22" t="n">
        <v>197.129</v>
      </c>
      <c r="I82" s="22" t="n">
        <v>194.954</v>
      </c>
      <c r="J82" s="22" t="n">
        <v>197.808</v>
      </c>
      <c r="L82" s="22" t="n">
        <v>196.438</v>
      </c>
      <c r="M82" s="22" t="n">
        <v>198.558</v>
      </c>
      <c r="N82" s="22" t="n">
        <v>210.188</v>
      </c>
      <c r="O82" s="22" t="n">
        <v>208.58</v>
      </c>
      <c r="P82" s="22" t="n">
        <v>267.463</v>
      </c>
      <c r="Q82" s="22" t="n">
        <v>267.463</v>
      </c>
      <c r="R82" s="22" t="n">
        <v>281.447</v>
      </c>
      <c r="S82" s="22" t="n">
        <v>291.227</v>
      </c>
      <c r="T82" s="22" t="n">
        <v>288.402</v>
      </c>
      <c r="U82" s="22" t="n">
        <v>283.78</v>
      </c>
      <c r="V82" s="22" t="n">
        <v>283.78</v>
      </c>
      <c r="W82" s="22" t="n">
        <v>276.889</v>
      </c>
      <c r="X82" s="22" t="n">
        <v>270.492</v>
      </c>
      <c r="Y82" s="22" t="n">
        <v>271.484</v>
      </c>
      <c r="Z82" s="22" t="n">
        <v>271.85</v>
      </c>
      <c r="AA82" s="22" t="n">
        <v>271.85</v>
      </c>
      <c r="AB82" s="22" t="n">
        <v>270.62</v>
      </c>
      <c r="AC82" s="22" t="n">
        <v>264.128</v>
      </c>
      <c r="AD82" s="22" t="n">
        <v>267.367</v>
      </c>
      <c r="AE82" s="22" t="n">
        <v>260.198</v>
      </c>
      <c r="AF82" s="22" t="n">
        <v>260.198</v>
      </c>
      <c r="AG82" s="22" t="n">
        <v>255.093</v>
      </c>
      <c r="AH82" s="22" t="n">
        <v>256.867</v>
      </c>
      <c r="AI82" s="22" t="n">
        <v>258.634</v>
      </c>
      <c r="AJ82" s="22" t="n">
        <v>340.243</v>
      </c>
      <c r="AK82" s="22" t="n">
        <v>340.243</v>
      </c>
      <c r="AL82" s="22" t="n">
        <v>339.024</v>
      </c>
      <c r="AM82" s="22" t="n">
        <v>344.499</v>
      </c>
      <c r="AN82" s="22" t="n">
        <v>342.459</v>
      </c>
      <c r="AO82" s="22" t="n">
        <v>337.235</v>
      </c>
      <c r="AP82" s="22" t="n">
        <v>337.235</v>
      </c>
      <c r="AQ82" s="22" t="n">
        <v>335.12</v>
      </c>
      <c r="AR82" s="22" t="n">
        <v>338.045</v>
      </c>
      <c r="AS82" s="22" t="n">
        <v>337.725</v>
      </c>
      <c r="AT82" s="22" t="n">
        <v>333.321</v>
      </c>
      <c r="AU82" s="22" t="n">
        <v>333.321</v>
      </c>
      <c r="AV82" s="22" t="n">
        <v>337.179</v>
      </c>
      <c r="AW82" s="22" t="n">
        <v>338.262</v>
      </c>
      <c r="AX82" s="22" t="n">
        <v>338.039</v>
      </c>
      <c r="AY82" s="22" t="n">
        <v>343.622</v>
      </c>
      <c r="AZ82" s="22" t="n">
        <v>343.622</v>
      </c>
      <c r="BA82" s="22" t="n">
        <v>342.576</v>
      </c>
      <c r="BB82" s="22" t="n">
        <v>346.966</v>
      </c>
      <c r="BC82" s="22" t="n">
        <v>347.515</v>
      </c>
      <c r="BD82" s="22" t="n">
        <v>355.717</v>
      </c>
      <c r="BE82" s="22" t="n">
        <v>355.717</v>
      </c>
      <c r="BF82" s="22" t="n">
        <v>354.062</v>
      </c>
      <c r="BG82" s="22" t="n">
        <v>352.908</v>
      </c>
      <c r="BH82" s="22" t="n">
        <v>348</v>
      </c>
      <c r="BI82" s="22" t="n">
        <v>401.954</v>
      </c>
      <c r="BJ82" s="22" t="n">
        <v>401.954</v>
      </c>
      <c r="BK82" s="22" t="n">
        <v>394.844</v>
      </c>
      <c r="BL82" s="22" t="n">
        <v>404.046</v>
      </c>
      <c r="BM82" s="22" t="n">
        <v>406.64</v>
      </c>
      <c r="BN82" s="22" t="n">
        <v>394.289</v>
      </c>
      <c r="BO82" s="22" t="n">
        <v>394.289</v>
      </c>
      <c r="BP82" s="22" t="n">
        <v>500.926</v>
      </c>
      <c r="BQ82" s="22" t="n">
        <v>510.563</v>
      </c>
      <c r="BR82" s="22" t="n">
        <v>511.372</v>
      </c>
      <c r="BS82" s="22" t="n">
        <v>513.909</v>
      </c>
      <c r="BT82" s="22" t="n">
        <v>513.909</v>
      </c>
      <c r="BU82" s="22" t="n">
        <v>514.4829999999999</v>
      </c>
      <c r="BV82" s="22" t="n">
        <v>509.67</v>
      </c>
      <c r="BW82" s="22" t="n">
        <v>518.6</v>
      </c>
      <c r="BX82" s="22" t="n">
        <v>517.779</v>
      </c>
      <c r="BY82" s="22" t="n">
        <v>517.779</v>
      </c>
    </row>
    <row r="83">
      <c r="B83" s="6" t="inlineStr">
        <is>
          <t>Total assets</t>
        </is>
      </c>
      <c r="D83" s="25" t="n">
        <v>1188.411</v>
      </c>
      <c r="E83" s="25" t="n">
        <v>1191.312</v>
      </c>
      <c r="F83" s="25" t="n">
        <v>1084.436</v>
      </c>
      <c r="G83" s="25" t="n">
        <v>1084.436</v>
      </c>
      <c r="H83" s="25" t="n">
        <v>1225.884</v>
      </c>
      <c r="I83" s="25" t="n">
        <v>1139.658</v>
      </c>
      <c r="J83" s="25" t="n">
        <v>1204.763</v>
      </c>
      <c r="L83" s="25" t="n">
        <v>1154</v>
      </c>
      <c r="M83" s="25" t="n">
        <v>1214.526</v>
      </c>
      <c r="N83" s="25" t="n">
        <v>1253.946</v>
      </c>
      <c r="O83" s="25" t="n">
        <v>1298.682</v>
      </c>
      <c r="P83" s="25" t="n">
        <v>1334.481</v>
      </c>
      <c r="Q83" s="25" t="n">
        <v>1334.481</v>
      </c>
      <c r="R83" s="25" t="n">
        <v>1397.388</v>
      </c>
      <c r="S83" s="25" t="n">
        <v>1438.493</v>
      </c>
      <c r="T83" s="25" t="n">
        <v>1476.672</v>
      </c>
      <c r="U83" s="25" t="n">
        <v>1506.121</v>
      </c>
      <c r="V83" s="25" t="n">
        <v>1506.121</v>
      </c>
      <c r="W83" s="25" t="n">
        <v>1536.586</v>
      </c>
      <c r="X83" s="25" t="n">
        <v>1952.071</v>
      </c>
      <c r="Y83" s="25" t="n">
        <v>2002.977</v>
      </c>
      <c r="Z83" s="25" t="n">
        <v>1798.66</v>
      </c>
      <c r="AA83" s="25" t="n">
        <v>1798.66</v>
      </c>
      <c r="AB83" s="25" t="n">
        <v>1855.764</v>
      </c>
      <c r="AC83" s="25" t="n">
        <v>1604.364</v>
      </c>
      <c r="AD83" s="25" t="n">
        <v>1624.135</v>
      </c>
      <c r="AE83" s="25" t="n">
        <v>1649.82</v>
      </c>
      <c r="AF83" s="25" t="n">
        <v>1649.82</v>
      </c>
      <c r="AG83" s="25" t="n">
        <v>1770.396</v>
      </c>
      <c r="AH83" s="25" t="n">
        <v>1841.241</v>
      </c>
      <c r="AI83" s="25" t="n">
        <v>1811.686</v>
      </c>
      <c r="AJ83" s="25" t="n">
        <v>1982.501</v>
      </c>
      <c r="AK83" s="25" t="n">
        <v>1982.501</v>
      </c>
      <c r="AL83" s="25" t="n">
        <v>2062.67</v>
      </c>
      <c r="AM83" s="25" t="n">
        <v>2143.541</v>
      </c>
      <c r="AN83" s="25" t="n">
        <v>2165.193</v>
      </c>
      <c r="AO83" s="25" t="n">
        <v>2307.698</v>
      </c>
      <c r="AP83" s="25" t="n">
        <v>2307.698</v>
      </c>
      <c r="AQ83" s="25" t="n">
        <v>2381.788</v>
      </c>
      <c r="AR83" s="25" t="n">
        <v>2296.905</v>
      </c>
      <c r="AS83" s="25" t="n">
        <v>2391.763</v>
      </c>
      <c r="AT83" s="25" t="n">
        <v>2547.617</v>
      </c>
      <c r="AU83" s="25" t="n">
        <v>2547.617</v>
      </c>
      <c r="AV83" s="25" t="n">
        <v>2855.939</v>
      </c>
      <c r="AW83" s="25" t="n">
        <v>3048.605</v>
      </c>
      <c r="AX83" s="25" t="n">
        <v>3161.583</v>
      </c>
      <c r="AY83" s="25" t="n">
        <v>3455.261</v>
      </c>
      <c r="AZ83" s="25" t="n">
        <v>3455.261</v>
      </c>
      <c r="BA83" s="25" t="n">
        <v>3741.188</v>
      </c>
      <c r="BB83" s="25" t="n">
        <v>3934.438</v>
      </c>
      <c r="BC83" s="25" t="n">
        <v>4281.946</v>
      </c>
      <c r="BD83" s="25" t="n">
        <v>4562.143</v>
      </c>
      <c r="BE83" s="25" t="n">
        <v>4562.143</v>
      </c>
      <c r="BF83" s="25" t="n">
        <v>4918.852</v>
      </c>
      <c r="BG83" s="25" t="n">
        <v>5136.956</v>
      </c>
      <c r="BH83" s="25" t="n">
        <v>5443.874</v>
      </c>
      <c r="BI83" s="25" t="n">
        <v>5308.864</v>
      </c>
      <c r="BJ83" s="25" t="n">
        <v>5308.864</v>
      </c>
      <c r="BK83" s="25" t="n">
        <v>5593.677</v>
      </c>
      <c r="BL83" s="25" t="n">
        <v>5932.408</v>
      </c>
      <c r="BM83" s="25" t="n">
        <v>6349.805</v>
      </c>
      <c r="BN83" s="25" t="n">
        <v>6737.879</v>
      </c>
      <c r="BO83" s="25" t="n">
        <v>6737.879</v>
      </c>
      <c r="BP83" s="25" t="n">
        <v>7333.786</v>
      </c>
      <c r="BQ83" s="25" t="n">
        <v>7598.52</v>
      </c>
      <c r="BR83" s="25" t="n">
        <v>8010.632</v>
      </c>
      <c r="BS83" s="25" t="n">
        <v>8427.763999999999</v>
      </c>
      <c r="BT83" s="25" t="n">
        <v>8427.763999999999</v>
      </c>
      <c r="BU83" s="25" t="n">
        <v>8869.486999999999</v>
      </c>
      <c r="BV83" s="25" t="n">
        <v>9187.347</v>
      </c>
      <c r="BW83" s="25" t="n">
        <v>9672.222</v>
      </c>
      <c r="BX83" s="25" t="n">
        <v>10090.902</v>
      </c>
      <c r="BY83" s="25" t="n">
        <v>10090.902</v>
      </c>
    </row>
    <row r="84">
      <c r="B84" s="18" t="inlineStr">
        <is>
          <t xml:space="preserve">  Total current liabilities</t>
        </is>
      </c>
      <c r="D84" s="22" t="n">
        <v>160.893</v>
      </c>
      <c r="E84" s="22" t="n">
        <v>171.406</v>
      </c>
      <c r="F84" s="22" t="n">
        <v>166.626</v>
      </c>
      <c r="G84" s="22" t="n">
        <v>166.626</v>
      </c>
      <c r="H84" s="22" t="n">
        <v>208.635</v>
      </c>
      <c r="I84" s="22" t="n">
        <v>186.182</v>
      </c>
      <c r="J84" s="22" t="n">
        <v>198.771</v>
      </c>
      <c r="L84" s="22" t="n">
        <v>186.319</v>
      </c>
      <c r="M84" s="22" t="n">
        <v>217.215</v>
      </c>
      <c r="N84" s="22" t="n">
        <v>212.811</v>
      </c>
      <c r="O84" s="22" t="n">
        <v>218.377</v>
      </c>
      <c r="P84" s="22" t="n">
        <v>238.559</v>
      </c>
      <c r="Q84" s="22" t="n">
        <v>238.559</v>
      </c>
      <c r="R84" s="22" t="n">
        <v>257.907</v>
      </c>
      <c r="S84" s="22" t="n">
        <v>259.651</v>
      </c>
      <c r="T84" s="22" t="n">
        <v>256.742</v>
      </c>
      <c r="U84" s="22" t="n">
        <v>244.284</v>
      </c>
      <c r="V84" s="22" t="n">
        <v>244.284</v>
      </c>
      <c r="W84" s="22" t="n">
        <v>259.691</v>
      </c>
      <c r="X84" s="22" t="n">
        <v>234.724</v>
      </c>
      <c r="Y84" s="22" t="n">
        <v>229.448</v>
      </c>
      <c r="Z84" s="22" t="n">
        <v>213.126</v>
      </c>
      <c r="AA84" s="22" t="n">
        <v>213.126</v>
      </c>
      <c r="AB84" s="22" t="n">
        <v>223.926</v>
      </c>
      <c r="AC84" s="22" t="n">
        <v>265.117</v>
      </c>
      <c r="AD84" s="22" t="n">
        <v>203.581</v>
      </c>
      <c r="AE84" s="22" t="n">
        <v>278.783</v>
      </c>
      <c r="AF84" s="22" t="n">
        <v>278.783</v>
      </c>
      <c r="AG84" s="22" t="n">
        <v>357.678</v>
      </c>
      <c r="AH84" s="22" t="n">
        <v>345.947</v>
      </c>
      <c r="AI84" s="22" t="n">
        <v>221.488</v>
      </c>
      <c r="AJ84" s="22" t="n">
        <v>302.153</v>
      </c>
      <c r="AK84" s="22" t="n">
        <v>302.153</v>
      </c>
      <c r="AL84" s="22" t="n">
        <v>289.169</v>
      </c>
      <c r="AM84" s="22" t="n">
        <v>375.048</v>
      </c>
      <c r="AN84" s="22" t="n">
        <v>270.578</v>
      </c>
      <c r="AO84" s="22" t="n">
        <v>277.256</v>
      </c>
      <c r="AP84" s="22" t="n">
        <v>277.256</v>
      </c>
      <c r="AQ84" s="22" t="n">
        <v>254.808</v>
      </c>
      <c r="AR84" s="22" t="n">
        <v>372.033</v>
      </c>
      <c r="AS84" s="22" t="n">
        <v>296.906</v>
      </c>
      <c r="AT84" s="22" t="n">
        <v>282.004</v>
      </c>
      <c r="AU84" s="22" t="n">
        <v>282.004</v>
      </c>
      <c r="AV84" s="22" t="n">
        <v>323.318</v>
      </c>
      <c r="AW84" s="22" t="n">
        <v>342.837</v>
      </c>
      <c r="AX84" s="22" t="n">
        <v>286.568</v>
      </c>
      <c r="AY84" s="22" t="n">
        <v>356.044</v>
      </c>
      <c r="AZ84" s="22" t="n">
        <v>356.044</v>
      </c>
      <c r="BA84" s="22" t="n">
        <v>407.536</v>
      </c>
      <c r="BB84" s="22" t="n">
        <v>371.015</v>
      </c>
      <c r="BC84" s="22" t="n">
        <v>413.045</v>
      </c>
      <c r="BD84" s="22" t="n">
        <v>421.031</v>
      </c>
      <c r="BE84" s="22" t="n">
        <v>421.031</v>
      </c>
      <c r="BF84" s="22" t="n">
        <v>491.911</v>
      </c>
      <c r="BG84" s="22" t="n">
        <v>417.86</v>
      </c>
      <c r="BH84" s="22" t="n">
        <v>449.095</v>
      </c>
      <c r="BI84" s="22" t="n">
        <v>440.889</v>
      </c>
      <c r="BJ84" s="22" t="n">
        <v>440.889</v>
      </c>
      <c r="BK84" s="22" t="n">
        <v>504.477</v>
      </c>
      <c r="BL84" s="22" t="n">
        <v>487.623</v>
      </c>
      <c r="BM84" s="22" t="n">
        <v>506.564</v>
      </c>
      <c r="BN84" s="22" t="n">
        <v>492.769</v>
      </c>
      <c r="BO84" s="22" t="n">
        <v>492.769</v>
      </c>
      <c r="BP84" s="22" t="n">
        <v>624.417</v>
      </c>
      <c r="BQ84" s="22" t="n">
        <v>526.023</v>
      </c>
      <c r="BR84" s="22" t="n">
        <v>563.419</v>
      </c>
      <c r="BS84" s="22" t="n">
        <v>628.567</v>
      </c>
      <c r="BT84" s="22" t="n">
        <v>628.567</v>
      </c>
      <c r="BU84" s="22" t="n">
        <v>714.855</v>
      </c>
      <c r="BV84" s="22" t="n">
        <v>629.6369999999999</v>
      </c>
      <c r="BW84" s="22" t="n">
        <v>657.1319999999999</v>
      </c>
      <c r="BX84" s="22" t="n">
        <v>683.2809999999999</v>
      </c>
      <c r="BY84" s="22" t="n">
        <v>683.2809999999999</v>
      </c>
    </row>
    <row r="85">
      <c r="B85" s="18" t="inlineStr">
        <is>
          <t xml:space="preserve">  Long-term debt</t>
        </is>
      </c>
      <c r="D85" s="22" t="n">
        <v>350.474</v>
      </c>
      <c r="E85" s="22" t="n">
        <v>337.952</v>
      </c>
      <c r="F85" s="22" t="n">
        <v>325.386</v>
      </c>
      <c r="G85" s="22" t="n">
        <v>325.386</v>
      </c>
      <c r="H85" s="22" t="n">
        <v>425.337</v>
      </c>
      <c r="I85" s="22" t="n">
        <v>406.536</v>
      </c>
      <c r="J85" s="22" t="n">
        <v>387.752</v>
      </c>
      <c r="L85" s="22" t="n">
        <v>368.95</v>
      </c>
      <c r="M85" s="22" t="n">
        <v>350.159</v>
      </c>
      <c r="N85" s="22" t="n">
        <v>333.068</v>
      </c>
      <c r="O85" s="22" t="n">
        <v>314.23</v>
      </c>
      <c r="P85" s="22" t="n">
        <v>296.41</v>
      </c>
      <c r="Q85" s="22" t="n">
        <v>296.41</v>
      </c>
      <c r="R85" s="22" t="n">
        <v>280.121</v>
      </c>
      <c r="S85" s="22" t="n">
        <v>261.182</v>
      </c>
      <c r="T85" s="22" t="n">
        <v>242.106</v>
      </c>
      <c r="U85" s="22" t="n">
        <v>223.227</v>
      </c>
      <c r="V85" s="22" t="n">
        <v>223.227</v>
      </c>
      <c r="W85" s="22" t="n">
        <v>203.868</v>
      </c>
      <c r="X85" s="22" t="n">
        <v>608.236</v>
      </c>
      <c r="Y85" s="22" t="n">
        <v>599.951</v>
      </c>
      <c r="Z85" s="22" t="n">
        <v>590.843</v>
      </c>
      <c r="AA85" s="22" t="n">
        <v>590.843</v>
      </c>
      <c r="AB85" s="22" t="n">
        <v>584.302</v>
      </c>
      <c r="AC85" s="22" t="n">
        <v>576.501</v>
      </c>
      <c r="AD85" s="22" t="n">
        <v>670.5069999999999</v>
      </c>
      <c r="AE85" s="22" t="n">
        <v>564.341</v>
      </c>
      <c r="AF85" s="22" t="n">
        <v>564.341</v>
      </c>
      <c r="AG85" s="22" t="n">
        <v>573.03</v>
      </c>
      <c r="AH85" s="22" t="n">
        <v>565.926</v>
      </c>
      <c r="AI85" s="22" t="n">
        <v>550.755</v>
      </c>
      <c r="AJ85" s="22" t="n">
        <v>550.883</v>
      </c>
      <c r="AK85" s="22" t="n">
        <v>550.883</v>
      </c>
      <c r="AL85" s="22" t="n">
        <v>550.704</v>
      </c>
      <c r="AM85" s="22" t="n">
        <v>400.646</v>
      </c>
      <c r="AN85" s="22" t="n">
        <v>398.914</v>
      </c>
      <c r="AO85" s="22" t="n">
        <v>398.747</v>
      </c>
      <c r="AP85" s="22" t="n">
        <v>398.747</v>
      </c>
      <c r="AQ85" s="22" t="n">
        <v>398.642</v>
      </c>
      <c r="AR85" s="22" t="n">
        <v>398.74</v>
      </c>
      <c r="AS85" s="22" t="n">
        <v>398.835</v>
      </c>
      <c r="AT85" s="22" t="n">
        <v>400.091</v>
      </c>
      <c r="AU85" s="22" t="n">
        <v>400.091</v>
      </c>
      <c r="AV85" s="22" t="n">
        <v>399.979</v>
      </c>
      <c r="AW85" s="22" t="n">
        <v>399.846</v>
      </c>
      <c r="AX85" s="22" t="n">
        <v>403.653</v>
      </c>
      <c r="AY85" s="22" t="n">
        <v>396.9</v>
      </c>
      <c r="AZ85" s="22" t="n">
        <v>396.9</v>
      </c>
      <c r="BA85" s="22" t="n">
        <v>411.845</v>
      </c>
      <c r="BB85" s="22" t="n">
        <v>402.703</v>
      </c>
      <c r="BC85" s="22" t="n">
        <v>397.633</v>
      </c>
      <c r="BD85" s="22" t="n">
        <v>397.636</v>
      </c>
      <c r="BE85" s="22" t="n">
        <v>397.636</v>
      </c>
      <c r="BF85" s="22" t="n">
        <v>408.94</v>
      </c>
      <c r="BG85" s="22" t="n">
        <v>403.829</v>
      </c>
      <c r="BH85" s="22" t="n">
        <v>402.733</v>
      </c>
      <c r="BI85" s="22" t="n">
        <v>1.996</v>
      </c>
      <c r="BJ85" s="22" t="n">
        <v>1.996</v>
      </c>
      <c r="BK85" s="22" t="n">
        <v>1.969</v>
      </c>
      <c r="BL85" s="22" t="n">
        <v>1.946</v>
      </c>
      <c r="BM85" s="22" t="n">
        <v>22.368</v>
      </c>
      <c r="BN85" s="22" t="n">
        <v>10.903</v>
      </c>
      <c r="BO85" s="22" t="n">
        <v>10.903</v>
      </c>
      <c r="BP85" s="22" t="n">
        <v>9.462</v>
      </c>
      <c r="BQ85" s="22" t="n">
        <v>0.453</v>
      </c>
      <c r="BR85" s="22" t="n">
        <v>0.427</v>
      </c>
      <c r="BS85" s="22" t="n">
        <v>0</v>
      </c>
      <c r="BT85" s="22" t="n">
        <v>0</v>
      </c>
    </row>
    <row r="86">
      <c r="B86" s="6" t="inlineStr">
        <is>
          <t>Total liabilities</t>
        </is>
      </c>
      <c r="D86" s="25" t="n">
        <v>547.077</v>
      </c>
      <c r="E86" s="25" t="n">
        <v>544.97</v>
      </c>
      <c r="F86" s="25" t="n">
        <v>529.264</v>
      </c>
      <c r="G86" s="25" t="n">
        <v>529.264</v>
      </c>
      <c r="H86" s="25" t="n">
        <v>671.039</v>
      </c>
      <c r="I86" s="25" t="n">
        <v>632.2859999999999</v>
      </c>
      <c r="J86" s="25" t="n">
        <v>626.0309999999999</v>
      </c>
      <c r="L86" s="25" t="n">
        <v>592.883</v>
      </c>
      <c r="M86" s="25" t="n">
        <v>605.655</v>
      </c>
      <c r="N86" s="25" t="n">
        <v>586.443</v>
      </c>
      <c r="O86" s="25" t="n">
        <v>574.288</v>
      </c>
      <c r="P86" s="25" t="n">
        <v>572.08</v>
      </c>
      <c r="Q86" s="25" t="n">
        <v>572.08</v>
      </c>
      <c r="R86" s="25" t="n">
        <v>574.741</v>
      </c>
      <c r="S86" s="25" t="n">
        <v>557.769</v>
      </c>
      <c r="T86" s="25" t="n">
        <v>536.9109999999999</v>
      </c>
      <c r="U86" s="25" t="n">
        <v>503.305</v>
      </c>
      <c r="V86" s="25" t="n">
        <v>503.305</v>
      </c>
      <c r="W86" s="25" t="n">
        <v>499.155</v>
      </c>
      <c r="X86" s="25" t="n">
        <v>878.8339999999999</v>
      </c>
      <c r="Y86" s="25" t="n">
        <v>867.009</v>
      </c>
      <c r="Z86" s="25" t="n">
        <v>834.196</v>
      </c>
      <c r="AA86" s="25" t="n">
        <v>834.196</v>
      </c>
      <c r="AB86" s="25" t="n">
        <v>839.2190000000001</v>
      </c>
      <c r="AC86" s="25" t="n">
        <v>872.9640000000001</v>
      </c>
      <c r="AD86" s="25" t="n">
        <v>907.6079999999999</v>
      </c>
      <c r="AE86" s="25" t="n">
        <v>875.364</v>
      </c>
      <c r="AF86" s="25" t="n">
        <v>875.364</v>
      </c>
      <c r="AG86" s="25" t="n">
        <v>962.989</v>
      </c>
      <c r="AH86" s="25" t="n">
        <v>945.538</v>
      </c>
      <c r="AI86" s="25" t="n">
        <v>805.357</v>
      </c>
      <c r="AJ86" s="25" t="n">
        <v>883.901</v>
      </c>
      <c r="AK86" s="25" t="n">
        <v>883.901</v>
      </c>
      <c r="AL86" s="25" t="n">
        <v>873.761</v>
      </c>
      <c r="AM86" s="25" t="n">
        <v>811.75</v>
      </c>
      <c r="AN86" s="25" t="n">
        <v>704.381</v>
      </c>
      <c r="AO86" s="25" t="n">
        <v>726.599</v>
      </c>
      <c r="AP86" s="25" t="n">
        <v>726.599</v>
      </c>
      <c r="AQ86" s="25" t="n">
        <v>710.028</v>
      </c>
      <c r="AR86" s="25" t="n">
        <v>836.952</v>
      </c>
      <c r="AS86" s="25" t="n">
        <v>772.9109999999999</v>
      </c>
      <c r="AT86" s="25" t="n">
        <v>769.236</v>
      </c>
      <c r="AU86" s="25" t="n">
        <v>769.236</v>
      </c>
      <c r="AV86" s="25" t="n">
        <v>929.34</v>
      </c>
      <c r="AW86" s="25" t="n">
        <v>923.876</v>
      </c>
      <c r="AX86" s="25" t="n">
        <v>880.572</v>
      </c>
      <c r="AY86" s="25" t="n">
        <v>965.745</v>
      </c>
      <c r="AZ86" s="25" t="n">
        <v>965.745</v>
      </c>
      <c r="BA86" s="25" t="n">
        <v>1030.355</v>
      </c>
      <c r="BB86" s="25" t="n">
        <v>991.846</v>
      </c>
      <c r="BC86" s="25" t="n">
        <v>1032.569</v>
      </c>
      <c r="BD86" s="25" t="n">
        <v>1032.942</v>
      </c>
      <c r="BE86" s="25" t="n">
        <v>1032.942</v>
      </c>
      <c r="BF86" s="25" t="n">
        <v>1125.031</v>
      </c>
      <c r="BG86" s="25" t="n">
        <v>1047.1</v>
      </c>
      <c r="BH86" s="25" t="n">
        <v>1090.82</v>
      </c>
      <c r="BI86" s="25" t="n">
        <v>683.265</v>
      </c>
      <c r="BJ86" s="25" t="n">
        <v>683.265</v>
      </c>
      <c r="BK86" s="25" t="n">
        <v>740.843</v>
      </c>
      <c r="BL86" s="25" t="n">
        <v>718.756</v>
      </c>
      <c r="BM86" s="25" t="n">
        <v>757.383</v>
      </c>
      <c r="BN86" s="25" t="n">
        <v>750.439</v>
      </c>
      <c r="BO86" s="25" t="n">
        <v>750.439</v>
      </c>
      <c r="BP86" s="25" t="n">
        <v>897.147</v>
      </c>
      <c r="BQ86" s="25" t="n">
        <v>785.806</v>
      </c>
      <c r="BR86" s="25" t="n">
        <v>814.446</v>
      </c>
      <c r="BS86" s="25" t="n">
        <v>879.2089999999999</v>
      </c>
      <c r="BT86" s="25" t="n">
        <v>879.2089999999999</v>
      </c>
      <c r="BU86" s="25" t="n">
        <v>949.5410000000001</v>
      </c>
      <c r="BV86" s="25" t="n">
        <v>863.3150000000001</v>
      </c>
      <c r="BW86" s="25" t="n">
        <v>869.525</v>
      </c>
      <c r="BX86" s="25" t="n">
        <v>883.4109999999999</v>
      </c>
      <c r="BY86" s="25" t="n">
        <v>883.4109999999999</v>
      </c>
    </row>
    <row r="87">
      <c r="B87" s="6" t="inlineStr">
        <is>
          <t>Total stockholders' equity</t>
        </is>
      </c>
      <c r="D87" s="25" t="n">
        <v>641.3339999999999</v>
      </c>
      <c r="E87" s="25" t="n">
        <v>646.342</v>
      </c>
      <c r="F87" s="25" t="n">
        <v>555.172</v>
      </c>
      <c r="G87" s="25" t="n">
        <v>555.172</v>
      </c>
      <c r="H87" s="25" t="n">
        <v>554.845</v>
      </c>
      <c r="I87" s="25" t="n">
        <v>507.372</v>
      </c>
      <c r="J87" s="25" t="n">
        <v>578.732</v>
      </c>
      <c r="L87" s="25" t="n">
        <v>561.117</v>
      </c>
      <c r="M87" s="25" t="n">
        <v>608.871</v>
      </c>
      <c r="N87" s="25" t="n">
        <v>667.503</v>
      </c>
      <c r="O87" s="25" t="n">
        <v>724.394</v>
      </c>
      <c r="P87" s="25" t="n">
        <v>762.401</v>
      </c>
      <c r="Q87" s="25" t="n">
        <v>762.401</v>
      </c>
      <c r="R87" s="25" t="n">
        <v>822.647</v>
      </c>
      <c r="S87" s="25" t="n">
        <v>880.724</v>
      </c>
      <c r="T87" s="25" t="n">
        <v>939.761</v>
      </c>
      <c r="U87" s="25" t="n">
        <v>1003.499</v>
      </c>
      <c r="V87" s="25" t="n">
        <v>1003.499</v>
      </c>
      <c r="W87" s="25" t="n">
        <v>1037.431</v>
      </c>
      <c r="X87" s="25" t="n">
        <v>1073.237</v>
      </c>
      <c r="Y87" s="25" t="n">
        <v>1135.968</v>
      </c>
      <c r="Z87" s="25" t="n">
        <v>964.4640000000001</v>
      </c>
      <c r="AA87" s="25" t="n">
        <v>964.4640000000001</v>
      </c>
      <c r="AB87" s="25" t="n">
        <v>1016.545</v>
      </c>
      <c r="AC87" s="25" t="n">
        <v>731.4</v>
      </c>
      <c r="AD87" s="25" t="n">
        <v>716.527</v>
      </c>
      <c r="AE87" s="25" t="n">
        <v>774.456</v>
      </c>
      <c r="AF87" s="25" t="n">
        <v>774.456</v>
      </c>
      <c r="AG87" s="25" t="n">
        <v>807.407</v>
      </c>
      <c r="AH87" s="25" t="n">
        <v>895.703</v>
      </c>
      <c r="AI87" s="25" t="n">
        <v>1006.329</v>
      </c>
      <c r="AJ87" s="25" t="n">
        <v>1098.6</v>
      </c>
      <c r="AK87" s="25" t="n">
        <v>1098.6</v>
      </c>
      <c r="AL87" s="25" t="n">
        <v>1188.909</v>
      </c>
      <c r="AM87" s="25" t="n">
        <v>1331.791</v>
      </c>
      <c r="AN87" s="25" t="n">
        <v>1460.812</v>
      </c>
      <c r="AO87" s="25" t="n">
        <v>1581.099</v>
      </c>
      <c r="AP87" s="25" t="n">
        <v>1581.099</v>
      </c>
      <c r="AQ87" s="25" t="n">
        <v>1671.758</v>
      </c>
      <c r="AR87" s="25" t="n">
        <v>1459.953</v>
      </c>
      <c r="AS87" s="25" t="n">
        <v>1618.852</v>
      </c>
      <c r="AT87" s="25" t="n">
        <v>1778.381</v>
      </c>
      <c r="AU87" s="25" t="n">
        <v>1778.381</v>
      </c>
      <c r="AV87" s="25" t="n">
        <v>1926.599</v>
      </c>
      <c r="AW87" s="25" t="n">
        <v>2124.729</v>
      </c>
      <c r="AX87" s="25" t="n">
        <v>2281.011</v>
      </c>
      <c r="AY87" s="25" t="n">
        <v>2489.516</v>
      </c>
      <c r="AZ87" s="25" t="n">
        <v>2489.516</v>
      </c>
      <c r="BA87" s="25" t="n">
        <v>2710.833</v>
      </c>
      <c r="BB87" s="25" t="n">
        <v>2942.592</v>
      </c>
      <c r="BC87" s="25" t="n">
        <v>3249.377</v>
      </c>
      <c r="BD87" s="25" t="n">
        <v>3529.201</v>
      </c>
      <c r="BE87" s="25" t="n">
        <v>3529.201</v>
      </c>
      <c r="BF87" s="25" t="n">
        <v>3793.821</v>
      </c>
      <c r="BG87" s="25" t="n">
        <v>4089.856</v>
      </c>
      <c r="BH87" s="25" t="n">
        <v>4353.054</v>
      </c>
      <c r="BI87" s="25" t="n">
        <v>4625.599</v>
      </c>
      <c r="BJ87" s="25" t="n">
        <v>4625.599</v>
      </c>
      <c r="BK87" s="25" t="n">
        <v>4852.834</v>
      </c>
      <c r="BL87" s="25" t="n">
        <v>5213.652</v>
      </c>
      <c r="BM87" s="25" t="n">
        <v>5592.422</v>
      </c>
      <c r="BN87" s="25" t="n">
        <v>5987.44</v>
      </c>
      <c r="BO87" s="25" t="n">
        <v>5987.44</v>
      </c>
      <c r="BP87" s="25" t="n">
        <v>6411.417</v>
      </c>
      <c r="BQ87" s="25" t="n">
        <v>6787.6</v>
      </c>
      <c r="BR87" s="25" t="n">
        <v>7171.253</v>
      </c>
      <c r="BS87" s="25" t="n">
        <v>7524.011</v>
      </c>
      <c r="BT87" s="25" t="n">
        <v>7524.011</v>
      </c>
      <c r="BU87" s="25" t="n">
        <v>7896.312</v>
      </c>
      <c r="BV87" s="25" t="n">
        <v>8301.257</v>
      </c>
      <c r="BW87" s="25" t="n">
        <v>8781.192999999999</v>
      </c>
      <c r="BX87" s="25" t="n">
        <v>9187.032999999999</v>
      </c>
      <c r="BY87" s="25" t="n">
        <v>9187.032999999999</v>
      </c>
      <c r="BZ87" s="26">
        <f>BY87+BZ49</f>
        <v/>
      </c>
      <c r="CA87" s="26">
        <f>BZ87+CA49</f>
        <v/>
      </c>
      <c r="CB87" s="26">
        <f>CA87+CB49</f>
        <v/>
      </c>
      <c r="CC87" s="26">
        <f>CB87+CC49</f>
        <v/>
      </c>
      <c r="CD87" s="26">
        <f>CC87+CD49</f>
        <v/>
      </c>
    </row>
    <row r="88">
      <c r="B88" s="18" t="inlineStr">
        <is>
          <t xml:space="preserve">    Current ratio (x)</t>
        </is>
      </c>
      <c r="C88" s="39">
        <f>IFERROR(C80/C84,"")</f>
        <v/>
      </c>
      <c r="D88" s="39">
        <f>IFERROR(D80/D84,"")</f>
        <v/>
      </c>
      <c r="E88" s="39">
        <f>IFERROR(E80/E84,"")</f>
        <v/>
      </c>
      <c r="F88" s="39">
        <f>IFERROR(F80/F84,"")</f>
        <v/>
      </c>
      <c r="G88" s="39">
        <f>IFERROR(G80/G84,"")</f>
        <v/>
      </c>
      <c r="H88" s="39">
        <f>IFERROR(H80/H84,"")</f>
        <v/>
      </c>
      <c r="I88" s="39">
        <f>IFERROR(I80/I84,"")</f>
        <v/>
      </c>
      <c r="J88" s="39">
        <f>IFERROR(J80/J84,"")</f>
        <v/>
      </c>
      <c r="K88" s="39">
        <f>IFERROR(K80/K84,"")</f>
        <v/>
      </c>
      <c r="L88" s="39">
        <f>IFERROR(L80/L84,"")</f>
        <v/>
      </c>
      <c r="M88" s="39">
        <f>IFERROR(M80/M84,"")</f>
        <v/>
      </c>
      <c r="N88" s="39">
        <f>IFERROR(N80/N84,"")</f>
        <v/>
      </c>
      <c r="O88" s="39">
        <f>IFERROR(O80/O84,"")</f>
        <v/>
      </c>
      <c r="P88" s="39">
        <f>IFERROR(P80/P84,"")</f>
        <v/>
      </c>
      <c r="Q88" s="39">
        <f>IFERROR(Q80/Q84,"")</f>
        <v/>
      </c>
      <c r="R88" s="39">
        <f>IFERROR(R80/R84,"")</f>
        <v/>
      </c>
      <c r="S88" s="39">
        <f>IFERROR(S80/S84,"")</f>
        <v/>
      </c>
      <c r="T88" s="39">
        <f>IFERROR(T80/T84,"")</f>
        <v/>
      </c>
      <c r="U88" s="39">
        <f>IFERROR(U80/U84,"")</f>
        <v/>
      </c>
      <c r="V88" s="39">
        <f>IFERROR(V80/V84,"")</f>
        <v/>
      </c>
      <c r="W88" s="39">
        <f>IFERROR(W80/W84,"")</f>
        <v/>
      </c>
      <c r="X88" s="39">
        <f>IFERROR(X80/X84,"")</f>
        <v/>
      </c>
      <c r="Y88" s="39">
        <f>IFERROR(Y80/Y84,"")</f>
        <v/>
      </c>
      <c r="Z88" s="39">
        <f>IFERROR(Z80/Z84,"")</f>
        <v/>
      </c>
      <c r="AA88" s="39">
        <f>IFERROR(AA80/AA84,"")</f>
        <v/>
      </c>
      <c r="AB88" s="39">
        <f>IFERROR(AB80/AB84,"")</f>
        <v/>
      </c>
      <c r="AC88" s="39">
        <f>IFERROR(AC80/AC84,"")</f>
        <v/>
      </c>
      <c r="AD88" s="39">
        <f>IFERROR(AD80/AD84,"")</f>
        <v/>
      </c>
      <c r="AE88" s="39">
        <f>IFERROR(AE80/AE84,"")</f>
        <v/>
      </c>
      <c r="AF88" s="39">
        <f>IFERROR(AF80/AF84,"")</f>
        <v/>
      </c>
      <c r="AG88" s="39">
        <f>IFERROR(AG80/AG84,"")</f>
        <v/>
      </c>
      <c r="AH88" s="39">
        <f>IFERROR(AH80/AH84,"")</f>
        <v/>
      </c>
      <c r="AI88" s="39">
        <f>IFERROR(AI80/AI84,"")</f>
        <v/>
      </c>
      <c r="AJ88" s="39">
        <f>IFERROR(AJ80/AJ84,"")</f>
        <v/>
      </c>
      <c r="AK88" s="39">
        <f>IFERROR(AK80/AK84,"")</f>
        <v/>
      </c>
      <c r="AL88" s="39">
        <f>IFERROR(AL80/AL84,"")</f>
        <v/>
      </c>
      <c r="AM88" s="39">
        <f>IFERROR(AM80/AM84,"")</f>
        <v/>
      </c>
      <c r="AN88" s="39">
        <f>IFERROR(AN80/AN84,"")</f>
        <v/>
      </c>
      <c r="AO88" s="39">
        <f>IFERROR(AO80/AO84,"")</f>
        <v/>
      </c>
      <c r="AP88" s="39">
        <f>IFERROR(AP80/AP84,"")</f>
        <v/>
      </c>
      <c r="AQ88" s="39">
        <f>IFERROR(AQ80/AQ84,"")</f>
        <v/>
      </c>
      <c r="AR88" s="39">
        <f>IFERROR(AR80/AR84,"")</f>
        <v/>
      </c>
      <c r="AS88" s="39">
        <f>IFERROR(AS80/AS84,"")</f>
        <v/>
      </c>
      <c r="AT88" s="39">
        <f>IFERROR(AT80/AT84,"")</f>
        <v/>
      </c>
      <c r="AU88" s="39">
        <f>IFERROR(AU80/AU84,"")</f>
        <v/>
      </c>
      <c r="AV88" s="39">
        <f>IFERROR(AV80/AV84,"")</f>
        <v/>
      </c>
      <c r="AW88" s="39">
        <f>IFERROR(AW80/AW84,"")</f>
        <v/>
      </c>
      <c r="AX88" s="39">
        <f>IFERROR(AX80/AX84,"")</f>
        <v/>
      </c>
      <c r="AY88" s="39">
        <f>IFERROR(AY80/AY84,"")</f>
        <v/>
      </c>
      <c r="AZ88" s="39">
        <f>IFERROR(AZ80/AZ84,"")</f>
        <v/>
      </c>
      <c r="BA88" s="39">
        <f>IFERROR(BA80/BA84,"")</f>
        <v/>
      </c>
      <c r="BB88" s="39">
        <f>IFERROR(BB80/BB84,"")</f>
        <v/>
      </c>
      <c r="BC88" s="39">
        <f>IFERROR(BC80/BC84,"")</f>
        <v/>
      </c>
      <c r="BD88" s="39">
        <f>IFERROR(BD80/BD84,"")</f>
        <v/>
      </c>
      <c r="BE88" s="39">
        <f>IFERROR(BE80/BE84,"")</f>
        <v/>
      </c>
      <c r="BF88" s="39">
        <f>IFERROR(BF80/BF84,"")</f>
        <v/>
      </c>
      <c r="BG88" s="39">
        <f>IFERROR(BG80/BG84,"")</f>
        <v/>
      </c>
      <c r="BH88" s="39">
        <f>IFERROR(BH80/BH84,"")</f>
        <v/>
      </c>
      <c r="BI88" s="39">
        <f>IFERROR(BI80/BI84,"")</f>
        <v/>
      </c>
      <c r="BJ88" s="39">
        <f>IFERROR(BJ80/BJ84,"")</f>
        <v/>
      </c>
      <c r="BK88" s="39">
        <f>IFERROR(BK80/BK84,"")</f>
        <v/>
      </c>
      <c r="BL88" s="39">
        <f>IFERROR(BL80/BL84,"")</f>
        <v/>
      </c>
      <c r="BM88" s="39">
        <f>IFERROR(BM80/BM84,"")</f>
        <v/>
      </c>
      <c r="BN88" s="39">
        <f>IFERROR(BN80/BN84,"")</f>
        <v/>
      </c>
      <c r="BO88" s="39">
        <f>IFERROR(BO80/BO84,"")</f>
        <v/>
      </c>
      <c r="BP88" s="39">
        <f>IFERROR(BP80/BP84,"")</f>
        <v/>
      </c>
      <c r="BQ88" s="39">
        <f>IFERROR(BQ80/BQ84,"")</f>
        <v/>
      </c>
      <c r="BR88" s="39">
        <f>IFERROR(BR80/BR84,"")</f>
        <v/>
      </c>
      <c r="BS88" s="39">
        <f>IFERROR(BS80/BS84,"")</f>
        <v/>
      </c>
      <c r="BT88" s="39">
        <f>IFERROR(BT80/BT84,"")</f>
        <v/>
      </c>
      <c r="BU88" s="39">
        <f>IFERROR(BU80/BU84,"")</f>
        <v/>
      </c>
      <c r="BV88" s="39">
        <f>IFERROR(BV80/BV84,"")</f>
        <v/>
      </c>
      <c r="BW88" s="39">
        <f>IFERROR(BW80/BW84,"")</f>
        <v/>
      </c>
      <c r="BX88" s="39">
        <f>IFERROR(BX80/BX84,"")</f>
        <v/>
      </c>
      <c r="BY88" s="39">
        <f>IFERROR(BY80/BY84,"")</f>
        <v/>
      </c>
    </row>
    <row r="90">
      <c r="B90" s="5" t="inlineStr">
        <is>
          <t>RATIO ANALYSIS</t>
        </is>
      </c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  <c r="AR90" s="12" t="n"/>
      <c r="AS90" s="12" t="n"/>
      <c r="AT90" s="12" t="n"/>
      <c r="AU90" s="12" t="n"/>
      <c r="AV90" s="12" t="n"/>
      <c r="AW90" s="12" t="n"/>
      <c r="AX90" s="12" t="n"/>
      <c r="AY90" s="12" t="n"/>
      <c r="AZ90" s="12" t="n"/>
      <c r="BA90" s="12" t="n"/>
      <c r="BB90" s="12" t="n"/>
      <c r="BC90" s="12" t="n"/>
      <c r="BD90" s="12" t="n"/>
      <c r="BE90" s="12" t="n"/>
      <c r="BF90" s="12" t="n"/>
      <c r="BG90" s="12" t="n"/>
      <c r="BH90" s="12" t="n"/>
      <c r="BI90" s="12" t="n"/>
      <c r="BJ90" s="12" t="n"/>
      <c r="BK90" s="12" t="n"/>
      <c r="BL90" s="12" t="n"/>
      <c r="BM90" s="12" t="n"/>
      <c r="BN90" s="12" t="n"/>
      <c r="BO90" s="12" t="n"/>
      <c r="BP90" s="12" t="n"/>
      <c r="BQ90" s="12" t="n"/>
      <c r="BR90" s="12" t="n"/>
      <c r="BS90" s="12" t="n"/>
      <c r="BT90" s="12" t="n"/>
      <c r="BU90" s="12" t="n"/>
      <c r="BV90" s="12" t="n"/>
      <c r="BW90" s="12" t="n"/>
      <c r="BX90" s="12" t="n"/>
      <c r="BY90" s="12" t="n"/>
      <c r="BZ90" s="12" t="n"/>
      <c r="CA90" s="12" t="n"/>
      <c r="CB90" s="12" t="n"/>
      <c r="CC90" s="12" t="n"/>
      <c r="CD90" s="12" t="n"/>
      <c r="CE90" s="12" t="n"/>
      <c r="CF90" s="12" t="n"/>
      <c r="CG90" s="12" t="n"/>
      <c r="CH90" s="12" t="n"/>
    </row>
    <row r="91">
      <c r="B91" s="6" t="inlineStr">
        <is>
          <t>EBITDA (Operating income + D&amp;A)</t>
        </is>
      </c>
      <c r="C91" s="33">
        <f>IFERROR(C43+C68,"")</f>
        <v/>
      </c>
      <c r="D91" s="33">
        <f>IFERROR(D43+D68,"")</f>
        <v/>
      </c>
      <c r="E91" s="33">
        <f>IFERROR(E43+E68,"")</f>
        <v/>
      </c>
      <c r="F91" s="33">
        <f>IFERROR(F43+F68,"")</f>
        <v/>
      </c>
      <c r="G91" s="33">
        <f>IFERROR(G43+G68,"")</f>
        <v/>
      </c>
      <c r="H91" s="33">
        <f>IFERROR(H43+H68,"")</f>
        <v/>
      </c>
      <c r="I91" s="33">
        <f>IFERROR(I43+I68,"")</f>
        <v/>
      </c>
      <c r="J91" s="33">
        <f>IFERROR(J43+J68,"")</f>
        <v/>
      </c>
      <c r="K91" s="33">
        <f>IFERROR(K43+K68,"")</f>
        <v/>
      </c>
      <c r="L91" s="33">
        <f>IFERROR(L43+L68,"")</f>
        <v/>
      </c>
      <c r="M91" s="33">
        <f>IFERROR(M43+M68,"")</f>
        <v/>
      </c>
      <c r="N91" s="33">
        <f>IFERROR(N43+N68,"")</f>
        <v/>
      </c>
      <c r="O91" s="33">
        <f>IFERROR(O43+O68,"")</f>
        <v/>
      </c>
      <c r="P91" s="33">
        <f>IFERROR(P43+P68,"")</f>
        <v/>
      </c>
      <c r="Q91" s="33">
        <f>IFERROR(Q43+Q68,"")</f>
        <v/>
      </c>
      <c r="R91" s="33">
        <f>IFERROR(R43+R68,"")</f>
        <v/>
      </c>
      <c r="S91" s="33">
        <f>IFERROR(S43+S68,"")</f>
        <v/>
      </c>
      <c r="T91" s="33">
        <f>IFERROR(T43+T68,"")</f>
        <v/>
      </c>
      <c r="U91" s="33">
        <f>IFERROR(U43+U68,"")</f>
        <v/>
      </c>
      <c r="V91" s="33">
        <f>IFERROR(V43+V68,"")</f>
        <v/>
      </c>
      <c r="W91" s="33">
        <f>IFERROR(W43+W68,"")</f>
        <v/>
      </c>
      <c r="X91" s="33">
        <f>IFERROR(X43+X68,"")</f>
        <v/>
      </c>
      <c r="Y91" s="33">
        <f>IFERROR(Y43+Y68,"")</f>
        <v/>
      </c>
      <c r="Z91" s="33">
        <f>IFERROR(Z43+Z68,"")</f>
        <v/>
      </c>
      <c r="AA91" s="33">
        <f>IFERROR(AA43+AA68,"")</f>
        <v/>
      </c>
      <c r="AB91" s="33">
        <f>IFERROR(AB43+AB68,"")</f>
        <v/>
      </c>
      <c r="AC91" s="33">
        <f>IFERROR(AC43+AC68,"")</f>
        <v/>
      </c>
      <c r="AD91" s="33">
        <f>IFERROR(AD43+AD68,"")</f>
        <v/>
      </c>
      <c r="AE91" s="33">
        <f>IFERROR(AE43+AE68,"")</f>
        <v/>
      </c>
      <c r="AF91" s="33">
        <f>IFERROR(AF43+AF68,"")</f>
        <v/>
      </c>
      <c r="AG91" s="33">
        <f>IFERROR(AG43+AG68,"")</f>
        <v/>
      </c>
      <c r="AH91" s="33">
        <f>IFERROR(AH43+AH68,"")</f>
        <v/>
      </c>
      <c r="AI91" s="33">
        <f>IFERROR(AI43+AI68,"")</f>
        <v/>
      </c>
      <c r="AJ91" s="33">
        <f>IFERROR(AJ43+AJ68,"")</f>
        <v/>
      </c>
      <c r="AK91" s="33">
        <f>IFERROR(AK43+AK68,"")</f>
        <v/>
      </c>
      <c r="AL91" s="33">
        <f>IFERROR(AL43+AL68,"")</f>
        <v/>
      </c>
      <c r="AM91" s="33">
        <f>IFERROR(AM43+AM68,"")</f>
        <v/>
      </c>
      <c r="AN91" s="33">
        <f>IFERROR(AN43+AN68,"")</f>
        <v/>
      </c>
      <c r="AO91" s="33">
        <f>IFERROR(AO43+AO68,"")</f>
        <v/>
      </c>
      <c r="AP91" s="33">
        <f>IFERROR(AP43+AP68,"")</f>
        <v/>
      </c>
      <c r="AQ91" s="33">
        <f>IFERROR(AQ43+AQ68,"")</f>
        <v/>
      </c>
      <c r="AR91" s="33">
        <f>IFERROR(AR43+AR68,"")</f>
        <v/>
      </c>
      <c r="AS91" s="33">
        <f>IFERROR(AS43+AS68,"")</f>
        <v/>
      </c>
      <c r="AT91" s="33">
        <f>IFERROR(AT43+AT68,"")</f>
        <v/>
      </c>
      <c r="AU91" s="33">
        <f>IFERROR(AU43+AU68,"")</f>
        <v/>
      </c>
      <c r="AV91" s="33">
        <f>IFERROR(AV43+AV68,"")</f>
        <v/>
      </c>
      <c r="AW91" s="33">
        <f>IFERROR(AW43+AW68,"")</f>
        <v/>
      </c>
      <c r="AX91" s="33">
        <f>IFERROR(AX43+AX68,"")</f>
        <v/>
      </c>
      <c r="AY91" s="33">
        <f>IFERROR(AY43+AY68,"")</f>
        <v/>
      </c>
      <c r="AZ91" s="33">
        <f>IFERROR(AZ43+AZ68,"")</f>
        <v/>
      </c>
      <c r="BA91" s="33">
        <f>IFERROR(BA43+BA68,"")</f>
        <v/>
      </c>
      <c r="BB91" s="33">
        <f>IFERROR(BB43+BB68,"")</f>
        <v/>
      </c>
      <c r="BC91" s="33">
        <f>IFERROR(BC43+BC68,"")</f>
        <v/>
      </c>
      <c r="BD91" s="33">
        <f>IFERROR(BD43+BD68,"")</f>
        <v/>
      </c>
      <c r="BE91" s="33">
        <f>IFERROR(BE43+BE68,"")</f>
        <v/>
      </c>
      <c r="BF91" s="33">
        <f>IFERROR(BF43+BF68,"")</f>
        <v/>
      </c>
      <c r="BG91" s="33">
        <f>IFERROR(BG43+BG68,"")</f>
        <v/>
      </c>
      <c r="BH91" s="33">
        <f>IFERROR(BH43+BH68,"")</f>
        <v/>
      </c>
      <c r="BI91" s="33">
        <f>IFERROR(BI43+BI68,"")</f>
        <v/>
      </c>
      <c r="BJ91" s="33">
        <f>IFERROR(BJ43+BJ68,"")</f>
        <v/>
      </c>
      <c r="BK91" s="33">
        <f>IFERROR(BK43+BK68,"")</f>
        <v/>
      </c>
      <c r="BL91" s="33">
        <f>IFERROR(BL43+BL68,"")</f>
        <v/>
      </c>
      <c r="BM91" s="33">
        <f>IFERROR(BM43+BM68,"")</f>
        <v/>
      </c>
      <c r="BN91" s="33">
        <f>IFERROR(BN43+BN68,"")</f>
        <v/>
      </c>
      <c r="BO91" s="33">
        <f>IFERROR(BO43+BO68,"")</f>
        <v/>
      </c>
      <c r="BP91" s="33">
        <f>IFERROR(BP43+BP68,"")</f>
        <v/>
      </c>
      <c r="BQ91" s="33">
        <f>IFERROR(BQ43+BQ68,"")</f>
        <v/>
      </c>
      <c r="BR91" s="33">
        <f>IFERROR(BR43+BR68,"")</f>
        <v/>
      </c>
      <c r="BS91" s="33">
        <f>IFERROR(BS43+BS68,"")</f>
        <v/>
      </c>
      <c r="BT91" s="33">
        <f>IFERROR(BT43+BT68,"")</f>
        <v/>
      </c>
      <c r="BU91" s="33">
        <f>IFERROR(BU43+BU68,"")</f>
        <v/>
      </c>
      <c r="BV91" s="33">
        <f>IFERROR(BV43+BV68,"")</f>
        <v/>
      </c>
      <c r="BW91" s="33">
        <f>IFERROR(BW43+BW68,"")</f>
        <v/>
      </c>
      <c r="BX91" s="33">
        <f>IFERROR(BX43+BX68,"")</f>
        <v/>
      </c>
      <c r="BY91" s="33">
        <f>IFERROR(BY43+BY68,"")</f>
        <v/>
      </c>
      <c r="BZ91" s="26">
        <f>BZ43+BZ68</f>
        <v/>
      </c>
      <c r="CA91" s="26">
        <f>CA43+CA68</f>
        <v/>
      </c>
      <c r="CB91" s="26">
        <f>CB43+CB68</f>
        <v/>
      </c>
      <c r="CC91" s="26">
        <f>CC43+CC68</f>
        <v/>
      </c>
      <c r="CD91" s="26">
        <f>CD43+CD68</f>
        <v/>
      </c>
    </row>
    <row r="92">
      <c r="B92" s="18" t="inlineStr">
        <is>
          <t xml:space="preserve">  Return on assets (ROA)</t>
        </is>
      </c>
      <c r="C92" s="27">
        <f>IFERROR(C49/C83,"")</f>
        <v/>
      </c>
      <c r="D92" s="27">
        <f>IFERROR(D49/D83,"")</f>
        <v/>
      </c>
      <c r="E92" s="27">
        <f>IFERROR(E49/E83,"")</f>
        <v/>
      </c>
      <c r="F92" s="27">
        <f>IFERROR(F49/F83,"")</f>
        <v/>
      </c>
      <c r="G92" s="27">
        <f>IFERROR(G49/G83,"")</f>
        <v/>
      </c>
      <c r="H92" s="27">
        <f>IFERROR(H49/H83,"")</f>
        <v/>
      </c>
      <c r="I92" s="27">
        <f>IFERROR(I49/I83,"")</f>
        <v/>
      </c>
      <c r="J92" s="27">
        <f>IFERROR(J49/J83,"")</f>
        <v/>
      </c>
      <c r="K92" s="27">
        <f>IFERROR(K49/K83,"")</f>
        <v/>
      </c>
      <c r="L92" s="27">
        <f>IFERROR(L49/L83,"")</f>
        <v/>
      </c>
      <c r="M92" s="27">
        <f>IFERROR(M49/M83,"")</f>
        <v/>
      </c>
      <c r="N92" s="27">
        <f>IFERROR(N49/N83,"")</f>
        <v/>
      </c>
      <c r="O92" s="27">
        <f>IFERROR(O49/O83,"")</f>
        <v/>
      </c>
      <c r="P92" s="27">
        <f>IFERROR(P49/P83,"")</f>
        <v/>
      </c>
      <c r="Q92" s="27">
        <f>IFERROR(Q49/Q83,"")</f>
        <v/>
      </c>
      <c r="R92" s="27">
        <f>IFERROR(R49/R83,"")</f>
        <v/>
      </c>
      <c r="S92" s="27">
        <f>IFERROR(S49/S83,"")</f>
        <v/>
      </c>
      <c r="T92" s="27">
        <f>IFERROR(T49/T83,"")</f>
        <v/>
      </c>
      <c r="U92" s="27">
        <f>IFERROR(U49/U83,"")</f>
        <v/>
      </c>
      <c r="V92" s="27">
        <f>IFERROR(V49/V83,"")</f>
        <v/>
      </c>
      <c r="W92" s="27">
        <f>IFERROR(W49/W83,"")</f>
        <v/>
      </c>
      <c r="X92" s="27">
        <f>IFERROR(X49/X83,"")</f>
        <v/>
      </c>
      <c r="Y92" s="27">
        <f>IFERROR(Y49/Y83,"")</f>
        <v/>
      </c>
      <c r="Z92" s="27">
        <f>IFERROR(Z49/Z83,"")</f>
        <v/>
      </c>
      <c r="AA92" s="27">
        <f>IFERROR(AA49/AA83,"")</f>
        <v/>
      </c>
      <c r="AB92" s="27">
        <f>IFERROR(AB49/AB83,"")</f>
        <v/>
      </c>
      <c r="AC92" s="27">
        <f>IFERROR(AC49/AC83,"")</f>
        <v/>
      </c>
      <c r="AD92" s="27">
        <f>IFERROR(AD49/AD83,"")</f>
        <v/>
      </c>
      <c r="AE92" s="27">
        <f>IFERROR(AE49/AE83,"")</f>
        <v/>
      </c>
      <c r="AF92" s="27">
        <f>IFERROR(AF49/AF83,"")</f>
        <v/>
      </c>
      <c r="AG92" s="27">
        <f>IFERROR(AG49/AG83,"")</f>
        <v/>
      </c>
      <c r="AH92" s="27">
        <f>IFERROR(AH49/AH83,"")</f>
        <v/>
      </c>
      <c r="AI92" s="27">
        <f>IFERROR(AI49/AI83,"")</f>
        <v/>
      </c>
      <c r="AJ92" s="27">
        <f>IFERROR(AJ49/AJ83,"")</f>
        <v/>
      </c>
      <c r="AK92" s="27">
        <f>IFERROR(AK49/AK83,"")</f>
        <v/>
      </c>
      <c r="AL92" s="27">
        <f>IFERROR(AL49/AL83,"")</f>
        <v/>
      </c>
      <c r="AM92" s="27">
        <f>IFERROR(AM49/AM83,"")</f>
        <v/>
      </c>
      <c r="AN92" s="27">
        <f>IFERROR(AN49/AN83,"")</f>
        <v/>
      </c>
      <c r="AO92" s="27">
        <f>IFERROR(AO49/AO83,"")</f>
        <v/>
      </c>
      <c r="AP92" s="27">
        <f>IFERROR(AP49/AP83,"")</f>
        <v/>
      </c>
      <c r="AQ92" s="27">
        <f>IFERROR(AQ49/AQ83,"")</f>
        <v/>
      </c>
      <c r="AR92" s="27">
        <f>IFERROR(AR49/AR83,"")</f>
        <v/>
      </c>
      <c r="AS92" s="27">
        <f>IFERROR(AS49/AS83,"")</f>
        <v/>
      </c>
      <c r="AT92" s="27">
        <f>IFERROR(AT49/AT83,"")</f>
        <v/>
      </c>
      <c r="AU92" s="27">
        <f>IFERROR(AU49/AU83,"")</f>
        <v/>
      </c>
      <c r="AV92" s="27">
        <f>IFERROR(AV49/AV83,"")</f>
        <v/>
      </c>
      <c r="AW92" s="27">
        <f>IFERROR(AW49/AW83,"")</f>
        <v/>
      </c>
      <c r="AX92" s="27">
        <f>IFERROR(AX49/AX83,"")</f>
        <v/>
      </c>
      <c r="AY92" s="27">
        <f>IFERROR(AY49/AY83,"")</f>
        <v/>
      </c>
      <c r="AZ92" s="27">
        <f>IFERROR(AZ49/AZ83,"")</f>
        <v/>
      </c>
      <c r="BA92" s="27">
        <f>IFERROR(BA49/BA83,"")</f>
        <v/>
      </c>
      <c r="BB92" s="27">
        <f>IFERROR(BB49/BB83,"")</f>
        <v/>
      </c>
      <c r="BC92" s="27">
        <f>IFERROR(BC49/BC83,"")</f>
        <v/>
      </c>
      <c r="BD92" s="27">
        <f>IFERROR(BD49/BD83,"")</f>
        <v/>
      </c>
      <c r="BE92" s="27">
        <f>IFERROR(BE49/BE83,"")</f>
        <v/>
      </c>
      <c r="BF92" s="27">
        <f>IFERROR(BF49/BF83,"")</f>
        <v/>
      </c>
      <c r="BG92" s="27">
        <f>IFERROR(BG49/BG83,"")</f>
        <v/>
      </c>
      <c r="BH92" s="27">
        <f>IFERROR(BH49/BH83,"")</f>
        <v/>
      </c>
      <c r="BI92" s="27">
        <f>IFERROR(BI49/BI83,"")</f>
        <v/>
      </c>
      <c r="BJ92" s="27">
        <f>IFERROR(BJ49/BJ83,"")</f>
        <v/>
      </c>
      <c r="BK92" s="27">
        <f>IFERROR(BK49/BK83,"")</f>
        <v/>
      </c>
      <c r="BL92" s="27">
        <f>IFERROR(BL49/BL83,"")</f>
        <v/>
      </c>
      <c r="BM92" s="27">
        <f>IFERROR(BM49/BM83,"")</f>
        <v/>
      </c>
      <c r="BN92" s="27">
        <f>IFERROR(BN49/BN83,"")</f>
        <v/>
      </c>
      <c r="BO92" s="27">
        <f>IFERROR(BO49/BO83,"")</f>
        <v/>
      </c>
      <c r="BP92" s="27">
        <f>IFERROR(BP49/BP83,"")</f>
        <v/>
      </c>
      <c r="BQ92" s="27">
        <f>IFERROR(BQ49/BQ83,"")</f>
        <v/>
      </c>
      <c r="BR92" s="27">
        <f>IFERROR(BR49/BR83,"")</f>
        <v/>
      </c>
      <c r="BS92" s="27">
        <f>IFERROR(BS49/BS83,"")</f>
        <v/>
      </c>
      <c r="BT92" s="27">
        <f>IFERROR(BT49/BT83,"")</f>
        <v/>
      </c>
      <c r="BU92" s="27">
        <f>IFERROR(BU49/BU83,"")</f>
        <v/>
      </c>
      <c r="BV92" s="27">
        <f>IFERROR(BV49/BV83,"")</f>
        <v/>
      </c>
      <c r="BW92" s="27">
        <f>IFERROR(BW49/BW83,"")</f>
        <v/>
      </c>
      <c r="BX92" s="27">
        <f>IFERROR(BX49/BX83,"")</f>
        <v/>
      </c>
      <c r="BY92" s="27">
        <f>IFERROR(BY49/BY83,"")</f>
        <v/>
      </c>
    </row>
    <row r="93">
      <c r="B93" s="18" t="inlineStr">
        <is>
          <t xml:space="preserve">  Return on equity (ROE)</t>
        </is>
      </c>
      <c r="C93" s="27">
        <f>IFERROR(C49/C87,"")</f>
        <v/>
      </c>
      <c r="D93" s="27">
        <f>IFERROR(D49/D87,"")</f>
        <v/>
      </c>
      <c r="E93" s="27">
        <f>IFERROR(E49/E87,"")</f>
        <v/>
      </c>
      <c r="F93" s="27">
        <f>IFERROR(F49/F87,"")</f>
        <v/>
      </c>
      <c r="G93" s="27">
        <f>IFERROR(G49/G87,"")</f>
        <v/>
      </c>
      <c r="H93" s="27">
        <f>IFERROR(H49/H87,"")</f>
        <v/>
      </c>
      <c r="I93" s="27">
        <f>IFERROR(I49/I87,"")</f>
        <v/>
      </c>
      <c r="J93" s="27">
        <f>IFERROR(J49/J87,"")</f>
        <v/>
      </c>
      <c r="K93" s="27">
        <f>IFERROR(K49/K87,"")</f>
        <v/>
      </c>
      <c r="L93" s="27">
        <f>IFERROR(L49/L87,"")</f>
        <v/>
      </c>
      <c r="M93" s="27">
        <f>IFERROR(M49/M87,"")</f>
        <v/>
      </c>
      <c r="N93" s="27">
        <f>IFERROR(N49/N87,"")</f>
        <v/>
      </c>
      <c r="O93" s="27">
        <f>IFERROR(O49/O87,"")</f>
        <v/>
      </c>
      <c r="P93" s="27">
        <f>IFERROR(P49/P87,"")</f>
        <v/>
      </c>
      <c r="Q93" s="27">
        <f>IFERROR(Q49/Q87,"")</f>
        <v/>
      </c>
      <c r="R93" s="27">
        <f>IFERROR(R49/R87,"")</f>
        <v/>
      </c>
      <c r="S93" s="27">
        <f>IFERROR(S49/S87,"")</f>
        <v/>
      </c>
      <c r="T93" s="27">
        <f>IFERROR(T49/T87,"")</f>
        <v/>
      </c>
      <c r="U93" s="27">
        <f>IFERROR(U49/U87,"")</f>
        <v/>
      </c>
      <c r="V93" s="27">
        <f>IFERROR(V49/V87,"")</f>
        <v/>
      </c>
      <c r="W93" s="27">
        <f>IFERROR(W49/W87,"")</f>
        <v/>
      </c>
      <c r="X93" s="27">
        <f>IFERROR(X49/X87,"")</f>
        <v/>
      </c>
      <c r="Y93" s="27">
        <f>IFERROR(Y49/Y87,"")</f>
        <v/>
      </c>
      <c r="Z93" s="27">
        <f>IFERROR(Z49/Z87,"")</f>
        <v/>
      </c>
      <c r="AA93" s="27">
        <f>IFERROR(AA49/AA87,"")</f>
        <v/>
      </c>
      <c r="AB93" s="27">
        <f>IFERROR(AB49/AB87,"")</f>
        <v/>
      </c>
      <c r="AC93" s="27">
        <f>IFERROR(AC49/AC87,"")</f>
        <v/>
      </c>
      <c r="AD93" s="27">
        <f>IFERROR(AD49/AD87,"")</f>
        <v/>
      </c>
      <c r="AE93" s="27">
        <f>IFERROR(AE49/AE87,"")</f>
        <v/>
      </c>
      <c r="AF93" s="27">
        <f>IFERROR(AF49/AF87,"")</f>
        <v/>
      </c>
      <c r="AG93" s="27">
        <f>IFERROR(AG49/AG87,"")</f>
        <v/>
      </c>
      <c r="AH93" s="27">
        <f>IFERROR(AH49/AH87,"")</f>
        <v/>
      </c>
      <c r="AI93" s="27">
        <f>IFERROR(AI49/AI87,"")</f>
        <v/>
      </c>
      <c r="AJ93" s="27">
        <f>IFERROR(AJ49/AJ87,"")</f>
        <v/>
      </c>
      <c r="AK93" s="27">
        <f>IFERROR(AK49/AK87,"")</f>
        <v/>
      </c>
      <c r="AL93" s="27">
        <f>IFERROR(AL49/AL87,"")</f>
        <v/>
      </c>
      <c r="AM93" s="27">
        <f>IFERROR(AM49/AM87,"")</f>
        <v/>
      </c>
      <c r="AN93" s="27">
        <f>IFERROR(AN49/AN87,"")</f>
        <v/>
      </c>
      <c r="AO93" s="27">
        <f>IFERROR(AO49/AO87,"")</f>
        <v/>
      </c>
      <c r="AP93" s="27">
        <f>IFERROR(AP49/AP87,"")</f>
        <v/>
      </c>
      <c r="AQ93" s="27">
        <f>IFERROR(AQ49/AQ87,"")</f>
        <v/>
      </c>
      <c r="AR93" s="27">
        <f>IFERROR(AR49/AR87,"")</f>
        <v/>
      </c>
      <c r="AS93" s="27">
        <f>IFERROR(AS49/AS87,"")</f>
        <v/>
      </c>
      <c r="AT93" s="27">
        <f>IFERROR(AT49/AT87,"")</f>
        <v/>
      </c>
      <c r="AU93" s="27">
        <f>IFERROR(AU49/AU87,"")</f>
        <v/>
      </c>
      <c r="AV93" s="27">
        <f>IFERROR(AV49/AV87,"")</f>
        <v/>
      </c>
      <c r="AW93" s="27">
        <f>IFERROR(AW49/AW87,"")</f>
        <v/>
      </c>
      <c r="AX93" s="27">
        <f>IFERROR(AX49/AX87,"")</f>
        <v/>
      </c>
      <c r="AY93" s="27">
        <f>IFERROR(AY49/AY87,"")</f>
        <v/>
      </c>
      <c r="AZ93" s="27">
        <f>IFERROR(AZ49/AZ87,"")</f>
        <v/>
      </c>
      <c r="BA93" s="27">
        <f>IFERROR(BA49/BA87,"")</f>
        <v/>
      </c>
      <c r="BB93" s="27">
        <f>IFERROR(BB49/BB87,"")</f>
        <v/>
      </c>
      <c r="BC93" s="27">
        <f>IFERROR(BC49/BC87,"")</f>
        <v/>
      </c>
      <c r="BD93" s="27">
        <f>IFERROR(BD49/BD87,"")</f>
        <v/>
      </c>
      <c r="BE93" s="27">
        <f>IFERROR(BE49/BE87,"")</f>
        <v/>
      </c>
      <c r="BF93" s="27">
        <f>IFERROR(BF49/BF87,"")</f>
        <v/>
      </c>
      <c r="BG93" s="27">
        <f>IFERROR(BG49/BG87,"")</f>
        <v/>
      </c>
      <c r="BH93" s="27">
        <f>IFERROR(BH49/BH87,"")</f>
        <v/>
      </c>
      <c r="BI93" s="27">
        <f>IFERROR(BI49/BI87,"")</f>
        <v/>
      </c>
      <c r="BJ93" s="27">
        <f>IFERROR(BJ49/BJ87,"")</f>
        <v/>
      </c>
      <c r="BK93" s="27">
        <f>IFERROR(BK49/BK87,"")</f>
        <v/>
      </c>
      <c r="BL93" s="27">
        <f>IFERROR(BL49/BL87,"")</f>
        <v/>
      </c>
      <c r="BM93" s="27">
        <f>IFERROR(BM49/BM87,"")</f>
        <v/>
      </c>
      <c r="BN93" s="27">
        <f>IFERROR(BN49/BN87,"")</f>
        <v/>
      </c>
      <c r="BO93" s="27">
        <f>IFERROR(BO49/BO87,"")</f>
        <v/>
      </c>
      <c r="BP93" s="27">
        <f>IFERROR(BP49/BP87,"")</f>
        <v/>
      </c>
      <c r="BQ93" s="27">
        <f>IFERROR(BQ49/BQ87,"")</f>
        <v/>
      </c>
      <c r="BR93" s="27">
        <f>IFERROR(BR49/BR87,"")</f>
        <v/>
      </c>
      <c r="BS93" s="27">
        <f>IFERROR(BS49/BS87,"")</f>
        <v/>
      </c>
      <c r="BT93" s="27">
        <f>IFERROR(BT49/BT87,"")</f>
        <v/>
      </c>
      <c r="BU93" s="27">
        <f>IFERROR(BU49/BU87,"")</f>
        <v/>
      </c>
      <c r="BV93" s="27">
        <f>IFERROR(BV49/BV87,"")</f>
        <v/>
      </c>
      <c r="BW93" s="27">
        <f>IFERROR(BW49/BW87,"")</f>
        <v/>
      </c>
      <c r="BX93" s="27">
        <f>IFERROR(BX49/BX87,"")</f>
        <v/>
      </c>
      <c r="BY93" s="27">
        <f>IFERROR(BY49/BY87,"")</f>
        <v/>
      </c>
      <c r="BZ93" s="28">
        <f>IFERROR(BZ49/BZ87,"")</f>
        <v/>
      </c>
      <c r="CA93" s="28">
        <f>IFERROR(CA49/CA87,"")</f>
        <v/>
      </c>
      <c r="CB93" s="28">
        <f>IFERROR(CB49/CB87,"")</f>
        <v/>
      </c>
      <c r="CC93" s="28">
        <f>IFERROR(CC49/CC87,"")</f>
        <v/>
      </c>
      <c r="CD93" s="28">
        <f>IFERROR(CD49/CD87,"")</f>
        <v/>
      </c>
    </row>
    <row r="94">
      <c r="B94" s="18" t="inlineStr">
        <is>
          <t xml:space="preserve">  NOPAT = EBIT × (1 − tax)</t>
        </is>
      </c>
      <c r="C94" s="34">
        <f>IFERROR(C43*(1-C47),"")</f>
        <v/>
      </c>
      <c r="D94" s="34">
        <f>IFERROR(D43*(1-D47),"")</f>
        <v/>
      </c>
      <c r="E94" s="34">
        <f>IFERROR(E43*(1-E47),"")</f>
        <v/>
      </c>
      <c r="F94" s="34">
        <f>IFERROR(F43*(1-F47),"")</f>
        <v/>
      </c>
      <c r="G94" s="34">
        <f>IFERROR(G43*(1-G47),"")</f>
        <v/>
      </c>
      <c r="H94" s="34">
        <f>IFERROR(H43*(1-H47),"")</f>
        <v/>
      </c>
      <c r="I94" s="34">
        <f>IFERROR(I43*(1-I47),"")</f>
        <v/>
      </c>
      <c r="J94" s="34">
        <f>IFERROR(J43*(1-J47),"")</f>
        <v/>
      </c>
      <c r="K94" s="34">
        <f>IFERROR(K43*(1-K47),"")</f>
        <v/>
      </c>
      <c r="L94" s="34">
        <f>IFERROR(L43*(1-L47),"")</f>
        <v/>
      </c>
      <c r="M94" s="34">
        <f>IFERROR(M43*(1-M47),"")</f>
        <v/>
      </c>
      <c r="N94" s="34">
        <f>IFERROR(N43*(1-N47),"")</f>
        <v/>
      </c>
      <c r="O94" s="34">
        <f>IFERROR(O43*(1-O47),"")</f>
        <v/>
      </c>
      <c r="P94" s="34">
        <f>IFERROR(P43*(1-P47),"")</f>
        <v/>
      </c>
      <c r="Q94" s="34">
        <f>IFERROR(Q43*(1-Q47),"")</f>
        <v/>
      </c>
      <c r="R94" s="34">
        <f>IFERROR(R43*(1-R47),"")</f>
        <v/>
      </c>
      <c r="S94" s="34">
        <f>IFERROR(S43*(1-S47),"")</f>
        <v/>
      </c>
      <c r="T94" s="34">
        <f>IFERROR(T43*(1-T47),"")</f>
        <v/>
      </c>
      <c r="U94" s="34">
        <f>IFERROR(U43*(1-U47),"")</f>
        <v/>
      </c>
      <c r="V94" s="34">
        <f>IFERROR(V43*(1-V47),"")</f>
        <v/>
      </c>
      <c r="W94" s="34">
        <f>IFERROR(W43*(1-W47),"")</f>
        <v/>
      </c>
      <c r="X94" s="34">
        <f>IFERROR(X43*(1-X47),"")</f>
        <v/>
      </c>
      <c r="Y94" s="34">
        <f>IFERROR(Y43*(1-Y47),"")</f>
        <v/>
      </c>
      <c r="Z94" s="34">
        <f>IFERROR(Z43*(1-Z47),"")</f>
        <v/>
      </c>
      <c r="AA94" s="34">
        <f>IFERROR(AA43*(1-AA47),"")</f>
        <v/>
      </c>
      <c r="AB94" s="34">
        <f>IFERROR(AB43*(1-AB47),"")</f>
        <v/>
      </c>
      <c r="AC94" s="34">
        <f>IFERROR(AC43*(1-AC47),"")</f>
        <v/>
      </c>
      <c r="AD94" s="34">
        <f>IFERROR(AD43*(1-AD47),"")</f>
        <v/>
      </c>
      <c r="AE94" s="34">
        <f>IFERROR(AE43*(1-AE47),"")</f>
        <v/>
      </c>
      <c r="AF94" s="34">
        <f>IFERROR(AF43*(1-AF47),"")</f>
        <v/>
      </c>
      <c r="AG94" s="34">
        <f>IFERROR(AG43*(1-AG47),"")</f>
        <v/>
      </c>
      <c r="AH94" s="34">
        <f>IFERROR(AH43*(1-AH47),"")</f>
        <v/>
      </c>
      <c r="AI94" s="34">
        <f>IFERROR(AI43*(1-AI47),"")</f>
        <v/>
      </c>
      <c r="AJ94" s="34">
        <f>IFERROR(AJ43*(1-AJ47),"")</f>
        <v/>
      </c>
      <c r="AK94" s="34">
        <f>IFERROR(AK43*(1-AK47),"")</f>
        <v/>
      </c>
      <c r="AL94" s="34">
        <f>IFERROR(AL43*(1-AL47),"")</f>
        <v/>
      </c>
      <c r="AM94" s="34">
        <f>IFERROR(AM43*(1-AM47),"")</f>
        <v/>
      </c>
      <c r="AN94" s="34">
        <f>IFERROR(AN43*(1-AN47),"")</f>
        <v/>
      </c>
      <c r="AO94" s="34">
        <f>IFERROR(AO43*(1-AO47),"")</f>
        <v/>
      </c>
      <c r="AP94" s="34">
        <f>IFERROR(AP43*(1-AP47),"")</f>
        <v/>
      </c>
      <c r="AQ94" s="34">
        <f>IFERROR(AQ43*(1-AQ47),"")</f>
        <v/>
      </c>
      <c r="AR94" s="34">
        <f>IFERROR(AR43*(1-AR47),"")</f>
        <v/>
      </c>
      <c r="AS94" s="34">
        <f>IFERROR(AS43*(1-AS47),"")</f>
        <v/>
      </c>
      <c r="AT94" s="34">
        <f>IFERROR(AT43*(1-AT47),"")</f>
        <v/>
      </c>
      <c r="AU94" s="34">
        <f>IFERROR(AU43*(1-AU47),"")</f>
        <v/>
      </c>
      <c r="AV94" s="34">
        <f>IFERROR(AV43*(1-AV47),"")</f>
        <v/>
      </c>
      <c r="AW94" s="34">
        <f>IFERROR(AW43*(1-AW47),"")</f>
        <v/>
      </c>
      <c r="AX94" s="34">
        <f>IFERROR(AX43*(1-AX47),"")</f>
        <v/>
      </c>
      <c r="AY94" s="34">
        <f>IFERROR(AY43*(1-AY47),"")</f>
        <v/>
      </c>
      <c r="AZ94" s="34">
        <f>IFERROR(AZ43*(1-AZ47),"")</f>
        <v/>
      </c>
      <c r="BA94" s="34">
        <f>IFERROR(BA43*(1-BA47),"")</f>
        <v/>
      </c>
      <c r="BB94" s="34">
        <f>IFERROR(BB43*(1-BB47),"")</f>
        <v/>
      </c>
      <c r="BC94" s="34">
        <f>IFERROR(BC43*(1-BC47),"")</f>
        <v/>
      </c>
      <c r="BD94" s="34">
        <f>IFERROR(BD43*(1-BD47),"")</f>
        <v/>
      </c>
      <c r="BE94" s="34">
        <f>IFERROR(BE43*(1-BE47),"")</f>
        <v/>
      </c>
      <c r="BF94" s="34">
        <f>IFERROR(BF43*(1-BF47),"")</f>
        <v/>
      </c>
      <c r="BG94" s="34">
        <f>IFERROR(BG43*(1-BG47),"")</f>
        <v/>
      </c>
      <c r="BH94" s="34">
        <f>IFERROR(BH43*(1-BH47),"")</f>
        <v/>
      </c>
      <c r="BI94" s="34">
        <f>IFERROR(BI43*(1-BI47),"")</f>
        <v/>
      </c>
      <c r="BJ94" s="34">
        <f>IFERROR(BJ43*(1-BJ47),"")</f>
        <v/>
      </c>
      <c r="BK94" s="34">
        <f>IFERROR(BK43*(1-BK47),"")</f>
        <v/>
      </c>
      <c r="BL94" s="34">
        <f>IFERROR(BL43*(1-BL47),"")</f>
        <v/>
      </c>
      <c r="BM94" s="34">
        <f>IFERROR(BM43*(1-BM47),"")</f>
        <v/>
      </c>
      <c r="BN94" s="34">
        <f>IFERROR(BN43*(1-BN47),"")</f>
        <v/>
      </c>
      <c r="BO94" s="34">
        <f>IFERROR(BO43*(1-BO47),"")</f>
        <v/>
      </c>
      <c r="BP94" s="34">
        <f>IFERROR(BP43*(1-BP47),"")</f>
        <v/>
      </c>
      <c r="BQ94" s="34">
        <f>IFERROR(BQ43*(1-BQ47),"")</f>
        <v/>
      </c>
      <c r="BR94" s="34">
        <f>IFERROR(BR43*(1-BR47),"")</f>
        <v/>
      </c>
      <c r="BS94" s="34">
        <f>IFERROR(BS43*(1-BS47),"")</f>
        <v/>
      </c>
      <c r="BT94" s="34">
        <f>IFERROR(BT43*(1-BT47),"")</f>
        <v/>
      </c>
      <c r="BU94" s="34">
        <f>IFERROR(BU43*(1-BU47),"")</f>
        <v/>
      </c>
      <c r="BV94" s="34">
        <f>IFERROR(BV43*(1-BV47),"")</f>
        <v/>
      </c>
      <c r="BW94" s="34">
        <f>IFERROR(BW43*(1-BW47),"")</f>
        <v/>
      </c>
      <c r="BX94" s="34">
        <f>IFERROR(BX43*(1-BX47),"")</f>
        <v/>
      </c>
      <c r="BY94" s="34">
        <f>IFERROR(BY43*(1-BY47),"")</f>
        <v/>
      </c>
      <c r="BZ94" s="23">
        <f>BZ43*(1-BZ47)</f>
        <v/>
      </c>
      <c r="CA94" s="23">
        <f>CA43*(1-CA47)</f>
        <v/>
      </c>
      <c r="CB94" s="23">
        <f>CB43*(1-CB47)</f>
        <v/>
      </c>
      <c r="CC94" s="23">
        <f>CC43*(1-CC47)</f>
        <v/>
      </c>
      <c r="CD94" s="23">
        <f>CD43*(1-CD47)</f>
        <v/>
      </c>
    </row>
    <row r="95">
      <c r="B95" s="18" t="inlineStr">
        <is>
          <t xml:space="preserve">  ROIC = NOPAT / (Equity + Debt − Cash)</t>
        </is>
      </c>
      <c r="C95" s="27">
        <f>IFERROR(C94/(C87+C85-C79),"")</f>
        <v/>
      </c>
      <c r="D95" s="27">
        <f>IFERROR(D94/(D87+D85-D79),"")</f>
        <v/>
      </c>
      <c r="E95" s="27">
        <f>IFERROR(E94/(E87+E85-E79),"")</f>
        <v/>
      </c>
      <c r="F95" s="27">
        <f>IFERROR(F94/(F87+F85-F79),"")</f>
        <v/>
      </c>
      <c r="G95" s="27">
        <f>IFERROR(G94/(G87+G85-G79),"")</f>
        <v/>
      </c>
      <c r="H95" s="27">
        <f>IFERROR(H94/(H87+H85-H79),"")</f>
        <v/>
      </c>
      <c r="I95" s="27">
        <f>IFERROR(I94/(I87+I85-I79),"")</f>
        <v/>
      </c>
      <c r="J95" s="27">
        <f>IFERROR(J94/(J87+J85-J79),"")</f>
        <v/>
      </c>
      <c r="K95" s="27">
        <f>IFERROR(K94/(K87+K85-K79),"")</f>
        <v/>
      </c>
      <c r="L95" s="27">
        <f>IFERROR(L94/(L87+L85-L79),"")</f>
        <v/>
      </c>
      <c r="M95" s="27">
        <f>IFERROR(M94/(M87+M85-M79),"")</f>
        <v/>
      </c>
      <c r="N95" s="27">
        <f>IFERROR(N94/(N87+N85-N79),"")</f>
        <v/>
      </c>
      <c r="O95" s="27">
        <f>IFERROR(O94/(O87+O85-O79),"")</f>
        <v/>
      </c>
      <c r="P95" s="27">
        <f>IFERROR(P94/(P87+P85-P79),"")</f>
        <v/>
      </c>
      <c r="Q95" s="27">
        <f>IFERROR(Q94/(Q87+Q85-Q79),"")</f>
        <v/>
      </c>
      <c r="R95" s="27">
        <f>IFERROR(R94/(R87+R85-R79),"")</f>
        <v/>
      </c>
      <c r="S95" s="27">
        <f>IFERROR(S94/(S87+S85-S79),"")</f>
        <v/>
      </c>
      <c r="T95" s="27">
        <f>IFERROR(T94/(T87+T85-T79),"")</f>
        <v/>
      </c>
      <c r="U95" s="27">
        <f>IFERROR(U94/(U87+U85-U79),"")</f>
        <v/>
      </c>
      <c r="V95" s="27">
        <f>IFERROR(V94/(V87+V85-V79),"")</f>
        <v/>
      </c>
      <c r="W95" s="27">
        <f>IFERROR(W94/(W87+W85-W79),"")</f>
        <v/>
      </c>
      <c r="X95" s="27">
        <f>IFERROR(X94/(X87+X85-X79),"")</f>
        <v/>
      </c>
      <c r="Y95" s="27">
        <f>IFERROR(Y94/(Y87+Y85-Y79),"")</f>
        <v/>
      </c>
      <c r="Z95" s="27">
        <f>IFERROR(Z94/(Z87+Z85-Z79),"")</f>
        <v/>
      </c>
      <c r="AA95" s="27">
        <f>IFERROR(AA94/(AA87+AA85-AA79),"")</f>
        <v/>
      </c>
      <c r="AB95" s="27">
        <f>IFERROR(AB94/(AB87+AB85-AB79),"")</f>
        <v/>
      </c>
      <c r="AC95" s="27">
        <f>IFERROR(AC94/(AC87+AC85-AC79),"")</f>
        <v/>
      </c>
      <c r="AD95" s="27">
        <f>IFERROR(AD94/(AD87+AD85-AD79),"")</f>
        <v/>
      </c>
      <c r="AE95" s="27">
        <f>IFERROR(AE94/(AE87+AE85-AE79),"")</f>
        <v/>
      </c>
      <c r="AF95" s="27">
        <f>IFERROR(AF94/(AF87+AF85-AF79),"")</f>
        <v/>
      </c>
      <c r="AG95" s="27">
        <f>IFERROR(AG94/(AG87+AG85-AG79),"")</f>
        <v/>
      </c>
      <c r="AH95" s="27">
        <f>IFERROR(AH94/(AH87+AH85-AH79),"")</f>
        <v/>
      </c>
      <c r="AI95" s="27">
        <f>IFERROR(AI94/(AI87+AI85-AI79),"")</f>
        <v/>
      </c>
      <c r="AJ95" s="27">
        <f>IFERROR(AJ94/(AJ87+AJ85-AJ79),"")</f>
        <v/>
      </c>
      <c r="AK95" s="27">
        <f>IFERROR(AK94/(AK87+AK85-AK79),"")</f>
        <v/>
      </c>
      <c r="AL95" s="27">
        <f>IFERROR(AL94/(AL87+AL85-AL79),"")</f>
        <v/>
      </c>
      <c r="AM95" s="27">
        <f>IFERROR(AM94/(AM87+AM85-AM79),"")</f>
        <v/>
      </c>
      <c r="AN95" s="27">
        <f>IFERROR(AN94/(AN87+AN85-AN79),"")</f>
        <v/>
      </c>
      <c r="AO95" s="27">
        <f>IFERROR(AO94/(AO87+AO85-AO79),"")</f>
        <v/>
      </c>
      <c r="AP95" s="27">
        <f>IFERROR(AP94/(AP87+AP85-AP79),"")</f>
        <v/>
      </c>
      <c r="AQ95" s="27">
        <f>IFERROR(AQ94/(AQ87+AQ85-AQ79),"")</f>
        <v/>
      </c>
      <c r="AR95" s="27">
        <f>IFERROR(AR94/(AR87+AR85-AR79),"")</f>
        <v/>
      </c>
      <c r="AS95" s="27">
        <f>IFERROR(AS94/(AS87+AS85-AS79),"")</f>
        <v/>
      </c>
      <c r="AT95" s="27">
        <f>IFERROR(AT94/(AT87+AT85-AT79),"")</f>
        <v/>
      </c>
      <c r="AU95" s="27">
        <f>IFERROR(AU94/(AU87+AU85-AU79),"")</f>
        <v/>
      </c>
      <c r="AV95" s="27">
        <f>IFERROR(AV94/(AV87+AV85-AV79),"")</f>
        <v/>
      </c>
      <c r="AW95" s="27">
        <f>IFERROR(AW94/(AW87+AW85-AW79),"")</f>
        <v/>
      </c>
      <c r="AX95" s="27">
        <f>IFERROR(AX94/(AX87+AX85-AX79),"")</f>
        <v/>
      </c>
      <c r="AY95" s="27">
        <f>IFERROR(AY94/(AY87+AY85-AY79),"")</f>
        <v/>
      </c>
      <c r="AZ95" s="27">
        <f>IFERROR(AZ94/(AZ87+AZ85-AZ79),"")</f>
        <v/>
      </c>
      <c r="BA95" s="27">
        <f>IFERROR(BA94/(BA87+BA85-BA79),"")</f>
        <v/>
      </c>
      <c r="BB95" s="27">
        <f>IFERROR(BB94/(BB87+BB85-BB79),"")</f>
        <v/>
      </c>
      <c r="BC95" s="27">
        <f>IFERROR(BC94/(BC87+BC85-BC79),"")</f>
        <v/>
      </c>
      <c r="BD95" s="27">
        <f>IFERROR(BD94/(BD87+BD85-BD79),"")</f>
        <v/>
      </c>
      <c r="BE95" s="27">
        <f>IFERROR(BE94/(BE87+BE85-BE79),"")</f>
        <v/>
      </c>
      <c r="BF95" s="27">
        <f>IFERROR(BF94/(BF87+BF85-BF79),"")</f>
        <v/>
      </c>
      <c r="BG95" s="27">
        <f>IFERROR(BG94/(BG87+BG85-BG79),"")</f>
        <v/>
      </c>
      <c r="BH95" s="27">
        <f>IFERROR(BH94/(BH87+BH85-BH79),"")</f>
        <v/>
      </c>
      <c r="BI95" s="27">
        <f>IFERROR(BI94/(BI87+BI85-BI79),"")</f>
        <v/>
      </c>
      <c r="BJ95" s="27">
        <f>IFERROR(BJ94/(BJ87+BJ85-BJ79),"")</f>
        <v/>
      </c>
      <c r="BK95" s="27">
        <f>IFERROR(BK94/(BK87+BK85-BK79),"")</f>
        <v/>
      </c>
      <c r="BL95" s="27">
        <f>IFERROR(BL94/(BL87+BL85-BL79),"")</f>
        <v/>
      </c>
      <c r="BM95" s="27">
        <f>IFERROR(BM94/(BM87+BM85-BM79),"")</f>
        <v/>
      </c>
      <c r="BN95" s="27">
        <f>IFERROR(BN94/(BN87+BN85-BN79),"")</f>
        <v/>
      </c>
      <c r="BO95" s="27">
        <f>IFERROR(BO94/(BO87+BO85-BO79),"")</f>
        <v/>
      </c>
      <c r="BP95" s="27">
        <f>IFERROR(BP94/(BP87+BP85-BP79),"")</f>
        <v/>
      </c>
      <c r="BQ95" s="27">
        <f>IFERROR(BQ94/(BQ87+BQ85-BQ79),"")</f>
        <v/>
      </c>
      <c r="BR95" s="27">
        <f>IFERROR(BR94/(BR87+BR85-BR79),"")</f>
        <v/>
      </c>
      <c r="BS95" s="27">
        <f>IFERROR(BS94/(BS87+BS85-BS79),"")</f>
        <v/>
      </c>
      <c r="BT95" s="27">
        <f>IFERROR(BT94/(BT87+BT85-BT79),"")</f>
        <v/>
      </c>
      <c r="BU95" s="27">
        <f>IFERROR(BU94/(BU87+BU85-BU79),"")</f>
        <v/>
      </c>
      <c r="BV95" s="27">
        <f>IFERROR(BV94/(BV87+BV85-BV79),"")</f>
        <v/>
      </c>
      <c r="BW95" s="27">
        <f>IFERROR(BW94/(BW87+BW85-BW79),"")</f>
        <v/>
      </c>
      <c r="BX95" s="27">
        <f>IFERROR(BX94/(BX87+BX85-BX79),"")</f>
        <v/>
      </c>
      <c r="BY95" s="27">
        <f>IFERROR(BY94/(BY87+BY85-BY79),"")</f>
        <v/>
      </c>
    </row>
    <row r="96">
      <c r="B96" s="18" t="inlineStr">
        <is>
          <t xml:space="preserve">  Net debt (Debt − Cash)</t>
        </is>
      </c>
      <c r="C96" s="34">
        <f>IFERROR(C85-C79,"")</f>
        <v/>
      </c>
      <c r="D96" s="34">
        <f>IFERROR(D85-D79,"")</f>
        <v/>
      </c>
      <c r="E96" s="34">
        <f>IFERROR(E85-E79,"")</f>
        <v/>
      </c>
      <c r="F96" s="34">
        <f>IFERROR(F85-F79,"")</f>
        <v/>
      </c>
      <c r="G96" s="34">
        <f>IFERROR(G85-G79,"")</f>
        <v/>
      </c>
      <c r="H96" s="34">
        <f>IFERROR(H85-H79,"")</f>
        <v/>
      </c>
      <c r="I96" s="34">
        <f>IFERROR(I85-I79,"")</f>
        <v/>
      </c>
      <c r="J96" s="34">
        <f>IFERROR(J85-J79,"")</f>
        <v/>
      </c>
      <c r="K96" s="34">
        <f>IFERROR(K85-K79,"")</f>
        <v/>
      </c>
      <c r="L96" s="34">
        <f>IFERROR(L85-L79,"")</f>
        <v/>
      </c>
      <c r="M96" s="34">
        <f>IFERROR(M85-M79,"")</f>
        <v/>
      </c>
      <c r="N96" s="34">
        <f>IFERROR(N85-N79,"")</f>
        <v/>
      </c>
      <c r="O96" s="34">
        <f>IFERROR(O85-O79,"")</f>
        <v/>
      </c>
      <c r="P96" s="34">
        <f>IFERROR(P85-P79,"")</f>
        <v/>
      </c>
      <c r="Q96" s="34">
        <f>IFERROR(Q85-Q79,"")</f>
        <v/>
      </c>
      <c r="R96" s="34">
        <f>IFERROR(R85-R79,"")</f>
        <v/>
      </c>
      <c r="S96" s="34">
        <f>IFERROR(S85-S79,"")</f>
        <v/>
      </c>
      <c r="T96" s="34">
        <f>IFERROR(T85-T79,"")</f>
        <v/>
      </c>
      <c r="U96" s="34">
        <f>IFERROR(U85-U79,"")</f>
        <v/>
      </c>
      <c r="V96" s="34">
        <f>IFERROR(V85-V79,"")</f>
        <v/>
      </c>
      <c r="W96" s="34">
        <f>IFERROR(W85-W79,"")</f>
        <v/>
      </c>
      <c r="X96" s="34">
        <f>IFERROR(X85-X79,"")</f>
        <v/>
      </c>
      <c r="Y96" s="34">
        <f>IFERROR(Y85-Y79,"")</f>
        <v/>
      </c>
      <c r="Z96" s="34">
        <f>IFERROR(Z85-Z79,"")</f>
        <v/>
      </c>
      <c r="AA96" s="34">
        <f>IFERROR(AA85-AA79,"")</f>
        <v/>
      </c>
      <c r="AB96" s="34">
        <f>IFERROR(AB85-AB79,"")</f>
        <v/>
      </c>
      <c r="AC96" s="34">
        <f>IFERROR(AC85-AC79,"")</f>
        <v/>
      </c>
      <c r="AD96" s="34">
        <f>IFERROR(AD85-AD79,"")</f>
        <v/>
      </c>
      <c r="AE96" s="34">
        <f>IFERROR(AE85-AE79,"")</f>
        <v/>
      </c>
      <c r="AF96" s="34">
        <f>IFERROR(AF85-AF79,"")</f>
        <v/>
      </c>
      <c r="AG96" s="34">
        <f>IFERROR(AG85-AG79,"")</f>
        <v/>
      </c>
      <c r="AH96" s="34">
        <f>IFERROR(AH85-AH79,"")</f>
        <v/>
      </c>
      <c r="AI96" s="34">
        <f>IFERROR(AI85-AI79,"")</f>
        <v/>
      </c>
      <c r="AJ96" s="34">
        <f>IFERROR(AJ85-AJ79,"")</f>
        <v/>
      </c>
      <c r="AK96" s="34">
        <f>IFERROR(AK85-AK79,"")</f>
        <v/>
      </c>
      <c r="AL96" s="34">
        <f>IFERROR(AL85-AL79,"")</f>
        <v/>
      </c>
      <c r="AM96" s="34">
        <f>IFERROR(AM85-AM79,"")</f>
        <v/>
      </c>
      <c r="AN96" s="34">
        <f>IFERROR(AN85-AN79,"")</f>
        <v/>
      </c>
      <c r="AO96" s="34">
        <f>IFERROR(AO85-AO79,"")</f>
        <v/>
      </c>
      <c r="AP96" s="34">
        <f>IFERROR(AP85-AP79,"")</f>
        <v/>
      </c>
      <c r="AQ96" s="34">
        <f>IFERROR(AQ85-AQ79,"")</f>
        <v/>
      </c>
      <c r="AR96" s="34">
        <f>IFERROR(AR85-AR79,"")</f>
        <v/>
      </c>
      <c r="AS96" s="34">
        <f>IFERROR(AS85-AS79,"")</f>
        <v/>
      </c>
      <c r="AT96" s="34">
        <f>IFERROR(AT85-AT79,"")</f>
        <v/>
      </c>
      <c r="AU96" s="34">
        <f>IFERROR(AU85-AU79,"")</f>
        <v/>
      </c>
      <c r="AV96" s="34">
        <f>IFERROR(AV85-AV79,"")</f>
        <v/>
      </c>
      <c r="AW96" s="34">
        <f>IFERROR(AW85-AW79,"")</f>
        <v/>
      </c>
      <c r="AX96" s="34">
        <f>IFERROR(AX85-AX79,"")</f>
        <v/>
      </c>
      <c r="AY96" s="34">
        <f>IFERROR(AY85-AY79,"")</f>
        <v/>
      </c>
      <c r="AZ96" s="34">
        <f>IFERROR(AZ85-AZ79,"")</f>
        <v/>
      </c>
      <c r="BA96" s="34">
        <f>IFERROR(BA85-BA79,"")</f>
        <v/>
      </c>
      <c r="BB96" s="34">
        <f>IFERROR(BB85-BB79,"")</f>
        <v/>
      </c>
      <c r="BC96" s="34">
        <f>IFERROR(BC85-BC79,"")</f>
        <v/>
      </c>
      <c r="BD96" s="34">
        <f>IFERROR(BD85-BD79,"")</f>
        <v/>
      </c>
      <c r="BE96" s="34">
        <f>IFERROR(BE85-BE79,"")</f>
        <v/>
      </c>
      <c r="BF96" s="34">
        <f>IFERROR(BF85-BF79,"")</f>
        <v/>
      </c>
      <c r="BG96" s="34">
        <f>IFERROR(BG85-BG79,"")</f>
        <v/>
      </c>
      <c r="BH96" s="34">
        <f>IFERROR(BH85-BH79,"")</f>
        <v/>
      </c>
      <c r="BI96" s="34">
        <f>IFERROR(BI85-BI79,"")</f>
        <v/>
      </c>
      <c r="BJ96" s="34">
        <f>IFERROR(BJ85-BJ79,"")</f>
        <v/>
      </c>
      <c r="BK96" s="34">
        <f>IFERROR(BK85-BK79,"")</f>
        <v/>
      </c>
      <c r="BL96" s="34">
        <f>IFERROR(BL85-BL79,"")</f>
        <v/>
      </c>
      <c r="BM96" s="34">
        <f>IFERROR(BM85-BM79,"")</f>
        <v/>
      </c>
      <c r="BN96" s="34">
        <f>IFERROR(BN85-BN79,"")</f>
        <v/>
      </c>
      <c r="BO96" s="34">
        <f>IFERROR(BO85-BO79,"")</f>
        <v/>
      </c>
      <c r="BP96" s="34">
        <f>IFERROR(BP85-BP79,"")</f>
        <v/>
      </c>
      <c r="BQ96" s="34">
        <f>IFERROR(BQ85-BQ79,"")</f>
        <v/>
      </c>
      <c r="BR96" s="34">
        <f>IFERROR(BR85-BR79,"")</f>
        <v/>
      </c>
      <c r="BS96" s="34">
        <f>IFERROR(BS85-BS79,"")</f>
        <v/>
      </c>
      <c r="BT96" s="34">
        <f>IFERROR(BT85-BT79,"")</f>
        <v/>
      </c>
      <c r="BU96" s="34">
        <f>IFERROR(BU85-BU79,"")</f>
        <v/>
      </c>
      <c r="BV96" s="34">
        <f>IFERROR(BV85-BV79,"")</f>
        <v/>
      </c>
      <c r="BW96" s="34">
        <f>IFERROR(BW85-BW79,"")</f>
        <v/>
      </c>
      <c r="BX96" s="34">
        <f>IFERROR(BX85-BX79,"")</f>
        <v/>
      </c>
      <c r="BY96" s="34">
        <f>IFERROR(BY85-BY79,"")</f>
        <v/>
      </c>
    </row>
    <row r="97">
      <c r="B97" s="18" t="inlineStr">
        <is>
          <t xml:space="preserve">  Net debt / EBITDA (x)</t>
        </is>
      </c>
      <c r="C97" s="39">
        <f>IFERROR(C96/C91,"")</f>
        <v/>
      </c>
      <c r="D97" s="39">
        <f>IFERROR(D96/D91,"")</f>
        <v/>
      </c>
      <c r="E97" s="39">
        <f>IFERROR(E96/E91,"")</f>
        <v/>
      </c>
      <c r="F97" s="39">
        <f>IFERROR(F96/F91,"")</f>
        <v/>
      </c>
      <c r="G97" s="39">
        <f>IFERROR(G96/G91,"")</f>
        <v/>
      </c>
      <c r="H97" s="39">
        <f>IFERROR(H96/H91,"")</f>
        <v/>
      </c>
      <c r="I97" s="39">
        <f>IFERROR(I96/I91,"")</f>
        <v/>
      </c>
      <c r="J97" s="39">
        <f>IFERROR(J96/J91,"")</f>
        <v/>
      </c>
      <c r="K97" s="39">
        <f>IFERROR(K96/K91,"")</f>
        <v/>
      </c>
      <c r="L97" s="39">
        <f>IFERROR(L96/L91,"")</f>
        <v/>
      </c>
      <c r="M97" s="39">
        <f>IFERROR(M96/M91,"")</f>
        <v/>
      </c>
      <c r="N97" s="39">
        <f>IFERROR(N96/N91,"")</f>
        <v/>
      </c>
      <c r="O97" s="39">
        <f>IFERROR(O96/O91,"")</f>
        <v/>
      </c>
      <c r="P97" s="39">
        <f>IFERROR(P96/P91,"")</f>
        <v/>
      </c>
      <c r="Q97" s="39">
        <f>IFERROR(Q96/Q91,"")</f>
        <v/>
      </c>
      <c r="R97" s="39">
        <f>IFERROR(R96/R91,"")</f>
        <v/>
      </c>
      <c r="S97" s="39">
        <f>IFERROR(S96/S91,"")</f>
        <v/>
      </c>
      <c r="T97" s="39">
        <f>IFERROR(T96/T91,"")</f>
        <v/>
      </c>
      <c r="U97" s="39">
        <f>IFERROR(U96/U91,"")</f>
        <v/>
      </c>
      <c r="V97" s="39">
        <f>IFERROR(V96/V91,"")</f>
        <v/>
      </c>
      <c r="W97" s="39">
        <f>IFERROR(W96/W91,"")</f>
        <v/>
      </c>
      <c r="X97" s="39">
        <f>IFERROR(X96/X91,"")</f>
        <v/>
      </c>
      <c r="Y97" s="39">
        <f>IFERROR(Y96/Y91,"")</f>
        <v/>
      </c>
      <c r="Z97" s="39">
        <f>IFERROR(Z96/Z91,"")</f>
        <v/>
      </c>
      <c r="AA97" s="39">
        <f>IFERROR(AA96/AA91,"")</f>
        <v/>
      </c>
      <c r="AB97" s="39">
        <f>IFERROR(AB96/AB91,"")</f>
        <v/>
      </c>
      <c r="AC97" s="39">
        <f>IFERROR(AC96/AC91,"")</f>
        <v/>
      </c>
      <c r="AD97" s="39">
        <f>IFERROR(AD96/AD91,"")</f>
        <v/>
      </c>
      <c r="AE97" s="39">
        <f>IFERROR(AE96/AE91,"")</f>
        <v/>
      </c>
      <c r="AF97" s="39">
        <f>IFERROR(AF96/AF91,"")</f>
        <v/>
      </c>
      <c r="AG97" s="39">
        <f>IFERROR(AG96/AG91,"")</f>
        <v/>
      </c>
      <c r="AH97" s="39">
        <f>IFERROR(AH96/AH91,"")</f>
        <v/>
      </c>
      <c r="AI97" s="39">
        <f>IFERROR(AI96/AI91,"")</f>
        <v/>
      </c>
      <c r="AJ97" s="39">
        <f>IFERROR(AJ96/AJ91,"")</f>
        <v/>
      </c>
      <c r="AK97" s="39">
        <f>IFERROR(AK96/AK91,"")</f>
        <v/>
      </c>
      <c r="AL97" s="39">
        <f>IFERROR(AL96/AL91,"")</f>
        <v/>
      </c>
      <c r="AM97" s="39">
        <f>IFERROR(AM96/AM91,"")</f>
        <v/>
      </c>
      <c r="AN97" s="39">
        <f>IFERROR(AN96/AN91,"")</f>
        <v/>
      </c>
      <c r="AO97" s="39">
        <f>IFERROR(AO96/AO91,"")</f>
        <v/>
      </c>
      <c r="AP97" s="39">
        <f>IFERROR(AP96/AP91,"")</f>
        <v/>
      </c>
      <c r="AQ97" s="39">
        <f>IFERROR(AQ96/AQ91,"")</f>
        <v/>
      </c>
      <c r="AR97" s="39">
        <f>IFERROR(AR96/AR91,"")</f>
        <v/>
      </c>
      <c r="AS97" s="39">
        <f>IFERROR(AS96/AS91,"")</f>
        <v/>
      </c>
      <c r="AT97" s="39">
        <f>IFERROR(AT96/AT91,"")</f>
        <v/>
      </c>
      <c r="AU97" s="39">
        <f>IFERROR(AU96/AU91,"")</f>
        <v/>
      </c>
      <c r="AV97" s="39">
        <f>IFERROR(AV96/AV91,"")</f>
        <v/>
      </c>
      <c r="AW97" s="39">
        <f>IFERROR(AW96/AW91,"")</f>
        <v/>
      </c>
      <c r="AX97" s="39">
        <f>IFERROR(AX96/AX91,"")</f>
        <v/>
      </c>
      <c r="AY97" s="39">
        <f>IFERROR(AY96/AY91,"")</f>
        <v/>
      </c>
      <c r="AZ97" s="39">
        <f>IFERROR(AZ96/AZ91,"")</f>
        <v/>
      </c>
      <c r="BA97" s="39">
        <f>IFERROR(BA96/BA91,"")</f>
        <v/>
      </c>
      <c r="BB97" s="39">
        <f>IFERROR(BB96/BB91,"")</f>
        <v/>
      </c>
      <c r="BC97" s="39">
        <f>IFERROR(BC96/BC91,"")</f>
        <v/>
      </c>
      <c r="BD97" s="39">
        <f>IFERROR(BD96/BD91,"")</f>
        <v/>
      </c>
      <c r="BE97" s="39">
        <f>IFERROR(BE96/BE91,"")</f>
        <v/>
      </c>
      <c r="BF97" s="39">
        <f>IFERROR(BF96/BF91,"")</f>
        <v/>
      </c>
      <c r="BG97" s="39">
        <f>IFERROR(BG96/BG91,"")</f>
        <v/>
      </c>
      <c r="BH97" s="39">
        <f>IFERROR(BH96/BH91,"")</f>
        <v/>
      </c>
      <c r="BI97" s="39">
        <f>IFERROR(BI96/BI91,"")</f>
        <v/>
      </c>
      <c r="BJ97" s="39">
        <f>IFERROR(BJ96/BJ91,"")</f>
        <v/>
      </c>
      <c r="BK97" s="39">
        <f>IFERROR(BK96/BK91,"")</f>
        <v/>
      </c>
      <c r="BL97" s="39">
        <f>IFERROR(BL96/BL91,"")</f>
        <v/>
      </c>
      <c r="BM97" s="39">
        <f>IFERROR(BM96/BM91,"")</f>
        <v/>
      </c>
      <c r="BN97" s="39">
        <f>IFERROR(BN96/BN91,"")</f>
        <v/>
      </c>
      <c r="BO97" s="39">
        <f>IFERROR(BO96/BO91,"")</f>
        <v/>
      </c>
      <c r="BP97" s="39">
        <f>IFERROR(BP96/BP91,"")</f>
        <v/>
      </c>
      <c r="BQ97" s="39">
        <f>IFERROR(BQ96/BQ91,"")</f>
        <v/>
      </c>
      <c r="BR97" s="39">
        <f>IFERROR(BR96/BR91,"")</f>
        <v/>
      </c>
      <c r="BS97" s="39">
        <f>IFERROR(BS96/BS91,"")</f>
        <v/>
      </c>
      <c r="BT97" s="39">
        <f>IFERROR(BT96/BT91,"")</f>
        <v/>
      </c>
      <c r="BU97" s="39">
        <f>IFERROR(BU96/BU91,"")</f>
        <v/>
      </c>
      <c r="BV97" s="39">
        <f>IFERROR(BV96/BV91,"")</f>
        <v/>
      </c>
      <c r="BW97" s="39">
        <f>IFERROR(BW96/BW91,"")</f>
        <v/>
      </c>
      <c r="BX97" s="39">
        <f>IFERROR(BX96/BX91,"")</f>
        <v/>
      </c>
      <c r="BY97" s="39">
        <f>IFERROR(BY96/BY91,"")</f>
        <v/>
      </c>
    </row>
    <row r="99">
      <c r="B99" s="5" t="inlineStr">
        <is>
          <t>NON-GAAP RECONCILIATION — AS REPORTED IN 8-K EARNINGS RELEASES</t>
        </is>
      </c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  <c r="AL99" s="12" t="n"/>
      <c r="AM99" s="12" t="n"/>
      <c r="AN99" s="12" t="n"/>
      <c r="AO99" s="12" t="n"/>
      <c r="AP99" s="12" t="n"/>
      <c r="AQ99" s="12" t="n"/>
      <c r="AR99" s="12" t="n"/>
      <c r="AS99" s="12" t="n"/>
      <c r="AT99" s="12" t="n"/>
      <c r="AU99" s="12" t="n"/>
      <c r="AV99" s="12" t="n"/>
      <c r="AW99" s="12" t="n"/>
      <c r="AX99" s="12" t="n"/>
      <c r="AY99" s="12" t="n"/>
      <c r="AZ99" s="12" t="n"/>
      <c r="BA99" s="12" t="n"/>
      <c r="BB99" s="12" t="n"/>
      <c r="BC99" s="12" t="n"/>
      <c r="BD99" s="12" t="n"/>
      <c r="BE99" s="12" t="n"/>
      <c r="BF99" s="12" t="n"/>
      <c r="BG99" s="12" t="n"/>
      <c r="BH99" s="12" t="n"/>
      <c r="BI99" s="12" t="n"/>
      <c r="BJ99" s="12" t="n"/>
      <c r="BK99" s="12" t="n"/>
      <c r="BL99" s="12" t="n"/>
      <c r="BM99" s="12" t="n"/>
      <c r="BN99" s="12" t="n"/>
      <c r="BO99" s="12" t="n"/>
      <c r="BP99" s="12" t="n"/>
      <c r="BQ99" s="12" t="n"/>
      <c r="BR99" s="12" t="n"/>
      <c r="BS99" s="12" t="n"/>
      <c r="BT99" s="12" t="n"/>
      <c r="BU99" s="12" t="n"/>
      <c r="BV99" s="12" t="n"/>
      <c r="BW99" s="12" t="n"/>
      <c r="BX99" s="12" t="n"/>
      <c r="BY99" s="12" t="n"/>
      <c r="BZ99" s="12" t="n"/>
      <c r="CA99" s="12" t="n"/>
      <c r="CB99" s="12" t="n"/>
      <c r="CC99" s="12" t="n"/>
      <c r="CD99" s="12" t="n"/>
      <c r="CE99" s="12" t="n"/>
      <c r="CF99" s="12" t="n"/>
      <c r="CG99" s="12" t="n"/>
      <c r="CH99" s="12" t="n"/>
    </row>
    <row r="100">
      <c r="B100" s="11" t="inlineStr">
        <is>
          <t xml:space="preserve">  Copart disclosed non-GAAP net income and non-GAAP diluted EPS in its quarterly earnings press releases (Form 8-K, Item 2.02, Exhibit 99.1) for fiscal 2016–2023 (and a one-off in Q3 FY2014); it reverted to GAAP-only reporting from FY2024. Copart reports no adjusted EBITDA, constant-currency, or non-GAAP free-cash-flow measures.</t>
        </is>
      </c>
    </row>
    <row r="101">
      <c r="B101" s="6" t="inlineStr">
        <is>
          <t>GAAP net income attributable to Copart, Inc.</t>
        </is>
      </c>
      <c r="T101" s="25" t="n">
        <v>40.877</v>
      </c>
      <c r="AE101" s="25" t="n">
        <v>84.122</v>
      </c>
      <c r="AF101" s="25" t="n">
        <v>270.36</v>
      </c>
      <c r="AG101" s="25" t="n">
        <v>167.28</v>
      </c>
      <c r="AH101" s="25" t="n">
        <v>66.066</v>
      </c>
      <c r="AI101" s="25" t="n">
        <v>90.54600000000001</v>
      </c>
      <c r="AJ101" s="25" t="n">
        <v>70.33499999999999</v>
      </c>
      <c r="AK101" s="25" t="n">
        <v>394.227</v>
      </c>
      <c r="AL101" s="25" t="n">
        <v>77.515</v>
      </c>
      <c r="AM101" s="25" t="n">
        <v>103.256</v>
      </c>
      <c r="AN101" s="25" t="n">
        <v>127.348</v>
      </c>
      <c r="AO101" s="25" t="n">
        <v>109.748</v>
      </c>
      <c r="AP101" s="25" t="n">
        <v>417.867</v>
      </c>
      <c r="AQ101" s="25" t="n">
        <v>114.083</v>
      </c>
      <c r="AR101" s="25" t="n">
        <v>131.373</v>
      </c>
      <c r="AS101" s="25" t="n">
        <v>192.741</v>
      </c>
      <c r="AT101" s="25" t="n">
        <v>153.496</v>
      </c>
      <c r="AU101" s="25" t="n">
        <v>591.693</v>
      </c>
      <c r="AV101" s="25" t="n">
        <v>218.18</v>
      </c>
      <c r="AW101" s="25" t="n">
        <v>168.707</v>
      </c>
      <c r="AX101" s="25" t="n">
        <v>147.487</v>
      </c>
      <c r="AY101" s="25" t="n">
        <v>165.533</v>
      </c>
      <c r="AZ101" s="25" t="n">
        <v>699.907</v>
      </c>
      <c r="BA101" s="25" t="n">
        <v>200.285</v>
      </c>
      <c r="BB101" s="25" t="n">
        <v>193.44</v>
      </c>
      <c r="BC101" s="25" t="n">
        <v>286.796</v>
      </c>
      <c r="BD101" s="25" t="n">
        <v>255.974</v>
      </c>
      <c r="BE101" s="25" t="n">
        <v>936.495</v>
      </c>
      <c r="BF101" s="25" t="n">
        <v>260.363</v>
      </c>
      <c r="BG101" s="25" t="n">
        <v>287.412</v>
      </c>
      <c r="BH101" s="25" t="n">
        <v>278.62</v>
      </c>
      <c r="BI101" s="25" t="n">
        <v>263.735</v>
      </c>
      <c r="BJ101" s="25" t="n">
        <v>1090.13</v>
      </c>
      <c r="BK101" s="25" t="n">
        <v>245.848</v>
      </c>
      <c r="BL101" s="25" t="n">
        <v>293.677</v>
      </c>
      <c r="BM101" s="25" t="n">
        <v>350.431</v>
      </c>
      <c r="BN101" s="25" t="n">
        <v>347.785</v>
      </c>
      <c r="BO101" s="25" t="n">
        <v>1237.741</v>
      </c>
    </row>
    <row r="102">
      <c r="B102" s="18" t="inlineStr">
        <is>
          <t xml:space="preserve">    Deemed repatriation of foreign earnings, net of tax</t>
        </is>
      </c>
      <c r="AM102" s="22" t="n">
        <v>10</v>
      </c>
      <c r="AN102" s="22" t="n">
        <v>1</v>
      </c>
      <c r="AO102" s="22" t="n">
        <v>-2.87</v>
      </c>
      <c r="AP102" s="22" t="n">
        <v>8.131</v>
      </c>
    </row>
    <row r="103">
      <c r="B103" s="18" t="inlineStr">
        <is>
          <t xml:space="preserve">    Tax Cuts &amp; Jobs Act / discrete tax items, net of tax</t>
        </is>
      </c>
    </row>
    <row r="104">
      <c r="B104" s="18" t="inlineStr">
        <is>
          <t xml:space="preserve">    Disposal of non-operating assets, net of tax</t>
        </is>
      </c>
      <c r="AL104" s="22" t="n">
        <v>2.994</v>
      </c>
      <c r="AP104" s="22" t="n">
        <v>2.994</v>
      </c>
      <c r="AR104" s="22" t="n">
        <v>-1.598</v>
      </c>
    </row>
    <row r="105">
      <c r="B105" s="18" t="inlineStr">
        <is>
          <t xml:space="preserve">    Impairment of long-lived assets, net of tax</t>
        </is>
      </c>
      <c r="T105" s="22" t="n">
        <v>19.402</v>
      </c>
      <c r="AJ105" s="22" t="n">
        <v>12.339</v>
      </c>
      <c r="AK105" s="22" t="n">
        <v>12.339</v>
      </c>
      <c r="AO105" s="22" t="n">
        <v>0.916</v>
      </c>
      <c r="AP105" s="22" t="n">
        <v>0.916</v>
      </c>
      <c r="AU105" s="22" t="n">
        <v>-1.598</v>
      </c>
    </row>
    <row r="106">
      <c r="B106" s="18" t="inlineStr">
        <is>
          <t xml:space="preserve">    Acquisition-related fees &amp; integration charges, net of tax</t>
        </is>
      </c>
      <c r="AJ106" s="22" t="n">
        <v>1.241</v>
      </c>
      <c r="AK106" s="22" t="n">
        <v>1.241</v>
      </c>
      <c r="AO106" s="22" t="n">
        <v>1.521</v>
      </c>
      <c r="AP106" s="22" t="n">
        <v>1.521</v>
      </c>
      <c r="BD106" s="22" t="n">
        <v>2.713</v>
      </c>
      <c r="BE106" s="22" t="n">
        <v>2.713</v>
      </c>
    </row>
    <row r="107">
      <c r="B107" s="18" t="inlineStr">
        <is>
          <t xml:space="preserve">    Reserve for legacy sales-tax liabilities, net of tax</t>
        </is>
      </c>
      <c r="AO107" s="22" t="n">
        <v>1.017</v>
      </c>
      <c r="AP107" s="22" t="n">
        <v>1.017</v>
      </c>
      <c r="AT107" s="22" t="n">
        <v>0.978</v>
      </c>
      <c r="AU107" s="22" t="n">
        <v>0.978</v>
      </c>
    </row>
    <row r="108">
      <c r="B108" s="18" t="inlineStr">
        <is>
          <t xml:space="preserve">    Foreign currency-related (gains) losses, net of tax</t>
        </is>
      </c>
      <c r="AE108" s="22" t="n">
        <v>-3.521</v>
      </c>
      <c r="AF108" s="22" t="n">
        <v>-4.86</v>
      </c>
      <c r="AG108" s="22" t="n">
        <v>-2.847</v>
      </c>
      <c r="AH108" s="22" t="n">
        <v>2.72</v>
      </c>
      <c r="AI108" s="22" t="n">
        <v>-0.167</v>
      </c>
      <c r="AJ108" s="22" t="n">
        <v>-0.585</v>
      </c>
      <c r="AK108" s="22" t="n">
        <v>-0.88</v>
      </c>
      <c r="AL108" s="22" t="n">
        <v>0.308</v>
      </c>
      <c r="AM108" s="22" t="n">
        <v>0.768</v>
      </c>
      <c r="AN108" s="22" t="n">
        <v>-0.261</v>
      </c>
      <c r="AO108" s="22" t="n">
        <v>-0.415</v>
      </c>
      <c r="AP108" s="22" t="n">
        <v>0.452</v>
      </c>
      <c r="AQ108" s="22" t="n">
        <v>-0.345</v>
      </c>
      <c r="AR108" s="22" t="n">
        <v>-0.056</v>
      </c>
      <c r="AS108" s="22" t="n">
        <v>0.094</v>
      </c>
      <c r="AT108" s="22" t="n">
        <v>0.048</v>
      </c>
      <c r="AU108" s="22" t="n">
        <v>-0.256</v>
      </c>
      <c r="AV108" s="22" t="n">
        <v>-0.263</v>
      </c>
      <c r="AW108" s="22" t="n">
        <v>-0.416</v>
      </c>
      <c r="AX108" s="22" t="n">
        <v>-0.49</v>
      </c>
      <c r="AY108" s="22" t="n">
        <v>-0.268</v>
      </c>
      <c r="AZ108" s="22" t="n">
        <v>-1.436</v>
      </c>
      <c r="BA108" s="22" t="n">
        <v>-0.19</v>
      </c>
      <c r="BB108" s="22" t="n">
        <v>0.238</v>
      </c>
      <c r="BC108" s="22" t="n">
        <v>0.303</v>
      </c>
      <c r="BD108" s="22" t="n">
        <v>-0.422</v>
      </c>
      <c r="BE108" s="22" t="n">
        <v>0.073</v>
      </c>
    </row>
    <row r="109">
      <c r="B109" s="18" t="inlineStr">
        <is>
          <t xml:space="preserve">    Stock-option tax effects (ASU 2016-09), net of tax</t>
        </is>
      </c>
      <c r="AE109" s="22" t="n">
        <v>-11.594</v>
      </c>
      <c r="AF109" s="22" t="n">
        <v>-12.44</v>
      </c>
      <c r="AG109" s="22" t="n">
        <v>-101.395</v>
      </c>
      <c r="AH109" s="22" t="n">
        <v>-1.347</v>
      </c>
      <c r="AI109" s="22" t="n">
        <v>-4.007</v>
      </c>
      <c r="AJ109" s="22" t="n">
        <v>-0.428</v>
      </c>
      <c r="AK109" s="22" t="n">
        <v>-107.177</v>
      </c>
      <c r="AL109" s="22" t="n">
        <v>-3.767</v>
      </c>
      <c r="AM109" s="22" t="n">
        <v>-2.596</v>
      </c>
      <c r="AN109" s="22" t="n">
        <v>-3.085</v>
      </c>
      <c r="AO109" s="22" t="n">
        <v>-11.821</v>
      </c>
      <c r="AP109" s="22" t="n">
        <v>-21.269</v>
      </c>
      <c r="AQ109" s="22" t="n">
        <v>-0.175</v>
      </c>
      <c r="AR109" s="22" t="n">
        <v>-4.847</v>
      </c>
      <c r="AS109" s="22" t="n">
        <v>-29.074</v>
      </c>
      <c r="AT109" s="22" t="n">
        <v>-12.007</v>
      </c>
      <c r="AU109" s="22" t="n">
        <v>-46.103</v>
      </c>
      <c r="AV109" s="22" t="n">
        <v>-62.365</v>
      </c>
      <c r="AW109" s="22" t="n">
        <v>-14.829</v>
      </c>
      <c r="AX109" s="22" t="n">
        <v>-8.768000000000001</v>
      </c>
      <c r="AY109" s="22" t="n">
        <v>-6.586</v>
      </c>
      <c r="AZ109" s="22" t="n">
        <v>-92.548</v>
      </c>
      <c r="BA109" s="22" t="n">
        <v>-11.773</v>
      </c>
      <c r="BB109" s="22" t="n">
        <v>-2.167</v>
      </c>
      <c r="BC109" s="22" t="n">
        <v>-4.91</v>
      </c>
      <c r="BD109" s="22" t="n">
        <v>-10.962</v>
      </c>
      <c r="BE109" s="22" t="n">
        <v>-29.812</v>
      </c>
      <c r="BF109" s="22" t="n">
        <v>-2.987</v>
      </c>
      <c r="BG109" s="22" t="n">
        <v>-3.965</v>
      </c>
      <c r="BH109" s="22" t="n">
        <v>-2.244</v>
      </c>
      <c r="BI109" s="22" t="n">
        <v>-5.077</v>
      </c>
      <c r="BJ109" s="22" t="n">
        <v>-14.274</v>
      </c>
      <c r="BK109" s="22" t="n">
        <v>-0.625</v>
      </c>
      <c r="BL109" s="22" t="n">
        <v>-0.115</v>
      </c>
      <c r="BM109" s="22" t="n">
        <v>-4.37</v>
      </c>
      <c r="BN109" s="22" t="n">
        <v>-15.911</v>
      </c>
      <c r="BO109" s="22" t="n">
        <v>-21.021</v>
      </c>
    </row>
    <row r="110">
      <c r="B110" s="18" t="inlineStr">
        <is>
          <t xml:space="preserve">    Payroll taxes on executive stock compensation, net of tax</t>
        </is>
      </c>
      <c r="AG110" s="22" t="n">
        <v>3.307</v>
      </c>
      <c r="AK110" s="22" t="n">
        <v>3.307</v>
      </c>
      <c r="AO110" s="22" t="n">
        <v>4.514</v>
      </c>
      <c r="AP110" s="22" t="n">
        <v>4.514</v>
      </c>
      <c r="AS110" s="22" t="n">
        <v>1.295</v>
      </c>
      <c r="AU110" s="22" t="n">
        <v>1.295</v>
      </c>
      <c r="AV110" s="22" t="n">
        <v>2.867</v>
      </c>
      <c r="AZ110" s="22" t="n">
        <v>2.867</v>
      </c>
    </row>
    <row r="111">
      <c r="B111" s="18" t="inlineStr">
        <is>
          <t xml:space="preserve">    Other adjustments, net of tax</t>
        </is>
      </c>
      <c r="AS111" s="22" t="n">
        <v>-10.17</v>
      </c>
      <c r="AU111" s="22" t="n">
        <v>-10.17</v>
      </c>
      <c r="AV111" s="22" t="n">
        <v>-3.008</v>
      </c>
      <c r="AY111" s="22" t="n">
        <v>4.74</v>
      </c>
      <c r="AZ111" s="22" t="n">
        <v>1.732</v>
      </c>
      <c r="BC111" s="22" t="n">
        <v>-19.764</v>
      </c>
      <c r="BE111" s="22" t="n">
        <v>-19.764</v>
      </c>
      <c r="BG111" s="22" t="n">
        <v>-17.49</v>
      </c>
      <c r="BH111" s="22" t="n">
        <v>5.092</v>
      </c>
      <c r="BI111" s="22" t="n">
        <v>12.929</v>
      </c>
      <c r="BJ111" s="22" t="n">
        <v>0.531</v>
      </c>
      <c r="BN111" s="22" t="n">
        <v>-1.448</v>
      </c>
      <c r="BO111" s="22" t="n">
        <v>-1.448</v>
      </c>
    </row>
    <row r="112">
      <c r="B112" s="30" t="inlineStr">
        <is>
          <t>Non-GAAP net income attributable to Copart, Inc.</t>
        </is>
      </c>
      <c r="T112" s="31">
        <f>T101+SUM(T102:T111)</f>
        <v/>
      </c>
      <c r="AE112" s="31">
        <f>AE101+SUM(AE102:AE111)</f>
        <v/>
      </c>
      <c r="AF112" s="31">
        <f>AF101+SUM(AF102:AF111)</f>
        <v/>
      </c>
      <c r="AG112" s="31">
        <f>AG101+SUM(AG102:AG111)</f>
        <v/>
      </c>
      <c r="AH112" s="31">
        <f>AH101+SUM(AH102:AH111)</f>
        <v/>
      </c>
      <c r="AI112" s="31">
        <f>AI101+SUM(AI102:AI111)</f>
        <v/>
      </c>
      <c r="AJ112" s="31">
        <f>AJ101+SUM(AJ102:AJ111)</f>
        <v/>
      </c>
      <c r="AK112" s="31">
        <f>AK101+SUM(AK102:AK111)</f>
        <v/>
      </c>
      <c r="AL112" s="31">
        <f>AL101+SUM(AL102:AL111)</f>
        <v/>
      </c>
      <c r="AM112" s="31">
        <f>AM101+SUM(AM102:AM111)</f>
        <v/>
      </c>
      <c r="AN112" s="31">
        <f>AN101+SUM(AN102:AN111)</f>
        <v/>
      </c>
      <c r="AO112" s="31">
        <f>AO101+SUM(AO102:AO111)</f>
        <v/>
      </c>
      <c r="AP112" s="31">
        <f>AP101+SUM(AP102:AP111)</f>
        <v/>
      </c>
      <c r="AQ112" s="31">
        <f>AQ101+SUM(AQ102:AQ111)</f>
        <v/>
      </c>
      <c r="AR112" s="31">
        <f>AR101+SUM(AR102:AR111)</f>
        <v/>
      </c>
      <c r="AS112" s="31">
        <f>AS101+SUM(AS102:AS111)</f>
        <v/>
      </c>
      <c r="AT112" s="31">
        <f>AT101+SUM(AT102:AT111)</f>
        <v/>
      </c>
      <c r="AU112" s="31">
        <f>AU101+SUM(AU102:AU111)</f>
        <v/>
      </c>
      <c r="AV112" s="31">
        <f>AV101+SUM(AV102:AV111)</f>
        <v/>
      </c>
      <c r="AW112" s="31">
        <f>AW101+SUM(AW102:AW111)</f>
        <v/>
      </c>
      <c r="AX112" s="31">
        <f>AX101+SUM(AX102:AX111)</f>
        <v/>
      </c>
      <c r="AY112" s="31">
        <f>AY101+SUM(AY102:AY111)</f>
        <v/>
      </c>
      <c r="AZ112" s="31">
        <f>AZ101+SUM(AZ102:AZ111)</f>
        <v/>
      </c>
      <c r="BA112" s="31">
        <f>BA101+SUM(BA102:BA111)</f>
        <v/>
      </c>
      <c r="BB112" s="31">
        <f>BB101+SUM(BB102:BB111)</f>
        <v/>
      </c>
      <c r="BC112" s="31">
        <f>BC101+SUM(BC102:BC111)</f>
        <v/>
      </c>
      <c r="BD112" s="31">
        <f>BD101+SUM(BD102:BD111)</f>
        <v/>
      </c>
      <c r="BE112" s="31">
        <f>BE101+SUM(BE102:BE111)</f>
        <v/>
      </c>
      <c r="BF112" s="31">
        <f>BF101+SUM(BF102:BF111)</f>
        <v/>
      </c>
      <c r="BG112" s="31">
        <f>BG101+SUM(BG102:BG111)</f>
        <v/>
      </c>
      <c r="BH112" s="31">
        <f>BH101+SUM(BH102:BH111)</f>
        <v/>
      </c>
      <c r="BI112" s="31">
        <f>BI101+SUM(BI102:BI111)</f>
        <v/>
      </c>
      <c r="BJ112" s="31">
        <f>BJ101+SUM(BJ102:BJ111)</f>
        <v/>
      </c>
      <c r="BK112" s="31">
        <f>BK101+SUM(BK102:BK111)</f>
        <v/>
      </c>
      <c r="BL112" s="31">
        <f>BL101+SUM(BL102:BL111)</f>
        <v/>
      </c>
      <c r="BM112" s="31">
        <f>BM101+SUM(BM102:BM111)</f>
        <v/>
      </c>
      <c r="BN112" s="31">
        <f>BN101+SUM(BN102:BN111)</f>
        <v/>
      </c>
      <c r="BO112" s="31">
        <f>BO101+SUM(BO102:BO111)</f>
        <v/>
      </c>
    </row>
    <row r="113">
      <c r="B113" s="29" t="inlineStr">
        <is>
          <t xml:space="preserve">    Reconciliation check vs. reported (≈ 0)</t>
        </is>
      </c>
      <c r="T113" s="40">
        <f>T112-60.279</f>
        <v/>
      </c>
      <c r="AE113" s="40">
        <f>AE112-69.007</f>
        <v/>
      </c>
      <c r="AF113" s="40">
        <f>AF112-253.06</f>
        <v/>
      </c>
      <c r="AG113" s="40">
        <f>AG112-66.345</f>
        <v/>
      </c>
      <c r="AH113" s="40">
        <f>AH112-67.439</f>
        <v/>
      </c>
      <c r="AI113" s="40">
        <f>AI112-86.372</f>
        <v/>
      </c>
      <c r="AJ113" s="40">
        <f>AJ112-82.902</f>
        <v/>
      </c>
      <c r="AK113" s="40">
        <f>AK112-303.057</f>
        <v/>
      </c>
      <c r="AL113" s="40">
        <f>AL112-77.05</f>
        <v/>
      </c>
      <c r="AM113" s="40">
        <f>AM112-111.428</f>
        <v/>
      </c>
      <c r="AN113" s="40">
        <f>AN112-125.002</f>
        <v/>
      </c>
      <c r="AO113" s="40">
        <f>AO112-102.61</f>
        <v/>
      </c>
      <c r="AP113" s="40">
        <f>AP112-416.143</f>
        <v/>
      </c>
      <c r="AQ113" s="40">
        <f>AQ112-113.563</f>
        <v/>
      </c>
      <c r="AR113" s="40">
        <f>AR112-124.872</f>
        <v/>
      </c>
      <c r="AS113" s="40">
        <f>AS112-154.886</f>
        <v/>
      </c>
      <c r="AT113" s="40">
        <f>AT112-142.515</f>
        <v/>
      </c>
      <c r="AU113" s="40">
        <f>AU112-535.839</f>
        <v/>
      </c>
      <c r="AV113" s="40">
        <f>AV112-155.411</f>
        <v/>
      </c>
      <c r="AW113" s="40">
        <f>AW112-153.462</f>
        <v/>
      </c>
      <c r="AX113" s="40">
        <f>AX112-138.229</f>
        <v/>
      </c>
      <c r="AY113" s="40">
        <f>AY112-163.419</f>
        <v/>
      </c>
      <c r="AZ113" s="40">
        <f>AZ112-610.522</f>
        <v/>
      </c>
      <c r="BA113" s="40">
        <f>BA112-188.322</f>
        <v/>
      </c>
      <c r="BB113" s="40">
        <f>BB112-191.511</f>
        <v/>
      </c>
      <c r="BC113" s="40">
        <f>BC112-262.425</f>
        <v/>
      </c>
      <c r="BD113" s="40">
        <f>BD112-247.303</f>
        <v/>
      </c>
      <c r="BE113" s="40">
        <f>BE112-889.705</f>
        <v/>
      </c>
      <c r="BF113" s="40">
        <f>BF112-257.376</f>
        <v/>
      </c>
      <c r="BG113" s="40">
        <f>BG112-265.957</f>
        <v/>
      </c>
      <c r="BH113" s="40">
        <f>BH112-281.468</f>
        <v/>
      </c>
      <c r="BI113" s="40">
        <f>BI112-271.587</f>
        <v/>
      </c>
      <c r="BJ113" s="40">
        <f>BJ112-1076.387</f>
        <v/>
      </c>
      <c r="BK113" s="40">
        <f>BK112-245.223</f>
        <v/>
      </c>
      <c r="BL113" s="40">
        <f>BL112-293.562</f>
        <v/>
      </c>
      <c r="BM113" s="40">
        <f>BM112-346.061</f>
        <v/>
      </c>
      <c r="BN113" s="40">
        <f>BN112-330.426</f>
        <v/>
      </c>
      <c r="BO113" s="40">
        <f>BO112-1215.272</f>
        <v/>
      </c>
    </row>
    <row r="114">
      <c r="B114" s="18" t="inlineStr">
        <is>
          <t xml:space="preserve">  GAAP diluted EPS ($)</t>
        </is>
      </c>
      <c r="T114" s="41" t="n">
        <v>0.31</v>
      </c>
      <c r="AE114" s="41" t="n">
        <v>0.71</v>
      </c>
      <c r="AF114" s="41" t="n">
        <v>2.21</v>
      </c>
      <c r="AG114" s="41" t="n">
        <v>1.41</v>
      </c>
      <c r="AH114" s="41" t="n">
        <v>0.5600000000000001</v>
      </c>
      <c r="AI114" s="41" t="n">
        <v>0.38</v>
      </c>
      <c r="AJ114" s="41" t="n">
        <v>0.3</v>
      </c>
      <c r="AK114" s="41" t="n">
        <v>1.66</v>
      </c>
      <c r="AL114" s="41" t="n">
        <v>0.32</v>
      </c>
      <c r="AM114" s="41" t="n">
        <v>0.43</v>
      </c>
      <c r="AN114" s="41" t="n">
        <v>0.52</v>
      </c>
      <c r="AO114" s="41" t="n">
        <v>0.45</v>
      </c>
      <c r="AP114" s="41" t="n">
        <v>1.73</v>
      </c>
      <c r="AQ114" s="41" t="n">
        <v>0.47</v>
      </c>
      <c r="AR114" s="41" t="n">
        <v>0.55</v>
      </c>
      <c r="AS114" s="41" t="n">
        <v>0.8100000000000001</v>
      </c>
      <c r="AT114" s="41" t="n">
        <v>0.64</v>
      </c>
      <c r="AU114" s="41" t="n">
        <v>2.46</v>
      </c>
      <c r="AV114" s="41" t="n">
        <v>0.91</v>
      </c>
      <c r="AW114" s="41" t="n">
        <v>0.71</v>
      </c>
      <c r="AX114" s="41" t="n">
        <v>0.62</v>
      </c>
      <c r="AY114" s="41" t="n">
        <v>0.6899999999999999</v>
      </c>
      <c r="AZ114" s="41" t="n">
        <v>2.93</v>
      </c>
      <c r="BA114" s="41" t="n">
        <v>0.83</v>
      </c>
      <c r="BB114" s="41" t="n">
        <v>0.8100000000000001</v>
      </c>
      <c r="BC114" s="41" t="n">
        <v>1.19</v>
      </c>
      <c r="BD114" s="41" t="n">
        <v>1.06</v>
      </c>
      <c r="BE114" s="41" t="n">
        <v>3.9</v>
      </c>
      <c r="BF114" s="41" t="n">
        <v>1.08</v>
      </c>
      <c r="BG114" s="41" t="n">
        <v>1.19</v>
      </c>
      <c r="BH114" s="41" t="n">
        <v>1.16</v>
      </c>
      <c r="BI114" s="41" t="n">
        <v>1.1</v>
      </c>
      <c r="BJ114" s="41" t="n">
        <v>4.52</v>
      </c>
      <c r="BK114" s="41" t="n">
        <v>0.51</v>
      </c>
      <c r="BL114" s="41" t="n">
        <v>0.61</v>
      </c>
      <c r="BM114" s="41" t="n">
        <v>0.72</v>
      </c>
      <c r="BN114" s="41" t="n">
        <v>0.36</v>
      </c>
      <c r="BO114" s="41" t="n">
        <v>1.28</v>
      </c>
    </row>
    <row r="115">
      <c r="B115" s="6" t="inlineStr">
        <is>
          <t>Non-GAAP diluted EPS ($, as reported)</t>
        </is>
      </c>
      <c r="T115" s="42" t="n">
        <v>0.46</v>
      </c>
      <c r="AE115" s="42" t="n">
        <v>0.59</v>
      </c>
      <c r="AF115" s="42" t="n">
        <v>2.1</v>
      </c>
      <c r="AG115" s="42" t="n">
        <v>0.57</v>
      </c>
      <c r="AH115" s="42" t="n">
        <v>0.58</v>
      </c>
      <c r="AI115" s="42" t="n">
        <v>0.37</v>
      </c>
      <c r="AJ115" s="42" t="n">
        <v>0.35</v>
      </c>
      <c r="AK115" s="42" t="n">
        <v>1.29</v>
      </c>
      <c r="AL115" s="42" t="n">
        <v>0.33</v>
      </c>
      <c r="AM115" s="42" t="n">
        <v>0.47</v>
      </c>
      <c r="AN115" s="42" t="n">
        <v>0.52</v>
      </c>
      <c r="AO115" s="42" t="n">
        <v>0.42</v>
      </c>
      <c r="AP115" s="42" t="n">
        <v>1.73</v>
      </c>
      <c r="AQ115" s="42" t="n">
        <v>0.47</v>
      </c>
      <c r="AR115" s="42" t="n">
        <v>0.52</v>
      </c>
      <c r="AS115" s="42" t="n">
        <v>0.66</v>
      </c>
      <c r="AT115" s="42" t="n">
        <v>0.6</v>
      </c>
      <c r="AU115" s="42" t="n">
        <v>2.25</v>
      </c>
      <c r="AV115" s="42" t="n">
        <v>0.65</v>
      </c>
      <c r="AW115" s="42" t="n">
        <v>0.65</v>
      </c>
      <c r="AX115" s="42" t="n">
        <v>0.58</v>
      </c>
      <c r="AY115" s="42" t="n">
        <v>0.6899999999999999</v>
      </c>
      <c r="AZ115" s="42" t="n">
        <v>2.57</v>
      </c>
      <c r="BA115" s="42" t="n">
        <v>0.79</v>
      </c>
      <c r="BB115" s="42" t="n">
        <v>0.8</v>
      </c>
      <c r="BC115" s="42" t="n">
        <v>1.09</v>
      </c>
      <c r="BD115" s="42" t="n">
        <v>1.03</v>
      </c>
      <c r="BE115" s="42" t="n">
        <v>3.7</v>
      </c>
      <c r="BF115" s="42" t="n">
        <v>1.07</v>
      </c>
      <c r="BG115" s="42" t="n">
        <v>1.1</v>
      </c>
      <c r="BH115" s="42" t="n">
        <v>1.17</v>
      </c>
      <c r="BI115" s="42" t="n">
        <v>1.13</v>
      </c>
      <c r="BJ115" s="42" t="n">
        <v>4.46</v>
      </c>
      <c r="BK115" s="42" t="n">
        <v>0.51</v>
      </c>
      <c r="BL115" s="42" t="n">
        <v>0.61</v>
      </c>
      <c r="BM115" s="42" t="n">
        <v>0.72</v>
      </c>
      <c r="BN115" s="42" t="n">
        <v>0.34</v>
      </c>
      <c r="BO115" s="42" t="n">
        <v>1.26</v>
      </c>
    </row>
    <row r="116">
      <c r="B116" s="18" t="inlineStr">
        <is>
          <t xml:space="preserve">  GAAP diluted shares (m)</t>
        </is>
      </c>
      <c r="T116" s="22" t="n">
        <v>131.486</v>
      </c>
      <c r="AE116" s="22" t="n">
        <v>118.519</v>
      </c>
      <c r="AF116" s="22" t="n">
        <v>122.147</v>
      </c>
      <c r="AG116" s="22" t="n">
        <v>118.879</v>
      </c>
      <c r="AH116" s="22" t="n">
        <v>117.794</v>
      </c>
      <c r="AI116" s="22" t="n">
        <v>237.135</v>
      </c>
      <c r="AJ116" s="22" t="n">
        <v>237.634</v>
      </c>
      <c r="AK116" s="22" t="n">
        <v>237.019</v>
      </c>
      <c r="AL116" s="22" t="n">
        <v>238.791</v>
      </c>
      <c r="AM116" s="22" t="n">
        <v>241.36</v>
      </c>
      <c r="AN116" s="22" t="n">
        <v>242.96</v>
      </c>
      <c r="AO116" s="22" t="n">
        <v>244.406</v>
      </c>
      <c r="AP116" s="22" t="n">
        <v>241.877</v>
      </c>
      <c r="AQ116" s="22" t="n">
        <v>244.826</v>
      </c>
      <c r="AR116" s="22" t="n">
        <v>240.66</v>
      </c>
      <c r="AS116" s="22" t="n">
        <v>237.892</v>
      </c>
      <c r="AT116" s="22" t="n">
        <v>238.354</v>
      </c>
      <c r="AU116" s="22" t="n">
        <v>240.453</v>
      </c>
      <c r="AV116" s="22" t="n">
        <v>238.662</v>
      </c>
      <c r="AW116" s="22" t="n">
        <v>238.47</v>
      </c>
      <c r="AX116" s="22" t="n">
        <v>238.591</v>
      </c>
      <c r="AY116" s="22" t="n">
        <v>238.927</v>
      </c>
      <c r="AZ116" s="22" t="n">
        <v>238.656</v>
      </c>
      <c r="BA116" s="22" t="n">
        <v>239.968</v>
      </c>
    </row>
    <row r="117">
      <c r="B117" s="18" t="inlineStr">
        <is>
          <t xml:space="preserve">  Non-GAAP diluted shares (m)</t>
        </is>
      </c>
      <c r="AE117" s="22" t="n">
        <v>116.233</v>
      </c>
      <c r="AF117" s="22" t="n">
        <v>120.283</v>
      </c>
      <c r="AG117" s="22" t="n">
        <v>117.33</v>
      </c>
      <c r="AH117" s="22" t="n">
        <v>117.092</v>
      </c>
      <c r="AI117" s="22" t="n">
        <v>235.443</v>
      </c>
      <c r="AJ117" s="22" t="n">
        <v>235.863</v>
      </c>
      <c r="AK117" s="22" t="n">
        <v>235.027</v>
      </c>
      <c r="AL117" s="22" t="n">
        <v>236.777</v>
      </c>
      <c r="AM117" s="22" t="n">
        <v>238.657</v>
      </c>
      <c r="AN117" s="22" t="n">
        <v>239.87</v>
      </c>
      <c r="AO117" s="22" t="n">
        <v>241.82</v>
      </c>
      <c r="AP117" s="22" t="n">
        <v>241.231</v>
      </c>
      <c r="AQ117" s="22" t="n">
        <v>242.385</v>
      </c>
      <c r="AR117" s="22" t="n">
        <v>238.985</v>
      </c>
      <c r="AS117" s="22" t="n">
        <v>236.161</v>
      </c>
      <c r="AT117" s="22" t="n">
        <v>236.721</v>
      </c>
      <c r="AU117" s="22" t="n">
        <v>238.583</v>
      </c>
      <c r="AV117" s="22" t="n">
        <v>237.356</v>
      </c>
      <c r="AW117" s="22" t="n">
        <v>237.501</v>
      </c>
      <c r="AX117" s="22" t="n">
        <v>237.881</v>
      </c>
      <c r="AY117" s="22" t="n">
        <v>238.271</v>
      </c>
      <c r="AZ117" s="22" t="n">
        <v>237.745</v>
      </c>
      <c r="BA117" s="22" t="n">
        <v>239.259</v>
      </c>
    </row>
    <row r="118">
      <c r="B118" s="29" t="inlineStr">
        <is>
          <t xml:space="preserve">    Implied non-GAAP EPS (Non-GAAP NI / Non-GAAP shares)</t>
        </is>
      </c>
      <c r="AE118" s="35">
        <f>IFERROR(AE112/AE117,"")</f>
        <v/>
      </c>
      <c r="AF118" s="35">
        <f>IFERROR(AF112/AF117,"")</f>
        <v/>
      </c>
      <c r="AG118" s="35">
        <f>IFERROR(AG112/AG117,"")</f>
        <v/>
      </c>
      <c r="AH118" s="35">
        <f>IFERROR(AH112/AH117,"")</f>
        <v/>
      </c>
      <c r="AI118" s="35">
        <f>IFERROR(AI112/AI117,"")</f>
        <v/>
      </c>
      <c r="AJ118" s="35">
        <f>IFERROR(AJ112/AJ117,"")</f>
        <v/>
      </c>
      <c r="AK118" s="35">
        <f>IFERROR(AK112/AK117,"")</f>
        <v/>
      </c>
      <c r="AL118" s="35">
        <f>IFERROR(AL112/AL117,"")</f>
        <v/>
      </c>
      <c r="AM118" s="35">
        <f>IFERROR(AM112/AM117,"")</f>
        <v/>
      </c>
      <c r="AN118" s="35">
        <f>IFERROR(AN112/AN117,"")</f>
        <v/>
      </c>
      <c r="AO118" s="35">
        <f>IFERROR(AO112/AO117,"")</f>
        <v/>
      </c>
      <c r="AP118" s="35">
        <f>IFERROR(AP112/AP117,"")</f>
        <v/>
      </c>
      <c r="AQ118" s="35">
        <f>IFERROR(AQ112/AQ117,"")</f>
        <v/>
      </c>
      <c r="AR118" s="35">
        <f>IFERROR(AR112/AR117,"")</f>
        <v/>
      </c>
      <c r="AS118" s="35">
        <f>IFERROR(AS112/AS117,"")</f>
        <v/>
      </c>
      <c r="AT118" s="35">
        <f>IFERROR(AT112/AT117,"")</f>
        <v/>
      </c>
      <c r="AU118" s="35">
        <f>IFERROR(AU112/AU117,"")</f>
        <v/>
      </c>
      <c r="AV118" s="35">
        <f>IFERROR(AV112/AV117,"")</f>
        <v/>
      </c>
      <c r="AW118" s="35">
        <f>IFERROR(AW112/AW117,"")</f>
        <v/>
      </c>
      <c r="AX118" s="35">
        <f>IFERROR(AX112/AX117,"")</f>
        <v/>
      </c>
      <c r="AY118" s="35">
        <f>IFERROR(AY112/AY117,"")</f>
        <v/>
      </c>
      <c r="AZ118" s="35">
        <f>IFERROR(AZ112/AZ117,"")</f>
        <v/>
      </c>
      <c r="BA118" s="35">
        <f>IFERROR(BA112/BA117,"")</f>
        <v/>
      </c>
    </row>
    <row r="120">
      <c r="B120" s="5" t="inlineStr">
        <is>
          <t>VALUATION  (share price is a manual input — not from SEC filings)</t>
        </is>
      </c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  <c r="AJ120" s="12" t="n"/>
      <c r="AK120" s="12" t="n"/>
      <c r="AL120" s="12" t="n"/>
      <c r="AM120" s="12" t="n"/>
      <c r="AN120" s="12" t="n"/>
      <c r="AO120" s="12" t="n"/>
      <c r="AP120" s="12" t="n"/>
      <c r="AQ120" s="12" t="n"/>
      <c r="AR120" s="12" t="n"/>
      <c r="AS120" s="12" t="n"/>
      <c r="AT120" s="12" t="n"/>
      <c r="AU120" s="12" t="n"/>
      <c r="AV120" s="12" t="n"/>
      <c r="AW120" s="12" t="n"/>
      <c r="AX120" s="12" t="n"/>
      <c r="AY120" s="12" t="n"/>
      <c r="AZ120" s="12" t="n"/>
      <c r="BA120" s="12" t="n"/>
      <c r="BB120" s="12" t="n"/>
      <c r="BC120" s="12" t="n"/>
      <c r="BD120" s="12" t="n"/>
      <c r="BE120" s="12" t="n"/>
      <c r="BF120" s="12" t="n"/>
      <c r="BG120" s="12" t="n"/>
      <c r="BH120" s="12" t="n"/>
      <c r="BI120" s="12" t="n"/>
      <c r="BJ120" s="12" t="n"/>
      <c r="BK120" s="12" t="n"/>
      <c r="BL120" s="12" t="n"/>
      <c r="BM120" s="12" t="n"/>
      <c r="BN120" s="12" t="n"/>
      <c r="BO120" s="12" t="n"/>
      <c r="BP120" s="12" t="n"/>
      <c r="BQ120" s="12" t="n"/>
      <c r="BR120" s="12" t="n"/>
      <c r="BS120" s="12" t="n"/>
      <c r="BT120" s="12" t="n"/>
      <c r="BU120" s="12" t="n"/>
      <c r="BV120" s="12" t="n"/>
      <c r="BW120" s="12" t="n"/>
      <c r="BX120" s="12" t="n"/>
      <c r="BY120" s="12" t="n"/>
      <c r="BZ120" s="12" t="n"/>
      <c r="CA120" s="12" t="n"/>
      <c r="CB120" s="12" t="n"/>
      <c r="CC120" s="12" t="n"/>
      <c r="CD120" s="12" t="n"/>
      <c r="CE120" s="12" t="n"/>
      <c r="CF120" s="12" t="n"/>
      <c r="CG120" s="12" t="n"/>
      <c r="CH120" s="12" t="n"/>
    </row>
    <row r="121">
      <c r="B121" s="18" t="inlineStr">
        <is>
          <t>Avg. share price ($) — manual input</t>
        </is>
      </c>
      <c r="G121" s="41" t="n"/>
      <c r="L121" s="41" t="n"/>
      <c r="Q121" s="41" t="n"/>
      <c r="V121" s="41" t="n"/>
      <c r="AA121" s="41" t="n"/>
      <c r="AF121" s="41" t="n"/>
      <c r="AK121" s="41" t="n"/>
      <c r="AP121" s="41" t="n"/>
      <c r="AU121" s="41" t="n"/>
      <c r="AZ121" s="41" t="n"/>
      <c r="BE121" s="41" t="n"/>
      <c r="BJ121" s="41" t="n"/>
      <c r="BO121" s="41" t="n"/>
      <c r="BT121" s="41" t="n"/>
      <c r="BY121" s="41" t="n"/>
      <c r="BZ121" s="43" t="n"/>
      <c r="CA121" s="43" t="n"/>
      <c r="CB121" s="43" t="n"/>
      <c r="CC121" s="43" t="n"/>
      <c r="CD121" s="43" t="n"/>
    </row>
    <row r="122">
      <c r="B122" s="18" t="inlineStr">
        <is>
          <t xml:space="preserve">  Market capitalisation</t>
        </is>
      </c>
      <c r="G122" s="34">
        <f>IFERROR(G121*G51,"")</f>
        <v/>
      </c>
      <c r="L122" s="34">
        <f>IFERROR(L121*L51,"")</f>
        <v/>
      </c>
      <c r="Q122" s="34">
        <f>IFERROR(Q121*Q51,"")</f>
        <v/>
      </c>
      <c r="V122" s="34">
        <f>IFERROR(V121*V51,"")</f>
        <v/>
      </c>
      <c r="AA122" s="34">
        <f>IFERROR(AA121*AA51,"")</f>
        <v/>
      </c>
      <c r="AF122" s="34">
        <f>IFERROR(AF121*AF51,"")</f>
        <v/>
      </c>
      <c r="AK122" s="34">
        <f>IFERROR(AK121*AK51,"")</f>
        <v/>
      </c>
      <c r="AP122" s="34">
        <f>IFERROR(AP121*AP51,"")</f>
        <v/>
      </c>
      <c r="AU122" s="34">
        <f>IFERROR(AU121*AU51,"")</f>
        <v/>
      </c>
      <c r="AZ122" s="34">
        <f>IFERROR(AZ121*AZ51,"")</f>
        <v/>
      </c>
      <c r="BE122" s="34">
        <f>IFERROR(BE121*BE51,"")</f>
        <v/>
      </c>
      <c r="BJ122" s="34">
        <f>IFERROR(BJ121*BJ51,"")</f>
        <v/>
      </c>
      <c r="BO122" s="34">
        <f>IFERROR(BO121*BO51,"")</f>
        <v/>
      </c>
      <c r="BT122" s="34">
        <f>IFERROR(BT121*BT51,"")</f>
        <v/>
      </c>
      <c r="BY122" s="34">
        <f>IFERROR(BY121*BY51,"")</f>
        <v/>
      </c>
      <c r="BZ122" s="23">
        <f>IFERROR(BZ121*BZ51,"")</f>
        <v/>
      </c>
      <c r="CA122" s="23">
        <f>IFERROR(CA121*CA51,"")</f>
        <v/>
      </c>
      <c r="CB122" s="23">
        <f>IFERROR(CB121*CB51,"")</f>
        <v/>
      </c>
      <c r="CC122" s="23">
        <f>IFERROR(CC121*CC51,"")</f>
        <v/>
      </c>
      <c r="CD122" s="23">
        <f>IFERROR(CD121*CD51,"")</f>
        <v/>
      </c>
    </row>
    <row r="123">
      <c r="B123" s="18" t="inlineStr">
        <is>
          <t xml:space="preserve">  Enterprise value (Mkt cap + Net debt)</t>
        </is>
      </c>
      <c r="G123" s="34">
        <f>IFERROR(G122+G96,"")</f>
        <v/>
      </c>
      <c r="L123" s="34">
        <f>IFERROR(L122+L96,"")</f>
        <v/>
      </c>
      <c r="Q123" s="34">
        <f>IFERROR(Q122+Q96,"")</f>
        <v/>
      </c>
      <c r="V123" s="34">
        <f>IFERROR(V122+V96,"")</f>
        <v/>
      </c>
      <c r="AA123" s="34">
        <f>IFERROR(AA122+AA96,"")</f>
        <v/>
      </c>
      <c r="AF123" s="34">
        <f>IFERROR(AF122+AF96,"")</f>
        <v/>
      </c>
      <c r="AK123" s="34">
        <f>IFERROR(AK122+AK96,"")</f>
        <v/>
      </c>
      <c r="AP123" s="34">
        <f>IFERROR(AP122+AP96,"")</f>
        <v/>
      </c>
      <c r="AU123" s="34">
        <f>IFERROR(AU122+AU96,"")</f>
        <v/>
      </c>
      <c r="AZ123" s="34">
        <f>IFERROR(AZ122+AZ96,"")</f>
        <v/>
      </c>
      <c r="BE123" s="34">
        <f>IFERROR(BE122+BE96,"")</f>
        <v/>
      </c>
      <c r="BJ123" s="34">
        <f>IFERROR(BJ122+BJ96,"")</f>
        <v/>
      </c>
      <c r="BO123" s="34">
        <f>IFERROR(BO122+BO96,"")</f>
        <v/>
      </c>
      <c r="BT123" s="34">
        <f>IFERROR(BT122+BT96,"")</f>
        <v/>
      </c>
      <c r="BY123" s="34">
        <f>IFERROR(BY122+BY96,"")</f>
        <v/>
      </c>
    </row>
    <row r="124">
      <c r="B124" s="18" t="inlineStr">
        <is>
          <t xml:space="preserve">    EV / EBITDA (x)</t>
        </is>
      </c>
      <c r="G124" s="39">
        <f>IFERROR(G123/G91,"")</f>
        <v/>
      </c>
      <c r="L124" s="39">
        <f>IFERROR(L123/L91,"")</f>
        <v/>
      </c>
      <c r="Q124" s="39">
        <f>IFERROR(Q123/Q91,"")</f>
        <v/>
      </c>
      <c r="V124" s="39">
        <f>IFERROR(V123/V91,"")</f>
        <v/>
      </c>
      <c r="AA124" s="39">
        <f>IFERROR(AA123/AA91,"")</f>
        <v/>
      </c>
      <c r="AF124" s="39">
        <f>IFERROR(AF123/AF91,"")</f>
        <v/>
      </c>
      <c r="AK124" s="39">
        <f>IFERROR(AK123/AK91,"")</f>
        <v/>
      </c>
      <c r="AP124" s="39">
        <f>IFERROR(AP123/AP91,"")</f>
        <v/>
      </c>
      <c r="AU124" s="39">
        <f>IFERROR(AU123/AU91,"")</f>
        <v/>
      </c>
      <c r="AZ124" s="39">
        <f>IFERROR(AZ123/AZ91,"")</f>
        <v/>
      </c>
      <c r="BE124" s="39">
        <f>IFERROR(BE123/BE91,"")</f>
        <v/>
      </c>
      <c r="BJ124" s="39">
        <f>IFERROR(BJ123/BJ91,"")</f>
        <v/>
      </c>
      <c r="BO124" s="39">
        <f>IFERROR(BO123/BO91,"")</f>
        <v/>
      </c>
      <c r="BT124" s="39">
        <f>IFERROR(BT123/BT91,"")</f>
        <v/>
      </c>
      <c r="BY124" s="39">
        <f>IFERROR(BY123/BY91,"")</f>
        <v/>
      </c>
    </row>
    <row r="125">
      <c r="B125" s="18" t="inlineStr">
        <is>
          <t xml:space="preserve">    P / E (x)</t>
        </is>
      </c>
      <c r="G125" s="39">
        <f>IFERROR(G121/G54,"")</f>
        <v/>
      </c>
      <c r="L125" s="39">
        <f>IFERROR(L121/L54,"")</f>
        <v/>
      </c>
      <c r="Q125" s="39">
        <f>IFERROR(Q121/Q54,"")</f>
        <v/>
      </c>
      <c r="V125" s="39">
        <f>IFERROR(V121/V54,"")</f>
        <v/>
      </c>
      <c r="AA125" s="39">
        <f>IFERROR(AA121/AA54,"")</f>
        <v/>
      </c>
      <c r="AF125" s="39">
        <f>IFERROR(AF121/AF54,"")</f>
        <v/>
      </c>
      <c r="AK125" s="39">
        <f>IFERROR(AK121/AK54,"")</f>
        <v/>
      </c>
      <c r="AP125" s="39">
        <f>IFERROR(AP121/AP54,"")</f>
        <v/>
      </c>
      <c r="AU125" s="39">
        <f>IFERROR(AU121/AU54,"")</f>
        <v/>
      </c>
      <c r="AZ125" s="39">
        <f>IFERROR(AZ121/AZ54,"")</f>
        <v/>
      </c>
      <c r="BE125" s="39">
        <f>IFERROR(BE121/BE54,"")</f>
        <v/>
      </c>
      <c r="BJ125" s="39">
        <f>IFERROR(BJ121/BJ54,"")</f>
        <v/>
      </c>
      <c r="BO125" s="39">
        <f>IFERROR(BO121/BO54,"")</f>
        <v/>
      </c>
      <c r="BT125" s="39">
        <f>IFERROR(BT121/BT54,"")</f>
        <v/>
      </c>
      <c r="BY125" s="39">
        <f>IFERROR(BY121/BY54,"")</f>
        <v/>
      </c>
      <c r="BZ125" s="44">
        <f>IFERROR(BZ121/BZ54,"")</f>
        <v/>
      </c>
      <c r="CA125" s="44">
        <f>IFERROR(CA121/CA54,"")</f>
        <v/>
      </c>
      <c r="CB125" s="44">
        <f>IFERROR(CB121/CB54,"")</f>
        <v/>
      </c>
      <c r="CC125" s="44">
        <f>IFERROR(CC121/CC54,"")</f>
        <v/>
      </c>
      <c r="CD125" s="44">
        <f>IFERROR(CD121/CD54,"")</f>
        <v/>
      </c>
    </row>
    <row r="126">
      <c r="B126" s="18" t="inlineStr">
        <is>
          <t xml:space="preserve">    FCF yield %</t>
        </is>
      </c>
      <c r="G126" s="27">
        <f>IFERROR(G74/G122,"")</f>
        <v/>
      </c>
      <c r="L126" s="27">
        <f>IFERROR(L74/L122,"")</f>
        <v/>
      </c>
      <c r="Q126" s="27">
        <f>IFERROR(Q74/Q122,"")</f>
        <v/>
      </c>
      <c r="V126" s="27">
        <f>IFERROR(V74/V122,"")</f>
        <v/>
      </c>
      <c r="AA126" s="27">
        <f>IFERROR(AA74/AA122,"")</f>
        <v/>
      </c>
      <c r="AF126" s="27">
        <f>IFERROR(AF74/AF122,"")</f>
        <v/>
      </c>
      <c r="AK126" s="27">
        <f>IFERROR(AK74/AK122,"")</f>
        <v/>
      </c>
      <c r="AP126" s="27">
        <f>IFERROR(AP74/AP122,"")</f>
        <v/>
      </c>
      <c r="AU126" s="27">
        <f>IFERROR(AU74/AU122,"")</f>
        <v/>
      </c>
      <c r="AZ126" s="27">
        <f>IFERROR(AZ74/AZ122,"")</f>
        <v/>
      </c>
      <c r="BE126" s="27">
        <f>IFERROR(BE74/BE122,"")</f>
        <v/>
      </c>
      <c r="BJ126" s="27">
        <f>IFERROR(BJ74/BJ122,"")</f>
        <v/>
      </c>
      <c r="BO126" s="27">
        <f>IFERROR(BO74/BO122,"")</f>
        <v/>
      </c>
      <c r="BT126" s="27">
        <f>IFERROR(BT74/BT122,"")</f>
        <v/>
      </c>
      <c r="BY126" s="27">
        <f>IFERROR(BY74/BY122,"")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2"/>
  <sheetViews>
    <sheetView showGridLines="0" workbookViewId="0">
      <selection activeCell="A1" sqref="A1"/>
    </sheetView>
  </sheetViews>
  <sheetFormatPr baseColWidth="8" defaultRowHeight="15"/>
  <cols>
    <col width="34" customWidth="1" min="2" max="2"/>
  </cols>
  <sheetData>
    <row r="2">
      <c r="B2" s="8" t="inlineStr">
        <is>
          <t>COPART — Bull / Base / Bear P&amp;L Summary</t>
        </is>
      </c>
    </row>
    <row r="3">
      <c r="B3" s="11" t="inlineStr">
        <is>
          <t>Linked to Model — toggle scenario via the Model tab.</t>
        </is>
      </c>
    </row>
    <row r="5">
      <c r="C5" s="17" t="inlineStr">
        <is>
          <t>FY2025A</t>
        </is>
      </c>
      <c r="D5" s="17" t="inlineStr">
        <is>
          <t>FY2026E</t>
        </is>
      </c>
      <c r="E5" s="17" t="inlineStr">
        <is>
          <t>FY2027E</t>
        </is>
      </c>
      <c r="F5" s="17" t="inlineStr">
        <is>
          <t>FY2028E</t>
        </is>
      </c>
      <c r="G5" s="17" t="inlineStr">
        <is>
          <t>FY2029E</t>
        </is>
      </c>
      <c r="H5" s="17" t="inlineStr">
        <is>
          <t>FY2030E</t>
        </is>
      </c>
    </row>
    <row r="6">
      <c r="B6" s="18" t="inlineStr">
        <is>
          <t>Revenue</t>
        </is>
      </c>
      <c r="C6" s="45">
        <f>Model!BY38</f>
        <v/>
      </c>
      <c r="D6" s="45">
        <f>Model!BZ38</f>
        <v/>
      </c>
      <c r="E6" s="45">
        <f>Model!CA38</f>
        <v/>
      </c>
      <c r="F6" s="45">
        <f>Model!CB38</f>
        <v/>
      </c>
      <c r="G6" s="45">
        <f>Model!CC38</f>
        <v/>
      </c>
      <c r="H6" s="45">
        <f>Model!CD38</f>
        <v/>
      </c>
    </row>
    <row r="7">
      <c r="B7" s="18" t="inlineStr">
        <is>
          <t>Operating income</t>
        </is>
      </c>
      <c r="C7" s="45">
        <f>Model!BY43</f>
        <v/>
      </c>
      <c r="D7" s="45">
        <f>Model!BZ43</f>
        <v/>
      </c>
      <c r="E7" s="45">
        <f>Model!CA43</f>
        <v/>
      </c>
      <c r="F7" s="45">
        <f>Model!CB43</f>
        <v/>
      </c>
      <c r="G7" s="45">
        <f>Model!CC43</f>
        <v/>
      </c>
      <c r="H7" s="45">
        <f>Model!CD43</f>
        <v/>
      </c>
    </row>
    <row r="8">
      <c r="B8" s="18" t="inlineStr">
        <is>
          <t>Net income attrib. to Copart</t>
        </is>
      </c>
      <c r="C8" s="45">
        <f>Model!BY49</f>
        <v/>
      </c>
      <c r="D8" s="45">
        <f>Model!BZ49</f>
        <v/>
      </c>
      <c r="E8" s="45">
        <f>Model!CA49</f>
        <v/>
      </c>
      <c r="F8" s="45">
        <f>Model!CB49</f>
        <v/>
      </c>
      <c r="G8" s="45">
        <f>Model!CC49</f>
        <v/>
      </c>
      <c r="H8" s="45">
        <f>Model!CD49</f>
        <v/>
      </c>
    </row>
    <row r="9">
      <c r="B9" s="18" t="inlineStr">
        <is>
          <t>EPS — diluted ($)</t>
        </is>
      </c>
      <c r="C9" s="46">
        <f>Model!BY54</f>
        <v/>
      </c>
      <c r="D9" s="46">
        <f>Model!BZ54</f>
        <v/>
      </c>
      <c r="E9" s="46">
        <f>Model!CA54</f>
        <v/>
      </c>
      <c r="F9" s="46">
        <f>Model!CB54</f>
        <v/>
      </c>
      <c r="G9" s="46">
        <f>Model!CC54</f>
        <v/>
      </c>
      <c r="H9" s="46">
        <f>Model!CD54</f>
        <v/>
      </c>
    </row>
    <row r="10">
      <c r="B10" s="18" t="inlineStr">
        <is>
          <t>Free cash flow</t>
        </is>
      </c>
      <c r="C10" s="45">
        <f>Model!BY74</f>
        <v/>
      </c>
      <c r="D10" s="45">
        <f>Model!BZ74</f>
        <v/>
      </c>
      <c r="E10" s="45">
        <f>Model!CA74</f>
        <v/>
      </c>
      <c r="F10" s="45">
        <f>Model!CB74</f>
        <v/>
      </c>
      <c r="G10" s="45">
        <f>Model!CC74</f>
        <v/>
      </c>
      <c r="H10" s="45">
        <f>Model!CD74</f>
        <v/>
      </c>
    </row>
    <row r="12">
      <c r="B12" s="6" t="inlineStr">
        <is>
          <t>Active scenario:</t>
        </is>
      </c>
      <c r="C12" s="47">
        <f>Model!$CF$2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9"/>
  <sheetViews>
    <sheetView showGridLines="0" workbookViewId="0">
      <selection activeCell="A1" sqref="A1"/>
    </sheetView>
  </sheetViews>
  <sheetFormatPr baseColWidth="8" defaultRowHeight="15"/>
  <cols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2">
      <c r="B2" s="8" t="inlineStr">
        <is>
          <t>COPART — Unlevered DCF (off model forecast FCF)</t>
        </is>
      </c>
    </row>
    <row r="3">
      <c r="B3" s="11" t="inlineStr">
        <is>
          <t>Free cash flow linked from the Model forecast columns. Assumptions in blue are editable.</t>
        </is>
      </c>
    </row>
    <row r="5">
      <c r="B5" s="6" t="inlineStr">
        <is>
          <t>WACC</t>
        </is>
      </c>
      <c r="C5" s="19" t="n">
        <v>0.09</v>
      </c>
    </row>
    <row r="6">
      <c r="B6" s="6" t="inlineStr">
        <is>
          <t>Terminal growth (g)</t>
        </is>
      </c>
      <c r="C6" s="19" t="n">
        <v>0.03</v>
      </c>
    </row>
    <row r="8">
      <c r="C8" s="17" t="inlineStr">
        <is>
          <t>FY2026E</t>
        </is>
      </c>
      <c r="D8" s="17" t="inlineStr">
        <is>
          <t>FY2027E</t>
        </is>
      </c>
      <c r="E8" s="17" t="inlineStr">
        <is>
          <t>FY2028E</t>
        </is>
      </c>
      <c r="F8" s="17" t="inlineStr">
        <is>
          <t>FY2029E</t>
        </is>
      </c>
      <c r="G8" s="17" t="inlineStr">
        <is>
          <t>FY2030E</t>
        </is>
      </c>
    </row>
    <row r="9">
      <c r="B9" s="18" t="inlineStr">
        <is>
          <t>Free cash flow (US$m)</t>
        </is>
      </c>
      <c r="C9" s="45">
        <f>Model!BZ74</f>
        <v/>
      </c>
      <c r="D9" s="45">
        <f>Model!CA74</f>
        <v/>
      </c>
      <c r="E9" s="45">
        <f>Model!CB74</f>
        <v/>
      </c>
      <c r="F9" s="45">
        <f>Model!CC74</f>
        <v/>
      </c>
      <c r="G9" s="45">
        <f>Model!CD74</f>
        <v/>
      </c>
    </row>
    <row r="10">
      <c r="B10" s="18" t="inlineStr">
        <is>
          <t>Discount factor</t>
        </is>
      </c>
      <c r="C10" s="48">
        <f>1/(1+$C$5)^1</f>
        <v/>
      </c>
      <c r="D10" s="48">
        <f>1/(1+$C$5)^2</f>
        <v/>
      </c>
      <c r="E10" s="48">
        <f>1/(1+$C$5)^3</f>
        <v/>
      </c>
      <c r="F10" s="48">
        <f>1/(1+$C$5)^4</f>
        <v/>
      </c>
      <c r="G10" s="48">
        <f>1/(1+$C$5)^5</f>
        <v/>
      </c>
    </row>
    <row r="11">
      <c r="B11" s="18" t="inlineStr">
        <is>
          <t>PV of FCF</t>
        </is>
      </c>
      <c r="C11" s="45">
        <f>C9*C10</f>
        <v/>
      </c>
      <c r="D11" s="45">
        <f>D9*D10</f>
        <v/>
      </c>
      <c r="E11" s="45">
        <f>E9*E10</f>
        <v/>
      </c>
      <c r="F11" s="45">
        <f>F9*F10</f>
        <v/>
      </c>
      <c r="G11" s="45">
        <f>G9*G10</f>
        <v/>
      </c>
    </row>
    <row r="13">
      <c r="B13" s="6" t="inlineStr">
        <is>
          <t>Terminal value (Gordon)</t>
        </is>
      </c>
      <c r="C13" s="45">
        <f>G9*(1+$C$6)/($C$5-$C$6)</f>
        <v/>
      </c>
    </row>
    <row r="14">
      <c r="B14" s="18" t="inlineStr">
        <is>
          <t>PV of terminal value</t>
        </is>
      </c>
      <c r="C14" s="45">
        <f>C13*G10</f>
        <v/>
      </c>
    </row>
    <row r="15">
      <c r="B15" s="6" t="inlineStr">
        <is>
          <t>Enterprise value</t>
        </is>
      </c>
      <c r="C15" s="49">
        <f>SUM(C11:G11)+C14</f>
        <v/>
      </c>
    </row>
    <row r="16">
      <c r="B16" s="18" t="inlineStr">
        <is>
          <t>− Net debt (FY latest, Model)</t>
        </is>
      </c>
      <c r="C16" s="45">
        <f>Model!BY96</f>
        <v/>
      </c>
    </row>
    <row r="17">
      <c r="B17" s="6" t="inlineStr">
        <is>
          <t>Equity value</t>
        </is>
      </c>
      <c r="C17" s="49">
        <f>C15-C16</f>
        <v/>
      </c>
    </row>
    <row r="18">
      <c r="B18" s="18" t="inlineStr">
        <is>
          <t>÷ Diluted shares (m, FY latest)</t>
        </is>
      </c>
      <c r="C18" s="45">
        <f>Model!BY51</f>
        <v/>
      </c>
    </row>
    <row r="19">
      <c r="B19" s="6" t="inlineStr">
        <is>
          <t>Implied value per share ($)</t>
        </is>
      </c>
      <c r="C19" s="50">
        <f>C17/C18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2026-07-01T01:16:51Z</dcterms:created>
  <dcterms:modified xmlns:dcterms="http://purl.org/dc/terms/" xmlns:xsi="http://www.w3.org/2001/XMLSchema-instance" xsi:type="dcterms:W3CDTF">2026-07-01T01:16:51Z</dcterms:modified>
</cp:coreProperties>
</file>